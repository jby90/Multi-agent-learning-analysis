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19a792972041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指标汇总" sheetId="1" r:id="R72b846431d494230"/>
    <x:sheet xmlns:r="http://schemas.openxmlformats.org/officeDocument/2006/relationships" name="01_TRACE字段" sheetId="2" r:id="Rf84d67980c2d4406"/>
    <x:sheet xmlns:r="http://schemas.openxmlformats.org/officeDocument/2006/relationships" name="02_事实内容单元" sheetId="3" r:id="R9e558e27d126490f"/>
    <x:sheet xmlns:r="http://schemas.openxmlformats.org/officeDocument/2006/relationships" name="03_适配节点" sheetId="4" r:id="R2e024b4039434a9e"/>
    <x:sheet xmlns:r="http://schemas.openxmlformats.org/officeDocument/2006/relationships" name="04_覆盖30格" sheetId="5" r:id="R17314b6b1c9e43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10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1F1F1F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7F6000"/>
      <x:name val="Carlito"/>
    </x:font>
    <x:font>
      <x:sz val="11"/>
      <x:color rgb="FF7F6000"/>
      <x:name val="Carlito"/>
    </x:font>
    <x:font>
      <x:b/>
      <x:sz val="11"/>
      <x:color rgb="FF17365D"/>
      <x:name val="Carlito"/>
    </x:font>
    <x:font>
      <x:sz val="11"/>
      <x:color rgb="FF215E2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0B5CAD"/>
      </x:patternFill>
    </x:fill>
    <x:fill>
      <x:patternFill patternType="solid">
        <x:fgColor rgb="FFFFF2CC"/>
      </x:patternFill>
    </x:fill>
    <x:fill>
      <x:patternFill patternType="solid">
        <x:fgColor rgb="FFDC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7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20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7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left" vertical="center"/>
    </x:xf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 applyAlignment="1">
      <x:alignment horizontal="center" vertical="center" wrapText="1"/>
    </x:xf>
    <x:xf numFmtId="0" fontId="5" fillId="8" borderId="0" xfId="0" applyNumberFormat="1" applyFont="1" applyFill="1" applyBorder="1"/>
    <x:xf numFmtId="0" fontId="5" fillId="8" borderId="0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horizontal="center" wrapText="1"/>
    </x:xf>
    <x:xf numFmtId="0" fontId="8" fillId="11" borderId="0" xfId="0" applyNumberFormat="1" applyFont="1" applyFill="1" applyBorder="1" applyAlignment="1">
      <x:alignment horizontal="center" vertical="center" wrapText="1"/>
    </x:xf>
    <x:xf numFmtId="200" fontId="3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1" fillId="9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vertical="center" wrapText="1"/>
    </x:xf>
    <x:xf numFmtId="0" fontId="5" fillId="11" borderId="0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e5d467c7724cbc" /><Relationship Type="http://schemas.openxmlformats.org/officeDocument/2006/relationships/theme" Target="/xl/theme/theme1.xml" Id="Rade60f80998d4388" /><Relationship Type="http://schemas.openxmlformats.org/officeDocument/2006/relationships/sharedStrings" Target="/xl/sharedStrings.xml" Id="Rd11b9457e2794099" /><Relationship Type="http://schemas.openxmlformats.org/officeDocument/2006/relationships/worksheet" Target="/xl/worksheets/sheet1.xml" Id="R72b846431d494230" /><Relationship Type="http://schemas.openxmlformats.org/officeDocument/2006/relationships/worksheet" Target="/xl/worksheets/sheet2.xml" Id="Rf84d67980c2d4406" /><Relationship Type="http://schemas.openxmlformats.org/officeDocument/2006/relationships/worksheet" Target="/xl/worksheets/sheet3.xml" Id="R9e558e27d126490f" /><Relationship Type="http://schemas.openxmlformats.org/officeDocument/2006/relationships/worksheet" Target="/xl/worksheets/sheet4.xml" Id="R2e024b4039434a9e" /><Relationship Type="http://schemas.openxmlformats.org/officeDocument/2006/relationships/worksheet" Target="/xl/worksheets/sheet5.xml" Id="R17314b6b1c9e4357" /></Relationships>
</file>

<file path=xl/tables/table1.xml><?xml version="1.0" encoding="utf-8"?>
<x:table xmlns:x="http://schemas.openxmlformats.org/spreadsheetml/2006/main" id="1" name="TraceSchemaTable" displayName="TraceSchemaTable" ref="A3:I88" headerRowCount="1">
  <x:tableColumns count="9">
    <x:tableColumn id="1" name="字段组"/>
    <x:tableColumn id="2" name="JSON字段路径"/>
    <x:tableColumn id="3" name="中文名称"/>
    <x:tableColumn id="4" name="类型"/>
    <x:tableColumn id="5" name="状态"/>
    <x:tableColumn id="6" name="必填事件"/>
    <x:tableColumn id="7" name="允许值/示例"/>
    <x:tableColumn id="8" name="指标用途"/>
    <x:tableColumn id="9" name="现有字段映射/说明"/>
  </x:tableColumns>
  <x:tableStyleInfo name="TableStyleMedium2" showRowStripes="1"/>
</x:table>
</file>

<file path=xl/tables/table2.xml><?xml version="1.0" encoding="utf-8"?>
<x:table xmlns:x="http://schemas.openxmlformats.org/spreadsheetml/2006/main" id="2" name="FactUnitsTable" displayName="FactUnitsTable" ref="A3:Z3003" headerRowCount="1">
  <x:tableColumns count="26">
    <x:tableColumn id="1" name="run_id"/>
    <x:tableColumn id="2" name="seed_id"/>
    <x:tableColumn id="3" name="case_id"/>
    <x:tableColumn id="4" name="session_id"/>
    <x:tableColumn id="5" name="artifact_id"/>
    <x:tableColumn id="6" name="artifact_version_id"/>
    <x:tableColumn id="7" name="lineage_id"/>
    <x:tableColumn id="8" name="generation_stage"/>
    <x:tableColumn id="9" name="content_unit_id"/>
    <x:tableColumn id="10" name="lineage_unit_id"/>
    <x:tableColumn id="11" name="unit_kind"/>
    <x:tableColumn id="12" name="content_text"/>
    <x:tableColumn id="13" name="evidence_ids"/>
    <x:tableColumn id="14" name="published_final"/>
    <x:tableColumn id="15" name="human_label"/>
    <x:tableColumn id="16" name="hallucination_reason"/>
    <x:tableColumn id="17" name="first_generation"/>
    <x:tableColumn id="18" name="auto_review_detected"/>
    <x:tableColumn id="19" name="auto_intercepted"/>
    <x:tableColumn id="20" name="review_event_id"/>
    <x:tableColumn id="21" name="rule_hits"/>
    <x:tableColumn id="22" name="adjudicator"/>
    <x:tableColumn id="23" name="final_fact_denominator"/>
    <x:tableColumn id="24" name="final_hallucination_numerator"/>
    <x:tableColumn id="25" name="native_error_denominator"/>
    <x:tableColumn id="26" name="interception_numerator"/>
  </x:tableColumns>
  <x:tableStyleInfo name="TableStyleMedium2" showRowStripes="1"/>
</x:table>
</file>

<file path=xl/tables/table3.xml><?xml version="1.0" encoding="utf-8"?>
<x:table xmlns:x="http://schemas.openxmlformats.org/spreadsheetml/2006/main" id="3" name="AdaptationNodesTable" displayName="AdaptationNodesTable" ref="A3:AF1003" headerRowCount="1">
  <x:tableColumns count="32">
    <x:tableColumn id="1" name="run_id"/>
    <x:tableColumn id="2" name="seed_id"/>
    <x:tableColumn id="3" name="case_id"/>
    <x:tableColumn id="4" name="session_id"/>
    <x:tableColumn id="5" name="adaptation_node_id"/>
    <x:tableColumn id="6" name="node_type"/>
    <x:tableColumn id="7" name="trigger_event_id"/>
    <x:tableColumn id="8" name="trigger_event_type"/>
    <x:tableColumn id="9" name="knowledge_point"/>
    <x:tableColumn id="10" name="before_state_json"/>
    <x:tableColumn id="11" name="expected_action"/>
    <x:tableColumn id="12" name="acceptable_actions"/>
    <x:tableColumn id="13" name="actual_action"/>
    <x:tableColumn id="14" name="after_state_json"/>
    <x:tableColumn id="15" name="decision_reason"/>
    <x:tableColumn id="16" name="downstream_artifact_id"/>
    <x:tableColumn id="17" name="expected_downstream_difficulty"/>
    <x:tableColumn id="18" name="actual_downstream_difficulty"/>
    <x:tableColumn id="19" name="due_node"/>
    <x:tableColumn id="20" name="trigger_binding_valid"/>
    <x:tableColumn id="21" name="action_gold_match"/>
    <x:tableColumn id="22" name="after_state_consistent"/>
    <x:tableColumn id="23" name="downstream_executed"/>
    <x:tableColumn id="24" name="node_success"/>
    <x:tableColumn id="25" name="first_gen_transaction_id"/>
    <x:tableColumn id="26" name="r03_reviewed_first_gen"/>
    <x:tableColumn id="27" name="r03_rejected_first_gen"/>
    <x:tableColumn id="28" name="human_mismatch_confirmed"/>
    <x:tableColumn id="29" name="r03_repair_approved"/>
    <x:tableColumn id="30" name="final_residual_mismatch"/>
    <x:tableColumn id="31" name="non_keep"/>
    <x:tableColumn id="32" name="adjudicator"/>
  </x:tableColumns>
  <x:tableStyleInfo name="TableStyleMedium2" showRowStripes="1"/>
</x:table>
</file>

<file path=xl/tables/table4.xml><?xml version="1.0" encoding="utf-8"?>
<x:table xmlns:x="http://schemas.openxmlformats.org/spreadsheetml/2006/main" id="4" name="CoverageCellsTable" displayName="CoverageCellsTable" ref="A3:M33" headerRowCount="1">
  <x:tableColumns count="13">
    <x:tableColumn id="1" name="knowledge_point"/>
    <x:tableColumn id="2" name="difficulty"/>
    <x:tableColumn id="3" name="case_id"/>
    <x:tableColumn id="4" name="route_mode"/>
    <x:tableColumn id="5" name="route_reachable"/>
    <x:tableColumn id="6" name="route_evidence_valid"/>
    <x:tableColumn id="7" name="lecture_pass"/>
    <x:tableColumn id="8" name="practice_pass"/>
    <x:tableColumn id="9" name="quiz_pass"/>
    <x:tableColumn id="10" name="feedback_pass"/>
    <x:tableColumn id="11" name="review_pass"/>
    <x:tableColumn id="12" name="evidence_pass"/>
    <x:tableColumn id="13" name="cell_pass"/>
  </x:tableColumns>
  <x:tableStyleInfo name="TableStyleMedium2" showRowStripes="1"/>
</x:table>
</file>

<file path=xl/tables/table5.xml><?xml version="1.0" encoding="utf-8"?>
<x:table xmlns:x="http://schemas.openxmlformats.org/spreadsheetml/2006/main" id="5" name="CoverageSummaryTable" displayName="CoverageSummaryTable" ref="O3:S13" headerRowCount="1">
  <x:tableColumns count="5">
    <x:tableColumn id="1" name="knowledge_point"/>
    <x:tableColumn id="2" name="basic"/>
    <x:tableColumn id="3" name="applied"/>
    <x:tableColumn id="4" name="advanced"/>
    <x:tableColumn id="5" name="kp_pas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1ba68aa64e146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fb87defb134d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e1884e7a9b468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edaaa257f144e4a" /><Relationship Type="http://schemas.openxmlformats.org/officeDocument/2006/relationships/table" Target="/xl/tables/table5.xml" Id="R8af36b4022aa4487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42" hidden="0" customWidth="1"/>
  </x:cols>
  <x:sheetData>
    <x:row r="1" ht="30" customHeight="1">
      <x:c r="A1" s="72" t="str">
        <x:v>TRACE五指标复算 v3.2｜自动初算与人工终审并列保留</x:v>
      </x:c>
      <x:c r="B1" s="72"/>
      <x:c r="C1" s="72"/>
      <x:c r="D1" s="72"/>
      <x:c r="E1" s="72"/>
      <x:c r="F1" s="72"/>
      <x:c r="G1" s="72"/>
      <x:c r="H1" s="73"/>
      <x:c r="I1" s="73"/>
      <x:c r="J1" s="73"/>
    </x:row>
    <x:row r="2" ht="36" customHeight="1">
      <x:c r="A2" s="62" t="str">
        <x:v>AUTO_PRELIMINARY不得标记为最终成绩；FINAL_HUMAN_REVIEWED仅在事实单元、R-03事务、Seed A/B覆盖格均完成双人复核且分歧已仲裁后生成。</x:v>
      </x:c>
      <x:c r="B2" s="62"/>
      <x:c r="C2" s="62"/>
      <x:c r="D2" s="62"/>
      <x:c r="E2" s="62"/>
      <x:c r="F2" s="62"/>
      <x:c r="G2" s="62"/>
      <x:c r="H2" s="64"/>
      <x:c r="I2" s="64"/>
      <x:c r="J2" s="64"/>
    </x:row>
    <x:row r="3" ht="36" customHeight="1">
      <x:c r="A3" s="69" t="str">
        <x:v>层级</x:v>
      </x:c>
      <x:c r="B3" s="69" t="str">
        <x:v>指标</x:v>
      </x:c>
      <x:c r="C3" s="69" t="str">
        <x:v>自动分子</x:v>
      </x:c>
      <x:c r="D3" s="69" t="str">
        <x:v>自动分母</x:v>
      </x:c>
      <x:c r="E3" s="69" t="str">
        <x:v>自动初算</x:v>
      </x:c>
      <x:c r="F3" s="69" t="str">
        <x:v>最终分子</x:v>
      </x:c>
      <x:c r="G3" s="69" t="str">
        <x:v>最终分母</x:v>
      </x:c>
      <x:c r="H3" s="69" t="str">
        <x:v>最终结果</x:v>
      </x:c>
      <x:c r="I3" s="69" t="str">
        <x:v>门槛/方向</x:v>
      </x:c>
      <x:c r="J3" s="69" t="str">
        <x:v>说明</x:v>
      </x:c>
    </x:row>
    <x:row r="4" ht="42" customHeight="1">
      <x:c r="A4" s="20" t="str">
        <x:v>核心</x:v>
      </x:c>
      <x:c r="B4" s="20" t="str">
        <x:v>最终发布幻觉率</x:v>
      </x:c>
      <x:c r="C4" s="20" t="n">
        <x:f>SUM('02_事实内容单元'!X4:X3003)</x:f>
        <x:v>0</x:v>
      </x:c>
      <x:c r="D4" s="20" t="n">
        <x:f>SUM('02_事实内容单元'!W4:W3003)</x:f>
        <x:v>0</x:v>
      </x:c>
      <x:c r="E4" s="70" t="str">
        <x:f>IF(D4=0,"PENDING",C4/D4)</x:f>
        <x:v>PENDING</x:v>
      </x:c>
      <x:c r="F4" s="20" t="n">
        <x:f>SUM('02_事实内容单元'!AH4:AH3003)</x:f>
        <x:v>0</x:v>
      </x:c>
      <x:c r="G4" s="20" t="n">
        <x:f>SUM('02_事实内容单元'!AG4:AG3003)</x:f>
        <x:v>0</x:v>
      </x:c>
      <x:c r="H4" s="71" t="str">
        <x:f>IF($B$11="READY",IF(G4=0,"PENDING",F4/G4),"PENDING_HUMAN")</x:f>
        <x:v>PENDING_HUMAN</x:v>
      </x:c>
      <x:c r="I4" t="str">
        <x:v>&lt;5%</x:v>
      </x:c>
      <x:c r="J4" t="str">
        <x:v>最终发布事实单元；同单元多规则只计1次</x:v>
      </x:c>
    </x:row>
    <x:row r="5" ht="42" customHeight="1">
      <x:c r="A5" s="28" t="str">
        <x:v>核心</x:v>
      </x:c>
      <x:c r="B5" s="28" t="str">
        <x:v>有效自动适配率</x:v>
      </x:c>
      <x:c r="C5" s="33" t="n">
        <x:f>SUM('03_适配节点'!AG4:AG1003)</x:f>
        <x:v>0</x:v>
      </x:c>
      <x:c r="D5" s="33" t="n">
        <x:f>SUM('03_适配节点'!S4:S1003)</x:f>
        <x:v>0</x:v>
      </x:c>
      <x:c r="E5" s="34" t="str">
        <x:f>IF(D5=0,"PENDING",C5/D5)</x:f>
        <x:v>PENDING</x:v>
      </x:c>
      <x:c r="F5" s="28" t="n">
        <x:f>C5</x:f>
        <x:v>0</x:v>
      </x:c>
      <x:c r="G5" s="28" t="n">
        <x:f>D5</x:f>
        <x:v>0</x:v>
      </x:c>
      <x:c r="H5" s="71" t="str">
        <x:f>IF($B$11="READY",E5,"PENDING_HUMAN")</x:f>
        <x:v>PENDING_HUMAN</x:v>
      </x:c>
      <x:c r="I5" t="str">
        <x:v>&gt;=85%</x:v>
      </x:c>
      <x:c r="J5" t="str">
        <x:v>keep不计有效适配分子</x:v>
      </x:c>
    </x:row>
    <x:row r="6" ht="42" customHeight="1">
      <x:c r="A6" s="28" t="str">
        <x:v>核心</x:v>
      </x:c>
      <x:c r="B6" s="28" t="str">
        <x:v>核心知识点完整闭环覆盖率</x:v>
      </x:c>
      <x:c r="C6" s="33" t="n">
        <x:f>SUM('04_覆盖30格'!AI4:AI13)</x:f>
        <x:v>0</x:v>
      </x:c>
      <x:c r="D6" s="33" t="n">
        <x:f>10</x:f>
        <x:v>10</x:v>
      </x:c>
      <x:c r="E6" s="34" t="n">
        <x:f>C6/D6</x:f>
        <x:v>0</x:v>
      </x:c>
      <x:c r="F6" s="28" t="n">
        <x:f>SUM('04_覆盖30格'!AT4:AT13)</x:f>
        <x:v>0</x:v>
      </x:c>
      <x:c r="G6" s="28" t="n">
        <x:f>10</x:f>
        <x:v>10</x:v>
      </x:c>
      <x:c r="H6" s="71" t="str">
        <x:f>IF($B$11="READY",F6/G6,"PENDING_HUMAN")</x:f>
        <x:v>PENDING_HUMAN</x:v>
      </x:c>
      <x:c r="I6" t="str">
        <x:v>&gt;=90%</x:v>
      </x:c>
      <x:c r="J6" t="str">
        <x:v>10知识点×三档×完整闭环×契约/画像匹配</x:v>
      </x:c>
    </x:row>
    <x:row r="7" ht="42" customHeight="1">
      <x:c r="A7" s="28" t="str">
        <x:v>辅助</x:v>
      </x:c>
      <x:c r="B7" s="28" t="str">
        <x:v>幻觉拦截率</x:v>
      </x:c>
      <x:c r="C7" s="33" t="n">
        <x:f>SUM('02_事实内容单元'!Z4:Z3003)</x:f>
        <x:v>0</x:v>
      </x:c>
      <x:c r="D7" s="33" t="n">
        <x:f>SUM('02_事实内容单元'!Y4:Y3003)</x:f>
        <x:v>0</x:v>
      </x:c>
      <x:c r="E7" s="34" t="str">
        <x:f>IF(D7=0,"PENDING",C7/D7)</x:f>
        <x:v>PENDING</x:v>
      </x:c>
      <x:c r="F7" s="28" t="n">
        <x:f>SUM('02_事实内容单元'!AJ4:AJ3003)</x:f>
        <x:v>0</x:v>
      </x:c>
      <x:c r="G7" s="28" t="n">
        <x:f>SUM('02_事实内容单元'!AI4:AI3003)</x:f>
        <x:v>0</x:v>
      </x:c>
      <x:c r="H7" s="71" t="str">
        <x:f>IF($B$11="READY",IF(G7=0,"PENDING",F7/G7),"PENDING_HUMAN")</x:f>
        <x:v>PENDING_HUMAN</x:v>
      </x:c>
      <x:c r="I7" t="str">
        <x:v>高为好</x:v>
      </x:c>
      <x:c r="J7" t="str">
        <x:v>首次生成错误按谱系去重</x:v>
      </x:c>
    </x:row>
    <x:row r="8" ht="42" customHeight="1">
      <x:c r="A8" s="28" t="str">
        <x:v>辅助</x:v>
      </x:c>
      <x:c r="B8" s="28" t="str">
        <x:v>原生教学适配失配率</x:v>
      </x:c>
      <x:c r="C8" s="33" t="n">
        <x:f>SUM('03_适配节点'!AR4:AR1003)</x:f>
        <x:v>0</x:v>
      </x:c>
      <x:c r="D8" s="33" t="n">
        <x:f>SUM('03_适配节点'!AQ4:AQ1003)</x:f>
        <x:v>0</x:v>
      </x:c>
      <x:c r="E8" s="34" t="str">
        <x:f>IF(D8=0,"PENDING",C8/D8)</x:f>
        <x:v>PENDING</x:v>
      </x:c>
      <x:c r="F8" s="28" t="n">
        <x:f>SUM('03_适配节点'!AP4:AP1003)</x:f>
        <x:v>0</x:v>
      </x:c>
      <x:c r="G8" s="28" t="n">
        <x:f>SUM('03_适配节点'!AO4:AO1003)</x:f>
        <x:v>0</x:v>
      </x:c>
      <x:c r="H8" s="71" t="str">
        <x:f>IF($B$11="READY",IF(G8=0,"PENDING",F8/G8),"PENDING_HUMAN")</x:f>
        <x:v>PENDING_HUMAN</x:v>
      </x:c>
      <x:c r="I8" t="str">
        <x:v>低为好</x:v>
      </x:c>
      <x:c r="J8" t="str">
        <x:v>首次生成事务按transaction_id去重</x:v>
      </x:c>
    </x:row>
    <x:row r="9">
      <x:c r="A9" s="28"/>
      <x:c r="B9" s="28"/>
      <x:c r="C9" s="33"/>
      <x:c r="D9" s="33"/>
      <x:c r="E9" s="34"/>
      <x:c r="F9" s="28"/>
      <x:c r="G9" s="28"/>
      <x:c r="H9"/>
      <x:c r="I9"/>
      <x:c r="J9"/>
    </x:row>
    <x:row r="10" ht="44" customHeight="1">
      <x:c r="A10" s="69" t="str">
        <x:v>FINAL_HUMAN_REVIEWED门禁</x:v>
      </x:c>
      <x:c r="B10" s="69" t="str">
        <x:v>状态</x:v>
      </x:c>
    </x:row>
    <x:row r="11" ht="30" customHeight="1">
      <x:c r="A11" s="39" t="str">
        <x:v>总门禁</x:v>
      </x:c>
      <x:c r="B11" s="39" t="str">
        <x:f>IF(AND(B12="READY",B13="READY",B14="READY"),"READY","BLOCKED")</x:f>
        <x:v>BLOCKED</x:v>
      </x:c>
      <x:c r="C11" s="39"/>
      <x:c r="D11" s="39"/>
      <x:c r="E11" s="39"/>
      <x:c r="F11" s="39"/>
      <x:c r="G11" s="39"/>
    </x:row>
    <x:row r="12" ht="30" customHeight="1">
      <x:c r="A12" t="str">
        <x:v>事实单元双人复核</x:v>
      </x:c>
      <x:c r="B12" t="str">
        <x:f>IF(COUNTIF('02_事实内容单元'!A4:A3003,"&lt;&gt;")=0,"PENDING",IF(COUNTIF('02_事实内容单元'!A4:A3003,"&lt;&gt;")=SUM('02_事实内容单元'!AF4:AF3003),"READY","INCOMPLETE"))</x:f>
        <x:v>PENDING</x:v>
      </x:c>
    </x:row>
    <x:row r="13" ht="30" customHeight="1">
      <x:c r="A13" t="str">
        <x:v>R-03事务双人复核</x:v>
      </x:c>
      <x:c r="B13" t="str">
        <x:f>IF(SUM('03_适配节点'!AN4:AN1003)=0,"PENDING",IF(SUM('03_适配节点'!AN4:AN1003)=SUMPRODUCT('03_适配节点'!AN4:AN1003,'03_适配节点'!AM4:AM1003),"READY","INCOMPLETE"))</x:f>
        <x:v>PENDING</x:v>
      </x:c>
    </x:row>
    <x:row r="14" ht="30" customHeight="1">
      <x:c r="A14" t="str">
        <x:v>Seed A/B覆盖格复核</x:v>
      </x:c>
      <x:c r="B14" t="str">
        <x:f>IF(COUNTA('04_覆盖30格'!A4:A63)&lt;&gt;60,"INCOMPLETE",IF(SUM('04_覆盖30格'!W4:W63)=60,"READY","INCOMPLETE"))</x:f>
        <x:v>INCOMPLETE</x:v>
      </x:c>
    </x:row>
  </x:sheetData>
  <x:mergeCells>
    <x:mergeCell ref="A1:G1"/>
    <x:mergeCell ref="A2:G2"/>
    <x:mergeCell ref="A11:G11"/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2" hidden="0" customWidth="1"/>
    <x:col min="3" max="3" width="22" hidden="0" customWidth="1"/>
    <x:col min="4" max="4" width="16" hidden="0" customWidth="1"/>
    <x:col min="5" max="5" width="16" hidden="0" customWidth="1"/>
    <x:col min="6" max="6" width="24" hidden="0" customWidth="1"/>
    <x:col min="7" max="7" width="38" hidden="0" customWidth="1"/>
    <x:col min="8" max="8" width="20" hidden="0" customWidth="1"/>
    <x:col min="9" max="9" width="48" hidden="0" customWidth="1"/>
  </x:cols>
  <x:sheetData>
    <x:row r="1" ht="28" customHeight="1">
      <x:c r="A1" s="5" t="str">
        <x:v>生产TRACE字段规范与现有字段映射</x:v>
      </x:c>
      <x:c r="B1" s="5"/>
      <x:c r="C1" s="5"/>
      <x:c r="D1" s="5"/>
      <x:c r="E1" s="5"/>
      <x:c r="F1" s="5"/>
      <x:c r="G1" s="5"/>
      <x:c r="H1" s="5"/>
      <x:c r="I1" s="5"/>
    </x:row>
    <x:row r="2">
      <x:c r="A2"/>
      <x:c r="B2"/>
      <x:c r="C2"/>
      <x:c r="D2"/>
      <x:c r="E2"/>
      <x:c r="F2"/>
      <x:c r="G2"/>
      <x:c r="H2"/>
      <x:c r="I2"/>
    </x:row>
    <x:row r="3" ht="30" customHeight="1">
      <x:c r="A3" s="20" t="str">
        <x:v>字段组</x:v>
      </x:c>
      <x:c r="B3" s="20" t="str">
        <x:v>JSON字段路径</x:v>
      </x:c>
      <x:c r="C3" s="20" t="str">
        <x:v>中文名称</x:v>
      </x:c>
      <x:c r="D3" s="20" t="str">
        <x:v>类型</x:v>
      </x:c>
      <x:c r="E3" s="20" t="str">
        <x:v>状态</x:v>
      </x:c>
      <x:c r="F3" s="20" t="str">
        <x:v>必填事件</x:v>
      </x:c>
      <x:c r="G3" s="20" t="str">
        <x:v>允许值/示例</x:v>
      </x:c>
      <x:c r="H3" s="20" t="str">
        <x:v>指标用途</x:v>
      </x:c>
      <x:c r="I3" s="20" t="str">
        <x:v>现有字段映射/说明</x:v>
      </x:c>
    </x:row>
    <x:row r="4">
      <x:c r="A4" s="28" t="str">
        <x:v>公共标识</x:v>
      </x:c>
      <x:c r="B4" s="28" t="str">
        <x:v>run_id</x:v>
      </x:c>
      <x:c r="C4" s="28" t="str">
        <x:v>正式运行批次ID</x:v>
      </x:c>
      <x:c r="D4" s="28" t="str">
        <x:v>string</x:v>
      </x:c>
      <x:c r="E4" s="28" t="str">
        <x:v>新增</x:v>
      </x:c>
      <x:c r="F4" s="28" t="str">
        <x:v>所有事件</x:v>
      </x:c>
      <x:c r="G4" s="28" t="str">
        <x:v>RUN-202608xx-A</x:v>
      </x:c>
      <x:c r="H4" s="28" t="str">
        <x:v>两轮分组</x:v>
      </x:c>
      <x:c r="I4" s="28" t="str">
        <x:v>当前无；必须同一轮统一</x:v>
      </x:c>
    </x:row>
    <x:row r="5">
      <x:c r="A5" s="28" t="str">
        <x:v>公共标识</x:v>
      </x:c>
      <x:c r="B5" s="28" t="str">
        <x:v>seed_id</x:v>
      </x:c>
      <x:c r="C5" s="28" t="str">
        <x:v>随机种子ID</x:v>
      </x:c>
      <x:c r="D5" s="28" t="str">
        <x:v>string</x:v>
      </x:c>
      <x:c r="E5" s="28" t="str">
        <x:v>新增</x:v>
      </x:c>
      <x:c r="F5" s="28" t="str">
        <x:v>所有事件</x:v>
      </x:c>
      <x:c r="G5" s="28" t="str">
        <x:v>seed_A / seed_B</x:v>
      </x:c>
      <x:c r="H5" s="28" t="str">
        <x:v>稳定性</x:v>
      </x:c>
      <x:c r="I5" s="28" t="str">
        <x:v>当前无</x:v>
      </x:c>
    </x:row>
    <x:row r="6">
      <x:c r="A6" s="28" t="str">
        <x:v>公共标识</x:v>
      </x:c>
      <x:c r="B6" s="28" t="str">
        <x:v>case_id</x:v>
      </x:c>
      <x:c r="C6" s="28" t="str">
        <x:v>案例ID</x:v>
      </x:c>
      <x:c r="D6" s="28" t="str">
        <x:v>string</x:v>
      </x:c>
      <x:c r="E6" s="28" t="str">
        <x:v>提升为全事件必填</x:v>
      </x:c>
      <x:c r="F6" s="28" t="str">
        <x:v>所有事件</x:v>
      </x:c>
      <x:c r="G6" s="28" t="str">
        <x:v>E2E-001</x:v>
      </x:c>
      <x:c r="H6" s="28" t="str">
        <x:v>全部指标</x:v>
      </x:c>
      <x:c r="I6" s="28" t="str">
        <x:v>现有payload.content.case_id仅部分事件出现</x:v>
      </x:c>
    </x:row>
    <x:row r="7">
      <x:c r="A7" s="28" t="str">
        <x:v>公共标识</x:v>
      </x:c>
      <x:c r="B7" s="28" t="str">
        <x:v>session_id</x:v>
      </x:c>
      <x:c r="C7" s="28" t="str">
        <x:v>会话ID</x:v>
      </x:c>
      <x:c r="D7" s="28" t="str">
        <x:v>string</x:v>
      </x:c>
      <x:c r="E7" s="28" t="str">
        <x:v>新增/可复用</x:v>
      </x:c>
      <x:c r="F7" s="28" t="str">
        <x:v>所有事件</x:v>
      </x:c>
      <x:c r="G7" s="28" t="str">
        <x:v>p7-e2e-001-a01</x:v>
      </x:c>
      <x:c r="H7" s="28" t="str">
        <x:v>节点归属</x:v>
      </x:c>
      <x:c r="I7" s="28" t="str">
        <x:v>可由trace_id复用，但应显式输出</x:v>
      </x:c>
    </x:row>
    <x:row r="8">
      <x:c r="A8" s="28" t="str">
        <x:v>公共标识</x:v>
      </x:c>
      <x:c r="B8" s="28" t="str">
        <x:v>trace_id</x:v>
      </x:c>
      <x:c r="C8" s="28" t="str">
        <x:v>TRACE ID</x:v>
      </x:c>
      <x:c r="D8" s="28" t="str">
        <x:v>string</x:v>
      </x:c>
      <x:c r="E8" s="28" t="str">
        <x:v>保留</x:v>
      </x:c>
      <x:c r="F8" s="28" t="str">
        <x:v>所有事件</x:v>
      </x:c>
      <x:c r="G8" s="28" t="str">
        <x:v>p7-e2e-001-a01</x:v>
      </x:c>
      <x:c r="H8" s="28" t="str">
        <x:v>追溯</x:v>
      </x:c>
      <x:c r="I8" s="28" t="str">
        <x:v>现有</x:v>
      </x:c>
    </x:row>
    <x:row r="9">
      <x:c r="A9" s="28" t="str">
        <x:v>公共标识</x:v>
      </x:c>
      <x:c r="B9" s="28" t="str">
        <x:v>msg_id</x:v>
      </x:c>
      <x:c r="C9" s="28" t="str">
        <x:v>消息ID</x:v>
      </x:c>
      <x:c r="D9" s="28" t="str">
        <x:v>string</x:v>
      </x:c>
      <x:c r="E9" s="28" t="str">
        <x:v>保留</x:v>
      </x:c>
      <x:c r="F9" s="28" t="str">
        <x:v>所有事件</x:v>
      </x:c>
      <x:c r="G9" s="28" t="str">
        <x:v>...-001</x:v>
      </x:c>
      <x:c r="H9" s="28" t="str">
        <x:v>追溯</x:v>
      </x:c>
      <x:c r="I9" s="28" t="str">
        <x:v>现有</x:v>
      </x:c>
    </x:row>
    <x:row r="10">
      <x:c r="A10" s="28" t="str">
        <x:v>公共标识</x:v>
      </x:c>
      <x:c r="B10" s="28" t="str">
        <x:v>step</x:v>
      </x:c>
      <x:c r="C10" s="28" t="str">
        <x:v>事件序号</x:v>
      </x:c>
      <x:c r="D10" s="28" t="str">
        <x:v>integer</x:v>
      </x:c>
      <x:c r="E10" s="28" t="str">
        <x:v>保留</x:v>
      </x:c>
      <x:c r="F10" s="28" t="str">
        <x:v>所有事件</x:v>
      </x:c>
      <x:c r="G10" s="28" t="str">
        <x:v>1</x:v>
      </x:c>
      <x:c r="H10" s="28" t="str">
        <x:v>排序</x:v>
      </x:c>
      <x:c r="I10" s="28" t="str">
        <x:v>现有</x:v>
      </x:c>
    </x:row>
    <x:row r="11">
      <x:c r="A11" s="28" t="str">
        <x:v>公共标识</x:v>
      </x:c>
      <x:c r="B11" s="28" t="str">
        <x:v>timestamp</x:v>
      </x:c>
      <x:c r="C11" s="28" t="str">
        <x:v>时间戳</x:v>
      </x:c>
      <x:c r="D11" s="28" t="str">
        <x:v>datetime/string</x:v>
      </x:c>
      <x:c r="E11" s="28" t="str">
        <x:v>保留</x:v>
      </x:c>
      <x:c r="F11" s="28" t="str">
        <x:v>所有事件</x:v>
      </x:c>
      <x:c r="G11" s="28" t="str">
        <x:v>ISO-8601</x:v>
      </x:c>
      <x:c r="H11" s="28" t="str">
        <x:v>排序</x:v>
      </x:c>
      <x:c r="I11" s="28" t="str">
        <x:v>现有</x:v>
      </x:c>
    </x:row>
    <x:row r="12">
      <x:c r="A12" s="28" t="str">
        <x:v>公共标识</x:v>
      </x:c>
      <x:c r="B12" s="28" t="str">
        <x:v>agent</x:v>
      </x:c>
      <x:c r="C12" s="28" t="str">
        <x:v>Agent</x:v>
      </x:c>
      <x:c r="D12" s="28" t="str">
        <x:v>string</x:v>
      </x:c>
      <x:c r="E12" s="28" t="str">
        <x:v>保留</x:v>
      </x:c>
      <x:c r="F12" s="28" t="str">
        <x:v>所有事件</x:v>
      </x:c>
      <x:c r="G12" s="28" t="str">
        <x:v>diagnosis/knowledge/review/...</x:v>
      </x:c>
      <x:c r="H12" s="28" t="str">
        <x:v>追溯</x:v>
      </x:c>
      <x:c r="I12" s="28" t="str">
        <x:v>现有</x:v>
      </x:c>
    </x:row>
    <x:row r="13">
      <x:c r="A13" s="28" t="str">
        <x:v>公共标识</x:v>
      </x:c>
      <x:c r="B13" s="28" t="str">
        <x:v>role</x:v>
      </x:c>
      <x:c r="C13" s="28" t="str">
        <x:v>消息角色</x:v>
      </x:c>
      <x:c r="D13" s="28" t="str">
        <x:v>string</x:v>
      </x:c>
      <x:c r="E13" s="28" t="str">
        <x:v>保留</x:v>
      </x:c>
      <x:c r="F13" s="28" t="str">
        <x:v>所有事件</x:v>
      </x:c>
      <x:c r="G13" s="28" t="str">
        <x:v>produce/system</x:v>
      </x:c>
      <x:c r="H13" s="28" t="str">
        <x:v>追溯</x:v>
      </x:c>
      <x:c r="I13" s="28" t="str">
        <x:v>现有</x:v>
      </x:c>
    </x:row>
    <x:row r="14">
      <x:c r="A14" s="28" t="str">
        <x:v>公共标识</x:v>
      </x:c>
      <x:c r="B14" s="28" t="str">
        <x:v>payload.type</x:v>
      </x:c>
      <x:c r="C14" s="28" t="str">
        <x:v>载荷类型</x:v>
      </x:c>
      <x:c r="D14" s="28" t="str">
        <x:v>string</x:v>
      </x:c>
      <x:c r="E14" s="28" t="str">
        <x:v>保留</x:v>
      </x:c>
      <x:c r="F14" s="28" t="str">
        <x:v>所有事件</x:v>
      </x:c>
      <x:c r="G14" s="28" t="str">
        <x:v>profile_assessment/lecture_note/...</x:v>
      </x:c>
      <x:c r="H14" s="28" t="str">
        <x:v>分类</x:v>
      </x:c>
      <x:c r="I14" s="28" t="str">
        <x:v>现有</x:v>
      </x:c>
    </x:row>
    <x:row r="15">
      <x:c r="A15" s="28" t="str">
        <x:v>公共标识</x:v>
      </x:c>
      <x:c r="B15" s="28" t="str">
        <x:v>route_mode</x:v>
      </x:c>
      <x:c r="C15" s="28" t="str">
        <x:v>路由模式</x:v>
      </x:c>
      <x:c r="D15" s="28" t="str">
        <x:v>enum</x:v>
      </x:c>
      <x:c r="E15" s="28" t="str">
        <x:v>新增</x:v>
      </x:c>
      <x:c r="F15" s="28" t="str">
        <x:v>会话开始</x:v>
      </x:c>
      <x:c r="G15" s="28" t="str">
        <x:v>production/forced</x:v>
      </x:c>
      <x:c r="H15" s="28" t="str">
        <x:v>指标准入</x:v>
      </x:c>
      <x:c r="I15" s="28" t="str">
        <x:v>正式指标仅production</x:v>
      </x:c>
    </x:row>
    <x:row r="16">
      <x:c r="A16" s="28" t="str">
        <x:v>复现配置</x:v>
      </x:c>
      <x:c r="B16" s="28" t="str">
        <x:v>code_version</x:v>
      </x:c>
      <x:c r="C16" s="28" t="str">
        <x:v>代码版本</x:v>
      </x:c>
      <x:c r="D16" s="28" t="str">
        <x:v>string</x:v>
      </x:c>
      <x:c r="E16" s="28" t="str">
        <x:v>新增</x:v>
      </x:c>
      <x:c r="F16" s="28" t="str">
        <x:v>会话开始</x:v>
      </x:c>
      <x:c r="G16" s="28" t="str">
        <x:v>git SHA</x:v>
      </x:c>
      <x:c r="H16" s="28" t="str">
        <x:v>复现</x:v>
      </x:c>
      <x:c r="I16" s="28" t="str">
        <x:v>当前无</x:v>
      </x:c>
    </x:row>
    <x:row r="17">
      <x:c r="A17" s="28" t="str">
        <x:v>复现配置</x:v>
      </x:c>
      <x:c r="B17" s="28" t="str">
        <x:v>prompt_version</x:v>
      </x:c>
      <x:c r="C17" s="28" t="str">
        <x:v>Prompt版本</x:v>
      </x:c>
      <x:c r="D17" s="28" t="str">
        <x:v>string</x:v>
      </x:c>
      <x:c r="E17" s="28" t="str">
        <x:v>新增</x:v>
      </x:c>
      <x:c r="F17" s="28" t="str">
        <x:v>会话开始</x:v>
      </x:c>
      <x:c r="G17" s="28" t="str">
        <x:v>prompt SHA</x:v>
      </x:c>
      <x:c r="H17" s="28" t="str">
        <x:v>复现</x:v>
      </x:c>
      <x:c r="I17" s="28" t="str">
        <x:v>当前无</x:v>
      </x:c>
    </x:row>
    <x:row r="18">
      <x:c r="A18" s="28" t="str">
        <x:v>复现配置</x:v>
      </x:c>
      <x:c r="B18" s="28" t="str">
        <x:v>model_config.model</x:v>
      </x:c>
      <x:c r="C18" s="28" t="str">
        <x:v>模型</x:v>
      </x:c>
      <x:c r="D18" s="28" t="str">
        <x:v>string</x:v>
      </x:c>
      <x:c r="E18" s="28" t="str">
        <x:v>保留/集中</x:v>
      </x:c>
      <x:c r="F18" s="28" t="str">
        <x:v>会话开始</x:v>
      </x:c>
      <x:c r="G18" s="28" t="str">
        <x:v>qwen3-235b-a22b</x:v>
      </x:c>
      <x:c r="H18" s="28" t="str">
        <x:v>复现</x:v>
      </x:c>
      <x:c r="I18" s="28" t="str">
        <x:v>现有model分散在生成事件</x:v>
      </x:c>
    </x:row>
    <x:row r="19">
      <x:c r="A19" s="28" t="str">
        <x:v>复现配置</x:v>
      </x:c>
      <x:c r="B19" s="28" t="str">
        <x:v>model_config.temperature</x:v>
      </x:c>
      <x:c r="C19" s="28" t="str">
        <x:v>温度</x:v>
      </x:c>
      <x:c r="D19" s="28" t="str">
        <x:v>number</x:v>
      </x:c>
      <x:c r="E19" s="28" t="str">
        <x:v>新增</x:v>
      </x:c>
      <x:c r="F19" s="28" t="str">
        <x:v>会话开始</x:v>
      </x:c>
      <x:c r="G19" s="28" t="str">
        <x:v>0</x:v>
      </x:c>
      <x:c r="H19" s="28" t="str">
        <x:v>复现</x:v>
      </x:c>
      <x:c r="I19" s="28" t="str">
        <x:v>当前无</x:v>
      </x:c>
    </x:row>
    <x:row r="20">
      <x:c r="A20" s="28" t="str">
        <x:v>复现配置</x:v>
      </x:c>
      <x:c r="B20" s="28" t="str">
        <x:v>domain_package_sha256</x:v>
      </x:c>
      <x:c r="C20" s="28" t="str">
        <x:v>领域包哈希</x:v>
      </x:c>
      <x:c r="D20" s="28" t="str">
        <x:v>string</x:v>
      </x:c>
      <x:c r="E20" s="28" t="str">
        <x:v>保留/集中</x:v>
      </x:c>
      <x:c r="F20" s="28" t="str">
        <x:v>会话开始</x:v>
      </x:c>
      <x:c r="G20" s="28" t="str">
        <x:v>SHA-256</x:v>
      </x:c>
      <x:c r="H20" s="28" t="str">
        <x:v>复现</x:v>
      </x:c>
      <x:c r="I20" s="28" t="str">
        <x:v>学习契约中已有</x:v>
      </x:c>
    </x:row>
    <x:row r="21">
      <x:c r="A21" s="28" t="str">
        <x:v>画像诊断</x:v>
      </x:c>
      <x:c r="B21" s="28" t="str">
        <x:v>student_profile_ref</x:v>
      </x:c>
      <x:c r="C21" s="28" t="str">
        <x:v>岗位画像ID</x:v>
      </x:c>
      <x:c r="D21" s="28" t="str">
        <x:v>string</x:v>
      </x:c>
      <x:c r="E21" s="28" t="str">
        <x:v>保留</x:v>
      </x:c>
      <x:c r="F21" s="28" t="str">
        <x:v>profile_loaded</x:v>
      </x:c>
      <x:c r="G21" s="28" t="str">
        <x:v>planner_new</x:v>
      </x:c>
      <x:c r="H21" s="28" t="str">
        <x:v>适配</x:v>
      </x:c>
      <x:c r="I21" s="28" t="str">
        <x:v>现有</x:v>
      </x:c>
    </x:row>
    <x:row r="22">
      <x:c r="A22" s="28" t="str">
        <x:v>画像诊断</x:v>
      </x:c>
      <x:c r="B22" s="28" t="str">
        <x:v>pretest_attempt_id</x:v>
      </x:c>
      <x:c r="C22" s="28" t="str">
        <x:v>前测尝试ID</x:v>
      </x:c>
      <x:c r="D22" s="28" t="str">
        <x:v>string</x:v>
      </x:c>
      <x:c r="E22" s="28" t="str">
        <x:v>新增</x:v>
      </x:c>
      <x:c r="F22" s="28" t="str">
        <x:v>前测提交</x:v>
      </x:c>
      <x:c r="G22" s="28" t="str">
        <x:v>PTA-...</x:v>
      </x:c>
      <x:c r="H22" s="28" t="str">
        <x:v>适配</x:v>
      </x:c>
      <x:c r="I22" s="28" t="str">
        <x:v>当前仅有总分</x:v>
      </x:c>
    </x:row>
    <x:row r="23">
      <x:c r="A23" s="28" t="str">
        <x:v>画像诊断</x:v>
      </x:c>
      <x:c r="B23" s="28" t="str">
        <x:v>pretest_results[].question_id</x:v>
      </x:c>
      <x:c r="C23" s="28" t="str">
        <x:v>前测题ID</x:v>
      </x:c>
      <x:c r="D23" s="28" t="str">
        <x:v>string</x:v>
      </x:c>
      <x:c r="E23" s="28" t="str">
        <x:v>新增</x:v>
      </x:c>
      <x:c r="F23" s="28" t="str">
        <x:v>前测提交</x:v>
      </x:c>
      <x:c r="G23" s="28" t="str">
        <x:v>PT-1</x:v>
      </x:c>
      <x:c r="H23" s="28" t="str">
        <x:v>适配/路由</x:v>
      </x:c>
      <x:c r="I23" s="28" t="str">
        <x:v>必须记录每题而非只记A0-A5</x:v>
      </x:c>
    </x:row>
    <x:row r="24">
      <x:c r="A24" s="28" t="str">
        <x:v>画像诊断</x:v>
      </x:c>
      <x:c r="B24" s="28" t="str">
        <x:v>pretest_results[].answer</x:v>
      </x:c>
      <x:c r="C24" s="28" t="str">
        <x:v>学员答案</x:v>
      </x:c>
      <x:c r="D24" s="28" t="str">
        <x:v>string</x:v>
      </x:c>
      <x:c r="E24" s="28" t="str">
        <x:v>新增</x:v>
      </x:c>
      <x:c r="F24" s="28" t="str">
        <x:v>前测提交</x:v>
      </x:c>
      <x:c r="G24" s="28" t="str">
        <x:v>A</x:v>
      </x:c>
      <x:c r="H24" s="28" t="str">
        <x:v>适配/路由</x:v>
      </x:c>
      <x:c r="I24" s="28" t="str">
        <x:v>当前无</x:v>
      </x:c>
    </x:row>
    <x:row r="25">
      <x:c r="A25" s="28" t="str">
        <x:v>画像诊断</x:v>
      </x:c>
      <x:c r="B25" s="28" t="str">
        <x:v>pretest_results[].is_correct</x:v>
      </x:c>
      <x:c r="C25" s="28" t="str">
        <x:v>是否正确</x:v>
      </x:c>
      <x:c r="D25" s="28" t="str">
        <x:v>boolean</x:v>
      </x:c>
      <x:c r="E25" s="28" t="str">
        <x:v>新增</x:v>
      </x:c>
      <x:c r="F25" s="28" t="str">
        <x:v>前测提交</x:v>
      </x:c>
      <x:c r="G25" s="28" t="str">
        <x:v>true/false</x:v>
      </x:c>
      <x:c r="H25" s="28" t="str">
        <x:v>适配/路由</x:v>
      </x:c>
      <x:c r="I25" s="28" t="str">
        <x:v>当前无</x:v>
      </x:c>
    </x:row>
    <x:row r="26">
      <x:c r="A26" s="28" t="str">
        <x:v>画像诊断</x:v>
      </x:c>
      <x:c r="B26" s="28" t="str">
        <x:v>pretest_results[].knowledge_point</x:v>
      </x:c>
      <x:c r="C26" s="28" t="str">
        <x:v>对应知识点</x:v>
      </x:c>
      <x:c r="D26" s="28" t="str">
        <x:v>string</x:v>
      </x:c>
      <x:c r="E26" s="28" t="str">
        <x:v>新增</x:v>
      </x:c>
      <x:c r="F26" s="28" t="str">
        <x:v>前测提交</x:v>
      </x:c>
      <x:c r="G26" s="28" t="str">
        <x:v>完成率计算</x:v>
      </x:c>
      <x:c r="H26" s="28" t="str">
        <x:v>适配/路由</x:v>
      </x:c>
      <x:c r="I26" s="28" t="str">
        <x:v>当前无</x:v>
      </x:c>
    </x:row>
    <x:row r="27">
      <x:c r="A27" s="28" t="str">
        <x:v>画像诊断</x:v>
      </x:c>
      <x:c r="B27" s="28" t="str">
        <x:v>pretest_results[].misconception_id</x:v>
      </x:c>
      <x:c r="C27" s="28" t="str">
        <x:v>命中误区</x:v>
      </x:c>
      <x:c r="D27" s="28" t="str">
        <x:v>string/null</x:v>
      </x:c>
      <x:c r="E27" s="28" t="str">
        <x:v>新增</x:v>
      </x:c>
      <x:c r="F27" s="28" t="str">
        <x:v>前测提交</x:v>
      </x:c>
      <x:c r="G27" s="28" t="str">
        <x:v>M-04</x:v>
      </x:c>
      <x:c r="H27" s="28" t="str">
        <x:v>适配/路由</x:v>
      </x:c>
      <x:c r="I27" s="28" t="str">
        <x:v>当前仅汇总hit_misconceptions</x:v>
      </x:c>
    </x:row>
    <x:row r="28">
      <x:c r="A28" s="28" t="str">
        <x:v>画像诊断</x:v>
      </x:c>
      <x:c r="B28" s="28" t="str">
        <x:v>probe_results[].probe_id</x:v>
      </x:c>
      <x:c r="C28" s="28" t="str">
        <x:v>探针ID</x:v>
      </x:c>
      <x:c r="D28" s="28" t="str">
        <x:v>string</x:v>
      </x:c>
      <x:c r="E28" s="28" t="str">
        <x:v>新增</x:v>
      </x:c>
      <x:c r="F28" s="28" t="str">
        <x:v>探针提交</x:v>
      </x:c>
      <x:c r="G28" s="28" t="str">
        <x:v>DP-02-B</x:v>
      </x:c>
      <x:c r="H28" s="28" t="str">
        <x:v>适配/路由</x:v>
      </x:c>
      <x:c r="I28" s="28" t="str">
        <x:v>当前无</x:v>
      </x:c>
    </x:row>
    <x:row r="29">
      <x:c r="A29" s="28" t="str">
        <x:v>画像诊断</x:v>
      </x:c>
      <x:c r="B29" s="28" t="str">
        <x:v>probe_results[].level</x:v>
      </x:c>
      <x:c r="C29" s="28" t="str">
        <x:v>探针层级</x:v>
      </x:c>
      <x:c r="D29" s="28" t="str">
        <x:v>enum</x:v>
      </x:c>
      <x:c r="E29" s="28" t="str">
        <x:v>新增</x:v>
      </x:c>
      <x:c r="F29" s="28" t="str">
        <x:v>探针提交</x:v>
      </x:c>
      <x:c r="G29" s="28" t="str">
        <x:v>basic/applied</x:v>
      </x:c>
      <x:c r="H29" s="28" t="str">
        <x:v>适配/难度</x:v>
      </x:c>
      <x:c r="I29" s="28" t="str">
        <x:v>当前无</x:v>
      </x:c>
    </x:row>
    <x:row r="30">
      <x:c r="A30" s="28" t="str">
        <x:v>画像诊断</x:v>
      </x:c>
      <x:c r="B30" s="28" t="str">
        <x:v>probe_results[].answer</x:v>
      </x:c>
      <x:c r="C30" s="28" t="str">
        <x:v>探针答案</x:v>
      </x:c>
      <x:c r="D30" s="28" t="str">
        <x:v>string</x:v>
      </x:c>
      <x:c r="E30" s="28" t="str">
        <x:v>新增</x:v>
      </x:c>
      <x:c r="F30" s="28" t="str">
        <x:v>探针提交</x:v>
      </x:c>
      <x:c r="G30" s="28" t="str">
        <x:v>...</x:v>
      </x:c>
      <x:c r="H30" s="28" t="str">
        <x:v>适配/路由</x:v>
      </x:c>
      <x:c r="I30" s="28" t="str">
        <x:v>当前无</x:v>
      </x:c>
    </x:row>
    <x:row r="31">
      <x:c r="A31" s="28" t="str">
        <x:v>画像诊断</x:v>
      </x:c>
      <x:c r="B31" s="28" t="str">
        <x:v>probe_results[].is_correct</x:v>
      </x:c>
      <x:c r="C31" s="28" t="str">
        <x:v>探针是否正确</x:v>
      </x:c>
      <x:c r="D31" s="28" t="str">
        <x:v>boolean</x:v>
      </x:c>
      <x:c r="E31" s="28" t="str">
        <x:v>新增</x:v>
      </x:c>
      <x:c r="F31" s="28" t="str">
        <x:v>探针提交</x:v>
      </x:c>
      <x:c r="G31" s="28" t="str">
        <x:v>true/false</x:v>
      </x:c>
      <x:c r="H31" s="28" t="str">
        <x:v>适配/路由</x:v>
      </x:c>
      <x:c r="I31" s="28" t="str">
        <x:v>当前无</x:v>
      </x:c>
    </x:row>
    <x:row r="32">
      <x:c r="A32" s="28" t="str">
        <x:v>画像诊断</x:v>
      </x:c>
      <x:c r="B32" s="28" t="str">
        <x:v>probe_results[].knowledge_point</x:v>
      </x:c>
      <x:c r="C32" s="28" t="str">
        <x:v>探针对应知识点</x:v>
      </x:c>
      <x:c r="D32" s="28" t="str">
        <x:v>string</x:v>
      </x:c>
      <x:c r="E32" s="28" t="str">
        <x:v>新增</x:v>
      </x:c>
      <x:c r="F32" s="28" t="str">
        <x:v>探针提交</x:v>
      </x:c>
      <x:c r="G32" s="28" t="str">
        <x:v>偏差率与风险等级</x:v>
      </x:c>
      <x:c r="H32" s="28" t="str">
        <x:v>适配/路由</x:v>
      </x:c>
      <x:c r="I32" s="28" t="str">
        <x:v>当前无</x:v>
      </x:c>
    </x:row>
    <x:row r="33">
      <x:c r="A33" s="28" t="str">
        <x:v>画像诊断</x:v>
      </x:c>
      <x:c r="B33" s="28" t="str">
        <x:v>probe_results[].misconception_id</x:v>
      </x:c>
      <x:c r="C33" s="28" t="str">
        <x:v>探针命中误区</x:v>
      </x:c>
      <x:c r="D33" s="28" t="str">
        <x:v>string/null</x:v>
      </x:c>
      <x:c r="E33" s="28" t="str">
        <x:v>新增</x:v>
      </x:c>
      <x:c r="F33" s="28" t="str">
        <x:v>探针提交</x:v>
      </x:c>
      <x:c r="G33" s="28" t="str">
        <x:v>M-DEVIATION-SIGN</x:v>
      </x:c>
      <x:c r="H33" s="28" t="str">
        <x:v>适配/路由</x:v>
      </x:c>
      <x:c r="I33" s="28" t="str">
        <x:v>当前无</x:v>
      </x:c>
    </x:row>
    <x:row r="34">
      <x:c r="A34" s="28" t="str">
        <x:v>知识点计划</x:v>
      </x:c>
      <x:c r="B34" s="28" t="str">
        <x:v>knowledge_point_plan[].plan_item_id</x:v>
      </x:c>
      <x:c r="C34" s="28" t="str">
        <x:v>计划项ID</x:v>
      </x:c>
      <x:c r="D34" s="28" t="str">
        <x:v>string</x:v>
      </x:c>
      <x:c r="E34" s="28" t="str">
        <x:v>新增</x:v>
      </x:c>
      <x:c r="F34" s="28" t="str">
        <x:v>diagnosis_ready</x:v>
      </x:c>
      <x:c r="G34" s="28" t="str">
        <x:v>KPP-...</x:v>
      </x:c>
      <x:c r="H34" s="28" t="str">
        <x:v>适配</x:v>
      </x:c>
      <x:c r="I34" s="28" t="str">
        <x:v>当前无</x:v>
      </x:c>
    </x:row>
    <x:row r="35">
      <x:c r="A35" s="28" t="str">
        <x:v>知识点计划</x:v>
      </x:c>
      <x:c r="B35" s="28" t="str">
        <x:v>knowledge_point_plan[].knowledge_point</x:v>
      </x:c>
      <x:c r="C35" s="28" t="str">
        <x:v>知识点</x:v>
      </x:c>
      <x:c r="D35" s="28" t="str">
        <x:v>string</x:v>
      </x:c>
      <x:c r="E35" s="28" t="str">
        <x:v>保留</x:v>
      </x:c>
      <x:c r="F35" s="28" t="str">
        <x:v>diagnosis_ready</x:v>
      </x:c>
      <x:c r="G35" s="28" t="str">
        <x:v>三道工序与传导关系</x:v>
      </x:c>
      <x:c r="H35" s="28" t="str">
        <x:v>适配/覆盖</x:v>
      </x:c>
      <x:c r="I35" s="28" t="str">
        <x:v>现有</x:v>
      </x:c>
    </x:row>
    <x:row r="36">
      <x:c r="A36" s="28" t="str">
        <x:v>知识点计划</x:v>
      </x:c>
      <x:c r="B36" s="28" t="str">
        <x:v>knowledge_point_plan[].mastery_status</x:v>
      </x:c>
      <x:c r="C36" s="28" t="str">
        <x:v>掌握状态</x:v>
      </x:c>
      <x:c r="D36" s="28" t="str">
        <x:v>enum</x:v>
      </x:c>
      <x:c r="E36" s="28" t="str">
        <x:v>新增</x:v>
      </x:c>
      <x:c r="F36" s="28" t="str">
        <x:v>diagnosis_ready</x:v>
      </x:c>
      <x:c r="G36" s="28" t="str">
        <x:v>verified/needs_training/profile_prior/unassessed/deferred</x:v>
      </x:c>
      <x:c r="H36" s="28" t="str">
        <x:v>适配/路由</x:v>
      </x:c>
      <x:c r="I36" s="28" t="str">
        <x:v>批准方案要求</x:v>
      </x:c>
    </x:row>
    <x:row r="37">
      <x:c r="A37" s="28" t="str">
        <x:v>知识点计划</x:v>
      </x:c>
      <x:c r="B37" s="28" t="str">
        <x:v>knowledge_point_plan[].evidence_source</x:v>
      </x:c>
      <x:c r="C37" s="28" t="str">
        <x:v>证据来源</x:v>
      </x:c>
      <x:c r="D37" s="28" t="str">
        <x:v>enum</x:v>
      </x:c>
      <x:c r="E37" s="28" t="str">
        <x:v>新增</x:v>
      </x:c>
      <x:c r="F37" s="28" t="str">
        <x:v>diagnosis_ready</x:v>
      </x:c>
      <x:c r="G37" s="28" t="str">
        <x:v>pretest/probe/profile_prior/prerequisite/interaction</x:v>
      </x:c>
      <x:c r="H37" s="28" t="str">
        <x:v>适配/路由</x:v>
      </x:c>
      <x:c r="I37" s="28" t="str">
        <x:v>当前只有difficulty_source</x:v>
      </x:c>
    </x:row>
    <x:row r="38">
      <x:c r="A38" s="28" t="str">
        <x:v>知识点计划</x:v>
      </x:c>
      <x:c r="B38" s="28" t="str">
        <x:v>knowledge_point_plan[].evidence_ids</x:v>
      </x:c>
      <x:c r="C38" s="28" t="str">
        <x:v>证据ID</x:v>
      </x:c>
      <x:c r="D38" s="28" t="str">
        <x:v>array</x:v>
      </x:c>
      <x:c r="E38" s="28" t="str">
        <x:v>新增</x:v>
      </x:c>
      <x:c r="F38" s="28" t="str">
        <x:v>diagnosis_ready</x:v>
      </x:c>
      <x:c r="G38" s="28" t="str">
        <x:v>[PT-1]</x:v>
      </x:c>
      <x:c r="H38" s="28" t="str">
        <x:v>适配/路由</x:v>
      </x:c>
      <x:c r="I38" s="28" t="str">
        <x:v>当前无</x:v>
      </x:c>
    </x:row>
    <x:row r="39">
      <x:c r="A39" s="28" t="str">
        <x:v>知识点计划</x:v>
      </x:c>
      <x:c r="B39" s="28" t="str">
        <x:v>knowledge_point_plan[].priority</x:v>
      </x:c>
      <x:c r="C39" s="28" t="str">
        <x:v>确定性优先级</x:v>
      </x:c>
      <x:c r="D39" s="28" t="str">
        <x:v>integer</x:v>
      </x:c>
      <x:c r="E39" s="28" t="str">
        <x:v>新增</x:v>
      </x:c>
      <x:c r="F39" s="28" t="str">
        <x:v>diagnosis_ready</x:v>
      </x:c>
      <x:c r="G39" s="28" t="str">
        <x:v>1</x:v>
      </x:c>
      <x:c r="H39" s="28" t="str">
        <x:v>适配/路由</x:v>
      </x:c>
      <x:c r="I39" s="28" t="str">
        <x:v>当前无</x:v>
      </x:c>
    </x:row>
    <x:row r="40">
      <x:c r="A40" s="28" t="str">
        <x:v>知识点计划</x:v>
      </x:c>
      <x:c r="B40" s="28" t="str">
        <x:v>knowledge_point_plan[].initial_difficulty</x:v>
      </x:c>
      <x:c r="C40" s="28" t="str">
        <x:v>初始难度</x:v>
      </x:c>
      <x:c r="D40" s="28" t="str">
        <x:v>enum</x:v>
      </x:c>
      <x:c r="E40" s="28" t="str">
        <x:v>保留</x:v>
      </x:c>
      <x:c r="F40" s="28" t="str">
        <x:v>diagnosis_ready</x:v>
      </x:c>
      <x:c r="G40" s="28" t="str">
        <x:v>basic/applied/advanced</x:v>
      </x:c>
      <x:c r="H40" s="28" t="str">
        <x:v>适配</x:v>
      </x:c>
      <x:c r="I40" s="28" t="str">
        <x:v>现有</x:v>
      </x:c>
    </x:row>
    <x:row r="41">
      <x:c r="A41" s="28" t="str">
        <x:v>知识点计划</x:v>
      </x:c>
      <x:c r="B41" s="28" t="str">
        <x:v>knowledge_point_plan[].route_reason</x:v>
      </x:c>
      <x:c r="C41" s="28" t="str">
        <x:v>路由理由</x:v>
      </x:c>
      <x:c r="D41" s="28" t="str">
        <x:v>string</x:v>
      </x:c>
      <x:c r="E41" s="28" t="str">
        <x:v>新增</x:v>
      </x:c>
      <x:c r="F41" s="28" t="str">
        <x:v>diagnosis_ready</x:v>
      </x:c>
      <x:c r="G41" s="28" t="str">
        <x:v>DP-02符号判断错误</x:v>
      </x:c>
      <x:c r="H41" s="28" t="str">
        <x:v>适配/可解释</x:v>
      </x:c>
      <x:c r="I41" s="28" t="str">
        <x:v>当前无</x:v>
      </x:c>
    </x:row>
    <x:row r="42">
      <x:c r="A42" s="28" t="str">
        <x:v>知识点计划</x:v>
      </x:c>
      <x:c r="B42" s="28" t="str">
        <x:v>knowledge_point_plan[].prerequisites</x:v>
      </x:c>
      <x:c r="C42" s="28" t="str">
        <x:v>前置知识</x:v>
      </x:c>
      <x:c r="D42" s="28" t="str">
        <x:v>array</x:v>
      </x:c>
      <x:c r="E42" s="28" t="str">
        <x:v>新增</x:v>
      </x:c>
      <x:c r="F42" s="28" t="str">
        <x:v>diagnosis_ready</x:v>
      </x:c>
      <x:c r="G42" s="28" t="str">
        <x:v>[完成率计算]</x:v>
      </x:c>
      <x:c r="H42" s="28" t="str">
        <x:v>路由</x:v>
      </x:c>
      <x:c r="I42" s="28" t="str">
        <x:v>当前无</x:v>
      </x:c>
    </x:row>
    <x:row r="43">
      <x:c r="A43" s="28" t="str">
        <x:v>知识点计划</x:v>
      </x:c>
      <x:c r="B43" s="28" t="str">
        <x:v>selected_plan_item_id</x:v>
      </x:c>
      <x:c r="C43" s="28" t="str">
        <x:v>实际选中计划项</x:v>
      </x:c>
      <x:c r="D43" s="28" t="str">
        <x:v>string</x:v>
      </x:c>
      <x:c r="E43" s="28" t="str">
        <x:v>新增</x:v>
      </x:c>
      <x:c r="F43" s="28" t="str">
        <x:v>learning_contract_ready</x:v>
      </x:c>
      <x:c r="G43" s="28" t="str">
        <x:v>KPP-...</x:v>
      </x:c>
      <x:c r="H43" s="28" t="str">
        <x:v>适配</x:v>
      </x:c>
      <x:c r="I43" s="28" t="str">
        <x:v>当前由blind_spots[0]隐含</x:v>
      </x:c>
    </x:row>
    <x:row r="44">
      <x:c r="A44" s="28" t="str">
        <x:v>知识点计划</x:v>
      </x:c>
      <x:c r="B44" s="28" t="str">
        <x:v>selected_knowledge_point</x:v>
      </x:c>
      <x:c r="C44" s="28" t="str">
        <x:v>实际选中知识点</x:v>
      </x:c>
      <x:c r="D44" s="28" t="str">
        <x:v>string</x:v>
      </x:c>
      <x:c r="E44" s="28" t="str">
        <x:v>新增</x:v>
      </x:c>
      <x:c r="F44" s="28" t="str">
        <x:v>learning_contract_ready</x:v>
      </x:c>
      <x:c r="G44" s="28" t="str">
        <x:v>偏差率与风险等级</x:v>
      </x:c>
      <x:c r="H44" s="28" t="str">
        <x:v>适配/覆盖</x:v>
      </x:c>
      <x:c r="I44" s="28" t="str">
        <x:v>当前分散在产物</x:v>
      </x:c>
    </x:row>
    <x:row r="45">
      <x:c r="A45" s="28" t="str">
        <x:v>知识点计划</x:v>
      </x:c>
      <x:c r="B45" s="28" t="str">
        <x:v>selected_difficulty</x:v>
      </x:c>
      <x:c r="C45" s="28" t="str">
        <x:v>实际初始难度</x:v>
      </x:c>
      <x:c r="D45" s="28" t="str">
        <x:v>enum</x:v>
      </x:c>
      <x:c r="E45" s="28" t="str">
        <x:v>新增</x:v>
      </x:c>
      <x:c r="F45" s="28" t="str">
        <x:v>learning_contract_ready</x:v>
      </x:c>
      <x:c r="G45" s="28" t="str">
        <x:v>basic/applied</x:v>
      </x:c>
      <x:c r="H45" s="28" t="str">
        <x:v>适配</x:v>
      </x:c>
      <x:c r="I45" s="28" t="str">
        <x:v>当前学习契约difficulty可映射</x:v>
      </x:c>
    </x:row>
    <x:row r="46">
      <x:c r="A46" s="28" t="str">
        <x:v>产物版本</x:v>
      </x:c>
      <x:c r="B46" s="28" t="str">
        <x:v>artifact_id</x:v>
      </x:c>
      <x:c r="C46" s="28" t="str">
        <x:v>逻辑产物ID</x:v>
      </x:c>
      <x:c r="D46" s="28" t="str">
        <x:v>string</x:v>
      </x:c>
      <x:c r="E46" s="28" t="str">
        <x:v>新增</x:v>
      </x:c>
      <x:c r="F46" s="28" t="str">
        <x:v>所有produce</x:v>
      </x:c>
      <x:c r="G46" s="28" t="str">
        <x:v>ART-...</x:v>
      </x:c>
      <x:c r="H46" s="28" t="str">
        <x:v>幻觉/适配</x:v>
      </x:c>
      <x:c r="I46" s="28" t="str">
        <x:v>不能仅用msg_id</x:v>
      </x:c>
    </x:row>
    <x:row r="47">
      <x:c r="A47" s="28" t="str">
        <x:v>产物版本</x:v>
      </x:c>
      <x:c r="B47" s="28" t="str">
        <x:v>artifact_type</x:v>
      </x:c>
      <x:c r="C47" s="28" t="str">
        <x:v>产物类型</x:v>
      </x:c>
      <x:c r="D47" s="28" t="str">
        <x:v>enum</x:v>
      </x:c>
      <x:c r="E47" s="28" t="str">
        <x:v>新增/映射</x:v>
      </x:c>
      <x:c r="F47" s="28" t="str">
        <x:v>所有produce</x:v>
      </x:c>
      <x:c r="G47" s="28" t="str">
        <x:v>lecture_note/practice_guide/quiz_set/feedback</x:v>
      </x:c>
      <x:c r="H47" s="28" t="str">
        <x:v>覆盖</x:v>
      </x:c>
      <x:c r="I47" s="28" t="str">
        <x:v>可由payload.type映射</x:v>
      </x:c>
    </x:row>
    <x:row r="48">
      <x:c r="A48" s="28" t="str">
        <x:v>产物版本</x:v>
      </x:c>
      <x:c r="B48" s="28" t="str">
        <x:v>artifact_version_id</x:v>
      </x:c>
      <x:c r="C48" s="28" t="str">
        <x:v>产物版本ID</x:v>
      </x:c>
      <x:c r="D48" s="28" t="str">
        <x:v>string</x:v>
      </x:c>
      <x:c r="E48" s="28" t="str">
        <x:v>新增</x:v>
      </x:c>
      <x:c r="F48" s="28" t="str">
        <x:v>所有produce</x:v>
      </x:c>
      <x:c r="G48" s="28" t="str">
        <x:v>ART-...-v1</x:v>
      </x:c>
      <x:c r="H48" s="28" t="str">
        <x:v>幻觉去重</x:v>
      </x:c>
      <x:c r="I48" s="28" t="str">
        <x:v>当前无</x:v>
      </x:c>
    </x:row>
    <x:row r="49">
      <x:c r="A49" s="28" t="str">
        <x:v>产物版本</x:v>
      </x:c>
      <x:c r="B49" s="28" t="str">
        <x:v>lineage_id</x:v>
      </x:c>
      <x:c r="C49" s="28" t="str">
        <x:v>重写谱系ID</x:v>
      </x:c>
      <x:c r="D49" s="28" t="str">
        <x:v>string</x:v>
      </x:c>
      <x:c r="E49" s="28" t="str">
        <x:v>新增</x:v>
      </x:c>
      <x:c r="F49" s="28" t="str">
        <x:v>所有produce</x:v>
      </x:c>
      <x:c r="G49" s="28" t="str">
        <x:v>LIN-...</x:v>
      </x:c>
      <x:c r="H49" s="28" t="str">
        <x:v>两辅助KPI去重</x:v>
      </x:c>
      <x:c r="I49" s="28" t="str">
        <x:v>当前无</x:v>
      </x:c>
    </x:row>
    <x:row r="50">
      <x:c r="A50" s="28" t="str">
        <x:v>产物版本</x:v>
      </x:c>
      <x:c r="B50" s="28" t="str">
        <x:v>based_on_artifact_version_id</x:v>
      </x:c>
      <x:c r="C50" s="28" t="str">
        <x:v>基于版本</x:v>
      </x:c>
      <x:c r="D50" s="28" t="str">
        <x:v>string/null</x:v>
      </x:c>
      <x:c r="E50" s="28" t="str">
        <x:v>新增</x:v>
      </x:c>
      <x:c r="F50" s="28" t="str">
        <x:v>重写产物</x:v>
      </x:c>
      <x:c r="G50" s="28" t="str">
        <x:v>ART-...-v1</x:v>
      </x:c>
      <x:c r="H50" s="28" t="str">
        <x:v>重写追踪</x:v>
      </x:c>
      <x:c r="I50" s="28" t="str">
        <x:v>可由based_on_msg_id部分映射</x:v>
      </x:c>
    </x:row>
    <x:row r="51">
      <x:c r="A51" s="28" t="str">
        <x:v>产物版本</x:v>
      </x:c>
      <x:c r="B51" s="28" t="str">
        <x:v>generation_stage</x:v>
      </x:c>
      <x:c r="C51" s="28" t="str">
        <x:v>生成阶段</x:v>
      </x:c>
      <x:c r="D51" s="28" t="str">
        <x:v>enum</x:v>
      </x:c>
      <x:c r="E51" s="28" t="str">
        <x:v>新增</x:v>
      </x:c>
      <x:c r="F51" s="28" t="str">
        <x:v>所有produce</x:v>
      </x:c>
      <x:c r="G51" s="28" t="str">
        <x:v>initial/revision/final</x:v>
      </x:c>
      <x:c r="H51" s="28" t="str">
        <x:v>幻觉拦截</x:v>
      </x:c>
      <x:c r="I51" s="28" t="str">
        <x:v>当前无</x:v>
      </x:c>
    </x:row>
    <x:row r="52">
      <x:c r="A52" s="28" t="str">
        <x:v>产物版本</x:v>
      </x:c>
      <x:c r="B52" s="28" t="str">
        <x:v>generation_cycle</x:v>
      </x:c>
      <x:c r="C52" s="28" t="str">
        <x:v>生成轮次</x:v>
      </x:c>
      <x:c r="D52" s="28" t="str">
        <x:v>integer</x:v>
      </x:c>
      <x:c r="E52" s="28" t="str">
        <x:v>新增</x:v>
      </x:c>
      <x:c r="F52" s="28" t="str">
        <x:v>所有produce</x:v>
      </x:c>
      <x:c r="G52" s="28" t="str">
        <x:v>1,2,...</x:v>
      </x:c>
      <x:c r="H52" s="28" t="str">
        <x:v>去重</x:v>
      </x:c>
      <x:c r="I52" s="28" t="str">
        <x:v>当前retry_count仅局部</x:v>
      </x:c>
    </x:row>
    <x:row r="53">
      <x:c r="A53" s="28" t="str">
        <x:v>产物版本</x:v>
      </x:c>
      <x:c r="B53" s="28" t="str">
        <x:v>knowledge_point</x:v>
      </x:c>
      <x:c r="C53" s="28" t="str">
        <x:v>产物知识点</x:v>
      </x:c>
      <x:c r="D53" s="28" t="str">
        <x:v>string</x:v>
      </x:c>
      <x:c r="E53" s="28" t="str">
        <x:v>保留</x:v>
      </x:c>
      <x:c r="F53" s="28" t="str">
        <x:v>所有produce</x:v>
      </x:c>
      <x:c r="G53" s="28" t="str">
        <x:v>完成率计算</x:v>
      </x:c>
      <x:c r="H53" s="28" t="str">
        <x:v>覆盖/适配</x:v>
      </x:c>
      <x:c r="I53" s="28" t="str">
        <x:v>现有</x:v>
      </x:c>
    </x:row>
    <x:row r="54">
      <x:c r="A54" s="28" t="str">
        <x:v>产物版本</x:v>
      </x:c>
      <x:c r="B54" s="28" t="str">
        <x:v>target_difficulty</x:v>
      </x:c>
      <x:c r="C54" s="28" t="str">
        <x:v>目标难度</x:v>
      </x:c>
      <x:c r="D54" s="28" t="str">
        <x:v>enum</x:v>
      </x:c>
      <x:c r="E54" s="28" t="str">
        <x:v>新增</x:v>
      </x:c>
      <x:c r="F54" s="28" t="str">
        <x:v>所有produce</x:v>
      </x:c>
      <x:c r="G54" s="28" t="str">
        <x:v>applied</x:v>
      </x:c>
      <x:c r="H54" s="28" t="str">
        <x:v>适配</x:v>
      </x:c>
      <x:c r="I54" s="28" t="str">
        <x:v>当前只有difficulty</x:v>
      </x:c>
    </x:row>
    <x:row r="55">
      <x:c r="A55" s="28" t="str">
        <x:v>产物版本</x:v>
      </x:c>
      <x:c r="B55" s="28" t="str">
        <x:v>actual_difficulty</x:v>
      </x:c>
      <x:c r="C55" s="28" t="str">
        <x:v>实际资源难度</x:v>
      </x:c>
      <x:c r="D55" s="28" t="str">
        <x:v>enum</x:v>
      </x:c>
      <x:c r="E55" s="28" t="str">
        <x:v>新增</x:v>
      </x:c>
      <x:c r="F55" s="28" t="str">
        <x:v>所有produce</x:v>
      </x:c>
      <x:c r="G55" s="28" t="str">
        <x:v>applied</x:v>
      </x:c>
      <x:c r="H55" s="28" t="str">
        <x:v>适配</x:v>
      </x:c>
      <x:c r="I55" s="28" t="str">
        <x:v>必须独立于目标难度</x:v>
      </x:c>
    </x:row>
    <x:row r="56">
      <x:c r="A56" s="28" t="str">
        <x:v>产物版本</x:v>
      </x:c>
      <x:c r="B56" s="28" t="str">
        <x:v>template_id</x:v>
      </x:c>
      <x:c r="C56" s="28" t="str">
        <x:v>实际解析模板ID</x:v>
      </x:c>
      <x:c r="D56" s="28" t="str">
        <x:v>string</x:v>
      </x:c>
      <x:c r="E56" s="28" t="str">
        <x:v>保留/提升</x:v>
      </x:c>
      <x:c r="F56" s="28" t="str">
        <x:v>task produce</x:v>
      </x:c>
      <x:c r="G56" s="28" t="str">
        <x:v>T-10-A</x:v>
      </x:c>
      <x:c r="H56" s="28" t="str">
        <x:v>适配/覆盖</x:v>
      </x:c>
      <x:c r="I56" s="28" t="str">
        <x:v>payload中已有但事件明细未独立列</x:v>
      </x:c>
    </x:row>
    <x:row r="57">
      <x:c r="A57" s="28" t="str">
        <x:v>产物版本</x:v>
      </x:c>
      <x:c r="B57" s="28" t="str">
        <x:v>published</x:v>
      </x:c>
      <x:c r="C57" s="28" t="str">
        <x:v>是否最终发布</x:v>
      </x:c>
      <x:c r="D57" s="28" t="str">
        <x:v>boolean</x:v>
      </x:c>
      <x:c r="E57" s="28" t="str">
        <x:v>新增</x:v>
      </x:c>
      <x:c r="F57" s="28" t="str">
        <x:v>发布事件/产物</x:v>
      </x:c>
      <x:c r="G57" s="28" t="str">
        <x:v>true/false</x:v>
      </x:c>
      <x:c r="H57" s="28" t="str">
        <x:v>最终幻觉率</x:v>
      </x:c>
      <x:c r="I57" s="28" t="str">
        <x:v>当前无</x:v>
      </x:c>
    </x:row>
    <x:row r="58">
      <x:c r="A58" s="28" t="str">
        <x:v>产物版本</x:v>
      </x:c>
      <x:c r="B58" s="28" t="str">
        <x:v>publication_event_id</x:v>
      </x:c>
      <x:c r="C58" s="28" t="str">
        <x:v>发布事件ID</x:v>
      </x:c>
      <x:c r="D58" s="28" t="str">
        <x:v>string/null</x:v>
      </x:c>
      <x:c r="E58" s="28" t="str">
        <x:v>新增</x:v>
      </x:c>
      <x:c r="F58" s="28" t="str">
        <x:v>发布事件</x:v>
      </x:c>
      <x:c r="G58" s="28" t="str">
        <x:v>PUB-...</x:v>
      </x:c>
      <x:c r="H58" s="28" t="str">
        <x:v>最终幻觉率</x:v>
      </x:c>
      <x:c r="I58" s="28" t="str">
        <x:v>当前无</x:v>
      </x:c>
    </x:row>
    <x:row r="59">
      <x:c r="A59" s="28" t="str">
        <x:v>事实单元</x:v>
      </x:c>
      <x:c r="B59" s="28" t="str">
        <x:v>claims[].content_unit_id</x:v>
      </x:c>
      <x:c r="C59" s="28" t="str">
        <x:v>事实单元ID</x:v>
      </x:c>
      <x:c r="D59" s="28" t="str">
        <x:v>string</x:v>
      </x:c>
      <x:c r="E59" s="28" t="str">
        <x:v>新增</x:v>
      </x:c>
      <x:c r="F59" s="28" t="str">
        <x:v>有claims产物</x:v>
      </x:c>
      <x:c r="G59" s="28" t="str">
        <x:v>CU-...</x:v>
      </x:c>
      <x:c r="H59" s="28" t="str">
        <x:v>幻觉去重</x:v>
      </x:c>
      <x:c r="I59" s="28" t="str">
        <x:v>当前claims无ID</x:v>
      </x:c>
    </x:row>
    <x:row r="60">
      <x:c r="A60" s="28" t="str">
        <x:v>事实单元</x:v>
      </x:c>
      <x:c r="B60" s="28" t="str">
        <x:v>claims[].lineage_unit_id</x:v>
      </x:c>
      <x:c r="C60" s="28" t="str">
        <x:v>事实谱系ID</x:v>
      </x:c>
      <x:c r="D60" s="28" t="str">
        <x:v>string</x:v>
      </x:c>
      <x:c r="E60" s="28" t="str">
        <x:v>新增</x:v>
      </x:c>
      <x:c r="F60" s="28" t="str">
        <x:v>有claims产物</x:v>
      </x:c>
      <x:c r="G60" s="28" t="str">
        <x:v>CLU-...</x:v>
      </x:c>
      <x:c r="H60" s="28" t="str">
        <x:v>版本追踪</x:v>
      </x:c>
      <x:c r="I60" s="28" t="str">
        <x:v>当前无</x:v>
      </x:c>
    </x:row>
    <x:row r="61">
      <x:c r="A61" s="28" t="str">
        <x:v>事实单元</x:v>
      </x:c>
      <x:c r="B61" s="28" t="str">
        <x:v>claims[].kind</x:v>
      </x:c>
      <x:c r="C61" s="28" t="str">
        <x:v>事实类型</x:v>
      </x:c>
      <x:c r="D61" s="28" t="str">
        <x:v>enum</x:v>
      </x:c>
      <x:c r="E61" s="28" t="str">
        <x:v>保留</x:v>
      </x:c>
      <x:c r="F61" s="28" t="str">
        <x:v>有claims产物</x:v>
      </x:c>
      <x:c r="G61" s="28" t="str">
        <x:v>fact/data_conclusion/instruction_rule/quiz_fact</x:v>
      </x:c>
      <x:c r="H61" s="28" t="str">
        <x:v>幻觉</x:v>
      </x:c>
      <x:c r="I61" s="28" t="str">
        <x:v>现有fact/data_conclusion</x:v>
      </x:c>
    </x:row>
    <x:row r="62">
      <x:c r="A62" s="28" t="str">
        <x:v>事实单元</x:v>
      </x:c>
      <x:c r="B62" s="28" t="str">
        <x:v>claims[].text</x:v>
      </x:c>
      <x:c r="C62" s="28" t="str">
        <x:v>事实文本</x:v>
      </x:c>
      <x:c r="D62" s="28" t="str">
        <x:v>string</x:v>
      </x:c>
      <x:c r="E62" s="28" t="str">
        <x:v>保留</x:v>
      </x:c>
      <x:c r="F62" s="28" t="str">
        <x:v>有claims产物</x:v>
      </x:c>
      <x:c r="G62" s="28" t="str">
        <x:v>...</x:v>
      </x:c>
      <x:c r="H62" s="28" t="str">
        <x:v>幻觉</x:v>
      </x:c>
      <x:c r="I62" s="28" t="str">
        <x:v>现有</x:v>
      </x:c>
    </x:row>
    <x:row r="63">
      <x:c r="A63" s="28" t="str">
        <x:v>事实单元</x:v>
      </x:c>
      <x:c r="B63" s="28" t="str">
        <x:v>claims[].evidence_refs</x:v>
      </x:c>
      <x:c r="C63" s="28" t="str">
        <x:v>支持证据ID</x:v>
      </x:c>
      <x:c r="D63" s="28" t="str">
        <x:v>array</x:v>
      </x:c>
      <x:c r="E63" s="28" t="str">
        <x:v>新增/标准化</x:v>
      </x:c>
      <x:c r="F63" s="28" t="str">
        <x:v>有claims产物</x:v>
      </x:c>
      <x:c r="G63" s="28" t="str">
        <x:v>[KB-001]</x:v>
      </x:c>
      <x:c r="H63" s="28" t="str">
        <x:v>幻觉</x:v>
      </x:c>
      <x:c r="I63" s="28" t="str">
        <x:v>当前通过evidence.supports_claim间接关联</x:v>
      </x:c>
    </x:row>
    <x:row r="64">
      <x:c r="A64" s="28" t="str">
        <x:v>SQL证据</x:v>
      </x:c>
      <x:c r="B64" s="28" t="str">
        <x:v>query_id</x:v>
      </x:c>
      <x:c r="C64" s="28" t="str">
        <x:v>查询ID</x:v>
      </x:c>
      <x:c r="D64" s="28" t="str">
        <x:v>string</x:v>
      </x:c>
      <x:c r="E64" s="28" t="str">
        <x:v>新增</x:v>
      </x:c>
      <x:c r="F64" s="28" t="str">
        <x:v>sql_result</x:v>
      </x:c>
      <x:c r="G64" s="28" t="str">
        <x:v>QRY-...</x:v>
      </x:c>
      <x:c r="H64" s="28" t="str">
        <x:v>R-05</x:v>
      </x:c>
      <x:c r="I64" s="28" t="str">
        <x:v>当前无</x:v>
      </x:c>
    </x:row>
    <x:row r="65">
      <x:c r="A65" s="28" t="str">
        <x:v>SQL证据</x:v>
      </x:c>
      <x:c r="B65" s="28" t="str">
        <x:v>query_valid</x:v>
      </x:c>
      <x:c r="C65" s="28" t="str">
        <x:v>查询是否有效</x:v>
      </x:c>
      <x:c r="D65" s="28" t="str">
        <x:v>boolean</x:v>
      </x:c>
      <x:c r="E65" s="28" t="str">
        <x:v>新增</x:v>
      </x:c>
      <x:c r="F65" s="28" t="str">
        <x:v>sql_result</x:v>
      </x:c>
      <x:c r="G65" s="28" t="str">
        <x:v>true/false</x:v>
      </x:c>
      <x:c r="H65" s="28" t="str">
        <x:v>R-05/幻觉</x:v>
      </x:c>
      <x:c r="I65" s="28" t="str">
        <x:v>当前无显式字段</x:v>
      </x:c>
    </x:row>
    <x:row r="66">
      <x:c r="A66" s="28" t="str">
        <x:v>SQL证据</x:v>
      </x:c>
      <x:c r="B66" s="28" t="str">
        <x:v>result_empty</x:v>
      </x:c>
      <x:c r="C66" s="28" t="str">
        <x:v>结果是否为空</x:v>
      </x:c>
      <x:c r="D66" s="28" t="str">
        <x:v>boolean</x:v>
      </x:c>
      <x:c r="E66" s="28" t="str">
        <x:v>新增</x:v>
      </x:c>
      <x:c r="F66" s="28" t="str">
        <x:v>sql_result</x:v>
      </x:c>
      <x:c r="G66" s="28" t="str">
        <x:v>true/false</x:v>
      </x:c>
      <x:c r="H66" s="28" t="str">
        <x:v>R-05/幻觉</x:v>
      </x:c>
      <x:c r="I66" s="28" t="str">
        <x:v>可由row_count推断但需显式</x:v>
      </x:c>
    </x:row>
    <x:row r="67">
      <x:c r="A67" s="28" t="str">
        <x:v>SQL证据</x:v>
      </x:c>
      <x:c r="B67" s="28" t="str">
        <x:v>row_count</x:v>
      </x:c>
      <x:c r="C67" s="28" t="str">
        <x:v>结果行数</x:v>
      </x:c>
      <x:c r="D67" s="28" t="str">
        <x:v>integer</x:v>
      </x:c>
      <x:c r="E67" s="28" t="str">
        <x:v>保留</x:v>
      </x:c>
      <x:c r="F67" s="28" t="str">
        <x:v>sql_result</x:v>
      </x:c>
      <x:c r="G67" s="28" t="str">
        <x:v>3</x:v>
      </x:c>
      <x:c r="H67" s="28" t="str">
        <x:v>R-05</x:v>
      </x:c>
      <x:c r="I67" s="28" t="str">
        <x:v>现有</x:v>
      </x:c>
    </x:row>
    <x:row r="68">
      <x:c r="A68" s="28" t="str">
        <x:v>SQL证据</x:v>
      </x:c>
      <x:c r="B68" s="28" t="str">
        <x:v>supported_claim_ids</x:v>
      </x:c>
      <x:c r="C68" s="28" t="str">
        <x:v>该查询支撑的事实单元</x:v>
      </x:c>
      <x:c r="D68" s="28" t="str">
        <x:v>array</x:v>
      </x:c>
      <x:c r="E68" s="28" t="str">
        <x:v>新增</x:v>
      </x:c>
      <x:c r="F68" s="28" t="str">
        <x:v>sql_result</x:v>
      </x:c>
      <x:c r="G68" s="28" t="str">
        <x:v>[CU-...]</x:v>
      </x:c>
      <x:c r="H68" s="28" t="str">
        <x:v>R-05/幻觉</x:v>
      </x:c>
      <x:c r="I68" s="28" t="str">
        <x:v>当前无</x:v>
      </x:c>
    </x:row>
    <x:row r="69">
      <x:c r="A69" s="28" t="str">
        <x:v>审核</x:v>
      </x:c>
      <x:c r="B69" s="28" t="str">
        <x:v>review_event_id</x:v>
      </x:c>
      <x:c r="C69" s="28" t="str">
        <x:v>审核事件ID</x:v>
      </x:c>
      <x:c r="D69" s="28" t="str">
        <x:v>string</x:v>
      </x:c>
      <x:c r="E69" s="28" t="str">
        <x:v>新增</x:v>
      </x:c>
      <x:c r="F69" s="28" t="str">
        <x:v>review_verdict</x:v>
      </x:c>
      <x:c r="G69" s="28" t="str">
        <x:v>REV-...</x:v>
      </x:c>
      <x:c r="H69" s="28" t="str">
        <x:v>辅助KPI</x:v>
      </x:c>
      <x:c r="I69" s="28" t="str">
        <x:v>可复用review消息msg_id但应显式</x:v>
      </x:c>
    </x:row>
    <x:row r="70">
      <x:c r="A70" s="28" t="str">
        <x:v>审核</x:v>
      </x:c>
      <x:c r="B70" s="28" t="str">
        <x:v>reviewed_artifact_version_id</x:v>
      </x:c>
      <x:c r="C70" s="28" t="str">
        <x:v>被审版本ID</x:v>
      </x:c>
      <x:c r="D70" s="28" t="str">
        <x:v>string</x:v>
      </x:c>
      <x:c r="E70" s="28" t="str">
        <x:v>新增</x:v>
      </x:c>
      <x:c r="F70" s="28" t="str">
        <x:v>review_verdict</x:v>
      </x:c>
      <x:c r="G70" s="28" t="str">
        <x:v>ART-...-v1</x:v>
      </x:c>
      <x:c r="H70" s="28" t="str">
        <x:v>去重</x:v>
      </x:c>
      <x:c r="I70" s="28" t="str">
        <x:v>当前based_on_msg_id可部分映射</x:v>
      </x:c>
    </x:row>
    <x:row r="71">
      <x:c r="A71" s="28" t="str">
        <x:v>审核</x:v>
      </x:c>
      <x:c r="B71" s="28" t="str">
        <x:v>review_cycle</x:v>
      </x:c>
      <x:c r="C71" s="28" t="str">
        <x:v>审核轮次</x:v>
      </x:c>
      <x:c r="D71" s="28" t="str">
        <x:v>integer</x:v>
      </x:c>
      <x:c r="E71" s="28" t="str">
        <x:v>新增</x:v>
      </x:c>
      <x:c r="F71" s="28" t="str">
        <x:v>review_verdict</x:v>
      </x:c>
      <x:c r="G71" s="28" t="str">
        <x:v>1</x:v>
      </x:c>
      <x:c r="H71" s="28" t="str">
        <x:v>去重</x:v>
      </x:c>
      <x:c r="I71" s="28" t="str">
        <x:v>当前无统一字段</x:v>
      </x:c>
    </x:row>
    <x:row r="72">
      <x:c r="A72" s="28" t="str">
        <x:v>审核</x:v>
      </x:c>
      <x:c r="B72" s="28" t="str">
        <x:v>review_rule_hits</x:v>
      </x:c>
      <x:c r="C72" s="28" t="str">
        <x:v>命中规则</x:v>
      </x:c>
      <x:c r="D72" s="28" t="str">
        <x:v>array</x:v>
      </x:c>
      <x:c r="E72" s="28" t="str">
        <x:v>保留/标准化</x:v>
      </x:c>
      <x:c r="F72" s="28" t="str">
        <x:v>review_verdict</x:v>
      </x:c>
      <x:c r="G72" s="28" t="str">
        <x:v>[R-02]</x:v>
      </x:c>
      <x:c r="H72" s="28" t="str">
        <x:v>辅助KPI</x:v>
      </x:c>
      <x:c r="I72" s="28" t="str">
        <x:v>现有verdict.rule_hits</x:v>
      </x:c>
    </x:row>
    <x:row r="73">
      <x:c r="A73" s="28" t="str">
        <x:v>审核</x:v>
      </x:c>
      <x:c r="B73" s="28" t="str">
        <x:v>review_decision</x:v>
      </x:c>
      <x:c r="C73" s="28" t="str">
        <x:v>审核决定</x:v>
      </x:c>
      <x:c r="D73" s="28" t="str">
        <x:v>enum</x:v>
      </x:c>
      <x:c r="E73" s="28" t="str">
        <x:v>保留/标准化</x:v>
      </x:c>
      <x:c r="F73" s="28" t="str">
        <x:v>review_verdict</x:v>
      </x:c>
      <x:c r="G73" s="28" t="str">
        <x:v>approve/reject/revise</x:v>
      </x:c>
      <x:c r="H73" s="28" t="str">
        <x:v>发布门禁</x:v>
      </x:c>
      <x:c r="I73" s="28" t="str">
        <x:v>现有verdict.decision</x:v>
      </x:c>
    </x:row>
    <x:row r="74">
      <x:c r="A74" s="28" t="str">
        <x:v>审核</x:v>
      </x:c>
      <x:c r="B74" s="28" t="str">
        <x:v>review_reason</x:v>
      </x:c>
      <x:c r="C74" s="28" t="str">
        <x:v>审核理由</x:v>
      </x:c>
      <x:c r="D74" s="28" t="str">
        <x:v>string</x:v>
      </x:c>
      <x:c r="E74" s="28" t="str">
        <x:v>新增/标准化</x:v>
      </x:c>
      <x:c r="F74" s="28" t="str">
        <x:v>review_verdict</x:v>
      </x:c>
      <x:c r="G74" s="28" t="str">
        <x:v>...</x:v>
      </x:c>
      <x:c r="H74" s="28" t="str">
        <x:v>人工复核</x:v>
      </x:c>
      <x:c r="I74" s="28" t="str">
        <x:v>当前分散在rule_hits.reason</x:v>
      </x:c>
    </x:row>
    <x:row r="75">
      <x:c r="A75" s="28" t="str">
        <x:v>审核</x:v>
      </x:c>
      <x:c r="B75" s="28" t="str">
        <x:v>correction_type</x:v>
      </x:c>
      <x:c r="C75" s="28" t="str">
        <x:v>处理方式</x:v>
      </x:c>
      <x:c r="D75" s="28" t="str">
        <x:v>enum</x:v>
      </x:c>
      <x:c r="E75" s="28" t="str">
        <x:v>新增</x:v>
      </x:c>
      <x:c r="F75" s="28" t="str">
        <x:v>review_verdict</x:v>
      </x:c>
      <x:c r="G75" s="28" t="str">
        <x:v>block/regenerate/controlled_edit/none</x:v>
      </x:c>
      <x:c r="H75" s="28" t="str">
        <x:v>拦截率</x:v>
      </x:c>
      <x:c r="I75" s="28" t="str">
        <x:v>当前无</x:v>
      </x:c>
    </x:row>
    <x:row r="76">
      <x:c r="A76" s="28" t="str">
        <x:v>适配节点</x:v>
      </x:c>
      <x:c r="B76" s="28" t="str">
        <x:v>adaptation_node_id</x:v>
      </x:c>
      <x:c r="C76" s="28" t="str">
        <x:v>适配节点ID</x:v>
      </x:c>
      <x:c r="D76" s="28" t="str">
        <x:v>string</x:v>
      </x:c>
      <x:c r="E76" s="28" t="str">
        <x:v>新增</x:v>
      </x:c>
      <x:c r="F76" s="28" t="str">
        <x:v>初始路由与每次答题后</x:v>
      </x:c>
      <x:c r="G76" s="28" t="str">
        <x:v>ADN-...</x:v>
      </x:c>
      <x:c r="H76" s="28" t="str">
        <x:v>适配准确率</x:v>
      </x:c>
      <x:c r="I76" s="28" t="str">
        <x:v>当前无</x:v>
      </x:c>
    </x:row>
    <x:row r="77">
      <x:c r="A77" s="28" t="str">
        <x:v>适配节点</x:v>
      </x:c>
      <x:c r="B77" s="28" t="str">
        <x:v>node_type</x:v>
      </x:c>
      <x:c r="C77" s="28" t="str">
        <x:v>节点类型</x:v>
      </x:c>
      <x:c r="D77" s="28" t="str">
        <x:v>enum</x:v>
      </x:c>
      <x:c r="E77" s="28" t="str">
        <x:v>新增</x:v>
      </x:c>
      <x:c r="F77" s="28" t="str">
        <x:v>适配节点</x:v>
      </x:c>
      <x:c r="G77" s="28" t="str">
        <x:v>initial_route/post_answer</x:v>
      </x:c>
      <x:c r="H77" s="28" t="str">
        <x:v>适配准确率</x:v>
      </x:c>
      <x:c r="I77" s="28" t="str">
        <x:v>当前无</x:v>
      </x:c>
    </x:row>
    <x:row r="78">
      <x:c r="A78" s="28" t="str">
        <x:v>适配节点</x:v>
      </x:c>
      <x:c r="B78" s="28" t="str">
        <x:v>trigger_event_id</x:v>
      </x:c>
      <x:c r="C78" s="28" t="str">
        <x:v>触发事件ID</x:v>
      </x:c>
      <x:c r="D78" s="28" t="str">
        <x:v>string</x:v>
      </x:c>
      <x:c r="E78" s="28" t="str">
        <x:v>新增</x:v>
      </x:c>
      <x:c r="F78" s="28" t="str">
        <x:v>适配节点</x:v>
      </x:c>
      <x:c r="G78" s="28" t="str">
        <x:v>PTA-/answer msg_id</x:v>
      </x:c>
      <x:c r="H78" s="28" t="str">
        <x:v>适配准确率</x:v>
      </x:c>
      <x:c r="I78" s="28" t="str">
        <x:v>当前无</x:v>
      </x:c>
    </x:row>
    <x:row r="79">
      <x:c r="A79" s="28" t="str">
        <x:v>适配节点</x:v>
      </x:c>
      <x:c r="B79" s="28" t="str">
        <x:v>trigger_event_type</x:v>
      </x:c>
      <x:c r="C79" s="28" t="str">
        <x:v>触发事件类型</x:v>
      </x:c>
      <x:c r="D79" s="28" t="str">
        <x:v>enum</x:v>
      </x:c>
      <x:c r="E79" s="28" t="str">
        <x:v>新增</x:v>
      </x:c>
      <x:c r="F79" s="28" t="str">
        <x:v>适配节点</x:v>
      </x:c>
      <x:c r="G79" s="28" t="str">
        <x:v>pretest_complete/probe_complete/learner_answer</x:v>
      </x:c>
      <x:c r="H79" s="28" t="str">
        <x:v>适配准确率</x:v>
      </x:c>
      <x:c r="I79" s="28" t="str">
        <x:v>当前无</x:v>
      </x:c>
    </x:row>
    <x:row r="80">
      <x:c r="A80" s="28" t="str">
        <x:v>适配节点</x:v>
      </x:c>
      <x:c r="B80" s="28" t="str">
        <x:v>before_state</x:v>
      </x:c>
      <x:c r="C80" s="28" t="str">
        <x:v>调整前状态</x:v>
      </x:c>
      <x:c r="D80" s="28" t="str">
        <x:v>object</x:v>
      </x:c>
      <x:c r="E80" s="28" t="str">
        <x:v>新增</x:v>
      </x:c>
      <x:c r="F80" s="28" t="str">
        <x:v>适配节点</x:v>
      </x:c>
      <x:c r="G80" s="28" t="str">
        <x:v>{kp,difficulty,path,...}</x:v>
      </x:c>
      <x:c r="H80" s="28" t="str">
        <x:v>适配准确率</x:v>
      </x:c>
      <x:c r="I80" s="28" t="str">
        <x:v>当前无</x:v>
      </x:c>
    </x:row>
    <x:row r="81">
      <x:c r="A81" s="28" t="str">
        <x:v>适配节点</x:v>
      </x:c>
      <x:c r="B81" s="28" t="str">
        <x:v>actual_action</x:v>
      </x:c>
      <x:c r="C81" s="28" t="str">
        <x:v>实际动作</x:v>
      </x:c>
      <x:c r="D81" s="28" t="str">
        <x:v>enum</x:v>
      </x:c>
      <x:c r="E81" s="28" t="str">
        <x:v>新增/标准化</x:v>
      </x:c>
      <x:c r="F81" s="28" t="str">
        <x:v>适配节点</x:v>
      </x:c>
      <x:c r="G81" s="28" t="str">
        <x:v>keep/step_up/step_down/targeted_followup/path_switch</x:v>
      </x:c>
      <x:c r="H81" s="28" t="str">
        <x:v>适配准确率</x:v>
      </x:c>
      <x:c r="I81" s="28" t="str">
        <x:v>当前difficulty_action仅部分事件</x:v>
      </x:c>
    </x:row>
    <x:row r="82">
      <x:c r="A82" s="28" t="str">
        <x:v>适配节点</x:v>
      </x:c>
      <x:c r="B82" s="28" t="str">
        <x:v>after_state</x:v>
      </x:c>
      <x:c r="C82" s="28" t="str">
        <x:v>调整后状态</x:v>
      </x:c>
      <x:c r="D82" s="28" t="str">
        <x:v>object</x:v>
      </x:c>
      <x:c r="E82" s="28" t="str">
        <x:v>新增</x:v>
      </x:c>
      <x:c r="F82" s="28" t="str">
        <x:v>适配节点</x:v>
      </x:c>
      <x:c r="G82" s="28" t="str">
        <x:v>{kp,difficulty,path,...}</x:v>
      </x:c>
      <x:c r="H82" s="28" t="str">
        <x:v>适配准确率</x:v>
      </x:c>
      <x:c r="I82" s="28" t="str">
        <x:v>当前无</x:v>
      </x:c>
    </x:row>
    <x:row r="83">
      <x:c r="A83" s="28" t="str">
        <x:v>适配节点</x:v>
      </x:c>
      <x:c r="B83" s="28" t="str">
        <x:v>decision_reason</x:v>
      </x:c>
      <x:c r="C83" s="28" t="str">
        <x:v>决策理由</x:v>
      </x:c>
      <x:c r="D83" s="28" t="str">
        <x:v>string</x:v>
      </x:c>
      <x:c r="E83" s="28" t="str">
        <x:v>新增</x:v>
      </x:c>
      <x:c r="F83" s="28" t="str">
        <x:v>适配节点</x:v>
      </x:c>
      <x:c r="G83" s="28" t="str">
        <x:v>基于本次答题...</x:v>
      </x:c>
      <x:c r="H83" s="28" t="str">
        <x:v>适配准确率</x:v>
      </x:c>
      <x:c r="I83" s="28" t="str">
        <x:v>当前无</x:v>
      </x:c>
    </x:row>
    <x:row r="84">
      <x:c r="A84" s="28" t="str">
        <x:v>适配节点</x:v>
      </x:c>
      <x:c r="B84" s="28" t="str">
        <x:v>downstream_artifact_id</x:v>
      </x:c>
      <x:c r="C84" s="28" t="str">
        <x:v>下游产物ID</x:v>
      </x:c>
      <x:c r="D84" s="28" t="str">
        <x:v>string/null</x:v>
      </x:c>
      <x:c r="E84" s="28" t="str">
        <x:v>新增</x:v>
      </x:c>
      <x:c r="F84" s="28" t="str">
        <x:v>适配节点</x:v>
      </x:c>
      <x:c r="G84" s="28" t="str">
        <x:v>ART-...</x:v>
      </x:c>
      <x:c r="H84" s="28" t="str">
        <x:v>适配准确率</x:v>
      </x:c>
      <x:c r="I84" s="28" t="str">
        <x:v>当前无</x:v>
      </x:c>
    </x:row>
    <x:row r="85">
      <x:c r="A85" s="28" t="str">
        <x:v>学员交互</x:v>
      </x:c>
      <x:c r="B85" s="28" t="str">
        <x:v>student_answer_event_id</x:v>
      </x:c>
      <x:c r="C85" s="28" t="str">
        <x:v>学员答题事件ID</x:v>
      </x:c>
      <x:c r="D85" s="28" t="str">
        <x:v>string</x:v>
      </x:c>
      <x:c r="E85" s="28" t="str">
        <x:v>新增</x:v>
      </x:c>
      <x:c r="F85" s="28" t="str">
        <x:v>答题提交</x:v>
      </x:c>
      <x:c r="G85" s="28" t="str">
        <x:v>ANS-...</x:v>
      </x:c>
      <x:c r="H85" s="28" t="str">
        <x:v>适配节点分母</x:v>
      </x:c>
      <x:c r="I85" s="28" t="str">
        <x:v>当前无</x:v>
      </x:c>
    </x:row>
    <x:row r="86">
      <x:c r="A86" s="28" t="str">
        <x:v>学员交互</x:v>
      </x:c>
      <x:c r="B86" s="28" t="str">
        <x:v>answer_result</x:v>
      </x:c>
      <x:c r="C86" s="28" t="str">
        <x:v>作答结果</x:v>
      </x:c>
      <x:c r="D86" s="28" t="str">
        <x:v>enum</x:v>
      </x:c>
      <x:c r="E86" s="28" t="str">
        <x:v>保留</x:v>
      </x:c>
      <x:c r="F86" s="28" t="str">
        <x:v>答题提交</x:v>
      </x:c>
      <x:c r="G86" s="28" t="str">
        <x:v>correct/wrong</x:v>
      </x:c>
      <x:c r="H86" s="28" t="str">
        <x:v>适配</x:v>
      </x:c>
      <x:c r="I86" s="28" t="str">
        <x:v>现有</x:v>
      </x:c>
    </x:row>
    <x:row r="87">
      <x:c r="A87" s="28" t="str">
        <x:v>学员交互</x:v>
      </x:c>
      <x:c r="B87" s="28" t="str">
        <x:v>target_misconception</x:v>
      </x:c>
      <x:c r="C87" s="28" t="str">
        <x:v>目标误区</x:v>
      </x:c>
      <x:c r="D87" s="28" t="str">
        <x:v>string/null</x:v>
      </x:c>
      <x:c r="E87" s="28" t="str">
        <x:v>保留</x:v>
      </x:c>
      <x:c r="F87" s="28" t="str">
        <x:v>追问/答题</x:v>
      </x:c>
      <x:c r="G87" s="28" t="str">
        <x:v>M-02</x:v>
      </x:c>
      <x:c r="H87" s="28" t="str">
        <x:v>A+B证据</x:v>
      </x:c>
      <x:c r="I87" s="28" t="str">
        <x:v>现有</x:v>
      </x:c>
    </x:row>
    <x:row r="88">
      <x:c r="A88" s="28" t="str">
        <x:v>学员交互</x:v>
      </x:c>
      <x:c r="B88" s="28" t="str">
        <x:v>wrong_attempts</x:v>
      </x:c>
      <x:c r="C88" s="28" t="str">
        <x:v>连续错误次数</x:v>
      </x:c>
      <x:c r="D88" s="28" t="str">
        <x:v>integer</x:v>
      </x:c>
      <x:c r="E88" s="28" t="str">
        <x:v>保留</x:v>
      </x:c>
      <x:c r="F88" s="28" t="str">
        <x:v>答题提交</x:v>
      </x:c>
      <x:c r="G88" s="28" t="str">
        <x:v>2</x:v>
      </x:c>
      <x:c r="H88" s="28" t="str">
        <x:v>降阶</x:v>
      </x:c>
      <x:c r="I88" s="28" t="str">
        <x:v>现有</x:v>
      </x:c>
    </x:row>
    <x:row r="89">
      <x:c r="A89"/>
      <x:c r="B89"/>
      <x:c r="C89"/>
      <x:c r="D89"/>
      <x:c r="E89"/>
      <x:c r="F89"/>
      <x:c r="G89"/>
      <x:c r="H89"/>
      <x:c r="I89"/>
    </x:row>
    <x:row r="90">
      <x:c r="A90"/>
      <x:c r="B90"/>
      <x:c r="C90"/>
      <x:c r="D90"/>
      <x:c r="E90"/>
      <x:c r="F90"/>
      <x:c r="G90"/>
      <x:c r="H90"/>
      <x:c r="I90"/>
    </x:row>
    <x:row r="91">
      <x:c r="A91"/>
      <x:c r="B91"/>
      <x:c r="C91"/>
      <x:c r="D91"/>
      <x:c r="E91"/>
      <x:c r="F91"/>
      <x:c r="G91"/>
      <x:c r="H91"/>
      <x:c r="I91"/>
    </x:row>
    <x:row r="92">
      <x:c r="A92"/>
      <x:c r="B92"/>
      <x:c r="C92"/>
      <x:c r="D92"/>
      <x:c r="E92"/>
      <x:c r="F92"/>
      <x:c r="G92"/>
      <x:c r="H92"/>
      <x:c r="I92"/>
    </x:row>
    <x:row r="93">
      <x:c r="A93"/>
      <x:c r="B93"/>
      <x:c r="C93"/>
      <x:c r="D93"/>
      <x:c r="E93"/>
      <x:c r="F93"/>
      <x:c r="G93"/>
      <x:c r="H93"/>
      <x:c r="I93"/>
    </x:row>
    <x:row r="94">
      <x:c r="A94"/>
      <x:c r="B94"/>
      <x:c r="C94"/>
      <x:c r="D94"/>
      <x:c r="E94"/>
      <x:c r="F94"/>
      <x:c r="G94"/>
      <x:c r="H94"/>
      <x:c r="I94"/>
    </x:row>
    <x:row r="95">
      <x:c r="A95"/>
      <x:c r="B95"/>
      <x:c r="C95"/>
      <x:c r="D95"/>
      <x:c r="E95"/>
      <x:c r="F95"/>
      <x:c r="G95"/>
      <x:c r="H95"/>
      <x:c r="I95"/>
    </x:row>
    <x:row r="96">
      <x:c r="A96"/>
      <x:c r="B96"/>
      <x:c r="C96"/>
      <x:c r="D96"/>
      <x:c r="E96"/>
      <x:c r="F96"/>
      <x:c r="G96"/>
      <x:c r="H96"/>
      <x:c r="I96"/>
    </x:row>
    <x:row r="97">
      <x:c r="A97"/>
      <x:c r="B97"/>
      <x:c r="C97"/>
      <x:c r="D97"/>
      <x:c r="E97"/>
      <x:c r="F97"/>
      <x:c r="G97"/>
      <x:c r="H97"/>
      <x:c r="I97"/>
    </x:row>
    <x:row r="98">
      <x:c r="A98"/>
      <x:c r="B98"/>
      <x:c r="C98"/>
      <x:c r="D98"/>
      <x:c r="E98"/>
      <x:c r="F98"/>
      <x:c r="G98"/>
      <x:c r="H98"/>
      <x:c r="I98"/>
    </x:row>
    <x:row r="99">
      <x:c r="A99"/>
      <x:c r="B99"/>
      <x:c r="C99"/>
      <x:c r="D99"/>
      <x:c r="E99"/>
      <x:c r="F99"/>
      <x:c r="G99"/>
      <x:c r="H99"/>
      <x:c r="I99"/>
    </x:row>
    <x:row r="100">
      <x:c r="A100"/>
      <x:c r="B100"/>
      <x:c r="C100"/>
      <x:c r="D100"/>
      <x:c r="E100"/>
      <x:c r="F100"/>
      <x:c r="G100"/>
      <x:c r="H100"/>
      <x:c r="I100"/>
    </x:row>
    <x:row r="101">
      <x:c r="A101"/>
      <x:c r="B101"/>
      <x:c r="C101"/>
      <x:c r="D101"/>
      <x:c r="E101"/>
      <x:c r="F101"/>
      <x:c r="G101"/>
      <x:c r="H101"/>
      <x:c r="I101"/>
    </x:row>
    <x:row r="102">
      <x:c r="A102"/>
      <x:c r="B102"/>
      <x:c r="C102"/>
      <x:c r="D102"/>
      <x:c r="E102"/>
      <x:c r="F102"/>
      <x:c r="G102"/>
      <x:c r="H102"/>
      <x:c r="I102"/>
    </x:row>
    <x:row r="103">
      <x:c r="A103"/>
      <x:c r="B103"/>
      <x:c r="C103"/>
      <x:c r="D103"/>
      <x:c r="E103"/>
      <x:c r="F103"/>
      <x:c r="G103"/>
      <x:c r="H103"/>
      <x:c r="I103"/>
    </x:row>
    <x:row r="104">
      <x:c r="A104"/>
      <x:c r="B104"/>
      <x:c r="C104"/>
      <x:c r="D104"/>
      <x:c r="E104"/>
      <x:c r="F104"/>
      <x:c r="G104"/>
      <x:c r="H104"/>
      <x:c r="I104"/>
    </x:row>
    <x:row r="105">
      <x:c r="A105"/>
      <x:c r="B105"/>
      <x:c r="C105"/>
      <x:c r="D105"/>
      <x:c r="E105"/>
      <x:c r="F105"/>
      <x:c r="G105"/>
      <x:c r="H105"/>
      <x:c r="I105"/>
    </x:row>
    <x:row r="106">
      <x:c r="A106"/>
      <x:c r="B106"/>
      <x:c r="C106"/>
      <x:c r="D106"/>
      <x:c r="E106"/>
      <x:c r="F106"/>
      <x:c r="G106"/>
      <x:c r="H106"/>
      <x:c r="I106"/>
    </x:row>
    <x:row r="107">
      <x:c r="A107"/>
      <x:c r="B107"/>
      <x:c r="C107"/>
      <x:c r="D107"/>
      <x:c r="E107"/>
      <x:c r="F107"/>
      <x:c r="G107"/>
      <x:c r="H107"/>
      <x:c r="I107"/>
    </x:row>
    <x:row r="108">
      <x:c r="A108"/>
      <x:c r="B108"/>
      <x:c r="C108"/>
      <x:c r="D108"/>
      <x:c r="E108"/>
      <x:c r="F108"/>
      <x:c r="G108"/>
      <x:c r="H108"/>
      <x:c r="I108"/>
    </x:row>
    <x:row r="109">
      <x:c r="A109"/>
      <x:c r="B109"/>
      <x:c r="C109"/>
      <x:c r="D109"/>
      <x:c r="E109"/>
      <x:c r="F109"/>
      <x:c r="G109"/>
      <x:c r="H109"/>
      <x:c r="I109"/>
    </x:row>
    <x:row r="110">
      <x:c r="A110"/>
      <x:c r="B110"/>
      <x:c r="C110"/>
      <x:c r="D110"/>
      <x:c r="E110"/>
      <x:c r="F110"/>
      <x:c r="G110"/>
      <x:c r="H110"/>
      <x:c r="I110"/>
    </x:row>
    <x:row r="111">
      <x:c r="A111"/>
      <x:c r="B111"/>
      <x:c r="C111"/>
      <x:c r="D111"/>
      <x:c r="E111"/>
      <x:c r="F111"/>
      <x:c r="G111"/>
      <x:c r="H111"/>
      <x:c r="I111"/>
    </x:row>
    <x:row r="112">
      <x:c r="A112"/>
      <x:c r="B112"/>
      <x:c r="C112"/>
      <x:c r="D112"/>
      <x:c r="E112"/>
      <x:c r="F112"/>
      <x:c r="G112"/>
      <x:c r="H112"/>
      <x:c r="I112"/>
    </x:row>
    <x:row r="113">
      <x:c r="A113"/>
      <x:c r="B113"/>
      <x:c r="C113"/>
      <x:c r="D113"/>
      <x:c r="E113"/>
      <x:c r="F113"/>
      <x:c r="G113"/>
      <x:c r="H113"/>
      <x:c r="I113"/>
    </x:row>
    <x:row r="114">
      <x:c r="A114"/>
      <x:c r="B114"/>
      <x:c r="C114"/>
      <x:c r="D114"/>
      <x:c r="E114"/>
      <x:c r="F114"/>
      <x:c r="G114"/>
      <x:c r="H114"/>
      <x:c r="I114"/>
    </x:row>
    <x:row r="115">
      <x:c r="A115"/>
      <x:c r="B115"/>
      <x:c r="C115"/>
      <x:c r="D115"/>
      <x:c r="E115"/>
      <x:c r="F115"/>
      <x:c r="G115"/>
      <x:c r="H115"/>
      <x:c r="I115"/>
    </x:row>
    <x:row r="116">
      <x:c r="A116"/>
      <x:c r="B116"/>
      <x:c r="C116"/>
      <x:c r="D116"/>
      <x:c r="E116"/>
      <x:c r="F116"/>
      <x:c r="G116"/>
      <x:c r="H116"/>
      <x:c r="I116"/>
    </x:row>
    <x:row r="117">
      <x:c r="A117"/>
      <x:c r="B117"/>
      <x:c r="C117"/>
      <x:c r="D117"/>
      <x:c r="E117"/>
      <x:c r="F117"/>
      <x:c r="G117"/>
      <x:c r="H117"/>
      <x:c r="I117"/>
    </x:row>
    <x:row r="118">
      <x:c r="A118"/>
      <x:c r="B118"/>
      <x:c r="C118"/>
      <x:c r="D118"/>
      <x:c r="E118"/>
      <x:c r="F118"/>
      <x:c r="G118"/>
      <x:c r="H118"/>
      <x:c r="I118"/>
    </x:row>
    <x:row r="119">
      <x:c r="A119"/>
      <x:c r="B119"/>
      <x:c r="C119"/>
      <x:c r="D119"/>
      <x:c r="E119"/>
      <x:c r="F119"/>
      <x:c r="G119"/>
      <x:c r="H119"/>
      <x:c r="I119"/>
    </x:row>
    <x:row r="120">
      <x:c r="A120"/>
      <x:c r="B120"/>
      <x:c r="C120"/>
      <x:c r="D120"/>
      <x:c r="E120"/>
      <x:c r="F120"/>
      <x:c r="G120"/>
      <x:c r="H120"/>
      <x:c r="I120"/>
    </x:row>
    <x:row r="122">
      <x:c r="A122" s="77" t="str">
        <x:v>人工终审</x:v>
      </x:c>
      <x:c r="B122" s="77" t="str">
        <x:v>fact_units[].reviewer_a/reviewer_b</x:v>
      </x:c>
      <x:c r="C122" s="77" t="str">
        <x:v>事实双人标签</x:v>
      </x:c>
      <x:c r="D122" s="77" t="str">
        <x:v>enum</x:v>
      </x:c>
      <x:c r="E122" s="77" t="str">
        <x:v>新增必填</x:v>
      </x:c>
      <x:c r="F122" s="77" t="str">
        <x:v>FINAL_HUMAN_REVIEWED</x:v>
      </x:c>
      <x:c r="G122" s="77" t="str">
        <x:v>SUPPORTED/HALLUCINATION</x:v>
      </x:c>
      <x:c r="H122" s="77" t="str">
        <x:v>最终发布幻觉率</x:v>
      </x:c>
      <x:c r="I122" s="77" t="str">
        <x:v>不覆盖自动初算</x:v>
      </x:c>
    </x:row>
    <x:row r="123">
      <x:c r="A123" t="str">
        <x:v>人工终审</x:v>
      </x:c>
      <x:c r="B123" t="str">
        <x:v>fact_units[].rule_hits</x:v>
      </x:c>
      <x:c r="C123" t="str">
        <x:v>人工确认规则</x:v>
      </x:c>
      <x:c r="D123" t="str">
        <x:v>array</x:v>
      </x:c>
      <x:c r="E123" t="str">
        <x:v>幻觉时必填</x:v>
      </x:c>
      <x:c r="F123" t="str">
        <x:v>FINAL_HUMAN_REVIEWED</x:v>
      </x:c>
      <x:c r="G123" t="str">
        <x:v>R-01/R-02/R-04/R-05/R-06</x:v>
      </x:c>
      <x:c r="H123" t="str">
        <x:v>最终发布幻觉率</x:v>
      </x:c>
      <x:c r="I123" t="str">
        <x:v>同单元多规则仍只计1次</x:v>
      </x:c>
    </x:row>
    <x:row r="124">
      <x:c r="A124" t="str">
        <x:v>人工终审</x:v>
      </x:c>
      <x:c r="B124" t="str">
        <x:v>coverage_cells[].coverage_cell_id</x:v>
      </x:c>
      <x:c r="C124" t="str">
        <x:v>Seed覆盖格ID</x:v>
      </x:c>
      <x:c r="D124" t="str">
        <x:v>string</x:v>
      </x:c>
      <x:c r="E124" t="str">
        <x:v>必填</x:v>
      </x:c>
      <x:c r="F124" t="str">
        <x:v>两轮完整TRACE</x:v>
      </x:c>
      <x:c r="G124" t="str">
        <x:v>seed+case稳定ID</x:v>
      </x:c>
      <x:c r="H124" t="str">
        <x:v>覆盖率</x:v>
      </x:c>
      <x:c r="I124" t="str">
        <x:v>Seed A/B不得互相覆盖</x:v>
      </x:c>
    </x:row>
    <x:row r="125">
      <x:c r="A125" t="str">
        <x:v>适配</x:v>
      </x:c>
      <x:c r="B125" t="str">
        <x:v>adaptation_nodes[].effective_adaptation</x:v>
      </x:c>
      <x:c r="C125" t="str">
        <x:v>有效自动适配</x:v>
      </x:c>
      <x:c r="D125" t="str">
        <x:v>boolean</x:v>
      </x:c>
      <x:c r="E125" t="str">
        <x:v>派生</x:v>
      </x:c>
      <x:c r="F125" t="str">
        <x:v>每个应适配节点</x:v>
      </x:c>
      <x:c r="G125" t="str">
        <x:v>0/1</x:v>
      </x:c>
      <x:c r="H125" t="str">
        <x:v>有效自动适配率</x:v>
      </x:c>
      <x:c r="I125" t="str">
        <x:v>keep为0</x:v>
      </x:c>
    </x:row>
    <x:row r="126">
      <x:c r="A126" t="str">
        <x:v>覆盖</x:v>
      </x:c>
      <x:c r="B126" t="str">
        <x:v>coverage_cells[].learning_contract_match</x:v>
      </x:c>
      <x:c r="C126" t="str">
        <x:v>学习契约匹配</x:v>
      </x:c>
      <x:c r="D126" t="str">
        <x:v>boolean</x:v>
      </x:c>
      <x:c r="E126" t="str">
        <x:v>必填</x:v>
      </x:c>
      <x:c r="F126" t="str">
        <x:v>覆盖30格</x:v>
      </x:c>
      <x:c r="G126" t="str">
        <x:v>0/1</x:v>
      </x:c>
      <x:c r="H126" t="str">
        <x:v>覆盖率</x:v>
      </x:c>
      <x:c r="I126" t="str">
        <x:v>契约目标点与起始/修订难度一致</x:v>
      </x:c>
    </x:row>
    <x:row r="127">
      <x:c r="A127" t="str">
        <x:v>覆盖</x:v>
      </x:c>
      <x:c r="B127" t="str">
        <x:v>coverage_cells[].profile_resource_match</x:v>
      </x:c>
      <x:c r="C127" t="str">
        <x:v>岗位画像资源匹配</x:v>
      </x:c>
      <x:c r="D127" t="str">
        <x:v>boolean</x:v>
      </x:c>
      <x:c r="E127" t="str">
        <x:v>必填</x:v>
      </x:c>
      <x:c r="F127" t="str">
        <x:v>覆盖30格</x:v>
      </x:c>
      <x:c r="G127" t="str">
        <x:v>0/1</x:v>
      </x:c>
      <x:c r="H127" t="str">
        <x:v>覆盖率</x:v>
      </x:c>
      <x:c r="I127" t="str">
        <x:v>最终资源student_profile_ref一致</x:v>
      </x:c>
    </x:row>
  </x:sheetData>
  <x:mergeCells>
    <x:mergeCell ref="A1:I1"/>
  </x:mergeCells>
  <x:conditionalFormatting sqref="E4:E88">
    <x:cfRule type="expression" dxfId="0" priority="1">
      <x:formula>ISNUMBER(SEARCH("新增",E4))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1ba68aa64e146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55" hidden="0" customWidth="1"/>
    <x:col min="13" max="13" width="25" hidden="0" customWidth="1"/>
    <x:col min="14" max="14" width="12" hidden="0" customWidth="1"/>
    <x:col min="15" max="15" width="18" hidden="0" customWidth="1"/>
    <x:col min="16" max="16" width="36" hidden="0" customWidth="1"/>
    <x:col min="17" max="17" width="12" hidden="0" customWidth="1"/>
    <x:col min="18" max="18" width="14" hidden="0" customWidth="1"/>
    <x:col min="19" max="19" width="14" hidden="0" customWidth="1"/>
    <x:col min="20" max="20" width="18" hidden="0" customWidth="1"/>
    <x:col min="21" max="21" width="18" hidden="0" customWidth="1"/>
    <x:col min="22" max="22" width="16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</x:cols>
  <x:sheetData>
    <x:row r="1" ht="28" customHeight="1">
      <x:c r="A1" s="5" t="str">
        <x:v>事实内容单元表｜最终幻觉率与幻觉拦截率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</x:row>
    <x:row r="3" ht="30" customHeight="1">
      <x:c r="A3" s="20" t="str">
        <x:v>run_id</x:v>
      </x:c>
      <x:c r="B3" s="20" t="str">
        <x:v>seed_id</x:v>
      </x:c>
      <x:c r="C3" s="20" t="str">
        <x:v>case_id</x:v>
      </x:c>
      <x:c r="D3" s="20" t="str">
        <x:v>session_id</x:v>
      </x:c>
      <x:c r="E3" s="20" t="str">
        <x:v>artifact_id</x:v>
      </x:c>
      <x:c r="F3" s="20" t="str">
        <x:v>artifact_version_id</x:v>
      </x:c>
      <x:c r="G3" s="20" t="str">
        <x:v>lineage_id</x:v>
      </x:c>
      <x:c r="H3" s="20" t="str">
        <x:v>generation_stage</x:v>
      </x:c>
      <x:c r="I3" s="20" t="str">
        <x:v>content_unit_id</x:v>
      </x:c>
      <x:c r="J3" s="20" t="str">
        <x:v>lineage_unit_id</x:v>
      </x:c>
      <x:c r="K3" s="20" t="str">
        <x:v>unit_kind</x:v>
      </x:c>
      <x:c r="L3" s="20" t="str">
        <x:v>content_text</x:v>
      </x:c>
      <x:c r="M3" s="20" t="str">
        <x:v>evidence_ids</x:v>
      </x:c>
      <x:c r="N3" s="20" t="str">
        <x:v>published_final</x:v>
      </x:c>
      <x:c r="O3" s="20" t="str">
        <x:v>auto_preliminary_label</x:v>
      </x:c>
      <x:c r="P3" s="20" t="str">
        <x:v>hallucination_reason</x:v>
      </x:c>
      <x:c r="Q3" s="20" t="str">
        <x:v>first_generation</x:v>
      </x:c>
      <x:c r="R3" s="20" t="str">
        <x:v>auto_review_detected</x:v>
      </x:c>
      <x:c r="S3" s="20" t="str">
        <x:v>auto_intercepted</x:v>
      </x:c>
      <x:c r="T3" s="20" t="str">
        <x:v>review_event_id</x:v>
      </x:c>
      <x:c r="U3" s="20" t="str">
        <x:v>rule_hits</x:v>
      </x:c>
      <x:c r="V3" s="20" t="str">
        <x:v>adjudicator</x:v>
      </x:c>
      <x:c r="W3" s="20" t="str">
        <x:v>final_fact_denominator</x:v>
      </x:c>
      <x:c r="X3" s="20" t="str">
        <x:v>final_hallucination_numerator</x:v>
      </x:c>
      <x:c r="Y3" s="20" t="str">
        <x:v>native_error_denominator</x:v>
      </x:c>
      <x:c r="Z3" s="20" t="str">
        <x:v>interception_numerator</x:v>
      </x:c>
      <x:c r="AA3" s="69" t="str">
        <x:v>reviewer_a_label</x:v>
      </x:c>
      <x:c r="AB3" s="69" t="str">
        <x:v>reviewer_b_label</x:v>
      </x:c>
      <x:c r="AC3" s="69" t="str">
        <x:v>review_disagreement</x:v>
      </x:c>
      <x:c r="AD3" s="69" t="str">
        <x:v>adjudicator_label</x:v>
      </x:c>
      <x:c r="AE3" s="69" t="str">
        <x:v>final_human_label</x:v>
      </x:c>
      <x:c r="AF3" s="69" t="str">
        <x:v>human_review_complete</x:v>
      </x:c>
      <x:c r="AG3" s="69" t="str">
        <x:v>final_fact_denominator_final</x:v>
      </x:c>
      <x:c r="AH3" s="69" t="str">
        <x:v>final_hallucination_numerator_final</x:v>
      </x:c>
      <x:c r="AI3" s="69" t="str">
        <x:v>native_error_denominator_final</x:v>
      </x:c>
      <x:c r="AJ3" s="69" t="str">
        <x:v>interception_numerator_final</x:v>
      </x:c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43" t="n">
        <x:f>--AND(N4=1,OR(O4="SUPPORTED",O4="HALLUCINATION"))</x:f>
        <x:v>0</x:v>
      </x:c>
      <x:c r="X4" s="43" t="n">
        <x:f>--AND(W4=1,O4="HALLUCINATION")</x:f>
        <x:v>0</x:v>
      </x:c>
      <x:c r="Y4" s="43" t="n">
        <x:f>--AND(Q4=1,O4="HALLUCINATION")</x:f>
        <x:v>0</x:v>
      </x:c>
      <x:c r="Z4" s="43" t="n">
        <x:f>--AND(Y4=1,R4=1,S4=1)</x:f>
        <x:v>0</x:v>
      </x:c>
      <x:c r="AC4" t="str">
        <x:f>IF(OR(AA4="",AB4=""),"",--(AA4&lt;&gt;AB4))</x:f>
      </x:c>
      <x:c r="AE4" t="str">
        <x:f>IF(OR(AA4="",AB4=""),"PENDING_HUMAN",IF(AA4=AB4,AA4,IF(AD4&lt;&gt;"",AD4,"PENDING_HUMAN")))</x:f>
        <x:v>PENDING_HUMAN</x:v>
      </x:c>
      <x:c r="AF4" t="n">
        <x:f>--AND(A4&lt;&gt;"",AA4&lt;&gt;"",AB4&lt;&gt;"",OR(AA4=AB4,AD4&lt;&gt;""),IF(AE4="HALLUCINATION",U4&lt;&gt;"",TRUE))</x:f>
        <x:v>0</x:v>
      </x:c>
      <x:c r="AG4" t="n">
        <x:f>--AND(N4=1,AF4=1,OR(AE4="SUPPORTED",AE4="HALLUCINATION"))</x:f>
        <x:v>0</x:v>
      </x:c>
      <x:c r="AH4" t="n">
        <x:f>--AND(AG4=1,AE4="HALLUCINATION")</x:f>
        <x:v>0</x:v>
      </x:c>
      <x:c r="AI4" t="n">
        <x:f>--AND(Q4=1,AF4=1,AE4="HALLUCINATION")</x:f>
        <x:v>0</x:v>
      </x:c>
      <x:c r="AJ4" t="n">
        <x:f>--AND(AI4=1,R4=1,S4=1)</x:f>
        <x:v>0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43" t="n">
        <x:f>--AND(N5=1,OR(O5="SUPPORTED",O5="HALLUCINATION"))</x:f>
        <x:v>0</x:v>
      </x:c>
      <x:c r="X5" s="43" t="n">
        <x:f>--AND(W5=1,O5="HALLUCINATION")</x:f>
        <x:v>0</x:v>
      </x:c>
      <x:c r="Y5" s="43" t="n">
        <x:f>--AND(Q5=1,O5="HALLUCINATION")</x:f>
        <x:v>0</x:v>
      </x:c>
      <x:c r="Z5" s="43" t="n">
        <x:f>--AND(Y5=1,R5=1,S5=1)</x:f>
        <x:v>0</x:v>
      </x:c>
      <x:c r="AC5" t="str">
        <x:f>IF(OR(AA5="",AB5=""),"",--(AA5&lt;&gt;AB5))</x:f>
      </x:c>
      <x:c r="AE5" t="str">
        <x:f>IF(OR(AA5="",AB5=""),"PENDING_HUMAN",IF(AA5=AB5,AA5,IF(AD5&lt;&gt;"",AD5,"PENDING_HUMAN")))</x:f>
        <x:v>PENDING_HUMAN</x:v>
      </x:c>
      <x:c r="AF5" t="n">
        <x:f>--AND(A5&lt;&gt;"",AA5&lt;&gt;"",AB5&lt;&gt;"",OR(AA5=AB5,AD5&lt;&gt;""),IF(AE5="HALLUCINATION",U5&lt;&gt;"",TRUE))</x:f>
        <x:v>0</x:v>
      </x:c>
      <x:c r="AG5" t="n">
        <x:f>--AND(N5=1,AF5=1,OR(AE5="SUPPORTED",AE5="HALLUCINATION"))</x:f>
        <x:v>0</x:v>
      </x:c>
      <x:c r="AH5" t="n">
        <x:f>--AND(AG5=1,AE5="HALLUCINATION")</x:f>
        <x:v>0</x:v>
      </x:c>
      <x:c r="AI5" t="n">
        <x:f>--AND(Q5=1,AF5=1,AE5="HALLUCINATION")</x:f>
        <x:v>0</x:v>
      </x:c>
      <x:c r="AJ5" t="n">
        <x:f>--AND(AI5=1,R5=1,S5=1)</x:f>
        <x:v>0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43" t="n">
        <x:f>--AND(N6=1,OR(O6="SUPPORTED",O6="HALLUCINATION"))</x:f>
        <x:v>0</x:v>
      </x:c>
      <x:c r="X6" s="43" t="n">
        <x:f>--AND(W6=1,O6="HALLUCINATION")</x:f>
        <x:v>0</x:v>
      </x:c>
      <x:c r="Y6" s="43" t="n">
        <x:f>--AND(Q6=1,O6="HALLUCINATION")</x:f>
        <x:v>0</x:v>
      </x:c>
      <x:c r="Z6" s="43" t="n">
        <x:f>--AND(Y6=1,R6=1,S6=1)</x:f>
        <x:v>0</x:v>
      </x:c>
      <x:c r="AC6" t="str">
        <x:f>IF(OR(AA6="",AB6=""),"",--(AA6&lt;&gt;AB6))</x:f>
      </x:c>
      <x:c r="AE6" t="str">
        <x:f>IF(OR(AA6="",AB6=""),"PENDING_HUMAN",IF(AA6=AB6,AA6,IF(AD6&lt;&gt;"",AD6,"PENDING_HUMAN")))</x:f>
        <x:v>PENDING_HUMAN</x:v>
      </x:c>
      <x:c r="AF6" t="n">
        <x:f>--AND(A6&lt;&gt;"",AA6&lt;&gt;"",AB6&lt;&gt;"",OR(AA6=AB6,AD6&lt;&gt;""),IF(AE6="HALLUCINATION",U6&lt;&gt;"",TRUE))</x:f>
        <x:v>0</x:v>
      </x:c>
      <x:c r="AG6" t="n">
        <x:f>--AND(N6=1,AF6=1,OR(AE6="SUPPORTED",AE6="HALLUCINATION"))</x:f>
        <x:v>0</x:v>
      </x:c>
      <x:c r="AH6" t="n">
        <x:f>--AND(AG6=1,AE6="HALLUCINATION")</x:f>
        <x:v>0</x:v>
      </x:c>
      <x:c r="AI6" t="n">
        <x:f>--AND(Q6=1,AF6=1,AE6="HALLUCINATION")</x:f>
        <x:v>0</x:v>
      </x:c>
      <x:c r="AJ6" t="n">
        <x:f>--AND(AI6=1,R6=1,S6=1)</x:f>
        <x:v>0</x:v>
      </x:c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43" t="n">
        <x:f>--AND(N7=1,OR(O7="SUPPORTED",O7="HALLUCINATION"))</x:f>
        <x:v>0</x:v>
      </x:c>
      <x:c r="X7" s="43" t="n">
        <x:f>--AND(W7=1,O7="HALLUCINATION")</x:f>
        <x:v>0</x:v>
      </x:c>
      <x:c r="Y7" s="43" t="n">
        <x:f>--AND(Q7=1,O7="HALLUCINATION")</x:f>
        <x:v>0</x:v>
      </x:c>
      <x:c r="Z7" s="43" t="n">
        <x:f>--AND(Y7=1,R7=1,S7=1)</x:f>
        <x:v>0</x:v>
      </x:c>
      <x:c r="AC7" t="str">
        <x:f>IF(OR(AA7="",AB7=""),"",--(AA7&lt;&gt;AB7))</x:f>
      </x:c>
      <x:c r="AE7" t="str">
        <x:f>IF(OR(AA7="",AB7=""),"PENDING_HUMAN",IF(AA7=AB7,AA7,IF(AD7&lt;&gt;"",AD7,"PENDING_HUMAN")))</x:f>
        <x:v>PENDING_HUMAN</x:v>
      </x:c>
      <x:c r="AF7" t="n">
        <x:f>--AND(A7&lt;&gt;"",AA7&lt;&gt;"",AB7&lt;&gt;"",OR(AA7=AB7,AD7&lt;&gt;""),IF(AE7="HALLUCINATION",U7&lt;&gt;"",TRUE))</x:f>
        <x:v>0</x:v>
      </x:c>
      <x:c r="AG7" t="n">
        <x:f>--AND(N7=1,AF7=1,OR(AE7="SUPPORTED",AE7="HALLUCINATION"))</x:f>
        <x:v>0</x:v>
      </x:c>
      <x:c r="AH7" t="n">
        <x:f>--AND(AG7=1,AE7="HALLUCINATION")</x:f>
        <x:v>0</x:v>
      </x:c>
      <x:c r="AI7" t="n">
        <x:f>--AND(Q7=1,AF7=1,AE7="HALLUCINATION")</x:f>
        <x:v>0</x:v>
      </x:c>
      <x:c r="AJ7" t="n">
        <x:f>--AND(AI7=1,R7=1,S7=1)</x:f>
        <x:v>0</x:v>
      </x:c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43" t="n">
        <x:f>--AND(N8=1,OR(O8="SUPPORTED",O8="HALLUCINATION"))</x:f>
        <x:v>0</x:v>
      </x:c>
      <x:c r="X8" s="43" t="n">
        <x:f>--AND(W8=1,O8="HALLUCINATION")</x:f>
        <x:v>0</x:v>
      </x:c>
      <x:c r="Y8" s="43" t="n">
        <x:f>--AND(Q8=1,O8="HALLUCINATION")</x:f>
        <x:v>0</x:v>
      </x:c>
      <x:c r="Z8" s="43" t="n">
        <x:f>--AND(Y8=1,R8=1,S8=1)</x:f>
        <x:v>0</x:v>
      </x:c>
      <x:c r="AC8" t="str">
        <x:f>IF(OR(AA8="",AB8=""),"",--(AA8&lt;&gt;AB8))</x:f>
      </x:c>
      <x:c r="AE8" t="str">
        <x:f>IF(OR(AA8="",AB8=""),"PENDING_HUMAN",IF(AA8=AB8,AA8,IF(AD8&lt;&gt;"",AD8,"PENDING_HUMAN")))</x:f>
        <x:v>PENDING_HUMAN</x:v>
      </x:c>
      <x:c r="AF8" t="n">
        <x:f>--AND(A8&lt;&gt;"",AA8&lt;&gt;"",AB8&lt;&gt;"",OR(AA8=AB8,AD8&lt;&gt;""),IF(AE8="HALLUCINATION",U8&lt;&gt;"",TRUE))</x:f>
        <x:v>0</x:v>
      </x:c>
      <x:c r="AG8" t="n">
        <x:f>--AND(N8=1,AF8=1,OR(AE8="SUPPORTED",AE8="HALLUCINATION"))</x:f>
        <x:v>0</x:v>
      </x:c>
      <x:c r="AH8" t="n">
        <x:f>--AND(AG8=1,AE8="HALLUCINATION")</x:f>
        <x:v>0</x:v>
      </x:c>
      <x:c r="AI8" t="n">
        <x:f>--AND(Q8=1,AF8=1,AE8="HALLUCINATION")</x:f>
        <x:v>0</x:v>
      </x:c>
      <x:c r="AJ8" t="n">
        <x:f>--AND(AI8=1,R8=1,S8=1)</x:f>
        <x:v>0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43" t="n">
        <x:f>--AND(N9=1,OR(O9="SUPPORTED",O9="HALLUCINATION"))</x:f>
        <x:v>0</x:v>
      </x:c>
      <x:c r="X9" s="43" t="n">
        <x:f>--AND(W9=1,O9="HALLUCINATION")</x:f>
        <x:v>0</x:v>
      </x:c>
      <x:c r="Y9" s="43" t="n">
        <x:f>--AND(Q9=1,O9="HALLUCINATION")</x:f>
        <x:v>0</x:v>
      </x:c>
      <x:c r="Z9" s="43" t="n">
        <x:f>--AND(Y9=1,R9=1,S9=1)</x:f>
        <x:v>0</x:v>
      </x:c>
      <x:c r="AC9" t="str">
        <x:f>IF(OR(AA9="",AB9=""),"",--(AA9&lt;&gt;AB9))</x:f>
      </x:c>
      <x:c r="AE9" t="str">
        <x:f>IF(OR(AA9="",AB9=""),"PENDING_HUMAN",IF(AA9=AB9,AA9,IF(AD9&lt;&gt;"",AD9,"PENDING_HUMAN")))</x:f>
        <x:v>PENDING_HUMAN</x:v>
      </x:c>
      <x:c r="AF9" t="n">
        <x:f>--AND(A9&lt;&gt;"",AA9&lt;&gt;"",AB9&lt;&gt;"",OR(AA9=AB9,AD9&lt;&gt;""),IF(AE9="HALLUCINATION",U9&lt;&gt;"",TRUE))</x:f>
        <x:v>0</x:v>
      </x:c>
      <x:c r="AG9" t="n">
        <x:f>--AND(N9=1,AF9=1,OR(AE9="SUPPORTED",AE9="HALLUCINATION"))</x:f>
        <x:v>0</x:v>
      </x:c>
      <x:c r="AH9" t="n">
        <x:f>--AND(AG9=1,AE9="HALLUCINATION")</x:f>
        <x:v>0</x:v>
      </x:c>
      <x:c r="AI9" t="n">
        <x:f>--AND(Q9=1,AF9=1,AE9="HALLUCINATION")</x:f>
        <x:v>0</x:v>
      </x:c>
      <x:c r="AJ9" t="n">
        <x:f>--AND(AI9=1,R9=1,S9=1)</x:f>
        <x:v>0</x:v>
      </x:c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43" t="n">
        <x:f>--AND(N10=1,OR(O10="SUPPORTED",O10="HALLUCINATION"))</x:f>
        <x:v>0</x:v>
      </x:c>
      <x:c r="X10" s="43" t="n">
        <x:f>--AND(W10=1,O10="HALLUCINATION")</x:f>
        <x:v>0</x:v>
      </x:c>
      <x:c r="Y10" s="43" t="n">
        <x:f>--AND(Q10=1,O10="HALLUCINATION")</x:f>
        <x:v>0</x:v>
      </x:c>
      <x:c r="Z10" s="43" t="n">
        <x:f>--AND(Y10=1,R10=1,S10=1)</x:f>
        <x:v>0</x:v>
      </x:c>
      <x:c r="AC10" t="str">
        <x:f>IF(OR(AA10="",AB10=""),"",--(AA10&lt;&gt;AB10))</x:f>
      </x:c>
      <x:c r="AE10" t="str">
        <x:f>IF(OR(AA10="",AB10=""),"PENDING_HUMAN",IF(AA10=AB10,AA10,IF(AD10&lt;&gt;"",AD10,"PENDING_HUMAN")))</x:f>
        <x:v>PENDING_HUMAN</x:v>
      </x:c>
      <x:c r="AF10" t="n">
        <x:f>--AND(A10&lt;&gt;"",AA10&lt;&gt;"",AB10&lt;&gt;"",OR(AA10=AB10,AD10&lt;&gt;""),IF(AE10="HALLUCINATION",U10&lt;&gt;"",TRUE))</x:f>
        <x:v>0</x:v>
      </x:c>
      <x:c r="AG10" t="n">
        <x:f>--AND(N10=1,AF10=1,OR(AE10="SUPPORTED",AE10="HALLUCINATION"))</x:f>
        <x:v>0</x:v>
      </x:c>
      <x:c r="AH10" t="n">
        <x:f>--AND(AG10=1,AE10="HALLUCINATION")</x:f>
        <x:v>0</x:v>
      </x:c>
      <x:c r="AI10" t="n">
        <x:f>--AND(Q10=1,AF10=1,AE10="HALLUCINATION")</x:f>
        <x:v>0</x:v>
      </x:c>
      <x:c r="AJ10" t="n">
        <x:f>--AND(AI10=1,R10=1,S10=1)</x:f>
        <x:v>0</x:v>
      </x:c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43" t="n">
        <x:f>--AND(N11=1,OR(O11="SUPPORTED",O11="HALLUCINATION"))</x:f>
        <x:v>0</x:v>
      </x:c>
      <x:c r="X11" s="43" t="n">
        <x:f>--AND(W11=1,O11="HALLUCINATION")</x:f>
        <x:v>0</x:v>
      </x:c>
      <x:c r="Y11" s="43" t="n">
        <x:f>--AND(Q11=1,O11="HALLUCINATION")</x:f>
        <x:v>0</x:v>
      </x:c>
      <x:c r="Z11" s="43" t="n">
        <x:f>--AND(Y11=1,R11=1,S11=1)</x:f>
        <x:v>0</x:v>
      </x:c>
      <x:c r="AC11" t="str">
        <x:f>IF(OR(AA11="",AB11=""),"",--(AA11&lt;&gt;AB11))</x:f>
      </x:c>
      <x:c r="AE11" t="str">
        <x:f>IF(OR(AA11="",AB11=""),"PENDING_HUMAN",IF(AA11=AB11,AA11,IF(AD11&lt;&gt;"",AD11,"PENDING_HUMAN")))</x:f>
        <x:v>PENDING_HUMAN</x:v>
      </x:c>
      <x:c r="AF11" t="n">
        <x:f>--AND(A11&lt;&gt;"",AA11&lt;&gt;"",AB11&lt;&gt;"",OR(AA11=AB11,AD11&lt;&gt;""),IF(AE11="HALLUCINATION",U11&lt;&gt;"",TRUE))</x:f>
        <x:v>0</x:v>
      </x:c>
      <x:c r="AG11" t="n">
        <x:f>--AND(N11=1,AF11=1,OR(AE11="SUPPORTED",AE11="HALLUCINATION"))</x:f>
        <x:v>0</x:v>
      </x:c>
      <x:c r="AH11" t="n">
        <x:f>--AND(AG11=1,AE11="HALLUCINATION")</x:f>
        <x:v>0</x:v>
      </x:c>
      <x:c r="AI11" t="n">
        <x:f>--AND(Q11=1,AF11=1,AE11="HALLUCINATION")</x:f>
        <x:v>0</x:v>
      </x:c>
      <x:c r="AJ11" t="n">
        <x:f>--AND(AI11=1,R11=1,S11=1)</x:f>
        <x:v>0</x:v>
      </x:c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43" t="n">
        <x:f>--AND(N12=1,OR(O12="SUPPORTED",O12="HALLUCINATION"))</x:f>
        <x:v>0</x:v>
      </x:c>
      <x:c r="X12" s="43" t="n">
        <x:f>--AND(W12=1,O12="HALLUCINATION")</x:f>
        <x:v>0</x:v>
      </x:c>
      <x:c r="Y12" s="43" t="n">
        <x:f>--AND(Q12=1,O12="HALLUCINATION")</x:f>
        <x:v>0</x:v>
      </x:c>
      <x:c r="Z12" s="43" t="n">
        <x:f>--AND(Y12=1,R12=1,S12=1)</x:f>
        <x:v>0</x:v>
      </x:c>
      <x:c r="AC12" t="str">
        <x:f>IF(OR(AA12="",AB12=""),"",--(AA12&lt;&gt;AB12))</x:f>
      </x:c>
      <x:c r="AE12" t="str">
        <x:f>IF(OR(AA12="",AB12=""),"PENDING_HUMAN",IF(AA12=AB12,AA12,IF(AD12&lt;&gt;"",AD12,"PENDING_HUMAN")))</x:f>
        <x:v>PENDING_HUMAN</x:v>
      </x:c>
      <x:c r="AF12" t="n">
        <x:f>--AND(A12&lt;&gt;"",AA12&lt;&gt;"",AB12&lt;&gt;"",OR(AA12=AB12,AD12&lt;&gt;""),IF(AE12="HALLUCINATION",U12&lt;&gt;"",TRUE))</x:f>
        <x:v>0</x:v>
      </x:c>
      <x:c r="AG12" t="n">
        <x:f>--AND(N12=1,AF12=1,OR(AE12="SUPPORTED",AE12="HALLUCINATION"))</x:f>
        <x:v>0</x:v>
      </x:c>
      <x:c r="AH12" t="n">
        <x:f>--AND(AG12=1,AE12="HALLUCINATION")</x:f>
        <x:v>0</x:v>
      </x:c>
      <x:c r="AI12" t="n">
        <x:f>--AND(Q12=1,AF12=1,AE12="HALLUCINATION")</x:f>
        <x:v>0</x:v>
      </x:c>
      <x:c r="AJ12" t="n">
        <x:f>--AND(AI12=1,R12=1,S12=1)</x:f>
        <x:v>0</x:v>
      </x:c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43" t="n">
        <x:f>--AND(N13=1,OR(O13="SUPPORTED",O13="HALLUCINATION"))</x:f>
        <x:v>0</x:v>
      </x:c>
      <x:c r="X13" s="43" t="n">
        <x:f>--AND(W13=1,O13="HALLUCINATION")</x:f>
        <x:v>0</x:v>
      </x:c>
      <x:c r="Y13" s="43" t="n">
        <x:f>--AND(Q13=1,O13="HALLUCINATION")</x:f>
        <x:v>0</x:v>
      </x:c>
      <x:c r="Z13" s="43" t="n">
        <x:f>--AND(Y13=1,R13=1,S13=1)</x:f>
        <x:v>0</x:v>
      </x:c>
      <x:c r="AC13" t="str">
        <x:f>IF(OR(AA13="",AB13=""),"",--(AA13&lt;&gt;AB13))</x:f>
      </x:c>
      <x:c r="AE13" t="str">
        <x:f>IF(OR(AA13="",AB13=""),"PENDING_HUMAN",IF(AA13=AB13,AA13,IF(AD13&lt;&gt;"",AD13,"PENDING_HUMAN")))</x:f>
        <x:v>PENDING_HUMAN</x:v>
      </x:c>
      <x:c r="AF13" t="n">
        <x:f>--AND(A13&lt;&gt;"",AA13&lt;&gt;"",AB13&lt;&gt;"",OR(AA13=AB13,AD13&lt;&gt;""),IF(AE13="HALLUCINATION",U13&lt;&gt;"",TRUE))</x:f>
        <x:v>0</x:v>
      </x:c>
      <x:c r="AG13" t="n">
        <x:f>--AND(N13=1,AF13=1,OR(AE13="SUPPORTED",AE13="HALLUCINATION"))</x:f>
        <x:v>0</x:v>
      </x:c>
      <x:c r="AH13" t="n">
        <x:f>--AND(AG13=1,AE13="HALLUCINATION")</x:f>
        <x:v>0</x:v>
      </x:c>
      <x:c r="AI13" t="n">
        <x:f>--AND(Q13=1,AF13=1,AE13="HALLUCINATION")</x:f>
        <x:v>0</x:v>
      </x:c>
      <x:c r="AJ13" t="n">
        <x:f>--AND(AI13=1,R13=1,S13=1)</x:f>
        <x:v>0</x:v>
      </x:c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43" t="n">
        <x:f>--AND(N14=1,OR(O14="SUPPORTED",O14="HALLUCINATION"))</x:f>
        <x:v>0</x:v>
      </x:c>
      <x:c r="X14" s="43" t="n">
        <x:f>--AND(W14=1,O14="HALLUCINATION")</x:f>
        <x:v>0</x:v>
      </x:c>
      <x:c r="Y14" s="43" t="n">
        <x:f>--AND(Q14=1,O14="HALLUCINATION")</x:f>
        <x:v>0</x:v>
      </x:c>
      <x:c r="Z14" s="43" t="n">
        <x:f>--AND(Y14=1,R14=1,S14=1)</x:f>
        <x:v>0</x:v>
      </x:c>
      <x:c r="AC14" t="str">
        <x:f>IF(OR(AA14="",AB14=""),"",--(AA14&lt;&gt;AB14))</x:f>
      </x:c>
      <x:c r="AE14" t="str">
        <x:f>IF(OR(AA14="",AB14=""),"PENDING_HUMAN",IF(AA14=AB14,AA14,IF(AD14&lt;&gt;"",AD14,"PENDING_HUMAN")))</x:f>
        <x:v>PENDING_HUMAN</x:v>
      </x:c>
      <x:c r="AF14" t="n">
        <x:f>--AND(A14&lt;&gt;"",AA14&lt;&gt;"",AB14&lt;&gt;"",OR(AA14=AB14,AD14&lt;&gt;""),IF(AE14="HALLUCINATION",U14&lt;&gt;"",TRUE))</x:f>
        <x:v>0</x:v>
      </x:c>
      <x:c r="AG14" t="n">
        <x:f>--AND(N14=1,AF14=1,OR(AE14="SUPPORTED",AE14="HALLUCINATION"))</x:f>
        <x:v>0</x:v>
      </x:c>
      <x:c r="AH14" t="n">
        <x:f>--AND(AG14=1,AE14="HALLUCINATION")</x:f>
        <x:v>0</x:v>
      </x:c>
      <x:c r="AI14" t="n">
        <x:f>--AND(Q14=1,AF14=1,AE14="HALLUCINATION")</x:f>
        <x:v>0</x:v>
      </x:c>
      <x:c r="AJ14" t="n">
        <x:f>--AND(AI14=1,R14=1,S14=1)</x:f>
        <x:v>0</x:v>
      </x:c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43" t="n">
        <x:f>--AND(N15=1,OR(O15="SUPPORTED",O15="HALLUCINATION"))</x:f>
        <x:v>0</x:v>
      </x:c>
      <x:c r="X15" s="43" t="n">
        <x:f>--AND(W15=1,O15="HALLUCINATION")</x:f>
        <x:v>0</x:v>
      </x:c>
      <x:c r="Y15" s="43" t="n">
        <x:f>--AND(Q15=1,O15="HALLUCINATION")</x:f>
        <x:v>0</x:v>
      </x:c>
      <x:c r="Z15" s="43" t="n">
        <x:f>--AND(Y15=1,R15=1,S15=1)</x:f>
        <x:v>0</x:v>
      </x:c>
      <x:c r="AC15" t="str">
        <x:f>IF(OR(AA15="",AB15=""),"",--(AA15&lt;&gt;AB15))</x:f>
      </x:c>
      <x:c r="AE15" t="str">
        <x:f>IF(OR(AA15="",AB15=""),"PENDING_HUMAN",IF(AA15=AB15,AA15,IF(AD15&lt;&gt;"",AD15,"PENDING_HUMAN")))</x:f>
        <x:v>PENDING_HUMAN</x:v>
      </x:c>
      <x:c r="AF15" t="n">
        <x:f>--AND(A15&lt;&gt;"",AA15&lt;&gt;"",AB15&lt;&gt;"",OR(AA15=AB15,AD15&lt;&gt;""),IF(AE15="HALLUCINATION",U15&lt;&gt;"",TRUE))</x:f>
        <x:v>0</x:v>
      </x:c>
      <x:c r="AG15" t="n">
        <x:f>--AND(N15=1,AF15=1,OR(AE15="SUPPORTED",AE15="HALLUCINATION"))</x:f>
        <x:v>0</x:v>
      </x:c>
      <x:c r="AH15" t="n">
        <x:f>--AND(AG15=1,AE15="HALLUCINATION")</x:f>
        <x:v>0</x:v>
      </x:c>
      <x:c r="AI15" t="n">
        <x:f>--AND(Q15=1,AF15=1,AE15="HALLUCINATION")</x:f>
        <x:v>0</x:v>
      </x:c>
      <x:c r="AJ15" t="n">
        <x:f>--AND(AI15=1,R15=1,S15=1)</x:f>
        <x:v>0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43" t="n">
        <x:f>--AND(N16=1,OR(O16="SUPPORTED",O16="HALLUCINATION"))</x:f>
        <x:v>0</x:v>
      </x:c>
      <x:c r="X16" s="43" t="n">
        <x:f>--AND(W16=1,O16="HALLUCINATION")</x:f>
        <x:v>0</x:v>
      </x:c>
      <x:c r="Y16" s="43" t="n">
        <x:f>--AND(Q16=1,O16="HALLUCINATION")</x:f>
        <x:v>0</x:v>
      </x:c>
      <x:c r="Z16" s="43" t="n">
        <x:f>--AND(Y16=1,R16=1,S16=1)</x:f>
        <x:v>0</x:v>
      </x:c>
      <x:c r="AC16" t="str">
        <x:f>IF(OR(AA16="",AB16=""),"",--(AA16&lt;&gt;AB16))</x:f>
      </x:c>
      <x:c r="AE16" t="str">
        <x:f>IF(OR(AA16="",AB16=""),"PENDING_HUMAN",IF(AA16=AB16,AA16,IF(AD16&lt;&gt;"",AD16,"PENDING_HUMAN")))</x:f>
        <x:v>PENDING_HUMAN</x:v>
      </x:c>
      <x:c r="AF16" t="n">
        <x:f>--AND(A16&lt;&gt;"",AA16&lt;&gt;"",AB16&lt;&gt;"",OR(AA16=AB16,AD16&lt;&gt;""),IF(AE16="HALLUCINATION",U16&lt;&gt;"",TRUE))</x:f>
        <x:v>0</x:v>
      </x:c>
      <x:c r="AG16" t="n">
        <x:f>--AND(N16=1,AF16=1,OR(AE16="SUPPORTED",AE16="HALLUCINATION"))</x:f>
        <x:v>0</x:v>
      </x:c>
      <x:c r="AH16" t="n">
        <x:f>--AND(AG16=1,AE16="HALLUCINATION")</x:f>
        <x:v>0</x:v>
      </x:c>
      <x:c r="AI16" t="n">
        <x:f>--AND(Q16=1,AF16=1,AE16="HALLUCINATION")</x:f>
        <x:v>0</x:v>
      </x:c>
      <x:c r="AJ16" t="n">
        <x:f>--AND(AI16=1,R16=1,S16=1)</x:f>
        <x:v>0</x:v>
      </x:c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43" t="n">
        <x:f>--AND(N17=1,OR(O17="SUPPORTED",O17="HALLUCINATION"))</x:f>
        <x:v>0</x:v>
      </x:c>
      <x:c r="X17" s="43" t="n">
        <x:f>--AND(W17=1,O17="HALLUCINATION")</x:f>
        <x:v>0</x:v>
      </x:c>
      <x:c r="Y17" s="43" t="n">
        <x:f>--AND(Q17=1,O17="HALLUCINATION")</x:f>
        <x:v>0</x:v>
      </x:c>
      <x:c r="Z17" s="43" t="n">
        <x:f>--AND(Y17=1,R17=1,S17=1)</x:f>
        <x:v>0</x:v>
      </x:c>
      <x:c r="AC17" t="str">
        <x:f>IF(OR(AA17="",AB17=""),"",--(AA17&lt;&gt;AB17))</x:f>
      </x:c>
      <x:c r="AE17" t="str">
        <x:f>IF(OR(AA17="",AB17=""),"PENDING_HUMAN",IF(AA17=AB17,AA17,IF(AD17&lt;&gt;"",AD17,"PENDING_HUMAN")))</x:f>
        <x:v>PENDING_HUMAN</x:v>
      </x:c>
      <x:c r="AF17" t="n">
        <x:f>--AND(A17&lt;&gt;"",AA17&lt;&gt;"",AB17&lt;&gt;"",OR(AA17=AB17,AD17&lt;&gt;""),IF(AE17="HALLUCINATION",U17&lt;&gt;"",TRUE))</x:f>
        <x:v>0</x:v>
      </x:c>
      <x:c r="AG17" t="n">
        <x:f>--AND(N17=1,AF17=1,OR(AE17="SUPPORTED",AE17="HALLUCINATION"))</x:f>
        <x:v>0</x:v>
      </x:c>
      <x:c r="AH17" t="n">
        <x:f>--AND(AG17=1,AE17="HALLUCINATION")</x:f>
        <x:v>0</x:v>
      </x:c>
      <x:c r="AI17" t="n">
        <x:f>--AND(Q17=1,AF17=1,AE17="HALLUCINATION")</x:f>
        <x:v>0</x:v>
      </x:c>
      <x:c r="AJ17" t="n">
        <x:f>--AND(AI17=1,R17=1,S17=1)</x:f>
        <x:v>0</x:v>
      </x:c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43" t="n">
        <x:f>--AND(N18=1,OR(O18="SUPPORTED",O18="HALLUCINATION"))</x:f>
        <x:v>0</x:v>
      </x:c>
      <x:c r="X18" s="43" t="n">
        <x:f>--AND(W18=1,O18="HALLUCINATION")</x:f>
        <x:v>0</x:v>
      </x:c>
      <x:c r="Y18" s="43" t="n">
        <x:f>--AND(Q18=1,O18="HALLUCINATION")</x:f>
        <x:v>0</x:v>
      </x:c>
      <x:c r="Z18" s="43" t="n">
        <x:f>--AND(Y18=1,R18=1,S18=1)</x:f>
        <x:v>0</x:v>
      </x:c>
      <x:c r="AC18" t="str">
        <x:f>IF(OR(AA18="",AB18=""),"",--(AA18&lt;&gt;AB18))</x:f>
      </x:c>
      <x:c r="AE18" t="str">
        <x:f>IF(OR(AA18="",AB18=""),"PENDING_HUMAN",IF(AA18=AB18,AA18,IF(AD18&lt;&gt;"",AD18,"PENDING_HUMAN")))</x:f>
        <x:v>PENDING_HUMAN</x:v>
      </x:c>
      <x:c r="AF18" t="n">
        <x:f>--AND(A18&lt;&gt;"",AA18&lt;&gt;"",AB18&lt;&gt;"",OR(AA18=AB18,AD18&lt;&gt;""),IF(AE18="HALLUCINATION",U18&lt;&gt;"",TRUE))</x:f>
        <x:v>0</x:v>
      </x:c>
      <x:c r="AG18" t="n">
        <x:f>--AND(N18=1,AF18=1,OR(AE18="SUPPORTED",AE18="HALLUCINATION"))</x:f>
        <x:v>0</x:v>
      </x:c>
      <x:c r="AH18" t="n">
        <x:f>--AND(AG18=1,AE18="HALLUCINATION")</x:f>
        <x:v>0</x:v>
      </x:c>
      <x:c r="AI18" t="n">
        <x:f>--AND(Q18=1,AF18=1,AE18="HALLUCINATION")</x:f>
        <x:v>0</x:v>
      </x:c>
      <x:c r="AJ18" t="n">
        <x:f>--AND(AI18=1,R18=1,S18=1)</x:f>
        <x:v>0</x:v>
      </x:c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43" t="n">
        <x:f>--AND(N19=1,OR(O19="SUPPORTED",O19="HALLUCINATION"))</x:f>
        <x:v>0</x:v>
      </x:c>
      <x:c r="X19" s="43" t="n">
        <x:f>--AND(W19=1,O19="HALLUCINATION")</x:f>
        <x:v>0</x:v>
      </x:c>
      <x:c r="Y19" s="43" t="n">
        <x:f>--AND(Q19=1,O19="HALLUCINATION")</x:f>
        <x:v>0</x:v>
      </x:c>
      <x:c r="Z19" s="43" t="n">
        <x:f>--AND(Y19=1,R19=1,S19=1)</x:f>
        <x:v>0</x:v>
      </x:c>
      <x:c r="AC19" t="str">
        <x:f>IF(OR(AA19="",AB19=""),"",--(AA19&lt;&gt;AB19))</x:f>
      </x:c>
      <x:c r="AE19" t="str">
        <x:f>IF(OR(AA19="",AB19=""),"PENDING_HUMAN",IF(AA19=AB19,AA19,IF(AD19&lt;&gt;"",AD19,"PENDING_HUMAN")))</x:f>
        <x:v>PENDING_HUMAN</x:v>
      </x:c>
      <x:c r="AF19" t="n">
        <x:f>--AND(A19&lt;&gt;"",AA19&lt;&gt;"",AB19&lt;&gt;"",OR(AA19=AB19,AD19&lt;&gt;""),IF(AE19="HALLUCINATION",U19&lt;&gt;"",TRUE))</x:f>
        <x:v>0</x:v>
      </x:c>
      <x:c r="AG19" t="n">
        <x:f>--AND(N19=1,AF19=1,OR(AE19="SUPPORTED",AE19="HALLUCINATION"))</x:f>
        <x:v>0</x:v>
      </x:c>
      <x:c r="AH19" t="n">
        <x:f>--AND(AG19=1,AE19="HALLUCINATION")</x:f>
        <x:v>0</x:v>
      </x:c>
      <x:c r="AI19" t="n">
        <x:f>--AND(Q19=1,AF19=1,AE19="HALLUCINATION")</x:f>
        <x:v>0</x:v>
      </x:c>
      <x:c r="AJ19" t="n">
        <x:f>--AND(AI19=1,R19=1,S19=1)</x:f>
        <x:v>0</x:v>
      </x:c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43" t="n">
        <x:f>--AND(N20=1,OR(O20="SUPPORTED",O20="HALLUCINATION"))</x:f>
        <x:v>0</x:v>
      </x:c>
      <x:c r="X20" s="43" t="n">
        <x:f>--AND(W20=1,O20="HALLUCINATION")</x:f>
        <x:v>0</x:v>
      </x:c>
      <x:c r="Y20" s="43" t="n">
        <x:f>--AND(Q20=1,O20="HALLUCINATION")</x:f>
        <x:v>0</x:v>
      </x:c>
      <x:c r="Z20" s="43" t="n">
        <x:f>--AND(Y20=1,R20=1,S20=1)</x:f>
        <x:v>0</x:v>
      </x:c>
      <x:c r="AC20" t="str">
        <x:f>IF(OR(AA20="",AB20=""),"",--(AA20&lt;&gt;AB20))</x:f>
      </x:c>
      <x:c r="AE20" t="str">
        <x:f>IF(OR(AA20="",AB20=""),"PENDING_HUMAN",IF(AA20=AB20,AA20,IF(AD20&lt;&gt;"",AD20,"PENDING_HUMAN")))</x:f>
        <x:v>PENDING_HUMAN</x:v>
      </x:c>
      <x:c r="AF20" t="n">
        <x:f>--AND(A20&lt;&gt;"",AA20&lt;&gt;"",AB20&lt;&gt;"",OR(AA20=AB20,AD20&lt;&gt;""),IF(AE20="HALLUCINATION",U20&lt;&gt;"",TRUE))</x:f>
        <x:v>0</x:v>
      </x:c>
      <x:c r="AG20" t="n">
        <x:f>--AND(N20=1,AF20=1,OR(AE20="SUPPORTED",AE20="HALLUCINATION"))</x:f>
        <x:v>0</x:v>
      </x:c>
      <x:c r="AH20" t="n">
        <x:f>--AND(AG20=1,AE20="HALLUCINATION")</x:f>
        <x:v>0</x:v>
      </x:c>
      <x:c r="AI20" t="n">
        <x:f>--AND(Q20=1,AF20=1,AE20="HALLUCINATION")</x:f>
        <x:v>0</x:v>
      </x:c>
      <x:c r="AJ20" t="n">
        <x:f>--AND(AI20=1,R20=1,S20=1)</x:f>
        <x:v>0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43" t="n">
        <x:f>--AND(N21=1,OR(O21="SUPPORTED",O21="HALLUCINATION"))</x:f>
        <x:v>0</x:v>
      </x:c>
      <x:c r="X21" s="43" t="n">
        <x:f>--AND(W21=1,O21="HALLUCINATION")</x:f>
        <x:v>0</x:v>
      </x:c>
      <x:c r="Y21" s="43" t="n">
        <x:f>--AND(Q21=1,O21="HALLUCINATION")</x:f>
        <x:v>0</x:v>
      </x:c>
      <x:c r="Z21" s="43" t="n">
        <x:f>--AND(Y21=1,R21=1,S21=1)</x:f>
        <x:v>0</x:v>
      </x:c>
      <x:c r="AC21" t="str">
        <x:f>IF(OR(AA21="",AB21=""),"",--(AA21&lt;&gt;AB21))</x:f>
      </x:c>
      <x:c r="AE21" t="str">
        <x:f>IF(OR(AA21="",AB21=""),"PENDING_HUMAN",IF(AA21=AB21,AA21,IF(AD21&lt;&gt;"",AD21,"PENDING_HUMAN")))</x:f>
        <x:v>PENDING_HUMAN</x:v>
      </x:c>
      <x:c r="AF21" t="n">
        <x:f>--AND(A21&lt;&gt;"",AA21&lt;&gt;"",AB21&lt;&gt;"",OR(AA21=AB21,AD21&lt;&gt;""),IF(AE21="HALLUCINATION",U21&lt;&gt;"",TRUE))</x:f>
        <x:v>0</x:v>
      </x:c>
      <x:c r="AG21" t="n">
        <x:f>--AND(N21=1,AF21=1,OR(AE21="SUPPORTED",AE21="HALLUCINATION"))</x:f>
        <x:v>0</x:v>
      </x:c>
      <x:c r="AH21" t="n">
        <x:f>--AND(AG21=1,AE21="HALLUCINATION")</x:f>
        <x:v>0</x:v>
      </x:c>
      <x:c r="AI21" t="n">
        <x:f>--AND(Q21=1,AF21=1,AE21="HALLUCINATION")</x:f>
        <x:v>0</x:v>
      </x:c>
      <x:c r="AJ21" t="n">
        <x:f>--AND(AI21=1,R21=1,S21=1)</x:f>
        <x:v>0</x:v>
      </x:c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43" t="n">
        <x:f>--AND(N22=1,OR(O22="SUPPORTED",O22="HALLUCINATION"))</x:f>
        <x:v>0</x:v>
      </x:c>
      <x:c r="X22" s="43" t="n">
        <x:f>--AND(W22=1,O22="HALLUCINATION")</x:f>
        <x:v>0</x:v>
      </x:c>
      <x:c r="Y22" s="43" t="n">
        <x:f>--AND(Q22=1,O22="HALLUCINATION")</x:f>
        <x:v>0</x:v>
      </x:c>
      <x:c r="Z22" s="43" t="n">
        <x:f>--AND(Y22=1,R22=1,S22=1)</x:f>
        <x:v>0</x:v>
      </x:c>
      <x:c r="AC22" t="str">
        <x:f>IF(OR(AA22="",AB22=""),"",--(AA22&lt;&gt;AB22))</x:f>
      </x:c>
      <x:c r="AE22" t="str">
        <x:f>IF(OR(AA22="",AB22=""),"PENDING_HUMAN",IF(AA22=AB22,AA22,IF(AD22&lt;&gt;"",AD22,"PENDING_HUMAN")))</x:f>
        <x:v>PENDING_HUMAN</x:v>
      </x:c>
      <x:c r="AF22" t="n">
        <x:f>--AND(A22&lt;&gt;"",AA22&lt;&gt;"",AB22&lt;&gt;"",OR(AA22=AB22,AD22&lt;&gt;""),IF(AE22="HALLUCINATION",U22&lt;&gt;"",TRUE))</x:f>
        <x:v>0</x:v>
      </x:c>
      <x:c r="AG22" t="n">
        <x:f>--AND(N22=1,AF22=1,OR(AE22="SUPPORTED",AE22="HALLUCINATION"))</x:f>
        <x:v>0</x:v>
      </x:c>
      <x:c r="AH22" t="n">
        <x:f>--AND(AG22=1,AE22="HALLUCINATION")</x:f>
        <x:v>0</x:v>
      </x:c>
      <x:c r="AI22" t="n">
        <x:f>--AND(Q22=1,AF22=1,AE22="HALLUCINATION")</x:f>
        <x:v>0</x:v>
      </x:c>
      <x:c r="AJ22" t="n">
        <x:f>--AND(AI22=1,R22=1,S22=1)</x:f>
        <x:v>0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43" t="n">
        <x:f>--AND(N23=1,OR(O23="SUPPORTED",O23="HALLUCINATION"))</x:f>
        <x:v>0</x:v>
      </x:c>
      <x:c r="X23" s="43" t="n">
        <x:f>--AND(W23=1,O23="HALLUCINATION")</x:f>
        <x:v>0</x:v>
      </x:c>
      <x:c r="Y23" s="43" t="n">
        <x:f>--AND(Q23=1,O23="HALLUCINATION")</x:f>
        <x:v>0</x:v>
      </x:c>
      <x:c r="Z23" s="43" t="n">
        <x:f>--AND(Y23=1,R23=1,S23=1)</x:f>
        <x:v>0</x:v>
      </x:c>
      <x:c r="AC23" t="str">
        <x:f>IF(OR(AA23="",AB23=""),"",--(AA23&lt;&gt;AB23))</x:f>
      </x:c>
      <x:c r="AE23" t="str">
        <x:f>IF(OR(AA23="",AB23=""),"PENDING_HUMAN",IF(AA23=AB23,AA23,IF(AD23&lt;&gt;"",AD23,"PENDING_HUMAN")))</x:f>
        <x:v>PENDING_HUMAN</x:v>
      </x:c>
      <x:c r="AF23" t="n">
        <x:f>--AND(A23&lt;&gt;"",AA23&lt;&gt;"",AB23&lt;&gt;"",OR(AA23=AB23,AD23&lt;&gt;""),IF(AE23="HALLUCINATION",U23&lt;&gt;"",TRUE))</x:f>
        <x:v>0</x:v>
      </x:c>
      <x:c r="AG23" t="n">
        <x:f>--AND(N23=1,AF23=1,OR(AE23="SUPPORTED",AE23="HALLUCINATION"))</x:f>
        <x:v>0</x:v>
      </x:c>
      <x:c r="AH23" t="n">
        <x:f>--AND(AG23=1,AE23="HALLUCINATION")</x:f>
        <x:v>0</x:v>
      </x:c>
      <x:c r="AI23" t="n">
        <x:f>--AND(Q23=1,AF23=1,AE23="HALLUCINATION")</x:f>
        <x:v>0</x:v>
      </x:c>
      <x:c r="AJ23" t="n">
        <x:f>--AND(AI23=1,R23=1,S23=1)</x:f>
        <x:v>0</x:v>
      </x:c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43" t="n">
        <x:f>--AND(N24=1,OR(O24="SUPPORTED",O24="HALLUCINATION"))</x:f>
        <x:v>0</x:v>
      </x:c>
      <x:c r="X24" s="43" t="n">
        <x:f>--AND(W24=1,O24="HALLUCINATION")</x:f>
        <x:v>0</x:v>
      </x:c>
      <x:c r="Y24" s="43" t="n">
        <x:f>--AND(Q24=1,O24="HALLUCINATION")</x:f>
        <x:v>0</x:v>
      </x:c>
      <x:c r="Z24" s="43" t="n">
        <x:f>--AND(Y24=1,R24=1,S24=1)</x:f>
        <x:v>0</x:v>
      </x:c>
      <x:c r="AC24" t="str">
        <x:f>IF(OR(AA24="",AB24=""),"",--(AA24&lt;&gt;AB24))</x:f>
      </x:c>
      <x:c r="AE24" t="str">
        <x:f>IF(OR(AA24="",AB24=""),"PENDING_HUMAN",IF(AA24=AB24,AA24,IF(AD24&lt;&gt;"",AD24,"PENDING_HUMAN")))</x:f>
        <x:v>PENDING_HUMAN</x:v>
      </x:c>
      <x:c r="AF24" t="n">
        <x:f>--AND(A24&lt;&gt;"",AA24&lt;&gt;"",AB24&lt;&gt;"",OR(AA24=AB24,AD24&lt;&gt;""),IF(AE24="HALLUCINATION",U24&lt;&gt;"",TRUE))</x:f>
        <x:v>0</x:v>
      </x:c>
      <x:c r="AG24" t="n">
        <x:f>--AND(N24=1,AF24=1,OR(AE24="SUPPORTED",AE24="HALLUCINATION"))</x:f>
        <x:v>0</x:v>
      </x:c>
      <x:c r="AH24" t="n">
        <x:f>--AND(AG24=1,AE24="HALLUCINATION")</x:f>
        <x:v>0</x:v>
      </x:c>
      <x:c r="AI24" t="n">
        <x:f>--AND(Q24=1,AF24=1,AE24="HALLUCINATION")</x:f>
        <x:v>0</x:v>
      </x:c>
      <x:c r="AJ24" t="n">
        <x:f>--AND(AI24=1,R24=1,S24=1)</x:f>
        <x:v>0</x:v>
      </x:c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43" t="n">
        <x:f>--AND(N25=1,OR(O25="SUPPORTED",O25="HALLUCINATION"))</x:f>
        <x:v>0</x:v>
      </x:c>
      <x:c r="X25" s="43" t="n">
        <x:f>--AND(W25=1,O25="HALLUCINATION")</x:f>
        <x:v>0</x:v>
      </x:c>
      <x:c r="Y25" s="43" t="n">
        <x:f>--AND(Q25=1,O25="HALLUCINATION")</x:f>
        <x:v>0</x:v>
      </x:c>
      <x:c r="Z25" s="43" t="n">
        <x:f>--AND(Y25=1,R25=1,S25=1)</x:f>
        <x:v>0</x:v>
      </x:c>
      <x:c r="AC25" t="str">
        <x:f>IF(OR(AA25="",AB25=""),"",--(AA25&lt;&gt;AB25))</x:f>
      </x:c>
      <x:c r="AE25" t="str">
        <x:f>IF(OR(AA25="",AB25=""),"PENDING_HUMAN",IF(AA25=AB25,AA25,IF(AD25&lt;&gt;"",AD25,"PENDING_HUMAN")))</x:f>
        <x:v>PENDING_HUMAN</x:v>
      </x:c>
      <x:c r="AF25" t="n">
        <x:f>--AND(A25&lt;&gt;"",AA25&lt;&gt;"",AB25&lt;&gt;"",OR(AA25=AB25,AD25&lt;&gt;""),IF(AE25="HALLUCINATION",U25&lt;&gt;"",TRUE))</x:f>
        <x:v>0</x:v>
      </x:c>
      <x:c r="AG25" t="n">
        <x:f>--AND(N25=1,AF25=1,OR(AE25="SUPPORTED",AE25="HALLUCINATION"))</x:f>
        <x:v>0</x:v>
      </x:c>
      <x:c r="AH25" t="n">
        <x:f>--AND(AG25=1,AE25="HALLUCINATION")</x:f>
        <x:v>0</x:v>
      </x:c>
      <x:c r="AI25" t="n">
        <x:f>--AND(Q25=1,AF25=1,AE25="HALLUCINATION")</x:f>
        <x:v>0</x:v>
      </x:c>
      <x:c r="AJ25" t="n">
        <x:f>--AND(AI25=1,R25=1,S25=1)</x:f>
        <x:v>0</x:v>
      </x:c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43" t="n">
        <x:f>--AND(N26=1,OR(O26="SUPPORTED",O26="HALLUCINATION"))</x:f>
        <x:v>0</x:v>
      </x:c>
      <x:c r="X26" s="43" t="n">
        <x:f>--AND(W26=1,O26="HALLUCINATION")</x:f>
        <x:v>0</x:v>
      </x:c>
      <x:c r="Y26" s="43" t="n">
        <x:f>--AND(Q26=1,O26="HALLUCINATION")</x:f>
        <x:v>0</x:v>
      </x:c>
      <x:c r="Z26" s="43" t="n">
        <x:f>--AND(Y26=1,R26=1,S26=1)</x:f>
        <x:v>0</x:v>
      </x:c>
      <x:c r="AC26" t="str">
        <x:f>IF(OR(AA26="",AB26=""),"",--(AA26&lt;&gt;AB26))</x:f>
      </x:c>
      <x:c r="AE26" t="str">
        <x:f>IF(OR(AA26="",AB26=""),"PENDING_HUMAN",IF(AA26=AB26,AA26,IF(AD26&lt;&gt;"",AD26,"PENDING_HUMAN")))</x:f>
        <x:v>PENDING_HUMAN</x:v>
      </x:c>
      <x:c r="AF26" t="n">
        <x:f>--AND(A26&lt;&gt;"",AA26&lt;&gt;"",AB26&lt;&gt;"",OR(AA26=AB26,AD26&lt;&gt;""),IF(AE26="HALLUCINATION",U26&lt;&gt;"",TRUE))</x:f>
        <x:v>0</x:v>
      </x:c>
      <x:c r="AG26" t="n">
        <x:f>--AND(N26=1,AF26=1,OR(AE26="SUPPORTED",AE26="HALLUCINATION"))</x:f>
        <x:v>0</x:v>
      </x:c>
      <x:c r="AH26" t="n">
        <x:f>--AND(AG26=1,AE26="HALLUCINATION")</x:f>
        <x:v>0</x:v>
      </x:c>
      <x:c r="AI26" t="n">
        <x:f>--AND(Q26=1,AF26=1,AE26="HALLUCINATION")</x:f>
        <x:v>0</x:v>
      </x:c>
      <x:c r="AJ26" t="n">
        <x:f>--AND(AI26=1,R26=1,S26=1)</x:f>
        <x:v>0</x:v>
      </x:c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43" t="n">
        <x:f>--AND(N27=1,OR(O27="SUPPORTED",O27="HALLUCINATION"))</x:f>
        <x:v>0</x:v>
      </x:c>
      <x:c r="X27" s="43" t="n">
        <x:f>--AND(W27=1,O27="HALLUCINATION")</x:f>
        <x:v>0</x:v>
      </x:c>
      <x:c r="Y27" s="43" t="n">
        <x:f>--AND(Q27=1,O27="HALLUCINATION")</x:f>
        <x:v>0</x:v>
      </x:c>
      <x:c r="Z27" s="43" t="n">
        <x:f>--AND(Y27=1,R27=1,S27=1)</x:f>
        <x:v>0</x:v>
      </x:c>
      <x:c r="AC27" t="str">
        <x:f>IF(OR(AA27="",AB27=""),"",--(AA27&lt;&gt;AB27))</x:f>
      </x:c>
      <x:c r="AE27" t="str">
        <x:f>IF(OR(AA27="",AB27=""),"PENDING_HUMAN",IF(AA27=AB27,AA27,IF(AD27&lt;&gt;"",AD27,"PENDING_HUMAN")))</x:f>
        <x:v>PENDING_HUMAN</x:v>
      </x:c>
      <x:c r="AF27" t="n">
        <x:f>--AND(A27&lt;&gt;"",AA27&lt;&gt;"",AB27&lt;&gt;"",OR(AA27=AB27,AD27&lt;&gt;""),IF(AE27="HALLUCINATION",U27&lt;&gt;"",TRUE))</x:f>
        <x:v>0</x:v>
      </x:c>
      <x:c r="AG27" t="n">
        <x:f>--AND(N27=1,AF27=1,OR(AE27="SUPPORTED",AE27="HALLUCINATION"))</x:f>
        <x:v>0</x:v>
      </x:c>
      <x:c r="AH27" t="n">
        <x:f>--AND(AG27=1,AE27="HALLUCINATION")</x:f>
        <x:v>0</x:v>
      </x:c>
      <x:c r="AI27" t="n">
        <x:f>--AND(Q27=1,AF27=1,AE27="HALLUCINATION")</x:f>
        <x:v>0</x:v>
      </x:c>
      <x:c r="AJ27" t="n">
        <x:f>--AND(AI27=1,R27=1,S27=1)</x:f>
        <x:v>0</x:v>
      </x:c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43" t="n">
        <x:f>--AND(N28=1,OR(O28="SUPPORTED",O28="HALLUCINATION"))</x:f>
        <x:v>0</x:v>
      </x:c>
      <x:c r="X28" s="43" t="n">
        <x:f>--AND(W28=1,O28="HALLUCINATION")</x:f>
        <x:v>0</x:v>
      </x:c>
      <x:c r="Y28" s="43" t="n">
        <x:f>--AND(Q28=1,O28="HALLUCINATION")</x:f>
        <x:v>0</x:v>
      </x:c>
      <x:c r="Z28" s="43" t="n">
        <x:f>--AND(Y28=1,R28=1,S28=1)</x:f>
        <x:v>0</x:v>
      </x:c>
      <x:c r="AC28" t="str">
        <x:f>IF(OR(AA28="",AB28=""),"",--(AA28&lt;&gt;AB28))</x:f>
      </x:c>
      <x:c r="AE28" t="str">
        <x:f>IF(OR(AA28="",AB28=""),"PENDING_HUMAN",IF(AA28=AB28,AA28,IF(AD28&lt;&gt;"",AD28,"PENDING_HUMAN")))</x:f>
        <x:v>PENDING_HUMAN</x:v>
      </x:c>
      <x:c r="AF28" t="n">
        <x:f>--AND(A28&lt;&gt;"",AA28&lt;&gt;"",AB28&lt;&gt;"",OR(AA28=AB28,AD28&lt;&gt;""),IF(AE28="HALLUCINATION",U28&lt;&gt;"",TRUE))</x:f>
        <x:v>0</x:v>
      </x:c>
      <x:c r="AG28" t="n">
        <x:f>--AND(N28=1,AF28=1,OR(AE28="SUPPORTED",AE28="HALLUCINATION"))</x:f>
        <x:v>0</x:v>
      </x:c>
      <x:c r="AH28" t="n">
        <x:f>--AND(AG28=1,AE28="HALLUCINATION")</x:f>
        <x:v>0</x:v>
      </x:c>
      <x:c r="AI28" t="n">
        <x:f>--AND(Q28=1,AF28=1,AE28="HALLUCINATION")</x:f>
        <x:v>0</x:v>
      </x:c>
      <x:c r="AJ28" t="n">
        <x:f>--AND(AI28=1,R28=1,S28=1)</x:f>
        <x:v>0</x:v>
      </x:c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43" t="n">
        <x:f>--AND(N29=1,OR(O29="SUPPORTED",O29="HALLUCINATION"))</x:f>
        <x:v>0</x:v>
      </x:c>
      <x:c r="X29" s="43" t="n">
        <x:f>--AND(W29=1,O29="HALLUCINATION")</x:f>
        <x:v>0</x:v>
      </x:c>
      <x:c r="Y29" s="43" t="n">
        <x:f>--AND(Q29=1,O29="HALLUCINATION")</x:f>
        <x:v>0</x:v>
      </x:c>
      <x:c r="Z29" s="43" t="n">
        <x:f>--AND(Y29=1,R29=1,S29=1)</x:f>
        <x:v>0</x:v>
      </x:c>
      <x:c r="AC29" t="str">
        <x:f>IF(OR(AA29="",AB29=""),"",--(AA29&lt;&gt;AB29))</x:f>
      </x:c>
      <x:c r="AE29" t="str">
        <x:f>IF(OR(AA29="",AB29=""),"PENDING_HUMAN",IF(AA29=AB29,AA29,IF(AD29&lt;&gt;"",AD29,"PENDING_HUMAN")))</x:f>
        <x:v>PENDING_HUMAN</x:v>
      </x:c>
      <x:c r="AF29" t="n">
        <x:f>--AND(A29&lt;&gt;"",AA29&lt;&gt;"",AB29&lt;&gt;"",OR(AA29=AB29,AD29&lt;&gt;""),IF(AE29="HALLUCINATION",U29&lt;&gt;"",TRUE))</x:f>
        <x:v>0</x:v>
      </x:c>
      <x:c r="AG29" t="n">
        <x:f>--AND(N29=1,AF29=1,OR(AE29="SUPPORTED",AE29="HALLUCINATION"))</x:f>
        <x:v>0</x:v>
      </x:c>
      <x:c r="AH29" t="n">
        <x:f>--AND(AG29=1,AE29="HALLUCINATION")</x:f>
        <x:v>0</x:v>
      </x:c>
      <x:c r="AI29" t="n">
        <x:f>--AND(Q29=1,AF29=1,AE29="HALLUCINATION")</x:f>
        <x:v>0</x:v>
      </x:c>
      <x:c r="AJ29" t="n">
        <x:f>--AND(AI29=1,R29=1,S29=1)</x:f>
        <x:v>0</x:v>
      </x:c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43" t="n">
        <x:f>--AND(N30=1,OR(O30="SUPPORTED",O30="HALLUCINATION"))</x:f>
        <x:v>0</x:v>
      </x:c>
      <x:c r="X30" s="43" t="n">
        <x:f>--AND(W30=1,O30="HALLUCINATION")</x:f>
        <x:v>0</x:v>
      </x:c>
      <x:c r="Y30" s="43" t="n">
        <x:f>--AND(Q30=1,O30="HALLUCINATION")</x:f>
        <x:v>0</x:v>
      </x:c>
      <x:c r="Z30" s="43" t="n">
        <x:f>--AND(Y30=1,R30=1,S30=1)</x:f>
        <x:v>0</x:v>
      </x:c>
      <x:c r="AC30" t="str">
        <x:f>IF(OR(AA30="",AB30=""),"",--(AA30&lt;&gt;AB30))</x:f>
      </x:c>
      <x:c r="AE30" t="str">
        <x:f>IF(OR(AA30="",AB30=""),"PENDING_HUMAN",IF(AA30=AB30,AA30,IF(AD30&lt;&gt;"",AD30,"PENDING_HUMAN")))</x:f>
        <x:v>PENDING_HUMAN</x:v>
      </x:c>
      <x:c r="AF30" t="n">
        <x:f>--AND(A30&lt;&gt;"",AA30&lt;&gt;"",AB30&lt;&gt;"",OR(AA30=AB30,AD30&lt;&gt;""),IF(AE30="HALLUCINATION",U30&lt;&gt;"",TRUE))</x:f>
        <x:v>0</x:v>
      </x:c>
      <x:c r="AG30" t="n">
        <x:f>--AND(N30=1,AF30=1,OR(AE30="SUPPORTED",AE30="HALLUCINATION"))</x:f>
        <x:v>0</x:v>
      </x:c>
      <x:c r="AH30" t="n">
        <x:f>--AND(AG30=1,AE30="HALLUCINATION")</x:f>
        <x:v>0</x:v>
      </x:c>
      <x:c r="AI30" t="n">
        <x:f>--AND(Q30=1,AF30=1,AE30="HALLUCINATION")</x:f>
        <x:v>0</x:v>
      </x:c>
      <x:c r="AJ30" t="n">
        <x:f>--AND(AI30=1,R30=1,S30=1)</x:f>
        <x:v>0</x:v>
      </x:c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43" t="n">
        <x:f>--AND(N31=1,OR(O31="SUPPORTED",O31="HALLUCINATION"))</x:f>
        <x:v>0</x:v>
      </x:c>
      <x:c r="X31" s="43" t="n">
        <x:f>--AND(W31=1,O31="HALLUCINATION")</x:f>
        <x:v>0</x:v>
      </x:c>
      <x:c r="Y31" s="43" t="n">
        <x:f>--AND(Q31=1,O31="HALLUCINATION")</x:f>
        <x:v>0</x:v>
      </x:c>
      <x:c r="Z31" s="43" t="n">
        <x:f>--AND(Y31=1,R31=1,S31=1)</x:f>
        <x:v>0</x:v>
      </x:c>
      <x:c r="AC31" t="str">
        <x:f>IF(OR(AA31="",AB31=""),"",--(AA31&lt;&gt;AB31))</x:f>
      </x:c>
      <x:c r="AE31" t="str">
        <x:f>IF(OR(AA31="",AB31=""),"PENDING_HUMAN",IF(AA31=AB31,AA31,IF(AD31&lt;&gt;"",AD31,"PENDING_HUMAN")))</x:f>
        <x:v>PENDING_HUMAN</x:v>
      </x:c>
      <x:c r="AF31" t="n">
        <x:f>--AND(A31&lt;&gt;"",AA31&lt;&gt;"",AB31&lt;&gt;"",OR(AA31=AB31,AD31&lt;&gt;""),IF(AE31="HALLUCINATION",U31&lt;&gt;"",TRUE))</x:f>
        <x:v>0</x:v>
      </x:c>
      <x:c r="AG31" t="n">
        <x:f>--AND(N31=1,AF31=1,OR(AE31="SUPPORTED",AE31="HALLUCINATION"))</x:f>
        <x:v>0</x:v>
      </x:c>
      <x:c r="AH31" t="n">
        <x:f>--AND(AG31=1,AE31="HALLUCINATION")</x:f>
        <x:v>0</x:v>
      </x:c>
      <x:c r="AI31" t="n">
        <x:f>--AND(Q31=1,AF31=1,AE31="HALLUCINATION")</x:f>
        <x:v>0</x:v>
      </x:c>
      <x:c r="AJ31" t="n">
        <x:f>--AND(AI31=1,R31=1,S31=1)</x:f>
        <x:v>0</x:v>
      </x:c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43" t="n">
        <x:f>--AND(N32=1,OR(O32="SUPPORTED",O32="HALLUCINATION"))</x:f>
        <x:v>0</x:v>
      </x:c>
      <x:c r="X32" s="43" t="n">
        <x:f>--AND(W32=1,O32="HALLUCINATION")</x:f>
        <x:v>0</x:v>
      </x:c>
      <x:c r="Y32" s="43" t="n">
        <x:f>--AND(Q32=1,O32="HALLUCINATION")</x:f>
        <x:v>0</x:v>
      </x:c>
      <x:c r="Z32" s="43" t="n">
        <x:f>--AND(Y32=1,R32=1,S32=1)</x:f>
        <x:v>0</x:v>
      </x:c>
      <x:c r="AC32" t="str">
        <x:f>IF(OR(AA32="",AB32=""),"",--(AA32&lt;&gt;AB32))</x:f>
      </x:c>
      <x:c r="AE32" t="str">
        <x:f>IF(OR(AA32="",AB32=""),"PENDING_HUMAN",IF(AA32=AB32,AA32,IF(AD32&lt;&gt;"",AD32,"PENDING_HUMAN")))</x:f>
        <x:v>PENDING_HUMAN</x:v>
      </x:c>
      <x:c r="AF32" t="n">
        <x:f>--AND(A32&lt;&gt;"",AA32&lt;&gt;"",AB32&lt;&gt;"",OR(AA32=AB32,AD32&lt;&gt;""),IF(AE32="HALLUCINATION",U32&lt;&gt;"",TRUE))</x:f>
        <x:v>0</x:v>
      </x:c>
      <x:c r="AG32" t="n">
        <x:f>--AND(N32=1,AF32=1,OR(AE32="SUPPORTED",AE32="HALLUCINATION"))</x:f>
        <x:v>0</x:v>
      </x:c>
      <x:c r="AH32" t="n">
        <x:f>--AND(AG32=1,AE32="HALLUCINATION")</x:f>
        <x:v>0</x:v>
      </x:c>
      <x:c r="AI32" t="n">
        <x:f>--AND(Q32=1,AF32=1,AE32="HALLUCINATION")</x:f>
        <x:v>0</x:v>
      </x:c>
      <x:c r="AJ32" t="n">
        <x:f>--AND(AI32=1,R32=1,S32=1)</x:f>
        <x:v>0</x:v>
      </x:c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43" t="n">
        <x:f>--AND(N33=1,OR(O33="SUPPORTED",O33="HALLUCINATION"))</x:f>
        <x:v>0</x:v>
      </x:c>
      <x:c r="X33" s="43" t="n">
        <x:f>--AND(W33=1,O33="HALLUCINATION")</x:f>
        <x:v>0</x:v>
      </x:c>
      <x:c r="Y33" s="43" t="n">
        <x:f>--AND(Q33=1,O33="HALLUCINATION")</x:f>
        <x:v>0</x:v>
      </x:c>
      <x:c r="Z33" s="43" t="n">
        <x:f>--AND(Y33=1,R33=1,S33=1)</x:f>
        <x:v>0</x:v>
      </x:c>
      <x:c r="AC33" t="str">
        <x:f>IF(OR(AA33="",AB33=""),"",--(AA33&lt;&gt;AB33))</x:f>
      </x:c>
      <x:c r="AE33" t="str">
        <x:f>IF(OR(AA33="",AB33=""),"PENDING_HUMAN",IF(AA33=AB33,AA33,IF(AD33&lt;&gt;"",AD33,"PENDING_HUMAN")))</x:f>
        <x:v>PENDING_HUMAN</x:v>
      </x:c>
      <x:c r="AF33" t="n">
        <x:f>--AND(A33&lt;&gt;"",AA33&lt;&gt;"",AB33&lt;&gt;"",OR(AA33=AB33,AD33&lt;&gt;""),IF(AE33="HALLUCINATION",U33&lt;&gt;"",TRUE))</x:f>
        <x:v>0</x:v>
      </x:c>
      <x:c r="AG33" t="n">
        <x:f>--AND(N33=1,AF33=1,OR(AE33="SUPPORTED",AE33="HALLUCINATION"))</x:f>
        <x:v>0</x:v>
      </x:c>
      <x:c r="AH33" t="n">
        <x:f>--AND(AG33=1,AE33="HALLUCINATION")</x:f>
        <x:v>0</x:v>
      </x:c>
      <x:c r="AI33" t="n">
        <x:f>--AND(Q33=1,AF33=1,AE33="HALLUCINATION")</x:f>
        <x:v>0</x:v>
      </x:c>
      <x:c r="AJ33" t="n">
        <x:f>--AND(AI33=1,R33=1,S33=1)</x:f>
        <x:v>0</x:v>
      </x:c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43" t="n">
        <x:f>--AND(N34=1,OR(O34="SUPPORTED",O34="HALLUCINATION"))</x:f>
        <x:v>0</x:v>
      </x:c>
      <x:c r="X34" s="43" t="n">
        <x:f>--AND(W34=1,O34="HALLUCINATION")</x:f>
        <x:v>0</x:v>
      </x:c>
      <x:c r="Y34" s="43" t="n">
        <x:f>--AND(Q34=1,O34="HALLUCINATION")</x:f>
        <x:v>0</x:v>
      </x:c>
      <x:c r="Z34" s="43" t="n">
        <x:f>--AND(Y34=1,R34=1,S34=1)</x:f>
        <x:v>0</x:v>
      </x:c>
      <x:c r="AC34" t="str">
        <x:f>IF(OR(AA34="",AB34=""),"",--(AA34&lt;&gt;AB34))</x:f>
      </x:c>
      <x:c r="AE34" t="str">
        <x:f>IF(OR(AA34="",AB34=""),"PENDING_HUMAN",IF(AA34=AB34,AA34,IF(AD34&lt;&gt;"",AD34,"PENDING_HUMAN")))</x:f>
        <x:v>PENDING_HUMAN</x:v>
      </x:c>
      <x:c r="AF34" t="n">
        <x:f>--AND(A34&lt;&gt;"",AA34&lt;&gt;"",AB34&lt;&gt;"",OR(AA34=AB34,AD34&lt;&gt;""),IF(AE34="HALLUCINATION",U34&lt;&gt;"",TRUE))</x:f>
        <x:v>0</x:v>
      </x:c>
      <x:c r="AG34" t="n">
        <x:f>--AND(N34=1,AF34=1,OR(AE34="SUPPORTED",AE34="HALLUCINATION"))</x:f>
        <x:v>0</x:v>
      </x:c>
      <x:c r="AH34" t="n">
        <x:f>--AND(AG34=1,AE34="HALLUCINATION")</x:f>
        <x:v>0</x:v>
      </x:c>
      <x:c r="AI34" t="n">
        <x:f>--AND(Q34=1,AF34=1,AE34="HALLUCINATION")</x:f>
        <x:v>0</x:v>
      </x:c>
      <x:c r="AJ34" t="n">
        <x:f>--AND(AI34=1,R34=1,S34=1)</x:f>
        <x:v>0</x:v>
      </x:c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43" t="n">
        <x:f>--AND(N35=1,OR(O35="SUPPORTED",O35="HALLUCINATION"))</x:f>
        <x:v>0</x:v>
      </x:c>
      <x:c r="X35" s="43" t="n">
        <x:f>--AND(W35=1,O35="HALLUCINATION")</x:f>
        <x:v>0</x:v>
      </x:c>
      <x:c r="Y35" s="43" t="n">
        <x:f>--AND(Q35=1,O35="HALLUCINATION")</x:f>
        <x:v>0</x:v>
      </x:c>
      <x:c r="Z35" s="43" t="n">
        <x:f>--AND(Y35=1,R35=1,S35=1)</x:f>
        <x:v>0</x:v>
      </x:c>
      <x:c r="AC35" t="str">
        <x:f>IF(OR(AA35="",AB35=""),"",--(AA35&lt;&gt;AB35))</x:f>
      </x:c>
      <x:c r="AE35" t="str">
        <x:f>IF(OR(AA35="",AB35=""),"PENDING_HUMAN",IF(AA35=AB35,AA35,IF(AD35&lt;&gt;"",AD35,"PENDING_HUMAN")))</x:f>
        <x:v>PENDING_HUMAN</x:v>
      </x:c>
      <x:c r="AF35" t="n">
        <x:f>--AND(A35&lt;&gt;"",AA35&lt;&gt;"",AB35&lt;&gt;"",OR(AA35=AB35,AD35&lt;&gt;""),IF(AE35="HALLUCINATION",U35&lt;&gt;"",TRUE))</x:f>
        <x:v>0</x:v>
      </x:c>
      <x:c r="AG35" t="n">
        <x:f>--AND(N35=1,AF35=1,OR(AE35="SUPPORTED",AE35="HALLUCINATION"))</x:f>
        <x:v>0</x:v>
      </x:c>
      <x:c r="AH35" t="n">
        <x:f>--AND(AG35=1,AE35="HALLUCINATION")</x:f>
        <x:v>0</x:v>
      </x:c>
      <x:c r="AI35" t="n">
        <x:f>--AND(Q35=1,AF35=1,AE35="HALLUCINATION")</x:f>
        <x:v>0</x:v>
      </x:c>
      <x:c r="AJ35" t="n">
        <x:f>--AND(AI35=1,R35=1,S35=1)</x:f>
        <x:v>0</x:v>
      </x:c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43" t="n">
        <x:f>--AND(N36=1,OR(O36="SUPPORTED",O36="HALLUCINATION"))</x:f>
        <x:v>0</x:v>
      </x:c>
      <x:c r="X36" s="43" t="n">
        <x:f>--AND(W36=1,O36="HALLUCINATION")</x:f>
        <x:v>0</x:v>
      </x:c>
      <x:c r="Y36" s="43" t="n">
        <x:f>--AND(Q36=1,O36="HALLUCINATION")</x:f>
        <x:v>0</x:v>
      </x:c>
      <x:c r="Z36" s="43" t="n">
        <x:f>--AND(Y36=1,R36=1,S36=1)</x:f>
        <x:v>0</x:v>
      </x:c>
      <x:c r="AC36" t="str">
        <x:f>IF(OR(AA36="",AB36=""),"",--(AA36&lt;&gt;AB36))</x:f>
      </x:c>
      <x:c r="AE36" t="str">
        <x:f>IF(OR(AA36="",AB36=""),"PENDING_HUMAN",IF(AA36=AB36,AA36,IF(AD36&lt;&gt;"",AD36,"PENDING_HUMAN")))</x:f>
        <x:v>PENDING_HUMAN</x:v>
      </x:c>
      <x:c r="AF36" t="n">
        <x:f>--AND(A36&lt;&gt;"",AA36&lt;&gt;"",AB36&lt;&gt;"",OR(AA36=AB36,AD36&lt;&gt;""),IF(AE36="HALLUCINATION",U36&lt;&gt;"",TRUE))</x:f>
        <x:v>0</x:v>
      </x:c>
      <x:c r="AG36" t="n">
        <x:f>--AND(N36=1,AF36=1,OR(AE36="SUPPORTED",AE36="HALLUCINATION"))</x:f>
        <x:v>0</x:v>
      </x:c>
      <x:c r="AH36" t="n">
        <x:f>--AND(AG36=1,AE36="HALLUCINATION")</x:f>
        <x:v>0</x:v>
      </x:c>
      <x:c r="AI36" t="n">
        <x:f>--AND(Q36=1,AF36=1,AE36="HALLUCINATION")</x:f>
        <x:v>0</x:v>
      </x:c>
      <x:c r="AJ36" t="n">
        <x:f>--AND(AI36=1,R36=1,S36=1)</x:f>
        <x:v>0</x:v>
      </x:c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43" t="n">
        <x:f>--AND(N37=1,OR(O37="SUPPORTED",O37="HALLUCINATION"))</x:f>
        <x:v>0</x:v>
      </x:c>
      <x:c r="X37" s="43" t="n">
        <x:f>--AND(W37=1,O37="HALLUCINATION")</x:f>
        <x:v>0</x:v>
      </x:c>
      <x:c r="Y37" s="43" t="n">
        <x:f>--AND(Q37=1,O37="HALLUCINATION")</x:f>
        <x:v>0</x:v>
      </x:c>
      <x:c r="Z37" s="43" t="n">
        <x:f>--AND(Y37=1,R37=1,S37=1)</x:f>
        <x:v>0</x:v>
      </x:c>
      <x:c r="AC37" t="str">
        <x:f>IF(OR(AA37="",AB37=""),"",--(AA37&lt;&gt;AB37))</x:f>
      </x:c>
      <x:c r="AE37" t="str">
        <x:f>IF(OR(AA37="",AB37=""),"PENDING_HUMAN",IF(AA37=AB37,AA37,IF(AD37&lt;&gt;"",AD37,"PENDING_HUMAN")))</x:f>
        <x:v>PENDING_HUMAN</x:v>
      </x:c>
      <x:c r="AF37" t="n">
        <x:f>--AND(A37&lt;&gt;"",AA37&lt;&gt;"",AB37&lt;&gt;"",OR(AA37=AB37,AD37&lt;&gt;""),IF(AE37="HALLUCINATION",U37&lt;&gt;"",TRUE))</x:f>
        <x:v>0</x:v>
      </x:c>
      <x:c r="AG37" t="n">
        <x:f>--AND(N37=1,AF37=1,OR(AE37="SUPPORTED",AE37="HALLUCINATION"))</x:f>
        <x:v>0</x:v>
      </x:c>
      <x:c r="AH37" t="n">
        <x:f>--AND(AG37=1,AE37="HALLUCINATION")</x:f>
        <x:v>0</x:v>
      </x:c>
      <x:c r="AI37" t="n">
        <x:f>--AND(Q37=1,AF37=1,AE37="HALLUCINATION")</x:f>
        <x:v>0</x:v>
      </x:c>
      <x:c r="AJ37" t="n">
        <x:f>--AND(AI37=1,R37=1,S37=1)</x:f>
        <x:v>0</x:v>
      </x:c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43" t="n">
        <x:f>--AND(N38=1,OR(O38="SUPPORTED",O38="HALLUCINATION"))</x:f>
        <x:v>0</x:v>
      </x:c>
      <x:c r="X38" s="43" t="n">
        <x:f>--AND(W38=1,O38="HALLUCINATION")</x:f>
        <x:v>0</x:v>
      </x:c>
      <x:c r="Y38" s="43" t="n">
        <x:f>--AND(Q38=1,O38="HALLUCINATION")</x:f>
        <x:v>0</x:v>
      </x:c>
      <x:c r="Z38" s="43" t="n">
        <x:f>--AND(Y38=1,R38=1,S38=1)</x:f>
        <x:v>0</x:v>
      </x:c>
      <x:c r="AC38" t="str">
        <x:f>IF(OR(AA38="",AB38=""),"",--(AA38&lt;&gt;AB38))</x:f>
      </x:c>
      <x:c r="AE38" t="str">
        <x:f>IF(OR(AA38="",AB38=""),"PENDING_HUMAN",IF(AA38=AB38,AA38,IF(AD38&lt;&gt;"",AD38,"PENDING_HUMAN")))</x:f>
        <x:v>PENDING_HUMAN</x:v>
      </x:c>
      <x:c r="AF38" t="n">
        <x:f>--AND(A38&lt;&gt;"",AA38&lt;&gt;"",AB38&lt;&gt;"",OR(AA38=AB38,AD38&lt;&gt;""),IF(AE38="HALLUCINATION",U38&lt;&gt;"",TRUE))</x:f>
        <x:v>0</x:v>
      </x:c>
      <x:c r="AG38" t="n">
        <x:f>--AND(N38=1,AF38=1,OR(AE38="SUPPORTED",AE38="HALLUCINATION"))</x:f>
        <x:v>0</x:v>
      </x:c>
      <x:c r="AH38" t="n">
        <x:f>--AND(AG38=1,AE38="HALLUCINATION")</x:f>
        <x:v>0</x:v>
      </x:c>
      <x:c r="AI38" t="n">
        <x:f>--AND(Q38=1,AF38=1,AE38="HALLUCINATION")</x:f>
        <x:v>0</x:v>
      </x:c>
      <x:c r="AJ38" t="n">
        <x:f>--AND(AI38=1,R38=1,S38=1)</x:f>
        <x:v>0</x:v>
      </x:c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43" t="n">
        <x:f>--AND(N39=1,OR(O39="SUPPORTED",O39="HALLUCINATION"))</x:f>
        <x:v>0</x:v>
      </x:c>
      <x:c r="X39" s="43" t="n">
        <x:f>--AND(W39=1,O39="HALLUCINATION")</x:f>
        <x:v>0</x:v>
      </x:c>
      <x:c r="Y39" s="43" t="n">
        <x:f>--AND(Q39=1,O39="HALLUCINATION")</x:f>
        <x:v>0</x:v>
      </x:c>
      <x:c r="Z39" s="43" t="n">
        <x:f>--AND(Y39=1,R39=1,S39=1)</x:f>
        <x:v>0</x:v>
      </x:c>
      <x:c r="AC39" t="str">
        <x:f>IF(OR(AA39="",AB39=""),"",--(AA39&lt;&gt;AB39))</x:f>
      </x:c>
      <x:c r="AE39" t="str">
        <x:f>IF(OR(AA39="",AB39=""),"PENDING_HUMAN",IF(AA39=AB39,AA39,IF(AD39&lt;&gt;"",AD39,"PENDING_HUMAN")))</x:f>
        <x:v>PENDING_HUMAN</x:v>
      </x:c>
      <x:c r="AF39" t="n">
        <x:f>--AND(A39&lt;&gt;"",AA39&lt;&gt;"",AB39&lt;&gt;"",OR(AA39=AB39,AD39&lt;&gt;""),IF(AE39="HALLUCINATION",U39&lt;&gt;"",TRUE))</x:f>
        <x:v>0</x:v>
      </x:c>
      <x:c r="AG39" t="n">
        <x:f>--AND(N39=1,AF39=1,OR(AE39="SUPPORTED",AE39="HALLUCINATION"))</x:f>
        <x:v>0</x:v>
      </x:c>
      <x:c r="AH39" t="n">
        <x:f>--AND(AG39=1,AE39="HALLUCINATION")</x:f>
        <x:v>0</x:v>
      </x:c>
      <x:c r="AI39" t="n">
        <x:f>--AND(Q39=1,AF39=1,AE39="HALLUCINATION")</x:f>
        <x:v>0</x:v>
      </x:c>
      <x:c r="AJ39" t="n">
        <x:f>--AND(AI39=1,R39=1,S39=1)</x:f>
        <x:v>0</x:v>
      </x:c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43" t="n">
        <x:f>--AND(N40=1,OR(O40="SUPPORTED",O40="HALLUCINATION"))</x:f>
        <x:v>0</x:v>
      </x:c>
      <x:c r="X40" s="43" t="n">
        <x:f>--AND(W40=1,O40="HALLUCINATION")</x:f>
        <x:v>0</x:v>
      </x:c>
      <x:c r="Y40" s="43" t="n">
        <x:f>--AND(Q40=1,O40="HALLUCINATION")</x:f>
        <x:v>0</x:v>
      </x:c>
      <x:c r="Z40" s="43" t="n">
        <x:f>--AND(Y40=1,R40=1,S40=1)</x:f>
        <x:v>0</x:v>
      </x:c>
      <x:c r="AC40" t="str">
        <x:f>IF(OR(AA40="",AB40=""),"",--(AA40&lt;&gt;AB40))</x:f>
      </x:c>
      <x:c r="AE40" t="str">
        <x:f>IF(OR(AA40="",AB40=""),"PENDING_HUMAN",IF(AA40=AB40,AA40,IF(AD40&lt;&gt;"",AD40,"PENDING_HUMAN")))</x:f>
        <x:v>PENDING_HUMAN</x:v>
      </x:c>
      <x:c r="AF40" t="n">
        <x:f>--AND(A40&lt;&gt;"",AA40&lt;&gt;"",AB40&lt;&gt;"",OR(AA40=AB40,AD40&lt;&gt;""),IF(AE40="HALLUCINATION",U40&lt;&gt;"",TRUE))</x:f>
        <x:v>0</x:v>
      </x:c>
      <x:c r="AG40" t="n">
        <x:f>--AND(N40=1,AF40=1,OR(AE40="SUPPORTED",AE40="HALLUCINATION"))</x:f>
        <x:v>0</x:v>
      </x:c>
      <x:c r="AH40" t="n">
        <x:f>--AND(AG40=1,AE40="HALLUCINATION")</x:f>
        <x:v>0</x:v>
      </x:c>
      <x:c r="AI40" t="n">
        <x:f>--AND(Q40=1,AF40=1,AE40="HALLUCINATION")</x:f>
        <x:v>0</x:v>
      </x:c>
      <x:c r="AJ40" t="n">
        <x:f>--AND(AI40=1,R40=1,S40=1)</x:f>
        <x:v>0</x:v>
      </x:c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43" t="n">
        <x:f>--AND(N41=1,OR(O41="SUPPORTED",O41="HALLUCINATION"))</x:f>
        <x:v>0</x:v>
      </x:c>
      <x:c r="X41" s="43" t="n">
        <x:f>--AND(W41=1,O41="HALLUCINATION")</x:f>
        <x:v>0</x:v>
      </x:c>
      <x:c r="Y41" s="43" t="n">
        <x:f>--AND(Q41=1,O41="HALLUCINATION")</x:f>
        <x:v>0</x:v>
      </x:c>
      <x:c r="Z41" s="43" t="n">
        <x:f>--AND(Y41=1,R41=1,S41=1)</x:f>
        <x:v>0</x:v>
      </x:c>
      <x:c r="AC41" t="str">
        <x:f>IF(OR(AA41="",AB41=""),"",--(AA41&lt;&gt;AB41))</x:f>
      </x:c>
      <x:c r="AE41" t="str">
        <x:f>IF(OR(AA41="",AB41=""),"PENDING_HUMAN",IF(AA41=AB41,AA41,IF(AD41&lt;&gt;"",AD41,"PENDING_HUMAN")))</x:f>
        <x:v>PENDING_HUMAN</x:v>
      </x:c>
      <x:c r="AF41" t="n">
        <x:f>--AND(A41&lt;&gt;"",AA41&lt;&gt;"",AB41&lt;&gt;"",OR(AA41=AB41,AD41&lt;&gt;""),IF(AE41="HALLUCINATION",U41&lt;&gt;"",TRUE))</x:f>
        <x:v>0</x:v>
      </x:c>
      <x:c r="AG41" t="n">
        <x:f>--AND(N41=1,AF41=1,OR(AE41="SUPPORTED",AE41="HALLUCINATION"))</x:f>
        <x:v>0</x:v>
      </x:c>
      <x:c r="AH41" t="n">
        <x:f>--AND(AG41=1,AE41="HALLUCINATION")</x:f>
        <x:v>0</x:v>
      </x:c>
      <x:c r="AI41" t="n">
        <x:f>--AND(Q41=1,AF41=1,AE41="HALLUCINATION")</x:f>
        <x:v>0</x:v>
      </x:c>
      <x:c r="AJ41" t="n">
        <x:f>--AND(AI41=1,R41=1,S41=1)</x:f>
        <x:v>0</x:v>
      </x:c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43" t="n">
        <x:f>--AND(N42=1,OR(O42="SUPPORTED",O42="HALLUCINATION"))</x:f>
        <x:v>0</x:v>
      </x:c>
      <x:c r="X42" s="43" t="n">
        <x:f>--AND(W42=1,O42="HALLUCINATION")</x:f>
        <x:v>0</x:v>
      </x:c>
      <x:c r="Y42" s="43" t="n">
        <x:f>--AND(Q42=1,O42="HALLUCINATION")</x:f>
        <x:v>0</x:v>
      </x:c>
      <x:c r="Z42" s="43" t="n">
        <x:f>--AND(Y42=1,R42=1,S42=1)</x:f>
        <x:v>0</x:v>
      </x:c>
      <x:c r="AC42" t="str">
        <x:f>IF(OR(AA42="",AB42=""),"",--(AA42&lt;&gt;AB42))</x:f>
      </x:c>
      <x:c r="AE42" t="str">
        <x:f>IF(OR(AA42="",AB42=""),"PENDING_HUMAN",IF(AA42=AB42,AA42,IF(AD42&lt;&gt;"",AD42,"PENDING_HUMAN")))</x:f>
        <x:v>PENDING_HUMAN</x:v>
      </x:c>
      <x:c r="AF42" t="n">
        <x:f>--AND(A42&lt;&gt;"",AA42&lt;&gt;"",AB42&lt;&gt;"",OR(AA42=AB42,AD42&lt;&gt;""),IF(AE42="HALLUCINATION",U42&lt;&gt;"",TRUE))</x:f>
        <x:v>0</x:v>
      </x:c>
      <x:c r="AG42" t="n">
        <x:f>--AND(N42=1,AF42=1,OR(AE42="SUPPORTED",AE42="HALLUCINATION"))</x:f>
        <x:v>0</x:v>
      </x:c>
      <x:c r="AH42" t="n">
        <x:f>--AND(AG42=1,AE42="HALLUCINATION")</x:f>
        <x:v>0</x:v>
      </x:c>
      <x:c r="AI42" t="n">
        <x:f>--AND(Q42=1,AF42=1,AE42="HALLUCINATION")</x:f>
        <x:v>0</x:v>
      </x:c>
      <x:c r="AJ42" t="n">
        <x:f>--AND(AI42=1,R42=1,S42=1)</x:f>
        <x:v>0</x:v>
      </x:c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43" t="n">
        <x:f>--AND(N43=1,OR(O43="SUPPORTED",O43="HALLUCINATION"))</x:f>
        <x:v>0</x:v>
      </x:c>
      <x:c r="X43" s="43" t="n">
        <x:f>--AND(W43=1,O43="HALLUCINATION")</x:f>
        <x:v>0</x:v>
      </x:c>
      <x:c r="Y43" s="43" t="n">
        <x:f>--AND(Q43=1,O43="HALLUCINATION")</x:f>
        <x:v>0</x:v>
      </x:c>
      <x:c r="Z43" s="43" t="n">
        <x:f>--AND(Y43=1,R43=1,S43=1)</x:f>
        <x:v>0</x:v>
      </x:c>
      <x:c r="AC43" t="str">
        <x:f>IF(OR(AA43="",AB43=""),"",--(AA43&lt;&gt;AB43))</x:f>
      </x:c>
      <x:c r="AE43" t="str">
        <x:f>IF(OR(AA43="",AB43=""),"PENDING_HUMAN",IF(AA43=AB43,AA43,IF(AD43&lt;&gt;"",AD43,"PENDING_HUMAN")))</x:f>
        <x:v>PENDING_HUMAN</x:v>
      </x:c>
      <x:c r="AF43" t="n">
        <x:f>--AND(A43&lt;&gt;"",AA43&lt;&gt;"",AB43&lt;&gt;"",OR(AA43=AB43,AD43&lt;&gt;""),IF(AE43="HALLUCINATION",U43&lt;&gt;"",TRUE))</x:f>
        <x:v>0</x:v>
      </x:c>
      <x:c r="AG43" t="n">
        <x:f>--AND(N43=1,AF43=1,OR(AE43="SUPPORTED",AE43="HALLUCINATION"))</x:f>
        <x:v>0</x:v>
      </x:c>
      <x:c r="AH43" t="n">
        <x:f>--AND(AG43=1,AE43="HALLUCINATION")</x:f>
        <x:v>0</x:v>
      </x:c>
      <x:c r="AI43" t="n">
        <x:f>--AND(Q43=1,AF43=1,AE43="HALLUCINATION")</x:f>
        <x:v>0</x:v>
      </x:c>
      <x:c r="AJ43" t="n">
        <x:f>--AND(AI43=1,R43=1,S43=1)</x:f>
        <x:v>0</x:v>
      </x:c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43" t="n">
        <x:f>--AND(N44=1,OR(O44="SUPPORTED",O44="HALLUCINATION"))</x:f>
        <x:v>0</x:v>
      </x:c>
      <x:c r="X44" s="43" t="n">
        <x:f>--AND(W44=1,O44="HALLUCINATION")</x:f>
        <x:v>0</x:v>
      </x:c>
      <x:c r="Y44" s="43" t="n">
        <x:f>--AND(Q44=1,O44="HALLUCINATION")</x:f>
        <x:v>0</x:v>
      </x:c>
      <x:c r="Z44" s="43" t="n">
        <x:f>--AND(Y44=1,R44=1,S44=1)</x:f>
        <x:v>0</x:v>
      </x:c>
      <x:c r="AC44" t="str">
        <x:f>IF(OR(AA44="",AB44=""),"",--(AA44&lt;&gt;AB44))</x:f>
      </x:c>
      <x:c r="AE44" t="str">
        <x:f>IF(OR(AA44="",AB44=""),"PENDING_HUMAN",IF(AA44=AB44,AA44,IF(AD44&lt;&gt;"",AD44,"PENDING_HUMAN")))</x:f>
        <x:v>PENDING_HUMAN</x:v>
      </x:c>
      <x:c r="AF44" t="n">
        <x:f>--AND(A44&lt;&gt;"",AA44&lt;&gt;"",AB44&lt;&gt;"",OR(AA44=AB44,AD44&lt;&gt;""),IF(AE44="HALLUCINATION",U44&lt;&gt;"",TRUE))</x:f>
        <x:v>0</x:v>
      </x:c>
      <x:c r="AG44" t="n">
        <x:f>--AND(N44=1,AF44=1,OR(AE44="SUPPORTED",AE44="HALLUCINATION"))</x:f>
        <x:v>0</x:v>
      </x:c>
      <x:c r="AH44" t="n">
        <x:f>--AND(AG44=1,AE44="HALLUCINATION")</x:f>
        <x:v>0</x:v>
      </x:c>
      <x:c r="AI44" t="n">
        <x:f>--AND(Q44=1,AF44=1,AE44="HALLUCINATION")</x:f>
        <x:v>0</x:v>
      </x:c>
      <x:c r="AJ44" t="n">
        <x:f>--AND(AI44=1,R44=1,S44=1)</x:f>
        <x:v>0</x:v>
      </x:c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43" t="n">
        <x:f>--AND(N45=1,OR(O45="SUPPORTED",O45="HALLUCINATION"))</x:f>
        <x:v>0</x:v>
      </x:c>
      <x:c r="X45" s="43" t="n">
        <x:f>--AND(W45=1,O45="HALLUCINATION")</x:f>
        <x:v>0</x:v>
      </x:c>
      <x:c r="Y45" s="43" t="n">
        <x:f>--AND(Q45=1,O45="HALLUCINATION")</x:f>
        <x:v>0</x:v>
      </x:c>
      <x:c r="Z45" s="43" t="n">
        <x:f>--AND(Y45=1,R45=1,S45=1)</x:f>
        <x:v>0</x:v>
      </x:c>
      <x:c r="AC45" t="str">
        <x:f>IF(OR(AA45="",AB45=""),"",--(AA45&lt;&gt;AB45))</x:f>
      </x:c>
      <x:c r="AE45" t="str">
        <x:f>IF(OR(AA45="",AB45=""),"PENDING_HUMAN",IF(AA45=AB45,AA45,IF(AD45&lt;&gt;"",AD45,"PENDING_HUMAN")))</x:f>
        <x:v>PENDING_HUMAN</x:v>
      </x:c>
      <x:c r="AF45" t="n">
        <x:f>--AND(A45&lt;&gt;"",AA45&lt;&gt;"",AB45&lt;&gt;"",OR(AA45=AB45,AD45&lt;&gt;""),IF(AE45="HALLUCINATION",U45&lt;&gt;"",TRUE))</x:f>
        <x:v>0</x:v>
      </x:c>
      <x:c r="AG45" t="n">
        <x:f>--AND(N45=1,AF45=1,OR(AE45="SUPPORTED",AE45="HALLUCINATION"))</x:f>
        <x:v>0</x:v>
      </x:c>
      <x:c r="AH45" t="n">
        <x:f>--AND(AG45=1,AE45="HALLUCINATION")</x:f>
        <x:v>0</x:v>
      </x:c>
      <x:c r="AI45" t="n">
        <x:f>--AND(Q45=1,AF45=1,AE45="HALLUCINATION")</x:f>
        <x:v>0</x:v>
      </x:c>
      <x:c r="AJ45" t="n">
        <x:f>--AND(AI45=1,R45=1,S45=1)</x:f>
        <x:v>0</x:v>
      </x:c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43" t="n">
        <x:f>--AND(N46=1,OR(O46="SUPPORTED",O46="HALLUCINATION"))</x:f>
        <x:v>0</x:v>
      </x:c>
      <x:c r="X46" s="43" t="n">
        <x:f>--AND(W46=1,O46="HALLUCINATION")</x:f>
        <x:v>0</x:v>
      </x:c>
      <x:c r="Y46" s="43" t="n">
        <x:f>--AND(Q46=1,O46="HALLUCINATION")</x:f>
        <x:v>0</x:v>
      </x:c>
      <x:c r="Z46" s="43" t="n">
        <x:f>--AND(Y46=1,R46=1,S46=1)</x:f>
        <x:v>0</x:v>
      </x:c>
      <x:c r="AC46" t="str">
        <x:f>IF(OR(AA46="",AB46=""),"",--(AA46&lt;&gt;AB46))</x:f>
      </x:c>
      <x:c r="AE46" t="str">
        <x:f>IF(OR(AA46="",AB46=""),"PENDING_HUMAN",IF(AA46=AB46,AA46,IF(AD46&lt;&gt;"",AD46,"PENDING_HUMAN")))</x:f>
        <x:v>PENDING_HUMAN</x:v>
      </x:c>
      <x:c r="AF46" t="n">
        <x:f>--AND(A46&lt;&gt;"",AA46&lt;&gt;"",AB46&lt;&gt;"",OR(AA46=AB46,AD46&lt;&gt;""),IF(AE46="HALLUCINATION",U46&lt;&gt;"",TRUE))</x:f>
        <x:v>0</x:v>
      </x:c>
      <x:c r="AG46" t="n">
        <x:f>--AND(N46=1,AF46=1,OR(AE46="SUPPORTED",AE46="HALLUCINATION"))</x:f>
        <x:v>0</x:v>
      </x:c>
      <x:c r="AH46" t="n">
        <x:f>--AND(AG46=1,AE46="HALLUCINATION")</x:f>
        <x:v>0</x:v>
      </x:c>
      <x:c r="AI46" t="n">
        <x:f>--AND(Q46=1,AF46=1,AE46="HALLUCINATION")</x:f>
        <x:v>0</x:v>
      </x:c>
      <x:c r="AJ46" t="n">
        <x:f>--AND(AI46=1,R46=1,S46=1)</x:f>
        <x:v>0</x:v>
      </x:c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43" t="n">
        <x:f>--AND(N47=1,OR(O47="SUPPORTED",O47="HALLUCINATION"))</x:f>
        <x:v>0</x:v>
      </x:c>
      <x:c r="X47" s="43" t="n">
        <x:f>--AND(W47=1,O47="HALLUCINATION")</x:f>
        <x:v>0</x:v>
      </x:c>
      <x:c r="Y47" s="43" t="n">
        <x:f>--AND(Q47=1,O47="HALLUCINATION")</x:f>
        <x:v>0</x:v>
      </x:c>
      <x:c r="Z47" s="43" t="n">
        <x:f>--AND(Y47=1,R47=1,S47=1)</x:f>
        <x:v>0</x:v>
      </x:c>
      <x:c r="AC47" t="str">
        <x:f>IF(OR(AA47="",AB47=""),"",--(AA47&lt;&gt;AB47))</x:f>
      </x:c>
      <x:c r="AE47" t="str">
        <x:f>IF(OR(AA47="",AB47=""),"PENDING_HUMAN",IF(AA47=AB47,AA47,IF(AD47&lt;&gt;"",AD47,"PENDING_HUMAN")))</x:f>
        <x:v>PENDING_HUMAN</x:v>
      </x:c>
      <x:c r="AF47" t="n">
        <x:f>--AND(A47&lt;&gt;"",AA47&lt;&gt;"",AB47&lt;&gt;"",OR(AA47=AB47,AD47&lt;&gt;""),IF(AE47="HALLUCINATION",U47&lt;&gt;"",TRUE))</x:f>
        <x:v>0</x:v>
      </x:c>
      <x:c r="AG47" t="n">
        <x:f>--AND(N47=1,AF47=1,OR(AE47="SUPPORTED",AE47="HALLUCINATION"))</x:f>
        <x:v>0</x:v>
      </x:c>
      <x:c r="AH47" t="n">
        <x:f>--AND(AG47=1,AE47="HALLUCINATION")</x:f>
        <x:v>0</x:v>
      </x:c>
      <x:c r="AI47" t="n">
        <x:f>--AND(Q47=1,AF47=1,AE47="HALLUCINATION")</x:f>
        <x:v>0</x:v>
      </x:c>
      <x:c r="AJ47" t="n">
        <x:f>--AND(AI47=1,R47=1,S47=1)</x:f>
        <x:v>0</x:v>
      </x:c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43" t="n">
        <x:f>--AND(N48=1,OR(O48="SUPPORTED",O48="HALLUCINATION"))</x:f>
        <x:v>0</x:v>
      </x:c>
      <x:c r="X48" s="43" t="n">
        <x:f>--AND(W48=1,O48="HALLUCINATION")</x:f>
        <x:v>0</x:v>
      </x:c>
      <x:c r="Y48" s="43" t="n">
        <x:f>--AND(Q48=1,O48="HALLUCINATION")</x:f>
        <x:v>0</x:v>
      </x:c>
      <x:c r="Z48" s="43" t="n">
        <x:f>--AND(Y48=1,R48=1,S48=1)</x:f>
        <x:v>0</x:v>
      </x:c>
      <x:c r="AC48" t="str">
        <x:f>IF(OR(AA48="",AB48=""),"",--(AA48&lt;&gt;AB48))</x:f>
      </x:c>
      <x:c r="AE48" t="str">
        <x:f>IF(OR(AA48="",AB48=""),"PENDING_HUMAN",IF(AA48=AB48,AA48,IF(AD48&lt;&gt;"",AD48,"PENDING_HUMAN")))</x:f>
        <x:v>PENDING_HUMAN</x:v>
      </x:c>
      <x:c r="AF48" t="n">
        <x:f>--AND(A48&lt;&gt;"",AA48&lt;&gt;"",AB48&lt;&gt;"",OR(AA48=AB48,AD48&lt;&gt;""),IF(AE48="HALLUCINATION",U48&lt;&gt;"",TRUE))</x:f>
        <x:v>0</x:v>
      </x:c>
      <x:c r="AG48" t="n">
        <x:f>--AND(N48=1,AF48=1,OR(AE48="SUPPORTED",AE48="HALLUCINATION"))</x:f>
        <x:v>0</x:v>
      </x:c>
      <x:c r="AH48" t="n">
        <x:f>--AND(AG48=1,AE48="HALLUCINATION")</x:f>
        <x:v>0</x:v>
      </x:c>
      <x:c r="AI48" t="n">
        <x:f>--AND(Q48=1,AF48=1,AE48="HALLUCINATION")</x:f>
        <x:v>0</x:v>
      </x:c>
      <x:c r="AJ48" t="n">
        <x:f>--AND(AI48=1,R48=1,S48=1)</x:f>
        <x:v>0</x:v>
      </x:c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43" t="n">
        <x:f>--AND(N49=1,OR(O49="SUPPORTED",O49="HALLUCINATION"))</x:f>
        <x:v>0</x:v>
      </x:c>
      <x:c r="X49" s="43" t="n">
        <x:f>--AND(W49=1,O49="HALLUCINATION")</x:f>
        <x:v>0</x:v>
      </x:c>
      <x:c r="Y49" s="43" t="n">
        <x:f>--AND(Q49=1,O49="HALLUCINATION")</x:f>
        <x:v>0</x:v>
      </x:c>
      <x:c r="Z49" s="43" t="n">
        <x:f>--AND(Y49=1,R49=1,S49=1)</x:f>
        <x:v>0</x:v>
      </x:c>
      <x:c r="AC49" t="str">
        <x:f>IF(OR(AA49="",AB49=""),"",--(AA49&lt;&gt;AB49))</x:f>
      </x:c>
      <x:c r="AE49" t="str">
        <x:f>IF(OR(AA49="",AB49=""),"PENDING_HUMAN",IF(AA49=AB49,AA49,IF(AD49&lt;&gt;"",AD49,"PENDING_HUMAN")))</x:f>
        <x:v>PENDING_HUMAN</x:v>
      </x:c>
      <x:c r="AF49" t="n">
        <x:f>--AND(A49&lt;&gt;"",AA49&lt;&gt;"",AB49&lt;&gt;"",OR(AA49=AB49,AD49&lt;&gt;""),IF(AE49="HALLUCINATION",U49&lt;&gt;"",TRUE))</x:f>
        <x:v>0</x:v>
      </x:c>
      <x:c r="AG49" t="n">
        <x:f>--AND(N49=1,AF49=1,OR(AE49="SUPPORTED",AE49="HALLUCINATION"))</x:f>
        <x:v>0</x:v>
      </x:c>
      <x:c r="AH49" t="n">
        <x:f>--AND(AG49=1,AE49="HALLUCINATION")</x:f>
        <x:v>0</x:v>
      </x:c>
      <x:c r="AI49" t="n">
        <x:f>--AND(Q49=1,AF49=1,AE49="HALLUCINATION")</x:f>
        <x:v>0</x:v>
      </x:c>
      <x:c r="AJ49" t="n">
        <x:f>--AND(AI49=1,R49=1,S49=1)</x:f>
        <x:v>0</x:v>
      </x:c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43" t="n">
        <x:f>--AND(N50=1,OR(O50="SUPPORTED",O50="HALLUCINATION"))</x:f>
        <x:v>0</x:v>
      </x:c>
      <x:c r="X50" s="43" t="n">
        <x:f>--AND(W50=1,O50="HALLUCINATION")</x:f>
        <x:v>0</x:v>
      </x:c>
      <x:c r="Y50" s="43" t="n">
        <x:f>--AND(Q50=1,O50="HALLUCINATION")</x:f>
        <x:v>0</x:v>
      </x:c>
      <x:c r="Z50" s="43" t="n">
        <x:f>--AND(Y50=1,R50=1,S50=1)</x:f>
        <x:v>0</x:v>
      </x:c>
      <x:c r="AC50" t="str">
        <x:f>IF(OR(AA50="",AB50=""),"",--(AA50&lt;&gt;AB50))</x:f>
      </x:c>
      <x:c r="AE50" t="str">
        <x:f>IF(OR(AA50="",AB50=""),"PENDING_HUMAN",IF(AA50=AB50,AA50,IF(AD50&lt;&gt;"",AD50,"PENDING_HUMAN")))</x:f>
        <x:v>PENDING_HUMAN</x:v>
      </x:c>
      <x:c r="AF50" t="n">
        <x:f>--AND(A50&lt;&gt;"",AA50&lt;&gt;"",AB50&lt;&gt;"",OR(AA50=AB50,AD50&lt;&gt;""),IF(AE50="HALLUCINATION",U50&lt;&gt;"",TRUE))</x:f>
        <x:v>0</x:v>
      </x:c>
      <x:c r="AG50" t="n">
        <x:f>--AND(N50=1,AF50=1,OR(AE50="SUPPORTED",AE50="HALLUCINATION"))</x:f>
        <x:v>0</x:v>
      </x:c>
      <x:c r="AH50" t="n">
        <x:f>--AND(AG50=1,AE50="HALLUCINATION")</x:f>
        <x:v>0</x:v>
      </x:c>
      <x:c r="AI50" t="n">
        <x:f>--AND(Q50=1,AF50=1,AE50="HALLUCINATION")</x:f>
        <x:v>0</x:v>
      </x:c>
      <x:c r="AJ50" t="n">
        <x:f>--AND(AI50=1,R50=1,S50=1)</x:f>
        <x:v>0</x:v>
      </x:c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43" t="n">
        <x:f>--AND(N51=1,OR(O51="SUPPORTED",O51="HALLUCINATION"))</x:f>
        <x:v>0</x:v>
      </x:c>
      <x:c r="X51" s="43" t="n">
        <x:f>--AND(W51=1,O51="HALLUCINATION")</x:f>
        <x:v>0</x:v>
      </x:c>
      <x:c r="Y51" s="43" t="n">
        <x:f>--AND(Q51=1,O51="HALLUCINATION")</x:f>
        <x:v>0</x:v>
      </x:c>
      <x:c r="Z51" s="43" t="n">
        <x:f>--AND(Y51=1,R51=1,S51=1)</x:f>
        <x:v>0</x:v>
      </x:c>
      <x:c r="AC51" t="str">
        <x:f>IF(OR(AA51="",AB51=""),"",--(AA51&lt;&gt;AB51))</x:f>
      </x:c>
      <x:c r="AE51" t="str">
        <x:f>IF(OR(AA51="",AB51=""),"PENDING_HUMAN",IF(AA51=AB51,AA51,IF(AD51&lt;&gt;"",AD51,"PENDING_HUMAN")))</x:f>
        <x:v>PENDING_HUMAN</x:v>
      </x:c>
      <x:c r="AF51" t="n">
        <x:f>--AND(A51&lt;&gt;"",AA51&lt;&gt;"",AB51&lt;&gt;"",OR(AA51=AB51,AD51&lt;&gt;""),IF(AE51="HALLUCINATION",U51&lt;&gt;"",TRUE))</x:f>
        <x:v>0</x:v>
      </x:c>
      <x:c r="AG51" t="n">
        <x:f>--AND(N51=1,AF51=1,OR(AE51="SUPPORTED",AE51="HALLUCINATION"))</x:f>
        <x:v>0</x:v>
      </x:c>
      <x:c r="AH51" t="n">
        <x:f>--AND(AG51=1,AE51="HALLUCINATION")</x:f>
        <x:v>0</x:v>
      </x:c>
      <x:c r="AI51" t="n">
        <x:f>--AND(Q51=1,AF51=1,AE51="HALLUCINATION")</x:f>
        <x:v>0</x:v>
      </x:c>
      <x:c r="AJ51" t="n">
        <x:f>--AND(AI51=1,R51=1,S51=1)</x:f>
        <x:v>0</x:v>
      </x:c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43" t="n">
        <x:f>--AND(N52=1,OR(O52="SUPPORTED",O52="HALLUCINATION"))</x:f>
        <x:v>0</x:v>
      </x:c>
      <x:c r="X52" s="43" t="n">
        <x:f>--AND(W52=1,O52="HALLUCINATION")</x:f>
        <x:v>0</x:v>
      </x:c>
      <x:c r="Y52" s="43" t="n">
        <x:f>--AND(Q52=1,O52="HALLUCINATION")</x:f>
        <x:v>0</x:v>
      </x:c>
      <x:c r="Z52" s="43" t="n">
        <x:f>--AND(Y52=1,R52=1,S52=1)</x:f>
        <x:v>0</x:v>
      </x:c>
      <x:c r="AC52" t="str">
        <x:f>IF(OR(AA52="",AB52=""),"",--(AA52&lt;&gt;AB52))</x:f>
      </x:c>
      <x:c r="AE52" t="str">
        <x:f>IF(OR(AA52="",AB52=""),"PENDING_HUMAN",IF(AA52=AB52,AA52,IF(AD52&lt;&gt;"",AD52,"PENDING_HUMAN")))</x:f>
        <x:v>PENDING_HUMAN</x:v>
      </x:c>
      <x:c r="AF52" t="n">
        <x:f>--AND(A52&lt;&gt;"",AA52&lt;&gt;"",AB52&lt;&gt;"",OR(AA52=AB52,AD52&lt;&gt;""),IF(AE52="HALLUCINATION",U52&lt;&gt;"",TRUE))</x:f>
        <x:v>0</x:v>
      </x:c>
      <x:c r="AG52" t="n">
        <x:f>--AND(N52=1,AF52=1,OR(AE52="SUPPORTED",AE52="HALLUCINATION"))</x:f>
        <x:v>0</x:v>
      </x:c>
      <x:c r="AH52" t="n">
        <x:f>--AND(AG52=1,AE52="HALLUCINATION")</x:f>
        <x:v>0</x:v>
      </x:c>
      <x:c r="AI52" t="n">
        <x:f>--AND(Q52=1,AF52=1,AE52="HALLUCINATION")</x:f>
        <x:v>0</x:v>
      </x:c>
      <x:c r="AJ52" t="n">
        <x:f>--AND(AI52=1,R52=1,S52=1)</x:f>
        <x:v>0</x:v>
      </x:c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43" t="n">
        <x:f>--AND(N53=1,OR(O53="SUPPORTED",O53="HALLUCINATION"))</x:f>
        <x:v>0</x:v>
      </x:c>
      <x:c r="X53" s="43" t="n">
        <x:f>--AND(W53=1,O53="HALLUCINATION")</x:f>
        <x:v>0</x:v>
      </x:c>
      <x:c r="Y53" s="43" t="n">
        <x:f>--AND(Q53=1,O53="HALLUCINATION")</x:f>
        <x:v>0</x:v>
      </x:c>
      <x:c r="Z53" s="43" t="n">
        <x:f>--AND(Y53=1,R53=1,S53=1)</x:f>
        <x:v>0</x:v>
      </x:c>
      <x:c r="AC53" t="str">
        <x:f>IF(OR(AA53="",AB53=""),"",--(AA53&lt;&gt;AB53))</x:f>
      </x:c>
      <x:c r="AE53" t="str">
        <x:f>IF(OR(AA53="",AB53=""),"PENDING_HUMAN",IF(AA53=AB53,AA53,IF(AD53&lt;&gt;"",AD53,"PENDING_HUMAN")))</x:f>
        <x:v>PENDING_HUMAN</x:v>
      </x:c>
      <x:c r="AF53" t="n">
        <x:f>--AND(A53&lt;&gt;"",AA53&lt;&gt;"",AB53&lt;&gt;"",OR(AA53=AB53,AD53&lt;&gt;""),IF(AE53="HALLUCINATION",U53&lt;&gt;"",TRUE))</x:f>
        <x:v>0</x:v>
      </x:c>
      <x:c r="AG53" t="n">
        <x:f>--AND(N53=1,AF53=1,OR(AE53="SUPPORTED",AE53="HALLUCINATION"))</x:f>
        <x:v>0</x:v>
      </x:c>
      <x:c r="AH53" t="n">
        <x:f>--AND(AG53=1,AE53="HALLUCINATION")</x:f>
        <x:v>0</x:v>
      </x:c>
      <x:c r="AI53" t="n">
        <x:f>--AND(Q53=1,AF53=1,AE53="HALLUCINATION")</x:f>
        <x:v>0</x:v>
      </x:c>
      <x:c r="AJ53" t="n">
        <x:f>--AND(AI53=1,R53=1,S53=1)</x:f>
        <x:v>0</x:v>
      </x:c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43" t="n">
        <x:f>--AND(N54=1,OR(O54="SUPPORTED",O54="HALLUCINATION"))</x:f>
        <x:v>0</x:v>
      </x:c>
      <x:c r="X54" s="43" t="n">
        <x:f>--AND(W54=1,O54="HALLUCINATION")</x:f>
        <x:v>0</x:v>
      </x:c>
      <x:c r="Y54" s="43" t="n">
        <x:f>--AND(Q54=1,O54="HALLUCINATION")</x:f>
        <x:v>0</x:v>
      </x:c>
      <x:c r="Z54" s="43" t="n">
        <x:f>--AND(Y54=1,R54=1,S54=1)</x:f>
        <x:v>0</x:v>
      </x:c>
      <x:c r="AC54" t="str">
        <x:f>IF(OR(AA54="",AB54=""),"",--(AA54&lt;&gt;AB54))</x:f>
      </x:c>
      <x:c r="AE54" t="str">
        <x:f>IF(OR(AA54="",AB54=""),"PENDING_HUMAN",IF(AA54=AB54,AA54,IF(AD54&lt;&gt;"",AD54,"PENDING_HUMAN")))</x:f>
        <x:v>PENDING_HUMAN</x:v>
      </x:c>
      <x:c r="AF54" t="n">
        <x:f>--AND(A54&lt;&gt;"",AA54&lt;&gt;"",AB54&lt;&gt;"",OR(AA54=AB54,AD54&lt;&gt;""),IF(AE54="HALLUCINATION",U54&lt;&gt;"",TRUE))</x:f>
        <x:v>0</x:v>
      </x:c>
      <x:c r="AG54" t="n">
        <x:f>--AND(N54=1,AF54=1,OR(AE54="SUPPORTED",AE54="HALLUCINATION"))</x:f>
        <x:v>0</x:v>
      </x:c>
      <x:c r="AH54" t="n">
        <x:f>--AND(AG54=1,AE54="HALLUCINATION")</x:f>
        <x:v>0</x:v>
      </x:c>
      <x:c r="AI54" t="n">
        <x:f>--AND(Q54=1,AF54=1,AE54="HALLUCINATION")</x:f>
        <x:v>0</x:v>
      </x:c>
      <x:c r="AJ54" t="n">
        <x:f>--AND(AI54=1,R54=1,S54=1)</x:f>
        <x:v>0</x:v>
      </x:c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43" t="n">
        <x:f>--AND(N55=1,OR(O55="SUPPORTED",O55="HALLUCINATION"))</x:f>
        <x:v>0</x:v>
      </x:c>
      <x:c r="X55" s="43" t="n">
        <x:f>--AND(W55=1,O55="HALLUCINATION")</x:f>
        <x:v>0</x:v>
      </x:c>
      <x:c r="Y55" s="43" t="n">
        <x:f>--AND(Q55=1,O55="HALLUCINATION")</x:f>
        <x:v>0</x:v>
      </x:c>
      <x:c r="Z55" s="43" t="n">
        <x:f>--AND(Y55=1,R55=1,S55=1)</x:f>
        <x:v>0</x:v>
      </x:c>
      <x:c r="AC55" t="str">
        <x:f>IF(OR(AA55="",AB55=""),"",--(AA55&lt;&gt;AB55))</x:f>
      </x:c>
      <x:c r="AE55" t="str">
        <x:f>IF(OR(AA55="",AB55=""),"PENDING_HUMAN",IF(AA55=AB55,AA55,IF(AD55&lt;&gt;"",AD55,"PENDING_HUMAN")))</x:f>
        <x:v>PENDING_HUMAN</x:v>
      </x:c>
      <x:c r="AF55" t="n">
        <x:f>--AND(A55&lt;&gt;"",AA55&lt;&gt;"",AB55&lt;&gt;"",OR(AA55=AB55,AD55&lt;&gt;""),IF(AE55="HALLUCINATION",U55&lt;&gt;"",TRUE))</x:f>
        <x:v>0</x:v>
      </x:c>
      <x:c r="AG55" t="n">
        <x:f>--AND(N55=1,AF55=1,OR(AE55="SUPPORTED",AE55="HALLUCINATION"))</x:f>
        <x:v>0</x:v>
      </x:c>
      <x:c r="AH55" t="n">
        <x:f>--AND(AG55=1,AE55="HALLUCINATION")</x:f>
        <x:v>0</x:v>
      </x:c>
      <x:c r="AI55" t="n">
        <x:f>--AND(Q55=1,AF55=1,AE55="HALLUCINATION")</x:f>
        <x:v>0</x:v>
      </x:c>
      <x:c r="AJ55" t="n">
        <x:f>--AND(AI55=1,R55=1,S55=1)</x:f>
        <x:v>0</x:v>
      </x:c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43" t="n">
        <x:f>--AND(N56=1,OR(O56="SUPPORTED",O56="HALLUCINATION"))</x:f>
        <x:v>0</x:v>
      </x:c>
      <x:c r="X56" s="43" t="n">
        <x:f>--AND(W56=1,O56="HALLUCINATION")</x:f>
        <x:v>0</x:v>
      </x:c>
      <x:c r="Y56" s="43" t="n">
        <x:f>--AND(Q56=1,O56="HALLUCINATION")</x:f>
        <x:v>0</x:v>
      </x:c>
      <x:c r="Z56" s="43" t="n">
        <x:f>--AND(Y56=1,R56=1,S56=1)</x:f>
        <x:v>0</x:v>
      </x:c>
      <x:c r="AC56" t="str">
        <x:f>IF(OR(AA56="",AB56=""),"",--(AA56&lt;&gt;AB56))</x:f>
      </x:c>
      <x:c r="AE56" t="str">
        <x:f>IF(OR(AA56="",AB56=""),"PENDING_HUMAN",IF(AA56=AB56,AA56,IF(AD56&lt;&gt;"",AD56,"PENDING_HUMAN")))</x:f>
        <x:v>PENDING_HUMAN</x:v>
      </x:c>
      <x:c r="AF56" t="n">
        <x:f>--AND(A56&lt;&gt;"",AA56&lt;&gt;"",AB56&lt;&gt;"",OR(AA56=AB56,AD56&lt;&gt;""),IF(AE56="HALLUCINATION",U56&lt;&gt;"",TRUE))</x:f>
        <x:v>0</x:v>
      </x:c>
      <x:c r="AG56" t="n">
        <x:f>--AND(N56=1,AF56=1,OR(AE56="SUPPORTED",AE56="HALLUCINATION"))</x:f>
        <x:v>0</x:v>
      </x:c>
      <x:c r="AH56" t="n">
        <x:f>--AND(AG56=1,AE56="HALLUCINATION")</x:f>
        <x:v>0</x:v>
      </x:c>
      <x:c r="AI56" t="n">
        <x:f>--AND(Q56=1,AF56=1,AE56="HALLUCINATION")</x:f>
        <x:v>0</x:v>
      </x:c>
      <x:c r="AJ56" t="n">
        <x:f>--AND(AI56=1,R56=1,S56=1)</x:f>
        <x:v>0</x:v>
      </x:c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43" t="n">
        <x:f>--AND(N57=1,OR(O57="SUPPORTED",O57="HALLUCINATION"))</x:f>
        <x:v>0</x:v>
      </x:c>
      <x:c r="X57" s="43" t="n">
        <x:f>--AND(W57=1,O57="HALLUCINATION")</x:f>
        <x:v>0</x:v>
      </x:c>
      <x:c r="Y57" s="43" t="n">
        <x:f>--AND(Q57=1,O57="HALLUCINATION")</x:f>
        <x:v>0</x:v>
      </x:c>
      <x:c r="Z57" s="43" t="n">
        <x:f>--AND(Y57=1,R57=1,S57=1)</x:f>
        <x:v>0</x:v>
      </x:c>
      <x:c r="AC57" t="str">
        <x:f>IF(OR(AA57="",AB57=""),"",--(AA57&lt;&gt;AB57))</x:f>
      </x:c>
      <x:c r="AE57" t="str">
        <x:f>IF(OR(AA57="",AB57=""),"PENDING_HUMAN",IF(AA57=AB57,AA57,IF(AD57&lt;&gt;"",AD57,"PENDING_HUMAN")))</x:f>
        <x:v>PENDING_HUMAN</x:v>
      </x:c>
      <x:c r="AF57" t="n">
        <x:f>--AND(A57&lt;&gt;"",AA57&lt;&gt;"",AB57&lt;&gt;"",OR(AA57=AB57,AD57&lt;&gt;""),IF(AE57="HALLUCINATION",U57&lt;&gt;"",TRUE))</x:f>
        <x:v>0</x:v>
      </x:c>
      <x:c r="AG57" t="n">
        <x:f>--AND(N57=1,AF57=1,OR(AE57="SUPPORTED",AE57="HALLUCINATION"))</x:f>
        <x:v>0</x:v>
      </x:c>
      <x:c r="AH57" t="n">
        <x:f>--AND(AG57=1,AE57="HALLUCINATION")</x:f>
        <x:v>0</x:v>
      </x:c>
      <x:c r="AI57" t="n">
        <x:f>--AND(Q57=1,AF57=1,AE57="HALLUCINATION")</x:f>
        <x:v>0</x:v>
      </x:c>
      <x:c r="AJ57" t="n">
        <x:f>--AND(AI57=1,R57=1,S57=1)</x:f>
        <x:v>0</x:v>
      </x:c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43" t="n">
        <x:f>--AND(N58=1,OR(O58="SUPPORTED",O58="HALLUCINATION"))</x:f>
        <x:v>0</x:v>
      </x:c>
      <x:c r="X58" s="43" t="n">
        <x:f>--AND(W58=1,O58="HALLUCINATION")</x:f>
        <x:v>0</x:v>
      </x:c>
      <x:c r="Y58" s="43" t="n">
        <x:f>--AND(Q58=1,O58="HALLUCINATION")</x:f>
        <x:v>0</x:v>
      </x:c>
      <x:c r="Z58" s="43" t="n">
        <x:f>--AND(Y58=1,R58=1,S58=1)</x:f>
        <x:v>0</x:v>
      </x:c>
      <x:c r="AC58" t="str">
        <x:f>IF(OR(AA58="",AB58=""),"",--(AA58&lt;&gt;AB58))</x:f>
      </x:c>
      <x:c r="AE58" t="str">
        <x:f>IF(OR(AA58="",AB58=""),"PENDING_HUMAN",IF(AA58=AB58,AA58,IF(AD58&lt;&gt;"",AD58,"PENDING_HUMAN")))</x:f>
        <x:v>PENDING_HUMAN</x:v>
      </x:c>
      <x:c r="AF58" t="n">
        <x:f>--AND(A58&lt;&gt;"",AA58&lt;&gt;"",AB58&lt;&gt;"",OR(AA58=AB58,AD58&lt;&gt;""),IF(AE58="HALLUCINATION",U58&lt;&gt;"",TRUE))</x:f>
        <x:v>0</x:v>
      </x:c>
      <x:c r="AG58" t="n">
        <x:f>--AND(N58=1,AF58=1,OR(AE58="SUPPORTED",AE58="HALLUCINATION"))</x:f>
        <x:v>0</x:v>
      </x:c>
      <x:c r="AH58" t="n">
        <x:f>--AND(AG58=1,AE58="HALLUCINATION")</x:f>
        <x:v>0</x:v>
      </x:c>
      <x:c r="AI58" t="n">
        <x:f>--AND(Q58=1,AF58=1,AE58="HALLUCINATION")</x:f>
        <x:v>0</x:v>
      </x:c>
      <x:c r="AJ58" t="n">
        <x:f>--AND(AI58=1,R58=1,S58=1)</x:f>
        <x:v>0</x:v>
      </x:c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43" t="n">
        <x:f>--AND(N59=1,OR(O59="SUPPORTED",O59="HALLUCINATION"))</x:f>
        <x:v>0</x:v>
      </x:c>
      <x:c r="X59" s="43" t="n">
        <x:f>--AND(W59=1,O59="HALLUCINATION")</x:f>
        <x:v>0</x:v>
      </x:c>
      <x:c r="Y59" s="43" t="n">
        <x:f>--AND(Q59=1,O59="HALLUCINATION")</x:f>
        <x:v>0</x:v>
      </x:c>
      <x:c r="Z59" s="43" t="n">
        <x:f>--AND(Y59=1,R59=1,S59=1)</x:f>
        <x:v>0</x:v>
      </x:c>
      <x:c r="AC59" t="str">
        <x:f>IF(OR(AA59="",AB59=""),"",--(AA59&lt;&gt;AB59))</x:f>
      </x:c>
      <x:c r="AE59" t="str">
        <x:f>IF(OR(AA59="",AB59=""),"PENDING_HUMAN",IF(AA59=AB59,AA59,IF(AD59&lt;&gt;"",AD59,"PENDING_HUMAN")))</x:f>
        <x:v>PENDING_HUMAN</x:v>
      </x:c>
      <x:c r="AF59" t="n">
        <x:f>--AND(A59&lt;&gt;"",AA59&lt;&gt;"",AB59&lt;&gt;"",OR(AA59=AB59,AD59&lt;&gt;""),IF(AE59="HALLUCINATION",U59&lt;&gt;"",TRUE))</x:f>
        <x:v>0</x:v>
      </x:c>
      <x:c r="AG59" t="n">
        <x:f>--AND(N59=1,AF59=1,OR(AE59="SUPPORTED",AE59="HALLUCINATION"))</x:f>
        <x:v>0</x:v>
      </x:c>
      <x:c r="AH59" t="n">
        <x:f>--AND(AG59=1,AE59="HALLUCINATION")</x:f>
        <x:v>0</x:v>
      </x:c>
      <x:c r="AI59" t="n">
        <x:f>--AND(Q59=1,AF59=1,AE59="HALLUCINATION")</x:f>
        <x:v>0</x:v>
      </x:c>
      <x:c r="AJ59" t="n">
        <x:f>--AND(AI59=1,R59=1,S59=1)</x:f>
        <x:v>0</x:v>
      </x:c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43" t="n">
        <x:f>--AND(N60=1,OR(O60="SUPPORTED",O60="HALLUCINATION"))</x:f>
        <x:v>0</x:v>
      </x:c>
      <x:c r="X60" s="43" t="n">
        <x:f>--AND(W60=1,O60="HALLUCINATION")</x:f>
        <x:v>0</x:v>
      </x:c>
      <x:c r="Y60" s="43" t="n">
        <x:f>--AND(Q60=1,O60="HALLUCINATION")</x:f>
        <x:v>0</x:v>
      </x:c>
      <x:c r="Z60" s="43" t="n">
        <x:f>--AND(Y60=1,R60=1,S60=1)</x:f>
        <x:v>0</x:v>
      </x:c>
      <x:c r="AC60" t="str">
        <x:f>IF(OR(AA60="",AB60=""),"",--(AA60&lt;&gt;AB60))</x:f>
      </x:c>
      <x:c r="AE60" t="str">
        <x:f>IF(OR(AA60="",AB60=""),"PENDING_HUMAN",IF(AA60=AB60,AA60,IF(AD60&lt;&gt;"",AD60,"PENDING_HUMAN")))</x:f>
        <x:v>PENDING_HUMAN</x:v>
      </x:c>
      <x:c r="AF60" t="n">
        <x:f>--AND(A60&lt;&gt;"",AA60&lt;&gt;"",AB60&lt;&gt;"",OR(AA60=AB60,AD60&lt;&gt;""),IF(AE60="HALLUCINATION",U60&lt;&gt;"",TRUE))</x:f>
        <x:v>0</x:v>
      </x:c>
      <x:c r="AG60" t="n">
        <x:f>--AND(N60=1,AF60=1,OR(AE60="SUPPORTED",AE60="HALLUCINATION"))</x:f>
        <x:v>0</x:v>
      </x:c>
      <x:c r="AH60" t="n">
        <x:f>--AND(AG60=1,AE60="HALLUCINATION")</x:f>
        <x:v>0</x:v>
      </x:c>
      <x:c r="AI60" t="n">
        <x:f>--AND(Q60=1,AF60=1,AE60="HALLUCINATION")</x:f>
        <x:v>0</x:v>
      </x:c>
      <x:c r="AJ60" t="n">
        <x:f>--AND(AI60=1,R60=1,S60=1)</x:f>
        <x:v>0</x:v>
      </x:c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43" t="n">
        <x:f>--AND(N61=1,OR(O61="SUPPORTED",O61="HALLUCINATION"))</x:f>
        <x:v>0</x:v>
      </x:c>
      <x:c r="X61" s="43" t="n">
        <x:f>--AND(W61=1,O61="HALLUCINATION")</x:f>
        <x:v>0</x:v>
      </x:c>
      <x:c r="Y61" s="43" t="n">
        <x:f>--AND(Q61=1,O61="HALLUCINATION")</x:f>
        <x:v>0</x:v>
      </x:c>
      <x:c r="Z61" s="43" t="n">
        <x:f>--AND(Y61=1,R61=1,S61=1)</x:f>
        <x:v>0</x:v>
      </x:c>
      <x:c r="AC61" t="str">
        <x:f>IF(OR(AA61="",AB61=""),"",--(AA61&lt;&gt;AB61))</x:f>
      </x:c>
      <x:c r="AE61" t="str">
        <x:f>IF(OR(AA61="",AB61=""),"PENDING_HUMAN",IF(AA61=AB61,AA61,IF(AD61&lt;&gt;"",AD61,"PENDING_HUMAN")))</x:f>
        <x:v>PENDING_HUMAN</x:v>
      </x:c>
      <x:c r="AF61" t="n">
        <x:f>--AND(A61&lt;&gt;"",AA61&lt;&gt;"",AB61&lt;&gt;"",OR(AA61=AB61,AD61&lt;&gt;""),IF(AE61="HALLUCINATION",U61&lt;&gt;"",TRUE))</x:f>
        <x:v>0</x:v>
      </x:c>
      <x:c r="AG61" t="n">
        <x:f>--AND(N61=1,AF61=1,OR(AE61="SUPPORTED",AE61="HALLUCINATION"))</x:f>
        <x:v>0</x:v>
      </x:c>
      <x:c r="AH61" t="n">
        <x:f>--AND(AG61=1,AE61="HALLUCINATION")</x:f>
        <x:v>0</x:v>
      </x:c>
      <x:c r="AI61" t="n">
        <x:f>--AND(Q61=1,AF61=1,AE61="HALLUCINATION")</x:f>
        <x:v>0</x:v>
      </x:c>
      <x:c r="AJ61" t="n">
        <x:f>--AND(AI61=1,R61=1,S61=1)</x:f>
        <x:v>0</x:v>
      </x:c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43" t="n">
        <x:f>--AND(N62=1,OR(O62="SUPPORTED",O62="HALLUCINATION"))</x:f>
        <x:v>0</x:v>
      </x:c>
      <x:c r="X62" s="43" t="n">
        <x:f>--AND(W62=1,O62="HALLUCINATION")</x:f>
        <x:v>0</x:v>
      </x:c>
      <x:c r="Y62" s="43" t="n">
        <x:f>--AND(Q62=1,O62="HALLUCINATION")</x:f>
        <x:v>0</x:v>
      </x:c>
      <x:c r="Z62" s="43" t="n">
        <x:f>--AND(Y62=1,R62=1,S62=1)</x:f>
        <x:v>0</x:v>
      </x:c>
      <x:c r="AC62" t="str">
        <x:f>IF(OR(AA62="",AB62=""),"",--(AA62&lt;&gt;AB62))</x:f>
      </x:c>
      <x:c r="AE62" t="str">
        <x:f>IF(OR(AA62="",AB62=""),"PENDING_HUMAN",IF(AA62=AB62,AA62,IF(AD62&lt;&gt;"",AD62,"PENDING_HUMAN")))</x:f>
        <x:v>PENDING_HUMAN</x:v>
      </x:c>
      <x:c r="AF62" t="n">
        <x:f>--AND(A62&lt;&gt;"",AA62&lt;&gt;"",AB62&lt;&gt;"",OR(AA62=AB62,AD62&lt;&gt;""),IF(AE62="HALLUCINATION",U62&lt;&gt;"",TRUE))</x:f>
        <x:v>0</x:v>
      </x:c>
      <x:c r="AG62" t="n">
        <x:f>--AND(N62=1,AF62=1,OR(AE62="SUPPORTED",AE62="HALLUCINATION"))</x:f>
        <x:v>0</x:v>
      </x:c>
      <x:c r="AH62" t="n">
        <x:f>--AND(AG62=1,AE62="HALLUCINATION")</x:f>
        <x:v>0</x:v>
      </x:c>
      <x:c r="AI62" t="n">
        <x:f>--AND(Q62=1,AF62=1,AE62="HALLUCINATION")</x:f>
        <x:v>0</x:v>
      </x:c>
      <x:c r="AJ62" t="n">
        <x:f>--AND(AI62=1,R62=1,S62=1)</x:f>
        <x:v>0</x:v>
      </x:c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43" t="n">
        <x:f>--AND(N63=1,OR(O63="SUPPORTED",O63="HALLUCINATION"))</x:f>
        <x:v>0</x:v>
      </x:c>
      <x:c r="X63" s="43" t="n">
        <x:f>--AND(W63=1,O63="HALLUCINATION")</x:f>
        <x:v>0</x:v>
      </x:c>
      <x:c r="Y63" s="43" t="n">
        <x:f>--AND(Q63=1,O63="HALLUCINATION")</x:f>
        <x:v>0</x:v>
      </x:c>
      <x:c r="Z63" s="43" t="n">
        <x:f>--AND(Y63=1,R63=1,S63=1)</x:f>
        <x:v>0</x:v>
      </x:c>
      <x:c r="AC63" t="str">
        <x:f>IF(OR(AA63="",AB63=""),"",--(AA63&lt;&gt;AB63))</x:f>
      </x:c>
      <x:c r="AE63" t="str">
        <x:f>IF(OR(AA63="",AB63=""),"PENDING_HUMAN",IF(AA63=AB63,AA63,IF(AD63&lt;&gt;"",AD63,"PENDING_HUMAN")))</x:f>
        <x:v>PENDING_HUMAN</x:v>
      </x:c>
      <x:c r="AF63" t="n">
        <x:f>--AND(A63&lt;&gt;"",AA63&lt;&gt;"",AB63&lt;&gt;"",OR(AA63=AB63,AD63&lt;&gt;""),IF(AE63="HALLUCINATION",U63&lt;&gt;"",TRUE))</x:f>
        <x:v>0</x:v>
      </x:c>
      <x:c r="AG63" t="n">
        <x:f>--AND(N63=1,AF63=1,OR(AE63="SUPPORTED",AE63="HALLUCINATION"))</x:f>
        <x:v>0</x:v>
      </x:c>
      <x:c r="AH63" t="n">
        <x:f>--AND(AG63=1,AE63="HALLUCINATION")</x:f>
        <x:v>0</x:v>
      </x:c>
      <x:c r="AI63" t="n">
        <x:f>--AND(Q63=1,AF63=1,AE63="HALLUCINATION")</x:f>
        <x:v>0</x:v>
      </x:c>
      <x:c r="AJ63" t="n">
        <x:f>--AND(AI63=1,R63=1,S63=1)</x:f>
        <x:v>0</x:v>
      </x:c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43" t="n">
        <x:f>--AND(N64=1,OR(O64="SUPPORTED",O64="HALLUCINATION"))</x:f>
        <x:v>0</x:v>
      </x:c>
      <x:c r="X64" s="43" t="n">
        <x:f>--AND(W64=1,O64="HALLUCINATION")</x:f>
        <x:v>0</x:v>
      </x:c>
      <x:c r="Y64" s="43" t="n">
        <x:f>--AND(Q64=1,O64="HALLUCINATION")</x:f>
        <x:v>0</x:v>
      </x:c>
      <x:c r="Z64" s="43" t="n">
        <x:f>--AND(Y64=1,R64=1,S64=1)</x:f>
        <x:v>0</x:v>
      </x:c>
      <x:c r="AC64" t="str">
        <x:f>IF(OR(AA64="",AB64=""),"",--(AA64&lt;&gt;AB64))</x:f>
      </x:c>
      <x:c r="AE64" t="str">
        <x:f>IF(OR(AA64="",AB64=""),"PENDING_HUMAN",IF(AA64=AB64,AA64,IF(AD64&lt;&gt;"",AD64,"PENDING_HUMAN")))</x:f>
        <x:v>PENDING_HUMAN</x:v>
      </x:c>
      <x:c r="AF64" t="n">
        <x:f>--AND(A64&lt;&gt;"",AA64&lt;&gt;"",AB64&lt;&gt;"",OR(AA64=AB64,AD64&lt;&gt;""),IF(AE64="HALLUCINATION",U64&lt;&gt;"",TRUE))</x:f>
        <x:v>0</x:v>
      </x:c>
      <x:c r="AG64" t="n">
        <x:f>--AND(N64=1,AF64=1,OR(AE64="SUPPORTED",AE64="HALLUCINATION"))</x:f>
        <x:v>0</x:v>
      </x:c>
      <x:c r="AH64" t="n">
        <x:f>--AND(AG64=1,AE64="HALLUCINATION")</x:f>
        <x:v>0</x:v>
      </x:c>
      <x:c r="AI64" t="n">
        <x:f>--AND(Q64=1,AF64=1,AE64="HALLUCINATION")</x:f>
        <x:v>0</x:v>
      </x:c>
      <x:c r="AJ64" t="n">
        <x:f>--AND(AI64=1,R64=1,S64=1)</x:f>
        <x:v>0</x:v>
      </x:c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43" t="n">
        <x:f>--AND(N65=1,OR(O65="SUPPORTED",O65="HALLUCINATION"))</x:f>
        <x:v>0</x:v>
      </x:c>
      <x:c r="X65" s="43" t="n">
        <x:f>--AND(W65=1,O65="HALLUCINATION")</x:f>
        <x:v>0</x:v>
      </x:c>
      <x:c r="Y65" s="43" t="n">
        <x:f>--AND(Q65=1,O65="HALLUCINATION")</x:f>
        <x:v>0</x:v>
      </x:c>
      <x:c r="Z65" s="43" t="n">
        <x:f>--AND(Y65=1,R65=1,S65=1)</x:f>
        <x:v>0</x:v>
      </x:c>
      <x:c r="AC65" t="str">
        <x:f>IF(OR(AA65="",AB65=""),"",--(AA65&lt;&gt;AB65))</x:f>
      </x:c>
      <x:c r="AE65" t="str">
        <x:f>IF(OR(AA65="",AB65=""),"PENDING_HUMAN",IF(AA65=AB65,AA65,IF(AD65&lt;&gt;"",AD65,"PENDING_HUMAN")))</x:f>
        <x:v>PENDING_HUMAN</x:v>
      </x:c>
      <x:c r="AF65" t="n">
        <x:f>--AND(A65&lt;&gt;"",AA65&lt;&gt;"",AB65&lt;&gt;"",OR(AA65=AB65,AD65&lt;&gt;""),IF(AE65="HALLUCINATION",U65&lt;&gt;"",TRUE))</x:f>
        <x:v>0</x:v>
      </x:c>
      <x:c r="AG65" t="n">
        <x:f>--AND(N65=1,AF65=1,OR(AE65="SUPPORTED",AE65="HALLUCINATION"))</x:f>
        <x:v>0</x:v>
      </x:c>
      <x:c r="AH65" t="n">
        <x:f>--AND(AG65=1,AE65="HALLUCINATION")</x:f>
        <x:v>0</x:v>
      </x:c>
      <x:c r="AI65" t="n">
        <x:f>--AND(Q65=1,AF65=1,AE65="HALLUCINATION")</x:f>
        <x:v>0</x:v>
      </x:c>
      <x:c r="AJ65" t="n">
        <x:f>--AND(AI65=1,R65=1,S65=1)</x:f>
        <x:v>0</x:v>
      </x:c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43" t="n">
        <x:f>--AND(N66=1,OR(O66="SUPPORTED",O66="HALLUCINATION"))</x:f>
        <x:v>0</x:v>
      </x:c>
      <x:c r="X66" s="43" t="n">
        <x:f>--AND(W66=1,O66="HALLUCINATION")</x:f>
        <x:v>0</x:v>
      </x:c>
      <x:c r="Y66" s="43" t="n">
        <x:f>--AND(Q66=1,O66="HALLUCINATION")</x:f>
        <x:v>0</x:v>
      </x:c>
      <x:c r="Z66" s="43" t="n">
        <x:f>--AND(Y66=1,R66=1,S66=1)</x:f>
        <x:v>0</x:v>
      </x:c>
      <x:c r="AC66" t="str">
        <x:f>IF(OR(AA66="",AB66=""),"",--(AA66&lt;&gt;AB66))</x:f>
      </x:c>
      <x:c r="AE66" t="str">
        <x:f>IF(OR(AA66="",AB66=""),"PENDING_HUMAN",IF(AA66=AB66,AA66,IF(AD66&lt;&gt;"",AD66,"PENDING_HUMAN")))</x:f>
        <x:v>PENDING_HUMAN</x:v>
      </x:c>
      <x:c r="AF66" t="n">
        <x:f>--AND(A66&lt;&gt;"",AA66&lt;&gt;"",AB66&lt;&gt;"",OR(AA66=AB66,AD66&lt;&gt;""),IF(AE66="HALLUCINATION",U66&lt;&gt;"",TRUE))</x:f>
        <x:v>0</x:v>
      </x:c>
      <x:c r="AG66" t="n">
        <x:f>--AND(N66=1,AF66=1,OR(AE66="SUPPORTED",AE66="HALLUCINATION"))</x:f>
        <x:v>0</x:v>
      </x:c>
      <x:c r="AH66" t="n">
        <x:f>--AND(AG66=1,AE66="HALLUCINATION")</x:f>
        <x:v>0</x:v>
      </x:c>
      <x:c r="AI66" t="n">
        <x:f>--AND(Q66=1,AF66=1,AE66="HALLUCINATION")</x:f>
        <x:v>0</x:v>
      </x:c>
      <x:c r="AJ66" t="n">
        <x:f>--AND(AI66=1,R66=1,S66=1)</x:f>
        <x:v>0</x:v>
      </x:c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43" t="n">
        <x:f>--AND(N67=1,OR(O67="SUPPORTED",O67="HALLUCINATION"))</x:f>
        <x:v>0</x:v>
      </x:c>
      <x:c r="X67" s="43" t="n">
        <x:f>--AND(W67=1,O67="HALLUCINATION")</x:f>
        <x:v>0</x:v>
      </x:c>
      <x:c r="Y67" s="43" t="n">
        <x:f>--AND(Q67=1,O67="HALLUCINATION")</x:f>
        <x:v>0</x:v>
      </x:c>
      <x:c r="Z67" s="43" t="n">
        <x:f>--AND(Y67=1,R67=1,S67=1)</x:f>
        <x:v>0</x:v>
      </x:c>
      <x:c r="AC67" t="str">
        <x:f>IF(OR(AA67="",AB67=""),"",--(AA67&lt;&gt;AB67))</x:f>
      </x:c>
      <x:c r="AE67" t="str">
        <x:f>IF(OR(AA67="",AB67=""),"PENDING_HUMAN",IF(AA67=AB67,AA67,IF(AD67&lt;&gt;"",AD67,"PENDING_HUMAN")))</x:f>
        <x:v>PENDING_HUMAN</x:v>
      </x:c>
      <x:c r="AF67" t="n">
        <x:f>--AND(A67&lt;&gt;"",AA67&lt;&gt;"",AB67&lt;&gt;"",OR(AA67=AB67,AD67&lt;&gt;""),IF(AE67="HALLUCINATION",U67&lt;&gt;"",TRUE))</x:f>
        <x:v>0</x:v>
      </x:c>
      <x:c r="AG67" t="n">
        <x:f>--AND(N67=1,AF67=1,OR(AE67="SUPPORTED",AE67="HALLUCINATION"))</x:f>
        <x:v>0</x:v>
      </x:c>
      <x:c r="AH67" t="n">
        <x:f>--AND(AG67=1,AE67="HALLUCINATION")</x:f>
        <x:v>0</x:v>
      </x:c>
      <x:c r="AI67" t="n">
        <x:f>--AND(Q67=1,AF67=1,AE67="HALLUCINATION")</x:f>
        <x:v>0</x:v>
      </x:c>
      <x:c r="AJ67" t="n">
        <x:f>--AND(AI67=1,R67=1,S67=1)</x:f>
        <x:v>0</x:v>
      </x:c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43" t="n">
        <x:f>--AND(N68=1,OR(O68="SUPPORTED",O68="HALLUCINATION"))</x:f>
        <x:v>0</x:v>
      </x:c>
      <x:c r="X68" s="43" t="n">
        <x:f>--AND(W68=1,O68="HALLUCINATION")</x:f>
        <x:v>0</x:v>
      </x:c>
      <x:c r="Y68" s="43" t="n">
        <x:f>--AND(Q68=1,O68="HALLUCINATION")</x:f>
        <x:v>0</x:v>
      </x:c>
      <x:c r="Z68" s="43" t="n">
        <x:f>--AND(Y68=1,R68=1,S68=1)</x:f>
        <x:v>0</x:v>
      </x:c>
      <x:c r="AC68" t="str">
        <x:f>IF(OR(AA68="",AB68=""),"",--(AA68&lt;&gt;AB68))</x:f>
      </x:c>
      <x:c r="AE68" t="str">
        <x:f>IF(OR(AA68="",AB68=""),"PENDING_HUMAN",IF(AA68=AB68,AA68,IF(AD68&lt;&gt;"",AD68,"PENDING_HUMAN")))</x:f>
        <x:v>PENDING_HUMAN</x:v>
      </x:c>
      <x:c r="AF68" t="n">
        <x:f>--AND(A68&lt;&gt;"",AA68&lt;&gt;"",AB68&lt;&gt;"",OR(AA68=AB68,AD68&lt;&gt;""),IF(AE68="HALLUCINATION",U68&lt;&gt;"",TRUE))</x:f>
        <x:v>0</x:v>
      </x:c>
      <x:c r="AG68" t="n">
        <x:f>--AND(N68=1,AF68=1,OR(AE68="SUPPORTED",AE68="HALLUCINATION"))</x:f>
        <x:v>0</x:v>
      </x:c>
      <x:c r="AH68" t="n">
        <x:f>--AND(AG68=1,AE68="HALLUCINATION")</x:f>
        <x:v>0</x:v>
      </x:c>
      <x:c r="AI68" t="n">
        <x:f>--AND(Q68=1,AF68=1,AE68="HALLUCINATION")</x:f>
        <x:v>0</x:v>
      </x:c>
      <x:c r="AJ68" t="n">
        <x:f>--AND(AI68=1,R68=1,S68=1)</x:f>
        <x:v>0</x:v>
      </x:c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43" t="n">
        <x:f>--AND(N69=1,OR(O69="SUPPORTED",O69="HALLUCINATION"))</x:f>
        <x:v>0</x:v>
      </x:c>
      <x:c r="X69" s="43" t="n">
        <x:f>--AND(W69=1,O69="HALLUCINATION")</x:f>
        <x:v>0</x:v>
      </x:c>
      <x:c r="Y69" s="43" t="n">
        <x:f>--AND(Q69=1,O69="HALLUCINATION")</x:f>
        <x:v>0</x:v>
      </x:c>
      <x:c r="Z69" s="43" t="n">
        <x:f>--AND(Y69=1,R69=1,S69=1)</x:f>
        <x:v>0</x:v>
      </x:c>
      <x:c r="AC69" t="str">
        <x:f>IF(OR(AA69="",AB69=""),"",--(AA69&lt;&gt;AB69))</x:f>
      </x:c>
      <x:c r="AE69" t="str">
        <x:f>IF(OR(AA69="",AB69=""),"PENDING_HUMAN",IF(AA69=AB69,AA69,IF(AD69&lt;&gt;"",AD69,"PENDING_HUMAN")))</x:f>
        <x:v>PENDING_HUMAN</x:v>
      </x:c>
      <x:c r="AF69" t="n">
        <x:f>--AND(A69&lt;&gt;"",AA69&lt;&gt;"",AB69&lt;&gt;"",OR(AA69=AB69,AD69&lt;&gt;""),IF(AE69="HALLUCINATION",U69&lt;&gt;"",TRUE))</x:f>
        <x:v>0</x:v>
      </x:c>
      <x:c r="AG69" t="n">
        <x:f>--AND(N69=1,AF69=1,OR(AE69="SUPPORTED",AE69="HALLUCINATION"))</x:f>
        <x:v>0</x:v>
      </x:c>
      <x:c r="AH69" t="n">
        <x:f>--AND(AG69=1,AE69="HALLUCINATION")</x:f>
        <x:v>0</x:v>
      </x:c>
      <x:c r="AI69" t="n">
        <x:f>--AND(Q69=1,AF69=1,AE69="HALLUCINATION")</x:f>
        <x:v>0</x:v>
      </x:c>
      <x:c r="AJ69" t="n">
        <x:f>--AND(AI69=1,R69=1,S69=1)</x:f>
        <x:v>0</x:v>
      </x:c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43" t="n">
        <x:f>--AND(N70=1,OR(O70="SUPPORTED",O70="HALLUCINATION"))</x:f>
        <x:v>0</x:v>
      </x:c>
      <x:c r="X70" s="43" t="n">
        <x:f>--AND(W70=1,O70="HALLUCINATION")</x:f>
        <x:v>0</x:v>
      </x:c>
      <x:c r="Y70" s="43" t="n">
        <x:f>--AND(Q70=1,O70="HALLUCINATION")</x:f>
        <x:v>0</x:v>
      </x:c>
      <x:c r="Z70" s="43" t="n">
        <x:f>--AND(Y70=1,R70=1,S70=1)</x:f>
        <x:v>0</x:v>
      </x:c>
      <x:c r="AC70" t="str">
        <x:f>IF(OR(AA70="",AB70=""),"",--(AA70&lt;&gt;AB70))</x:f>
      </x:c>
      <x:c r="AE70" t="str">
        <x:f>IF(OR(AA70="",AB70=""),"PENDING_HUMAN",IF(AA70=AB70,AA70,IF(AD70&lt;&gt;"",AD70,"PENDING_HUMAN")))</x:f>
        <x:v>PENDING_HUMAN</x:v>
      </x:c>
      <x:c r="AF70" t="n">
        <x:f>--AND(A70&lt;&gt;"",AA70&lt;&gt;"",AB70&lt;&gt;"",OR(AA70=AB70,AD70&lt;&gt;""),IF(AE70="HALLUCINATION",U70&lt;&gt;"",TRUE))</x:f>
        <x:v>0</x:v>
      </x:c>
      <x:c r="AG70" t="n">
        <x:f>--AND(N70=1,AF70=1,OR(AE70="SUPPORTED",AE70="HALLUCINATION"))</x:f>
        <x:v>0</x:v>
      </x:c>
      <x:c r="AH70" t="n">
        <x:f>--AND(AG70=1,AE70="HALLUCINATION")</x:f>
        <x:v>0</x:v>
      </x:c>
      <x:c r="AI70" t="n">
        <x:f>--AND(Q70=1,AF70=1,AE70="HALLUCINATION")</x:f>
        <x:v>0</x:v>
      </x:c>
      <x:c r="AJ70" t="n">
        <x:f>--AND(AI70=1,R70=1,S70=1)</x:f>
        <x:v>0</x:v>
      </x:c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43" t="n">
        <x:f>--AND(N71=1,OR(O71="SUPPORTED",O71="HALLUCINATION"))</x:f>
        <x:v>0</x:v>
      </x:c>
      <x:c r="X71" s="43" t="n">
        <x:f>--AND(W71=1,O71="HALLUCINATION")</x:f>
        <x:v>0</x:v>
      </x:c>
      <x:c r="Y71" s="43" t="n">
        <x:f>--AND(Q71=1,O71="HALLUCINATION")</x:f>
        <x:v>0</x:v>
      </x:c>
      <x:c r="Z71" s="43" t="n">
        <x:f>--AND(Y71=1,R71=1,S71=1)</x:f>
        <x:v>0</x:v>
      </x:c>
      <x:c r="AC71" t="str">
        <x:f>IF(OR(AA71="",AB71=""),"",--(AA71&lt;&gt;AB71))</x:f>
      </x:c>
      <x:c r="AE71" t="str">
        <x:f>IF(OR(AA71="",AB71=""),"PENDING_HUMAN",IF(AA71=AB71,AA71,IF(AD71&lt;&gt;"",AD71,"PENDING_HUMAN")))</x:f>
        <x:v>PENDING_HUMAN</x:v>
      </x:c>
      <x:c r="AF71" t="n">
        <x:f>--AND(A71&lt;&gt;"",AA71&lt;&gt;"",AB71&lt;&gt;"",OR(AA71=AB71,AD71&lt;&gt;""),IF(AE71="HALLUCINATION",U71&lt;&gt;"",TRUE))</x:f>
        <x:v>0</x:v>
      </x:c>
      <x:c r="AG71" t="n">
        <x:f>--AND(N71=1,AF71=1,OR(AE71="SUPPORTED",AE71="HALLUCINATION"))</x:f>
        <x:v>0</x:v>
      </x:c>
      <x:c r="AH71" t="n">
        <x:f>--AND(AG71=1,AE71="HALLUCINATION")</x:f>
        <x:v>0</x:v>
      </x:c>
      <x:c r="AI71" t="n">
        <x:f>--AND(Q71=1,AF71=1,AE71="HALLUCINATION")</x:f>
        <x:v>0</x:v>
      </x:c>
      <x:c r="AJ71" t="n">
        <x:f>--AND(AI71=1,R71=1,S71=1)</x:f>
        <x:v>0</x:v>
      </x:c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43" t="n">
        <x:f>--AND(N72=1,OR(O72="SUPPORTED",O72="HALLUCINATION"))</x:f>
        <x:v>0</x:v>
      </x:c>
      <x:c r="X72" s="43" t="n">
        <x:f>--AND(W72=1,O72="HALLUCINATION")</x:f>
        <x:v>0</x:v>
      </x:c>
      <x:c r="Y72" s="43" t="n">
        <x:f>--AND(Q72=1,O72="HALLUCINATION")</x:f>
        <x:v>0</x:v>
      </x:c>
      <x:c r="Z72" s="43" t="n">
        <x:f>--AND(Y72=1,R72=1,S72=1)</x:f>
        <x:v>0</x:v>
      </x:c>
      <x:c r="AC72" t="str">
        <x:f>IF(OR(AA72="",AB72=""),"",--(AA72&lt;&gt;AB72))</x:f>
      </x:c>
      <x:c r="AE72" t="str">
        <x:f>IF(OR(AA72="",AB72=""),"PENDING_HUMAN",IF(AA72=AB72,AA72,IF(AD72&lt;&gt;"",AD72,"PENDING_HUMAN")))</x:f>
        <x:v>PENDING_HUMAN</x:v>
      </x:c>
      <x:c r="AF72" t="n">
        <x:f>--AND(A72&lt;&gt;"",AA72&lt;&gt;"",AB72&lt;&gt;"",OR(AA72=AB72,AD72&lt;&gt;""),IF(AE72="HALLUCINATION",U72&lt;&gt;"",TRUE))</x:f>
        <x:v>0</x:v>
      </x:c>
      <x:c r="AG72" t="n">
        <x:f>--AND(N72=1,AF72=1,OR(AE72="SUPPORTED",AE72="HALLUCINATION"))</x:f>
        <x:v>0</x:v>
      </x:c>
      <x:c r="AH72" t="n">
        <x:f>--AND(AG72=1,AE72="HALLUCINATION")</x:f>
        <x:v>0</x:v>
      </x:c>
      <x:c r="AI72" t="n">
        <x:f>--AND(Q72=1,AF72=1,AE72="HALLUCINATION")</x:f>
        <x:v>0</x:v>
      </x:c>
      <x:c r="AJ72" t="n">
        <x:f>--AND(AI72=1,R72=1,S72=1)</x:f>
        <x:v>0</x:v>
      </x:c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43" t="n">
        <x:f>--AND(N73=1,OR(O73="SUPPORTED",O73="HALLUCINATION"))</x:f>
        <x:v>0</x:v>
      </x:c>
      <x:c r="X73" s="43" t="n">
        <x:f>--AND(W73=1,O73="HALLUCINATION")</x:f>
        <x:v>0</x:v>
      </x:c>
      <x:c r="Y73" s="43" t="n">
        <x:f>--AND(Q73=1,O73="HALLUCINATION")</x:f>
        <x:v>0</x:v>
      </x:c>
      <x:c r="Z73" s="43" t="n">
        <x:f>--AND(Y73=1,R73=1,S73=1)</x:f>
        <x:v>0</x:v>
      </x:c>
      <x:c r="AC73" t="str">
        <x:f>IF(OR(AA73="",AB73=""),"",--(AA73&lt;&gt;AB73))</x:f>
      </x:c>
      <x:c r="AE73" t="str">
        <x:f>IF(OR(AA73="",AB73=""),"PENDING_HUMAN",IF(AA73=AB73,AA73,IF(AD73&lt;&gt;"",AD73,"PENDING_HUMAN")))</x:f>
        <x:v>PENDING_HUMAN</x:v>
      </x:c>
      <x:c r="AF73" t="n">
        <x:f>--AND(A73&lt;&gt;"",AA73&lt;&gt;"",AB73&lt;&gt;"",OR(AA73=AB73,AD73&lt;&gt;""),IF(AE73="HALLUCINATION",U73&lt;&gt;"",TRUE))</x:f>
        <x:v>0</x:v>
      </x:c>
      <x:c r="AG73" t="n">
        <x:f>--AND(N73=1,AF73=1,OR(AE73="SUPPORTED",AE73="HALLUCINATION"))</x:f>
        <x:v>0</x:v>
      </x:c>
      <x:c r="AH73" t="n">
        <x:f>--AND(AG73=1,AE73="HALLUCINATION")</x:f>
        <x:v>0</x:v>
      </x:c>
      <x:c r="AI73" t="n">
        <x:f>--AND(Q73=1,AF73=1,AE73="HALLUCINATION")</x:f>
        <x:v>0</x:v>
      </x:c>
      <x:c r="AJ73" t="n">
        <x:f>--AND(AI73=1,R73=1,S73=1)</x:f>
        <x:v>0</x:v>
      </x:c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43" t="n">
        <x:f>--AND(N74=1,OR(O74="SUPPORTED",O74="HALLUCINATION"))</x:f>
        <x:v>0</x:v>
      </x:c>
      <x:c r="X74" s="43" t="n">
        <x:f>--AND(W74=1,O74="HALLUCINATION")</x:f>
        <x:v>0</x:v>
      </x:c>
      <x:c r="Y74" s="43" t="n">
        <x:f>--AND(Q74=1,O74="HALLUCINATION")</x:f>
        <x:v>0</x:v>
      </x:c>
      <x:c r="Z74" s="43" t="n">
        <x:f>--AND(Y74=1,R74=1,S74=1)</x:f>
        <x:v>0</x:v>
      </x:c>
      <x:c r="AC74" t="str">
        <x:f>IF(OR(AA74="",AB74=""),"",--(AA74&lt;&gt;AB74))</x:f>
      </x:c>
      <x:c r="AE74" t="str">
        <x:f>IF(OR(AA74="",AB74=""),"PENDING_HUMAN",IF(AA74=AB74,AA74,IF(AD74&lt;&gt;"",AD74,"PENDING_HUMAN")))</x:f>
        <x:v>PENDING_HUMAN</x:v>
      </x:c>
      <x:c r="AF74" t="n">
        <x:f>--AND(A74&lt;&gt;"",AA74&lt;&gt;"",AB74&lt;&gt;"",OR(AA74=AB74,AD74&lt;&gt;""),IF(AE74="HALLUCINATION",U74&lt;&gt;"",TRUE))</x:f>
        <x:v>0</x:v>
      </x:c>
      <x:c r="AG74" t="n">
        <x:f>--AND(N74=1,AF74=1,OR(AE74="SUPPORTED",AE74="HALLUCINATION"))</x:f>
        <x:v>0</x:v>
      </x:c>
      <x:c r="AH74" t="n">
        <x:f>--AND(AG74=1,AE74="HALLUCINATION")</x:f>
        <x:v>0</x:v>
      </x:c>
      <x:c r="AI74" t="n">
        <x:f>--AND(Q74=1,AF74=1,AE74="HALLUCINATION")</x:f>
        <x:v>0</x:v>
      </x:c>
      <x:c r="AJ74" t="n">
        <x:f>--AND(AI74=1,R74=1,S74=1)</x:f>
        <x:v>0</x:v>
      </x:c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43" t="n">
        <x:f>--AND(N75=1,OR(O75="SUPPORTED",O75="HALLUCINATION"))</x:f>
        <x:v>0</x:v>
      </x:c>
      <x:c r="X75" s="43" t="n">
        <x:f>--AND(W75=1,O75="HALLUCINATION")</x:f>
        <x:v>0</x:v>
      </x:c>
      <x:c r="Y75" s="43" t="n">
        <x:f>--AND(Q75=1,O75="HALLUCINATION")</x:f>
        <x:v>0</x:v>
      </x:c>
      <x:c r="Z75" s="43" t="n">
        <x:f>--AND(Y75=1,R75=1,S75=1)</x:f>
        <x:v>0</x:v>
      </x:c>
      <x:c r="AC75" t="str">
        <x:f>IF(OR(AA75="",AB75=""),"",--(AA75&lt;&gt;AB75))</x:f>
      </x:c>
      <x:c r="AE75" t="str">
        <x:f>IF(OR(AA75="",AB75=""),"PENDING_HUMAN",IF(AA75=AB75,AA75,IF(AD75&lt;&gt;"",AD75,"PENDING_HUMAN")))</x:f>
        <x:v>PENDING_HUMAN</x:v>
      </x:c>
      <x:c r="AF75" t="n">
        <x:f>--AND(A75&lt;&gt;"",AA75&lt;&gt;"",AB75&lt;&gt;"",OR(AA75=AB75,AD75&lt;&gt;""),IF(AE75="HALLUCINATION",U75&lt;&gt;"",TRUE))</x:f>
        <x:v>0</x:v>
      </x:c>
      <x:c r="AG75" t="n">
        <x:f>--AND(N75=1,AF75=1,OR(AE75="SUPPORTED",AE75="HALLUCINATION"))</x:f>
        <x:v>0</x:v>
      </x:c>
      <x:c r="AH75" t="n">
        <x:f>--AND(AG75=1,AE75="HALLUCINATION")</x:f>
        <x:v>0</x:v>
      </x:c>
      <x:c r="AI75" t="n">
        <x:f>--AND(Q75=1,AF75=1,AE75="HALLUCINATION")</x:f>
        <x:v>0</x:v>
      </x:c>
      <x:c r="AJ75" t="n">
        <x:f>--AND(AI75=1,R75=1,S75=1)</x:f>
        <x:v>0</x:v>
      </x:c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43" t="n">
        <x:f>--AND(N76=1,OR(O76="SUPPORTED",O76="HALLUCINATION"))</x:f>
        <x:v>0</x:v>
      </x:c>
      <x:c r="X76" s="43" t="n">
        <x:f>--AND(W76=1,O76="HALLUCINATION")</x:f>
        <x:v>0</x:v>
      </x:c>
      <x:c r="Y76" s="43" t="n">
        <x:f>--AND(Q76=1,O76="HALLUCINATION")</x:f>
        <x:v>0</x:v>
      </x:c>
      <x:c r="Z76" s="43" t="n">
        <x:f>--AND(Y76=1,R76=1,S76=1)</x:f>
        <x:v>0</x:v>
      </x:c>
      <x:c r="AC76" t="str">
        <x:f>IF(OR(AA76="",AB76=""),"",--(AA76&lt;&gt;AB76))</x:f>
      </x:c>
      <x:c r="AE76" t="str">
        <x:f>IF(OR(AA76="",AB76=""),"PENDING_HUMAN",IF(AA76=AB76,AA76,IF(AD76&lt;&gt;"",AD76,"PENDING_HUMAN")))</x:f>
        <x:v>PENDING_HUMAN</x:v>
      </x:c>
      <x:c r="AF76" t="n">
        <x:f>--AND(A76&lt;&gt;"",AA76&lt;&gt;"",AB76&lt;&gt;"",OR(AA76=AB76,AD76&lt;&gt;""),IF(AE76="HALLUCINATION",U76&lt;&gt;"",TRUE))</x:f>
        <x:v>0</x:v>
      </x:c>
      <x:c r="AG76" t="n">
        <x:f>--AND(N76=1,AF76=1,OR(AE76="SUPPORTED",AE76="HALLUCINATION"))</x:f>
        <x:v>0</x:v>
      </x:c>
      <x:c r="AH76" t="n">
        <x:f>--AND(AG76=1,AE76="HALLUCINATION")</x:f>
        <x:v>0</x:v>
      </x:c>
      <x:c r="AI76" t="n">
        <x:f>--AND(Q76=1,AF76=1,AE76="HALLUCINATION")</x:f>
        <x:v>0</x:v>
      </x:c>
      <x:c r="AJ76" t="n">
        <x:f>--AND(AI76=1,R76=1,S76=1)</x:f>
        <x:v>0</x:v>
      </x:c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43" t="n">
        <x:f>--AND(N77=1,OR(O77="SUPPORTED",O77="HALLUCINATION"))</x:f>
        <x:v>0</x:v>
      </x:c>
      <x:c r="X77" s="43" t="n">
        <x:f>--AND(W77=1,O77="HALLUCINATION")</x:f>
        <x:v>0</x:v>
      </x:c>
      <x:c r="Y77" s="43" t="n">
        <x:f>--AND(Q77=1,O77="HALLUCINATION")</x:f>
        <x:v>0</x:v>
      </x:c>
      <x:c r="Z77" s="43" t="n">
        <x:f>--AND(Y77=1,R77=1,S77=1)</x:f>
        <x:v>0</x:v>
      </x:c>
      <x:c r="AC77" t="str">
        <x:f>IF(OR(AA77="",AB77=""),"",--(AA77&lt;&gt;AB77))</x:f>
      </x:c>
      <x:c r="AE77" t="str">
        <x:f>IF(OR(AA77="",AB77=""),"PENDING_HUMAN",IF(AA77=AB77,AA77,IF(AD77&lt;&gt;"",AD77,"PENDING_HUMAN")))</x:f>
        <x:v>PENDING_HUMAN</x:v>
      </x:c>
      <x:c r="AF77" t="n">
        <x:f>--AND(A77&lt;&gt;"",AA77&lt;&gt;"",AB77&lt;&gt;"",OR(AA77=AB77,AD77&lt;&gt;""),IF(AE77="HALLUCINATION",U77&lt;&gt;"",TRUE))</x:f>
        <x:v>0</x:v>
      </x:c>
      <x:c r="AG77" t="n">
        <x:f>--AND(N77=1,AF77=1,OR(AE77="SUPPORTED",AE77="HALLUCINATION"))</x:f>
        <x:v>0</x:v>
      </x:c>
      <x:c r="AH77" t="n">
        <x:f>--AND(AG77=1,AE77="HALLUCINATION")</x:f>
        <x:v>0</x:v>
      </x:c>
      <x:c r="AI77" t="n">
        <x:f>--AND(Q77=1,AF77=1,AE77="HALLUCINATION")</x:f>
        <x:v>0</x:v>
      </x:c>
      <x:c r="AJ77" t="n">
        <x:f>--AND(AI77=1,R77=1,S77=1)</x:f>
        <x:v>0</x:v>
      </x:c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43" t="n">
        <x:f>--AND(N78=1,OR(O78="SUPPORTED",O78="HALLUCINATION"))</x:f>
        <x:v>0</x:v>
      </x:c>
      <x:c r="X78" s="43" t="n">
        <x:f>--AND(W78=1,O78="HALLUCINATION")</x:f>
        <x:v>0</x:v>
      </x:c>
      <x:c r="Y78" s="43" t="n">
        <x:f>--AND(Q78=1,O78="HALLUCINATION")</x:f>
        <x:v>0</x:v>
      </x:c>
      <x:c r="Z78" s="43" t="n">
        <x:f>--AND(Y78=1,R78=1,S78=1)</x:f>
        <x:v>0</x:v>
      </x:c>
      <x:c r="AC78" t="str">
        <x:f>IF(OR(AA78="",AB78=""),"",--(AA78&lt;&gt;AB78))</x:f>
      </x:c>
      <x:c r="AE78" t="str">
        <x:f>IF(OR(AA78="",AB78=""),"PENDING_HUMAN",IF(AA78=AB78,AA78,IF(AD78&lt;&gt;"",AD78,"PENDING_HUMAN")))</x:f>
        <x:v>PENDING_HUMAN</x:v>
      </x:c>
      <x:c r="AF78" t="n">
        <x:f>--AND(A78&lt;&gt;"",AA78&lt;&gt;"",AB78&lt;&gt;"",OR(AA78=AB78,AD78&lt;&gt;""),IF(AE78="HALLUCINATION",U78&lt;&gt;"",TRUE))</x:f>
        <x:v>0</x:v>
      </x:c>
      <x:c r="AG78" t="n">
        <x:f>--AND(N78=1,AF78=1,OR(AE78="SUPPORTED",AE78="HALLUCINATION"))</x:f>
        <x:v>0</x:v>
      </x:c>
      <x:c r="AH78" t="n">
        <x:f>--AND(AG78=1,AE78="HALLUCINATION")</x:f>
        <x:v>0</x:v>
      </x:c>
      <x:c r="AI78" t="n">
        <x:f>--AND(Q78=1,AF78=1,AE78="HALLUCINATION")</x:f>
        <x:v>0</x:v>
      </x:c>
      <x:c r="AJ78" t="n">
        <x:f>--AND(AI78=1,R78=1,S78=1)</x:f>
        <x:v>0</x:v>
      </x:c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43" t="n">
        <x:f>--AND(N79=1,OR(O79="SUPPORTED",O79="HALLUCINATION"))</x:f>
        <x:v>0</x:v>
      </x:c>
      <x:c r="X79" s="43" t="n">
        <x:f>--AND(W79=1,O79="HALLUCINATION")</x:f>
        <x:v>0</x:v>
      </x:c>
      <x:c r="Y79" s="43" t="n">
        <x:f>--AND(Q79=1,O79="HALLUCINATION")</x:f>
        <x:v>0</x:v>
      </x:c>
      <x:c r="Z79" s="43" t="n">
        <x:f>--AND(Y79=1,R79=1,S79=1)</x:f>
        <x:v>0</x:v>
      </x:c>
      <x:c r="AC79" t="str">
        <x:f>IF(OR(AA79="",AB79=""),"",--(AA79&lt;&gt;AB79))</x:f>
      </x:c>
      <x:c r="AE79" t="str">
        <x:f>IF(OR(AA79="",AB79=""),"PENDING_HUMAN",IF(AA79=AB79,AA79,IF(AD79&lt;&gt;"",AD79,"PENDING_HUMAN")))</x:f>
        <x:v>PENDING_HUMAN</x:v>
      </x:c>
      <x:c r="AF79" t="n">
        <x:f>--AND(A79&lt;&gt;"",AA79&lt;&gt;"",AB79&lt;&gt;"",OR(AA79=AB79,AD79&lt;&gt;""),IF(AE79="HALLUCINATION",U79&lt;&gt;"",TRUE))</x:f>
        <x:v>0</x:v>
      </x:c>
      <x:c r="AG79" t="n">
        <x:f>--AND(N79=1,AF79=1,OR(AE79="SUPPORTED",AE79="HALLUCINATION"))</x:f>
        <x:v>0</x:v>
      </x:c>
      <x:c r="AH79" t="n">
        <x:f>--AND(AG79=1,AE79="HALLUCINATION")</x:f>
        <x:v>0</x:v>
      </x:c>
      <x:c r="AI79" t="n">
        <x:f>--AND(Q79=1,AF79=1,AE79="HALLUCINATION")</x:f>
        <x:v>0</x:v>
      </x:c>
      <x:c r="AJ79" t="n">
        <x:f>--AND(AI79=1,R79=1,S79=1)</x:f>
        <x:v>0</x:v>
      </x:c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43" t="n">
        <x:f>--AND(N80=1,OR(O80="SUPPORTED",O80="HALLUCINATION"))</x:f>
        <x:v>0</x:v>
      </x:c>
      <x:c r="X80" s="43" t="n">
        <x:f>--AND(W80=1,O80="HALLUCINATION")</x:f>
        <x:v>0</x:v>
      </x:c>
      <x:c r="Y80" s="43" t="n">
        <x:f>--AND(Q80=1,O80="HALLUCINATION")</x:f>
        <x:v>0</x:v>
      </x:c>
      <x:c r="Z80" s="43" t="n">
        <x:f>--AND(Y80=1,R80=1,S80=1)</x:f>
        <x:v>0</x:v>
      </x:c>
      <x:c r="AC80" t="str">
        <x:f>IF(OR(AA80="",AB80=""),"",--(AA80&lt;&gt;AB80))</x:f>
      </x:c>
      <x:c r="AE80" t="str">
        <x:f>IF(OR(AA80="",AB80=""),"PENDING_HUMAN",IF(AA80=AB80,AA80,IF(AD80&lt;&gt;"",AD80,"PENDING_HUMAN")))</x:f>
        <x:v>PENDING_HUMAN</x:v>
      </x:c>
      <x:c r="AF80" t="n">
        <x:f>--AND(A80&lt;&gt;"",AA80&lt;&gt;"",AB80&lt;&gt;"",OR(AA80=AB80,AD80&lt;&gt;""),IF(AE80="HALLUCINATION",U80&lt;&gt;"",TRUE))</x:f>
        <x:v>0</x:v>
      </x:c>
      <x:c r="AG80" t="n">
        <x:f>--AND(N80=1,AF80=1,OR(AE80="SUPPORTED",AE80="HALLUCINATION"))</x:f>
        <x:v>0</x:v>
      </x:c>
      <x:c r="AH80" t="n">
        <x:f>--AND(AG80=1,AE80="HALLUCINATION")</x:f>
        <x:v>0</x:v>
      </x:c>
      <x:c r="AI80" t="n">
        <x:f>--AND(Q80=1,AF80=1,AE80="HALLUCINATION")</x:f>
        <x:v>0</x:v>
      </x:c>
      <x:c r="AJ80" t="n">
        <x:f>--AND(AI80=1,R80=1,S80=1)</x:f>
        <x:v>0</x:v>
      </x:c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43" t="n">
        <x:f>--AND(N81=1,OR(O81="SUPPORTED",O81="HALLUCINATION"))</x:f>
        <x:v>0</x:v>
      </x:c>
      <x:c r="X81" s="43" t="n">
        <x:f>--AND(W81=1,O81="HALLUCINATION")</x:f>
        <x:v>0</x:v>
      </x:c>
      <x:c r="Y81" s="43" t="n">
        <x:f>--AND(Q81=1,O81="HALLUCINATION")</x:f>
        <x:v>0</x:v>
      </x:c>
      <x:c r="Z81" s="43" t="n">
        <x:f>--AND(Y81=1,R81=1,S81=1)</x:f>
        <x:v>0</x:v>
      </x:c>
      <x:c r="AC81" t="str">
        <x:f>IF(OR(AA81="",AB81=""),"",--(AA81&lt;&gt;AB81))</x:f>
      </x:c>
      <x:c r="AE81" t="str">
        <x:f>IF(OR(AA81="",AB81=""),"PENDING_HUMAN",IF(AA81=AB81,AA81,IF(AD81&lt;&gt;"",AD81,"PENDING_HUMAN")))</x:f>
        <x:v>PENDING_HUMAN</x:v>
      </x:c>
      <x:c r="AF81" t="n">
        <x:f>--AND(A81&lt;&gt;"",AA81&lt;&gt;"",AB81&lt;&gt;"",OR(AA81=AB81,AD81&lt;&gt;""),IF(AE81="HALLUCINATION",U81&lt;&gt;"",TRUE))</x:f>
        <x:v>0</x:v>
      </x:c>
      <x:c r="AG81" t="n">
        <x:f>--AND(N81=1,AF81=1,OR(AE81="SUPPORTED",AE81="HALLUCINATION"))</x:f>
        <x:v>0</x:v>
      </x:c>
      <x:c r="AH81" t="n">
        <x:f>--AND(AG81=1,AE81="HALLUCINATION")</x:f>
        <x:v>0</x:v>
      </x:c>
      <x:c r="AI81" t="n">
        <x:f>--AND(Q81=1,AF81=1,AE81="HALLUCINATION")</x:f>
        <x:v>0</x:v>
      </x:c>
      <x:c r="AJ81" t="n">
        <x:f>--AND(AI81=1,R81=1,S81=1)</x:f>
        <x:v>0</x:v>
      </x:c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43" t="n">
        <x:f>--AND(N82=1,OR(O82="SUPPORTED",O82="HALLUCINATION"))</x:f>
        <x:v>0</x:v>
      </x:c>
      <x:c r="X82" s="43" t="n">
        <x:f>--AND(W82=1,O82="HALLUCINATION")</x:f>
        <x:v>0</x:v>
      </x:c>
      <x:c r="Y82" s="43" t="n">
        <x:f>--AND(Q82=1,O82="HALLUCINATION")</x:f>
        <x:v>0</x:v>
      </x:c>
      <x:c r="Z82" s="43" t="n">
        <x:f>--AND(Y82=1,R82=1,S82=1)</x:f>
        <x:v>0</x:v>
      </x:c>
      <x:c r="AC82" t="str">
        <x:f>IF(OR(AA82="",AB82=""),"",--(AA82&lt;&gt;AB82))</x:f>
      </x:c>
      <x:c r="AE82" t="str">
        <x:f>IF(OR(AA82="",AB82=""),"PENDING_HUMAN",IF(AA82=AB82,AA82,IF(AD82&lt;&gt;"",AD82,"PENDING_HUMAN")))</x:f>
        <x:v>PENDING_HUMAN</x:v>
      </x:c>
      <x:c r="AF82" t="n">
        <x:f>--AND(A82&lt;&gt;"",AA82&lt;&gt;"",AB82&lt;&gt;"",OR(AA82=AB82,AD82&lt;&gt;""),IF(AE82="HALLUCINATION",U82&lt;&gt;"",TRUE))</x:f>
        <x:v>0</x:v>
      </x:c>
      <x:c r="AG82" t="n">
        <x:f>--AND(N82=1,AF82=1,OR(AE82="SUPPORTED",AE82="HALLUCINATION"))</x:f>
        <x:v>0</x:v>
      </x:c>
      <x:c r="AH82" t="n">
        <x:f>--AND(AG82=1,AE82="HALLUCINATION")</x:f>
        <x:v>0</x:v>
      </x:c>
      <x:c r="AI82" t="n">
        <x:f>--AND(Q82=1,AF82=1,AE82="HALLUCINATION")</x:f>
        <x:v>0</x:v>
      </x:c>
      <x:c r="AJ82" t="n">
        <x:f>--AND(AI82=1,R82=1,S82=1)</x:f>
        <x:v>0</x:v>
      </x:c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43" t="n">
        <x:f>--AND(N83=1,OR(O83="SUPPORTED",O83="HALLUCINATION"))</x:f>
        <x:v>0</x:v>
      </x:c>
      <x:c r="X83" s="43" t="n">
        <x:f>--AND(W83=1,O83="HALLUCINATION")</x:f>
        <x:v>0</x:v>
      </x:c>
      <x:c r="Y83" s="43" t="n">
        <x:f>--AND(Q83=1,O83="HALLUCINATION")</x:f>
        <x:v>0</x:v>
      </x:c>
      <x:c r="Z83" s="43" t="n">
        <x:f>--AND(Y83=1,R83=1,S83=1)</x:f>
        <x:v>0</x:v>
      </x:c>
      <x:c r="AC83" t="str">
        <x:f>IF(OR(AA83="",AB83=""),"",--(AA83&lt;&gt;AB83))</x:f>
      </x:c>
      <x:c r="AE83" t="str">
        <x:f>IF(OR(AA83="",AB83=""),"PENDING_HUMAN",IF(AA83=AB83,AA83,IF(AD83&lt;&gt;"",AD83,"PENDING_HUMAN")))</x:f>
        <x:v>PENDING_HUMAN</x:v>
      </x:c>
      <x:c r="AF83" t="n">
        <x:f>--AND(A83&lt;&gt;"",AA83&lt;&gt;"",AB83&lt;&gt;"",OR(AA83=AB83,AD83&lt;&gt;""),IF(AE83="HALLUCINATION",U83&lt;&gt;"",TRUE))</x:f>
        <x:v>0</x:v>
      </x:c>
      <x:c r="AG83" t="n">
        <x:f>--AND(N83=1,AF83=1,OR(AE83="SUPPORTED",AE83="HALLUCINATION"))</x:f>
        <x:v>0</x:v>
      </x:c>
      <x:c r="AH83" t="n">
        <x:f>--AND(AG83=1,AE83="HALLUCINATION")</x:f>
        <x:v>0</x:v>
      </x:c>
      <x:c r="AI83" t="n">
        <x:f>--AND(Q83=1,AF83=1,AE83="HALLUCINATION")</x:f>
        <x:v>0</x:v>
      </x:c>
      <x:c r="AJ83" t="n">
        <x:f>--AND(AI83=1,R83=1,S83=1)</x:f>
        <x:v>0</x:v>
      </x:c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43" t="n">
        <x:f>--AND(N84=1,OR(O84="SUPPORTED",O84="HALLUCINATION"))</x:f>
        <x:v>0</x:v>
      </x:c>
      <x:c r="X84" s="43" t="n">
        <x:f>--AND(W84=1,O84="HALLUCINATION")</x:f>
        <x:v>0</x:v>
      </x:c>
      <x:c r="Y84" s="43" t="n">
        <x:f>--AND(Q84=1,O84="HALLUCINATION")</x:f>
        <x:v>0</x:v>
      </x:c>
      <x:c r="Z84" s="43" t="n">
        <x:f>--AND(Y84=1,R84=1,S84=1)</x:f>
        <x:v>0</x:v>
      </x:c>
      <x:c r="AC84" t="str">
        <x:f>IF(OR(AA84="",AB84=""),"",--(AA84&lt;&gt;AB84))</x:f>
      </x:c>
      <x:c r="AE84" t="str">
        <x:f>IF(OR(AA84="",AB84=""),"PENDING_HUMAN",IF(AA84=AB84,AA84,IF(AD84&lt;&gt;"",AD84,"PENDING_HUMAN")))</x:f>
        <x:v>PENDING_HUMAN</x:v>
      </x:c>
      <x:c r="AF84" t="n">
        <x:f>--AND(A84&lt;&gt;"",AA84&lt;&gt;"",AB84&lt;&gt;"",OR(AA84=AB84,AD84&lt;&gt;""),IF(AE84="HALLUCINATION",U84&lt;&gt;"",TRUE))</x:f>
        <x:v>0</x:v>
      </x:c>
      <x:c r="AG84" t="n">
        <x:f>--AND(N84=1,AF84=1,OR(AE84="SUPPORTED",AE84="HALLUCINATION"))</x:f>
        <x:v>0</x:v>
      </x:c>
      <x:c r="AH84" t="n">
        <x:f>--AND(AG84=1,AE84="HALLUCINATION")</x:f>
        <x:v>0</x:v>
      </x:c>
      <x:c r="AI84" t="n">
        <x:f>--AND(Q84=1,AF84=1,AE84="HALLUCINATION")</x:f>
        <x:v>0</x:v>
      </x:c>
      <x:c r="AJ84" t="n">
        <x:f>--AND(AI84=1,R84=1,S84=1)</x:f>
        <x:v>0</x:v>
      </x:c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43" t="n">
        <x:f>--AND(N85=1,OR(O85="SUPPORTED",O85="HALLUCINATION"))</x:f>
        <x:v>0</x:v>
      </x:c>
      <x:c r="X85" s="43" t="n">
        <x:f>--AND(W85=1,O85="HALLUCINATION")</x:f>
        <x:v>0</x:v>
      </x:c>
      <x:c r="Y85" s="43" t="n">
        <x:f>--AND(Q85=1,O85="HALLUCINATION")</x:f>
        <x:v>0</x:v>
      </x:c>
      <x:c r="Z85" s="43" t="n">
        <x:f>--AND(Y85=1,R85=1,S85=1)</x:f>
        <x:v>0</x:v>
      </x:c>
      <x:c r="AC85" t="str">
        <x:f>IF(OR(AA85="",AB85=""),"",--(AA85&lt;&gt;AB85))</x:f>
      </x:c>
      <x:c r="AE85" t="str">
        <x:f>IF(OR(AA85="",AB85=""),"PENDING_HUMAN",IF(AA85=AB85,AA85,IF(AD85&lt;&gt;"",AD85,"PENDING_HUMAN")))</x:f>
        <x:v>PENDING_HUMAN</x:v>
      </x:c>
      <x:c r="AF85" t="n">
        <x:f>--AND(A85&lt;&gt;"",AA85&lt;&gt;"",AB85&lt;&gt;"",OR(AA85=AB85,AD85&lt;&gt;""),IF(AE85="HALLUCINATION",U85&lt;&gt;"",TRUE))</x:f>
        <x:v>0</x:v>
      </x:c>
      <x:c r="AG85" t="n">
        <x:f>--AND(N85=1,AF85=1,OR(AE85="SUPPORTED",AE85="HALLUCINATION"))</x:f>
        <x:v>0</x:v>
      </x:c>
      <x:c r="AH85" t="n">
        <x:f>--AND(AG85=1,AE85="HALLUCINATION")</x:f>
        <x:v>0</x:v>
      </x:c>
      <x:c r="AI85" t="n">
        <x:f>--AND(Q85=1,AF85=1,AE85="HALLUCINATION")</x:f>
        <x:v>0</x:v>
      </x:c>
      <x:c r="AJ85" t="n">
        <x:f>--AND(AI85=1,R85=1,S85=1)</x:f>
        <x:v>0</x:v>
      </x:c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43" t="n">
        <x:f>--AND(N86=1,OR(O86="SUPPORTED",O86="HALLUCINATION"))</x:f>
        <x:v>0</x:v>
      </x:c>
      <x:c r="X86" s="43" t="n">
        <x:f>--AND(W86=1,O86="HALLUCINATION")</x:f>
        <x:v>0</x:v>
      </x:c>
      <x:c r="Y86" s="43" t="n">
        <x:f>--AND(Q86=1,O86="HALLUCINATION")</x:f>
        <x:v>0</x:v>
      </x:c>
      <x:c r="Z86" s="43" t="n">
        <x:f>--AND(Y86=1,R86=1,S86=1)</x:f>
        <x:v>0</x:v>
      </x:c>
      <x:c r="AC86" t="str">
        <x:f>IF(OR(AA86="",AB86=""),"",--(AA86&lt;&gt;AB86))</x:f>
      </x:c>
      <x:c r="AE86" t="str">
        <x:f>IF(OR(AA86="",AB86=""),"PENDING_HUMAN",IF(AA86=AB86,AA86,IF(AD86&lt;&gt;"",AD86,"PENDING_HUMAN")))</x:f>
        <x:v>PENDING_HUMAN</x:v>
      </x:c>
      <x:c r="AF86" t="n">
        <x:f>--AND(A86&lt;&gt;"",AA86&lt;&gt;"",AB86&lt;&gt;"",OR(AA86=AB86,AD86&lt;&gt;""),IF(AE86="HALLUCINATION",U86&lt;&gt;"",TRUE))</x:f>
        <x:v>0</x:v>
      </x:c>
      <x:c r="AG86" t="n">
        <x:f>--AND(N86=1,AF86=1,OR(AE86="SUPPORTED",AE86="HALLUCINATION"))</x:f>
        <x:v>0</x:v>
      </x:c>
      <x:c r="AH86" t="n">
        <x:f>--AND(AG86=1,AE86="HALLUCINATION")</x:f>
        <x:v>0</x:v>
      </x:c>
      <x:c r="AI86" t="n">
        <x:f>--AND(Q86=1,AF86=1,AE86="HALLUCINATION")</x:f>
        <x:v>0</x:v>
      </x:c>
      <x:c r="AJ86" t="n">
        <x:f>--AND(AI86=1,R86=1,S86=1)</x:f>
        <x:v>0</x:v>
      </x:c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43" t="n">
        <x:f>--AND(N87=1,OR(O87="SUPPORTED",O87="HALLUCINATION"))</x:f>
        <x:v>0</x:v>
      </x:c>
      <x:c r="X87" s="43" t="n">
        <x:f>--AND(W87=1,O87="HALLUCINATION")</x:f>
        <x:v>0</x:v>
      </x:c>
      <x:c r="Y87" s="43" t="n">
        <x:f>--AND(Q87=1,O87="HALLUCINATION")</x:f>
        <x:v>0</x:v>
      </x:c>
      <x:c r="Z87" s="43" t="n">
        <x:f>--AND(Y87=1,R87=1,S87=1)</x:f>
        <x:v>0</x:v>
      </x:c>
      <x:c r="AC87" t="str">
        <x:f>IF(OR(AA87="",AB87=""),"",--(AA87&lt;&gt;AB87))</x:f>
      </x:c>
      <x:c r="AE87" t="str">
        <x:f>IF(OR(AA87="",AB87=""),"PENDING_HUMAN",IF(AA87=AB87,AA87,IF(AD87&lt;&gt;"",AD87,"PENDING_HUMAN")))</x:f>
        <x:v>PENDING_HUMAN</x:v>
      </x:c>
      <x:c r="AF87" t="n">
        <x:f>--AND(A87&lt;&gt;"",AA87&lt;&gt;"",AB87&lt;&gt;"",OR(AA87=AB87,AD87&lt;&gt;""),IF(AE87="HALLUCINATION",U87&lt;&gt;"",TRUE))</x:f>
        <x:v>0</x:v>
      </x:c>
      <x:c r="AG87" t="n">
        <x:f>--AND(N87=1,AF87=1,OR(AE87="SUPPORTED",AE87="HALLUCINATION"))</x:f>
        <x:v>0</x:v>
      </x:c>
      <x:c r="AH87" t="n">
        <x:f>--AND(AG87=1,AE87="HALLUCINATION")</x:f>
        <x:v>0</x:v>
      </x:c>
      <x:c r="AI87" t="n">
        <x:f>--AND(Q87=1,AF87=1,AE87="HALLUCINATION")</x:f>
        <x:v>0</x:v>
      </x:c>
      <x:c r="AJ87" t="n">
        <x:f>--AND(AI87=1,R87=1,S87=1)</x:f>
        <x:v>0</x:v>
      </x:c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43" t="n">
        <x:f>--AND(N88=1,OR(O88="SUPPORTED",O88="HALLUCINATION"))</x:f>
        <x:v>0</x:v>
      </x:c>
      <x:c r="X88" s="43" t="n">
        <x:f>--AND(W88=1,O88="HALLUCINATION")</x:f>
        <x:v>0</x:v>
      </x:c>
      <x:c r="Y88" s="43" t="n">
        <x:f>--AND(Q88=1,O88="HALLUCINATION")</x:f>
        <x:v>0</x:v>
      </x:c>
      <x:c r="Z88" s="43" t="n">
        <x:f>--AND(Y88=1,R88=1,S88=1)</x:f>
        <x:v>0</x:v>
      </x:c>
      <x:c r="AC88" t="str">
        <x:f>IF(OR(AA88="",AB88=""),"",--(AA88&lt;&gt;AB88))</x:f>
      </x:c>
      <x:c r="AE88" t="str">
        <x:f>IF(OR(AA88="",AB88=""),"PENDING_HUMAN",IF(AA88=AB88,AA88,IF(AD88&lt;&gt;"",AD88,"PENDING_HUMAN")))</x:f>
        <x:v>PENDING_HUMAN</x:v>
      </x:c>
      <x:c r="AF88" t="n">
        <x:f>--AND(A88&lt;&gt;"",AA88&lt;&gt;"",AB88&lt;&gt;"",OR(AA88=AB88,AD88&lt;&gt;""),IF(AE88="HALLUCINATION",U88&lt;&gt;"",TRUE))</x:f>
        <x:v>0</x:v>
      </x:c>
      <x:c r="AG88" t="n">
        <x:f>--AND(N88=1,AF88=1,OR(AE88="SUPPORTED",AE88="HALLUCINATION"))</x:f>
        <x:v>0</x:v>
      </x:c>
      <x:c r="AH88" t="n">
        <x:f>--AND(AG88=1,AE88="HALLUCINATION")</x:f>
        <x:v>0</x:v>
      </x:c>
      <x:c r="AI88" t="n">
        <x:f>--AND(Q88=1,AF88=1,AE88="HALLUCINATION")</x:f>
        <x:v>0</x:v>
      </x:c>
      <x:c r="AJ88" t="n">
        <x:f>--AND(AI88=1,R88=1,S88=1)</x:f>
        <x:v>0</x:v>
      </x:c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43" t="n">
        <x:f>--AND(N89=1,OR(O89="SUPPORTED",O89="HALLUCINATION"))</x:f>
        <x:v>0</x:v>
      </x:c>
      <x:c r="X89" s="43" t="n">
        <x:f>--AND(W89=1,O89="HALLUCINATION")</x:f>
        <x:v>0</x:v>
      </x:c>
      <x:c r="Y89" s="43" t="n">
        <x:f>--AND(Q89=1,O89="HALLUCINATION")</x:f>
        <x:v>0</x:v>
      </x:c>
      <x:c r="Z89" s="43" t="n">
        <x:f>--AND(Y89=1,R89=1,S89=1)</x:f>
        <x:v>0</x:v>
      </x:c>
      <x:c r="AC89" t="str">
        <x:f>IF(OR(AA89="",AB89=""),"",--(AA89&lt;&gt;AB89))</x:f>
      </x:c>
      <x:c r="AE89" t="str">
        <x:f>IF(OR(AA89="",AB89=""),"PENDING_HUMAN",IF(AA89=AB89,AA89,IF(AD89&lt;&gt;"",AD89,"PENDING_HUMAN")))</x:f>
        <x:v>PENDING_HUMAN</x:v>
      </x:c>
      <x:c r="AF89" t="n">
        <x:f>--AND(A89&lt;&gt;"",AA89&lt;&gt;"",AB89&lt;&gt;"",OR(AA89=AB89,AD89&lt;&gt;""),IF(AE89="HALLUCINATION",U89&lt;&gt;"",TRUE))</x:f>
        <x:v>0</x:v>
      </x:c>
      <x:c r="AG89" t="n">
        <x:f>--AND(N89=1,AF89=1,OR(AE89="SUPPORTED",AE89="HALLUCINATION"))</x:f>
        <x:v>0</x:v>
      </x:c>
      <x:c r="AH89" t="n">
        <x:f>--AND(AG89=1,AE89="HALLUCINATION")</x:f>
        <x:v>0</x:v>
      </x:c>
      <x:c r="AI89" t="n">
        <x:f>--AND(Q89=1,AF89=1,AE89="HALLUCINATION")</x:f>
        <x:v>0</x:v>
      </x:c>
      <x:c r="AJ89" t="n">
        <x:f>--AND(AI89=1,R89=1,S89=1)</x:f>
        <x:v>0</x:v>
      </x:c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43" t="n">
        <x:f>--AND(N90=1,OR(O90="SUPPORTED",O90="HALLUCINATION"))</x:f>
        <x:v>0</x:v>
      </x:c>
      <x:c r="X90" s="43" t="n">
        <x:f>--AND(W90=1,O90="HALLUCINATION")</x:f>
        <x:v>0</x:v>
      </x:c>
      <x:c r="Y90" s="43" t="n">
        <x:f>--AND(Q90=1,O90="HALLUCINATION")</x:f>
        <x:v>0</x:v>
      </x:c>
      <x:c r="Z90" s="43" t="n">
        <x:f>--AND(Y90=1,R90=1,S90=1)</x:f>
        <x:v>0</x:v>
      </x:c>
      <x:c r="AC90" t="str">
        <x:f>IF(OR(AA90="",AB90=""),"",--(AA90&lt;&gt;AB90))</x:f>
      </x:c>
      <x:c r="AE90" t="str">
        <x:f>IF(OR(AA90="",AB90=""),"PENDING_HUMAN",IF(AA90=AB90,AA90,IF(AD90&lt;&gt;"",AD90,"PENDING_HUMAN")))</x:f>
        <x:v>PENDING_HUMAN</x:v>
      </x:c>
      <x:c r="AF90" t="n">
        <x:f>--AND(A90&lt;&gt;"",AA90&lt;&gt;"",AB90&lt;&gt;"",OR(AA90=AB90,AD90&lt;&gt;""),IF(AE90="HALLUCINATION",U90&lt;&gt;"",TRUE))</x:f>
        <x:v>0</x:v>
      </x:c>
      <x:c r="AG90" t="n">
        <x:f>--AND(N90=1,AF90=1,OR(AE90="SUPPORTED",AE90="HALLUCINATION"))</x:f>
        <x:v>0</x:v>
      </x:c>
      <x:c r="AH90" t="n">
        <x:f>--AND(AG90=1,AE90="HALLUCINATION")</x:f>
        <x:v>0</x:v>
      </x:c>
      <x:c r="AI90" t="n">
        <x:f>--AND(Q90=1,AF90=1,AE90="HALLUCINATION")</x:f>
        <x:v>0</x:v>
      </x:c>
      <x:c r="AJ90" t="n">
        <x:f>--AND(AI90=1,R90=1,S90=1)</x:f>
        <x:v>0</x:v>
      </x:c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43" t="n">
        <x:f>--AND(N91=1,OR(O91="SUPPORTED",O91="HALLUCINATION"))</x:f>
        <x:v>0</x:v>
      </x:c>
      <x:c r="X91" s="43" t="n">
        <x:f>--AND(W91=1,O91="HALLUCINATION")</x:f>
        <x:v>0</x:v>
      </x:c>
      <x:c r="Y91" s="43" t="n">
        <x:f>--AND(Q91=1,O91="HALLUCINATION")</x:f>
        <x:v>0</x:v>
      </x:c>
      <x:c r="Z91" s="43" t="n">
        <x:f>--AND(Y91=1,R91=1,S91=1)</x:f>
        <x:v>0</x:v>
      </x:c>
      <x:c r="AC91" t="str">
        <x:f>IF(OR(AA91="",AB91=""),"",--(AA91&lt;&gt;AB91))</x:f>
      </x:c>
      <x:c r="AE91" t="str">
        <x:f>IF(OR(AA91="",AB91=""),"PENDING_HUMAN",IF(AA91=AB91,AA91,IF(AD91&lt;&gt;"",AD91,"PENDING_HUMAN")))</x:f>
        <x:v>PENDING_HUMAN</x:v>
      </x:c>
      <x:c r="AF91" t="n">
        <x:f>--AND(A91&lt;&gt;"",AA91&lt;&gt;"",AB91&lt;&gt;"",OR(AA91=AB91,AD91&lt;&gt;""),IF(AE91="HALLUCINATION",U91&lt;&gt;"",TRUE))</x:f>
        <x:v>0</x:v>
      </x:c>
      <x:c r="AG91" t="n">
        <x:f>--AND(N91=1,AF91=1,OR(AE91="SUPPORTED",AE91="HALLUCINATION"))</x:f>
        <x:v>0</x:v>
      </x:c>
      <x:c r="AH91" t="n">
        <x:f>--AND(AG91=1,AE91="HALLUCINATION")</x:f>
        <x:v>0</x:v>
      </x:c>
      <x:c r="AI91" t="n">
        <x:f>--AND(Q91=1,AF91=1,AE91="HALLUCINATION")</x:f>
        <x:v>0</x:v>
      </x:c>
      <x:c r="AJ91" t="n">
        <x:f>--AND(AI91=1,R91=1,S91=1)</x:f>
        <x:v>0</x:v>
      </x:c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43" t="n">
        <x:f>--AND(N92=1,OR(O92="SUPPORTED",O92="HALLUCINATION"))</x:f>
        <x:v>0</x:v>
      </x:c>
      <x:c r="X92" s="43" t="n">
        <x:f>--AND(W92=1,O92="HALLUCINATION")</x:f>
        <x:v>0</x:v>
      </x:c>
      <x:c r="Y92" s="43" t="n">
        <x:f>--AND(Q92=1,O92="HALLUCINATION")</x:f>
        <x:v>0</x:v>
      </x:c>
      <x:c r="Z92" s="43" t="n">
        <x:f>--AND(Y92=1,R92=1,S92=1)</x:f>
        <x:v>0</x:v>
      </x:c>
      <x:c r="AC92" t="str">
        <x:f>IF(OR(AA92="",AB92=""),"",--(AA92&lt;&gt;AB92))</x:f>
      </x:c>
      <x:c r="AE92" t="str">
        <x:f>IF(OR(AA92="",AB92=""),"PENDING_HUMAN",IF(AA92=AB92,AA92,IF(AD92&lt;&gt;"",AD92,"PENDING_HUMAN")))</x:f>
        <x:v>PENDING_HUMAN</x:v>
      </x:c>
      <x:c r="AF92" t="n">
        <x:f>--AND(A92&lt;&gt;"",AA92&lt;&gt;"",AB92&lt;&gt;"",OR(AA92=AB92,AD92&lt;&gt;""),IF(AE92="HALLUCINATION",U92&lt;&gt;"",TRUE))</x:f>
        <x:v>0</x:v>
      </x:c>
      <x:c r="AG92" t="n">
        <x:f>--AND(N92=1,AF92=1,OR(AE92="SUPPORTED",AE92="HALLUCINATION"))</x:f>
        <x:v>0</x:v>
      </x:c>
      <x:c r="AH92" t="n">
        <x:f>--AND(AG92=1,AE92="HALLUCINATION")</x:f>
        <x:v>0</x:v>
      </x:c>
      <x:c r="AI92" t="n">
        <x:f>--AND(Q92=1,AF92=1,AE92="HALLUCINATION")</x:f>
        <x:v>0</x:v>
      </x:c>
      <x:c r="AJ92" t="n">
        <x:f>--AND(AI92=1,R92=1,S92=1)</x:f>
        <x:v>0</x:v>
      </x:c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43" t="n">
        <x:f>--AND(N93=1,OR(O93="SUPPORTED",O93="HALLUCINATION"))</x:f>
        <x:v>0</x:v>
      </x:c>
      <x:c r="X93" s="43" t="n">
        <x:f>--AND(W93=1,O93="HALLUCINATION")</x:f>
        <x:v>0</x:v>
      </x:c>
      <x:c r="Y93" s="43" t="n">
        <x:f>--AND(Q93=1,O93="HALLUCINATION")</x:f>
        <x:v>0</x:v>
      </x:c>
      <x:c r="Z93" s="43" t="n">
        <x:f>--AND(Y93=1,R93=1,S93=1)</x:f>
        <x:v>0</x:v>
      </x:c>
      <x:c r="AC93" t="str">
        <x:f>IF(OR(AA93="",AB93=""),"",--(AA93&lt;&gt;AB93))</x:f>
      </x:c>
      <x:c r="AE93" t="str">
        <x:f>IF(OR(AA93="",AB93=""),"PENDING_HUMAN",IF(AA93=AB93,AA93,IF(AD93&lt;&gt;"",AD93,"PENDING_HUMAN")))</x:f>
        <x:v>PENDING_HUMAN</x:v>
      </x:c>
      <x:c r="AF93" t="n">
        <x:f>--AND(A93&lt;&gt;"",AA93&lt;&gt;"",AB93&lt;&gt;"",OR(AA93=AB93,AD93&lt;&gt;""),IF(AE93="HALLUCINATION",U93&lt;&gt;"",TRUE))</x:f>
        <x:v>0</x:v>
      </x:c>
      <x:c r="AG93" t="n">
        <x:f>--AND(N93=1,AF93=1,OR(AE93="SUPPORTED",AE93="HALLUCINATION"))</x:f>
        <x:v>0</x:v>
      </x:c>
      <x:c r="AH93" t="n">
        <x:f>--AND(AG93=1,AE93="HALLUCINATION")</x:f>
        <x:v>0</x:v>
      </x:c>
      <x:c r="AI93" t="n">
        <x:f>--AND(Q93=1,AF93=1,AE93="HALLUCINATION")</x:f>
        <x:v>0</x:v>
      </x:c>
      <x:c r="AJ93" t="n">
        <x:f>--AND(AI93=1,R93=1,S93=1)</x:f>
        <x:v>0</x:v>
      </x:c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43" t="n">
        <x:f>--AND(N94=1,OR(O94="SUPPORTED",O94="HALLUCINATION"))</x:f>
        <x:v>0</x:v>
      </x:c>
      <x:c r="X94" s="43" t="n">
        <x:f>--AND(W94=1,O94="HALLUCINATION")</x:f>
        <x:v>0</x:v>
      </x:c>
      <x:c r="Y94" s="43" t="n">
        <x:f>--AND(Q94=1,O94="HALLUCINATION")</x:f>
        <x:v>0</x:v>
      </x:c>
      <x:c r="Z94" s="43" t="n">
        <x:f>--AND(Y94=1,R94=1,S94=1)</x:f>
        <x:v>0</x:v>
      </x:c>
      <x:c r="AC94" t="str">
        <x:f>IF(OR(AA94="",AB94=""),"",--(AA94&lt;&gt;AB94))</x:f>
      </x:c>
      <x:c r="AE94" t="str">
        <x:f>IF(OR(AA94="",AB94=""),"PENDING_HUMAN",IF(AA94=AB94,AA94,IF(AD94&lt;&gt;"",AD94,"PENDING_HUMAN")))</x:f>
        <x:v>PENDING_HUMAN</x:v>
      </x:c>
      <x:c r="AF94" t="n">
        <x:f>--AND(A94&lt;&gt;"",AA94&lt;&gt;"",AB94&lt;&gt;"",OR(AA94=AB94,AD94&lt;&gt;""),IF(AE94="HALLUCINATION",U94&lt;&gt;"",TRUE))</x:f>
        <x:v>0</x:v>
      </x:c>
      <x:c r="AG94" t="n">
        <x:f>--AND(N94=1,AF94=1,OR(AE94="SUPPORTED",AE94="HALLUCINATION"))</x:f>
        <x:v>0</x:v>
      </x:c>
      <x:c r="AH94" t="n">
        <x:f>--AND(AG94=1,AE94="HALLUCINATION")</x:f>
        <x:v>0</x:v>
      </x:c>
      <x:c r="AI94" t="n">
        <x:f>--AND(Q94=1,AF94=1,AE94="HALLUCINATION")</x:f>
        <x:v>0</x:v>
      </x:c>
      <x:c r="AJ94" t="n">
        <x:f>--AND(AI94=1,R94=1,S94=1)</x:f>
        <x:v>0</x:v>
      </x:c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43" t="n">
        <x:f>--AND(N95=1,OR(O95="SUPPORTED",O95="HALLUCINATION"))</x:f>
        <x:v>0</x:v>
      </x:c>
      <x:c r="X95" s="43" t="n">
        <x:f>--AND(W95=1,O95="HALLUCINATION")</x:f>
        <x:v>0</x:v>
      </x:c>
      <x:c r="Y95" s="43" t="n">
        <x:f>--AND(Q95=1,O95="HALLUCINATION")</x:f>
        <x:v>0</x:v>
      </x:c>
      <x:c r="Z95" s="43" t="n">
        <x:f>--AND(Y95=1,R95=1,S95=1)</x:f>
        <x:v>0</x:v>
      </x:c>
      <x:c r="AC95" t="str">
        <x:f>IF(OR(AA95="",AB95=""),"",--(AA95&lt;&gt;AB95))</x:f>
      </x:c>
      <x:c r="AE95" t="str">
        <x:f>IF(OR(AA95="",AB95=""),"PENDING_HUMAN",IF(AA95=AB95,AA95,IF(AD95&lt;&gt;"",AD95,"PENDING_HUMAN")))</x:f>
        <x:v>PENDING_HUMAN</x:v>
      </x:c>
      <x:c r="AF95" t="n">
        <x:f>--AND(A95&lt;&gt;"",AA95&lt;&gt;"",AB95&lt;&gt;"",OR(AA95=AB95,AD95&lt;&gt;""),IF(AE95="HALLUCINATION",U95&lt;&gt;"",TRUE))</x:f>
        <x:v>0</x:v>
      </x:c>
      <x:c r="AG95" t="n">
        <x:f>--AND(N95=1,AF95=1,OR(AE95="SUPPORTED",AE95="HALLUCINATION"))</x:f>
        <x:v>0</x:v>
      </x:c>
      <x:c r="AH95" t="n">
        <x:f>--AND(AG95=1,AE95="HALLUCINATION")</x:f>
        <x:v>0</x:v>
      </x:c>
      <x:c r="AI95" t="n">
        <x:f>--AND(Q95=1,AF95=1,AE95="HALLUCINATION")</x:f>
        <x:v>0</x:v>
      </x:c>
      <x:c r="AJ95" t="n">
        <x:f>--AND(AI95=1,R95=1,S95=1)</x:f>
        <x:v>0</x:v>
      </x:c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43" t="n">
        <x:f>--AND(N96=1,OR(O96="SUPPORTED",O96="HALLUCINATION"))</x:f>
        <x:v>0</x:v>
      </x:c>
      <x:c r="X96" s="43" t="n">
        <x:f>--AND(W96=1,O96="HALLUCINATION")</x:f>
        <x:v>0</x:v>
      </x:c>
      <x:c r="Y96" s="43" t="n">
        <x:f>--AND(Q96=1,O96="HALLUCINATION")</x:f>
        <x:v>0</x:v>
      </x:c>
      <x:c r="Z96" s="43" t="n">
        <x:f>--AND(Y96=1,R96=1,S96=1)</x:f>
        <x:v>0</x:v>
      </x:c>
      <x:c r="AC96" t="str">
        <x:f>IF(OR(AA96="",AB96=""),"",--(AA96&lt;&gt;AB96))</x:f>
      </x:c>
      <x:c r="AE96" t="str">
        <x:f>IF(OR(AA96="",AB96=""),"PENDING_HUMAN",IF(AA96=AB96,AA96,IF(AD96&lt;&gt;"",AD96,"PENDING_HUMAN")))</x:f>
        <x:v>PENDING_HUMAN</x:v>
      </x:c>
      <x:c r="AF96" t="n">
        <x:f>--AND(A96&lt;&gt;"",AA96&lt;&gt;"",AB96&lt;&gt;"",OR(AA96=AB96,AD96&lt;&gt;""),IF(AE96="HALLUCINATION",U96&lt;&gt;"",TRUE))</x:f>
        <x:v>0</x:v>
      </x:c>
      <x:c r="AG96" t="n">
        <x:f>--AND(N96=1,AF96=1,OR(AE96="SUPPORTED",AE96="HALLUCINATION"))</x:f>
        <x:v>0</x:v>
      </x:c>
      <x:c r="AH96" t="n">
        <x:f>--AND(AG96=1,AE96="HALLUCINATION")</x:f>
        <x:v>0</x:v>
      </x:c>
      <x:c r="AI96" t="n">
        <x:f>--AND(Q96=1,AF96=1,AE96="HALLUCINATION")</x:f>
        <x:v>0</x:v>
      </x:c>
      <x:c r="AJ96" t="n">
        <x:f>--AND(AI96=1,R96=1,S96=1)</x:f>
        <x:v>0</x:v>
      </x:c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43" t="n">
        <x:f>--AND(N97=1,OR(O97="SUPPORTED",O97="HALLUCINATION"))</x:f>
        <x:v>0</x:v>
      </x:c>
      <x:c r="X97" s="43" t="n">
        <x:f>--AND(W97=1,O97="HALLUCINATION")</x:f>
        <x:v>0</x:v>
      </x:c>
      <x:c r="Y97" s="43" t="n">
        <x:f>--AND(Q97=1,O97="HALLUCINATION")</x:f>
        <x:v>0</x:v>
      </x:c>
      <x:c r="Z97" s="43" t="n">
        <x:f>--AND(Y97=1,R97=1,S97=1)</x:f>
        <x:v>0</x:v>
      </x:c>
      <x:c r="AC97" t="str">
        <x:f>IF(OR(AA97="",AB97=""),"",--(AA97&lt;&gt;AB97))</x:f>
      </x:c>
      <x:c r="AE97" t="str">
        <x:f>IF(OR(AA97="",AB97=""),"PENDING_HUMAN",IF(AA97=AB97,AA97,IF(AD97&lt;&gt;"",AD97,"PENDING_HUMAN")))</x:f>
        <x:v>PENDING_HUMAN</x:v>
      </x:c>
      <x:c r="AF97" t="n">
        <x:f>--AND(A97&lt;&gt;"",AA97&lt;&gt;"",AB97&lt;&gt;"",OR(AA97=AB97,AD97&lt;&gt;""),IF(AE97="HALLUCINATION",U97&lt;&gt;"",TRUE))</x:f>
        <x:v>0</x:v>
      </x:c>
      <x:c r="AG97" t="n">
        <x:f>--AND(N97=1,AF97=1,OR(AE97="SUPPORTED",AE97="HALLUCINATION"))</x:f>
        <x:v>0</x:v>
      </x:c>
      <x:c r="AH97" t="n">
        <x:f>--AND(AG97=1,AE97="HALLUCINATION")</x:f>
        <x:v>0</x:v>
      </x:c>
      <x:c r="AI97" t="n">
        <x:f>--AND(Q97=1,AF97=1,AE97="HALLUCINATION")</x:f>
        <x:v>0</x:v>
      </x:c>
      <x:c r="AJ97" t="n">
        <x:f>--AND(AI97=1,R97=1,S97=1)</x:f>
        <x:v>0</x:v>
      </x:c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43" t="n">
        <x:f>--AND(N98=1,OR(O98="SUPPORTED",O98="HALLUCINATION"))</x:f>
        <x:v>0</x:v>
      </x:c>
      <x:c r="X98" s="43" t="n">
        <x:f>--AND(W98=1,O98="HALLUCINATION")</x:f>
        <x:v>0</x:v>
      </x:c>
      <x:c r="Y98" s="43" t="n">
        <x:f>--AND(Q98=1,O98="HALLUCINATION")</x:f>
        <x:v>0</x:v>
      </x:c>
      <x:c r="Z98" s="43" t="n">
        <x:f>--AND(Y98=1,R98=1,S98=1)</x:f>
        <x:v>0</x:v>
      </x:c>
      <x:c r="AC98" t="str">
        <x:f>IF(OR(AA98="",AB98=""),"",--(AA98&lt;&gt;AB98))</x:f>
      </x:c>
      <x:c r="AE98" t="str">
        <x:f>IF(OR(AA98="",AB98=""),"PENDING_HUMAN",IF(AA98=AB98,AA98,IF(AD98&lt;&gt;"",AD98,"PENDING_HUMAN")))</x:f>
        <x:v>PENDING_HUMAN</x:v>
      </x:c>
      <x:c r="AF98" t="n">
        <x:f>--AND(A98&lt;&gt;"",AA98&lt;&gt;"",AB98&lt;&gt;"",OR(AA98=AB98,AD98&lt;&gt;""),IF(AE98="HALLUCINATION",U98&lt;&gt;"",TRUE))</x:f>
        <x:v>0</x:v>
      </x:c>
      <x:c r="AG98" t="n">
        <x:f>--AND(N98=1,AF98=1,OR(AE98="SUPPORTED",AE98="HALLUCINATION"))</x:f>
        <x:v>0</x:v>
      </x:c>
      <x:c r="AH98" t="n">
        <x:f>--AND(AG98=1,AE98="HALLUCINATION")</x:f>
        <x:v>0</x:v>
      </x:c>
      <x:c r="AI98" t="n">
        <x:f>--AND(Q98=1,AF98=1,AE98="HALLUCINATION")</x:f>
        <x:v>0</x:v>
      </x:c>
      <x:c r="AJ98" t="n">
        <x:f>--AND(AI98=1,R98=1,S98=1)</x:f>
        <x:v>0</x:v>
      </x:c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43" t="n">
        <x:f>--AND(N99=1,OR(O99="SUPPORTED",O99="HALLUCINATION"))</x:f>
        <x:v>0</x:v>
      </x:c>
      <x:c r="X99" s="43" t="n">
        <x:f>--AND(W99=1,O99="HALLUCINATION")</x:f>
        <x:v>0</x:v>
      </x:c>
      <x:c r="Y99" s="43" t="n">
        <x:f>--AND(Q99=1,O99="HALLUCINATION")</x:f>
        <x:v>0</x:v>
      </x:c>
      <x:c r="Z99" s="43" t="n">
        <x:f>--AND(Y99=1,R99=1,S99=1)</x:f>
        <x:v>0</x:v>
      </x:c>
      <x:c r="AC99" t="str">
        <x:f>IF(OR(AA99="",AB99=""),"",--(AA99&lt;&gt;AB99))</x:f>
      </x:c>
      <x:c r="AE99" t="str">
        <x:f>IF(OR(AA99="",AB99=""),"PENDING_HUMAN",IF(AA99=AB99,AA99,IF(AD99&lt;&gt;"",AD99,"PENDING_HUMAN")))</x:f>
        <x:v>PENDING_HUMAN</x:v>
      </x:c>
      <x:c r="AF99" t="n">
        <x:f>--AND(A99&lt;&gt;"",AA99&lt;&gt;"",AB99&lt;&gt;"",OR(AA99=AB99,AD99&lt;&gt;""),IF(AE99="HALLUCINATION",U99&lt;&gt;"",TRUE))</x:f>
        <x:v>0</x:v>
      </x:c>
      <x:c r="AG99" t="n">
        <x:f>--AND(N99=1,AF99=1,OR(AE99="SUPPORTED",AE99="HALLUCINATION"))</x:f>
        <x:v>0</x:v>
      </x:c>
      <x:c r="AH99" t="n">
        <x:f>--AND(AG99=1,AE99="HALLUCINATION")</x:f>
        <x:v>0</x:v>
      </x:c>
      <x:c r="AI99" t="n">
        <x:f>--AND(Q99=1,AF99=1,AE99="HALLUCINATION")</x:f>
        <x:v>0</x:v>
      </x:c>
      <x:c r="AJ99" t="n">
        <x:f>--AND(AI99=1,R99=1,S99=1)</x:f>
        <x:v>0</x:v>
      </x:c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43" t="n">
        <x:f>--AND(N100=1,OR(O100="SUPPORTED",O100="HALLUCINATION"))</x:f>
        <x:v>0</x:v>
      </x:c>
      <x:c r="X100" s="43" t="n">
        <x:f>--AND(W100=1,O100="HALLUCINATION")</x:f>
        <x:v>0</x:v>
      </x:c>
      <x:c r="Y100" s="43" t="n">
        <x:f>--AND(Q100=1,O100="HALLUCINATION")</x:f>
        <x:v>0</x:v>
      </x:c>
      <x:c r="Z100" s="43" t="n">
        <x:f>--AND(Y100=1,R100=1,S100=1)</x:f>
        <x:v>0</x:v>
      </x:c>
      <x:c r="AC100" t="str">
        <x:f>IF(OR(AA100="",AB100=""),"",--(AA100&lt;&gt;AB100))</x:f>
      </x:c>
      <x:c r="AE100" t="str">
        <x:f>IF(OR(AA100="",AB100=""),"PENDING_HUMAN",IF(AA100=AB100,AA100,IF(AD100&lt;&gt;"",AD100,"PENDING_HUMAN")))</x:f>
        <x:v>PENDING_HUMAN</x:v>
      </x:c>
      <x:c r="AF100" t="n">
        <x:f>--AND(A100&lt;&gt;"",AA100&lt;&gt;"",AB100&lt;&gt;"",OR(AA100=AB100,AD100&lt;&gt;""),IF(AE100="HALLUCINATION",U100&lt;&gt;"",TRUE))</x:f>
        <x:v>0</x:v>
      </x:c>
      <x:c r="AG100" t="n">
        <x:f>--AND(N100=1,AF100=1,OR(AE100="SUPPORTED",AE100="HALLUCINATION"))</x:f>
        <x:v>0</x:v>
      </x:c>
      <x:c r="AH100" t="n">
        <x:f>--AND(AG100=1,AE100="HALLUCINATION")</x:f>
        <x:v>0</x:v>
      </x:c>
      <x:c r="AI100" t="n">
        <x:f>--AND(Q100=1,AF100=1,AE100="HALLUCINATION")</x:f>
        <x:v>0</x:v>
      </x:c>
      <x:c r="AJ100" t="n">
        <x:f>--AND(AI100=1,R100=1,S100=1)</x:f>
        <x:v>0</x:v>
      </x:c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43" t="n">
        <x:f>--AND(N101=1,OR(O101="SUPPORTED",O101="HALLUCINATION"))</x:f>
        <x:v>0</x:v>
      </x:c>
      <x:c r="X101" s="43" t="n">
        <x:f>--AND(W101=1,O101="HALLUCINATION")</x:f>
        <x:v>0</x:v>
      </x:c>
      <x:c r="Y101" s="43" t="n">
        <x:f>--AND(Q101=1,O101="HALLUCINATION")</x:f>
        <x:v>0</x:v>
      </x:c>
      <x:c r="Z101" s="43" t="n">
        <x:f>--AND(Y101=1,R101=1,S101=1)</x:f>
        <x:v>0</x:v>
      </x:c>
      <x:c r="AC101" t="str">
        <x:f>IF(OR(AA101="",AB101=""),"",--(AA101&lt;&gt;AB101))</x:f>
      </x:c>
      <x:c r="AE101" t="str">
        <x:f>IF(OR(AA101="",AB101=""),"PENDING_HUMAN",IF(AA101=AB101,AA101,IF(AD101&lt;&gt;"",AD101,"PENDING_HUMAN")))</x:f>
        <x:v>PENDING_HUMAN</x:v>
      </x:c>
      <x:c r="AF101" t="n">
        <x:f>--AND(A101&lt;&gt;"",AA101&lt;&gt;"",AB101&lt;&gt;"",OR(AA101=AB101,AD101&lt;&gt;""),IF(AE101="HALLUCINATION",U101&lt;&gt;"",TRUE))</x:f>
        <x:v>0</x:v>
      </x:c>
      <x:c r="AG101" t="n">
        <x:f>--AND(N101=1,AF101=1,OR(AE101="SUPPORTED",AE101="HALLUCINATION"))</x:f>
        <x:v>0</x:v>
      </x:c>
      <x:c r="AH101" t="n">
        <x:f>--AND(AG101=1,AE101="HALLUCINATION")</x:f>
        <x:v>0</x:v>
      </x:c>
      <x:c r="AI101" t="n">
        <x:f>--AND(Q101=1,AF101=1,AE101="HALLUCINATION")</x:f>
        <x:v>0</x:v>
      </x:c>
      <x:c r="AJ101" t="n">
        <x:f>--AND(AI101=1,R101=1,S101=1)</x:f>
        <x:v>0</x:v>
      </x:c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43" t="n">
        <x:f>--AND(N102=1,OR(O102="SUPPORTED",O102="HALLUCINATION"))</x:f>
        <x:v>0</x:v>
      </x:c>
      <x:c r="X102" s="43" t="n">
        <x:f>--AND(W102=1,O102="HALLUCINATION")</x:f>
        <x:v>0</x:v>
      </x:c>
      <x:c r="Y102" s="43" t="n">
        <x:f>--AND(Q102=1,O102="HALLUCINATION")</x:f>
        <x:v>0</x:v>
      </x:c>
      <x:c r="Z102" s="43" t="n">
        <x:f>--AND(Y102=1,R102=1,S102=1)</x:f>
        <x:v>0</x:v>
      </x:c>
      <x:c r="AC102" t="str">
        <x:f>IF(OR(AA102="",AB102=""),"",--(AA102&lt;&gt;AB102))</x:f>
      </x:c>
      <x:c r="AE102" t="str">
        <x:f>IF(OR(AA102="",AB102=""),"PENDING_HUMAN",IF(AA102=AB102,AA102,IF(AD102&lt;&gt;"",AD102,"PENDING_HUMAN")))</x:f>
        <x:v>PENDING_HUMAN</x:v>
      </x:c>
      <x:c r="AF102" t="n">
        <x:f>--AND(A102&lt;&gt;"",AA102&lt;&gt;"",AB102&lt;&gt;"",OR(AA102=AB102,AD102&lt;&gt;""),IF(AE102="HALLUCINATION",U102&lt;&gt;"",TRUE))</x:f>
        <x:v>0</x:v>
      </x:c>
      <x:c r="AG102" t="n">
        <x:f>--AND(N102=1,AF102=1,OR(AE102="SUPPORTED",AE102="HALLUCINATION"))</x:f>
        <x:v>0</x:v>
      </x:c>
      <x:c r="AH102" t="n">
        <x:f>--AND(AG102=1,AE102="HALLUCINATION")</x:f>
        <x:v>0</x:v>
      </x:c>
      <x:c r="AI102" t="n">
        <x:f>--AND(Q102=1,AF102=1,AE102="HALLUCINATION")</x:f>
        <x:v>0</x:v>
      </x:c>
      <x:c r="AJ102" t="n">
        <x:f>--AND(AI102=1,R102=1,S102=1)</x:f>
        <x:v>0</x:v>
      </x:c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43" t="n">
        <x:f>--AND(N103=1,OR(O103="SUPPORTED",O103="HALLUCINATION"))</x:f>
        <x:v>0</x:v>
      </x:c>
      <x:c r="X103" s="43" t="n">
        <x:f>--AND(W103=1,O103="HALLUCINATION")</x:f>
        <x:v>0</x:v>
      </x:c>
      <x:c r="Y103" s="43" t="n">
        <x:f>--AND(Q103=1,O103="HALLUCINATION")</x:f>
        <x:v>0</x:v>
      </x:c>
      <x:c r="Z103" s="43" t="n">
        <x:f>--AND(Y103=1,R103=1,S103=1)</x:f>
        <x:v>0</x:v>
      </x:c>
      <x:c r="AC103" t="str">
        <x:f>IF(OR(AA103="",AB103=""),"",--(AA103&lt;&gt;AB103))</x:f>
      </x:c>
      <x:c r="AE103" t="str">
        <x:f>IF(OR(AA103="",AB103=""),"PENDING_HUMAN",IF(AA103=AB103,AA103,IF(AD103&lt;&gt;"",AD103,"PENDING_HUMAN")))</x:f>
        <x:v>PENDING_HUMAN</x:v>
      </x:c>
      <x:c r="AF103" t="n">
        <x:f>--AND(A103&lt;&gt;"",AA103&lt;&gt;"",AB103&lt;&gt;"",OR(AA103=AB103,AD103&lt;&gt;""),IF(AE103="HALLUCINATION",U103&lt;&gt;"",TRUE))</x:f>
        <x:v>0</x:v>
      </x:c>
      <x:c r="AG103" t="n">
        <x:f>--AND(N103=1,AF103=1,OR(AE103="SUPPORTED",AE103="HALLUCINATION"))</x:f>
        <x:v>0</x:v>
      </x:c>
      <x:c r="AH103" t="n">
        <x:f>--AND(AG103=1,AE103="HALLUCINATION")</x:f>
        <x:v>0</x:v>
      </x:c>
      <x:c r="AI103" t="n">
        <x:f>--AND(Q103=1,AF103=1,AE103="HALLUCINATION")</x:f>
        <x:v>0</x:v>
      </x:c>
      <x:c r="AJ103" t="n">
        <x:f>--AND(AI103=1,R103=1,S103=1)</x:f>
        <x:v>0</x:v>
      </x:c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43" t="n">
        <x:f>--AND(N104=1,OR(O104="SUPPORTED",O104="HALLUCINATION"))</x:f>
        <x:v>0</x:v>
      </x:c>
      <x:c r="X104" s="43" t="n">
        <x:f>--AND(W104=1,O104="HALLUCINATION")</x:f>
        <x:v>0</x:v>
      </x:c>
      <x:c r="Y104" s="43" t="n">
        <x:f>--AND(Q104=1,O104="HALLUCINATION")</x:f>
        <x:v>0</x:v>
      </x:c>
      <x:c r="Z104" s="43" t="n">
        <x:f>--AND(Y104=1,R104=1,S104=1)</x:f>
        <x:v>0</x:v>
      </x:c>
      <x:c r="AC104" t="str">
        <x:f>IF(OR(AA104="",AB104=""),"",--(AA104&lt;&gt;AB104))</x:f>
      </x:c>
      <x:c r="AE104" t="str">
        <x:f>IF(OR(AA104="",AB104=""),"PENDING_HUMAN",IF(AA104=AB104,AA104,IF(AD104&lt;&gt;"",AD104,"PENDING_HUMAN")))</x:f>
        <x:v>PENDING_HUMAN</x:v>
      </x:c>
      <x:c r="AF104" t="n">
        <x:f>--AND(A104&lt;&gt;"",AA104&lt;&gt;"",AB104&lt;&gt;"",OR(AA104=AB104,AD104&lt;&gt;""),IF(AE104="HALLUCINATION",U104&lt;&gt;"",TRUE))</x:f>
        <x:v>0</x:v>
      </x:c>
      <x:c r="AG104" t="n">
        <x:f>--AND(N104=1,AF104=1,OR(AE104="SUPPORTED",AE104="HALLUCINATION"))</x:f>
        <x:v>0</x:v>
      </x:c>
      <x:c r="AH104" t="n">
        <x:f>--AND(AG104=1,AE104="HALLUCINATION")</x:f>
        <x:v>0</x:v>
      </x:c>
      <x:c r="AI104" t="n">
        <x:f>--AND(Q104=1,AF104=1,AE104="HALLUCINATION")</x:f>
        <x:v>0</x:v>
      </x:c>
      <x:c r="AJ104" t="n">
        <x:f>--AND(AI104=1,R104=1,S104=1)</x:f>
        <x:v>0</x:v>
      </x:c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43" t="n">
        <x:f>--AND(N105=1,OR(O105="SUPPORTED",O105="HALLUCINATION"))</x:f>
        <x:v>0</x:v>
      </x:c>
      <x:c r="X105" s="43" t="n">
        <x:f>--AND(W105=1,O105="HALLUCINATION")</x:f>
        <x:v>0</x:v>
      </x:c>
      <x:c r="Y105" s="43" t="n">
        <x:f>--AND(Q105=1,O105="HALLUCINATION")</x:f>
        <x:v>0</x:v>
      </x:c>
      <x:c r="Z105" s="43" t="n">
        <x:f>--AND(Y105=1,R105=1,S105=1)</x:f>
        <x:v>0</x:v>
      </x:c>
      <x:c r="AC105" t="str">
        <x:f>IF(OR(AA105="",AB105=""),"",--(AA105&lt;&gt;AB105))</x:f>
      </x:c>
      <x:c r="AE105" t="str">
        <x:f>IF(OR(AA105="",AB105=""),"PENDING_HUMAN",IF(AA105=AB105,AA105,IF(AD105&lt;&gt;"",AD105,"PENDING_HUMAN")))</x:f>
        <x:v>PENDING_HUMAN</x:v>
      </x:c>
      <x:c r="AF105" t="n">
        <x:f>--AND(A105&lt;&gt;"",AA105&lt;&gt;"",AB105&lt;&gt;"",OR(AA105=AB105,AD105&lt;&gt;""),IF(AE105="HALLUCINATION",U105&lt;&gt;"",TRUE))</x:f>
        <x:v>0</x:v>
      </x:c>
      <x:c r="AG105" t="n">
        <x:f>--AND(N105=1,AF105=1,OR(AE105="SUPPORTED",AE105="HALLUCINATION"))</x:f>
        <x:v>0</x:v>
      </x:c>
      <x:c r="AH105" t="n">
        <x:f>--AND(AG105=1,AE105="HALLUCINATION")</x:f>
        <x:v>0</x:v>
      </x:c>
      <x:c r="AI105" t="n">
        <x:f>--AND(Q105=1,AF105=1,AE105="HALLUCINATION")</x:f>
        <x:v>0</x:v>
      </x:c>
      <x:c r="AJ105" t="n">
        <x:f>--AND(AI105=1,R105=1,S105=1)</x:f>
        <x:v>0</x:v>
      </x:c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43" t="n">
        <x:f>--AND(N106=1,OR(O106="SUPPORTED",O106="HALLUCINATION"))</x:f>
        <x:v>0</x:v>
      </x:c>
      <x:c r="X106" s="43" t="n">
        <x:f>--AND(W106=1,O106="HALLUCINATION")</x:f>
        <x:v>0</x:v>
      </x:c>
      <x:c r="Y106" s="43" t="n">
        <x:f>--AND(Q106=1,O106="HALLUCINATION")</x:f>
        <x:v>0</x:v>
      </x:c>
      <x:c r="Z106" s="43" t="n">
        <x:f>--AND(Y106=1,R106=1,S106=1)</x:f>
        <x:v>0</x:v>
      </x:c>
      <x:c r="AC106" t="str">
        <x:f>IF(OR(AA106="",AB106=""),"",--(AA106&lt;&gt;AB106))</x:f>
      </x:c>
      <x:c r="AE106" t="str">
        <x:f>IF(OR(AA106="",AB106=""),"PENDING_HUMAN",IF(AA106=AB106,AA106,IF(AD106&lt;&gt;"",AD106,"PENDING_HUMAN")))</x:f>
        <x:v>PENDING_HUMAN</x:v>
      </x:c>
      <x:c r="AF106" t="n">
        <x:f>--AND(A106&lt;&gt;"",AA106&lt;&gt;"",AB106&lt;&gt;"",OR(AA106=AB106,AD106&lt;&gt;""),IF(AE106="HALLUCINATION",U106&lt;&gt;"",TRUE))</x:f>
        <x:v>0</x:v>
      </x:c>
      <x:c r="AG106" t="n">
        <x:f>--AND(N106=1,AF106=1,OR(AE106="SUPPORTED",AE106="HALLUCINATION"))</x:f>
        <x:v>0</x:v>
      </x:c>
      <x:c r="AH106" t="n">
        <x:f>--AND(AG106=1,AE106="HALLUCINATION")</x:f>
        <x:v>0</x:v>
      </x:c>
      <x:c r="AI106" t="n">
        <x:f>--AND(Q106=1,AF106=1,AE106="HALLUCINATION")</x:f>
        <x:v>0</x:v>
      </x:c>
      <x:c r="AJ106" t="n">
        <x:f>--AND(AI106=1,R106=1,S106=1)</x:f>
        <x:v>0</x:v>
      </x:c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43" t="n">
        <x:f>--AND(N107=1,OR(O107="SUPPORTED",O107="HALLUCINATION"))</x:f>
        <x:v>0</x:v>
      </x:c>
      <x:c r="X107" s="43" t="n">
        <x:f>--AND(W107=1,O107="HALLUCINATION")</x:f>
        <x:v>0</x:v>
      </x:c>
      <x:c r="Y107" s="43" t="n">
        <x:f>--AND(Q107=1,O107="HALLUCINATION")</x:f>
        <x:v>0</x:v>
      </x:c>
      <x:c r="Z107" s="43" t="n">
        <x:f>--AND(Y107=1,R107=1,S107=1)</x:f>
        <x:v>0</x:v>
      </x:c>
      <x:c r="AC107" t="str">
        <x:f>IF(OR(AA107="",AB107=""),"",--(AA107&lt;&gt;AB107))</x:f>
      </x:c>
      <x:c r="AE107" t="str">
        <x:f>IF(OR(AA107="",AB107=""),"PENDING_HUMAN",IF(AA107=AB107,AA107,IF(AD107&lt;&gt;"",AD107,"PENDING_HUMAN")))</x:f>
        <x:v>PENDING_HUMAN</x:v>
      </x:c>
      <x:c r="AF107" t="n">
        <x:f>--AND(A107&lt;&gt;"",AA107&lt;&gt;"",AB107&lt;&gt;"",OR(AA107=AB107,AD107&lt;&gt;""),IF(AE107="HALLUCINATION",U107&lt;&gt;"",TRUE))</x:f>
        <x:v>0</x:v>
      </x:c>
      <x:c r="AG107" t="n">
        <x:f>--AND(N107=1,AF107=1,OR(AE107="SUPPORTED",AE107="HALLUCINATION"))</x:f>
        <x:v>0</x:v>
      </x:c>
      <x:c r="AH107" t="n">
        <x:f>--AND(AG107=1,AE107="HALLUCINATION")</x:f>
        <x:v>0</x:v>
      </x:c>
      <x:c r="AI107" t="n">
        <x:f>--AND(Q107=1,AF107=1,AE107="HALLUCINATION")</x:f>
        <x:v>0</x:v>
      </x:c>
      <x:c r="AJ107" t="n">
        <x:f>--AND(AI107=1,R107=1,S107=1)</x:f>
        <x:v>0</x:v>
      </x:c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43" t="n">
        <x:f>--AND(N108=1,OR(O108="SUPPORTED",O108="HALLUCINATION"))</x:f>
        <x:v>0</x:v>
      </x:c>
      <x:c r="X108" s="43" t="n">
        <x:f>--AND(W108=1,O108="HALLUCINATION")</x:f>
        <x:v>0</x:v>
      </x:c>
      <x:c r="Y108" s="43" t="n">
        <x:f>--AND(Q108=1,O108="HALLUCINATION")</x:f>
        <x:v>0</x:v>
      </x:c>
      <x:c r="Z108" s="43" t="n">
        <x:f>--AND(Y108=1,R108=1,S108=1)</x:f>
        <x:v>0</x:v>
      </x:c>
      <x:c r="AC108" t="str">
        <x:f>IF(OR(AA108="",AB108=""),"",--(AA108&lt;&gt;AB108))</x:f>
      </x:c>
      <x:c r="AE108" t="str">
        <x:f>IF(OR(AA108="",AB108=""),"PENDING_HUMAN",IF(AA108=AB108,AA108,IF(AD108&lt;&gt;"",AD108,"PENDING_HUMAN")))</x:f>
        <x:v>PENDING_HUMAN</x:v>
      </x:c>
      <x:c r="AF108" t="n">
        <x:f>--AND(A108&lt;&gt;"",AA108&lt;&gt;"",AB108&lt;&gt;"",OR(AA108=AB108,AD108&lt;&gt;""),IF(AE108="HALLUCINATION",U108&lt;&gt;"",TRUE))</x:f>
        <x:v>0</x:v>
      </x:c>
      <x:c r="AG108" t="n">
        <x:f>--AND(N108=1,AF108=1,OR(AE108="SUPPORTED",AE108="HALLUCINATION"))</x:f>
        <x:v>0</x:v>
      </x:c>
      <x:c r="AH108" t="n">
        <x:f>--AND(AG108=1,AE108="HALLUCINATION")</x:f>
        <x:v>0</x:v>
      </x:c>
      <x:c r="AI108" t="n">
        <x:f>--AND(Q108=1,AF108=1,AE108="HALLUCINATION")</x:f>
        <x:v>0</x:v>
      </x:c>
      <x:c r="AJ108" t="n">
        <x:f>--AND(AI108=1,R108=1,S108=1)</x:f>
        <x:v>0</x:v>
      </x:c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43" t="n">
        <x:f>--AND(N109=1,OR(O109="SUPPORTED",O109="HALLUCINATION"))</x:f>
        <x:v>0</x:v>
      </x:c>
      <x:c r="X109" s="43" t="n">
        <x:f>--AND(W109=1,O109="HALLUCINATION")</x:f>
        <x:v>0</x:v>
      </x:c>
      <x:c r="Y109" s="43" t="n">
        <x:f>--AND(Q109=1,O109="HALLUCINATION")</x:f>
        <x:v>0</x:v>
      </x:c>
      <x:c r="Z109" s="43" t="n">
        <x:f>--AND(Y109=1,R109=1,S109=1)</x:f>
        <x:v>0</x:v>
      </x:c>
      <x:c r="AC109" t="str">
        <x:f>IF(OR(AA109="",AB109=""),"",--(AA109&lt;&gt;AB109))</x:f>
      </x:c>
      <x:c r="AE109" t="str">
        <x:f>IF(OR(AA109="",AB109=""),"PENDING_HUMAN",IF(AA109=AB109,AA109,IF(AD109&lt;&gt;"",AD109,"PENDING_HUMAN")))</x:f>
        <x:v>PENDING_HUMAN</x:v>
      </x:c>
      <x:c r="AF109" t="n">
        <x:f>--AND(A109&lt;&gt;"",AA109&lt;&gt;"",AB109&lt;&gt;"",OR(AA109=AB109,AD109&lt;&gt;""),IF(AE109="HALLUCINATION",U109&lt;&gt;"",TRUE))</x:f>
        <x:v>0</x:v>
      </x:c>
      <x:c r="AG109" t="n">
        <x:f>--AND(N109=1,AF109=1,OR(AE109="SUPPORTED",AE109="HALLUCINATION"))</x:f>
        <x:v>0</x:v>
      </x:c>
      <x:c r="AH109" t="n">
        <x:f>--AND(AG109=1,AE109="HALLUCINATION")</x:f>
        <x:v>0</x:v>
      </x:c>
      <x:c r="AI109" t="n">
        <x:f>--AND(Q109=1,AF109=1,AE109="HALLUCINATION")</x:f>
        <x:v>0</x:v>
      </x:c>
      <x:c r="AJ109" t="n">
        <x:f>--AND(AI109=1,R109=1,S109=1)</x:f>
        <x:v>0</x:v>
      </x:c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43" t="n">
        <x:f>--AND(N110=1,OR(O110="SUPPORTED",O110="HALLUCINATION"))</x:f>
        <x:v>0</x:v>
      </x:c>
      <x:c r="X110" s="43" t="n">
        <x:f>--AND(W110=1,O110="HALLUCINATION")</x:f>
        <x:v>0</x:v>
      </x:c>
      <x:c r="Y110" s="43" t="n">
        <x:f>--AND(Q110=1,O110="HALLUCINATION")</x:f>
        <x:v>0</x:v>
      </x:c>
      <x:c r="Z110" s="43" t="n">
        <x:f>--AND(Y110=1,R110=1,S110=1)</x:f>
        <x:v>0</x:v>
      </x:c>
      <x:c r="AC110" t="str">
        <x:f>IF(OR(AA110="",AB110=""),"",--(AA110&lt;&gt;AB110))</x:f>
      </x:c>
      <x:c r="AE110" t="str">
        <x:f>IF(OR(AA110="",AB110=""),"PENDING_HUMAN",IF(AA110=AB110,AA110,IF(AD110&lt;&gt;"",AD110,"PENDING_HUMAN")))</x:f>
        <x:v>PENDING_HUMAN</x:v>
      </x:c>
      <x:c r="AF110" t="n">
        <x:f>--AND(A110&lt;&gt;"",AA110&lt;&gt;"",AB110&lt;&gt;"",OR(AA110=AB110,AD110&lt;&gt;""),IF(AE110="HALLUCINATION",U110&lt;&gt;"",TRUE))</x:f>
        <x:v>0</x:v>
      </x:c>
      <x:c r="AG110" t="n">
        <x:f>--AND(N110=1,AF110=1,OR(AE110="SUPPORTED",AE110="HALLUCINATION"))</x:f>
        <x:v>0</x:v>
      </x:c>
      <x:c r="AH110" t="n">
        <x:f>--AND(AG110=1,AE110="HALLUCINATION")</x:f>
        <x:v>0</x:v>
      </x:c>
      <x:c r="AI110" t="n">
        <x:f>--AND(Q110=1,AF110=1,AE110="HALLUCINATION")</x:f>
        <x:v>0</x:v>
      </x:c>
      <x:c r="AJ110" t="n">
        <x:f>--AND(AI110=1,R110=1,S110=1)</x:f>
        <x:v>0</x:v>
      </x:c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43" t="n">
        <x:f>--AND(N111=1,OR(O111="SUPPORTED",O111="HALLUCINATION"))</x:f>
        <x:v>0</x:v>
      </x:c>
      <x:c r="X111" s="43" t="n">
        <x:f>--AND(W111=1,O111="HALLUCINATION")</x:f>
        <x:v>0</x:v>
      </x:c>
      <x:c r="Y111" s="43" t="n">
        <x:f>--AND(Q111=1,O111="HALLUCINATION")</x:f>
        <x:v>0</x:v>
      </x:c>
      <x:c r="Z111" s="43" t="n">
        <x:f>--AND(Y111=1,R111=1,S111=1)</x:f>
        <x:v>0</x:v>
      </x:c>
      <x:c r="AC111" t="str">
        <x:f>IF(OR(AA111="",AB111=""),"",--(AA111&lt;&gt;AB111))</x:f>
      </x:c>
      <x:c r="AE111" t="str">
        <x:f>IF(OR(AA111="",AB111=""),"PENDING_HUMAN",IF(AA111=AB111,AA111,IF(AD111&lt;&gt;"",AD111,"PENDING_HUMAN")))</x:f>
        <x:v>PENDING_HUMAN</x:v>
      </x:c>
      <x:c r="AF111" t="n">
        <x:f>--AND(A111&lt;&gt;"",AA111&lt;&gt;"",AB111&lt;&gt;"",OR(AA111=AB111,AD111&lt;&gt;""),IF(AE111="HALLUCINATION",U111&lt;&gt;"",TRUE))</x:f>
        <x:v>0</x:v>
      </x:c>
      <x:c r="AG111" t="n">
        <x:f>--AND(N111=1,AF111=1,OR(AE111="SUPPORTED",AE111="HALLUCINATION"))</x:f>
        <x:v>0</x:v>
      </x:c>
      <x:c r="AH111" t="n">
        <x:f>--AND(AG111=1,AE111="HALLUCINATION")</x:f>
        <x:v>0</x:v>
      </x:c>
      <x:c r="AI111" t="n">
        <x:f>--AND(Q111=1,AF111=1,AE111="HALLUCINATION")</x:f>
        <x:v>0</x:v>
      </x:c>
      <x:c r="AJ111" t="n">
        <x:f>--AND(AI111=1,R111=1,S111=1)</x:f>
        <x:v>0</x:v>
      </x:c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43" t="n">
        <x:f>--AND(N112=1,OR(O112="SUPPORTED",O112="HALLUCINATION"))</x:f>
        <x:v>0</x:v>
      </x:c>
      <x:c r="X112" s="43" t="n">
        <x:f>--AND(W112=1,O112="HALLUCINATION")</x:f>
        <x:v>0</x:v>
      </x:c>
      <x:c r="Y112" s="43" t="n">
        <x:f>--AND(Q112=1,O112="HALLUCINATION")</x:f>
        <x:v>0</x:v>
      </x:c>
      <x:c r="Z112" s="43" t="n">
        <x:f>--AND(Y112=1,R112=1,S112=1)</x:f>
        <x:v>0</x:v>
      </x:c>
      <x:c r="AC112" t="str">
        <x:f>IF(OR(AA112="",AB112=""),"",--(AA112&lt;&gt;AB112))</x:f>
      </x:c>
      <x:c r="AE112" t="str">
        <x:f>IF(OR(AA112="",AB112=""),"PENDING_HUMAN",IF(AA112=AB112,AA112,IF(AD112&lt;&gt;"",AD112,"PENDING_HUMAN")))</x:f>
        <x:v>PENDING_HUMAN</x:v>
      </x:c>
      <x:c r="AF112" t="n">
        <x:f>--AND(A112&lt;&gt;"",AA112&lt;&gt;"",AB112&lt;&gt;"",OR(AA112=AB112,AD112&lt;&gt;""),IF(AE112="HALLUCINATION",U112&lt;&gt;"",TRUE))</x:f>
        <x:v>0</x:v>
      </x:c>
      <x:c r="AG112" t="n">
        <x:f>--AND(N112=1,AF112=1,OR(AE112="SUPPORTED",AE112="HALLUCINATION"))</x:f>
        <x:v>0</x:v>
      </x:c>
      <x:c r="AH112" t="n">
        <x:f>--AND(AG112=1,AE112="HALLUCINATION")</x:f>
        <x:v>0</x:v>
      </x:c>
      <x:c r="AI112" t="n">
        <x:f>--AND(Q112=1,AF112=1,AE112="HALLUCINATION")</x:f>
        <x:v>0</x:v>
      </x:c>
      <x:c r="AJ112" t="n">
        <x:f>--AND(AI112=1,R112=1,S112=1)</x:f>
        <x:v>0</x:v>
      </x:c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43" t="n">
        <x:f>--AND(N113=1,OR(O113="SUPPORTED",O113="HALLUCINATION"))</x:f>
        <x:v>0</x:v>
      </x:c>
      <x:c r="X113" s="43" t="n">
        <x:f>--AND(W113=1,O113="HALLUCINATION")</x:f>
        <x:v>0</x:v>
      </x:c>
      <x:c r="Y113" s="43" t="n">
        <x:f>--AND(Q113=1,O113="HALLUCINATION")</x:f>
        <x:v>0</x:v>
      </x:c>
      <x:c r="Z113" s="43" t="n">
        <x:f>--AND(Y113=1,R113=1,S113=1)</x:f>
        <x:v>0</x:v>
      </x:c>
      <x:c r="AC113" t="str">
        <x:f>IF(OR(AA113="",AB113=""),"",--(AA113&lt;&gt;AB113))</x:f>
      </x:c>
      <x:c r="AE113" t="str">
        <x:f>IF(OR(AA113="",AB113=""),"PENDING_HUMAN",IF(AA113=AB113,AA113,IF(AD113&lt;&gt;"",AD113,"PENDING_HUMAN")))</x:f>
        <x:v>PENDING_HUMAN</x:v>
      </x:c>
      <x:c r="AF113" t="n">
        <x:f>--AND(A113&lt;&gt;"",AA113&lt;&gt;"",AB113&lt;&gt;"",OR(AA113=AB113,AD113&lt;&gt;""),IF(AE113="HALLUCINATION",U113&lt;&gt;"",TRUE))</x:f>
        <x:v>0</x:v>
      </x:c>
      <x:c r="AG113" t="n">
        <x:f>--AND(N113=1,AF113=1,OR(AE113="SUPPORTED",AE113="HALLUCINATION"))</x:f>
        <x:v>0</x:v>
      </x:c>
      <x:c r="AH113" t="n">
        <x:f>--AND(AG113=1,AE113="HALLUCINATION")</x:f>
        <x:v>0</x:v>
      </x:c>
      <x:c r="AI113" t="n">
        <x:f>--AND(Q113=1,AF113=1,AE113="HALLUCINATION")</x:f>
        <x:v>0</x:v>
      </x:c>
      <x:c r="AJ113" t="n">
        <x:f>--AND(AI113=1,R113=1,S113=1)</x:f>
        <x:v>0</x:v>
      </x:c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43" t="n">
        <x:f>--AND(N114=1,OR(O114="SUPPORTED",O114="HALLUCINATION"))</x:f>
        <x:v>0</x:v>
      </x:c>
      <x:c r="X114" s="43" t="n">
        <x:f>--AND(W114=1,O114="HALLUCINATION")</x:f>
        <x:v>0</x:v>
      </x:c>
      <x:c r="Y114" s="43" t="n">
        <x:f>--AND(Q114=1,O114="HALLUCINATION")</x:f>
        <x:v>0</x:v>
      </x:c>
      <x:c r="Z114" s="43" t="n">
        <x:f>--AND(Y114=1,R114=1,S114=1)</x:f>
        <x:v>0</x:v>
      </x:c>
      <x:c r="AC114" t="str">
        <x:f>IF(OR(AA114="",AB114=""),"",--(AA114&lt;&gt;AB114))</x:f>
      </x:c>
      <x:c r="AE114" t="str">
        <x:f>IF(OR(AA114="",AB114=""),"PENDING_HUMAN",IF(AA114=AB114,AA114,IF(AD114&lt;&gt;"",AD114,"PENDING_HUMAN")))</x:f>
        <x:v>PENDING_HUMAN</x:v>
      </x:c>
      <x:c r="AF114" t="n">
        <x:f>--AND(A114&lt;&gt;"",AA114&lt;&gt;"",AB114&lt;&gt;"",OR(AA114=AB114,AD114&lt;&gt;""),IF(AE114="HALLUCINATION",U114&lt;&gt;"",TRUE))</x:f>
        <x:v>0</x:v>
      </x:c>
      <x:c r="AG114" t="n">
        <x:f>--AND(N114=1,AF114=1,OR(AE114="SUPPORTED",AE114="HALLUCINATION"))</x:f>
        <x:v>0</x:v>
      </x:c>
      <x:c r="AH114" t="n">
        <x:f>--AND(AG114=1,AE114="HALLUCINATION")</x:f>
        <x:v>0</x:v>
      </x:c>
      <x:c r="AI114" t="n">
        <x:f>--AND(Q114=1,AF114=1,AE114="HALLUCINATION")</x:f>
        <x:v>0</x:v>
      </x:c>
      <x:c r="AJ114" t="n">
        <x:f>--AND(AI114=1,R114=1,S114=1)</x:f>
        <x:v>0</x:v>
      </x:c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43" t="n">
        <x:f>--AND(N115=1,OR(O115="SUPPORTED",O115="HALLUCINATION"))</x:f>
        <x:v>0</x:v>
      </x:c>
      <x:c r="X115" s="43" t="n">
        <x:f>--AND(W115=1,O115="HALLUCINATION")</x:f>
        <x:v>0</x:v>
      </x:c>
      <x:c r="Y115" s="43" t="n">
        <x:f>--AND(Q115=1,O115="HALLUCINATION")</x:f>
        <x:v>0</x:v>
      </x:c>
      <x:c r="Z115" s="43" t="n">
        <x:f>--AND(Y115=1,R115=1,S115=1)</x:f>
        <x:v>0</x:v>
      </x:c>
      <x:c r="AC115" t="str">
        <x:f>IF(OR(AA115="",AB115=""),"",--(AA115&lt;&gt;AB115))</x:f>
      </x:c>
      <x:c r="AE115" t="str">
        <x:f>IF(OR(AA115="",AB115=""),"PENDING_HUMAN",IF(AA115=AB115,AA115,IF(AD115&lt;&gt;"",AD115,"PENDING_HUMAN")))</x:f>
        <x:v>PENDING_HUMAN</x:v>
      </x:c>
      <x:c r="AF115" t="n">
        <x:f>--AND(A115&lt;&gt;"",AA115&lt;&gt;"",AB115&lt;&gt;"",OR(AA115=AB115,AD115&lt;&gt;""),IF(AE115="HALLUCINATION",U115&lt;&gt;"",TRUE))</x:f>
        <x:v>0</x:v>
      </x:c>
      <x:c r="AG115" t="n">
        <x:f>--AND(N115=1,AF115=1,OR(AE115="SUPPORTED",AE115="HALLUCINATION"))</x:f>
        <x:v>0</x:v>
      </x:c>
      <x:c r="AH115" t="n">
        <x:f>--AND(AG115=1,AE115="HALLUCINATION")</x:f>
        <x:v>0</x:v>
      </x:c>
      <x:c r="AI115" t="n">
        <x:f>--AND(Q115=1,AF115=1,AE115="HALLUCINATION")</x:f>
        <x:v>0</x:v>
      </x:c>
      <x:c r="AJ115" t="n">
        <x:f>--AND(AI115=1,R115=1,S115=1)</x:f>
        <x:v>0</x:v>
      </x:c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43" t="n">
        <x:f>--AND(N116=1,OR(O116="SUPPORTED",O116="HALLUCINATION"))</x:f>
        <x:v>0</x:v>
      </x:c>
      <x:c r="X116" s="43" t="n">
        <x:f>--AND(W116=1,O116="HALLUCINATION")</x:f>
        <x:v>0</x:v>
      </x:c>
      <x:c r="Y116" s="43" t="n">
        <x:f>--AND(Q116=1,O116="HALLUCINATION")</x:f>
        <x:v>0</x:v>
      </x:c>
      <x:c r="Z116" s="43" t="n">
        <x:f>--AND(Y116=1,R116=1,S116=1)</x:f>
        <x:v>0</x:v>
      </x:c>
      <x:c r="AC116" t="str">
        <x:f>IF(OR(AA116="",AB116=""),"",--(AA116&lt;&gt;AB116))</x:f>
      </x:c>
      <x:c r="AE116" t="str">
        <x:f>IF(OR(AA116="",AB116=""),"PENDING_HUMAN",IF(AA116=AB116,AA116,IF(AD116&lt;&gt;"",AD116,"PENDING_HUMAN")))</x:f>
        <x:v>PENDING_HUMAN</x:v>
      </x:c>
      <x:c r="AF116" t="n">
        <x:f>--AND(A116&lt;&gt;"",AA116&lt;&gt;"",AB116&lt;&gt;"",OR(AA116=AB116,AD116&lt;&gt;""),IF(AE116="HALLUCINATION",U116&lt;&gt;"",TRUE))</x:f>
        <x:v>0</x:v>
      </x:c>
      <x:c r="AG116" t="n">
        <x:f>--AND(N116=1,AF116=1,OR(AE116="SUPPORTED",AE116="HALLUCINATION"))</x:f>
        <x:v>0</x:v>
      </x:c>
      <x:c r="AH116" t="n">
        <x:f>--AND(AG116=1,AE116="HALLUCINATION")</x:f>
        <x:v>0</x:v>
      </x:c>
      <x:c r="AI116" t="n">
        <x:f>--AND(Q116=1,AF116=1,AE116="HALLUCINATION")</x:f>
        <x:v>0</x:v>
      </x:c>
      <x:c r="AJ116" t="n">
        <x:f>--AND(AI116=1,R116=1,S116=1)</x:f>
        <x:v>0</x:v>
      </x:c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43" t="n">
        <x:f>--AND(N117=1,OR(O117="SUPPORTED",O117="HALLUCINATION"))</x:f>
        <x:v>0</x:v>
      </x:c>
      <x:c r="X117" s="43" t="n">
        <x:f>--AND(W117=1,O117="HALLUCINATION")</x:f>
        <x:v>0</x:v>
      </x:c>
      <x:c r="Y117" s="43" t="n">
        <x:f>--AND(Q117=1,O117="HALLUCINATION")</x:f>
        <x:v>0</x:v>
      </x:c>
      <x:c r="Z117" s="43" t="n">
        <x:f>--AND(Y117=1,R117=1,S117=1)</x:f>
        <x:v>0</x:v>
      </x:c>
      <x:c r="AC117" t="str">
        <x:f>IF(OR(AA117="",AB117=""),"",--(AA117&lt;&gt;AB117))</x:f>
      </x:c>
      <x:c r="AE117" t="str">
        <x:f>IF(OR(AA117="",AB117=""),"PENDING_HUMAN",IF(AA117=AB117,AA117,IF(AD117&lt;&gt;"",AD117,"PENDING_HUMAN")))</x:f>
        <x:v>PENDING_HUMAN</x:v>
      </x:c>
      <x:c r="AF117" t="n">
        <x:f>--AND(A117&lt;&gt;"",AA117&lt;&gt;"",AB117&lt;&gt;"",OR(AA117=AB117,AD117&lt;&gt;""),IF(AE117="HALLUCINATION",U117&lt;&gt;"",TRUE))</x:f>
        <x:v>0</x:v>
      </x:c>
      <x:c r="AG117" t="n">
        <x:f>--AND(N117=1,AF117=1,OR(AE117="SUPPORTED",AE117="HALLUCINATION"))</x:f>
        <x:v>0</x:v>
      </x:c>
      <x:c r="AH117" t="n">
        <x:f>--AND(AG117=1,AE117="HALLUCINATION")</x:f>
        <x:v>0</x:v>
      </x:c>
      <x:c r="AI117" t="n">
        <x:f>--AND(Q117=1,AF117=1,AE117="HALLUCINATION")</x:f>
        <x:v>0</x:v>
      </x:c>
      <x:c r="AJ117" t="n">
        <x:f>--AND(AI117=1,R117=1,S117=1)</x:f>
        <x:v>0</x:v>
      </x:c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43" t="n">
        <x:f>--AND(N118=1,OR(O118="SUPPORTED",O118="HALLUCINATION"))</x:f>
        <x:v>0</x:v>
      </x:c>
      <x:c r="X118" s="43" t="n">
        <x:f>--AND(W118=1,O118="HALLUCINATION")</x:f>
        <x:v>0</x:v>
      </x:c>
      <x:c r="Y118" s="43" t="n">
        <x:f>--AND(Q118=1,O118="HALLUCINATION")</x:f>
        <x:v>0</x:v>
      </x:c>
      <x:c r="Z118" s="43" t="n">
        <x:f>--AND(Y118=1,R118=1,S118=1)</x:f>
        <x:v>0</x:v>
      </x:c>
      <x:c r="AC118" t="str">
        <x:f>IF(OR(AA118="",AB118=""),"",--(AA118&lt;&gt;AB118))</x:f>
      </x:c>
      <x:c r="AE118" t="str">
        <x:f>IF(OR(AA118="",AB118=""),"PENDING_HUMAN",IF(AA118=AB118,AA118,IF(AD118&lt;&gt;"",AD118,"PENDING_HUMAN")))</x:f>
        <x:v>PENDING_HUMAN</x:v>
      </x:c>
      <x:c r="AF118" t="n">
        <x:f>--AND(A118&lt;&gt;"",AA118&lt;&gt;"",AB118&lt;&gt;"",OR(AA118=AB118,AD118&lt;&gt;""),IF(AE118="HALLUCINATION",U118&lt;&gt;"",TRUE))</x:f>
        <x:v>0</x:v>
      </x:c>
      <x:c r="AG118" t="n">
        <x:f>--AND(N118=1,AF118=1,OR(AE118="SUPPORTED",AE118="HALLUCINATION"))</x:f>
        <x:v>0</x:v>
      </x:c>
      <x:c r="AH118" t="n">
        <x:f>--AND(AG118=1,AE118="HALLUCINATION")</x:f>
        <x:v>0</x:v>
      </x:c>
      <x:c r="AI118" t="n">
        <x:f>--AND(Q118=1,AF118=1,AE118="HALLUCINATION")</x:f>
        <x:v>0</x:v>
      </x:c>
      <x:c r="AJ118" t="n">
        <x:f>--AND(AI118=1,R118=1,S118=1)</x:f>
        <x:v>0</x:v>
      </x:c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43" t="n">
        <x:f>--AND(N119=1,OR(O119="SUPPORTED",O119="HALLUCINATION"))</x:f>
        <x:v>0</x:v>
      </x:c>
      <x:c r="X119" s="43" t="n">
        <x:f>--AND(W119=1,O119="HALLUCINATION")</x:f>
        <x:v>0</x:v>
      </x:c>
      <x:c r="Y119" s="43" t="n">
        <x:f>--AND(Q119=1,O119="HALLUCINATION")</x:f>
        <x:v>0</x:v>
      </x:c>
      <x:c r="Z119" s="43" t="n">
        <x:f>--AND(Y119=1,R119=1,S119=1)</x:f>
        <x:v>0</x:v>
      </x:c>
      <x:c r="AC119" t="str">
        <x:f>IF(OR(AA119="",AB119=""),"",--(AA119&lt;&gt;AB119))</x:f>
      </x:c>
      <x:c r="AE119" t="str">
        <x:f>IF(OR(AA119="",AB119=""),"PENDING_HUMAN",IF(AA119=AB119,AA119,IF(AD119&lt;&gt;"",AD119,"PENDING_HUMAN")))</x:f>
        <x:v>PENDING_HUMAN</x:v>
      </x:c>
      <x:c r="AF119" t="n">
        <x:f>--AND(A119&lt;&gt;"",AA119&lt;&gt;"",AB119&lt;&gt;"",OR(AA119=AB119,AD119&lt;&gt;""),IF(AE119="HALLUCINATION",U119&lt;&gt;"",TRUE))</x:f>
        <x:v>0</x:v>
      </x:c>
      <x:c r="AG119" t="n">
        <x:f>--AND(N119=1,AF119=1,OR(AE119="SUPPORTED",AE119="HALLUCINATION"))</x:f>
        <x:v>0</x:v>
      </x:c>
      <x:c r="AH119" t="n">
        <x:f>--AND(AG119=1,AE119="HALLUCINATION")</x:f>
        <x:v>0</x:v>
      </x:c>
      <x:c r="AI119" t="n">
        <x:f>--AND(Q119=1,AF119=1,AE119="HALLUCINATION")</x:f>
        <x:v>0</x:v>
      </x:c>
      <x:c r="AJ119" t="n">
        <x:f>--AND(AI119=1,R119=1,S119=1)</x:f>
        <x:v>0</x:v>
      </x:c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43" t="n">
        <x:f>--AND(N120=1,OR(O120="SUPPORTED",O120="HALLUCINATION"))</x:f>
        <x:v>0</x:v>
      </x:c>
      <x:c r="X120" s="43" t="n">
        <x:f>--AND(W120=1,O120="HALLUCINATION")</x:f>
        <x:v>0</x:v>
      </x:c>
      <x:c r="Y120" s="43" t="n">
        <x:f>--AND(Q120=1,O120="HALLUCINATION")</x:f>
        <x:v>0</x:v>
      </x:c>
      <x:c r="Z120" s="43" t="n">
        <x:f>--AND(Y120=1,R120=1,S120=1)</x:f>
        <x:v>0</x:v>
      </x:c>
      <x:c r="AC120" t="str">
        <x:f>IF(OR(AA120="",AB120=""),"",--(AA120&lt;&gt;AB120))</x:f>
      </x:c>
      <x:c r="AE120" t="str">
        <x:f>IF(OR(AA120="",AB120=""),"PENDING_HUMAN",IF(AA120=AB120,AA120,IF(AD120&lt;&gt;"",AD120,"PENDING_HUMAN")))</x:f>
        <x:v>PENDING_HUMAN</x:v>
      </x:c>
      <x:c r="AF120" t="n">
        <x:f>--AND(A120&lt;&gt;"",AA120&lt;&gt;"",AB120&lt;&gt;"",OR(AA120=AB120,AD120&lt;&gt;""),IF(AE120="HALLUCINATION",U120&lt;&gt;"",TRUE))</x:f>
        <x:v>0</x:v>
      </x:c>
      <x:c r="AG120" t="n">
        <x:f>--AND(N120=1,AF120=1,OR(AE120="SUPPORTED",AE120="HALLUCINATION"))</x:f>
        <x:v>0</x:v>
      </x:c>
      <x:c r="AH120" t="n">
        <x:f>--AND(AG120=1,AE120="HALLUCINATION")</x:f>
        <x:v>0</x:v>
      </x:c>
      <x:c r="AI120" t="n">
        <x:f>--AND(Q120=1,AF120=1,AE120="HALLUCINATION")</x:f>
        <x:v>0</x:v>
      </x:c>
      <x:c r="AJ120" t="n">
        <x:f>--AND(AI120=1,R120=1,S120=1)</x:f>
        <x:v>0</x:v>
      </x:c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43" t="n">
        <x:f>--AND(N121=1,OR(O121="SUPPORTED",O121="HALLUCINATION"))</x:f>
        <x:v>0</x:v>
      </x:c>
      <x:c r="X121" s="43" t="n">
        <x:f>--AND(W121=1,O121="HALLUCINATION")</x:f>
        <x:v>0</x:v>
      </x:c>
      <x:c r="Y121" s="43" t="n">
        <x:f>--AND(Q121=1,O121="HALLUCINATION")</x:f>
        <x:v>0</x:v>
      </x:c>
      <x:c r="Z121" s="43" t="n">
        <x:f>--AND(Y121=1,R121=1,S121=1)</x:f>
        <x:v>0</x:v>
      </x:c>
      <x:c r="AC121" t="str">
        <x:f>IF(OR(AA121="",AB121=""),"",--(AA121&lt;&gt;AB121))</x:f>
      </x:c>
      <x:c r="AE121" t="str">
        <x:f>IF(OR(AA121="",AB121=""),"PENDING_HUMAN",IF(AA121=AB121,AA121,IF(AD121&lt;&gt;"",AD121,"PENDING_HUMAN")))</x:f>
        <x:v>PENDING_HUMAN</x:v>
      </x:c>
      <x:c r="AF121" t="n">
        <x:f>--AND(A121&lt;&gt;"",AA121&lt;&gt;"",AB121&lt;&gt;"",OR(AA121=AB121,AD121&lt;&gt;""),IF(AE121="HALLUCINATION",U121&lt;&gt;"",TRUE))</x:f>
        <x:v>0</x:v>
      </x:c>
      <x:c r="AG121" t="n">
        <x:f>--AND(N121=1,AF121=1,OR(AE121="SUPPORTED",AE121="HALLUCINATION"))</x:f>
        <x:v>0</x:v>
      </x:c>
      <x:c r="AH121" t="n">
        <x:f>--AND(AG121=1,AE121="HALLUCINATION")</x:f>
        <x:v>0</x:v>
      </x:c>
      <x:c r="AI121" t="n">
        <x:f>--AND(Q121=1,AF121=1,AE121="HALLUCINATION")</x:f>
        <x:v>0</x:v>
      </x:c>
      <x:c r="AJ121" t="n">
        <x:f>--AND(AI121=1,R121=1,S121=1)</x:f>
        <x:v>0</x:v>
      </x:c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43" t="n">
        <x:f>--AND(N122=1,OR(O122="SUPPORTED",O122="HALLUCINATION"))</x:f>
        <x:v>0</x:v>
      </x:c>
      <x:c r="X122" s="43" t="n">
        <x:f>--AND(W122=1,O122="HALLUCINATION")</x:f>
        <x:v>0</x:v>
      </x:c>
      <x:c r="Y122" s="43" t="n">
        <x:f>--AND(Q122=1,O122="HALLUCINATION")</x:f>
        <x:v>0</x:v>
      </x:c>
      <x:c r="Z122" s="43" t="n">
        <x:f>--AND(Y122=1,R122=1,S122=1)</x:f>
        <x:v>0</x:v>
      </x:c>
      <x:c r="AC122" t="str">
        <x:f>IF(OR(AA122="",AB122=""),"",--(AA122&lt;&gt;AB122))</x:f>
      </x:c>
      <x:c r="AE122" t="str">
        <x:f>IF(OR(AA122="",AB122=""),"PENDING_HUMAN",IF(AA122=AB122,AA122,IF(AD122&lt;&gt;"",AD122,"PENDING_HUMAN")))</x:f>
        <x:v>PENDING_HUMAN</x:v>
      </x:c>
      <x:c r="AF122" t="n">
        <x:f>--AND(A122&lt;&gt;"",AA122&lt;&gt;"",AB122&lt;&gt;"",OR(AA122=AB122,AD122&lt;&gt;""),IF(AE122="HALLUCINATION",U122&lt;&gt;"",TRUE))</x:f>
        <x:v>0</x:v>
      </x:c>
      <x:c r="AG122" t="n">
        <x:f>--AND(N122=1,AF122=1,OR(AE122="SUPPORTED",AE122="HALLUCINATION"))</x:f>
        <x:v>0</x:v>
      </x:c>
      <x:c r="AH122" t="n">
        <x:f>--AND(AG122=1,AE122="HALLUCINATION")</x:f>
        <x:v>0</x:v>
      </x:c>
      <x:c r="AI122" t="n">
        <x:f>--AND(Q122=1,AF122=1,AE122="HALLUCINATION")</x:f>
        <x:v>0</x:v>
      </x:c>
      <x:c r="AJ122" t="n">
        <x:f>--AND(AI122=1,R122=1,S122=1)</x:f>
        <x:v>0</x:v>
      </x:c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43" t="n">
        <x:f>--AND(N123=1,OR(O123="SUPPORTED",O123="HALLUCINATION"))</x:f>
        <x:v>0</x:v>
      </x:c>
      <x:c r="X123" s="43" t="n">
        <x:f>--AND(W123=1,O123="HALLUCINATION")</x:f>
        <x:v>0</x:v>
      </x:c>
      <x:c r="Y123" s="43" t="n">
        <x:f>--AND(Q123=1,O123="HALLUCINATION")</x:f>
        <x:v>0</x:v>
      </x:c>
      <x:c r="Z123" s="43" t="n">
        <x:f>--AND(Y123=1,R123=1,S123=1)</x:f>
        <x:v>0</x:v>
      </x:c>
      <x:c r="AC123" t="str">
        <x:f>IF(OR(AA123="",AB123=""),"",--(AA123&lt;&gt;AB123))</x:f>
      </x:c>
      <x:c r="AE123" t="str">
        <x:f>IF(OR(AA123="",AB123=""),"PENDING_HUMAN",IF(AA123=AB123,AA123,IF(AD123&lt;&gt;"",AD123,"PENDING_HUMAN")))</x:f>
        <x:v>PENDING_HUMAN</x:v>
      </x:c>
      <x:c r="AF123" t="n">
        <x:f>--AND(A123&lt;&gt;"",AA123&lt;&gt;"",AB123&lt;&gt;"",OR(AA123=AB123,AD123&lt;&gt;""),IF(AE123="HALLUCINATION",U123&lt;&gt;"",TRUE))</x:f>
        <x:v>0</x:v>
      </x:c>
      <x:c r="AG123" t="n">
        <x:f>--AND(N123=1,AF123=1,OR(AE123="SUPPORTED",AE123="HALLUCINATION"))</x:f>
        <x:v>0</x:v>
      </x:c>
      <x:c r="AH123" t="n">
        <x:f>--AND(AG123=1,AE123="HALLUCINATION")</x:f>
        <x:v>0</x:v>
      </x:c>
      <x:c r="AI123" t="n">
        <x:f>--AND(Q123=1,AF123=1,AE123="HALLUCINATION")</x:f>
        <x:v>0</x:v>
      </x:c>
      <x:c r="AJ123" t="n">
        <x:f>--AND(AI123=1,R123=1,S123=1)</x:f>
        <x:v>0</x:v>
      </x:c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43" t="n">
        <x:f>--AND(N124=1,OR(O124="SUPPORTED",O124="HALLUCINATION"))</x:f>
        <x:v>0</x:v>
      </x:c>
      <x:c r="X124" s="43" t="n">
        <x:f>--AND(W124=1,O124="HALLUCINATION")</x:f>
        <x:v>0</x:v>
      </x:c>
      <x:c r="Y124" s="43" t="n">
        <x:f>--AND(Q124=1,O124="HALLUCINATION")</x:f>
        <x:v>0</x:v>
      </x:c>
      <x:c r="Z124" s="43" t="n">
        <x:f>--AND(Y124=1,R124=1,S124=1)</x:f>
        <x:v>0</x:v>
      </x:c>
      <x:c r="AC124" t="str">
        <x:f>IF(OR(AA124="",AB124=""),"",--(AA124&lt;&gt;AB124))</x:f>
      </x:c>
      <x:c r="AE124" t="str">
        <x:f>IF(OR(AA124="",AB124=""),"PENDING_HUMAN",IF(AA124=AB124,AA124,IF(AD124&lt;&gt;"",AD124,"PENDING_HUMAN")))</x:f>
        <x:v>PENDING_HUMAN</x:v>
      </x:c>
      <x:c r="AF124" t="n">
        <x:f>--AND(A124&lt;&gt;"",AA124&lt;&gt;"",AB124&lt;&gt;"",OR(AA124=AB124,AD124&lt;&gt;""),IF(AE124="HALLUCINATION",U124&lt;&gt;"",TRUE))</x:f>
        <x:v>0</x:v>
      </x:c>
      <x:c r="AG124" t="n">
        <x:f>--AND(N124=1,AF124=1,OR(AE124="SUPPORTED",AE124="HALLUCINATION"))</x:f>
        <x:v>0</x:v>
      </x:c>
      <x:c r="AH124" t="n">
        <x:f>--AND(AG124=1,AE124="HALLUCINATION")</x:f>
        <x:v>0</x:v>
      </x:c>
      <x:c r="AI124" t="n">
        <x:f>--AND(Q124=1,AF124=1,AE124="HALLUCINATION")</x:f>
        <x:v>0</x:v>
      </x:c>
      <x:c r="AJ124" t="n">
        <x:f>--AND(AI124=1,R124=1,S124=1)</x:f>
        <x:v>0</x:v>
      </x:c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43" t="n">
        <x:f>--AND(N125=1,OR(O125="SUPPORTED",O125="HALLUCINATION"))</x:f>
        <x:v>0</x:v>
      </x:c>
      <x:c r="X125" s="43" t="n">
        <x:f>--AND(W125=1,O125="HALLUCINATION")</x:f>
        <x:v>0</x:v>
      </x:c>
      <x:c r="Y125" s="43" t="n">
        <x:f>--AND(Q125=1,O125="HALLUCINATION")</x:f>
        <x:v>0</x:v>
      </x:c>
      <x:c r="Z125" s="43" t="n">
        <x:f>--AND(Y125=1,R125=1,S125=1)</x:f>
        <x:v>0</x:v>
      </x:c>
      <x:c r="AC125" t="str">
        <x:f>IF(OR(AA125="",AB125=""),"",--(AA125&lt;&gt;AB125))</x:f>
      </x:c>
      <x:c r="AE125" t="str">
        <x:f>IF(OR(AA125="",AB125=""),"PENDING_HUMAN",IF(AA125=AB125,AA125,IF(AD125&lt;&gt;"",AD125,"PENDING_HUMAN")))</x:f>
        <x:v>PENDING_HUMAN</x:v>
      </x:c>
      <x:c r="AF125" t="n">
        <x:f>--AND(A125&lt;&gt;"",AA125&lt;&gt;"",AB125&lt;&gt;"",OR(AA125=AB125,AD125&lt;&gt;""),IF(AE125="HALLUCINATION",U125&lt;&gt;"",TRUE))</x:f>
        <x:v>0</x:v>
      </x:c>
      <x:c r="AG125" t="n">
        <x:f>--AND(N125=1,AF125=1,OR(AE125="SUPPORTED",AE125="HALLUCINATION"))</x:f>
        <x:v>0</x:v>
      </x:c>
      <x:c r="AH125" t="n">
        <x:f>--AND(AG125=1,AE125="HALLUCINATION")</x:f>
        <x:v>0</x:v>
      </x:c>
      <x:c r="AI125" t="n">
        <x:f>--AND(Q125=1,AF125=1,AE125="HALLUCINATION")</x:f>
        <x:v>0</x:v>
      </x:c>
      <x:c r="AJ125" t="n">
        <x:f>--AND(AI125=1,R125=1,S125=1)</x:f>
        <x:v>0</x:v>
      </x:c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43" t="n">
        <x:f>--AND(N126=1,OR(O126="SUPPORTED",O126="HALLUCINATION"))</x:f>
        <x:v>0</x:v>
      </x:c>
      <x:c r="X126" s="43" t="n">
        <x:f>--AND(W126=1,O126="HALLUCINATION")</x:f>
        <x:v>0</x:v>
      </x:c>
      <x:c r="Y126" s="43" t="n">
        <x:f>--AND(Q126=1,O126="HALLUCINATION")</x:f>
        <x:v>0</x:v>
      </x:c>
      <x:c r="Z126" s="43" t="n">
        <x:f>--AND(Y126=1,R126=1,S126=1)</x:f>
        <x:v>0</x:v>
      </x:c>
      <x:c r="AC126" t="str">
        <x:f>IF(OR(AA126="",AB126=""),"",--(AA126&lt;&gt;AB126))</x:f>
      </x:c>
      <x:c r="AE126" t="str">
        <x:f>IF(OR(AA126="",AB126=""),"PENDING_HUMAN",IF(AA126=AB126,AA126,IF(AD126&lt;&gt;"",AD126,"PENDING_HUMAN")))</x:f>
        <x:v>PENDING_HUMAN</x:v>
      </x:c>
      <x:c r="AF126" t="n">
        <x:f>--AND(A126&lt;&gt;"",AA126&lt;&gt;"",AB126&lt;&gt;"",OR(AA126=AB126,AD126&lt;&gt;""),IF(AE126="HALLUCINATION",U126&lt;&gt;"",TRUE))</x:f>
        <x:v>0</x:v>
      </x:c>
      <x:c r="AG126" t="n">
        <x:f>--AND(N126=1,AF126=1,OR(AE126="SUPPORTED",AE126="HALLUCINATION"))</x:f>
        <x:v>0</x:v>
      </x:c>
      <x:c r="AH126" t="n">
        <x:f>--AND(AG126=1,AE126="HALLUCINATION")</x:f>
        <x:v>0</x:v>
      </x:c>
      <x:c r="AI126" t="n">
        <x:f>--AND(Q126=1,AF126=1,AE126="HALLUCINATION")</x:f>
        <x:v>0</x:v>
      </x:c>
      <x:c r="AJ126" t="n">
        <x:f>--AND(AI126=1,R126=1,S126=1)</x:f>
        <x:v>0</x:v>
      </x:c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43" t="n">
        <x:f>--AND(N127=1,OR(O127="SUPPORTED",O127="HALLUCINATION"))</x:f>
        <x:v>0</x:v>
      </x:c>
      <x:c r="X127" s="43" t="n">
        <x:f>--AND(W127=1,O127="HALLUCINATION")</x:f>
        <x:v>0</x:v>
      </x:c>
      <x:c r="Y127" s="43" t="n">
        <x:f>--AND(Q127=1,O127="HALLUCINATION")</x:f>
        <x:v>0</x:v>
      </x:c>
      <x:c r="Z127" s="43" t="n">
        <x:f>--AND(Y127=1,R127=1,S127=1)</x:f>
        <x:v>0</x:v>
      </x:c>
      <x:c r="AC127" t="str">
        <x:f>IF(OR(AA127="",AB127=""),"",--(AA127&lt;&gt;AB127))</x:f>
      </x:c>
      <x:c r="AE127" t="str">
        <x:f>IF(OR(AA127="",AB127=""),"PENDING_HUMAN",IF(AA127=AB127,AA127,IF(AD127&lt;&gt;"",AD127,"PENDING_HUMAN")))</x:f>
        <x:v>PENDING_HUMAN</x:v>
      </x:c>
      <x:c r="AF127" t="n">
        <x:f>--AND(A127&lt;&gt;"",AA127&lt;&gt;"",AB127&lt;&gt;"",OR(AA127=AB127,AD127&lt;&gt;""),IF(AE127="HALLUCINATION",U127&lt;&gt;"",TRUE))</x:f>
        <x:v>0</x:v>
      </x:c>
      <x:c r="AG127" t="n">
        <x:f>--AND(N127=1,AF127=1,OR(AE127="SUPPORTED",AE127="HALLUCINATION"))</x:f>
        <x:v>0</x:v>
      </x:c>
      <x:c r="AH127" t="n">
        <x:f>--AND(AG127=1,AE127="HALLUCINATION")</x:f>
        <x:v>0</x:v>
      </x:c>
      <x:c r="AI127" t="n">
        <x:f>--AND(Q127=1,AF127=1,AE127="HALLUCINATION")</x:f>
        <x:v>0</x:v>
      </x:c>
      <x:c r="AJ127" t="n">
        <x:f>--AND(AI127=1,R127=1,S127=1)</x:f>
        <x:v>0</x:v>
      </x:c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43" t="n">
        <x:f>--AND(N128=1,OR(O128="SUPPORTED",O128="HALLUCINATION"))</x:f>
        <x:v>0</x:v>
      </x:c>
      <x:c r="X128" s="43" t="n">
        <x:f>--AND(W128=1,O128="HALLUCINATION")</x:f>
        <x:v>0</x:v>
      </x:c>
      <x:c r="Y128" s="43" t="n">
        <x:f>--AND(Q128=1,O128="HALLUCINATION")</x:f>
        <x:v>0</x:v>
      </x:c>
      <x:c r="Z128" s="43" t="n">
        <x:f>--AND(Y128=1,R128=1,S128=1)</x:f>
        <x:v>0</x:v>
      </x:c>
      <x:c r="AC128" t="str">
        <x:f>IF(OR(AA128="",AB128=""),"",--(AA128&lt;&gt;AB128))</x:f>
      </x:c>
      <x:c r="AE128" t="str">
        <x:f>IF(OR(AA128="",AB128=""),"PENDING_HUMAN",IF(AA128=AB128,AA128,IF(AD128&lt;&gt;"",AD128,"PENDING_HUMAN")))</x:f>
        <x:v>PENDING_HUMAN</x:v>
      </x:c>
      <x:c r="AF128" t="n">
        <x:f>--AND(A128&lt;&gt;"",AA128&lt;&gt;"",AB128&lt;&gt;"",OR(AA128=AB128,AD128&lt;&gt;""),IF(AE128="HALLUCINATION",U128&lt;&gt;"",TRUE))</x:f>
        <x:v>0</x:v>
      </x:c>
      <x:c r="AG128" t="n">
        <x:f>--AND(N128=1,AF128=1,OR(AE128="SUPPORTED",AE128="HALLUCINATION"))</x:f>
        <x:v>0</x:v>
      </x:c>
      <x:c r="AH128" t="n">
        <x:f>--AND(AG128=1,AE128="HALLUCINATION")</x:f>
        <x:v>0</x:v>
      </x:c>
      <x:c r="AI128" t="n">
        <x:f>--AND(Q128=1,AF128=1,AE128="HALLUCINATION")</x:f>
        <x:v>0</x:v>
      </x:c>
      <x:c r="AJ128" t="n">
        <x:f>--AND(AI128=1,R128=1,S128=1)</x:f>
        <x:v>0</x:v>
      </x:c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43" t="n">
        <x:f>--AND(N129=1,OR(O129="SUPPORTED",O129="HALLUCINATION"))</x:f>
        <x:v>0</x:v>
      </x:c>
      <x:c r="X129" s="43" t="n">
        <x:f>--AND(W129=1,O129="HALLUCINATION")</x:f>
        <x:v>0</x:v>
      </x:c>
      <x:c r="Y129" s="43" t="n">
        <x:f>--AND(Q129=1,O129="HALLUCINATION")</x:f>
        <x:v>0</x:v>
      </x:c>
      <x:c r="Z129" s="43" t="n">
        <x:f>--AND(Y129=1,R129=1,S129=1)</x:f>
        <x:v>0</x:v>
      </x:c>
      <x:c r="AC129" t="str">
        <x:f>IF(OR(AA129="",AB129=""),"",--(AA129&lt;&gt;AB129))</x:f>
      </x:c>
      <x:c r="AE129" t="str">
        <x:f>IF(OR(AA129="",AB129=""),"PENDING_HUMAN",IF(AA129=AB129,AA129,IF(AD129&lt;&gt;"",AD129,"PENDING_HUMAN")))</x:f>
        <x:v>PENDING_HUMAN</x:v>
      </x:c>
      <x:c r="AF129" t="n">
        <x:f>--AND(A129&lt;&gt;"",AA129&lt;&gt;"",AB129&lt;&gt;"",OR(AA129=AB129,AD129&lt;&gt;""),IF(AE129="HALLUCINATION",U129&lt;&gt;"",TRUE))</x:f>
        <x:v>0</x:v>
      </x:c>
      <x:c r="AG129" t="n">
        <x:f>--AND(N129=1,AF129=1,OR(AE129="SUPPORTED",AE129="HALLUCINATION"))</x:f>
        <x:v>0</x:v>
      </x:c>
      <x:c r="AH129" t="n">
        <x:f>--AND(AG129=1,AE129="HALLUCINATION")</x:f>
        <x:v>0</x:v>
      </x:c>
      <x:c r="AI129" t="n">
        <x:f>--AND(Q129=1,AF129=1,AE129="HALLUCINATION")</x:f>
        <x:v>0</x:v>
      </x:c>
      <x:c r="AJ129" t="n">
        <x:f>--AND(AI129=1,R129=1,S129=1)</x:f>
        <x:v>0</x:v>
      </x:c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43" t="n">
        <x:f>--AND(N130=1,OR(O130="SUPPORTED",O130="HALLUCINATION"))</x:f>
        <x:v>0</x:v>
      </x:c>
      <x:c r="X130" s="43" t="n">
        <x:f>--AND(W130=1,O130="HALLUCINATION")</x:f>
        <x:v>0</x:v>
      </x:c>
      <x:c r="Y130" s="43" t="n">
        <x:f>--AND(Q130=1,O130="HALLUCINATION")</x:f>
        <x:v>0</x:v>
      </x:c>
      <x:c r="Z130" s="43" t="n">
        <x:f>--AND(Y130=1,R130=1,S130=1)</x:f>
        <x:v>0</x:v>
      </x:c>
      <x:c r="AC130" t="str">
        <x:f>IF(OR(AA130="",AB130=""),"",--(AA130&lt;&gt;AB130))</x:f>
      </x:c>
      <x:c r="AE130" t="str">
        <x:f>IF(OR(AA130="",AB130=""),"PENDING_HUMAN",IF(AA130=AB130,AA130,IF(AD130&lt;&gt;"",AD130,"PENDING_HUMAN")))</x:f>
        <x:v>PENDING_HUMAN</x:v>
      </x:c>
      <x:c r="AF130" t="n">
        <x:f>--AND(A130&lt;&gt;"",AA130&lt;&gt;"",AB130&lt;&gt;"",OR(AA130=AB130,AD130&lt;&gt;""),IF(AE130="HALLUCINATION",U130&lt;&gt;"",TRUE))</x:f>
        <x:v>0</x:v>
      </x:c>
      <x:c r="AG130" t="n">
        <x:f>--AND(N130=1,AF130=1,OR(AE130="SUPPORTED",AE130="HALLUCINATION"))</x:f>
        <x:v>0</x:v>
      </x:c>
      <x:c r="AH130" t="n">
        <x:f>--AND(AG130=1,AE130="HALLUCINATION")</x:f>
        <x:v>0</x:v>
      </x:c>
      <x:c r="AI130" t="n">
        <x:f>--AND(Q130=1,AF130=1,AE130="HALLUCINATION")</x:f>
        <x:v>0</x:v>
      </x:c>
      <x:c r="AJ130" t="n">
        <x:f>--AND(AI130=1,R130=1,S130=1)</x:f>
        <x:v>0</x:v>
      </x:c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43" t="n">
        <x:f>--AND(N131=1,OR(O131="SUPPORTED",O131="HALLUCINATION"))</x:f>
        <x:v>0</x:v>
      </x:c>
      <x:c r="X131" s="43" t="n">
        <x:f>--AND(W131=1,O131="HALLUCINATION")</x:f>
        <x:v>0</x:v>
      </x:c>
      <x:c r="Y131" s="43" t="n">
        <x:f>--AND(Q131=1,O131="HALLUCINATION")</x:f>
        <x:v>0</x:v>
      </x:c>
      <x:c r="Z131" s="43" t="n">
        <x:f>--AND(Y131=1,R131=1,S131=1)</x:f>
        <x:v>0</x:v>
      </x:c>
      <x:c r="AC131" t="str">
        <x:f>IF(OR(AA131="",AB131=""),"",--(AA131&lt;&gt;AB131))</x:f>
      </x:c>
      <x:c r="AE131" t="str">
        <x:f>IF(OR(AA131="",AB131=""),"PENDING_HUMAN",IF(AA131=AB131,AA131,IF(AD131&lt;&gt;"",AD131,"PENDING_HUMAN")))</x:f>
        <x:v>PENDING_HUMAN</x:v>
      </x:c>
      <x:c r="AF131" t="n">
        <x:f>--AND(A131&lt;&gt;"",AA131&lt;&gt;"",AB131&lt;&gt;"",OR(AA131=AB131,AD131&lt;&gt;""),IF(AE131="HALLUCINATION",U131&lt;&gt;"",TRUE))</x:f>
        <x:v>0</x:v>
      </x:c>
      <x:c r="AG131" t="n">
        <x:f>--AND(N131=1,AF131=1,OR(AE131="SUPPORTED",AE131="HALLUCINATION"))</x:f>
        <x:v>0</x:v>
      </x:c>
      <x:c r="AH131" t="n">
        <x:f>--AND(AG131=1,AE131="HALLUCINATION")</x:f>
        <x:v>0</x:v>
      </x:c>
      <x:c r="AI131" t="n">
        <x:f>--AND(Q131=1,AF131=1,AE131="HALLUCINATION")</x:f>
        <x:v>0</x:v>
      </x:c>
      <x:c r="AJ131" t="n">
        <x:f>--AND(AI131=1,R131=1,S131=1)</x:f>
        <x:v>0</x:v>
      </x:c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43" t="n">
        <x:f>--AND(N132=1,OR(O132="SUPPORTED",O132="HALLUCINATION"))</x:f>
        <x:v>0</x:v>
      </x:c>
      <x:c r="X132" s="43" t="n">
        <x:f>--AND(W132=1,O132="HALLUCINATION")</x:f>
        <x:v>0</x:v>
      </x:c>
      <x:c r="Y132" s="43" t="n">
        <x:f>--AND(Q132=1,O132="HALLUCINATION")</x:f>
        <x:v>0</x:v>
      </x:c>
      <x:c r="Z132" s="43" t="n">
        <x:f>--AND(Y132=1,R132=1,S132=1)</x:f>
        <x:v>0</x:v>
      </x:c>
      <x:c r="AC132" t="str">
        <x:f>IF(OR(AA132="",AB132=""),"",--(AA132&lt;&gt;AB132))</x:f>
      </x:c>
      <x:c r="AE132" t="str">
        <x:f>IF(OR(AA132="",AB132=""),"PENDING_HUMAN",IF(AA132=AB132,AA132,IF(AD132&lt;&gt;"",AD132,"PENDING_HUMAN")))</x:f>
        <x:v>PENDING_HUMAN</x:v>
      </x:c>
      <x:c r="AF132" t="n">
        <x:f>--AND(A132&lt;&gt;"",AA132&lt;&gt;"",AB132&lt;&gt;"",OR(AA132=AB132,AD132&lt;&gt;""),IF(AE132="HALLUCINATION",U132&lt;&gt;"",TRUE))</x:f>
        <x:v>0</x:v>
      </x:c>
      <x:c r="AG132" t="n">
        <x:f>--AND(N132=1,AF132=1,OR(AE132="SUPPORTED",AE132="HALLUCINATION"))</x:f>
        <x:v>0</x:v>
      </x:c>
      <x:c r="AH132" t="n">
        <x:f>--AND(AG132=1,AE132="HALLUCINATION")</x:f>
        <x:v>0</x:v>
      </x:c>
      <x:c r="AI132" t="n">
        <x:f>--AND(Q132=1,AF132=1,AE132="HALLUCINATION")</x:f>
        <x:v>0</x:v>
      </x:c>
      <x:c r="AJ132" t="n">
        <x:f>--AND(AI132=1,R132=1,S132=1)</x:f>
        <x:v>0</x:v>
      </x:c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43" t="n">
        <x:f>--AND(N133=1,OR(O133="SUPPORTED",O133="HALLUCINATION"))</x:f>
        <x:v>0</x:v>
      </x:c>
      <x:c r="X133" s="43" t="n">
        <x:f>--AND(W133=1,O133="HALLUCINATION")</x:f>
        <x:v>0</x:v>
      </x:c>
      <x:c r="Y133" s="43" t="n">
        <x:f>--AND(Q133=1,O133="HALLUCINATION")</x:f>
        <x:v>0</x:v>
      </x:c>
      <x:c r="Z133" s="43" t="n">
        <x:f>--AND(Y133=1,R133=1,S133=1)</x:f>
        <x:v>0</x:v>
      </x:c>
      <x:c r="AC133" t="str">
        <x:f>IF(OR(AA133="",AB133=""),"",--(AA133&lt;&gt;AB133))</x:f>
      </x:c>
      <x:c r="AE133" t="str">
        <x:f>IF(OR(AA133="",AB133=""),"PENDING_HUMAN",IF(AA133=AB133,AA133,IF(AD133&lt;&gt;"",AD133,"PENDING_HUMAN")))</x:f>
        <x:v>PENDING_HUMAN</x:v>
      </x:c>
      <x:c r="AF133" t="n">
        <x:f>--AND(A133&lt;&gt;"",AA133&lt;&gt;"",AB133&lt;&gt;"",OR(AA133=AB133,AD133&lt;&gt;""),IF(AE133="HALLUCINATION",U133&lt;&gt;"",TRUE))</x:f>
        <x:v>0</x:v>
      </x:c>
      <x:c r="AG133" t="n">
        <x:f>--AND(N133=1,AF133=1,OR(AE133="SUPPORTED",AE133="HALLUCINATION"))</x:f>
        <x:v>0</x:v>
      </x:c>
      <x:c r="AH133" t="n">
        <x:f>--AND(AG133=1,AE133="HALLUCINATION")</x:f>
        <x:v>0</x:v>
      </x:c>
      <x:c r="AI133" t="n">
        <x:f>--AND(Q133=1,AF133=1,AE133="HALLUCINATION")</x:f>
        <x:v>0</x:v>
      </x:c>
      <x:c r="AJ133" t="n">
        <x:f>--AND(AI133=1,R133=1,S133=1)</x:f>
        <x:v>0</x:v>
      </x:c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43" t="n">
        <x:f>--AND(N134=1,OR(O134="SUPPORTED",O134="HALLUCINATION"))</x:f>
        <x:v>0</x:v>
      </x:c>
      <x:c r="X134" s="43" t="n">
        <x:f>--AND(W134=1,O134="HALLUCINATION")</x:f>
        <x:v>0</x:v>
      </x:c>
      <x:c r="Y134" s="43" t="n">
        <x:f>--AND(Q134=1,O134="HALLUCINATION")</x:f>
        <x:v>0</x:v>
      </x:c>
      <x:c r="Z134" s="43" t="n">
        <x:f>--AND(Y134=1,R134=1,S134=1)</x:f>
        <x:v>0</x:v>
      </x:c>
      <x:c r="AC134" t="str">
        <x:f>IF(OR(AA134="",AB134=""),"",--(AA134&lt;&gt;AB134))</x:f>
      </x:c>
      <x:c r="AE134" t="str">
        <x:f>IF(OR(AA134="",AB134=""),"PENDING_HUMAN",IF(AA134=AB134,AA134,IF(AD134&lt;&gt;"",AD134,"PENDING_HUMAN")))</x:f>
        <x:v>PENDING_HUMAN</x:v>
      </x:c>
      <x:c r="AF134" t="n">
        <x:f>--AND(A134&lt;&gt;"",AA134&lt;&gt;"",AB134&lt;&gt;"",OR(AA134=AB134,AD134&lt;&gt;""),IF(AE134="HALLUCINATION",U134&lt;&gt;"",TRUE))</x:f>
        <x:v>0</x:v>
      </x:c>
      <x:c r="AG134" t="n">
        <x:f>--AND(N134=1,AF134=1,OR(AE134="SUPPORTED",AE134="HALLUCINATION"))</x:f>
        <x:v>0</x:v>
      </x:c>
      <x:c r="AH134" t="n">
        <x:f>--AND(AG134=1,AE134="HALLUCINATION")</x:f>
        <x:v>0</x:v>
      </x:c>
      <x:c r="AI134" t="n">
        <x:f>--AND(Q134=1,AF134=1,AE134="HALLUCINATION")</x:f>
        <x:v>0</x:v>
      </x:c>
      <x:c r="AJ134" t="n">
        <x:f>--AND(AI134=1,R134=1,S134=1)</x:f>
        <x:v>0</x:v>
      </x:c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43" t="n">
        <x:f>--AND(N135=1,OR(O135="SUPPORTED",O135="HALLUCINATION"))</x:f>
        <x:v>0</x:v>
      </x:c>
      <x:c r="X135" s="43" t="n">
        <x:f>--AND(W135=1,O135="HALLUCINATION")</x:f>
        <x:v>0</x:v>
      </x:c>
      <x:c r="Y135" s="43" t="n">
        <x:f>--AND(Q135=1,O135="HALLUCINATION")</x:f>
        <x:v>0</x:v>
      </x:c>
      <x:c r="Z135" s="43" t="n">
        <x:f>--AND(Y135=1,R135=1,S135=1)</x:f>
        <x:v>0</x:v>
      </x:c>
      <x:c r="AC135" t="str">
        <x:f>IF(OR(AA135="",AB135=""),"",--(AA135&lt;&gt;AB135))</x:f>
      </x:c>
      <x:c r="AE135" t="str">
        <x:f>IF(OR(AA135="",AB135=""),"PENDING_HUMAN",IF(AA135=AB135,AA135,IF(AD135&lt;&gt;"",AD135,"PENDING_HUMAN")))</x:f>
        <x:v>PENDING_HUMAN</x:v>
      </x:c>
      <x:c r="AF135" t="n">
        <x:f>--AND(A135&lt;&gt;"",AA135&lt;&gt;"",AB135&lt;&gt;"",OR(AA135=AB135,AD135&lt;&gt;""),IF(AE135="HALLUCINATION",U135&lt;&gt;"",TRUE))</x:f>
        <x:v>0</x:v>
      </x:c>
      <x:c r="AG135" t="n">
        <x:f>--AND(N135=1,AF135=1,OR(AE135="SUPPORTED",AE135="HALLUCINATION"))</x:f>
        <x:v>0</x:v>
      </x:c>
      <x:c r="AH135" t="n">
        <x:f>--AND(AG135=1,AE135="HALLUCINATION")</x:f>
        <x:v>0</x:v>
      </x:c>
      <x:c r="AI135" t="n">
        <x:f>--AND(Q135=1,AF135=1,AE135="HALLUCINATION")</x:f>
        <x:v>0</x:v>
      </x:c>
      <x:c r="AJ135" t="n">
        <x:f>--AND(AI135=1,R135=1,S135=1)</x:f>
        <x:v>0</x:v>
      </x:c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43" t="n">
        <x:f>--AND(N136=1,OR(O136="SUPPORTED",O136="HALLUCINATION"))</x:f>
        <x:v>0</x:v>
      </x:c>
      <x:c r="X136" s="43" t="n">
        <x:f>--AND(W136=1,O136="HALLUCINATION")</x:f>
        <x:v>0</x:v>
      </x:c>
      <x:c r="Y136" s="43" t="n">
        <x:f>--AND(Q136=1,O136="HALLUCINATION")</x:f>
        <x:v>0</x:v>
      </x:c>
      <x:c r="Z136" s="43" t="n">
        <x:f>--AND(Y136=1,R136=1,S136=1)</x:f>
        <x:v>0</x:v>
      </x:c>
      <x:c r="AC136" t="str">
        <x:f>IF(OR(AA136="",AB136=""),"",--(AA136&lt;&gt;AB136))</x:f>
      </x:c>
      <x:c r="AE136" t="str">
        <x:f>IF(OR(AA136="",AB136=""),"PENDING_HUMAN",IF(AA136=AB136,AA136,IF(AD136&lt;&gt;"",AD136,"PENDING_HUMAN")))</x:f>
        <x:v>PENDING_HUMAN</x:v>
      </x:c>
      <x:c r="AF136" t="n">
        <x:f>--AND(A136&lt;&gt;"",AA136&lt;&gt;"",AB136&lt;&gt;"",OR(AA136=AB136,AD136&lt;&gt;""),IF(AE136="HALLUCINATION",U136&lt;&gt;"",TRUE))</x:f>
        <x:v>0</x:v>
      </x:c>
      <x:c r="AG136" t="n">
        <x:f>--AND(N136=1,AF136=1,OR(AE136="SUPPORTED",AE136="HALLUCINATION"))</x:f>
        <x:v>0</x:v>
      </x:c>
      <x:c r="AH136" t="n">
        <x:f>--AND(AG136=1,AE136="HALLUCINATION")</x:f>
        <x:v>0</x:v>
      </x:c>
      <x:c r="AI136" t="n">
        <x:f>--AND(Q136=1,AF136=1,AE136="HALLUCINATION")</x:f>
        <x:v>0</x:v>
      </x:c>
      <x:c r="AJ136" t="n">
        <x:f>--AND(AI136=1,R136=1,S136=1)</x:f>
        <x:v>0</x:v>
      </x:c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43" t="n">
        <x:f>--AND(N137=1,OR(O137="SUPPORTED",O137="HALLUCINATION"))</x:f>
        <x:v>0</x:v>
      </x:c>
      <x:c r="X137" s="43" t="n">
        <x:f>--AND(W137=1,O137="HALLUCINATION")</x:f>
        <x:v>0</x:v>
      </x:c>
      <x:c r="Y137" s="43" t="n">
        <x:f>--AND(Q137=1,O137="HALLUCINATION")</x:f>
        <x:v>0</x:v>
      </x:c>
      <x:c r="Z137" s="43" t="n">
        <x:f>--AND(Y137=1,R137=1,S137=1)</x:f>
        <x:v>0</x:v>
      </x:c>
      <x:c r="AC137" t="str">
        <x:f>IF(OR(AA137="",AB137=""),"",--(AA137&lt;&gt;AB137))</x:f>
      </x:c>
      <x:c r="AE137" t="str">
        <x:f>IF(OR(AA137="",AB137=""),"PENDING_HUMAN",IF(AA137=AB137,AA137,IF(AD137&lt;&gt;"",AD137,"PENDING_HUMAN")))</x:f>
        <x:v>PENDING_HUMAN</x:v>
      </x:c>
      <x:c r="AF137" t="n">
        <x:f>--AND(A137&lt;&gt;"",AA137&lt;&gt;"",AB137&lt;&gt;"",OR(AA137=AB137,AD137&lt;&gt;""),IF(AE137="HALLUCINATION",U137&lt;&gt;"",TRUE))</x:f>
        <x:v>0</x:v>
      </x:c>
      <x:c r="AG137" t="n">
        <x:f>--AND(N137=1,AF137=1,OR(AE137="SUPPORTED",AE137="HALLUCINATION"))</x:f>
        <x:v>0</x:v>
      </x:c>
      <x:c r="AH137" t="n">
        <x:f>--AND(AG137=1,AE137="HALLUCINATION")</x:f>
        <x:v>0</x:v>
      </x:c>
      <x:c r="AI137" t="n">
        <x:f>--AND(Q137=1,AF137=1,AE137="HALLUCINATION")</x:f>
        <x:v>0</x:v>
      </x:c>
      <x:c r="AJ137" t="n">
        <x:f>--AND(AI137=1,R137=1,S137=1)</x:f>
        <x:v>0</x:v>
      </x:c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43" t="n">
        <x:f>--AND(N138=1,OR(O138="SUPPORTED",O138="HALLUCINATION"))</x:f>
        <x:v>0</x:v>
      </x:c>
      <x:c r="X138" s="43" t="n">
        <x:f>--AND(W138=1,O138="HALLUCINATION")</x:f>
        <x:v>0</x:v>
      </x:c>
      <x:c r="Y138" s="43" t="n">
        <x:f>--AND(Q138=1,O138="HALLUCINATION")</x:f>
        <x:v>0</x:v>
      </x:c>
      <x:c r="Z138" s="43" t="n">
        <x:f>--AND(Y138=1,R138=1,S138=1)</x:f>
        <x:v>0</x:v>
      </x:c>
      <x:c r="AC138" t="str">
        <x:f>IF(OR(AA138="",AB138=""),"",--(AA138&lt;&gt;AB138))</x:f>
      </x:c>
      <x:c r="AE138" t="str">
        <x:f>IF(OR(AA138="",AB138=""),"PENDING_HUMAN",IF(AA138=AB138,AA138,IF(AD138&lt;&gt;"",AD138,"PENDING_HUMAN")))</x:f>
        <x:v>PENDING_HUMAN</x:v>
      </x:c>
      <x:c r="AF138" t="n">
        <x:f>--AND(A138&lt;&gt;"",AA138&lt;&gt;"",AB138&lt;&gt;"",OR(AA138=AB138,AD138&lt;&gt;""),IF(AE138="HALLUCINATION",U138&lt;&gt;"",TRUE))</x:f>
        <x:v>0</x:v>
      </x:c>
      <x:c r="AG138" t="n">
        <x:f>--AND(N138=1,AF138=1,OR(AE138="SUPPORTED",AE138="HALLUCINATION"))</x:f>
        <x:v>0</x:v>
      </x:c>
      <x:c r="AH138" t="n">
        <x:f>--AND(AG138=1,AE138="HALLUCINATION")</x:f>
        <x:v>0</x:v>
      </x:c>
      <x:c r="AI138" t="n">
        <x:f>--AND(Q138=1,AF138=1,AE138="HALLUCINATION")</x:f>
        <x:v>0</x:v>
      </x:c>
      <x:c r="AJ138" t="n">
        <x:f>--AND(AI138=1,R138=1,S138=1)</x:f>
        <x:v>0</x:v>
      </x:c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43" t="n">
        <x:f>--AND(N139=1,OR(O139="SUPPORTED",O139="HALLUCINATION"))</x:f>
        <x:v>0</x:v>
      </x:c>
      <x:c r="X139" s="43" t="n">
        <x:f>--AND(W139=1,O139="HALLUCINATION")</x:f>
        <x:v>0</x:v>
      </x:c>
      <x:c r="Y139" s="43" t="n">
        <x:f>--AND(Q139=1,O139="HALLUCINATION")</x:f>
        <x:v>0</x:v>
      </x:c>
      <x:c r="Z139" s="43" t="n">
        <x:f>--AND(Y139=1,R139=1,S139=1)</x:f>
        <x:v>0</x:v>
      </x:c>
      <x:c r="AC139" t="str">
        <x:f>IF(OR(AA139="",AB139=""),"",--(AA139&lt;&gt;AB139))</x:f>
      </x:c>
      <x:c r="AE139" t="str">
        <x:f>IF(OR(AA139="",AB139=""),"PENDING_HUMAN",IF(AA139=AB139,AA139,IF(AD139&lt;&gt;"",AD139,"PENDING_HUMAN")))</x:f>
        <x:v>PENDING_HUMAN</x:v>
      </x:c>
      <x:c r="AF139" t="n">
        <x:f>--AND(A139&lt;&gt;"",AA139&lt;&gt;"",AB139&lt;&gt;"",OR(AA139=AB139,AD139&lt;&gt;""),IF(AE139="HALLUCINATION",U139&lt;&gt;"",TRUE))</x:f>
        <x:v>0</x:v>
      </x:c>
      <x:c r="AG139" t="n">
        <x:f>--AND(N139=1,AF139=1,OR(AE139="SUPPORTED",AE139="HALLUCINATION"))</x:f>
        <x:v>0</x:v>
      </x:c>
      <x:c r="AH139" t="n">
        <x:f>--AND(AG139=1,AE139="HALLUCINATION")</x:f>
        <x:v>0</x:v>
      </x:c>
      <x:c r="AI139" t="n">
        <x:f>--AND(Q139=1,AF139=1,AE139="HALLUCINATION")</x:f>
        <x:v>0</x:v>
      </x:c>
      <x:c r="AJ139" t="n">
        <x:f>--AND(AI139=1,R139=1,S139=1)</x:f>
        <x:v>0</x:v>
      </x:c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43" t="n">
        <x:f>--AND(N140=1,OR(O140="SUPPORTED",O140="HALLUCINATION"))</x:f>
        <x:v>0</x:v>
      </x:c>
      <x:c r="X140" s="43" t="n">
        <x:f>--AND(W140=1,O140="HALLUCINATION")</x:f>
        <x:v>0</x:v>
      </x:c>
      <x:c r="Y140" s="43" t="n">
        <x:f>--AND(Q140=1,O140="HALLUCINATION")</x:f>
        <x:v>0</x:v>
      </x:c>
      <x:c r="Z140" s="43" t="n">
        <x:f>--AND(Y140=1,R140=1,S140=1)</x:f>
        <x:v>0</x:v>
      </x:c>
      <x:c r="AC140" t="str">
        <x:f>IF(OR(AA140="",AB140=""),"",--(AA140&lt;&gt;AB140))</x:f>
      </x:c>
      <x:c r="AE140" t="str">
        <x:f>IF(OR(AA140="",AB140=""),"PENDING_HUMAN",IF(AA140=AB140,AA140,IF(AD140&lt;&gt;"",AD140,"PENDING_HUMAN")))</x:f>
        <x:v>PENDING_HUMAN</x:v>
      </x:c>
      <x:c r="AF140" t="n">
        <x:f>--AND(A140&lt;&gt;"",AA140&lt;&gt;"",AB140&lt;&gt;"",OR(AA140=AB140,AD140&lt;&gt;""),IF(AE140="HALLUCINATION",U140&lt;&gt;"",TRUE))</x:f>
        <x:v>0</x:v>
      </x:c>
      <x:c r="AG140" t="n">
        <x:f>--AND(N140=1,AF140=1,OR(AE140="SUPPORTED",AE140="HALLUCINATION"))</x:f>
        <x:v>0</x:v>
      </x:c>
      <x:c r="AH140" t="n">
        <x:f>--AND(AG140=1,AE140="HALLUCINATION")</x:f>
        <x:v>0</x:v>
      </x:c>
      <x:c r="AI140" t="n">
        <x:f>--AND(Q140=1,AF140=1,AE140="HALLUCINATION")</x:f>
        <x:v>0</x:v>
      </x:c>
      <x:c r="AJ140" t="n">
        <x:f>--AND(AI140=1,R140=1,S140=1)</x:f>
        <x:v>0</x:v>
      </x:c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43" t="n">
        <x:f>--AND(N141=1,OR(O141="SUPPORTED",O141="HALLUCINATION"))</x:f>
        <x:v>0</x:v>
      </x:c>
      <x:c r="X141" s="43" t="n">
        <x:f>--AND(W141=1,O141="HALLUCINATION")</x:f>
        <x:v>0</x:v>
      </x:c>
      <x:c r="Y141" s="43" t="n">
        <x:f>--AND(Q141=1,O141="HALLUCINATION")</x:f>
        <x:v>0</x:v>
      </x:c>
      <x:c r="Z141" s="43" t="n">
        <x:f>--AND(Y141=1,R141=1,S141=1)</x:f>
        <x:v>0</x:v>
      </x:c>
      <x:c r="AC141" t="str">
        <x:f>IF(OR(AA141="",AB141=""),"",--(AA141&lt;&gt;AB141))</x:f>
      </x:c>
      <x:c r="AE141" t="str">
        <x:f>IF(OR(AA141="",AB141=""),"PENDING_HUMAN",IF(AA141=AB141,AA141,IF(AD141&lt;&gt;"",AD141,"PENDING_HUMAN")))</x:f>
        <x:v>PENDING_HUMAN</x:v>
      </x:c>
      <x:c r="AF141" t="n">
        <x:f>--AND(A141&lt;&gt;"",AA141&lt;&gt;"",AB141&lt;&gt;"",OR(AA141=AB141,AD141&lt;&gt;""),IF(AE141="HALLUCINATION",U141&lt;&gt;"",TRUE))</x:f>
        <x:v>0</x:v>
      </x:c>
      <x:c r="AG141" t="n">
        <x:f>--AND(N141=1,AF141=1,OR(AE141="SUPPORTED",AE141="HALLUCINATION"))</x:f>
        <x:v>0</x:v>
      </x:c>
      <x:c r="AH141" t="n">
        <x:f>--AND(AG141=1,AE141="HALLUCINATION")</x:f>
        <x:v>0</x:v>
      </x:c>
      <x:c r="AI141" t="n">
        <x:f>--AND(Q141=1,AF141=1,AE141="HALLUCINATION")</x:f>
        <x:v>0</x:v>
      </x:c>
      <x:c r="AJ141" t="n">
        <x:f>--AND(AI141=1,R141=1,S141=1)</x:f>
        <x:v>0</x:v>
      </x:c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43" t="n">
        <x:f>--AND(N142=1,OR(O142="SUPPORTED",O142="HALLUCINATION"))</x:f>
        <x:v>0</x:v>
      </x:c>
      <x:c r="X142" s="43" t="n">
        <x:f>--AND(W142=1,O142="HALLUCINATION")</x:f>
        <x:v>0</x:v>
      </x:c>
      <x:c r="Y142" s="43" t="n">
        <x:f>--AND(Q142=1,O142="HALLUCINATION")</x:f>
        <x:v>0</x:v>
      </x:c>
      <x:c r="Z142" s="43" t="n">
        <x:f>--AND(Y142=1,R142=1,S142=1)</x:f>
        <x:v>0</x:v>
      </x:c>
      <x:c r="AC142" t="str">
        <x:f>IF(OR(AA142="",AB142=""),"",--(AA142&lt;&gt;AB142))</x:f>
      </x:c>
      <x:c r="AE142" t="str">
        <x:f>IF(OR(AA142="",AB142=""),"PENDING_HUMAN",IF(AA142=AB142,AA142,IF(AD142&lt;&gt;"",AD142,"PENDING_HUMAN")))</x:f>
        <x:v>PENDING_HUMAN</x:v>
      </x:c>
      <x:c r="AF142" t="n">
        <x:f>--AND(A142&lt;&gt;"",AA142&lt;&gt;"",AB142&lt;&gt;"",OR(AA142=AB142,AD142&lt;&gt;""),IF(AE142="HALLUCINATION",U142&lt;&gt;"",TRUE))</x:f>
        <x:v>0</x:v>
      </x:c>
      <x:c r="AG142" t="n">
        <x:f>--AND(N142=1,AF142=1,OR(AE142="SUPPORTED",AE142="HALLUCINATION"))</x:f>
        <x:v>0</x:v>
      </x:c>
      <x:c r="AH142" t="n">
        <x:f>--AND(AG142=1,AE142="HALLUCINATION")</x:f>
        <x:v>0</x:v>
      </x:c>
      <x:c r="AI142" t="n">
        <x:f>--AND(Q142=1,AF142=1,AE142="HALLUCINATION")</x:f>
        <x:v>0</x:v>
      </x:c>
      <x:c r="AJ142" t="n">
        <x:f>--AND(AI142=1,R142=1,S142=1)</x:f>
        <x:v>0</x:v>
      </x:c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43" t="n">
        <x:f>--AND(N143=1,OR(O143="SUPPORTED",O143="HALLUCINATION"))</x:f>
        <x:v>0</x:v>
      </x:c>
      <x:c r="X143" s="43" t="n">
        <x:f>--AND(W143=1,O143="HALLUCINATION")</x:f>
        <x:v>0</x:v>
      </x:c>
      <x:c r="Y143" s="43" t="n">
        <x:f>--AND(Q143=1,O143="HALLUCINATION")</x:f>
        <x:v>0</x:v>
      </x:c>
      <x:c r="Z143" s="43" t="n">
        <x:f>--AND(Y143=1,R143=1,S143=1)</x:f>
        <x:v>0</x:v>
      </x:c>
      <x:c r="AC143" t="str">
        <x:f>IF(OR(AA143="",AB143=""),"",--(AA143&lt;&gt;AB143))</x:f>
      </x:c>
      <x:c r="AE143" t="str">
        <x:f>IF(OR(AA143="",AB143=""),"PENDING_HUMAN",IF(AA143=AB143,AA143,IF(AD143&lt;&gt;"",AD143,"PENDING_HUMAN")))</x:f>
        <x:v>PENDING_HUMAN</x:v>
      </x:c>
      <x:c r="AF143" t="n">
        <x:f>--AND(A143&lt;&gt;"",AA143&lt;&gt;"",AB143&lt;&gt;"",OR(AA143=AB143,AD143&lt;&gt;""),IF(AE143="HALLUCINATION",U143&lt;&gt;"",TRUE))</x:f>
        <x:v>0</x:v>
      </x:c>
      <x:c r="AG143" t="n">
        <x:f>--AND(N143=1,AF143=1,OR(AE143="SUPPORTED",AE143="HALLUCINATION"))</x:f>
        <x:v>0</x:v>
      </x:c>
      <x:c r="AH143" t="n">
        <x:f>--AND(AG143=1,AE143="HALLUCINATION")</x:f>
        <x:v>0</x:v>
      </x:c>
      <x:c r="AI143" t="n">
        <x:f>--AND(Q143=1,AF143=1,AE143="HALLUCINATION")</x:f>
        <x:v>0</x:v>
      </x:c>
      <x:c r="AJ143" t="n">
        <x:f>--AND(AI143=1,R143=1,S143=1)</x:f>
        <x:v>0</x:v>
      </x:c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43" t="n">
        <x:f>--AND(N144=1,OR(O144="SUPPORTED",O144="HALLUCINATION"))</x:f>
        <x:v>0</x:v>
      </x:c>
      <x:c r="X144" s="43" t="n">
        <x:f>--AND(W144=1,O144="HALLUCINATION")</x:f>
        <x:v>0</x:v>
      </x:c>
      <x:c r="Y144" s="43" t="n">
        <x:f>--AND(Q144=1,O144="HALLUCINATION")</x:f>
        <x:v>0</x:v>
      </x:c>
      <x:c r="Z144" s="43" t="n">
        <x:f>--AND(Y144=1,R144=1,S144=1)</x:f>
        <x:v>0</x:v>
      </x:c>
      <x:c r="AC144" t="str">
        <x:f>IF(OR(AA144="",AB144=""),"",--(AA144&lt;&gt;AB144))</x:f>
      </x:c>
      <x:c r="AE144" t="str">
        <x:f>IF(OR(AA144="",AB144=""),"PENDING_HUMAN",IF(AA144=AB144,AA144,IF(AD144&lt;&gt;"",AD144,"PENDING_HUMAN")))</x:f>
        <x:v>PENDING_HUMAN</x:v>
      </x:c>
      <x:c r="AF144" t="n">
        <x:f>--AND(A144&lt;&gt;"",AA144&lt;&gt;"",AB144&lt;&gt;"",OR(AA144=AB144,AD144&lt;&gt;""),IF(AE144="HALLUCINATION",U144&lt;&gt;"",TRUE))</x:f>
        <x:v>0</x:v>
      </x:c>
      <x:c r="AG144" t="n">
        <x:f>--AND(N144=1,AF144=1,OR(AE144="SUPPORTED",AE144="HALLUCINATION"))</x:f>
        <x:v>0</x:v>
      </x:c>
      <x:c r="AH144" t="n">
        <x:f>--AND(AG144=1,AE144="HALLUCINATION")</x:f>
        <x:v>0</x:v>
      </x:c>
      <x:c r="AI144" t="n">
        <x:f>--AND(Q144=1,AF144=1,AE144="HALLUCINATION")</x:f>
        <x:v>0</x:v>
      </x:c>
      <x:c r="AJ144" t="n">
        <x:f>--AND(AI144=1,R144=1,S144=1)</x:f>
        <x:v>0</x:v>
      </x:c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43" t="n">
        <x:f>--AND(N145=1,OR(O145="SUPPORTED",O145="HALLUCINATION"))</x:f>
        <x:v>0</x:v>
      </x:c>
      <x:c r="X145" s="43" t="n">
        <x:f>--AND(W145=1,O145="HALLUCINATION")</x:f>
        <x:v>0</x:v>
      </x:c>
      <x:c r="Y145" s="43" t="n">
        <x:f>--AND(Q145=1,O145="HALLUCINATION")</x:f>
        <x:v>0</x:v>
      </x:c>
      <x:c r="Z145" s="43" t="n">
        <x:f>--AND(Y145=1,R145=1,S145=1)</x:f>
        <x:v>0</x:v>
      </x:c>
      <x:c r="AC145" t="str">
        <x:f>IF(OR(AA145="",AB145=""),"",--(AA145&lt;&gt;AB145))</x:f>
      </x:c>
      <x:c r="AE145" t="str">
        <x:f>IF(OR(AA145="",AB145=""),"PENDING_HUMAN",IF(AA145=AB145,AA145,IF(AD145&lt;&gt;"",AD145,"PENDING_HUMAN")))</x:f>
        <x:v>PENDING_HUMAN</x:v>
      </x:c>
      <x:c r="AF145" t="n">
        <x:f>--AND(A145&lt;&gt;"",AA145&lt;&gt;"",AB145&lt;&gt;"",OR(AA145=AB145,AD145&lt;&gt;""),IF(AE145="HALLUCINATION",U145&lt;&gt;"",TRUE))</x:f>
        <x:v>0</x:v>
      </x:c>
      <x:c r="AG145" t="n">
        <x:f>--AND(N145=1,AF145=1,OR(AE145="SUPPORTED",AE145="HALLUCINATION"))</x:f>
        <x:v>0</x:v>
      </x:c>
      <x:c r="AH145" t="n">
        <x:f>--AND(AG145=1,AE145="HALLUCINATION")</x:f>
        <x:v>0</x:v>
      </x:c>
      <x:c r="AI145" t="n">
        <x:f>--AND(Q145=1,AF145=1,AE145="HALLUCINATION")</x:f>
        <x:v>0</x:v>
      </x:c>
      <x:c r="AJ145" t="n">
        <x:f>--AND(AI145=1,R145=1,S145=1)</x:f>
        <x:v>0</x:v>
      </x:c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43" t="n">
        <x:f>--AND(N146=1,OR(O146="SUPPORTED",O146="HALLUCINATION"))</x:f>
        <x:v>0</x:v>
      </x:c>
      <x:c r="X146" s="43" t="n">
        <x:f>--AND(W146=1,O146="HALLUCINATION")</x:f>
        <x:v>0</x:v>
      </x:c>
      <x:c r="Y146" s="43" t="n">
        <x:f>--AND(Q146=1,O146="HALLUCINATION")</x:f>
        <x:v>0</x:v>
      </x:c>
      <x:c r="Z146" s="43" t="n">
        <x:f>--AND(Y146=1,R146=1,S146=1)</x:f>
        <x:v>0</x:v>
      </x:c>
      <x:c r="AC146" t="str">
        <x:f>IF(OR(AA146="",AB146=""),"",--(AA146&lt;&gt;AB146))</x:f>
      </x:c>
      <x:c r="AE146" t="str">
        <x:f>IF(OR(AA146="",AB146=""),"PENDING_HUMAN",IF(AA146=AB146,AA146,IF(AD146&lt;&gt;"",AD146,"PENDING_HUMAN")))</x:f>
        <x:v>PENDING_HUMAN</x:v>
      </x:c>
      <x:c r="AF146" t="n">
        <x:f>--AND(A146&lt;&gt;"",AA146&lt;&gt;"",AB146&lt;&gt;"",OR(AA146=AB146,AD146&lt;&gt;""),IF(AE146="HALLUCINATION",U146&lt;&gt;"",TRUE))</x:f>
        <x:v>0</x:v>
      </x:c>
      <x:c r="AG146" t="n">
        <x:f>--AND(N146=1,AF146=1,OR(AE146="SUPPORTED",AE146="HALLUCINATION"))</x:f>
        <x:v>0</x:v>
      </x:c>
      <x:c r="AH146" t="n">
        <x:f>--AND(AG146=1,AE146="HALLUCINATION")</x:f>
        <x:v>0</x:v>
      </x:c>
      <x:c r="AI146" t="n">
        <x:f>--AND(Q146=1,AF146=1,AE146="HALLUCINATION")</x:f>
        <x:v>0</x:v>
      </x:c>
      <x:c r="AJ146" t="n">
        <x:f>--AND(AI146=1,R146=1,S146=1)</x:f>
        <x:v>0</x:v>
      </x:c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43" t="n">
        <x:f>--AND(N147=1,OR(O147="SUPPORTED",O147="HALLUCINATION"))</x:f>
        <x:v>0</x:v>
      </x:c>
      <x:c r="X147" s="43" t="n">
        <x:f>--AND(W147=1,O147="HALLUCINATION")</x:f>
        <x:v>0</x:v>
      </x:c>
      <x:c r="Y147" s="43" t="n">
        <x:f>--AND(Q147=1,O147="HALLUCINATION")</x:f>
        <x:v>0</x:v>
      </x:c>
      <x:c r="Z147" s="43" t="n">
        <x:f>--AND(Y147=1,R147=1,S147=1)</x:f>
        <x:v>0</x:v>
      </x:c>
      <x:c r="AC147" t="str">
        <x:f>IF(OR(AA147="",AB147=""),"",--(AA147&lt;&gt;AB147))</x:f>
      </x:c>
      <x:c r="AE147" t="str">
        <x:f>IF(OR(AA147="",AB147=""),"PENDING_HUMAN",IF(AA147=AB147,AA147,IF(AD147&lt;&gt;"",AD147,"PENDING_HUMAN")))</x:f>
        <x:v>PENDING_HUMAN</x:v>
      </x:c>
      <x:c r="AF147" t="n">
        <x:f>--AND(A147&lt;&gt;"",AA147&lt;&gt;"",AB147&lt;&gt;"",OR(AA147=AB147,AD147&lt;&gt;""),IF(AE147="HALLUCINATION",U147&lt;&gt;"",TRUE))</x:f>
        <x:v>0</x:v>
      </x:c>
      <x:c r="AG147" t="n">
        <x:f>--AND(N147=1,AF147=1,OR(AE147="SUPPORTED",AE147="HALLUCINATION"))</x:f>
        <x:v>0</x:v>
      </x:c>
      <x:c r="AH147" t="n">
        <x:f>--AND(AG147=1,AE147="HALLUCINATION")</x:f>
        <x:v>0</x:v>
      </x:c>
      <x:c r="AI147" t="n">
        <x:f>--AND(Q147=1,AF147=1,AE147="HALLUCINATION")</x:f>
        <x:v>0</x:v>
      </x:c>
      <x:c r="AJ147" t="n">
        <x:f>--AND(AI147=1,R147=1,S147=1)</x:f>
        <x:v>0</x:v>
      </x:c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43" t="n">
        <x:f>--AND(N148=1,OR(O148="SUPPORTED",O148="HALLUCINATION"))</x:f>
        <x:v>0</x:v>
      </x:c>
      <x:c r="X148" s="43" t="n">
        <x:f>--AND(W148=1,O148="HALLUCINATION")</x:f>
        <x:v>0</x:v>
      </x:c>
      <x:c r="Y148" s="43" t="n">
        <x:f>--AND(Q148=1,O148="HALLUCINATION")</x:f>
        <x:v>0</x:v>
      </x:c>
      <x:c r="Z148" s="43" t="n">
        <x:f>--AND(Y148=1,R148=1,S148=1)</x:f>
        <x:v>0</x:v>
      </x:c>
      <x:c r="AC148" t="str">
        <x:f>IF(OR(AA148="",AB148=""),"",--(AA148&lt;&gt;AB148))</x:f>
      </x:c>
      <x:c r="AE148" t="str">
        <x:f>IF(OR(AA148="",AB148=""),"PENDING_HUMAN",IF(AA148=AB148,AA148,IF(AD148&lt;&gt;"",AD148,"PENDING_HUMAN")))</x:f>
        <x:v>PENDING_HUMAN</x:v>
      </x:c>
      <x:c r="AF148" t="n">
        <x:f>--AND(A148&lt;&gt;"",AA148&lt;&gt;"",AB148&lt;&gt;"",OR(AA148=AB148,AD148&lt;&gt;""),IF(AE148="HALLUCINATION",U148&lt;&gt;"",TRUE))</x:f>
        <x:v>0</x:v>
      </x:c>
      <x:c r="AG148" t="n">
        <x:f>--AND(N148=1,AF148=1,OR(AE148="SUPPORTED",AE148="HALLUCINATION"))</x:f>
        <x:v>0</x:v>
      </x:c>
      <x:c r="AH148" t="n">
        <x:f>--AND(AG148=1,AE148="HALLUCINATION")</x:f>
        <x:v>0</x:v>
      </x:c>
      <x:c r="AI148" t="n">
        <x:f>--AND(Q148=1,AF148=1,AE148="HALLUCINATION")</x:f>
        <x:v>0</x:v>
      </x:c>
      <x:c r="AJ148" t="n">
        <x:f>--AND(AI148=1,R148=1,S148=1)</x:f>
        <x:v>0</x:v>
      </x:c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43" t="n">
        <x:f>--AND(N149=1,OR(O149="SUPPORTED",O149="HALLUCINATION"))</x:f>
        <x:v>0</x:v>
      </x:c>
      <x:c r="X149" s="43" t="n">
        <x:f>--AND(W149=1,O149="HALLUCINATION")</x:f>
        <x:v>0</x:v>
      </x:c>
      <x:c r="Y149" s="43" t="n">
        <x:f>--AND(Q149=1,O149="HALLUCINATION")</x:f>
        <x:v>0</x:v>
      </x:c>
      <x:c r="Z149" s="43" t="n">
        <x:f>--AND(Y149=1,R149=1,S149=1)</x:f>
        <x:v>0</x:v>
      </x:c>
      <x:c r="AC149" t="str">
        <x:f>IF(OR(AA149="",AB149=""),"",--(AA149&lt;&gt;AB149))</x:f>
      </x:c>
      <x:c r="AE149" t="str">
        <x:f>IF(OR(AA149="",AB149=""),"PENDING_HUMAN",IF(AA149=AB149,AA149,IF(AD149&lt;&gt;"",AD149,"PENDING_HUMAN")))</x:f>
        <x:v>PENDING_HUMAN</x:v>
      </x:c>
      <x:c r="AF149" t="n">
        <x:f>--AND(A149&lt;&gt;"",AA149&lt;&gt;"",AB149&lt;&gt;"",OR(AA149=AB149,AD149&lt;&gt;""),IF(AE149="HALLUCINATION",U149&lt;&gt;"",TRUE))</x:f>
        <x:v>0</x:v>
      </x:c>
      <x:c r="AG149" t="n">
        <x:f>--AND(N149=1,AF149=1,OR(AE149="SUPPORTED",AE149="HALLUCINATION"))</x:f>
        <x:v>0</x:v>
      </x:c>
      <x:c r="AH149" t="n">
        <x:f>--AND(AG149=1,AE149="HALLUCINATION")</x:f>
        <x:v>0</x:v>
      </x:c>
      <x:c r="AI149" t="n">
        <x:f>--AND(Q149=1,AF149=1,AE149="HALLUCINATION")</x:f>
        <x:v>0</x:v>
      </x:c>
      <x:c r="AJ149" t="n">
        <x:f>--AND(AI149=1,R149=1,S149=1)</x:f>
        <x:v>0</x:v>
      </x:c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43" t="n">
        <x:f>--AND(N150=1,OR(O150="SUPPORTED",O150="HALLUCINATION"))</x:f>
        <x:v>0</x:v>
      </x:c>
      <x:c r="X150" s="43" t="n">
        <x:f>--AND(W150=1,O150="HALLUCINATION")</x:f>
        <x:v>0</x:v>
      </x:c>
      <x:c r="Y150" s="43" t="n">
        <x:f>--AND(Q150=1,O150="HALLUCINATION")</x:f>
        <x:v>0</x:v>
      </x:c>
      <x:c r="Z150" s="43" t="n">
        <x:f>--AND(Y150=1,R150=1,S150=1)</x:f>
        <x:v>0</x:v>
      </x:c>
      <x:c r="AC150" t="str">
        <x:f>IF(OR(AA150="",AB150=""),"",--(AA150&lt;&gt;AB150))</x:f>
      </x:c>
      <x:c r="AE150" t="str">
        <x:f>IF(OR(AA150="",AB150=""),"PENDING_HUMAN",IF(AA150=AB150,AA150,IF(AD150&lt;&gt;"",AD150,"PENDING_HUMAN")))</x:f>
        <x:v>PENDING_HUMAN</x:v>
      </x:c>
      <x:c r="AF150" t="n">
        <x:f>--AND(A150&lt;&gt;"",AA150&lt;&gt;"",AB150&lt;&gt;"",OR(AA150=AB150,AD150&lt;&gt;""),IF(AE150="HALLUCINATION",U150&lt;&gt;"",TRUE))</x:f>
        <x:v>0</x:v>
      </x:c>
      <x:c r="AG150" t="n">
        <x:f>--AND(N150=1,AF150=1,OR(AE150="SUPPORTED",AE150="HALLUCINATION"))</x:f>
        <x:v>0</x:v>
      </x:c>
      <x:c r="AH150" t="n">
        <x:f>--AND(AG150=1,AE150="HALLUCINATION")</x:f>
        <x:v>0</x:v>
      </x:c>
      <x:c r="AI150" t="n">
        <x:f>--AND(Q150=1,AF150=1,AE150="HALLUCINATION")</x:f>
        <x:v>0</x:v>
      </x:c>
      <x:c r="AJ150" t="n">
        <x:f>--AND(AI150=1,R150=1,S150=1)</x:f>
        <x:v>0</x:v>
      </x:c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43" t="n">
        <x:f>--AND(N151=1,OR(O151="SUPPORTED",O151="HALLUCINATION"))</x:f>
        <x:v>0</x:v>
      </x:c>
      <x:c r="X151" s="43" t="n">
        <x:f>--AND(W151=1,O151="HALLUCINATION")</x:f>
        <x:v>0</x:v>
      </x:c>
      <x:c r="Y151" s="43" t="n">
        <x:f>--AND(Q151=1,O151="HALLUCINATION")</x:f>
        <x:v>0</x:v>
      </x:c>
      <x:c r="Z151" s="43" t="n">
        <x:f>--AND(Y151=1,R151=1,S151=1)</x:f>
        <x:v>0</x:v>
      </x:c>
      <x:c r="AC151" t="str">
        <x:f>IF(OR(AA151="",AB151=""),"",--(AA151&lt;&gt;AB151))</x:f>
      </x:c>
      <x:c r="AE151" t="str">
        <x:f>IF(OR(AA151="",AB151=""),"PENDING_HUMAN",IF(AA151=AB151,AA151,IF(AD151&lt;&gt;"",AD151,"PENDING_HUMAN")))</x:f>
        <x:v>PENDING_HUMAN</x:v>
      </x:c>
      <x:c r="AF151" t="n">
        <x:f>--AND(A151&lt;&gt;"",AA151&lt;&gt;"",AB151&lt;&gt;"",OR(AA151=AB151,AD151&lt;&gt;""),IF(AE151="HALLUCINATION",U151&lt;&gt;"",TRUE))</x:f>
        <x:v>0</x:v>
      </x:c>
      <x:c r="AG151" t="n">
        <x:f>--AND(N151=1,AF151=1,OR(AE151="SUPPORTED",AE151="HALLUCINATION"))</x:f>
        <x:v>0</x:v>
      </x:c>
      <x:c r="AH151" t="n">
        <x:f>--AND(AG151=1,AE151="HALLUCINATION")</x:f>
        <x:v>0</x:v>
      </x:c>
      <x:c r="AI151" t="n">
        <x:f>--AND(Q151=1,AF151=1,AE151="HALLUCINATION")</x:f>
        <x:v>0</x:v>
      </x:c>
      <x:c r="AJ151" t="n">
        <x:f>--AND(AI151=1,R151=1,S151=1)</x:f>
        <x:v>0</x:v>
      </x:c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43" t="n">
        <x:f>--AND(N152=1,OR(O152="SUPPORTED",O152="HALLUCINATION"))</x:f>
        <x:v>0</x:v>
      </x:c>
      <x:c r="X152" s="43" t="n">
        <x:f>--AND(W152=1,O152="HALLUCINATION")</x:f>
        <x:v>0</x:v>
      </x:c>
      <x:c r="Y152" s="43" t="n">
        <x:f>--AND(Q152=1,O152="HALLUCINATION")</x:f>
        <x:v>0</x:v>
      </x:c>
      <x:c r="Z152" s="43" t="n">
        <x:f>--AND(Y152=1,R152=1,S152=1)</x:f>
        <x:v>0</x:v>
      </x:c>
      <x:c r="AC152" t="str">
        <x:f>IF(OR(AA152="",AB152=""),"",--(AA152&lt;&gt;AB152))</x:f>
      </x:c>
      <x:c r="AE152" t="str">
        <x:f>IF(OR(AA152="",AB152=""),"PENDING_HUMAN",IF(AA152=AB152,AA152,IF(AD152&lt;&gt;"",AD152,"PENDING_HUMAN")))</x:f>
        <x:v>PENDING_HUMAN</x:v>
      </x:c>
      <x:c r="AF152" t="n">
        <x:f>--AND(A152&lt;&gt;"",AA152&lt;&gt;"",AB152&lt;&gt;"",OR(AA152=AB152,AD152&lt;&gt;""),IF(AE152="HALLUCINATION",U152&lt;&gt;"",TRUE))</x:f>
        <x:v>0</x:v>
      </x:c>
      <x:c r="AG152" t="n">
        <x:f>--AND(N152=1,AF152=1,OR(AE152="SUPPORTED",AE152="HALLUCINATION"))</x:f>
        <x:v>0</x:v>
      </x:c>
      <x:c r="AH152" t="n">
        <x:f>--AND(AG152=1,AE152="HALLUCINATION")</x:f>
        <x:v>0</x:v>
      </x:c>
      <x:c r="AI152" t="n">
        <x:f>--AND(Q152=1,AF152=1,AE152="HALLUCINATION")</x:f>
        <x:v>0</x:v>
      </x:c>
      <x:c r="AJ152" t="n">
        <x:f>--AND(AI152=1,R152=1,S152=1)</x:f>
        <x:v>0</x:v>
      </x:c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43" t="n">
        <x:f>--AND(N153=1,OR(O153="SUPPORTED",O153="HALLUCINATION"))</x:f>
        <x:v>0</x:v>
      </x:c>
      <x:c r="X153" s="43" t="n">
        <x:f>--AND(W153=1,O153="HALLUCINATION")</x:f>
        <x:v>0</x:v>
      </x:c>
      <x:c r="Y153" s="43" t="n">
        <x:f>--AND(Q153=1,O153="HALLUCINATION")</x:f>
        <x:v>0</x:v>
      </x:c>
      <x:c r="Z153" s="43" t="n">
        <x:f>--AND(Y153=1,R153=1,S153=1)</x:f>
        <x:v>0</x:v>
      </x:c>
      <x:c r="AC153" t="str">
        <x:f>IF(OR(AA153="",AB153=""),"",--(AA153&lt;&gt;AB153))</x:f>
      </x:c>
      <x:c r="AE153" t="str">
        <x:f>IF(OR(AA153="",AB153=""),"PENDING_HUMAN",IF(AA153=AB153,AA153,IF(AD153&lt;&gt;"",AD153,"PENDING_HUMAN")))</x:f>
        <x:v>PENDING_HUMAN</x:v>
      </x:c>
      <x:c r="AF153" t="n">
        <x:f>--AND(A153&lt;&gt;"",AA153&lt;&gt;"",AB153&lt;&gt;"",OR(AA153=AB153,AD153&lt;&gt;""),IF(AE153="HALLUCINATION",U153&lt;&gt;"",TRUE))</x:f>
        <x:v>0</x:v>
      </x:c>
      <x:c r="AG153" t="n">
        <x:f>--AND(N153=1,AF153=1,OR(AE153="SUPPORTED",AE153="HALLUCINATION"))</x:f>
        <x:v>0</x:v>
      </x:c>
      <x:c r="AH153" t="n">
        <x:f>--AND(AG153=1,AE153="HALLUCINATION")</x:f>
        <x:v>0</x:v>
      </x:c>
      <x:c r="AI153" t="n">
        <x:f>--AND(Q153=1,AF153=1,AE153="HALLUCINATION")</x:f>
        <x:v>0</x:v>
      </x:c>
      <x:c r="AJ153" t="n">
        <x:f>--AND(AI153=1,R153=1,S153=1)</x:f>
        <x:v>0</x:v>
      </x:c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43" t="n">
        <x:f>--AND(N154=1,OR(O154="SUPPORTED",O154="HALLUCINATION"))</x:f>
        <x:v>0</x:v>
      </x:c>
      <x:c r="X154" s="43" t="n">
        <x:f>--AND(W154=1,O154="HALLUCINATION")</x:f>
        <x:v>0</x:v>
      </x:c>
      <x:c r="Y154" s="43" t="n">
        <x:f>--AND(Q154=1,O154="HALLUCINATION")</x:f>
        <x:v>0</x:v>
      </x:c>
      <x:c r="Z154" s="43" t="n">
        <x:f>--AND(Y154=1,R154=1,S154=1)</x:f>
        <x:v>0</x:v>
      </x:c>
      <x:c r="AC154" t="str">
        <x:f>IF(OR(AA154="",AB154=""),"",--(AA154&lt;&gt;AB154))</x:f>
      </x:c>
      <x:c r="AE154" t="str">
        <x:f>IF(OR(AA154="",AB154=""),"PENDING_HUMAN",IF(AA154=AB154,AA154,IF(AD154&lt;&gt;"",AD154,"PENDING_HUMAN")))</x:f>
        <x:v>PENDING_HUMAN</x:v>
      </x:c>
      <x:c r="AF154" t="n">
        <x:f>--AND(A154&lt;&gt;"",AA154&lt;&gt;"",AB154&lt;&gt;"",OR(AA154=AB154,AD154&lt;&gt;""),IF(AE154="HALLUCINATION",U154&lt;&gt;"",TRUE))</x:f>
        <x:v>0</x:v>
      </x:c>
      <x:c r="AG154" t="n">
        <x:f>--AND(N154=1,AF154=1,OR(AE154="SUPPORTED",AE154="HALLUCINATION"))</x:f>
        <x:v>0</x:v>
      </x:c>
      <x:c r="AH154" t="n">
        <x:f>--AND(AG154=1,AE154="HALLUCINATION")</x:f>
        <x:v>0</x:v>
      </x:c>
      <x:c r="AI154" t="n">
        <x:f>--AND(Q154=1,AF154=1,AE154="HALLUCINATION")</x:f>
        <x:v>0</x:v>
      </x:c>
      <x:c r="AJ154" t="n">
        <x:f>--AND(AI154=1,R154=1,S154=1)</x:f>
        <x:v>0</x:v>
      </x:c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43" t="n">
        <x:f>--AND(N155=1,OR(O155="SUPPORTED",O155="HALLUCINATION"))</x:f>
        <x:v>0</x:v>
      </x:c>
      <x:c r="X155" s="43" t="n">
        <x:f>--AND(W155=1,O155="HALLUCINATION")</x:f>
        <x:v>0</x:v>
      </x:c>
      <x:c r="Y155" s="43" t="n">
        <x:f>--AND(Q155=1,O155="HALLUCINATION")</x:f>
        <x:v>0</x:v>
      </x:c>
      <x:c r="Z155" s="43" t="n">
        <x:f>--AND(Y155=1,R155=1,S155=1)</x:f>
        <x:v>0</x:v>
      </x:c>
      <x:c r="AC155" t="str">
        <x:f>IF(OR(AA155="",AB155=""),"",--(AA155&lt;&gt;AB155))</x:f>
      </x:c>
      <x:c r="AE155" t="str">
        <x:f>IF(OR(AA155="",AB155=""),"PENDING_HUMAN",IF(AA155=AB155,AA155,IF(AD155&lt;&gt;"",AD155,"PENDING_HUMAN")))</x:f>
        <x:v>PENDING_HUMAN</x:v>
      </x:c>
      <x:c r="AF155" t="n">
        <x:f>--AND(A155&lt;&gt;"",AA155&lt;&gt;"",AB155&lt;&gt;"",OR(AA155=AB155,AD155&lt;&gt;""),IF(AE155="HALLUCINATION",U155&lt;&gt;"",TRUE))</x:f>
        <x:v>0</x:v>
      </x:c>
      <x:c r="AG155" t="n">
        <x:f>--AND(N155=1,AF155=1,OR(AE155="SUPPORTED",AE155="HALLUCINATION"))</x:f>
        <x:v>0</x:v>
      </x:c>
      <x:c r="AH155" t="n">
        <x:f>--AND(AG155=1,AE155="HALLUCINATION")</x:f>
        <x:v>0</x:v>
      </x:c>
      <x:c r="AI155" t="n">
        <x:f>--AND(Q155=1,AF155=1,AE155="HALLUCINATION")</x:f>
        <x:v>0</x:v>
      </x:c>
      <x:c r="AJ155" t="n">
        <x:f>--AND(AI155=1,R155=1,S155=1)</x:f>
        <x:v>0</x:v>
      </x:c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43" t="n">
        <x:f>--AND(N156=1,OR(O156="SUPPORTED",O156="HALLUCINATION"))</x:f>
        <x:v>0</x:v>
      </x:c>
      <x:c r="X156" s="43" t="n">
        <x:f>--AND(W156=1,O156="HALLUCINATION")</x:f>
        <x:v>0</x:v>
      </x:c>
      <x:c r="Y156" s="43" t="n">
        <x:f>--AND(Q156=1,O156="HALLUCINATION")</x:f>
        <x:v>0</x:v>
      </x:c>
      <x:c r="Z156" s="43" t="n">
        <x:f>--AND(Y156=1,R156=1,S156=1)</x:f>
        <x:v>0</x:v>
      </x:c>
      <x:c r="AC156" t="str">
        <x:f>IF(OR(AA156="",AB156=""),"",--(AA156&lt;&gt;AB156))</x:f>
      </x:c>
      <x:c r="AE156" t="str">
        <x:f>IF(OR(AA156="",AB156=""),"PENDING_HUMAN",IF(AA156=AB156,AA156,IF(AD156&lt;&gt;"",AD156,"PENDING_HUMAN")))</x:f>
        <x:v>PENDING_HUMAN</x:v>
      </x:c>
      <x:c r="AF156" t="n">
        <x:f>--AND(A156&lt;&gt;"",AA156&lt;&gt;"",AB156&lt;&gt;"",OR(AA156=AB156,AD156&lt;&gt;""),IF(AE156="HALLUCINATION",U156&lt;&gt;"",TRUE))</x:f>
        <x:v>0</x:v>
      </x:c>
      <x:c r="AG156" t="n">
        <x:f>--AND(N156=1,AF156=1,OR(AE156="SUPPORTED",AE156="HALLUCINATION"))</x:f>
        <x:v>0</x:v>
      </x:c>
      <x:c r="AH156" t="n">
        <x:f>--AND(AG156=1,AE156="HALLUCINATION")</x:f>
        <x:v>0</x:v>
      </x:c>
      <x:c r="AI156" t="n">
        <x:f>--AND(Q156=1,AF156=1,AE156="HALLUCINATION")</x:f>
        <x:v>0</x:v>
      </x:c>
      <x:c r="AJ156" t="n">
        <x:f>--AND(AI156=1,R156=1,S156=1)</x:f>
        <x:v>0</x:v>
      </x:c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43" t="n">
        <x:f>--AND(N157=1,OR(O157="SUPPORTED",O157="HALLUCINATION"))</x:f>
        <x:v>0</x:v>
      </x:c>
      <x:c r="X157" s="43" t="n">
        <x:f>--AND(W157=1,O157="HALLUCINATION")</x:f>
        <x:v>0</x:v>
      </x:c>
      <x:c r="Y157" s="43" t="n">
        <x:f>--AND(Q157=1,O157="HALLUCINATION")</x:f>
        <x:v>0</x:v>
      </x:c>
      <x:c r="Z157" s="43" t="n">
        <x:f>--AND(Y157=1,R157=1,S157=1)</x:f>
        <x:v>0</x:v>
      </x:c>
      <x:c r="AC157" t="str">
        <x:f>IF(OR(AA157="",AB157=""),"",--(AA157&lt;&gt;AB157))</x:f>
      </x:c>
      <x:c r="AE157" t="str">
        <x:f>IF(OR(AA157="",AB157=""),"PENDING_HUMAN",IF(AA157=AB157,AA157,IF(AD157&lt;&gt;"",AD157,"PENDING_HUMAN")))</x:f>
        <x:v>PENDING_HUMAN</x:v>
      </x:c>
      <x:c r="AF157" t="n">
        <x:f>--AND(A157&lt;&gt;"",AA157&lt;&gt;"",AB157&lt;&gt;"",OR(AA157=AB157,AD157&lt;&gt;""),IF(AE157="HALLUCINATION",U157&lt;&gt;"",TRUE))</x:f>
        <x:v>0</x:v>
      </x:c>
      <x:c r="AG157" t="n">
        <x:f>--AND(N157=1,AF157=1,OR(AE157="SUPPORTED",AE157="HALLUCINATION"))</x:f>
        <x:v>0</x:v>
      </x:c>
      <x:c r="AH157" t="n">
        <x:f>--AND(AG157=1,AE157="HALLUCINATION")</x:f>
        <x:v>0</x:v>
      </x:c>
      <x:c r="AI157" t="n">
        <x:f>--AND(Q157=1,AF157=1,AE157="HALLUCINATION")</x:f>
        <x:v>0</x:v>
      </x:c>
      <x:c r="AJ157" t="n">
        <x:f>--AND(AI157=1,R157=1,S157=1)</x:f>
        <x:v>0</x:v>
      </x:c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43" t="n">
        <x:f>--AND(N158=1,OR(O158="SUPPORTED",O158="HALLUCINATION"))</x:f>
        <x:v>0</x:v>
      </x:c>
      <x:c r="X158" s="43" t="n">
        <x:f>--AND(W158=1,O158="HALLUCINATION")</x:f>
        <x:v>0</x:v>
      </x:c>
      <x:c r="Y158" s="43" t="n">
        <x:f>--AND(Q158=1,O158="HALLUCINATION")</x:f>
        <x:v>0</x:v>
      </x:c>
      <x:c r="Z158" s="43" t="n">
        <x:f>--AND(Y158=1,R158=1,S158=1)</x:f>
        <x:v>0</x:v>
      </x:c>
      <x:c r="AC158" t="str">
        <x:f>IF(OR(AA158="",AB158=""),"",--(AA158&lt;&gt;AB158))</x:f>
      </x:c>
      <x:c r="AE158" t="str">
        <x:f>IF(OR(AA158="",AB158=""),"PENDING_HUMAN",IF(AA158=AB158,AA158,IF(AD158&lt;&gt;"",AD158,"PENDING_HUMAN")))</x:f>
        <x:v>PENDING_HUMAN</x:v>
      </x:c>
      <x:c r="AF158" t="n">
        <x:f>--AND(A158&lt;&gt;"",AA158&lt;&gt;"",AB158&lt;&gt;"",OR(AA158=AB158,AD158&lt;&gt;""),IF(AE158="HALLUCINATION",U158&lt;&gt;"",TRUE))</x:f>
        <x:v>0</x:v>
      </x:c>
      <x:c r="AG158" t="n">
        <x:f>--AND(N158=1,AF158=1,OR(AE158="SUPPORTED",AE158="HALLUCINATION"))</x:f>
        <x:v>0</x:v>
      </x:c>
      <x:c r="AH158" t="n">
        <x:f>--AND(AG158=1,AE158="HALLUCINATION")</x:f>
        <x:v>0</x:v>
      </x:c>
      <x:c r="AI158" t="n">
        <x:f>--AND(Q158=1,AF158=1,AE158="HALLUCINATION")</x:f>
        <x:v>0</x:v>
      </x:c>
      <x:c r="AJ158" t="n">
        <x:f>--AND(AI158=1,R158=1,S158=1)</x:f>
        <x:v>0</x:v>
      </x:c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43" t="n">
        <x:f>--AND(N159=1,OR(O159="SUPPORTED",O159="HALLUCINATION"))</x:f>
        <x:v>0</x:v>
      </x:c>
      <x:c r="X159" s="43" t="n">
        <x:f>--AND(W159=1,O159="HALLUCINATION")</x:f>
        <x:v>0</x:v>
      </x:c>
      <x:c r="Y159" s="43" t="n">
        <x:f>--AND(Q159=1,O159="HALLUCINATION")</x:f>
        <x:v>0</x:v>
      </x:c>
      <x:c r="Z159" s="43" t="n">
        <x:f>--AND(Y159=1,R159=1,S159=1)</x:f>
        <x:v>0</x:v>
      </x:c>
      <x:c r="AC159" t="str">
        <x:f>IF(OR(AA159="",AB159=""),"",--(AA159&lt;&gt;AB159))</x:f>
      </x:c>
      <x:c r="AE159" t="str">
        <x:f>IF(OR(AA159="",AB159=""),"PENDING_HUMAN",IF(AA159=AB159,AA159,IF(AD159&lt;&gt;"",AD159,"PENDING_HUMAN")))</x:f>
        <x:v>PENDING_HUMAN</x:v>
      </x:c>
      <x:c r="AF159" t="n">
        <x:f>--AND(A159&lt;&gt;"",AA159&lt;&gt;"",AB159&lt;&gt;"",OR(AA159=AB159,AD159&lt;&gt;""),IF(AE159="HALLUCINATION",U159&lt;&gt;"",TRUE))</x:f>
        <x:v>0</x:v>
      </x:c>
      <x:c r="AG159" t="n">
        <x:f>--AND(N159=1,AF159=1,OR(AE159="SUPPORTED",AE159="HALLUCINATION"))</x:f>
        <x:v>0</x:v>
      </x:c>
      <x:c r="AH159" t="n">
        <x:f>--AND(AG159=1,AE159="HALLUCINATION")</x:f>
        <x:v>0</x:v>
      </x:c>
      <x:c r="AI159" t="n">
        <x:f>--AND(Q159=1,AF159=1,AE159="HALLUCINATION")</x:f>
        <x:v>0</x:v>
      </x:c>
      <x:c r="AJ159" t="n">
        <x:f>--AND(AI159=1,R159=1,S159=1)</x:f>
        <x:v>0</x:v>
      </x:c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43" t="n">
        <x:f>--AND(N160=1,OR(O160="SUPPORTED",O160="HALLUCINATION"))</x:f>
        <x:v>0</x:v>
      </x:c>
      <x:c r="X160" s="43" t="n">
        <x:f>--AND(W160=1,O160="HALLUCINATION")</x:f>
        <x:v>0</x:v>
      </x:c>
      <x:c r="Y160" s="43" t="n">
        <x:f>--AND(Q160=1,O160="HALLUCINATION")</x:f>
        <x:v>0</x:v>
      </x:c>
      <x:c r="Z160" s="43" t="n">
        <x:f>--AND(Y160=1,R160=1,S160=1)</x:f>
        <x:v>0</x:v>
      </x:c>
      <x:c r="AC160" t="str">
        <x:f>IF(OR(AA160="",AB160=""),"",--(AA160&lt;&gt;AB160))</x:f>
      </x:c>
      <x:c r="AE160" t="str">
        <x:f>IF(OR(AA160="",AB160=""),"PENDING_HUMAN",IF(AA160=AB160,AA160,IF(AD160&lt;&gt;"",AD160,"PENDING_HUMAN")))</x:f>
        <x:v>PENDING_HUMAN</x:v>
      </x:c>
      <x:c r="AF160" t="n">
        <x:f>--AND(A160&lt;&gt;"",AA160&lt;&gt;"",AB160&lt;&gt;"",OR(AA160=AB160,AD160&lt;&gt;""),IF(AE160="HALLUCINATION",U160&lt;&gt;"",TRUE))</x:f>
        <x:v>0</x:v>
      </x:c>
      <x:c r="AG160" t="n">
        <x:f>--AND(N160=1,AF160=1,OR(AE160="SUPPORTED",AE160="HALLUCINATION"))</x:f>
        <x:v>0</x:v>
      </x:c>
      <x:c r="AH160" t="n">
        <x:f>--AND(AG160=1,AE160="HALLUCINATION")</x:f>
        <x:v>0</x:v>
      </x:c>
      <x:c r="AI160" t="n">
        <x:f>--AND(Q160=1,AF160=1,AE160="HALLUCINATION")</x:f>
        <x:v>0</x:v>
      </x:c>
      <x:c r="AJ160" t="n">
        <x:f>--AND(AI160=1,R160=1,S160=1)</x:f>
        <x:v>0</x:v>
      </x:c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43" t="n">
        <x:f>--AND(N161=1,OR(O161="SUPPORTED",O161="HALLUCINATION"))</x:f>
        <x:v>0</x:v>
      </x:c>
      <x:c r="X161" s="43" t="n">
        <x:f>--AND(W161=1,O161="HALLUCINATION")</x:f>
        <x:v>0</x:v>
      </x:c>
      <x:c r="Y161" s="43" t="n">
        <x:f>--AND(Q161=1,O161="HALLUCINATION")</x:f>
        <x:v>0</x:v>
      </x:c>
      <x:c r="Z161" s="43" t="n">
        <x:f>--AND(Y161=1,R161=1,S161=1)</x:f>
        <x:v>0</x:v>
      </x:c>
      <x:c r="AC161" t="str">
        <x:f>IF(OR(AA161="",AB161=""),"",--(AA161&lt;&gt;AB161))</x:f>
      </x:c>
      <x:c r="AE161" t="str">
        <x:f>IF(OR(AA161="",AB161=""),"PENDING_HUMAN",IF(AA161=AB161,AA161,IF(AD161&lt;&gt;"",AD161,"PENDING_HUMAN")))</x:f>
        <x:v>PENDING_HUMAN</x:v>
      </x:c>
      <x:c r="AF161" t="n">
        <x:f>--AND(A161&lt;&gt;"",AA161&lt;&gt;"",AB161&lt;&gt;"",OR(AA161=AB161,AD161&lt;&gt;""),IF(AE161="HALLUCINATION",U161&lt;&gt;"",TRUE))</x:f>
        <x:v>0</x:v>
      </x:c>
      <x:c r="AG161" t="n">
        <x:f>--AND(N161=1,AF161=1,OR(AE161="SUPPORTED",AE161="HALLUCINATION"))</x:f>
        <x:v>0</x:v>
      </x:c>
      <x:c r="AH161" t="n">
        <x:f>--AND(AG161=1,AE161="HALLUCINATION")</x:f>
        <x:v>0</x:v>
      </x:c>
      <x:c r="AI161" t="n">
        <x:f>--AND(Q161=1,AF161=1,AE161="HALLUCINATION")</x:f>
        <x:v>0</x:v>
      </x:c>
      <x:c r="AJ161" t="n">
        <x:f>--AND(AI161=1,R161=1,S161=1)</x:f>
        <x:v>0</x:v>
      </x:c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43" t="n">
        <x:f>--AND(N162=1,OR(O162="SUPPORTED",O162="HALLUCINATION"))</x:f>
        <x:v>0</x:v>
      </x:c>
      <x:c r="X162" s="43" t="n">
        <x:f>--AND(W162=1,O162="HALLUCINATION")</x:f>
        <x:v>0</x:v>
      </x:c>
      <x:c r="Y162" s="43" t="n">
        <x:f>--AND(Q162=1,O162="HALLUCINATION")</x:f>
        <x:v>0</x:v>
      </x:c>
      <x:c r="Z162" s="43" t="n">
        <x:f>--AND(Y162=1,R162=1,S162=1)</x:f>
        <x:v>0</x:v>
      </x:c>
      <x:c r="AC162" t="str">
        <x:f>IF(OR(AA162="",AB162=""),"",--(AA162&lt;&gt;AB162))</x:f>
      </x:c>
      <x:c r="AE162" t="str">
        <x:f>IF(OR(AA162="",AB162=""),"PENDING_HUMAN",IF(AA162=AB162,AA162,IF(AD162&lt;&gt;"",AD162,"PENDING_HUMAN")))</x:f>
        <x:v>PENDING_HUMAN</x:v>
      </x:c>
      <x:c r="AF162" t="n">
        <x:f>--AND(A162&lt;&gt;"",AA162&lt;&gt;"",AB162&lt;&gt;"",OR(AA162=AB162,AD162&lt;&gt;""),IF(AE162="HALLUCINATION",U162&lt;&gt;"",TRUE))</x:f>
        <x:v>0</x:v>
      </x:c>
      <x:c r="AG162" t="n">
        <x:f>--AND(N162=1,AF162=1,OR(AE162="SUPPORTED",AE162="HALLUCINATION"))</x:f>
        <x:v>0</x:v>
      </x:c>
      <x:c r="AH162" t="n">
        <x:f>--AND(AG162=1,AE162="HALLUCINATION")</x:f>
        <x:v>0</x:v>
      </x:c>
      <x:c r="AI162" t="n">
        <x:f>--AND(Q162=1,AF162=1,AE162="HALLUCINATION")</x:f>
        <x:v>0</x:v>
      </x:c>
      <x:c r="AJ162" t="n">
        <x:f>--AND(AI162=1,R162=1,S162=1)</x:f>
        <x:v>0</x:v>
      </x:c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43" t="n">
        <x:f>--AND(N163=1,OR(O163="SUPPORTED",O163="HALLUCINATION"))</x:f>
        <x:v>0</x:v>
      </x:c>
      <x:c r="X163" s="43" t="n">
        <x:f>--AND(W163=1,O163="HALLUCINATION")</x:f>
        <x:v>0</x:v>
      </x:c>
      <x:c r="Y163" s="43" t="n">
        <x:f>--AND(Q163=1,O163="HALLUCINATION")</x:f>
        <x:v>0</x:v>
      </x:c>
      <x:c r="Z163" s="43" t="n">
        <x:f>--AND(Y163=1,R163=1,S163=1)</x:f>
        <x:v>0</x:v>
      </x:c>
      <x:c r="AC163" t="str">
        <x:f>IF(OR(AA163="",AB163=""),"",--(AA163&lt;&gt;AB163))</x:f>
      </x:c>
      <x:c r="AE163" t="str">
        <x:f>IF(OR(AA163="",AB163=""),"PENDING_HUMAN",IF(AA163=AB163,AA163,IF(AD163&lt;&gt;"",AD163,"PENDING_HUMAN")))</x:f>
        <x:v>PENDING_HUMAN</x:v>
      </x:c>
      <x:c r="AF163" t="n">
        <x:f>--AND(A163&lt;&gt;"",AA163&lt;&gt;"",AB163&lt;&gt;"",OR(AA163=AB163,AD163&lt;&gt;""),IF(AE163="HALLUCINATION",U163&lt;&gt;"",TRUE))</x:f>
        <x:v>0</x:v>
      </x:c>
      <x:c r="AG163" t="n">
        <x:f>--AND(N163=1,AF163=1,OR(AE163="SUPPORTED",AE163="HALLUCINATION"))</x:f>
        <x:v>0</x:v>
      </x:c>
      <x:c r="AH163" t="n">
        <x:f>--AND(AG163=1,AE163="HALLUCINATION")</x:f>
        <x:v>0</x:v>
      </x:c>
      <x:c r="AI163" t="n">
        <x:f>--AND(Q163=1,AF163=1,AE163="HALLUCINATION")</x:f>
        <x:v>0</x:v>
      </x:c>
      <x:c r="AJ163" t="n">
        <x:f>--AND(AI163=1,R163=1,S163=1)</x:f>
        <x:v>0</x:v>
      </x:c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43" t="n">
        <x:f>--AND(N164=1,OR(O164="SUPPORTED",O164="HALLUCINATION"))</x:f>
        <x:v>0</x:v>
      </x:c>
      <x:c r="X164" s="43" t="n">
        <x:f>--AND(W164=1,O164="HALLUCINATION")</x:f>
        <x:v>0</x:v>
      </x:c>
      <x:c r="Y164" s="43" t="n">
        <x:f>--AND(Q164=1,O164="HALLUCINATION")</x:f>
        <x:v>0</x:v>
      </x:c>
      <x:c r="Z164" s="43" t="n">
        <x:f>--AND(Y164=1,R164=1,S164=1)</x:f>
        <x:v>0</x:v>
      </x:c>
      <x:c r="AC164" t="str">
        <x:f>IF(OR(AA164="",AB164=""),"",--(AA164&lt;&gt;AB164))</x:f>
      </x:c>
      <x:c r="AE164" t="str">
        <x:f>IF(OR(AA164="",AB164=""),"PENDING_HUMAN",IF(AA164=AB164,AA164,IF(AD164&lt;&gt;"",AD164,"PENDING_HUMAN")))</x:f>
        <x:v>PENDING_HUMAN</x:v>
      </x:c>
      <x:c r="AF164" t="n">
        <x:f>--AND(A164&lt;&gt;"",AA164&lt;&gt;"",AB164&lt;&gt;"",OR(AA164=AB164,AD164&lt;&gt;""),IF(AE164="HALLUCINATION",U164&lt;&gt;"",TRUE))</x:f>
        <x:v>0</x:v>
      </x:c>
      <x:c r="AG164" t="n">
        <x:f>--AND(N164=1,AF164=1,OR(AE164="SUPPORTED",AE164="HALLUCINATION"))</x:f>
        <x:v>0</x:v>
      </x:c>
      <x:c r="AH164" t="n">
        <x:f>--AND(AG164=1,AE164="HALLUCINATION")</x:f>
        <x:v>0</x:v>
      </x:c>
      <x:c r="AI164" t="n">
        <x:f>--AND(Q164=1,AF164=1,AE164="HALLUCINATION")</x:f>
        <x:v>0</x:v>
      </x:c>
      <x:c r="AJ164" t="n">
        <x:f>--AND(AI164=1,R164=1,S164=1)</x:f>
        <x:v>0</x:v>
      </x:c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43" t="n">
        <x:f>--AND(N165=1,OR(O165="SUPPORTED",O165="HALLUCINATION"))</x:f>
        <x:v>0</x:v>
      </x:c>
      <x:c r="X165" s="43" t="n">
        <x:f>--AND(W165=1,O165="HALLUCINATION")</x:f>
        <x:v>0</x:v>
      </x:c>
      <x:c r="Y165" s="43" t="n">
        <x:f>--AND(Q165=1,O165="HALLUCINATION")</x:f>
        <x:v>0</x:v>
      </x:c>
      <x:c r="Z165" s="43" t="n">
        <x:f>--AND(Y165=1,R165=1,S165=1)</x:f>
        <x:v>0</x:v>
      </x:c>
      <x:c r="AC165" t="str">
        <x:f>IF(OR(AA165="",AB165=""),"",--(AA165&lt;&gt;AB165))</x:f>
      </x:c>
      <x:c r="AE165" t="str">
        <x:f>IF(OR(AA165="",AB165=""),"PENDING_HUMAN",IF(AA165=AB165,AA165,IF(AD165&lt;&gt;"",AD165,"PENDING_HUMAN")))</x:f>
        <x:v>PENDING_HUMAN</x:v>
      </x:c>
      <x:c r="AF165" t="n">
        <x:f>--AND(A165&lt;&gt;"",AA165&lt;&gt;"",AB165&lt;&gt;"",OR(AA165=AB165,AD165&lt;&gt;""),IF(AE165="HALLUCINATION",U165&lt;&gt;"",TRUE))</x:f>
        <x:v>0</x:v>
      </x:c>
      <x:c r="AG165" t="n">
        <x:f>--AND(N165=1,AF165=1,OR(AE165="SUPPORTED",AE165="HALLUCINATION"))</x:f>
        <x:v>0</x:v>
      </x:c>
      <x:c r="AH165" t="n">
        <x:f>--AND(AG165=1,AE165="HALLUCINATION")</x:f>
        <x:v>0</x:v>
      </x:c>
      <x:c r="AI165" t="n">
        <x:f>--AND(Q165=1,AF165=1,AE165="HALLUCINATION")</x:f>
        <x:v>0</x:v>
      </x:c>
      <x:c r="AJ165" t="n">
        <x:f>--AND(AI165=1,R165=1,S165=1)</x:f>
        <x:v>0</x:v>
      </x:c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43" t="n">
        <x:f>--AND(N166=1,OR(O166="SUPPORTED",O166="HALLUCINATION"))</x:f>
        <x:v>0</x:v>
      </x:c>
      <x:c r="X166" s="43" t="n">
        <x:f>--AND(W166=1,O166="HALLUCINATION")</x:f>
        <x:v>0</x:v>
      </x:c>
      <x:c r="Y166" s="43" t="n">
        <x:f>--AND(Q166=1,O166="HALLUCINATION")</x:f>
        <x:v>0</x:v>
      </x:c>
      <x:c r="Z166" s="43" t="n">
        <x:f>--AND(Y166=1,R166=1,S166=1)</x:f>
        <x:v>0</x:v>
      </x:c>
      <x:c r="AC166" t="str">
        <x:f>IF(OR(AA166="",AB166=""),"",--(AA166&lt;&gt;AB166))</x:f>
      </x:c>
      <x:c r="AE166" t="str">
        <x:f>IF(OR(AA166="",AB166=""),"PENDING_HUMAN",IF(AA166=AB166,AA166,IF(AD166&lt;&gt;"",AD166,"PENDING_HUMAN")))</x:f>
        <x:v>PENDING_HUMAN</x:v>
      </x:c>
      <x:c r="AF166" t="n">
        <x:f>--AND(A166&lt;&gt;"",AA166&lt;&gt;"",AB166&lt;&gt;"",OR(AA166=AB166,AD166&lt;&gt;""),IF(AE166="HALLUCINATION",U166&lt;&gt;"",TRUE))</x:f>
        <x:v>0</x:v>
      </x:c>
      <x:c r="AG166" t="n">
        <x:f>--AND(N166=1,AF166=1,OR(AE166="SUPPORTED",AE166="HALLUCINATION"))</x:f>
        <x:v>0</x:v>
      </x:c>
      <x:c r="AH166" t="n">
        <x:f>--AND(AG166=1,AE166="HALLUCINATION")</x:f>
        <x:v>0</x:v>
      </x:c>
      <x:c r="AI166" t="n">
        <x:f>--AND(Q166=1,AF166=1,AE166="HALLUCINATION")</x:f>
        <x:v>0</x:v>
      </x:c>
      <x:c r="AJ166" t="n">
        <x:f>--AND(AI166=1,R166=1,S166=1)</x:f>
        <x:v>0</x:v>
      </x:c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43" t="n">
        <x:f>--AND(N167=1,OR(O167="SUPPORTED",O167="HALLUCINATION"))</x:f>
        <x:v>0</x:v>
      </x:c>
      <x:c r="X167" s="43" t="n">
        <x:f>--AND(W167=1,O167="HALLUCINATION")</x:f>
        <x:v>0</x:v>
      </x:c>
      <x:c r="Y167" s="43" t="n">
        <x:f>--AND(Q167=1,O167="HALLUCINATION")</x:f>
        <x:v>0</x:v>
      </x:c>
      <x:c r="Z167" s="43" t="n">
        <x:f>--AND(Y167=1,R167=1,S167=1)</x:f>
        <x:v>0</x:v>
      </x:c>
      <x:c r="AC167" t="str">
        <x:f>IF(OR(AA167="",AB167=""),"",--(AA167&lt;&gt;AB167))</x:f>
      </x:c>
      <x:c r="AE167" t="str">
        <x:f>IF(OR(AA167="",AB167=""),"PENDING_HUMAN",IF(AA167=AB167,AA167,IF(AD167&lt;&gt;"",AD167,"PENDING_HUMAN")))</x:f>
        <x:v>PENDING_HUMAN</x:v>
      </x:c>
      <x:c r="AF167" t="n">
        <x:f>--AND(A167&lt;&gt;"",AA167&lt;&gt;"",AB167&lt;&gt;"",OR(AA167=AB167,AD167&lt;&gt;""),IF(AE167="HALLUCINATION",U167&lt;&gt;"",TRUE))</x:f>
        <x:v>0</x:v>
      </x:c>
      <x:c r="AG167" t="n">
        <x:f>--AND(N167=1,AF167=1,OR(AE167="SUPPORTED",AE167="HALLUCINATION"))</x:f>
        <x:v>0</x:v>
      </x:c>
      <x:c r="AH167" t="n">
        <x:f>--AND(AG167=1,AE167="HALLUCINATION")</x:f>
        <x:v>0</x:v>
      </x:c>
      <x:c r="AI167" t="n">
        <x:f>--AND(Q167=1,AF167=1,AE167="HALLUCINATION")</x:f>
        <x:v>0</x:v>
      </x:c>
      <x:c r="AJ167" t="n">
        <x:f>--AND(AI167=1,R167=1,S167=1)</x:f>
        <x:v>0</x:v>
      </x:c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43" t="n">
        <x:f>--AND(N168=1,OR(O168="SUPPORTED",O168="HALLUCINATION"))</x:f>
        <x:v>0</x:v>
      </x:c>
      <x:c r="X168" s="43" t="n">
        <x:f>--AND(W168=1,O168="HALLUCINATION")</x:f>
        <x:v>0</x:v>
      </x:c>
      <x:c r="Y168" s="43" t="n">
        <x:f>--AND(Q168=1,O168="HALLUCINATION")</x:f>
        <x:v>0</x:v>
      </x:c>
      <x:c r="Z168" s="43" t="n">
        <x:f>--AND(Y168=1,R168=1,S168=1)</x:f>
        <x:v>0</x:v>
      </x:c>
      <x:c r="AC168" t="str">
        <x:f>IF(OR(AA168="",AB168=""),"",--(AA168&lt;&gt;AB168))</x:f>
      </x:c>
      <x:c r="AE168" t="str">
        <x:f>IF(OR(AA168="",AB168=""),"PENDING_HUMAN",IF(AA168=AB168,AA168,IF(AD168&lt;&gt;"",AD168,"PENDING_HUMAN")))</x:f>
        <x:v>PENDING_HUMAN</x:v>
      </x:c>
      <x:c r="AF168" t="n">
        <x:f>--AND(A168&lt;&gt;"",AA168&lt;&gt;"",AB168&lt;&gt;"",OR(AA168=AB168,AD168&lt;&gt;""),IF(AE168="HALLUCINATION",U168&lt;&gt;"",TRUE))</x:f>
        <x:v>0</x:v>
      </x:c>
      <x:c r="AG168" t="n">
        <x:f>--AND(N168=1,AF168=1,OR(AE168="SUPPORTED",AE168="HALLUCINATION"))</x:f>
        <x:v>0</x:v>
      </x:c>
      <x:c r="AH168" t="n">
        <x:f>--AND(AG168=1,AE168="HALLUCINATION")</x:f>
        <x:v>0</x:v>
      </x:c>
      <x:c r="AI168" t="n">
        <x:f>--AND(Q168=1,AF168=1,AE168="HALLUCINATION")</x:f>
        <x:v>0</x:v>
      </x:c>
      <x:c r="AJ168" t="n">
        <x:f>--AND(AI168=1,R168=1,S168=1)</x:f>
        <x:v>0</x:v>
      </x:c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43" t="n">
        <x:f>--AND(N169=1,OR(O169="SUPPORTED",O169="HALLUCINATION"))</x:f>
        <x:v>0</x:v>
      </x:c>
      <x:c r="X169" s="43" t="n">
        <x:f>--AND(W169=1,O169="HALLUCINATION")</x:f>
        <x:v>0</x:v>
      </x:c>
      <x:c r="Y169" s="43" t="n">
        <x:f>--AND(Q169=1,O169="HALLUCINATION")</x:f>
        <x:v>0</x:v>
      </x:c>
      <x:c r="Z169" s="43" t="n">
        <x:f>--AND(Y169=1,R169=1,S169=1)</x:f>
        <x:v>0</x:v>
      </x:c>
      <x:c r="AC169" t="str">
        <x:f>IF(OR(AA169="",AB169=""),"",--(AA169&lt;&gt;AB169))</x:f>
      </x:c>
      <x:c r="AE169" t="str">
        <x:f>IF(OR(AA169="",AB169=""),"PENDING_HUMAN",IF(AA169=AB169,AA169,IF(AD169&lt;&gt;"",AD169,"PENDING_HUMAN")))</x:f>
        <x:v>PENDING_HUMAN</x:v>
      </x:c>
      <x:c r="AF169" t="n">
        <x:f>--AND(A169&lt;&gt;"",AA169&lt;&gt;"",AB169&lt;&gt;"",OR(AA169=AB169,AD169&lt;&gt;""),IF(AE169="HALLUCINATION",U169&lt;&gt;"",TRUE))</x:f>
        <x:v>0</x:v>
      </x:c>
      <x:c r="AG169" t="n">
        <x:f>--AND(N169=1,AF169=1,OR(AE169="SUPPORTED",AE169="HALLUCINATION"))</x:f>
        <x:v>0</x:v>
      </x:c>
      <x:c r="AH169" t="n">
        <x:f>--AND(AG169=1,AE169="HALLUCINATION")</x:f>
        <x:v>0</x:v>
      </x:c>
      <x:c r="AI169" t="n">
        <x:f>--AND(Q169=1,AF169=1,AE169="HALLUCINATION")</x:f>
        <x:v>0</x:v>
      </x:c>
      <x:c r="AJ169" t="n">
        <x:f>--AND(AI169=1,R169=1,S169=1)</x:f>
        <x:v>0</x:v>
      </x:c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43" t="n">
        <x:f>--AND(N170=1,OR(O170="SUPPORTED",O170="HALLUCINATION"))</x:f>
        <x:v>0</x:v>
      </x:c>
      <x:c r="X170" s="43" t="n">
        <x:f>--AND(W170=1,O170="HALLUCINATION")</x:f>
        <x:v>0</x:v>
      </x:c>
      <x:c r="Y170" s="43" t="n">
        <x:f>--AND(Q170=1,O170="HALLUCINATION")</x:f>
        <x:v>0</x:v>
      </x:c>
      <x:c r="Z170" s="43" t="n">
        <x:f>--AND(Y170=1,R170=1,S170=1)</x:f>
        <x:v>0</x:v>
      </x:c>
      <x:c r="AC170" t="str">
        <x:f>IF(OR(AA170="",AB170=""),"",--(AA170&lt;&gt;AB170))</x:f>
      </x:c>
      <x:c r="AE170" t="str">
        <x:f>IF(OR(AA170="",AB170=""),"PENDING_HUMAN",IF(AA170=AB170,AA170,IF(AD170&lt;&gt;"",AD170,"PENDING_HUMAN")))</x:f>
        <x:v>PENDING_HUMAN</x:v>
      </x:c>
      <x:c r="AF170" t="n">
        <x:f>--AND(A170&lt;&gt;"",AA170&lt;&gt;"",AB170&lt;&gt;"",OR(AA170=AB170,AD170&lt;&gt;""),IF(AE170="HALLUCINATION",U170&lt;&gt;"",TRUE))</x:f>
        <x:v>0</x:v>
      </x:c>
      <x:c r="AG170" t="n">
        <x:f>--AND(N170=1,AF170=1,OR(AE170="SUPPORTED",AE170="HALLUCINATION"))</x:f>
        <x:v>0</x:v>
      </x:c>
      <x:c r="AH170" t="n">
        <x:f>--AND(AG170=1,AE170="HALLUCINATION")</x:f>
        <x:v>0</x:v>
      </x:c>
      <x:c r="AI170" t="n">
        <x:f>--AND(Q170=1,AF170=1,AE170="HALLUCINATION")</x:f>
        <x:v>0</x:v>
      </x:c>
      <x:c r="AJ170" t="n">
        <x:f>--AND(AI170=1,R170=1,S170=1)</x:f>
        <x:v>0</x:v>
      </x:c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43" t="n">
        <x:f>--AND(N171=1,OR(O171="SUPPORTED",O171="HALLUCINATION"))</x:f>
        <x:v>0</x:v>
      </x:c>
      <x:c r="X171" s="43" t="n">
        <x:f>--AND(W171=1,O171="HALLUCINATION")</x:f>
        <x:v>0</x:v>
      </x:c>
      <x:c r="Y171" s="43" t="n">
        <x:f>--AND(Q171=1,O171="HALLUCINATION")</x:f>
        <x:v>0</x:v>
      </x:c>
      <x:c r="Z171" s="43" t="n">
        <x:f>--AND(Y171=1,R171=1,S171=1)</x:f>
        <x:v>0</x:v>
      </x:c>
      <x:c r="AC171" t="str">
        <x:f>IF(OR(AA171="",AB171=""),"",--(AA171&lt;&gt;AB171))</x:f>
      </x:c>
      <x:c r="AE171" t="str">
        <x:f>IF(OR(AA171="",AB171=""),"PENDING_HUMAN",IF(AA171=AB171,AA171,IF(AD171&lt;&gt;"",AD171,"PENDING_HUMAN")))</x:f>
        <x:v>PENDING_HUMAN</x:v>
      </x:c>
      <x:c r="AF171" t="n">
        <x:f>--AND(A171&lt;&gt;"",AA171&lt;&gt;"",AB171&lt;&gt;"",OR(AA171=AB171,AD171&lt;&gt;""),IF(AE171="HALLUCINATION",U171&lt;&gt;"",TRUE))</x:f>
        <x:v>0</x:v>
      </x:c>
      <x:c r="AG171" t="n">
        <x:f>--AND(N171=1,AF171=1,OR(AE171="SUPPORTED",AE171="HALLUCINATION"))</x:f>
        <x:v>0</x:v>
      </x:c>
      <x:c r="AH171" t="n">
        <x:f>--AND(AG171=1,AE171="HALLUCINATION")</x:f>
        <x:v>0</x:v>
      </x:c>
      <x:c r="AI171" t="n">
        <x:f>--AND(Q171=1,AF171=1,AE171="HALLUCINATION")</x:f>
        <x:v>0</x:v>
      </x:c>
      <x:c r="AJ171" t="n">
        <x:f>--AND(AI171=1,R171=1,S171=1)</x:f>
        <x:v>0</x:v>
      </x:c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43" t="n">
        <x:f>--AND(N172=1,OR(O172="SUPPORTED",O172="HALLUCINATION"))</x:f>
        <x:v>0</x:v>
      </x:c>
      <x:c r="X172" s="43" t="n">
        <x:f>--AND(W172=1,O172="HALLUCINATION")</x:f>
        <x:v>0</x:v>
      </x:c>
      <x:c r="Y172" s="43" t="n">
        <x:f>--AND(Q172=1,O172="HALLUCINATION")</x:f>
        <x:v>0</x:v>
      </x:c>
      <x:c r="Z172" s="43" t="n">
        <x:f>--AND(Y172=1,R172=1,S172=1)</x:f>
        <x:v>0</x:v>
      </x:c>
      <x:c r="AC172" t="str">
        <x:f>IF(OR(AA172="",AB172=""),"",--(AA172&lt;&gt;AB172))</x:f>
      </x:c>
      <x:c r="AE172" t="str">
        <x:f>IF(OR(AA172="",AB172=""),"PENDING_HUMAN",IF(AA172=AB172,AA172,IF(AD172&lt;&gt;"",AD172,"PENDING_HUMAN")))</x:f>
        <x:v>PENDING_HUMAN</x:v>
      </x:c>
      <x:c r="AF172" t="n">
        <x:f>--AND(A172&lt;&gt;"",AA172&lt;&gt;"",AB172&lt;&gt;"",OR(AA172=AB172,AD172&lt;&gt;""),IF(AE172="HALLUCINATION",U172&lt;&gt;"",TRUE))</x:f>
        <x:v>0</x:v>
      </x:c>
      <x:c r="AG172" t="n">
        <x:f>--AND(N172=1,AF172=1,OR(AE172="SUPPORTED",AE172="HALLUCINATION"))</x:f>
        <x:v>0</x:v>
      </x:c>
      <x:c r="AH172" t="n">
        <x:f>--AND(AG172=1,AE172="HALLUCINATION")</x:f>
        <x:v>0</x:v>
      </x:c>
      <x:c r="AI172" t="n">
        <x:f>--AND(Q172=1,AF172=1,AE172="HALLUCINATION")</x:f>
        <x:v>0</x:v>
      </x:c>
      <x:c r="AJ172" t="n">
        <x:f>--AND(AI172=1,R172=1,S172=1)</x:f>
        <x:v>0</x:v>
      </x:c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43" t="n">
        <x:f>--AND(N173=1,OR(O173="SUPPORTED",O173="HALLUCINATION"))</x:f>
        <x:v>0</x:v>
      </x:c>
      <x:c r="X173" s="43" t="n">
        <x:f>--AND(W173=1,O173="HALLUCINATION")</x:f>
        <x:v>0</x:v>
      </x:c>
      <x:c r="Y173" s="43" t="n">
        <x:f>--AND(Q173=1,O173="HALLUCINATION")</x:f>
        <x:v>0</x:v>
      </x:c>
      <x:c r="Z173" s="43" t="n">
        <x:f>--AND(Y173=1,R173=1,S173=1)</x:f>
        <x:v>0</x:v>
      </x:c>
      <x:c r="AC173" t="str">
        <x:f>IF(OR(AA173="",AB173=""),"",--(AA173&lt;&gt;AB173))</x:f>
      </x:c>
      <x:c r="AE173" t="str">
        <x:f>IF(OR(AA173="",AB173=""),"PENDING_HUMAN",IF(AA173=AB173,AA173,IF(AD173&lt;&gt;"",AD173,"PENDING_HUMAN")))</x:f>
        <x:v>PENDING_HUMAN</x:v>
      </x:c>
      <x:c r="AF173" t="n">
        <x:f>--AND(A173&lt;&gt;"",AA173&lt;&gt;"",AB173&lt;&gt;"",OR(AA173=AB173,AD173&lt;&gt;""),IF(AE173="HALLUCINATION",U173&lt;&gt;"",TRUE))</x:f>
        <x:v>0</x:v>
      </x:c>
      <x:c r="AG173" t="n">
        <x:f>--AND(N173=1,AF173=1,OR(AE173="SUPPORTED",AE173="HALLUCINATION"))</x:f>
        <x:v>0</x:v>
      </x:c>
      <x:c r="AH173" t="n">
        <x:f>--AND(AG173=1,AE173="HALLUCINATION")</x:f>
        <x:v>0</x:v>
      </x:c>
      <x:c r="AI173" t="n">
        <x:f>--AND(Q173=1,AF173=1,AE173="HALLUCINATION")</x:f>
        <x:v>0</x:v>
      </x:c>
      <x:c r="AJ173" t="n">
        <x:f>--AND(AI173=1,R173=1,S173=1)</x:f>
        <x:v>0</x:v>
      </x:c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43" t="n">
        <x:f>--AND(N174=1,OR(O174="SUPPORTED",O174="HALLUCINATION"))</x:f>
        <x:v>0</x:v>
      </x:c>
      <x:c r="X174" s="43" t="n">
        <x:f>--AND(W174=1,O174="HALLUCINATION")</x:f>
        <x:v>0</x:v>
      </x:c>
      <x:c r="Y174" s="43" t="n">
        <x:f>--AND(Q174=1,O174="HALLUCINATION")</x:f>
        <x:v>0</x:v>
      </x:c>
      <x:c r="Z174" s="43" t="n">
        <x:f>--AND(Y174=1,R174=1,S174=1)</x:f>
        <x:v>0</x:v>
      </x:c>
      <x:c r="AC174" t="str">
        <x:f>IF(OR(AA174="",AB174=""),"",--(AA174&lt;&gt;AB174))</x:f>
      </x:c>
      <x:c r="AE174" t="str">
        <x:f>IF(OR(AA174="",AB174=""),"PENDING_HUMAN",IF(AA174=AB174,AA174,IF(AD174&lt;&gt;"",AD174,"PENDING_HUMAN")))</x:f>
        <x:v>PENDING_HUMAN</x:v>
      </x:c>
      <x:c r="AF174" t="n">
        <x:f>--AND(A174&lt;&gt;"",AA174&lt;&gt;"",AB174&lt;&gt;"",OR(AA174=AB174,AD174&lt;&gt;""),IF(AE174="HALLUCINATION",U174&lt;&gt;"",TRUE))</x:f>
        <x:v>0</x:v>
      </x:c>
      <x:c r="AG174" t="n">
        <x:f>--AND(N174=1,AF174=1,OR(AE174="SUPPORTED",AE174="HALLUCINATION"))</x:f>
        <x:v>0</x:v>
      </x:c>
      <x:c r="AH174" t="n">
        <x:f>--AND(AG174=1,AE174="HALLUCINATION")</x:f>
        <x:v>0</x:v>
      </x:c>
      <x:c r="AI174" t="n">
        <x:f>--AND(Q174=1,AF174=1,AE174="HALLUCINATION")</x:f>
        <x:v>0</x:v>
      </x:c>
      <x:c r="AJ174" t="n">
        <x:f>--AND(AI174=1,R174=1,S174=1)</x:f>
        <x:v>0</x:v>
      </x:c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43" t="n">
        <x:f>--AND(N175=1,OR(O175="SUPPORTED",O175="HALLUCINATION"))</x:f>
        <x:v>0</x:v>
      </x:c>
      <x:c r="X175" s="43" t="n">
        <x:f>--AND(W175=1,O175="HALLUCINATION")</x:f>
        <x:v>0</x:v>
      </x:c>
      <x:c r="Y175" s="43" t="n">
        <x:f>--AND(Q175=1,O175="HALLUCINATION")</x:f>
        <x:v>0</x:v>
      </x:c>
      <x:c r="Z175" s="43" t="n">
        <x:f>--AND(Y175=1,R175=1,S175=1)</x:f>
        <x:v>0</x:v>
      </x:c>
      <x:c r="AC175" t="str">
        <x:f>IF(OR(AA175="",AB175=""),"",--(AA175&lt;&gt;AB175))</x:f>
      </x:c>
      <x:c r="AE175" t="str">
        <x:f>IF(OR(AA175="",AB175=""),"PENDING_HUMAN",IF(AA175=AB175,AA175,IF(AD175&lt;&gt;"",AD175,"PENDING_HUMAN")))</x:f>
        <x:v>PENDING_HUMAN</x:v>
      </x:c>
      <x:c r="AF175" t="n">
        <x:f>--AND(A175&lt;&gt;"",AA175&lt;&gt;"",AB175&lt;&gt;"",OR(AA175=AB175,AD175&lt;&gt;""),IF(AE175="HALLUCINATION",U175&lt;&gt;"",TRUE))</x:f>
        <x:v>0</x:v>
      </x:c>
      <x:c r="AG175" t="n">
        <x:f>--AND(N175=1,AF175=1,OR(AE175="SUPPORTED",AE175="HALLUCINATION"))</x:f>
        <x:v>0</x:v>
      </x:c>
      <x:c r="AH175" t="n">
        <x:f>--AND(AG175=1,AE175="HALLUCINATION")</x:f>
        <x:v>0</x:v>
      </x:c>
      <x:c r="AI175" t="n">
        <x:f>--AND(Q175=1,AF175=1,AE175="HALLUCINATION")</x:f>
        <x:v>0</x:v>
      </x:c>
      <x:c r="AJ175" t="n">
        <x:f>--AND(AI175=1,R175=1,S175=1)</x:f>
        <x:v>0</x:v>
      </x:c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43" t="n">
        <x:f>--AND(N176=1,OR(O176="SUPPORTED",O176="HALLUCINATION"))</x:f>
        <x:v>0</x:v>
      </x:c>
      <x:c r="X176" s="43" t="n">
        <x:f>--AND(W176=1,O176="HALLUCINATION")</x:f>
        <x:v>0</x:v>
      </x:c>
      <x:c r="Y176" s="43" t="n">
        <x:f>--AND(Q176=1,O176="HALLUCINATION")</x:f>
        <x:v>0</x:v>
      </x:c>
      <x:c r="Z176" s="43" t="n">
        <x:f>--AND(Y176=1,R176=1,S176=1)</x:f>
        <x:v>0</x:v>
      </x:c>
      <x:c r="AC176" t="str">
        <x:f>IF(OR(AA176="",AB176=""),"",--(AA176&lt;&gt;AB176))</x:f>
      </x:c>
      <x:c r="AE176" t="str">
        <x:f>IF(OR(AA176="",AB176=""),"PENDING_HUMAN",IF(AA176=AB176,AA176,IF(AD176&lt;&gt;"",AD176,"PENDING_HUMAN")))</x:f>
        <x:v>PENDING_HUMAN</x:v>
      </x:c>
      <x:c r="AF176" t="n">
        <x:f>--AND(A176&lt;&gt;"",AA176&lt;&gt;"",AB176&lt;&gt;"",OR(AA176=AB176,AD176&lt;&gt;""),IF(AE176="HALLUCINATION",U176&lt;&gt;"",TRUE))</x:f>
        <x:v>0</x:v>
      </x:c>
      <x:c r="AG176" t="n">
        <x:f>--AND(N176=1,AF176=1,OR(AE176="SUPPORTED",AE176="HALLUCINATION"))</x:f>
        <x:v>0</x:v>
      </x:c>
      <x:c r="AH176" t="n">
        <x:f>--AND(AG176=1,AE176="HALLUCINATION")</x:f>
        <x:v>0</x:v>
      </x:c>
      <x:c r="AI176" t="n">
        <x:f>--AND(Q176=1,AF176=1,AE176="HALLUCINATION")</x:f>
        <x:v>0</x:v>
      </x:c>
      <x:c r="AJ176" t="n">
        <x:f>--AND(AI176=1,R176=1,S176=1)</x:f>
        <x:v>0</x:v>
      </x:c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43" t="n">
        <x:f>--AND(N177=1,OR(O177="SUPPORTED",O177="HALLUCINATION"))</x:f>
        <x:v>0</x:v>
      </x:c>
      <x:c r="X177" s="43" t="n">
        <x:f>--AND(W177=1,O177="HALLUCINATION")</x:f>
        <x:v>0</x:v>
      </x:c>
      <x:c r="Y177" s="43" t="n">
        <x:f>--AND(Q177=1,O177="HALLUCINATION")</x:f>
        <x:v>0</x:v>
      </x:c>
      <x:c r="Z177" s="43" t="n">
        <x:f>--AND(Y177=1,R177=1,S177=1)</x:f>
        <x:v>0</x:v>
      </x:c>
      <x:c r="AC177" t="str">
        <x:f>IF(OR(AA177="",AB177=""),"",--(AA177&lt;&gt;AB177))</x:f>
      </x:c>
      <x:c r="AE177" t="str">
        <x:f>IF(OR(AA177="",AB177=""),"PENDING_HUMAN",IF(AA177=AB177,AA177,IF(AD177&lt;&gt;"",AD177,"PENDING_HUMAN")))</x:f>
        <x:v>PENDING_HUMAN</x:v>
      </x:c>
      <x:c r="AF177" t="n">
        <x:f>--AND(A177&lt;&gt;"",AA177&lt;&gt;"",AB177&lt;&gt;"",OR(AA177=AB177,AD177&lt;&gt;""),IF(AE177="HALLUCINATION",U177&lt;&gt;"",TRUE))</x:f>
        <x:v>0</x:v>
      </x:c>
      <x:c r="AG177" t="n">
        <x:f>--AND(N177=1,AF177=1,OR(AE177="SUPPORTED",AE177="HALLUCINATION"))</x:f>
        <x:v>0</x:v>
      </x:c>
      <x:c r="AH177" t="n">
        <x:f>--AND(AG177=1,AE177="HALLUCINATION")</x:f>
        <x:v>0</x:v>
      </x:c>
      <x:c r="AI177" t="n">
        <x:f>--AND(Q177=1,AF177=1,AE177="HALLUCINATION")</x:f>
        <x:v>0</x:v>
      </x:c>
      <x:c r="AJ177" t="n">
        <x:f>--AND(AI177=1,R177=1,S177=1)</x:f>
        <x:v>0</x:v>
      </x:c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43" t="n">
        <x:f>--AND(N178=1,OR(O178="SUPPORTED",O178="HALLUCINATION"))</x:f>
        <x:v>0</x:v>
      </x:c>
      <x:c r="X178" s="43" t="n">
        <x:f>--AND(W178=1,O178="HALLUCINATION")</x:f>
        <x:v>0</x:v>
      </x:c>
      <x:c r="Y178" s="43" t="n">
        <x:f>--AND(Q178=1,O178="HALLUCINATION")</x:f>
        <x:v>0</x:v>
      </x:c>
      <x:c r="Z178" s="43" t="n">
        <x:f>--AND(Y178=1,R178=1,S178=1)</x:f>
        <x:v>0</x:v>
      </x:c>
      <x:c r="AC178" t="str">
        <x:f>IF(OR(AA178="",AB178=""),"",--(AA178&lt;&gt;AB178))</x:f>
      </x:c>
      <x:c r="AE178" t="str">
        <x:f>IF(OR(AA178="",AB178=""),"PENDING_HUMAN",IF(AA178=AB178,AA178,IF(AD178&lt;&gt;"",AD178,"PENDING_HUMAN")))</x:f>
        <x:v>PENDING_HUMAN</x:v>
      </x:c>
      <x:c r="AF178" t="n">
        <x:f>--AND(A178&lt;&gt;"",AA178&lt;&gt;"",AB178&lt;&gt;"",OR(AA178=AB178,AD178&lt;&gt;""),IF(AE178="HALLUCINATION",U178&lt;&gt;"",TRUE))</x:f>
        <x:v>0</x:v>
      </x:c>
      <x:c r="AG178" t="n">
        <x:f>--AND(N178=1,AF178=1,OR(AE178="SUPPORTED",AE178="HALLUCINATION"))</x:f>
        <x:v>0</x:v>
      </x:c>
      <x:c r="AH178" t="n">
        <x:f>--AND(AG178=1,AE178="HALLUCINATION")</x:f>
        <x:v>0</x:v>
      </x:c>
      <x:c r="AI178" t="n">
        <x:f>--AND(Q178=1,AF178=1,AE178="HALLUCINATION")</x:f>
        <x:v>0</x:v>
      </x:c>
      <x:c r="AJ178" t="n">
        <x:f>--AND(AI178=1,R178=1,S178=1)</x:f>
        <x:v>0</x:v>
      </x:c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43" t="n">
        <x:f>--AND(N179=1,OR(O179="SUPPORTED",O179="HALLUCINATION"))</x:f>
        <x:v>0</x:v>
      </x:c>
      <x:c r="X179" s="43" t="n">
        <x:f>--AND(W179=1,O179="HALLUCINATION")</x:f>
        <x:v>0</x:v>
      </x:c>
      <x:c r="Y179" s="43" t="n">
        <x:f>--AND(Q179=1,O179="HALLUCINATION")</x:f>
        <x:v>0</x:v>
      </x:c>
      <x:c r="Z179" s="43" t="n">
        <x:f>--AND(Y179=1,R179=1,S179=1)</x:f>
        <x:v>0</x:v>
      </x:c>
      <x:c r="AC179" t="str">
        <x:f>IF(OR(AA179="",AB179=""),"",--(AA179&lt;&gt;AB179))</x:f>
      </x:c>
      <x:c r="AE179" t="str">
        <x:f>IF(OR(AA179="",AB179=""),"PENDING_HUMAN",IF(AA179=AB179,AA179,IF(AD179&lt;&gt;"",AD179,"PENDING_HUMAN")))</x:f>
        <x:v>PENDING_HUMAN</x:v>
      </x:c>
      <x:c r="AF179" t="n">
        <x:f>--AND(A179&lt;&gt;"",AA179&lt;&gt;"",AB179&lt;&gt;"",OR(AA179=AB179,AD179&lt;&gt;""),IF(AE179="HALLUCINATION",U179&lt;&gt;"",TRUE))</x:f>
        <x:v>0</x:v>
      </x:c>
      <x:c r="AG179" t="n">
        <x:f>--AND(N179=1,AF179=1,OR(AE179="SUPPORTED",AE179="HALLUCINATION"))</x:f>
        <x:v>0</x:v>
      </x:c>
      <x:c r="AH179" t="n">
        <x:f>--AND(AG179=1,AE179="HALLUCINATION")</x:f>
        <x:v>0</x:v>
      </x:c>
      <x:c r="AI179" t="n">
        <x:f>--AND(Q179=1,AF179=1,AE179="HALLUCINATION")</x:f>
        <x:v>0</x:v>
      </x:c>
      <x:c r="AJ179" t="n">
        <x:f>--AND(AI179=1,R179=1,S179=1)</x:f>
        <x:v>0</x:v>
      </x:c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43" t="n">
        <x:f>--AND(N180=1,OR(O180="SUPPORTED",O180="HALLUCINATION"))</x:f>
        <x:v>0</x:v>
      </x:c>
      <x:c r="X180" s="43" t="n">
        <x:f>--AND(W180=1,O180="HALLUCINATION")</x:f>
        <x:v>0</x:v>
      </x:c>
      <x:c r="Y180" s="43" t="n">
        <x:f>--AND(Q180=1,O180="HALLUCINATION")</x:f>
        <x:v>0</x:v>
      </x:c>
      <x:c r="Z180" s="43" t="n">
        <x:f>--AND(Y180=1,R180=1,S180=1)</x:f>
        <x:v>0</x:v>
      </x:c>
      <x:c r="AC180" t="str">
        <x:f>IF(OR(AA180="",AB180=""),"",--(AA180&lt;&gt;AB180))</x:f>
      </x:c>
      <x:c r="AE180" t="str">
        <x:f>IF(OR(AA180="",AB180=""),"PENDING_HUMAN",IF(AA180=AB180,AA180,IF(AD180&lt;&gt;"",AD180,"PENDING_HUMAN")))</x:f>
        <x:v>PENDING_HUMAN</x:v>
      </x:c>
      <x:c r="AF180" t="n">
        <x:f>--AND(A180&lt;&gt;"",AA180&lt;&gt;"",AB180&lt;&gt;"",OR(AA180=AB180,AD180&lt;&gt;""),IF(AE180="HALLUCINATION",U180&lt;&gt;"",TRUE))</x:f>
        <x:v>0</x:v>
      </x:c>
      <x:c r="AG180" t="n">
        <x:f>--AND(N180=1,AF180=1,OR(AE180="SUPPORTED",AE180="HALLUCINATION"))</x:f>
        <x:v>0</x:v>
      </x:c>
      <x:c r="AH180" t="n">
        <x:f>--AND(AG180=1,AE180="HALLUCINATION")</x:f>
        <x:v>0</x:v>
      </x:c>
      <x:c r="AI180" t="n">
        <x:f>--AND(Q180=1,AF180=1,AE180="HALLUCINATION")</x:f>
        <x:v>0</x:v>
      </x:c>
      <x:c r="AJ180" t="n">
        <x:f>--AND(AI180=1,R180=1,S180=1)</x:f>
        <x:v>0</x:v>
      </x:c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43" t="n">
        <x:f>--AND(N181=1,OR(O181="SUPPORTED",O181="HALLUCINATION"))</x:f>
        <x:v>0</x:v>
      </x:c>
      <x:c r="X181" s="43" t="n">
        <x:f>--AND(W181=1,O181="HALLUCINATION")</x:f>
        <x:v>0</x:v>
      </x:c>
      <x:c r="Y181" s="43" t="n">
        <x:f>--AND(Q181=1,O181="HALLUCINATION")</x:f>
        <x:v>0</x:v>
      </x:c>
      <x:c r="Z181" s="43" t="n">
        <x:f>--AND(Y181=1,R181=1,S181=1)</x:f>
        <x:v>0</x:v>
      </x:c>
      <x:c r="AC181" t="str">
        <x:f>IF(OR(AA181="",AB181=""),"",--(AA181&lt;&gt;AB181))</x:f>
      </x:c>
      <x:c r="AE181" t="str">
        <x:f>IF(OR(AA181="",AB181=""),"PENDING_HUMAN",IF(AA181=AB181,AA181,IF(AD181&lt;&gt;"",AD181,"PENDING_HUMAN")))</x:f>
        <x:v>PENDING_HUMAN</x:v>
      </x:c>
      <x:c r="AF181" t="n">
        <x:f>--AND(A181&lt;&gt;"",AA181&lt;&gt;"",AB181&lt;&gt;"",OR(AA181=AB181,AD181&lt;&gt;""),IF(AE181="HALLUCINATION",U181&lt;&gt;"",TRUE))</x:f>
        <x:v>0</x:v>
      </x:c>
      <x:c r="AG181" t="n">
        <x:f>--AND(N181=1,AF181=1,OR(AE181="SUPPORTED",AE181="HALLUCINATION"))</x:f>
        <x:v>0</x:v>
      </x:c>
      <x:c r="AH181" t="n">
        <x:f>--AND(AG181=1,AE181="HALLUCINATION")</x:f>
        <x:v>0</x:v>
      </x:c>
      <x:c r="AI181" t="n">
        <x:f>--AND(Q181=1,AF181=1,AE181="HALLUCINATION")</x:f>
        <x:v>0</x:v>
      </x:c>
      <x:c r="AJ181" t="n">
        <x:f>--AND(AI181=1,R181=1,S181=1)</x:f>
        <x:v>0</x:v>
      </x:c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43" t="n">
        <x:f>--AND(N182=1,OR(O182="SUPPORTED",O182="HALLUCINATION"))</x:f>
        <x:v>0</x:v>
      </x:c>
      <x:c r="X182" s="43" t="n">
        <x:f>--AND(W182=1,O182="HALLUCINATION")</x:f>
        <x:v>0</x:v>
      </x:c>
      <x:c r="Y182" s="43" t="n">
        <x:f>--AND(Q182=1,O182="HALLUCINATION")</x:f>
        <x:v>0</x:v>
      </x:c>
      <x:c r="Z182" s="43" t="n">
        <x:f>--AND(Y182=1,R182=1,S182=1)</x:f>
        <x:v>0</x:v>
      </x:c>
      <x:c r="AC182" t="str">
        <x:f>IF(OR(AA182="",AB182=""),"",--(AA182&lt;&gt;AB182))</x:f>
      </x:c>
      <x:c r="AE182" t="str">
        <x:f>IF(OR(AA182="",AB182=""),"PENDING_HUMAN",IF(AA182=AB182,AA182,IF(AD182&lt;&gt;"",AD182,"PENDING_HUMAN")))</x:f>
        <x:v>PENDING_HUMAN</x:v>
      </x:c>
      <x:c r="AF182" t="n">
        <x:f>--AND(A182&lt;&gt;"",AA182&lt;&gt;"",AB182&lt;&gt;"",OR(AA182=AB182,AD182&lt;&gt;""),IF(AE182="HALLUCINATION",U182&lt;&gt;"",TRUE))</x:f>
        <x:v>0</x:v>
      </x:c>
      <x:c r="AG182" t="n">
        <x:f>--AND(N182=1,AF182=1,OR(AE182="SUPPORTED",AE182="HALLUCINATION"))</x:f>
        <x:v>0</x:v>
      </x:c>
      <x:c r="AH182" t="n">
        <x:f>--AND(AG182=1,AE182="HALLUCINATION")</x:f>
        <x:v>0</x:v>
      </x:c>
      <x:c r="AI182" t="n">
        <x:f>--AND(Q182=1,AF182=1,AE182="HALLUCINATION")</x:f>
        <x:v>0</x:v>
      </x:c>
      <x:c r="AJ182" t="n">
        <x:f>--AND(AI182=1,R182=1,S182=1)</x:f>
        <x:v>0</x:v>
      </x:c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43" t="n">
        <x:f>--AND(N183=1,OR(O183="SUPPORTED",O183="HALLUCINATION"))</x:f>
        <x:v>0</x:v>
      </x:c>
      <x:c r="X183" s="43" t="n">
        <x:f>--AND(W183=1,O183="HALLUCINATION")</x:f>
        <x:v>0</x:v>
      </x:c>
      <x:c r="Y183" s="43" t="n">
        <x:f>--AND(Q183=1,O183="HALLUCINATION")</x:f>
        <x:v>0</x:v>
      </x:c>
      <x:c r="Z183" s="43" t="n">
        <x:f>--AND(Y183=1,R183=1,S183=1)</x:f>
        <x:v>0</x:v>
      </x:c>
      <x:c r="AC183" t="str">
        <x:f>IF(OR(AA183="",AB183=""),"",--(AA183&lt;&gt;AB183))</x:f>
      </x:c>
      <x:c r="AE183" t="str">
        <x:f>IF(OR(AA183="",AB183=""),"PENDING_HUMAN",IF(AA183=AB183,AA183,IF(AD183&lt;&gt;"",AD183,"PENDING_HUMAN")))</x:f>
        <x:v>PENDING_HUMAN</x:v>
      </x:c>
      <x:c r="AF183" t="n">
        <x:f>--AND(A183&lt;&gt;"",AA183&lt;&gt;"",AB183&lt;&gt;"",OR(AA183=AB183,AD183&lt;&gt;""),IF(AE183="HALLUCINATION",U183&lt;&gt;"",TRUE))</x:f>
        <x:v>0</x:v>
      </x:c>
      <x:c r="AG183" t="n">
        <x:f>--AND(N183=1,AF183=1,OR(AE183="SUPPORTED",AE183="HALLUCINATION"))</x:f>
        <x:v>0</x:v>
      </x:c>
      <x:c r="AH183" t="n">
        <x:f>--AND(AG183=1,AE183="HALLUCINATION")</x:f>
        <x:v>0</x:v>
      </x:c>
      <x:c r="AI183" t="n">
        <x:f>--AND(Q183=1,AF183=1,AE183="HALLUCINATION")</x:f>
        <x:v>0</x:v>
      </x:c>
      <x:c r="AJ183" t="n">
        <x:f>--AND(AI183=1,R183=1,S183=1)</x:f>
        <x:v>0</x:v>
      </x:c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43" t="n">
        <x:f>--AND(N184=1,OR(O184="SUPPORTED",O184="HALLUCINATION"))</x:f>
        <x:v>0</x:v>
      </x:c>
      <x:c r="X184" s="43" t="n">
        <x:f>--AND(W184=1,O184="HALLUCINATION")</x:f>
        <x:v>0</x:v>
      </x:c>
      <x:c r="Y184" s="43" t="n">
        <x:f>--AND(Q184=1,O184="HALLUCINATION")</x:f>
        <x:v>0</x:v>
      </x:c>
      <x:c r="Z184" s="43" t="n">
        <x:f>--AND(Y184=1,R184=1,S184=1)</x:f>
        <x:v>0</x:v>
      </x:c>
      <x:c r="AC184" t="str">
        <x:f>IF(OR(AA184="",AB184=""),"",--(AA184&lt;&gt;AB184))</x:f>
      </x:c>
      <x:c r="AE184" t="str">
        <x:f>IF(OR(AA184="",AB184=""),"PENDING_HUMAN",IF(AA184=AB184,AA184,IF(AD184&lt;&gt;"",AD184,"PENDING_HUMAN")))</x:f>
        <x:v>PENDING_HUMAN</x:v>
      </x:c>
      <x:c r="AF184" t="n">
        <x:f>--AND(A184&lt;&gt;"",AA184&lt;&gt;"",AB184&lt;&gt;"",OR(AA184=AB184,AD184&lt;&gt;""),IF(AE184="HALLUCINATION",U184&lt;&gt;"",TRUE))</x:f>
        <x:v>0</x:v>
      </x:c>
      <x:c r="AG184" t="n">
        <x:f>--AND(N184=1,AF184=1,OR(AE184="SUPPORTED",AE184="HALLUCINATION"))</x:f>
        <x:v>0</x:v>
      </x:c>
      <x:c r="AH184" t="n">
        <x:f>--AND(AG184=1,AE184="HALLUCINATION")</x:f>
        <x:v>0</x:v>
      </x:c>
      <x:c r="AI184" t="n">
        <x:f>--AND(Q184=1,AF184=1,AE184="HALLUCINATION")</x:f>
        <x:v>0</x:v>
      </x:c>
      <x:c r="AJ184" t="n">
        <x:f>--AND(AI184=1,R184=1,S184=1)</x:f>
        <x:v>0</x:v>
      </x:c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43" t="n">
        <x:f>--AND(N185=1,OR(O185="SUPPORTED",O185="HALLUCINATION"))</x:f>
        <x:v>0</x:v>
      </x:c>
      <x:c r="X185" s="43" t="n">
        <x:f>--AND(W185=1,O185="HALLUCINATION")</x:f>
        <x:v>0</x:v>
      </x:c>
      <x:c r="Y185" s="43" t="n">
        <x:f>--AND(Q185=1,O185="HALLUCINATION")</x:f>
        <x:v>0</x:v>
      </x:c>
      <x:c r="Z185" s="43" t="n">
        <x:f>--AND(Y185=1,R185=1,S185=1)</x:f>
        <x:v>0</x:v>
      </x:c>
      <x:c r="AC185" t="str">
        <x:f>IF(OR(AA185="",AB185=""),"",--(AA185&lt;&gt;AB185))</x:f>
      </x:c>
      <x:c r="AE185" t="str">
        <x:f>IF(OR(AA185="",AB185=""),"PENDING_HUMAN",IF(AA185=AB185,AA185,IF(AD185&lt;&gt;"",AD185,"PENDING_HUMAN")))</x:f>
        <x:v>PENDING_HUMAN</x:v>
      </x:c>
      <x:c r="AF185" t="n">
        <x:f>--AND(A185&lt;&gt;"",AA185&lt;&gt;"",AB185&lt;&gt;"",OR(AA185=AB185,AD185&lt;&gt;""),IF(AE185="HALLUCINATION",U185&lt;&gt;"",TRUE))</x:f>
        <x:v>0</x:v>
      </x:c>
      <x:c r="AG185" t="n">
        <x:f>--AND(N185=1,AF185=1,OR(AE185="SUPPORTED",AE185="HALLUCINATION"))</x:f>
        <x:v>0</x:v>
      </x:c>
      <x:c r="AH185" t="n">
        <x:f>--AND(AG185=1,AE185="HALLUCINATION")</x:f>
        <x:v>0</x:v>
      </x:c>
      <x:c r="AI185" t="n">
        <x:f>--AND(Q185=1,AF185=1,AE185="HALLUCINATION")</x:f>
        <x:v>0</x:v>
      </x:c>
      <x:c r="AJ185" t="n">
        <x:f>--AND(AI185=1,R185=1,S185=1)</x:f>
        <x:v>0</x:v>
      </x:c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43" t="n">
        <x:f>--AND(N186=1,OR(O186="SUPPORTED",O186="HALLUCINATION"))</x:f>
        <x:v>0</x:v>
      </x:c>
      <x:c r="X186" s="43" t="n">
        <x:f>--AND(W186=1,O186="HALLUCINATION")</x:f>
        <x:v>0</x:v>
      </x:c>
      <x:c r="Y186" s="43" t="n">
        <x:f>--AND(Q186=1,O186="HALLUCINATION")</x:f>
        <x:v>0</x:v>
      </x:c>
      <x:c r="Z186" s="43" t="n">
        <x:f>--AND(Y186=1,R186=1,S186=1)</x:f>
        <x:v>0</x:v>
      </x:c>
      <x:c r="AC186" t="str">
        <x:f>IF(OR(AA186="",AB186=""),"",--(AA186&lt;&gt;AB186))</x:f>
      </x:c>
      <x:c r="AE186" t="str">
        <x:f>IF(OR(AA186="",AB186=""),"PENDING_HUMAN",IF(AA186=AB186,AA186,IF(AD186&lt;&gt;"",AD186,"PENDING_HUMAN")))</x:f>
        <x:v>PENDING_HUMAN</x:v>
      </x:c>
      <x:c r="AF186" t="n">
        <x:f>--AND(A186&lt;&gt;"",AA186&lt;&gt;"",AB186&lt;&gt;"",OR(AA186=AB186,AD186&lt;&gt;""),IF(AE186="HALLUCINATION",U186&lt;&gt;"",TRUE))</x:f>
        <x:v>0</x:v>
      </x:c>
      <x:c r="AG186" t="n">
        <x:f>--AND(N186=1,AF186=1,OR(AE186="SUPPORTED",AE186="HALLUCINATION"))</x:f>
        <x:v>0</x:v>
      </x:c>
      <x:c r="AH186" t="n">
        <x:f>--AND(AG186=1,AE186="HALLUCINATION")</x:f>
        <x:v>0</x:v>
      </x:c>
      <x:c r="AI186" t="n">
        <x:f>--AND(Q186=1,AF186=1,AE186="HALLUCINATION")</x:f>
        <x:v>0</x:v>
      </x:c>
      <x:c r="AJ186" t="n">
        <x:f>--AND(AI186=1,R186=1,S186=1)</x:f>
        <x:v>0</x:v>
      </x:c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43" t="n">
        <x:f>--AND(N187=1,OR(O187="SUPPORTED",O187="HALLUCINATION"))</x:f>
        <x:v>0</x:v>
      </x:c>
      <x:c r="X187" s="43" t="n">
        <x:f>--AND(W187=1,O187="HALLUCINATION")</x:f>
        <x:v>0</x:v>
      </x:c>
      <x:c r="Y187" s="43" t="n">
        <x:f>--AND(Q187=1,O187="HALLUCINATION")</x:f>
        <x:v>0</x:v>
      </x:c>
      <x:c r="Z187" s="43" t="n">
        <x:f>--AND(Y187=1,R187=1,S187=1)</x:f>
        <x:v>0</x:v>
      </x:c>
      <x:c r="AC187" t="str">
        <x:f>IF(OR(AA187="",AB187=""),"",--(AA187&lt;&gt;AB187))</x:f>
      </x:c>
      <x:c r="AE187" t="str">
        <x:f>IF(OR(AA187="",AB187=""),"PENDING_HUMAN",IF(AA187=AB187,AA187,IF(AD187&lt;&gt;"",AD187,"PENDING_HUMAN")))</x:f>
        <x:v>PENDING_HUMAN</x:v>
      </x:c>
      <x:c r="AF187" t="n">
        <x:f>--AND(A187&lt;&gt;"",AA187&lt;&gt;"",AB187&lt;&gt;"",OR(AA187=AB187,AD187&lt;&gt;""),IF(AE187="HALLUCINATION",U187&lt;&gt;"",TRUE))</x:f>
        <x:v>0</x:v>
      </x:c>
      <x:c r="AG187" t="n">
        <x:f>--AND(N187=1,AF187=1,OR(AE187="SUPPORTED",AE187="HALLUCINATION"))</x:f>
        <x:v>0</x:v>
      </x:c>
      <x:c r="AH187" t="n">
        <x:f>--AND(AG187=1,AE187="HALLUCINATION")</x:f>
        <x:v>0</x:v>
      </x:c>
      <x:c r="AI187" t="n">
        <x:f>--AND(Q187=1,AF187=1,AE187="HALLUCINATION")</x:f>
        <x:v>0</x:v>
      </x:c>
      <x:c r="AJ187" t="n">
        <x:f>--AND(AI187=1,R187=1,S187=1)</x:f>
        <x:v>0</x:v>
      </x:c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43" t="n">
        <x:f>--AND(N188=1,OR(O188="SUPPORTED",O188="HALLUCINATION"))</x:f>
        <x:v>0</x:v>
      </x:c>
      <x:c r="X188" s="43" t="n">
        <x:f>--AND(W188=1,O188="HALLUCINATION")</x:f>
        <x:v>0</x:v>
      </x:c>
      <x:c r="Y188" s="43" t="n">
        <x:f>--AND(Q188=1,O188="HALLUCINATION")</x:f>
        <x:v>0</x:v>
      </x:c>
      <x:c r="Z188" s="43" t="n">
        <x:f>--AND(Y188=1,R188=1,S188=1)</x:f>
        <x:v>0</x:v>
      </x:c>
      <x:c r="AC188" t="str">
        <x:f>IF(OR(AA188="",AB188=""),"",--(AA188&lt;&gt;AB188))</x:f>
      </x:c>
      <x:c r="AE188" t="str">
        <x:f>IF(OR(AA188="",AB188=""),"PENDING_HUMAN",IF(AA188=AB188,AA188,IF(AD188&lt;&gt;"",AD188,"PENDING_HUMAN")))</x:f>
        <x:v>PENDING_HUMAN</x:v>
      </x:c>
      <x:c r="AF188" t="n">
        <x:f>--AND(A188&lt;&gt;"",AA188&lt;&gt;"",AB188&lt;&gt;"",OR(AA188=AB188,AD188&lt;&gt;""),IF(AE188="HALLUCINATION",U188&lt;&gt;"",TRUE))</x:f>
        <x:v>0</x:v>
      </x:c>
      <x:c r="AG188" t="n">
        <x:f>--AND(N188=1,AF188=1,OR(AE188="SUPPORTED",AE188="HALLUCINATION"))</x:f>
        <x:v>0</x:v>
      </x:c>
      <x:c r="AH188" t="n">
        <x:f>--AND(AG188=1,AE188="HALLUCINATION")</x:f>
        <x:v>0</x:v>
      </x:c>
      <x:c r="AI188" t="n">
        <x:f>--AND(Q188=1,AF188=1,AE188="HALLUCINATION")</x:f>
        <x:v>0</x:v>
      </x:c>
      <x:c r="AJ188" t="n">
        <x:f>--AND(AI188=1,R188=1,S188=1)</x:f>
        <x:v>0</x:v>
      </x:c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43" t="n">
        <x:f>--AND(N189=1,OR(O189="SUPPORTED",O189="HALLUCINATION"))</x:f>
        <x:v>0</x:v>
      </x:c>
      <x:c r="X189" s="43" t="n">
        <x:f>--AND(W189=1,O189="HALLUCINATION")</x:f>
        <x:v>0</x:v>
      </x:c>
      <x:c r="Y189" s="43" t="n">
        <x:f>--AND(Q189=1,O189="HALLUCINATION")</x:f>
        <x:v>0</x:v>
      </x:c>
      <x:c r="Z189" s="43" t="n">
        <x:f>--AND(Y189=1,R189=1,S189=1)</x:f>
        <x:v>0</x:v>
      </x:c>
      <x:c r="AC189" t="str">
        <x:f>IF(OR(AA189="",AB189=""),"",--(AA189&lt;&gt;AB189))</x:f>
      </x:c>
      <x:c r="AE189" t="str">
        <x:f>IF(OR(AA189="",AB189=""),"PENDING_HUMAN",IF(AA189=AB189,AA189,IF(AD189&lt;&gt;"",AD189,"PENDING_HUMAN")))</x:f>
        <x:v>PENDING_HUMAN</x:v>
      </x:c>
      <x:c r="AF189" t="n">
        <x:f>--AND(A189&lt;&gt;"",AA189&lt;&gt;"",AB189&lt;&gt;"",OR(AA189=AB189,AD189&lt;&gt;""),IF(AE189="HALLUCINATION",U189&lt;&gt;"",TRUE))</x:f>
        <x:v>0</x:v>
      </x:c>
      <x:c r="AG189" t="n">
        <x:f>--AND(N189=1,AF189=1,OR(AE189="SUPPORTED",AE189="HALLUCINATION"))</x:f>
        <x:v>0</x:v>
      </x:c>
      <x:c r="AH189" t="n">
        <x:f>--AND(AG189=1,AE189="HALLUCINATION")</x:f>
        <x:v>0</x:v>
      </x:c>
      <x:c r="AI189" t="n">
        <x:f>--AND(Q189=1,AF189=1,AE189="HALLUCINATION")</x:f>
        <x:v>0</x:v>
      </x:c>
      <x:c r="AJ189" t="n">
        <x:f>--AND(AI189=1,R189=1,S189=1)</x:f>
        <x:v>0</x:v>
      </x:c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43" t="n">
        <x:f>--AND(N190=1,OR(O190="SUPPORTED",O190="HALLUCINATION"))</x:f>
        <x:v>0</x:v>
      </x:c>
      <x:c r="X190" s="43" t="n">
        <x:f>--AND(W190=1,O190="HALLUCINATION")</x:f>
        <x:v>0</x:v>
      </x:c>
      <x:c r="Y190" s="43" t="n">
        <x:f>--AND(Q190=1,O190="HALLUCINATION")</x:f>
        <x:v>0</x:v>
      </x:c>
      <x:c r="Z190" s="43" t="n">
        <x:f>--AND(Y190=1,R190=1,S190=1)</x:f>
        <x:v>0</x:v>
      </x:c>
      <x:c r="AC190" t="str">
        <x:f>IF(OR(AA190="",AB190=""),"",--(AA190&lt;&gt;AB190))</x:f>
      </x:c>
      <x:c r="AE190" t="str">
        <x:f>IF(OR(AA190="",AB190=""),"PENDING_HUMAN",IF(AA190=AB190,AA190,IF(AD190&lt;&gt;"",AD190,"PENDING_HUMAN")))</x:f>
        <x:v>PENDING_HUMAN</x:v>
      </x:c>
      <x:c r="AF190" t="n">
        <x:f>--AND(A190&lt;&gt;"",AA190&lt;&gt;"",AB190&lt;&gt;"",OR(AA190=AB190,AD190&lt;&gt;""),IF(AE190="HALLUCINATION",U190&lt;&gt;"",TRUE))</x:f>
        <x:v>0</x:v>
      </x:c>
      <x:c r="AG190" t="n">
        <x:f>--AND(N190=1,AF190=1,OR(AE190="SUPPORTED",AE190="HALLUCINATION"))</x:f>
        <x:v>0</x:v>
      </x:c>
      <x:c r="AH190" t="n">
        <x:f>--AND(AG190=1,AE190="HALLUCINATION")</x:f>
        <x:v>0</x:v>
      </x:c>
      <x:c r="AI190" t="n">
        <x:f>--AND(Q190=1,AF190=1,AE190="HALLUCINATION")</x:f>
        <x:v>0</x:v>
      </x:c>
      <x:c r="AJ190" t="n">
        <x:f>--AND(AI190=1,R190=1,S190=1)</x:f>
        <x:v>0</x:v>
      </x:c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43" t="n">
        <x:f>--AND(N191=1,OR(O191="SUPPORTED",O191="HALLUCINATION"))</x:f>
        <x:v>0</x:v>
      </x:c>
      <x:c r="X191" s="43" t="n">
        <x:f>--AND(W191=1,O191="HALLUCINATION")</x:f>
        <x:v>0</x:v>
      </x:c>
      <x:c r="Y191" s="43" t="n">
        <x:f>--AND(Q191=1,O191="HALLUCINATION")</x:f>
        <x:v>0</x:v>
      </x:c>
      <x:c r="Z191" s="43" t="n">
        <x:f>--AND(Y191=1,R191=1,S191=1)</x:f>
        <x:v>0</x:v>
      </x:c>
      <x:c r="AC191" t="str">
        <x:f>IF(OR(AA191="",AB191=""),"",--(AA191&lt;&gt;AB191))</x:f>
      </x:c>
      <x:c r="AE191" t="str">
        <x:f>IF(OR(AA191="",AB191=""),"PENDING_HUMAN",IF(AA191=AB191,AA191,IF(AD191&lt;&gt;"",AD191,"PENDING_HUMAN")))</x:f>
        <x:v>PENDING_HUMAN</x:v>
      </x:c>
      <x:c r="AF191" t="n">
        <x:f>--AND(A191&lt;&gt;"",AA191&lt;&gt;"",AB191&lt;&gt;"",OR(AA191=AB191,AD191&lt;&gt;""),IF(AE191="HALLUCINATION",U191&lt;&gt;"",TRUE))</x:f>
        <x:v>0</x:v>
      </x:c>
      <x:c r="AG191" t="n">
        <x:f>--AND(N191=1,AF191=1,OR(AE191="SUPPORTED",AE191="HALLUCINATION"))</x:f>
        <x:v>0</x:v>
      </x:c>
      <x:c r="AH191" t="n">
        <x:f>--AND(AG191=1,AE191="HALLUCINATION")</x:f>
        <x:v>0</x:v>
      </x:c>
      <x:c r="AI191" t="n">
        <x:f>--AND(Q191=1,AF191=1,AE191="HALLUCINATION")</x:f>
        <x:v>0</x:v>
      </x:c>
      <x:c r="AJ191" t="n">
        <x:f>--AND(AI191=1,R191=1,S191=1)</x:f>
        <x:v>0</x:v>
      </x:c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43" t="n">
        <x:f>--AND(N192=1,OR(O192="SUPPORTED",O192="HALLUCINATION"))</x:f>
        <x:v>0</x:v>
      </x:c>
      <x:c r="X192" s="43" t="n">
        <x:f>--AND(W192=1,O192="HALLUCINATION")</x:f>
        <x:v>0</x:v>
      </x:c>
      <x:c r="Y192" s="43" t="n">
        <x:f>--AND(Q192=1,O192="HALLUCINATION")</x:f>
        <x:v>0</x:v>
      </x:c>
      <x:c r="Z192" s="43" t="n">
        <x:f>--AND(Y192=1,R192=1,S192=1)</x:f>
        <x:v>0</x:v>
      </x:c>
      <x:c r="AC192" t="str">
        <x:f>IF(OR(AA192="",AB192=""),"",--(AA192&lt;&gt;AB192))</x:f>
      </x:c>
      <x:c r="AE192" t="str">
        <x:f>IF(OR(AA192="",AB192=""),"PENDING_HUMAN",IF(AA192=AB192,AA192,IF(AD192&lt;&gt;"",AD192,"PENDING_HUMAN")))</x:f>
        <x:v>PENDING_HUMAN</x:v>
      </x:c>
      <x:c r="AF192" t="n">
        <x:f>--AND(A192&lt;&gt;"",AA192&lt;&gt;"",AB192&lt;&gt;"",OR(AA192=AB192,AD192&lt;&gt;""),IF(AE192="HALLUCINATION",U192&lt;&gt;"",TRUE))</x:f>
        <x:v>0</x:v>
      </x:c>
      <x:c r="AG192" t="n">
        <x:f>--AND(N192=1,AF192=1,OR(AE192="SUPPORTED",AE192="HALLUCINATION"))</x:f>
        <x:v>0</x:v>
      </x:c>
      <x:c r="AH192" t="n">
        <x:f>--AND(AG192=1,AE192="HALLUCINATION")</x:f>
        <x:v>0</x:v>
      </x:c>
      <x:c r="AI192" t="n">
        <x:f>--AND(Q192=1,AF192=1,AE192="HALLUCINATION")</x:f>
        <x:v>0</x:v>
      </x:c>
      <x:c r="AJ192" t="n">
        <x:f>--AND(AI192=1,R192=1,S192=1)</x:f>
        <x:v>0</x:v>
      </x:c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43" t="n">
        <x:f>--AND(N193=1,OR(O193="SUPPORTED",O193="HALLUCINATION"))</x:f>
        <x:v>0</x:v>
      </x:c>
      <x:c r="X193" s="43" t="n">
        <x:f>--AND(W193=1,O193="HALLUCINATION")</x:f>
        <x:v>0</x:v>
      </x:c>
      <x:c r="Y193" s="43" t="n">
        <x:f>--AND(Q193=1,O193="HALLUCINATION")</x:f>
        <x:v>0</x:v>
      </x:c>
      <x:c r="Z193" s="43" t="n">
        <x:f>--AND(Y193=1,R193=1,S193=1)</x:f>
        <x:v>0</x:v>
      </x:c>
      <x:c r="AC193" t="str">
        <x:f>IF(OR(AA193="",AB193=""),"",--(AA193&lt;&gt;AB193))</x:f>
      </x:c>
      <x:c r="AE193" t="str">
        <x:f>IF(OR(AA193="",AB193=""),"PENDING_HUMAN",IF(AA193=AB193,AA193,IF(AD193&lt;&gt;"",AD193,"PENDING_HUMAN")))</x:f>
        <x:v>PENDING_HUMAN</x:v>
      </x:c>
      <x:c r="AF193" t="n">
        <x:f>--AND(A193&lt;&gt;"",AA193&lt;&gt;"",AB193&lt;&gt;"",OR(AA193=AB193,AD193&lt;&gt;""),IF(AE193="HALLUCINATION",U193&lt;&gt;"",TRUE))</x:f>
        <x:v>0</x:v>
      </x:c>
      <x:c r="AG193" t="n">
        <x:f>--AND(N193=1,AF193=1,OR(AE193="SUPPORTED",AE193="HALLUCINATION"))</x:f>
        <x:v>0</x:v>
      </x:c>
      <x:c r="AH193" t="n">
        <x:f>--AND(AG193=1,AE193="HALLUCINATION")</x:f>
        <x:v>0</x:v>
      </x:c>
      <x:c r="AI193" t="n">
        <x:f>--AND(Q193=1,AF193=1,AE193="HALLUCINATION")</x:f>
        <x:v>0</x:v>
      </x:c>
      <x:c r="AJ193" t="n">
        <x:f>--AND(AI193=1,R193=1,S193=1)</x:f>
        <x:v>0</x:v>
      </x:c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43" t="n">
        <x:f>--AND(N194=1,OR(O194="SUPPORTED",O194="HALLUCINATION"))</x:f>
        <x:v>0</x:v>
      </x:c>
      <x:c r="X194" s="43" t="n">
        <x:f>--AND(W194=1,O194="HALLUCINATION")</x:f>
        <x:v>0</x:v>
      </x:c>
      <x:c r="Y194" s="43" t="n">
        <x:f>--AND(Q194=1,O194="HALLUCINATION")</x:f>
        <x:v>0</x:v>
      </x:c>
      <x:c r="Z194" s="43" t="n">
        <x:f>--AND(Y194=1,R194=1,S194=1)</x:f>
        <x:v>0</x:v>
      </x:c>
      <x:c r="AC194" t="str">
        <x:f>IF(OR(AA194="",AB194=""),"",--(AA194&lt;&gt;AB194))</x:f>
      </x:c>
      <x:c r="AE194" t="str">
        <x:f>IF(OR(AA194="",AB194=""),"PENDING_HUMAN",IF(AA194=AB194,AA194,IF(AD194&lt;&gt;"",AD194,"PENDING_HUMAN")))</x:f>
        <x:v>PENDING_HUMAN</x:v>
      </x:c>
      <x:c r="AF194" t="n">
        <x:f>--AND(A194&lt;&gt;"",AA194&lt;&gt;"",AB194&lt;&gt;"",OR(AA194=AB194,AD194&lt;&gt;""),IF(AE194="HALLUCINATION",U194&lt;&gt;"",TRUE))</x:f>
        <x:v>0</x:v>
      </x:c>
      <x:c r="AG194" t="n">
        <x:f>--AND(N194=1,AF194=1,OR(AE194="SUPPORTED",AE194="HALLUCINATION"))</x:f>
        <x:v>0</x:v>
      </x:c>
      <x:c r="AH194" t="n">
        <x:f>--AND(AG194=1,AE194="HALLUCINATION")</x:f>
        <x:v>0</x:v>
      </x:c>
      <x:c r="AI194" t="n">
        <x:f>--AND(Q194=1,AF194=1,AE194="HALLUCINATION")</x:f>
        <x:v>0</x:v>
      </x:c>
      <x:c r="AJ194" t="n">
        <x:f>--AND(AI194=1,R194=1,S194=1)</x:f>
        <x:v>0</x:v>
      </x:c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43" t="n">
        <x:f>--AND(N195=1,OR(O195="SUPPORTED",O195="HALLUCINATION"))</x:f>
        <x:v>0</x:v>
      </x:c>
      <x:c r="X195" s="43" t="n">
        <x:f>--AND(W195=1,O195="HALLUCINATION")</x:f>
        <x:v>0</x:v>
      </x:c>
      <x:c r="Y195" s="43" t="n">
        <x:f>--AND(Q195=1,O195="HALLUCINATION")</x:f>
        <x:v>0</x:v>
      </x:c>
      <x:c r="Z195" s="43" t="n">
        <x:f>--AND(Y195=1,R195=1,S195=1)</x:f>
        <x:v>0</x:v>
      </x:c>
      <x:c r="AC195" t="str">
        <x:f>IF(OR(AA195="",AB195=""),"",--(AA195&lt;&gt;AB195))</x:f>
      </x:c>
      <x:c r="AE195" t="str">
        <x:f>IF(OR(AA195="",AB195=""),"PENDING_HUMAN",IF(AA195=AB195,AA195,IF(AD195&lt;&gt;"",AD195,"PENDING_HUMAN")))</x:f>
        <x:v>PENDING_HUMAN</x:v>
      </x:c>
      <x:c r="AF195" t="n">
        <x:f>--AND(A195&lt;&gt;"",AA195&lt;&gt;"",AB195&lt;&gt;"",OR(AA195=AB195,AD195&lt;&gt;""),IF(AE195="HALLUCINATION",U195&lt;&gt;"",TRUE))</x:f>
        <x:v>0</x:v>
      </x:c>
      <x:c r="AG195" t="n">
        <x:f>--AND(N195=1,AF195=1,OR(AE195="SUPPORTED",AE195="HALLUCINATION"))</x:f>
        <x:v>0</x:v>
      </x:c>
      <x:c r="AH195" t="n">
        <x:f>--AND(AG195=1,AE195="HALLUCINATION")</x:f>
        <x:v>0</x:v>
      </x:c>
      <x:c r="AI195" t="n">
        <x:f>--AND(Q195=1,AF195=1,AE195="HALLUCINATION")</x:f>
        <x:v>0</x:v>
      </x:c>
      <x:c r="AJ195" t="n">
        <x:f>--AND(AI195=1,R195=1,S195=1)</x:f>
        <x:v>0</x:v>
      </x:c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43" t="n">
        <x:f>--AND(N196=1,OR(O196="SUPPORTED",O196="HALLUCINATION"))</x:f>
        <x:v>0</x:v>
      </x:c>
      <x:c r="X196" s="43" t="n">
        <x:f>--AND(W196=1,O196="HALLUCINATION")</x:f>
        <x:v>0</x:v>
      </x:c>
      <x:c r="Y196" s="43" t="n">
        <x:f>--AND(Q196=1,O196="HALLUCINATION")</x:f>
        <x:v>0</x:v>
      </x:c>
      <x:c r="Z196" s="43" t="n">
        <x:f>--AND(Y196=1,R196=1,S196=1)</x:f>
        <x:v>0</x:v>
      </x:c>
      <x:c r="AC196" t="str">
        <x:f>IF(OR(AA196="",AB196=""),"",--(AA196&lt;&gt;AB196))</x:f>
      </x:c>
      <x:c r="AE196" t="str">
        <x:f>IF(OR(AA196="",AB196=""),"PENDING_HUMAN",IF(AA196=AB196,AA196,IF(AD196&lt;&gt;"",AD196,"PENDING_HUMAN")))</x:f>
        <x:v>PENDING_HUMAN</x:v>
      </x:c>
      <x:c r="AF196" t="n">
        <x:f>--AND(A196&lt;&gt;"",AA196&lt;&gt;"",AB196&lt;&gt;"",OR(AA196=AB196,AD196&lt;&gt;""),IF(AE196="HALLUCINATION",U196&lt;&gt;"",TRUE))</x:f>
        <x:v>0</x:v>
      </x:c>
      <x:c r="AG196" t="n">
        <x:f>--AND(N196=1,AF196=1,OR(AE196="SUPPORTED",AE196="HALLUCINATION"))</x:f>
        <x:v>0</x:v>
      </x:c>
      <x:c r="AH196" t="n">
        <x:f>--AND(AG196=1,AE196="HALLUCINATION")</x:f>
        <x:v>0</x:v>
      </x:c>
      <x:c r="AI196" t="n">
        <x:f>--AND(Q196=1,AF196=1,AE196="HALLUCINATION")</x:f>
        <x:v>0</x:v>
      </x:c>
      <x:c r="AJ196" t="n">
        <x:f>--AND(AI196=1,R196=1,S196=1)</x:f>
        <x:v>0</x:v>
      </x:c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43" t="n">
        <x:f>--AND(N197=1,OR(O197="SUPPORTED",O197="HALLUCINATION"))</x:f>
        <x:v>0</x:v>
      </x:c>
      <x:c r="X197" s="43" t="n">
        <x:f>--AND(W197=1,O197="HALLUCINATION")</x:f>
        <x:v>0</x:v>
      </x:c>
      <x:c r="Y197" s="43" t="n">
        <x:f>--AND(Q197=1,O197="HALLUCINATION")</x:f>
        <x:v>0</x:v>
      </x:c>
      <x:c r="Z197" s="43" t="n">
        <x:f>--AND(Y197=1,R197=1,S197=1)</x:f>
        <x:v>0</x:v>
      </x:c>
      <x:c r="AC197" t="str">
        <x:f>IF(OR(AA197="",AB197=""),"",--(AA197&lt;&gt;AB197))</x:f>
      </x:c>
      <x:c r="AE197" t="str">
        <x:f>IF(OR(AA197="",AB197=""),"PENDING_HUMAN",IF(AA197=AB197,AA197,IF(AD197&lt;&gt;"",AD197,"PENDING_HUMAN")))</x:f>
        <x:v>PENDING_HUMAN</x:v>
      </x:c>
      <x:c r="AF197" t="n">
        <x:f>--AND(A197&lt;&gt;"",AA197&lt;&gt;"",AB197&lt;&gt;"",OR(AA197=AB197,AD197&lt;&gt;""),IF(AE197="HALLUCINATION",U197&lt;&gt;"",TRUE))</x:f>
        <x:v>0</x:v>
      </x:c>
      <x:c r="AG197" t="n">
        <x:f>--AND(N197=1,AF197=1,OR(AE197="SUPPORTED",AE197="HALLUCINATION"))</x:f>
        <x:v>0</x:v>
      </x:c>
      <x:c r="AH197" t="n">
        <x:f>--AND(AG197=1,AE197="HALLUCINATION")</x:f>
        <x:v>0</x:v>
      </x:c>
      <x:c r="AI197" t="n">
        <x:f>--AND(Q197=1,AF197=1,AE197="HALLUCINATION")</x:f>
        <x:v>0</x:v>
      </x:c>
      <x:c r="AJ197" t="n">
        <x:f>--AND(AI197=1,R197=1,S197=1)</x:f>
        <x:v>0</x:v>
      </x:c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43" t="n">
        <x:f>--AND(N198=1,OR(O198="SUPPORTED",O198="HALLUCINATION"))</x:f>
        <x:v>0</x:v>
      </x:c>
      <x:c r="X198" s="43" t="n">
        <x:f>--AND(W198=1,O198="HALLUCINATION")</x:f>
        <x:v>0</x:v>
      </x:c>
      <x:c r="Y198" s="43" t="n">
        <x:f>--AND(Q198=1,O198="HALLUCINATION")</x:f>
        <x:v>0</x:v>
      </x:c>
      <x:c r="Z198" s="43" t="n">
        <x:f>--AND(Y198=1,R198=1,S198=1)</x:f>
        <x:v>0</x:v>
      </x:c>
      <x:c r="AC198" t="str">
        <x:f>IF(OR(AA198="",AB198=""),"",--(AA198&lt;&gt;AB198))</x:f>
      </x:c>
      <x:c r="AE198" t="str">
        <x:f>IF(OR(AA198="",AB198=""),"PENDING_HUMAN",IF(AA198=AB198,AA198,IF(AD198&lt;&gt;"",AD198,"PENDING_HUMAN")))</x:f>
        <x:v>PENDING_HUMAN</x:v>
      </x:c>
      <x:c r="AF198" t="n">
        <x:f>--AND(A198&lt;&gt;"",AA198&lt;&gt;"",AB198&lt;&gt;"",OR(AA198=AB198,AD198&lt;&gt;""),IF(AE198="HALLUCINATION",U198&lt;&gt;"",TRUE))</x:f>
        <x:v>0</x:v>
      </x:c>
      <x:c r="AG198" t="n">
        <x:f>--AND(N198=1,AF198=1,OR(AE198="SUPPORTED",AE198="HALLUCINATION"))</x:f>
        <x:v>0</x:v>
      </x:c>
      <x:c r="AH198" t="n">
        <x:f>--AND(AG198=1,AE198="HALLUCINATION")</x:f>
        <x:v>0</x:v>
      </x:c>
      <x:c r="AI198" t="n">
        <x:f>--AND(Q198=1,AF198=1,AE198="HALLUCINATION")</x:f>
        <x:v>0</x:v>
      </x:c>
      <x:c r="AJ198" t="n">
        <x:f>--AND(AI198=1,R198=1,S198=1)</x:f>
        <x:v>0</x:v>
      </x:c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43" t="n">
        <x:f>--AND(N199=1,OR(O199="SUPPORTED",O199="HALLUCINATION"))</x:f>
        <x:v>0</x:v>
      </x:c>
      <x:c r="X199" s="43" t="n">
        <x:f>--AND(W199=1,O199="HALLUCINATION")</x:f>
        <x:v>0</x:v>
      </x:c>
      <x:c r="Y199" s="43" t="n">
        <x:f>--AND(Q199=1,O199="HALLUCINATION")</x:f>
        <x:v>0</x:v>
      </x:c>
      <x:c r="Z199" s="43" t="n">
        <x:f>--AND(Y199=1,R199=1,S199=1)</x:f>
        <x:v>0</x:v>
      </x:c>
      <x:c r="AC199" t="str">
        <x:f>IF(OR(AA199="",AB199=""),"",--(AA199&lt;&gt;AB199))</x:f>
      </x:c>
      <x:c r="AE199" t="str">
        <x:f>IF(OR(AA199="",AB199=""),"PENDING_HUMAN",IF(AA199=AB199,AA199,IF(AD199&lt;&gt;"",AD199,"PENDING_HUMAN")))</x:f>
        <x:v>PENDING_HUMAN</x:v>
      </x:c>
      <x:c r="AF199" t="n">
        <x:f>--AND(A199&lt;&gt;"",AA199&lt;&gt;"",AB199&lt;&gt;"",OR(AA199=AB199,AD199&lt;&gt;""),IF(AE199="HALLUCINATION",U199&lt;&gt;"",TRUE))</x:f>
        <x:v>0</x:v>
      </x:c>
      <x:c r="AG199" t="n">
        <x:f>--AND(N199=1,AF199=1,OR(AE199="SUPPORTED",AE199="HALLUCINATION"))</x:f>
        <x:v>0</x:v>
      </x:c>
      <x:c r="AH199" t="n">
        <x:f>--AND(AG199=1,AE199="HALLUCINATION")</x:f>
        <x:v>0</x:v>
      </x:c>
      <x:c r="AI199" t="n">
        <x:f>--AND(Q199=1,AF199=1,AE199="HALLUCINATION")</x:f>
        <x:v>0</x:v>
      </x:c>
      <x:c r="AJ199" t="n">
        <x:f>--AND(AI199=1,R199=1,S199=1)</x:f>
        <x:v>0</x:v>
      </x:c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43" t="n">
        <x:f>--AND(N200=1,OR(O200="SUPPORTED",O200="HALLUCINATION"))</x:f>
        <x:v>0</x:v>
      </x:c>
      <x:c r="X200" s="43" t="n">
        <x:f>--AND(W200=1,O200="HALLUCINATION")</x:f>
        <x:v>0</x:v>
      </x:c>
      <x:c r="Y200" s="43" t="n">
        <x:f>--AND(Q200=1,O200="HALLUCINATION")</x:f>
        <x:v>0</x:v>
      </x:c>
      <x:c r="Z200" s="43" t="n">
        <x:f>--AND(Y200=1,R200=1,S200=1)</x:f>
        <x:v>0</x:v>
      </x:c>
      <x:c r="AC200" t="str">
        <x:f>IF(OR(AA200="",AB200=""),"",--(AA200&lt;&gt;AB200))</x:f>
      </x:c>
      <x:c r="AE200" t="str">
        <x:f>IF(OR(AA200="",AB200=""),"PENDING_HUMAN",IF(AA200=AB200,AA200,IF(AD200&lt;&gt;"",AD200,"PENDING_HUMAN")))</x:f>
        <x:v>PENDING_HUMAN</x:v>
      </x:c>
      <x:c r="AF200" t="n">
        <x:f>--AND(A200&lt;&gt;"",AA200&lt;&gt;"",AB200&lt;&gt;"",OR(AA200=AB200,AD200&lt;&gt;""),IF(AE200="HALLUCINATION",U200&lt;&gt;"",TRUE))</x:f>
        <x:v>0</x:v>
      </x:c>
      <x:c r="AG200" t="n">
        <x:f>--AND(N200=1,AF200=1,OR(AE200="SUPPORTED",AE200="HALLUCINATION"))</x:f>
        <x:v>0</x:v>
      </x:c>
      <x:c r="AH200" t="n">
        <x:f>--AND(AG200=1,AE200="HALLUCINATION")</x:f>
        <x:v>0</x:v>
      </x:c>
      <x:c r="AI200" t="n">
        <x:f>--AND(Q200=1,AF200=1,AE200="HALLUCINATION")</x:f>
        <x:v>0</x:v>
      </x:c>
      <x:c r="AJ200" t="n">
        <x:f>--AND(AI200=1,R200=1,S200=1)</x:f>
        <x:v>0</x:v>
      </x:c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  <x:c r="W201" s="43" t="n">
        <x:f>--AND(N201=1,OR(O201="SUPPORTED",O201="HALLUCINATION"))</x:f>
        <x:v>0</x:v>
      </x:c>
      <x:c r="X201" s="43" t="n">
        <x:f>--AND(W201=1,O201="HALLUCINATION")</x:f>
        <x:v>0</x:v>
      </x:c>
      <x:c r="Y201" s="43" t="n">
        <x:f>--AND(Q201=1,O201="HALLUCINATION")</x:f>
        <x:v>0</x:v>
      </x:c>
      <x:c r="Z201" s="43" t="n">
        <x:f>--AND(Y201=1,R201=1,S201=1)</x:f>
        <x:v>0</x:v>
      </x:c>
      <x:c r="AC201" t="str">
        <x:f>IF(OR(AA201="",AB201=""),"",--(AA201&lt;&gt;AB201))</x:f>
      </x:c>
      <x:c r="AE201" t="str">
        <x:f>IF(OR(AA201="",AB201=""),"PENDING_HUMAN",IF(AA201=AB201,AA201,IF(AD201&lt;&gt;"",AD201,"PENDING_HUMAN")))</x:f>
        <x:v>PENDING_HUMAN</x:v>
      </x:c>
      <x:c r="AF201" t="n">
        <x:f>--AND(A201&lt;&gt;"",AA201&lt;&gt;"",AB201&lt;&gt;"",OR(AA201=AB201,AD201&lt;&gt;""),IF(AE201="HALLUCINATION",U201&lt;&gt;"",TRUE))</x:f>
        <x:v>0</x:v>
      </x:c>
      <x:c r="AG201" t="n">
        <x:f>--AND(N201=1,AF201=1,OR(AE201="SUPPORTED",AE201="HALLUCINATION"))</x:f>
        <x:v>0</x:v>
      </x:c>
      <x:c r="AH201" t="n">
        <x:f>--AND(AG201=1,AE201="HALLUCINATION")</x:f>
        <x:v>0</x:v>
      </x:c>
      <x:c r="AI201" t="n">
        <x:f>--AND(Q201=1,AF201=1,AE201="HALLUCINATION")</x:f>
        <x:v>0</x:v>
      </x:c>
      <x:c r="AJ201" t="n">
        <x:f>--AND(AI201=1,R201=1,S201=1)</x:f>
        <x:v>0</x:v>
      </x:c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  <x:c r="W202" s="43" t="n">
        <x:f>--AND(N202=1,OR(O202="SUPPORTED",O202="HALLUCINATION"))</x:f>
        <x:v>0</x:v>
      </x:c>
      <x:c r="X202" s="43" t="n">
        <x:f>--AND(W202=1,O202="HALLUCINATION")</x:f>
        <x:v>0</x:v>
      </x:c>
      <x:c r="Y202" s="43" t="n">
        <x:f>--AND(Q202=1,O202="HALLUCINATION")</x:f>
        <x:v>0</x:v>
      </x:c>
      <x:c r="Z202" s="43" t="n">
        <x:f>--AND(Y202=1,R202=1,S202=1)</x:f>
        <x:v>0</x:v>
      </x:c>
      <x:c r="AC202" t="str">
        <x:f>IF(OR(AA202="",AB202=""),"",--(AA202&lt;&gt;AB202))</x:f>
      </x:c>
      <x:c r="AE202" t="str">
        <x:f>IF(OR(AA202="",AB202=""),"PENDING_HUMAN",IF(AA202=AB202,AA202,IF(AD202&lt;&gt;"",AD202,"PENDING_HUMAN")))</x:f>
        <x:v>PENDING_HUMAN</x:v>
      </x:c>
      <x:c r="AF202" t="n">
        <x:f>--AND(A202&lt;&gt;"",AA202&lt;&gt;"",AB202&lt;&gt;"",OR(AA202=AB202,AD202&lt;&gt;""),IF(AE202="HALLUCINATION",U202&lt;&gt;"",TRUE))</x:f>
        <x:v>0</x:v>
      </x:c>
      <x:c r="AG202" t="n">
        <x:f>--AND(N202=1,AF202=1,OR(AE202="SUPPORTED",AE202="HALLUCINATION"))</x:f>
        <x:v>0</x:v>
      </x:c>
      <x:c r="AH202" t="n">
        <x:f>--AND(AG202=1,AE202="HALLUCINATION")</x:f>
        <x:v>0</x:v>
      </x:c>
      <x:c r="AI202" t="n">
        <x:f>--AND(Q202=1,AF202=1,AE202="HALLUCINATION")</x:f>
        <x:v>0</x:v>
      </x:c>
      <x:c r="AJ202" t="n">
        <x:f>--AND(AI202=1,R202=1,S202=1)</x:f>
        <x:v>0</x:v>
      </x:c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43" t="n">
        <x:f>--AND(N203=1,OR(O203="SUPPORTED",O203="HALLUCINATION"))</x:f>
        <x:v>0</x:v>
      </x:c>
      <x:c r="X203" s="43" t="n">
        <x:f>--AND(W203=1,O203="HALLUCINATION")</x:f>
        <x:v>0</x:v>
      </x:c>
      <x:c r="Y203" s="43" t="n">
        <x:f>--AND(Q203=1,O203="HALLUCINATION")</x:f>
        <x:v>0</x:v>
      </x:c>
      <x:c r="Z203" s="43" t="n">
        <x:f>--AND(Y203=1,R203=1,S203=1)</x:f>
        <x:v>0</x:v>
      </x:c>
      <x:c r="AC203" t="str">
        <x:f>IF(OR(AA203="",AB203=""),"",--(AA203&lt;&gt;AB203))</x:f>
      </x:c>
      <x:c r="AE203" t="str">
        <x:f>IF(OR(AA203="",AB203=""),"PENDING_HUMAN",IF(AA203=AB203,AA203,IF(AD203&lt;&gt;"",AD203,"PENDING_HUMAN")))</x:f>
        <x:v>PENDING_HUMAN</x:v>
      </x:c>
      <x:c r="AF203" t="n">
        <x:f>--AND(A203&lt;&gt;"",AA203&lt;&gt;"",AB203&lt;&gt;"",OR(AA203=AB203,AD203&lt;&gt;""),IF(AE203="HALLUCINATION",U203&lt;&gt;"",TRUE))</x:f>
        <x:v>0</x:v>
      </x:c>
      <x:c r="AG203" t="n">
        <x:f>--AND(N203=1,AF203=1,OR(AE203="SUPPORTED",AE203="HALLUCINATION"))</x:f>
        <x:v>0</x:v>
      </x:c>
      <x:c r="AH203" t="n">
        <x:f>--AND(AG203=1,AE203="HALLUCINATION")</x:f>
        <x:v>0</x:v>
      </x:c>
      <x:c r="AI203" t="n">
        <x:f>--AND(Q203=1,AF203=1,AE203="HALLUCINATION")</x:f>
        <x:v>0</x:v>
      </x:c>
      <x:c r="AJ203" t="n">
        <x:f>--AND(AI203=1,R203=1,S203=1)</x:f>
        <x:v>0</x:v>
      </x:c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43" t="n">
        <x:f>--AND(N204=1,OR(O204="SUPPORTED",O204="HALLUCINATION"))</x:f>
        <x:v>0</x:v>
      </x:c>
      <x:c r="X204" s="43" t="n">
        <x:f>--AND(W204=1,O204="HALLUCINATION")</x:f>
        <x:v>0</x:v>
      </x:c>
      <x:c r="Y204" s="43" t="n">
        <x:f>--AND(Q204=1,O204="HALLUCINATION")</x:f>
        <x:v>0</x:v>
      </x:c>
      <x:c r="Z204" s="43" t="n">
        <x:f>--AND(Y204=1,R204=1,S204=1)</x:f>
        <x:v>0</x:v>
      </x:c>
      <x:c r="AC204" t="str">
        <x:f>IF(OR(AA204="",AB204=""),"",--(AA204&lt;&gt;AB204))</x:f>
      </x:c>
      <x:c r="AE204" t="str">
        <x:f>IF(OR(AA204="",AB204=""),"PENDING_HUMAN",IF(AA204=AB204,AA204,IF(AD204&lt;&gt;"",AD204,"PENDING_HUMAN")))</x:f>
        <x:v>PENDING_HUMAN</x:v>
      </x:c>
      <x:c r="AF204" t="n">
        <x:f>--AND(A204&lt;&gt;"",AA204&lt;&gt;"",AB204&lt;&gt;"",OR(AA204=AB204,AD204&lt;&gt;""),IF(AE204="HALLUCINATION",U204&lt;&gt;"",TRUE))</x:f>
        <x:v>0</x:v>
      </x:c>
      <x:c r="AG204" t="n">
        <x:f>--AND(N204=1,AF204=1,OR(AE204="SUPPORTED",AE204="HALLUCINATION"))</x:f>
        <x:v>0</x:v>
      </x:c>
      <x:c r="AH204" t="n">
        <x:f>--AND(AG204=1,AE204="HALLUCINATION")</x:f>
        <x:v>0</x:v>
      </x:c>
      <x:c r="AI204" t="n">
        <x:f>--AND(Q204=1,AF204=1,AE204="HALLUCINATION")</x:f>
        <x:v>0</x:v>
      </x:c>
      <x:c r="AJ204" t="n">
        <x:f>--AND(AI204=1,R204=1,S204=1)</x:f>
        <x:v>0</x:v>
      </x:c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43" t="n">
        <x:f>--AND(N205=1,OR(O205="SUPPORTED",O205="HALLUCINATION"))</x:f>
        <x:v>0</x:v>
      </x:c>
      <x:c r="X205" s="43" t="n">
        <x:f>--AND(W205=1,O205="HALLUCINATION")</x:f>
        <x:v>0</x:v>
      </x:c>
      <x:c r="Y205" s="43" t="n">
        <x:f>--AND(Q205=1,O205="HALLUCINATION")</x:f>
        <x:v>0</x:v>
      </x:c>
      <x:c r="Z205" s="43" t="n">
        <x:f>--AND(Y205=1,R205=1,S205=1)</x:f>
        <x:v>0</x:v>
      </x:c>
      <x:c r="AC205" t="str">
        <x:f>IF(OR(AA205="",AB205=""),"",--(AA205&lt;&gt;AB205))</x:f>
      </x:c>
      <x:c r="AE205" t="str">
        <x:f>IF(OR(AA205="",AB205=""),"PENDING_HUMAN",IF(AA205=AB205,AA205,IF(AD205&lt;&gt;"",AD205,"PENDING_HUMAN")))</x:f>
        <x:v>PENDING_HUMAN</x:v>
      </x:c>
      <x:c r="AF205" t="n">
        <x:f>--AND(A205&lt;&gt;"",AA205&lt;&gt;"",AB205&lt;&gt;"",OR(AA205=AB205,AD205&lt;&gt;""),IF(AE205="HALLUCINATION",U205&lt;&gt;"",TRUE))</x:f>
        <x:v>0</x:v>
      </x:c>
      <x:c r="AG205" t="n">
        <x:f>--AND(N205=1,AF205=1,OR(AE205="SUPPORTED",AE205="HALLUCINATION"))</x:f>
        <x:v>0</x:v>
      </x:c>
      <x:c r="AH205" t="n">
        <x:f>--AND(AG205=1,AE205="HALLUCINATION")</x:f>
        <x:v>0</x:v>
      </x:c>
      <x:c r="AI205" t="n">
        <x:f>--AND(Q205=1,AF205=1,AE205="HALLUCINATION")</x:f>
        <x:v>0</x:v>
      </x:c>
      <x:c r="AJ205" t="n">
        <x:f>--AND(AI205=1,R205=1,S205=1)</x:f>
        <x:v>0</x:v>
      </x:c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43" t="n">
        <x:f>--AND(N206=1,OR(O206="SUPPORTED",O206="HALLUCINATION"))</x:f>
        <x:v>0</x:v>
      </x:c>
      <x:c r="X206" s="43" t="n">
        <x:f>--AND(W206=1,O206="HALLUCINATION")</x:f>
        <x:v>0</x:v>
      </x:c>
      <x:c r="Y206" s="43" t="n">
        <x:f>--AND(Q206=1,O206="HALLUCINATION")</x:f>
        <x:v>0</x:v>
      </x:c>
      <x:c r="Z206" s="43" t="n">
        <x:f>--AND(Y206=1,R206=1,S206=1)</x:f>
        <x:v>0</x:v>
      </x:c>
      <x:c r="AC206" t="str">
        <x:f>IF(OR(AA206="",AB206=""),"",--(AA206&lt;&gt;AB206))</x:f>
      </x:c>
      <x:c r="AE206" t="str">
        <x:f>IF(OR(AA206="",AB206=""),"PENDING_HUMAN",IF(AA206=AB206,AA206,IF(AD206&lt;&gt;"",AD206,"PENDING_HUMAN")))</x:f>
        <x:v>PENDING_HUMAN</x:v>
      </x:c>
      <x:c r="AF206" t="n">
        <x:f>--AND(A206&lt;&gt;"",AA206&lt;&gt;"",AB206&lt;&gt;"",OR(AA206=AB206,AD206&lt;&gt;""),IF(AE206="HALLUCINATION",U206&lt;&gt;"",TRUE))</x:f>
        <x:v>0</x:v>
      </x:c>
      <x:c r="AG206" t="n">
        <x:f>--AND(N206=1,AF206=1,OR(AE206="SUPPORTED",AE206="HALLUCINATION"))</x:f>
        <x:v>0</x:v>
      </x:c>
      <x:c r="AH206" t="n">
        <x:f>--AND(AG206=1,AE206="HALLUCINATION")</x:f>
        <x:v>0</x:v>
      </x:c>
      <x:c r="AI206" t="n">
        <x:f>--AND(Q206=1,AF206=1,AE206="HALLUCINATION")</x:f>
        <x:v>0</x:v>
      </x:c>
      <x:c r="AJ206" t="n">
        <x:f>--AND(AI206=1,R206=1,S206=1)</x:f>
        <x:v>0</x:v>
      </x:c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43" t="n">
        <x:f>--AND(N207=1,OR(O207="SUPPORTED",O207="HALLUCINATION"))</x:f>
        <x:v>0</x:v>
      </x:c>
      <x:c r="X207" s="43" t="n">
        <x:f>--AND(W207=1,O207="HALLUCINATION")</x:f>
        <x:v>0</x:v>
      </x:c>
      <x:c r="Y207" s="43" t="n">
        <x:f>--AND(Q207=1,O207="HALLUCINATION")</x:f>
        <x:v>0</x:v>
      </x:c>
      <x:c r="Z207" s="43" t="n">
        <x:f>--AND(Y207=1,R207=1,S207=1)</x:f>
        <x:v>0</x:v>
      </x:c>
      <x:c r="AC207" t="str">
        <x:f>IF(OR(AA207="",AB207=""),"",--(AA207&lt;&gt;AB207))</x:f>
      </x:c>
      <x:c r="AE207" t="str">
        <x:f>IF(OR(AA207="",AB207=""),"PENDING_HUMAN",IF(AA207=AB207,AA207,IF(AD207&lt;&gt;"",AD207,"PENDING_HUMAN")))</x:f>
        <x:v>PENDING_HUMAN</x:v>
      </x:c>
      <x:c r="AF207" t="n">
        <x:f>--AND(A207&lt;&gt;"",AA207&lt;&gt;"",AB207&lt;&gt;"",OR(AA207=AB207,AD207&lt;&gt;""),IF(AE207="HALLUCINATION",U207&lt;&gt;"",TRUE))</x:f>
        <x:v>0</x:v>
      </x:c>
      <x:c r="AG207" t="n">
        <x:f>--AND(N207=1,AF207=1,OR(AE207="SUPPORTED",AE207="HALLUCINATION"))</x:f>
        <x:v>0</x:v>
      </x:c>
      <x:c r="AH207" t="n">
        <x:f>--AND(AG207=1,AE207="HALLUCINATION")</x:f>
        <x:v>0</x:v>
      </x:c>
      <x:c r="AI207" t="n">
        <x:f>--AND(Q207=1,AF207=1,AE207="HALLUCINATION")</x:f>
        <x:v>0</x:v>
      </x:c>
      <x:c r="AJ207" t="n">
        <x:f>--AND(AI207=1,R207=1,S207=1)</x:f>
        <x:v>0</x:v>
      </x:c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43" t="n">
        <x:f>--AND(N208=1,OR(O208="SUPPORTED",O208="HALLUCINATION"))</x:f>
        <x:v>0</x:v>
      </x:c>
      <x:c r="X208" s="43" t="n">
        <x:f>--AND(W208=1,O208="HALLUCINATION")</x:f>
        <x:v>0</x:v>
      </x:c>
      <x:c r="Y208" s="43" t="n">
        <x:f>--AND(Q208=1,O208="HALLUCINATION")</x:f>
        <x:v>0</x:v>
      </x:c>
      <x:c r="Z208" s="43" t="n">
        <x:f>--AND(Y208=1,R208=1,S208=1)</x:f>
        <x:v>0</x:v>
      </x:c>
      <x:c r="AC208" t="str">
        <x:f>IF(OR(AA208="",AB208=""),"",--(AA208&lt;&gt;AB208))</x:f>
      </x:c>
      <x:c r="AE208" t="str">
        <x:f>IF(OR(AA208="",AB208=""),"PENDING_HUMAN",IF(AA208=AB208,AA208,IF(AD208&lt;&gt;"",AD208,"PENDING_HUMAN")))</x:f>
        <x:v>PENDING_HUMAN</x:v>
      </x:c>
      <x:c r="AF208" t="n">
        <x:f>--AND(A208&lt;&gt;"",AA208&lt;&gt;"",AB208&lt;&gt;"",OR(AA208=AB208,AD208&lt;&gt;""),IF(AE208="HALLUCINATION",U208&lt;&gt;"",TRUE))</x:f>
        <x:v>0</x:v>
      </x:c>
      <x:c r="AG208" t="n">
        <x:f>--AND(N208=1,AF208=1,OR(AE208="SUPPORTED",AE208="HALLUCINATION"))</x:f>
        <x:v>0</x:v>
      </x:c>
      <x:c r="AH208" t="n">
        <x:f>--AND(AG208=1,AE208="HALLUCINATION")</x:f>
        <x:v>0</x:v>
      </x:c>
      <x:c r="AI208" t="n">
        <x:f>--AND(Q208=1,AF208=1,AE208="HALLUCINATION")</x:f>
        <x:v>0</x:v>
      </x:c>
      <x:c r="AJ208" t="n">
        <x:f>--AND(AI208=1,R208=1,S208=1)</x:f>
        <x:v>0</x:v>
      </x:c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43" t="n">
        <x:f>--AND(N209=1,OR(O209="SUPPORTED",O209="HALLUCINATION"))</x:f>
        <x:v>0</x:v>
      </x:c>
      <x:c r="X209" s="43" t="n">
        <x:f>--AND(W209=1,O209="HALLUCINATION")</x:f>
        <x:v>0</x:v>
      </x:c>
      <x:c r="Y209" s="43" t="n">
        <x:f>--AND(Q209=1,O209="HALLUCINATION")</x:f>
        <x:v>0</x:v>
      </x:c>
      <x:c r="Z209" s="43" t="n">
        <x:f>--AND(Y209=1,R209=1,S209=1)</x:f>
        <x:v>0</x:v>
      </x:c>
      <x:c r="AC209" t="str">
        <x:f>IF(OR(AA209="",AB209=""),"",--(AA209&lt;&gt;AB209))</x:f>
      </x:c>
      <x:c r="AE209" t="str">
        <x:f>IF(OR(AA209="",AB209=""),"PENDING_HUMAN",IF(AA209=AB209,AA209,IF(AD209&lt;&gt;"",AD209,"PENDING_HUMAN")))</x:f>
        <x:v>PENDING_HUMAN</x:v>
      </x:c>
      <x:c r="AF209" t="n">
        <x:f>--AND(A209&lt;&gt;"",AA209&lt;&gt;"",AB209&lt;&gt;"",OR(AA209=AB209,AD209&lt;&gt;""),IF(AE209="HALLUCINATION",U209&lt;&gt;"",TRUE))</x:f>
        <x:v>0</x:v>
      </x:c>
      <x:c r="AG209" t="n">
        <x:f>--AND(N209=1,AF209=1,OR(AE209="SUPPORTED",AE209="HALLUCINATION"))</x:f>
        <x:v>0</x:v>
      </x:c>
      <x:c r="AH209" t="n">
        <x:f>--AND(AG209=1,AE209="HALLUCINATION")</x:f>
        <x:v>0</x:v>
      </x:c>
      <x:c r="AI209" t="n">
        <x:f>--AND(Q209=1,AF209=1,AE209="HALLUCINATION")</x:f>
        <x:v>0</x:v>
      </x:c>
      <x:c r="AJ209" t="n">
        <x:f>--AND(AI209=1,R209=1,S209=1)</x:f>
        <x:v>0</x:v>
      </x:c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43" t="n">
        <x:f>--AND(N210=1,OR(O210="SUPPORTED",O210="HALLUCINATION"))</x:f>
        <x:v>0</x:v>
      </x:c>
      <x:c r="X210" s="43" t="n">
        <x:f>--AND(W210=1,O210="HALLUCINATION")</x:f>
        <x:v>0</x:v>
      </x:c>
      <x:c r="Y210" s="43" t="n">
        <x:f>--AND(Q210=1,O210="HALLUCINATION")</x:f>
        <x:v>0</x:v>
      </x:c>
      <x:c r="Z210" s="43" t="n">
        <x:f>--AND(Y210=1,R210=1,S210=1)</x:f>
        <x:v>0</x:v>
      </x:c>
      <x:c r="AC210" t="str">
        <x:f>IF(OR(AA210="",AB210=""),"",--(AA210&lt;&gt;AB210))</x:f>
      </x:c>
      <x:c r="AE210" t="str">
        <x:f>IF(OR(AA210="",AB210=""),"PENDING_HUMAN",IF(AA210=AB210,AA210,IF(AD210&lt;&gt;"",AD210,"PENDING_HUMAN")))</x:f>
        <x:v>PENDING_HUMAN</x:v>
      </x:c>
      <x:c r="AF210" t="n">
        <x:f>--AND(A210&lt;&gt;"",AA210&lt;&gt;"",AB210&lt;&gt;"",OR(AA210=AB210,AD210&lt;&gt;""),IF(AE210="HALLUCINATION",U210&lt;&gt;"",TRUE))</x:f>
        <x:v>0</x:v>
      </x:c>
      <x:c r="AG210" t="n">
        <x:f>--AND(N210=1,AF210=1,OR(AE210="SUPPORTED",AE210="HALLUCINATION"))</x:f>
        <x:v>0</x:v>
      </x:c>
      <x:c r="AH210" t="n">
        <x:f>--AND(AG210=1,AE210="HALLUCINATION")</x:f>
        <x:v>0</x:v>
      </x:c>
      <x:c r="AI210" t="n">
        <x:f>--AND(Q210=1,AF210=1,AE210="HALLUCINATION")</x:f>
        <x:v>0</x:v>
      </x:c>
      <x:c r="AJ210" t="n">
        <x:f>--AND(AI210=1,R210=1,S210=1)</x:f>
        <x:v>0</x:v>
      </x:c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43" t="n">
        <x:f>--AND(N211=1,OR(O211="SUPPORTED",O211="HALLUCINATION"))</x:f>
        <x:v>0</x:v>
      </x:c>
      <x:c r="X211" s="43" t="n">
        <x:f>--AND(W211=1,O211="HALLUCINATION")</x:f>
        <x:v>0</x:v>
      </x:c>
      <x:c r="Y211" s="43" t="n">
        <x:f>--AND(Q211=1,O211="HALLUCINATION")</x:f>
        <x:v>0</x:v>
      </x:c>
      <x:c r="Z211" s="43" t="n">
        <x:f>--AND(Y211=1,R211=1,S211=1)</x:f>
        <x:v>0</x:v>
      </x:c>
      <x:c r="AC211" t="str">
        <x:f>IF(OR(AA211="",AB211=""),"",--(AA211&lt;&gt;AB211))</x:f>
      </x:c>
      <x:c r="AE211" t="str">
        <x:f>IF(OR(AA211="",AB211=""),"PENDING_HUMAN",IF(AA211=AB211,AA211,IF(AD211&lt;&gt;"",AD211,"PENDING_HUMAN")))</x:f>
        <x:v>PENDING_HUMAN</x:v>
      </x:c>
      <x:c r="AF211" t="n">
        <x:f>--AND(A211&lt;&gt;"",AA211&lt;&gt;"",AB211&lt;&gt;"",OR(AA211=AB211,AD211&lt;&gt;""),IF(AE211="HALLUCINATION",U211&lt;&gt;"",TRUE))</x:f>
        <x:v>0</x:v>
      </x:c>
      <x:c r="AG211" t="n">
        <x:f>--AND(N211=1,AF211=1,OR(AE211="SUPPORTED",AE211="HALLUCINATION"))</x:f>
        <x:v>0</x:v>
      </x:c>
      <x:c r="AH211" t="n">
        <x:f>--AND(AG211=1,AE211="HALLUCINATION")</x:f>
        <x:v>0</x:v>
      </x:c>
      <x:c r="AI211" t="n">
        <x:f>--AND(Q211=1,AF211=1,AE211="HALLUCINATION")</x:f>
        <x:v>0</x:v>
      </x:c>
      <x:c r="AJ211" t="n">
        <x:f>--AND(AI211=1,R211=1,S211=1)</x:f>
        <x:v>0</x:v>
      </x:c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43" t="n">
        <x:f>--AND(N212=1,OR(O212="SUPPORTED",O212="HALLUCINATION"))</x:f>
        <x:v>0</x:v>
      </x:c>
      <x:c r="X212" s="43" t="n">
        <x:f>--AND(W212=1,O212="HALLUCINATION")</x:f>
        <x:v>0</x:v>
      </x:c>
      <x:c r="Y212" s="43" t="n">
        <x:f>--AND(Q212=1,O212="HALLUCINATION")</x:f>
        <x:v>0</x:v>
      </x:c>
      <x:c r="Z212" s="43" t="n">
        <x:f>--AND(Y212=1,R212=1,S212=1)</x:f>
        <x:v>0</x:v>
      </x:c>
      <x:c r="AC212" t="str">
        <x:f>IF(OR(AA212="",AB212=""),"",--(AA212&lt;&gt;AB212))</x:f>
      </x:c>
      <x:c r="AE212" t="str">
        <x:f>IF(OR(AA212="",AB212=""),"PENDING_HUMAN",IF(AA212=AB212,AA212,IF(AD212&lt;&gt;"",AD212,"PENDING_HUMAN")))</x:f>
        <x:v>PENDING_HUMAN</x:v>
      </x:c>
      <x:c r="AF212" t="n">
        <x:f>--AND(A212&lt;&gt;"",AA212&lt;&gt;"",AB212&lt;&gt;"",OR(AA212=AB212,AD212&lt;&gt;""),IF(AE212="HALLUCINATION",U212&lt;&gt;"",TRUE))</x:f>
        <x:v>0</x:v>
      </x:c>
      <x:c r="AG212" t="n">
        <x:f>--AND(N212=1,AF212=1,OR(AE212="SUPPORTED",AE212="HALLUCINATION"))</x:f>
        <x:v>0</x:v>
      </x:c>
      <x:c r="AH212" t="n">
        <x:f>--AND(AG212=1,AE212="HALLUCINATION")</x:f>
        <x:v>0</x:v>
      </x:c>
      <x:c r="AI212" t="n">
        <x:f>--AND(Q212=1,AF212=1,AE212="HALLUCINATION")</x:f>
        <x:v>0</x:v>
      </x:c>
      <x:c r="AJ212" t="n">
        <x:f>--AND(AI212=1,R212=1,S212=1)</x:f>
        <x:v>0</x:v>
      </x:c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43" t="n">
        <x:f>--AND(N213=1,OR(O213="SUPPORTED",O213="HALLUCINATION"))</x:f>
        <x:v>0</x:v>
      </x:c>
      <x:c r="X213" s="43" t="n">
        <x:f>--AND(W213=1,O213="HALLUCINATION")</x:f>
        <x:v>0</x:v>
      </x:c>
      <x:c r="Y213" s="43" t="n">
        <x:f>--AND(Q213=1,O213="HALLUCINATION")</x:f>
        <x:v>0</x:v>
      </x:c>
      <x:c r="Z213" s="43" t="n">
        <x:f>--AND(Y213=1,R213=1,S213=1)</x:f>
        <x:v>0</x:v>
      </x:c>
      <x:c r="AC213" t="str">
        <x:f>IF(OR(AA213="",AB213=""),"",--(AA213&lt;&gt;AB213))</x:f>
      </x:c>
      <x:c r="AE213" t="str">
        <x:f>IF(OR(AA213="",AB213=""),"PENDING_HUMAN",IF(AA213=AB213,AA213,IF(AD213&lt;&gt;"",AD213,"PENDING_HUMAN")))</x:f>
        <x:v>PENDING_HUMAN</x:v>
      </x:c>
      <x:c r="AF213" t="n">
        <x:f>--AND(A213&lt;&gt;"",AA213&lt;&gt;"",AB213&lt;&gt;"",OR(AA213=AB213,AD213&lt;&gt;""),IF(AE213="HALLUCINATION",U213&lt;&gt;"",TRUE))</x:f>
        <x:v>0</x:v>
      </x:c>
      <x:c r="AG213" t="n">
        <x:f>--AND(N213=1,AF213=1,OR(AE213="SUPPORTED",AE213="HALLUCINATION"))</x:f>
        <x:v>0</x:v>
      </x:c>
      <x:c r="AH213" t="n">
        <x:f>--AND(AG213=1,AE213="HALLUCINATION")</x:f>
        <x:v>0</x:v>
      </x:c>
      <x:c r="AI213" t="n">
        <x:f>--AND(Q213=1,AF213=1,AE213="HALLUCINATION")</x:f>
        <x:v>0</x:v>
      </x:c>
      <x:c r="AJ213" t="n">
        <x:f>--AND(AI213=1,R213=1,S213=1)</x:f>
        <x:v>0</x:v>
      </x:c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43" t="n">
        <x:f>--AND(N214=1,OR(O214="SUPPORTED",O214="HALLUCINATION"))</x:f>
        <x:v>0</x:v>
      </x:c>
      <x:c r="X214" s="43" t="n">
        <x:f>--AND(W214=1,O214="HALLUCINATION")</x:f>
        <x:v>0</x:v>
      </x:c>
      <x:c r="Y214" s="43" t="n">
        <x:f>--AND(Q214=1,O214="HALLUCINATION")</x:f>
        <x:v>0</x:v>
      </x:c>
      <x:c r="Z214" s="43" t="n">
        <x:f>--AND(Y214=1,R214=1,S214=1)</x:f>
        <x:v>0</x:v>
      </x:c>
      <x:c r="AC214" t="str">
        <x:f>IF(OR(AA214="",AB214=""),"",--(AA214&lt;&gt;AB214))</x:f>
      </x:c>
      <x:c r="AE214" t="str">
        <x:f>IF(OR(AA214="",AB214=""),"PENDING_HUMAN",IF(AA214=AB214,AA214,IF(AD214&lt;&gt;"",AD214,"PENDING_HUMAN")))</x:f>
        <x:v>PENDING_HUMAN</x:v>
      </x:c>
      <x:c r="AF214" t="n">
        <x:f>--AND(A214&lt;&gt;"",AA214&lt;&gt;"",AB214&lt;&gt;"",OR(AA214=AB214,AD214&lt;&gt;""),IF(AE214="HALLUCINATION",U214&lt;&gt;"",TRUE))</x:f>
        <x:v>0</x:v>
      </x:c>
      <x:c r="AG214" t="n">
        <x:f>--AND(N214=1,AF214=1,OR(AE214="SUPPORTED",AE214="HALLUCINATION"))</x:f>
        <x:v>0</x:v>
      </x:c>
      <x:c r="AH214" t="n">
        <x:f>--AND(AG214=1,AE214="HALLUCINATION")</x:f>
        <x:v>0</x:v>
      </x:c>
      <x:c r="AI214" t="n">
        <x:f>--AND(Q214=1,AF214=1,AE214="HALLUCINATION")</x:f>
        <x:v>0</x:v>
      </x:c>
      <x:c r="AJ214" t="n">
        <x:f>--AND(AI214=1,R214=1,S214=1)</x:f>
        <x:v>0</x:v>
      </x:c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43" t="n">
        <x:f>--AND(N215=1,OR(O215="SUPPORTED",O215="HALLUCINATION"))</x:f>
        <x:v>0</x:v>
      </x:c>
      <x:c r="X215" s="43" t="n">
        <x:f>--AND(W215=1,O215="HALLUCINATION")</x:f>
        <x:v>0</x:v>
      </x:c>
      <x:c r="Y215" s="43" t="n">
        <x:f>--AND(Q215=1,O215="HALLUCINATION")</x:f>
        <x:v>0</x:v>
      </x:c>
      <x:c r="Z215" s="43" t="n">
        <x:f>--AND(Y215=1,R215=1,S215=1)</x:f>
        <x:v>0</x:v>
      </x:c>
      <x:c r="AC215" t="str">
        <x:f>IF(OR(AA215="",AB215=""),"",--(AA215&lt;&gt;AB215))</x:f>
      </x:c>
      <x:c r="AE215" t="str">
        <x:f>IF(OR(AA215="",AB215=""),"PENDING_HUMAN",IF(AA215=AB215,AA215,IF(AD215&lt;&gt;"",AD215,"PENDING_HUMAN")))</x:f>
        <x:v>PENDING_HUMAN</x:v>
      </x:c>
      <x:c r="AF215" t="n">
        <x:f>--AND(A215&lt;&gt;"",AA215&lt;&gt;"",AB215&lt;&gt;"",OR(AA215=AB215,AD215&lt;&gt;""),IF(AE215="HALLUCINATION",U215&lt;&gt;"",TRUE))</x:f>
        <x:v>0</x:v>
      </x:c>
      <x:c r="AG215" t="n">
        <x:f>--AND(N215=1,AF215=1,OR(AE215="SUPPORTED",AE215="HALLUCINATION"))</x:f>
        <x:v>0</x:v>
      </x:c>
      <x:c r="AH215" t="n">
        <x:f>--AND(AG215=1,AE215="HALLUCINATION")</x:f>
        <x:v>0</x:v>
      </x:c>
      <x:c r="AI215" t="n">
        <x:f>--AND(Q215=1,AF215=1,AE215="HALLUCINATION")</x:f>
        <x:v>0</x:v>
      </x:c>
      <x:c r="AJ215" t="n">
        <x:f>--AND(AI215=1,R215=1,S215=1)</x:f>
        <x:v>0</x:v>
      </x:c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43" t="n">
        <x:f>--AND(N216=1,OR(O216="SUPPORTED",O216="HALLUCINATION"))</x:f>
        <x:v>0</x:v>
      </x:c>
      <x:c r="X216" s="43" t="n">
        <x:f>--AND(W216=1,O216="HALLUCINATION")</x:f>
        <x:v>0</x:v>
      </x:c>
      <x:c r="Y216" s="43" t="n">
        <x:f>--AND(Q216=1,O216="HALLUCINATION")</x:f>
        <x:v>0</x:v>
      </x:c>
      <x:c r="Z216" s="43" t="n">
        <x:f>--AND(Y216=1,R216=1,S216=1)</x:f>
        <x:v>0</x:v>
      </x:c>
      <x:c r="AC216" t="str">
        <x:f>IF(OR(AA216="",AB216=""),"",--(AA216&lt;&gt;AB216))</x:f>
      </x:c>
      <x:c r="AE216" t="str">
        <x:f>IF(OR(AA216="",AB216=""),"PENDING_HUMAN",IF(AA216=AB216,AA216,IF(AD216&lt;&gt;"",AD216,"PENDING_HUMAN")))</x:f>
        <x:v>PENDING_HUMAN</x:v>
      </x:c>
      <x:c r="AF216" t="n">
        <x:f>--AND(A216&lt;&gt;"",AA216&lt;&gt;"",AB216&lt;&gt;"",OR(AA216=AB216,AD216&lt;&gt;""),IF(AE216="HALLUCINATION",U216&lt;&gt;"",TRUE))</x:f>
        <x:v>0</x:v>
      </x:c>
      <x:c r="AG216" t="n">
        <x:f>--AND(N216=1,AF216=1,OR(AE216="SUPPORTED",AE216="HALLUCINATION"))</x:f>
        <x:v>0</x:v>
      </x:c>
      <x:c r="AH216" t="n">
        <x:f>--AND(AG216=1,AE216="HALLUCINATION")</x:f>
        <x:v>0</x:v>
      </x:c>
      <x:c r="AI216" t="n">
        <x:f>--AND(Q216=1,AF216=1,AE216="HALLUCINATION")</x:f>
        <x:v>0</x:v>
      </x:c>
      <x:c r="AJ216" t="n">
        <x:f>--AND(AI216=1,R216=1,S216=1)</x:f>
        <x:v>0</x:v>
      </x:c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43" t="n">
        <x:f>--AND(N217=1,OR(O217="SUPPORTED",O217="HALLUCINATION"))</x:f>
        <x:v>0</x:v>
      </x:c>
      <x:c r="X217" s="43" t="n">
        <x:f>--AND(W217=1,O217="HALLUCINATION")</x:f>
        <x:v>0</x:v>
      </x:c>
      <x:c r="Y217" s="43" t="n">
        <x:f>--AND(Q217=1,O217="HALLUCINATION")</x:f>
        <x:v>0</x:v>
      </x:c>
      <x:c r="Z217" s="43" t="n">
        <x:f>--AND(Y217=1,R217=1,S217=1)</x:f>
        <x:v>0</x:v>
      </x:c>
      <x:c r="AC217" t="str">
        <x:f>IF(OR(AA217="",AB217=""),"",--(AA217&lt;&gt;AB217))</x:f>
      </x:c>
      <x:c r="AE217" t="str">
        <x:f>IF(OR(AA217="",AB217=""),"PENDING_HUMAN",IF(AA217=AB217,AA217,IF(AD217&lt;&gt;"",AD217,"PENDING_HUMAN")))</x:f>
        <x:v>PENDING_HUMAN</x:v>
      </x:c>
      <x:c r="AF217" t="n">
        <x:f>--AND(A217&lt;&gt;"",AA217&lt;&gt;"",AB217&lt;&gt;"",OR(AA217=AB217,AD217&lt;&gt;""),IF(AE217="HALLUCINATION",U217&lt;&gt;"",TRUE))</x:f>
        <x:v>0</x:v>
      </x:c>
      <x:c r="AG217" t="n">
        <x:f>--AND(N217=1,AF217=1,OR(AE217="SUPPORTED",AE217="HALLUCINATION"))</x:f>
        <x:v>0</x:v>
      </x:c>
      <x:c r="AH217" t="n">
        <x:f>--AND(AG217=1,AE217="HALLUCINATION")</x:f>
        <x:v>0</x:v>
      </x:c>
      <x:c r="AI217" t="n">
        <x:f>--AND(Q217=1,AF217=1,AE217="HALLUCINATION")</x:f>
        <x:v>0</x:v>
      </x:c>
      <x:c r="AJ217" t="n">
        <x:f>--AND(AI217=1,R217=1,S217=1)</x:f>
        <x:v>0</x:v>
      </x:c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43" t="n">
        <x:f>--AND(N218=1,OR(O218="SUPPORTED",O218="HALLUCINATION"))</x:f>
        <x:v>0</x:v>
      </x:c>
      <x:c r="X218" s="43" t="n">
        <x:f>--AND(W218=1,O218="HALLUCINATION")</x:f>
        <x:v>0</x:v>
      </x:c>
      <x:c r="Y218" s="43" t="n">
        <x:f>--AND(Q218=1,O218="HALLUCINATION")</x:f>
        <x:v>0</x:v>
      </x:c>
      <x:c r="Z218" s="43" t="n">
        <x:f>--AND(Y218=1,R218=1,S218=1)</x:f>
        <x:v>0</x:v>
      </x:c>
      <x:c r="AC218" t="str">
        <x:f>IF(OR(AA218="",AB218=""),"",--(AA218&lt;&gt;AB218))</x:f>
      </x:c>
      <x:c r="AE218" t="str">
        <x:f>IF(OR(AA218="",AB218=""),"PENDING_HUMAN",IF(AA218=AB218,AA218,IF(AD218&lt;&gt;"",AD218,"PENDING_HUMAN")))</x:f>
        <x:v>PENDING_HUMAN</x:v>
      </x:c>
      <x:c r="AF218" t="n">
        <x:f>--AND(A218&lt;&gt;"",AA218&lt;&gt;"",AB218&lt;&gt;"",OR(AA218=AB218,AD218&lt;&gt;""),IF(AE218="HALLUCINATION",U218&lt;&gt;"",TRUE))</x:f>
        <x:v>0</x:v>
      </x:c>
      <x:c r="AG218" t="n">
        <x:f>--AND(N218=1,AF218=1,OR(AE218="SUPPORTED",AE218="HALLUCINATION"))</x:f>
        <x:v>0</x:v>
      </x:c>
      <x:c r="AH218" t="n">
        <x:f>--AND(AG218=1,AE218="HALLUCINATION")</x:f>
        <x:v>0</x:v>
      </x:c>
      <x:c r="AI218" t="n">
        <x:f>--AND(Q218=1,AF218=1,AE218="HALLUCINATION")</x:f>
        <x:v>0</x:v>
      </x:c>
      <x:c r="AJ218" t="n">
        <x:f>--AND(AI218=1,R218=1,S218=1)</x:f>
        <x:v>0</x:v>
      </x:c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43" t="n">
        <x:f>--AND(N219=1,OR(O219="SUPPORTED",O219="HALLUCINATION"))</x:f>
        <x:v>0</x:v>
      </x:c>
      <x:c r="X219" s="43" t="n">
        <x:f>--AND(W219=1,O219="HALLUCINATION")</x:f>
        <x:v>0</x:v>
      </x:c>
      <x:c r="Y219" s="43" t="n">
        <x:f>--AND(Q219=1,O219="HALLUCINATION")</x:f>
        <x:v>0</x:v>
      </x:c>
      <x:c r="Z219" s="43" t="n">
        <x:f>--AND(Y219=1,R219=1,S219=1)</x:f>
        <x:v>0</x:v>
      </x:c>
      <x:c r="AC219" t="str">
        <x:f>IF(OR(AA219="",AB219=""),"",--(AA219&lt;&gt;AB219))</x:f>
      </x:c>
      <x:c r="AE219" t="str">
        <x:f>IF(OR(AA219="",AB219=""),"PENDING_HUMAN",IF(AA219=AB219,AA219,IF(AD219&lt;&gt;"",AD219,"PENDING_HUMAN")))</x:f>
        <x:v>PENDING_HUMAN</x:v>
      </x:c>
      <x:c r="AF219" t="n">
        <x:f>--AND(A219&lt;&gt;"",AA219&lt;&gt;"",AB219&lt;&gt;"",OR(AA219=AB219,AD219&lt;&gt;""),IF(AE219="HALLUCINATION",U219&lt;&gt;"",TRUE))</x:f>
        <x:v>0</x:v>
      </x:c>
      <x:c r="AG219" t="n">
        <x:f>--AND(N219=1,AF219=1,OR(AE219="SUPPORTED",AE219="HALLUCINATION"))</x:f>
        <x:v>0</x:v>
      </x:c>
      <x:c r="AH219" t="n">
        <x:f>--AND(AG219=1,AE219="HALLUCINATION")</x:f>
        <x:v>0</x:v>
      </x:c>
      <x:c r="AI219" t="n">
        <x:f>--AND(Q219=1,AF219=1,AE219="HALLUCINATION")</x:f>
        <x:v>0</x:v>
      </x:c>
      <x:c r="AJ219" t="n">
        <x:f>--AND(AI219=1,R219=1,S219=1)</x:f>
        <x:v>0</x:v>
      </x:c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43" t="n">
        <x:f>--AND(N220=1,OR(O220="SUPPORTED",O220="HALLUCINATION"))</x:f>
        <x:v>0</x:v>
      </x:c>
      <x:c r="X220" s="43" t="n">
        <x:f>--AND(W220=1,O220="HALLUCINATION")</x:f>
        <x:v>0</x:v>
      </x:c>
      <x:c r="Y220" s="43" t="n">
        <x:f>--AND(Q220=1,O220="HALLUCINATION")</x:f>
        <x:v>0</x:v>
      </x:c>
      <x:c r="Z220" s="43" t="n">
        <x:f>--AND(Y220=1,R220=1,S220=1)</x:f>
        <x:v>0</x:v>
      </x:c>
      <x:c r="AC220" t="str">
        <x:f>IF(OR(AA220="",AB220=""),"",--(AA220&lt;&gt;AB220))</x:f>
      </x:c>
      <x:c r="AE220" t="str">
        <x:f>IF(OR(AA220="",AB220=""),"PENDING_HUMAN",IF(AA220=AB220,AA220,IF(AD220&lt;&gt;"",AD220,"PENDING_HUMAN")))</x:f>
        <x:v>PENDING_HUMAN</x:v>
      </x:c>
      <x:c r="AF220" t="n">
        <x:f>--AND(A220&lt;&gt;"",AA220&lt;&gt;"",AB220&lt;&gt;"",OR(AA220=AB220,AD220&lt;&gt;""),IF(AE220="HALLUCINATION",U220&lt;&gt;"",TRUE))</x:f>
        <x:v>0</x:v>
      </x:c>
      <x:c r="AG220" t="n">
        <x:f>--AND(N220=1,AF220=1,OR(AE220="SUPPORTED",AE220="HALLUCINATION"))</x:f>
        <x:v>0</x:v>
      </x:c>
      <x:c r="AH220" t="n">
        <x:f>--AND(AG220=1,AE220="HALLUCINATION")</x:f>
        <x:v>0</x:v>
      </x:c>
      <x:c r="AI220" t="n">
        <x:f>--AND(Q220=1,AF220=1,AE220="HALLUCINATION")</x:f>
        <x:v>0</x:v>
      </x:c>
      <x:c r="AJ220" t="n">
        <x:f>--AND(AI220=1,R220=1,S220=1)</x:f>
        <x:v>0</x:v>
      </x:c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43" t="n">
        <x:f>--AND(N221=1,OR(O221="SUPPORTED",O221="HALLUCINATION"))</x:f>
        <x:v>0</x:v>
      </x:c>
      <x:c r="X221" s="43" t="n">
        <x:f>--AND(W221=1,O221="HALLUCINATION")</x:f>
        <x:v>0</x:v>
      </x:c>
      <x:c r="Y221" s="43" t="n">
        <x:f>--AND(Q221=1,O221="HALLUCINATION")</x:f>
        <x:v>0</x:v>
      </x:c>
      <x:c r="Z221" s="43" t="n">
        <x:f>--AND(Y221=1,R221=1,S221=1)</x:f>
        <x:v>0</x:v>
      </x:c>
      <x:c r="AC221" t="str">
        <x:f>IF(OR(AA221="",AB221=""),"",--(AA221&lt;&gt;AB221))</x:f>
      </x:c>
      <x:c r="AE221" t="str">
        <x:f>IF(OR(AA221="",AB221=""),"PENDING_HUMAN",IF(AA221=AB221,AA221,IF(AD221&lt;&gt;"",AD221,"PENDING_HUMAN")))</x:f>
        <x:v>PENDING_HUMAN</x:v>
      </x:c>
      <x:c r="AF221" t="n">
        <x:f>--AND(A221&lt;&gt;"",AA221&lt;&gt;"",AB221&lt;&gt;"",OR(AA221=AB221,AD221&lt;&gt;""),IF(AE221="HALLUCINATION",U221&lt;&gt;"",TRUE))</x:f>
        <x:v>0</x:v>
      </x:c>
      <x:c r="AG221" t="n">
        <x:f>--AND(N221=1,AF221=1,OR(AE221="SUPPORTED",AE221="HALLUCINATION"))</x:f>
        <x:v>0</x:v>
      </x:c>
      <x:c r="AH221" t="n">
        <x:f>--AND(AG221=1,AE221="HALLUCINATION")</x:f>
        <x:v>0</x:v>
      </x:c>
      <x:c r="AI221" t="n">
        <x:f>--AND(Q221=1,AF221=1,AE221="HALLUCINATION")</x:f>
        <x:v>0</x:v>
      </x:c>
      <x:c r="AJ221" t="n">
        <x:f>--AND(AI221=1,R221=1,S221=1)</x:f>
        <x:v>0</x:v>
      </x:c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43" t="n">
        <x:f>--AND(N222=1,OR(O222="SUPPORTED",O222="HALLUCINATION"))</x:f>
        <x:v>0</x:v>
      </x:c>
      <x:c r="X222" s="43" t="n">
        <x:f>--AND(W222=1,O222="HALLUCINATION")</x:f>
        <x:v>0</x:v>
      </x:c>
      <x:c r="Y222" s="43" t="n">
        <x:f>--AND(Q222=1,O222="HALLUCINATION")</x:f>
        <x:v>0</x:v>
      </x:c>
      <x:c r="Z222" s="43" t="n">
        <x:f>--AND(Y222=1,R222=1,S222=1)</x:f>
        <x:v>0</x:v>
      </x:c>
      <x:c r="AC222" t="str">
        <x:f>IF(OR(AA222="",AB222=""),"",--(AA222&lt;&gt;AB222))</x:f>
      </x:c>
      <x:c r="AE222" t="str">
        <x:f>IF(OR(AA222="",AB222=""),"PENDING_HUMAN",IF(AA222=AB222,AA222,IF(AD222&lt;&gt;"",AD222,"PENDING_HUMAN")))</x:f>
        <x:v>PENDING_HUMAN</x:v>
      </x:c>
      <x:c r="AF222" t="n">
        <x:f>--AND(A222&lt;&gt;"",AA222&lt;&gt;"",AB222&lt;&gt;"",OR(AA222=AB222,AD222&lt;&gt;""),IF(AE222="HALLUCINATION",U222&lt;&gt;"",TRUE))</x:f>
        <x:v>0</x:v>
      </x:c>
      <x:c r="AG222" t="n">
        <x:f>--AND(N222=1,AF222=1,OR(AE222="SUPPORTED",AE222="HALLUCINATION"))</x:f>
        <x:v>0</x:v>
      </x:c>
      <x:c r="AH222" t="n">
        <x:f>--AND(AG222=1,AE222="HALLUCINATION")</x:f>
        <x:v>0</x:v>
      </x:c>
      <x:c r="AI222" t="n">
        <x:f>--AND(Q222=1,AF222=1,AE222="HALLUCINATION")</x:f>
        <x:v>0</x:v>
      </x:c>
      <x:c r="AJ222" t="n">
        <x:f>--AND(AI222=1,R222=1,S222=1)</x:f>
        <x:v>0</x:v>
      </x:c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43" t="n">
        <x:f>--AND(N223=1,OR(O223="SUPPORTED",O223="HALLUCINATION"))</x:f>
        <x:v>0</x:v>
      </x:c>
      <x:c r="X223" s="43" t="n">
        <x:f>--AND(W223=1,O223="HALLUCINATION")</x:f>
        <x:v>0</x:v>
      </x:c>
      <x:c r="Y223" s="43" t="n">
        <x:f>--AND(Q223=1,O223="HALLUCINATION")</x:f>
        <x:v>0</x:v>
      </x:c>
      <x:c r="Z223" s="43" t="n">
        <x:f>--AND(Y223=1,R223=1,S223=1)</x:f>
        <x:v>0</x:v>
      </x:c>
      <x:c r="AC223" t="str">
        <x:f>IF(OR(AA223="",AB223=""),"",--(AA223&lt;&gt;AB223))</x:f>
      </x:c>
      <x:c r="AE223" t="str">
        <x:f>IF(OR(AA223="",AB223=""),"PENDING_HUMAN",IF(AA223=AB223,AA223,IF(AD223&lt;&gt;"",AD223,"PENDING_HUMAN")))</x:f>
        <x:v>PENDING_HUMAN</x:v>
      </x:c>
      <x:c r="AF223" t="n">
        <x:f>--AND(A223&lt;&gt;"",AA223&lt;&gt;"",AB223&lt;&gt;"",OR(AA223=AB223,AD223&lt;&gt;""),IF(AE223="HALLUCINATION",U223&lt;&gt;"",TRUE))</x:f>
        <x:v>0</x:v>
      </x:c>
      <x:c r="AG223" t="n">
        <x:f>--AND(N223=1,AF223=1,OR(AE223="SUPPORTED",AE223="HALLUCINATION"))</x:f>
        <x:v>0</x:v>
      </x:c>
      <x:c r="AH223" t="n">
        <x:f>--AND(AG223=1,AE223="HALLUCINATION")</x:f>
        <x:v>0</x:v>
      </x:c>
      <x:c r="AI223" t="n">
        <x:f>--AND(Q223=1,AF223=1,AE223="HALLUCINATION")</x:f>
        <x:v>0</x:v>
      </x:c>
      <x:c r="AJ223" t="n">
        <x:f>--AND(AI223=1,R223=1,S223=1)</x:f>
        <x:v>0</x:v>
      </x:c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43" t="n">
        <x:f>--AND(N224=1,OR(O224="SUPPORTED",O224="HALLUCINATION"))</x:f>
        <x:v>0</x:v>
      </x:c>
      <x:c r="X224" s="43" t="n">
        <x:f>--AND(W224=1,O224="HALLUCINATION")</x:f>
        <x:v>0</x:v>
      </x:c>
      <x:c r="Y224" s="43" t="n">
        <x:f>--AND(Q224=1,O224="HALLUCINATION")</x:f>
        <x:v>0</x:v>
      </x:c>
      <x:c r="Z224" s="43" t="n">
        <x:f>--AND(Y224=1,R224=1,S224=1)</x:f>
        <x:v>0</x:v>
      </x:c>
      <x:c r="AC224" t="str">
        <x:f>IF(OR(AA224="",AB224=""),"",--(AA224&lt;&gt;AB224))</x:f>
      </x:c>
      <x:c r="AE224" t="str">
        <x:f>IF(OR(AA224="",AB224=""),"PENDING_HUMAN",IF(AA224=AB224,AA224,IF(AD224&lt;&gt;"",AD224,"PENDING_HUMAN")))</x:f>
        <x:v>PENDING_HUMAN</x:v>
      </x:c>
      <x:c r="AF224" t="n">
        <x:f>--AND(A224&lt;&gt;"",AA224&lt;&gt;"",AB224&lt;&gt;"",OR(AA224=AB224,AD224&lt;&gt;""),IF(AE224="HALLUCINATION",U224&lt;&gt;"",TRUE))</x:f>
        <x:v>0</x:v>
      </x:c>
      <x:c r="AG224" t="n">
        <x:f>--AND(N224=1,AF224=1,OR(AE224="SUPPORTED",AE224="HALLUCINATION"))</x:f>
        <x:v>0</x:v>
      </x:c>
      <x:c r="AH224" t="n">
        <x:f>--AND(AG224=1,AE224="HALLUCINATION")</x:f>
        <x:v>0</x:v>
      </x:c>
      <x:c r="AI224" t="n">
        <x:f>--AND(Q224=1,AF224=1,AE224="HALLUCINATION")</x:f>
        <x:v>0</x:v>
      </x:c>
      <x:c r="AJ224" t="n">
        <x:f>--AND(AI224=1,R224=1,S224=1)</x:f>
        <x:v>0</x:v>
      </x:c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43" t="n">
        <x:f>--AND(N225=1,OR(O225="SUPPORTED",O225="HALLUCINATION"))</x:f>
        <x:v>0</x:v>
      </x:c>
      <x:c r="X225" s="43" t="n">
        <x:f>--AND(W225=1,O225="HALLUCINATION")</x:f>
        <x:v>0</x:v>
      </x:c>
      <x:c r="Y225" s="43" t="n">
        <x:f>--AND(Q225=1,O225="HALLUCINATION")</x:f>
        <x:v>0</x:v>
      </x:c>
      <x:c r="Z225" s="43" t="n">
        <x:f>--AND(Y225=1,R225=1,S225=1)</x:f>
        <x:v>0</x:v>
      </x:c>
      <x:c r="AC225" t="str">
        <x:f>IF(OR(AA225="",AB225=""),"",--(AA225&lt;&gt;AB225))</x:f>
      </x:c>
      <x:c r="AE225" t="str">
        <x:f>IF(OR(AA225="",AB225=""),"PENDING_HUMAN",IF(AA225=AB225,AA225,IF(AD225&lt;&gt;"",AD225,"PENDING_HUMAN")))</x:f>
        <x:v>PENDING_HUMAN</x:v>
      </x:c>
      <x:c r="AF225" t="n">
        <x:f>--AND(A225&lt;&gt;"",AA225&lt;&gt;"",AB225&lt;&gt;"",OR(AA225=AB225,AD225&lt;&gt;""),IF(AE225="HALLUCINATION",U225&lt;&gt;"",TRUE))</x:f>
        <x:v>0</x:v>
      </x:c>
      <x:c r="AG225" t="n">
        <x:f>--AND(N225=1,AF225=1,OR(AE225="SUPPORTED",AE225="HALLUCINATION"))</x:f>
        <x:v>0</x:v>
      </x:c>
      <x:c r="AH225" t="n">
        <x:f>--AND(AG225=1,AE225="HALLUCINATION")</x:f>
        <x:v>0</x:v>
      </x:c>
      <x:c r="AI225" t="n">
        <x:f>--AND(Q225=1,AF225=1,AE225="HALLUCINATION")</x:f>
        <x:v>0</x:v>
      </x:c>
      <x:c r="AJ225" t="n">
        <x:f>--AND(AI225=1,R225=1,S225=1)</x:f>
        <x:v>0</x:v>
      </x:c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43" t="n">
        <x:f>--AND(N226=1,OR(O226="SUPPORTED",O226="HALLUCINATION"))</x:f>
        <x:v>0</x:v>
      </x:c>
      <x:c r="X226" s="43" t="n">
        <x:f>--AND(W226=1,O226="HALLUCINATION")</x:f>
        <x:v>0</x:v>
      </x:c>
      <x:c r="Y226" s="43" t="n">
        <x:f>--AND(Q226=1,O226="HALLUCINATION")</x:f>
        <x:v>0</x:v>
      </x:c>
      <x:c r="Z226" s="43" t="n">
        <x:f>--AND(Y226=1,R226=1,S226=1)</x:f>
        <x:v>0</x:v>
      </x:c>
      <x:c r="AC226" t="str">
        <x:f>IF(OR(AA226="",AB226=""),"",--(AA226&lt;&gt;AB226))</x:f>
      </x:c>
      <x:c r="AE226" t="str">
        <x:f>IF(OR(AA226="",AB226=""),"PENDING_HUMAN",IF(AA226=AB226,AA226,IF(AD226&lt;&gt;"",AD226,"PENDING_HUMAN")))</x:f>
        <x:v>PENDING_HUMAN</x:v>
      </x:c>
      <x:c r="AF226" t="n">
        <x:f>--AND(A226&lt;&gt;"",AA226&lt;&gt;"",AB226&lt;&gt;"",OR(AA226=AB226,AD226&lt;&gt;""),IF(AE226="HALLUCINATION",U226&lt;&gt;"",TRUE))</x:f>
        <x:v>0</x:v>
      </x:c>
      <x:c r="AG226" t="n">
        <x:f>--AND(N226=1,AF226=1,OR(AE226="SUPPORTED",AE226="HALLUCINATION"))</x:f>
        <x:v>0</x:v>
      </x:c>
      <x:c r="AH226" t="n">
        <x:f>--AND(AG226=1,AE226="HALLUCINATION")</x:f>
        <x:v>0</x:v>
      </x:c>
      <x:c r="AI226" t="n">
        <x:f>--AND(Q226=1,AF226=1,AE226="HALLUCINATION")</x:f>
        <x:v>0</x:v>
      </x:c>
      <x:c r="AJ226" t="n">
        <x:f>--AND(AI226=1,R226=1,S226=1)</x:f>
        <x:v>0</x:v>
      </x:c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43" t="n">
        <x:f>--AND(N227=1,OR(O227="SUPPORTED",O227="HALLUCINATION"))</x:f>
        <x:v>0</x:v>
      </x:c>
      <x:c r="X227" s="43" t="n">
        <x:f>--AND(W227=1,O227="HALLUCINATION")</x:f>
        <x:v>0</x:v>
      </x:c>
      <x:c r="Y227" s="43" t="n">
        <x:f>--AND(Q227=1,O227="HALLUCINATION")</x:f>
        <x:v>0</x:v>
      </x:c>
      <x:c r="Z227" s="43" t="n">
        <x:f>--AND(Y227=1,R227=1,S227=1)</x:f>
        <x:v>0</x:v>
      </x:c>
      <x:c r="AC227" t="str">
        <x:f>IF(OR(AA227="",AB227=""),"",--(AA227&lt;&gt;AB227))</x:f>
      </x:c>
      <x:c r="AE227" t="str">
        <x:f>IF(OR(AA227="",AB227=""),"PENDING_HUMAN",IF(AA227=AB227,AA227,IF(AD227&lt;&gt;"",AD227,"PENDING_HUMAN")))</x:f>
        <x:v>PENDING_HUMAN</x:v>
      </x:c>
      <x:c r="AF227" t="n">
        <x:f>--AND(A227&lt;&gt;"",AA227&lt;&gt;"",AB227&lt;&gt;"",OR(AA227=AB227,AD227&lt;&gt;""),IF(AE227="HALLUCINATION",U227&lt;&gt;"",TRUE))</x:f>
        <x:v>0</x:v>
      </x:c>
      <x:c r="AG227" t="n">
        <x:f>--AND(N227=1,AF227=1,OR(AE227="SUPPORTED",AE227="HALLUCINATION"))</x:f>
        <x:v>0</x:v>
      </x:c>
      <x:c r="AH227" t="n">
        <x:f>--AND(AG227=1,AE227="HALLUCINATION")</x:f>
        <x:v>0</x:v>
      </x:c>
      <x:c r="AI227" t="n">
        <x:f>--AND(Q227=1,AF227=1,AE227="HALLUCINATION")</x:f>
        <x:v>0</x:v>
      </x:c>
      <x:c r="AJ227" t="n">
        <x:f>--AND(AI227=1,R227=1,S227=1)</x:f>
        <x:v>0</x:v>
      </x:c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43" t="n">
        <x:f>--AND(N228=1,OR(O228="SUPPORTED",O228="HALLUCINATION"))</x:f>
        <x:v>0</x:v>
      </x:c>
      <x:c r="X228" s="43" t="n">
        <x:f>--AND(W228=1,O228="HALLUCINATION")</x:f>
        <x:v>0</x:v>
      </x:c>
      <x:c r="Y228" s="43" t="n">
        <x:f>--AND(Q228=1,O228="HALLUCINATION")</x:f>
        <x:v>0</x:v>
      </x:c>
      <x:c r="Z228" s="43" t="n">
        <x:f>--AND(Y228=1,R228=1,S228=1)</x:f>
        <x:v>0</x:v>
      </x:c>
      <x:c r="AC228" t="str">
        <x:f>IF(OR(AA228="",AB228=""),"",--(AA228&lt;&gt;AB228))</x:f>
      </x:c>
      <x:c r="AE228" t="str">
        <x:f>IF(OR(AA228="",AB228=""),"PENDING_HUMAN",IF(AA228=AB228,AA228,IF(AD228&lt;&gt;"",AD228,"PENDING_HUMAN")))</x:f>
        <x:v>PENDING_HUMAN</x:v>
      </x:c>
      <x:c r="AF228" t="n">
        <x:f>--AND(A228&lt;&gt;"",AA228&lt;&gt;"",AB228&lt;&gt;"",OR(AA228=AB228,AD228&lt;&gt;""),IF(AE228="HALLUCINATION",U228&lt;&gt;"",TRUE))</x:f>
        <x:v>0</x:v>
      </x:c>
      <x:c r="AG228" t="n">
        <x:f>--AND(N228=1,AF228=1,OR(AE228="SUPPORTED",AE228="HALLUCINATION"))</x:f>
        <x:v>0</x:v>
      </x:c>
      <x:c r="AH228" t="n">
        <x:f>--AND(AG228=1,AE228="HALLUCINATION")</x:f>
        <x:v>0</x:v>
      </x:c>
      <x:c r="AI228" t="n">
        <x:f>--AND(Q228=1,AF228=1,AE228="HALLUCINATION")</x:f>
        <x:v>0</x:v>
      </x:c>
      <x:c r="AJ228" t="n">
        <x:f>--AND(AI228=1,R228=1,S228=1)</x:f>
        <x:v>0</x:v>
      </x:c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43" t="n">
        <x:f>--AND(N229=1,OR(O229="SUPPORTED",O229="HALLUCINATION"))</x:f>
        <x:v>0</x:v>
      </x:c>
      <x:c r="X229" s="43" t="n">
        <x:f>--AND(W229=1,O229="HALLUCINATION")</x:f>
        <x:v>0</x:v>
      </x:c>
      <x:c r="Y229" s="43" t="n">
        <x:f>--AND(Q229=1,O229="HALLUCINATION")</x:f>
        <x:v>0</x:v>
      </x:c>
      <x:c r="Z229" s="43" t="n">
        <x:f>--AND(Y229=1,R229=1,S229=1)</x:f>
        <x:v>0</x:v>
      </x:c>
      <x:c r="AC229" t="str">
        <x:f>IF(OR(AA229="",AB229=""),"",--(AA229&lt;&gt;AB229))</x:f>
      </x:c>
      <x:c r="AE229" t="str">
        <x:f>IF(OR(AA229="",AB229=""),"PENDING_HUMAN",IF(AA229=AB229,AA229,IF(AD229&lt;&gt;"",AD229,"PENDING_HUMAN")))</x:f>
        <x:v>PENDING_HUMAN</x:v>
      </x:c>
      <x:c r="AF229" t="n">
        <x:f>--AND(A229&lt;&gt;"",AA229&lt;&gt;"",AB229&lt;&gt;"",OR(AA229=AB229,AD229&lt;&gt;""),IF(AE229="HALLUCINATION",U229&lt;&gt;"",TRUE))</x:f>
        <x:v>0</x:v>
      </x:c>
      <x:c r="AG229" t="n">
        <x:f>--AND(N229=1,AF229=1,OR(AE229="SUPPORTED",AE229="HALLUCINATION"))</x:f>
        <x:v>0</x:v>
      </x:c>
      <x:c r="AH229" t="n">
        <x:f>--AND(AG229=1,AE229="HALLUCINATION")</x:f>
        <x:v>0</x:v>
      </x:c>
      <x:c r="AI229" t="n">
        <x:f>--AND(Q229=1,AF229=1,AE229="HALLUCINATION")</x:f>
        <x:v>0</x:v>
      </x:c>
      <x:c r="AJ229" t="n">
        <x:f>--AND(AI229=1,R229=1,S229=1)</x:f>
        <x:v>0</x:v>
      </x:c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43" t="n">
        <x:f>--AND(N230=1,OR(O230="SUPPORTED",O230="HALLUCINATION"))</x:f>
        <x:v>0</x:v>
      </x:c>
      <x:c r="X230" s="43" t="n">
        <x:f>--AND(W230=1,O230="HALLUCINATION")</x:f>
        <x:v>0</x:v>
      </x:c>
      <x:c r="Y230" s="43" t="n">
        <x:f>--AND(Q230=1,O230="HALLUCINATION")</x:f>
        <x:v>0</x:v>
      </x:c>
      <x:c r="Z230" s="43" t="n">
        <x:f>--AND(Y230=1,R230=1,S230=1)</x:f>
        <x:v>0</x:v>
      </x:c>
      <x:c r="AC230" t="str">
        <x:f>IF(OR(AA230="",AB230=""),"",--(AA230&lt;&gt;AB230))</x:f>
      </x:c>
      <x:c r="AE230" t="str">
        <x:f>IF(OR(AA230="",AB230=""),"PENDING_HUMAN",IF(AA230=AB230,AA230,IF(AD230&lt;&gt;"",AD230,"PENDING_HUMAN")))</x:f>
        <x:v>PENDING_HUMAN</x:v>
      </x:c>
      <x:c r="AF230" t="n">
        <x:f>--AND(A230&lt;&gt;"",AA230&lt;&gt;"",AB230&lt;&gt;"",OR(AA230=AB230,AD230&lt;&gt;""),IF(AE230="HALLUCINATION",U230&lt;&gt;"",TRUE))</x:f>
        <x:v>0</x:v>
      </x:c>
      <x:c r="AG230" t="n">
        <x:f>--AND(N230=1,AF230=1,OR(AE230="SUPPORTED",AE230="HALLUCINATION"))</x:f>
        <x:v>0</x:v>
      </x:c>
      <x:c r="AH230" t="n">
        <x:f>--AND(AG230=1,AE230="HALLUCINATION")</x:f>
        <x:v>0</x:v>
      </x:c>
      <x:c r="AI230" t="n">
        <x:f>--AND(Q230=1,AF230=1,AE230="HALLUCINATION")</x:f>
        <x:v>0</x:v>
      </x:c>
      <x:c r="AJ230" t="n">
        <x:f>--AND(AI230=1,R230=1,S230=1)</x:f>
        <x:v>0</x:v>
      </x:c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43" t="n">
        <x:f>--AND(N231=1,OR(O231="SUPPORTED",O231="HALLUCINATION"))</x:f>
        <x:v>0</x:v>
      </x:c>
      <x:c r="X231" s="43" t="n">
        <x:f>--AND(W231=1,O231="HALLUCINATION")</x:f>
        <x:v>0</x:v>
      </x:c>
      <x:c r="Y231" s="43" t="n">
        <x:f>--AND(Q231=1,O231="HALLUCINATION")</x:f>
        <x:v>0</x:v>
      </x:c>
      <x:c r="Z231" s="43" t="n">
        <x:f>--AND(Y231=1,R231=1,S231=1)</x:f>
        <x:v>0</x:v>
      </x:c>
      <x:c r="AC231" t="str">
        <x:f>IF(OR(AA231="",AB231=""),"",--(AA231&lt;&gt;AB231))</x:f>
      </x:c>
      <x:c r="AE231" t="str">
        <x:f>IF(OR(AA231="",AB231=""),"PENDING_HUMAN",IF(AA231=AB231,AA231,IF(AD231&lt;&gt;"",AD231,"PENDING_HUMAN")))</x:f>
        <x:v>PENDING_HUMAN</x:v>
      </x:c>
      <x:c r="AF231" t="n">
        <x:f>--AND(A231&lt;&gt;"",AA231&lt;&gt;"",AB231&lt;&gt;"",OR(AA231=AB231,AD231&lt;&gt;""),IF(AE231="HALLUCINATION",U231&lt;&gt;"",TRUE))</x:f>
        <x:v>0</x:v>
      </x:c>
      <x:c r="AG231" t="n">
        <x:f>--AND(N231=1,AF231=1,OR(AE231="SUPPORTED",AE231="HALLUCINATION"))</x:f>
        <x:v>0</x:v>
      </x:c>
      <x:c r="AH231" t="n">
        <x:f>--AND(AG231=1,AE231="HALLUCINATION")</x:f>
        <x:v>0</x:v>
      </x:c>
      <x:c r="AI231" t="n">
        <x:f>--AND(Q231=1,AF231=1,AE231="HALLUCINATION")</x:f>
        <x:v>0</x:v>
      </x:c>
      <x:c r="AJ231" t="n">
        <x:f>--AND(AI231=1,R231=1,S231=1)</x:f>
        <x:v>0</x:v>
      </x:c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43" t="n">
        <x:f>--AND(N232=1,OR(O232="SUPPORTED",O232="HALLUCINATION"))</x:f>
        <x:v>0</x:v>
      </x:c>
      <x:c r="X232" s="43" t="n">
        <x:f>--AND(W232=1,O232="HALLUCINATION")</x:f>
        <x:v>0</x:v>
      </x:c>
      <x:c r="Y232" s="43" t="n">
        <x:f>--AND(Q232=1,O232="HALLUCINATION")</x:f>
        <x:v>0</x:v>
      </x:c>
      <x:c r="Z232" s="43" t="n">
        <x:f>--AND(Y232=1,R232=1,S232=1)</x:f>
        <x:v>0</x:v>
      </x:c>
      <x:c r="AC232" t="str">
        <x:f>IF(OR(AA232="",AB232=""),"",--(AA232&lt;&gt;AB232))</x:f>
      </x:c>
      <x:c r="AE232" t="str">
        <x:f>IF(OR(AA232="",AB232=""),"PENDING_HUMAN",IF(AA232=AB232,AA232,IF(AD232&lt;&gt;"",AD232,"PENDING_HUMAN")))</x:f>
        <x:v>PENDING_HUMAN</x:v>
      </x:c>
      <x:c r="AF232" t="n">
        <x:f>--AND(A232&lt;&gt;"",AA232&lt;&gt;"",AB232&lt;&gt;"",OR(AA232=AB232,AD232&lt;&gt;""),IF(AE232="HALLUCINATION",U232&lt;&gt;"",TRUE))</x:f>
        <x:v>0</x:v>
      </x:c>
      <x:c r="AG232" t="n">
        <x:f>--AND(N232=1,AF232=1,OR(AE232="SUPPORTED",AE232="HALLUCINATION"))</x:f>
        <x:v>0</x:v>
      </x:c>
      <x:c r="AH232" t="n">
        <x:f>--AND(AG232=1,AE232="HALLUCINATION")</x:f>
        <x:v>0</x:v>
      </x:c>
      <x:c r="AI232" t="n">
        <x:f>--AND(Q232=1,AF232=1,AE232="HALLUCINATION")</x:f>
        <x:v>0</x:v>
      </x:c>
      <x:c r="AJ232" t="n">
        <x:f>--AND(AI232=1,R232=1,S232=1)</x:f>
        <x:v>0</x:v>
      </x:c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43" t="n">
        <x:f>--AND(N233=1,OR(O233="SUPPORTED",O233="HALLUCINATION"))</x:f>
        <x:v>0</x:v>
      </x:c>
      <x:c r="X233" s="43" t="n">
        <x:f>--AND(W233=1,O233="HALLUCINATION")</x:f>
        <x:v>0</x:v>
      </x:c>
      <x:c r="Y233" s="43" t="n">
        <x:f>--AND(Q233=1,O233="HALLUCINATION")</x:f>
        <x:v>0</x:v>
      </x:c>
      <x:c r="Z233" s="43" t="n">
        <x:f>--AND(Y233=1,R233=1,S233=1)</x:f>
        <x:v>0</x:v>
      </x:c>
      <x:c r="AC233" t="str">
        <x:f>IF(OR(AA233="",AB233=""),"",--(AA233&lt;&gt;AB233))</x:f>
      </x:c>
      <x:c r="AE233" t="str">
        <x:f>IF(OR(AA233="",AB233=""),"PENDING_HUMAN",IF(AA233=AB233,AA233,IF(AD233&lt;&gt;"",AD233,"PENDING_HUMAN")))</x:f>
        <x:v>PENDING_HUMAN</x:v>
      </x:c>
      <x:c r="AF233" t="n">
        <x:f>--AND(A233&lt;&gt;"",AA233&lt;&gt;"",AB233&lt;&gt;"",OR(AA233=AB233,AD233&lt;&gt;""),IF(AE233="HALLUCINATION",U233&lt;&gt;"",TRUE))</x:f>
        <x:v>0</x:v>
      </x:c>
      <x:c r="AG233" t="n">
        <x:f>--AND(N233=1,AF233=1,OR(AE233="SUPPORTED",AE233="HALLUCINATION"))</x:f>
        <x:v>0</x:v>
      </x:c>
      <x:c r="AH233" t="n">
        <x:f>--AND(AG233=1,AE233="HALLUCINATION")</x:f>
        <x:v>0</x:v>
      </x:c>
      <x:c r="AI233" t="n">
        <x:f>--AND(Q233=1,AF233=1,AE233="HALLUCINATION")</x:f>
        <x:v>0</x:v>
      </x:c>
      <x:c r="AJ233" t="n">
        <x:f>--AND(AI233=1,R233=1,S233=1)</x:f>
        <x:v>0</x:v>
      </x:c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43" t="n">
        <x:f>--AND(N234=1,OR(O234="SUPPORTED",O234="HALLUCINATION"))</x:f>
        <x:v>0</x:v>
      </x:c>
      <x:c r="X234" s="43" t="n">
        <x:f>--AND(W234=1,O234="HALLUCINATION")</x:f>
        <x:v>0</x:v>
      </x:c>
      <x:c r="Y234" s="43" t="n">
        <x:f>--AND(Q234=1,O234="HALLUCINATION")</x:f>
        <x:v>0</x:v>
      </x:c>
      <x:c r="Z234" s="43" t="n">
        <x:f>--AND(Y234=1,R234=1,S234=1)</x:f>
        <x:v>0</x:v>
      </x:c>
      <x:c r="AC234" t="str">
        <x:f>IF(OR(AA234="",AB234=""),"",--(AA234&lt;&gt;AB234))</x:f>
      </x:c>
      <x:c r="AE234" t="str">
        <x:f>IF(OR(AA234="",AB234=""),"PENDING_HUMAN",IF(AA234=AB234,AA234,IF(AD234&lt;&gt;"",AD234,"PENDING_HUMAN")))</x:f>
        <x:v>PENDING_HUMAN</x:v>
      </x:c>
      <x:c r="AF234" t="n">
        <x:f>--AND(A234&lt;&gt;"",AA234&lt;&gt;"",AB234&lt;&gt;"",OR(AA234=AB234,AD234&lt;&gt;""),IF(AE234="HALLUCINATION",U234&lt;&gt;"",TRUE))</x:f>
        <x:v>0</x:v>
      </x:c>
      <x:c r="AG234" t="n">
        <x:f>--AND(N234=1,AF234=1,OR(AE234="SUPPORTED",AE234="HALLUCINATION"))</x:f>
        <x:v>0</x:v>
      </x:c>
      <x:c r="AH234" t="n">
        <x:f>--AND(AG234=1,AE234="HALLUCINATION")</x:f>
        <x:v>0</x:v>
      </x:c>
      <x:c r="AI234" t="n">
        <x:f>--AND(Q234=1,AF234=1,AE234="HALLUCINATION")</x:f>
        <x:v>0</x:v>
      </x:c>
      <x:c r="AJ234" t="n">
        <x:f>--AND(AI234=1,R234=1,S234=1)</x:f>
        <x:v>0</x:v>
      </x:c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43" t="n">
        <x:f>--AND(N235=1,OR(O235="SUPPORTED",O235="HALLUCINATION"))</x:f>
        <x:v>0</x:v>
      </x:c>
      <x:c r="X235" s="43" t="n">
        <x:f>--AND(W235=1,O235="HALLUCINATION")</x:f>
        <x:v>0</x:v>
      </x:c>
      <x:c r="Y235" s="43" t="n">
        <x:f>--AND(Q235=1,O235="HALLUCINATION")</x:f>
        <x:v>0</x:v>
      </x:c>
      <x:c r="Z235" s="43" t="n">
        <x:f>--AND(Y235=1,R235=1,S235=1)</x:f>
        <x:v>0</x:v>
      </x:c>
      <x:c r="AC235" t="str">
        <x:f>IF(OR(AA235="",AB235=""),"",--(AA235&lt;&gt;AB235))</x:f>
      </x:c>
      <x:c r="AE235" t="str">
        <x:f>IF(OR(AA235="",AB235=""),"PENDING_HUMAN",IF(AA235=AB235,AA235,IF(AD235&lt;&gt;"",AD235,"PENDING_HUMAN")))</x:f>
        <x:v>PENDING_HUMAN</x:v>
      </x:c>
      <x:c r="AF235" t="n">
        <x:f>--AND(A235&lt;&gt;"",AA235&lt;&gt;"",AB235&lt;&gt;"",OR(AA235=AB235,AD235&lt;&gt;""),IF(AE235="HALLUCINATION",U235&lt;&gt;"",TRUE))</x:f>
        <x:v>0</x:v>
      </x:c>
      <x:c r="AG235" t="n">
        <x:f>--AND(N235=1,AF235=1,OR(AE235="SUPPORTED",AE235="HALLUCINATION"))</x:f>
        <x:v>0</x:v>
      </x:c>
      <x:c r="AH235" t="n">
        <x:f>--AND(AG235=1,AE235="HALLUCINATION")</x:f>
        <x:v>0</x:v>
      </x:c>
      <x:c r="AI235" t="n">
        <x:f>--AND(Q235=1,AF235=1,AE235="HALLUCINATION")</x:f>
        <x:v>0</x:v>
      </x:c>
      <x:c r="AJ235" t="n">
        <x:f>--AND(AI235=1,R235=1,S235=1)</x:f>
        <x:v>0</x:v>
      </x:c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43" t="n">
        <x:f>--AND(N236=1,OR(O236="SUPPORTED",O236="HALLUCINATION"))</x:f>
        <x:v>0</x:v>
      </x:c>
      <x:c r="X236" s="43" t="n">
        <x:f>--AND(W236=1,O236="HALLUCINATION")</x:f>
        <x:v>0</x:v>
      </x:c>
      <x:c r="Y236" s="43" t="n">
        <x:f>--AND(Q236=1,O236="HALLUCINATION")</x:f>
        <x:v>0</x:v>
      </x:c>
      <x:c r="Z236" s="43" t="n">
        <x:f>--AND(Y236=1,R236=1,S236=1)</x:f>
        <x:v>0</x:v>
      </x:c>
      <x:c r="AC236" t="str">
        <x:f>IF(OR(AA236="",AB236=""),"",--(AA236&lt;&gt;AB236))</x:f>
      </x:c>
      <x:c r="AE236" t="str">
        <x:f>IF(OR(AA236="",AB236=""),"PENDING_HUMAN",IF(AA236=AB236,AA236,IF(AD236&lt;&gt;"",AD236,"PENDING_HUMAN")))</x:f>
        <x:v>PENDING_HUMAN</x:v>
      </x:c>
      <x:c r="AF236" t="n">
        <x:f>--AND(A236&lt;&gt;"",AA236&lt;&gt;"",AB236&lt;&gt;"",OR(AA236=AB236,AD236&lt;&gt;""),IF(AE236="HALLUCINATION",U236&lt;&gt;"",TRUE))</x:f>
        <x:v>0</x:v>
      </x:c>
      <x:c r="AG236" t="n">
        <x:f>--AND(N236=1,AF236=1,OR(AE236="SUPPORTED",AE236="HALLUCINATION"))</x:f>
        <x:v>0</x:v>
      </x:c>
      <x:c r="AH236" t="n">
        <x:f>--AND(AG236=1,AE236="HALLUCINATION")</x:f>
        <x:v>0</x:v>
      </x:c>
      <x:c r="AI236" t="n">
        <x:f>--AND(Q236=1,AF236=1,AE236="HALLUCINATION")</x:f>
        <x:v>0</x:v>
      </x:c>
      <x:c r="AJ236" t="n">
        <x:f>--AND(AI236=1,R236=1,S236=1)</x:f>
        <x:v>0</x:v>
      </x:c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43" t="n">
        <x:f>--AND(N237=1,OR(O237="SUPPORTED",O237="HALLUCINATION"))</x:f>
        <x:v>0</x:v>
      </x:c>
      <x:c r="X237" s="43" t="n">
        <x:f>--AND(W237=1,O237="HALLUCINATION")</x:f>
        <x:v>0</x:v>
      </x:c>
      <x:c r="Y237" s="43" t="n">
        <x:f>--AND(Q237=1,O237="HALLUCINATION")</x:f>
        <x:v>0</x:v>
      </x:c>
      <x:c r="Z237" s="43" t="n">
        <x:f>--AND(Y237=1,R237=1,S237=1)</x:f>
        <x:v>0</x:v>
      </x:c>
      <x:c r="AC237" t="str">
        <x:f>IF(OR(AA237="",AB237=""),"",--(AA237&lt;&gt;AB237))</x:f>
      </x:c>
      <x:c r="AE237" t="str">
        <x:f>IF(OR(AA237="",AB237=""),"PENDING_HUMAN",IF(AA237=AB237,AA237,IF(AD237&lt;&gt;"",AD237,"PENDING_HUMAN")))</x:f>
        <x:v>PENDING_HUMAN</x:v>
      </x:c>
      <x:c r="AF237" t="n">
        <x:f>--AND(A237&lt;&gt;"",AA237&lt;&gt;"",AB237&lt;&gt;"",OR(AA237=AB237,AD237&lt;&gt;""),IF(AE237="HALLUCINATION",U237&lt;&gt;"",TRUE))</x:f>
        <x:v>0</x:v>
      </x:c>
      <x:c r="AG237" t="n">
        <x:f>--AND(N237=1,AF237=1,OR(AE237="SUPPORTED",AE237="HALLUCINATION"))</x:f>
        <x:v>0</x:v>
      </x:c>
      <x:c r="AH237" t="n">
        <x:f>--AND(AG237=1,AE237="HALLUCINATION")</x:f>
        <x:v>0</x:v>
      </x:c>
      <x:c r="AI237" t="n">
        <x:f>--AND(Q237=1,AF237=1,AE237="HALLUCINATION")</x:f>
        <x:v>0</x:v>
      </x:c>
      <x:c r="AJ237" t="n">
        <x:f>--AND(AI237=1,R237=1,S237=1)</x:f>
        <x:v>0</x:v>
      </x:c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43" t="n">
        <x:f>--AND(N238=1,OR(O238="SUPPORTED",O238="HALLUCINATION"))</x:f>
        <x:v>0</x:v>
      </x:c>
      <x:c r="X238" s="43" t="n">
        <x:f>--AND(W238=1,O238="HALLUCINATION")</x:f>
        <x:v>0</x:v>
      </x:c>
      <x:c r="Y238" s="43" t="n">
        <x:f>--AND(Q238=1,O238="HALLUCINATION")</x:f>
        <x:v>0</x:v>
      </x:c>
      <x:c r="Z238" s="43" t="n">
        <x:f>--AND(Y238=1,R238=1,S238=1)</x:f>
        <x:v>0</x:v>
      </x:c>
      <x:c r="AC238" t="str">
        <x:f>IF(OR(AA238="",AB238=""),"",--(AA238&lt;&gt;AB238))</x:f>
      </x:c>
      <x:c r="AE238" t="str">
        <x:f>IF(OR(AA238="",AB238=""),"PENDING_HUMAN",IF(AA238=AB238,AA238,IF(AD238&lt;&gt;"",AD238,"PENDING_HUMAN")))</x:f>
        <x:v>PENDING_HUMAN</x:v>
      </x:c>
      <x:c r="AF238" t="n">
        <x:f>--AND(A238&lt;&gt;"",AA238&lt;&gt;"",AB238&lt;&gt;"",OR(AA238=AB238,AD238&lt;&gt;""),IF(AE238="HALLUCINATION",U238&lt;&gt;"",TRUE))</x:f>
        <x:v>0</x:v>
      </x:c>
      <x:c r="AG238" t="n">
        <x:f>--AND(N238=1,AF238=1,OR(AE238="SUPPORTED",AE238="HALLUCINATION"))</x:f>
        <x:v>0</x:v>
      </x:c>
      <x:c r="AH238" t="n">
        <x:f>--AND(AG238=1,AE238="HALLUCINATION")</x:f>
        <x:v>0</x:v>
      </x:c>
      <x:c r="AI238" t="n">
        <x:f>--AND(Q238=1,AF238=1,AE238="HALLUCINATION")</x:f>
        <x:v>0</x:v>
      </x:c>
      <x:c r="AJ238" t="n">
        <x:f>--AND(AI238=1,R238=1,S238=1)</x:f>
        <x:v>0</x:v>
      </x:c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43" t="n">
        <x:f>--AND(N239=1,OR(O239="SUPPORTED",O239="HALLUCINATION"))</x:f>
        <x:v>0</x:v>
      </x:c>
      <x:c r="X239" s="43" t="n">
        <x:f>--AND(W239=1,O239="HALLUCINATION")</x:f>
        <x:v>0</x:v>
      </x:c>
      <x:c r="Y239" s="43" t="n">
        <x:f>--AND(Q239=1,O239="HALLUCINATION")</x:f>
        <x:v>0</x:v>
      </x:c>
      <x:c r="Z239" s="43" t="n">
        <x:f>--AND(Y239=1,R239=1,S239=1)</x:f>
        <x:v>0</x:v>
      </x:c>
      <x:c r="AC239" t="str">
        <x:f>IF(OR(AA239="",AB239=""),"",--(AA239&lt;&gt;AB239))</x:f>
      </x:c>
      <x:c r="AE239" t="str">
        <x:f>IF(OR(AA239="",AB239=""),"PENDING_HUMAN",IF(AA239=AB239,AA239,IF(AD239&lt;&gt;"",AD239,"PENDING_HUMAN")))</x:f>
        <x:v>PENDING_HUMAN</x:v>
      </x:c>
      <x:c r="AF239" t="n">
        <x:f>--AND(A239&lt;&gt;"",AA239&lt;&gt;"",AB239&lt;&gt;"",OR(AA239=AB239,AD239&lt;&gt;""),IF(AE239="HALLUCINATION",U239&lt;&gt;"",TRUE))</x:f>
        <x:v>0</x:v>
      </x:c>
      <x:c r="AG239" t="n">
        <x:f>--AND(N239=1,AF239=1,OR(AE239="SUPPORTED",AE239="HALLUCINATION"))</x:f>
        <x:v>0</x:v>
      </x:c>
      <x:c r="AH239" t="n">
        <x:f>--AND(AG239=1,AE239="HALLUCINATION")</x:f>
        <x:v>0</x:v>
      </x:c>
      <x:c r="AI239" t="n">
        <x:f>--AND(Q239=1,AF239=1,AE239="HALLUCINATION")</x:f>
        <x:v>0</x:v>
      </x:c>
      <x:c r="AJ239" t="n">
        <x:f>--AND(AI239=1,R239=1,S239=1)</x:f>
        <x:v>0</x:v>
      </x:c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43" t="n">
        <x:f>--AND(N240=1,OR(O240="SUPPORTED",O240="HALLUCINATION"))</x:f>
        <x:v>0</x:v>
      </x:c>
      <x:c r="X240" s="43" t="n">
        <x:f>--AND(W240=1,O240="HALLUCINATION")</x:f>
        <x:v>0</x:v>
      </x:c>
      <x:c r="Y240" s="43" t="n">
        <x:f>--AND(Q240=1,O240="HALLUCINATION")</x:f>
        <x:v>0</x:v>
      </x:c>
      <x:c r="Z240" s="43" t="n">
        <x:f>--AND(Y240=1,R240=1,S240=1)</x:f>
        <x:v>0</x:v>
      </x:c>
      <x:c r="AC240" t="str">
        <x:f>IF(OR(AA240="",AB240=""),"",--(AA240&lt;&gt;AB240))</x:f>
      </x:c>
      <x:c r="AE240" t="str">
        <x:f>IF(OR(AA240="",AB240=""),"PENDING_HUMAN",IF(AA240=AB240,AA240,IF(AD240&lt;&gt;"",AD240,"PENDING_HUMAN")))</x:f>
        <x:v>PENDING_HUMAN</x:v>
      </x:c>
      <x:c r="AF240" t="n">
        <x:f>--AND(A240&lt;&gt;"",AA240&lt;&gt;"",AB240&lt;&gt;"",OR(AA240=AB240,AD240&lt;&gt;""),IF(AE240="HALLUCINATION",U240&lt;&gt;"",TRUE))</x:f>
        <x:v>0</x:v>
      </x:c>
      <x:c r="AG240" t="n">
        <x:f>--AND(N240=1,AF240=1,OR(AE240="SUPPORTED",AE240="HALLUCINATION"))</x:f>
        <x:v>0</x:v>
      </x:c>
      <x:c r="AH240" t="n">
        <x:f>--AND(AG240=1,AE240="HALLUCINATION")</x:f>
        <x:v>0</x:v>
      </x:c>
      <x:c r="AI240" t="n">
        <x:f>--AND(Q240=1,AF240=1,AE240="HALLUCINATION")</x:f>
        <x:v>0</x:v>
      </x:c>
      <x:c r="AJ240" t="n">
        <x:f>--AND(AI240=1,R240=1,S240=1)</x:f>
        <x:v>0</x:v>
      </x:c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43" t="n">
        <x:f>--AND(N241=1,OR(O241="SUPPORTED",O241="HALLUCINATION"))</x:f>
        <x:v>0</x:v>
      </x:c>
      <x:c r="X241" s="43" t="n">
        <x:f>--AND(W241=1,O241="HALLUCINATION")</x:f>
        <x:v>0</x:v>
      </x:c>
      <x:c r="Y241" s="43" t="n">
        <x:f>--AND(Q241=1,O241="HALLUCINATION")</x:f>
        <x:v>0</x:v>
      </x:c>
      <x:c r="Z241" s="43" t="n">
        <x:f>--AND(Y241=1,R241=1,S241=1)</x:f>
        <x:v>0</x:v>
      </x:c>
      <x:c r="AC241" t="str">
        <x:f>IF(OR(AA241="",AB241=""),"",--(AA241&lt;&gt;AB241))</x:f>
      </x:c>
      <x:c r="AE241" t="str">
        <x:f>IF(OR(AA241="",AB241=""),"PENDING_HUMAN",IF(AA241=AB241,AA241,IF(AD241&lt;&gt;"",AD241,"PENDING_HUMAN")))</x:f>
        <x:v>PENDING_HUMAN</x:v>
      </x:c>
      <x:c r="AF241" t="n">
        <x:f>--AND(A241&lt;&gt;"",AA241&lt;&gt;"",AB241&lt;&gt;"",OR(AA241=AB241,AD241&lt;&gt;""),IF(AE241="HALLUCINATION",U241&lt;&gt;"",TRUE))</x:f>
        <x:v>0</x:v>
      </x:c>
      <x:c r="AG241" t="n">
        <x:f>--AND(N241=1,AF241=1,OR(AE241="SUPPORTED",AE241="HALLUCINATION"))</x:f>
        <x:v>0</x:v>
      </x:c>
      <x:c r="AH241" t="n">
        <x:f>--AND(AG241=1,AE241="HALLUCINATION")</x:f>
        <x:v>0</x:v>
      </x:c>
      <x:c r="AI241" t="n">
        <x:f>--AND(Q241=1,AF241=1,AE241="HALLUCINATION")</x:f>
        <x:v>0</x:v>
      </x:c>
      <x:c r="AJ241" t="n">
        <x:f>--AND(AI241=1,R241=1,S241=1)</x:f>
        <x:v>0</x:v>
      </x:c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43" t="n">
        <x:f>--AND(N242=1,OR(O242="SUPPORTED",O242="HALLUCINATION"))</x:f>
        <x:v>0</x:v>
      </x:c>
      <x:c r="X242" s="43" t="n">
        <x:f>--AND(W242=1,O242="HALLUCINATION")</x:f>
        <x:v>0</x:v>
      </x:c>
      <x:c r="Y242" s="43" t="n">
        <x:f>--AND(Q242=1,O242="HALLUCINATION")</x:f>
        <x:v>0</x:v>
      </x:c>
      <x:c r="Z242" s="43" t="n">
        <x:f>--AND(Y242=1,R242=1,S242=1)</x:f>
        <x:v>0</x:v>
      </x:c>
      <x:c r="AC242" t="str">
        <x:f>IF(OR(AA242="",AB242=""),"",--(AA242&lt;&gt;AB242))</x:f>
      </x:c>
      <x:c r="AE242" t="str">
        <x:f>IF(OR(AA242="",AB242=""),"PENDING_HUMAN",IF(AA242=AB242,AA242,IF(AD242&lt;&gt;"",AD242,"PENDING_HUMAN")))</x:f>
        <x:v>PENDING_HUMAN</x:v>
      </x:c>
      <x:c r="AF242" t="n">
        <x:f>--AND(A242&lt;&gt;"",AA242&lt;&gt;"",AB242&lt;&gt;"",OR(AA242=AB242,AD242&lt;&gt;""),IF(AE242="HALLUCINATION",U242&lt;&gt;"",TRUE))</x:f>
        <x:v>0</x:v>
      </x:c>
      <x:c r="AG242" t="n">
        <x:f>--AND(N242=1,AF242=1,OR(AE242="SUPPORTED",AE242="HALLUCINATION"))</x:f>
        <x:v>0</x:v>
      </x:c>
      <x:c r="AH242" t="n">
        <x:f>--AND(AG242=1,AE242="HALLUCINATION")</x:f>
        <x:v>0</x:v>
      </x:c>
      <x:c r="AI242" t="n">
        <x:f>--AND(Q242=1,AF242=1,AE242="HALLUCINATION")</x:f>
        <x:v>0</x:v>
      </x:c>
      <x:c r="AJ242" t="n">
        <x:f>--AND(AI242=1,R242=1,S242=1)</x:f>
        <x:v>0</x:v>
      </x:c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43" t="n">
        <x:f>--AND(N243=1,OR(O243="SUPPORTED",O243="HALLUCINATION"))</x:f>
        <x:v>0</x:v>
      </x:c>
      <x:c r="X243" s="43" t="n">
        <x:f>--AND(W243=1,O243="HALLUCINATION")</x:f>
        <x:v>0</x:v>
      </x:c>
      <x:c r="Y243" s="43" t="n">
        <x:f>--AND(Q243=1,O243="HALLUCINATION")</x:f>
        <x:v>0</x:v>
      </x:c>
      <x:c r="Z243" s="43" t="n">
        <x:f>--AND(Y243=1,R243=1,S243=1)</x:f>
        <x:v>0</x:v>
      </x:c>
      <x:c r="AC243" t="str">
        <x:f>IF(OR(AA243="",AB243=""),"",--(AA243&lt;&gt;AB243))</x:f>
      </x:c>
      <x:c r="AE243" t="str">
        <x:f>IF(OR(AA243="",AB243=""),"PENDING_HUMAN",IF(AA243=AB243,AA243,IF(AD243&lt;&gt;"",AD243,"PENDING_HUMAN")))</x:f>
        <x:v>PENDING_HUMAN</x:v>
      </x:c>
      <x:c r="AF243" t="n">
        <x:f>--AND(A243&lt;&gt;"",AA243&lt;&gt;"",AB243&lt;&gt;"",OR(AA243=AB243,AD243&lt;&gt;""),IF(AE243="HALLUCINATION",U243&lt;&gt;"",TRUE))</x:f>
        <x:v>0</x:v>
      </x:c>
      <x:c r="AG243" t="n">
        <x:f>--AND(N243=1,AF243=1,OR(AE243="SUPPORTED",AE243="HALLUCINATION"))</x:f>
        <x:v>0</x:v>
      </x:c>
      <x:c r="AH243" t="n">
        <x:f>--AND(AG243=1,AE243="HALLUCINATION")</x:f>
        <x:v>0</x:v>
      </x:c>
      <x:c r="AI243" t="n">
        <x:f>--AND(Q243=1,AF243=1,AE243="HALLUCINATION")</x:f>
        <x:v>0</x:v>
      </x:c>
      <x:c r="AJ243" t="n">
        <x:f>--AND(AI243=1,R243=1,S243=1)</x:f>
        <x:v>0</x:v>
      </x:c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43" t="n">
        <x:f>--AND(N244=1,OR(O244="SUPPORTED",O244="HALLUCINATION"))</x:f>
        <x:v>0</x:v>
      </x:c>
      <x:c r="X244" s="43" t="n">
        <x:f>--AND(W244=1,O244="HALLUCINATION")</x:f>
        <x:v>0</x:v>
      </x:c>
      <x:c r="Y244" s="43" t="n">
        <x:f>--AND(Q244=1,O244="HALLUCINATION")</x:f>
        <x:v>0</x:v>
      </x:c>
      <x:c r="Z244" s="43" t="n">
        <x:f>--AND(Y244=1,R244=1,S244=1)</x:f>
        <x:v>0</x:v>
      </x:c>
      <x:c r="AC244" t="str">
        <x:f>IF(OR(AA244="",AB244=""),"",--(AA244&lt;&gt;AB244))</x:f>
      </x:c>
      <x:c r="AE244" t="str">
        <x:f>IF(OR(AA244="",AB244=""),"PENDING_HUMAN",IF(AA244=AB244,AA244,IF(AD244&lt;&gt;"",AD244,"PENDING_HUMAN")))</x:f>
        <x:v>PENDING_HUMAN</x:v>
      </x:c>
      <x:c r="AF244" t="n">
        <x:f>--AND(A244&lt;&gt;"",AA244&lt;&gt;"",AB244&lt;&gt;"",OR(AA244=AB244,AD244&lt;&gt;""),IF(AE244="HALLUCINATION",U244&lt;&gt;"",TRUE))</x:f>
        <x:v>0</x:v>
      </x:c>
      <x:c r="AG244" t="n">
        <x:f>--AND(N244=1,AF244=1,OR(AE244="SUPPORTED",AE244="HALLUCINATION"))</x:f>
        <x:v>0</x:v>
      </x:c>
      <x:c r="AH244" t="n">
        <x:f>--AND(AG244=1,AE244="HALLUCINATION")</x:f>
        <x:v>0</x:v>
      </x:c>
      <x:c r="AI244" t="n">
        <x:f>--AND(Q244=1,AF244=1,AE244="HALLUCINATION")</x:f>
        <x:v>0</x:v>
      </x:c>
      <x:c r="AJ244" t="n">
        <x:f>--AND(AI244=1,R244=1,S244=1)</x:f>
        <x:v>0</x:v>
      </x:c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43" t="n">
        <x:f>--AND(N245=1,OR(O245="SUPPORTED",O245="HALLUCINATION"))</x:f>
        <x:v>0</x:v>
      </x:c>
      <x:c r="X245" s="43" t="n">
        <x:f>--AND(W245=1,O245="HALLUCINATION")</x:f>
        <x:v>0</x:v>
      </x:c>
      <x:c r="Y245" s="43" t="n">
        <x:f>--AND(Q245=1,O245="HALLUCINATION")</x:f>
        <x:v>0</x:v>
      </x:c>
      <x:c r="Z245" s="43" t="n">
        <x:f>--AND(Y245=1,R245=1,S245=1)</x:f>
        <x:v>0</x:v>
      </x:c>
      <x:c r="AC245" t="str">
        <x:f>IF(OR(AA245="",AB245=""),"",--(AA245&lt;&gt;AB245))</x:f>
      </x:c>
      <x:c r="AE245" t="str">
        <x:f>IF(OR(AA245="",AB245=""),"PENDING_HUMAN",IF(AA245=AB245,AA245,IF(AD245&lt;&gt;"",AD245,"PENDING_HUMAN")))</x:f>
        <x:v>PENDING_HUMAN</x:v>
      </x:c>
      <x:c r="AF245" t="n">
        <x:f>--AND(A245&lt;&gt;"",AA245&lt;&gt;"",AB245&lt;&gt;"",OR(AA245=AB245,AD245&lt;&gt;""),IF(AE245="HALLUCINATION",U245&lt;&gt;"",TRUE))</x:f>
        <x:v>0</x:v>
      </x:c>
      <x:c r="AG245" t="n">
        <x:f>--AND(N245=1,AF245=1,OR(AE245="SUPPORTED",AE245="HALLUCINATION"))</x:f>
        <x:v>0</x:v>
      </x:c>
      <x:c r="AH245" t="n">
        <x:f>--AND(AG245=1,AE245="HALLUCINATION")</x:f>
        <x:v>0</x:v>
      </x:c>
      <x:c r="AI245" t="n">
        <x:f>--AND(Q245=1,AF245=1,AE245="HALLUCINATION")</x:f>
        <x:v>0</x:v>
      </x:c>
      <x:c r="AJ245" t="n">
        <x:f>--AND(AI245=1,R245=1,S245=1)</x:f>
        <x:v>0</x:v>
      </x:c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43" t="n">
        <x:f>--AND(N246=1,OR(O246="SUPPORTED",O246="HALLUCINATION"))</x:f>
        <x:v>0</x:v>
      </x:c>
      <x:c r="X246" s="43" t="n">
        <x:f>--AND(W246=1,O246="HALLUCINATION")</x:f>
        <x:v>0</x:v>
      </x:c>
      <x:c r="Y246" s="43" t="n">
        <x:f>--AND(Q246=1,O246="HALLUCINATION")</x:f>
        <x:v>0</x:v>
      </x:c>
      <x:c r="Z246" s="43" t="n">
        <x:f>--AND(Y246=1,R246=1,S246=1)</x:f>
        <x:v>0</x:v>
      </x:c>
      <x:c r="AC246" t="str">
        <x:f>IF(OR(AA246="",AB246=""),"",--(AA246&lt;&gt;AB246))</x:f>
      </x:c>
      <x:c r="AE246" t="str">
        <x:f>IF(OR(AA246="",AB246=""),"PENDING_HUMAN",IF(AA246=AB246,AA246,IF(AD246&lt;&gt;"",AD246,"PENDING_HUMAN")))</x:f>
        <x:v>PENDING_HUMAN</x:v>
      </x:c>
      <x:c r="AF246" t="n">
        <x:f>--AND(A246&lt;&gt;"",AA246&lt;&gt;"",AB246&lt;&gt;"",OR(AA246=AB246,AD246&lt;&gt;""),IF(AE246="HALLUCINATION",U246&lt;&gt;"",TRUE))</x:f>
        <x:v>0</x:v>
      </x:c>
      <x:c r="AG246" t="n">
        <x:f>--AND(N246=1,AF246=1,OR(AE246="SUPPORTED",AE246="HALLUCINATION"))</x:f>
        <x:v>0</x:v>
      </x:c>
      <x:c r="AH246" t="n">
        <x:f>--AND(AG246=1,AE246="HALLUCINATION")</x:f>
        <x:v>0</x:v>
      </x:c>
      <x:c r="AI246" t="n">
        <x:f>--AND(Q246=1,AF246=1,AE246="HALLUCINATION")</x:f>
        <x:v>0</x:v>
      </x:c>
      <x:c r="AJ246" t="n">
        <x:f>--AND(AI246=1,R246=1,S246=1)</x:f>
        <x:v>0</x:v>
      </x:c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43" t="n">
        <x:f>--AND(N247=1,OR(O247="SUPPORTED",O247="HALLUCINATION"))</x:f>
        <x:v>0</x:v>
      </x:c>
      <x:c r="X247" s="43" t="n">
        <x:f>--AND(W247=1,O247="HALLUCINATION")</x:f>
        <x:v>0</x:v>
      </x:c>
      <x:c r="Y247" s="43" t="n">
        <x:f>--AND(Q247=1,O247="HALLUCINATION")</x:f>
        <x:v>0</x:v>
      </x:c>
      <x:c r="Z247" s="43" t="n">
        <x:f>--AND(Y247=1,R247=1,S247=1)</x:f>
        <x:v>0</x:v>
      </x:c>
      <x:c r="AC247" t="str">
        <x:f>IF(OR(AA247="",AB247=""),"",--(AA247&lt;&gt;AB247))</x:f>
      </x:c>
      <x:c r="AE247" t="str">
        <x:f>IF(OR(AA247="",AB247=""),"PENDING_HUMAN",IF(AA247=AB247,AA247,IF(AD247&lt;&gt;"",AD247,"PENDING_HUMAN")))</x:f>
        <x:v>PENDING_HUMAN</x:v>
      </x:c>
      <x:c r="AF247" t="n">
        <x:f>--AND(A247&lt;&gt;"",AA247&lt;&gt;"",AB247&lt;&gt;"",OR(AA247=AB247,AD247&lt;&gt;""),IF(AE247="HALLUCINATION",U247&lt;&gt;"",TRUE))</x:f>
        <x:v>0</x:v>
      </x:c>
      <x:c r="AG247" t="n">
        <x:f>--AND(N247=1,AF247=1,OR(AE247="SUPPORTED",AE247="HALLUCINATION"))</x:f>
        <x:v>0</x:v>
      </x:c>
      <x:c r="AH247" t="n">
        <x:f>--AND(AG247=1,AE247="HALLUCINATION")</x:f>
        <x:v>0</x:v>
      </x:c>
      <x:c r="AI247" t="n">
        <x:f>--AND(Q247=1,AF247=1,AE247="HALLUCINATION")</x:f>
        <x:v>0</x:v>
      </x:c>
      <x:c r="AJ247" t="n">
        <x:f>--AND(AI247=1,R247=1,S247=1)</x:f>
        <x:v>0</x:v>
      </x:c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43" t="n">
        <x:f>--AND(N248=1,OR(O248="SUPPORTED",O248="HALLUCINATION"))</x:f>
        <x:v>0</x:v>
      </x:c>
      <x:c r="X248" s="43" t="n">
        <x:f>--AND(W248=1,O248="HALLUCINATION")</x:f>
        <x:v>0</x:v>
      </x:c>
      <x:c r="Y248" s="43" t="n">
        <x:f>--AND(Q248=1,O248="HALLUCINATION")</x:f>
        <x:v>0</x:v>
      </x:c>
      <x:c r="Z248" s="43" t="n">
        <x:f>--AND(Y248=1,R248=1,S248=1)</x:f>
        <x:v>0</x:v>
      </x:c>
      <x:c r="AC248" t="str">
        <x:f>IF(OR(AA248="",AB248=""),"",--(AA248&lt;&gt;AB248))</x:f>
      </x:c>
      <x:c r="AE248" t="str">
        <x:f>IF(OR(AA248="",AB248=""),"PENDING_HUMAN",IF(AA248=AB248,AA248,IF(AD248&lt;&gt;"",AD248,"PENDING_HUMAN")))</x:f>
        <x:v>PENDING_HUMAN</x:v>
      </x:c>
      <x:c r="AF248" t="n">
        <x:f>--AND(A248&lt;&gt;"",AA248&lt;&gt;"",AB248&lt;&gt;"",OR(AA248=AB248,AD248&lt;&gt;""),IF(AE248="HALLUCINATION",U248&lt;&gt;"",TRUE))</x:f>
        <x:v>0</x:v>
      </x:c>
      <x:c r="AG248" t="n">
        <x:f>--AND(N248=1,AF248=1,OR(AE248="SUPPORTED",AE248="HALLUCINATION"))</x:f>
        <x:v>0</x:v>
      </x:c>
      <x:c r="AH248" t="n">
        <x:f>--AND(AG248=1,AE248="HALLUCINATION")</x:f>
        <x:v>0</x:v>
      </x:c>
      <x:c r="AI248" t="n">
        <x:f>--AND(Q248=1,AF248=1,AE248="HALLUCINATION")</x:f>
        <x:v>0</x:v>
      </x:c>
      <x:c r="AJ248" t="n">
        <x:f>--AND(AI248=1,R248=1,S248=1)</x:f>
        <x:v>0</x:v>
      </x:c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43" t="n">
        <x:f>--AND(N249=1,OR(O249="SUPPORTED",O249="HALLUCINATION"))</x:f>
        <x:v>0</x:v>
      </x:c>
      <x:c r="X249" s="43" t="n">
        <x:f>--AND(W249=1,O249="HALLUCINATION")</x:f>
        <x:v>0</x:v>
      </x:c>
      <x:c r="Y249" s="43" t="n">
        <x:f>--AND(Q249=1,O249="HALLUCINATION")</x:f>
        <x:v>0</x:v>
      </x:c>
      <x:c r="Z249" s="43" t="n">
        <x:f>--AND(Y249=1,R249=1,S249=1)</x:f>
        <x:v>0</x:v>
      </x:c>
      <x:c r="AC249" t="str">
        <x:f>IF(OR(AA249="",AB249=""),"",--(AA249&lt;&gt;AB249))</x:f>
      </x:c>
      <x:c r="AE249" t="str">
        <x:f>IF(OR(AA249="",AB249=""),"PENDING_HUMAN",IF(AA249=AB249,AA249,IF(AD249&lt;&gt;"",AD249,"PENDING_HUMAN")))</x:f>
        <x:v>PENDING_HUMAN</x:v>
      </x:c>
      <x:c r="AF249" t="n">
        <x:f>--AND(A249&lt;&gt;"",AA249&lt;&gt;"",AB249&lt;&gt;"",OR(AA249=AB249,AD249&lt;&gt;""),IF(AE249="HALLUCINATION",U249&lt;&gt;"",TRUE))</x:f>
        <x:v>0</x:v>
      </x:c>
      <x:c r="AG249" t="n">
        <x:f>--AND(N249=1,AF249=1,OR(AE249="SUPPORTED",AE249="HALLUCINATION"))</x:f>
        <x:v>0</x:v>
      </x:c>
      <x:c r="AH249" t="n">
        <x:f>--AND(AG249=1,AE249="HALLUCINATION")</x:f>
        <x:v>0</x:v>
      </x:c>
      <x:c r="AI249" t="n">
        <x:f>--AND(Q249=1,AF249=1,AE249="HALLUCINATION")</x:f>
        <x:v>0</x:v>
      </x:c>
      <x:c r="AJ249" t="n">
        <x:f>--AND(AI249=1,R249=1,S249=1)</x:f>
        <x:v>0</x:v>
      </x:c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43" t="n">
        <x:f>--AND(N250=1,OR(O250="SUPPORTED",O250="HALLUCINATION"))</x:f>
        <x:v>0</x:v>
      </x:c>
      <x:c r="X250" s="43" t="n">
        <x:f>--AND(W250=1,O250="HALLUCINATION")</x:f>
        <x:v>0</x:v>
      </x:c>
      <x:c r="Y250" s="43" t="n">
        <x:f>--AND(Q250=1,O250="HALLUCINATION")</x:f>
        <x:v>0</x:v>
      </x:c>
      <x:c r="Z250" s="43" t="n">
        <x:f>--AND(Y250=1,R250=1,S250=1)</x:f>
        <x:v>0</x:v>
      </x:c>
      <x:c r="AC250" t="str">
        <x:f>IF(OR(AA250="",AB250=""),"",--(AA250&lt;&gt;AB250))</x:f>
      </x:c>
      <x:c r="AE250" t="str">
        <x:f>IF(OR(AA250="",AB250=""),"PENDING_HUMAN",IF(AA250=AB250,AA250,IF(AD250&lt;&gt;"",AD250,"PENDING_HUMAN")))</x:f>
        <x:v>PENDING_HUMAN</x:v>
      </x:c>
      <x:c r="AF250" t="n">
        <x:f>--AND(A250&lt;&gt;"",AA250&lt;&gt;"",AB250&lt;&gt;"",OR(AA250=AB250,AD250&lt;&gt;""),IF(AE250="HALLUCINATION",U250&lt;&gt;"",TRUE))</x:f>
        <x:v>0</x:v>
      </x:c>
      <x:c r="AG250" t="n">
        <x:f>--AND(N250=1,AF250=1,OR(AE250="SUPPORTED",AE250="HALLUCINATION"))</x:f>
        <x:v>0</x:v>
      </x:c>
      <x:c r="AH250" t="n">
        <x:f>--AND(AG250=1,AE250="HALLUCINATION")</x:f>
        <x:v>0</x:v>
      </x:c>
      <x:c r="AI250" t="n">
        <x:f>--AND(Q250=1,AF250=1,AE250="HALLUCINATION")</x:f>
        <x:v>0</x:v>
      </x:c>
      <x:c r="AJ250" t="n">
        <x:f>--AND(AI250=1,R250=1,S250=1)</x:f>
        <x:v>0</x:v>
      </x:c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43" t="n">
        <x:f>--AND(N251=1,OR(O251="SUPPORTED",O251="HALLUCINATION"))</x:f>
        <x:v>0</x:v>
      </x:c>
      <x:c r="X251" s="43" t="n">
        <x:f>--AND(W251=1,O251="HALLUCINATION")</x:f>
        <x:v>0</x:v>
      </x:c>
      <x:c r="Y251" s="43" t="n">
        <x:f>--AND(Q251=1,O251="HALLUCINATION")</x:f>
        <x:v>0</x:v>
      </x:c>
      <x:c r="Z251" s="43" t="n">
        <x:f>--AND(Y251=1,R251=1,S251=1)</x:f>
        <x:v>0</x:v>
      </x:c>
      <x:c r="AC251" t="str">
        <x:f>IF(OR(AA251="",AB251=""),"",--(AA251&lt;&gt;AB251))</x:f>
      </x:c>
      <x:c r="AE251" t="str">
        <x:f>IF(OR(AA251="",AB251=""),"PENDING_HUMAN",IF(AA251=AB251,AA251,IF(AD251&lt;&gt;"",AD251,"PENDING_HUMAN")))</x:f>
        <x:v>PENDING_HUMAN</x:v>
      </x:c>
      <x:c r="AF251" t="n">
        <x:f>--AND(A251&lt;&gt;"",AA251&lt;&gt;"",AB251&lt;&gt;"",OR(AA251=AB251,AD251&lt;&gt;""),IF(AE251="HALLUCINATION",U251&lt;&gt;"",TRUE))</x:f>
        <x:v>0</x:v>
      </x:c>
      <x:c r="AG251" t="n">
        <x:f>--AND(N251=1,AF251=1,OR(AE251="SUPPORTED",AE251="HALLUCINATION"))</x:f>
        <x:v>0</x:v>
      </x:c>
      <x:c r="AH251" t="n">
        <x:f>--AND(AG251=1,AE251="HALLUCINATION")</x:f>
        <x:v>0</x:v>
      </x:c>
      <x:c r="AI251" t="n">
        <x:f>--AND(Q251=1,AF251=1,AE251="HALLUCINATION")</x:f>
        <x:v>0</x:v>
      </x:c>
      <x:c r="AJ251" t="n">
        <x:f>--AND(AI251=1,R251=1,S251=1)</x:f>
        <x:v>0</x:v>
      </x:c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43" t="n">
        <x:f>--AND(N252=1,OR(O252="SUPPORTED",O252="HALLUCINATION"))</x:f>
        <x:v>0</x:v>
      </x:c>
      <x:c r="X252" s="43" t="n">
        <x:f>--AND(W252=1,O252="HALLUCINATION")</x:f>
        <x:v>0</x:v>
      </x:c>
      <x:c r="Y252" s="43" t="n">
        <x:f>--AND(Q252=1,O252="HALLUCINATION")</x:f>
        <x:v>0</x:v>
      </x:c>
      <x:c r="Z252" s="43" t="n">
        <x:f>--AND(Y252=1,R252=1,S252=1)</x:f>
        <x:v>0</x:v>
      </x:c>
      <x:c r="AC252" t="str">
        <x:f>IF(OR(AA252="",AB252=""),"",--(AA252&lt;&gt;AB252))</x:f>
      </x:c>
      <x:c r="AE252" t="str">
        <x:f>IF(OR(AA252="",AB252=""),"PENDING_HUMAN",IF(AA252=AB252,AA252,IF(AD252&lt;&gt;"",AD252,"PENDING_HUMAN")))</x:f>
        <x:v>PENDING_HUMAN</x:v>
      </x:c>
      <x:c r="AF252" t="n">
        <x:f>--AND(A252&lt;&gt;"",AA252&lt;&gt;"",AB252&lt;&gt;"",OR(AA252=AB252,AD252&lt;&gt;""),IF(AE252="HALLUCINATION",U252&lt;&gt;"",TRUE))</x:f>
        <x:v>0</x:v>
      </x:c>
      <x:c r="AG252" t="n">
        <x:f>--AND(N252=1,AF252=1,OR(AE252="SUPPORTED",AE252="HALLUCINATION"))</x:f>
        <x:v>0</x:v>
      </x:c>
      <x:c r="AH252" t="n">
        <x:f>--AND(AG252=1,AE252="HALLUCINATION")</x:f>
        <x:v>0</x:v>
      </x:c>
      <x:c r="AI252" t="n">
        <x:f>--AND(Q252=1,AF252=1,AE252="HALLUCINATION")</x:f>
        <x:v>0</x:v>
      </x:c>
      <x:c r="AJ252" t="n">
        <x:f>--AND(AI252=1,R252=1,S252=1)</x:f>
        <x:v>0</x:v>
      </x:c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43" t="n">
        <x:f>--AND(N253=1,OR(O253="SUPPORTED",O253="HALLUCINATION"))</x:f>
        <x:v>0</x:v>
      </x:c>
      <x:c r="X253" s="43" t="n">
        <x:f>--AND(W253=1,O253="HALLUCINATION")</x:f>
        <x:v>0</x:v>
      </x:c>
      <x:c r="Y253" s="43" t="n">
        <x:f>--AND(Q253=1,O253="HALLUCINATION")</x:f>
        <x:v>0</x:v>
      </x:c>
      <x:c r="Z253" s="43" t="n">
        <x:f>--AND(Y253=1,R253=1,S253=1)</x:f>
        <x:v>0</x:v>
      </x:c>
      <x:c r="AC253" t="str">
        <x:f>IF(OR(AA253="",AB253=""),"",--(AA253&lt;&gt;AB253))</x:f>
      </x:c>
      <x:c r="AE253" t="str">
        <x:f>IF(OR(AA253="",AB253=""),"PENDING_HUMAN",IF(AA253=AB253,AA253,IF(AD253&lt;&gt;"",AD253,"PENDING_HUMAN")))</x:f>
        <x:v>PENDING_HUMAN</x:v>
      </x:c>
      <x:c r="AF253" t="n">
        <x:f>--AND(A253&lt;&gt;"",AA253&lt;&gt;"",AB253&lt;&gt;"",OR(AA253=AB253,AD253&lt;&gt;""),IF(AE253="HALLUCINATION",U253&lt;&gt;"",TRUE))</x:f>
        <x:v>0</x:v>
      </x:c>
      <x:c r="AG253" t="n">
        <x:f>--AND(N253=1,AF253=1,OR(AE253="SUPPORTED",AE253="HALLUCINATION"))</x:f>
        <x:v>0</x:v>
      </x:c>
      <x:c r="AH253" t="n">
        <x:f>--AND(AG253=1,AE253="HALLUCINATION")</x:f>
        <x:v>0</x:v>
      </x:c>
      <x:c r="AI253" t="n">
        <x:f>--AND(Q253=1,AF253=1,AE253="HALLUCINATION")</x:f>
        <x:v>0</x:v>
      </x:c>
      <x:c r="AJ253" t="n">
        <x:f>--AND(AI253=1,R253=1,S253=1)</x:f>
        <x:v>0</x:v>
      </x:c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43" t="n">
        <x:f>--AND(N254=1,OR(O254="SUPPORTED",O254="HALLUCINATION"))</x:f>
        <x:v>0</x:v>
      </x:c>
      <x:c r="X254" s="43" t="n">
        <x:f>--AND(W254=1,O254="HALLUCINATION")</x:f>
        <x:v>0</x:v>
      </x:c>
      <x:c r="Y254" s="43" t="n">
        <x:f>--AND(Q254=1,O254="HALLUCINATION")</x:f>
        <x:v>0</x:v>
      </x:c>
      <x:c r="Z254" s="43" t="n">
        <x:f>--AND(Y254=1,R254=1,S254=1)</x:f>
        <x:v>0</x:v>
      </x:c>
      <x:c r="AC254" t="str">
        <x:f>IF(OR(AA254="",AB254=""),"",--(AA254&lt;&gt;AB254))</x:f>
      </x:c>
      <x:c r="AE254" t="str">
        <x:f>IF(OR(AA254="",AB254=""),"PENDING_HUMAN",IF(AA254=AB254,AA254,IF(AD254&lt;&gt;"",AD254,"PENDING_HUMAN")))</x:f>
        <x:v>PENDING_HUMAN</x:v>
      </x:c>
      <x:c r="AF254" t="n">
        <x:f>--AND(A254&lt;&gt;"",AA254&lt;&gt;"",AB254&lt;&gt;"",OR(AA254=AB254,AD254&lt;&gt;""),IF(AE254="HALLUCINATION",U254&lt;&gt;"",TRUE))</x:f>
        <x:v>0</x:v>
      </x:c>
      <x:c r="AG254" t="n">
        <x:f>--AND(N254=1,AF254=1,OR(AE254="SUPPORTED",AE254="HALLUCINATION"))</x:f>
        <x:v>0</x:v>
      </x:c>
      <x:c r="AH254" t="n">
        <x:f>--AND(AG254=1,AE254="HALLUCINATION")</x:f>
        <x:v>0</x:v>
      </x:c>
      <x:c r="AI254" t="n">
        <x:f>--AND(Q254=1,AF254=1,AE254="HALLUCINATION")</x:f>
        <x:v>0</x:v>
      </x:c>
      <x:c r="AJ254" t="n">
        <x:f>--AND(AI254=1,R254=1,S254=1)</x:f>
        <x:v>0</x:v>
      </x:c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43" t="n">
        <x:f>--AND(N255=1,OR(O255="SUPPORTED",O255="HALLUCINATION"))</x:f>
        <x:v>0</x:v>
      </x:c>
      <x:c r="X255" s="43" t="n">
        <x:f>--AND(W255=1,O255="HALLUCINATION")</x:f>
        <x:v>0</x:v>
      </x:c>
      <x:c r="Y255" s="43" t="n">
        <x:f>--AND(Q255=1,O255="HALLUCINATION")</x:f>
        <x:v>0</x:v>
      </x:c>
      <x:c r="Z255" s="43" t="n">
        <x:f>--AND(Y255=1,R255=1,S255=1)</x:f>
        <x:v>0</x:v>
      </x:c>
      <x:c r="AC255" t="str">
        <x:f>IF(OR(AA255="",AB255=""),"",--(AA255&lt;&gt;AB255))</x:f>
      </x:c>
      <x:c r="AE255" t="str">
        <x:f>IF(OR(AA255="",AB255=""),"PENDING_HUMAN",IF(AA255=AB255,AA255,IF(AD255&lt;&gt;"",AD255,"PENDING_HUMAN")))</x:f>
        <x:v>PENDING_HUMAN</x:v>
      </x:c>
      <x:c r="AF255" t="n">
        <x:f>--AND(A255&lt;&gt;"",AA255&lt;&gt;"",AB255&lt;&gt;"",OR(AA255=AB255,AD255&lt;&gt;""),IF(AE255="HALLUCINATION",U255&lt;&gt;"",TRUE))</x:f>
        <x:v>0</x:v>
      </x:c>
      <x:c r="AG255" t="n">
        <x:f>--AND(N255=1,AF255=1,OR(AE255="SUPPORTED",AE255="HALLUCINATION"))</x:f>
        <x:v>0</x:v>
      </x:c>
      <x:c r="AH255" t="n">
        <x:f>--AND(AG255=1,AE255="HALLUCINATION")</x:f>
        <x:v>0</x:v>
      </x:c>
      <x:c r="AI255" t="n">
        <x:f>--AND(Q255=1,AF255=1,AE255="HALLUCINATION")</x:f>
        <x:v>0</x:v>
      </x:c>
      <x:c r="AJ255" t="n">
        <x:f>--AND(AI255=1,R255=1,S255=1)</x:f>
        <x:v>0</x:v>
      </x:c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43" t="n">
        <x:f>--AND(N256=1,OR(O256="SUPPORTED",O256="HALLUCINATION"))</x:f>
        <x:v>0</x:v>
      </x:c>
      <x:c r="X256" s="43" t="n">
        <x:f>--AND(W256=1,O256="HALLUCINATION")</x:f>
        <x:v>0</x:v>
      </x:c>
      <x:c r="Y256" s="43" t="n">
        <x:f>--AND(Q256=1,O256="HALLUCINATION")</x:f>
        <x:v>0</x:v>
      </x:c>
      <x:c r="Z256" s="43" t="n">
        <x:f>--AND(Y256=1,R256=1,S256=1)</x:f>
        <x:v>0</x:v>
      </x:c>
      <x:c r="AC256" t="str">
        <x:f>IF(OR(AA256="",AB256=""),"",--(AA256&lt;&gt;AB256))</x:f>
      </x:c>
      <x:c r="AE256" t="str">
        <x:f>IF(OR(AA256="",AB256=""),"PENDING_HUMAN",IF(AA256=AB256,AA256,IF(AD256&lt;&gt;"",AD256,"PENDING_HUMAN")))</x:f>
        <x:v>PENDING_HUMAN</x:v>
      </x:c>
      <x:c r="AF256" t="n">
        <x:f>--AND(A256&lt;&gt;"",AA256&lt;&gt;"",AB256&lt;&gt;"",OR(AA256=AB256,AD256&lt;&gt;""),IF(AE256="HALLUCINATION",U256&lt;&gt;"",TRUE))</x:f>
        <x:v>0</x:v>
      </x:c>
      <x:c r="AG256" t="n">
        <x:f>--AND(N256=1,AF256=1,OR(AE256="SUPPORTED",AE256="HALLUCINATION"))</x:f>
        <x:v>0</x:v>
      </x:c>
      <x:c r="AH256" t="n">
        <x:f>--AND(AG256=1,AE256="HALLUCINATION")</x:f>
        <x:v>0</x:v>
      </x:c>
      <x:c r="AI256" t="n">
        <x:f>--AND(Q256=1,AF256=1,AE256="HALLUCINATION")</x:f>
        <x:v>0</x:v>
      </x:c>
      <x:c r="AJ256" t="n">
        <x:f>--AND(AI256=1,R256=1,S256=1)</x:f>
        <x:v>0</x:v>
      </x:c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43" t="n">
        <x:f>--AND(N257=1,OR(O257="SUPPORTED",O257="HALLUCINATION"))</x:f>
        <x:v>0</x:v>
      </x:c>
      <x:c r="X257" s="43" t="n">
        <x:f>--AND(W257=1,O257="HALLUCINATION")</x:f>
        <x:v>0</x:v>
      </x:c>
      <x:c r="Y257" s="43" t="n">
        <x:f>--AND(Q257=1,O257="HALLUCINATION")</x:f>
        <x:v>0</x:v>
      </x:c>
      <x:c r="Z257" s="43" t="n">
        <x:f>--AND(Y257=1,R257=1,S257=1)</x:f>
        <x:v>0</x:v>
      </x:c>
      <x:c r="AC257" t="str">
        <x:f>IF(OR(AA257="",AB257=""),"",--(AA257&lt;&gt;AB257))</x:f>
      </x:c>
      <x:c r="AE257" t="str">
        <x:f>IF(OR(AA257="",AB257=""),"PENDING_HUMAN",IF(AA257=AB257,AA257,IF(AD257&lt;&gt;"",AD257,"PENDING_HUMAN")))</x:f>
        <x:v>PENDING_HUMAN</x:v>
      </x:c>
      <x:c r="AF257" t="n">
        <x:f>--AND(A257&lt;&gt;"",AA257&lt;&gt;"",AB257&lt;&gt;"",OR(AA257=AB257,AD257&lt;&gt;""),IF(AE257="HALLUCINATION",U257&lt;&gt;"",TRUE))</x:f>
        <x:v>0</x:v>
      </x:c>
      <x:c r="AG257" t="n">
        <x:f>--AND(N257=1,AF257=1,OR(AE257="SUPPORTED",AE257="HALLUCINATION"))</x:f>
        <x:v>0</x:v>
      </x:c>
      <x:c r="AH257" t="n">
        <x:f>--AND(AG257=1,AE257="HALLUCINATION")</x:f>
        <x:v>0</x:v>
      </x:c>
      <x:c r="AI257" t="n">
        <x:f>--AND(Q257=1,AF257=1,AE257="HALLUCINATION")</x:f>
        <x:v>0</x:v>
      </x:c>
      <x:c r="AJ257" t="n">
        <x:f>--AND(AI257=1,R257=1,S257=1)</x:f>
        <x:v>0</x:v>
      </x:c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43" t="n">
        <x:f>--AND(N258=1,OR(O258="SUPPORTED",O258="HALLUCINATION"))</x:f>
        <x:v>0</x:v>
      </x:c>
      <x:c r="X258" s="43" t="n">
        <x:f>--AND(W258=1,O258="HALLUCINATION")</x:f>
        <x:v>0</x:v>
      </x:c>
      <x:c r="Y258" s="43" t="n">
        <x:f>--AND(Q258=1,O258="HALLUCINATION")</x:f>
        <x:v>0</x:v>
      </x:c>
      <x:c r="Z258" s="43" t="n">
        <x:f>--AND(Y258=1,R258=1,S258=1)</x:f>
        <x:v>0</x:v>
      </x:c>
      <x:c r="AC258" t="str">
        <x:f>IF(OR(AA258="",AB258=""),"",--(AA258&lt;&gt;AB258))</x:f>
      </x:c>
      <x:c r="AE258" t="str">
        <x:f>IF(OR(AA258="",AB258=""),"PENDING_HUMAN",IF(AA258=AB258,AA258,IF(AD258&lt;&gt;"",AD258,"PENDING_HUMAN")))</x:f>
        <x:v>PENDING_HUMAN</x:v>
      </x:c>
      <x:c r="AF258" t="n">
        <x:f>--AND(A258&lt;&gt;"",AA258&lt;&gt;"",AB258&lt;&gt;"",OR(AA258=AB258,AD258&lt;&gt;""),IF(AE258="HALLUCINATION",U258&lt;&gt;"",TRUE))</x:f>
        <x:v>0</x:v>
      </x:c>
      <x:c r="AG258" t="n">
        <x:f>--AND(N258=1,AF258=1,OR(AE258="SUPPORTED",AE258="HALLUCINATION"))</x:f>
        <x:v>0</x:v>
      </x:c>
      <x:c r="AH258" t="n">
        <x:f>--AND(AG258=1,AE258="HALLUCINATION")</x:f>
        <x:v>0</x:v>
      </x:c>
      <x:c r="AI258" t="n">
        <x:f>--AND(Q258=1,AF258=1,AE258="HALLUCINATION")</x:f>
        <x:v>0</x:v>
      </x:c>
      <x:c r="AJ258" t="n">
        <x:f>--AND(AI258=1,R258=1,S258=1)</x:f>
        <x:v>0</x:v>
      </x:c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43" t="n">
        <x:f>--AND(N259=1,OR(O259="SUPPORTED",O259="HALLUCINATION"))</x:f>
        <x:v>0</x:v>
      </x:c>
      <x:c r="X259" s="43" t="n">
        <x:f>--AND(W259=1,O259="HALLUCINATION")</x:f>
        <x:v>0</x:v>
      </x:c>
      <x:c r="Y259" s="43" t="n">
        <x:f>--AND(Q259=1,O259="HALLUCINATION")</x:f>
        <x:v>0</x:v>
      </x:c>
      <x:c r="Z259" s="43" t="n">
        <x:f>--AND(Y259=1,R259=1,S259=1)</x:f>
        <x:v>0</x:v>
      </x:c>
      <x:c r="AC259" t="str">
        <x:f>IF(OR(AA259="",AB259=""),"",--(AA259&lt;&gt;AB259))</x:f>
      </x:c>
      <x:c r="AE259" t="str">
        <x:f>IF(OR(AA259="",AB259=""),"PENDING_HUMAN",IF(AA259=AB259,AA259,IF(AD259&lt;&gt;"",AD259,"PENDING_HUMAN")))</x:f>
        <x:v>PENDING_HUMAN</x:v>
      </x:c>
      <x:c r="AF259" t="n">
        <x:f>--AND(A259&lt;&gt;"",AA259&lt;&gt;"",AB259&lt;&gt;"",OR(AA259=AB259,AD259&lt;&gt;""),IF(AE259="HALLUCINATION",U259&lt;&gt;"",TRUE))</x:f>
        <x:v>0</x:v>
      </x:c>
      <x:c r="AG259" t="n">
        <x:f>--AND(N259=1,AF259=1,OR(AE259="SUPPORTED",AE259="HALLUCINATION"))</x:f>
        <x:v>0</x:v>
      </x:c>
      <x:c r="AH259" t="n">
        <x:f>--AND(AG259=1,AE259="HALLUCINATION")</x:f>
        <x:v>0</x:v>
      </x:c>
      <x:c r="AI259" t="n">
        <x:f>--AND(Q259=1,AF259=1,AE259="HALLUCINATION")</x:f>
        <x:v>0</x:v>
      </x:c>
      <x:c r="AJ259" t="n">
        <x:f>--AND(AI259=1,R259=1,S259=1)</x:f>
        <x:v>0</x:v>
      </x:c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43" t="n">
        <x:f>--AND(N260=1,OR(O260="SUPPORTED",O260="HALLUCINATION"))</x:f>
        <x:v>0</x:v>
      </x:c>
      <x:c r="X260" s="43" t="n">
        <x:f>--AND(W260=1,O260="HALLUCINATION")</x:f>
        <x:v>0</x:v>
      </x:c>
      <x:c r="Y260" s="43" t="n">
        <x:f>--AND(Q260=1,O260="HALLUCINATION")</x:f>
        <x:v>0</x:v>
      </x:c>
      <x:c r="Z260" s="43" t="n">
        <x:f>--AND(Y260=1,R260=1,S260=1)</x:f>
        <x:v>0</x:v>
      </x:c>
      <x:c r="AC260" t="str">
        <x:f>IF(OR(AA260="",AB260=""),"",--(AA260&lt;&gt;AB260))</x:f>
      </x:c>
      <x:c r="AE260" t="str">
        <x:f>IF(OR(AA260="",AB260=""),"PENDING_HUMAN",IF(AA260=AB260,AA260,IF(AD260&lt;&gt;"",AD260,"PENDING_HUMAN")))</x:f>
        <x:v>PENDING_HUMAN</x:v>
      </x:c>
      <x:c r="AF260" t="n">
        <x:f>--AND(A260&lt;&gt;"",AA260&lt;&gt;"",AB260&lt;&gt;"",OR(AA260=AB260,AD260&lt;&gt;""),IF(AE260="HALLUCINATION",U260&lt;&gt;"",TRUE))</x:f>
        <x:v>0</x:v>
      </x:c>
      <x:c r="AG260" t="n">
        <x:f>--AND(N260=1,AF260=1,OR(AE260="SUPPORTED",AE260="HALLUCINATION"))</x:f>
        <x:v>0</x:v>
      </x:c>
      <x:c r="AH260" t="n">
        <x:f>--AND(AG260=1,AE260="HALLUCINATION")</x:f>
        <x:v>0</x:v>
      </x:c>
      <x:c r="AI260" t="n">
        <x:f>--AND(Q260=1,AF260=1,AE260="HALLUCINATION")</x:f>
        <x:v>0</x:v>
      </x:c>
      <x:c r="AJ260" t="n">
        <x:f>--AND(AI260=1,R260=1,S260=1)</x:f>
        <x:v>0</x:v>
      </x:c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43" t="n">
        <x:f>--AND(N261=1,OR(O261="SUPPORTED",O261="HALLUCINATION"))</x:f>
        <x:v>0</x:v>
      </x:c>
      <x:c r="X261" s="43" t="n">
        <x:f>--AND(W261=1,O261="HALLUCINATION")</x:f>
        <x:v>0</x:v>
      </x:c>
      <x:c r="Y261" s="43" t="n">
        <x:f>--AND(Q261=1,O261="HALLUCINATION")</x:f>
        <x:v>0</x:v>
      </x:c>
      <x:c r="Z261" s="43" t="n">
        <x:f>--AND(Y261=1,R261=1,S261=1)</x:f>
        <x:v>0</x:v>
      </x:c>
      <x:c r="AC261" t="str">
        <x:f>IF(OR(AA261="",AB261=""),"",--(AA261&lt;&gt;AB261))</x:f>
      </x:c>
      <x:c r="AE261" t="str">
        <x:f>IF(OR(AA261="",AB261=""),"PENDING_HUMAN",IF(AA261=AB261,AA261,IF(AD261&lt;&gt;"",AD261,"PENDING_HUMAN")))</x:f>
        <x:v>PENDING_HUMAN</x:v>
      </x:c>
      <x:c r="AF261" t="n">
        <x:f>--AND(A261&lt;&gt;"",AA261&lt;&gt;"",AB261&lt;&gt;"",OR(AA261=AB261,AD261&lt;&gt;""),IF(AE261="HALLUCINATION",U261&lt;&gt;"",TRUE))</x:f>
        <x:v>0</x:v>
      </x:c>
      <x:c r="AG261" t="n">
        <x:f>--AND(N261=1,AF261=1,OR(AE261="SUPPORTED",AE261="HALLUCINATION"))</x:f>
        <x:v>0</x:v>
      </x:c>
      <x:c r="AH261" t="n">
        <x:f>--AND(AG261=1,AE261="HALLUCINATION")</x:f>
        <x:v>0</x:v>
      </x:c>
      <x:c r="AI261" t="n">
        <x:f>--AND(Q261=1,AF261=1,AE261="HALLUCINATION")</x:f>
        <x:v>0</x:v>
      </x:c>
      <x:c r="AJ261" t="n">
        <x:f>--AND(AI261=1,R261=1,S261=1)</x:f>
        <x:v>0</x:v>
      </x:c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43" t="n">
        <x:f>--AND(N262=1,OR(O262="SUPPORTED",O262="HALLUCINATION"))</x:f>
        <x:v>0</x:v>
      </x:c>
      <x:c r="X262" s="43" t="n">
        <x:f>--AND(W262=1,O262="HALLUCINATION")</x:f>
        <x:v>0</x:v>
      </x:c>
      <x:c r="Y262" s="43" t="n">
        <x:f>--AND(Q262=1,O262="HALLUCINATION")</x:f>
        <x:v>0</x:v>
      </x:c>
      <x:c r="Z262" s="43" t="n">
        <x:f>--AND(Y262=1,R262=1,S262=1)</x:f>
        <x:v>0</x:v>
      </x:c>
      <x:c r="AC262" t="str">
        <x:f>IF(OR(AA262="",AB262=""),"",--(AA262&lt;&gt;AB262))</x:f>
      </x:c>
      <x:c r="AE262" t="str">
        <x:f>IF(OR(AA262="",AB262=""),"PENDING_HUMAN",IF(AA262=AB262,AA262,IF(AD262&lt;&gt;"",AD262,"PENDING_HUMAN")))</x:f>
        <x:v>PENDING_HUMAN</x:v>
      </x:c>
      <x:c r="AF262" t="n">
        <x:f>--AND(A262&lt;&gt;"",AA262&lt;&gt;"",AB262&lt;&gt;"",OR(AA262=AB262,AD262&lt;&gt;""),IF(AE262="HALLUCINATION",U262&lt;&gt;"",TRUE))</x:f>
        <x:v>0</x:v>
      </x:c>
      <x:c r="AG262" t="n">
        <x:f>--AND(N262=1,AF262=1,OR(AE262="SUPPORTED",AE262="HALLUCINATION"))</x:f>
        <x:v>0</x:v>
      </x:c>
      <x:c r="AH262" t="n">
        <x:f>--AND(AG262=1,AE262="HALLUCINATION")</x:f>
        <x:v>0</x:v>
      </x:c>
      <x:c r="AI262" t="n">
        <x:f>--AND(Q262=1,AF262=1,AE262="HALLUCINATION")</x:f>
        <x:v>0</x:v>
      </x:c>
      <x:c r="AJ262" t="n">
        <x:f>--AND(AI262=1,R262=1,S262=1)</x:f>
        <x:v>0</x:v>
      </x:c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43" t="n">
        <x:f>--AND(N263=1,OR(O263="SUPPORTED",O263="HALLUCINATION"))</x:f>
        <x:v>0</x:v>
      </x:c>
      <x:c r="X263" s="43" t="n">
        <x:f>--AND(W263=1,O263="HALLUCINATION")</x:f>
        <x:v>0</x:v>
      </x:c>
      <x:c r="Y263" s="43" t="n">
        <x:f>--AND(Q263=1,O263="HALLUCINATION")</x:f>
        <x:v>0</x:v>
      </x:c>
      <x:c r="Z263" s="43" t="n">
        <x:f>--AND(Y263=1,R263=1,S263=1)</x:f>
        <x:v>0</x:v>
      </x:c>
      <x:c r="AC263" t="str">
        <x:f>IF(OR(AA263="",AB263=""),"",--(AA263&lt;&gt;AB263))</x:f>
      </x:c>
      <x:c r="AE263" t="str">
        <x:f>IF(OR(AA263="",AB263=""),"PENDING_HUMAN",IF(AA263=AB263,AA263,IF(AD263&lt;&gt;"",AD263,"PENDING_HUMAN")))</x:f>
        <x:v>PENDING_HUMAN</x:v>
      </x:c>
      <x:c r="AF263" t="n">
        <x:f>--AND(A263&lt;&gt;"",AA263&lt;&gt;"",AB263&lt;&gt;"",OR(AA263=AB263,AD263&lt;&gt;""),IF(AE263="HALLUCINATION",U263&lt;&gt;"",TRUE))</x:f>
        <x:v>0</x:v>
      </x:c>
      <x:c r="AG263" t="n">
        <x:f>--AND(N263=1,AF263=1,OR(AE263="SUPPORTED",AE263="HALLUCINATION"))</x:f>
        <x:v>0</x:v>
      </x:c>
      <x:c r="AH263" t="n">
        <x:f>--AND(AG263=1,AE263="HALLUCINATION")</x:f>
        <x:v>0</x:v>
      </x:c>
      <x:c r="AI263" t="n">
        <x:f>--AND(Q263=1,AF263=1,AE263="HALLUCINATION")</x:f>
        <x:v>0</x:v>
      </x:c>
      <x:c r="AJ263" t="n">
        <x:f>--AND(AI263=1,R263=1,S263=1)</x:f>
        <x:v>0</x:v>
      </x:c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43" t="n">
        <x:f>--AND(N264=1,OR(O264="SUPPORTED",O264="HALLUCINATION"))</x:f>
        <x:v>0</x:v>
      </x:c>
      <x:c r="X264" s="43" t="n">
        <x:f>--AND(W264=1,O264="HALLUCINATION")</x:f>
        <x:v>0</x:v>
      </x:c>
      <x:c r="Y264" s="43" t="n">
        <x:f>--AND(Q264=1,O264="HALLUCINATION")</x:f>
        <x:v>0</x:v>
      </x:c>
      <x:c r="Z264" s="43" t="n">
        <x:f>--AND(Y264=1,R264=1,S264=1)</x:f>
        <x:v>0</x:v>
      </x:c>
      <x:c r="AC264" t="str">
        <x:f>IF(OR(AA264="",AB264=""),"",--(AA264&lt;&gt;AB264))</x:f>
      </x:c>
      <x:c r="AE264" t="str">
        <x:f>IF(OR(AA264="",AB264=""),"PENDING_HUMAN",IF(AA264=AB264,AA264,IF(AD264&lt;&gt;"",AD264,"PENDING_HUMAN")))</x:f>
        <x:v>PENDING_HUMAN</x:v>
      </x:c>
      <x:c r="AF264" t="n">
        <x:f>--AND(A264&lt;&gt;"",AA264&lt;&gt;"",AB264&lt;&gt;"",OR(AA264=AB264,AD264&lt;&gt;""),IF(AE264="HALLUCINATION",U264&lt;&gt;"",TRUE))</x:f>
        <x:v>0</x:v>
      </x:c>
      <x:c r="AG264" t="n">
        <x:f>--AND(N264=1,AF264=1,OR(AE264="SUPPORTED",AE264="HALLUCINATION"))</x:f>
        <x:v>0</x:v>
      </x:c>
      <x:c r="AH264" t="n">
        <x:f>--AND(AG264=1,AE264="HALLUCINATION")</x:f>
        <x:v>0</x:v>
      </x:c>
      <x:c r="AI264" t="n">
        <x:f>--AND(Q264=1,AF264=1,AE264="HALLUCINATION")</x:f>
        <x:v>0</x:v>
      </x:c>
      <x:c r="AJ264" t="n">
        <x:f>--AND(AI264=1,R264=1,S264=1)</x:f>
        <x:v>0</x:v>
      </x:c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43" t="n">
        <x:f>--AND(N265=1,OR(O265="SUPPORTED",O265="HALLUCINATION"))</x:f>
        <x:v>0</x:v>
      </x:c>
      <x:c r="X265" s="43" t="n">
        <x:f>--AND(W265=1,O265="HALLUCINATION")</x:f>
        <x:v>0</x:v>
      </x:c>
      <x:c r="Y265" s="43" t="n">
        <x:f>--AND(Q265=1,O265="HALLUCINATION")</x:f>
        <x:v>0</x:v>
      </x:c>
      <x:c r="Z265" s="43" t="n">
        <x:f>--AND(Y265=1,R265=1,S265=1)</x:f>
        <x:v>0</x:v>
      </x:c>
      <x:c r="AC265" t="str">
        <x:f>IF(OR(AA265="",AB265=""),"",--(AA265&lt;&gt;AB265))</x:f>
      </x:c>
      <x:c r="AE265" t="str">
        <x:f>IF(OR(AA265="",AB265=""),"PENDING_HUMAN",IF(AA265=AB265,AA265,IF(AD265&lt;&gt;"",AD265,"PENDING_HUMAN")))</x:f>
        <x:v>PENDING_HUMAN</x:v>
      </x:c>
      <x:c r="AF265" t="n">
        <x:f>--AND(A265&lt;&gt;"",AA265&lt;&gt;"",AB265&lt;&gt;"",OR(AA265=AB265,AD265&lt;&gt;""),IF(AE265="HALLUCINATION",U265&lt;&gt;"",TRUE))</x:f>
        <x:v>0</x:v>
      </x:c>
      <x:c r="AG265" t="n">
        <x:f>--AND(N265=1,AF265=1,OR(AE265="SUPPORTED",AE265="HALLUCINATION"))</x:f>
        <x:v>0</x:v>
      </x:c>
      <x:c r="AH265" t="n">
        <x:f>--AND(AG265=1,AE265="HALLUCINATION")</x:f>
        <x:v>0</x:v>
      </x:c>
      <x:c r="AI265" t="n">
        <x:f>--AND(Q265=1,AF265=1,AE265="HALLUCINATION")</x:f>
        <x:v>0</x:v>
      </x:c>
      <x:c r="AJ265" t="n">
        <x:f>--AND(AI265=1,R265=1,S265=1)</x:f>
        <x:v>0</x:v>
      </x:c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43" t="n">
        <x:f>--AND(N266=1,OR(O266="SUPPORTED",O266="HALLUCINATION"))</x:f>
        <x:v>0</x:v>
      </x:c>
      <x:c r="X266" s="43" t="n">
        <x:f>--AND(W266=1,O266="HALLUCINATION")</x:f>
        <x:v>0</x:v>
      </x:c>
      <x:c r="Y266" s="43" t="n">
        <x:f>--AND(Q266=1,O266="HALLUCINATION")</x:f>
        <x:v>0</x:v>
      </x:c>
      <x:c r="Z266" s="43" t="n">
        <x:f>--AND(Y266=1,R266=1,S266=1)</x:f>
        <x:v>0</x:v>
      </x:c>
      <x:c r="AC266" t="str">
        <x:f>IF(OR(AA266="",AB266=""),"",--(AA266&lt;&gt;AB266))</x:f>
      </x:c>
      <x:c r="AE266" t="str">
        <x:f>IF(OR(AA266="",AB266=""),"PENDING_HUMAN",IF(AA266=AB266,AA266,IF(AD266&lt;&gt;"",AD266,"PENDING_HUMAN")))</x:f>
        <x:v>PENDING_HUMAN</x:v>
      </x:c>
      <x:c r="AF266" t="n">
        <x:f>--AND(A266&lt;&gt;"",AA266&lt;&gt;"",AB266&lt;&gt;"",OR(AA266=AB266,AD266&lt;&gt;""),IF(AE266="HALLUCINATION",U266&lt;&gt;"",TRUE))</x:f>
        <x:v>0</x:v>
      </x:c>
      <x:c r="AG266" t="n">
        <x:f>--AND(N266=1,AF266=1,OR(AE266="SUPPORTED",AE266="HALLUCINATION"))</x:f>
        <x:v>0</x:v>
      </x:c>
      <x:c r="AH266" t="n">
        <x:f>--AND(AG266=1,AE266="HALLUCINATION")</x:f>
        <x:v>0</x:v>
      </x:c>
      <x:c r="AI266" t="n">
        <x:f>--AND(Q266=1,AF266=1,AE266="HALLUCINATION")</x:f>
        <x:v>0</x:v>
      </x:c>
      <x:c r="AJ266" t="n">
        <x:f>--AND(AI266=1,R266=1,S266=1)</x:f>
        <x:v>0</x:v>
      </x:c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43" t="n">
        <x:f>--AND(N267=1,OR(O267="SUPPORTED",O267="HALLUCINATION"))</x:f>
        <x:v>0</x:v>
      </x:c>
      <x:c r="X267" s="43" t="n">
        <x:f>--AND(W267=1,O267="HALLUCINATION")</x:f>
        <x:v>0</x:v>
      </x:c>
      <x:c r="Y267" s="43" t="n">
        <x:f>--AND(Q267=1,O267="HALLUCINATION")</x:f>
        <x:v>0</x:v>
      </x:c>
      <x:c r="Z267" s="43" t="n">
        <x:f>--AND(Y267=1,R267=1,S267=1)</x:f>
        <x:v>0</x:v>
      </x:c>
      <x:c r="AC267" t="str">
        <x:f>IF(OR(AA267="",AB267=""),"",--(AA267&lt;&gt;AB267))</x:f>
      </x:c>
      <x:c r="AE267" t="str">
        <x:f>IF(OR(AA267="",AB267=""),"PENDING_HUMAN",IF(AA267=AB267,AA267,IF(AD267&lt;&gt;"",AD267,"PENDING_HUMAN")))</x:f>
        <x:v>PENDING_HUMAN</x:v>
      </x:c>
      <x:c r="AF267" t="n">
        <x:f>--AND(A267&lt;&gt;"",AA267&lt;&gt;"",AB267&lt;&gt;"",OR(AA267=AB267,AD267&lt;&gt;""),IF(AE267="HALLUCINATION",U267&lt;&gt;"",TRUE))</x:f>
        <x:v>0</x:v>
      </x:c>
      <x:c r="AG267" t="n">
        <x:f>--AND(N267=1,AF267=1,OR(AE267="SUPPORTED",AE267="HALLUCINATION"))</x:f>
        <x:v>0</x:v>
      </x:c>
      <x:c r="AH267" t="n">
        <x:f>--AND(AG267=1,AE267="HALLUCINATION")</x:f>
        <x:v>0</x:v>
      </x:c>
      <x:c r="AI267" t="n">
        <x:f>--AND(Q267=1,AF267=1,AE267="HALLUCINATION")</x:f>
        <x:v>0</x:v>
      </x:c>
      <x:c r="AJ267" t="n">
        <x:f>--AND(AI267=1,R267=1,S267=1)</x:f>
        <x:v>0</x:v>
      </x:c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43" t="n">
        <x:f>--AND(N268=1,OR(O268="SUPPORTED",O268="HALLUCINATION"))</x:f>
        <x:v>0</x:v>
      </x:c>
      <x:c r="X268" s="43" t="n">
        <x:f>--AND(W268=1,O268="HALLUCINATION")</x:f>
        <x:v>0</x:v>
      </x:c>
      <x:c r="Y268" s="43" t="n">
        <x:f>--AND(Q268=1,O268="HALLUCINATION")</x:f>
        <x:v>0</x:v>
      </x:c>
      <x:c r="Z268" s="43" t="n">
        <x:f>--AND(Y268=1,R268=1,S268=1)</x:f>
        <x:v>0</x:v>
      </x:c>
      <x:c r="AC268" t="str">
        <x:f>IF(OR(AA268="",AB268=""),"",--(AA268&lt;&gt;AB268))</x:f>
      </x:c>
      <x:c r="AE268" t="str">
        <x:f>IF(OR(AA268="",AB268=""),"PENDING_HUMAN",IF(AA268=AB268,AA268,IF(AD268&lt;&gt;"",AD268,"PENDING_HUMAN")))</x:f>
        <x:v>PENDING_HUMAN</x:v>
      </x:c>
      <x:c r="AF268" t="n">
        <x:f>--AND(A268&lt;&gt;"",AA268&lt;&gt;"",AB268&lt;&gt;"",OR(AA268=AB268,AD268&lt;&gt;""),IF(AE268="HALLUCINATION",U268&lt;&gt;"",TRUE))</x:f>
        <x:v>0</x:v>
      </x:c>
      <x:c r="AG268" t="n">
        <x:f>--AND(N268=1,AF268=1,OR(AE268="SUPPORTED",AE268="HALLUCINATION"))</x:f>
        <x:v>0</x:v>
      </x:c>
      <x:c r="AH268" t="n">
        <x:f>--AND(AG268=1,AE268="HALLUCINATION")</x:f>
        <x:v>0</x:v>
      </x:c>
      <x:c r="AI268" t="n">
        <x:f>--AND(Q268=1,AF268=1,AE268="HALLUCINATION")</x:f>
        <x:v>0</x:v>
      </x:c>
      <x:c r="AJ268" t="n">
        <x:f>--AND(AI268=1,R268=1,S268=1)</x:f>
        <x:v>0</x:v>
      </x:c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43" t="n">
        <x:f>--AND(N269=1,OR(O269="SUPPORTED",O269="HALLUCINATION"))</x:f>
        <x:v>0</x:v>
      </x:c>
      <x:c r="X269" s="43" t="n">
        <x:f>--AND(W269=1,O269="HALLUCINATION")</x:f>
        <x:v>0</x:v>
      </x:c>
      <x:c r="Y269" s="43" t="n">
        <x:f>--AND(Q269=1,O269="HALLUCINATION")</x:f>
        <x:v>0</x:v>
      </x:c>
      <x:c r="Z269" s="43" t="n">
        <x:f>--AND(Y269=1,R269=1,S269=1)</x:f>
        <x:v>0</x:v>
      </x:c>
      <x:c r="AC269" t="str">
        <x:f>IF(OR(AA269="",AB269=""),"",--(AA269&lt;&gt;AB269))</x:f>
      </x:c>
      <x:c r="AE269" t="str">
        <x:f>IF(OR(AA269="",AB269=""),"PENDING_HUMAN",IF(AA269=AB269,AA269,IF(AD269&lt;&gt;"",AD269,"PENDING_HUMAN")))</x:f>
        <x:v>PENDING_HUMAN</x:v>
      </x:c>
      <x:c r="AF269" t="n">
        <x:f>--AND(A269&lt;&gt;"",AA269&lt;&gt;"",AB269&lt;&gt;"",OR(AA269=AB269,AD269&lt;&gt;""),IF(AE269="HALLUCINATION",U269&lt;&gt;"",TRUE))</x:f>
        <x:v>0</x:v>
      </x:c>
      <x:c r="AG269" t="n">
        <x:f>--AND(N269=1,AF269=1,OR(AE269="SUPPORTED",AE269="HALLUCINATION"))</x:f>
        <x:v>0</x:v>
      </x:c>
      <x:c r="AH269" t="n">
        <x:f>--AND(AG269=1,AE269="HALLUCINATION")</x:f>
        <x:v>0</x:v>
      </x:c>
      <x:c r="AI269" t="n">
        <x:f>--AND(Q269=1,AF269=1,AE269="HALLUCINATION")</x:f>
        <x:v>0</x:v>
      </x:c>
      <x:c r="AJ269" t="n">
        <x:f>--AND(AI269=1,R269=1,S269=1)</x:f>
        <x:v>0</x:v>
      </x:c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43" t="n">
        <x:f>--AND(N270=1,OR(O270="SUPPORTED",O270="HALLUCINATION"))</x:f>
        <x:v>0</x:v>
      </x:c>
      <x:c r="X270" s="43" t="n">
        <x:f>--AND(W270=1,O270="HALLUCINATION")</x:f>
        <x:v>0</x:v>
      </x:c>
      <x:c r="Y270" s="43" t="n">
        <x:f>--AND(Q270=1,O270="HALLUCINATION")</x:f>
        <x:v>0</x:v>
      </x:c>
      <x:c r="Z270" s="43" t="n">
        <x:f>--AND(Y270=1,R270=1,S270=1)</x:f>
        <x:v>0</x:v>
      </x:c>
      <x:c r="AC270" t="str">
        <x:f>IF(OR(AA270="",AB270=""),"",--(AA270&lt;&gt;AB270))</x:f>
      </x:c>
      <x:c r="AE270" t="str">
        <x:f>IF(OR(AA270="",AB270=""),"PENDING_HUMAN",IF(AA270=AB270,AA270,IF(AD270&lt;&gt;"",AD270,"PENDING_HUMAN")))</x:f>
        <x:v>PENDING_HUMAN</x:v>
      </x:c>
      <x:c r="AF270" t="n">
        <x:f>--AND(A270&lt;&gt;"",AA270&lt;&gt;"",AB270&lt;&gt;"",OR(AA270=AB270,AD270&lt;&gt;""),IF(AE270="HALLUCINATION",U270&lt;&gt;"",TRUE))</x:f>
        <x:v>0</x:v>
      </x:c>
      <x:c r="AG270" t="n">
        <x:f>--AND(N270=1,AF270=1,OR(AE270="SUPPORTED",AE270="HALLUCINATION"))</x:f>
        <x:v>0</x:v>
      </x:c>
      <x:c r="AH270" t="n">
        <x:f>--AND(AG270=1,AE270="HALLUCINATION")</x:f>
        <x:v>0</x:v>
      </x:c>
      <x:c r="AI270" t="n">
        <x:f>--AND(Q270=1,AF270=1,AE270="HALLUCINATION")</x:f>
        <x:v>0</x:v>
      </x:c>
      <x:c r="AJ270" t="n">
        <x:f>--AND(AI270=1,R270=1,S270=1)</x:f>
        <x:v>0</x:v>
      </x:c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43" t="n">
        <x:f>--AND(N271=1,OR(O271="SUPPORTED",O271="HALLUCINATION"))</x:f>
        <x:v>0</x:v>
      </x:c>
      <x:c r="X271" s="43" t="n">
        <x:f>--AND(W271=1,O271="HALLUCINATION")</x:f>
        <x:v>0</x:v>
      </x:c>
      <x:c r="Y271" s="43" t="n">
        <x:f>--AND(Q271=1,O271="HALLUCINATION")</x:f>
        <x:v>0</x:v>
      </x:c>
      <x:c r="Z271" s="43" t="n">
        <x:f>--AND(Y271=1,R271=1,S271=1)</x:f>
        <x:v>0</x:v>
      </x:c>
      <x:c r="AC271" t="str">
        <x:f>IF(OR(AA271="",AB271=""),"",--(AA271&lt;&gt;AB271))</x:f>
      </x:c>
      <x:c r="AE271" t="str">
        <x:f>IF(OR(AA271="",AB271=""),"PENDING_HUMAN",IF(AA271=AB271,AA271,IF(AD271&lt;&gt;"",AD271,"PENDING_HUMAN")))</x:f>
        <x:v>PENDING_HUMAN</x:v>
      </x:c>
      <x:c r="AF271" t="n">
        <x:f>--AND(A271&lt;&gt;"",AA271&lt;&gt;"",AB271&lt;&gt;"",OR(AA271=AB271,AD271&lt;&gt;""),IF(AE271="HALLUCINATION",U271&lt;&gt;"",TRUE))</x:f>
        <x:v>0</x:v>
      </x:c>
      <x:c r="AG271" t="n">
        <x:f>--AND(N271=1,AF271=1,OR(AE271="SUPPORTED",AE271="HALLUCINATION"))</x:f>
        <x:v>0</x:v>
      </x:c>
      <x:c r="AH271" t="n">
        <x:f>--AND(AG271=1,AE271="HALLUCINATION")</x:f>
        <x:v>0</x:v>
      </x:c>
      <x:c r="AI271" t="n">
        <x:f>--AND(Q271=1,AF271=1,AE271="HALLUCINATION")</x:f>
        <x:v>0</x:v>
      </x:c>
      <x:c r="AJ271" t="n">
        <x:f>--AND(AI271=1,R271=1,S271=1)</x:f>
        <x:v>0</x:v>
      </x:c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43" t="n">
        <x:f>--AND(N272=1,OR(O272="SUPPORTED",O272="HALLUCINATION"))</x:f>
        <x:v>0</x:v>
      </x:c>
      <x:c r="X272" s="43" t="n">
        <x:f>--AND(W272=1,O272="HALLUCINATION")</x:f>
        <x:v>0</x:v>
      </x:c>
      <x:c r="Y272" s="43" t="n">
        <x:f>--AND(Q272=1,O272="HALLUCINATION")</x:f>
        <x:v>0</x:v>
      </x:c>
      <x:c r="Z272" s="43" t="n">
        <x:f>--AND(Y272=1,R272=1,S272=1)</x:f>
        <x:v>0</x:v>
      </x:c>
      <x:c r="AC272" t="str">
        <x:f>IF(OR(AA272="",AB272=""),"",--(AA272&lt;&gt;AB272))</x:f>
      </x:c>
      <x:c r="AE272" t="str">
        <x:f>IF(OR(AA272="",AB272=""),"PENDING_HUMAN",IF(AA272=AB272,AA272,IF(AD272&lt;&gt;"",AD272,"PENDING_HUMAN")))</x:f>
        <x:v>PENDING_HUMAN</x:v>
      </x:c>
      <x:c r="AF272" t="n">
        <x:f>--AND(A272&lt;&gt;"",AA272&lt;&gt;"",AB272&lt;&gt;"",OR(AA272=AB272,AD272&lt;&gt;""),IF(AE272="HALLUCINATION",U272&lt;&gt;"",TRUE))</x:f>
        <x:v>0</x:v>
      </x:c>
      <x:c r="AG272" t="n">
        <x:f>--AND(N272=1,AF272=1,OR(AE272="SUPPORTED",AE272="HALLUCINATION"))</x:f>
        <x:v>0</x:v>
      </x:c>
      <x:c r="AH272" t="n">
        <x:f>--AND(AG272=1,AE272="HALLUCINATION")</x:f>
        <x:v>0</x:v>
      </x:c>
      <x:c r="AI272" t="n">
        <x:f>--AND(Q272=1,AF272=1,AE272="HALLUCINATION")</x:f>
        <x:v>0</x:v>
      </x:c>
      <x:c r="AJ272" t="n">
        <x:f>--AND(AI272=1,R272=1,S272=1)</x:f>
        <x:v>0</x:v>
      </x:c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43" t="n">
        <x:f>--AND(N273=1,OR(O273="SUPPORTED",O273="HALLUCINATION"))</x:f>
        <x:v>0</x:v>
      </x:c>
      <x:c r="X273" s="43" t="n">
        <x:f>--AND(W273=1,O273="HALLUCINATION")</x:f>
        <x:v>0</x:v>
      </x:c>
      <x:c r="Y273" s="43" t="n">
        <x:f>--AND(Q273=1,O273="HALLUCINATION")</x:f>
        <x:v>0</x:v>
      </x:c>
      <x:c r="Z273" s="43" t="n">
        <x:f>--AND(Y273=1,R273=1,S273=1)</x:f>
        <x:v>0</x:v>
      </x:c>
      <x:c r="AC273" t="str">
        <x:f>IF(OR(AA273="",AB273=""),"",--(AA273&lt;&gt;AB273))</x:f>
      </x:c>
      <x:c r="AE273" t="str">
        <x:f>IF(OR(AA273="",AB273=""),"PENDING_HUMAN",IF(AA273=AB273,AA273,IF(AD273&lt;&gt;"",AD273,"PENDING_HUMAN")))</x:f>
        <x:v>PENDING_HUMAN</x:v>
      </x:c>
      <x:c r="AF273" t="n">
        <x:f>--AND(A273&lt;&gt;"",AA273&lt;&gt;"",AB273&lt;&gt;"",OR(AA273=AB273,AD273&lt;&gt;""),IF(AE273="HALLUCINATION",U273&lt;&gt;"",TRUE))</x:f>
        <x:v>0</x:v>
      </x:c>
      <x:c r="AG273" t="n">
        <x:f>--AND(N273=1,AF273=1,OR(AE273="SUPPORTED",AE273="HALLUCINATION"))</x:f>
        <x:v>0</x:v>
      </x:c>
      <x:c r="AH273" t="n">
        <x:f>--AND(AG273=1,AE273="HALLUCINATION")</x:f>
        <x:v>0</x:v>
      </x:c>
      <x:c r="AI273" t="n">
        <x:f>--AND(Q273=1,AF273=1,AE273="HALLUCINATION")</x:f>
        <x:v>0</x:v>
      </x:c>
      <x:c r="AJ273" t="n">
        <x:f>--AND(AI273=1,R273=1,S273=1)</x:f>
        <x:v>0</x:v>
      </x:c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43" t="n">
        <x:f>--AND(N274=1,OR(O274="SUPPORTED",O274="HALLUCINATION"))</x:f>
        <x:v>0</x:v>
      </x:c>
      <x:c r="X274" s="43" t="n">
        <x:f>--AND(W274=1,O274="HALLUCINATION")</x:f>
        <x:v>0</x:v>
      </x:c>
      <x:c r="Y274" s="43" t="n">
        <x:f>--AND(Q274=1,O274="HALLUCINATION")</x:f>
        <x:v>0</x:v>
      </x:c>
      <x:c r="Z274" s="43" t="n">
        <x:f>--AND(Y274=1,R274=1,S274=1)</x:f>
        <x:v>0</x:v>
      </x:c>
      <x:c r="AC274" t="str">
        <x:f>IF(OR(AA274="",AB274=""),"",--(AA274&lt;&gt;AB274))</x:f>
      </x:c>
      <x:c r="AE274" t="str">
        <x:f>IF(OR(AA274="",AB274=""),"PENDING_HUMAN",IF(AA274=AB274,AA274,IF(AD274&lt;&gt;"",AD274,"PENDING_HUMAN")))</x:f>
        <x:v>PENDING_HUMAN</x:v>
      </x:c>
      <x:c r="AF274" t="n">
        <x:f>--AND(A274&lt;&gt;"",AA274&lt;&gt;"",AB274&lt;&gt;"",OR(AA274=AB274,AD274&lt;&gt;""),IF(AE274="HALLUCINATION",U274&lt;&gt;"",TRUE))</x:f>
        <x:v>0</x:v>
      </x:c>
      <x:c r="AG274" t="n">
        <x:f>--AND(N274=1,AF274=1,OR(AE274="SUPPORTED",AE274="HALLUCINATION"))</x:f>
        <x:v>0</x:v>
      </x:c>
      <x:c r="AH274" t="n">
        <x:f>--AND(AG274=1,AE274="HALLUCINATION")</x:f>
        <x:v>0</x:v>
      </x:c>
      <x:c r="AI274" t="n">
        <x:f>--AND(Q274=1,AF274=1,AE274="HALLUCINATION")</x:f>
        <x:v>0</x:v>
      </x:c>
      <x:c r="AJ274" t="n">
        <x:f>--AND(AI274=1,R274=1,S274=1)</x:f>
        <x:v>0</x:v>
      </x:c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43" t="n">
        <x:f>--AND(N275=1,OR(O275="SUPPORTED",O275="HALLUCINATION"))</x:f>
        <x:v>0</x:v>
      </x:c>
      <x:c r="X275" s="43" t="n">
        <x:f>--AND(W275=1,O275="HALLUCINATION")</x:f>
        <x:v>0</x:v>
      </x:c>
      <x:c r="Y275" s="43" t="n">
        <x:f>--AND(Q275=1,O275="HALLUCINATION")</x:f>
        <x:v>0</x:v>
      </x:c>
      <x:c r="Z275" s="43" t="n">
        <x:f>--AND(Y275=1,R275=1,S275=1)</x:f>
        <x:v>0</x:v>
      </x:c>
      <x:c r="AC275" t="str">
        <x:f>IF(OR(AA275="",AB275=""),"",--(AA275&lt;&gt;AB275))</x:f>
      </x:c>
      <x:c r="AE275" t="str">
        <x:f>IF(OR(AA275="",AB275=""),"PENDING_HUMAN",IF(AA275=AB275,AA275,IF(AD275&lt;&gt;"",AD275,"PENDING_HUMAN")))</x:f>
        <x:v>PENDING_HUMAN</x:v>
      </x:c>
      <x:c r="AF275" t="n">
        <x:f>--AND(A275&lt;&gt;"",AA275&lt;&gt;"",AB275&lt;&gt;"",OR(AA275=AB275,AD275&lt;&gt;""),IF(AE275="HALLUCINATION",U275&lt;&gt;"",TRUE))</x:f>
        <x:v>0</x:v>
      </x:c>
      <x:c r="AG275" t="n">
        <x:f>--AND(N275=1,AF275=1,OR(AE275="SUPPORTED",AE275="HALLUCINATION"))</x:f>
        <x:v>0</x:v>
      </x:c>
      <x:c r="AH275" t="n">
        <x:f>--AND(AG275=1,AE275="HALLUCINATION")</x:f>
        <x:v>0</x:v>
      </x:c>
      <x:c r="AI275" t="n">
        <x:f>--AND(Q275=1,AF275=1,AE275="HALLUCINATION")</x:f>
        <x:v>0</x:v>
      </x:c>
      <x:c r="AJ275" t="n">
        <x:f>--AND(AI275=1,R275=1,S275=1)</x:f>
        <x:v>0</x:v>
      </x:c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43" t="n">
        <x:f>--AND(N276=1,OR(O276="SUPPORTED",O276="HALLUCINATION"))</x:f>
        <x:v>0</x:v>
      </x:c>
      <x:c r="X276" s="43" t="n">
        <x:f>--AND(W276=1,O276="HALLUCINATION")</x:f>
        <x:v>0</x:v>
      </x:c>
      <x:c r="Y276" s="43" t="n">
        <x:f>--AND(Q276=1,O276="HALLUCINATION")</x:f>
        <x:v>0</x:v>
      </x:c>
      <x:c r="Z276" s="43" t="n">
        <x:f>--AND(Y276=1,R276=1,S276=1)</x:f>
        <x:v>0</x:v>
      </x:c>
      <x:c r="AC276" t="str">
        <x:f>IF(OR(AA276="",AB276=""),"",--(AA276&lt;&gt;AB276))</x:f>
      </x:c>
      <x:c r="AE276" t="str">
        <x:f>IF(OR(AA276="",AB276=""),"PENDING_HUMAN",IF(AA276=AB276,AA276,IF(AD276&lt;&gt;"",AD276,"PENDING_HUMAN")))</x:f>
        <x:v>PENDING_HUMAN</x:v>
      </x:c>
      <x:c r="AF276" t="n">
        <x:f>--AND(A276&lt;&gt;"",AA276&lt;&gt;"",AB276&lt;&gt;"",OR(AA276=AB276,AD276&lt;&gt;""),IF(AE276="HALLUCINATION",U276&lt;&gt;"",TRUE))</x:f>
        <x:v>0</x:v>
      </x:c>
      <x:c r="AG276" t="n">
        <x:f>--AND(N276=1,AF276=1,OR(AE276="SUPPORTED",AE276="HALLUCINATION"))</x:f>
        <x:v>0</x:v>
      </x:c>
      <x:c r="AH276" t="n">
        <x:f>--AND(AG276=1,AE276="HALLUCINATION")</x:f>
        <x:v>0</x:v>
      </x:c>
      <x:c r="AI276" t="n">
        <x:f>--AND(Q276=1,AF276=1,AE276="HALLUCINATION")</x:f>
        <x:v>0</x:v>
      </x:c>
      <x:c r="AJ276" t="n">
        <x:f>--AND(AI276=1,R276=1,S276=1)</x:f>
        <x:v>0</x:v>
      </x:c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43" t="n">
        <x:f>--AND(N277=1,OR(O277="SUPPORTED",O277="HALLUCINATION"))</x:f>
        <x:v>0</x:v>
      </x:c>
      <x:c r="X277" s="43" t="n">
        <x:f>--AND(W277=1,O277="HALLUCINATION")</x:f>
        <x:v>0</x:v>
      </x:c>
      <x:c r="Y277" s="43" t="n">
        <x:f>--AND(Q277=1,O277="HALLUCINATION")</x:f>
        <x:v>0</x:v>
      </x:c>
      <x:c r="Z277" s="43" t="n">
        <x:f>--AND(Y277=1,R277=1,S277=1)</x:f>
        <x:v>0</x:v>
      </x:c>
      <x:c r="AC277" t="str">
        <x:f>IF(OR(AA277="",AB277=""),"",--(AA277&lt;&gt;AB277))</x:f>
      </x:c>
      <x:c r="AE277" t="str">
        <x:f>IF(OR(AA277="",AB277=""),"PENDING_HUMAN",IF(AA277=AB277,AA277,IF(AD277&lt;&gt;"",AD277,"PENDING_HUMAN")))</x:f>
        <x:v>PENDING_HUMAN</x:v>
      </x:c>
      <x:c r="AF277" t="n">
        <x:f>--AND(A277&lt;&gt;"",AA277&lt;&gt;"",AB277&lt;&gt;"",OR(AA277=AB277,AD277&lt;&gt;""),IF(AE277="HALLUCINATION",U277&lt;&gt;"",TRUE))</x:f>
        <x:v>0</x:v>
      </x:c>
      <x:c r="AG277" t="n">
        <x:f>--AND(N277=1,AF277=1,OR(AE277="SUPPORTED",AE277="HALLUCINATION"))</x:f>
        <x:v>0</x:v>
      </x:c>
      <x:c r="AH277" t="n">
        <x:f>--AND(AG277=1,AE277="HALLUCINATION")</x:f>
        <x:v>0</x:v>
      </x:c>
      <x:c r="AI277" t="n">
        <x:f>--AND(Q277=1,AF277=1,AE277="HALLUCINATION")</x:f>
        <x:v>0</x:v>
      </x:c>
      <x:c r="AJ277" t="n">
        <x:f>--AND(AI277=1,R277=1,S277=1)</x:f>
        <x:v>0</x:v>
      </x:c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43" t="n">
        <x:f>--AND(N278=1,OR(O278="SUPPORTED",O278="HALLUCINATION"))</x:f>
        <x:v>0</x:v>
      </x:c>
      <x:c r="X278" s="43" t="n">
        <x:f>--AND(W278=1,O278="HALLUCINATION")</x:f>
        <x:v>0</x:v>
      </x:c>
      <x:c r="Y278" s="43" t="n">
        <x:f>--AND(Q278=1,O278="HALLUCINATION")</x:f>
        <x:v>0</x:v>
      </x:c>
      <x:c r="Z278" s="43" t="n">
        <x:f>--AND(Y278=1,R278=1,S278=1)</x:f>
        <x:v>0</x:v>
      </x:c>
      <x:c r="AC278" t="str">
        <x:f>IF(OR(AA278="",AB278=""),"",--(AA278&lt;&gt;AB278))</x:f>
      </x:c>
      <x:c r="AE278" t="str">
        <x:f>IF(OR(AA278="",AB278=""),"PENDING_HUMAN",IF(AA278=AB278,AA278,IF(AD278&lt;&gt;"",AD278,"PENDING_HUMAN")))</x:f>
        <x:v>PENDING_HUMAN</x:v>
      </x:c>
      <x:c r="AF278" t="n">
        <x:f>--AND(A278&lt;&gt;"",AA278&lt;&gt;"",AB278&lt;&gt;"",OR(AA278=AB278,AD278&lt;&gt;""),IF(AE278="HALLUCINATION",U278&lt;&gt;"",TRUE))</x:f>
        <x:v>0</x:v>
      </x:c>
      <x:c r="AG278" t="n">
        <x:f>--AND(N278=1,AF278=1,OR(AE278="SUPPORTED",AE278="HALLUCINATION"))</x:f>
        <x:v>0</x:v>
      </x:c>
      <x:c r="AH278" t="n">
        <x:f>--AND(AG278=1,AE278="HALLUCINATION")</x:f>
        <x:v>0</x:v>
      </x:c>
      <x:c r="AI278" t="n">
        <x:f>--AND(Q278=1,AF278=1,AE278="HALLUCINATION")</x:f>
        <x:v>0</x:v>
      </x:c>
      <x:c r="AJ278" t="n">
        <x:f>--AND(AI278=1,R278=1,S278=1)</x:f>
        <x:v>0</x:v>
      </x:c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43" t="n">
        <x:f>--AND(N279=1,OR(O279="SUPPORTED",O279="HALLUCINATION"))</x:f>
        <x:v>0</x:v>
      </x:c>
      <x:c r="X279" s="43" t="n">
        <x:f>--AND(W279=1,O279="HALLUCINATION")</x:f>
        <x:v>0</x:v>
      </x:c>
      <x:c r="Y279" s="43" t="n">
        <x:f>--AND(Q279=1,O279="HALLUCINATION")</x:f>
        <x:v>0</x:v>
      </x:c>
      <x:c r="Z279" s="43" t="n">
        <x:f>--AND(Y279=1,R279=1,S279=1)</x:f>
        <x:v>0</x:v>
      </x:c>
      <x:c r="AC279" t="str">
        <x:f>IF(OR(AA279="",AB279=""),"",--(AA279&lt;&gt;AB279))</x:f>
      </x:c>
      <x:c r="AE279" t="str">
        <x:f>IF(OR(AA279="",AB279=""),"PENDING_HUMAN",IF(AA279=AB279,AA279,IF(AD279&lt;&gt;"",AD279,"PENDING_HUMAN")))</x:f>
        <x:v>PENDING_HUMAN</x:v>
      </x:c>
      <x:c r="AF279" t="n">
        <x:f>--AND(A279&lt;&gt;"",AA279&lt;&gt;"",AB279&lt;&gt;"",OR(AA279=AB279,AD279&lt;&gt;""),IF(AE279="HALLUCINATION",U279&lt;&gt;"",TRUE))</x:f>
        <x:v>0</x:v>
      </x:c>
      <x:c r="AG279" t="n">
        <x:f>--AND(N279=1,AF279=1,OR(AE279="SUPPORTED",AE279="HALLUCINATION"))</x:f>
        <x:v>0</x:v>
      </x:c>
      <x:c r="AH279" t="n">
        <x:f>--AND(AG279=1,AE279="HALLUCINATION")</x:f>
        <x:v>0</x:v>
      </x:c>
      <x:c r="AI279" t="n">
        <x:f>--AND(Q279=1,AF279=1,AE279="HALLUCINATION")</x:f>
        <x:v>0</x:v>
      </x:c>
      <x:c r="AJ279" t="n">
        <x:f>--AND(AI279=1,R279=1,S279=1)</x:f>
        <x:v>0</x:v>
      </x:c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43" t="n">
        <x:f>--AND(N280=1,OR(O280="SUPPORTED",O280="HALLUCINATION"))</x:f>
        <x:v>0</x:v>
      </x:c>
      <x:c r="X280" s="43" t="n">
        <x:f>--AND(W280=1,O280="HALLUCINATION")</x:f>
        <x:v>0</x:v>
      </x:c>
      <x:c r="Y280" s="43" t="n">
        <x:f>--AND(Q280=1,O280="HALLUCINATION")</x:f>
        <x:v>0</x:v>
      </x:c>
      <x:c r="Z280" s="43" t="n">
        <x:f>--AND(Y280=1,R280=1,S280=1)</x:f>
        <x:v>0</x:v>
      </x:c>
      <x:c r="AC280" t="str">
        <x:f>IF(OR(AA280="",AB280=""),"",--(AA280&lt;&gt;AB280))</x:f>
      </x:c>
      <x:c r="AE280" t="str">
        <x:f>IF(OR(AA280="",AB280=""),"PENDING_HUMAN",IF(AA280=AB280,AA280,IF(AD280&lt;&gt;"",AD280,"PENDING_HUMAN")))</x:f>
        <x:v>PENDING_HUMAN</x:v>
      </x:c>
      <x:c r="AF280" t="n">
        <x:f>--AND(A280&lt;&gt;"",AA280&lt;&gt;"",AB280&lt;&gt;"",OR(AA280=AB280,AD280&lt;&gt;""),IF(AE280="HALLUCINATION",U280&lt;&gt;"",TRUE))</x:f>
        <x:v>0</x:v>
      </x:c>
      <x:c r="AG280" t="n">
        <x:f>--AND(N280=1,AF280=1,OR(AE280="SUPPORTED",AE280="HALLUCINATION"))</x:f>
        <x:v>0</x:v>
      </x:c>
      <x:c r="AH280" t="n">
        <x:f>--AND(AG280=1,AE280="HALLUCINATION")</x:f>
        <x:v>0</x:v>
      </x:c>
      <x:c r="AI280" t="n">
        <x:f>--AND(Q280=1,AF280=1,AE280="HALLUCINATION")</x:f>
        <x:v>0</x:v>
      </x:c>
      <x:c r="AJ280" t="n">
        <x:f>--AND(AI280=1,R280=1,S280=1)</x:f>
        <x:v>0</x:v>
      </x:c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43" t="n">
        <x:f>--AND(N281=1,OR(O281="SUPPORTED",O281="HALLUCINATION"))</x:f>
        <x:v>0</x:v>
      </x:c>
      <x:c r="X281" s="43" t="n">
        <x:f>--AND(W281=1,O281="HALLUCINATION")</x:f>
        <x:v>0</x:v>
      </x:c>
      <x:c r="Y281" s="43" t="n">
        <x:f>--AND(Q281=1,O281="HALLUCINATION")</x:f>
        <x:v>0</x:v>
      </x:c>
      <x:c r="Z281" s="43" t="n">
        <x:f>--AND(Y281=1,R281=1,S281=1)</x:f>
        <x:v>0</x:v>
      </x:c>
      <x:c r="AC281" t="str">
        <x:f>IF(OR(AA281="",AB281=""),"",--(AA281&lt;&gt;AB281))</x:f>
      </x:c>
      <x:c r="AE281" t="str">
        <x:f>IF(OR(AA281="",AB281=""),"PENDING_HUMAN",IF(AA281=AB281,AA281,IF(AD281&lt;&gt;"",AD281,"PENDING_HUMAN")))</x:f>
        <x:v>PENDING_HUMAN</x:v>
      </x:c>
      <x:c r="AF281" t="n">
        <x:f>--AND(A281&lt;&gt;"",AA281&lt;&gt;"",AB281&lt;&gt;"",OR(AA281=AB281,AD281&lt;&gt;""),IF(AE281="HALLUCINATION",U281&lt;&gt;"",TRUE))</x:f>
        <x:v>0</x:v>
      </x:c>
      <x:c r="AG281" t="n">
        <x:f>--AND(N281=1,AF281=1,OR(AE281="SUPPORTED",AE281="HALLUCINATION"))</x:f>
        <x:v>0</x:v>
      </x:c>
      <x:c r="AH281" t="n">
        <x:f>--AND(AG281=1,AE281="HALLUCINATION")</x:f>
        <x:v>0</x:v>
      </x:c>
      <x:c r="AI281" t="n">
        <x:f>--AND(Q281=1,AF281=1,AE281="HALLUCINATION")</x:f>
        <x:v>0</x:v>
      </x:c>
      <x:c r="AJ281" t="n">
        <x:f>--AND(AI281=1,R281=1,S281=1)</x:f>
        <x:v>0</x:v>
      </x:c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43" t="n">
        <x:f>--AND(N282=1,OR(O282="SUPPORTED",O282="HALLUCINATION"))</x:f>
        <x:v>0</x:v>
      </x:c>
      <x:c r="X282" s="43" t="n">
        <x:f>--AND(W282=1,O282="HALLUCINATION")</x:f>
        <x:v>0</x:v>
      </x:c>
      <x:c r="Y282" s="43" t="n">
        <x:f>--AND(Q282=1,O282="HALLUCINATION")</x:f>
        <x:v>0</x:v>
      </x:c>
      <x:c r="Z282" s="43" t="n">
        <x:f>--AND(Y282=1,R282=1,S282=1)</x:f>
        <x:v>0</x:v>
      </x:c>
      <x:c r="AC282" t="str">
        <x:f>IF(OR(AA282="",AB282=""),"",--(AA282&lt;&gt;AB282))</x:f>
      </x:c>
      <x:c r="AE282" t="str">
        <x:f>IF(OR(AA282="",AB282=""),"PENDING_HUMAN",IF(AA282=AB282,AA282,IF(AD282&lt;&gt;"",AD282,"PENDING_HUMAN")))</x:f>
        <x:v>PENDING_HUMAN</x:v>
      </x:c>
      <x:c r="AF282" t="n">
        <x:f>--AND(A282&lt;&gt;"",AA282&lt;&gt;"",AB282&lt;&gt;"",OR(AA282=AB282,AD282&lt;&gt;""),IF(AE282="HALLUCINATION",U282&lt;&gt;"",TRUE))</x:f>
        <x:v>0</x:v>
      </x:c>
      <x:c r="AG282" t="n">
        <x:f>--AND(N282=1,AF282=1,OR(AE282="SUPPORTED",AE282="HALLUCINATION"))</x:f>
        <x:v>0</x:v>
      </x:c>
      <x:c r="AH282" t="n">
        <x:f>--AND(AG282=1,AE282="HALLUCINATION")</x:f>
        <x:v>0</x:v>
      </x:c>
      <x:c r="AI282" t="n">
        <x:f>--AND(Q282=1,AF282=1,AE282="HALLUCINATION")</x:f>
        <x:v>0</x:v>
      </x:c>
      <x:c r="AJ282" t="n">
        <x:f>--AND(AI282=1,R282=1,S282=1)</x:f>
        <x:v>0</x:v>
      </x:c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43" t="n">
        <x:f>--AND(N283=1,OR(O283="SUPPORTED",O283="HALLUCINATION"))</x:f>
        <x:v>0</x:v>
      </x:c>
      <x:c r="X283" s="43" t="n">
        <x:f>--AND(W283=1,O283="HALLUCINATION")</x:f>
        <x:v>0</x:v>
      </x:c>
      <x:c r="Y283" s="43" t="n">
        <x:f>--AND(Q283=1,O283="HALLUCINATION")</x:f>
        <x:v>0</x:v>
      </x:c>
      <x:c r="Z283" s="43" t="n">
        <x:f>--AND(Y283=1,R283=1,S283=1)</x:f>
        <x:v>0</x:v>
      </x:c>
      <x:c r="AC283" t="str">
        <x:f>IF(OR(AA283="",AB283=""),"",--(AA283&lt;&gt;AB283))</x:f>
      </x:c>
      <x:c r="AE283" t="str">
        <x:f>IF(OR(AA283="",AB283=""),"PENDING_HUMAN",IF(AA283=AB283,AA283,IF(AD283&lt;&gt;"",AD283,"PENDING_HUMAN")))</x:f>
        <x:v>PENDING_HUMAN</x:v>
      </x:c>
      <x:c r="AF283" t="n">
        <x:f>--AND(A283&lt;&gt;"",AA283&lt;&gt;"",AB283&lt;&gt;"",OR(AA283=AB283,AD283&lt;&gt;""),IF(AE283="HALLUCINATION",U283&lt;&gt;"",TRUE))</x:f>
        <x:v>0</x:v>
      </x:c>
      <x:c r="AG283" t="n">
        <x:f>--AND(N283=1,AF283=1,OR(AE283="SUPPORTED",AE283="HALLUCINATION"))</x:f>
        <x:v>0</x:v>
      </x:c>
      <x:c r="AH283" t="n">
        <x:f>--AND(AG283=1,AE283="HALLUCINATION")</x:f>
        <x:v>0</x:v>
      </x:c>
      <x:c r="AI283" t="n">
        <x:f>--AND(Q283=1,AF283=1,AE283="HALLUCINATION")</x:f>
        <x:v>0</x:v>
      </x:c>
      <x:c r="AJ283" t="n">
        <x:f>--AND(AI283=1,R283=1,S283=1)</x:f>
        <x:v>0</x:v>
      </x:c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43" t="n">
        <x:f>--AND(N284=1,OR(O284="SUPPORTED",O284="HALLUCINATION"))</x:f>
        <x:v>0</x:v>
      </x:c>
      <x:c r="X284" s="43" t="n">
        <x:f>--AND(W284=1,O284="HALLUCINATION")</x:f>
        <x:v>0</x:v>
      </x:c>
      <x:c r="Y284" s="43" t="n">
        <x:f>--AND(Q284=1,O284="HALLUCINATION")</x:f>
        <x:v>0</x:v>
      </x:c>
      <x:c r="Z284" s="43" t="n">
        <x:f>--AND(Y284=1,R284=1,S284=1)</x:f>
        <x:v>0</x:v>
      </x:c>
      <x:c r="AC284" t="str">
        <x:f>IF(OR(AA284="",AB284=""),"",--(AA284&lt;&gt;AB284))</x:f>
      </x:c>
      <x:c r="AE284" t="str">
        <x:f>IF(OR(AA284="",AB284=""),"PENDING_HUMAN",IF(AA284=AB284,AA284,IF(AD284&lt;&gt;"",AD284,"PENDING_HUMAN")))</x:f>
        <x:v>PENDING_HUMAN</x:v>
      </x:c>
      <x:c r="AF284" t="n">
        <x:f>--AND(A284&lt;&gt;"",AA284&lt;&gt;"",AB284&lt;&gt;"",OR(AA284=AB284,AD284&lt;&gt;""),IF(AE284="HALLUCINATION",U284&lt;&gt;"",TRUE))</x:f>
        <x:v>0</x:v>
      </x:c>
      <x:c r="AG284" t="n">
        <x:f>--AND(N284=1,AF284=1,OR(AE284="SUPPORTED",AE284="HALLUCINATION"))</x:f>
        <x:v>0</x:v>
      </x:c>
      <x:c r="AH284" t="n">
        <x:f>--AND(AG284=1,AE284="HALLUCINATION")</x:f>
        <x:v>0</x:v>
      </x:c>
      <x:c r="AI284" t="n">
        <x:f>--AND(Q284=1,AF284=1,AE284="HALLUCINATION")</x:f>
        <x:v>0</x:v>
      </x:c>
      <x:c r="AJ284" t="n">
        <x:f>--AND(AI284=1,R284=1,S284=1)</x:f>
        <x:v>0</x:v>
      </x:c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  <x:c r="V285" s="28"/>
      <x:c r="W285" s="43" t="n">
        <x:f>--AND(N285=1,OR(O285="SUPPORTED",O285="HALLUCINATION"))</x:f>
        <x:v>0</x:v>
      </x:c>
      <x:c r="X285" s="43" t="n">
        <x:f>--AND(W285=1,O285="HALLUCINATION")</x:f>
        <x:v>0</x:v>
      </x:c>
      <x:c r="Y285" s="43" t="n">
        <x:f>--AND(Q285=1,O285="HALLUCINATION")</x:f>
        <x:v>0</x:v>
      </x:c>
      <x:c r="Z285" s="43" t="n">
        <x:f>--AND(Y285=1,R285=1,S285=1)</x:f>
        <x:v>0</x:v>
      </x:c>
      <x:c r="AC285" t="str">
        <x:f>IF(OR(AA285="",AB285=""),"",--(AA285&lt;&gt;AB285))</x:f>
      </x:c>
      <x:c r="AE285" t="str">
        <x:f>IF(OR(AA285="",AB285=""),"PENDING_HUMAN",IF(AA285=AB285,AA285,IF(AD285&lt;&gt;"",AD285,"PENDING_HUMAN")))</x:f>
        <x:v>PENDING_HUMAN</x:v>
      </x:c>
      <x:c r="AF285" t="n">
        <x:f>--AND(A285&lt;&gt;"",AA285&lt;&gt;"",AB285&lt;&gt;"",OR(AA285=AB285,AD285&lt;&gt;""),IF(AE285="HALLUCINATION",U285&lt;&gt;"",TRUE))</x:f>
        <x:v>0</x:v>
      </x:c>
      <x:c r="AG285" t="n">
        <x:f>--AND(N285=1,AF285=1,OR(AE285="SUPPORTED",AE285="HALLUCINATION"))</x:f>
        <x:v>0</x:v>
      </x:c>
      <x:c r="AH285" t="n">
        <x:f>--AND(AG285=1,AE285="HALLUCINATION")</x:f>
        <x:v>0</x:v>
      </x:c>
      <x:c r="AI285" t="n">
        <x:f>--AND(Q285=1,AF285=1,AE285="HALLUCINATION")</x:f>
        <x:v>0</x:v>
      </x:c>
      <x:c r="AJ285" t="n">
        <x:f>--AND(AI285=1,R285=1,S285=1)</x:f>
        <x:v>0</x:v>
      </x:c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  <x:c r="V286" s="28"/>
      <x:c r="W286" s="43" t="n">
        <x:f>--AND(N286=1,OR(O286="SUPPORTED",O286="HALLUCINATION"))</x:f>
        <x:v>0</x:v>
      </x:c>
      <x:c r="X286" s="43" t="n">
        <x:f>--AND(W286=1,O286="HALLUCINATION")</x:f>
        <x:v>0</x:v>
      </x:c>
      <x:c r="Y286" s="43" t="n">
        <x:f>--AND(Q286=1,O286="HALLUCINATION")</x:f>
        <x:v>0</x:v>
      </x:c>
      <x:c r="Z286" s="43" t="n">
        <x:f>--AND(Y286=1,R286=1,S286=1)</x:f>
        <x:v>0</x:v>
      </x:c>
      <x:c r="AC286" t="str">
        <x:f>IF(OR(AA286="",AB286=""),"",--(AA286&lt;&gt;AB286))</x:f>
      </x:c>
      <x:c r="AE286" t="str">
        <x:f>IF(OR(AA286="",AB286=""),"PENDING_HUMAN",IF(AA286=AB286,AA286,IF(AD286&lt;&gt;"",AD286,"PENDING_HUMAN")))</x:f>
        <x:v>PENDING_HUMAN</x:v>
      </x:c>
      <x:c r="AF286" t="n">
        <x:f>--AND(A286&lt;&gt;"",AA286&lt;&gt;"",AB286&lt;&gt;"",OR(AA286=AB286,AD286&lt;&gt;""),IF(AE286="HALLUCINATION",U286&lt;&gt;"",TRUE))</x:f>
        <x:v>0</x:v>
      </x:c>
      <x:c r="AG286" t="n">
        <x:f>--AND(N286=1,AF286=1,OR(AE286="SUPPORTED",AE286="HALLUCINATION"))</x:f>
        <x:v>0</x:v>
      </x:c>
      <x:c r="AH286" t="n">
        <x:f>--AND(AG286=1,AE286="HALLUCINATION")</x:f>
        <x:v>0</x:v>
      </x:c>
      <x:c r="AI286" t="n">
        <x:f>--AND(Q286=1,AF286=1,AE286="HALLUCINATION")</x:f>
        <x:v>0</x:v>
      </x:c>
      <x:c r="AJ286" t="n">
        <x:f>--AND(AI286=1,R286=1,S286=1)</x:f>
        <x:v>0</x:v>
      </x:c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  <x:c r="V287" s="28"/>
      <x:c r="W287" s="43" t="n">
        <x:f>--AND(N287=1,OR(O287="SUPPORTED",O287="HALLUCINATION"))</x:f>
        <x:v>0</x:v>
      </x:c>
      <x:c r="X287" s="43" t="n">
        <x:f>--AND(W287=1,O287="HALLUCINATION")</x:f>
        <x:v>0</x:v>
      </x:c>
      <x:c r="Y287" s="43" t="n">
        <x:f>--AND(Q287=1,O287="HALLUCINATION")</x:f>
        <x:v>0</x:v>
      </x:c>
      <x:c r="Z287" s="43" t="n">
        <x:f>--AND(Y287=1,R287=1,S287=1)</x:f>
        <x:v>0</x:v>
      </x:c>
      <x:c r="AC287" t="str">
        <x:f>IF(OR(AA287="",AB287=""),"",--(AA287&lt;&gt;AB287))</x:f>
      </x:c>
      <x:c r="AE287" t="str">
        <x:f>IF(OR(AA287="",AB287=""),"PENDING_HUMAN",IF(AA287=AB287,AA287,IF(AD287&lt;&gt;"",AD287,"PENDING_HUMAN")))</x:f>
        <x:v>PENDING_HUMAN</x:v>
      </x:c>
      <x:c r="AF287" t="n">
        <x:f>--AND(A287&lt;&gt;"",AA287&lt;&gt;"",AB287&lt;&gt;"",OR(AA287=AB287,AD287&lt;&gt;""),IF(AE287="HALLUCINATION",U287&lt;&gt;"",TRUE))</x:f>
        <x:v>0</x:v>
      </x:c>
      <x:c r="AG287" t="n">
        <x:f>--AND(N287=1,AF287=1,OR(AE287="SUPPORTED",AE287="HALLUCINATION"))</x:f>
        <x:v>0</x:v>
      </x:c>
      <x:c r="AH287" t="n">
        <x:f>--AND(AG287=1,AE287="HALLUCINATION")</x:f>
        <x:v>0</x:v>
      </x:c>
      <x:c r="AI287" t="n">
        <x:f>--AND(Q287=1,AF287=1,AE287="HALLUCINATION")</x:f>
        <x:v>0</x:v>
      </x:c>
      <x:c r="AJ287" t="n">
        <x:f>--AND(AI287=1,R287=1,S287=1)</x:f>
        <x:v>0</x:v>
      </x:c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  <x:c r="V288" s="28"/>
      <x:c r="W288" s="43" t="n">
        <x:f>--AND(N288=1,OR(O288="SUPPORTED",O288="HALLUCINATION"))</x:f>
        <x:v>0</x:v>
      </x:c>
      <x:c r="X288" s="43" t="n">
        <x:f>--AND(W288=1,O288="HALLUCINATION")</x:f>
        <x:v>0</x:v>
      </x:c>
      <x:c r="Y288" s="43" t="n">
        <x:f>--AND(Q288=1,O288="HALLUCINATION")</x:f>
        <x:v>0</x:v>
      </x:c>
      <x:c r="Z288" s="43" t="n">
        <x:f>--AND(Y288=1,R288=1,S288=1)</x:f>
        <x:v>0</x:v>
      </x:c>
      <x:c r="AC288" t="str">
        <x:f>IF(OR(AA288="",AB288=""),"",--(AA288&lt;&gt;AB288))</x:f>
      </x:c>
      <x:c r="AE288" t="str">
        <x:f>IF(OR(AA288="",AB288=""),"PENDING_HUMAN",IF(AA288=AB288,AA288,IF(AD288&lt;&gt;"",AD288,"PENDING_HUMAN")))</x:f>
        <x:v>PENDING_HUMAN</x:v>
      </x:c>
      <x:c r="AF288" t="n">
        <x:f>--AND(A288&lt;&gt;"",AA288&lt;&gt;"",AB288&lt;&gt;"",OR(AA288=AB288,AD288&lt;&gt;""),IF(AE288="HALLUCINATION",U288&lt;&gt;"",TRUE))</x:f>
        <x:v>0</x:v>
      </x:c>
      <x:c r="AG288" t="n">
        <x:f>--AND(N288=1,AF288=1,OR(AE288="SUPPORTED",AE288="HALLUCINATION"))</x:f>
        <x:v>0</x:v>
      </x:c>
      <x:c r="AH288" t="n">
        <x:f>--AND(AG288=1,AE288="HALLUCINATION")</x:f>
        <x:v>0</x:v>
      </x:c>
      <x:c r="AI288" t="n">
        <x:f>--AND(Q288=1,AF288=1,AE288="HALLUCINATION")</x:f>
        <x:v>0</x:v>
      </x:c>
      <x:c r="AJ288" t="n">
        <x:f>--AND(AI288=1,R288=1,S288=1)</x:f>
        <x:v>0</x:v>
      </x:c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  <x:c r="V289" s="28"/>
      <x:c r="W289" s="43" t="n">
        <x:f>--AND(N289=1,OR(O289="SUPPORTED",O289="HALLUCINATION"))</x:f>
        <x:v>0</x:v>
      </x:c>
      <x:c r="X289" s="43" t="n">
        <x:f>--AND(W289=1,O289="HALLUCINATION")</x:f>
        <x:v>0</x:v>
      </x:c>
      <x:c r="Y289" s="43" t="n">
        <x:f>--AND(Q289=1,O289="HALLUCINATION")</x:f>
        <x:v>0</x:v>
      </x:c>
      <x:c r="Z289" s="43" t="n">
        <x:f>--AND(Y289=1,R289=1,S289=1)</x:f>
        <x:v>0</x:v>
      </x:c>
      <x:c r="AC289" t="str">
        <x:f>IF(OR(AA289="",AB289=""),"",--(AA289&lt;&gt;AB289))</x:f>
      </x:c>
      <x:c r="AE289" t="str">
        <x:f>IF(OR(AA289="",AB289=""),"PENDING_HUMAN",IF(AA289=AB289,AA289,IF(AD289&lt;&gt;"",AD289,"PENDING_HUMAN")))</x:f>
        <x:v>PENDING_HUMAN</x:v>
      </x:c>
      <x:c r="AF289" t="n">
        <x:f>--AND(A289&lt;&gt;"",AA289&lt;&gt;"",AB289&lt;&gt;"",OR(AA289=AB289,AD289&lt;&gt;""),IF(AE289="HALLUCINATION",U289&lt;&gt;"",TRUE))</x:f>
        <x:v>0</x:v>
      </x:c>
      <x:c r="AG289" t="n">
        <x:f>--AND(N289=1,AF289=1,OR(AE289="SUPPORTED",AE289="HALLUCINATION"))</x:f>
        <x:v>0</x:v>
      </x:c>
      <x:c r="AH289" t="n">
        <x:f>--AND(AG289=1,AE289="HALLUCINATION")</x:f>
        <x:v>0</x:v>
      </x:c>
      <x:c r="AI289" t="n">
        <x:f>--AND(Q289=1,AF289=1,AE289="HALLUCINATION")</x:f>
        <x:v>0</x:v>
      </x:c>
      <x:c r="AJ289" t="n">
        <x:f>--AND(AI289=1,R289=1,S289=1)</x:f>
        <x:v>0</x:v>
      </x:c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  <x:c r="V290" s="28"/>
      <x:c r="W290" s="43" t="n">
        <x:f>--AND(N290=1,OR(O290="SUPPORTED",O290="HALLUCINATION"))</x:f>
        <x:v>0</x:v>
      </x:c>
      <x:c r="X290" s="43" t="n">
        <x:f>--AND(W290=1,O290="HALLUCINATION")</x:f>
        <x:v>0</x:v>
      </x:c>
      <x:c r="Y290" s="43" t="n">
        <x:f>--AND(Q290=1,O290="HALLUCINATION")</x:f>
        <x:v>0</x:v>
      </x:c>
      <x:c r="Z290" s="43" t="n">
        <x:f>--AND(Y290=1,R290=1,S290=1)</x:f>
        <x:v>0</x:v>
      </x:c>
      <x:c r="AC290" t="str">
        <x:f>IF(OR(AA290="",AB290=""),"",--(AA290&lt;&gt;AB290))</x:f>
      </x:c>
      <x:c r="AE290" t="str">
        <x:f>IF(OR(AA290="",AB290=""),"PENDING_HUMAN",IF(AA290=AB290,AA290,IF(AD290&lt;&gt;"",AD290,"PENDING_HUMAN")))</x:f>
        <x:v>PENDING_HUMAN</x:v>
      </x:c>
      <x:c r="AF290" t="n">
        <x:f>--AND(A290&lt;&gt;"",AA290&lt;&gt;"",AB290&lt;&gt;"",OR(AA290=AB290,AD290&lt;&gt;""),IF(AE290="HALLUCINATION",U290&lt;&gt;"",TRUE))</x:f>
        <x:v>0</x:v>
      </x:c>
      <x:c r="AG290" t="n">
        <x:f>--AND(N290=1,AF290=1,OR(AE290="SUPPORTED",AE290="HALLUCINATION"))</x:f>
        <x:v>0</x:v>
      </x:c>
      <x:c r="AH290" t="n">
        <x:f>--AND(AG290=1,AE290="HALLUCINATION")</x:f>
        <x:v>0</x:v>
      </x:c>
      <x:c r="AI290" t="n">
        <x:f>--AND(Q290=1,AF290=1,AE290="HALLUCINATION")</x:f>
        <x:v>0</x:v>
      </x:c>
      <x:c r="AJ290" t="n">
        <x:f>--AND(AI290=1,R290=1,S290=1)</x:f>
        <x:v>0</x:v>
      </x:c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  <x:c r="V291" s="28"/>
      <x:c r="W291" s="43" t="n">
        <x:f>--AND(N291=1,OR(O291="SUPPORTED",O291="HALLUCINATION"))</x:f>
        <x:v>0</x:v>
      </x:c>
      <x:c r="X291" s="43" t="n">
        <x:f>--AND(W291=1,O291="HALLUCINATION")</x:f>
        <x:v>0</x:v>
      </x:c>
      <x:c r="Y291" s="43" t="n">
        <x:f>--AND(Q291=1,O291="HALLUCINATION")</x:f>
        <x:v>0</x:v>
      </x:c>
      <x:c r="Z291" s="43" t="n">
        <x:f>--AND(Y291=1,R291=1,S291=1)</x:f>
        <x:v>0</x:v>
      </x:c>
      <x:c r="AC291" t="str">
        <x:f>IF(OR(AA291="",AB291=""),"",--(AA291&lt;&gt;AB291))</x:f>
      </x:c>
      <x:c r="AE291" t="str">
        <x:f>IF(OR(AA291="",AB291=""),"PENDING_HUMAN",IF(AA291=AB291,AA291,IF(AD291&lt;&gt;"",AD291,"PENDING_HUMAN")))</x:f>
        <x:v>PENDING_HUMAN</x:v>
      </x:c>
      <x:c r="AF291" t="n">
        <x:f>--AND(A291&lt;&gt;"",AA291&lt;&gt;"",AB291&lt;&gt;"",OR(AA291=AB291,AD291&lt;&gt;""),IF(AE291="HALLUCINATION",U291&lt;&gt;"",TRUE))</x:f>
        <x:v>0</x:v>
      </x:c>
      <x:c r="AG291" t="n">
        <x:f>--AND(N291=1,AF291=1,OR(AE291="SUPPORTED",AE291="HALLUCINATION"))</x:f>
        <x:v>0</x:v>
      </x:c>
      <x:c r="AH291" t="n">
        <x:f>--AND(AG291=1,AE291="HALLUCINATION")</x:f>
        <x:v>0</x:v>
      </x:c>
      <x:c r="AI291" t="n">
        <x:f>--AND(Q291=1,AF291=1,AE291="HALLUCINATION")</x:f>
        <x:v>0</x:v>
      </x:c>
      <x:c r="AJ291" t="n">
        <x:f>--AND(AI291=1,R291=1,S291=1)</x:f>
        <x:v>0</x:v>
      </x:c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  <x:c r="V292" s="28"/>
      <x:c r="W292" s="43" t="n">
        <x:f>--AND(N292=1,OR(O292="SUPPORTED",O292="HALLUCINATION"))</x:f>
        <x:v>0</x:v>
      </x:c>
      <x:c r="X292" s="43" t="n">
        <x:f>--AND(W292=1,O292="HALLUCINATION")</x:f>
        <x:v>0</x:v>
      </x:c>
      <x:c r="Y292" s="43" t="n">
        <x:f>--AND(Q292=1,O292="HALLUCINATION")</x:f>
        <x:v>0</x:v>
      </x:c>
      <x:c r="Z292" s="43" t="n">
        <x:f>--AND(Y292=1,R292=1,S292=1)</x:f>
        <x:v>0</x:v>
      </x:c>
      <x:c r="AC292" t="str">
        <x:f>IF(OR(AA292="",AB292=""),"",--(AA292&lt;&gt;AB292))</x:f>
      </x:c>
      <x:c r="AE292" t="str">
        <x:f>IF(OR(AA292="",AB292=""),"PENDING_HUMAN",IF(AA292=AB292,AA292,IF(AD292&lt;&gt;"",AD292,"PENDING_HUMAN")))</x:f>
        <x:v>PENDING_HUMAN</x:v>
      </x:c>
      <x:c r="AF292" t="n">
        <x:f>--AND(A292&lt;&gt;"",AA292&lt;&gt;"",AB292&lt;&gt;"",OR(AA292=AB292,AD292&lt;&gt;""),IF(AE292="HALLUCINATION",U292&lt;&gt;"",TRUE))</x:f>
        <x:v>0</x:v>
      </x:c>
      <x:c r="AG292" t="n">
        <x:f>--AND(N292=1,AF292=1,OR(AE292="SUPPORTED",AE292="HALLUCINATION"))</x:f>
        <x:v>0</x:v>
      </x:c>
      <x:c r="AH292" t="n">
        <x:f>--AND(AG292=1,AE292="HALLUCINATION")</x:f>
        <x:v>0</x:v>
      </x:c>
      <x:c r="AI292" t="n">
        <x:f>--AND(Q292=1,AF292=1,AE292="HALLUCINATION")</x:f>
        <x:v>0</x:v>
      </x:c>
      <x:c r="AJ292" t="n">
        <x:f>--AND(AI292=1,R292=1,S292=1)</x:f>
        <x:v>0</x:v>
      </x:c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  <x:c r="V293" s="28"/>
      <x:c r="W293" s="43" t="n">
        <x:f>--AND(N293=1,OR(O293="SUPPORTED",O293="HALLUCINATION"))</x:f>
        <x:v>0</x:v>
      </x:c>
      <x:c r="X293" s="43" t="n">
        <x:f>--AND(W293=1,O293="HALLUCINATION")</x:f>
        <x:v>0</x:v>
      </x:c>
      <x:c r="Y293" s="43" t="n">
        <x:f>--AND(Q293=1,O293="HALLUCINATION")</x:f>
        <x:v>0</x:v>
      </x:c>
      <x:c r="Z293" s="43" t="n">
        <x:f>--AND(Y293=1,R293=1,S293=1)</x:f>
        <x:v>0</x:v>
      </x:c>
      <x:c r="AC293" t="str">
        <x:f>IF(OR(AA293="",AB293=""),"",--(AA293&lt;&gt;AB293))</x:f>
      </x:c>
      <x:c r="AE293" t="str">
        <x:f>IF(OR(AA293="",AB293=""),"PENDING_HUMAN",IF(AA293=AB293,AA293,IF(AD293&lt;&gt;"",AD293,"PENDING_HUMAN")))</x:f>
        <x:v>PENDING_HUMAN</x:v>
      </x:c>
      <x:c r="AF293" t="n">
        <x:f>--AND(A293&lt;&gt;"",AA293&lt;&gt;"",AB293&lt;&gt;"",OR(AA293=AB293,AD293&lt;&gt;""),IF(AE293="HALLUCINATION",U293&lt;&gt;"",TRUE))</x:f>
        <x:v>0</x:v>
      </x:c>
      <x:c r="AG293" t="n">
        <x:f>--AND(N293=1,AF293=1,OR(AE293="SUPPORTED",AE293="HALLUCINATION"))</x:f>
        <x:v>0</x:v>
      </x:c>
      <x:c r="AH293" t="n">
        <x:f>--AND(AG293=1,AE293="HALLUCINATION")</x:f>
        <x:v>0</x:v>
      </x:c>
      <x:c r="AI293" t="n">
        <x:f>--AND(Q293=1,AF293=1,AE293="HALLUCINATION")</x:f>
        <x:v>0</x:v>
      </x:c>
      <x:c r="AJ293" t="n">
        <x:f>--AND(AI293=1,R293=1,S293=1)</x:f>
        <x:v>0</x:v>
      </x:c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  <x:c r="V294" s="28"/>
      <x:c r="W294" s="43" t="n">
        <x:f>--AND(N294=1,OR(O294="SUPPORTED",O294="HALLUCINATION"))</x:f>
        <x:v>0</x:v>
      </x:c>
      <x:c r="X294" s="43" t="n">
        <x:f>--AND(W294=1,O294="HALLUCINATION")</x:f>
        <x:v>0</x:v>
      </x:c>
      <x:c r="Y294" s="43" t="n">
        <x:f>--AND(Q294=1,O294="HALLUCINATION")</x:f>
        <x:v>0</x:v>
      </x:c>
      <x:c r="Z294" s="43" t="n">
        <x:f>--AND(Y294=1,R294=1,S294=1)</x:f>
        <x:v>0</x:v>
      </x:c>
      <x:c r="AC294" t="str">
        <x:f>IF(OR(AA294="",AB294=""),"",--(AA294&lt;&gt;AB294))</x:f>
      </x:c>
      <x:c r="AE294" t="str">
        <x:f>IF(OR(AA294="",AB294=""),"PENDING_HUMAN",IF(AA294=AB294,AA294,IF(AD294&lt;&gt;"",AD294,"PENDING_HUMAN")))</x:f>
        <x:v>PENDING_HUMAN</x:v>
      </x:c>
      <x:c r="AF294" t="n">
        <x:f>--AND(A294&lt;&gt;"",AA294&lt;&gt;"",AB294&lt;&gt;"",OR(AA294=AB294,AD294&lt;&gt;""),IF(AE294="HALLUCINATION",U294&lt;&gt;"",TRUE))</x:f>
        <x:v>0</x:v>
      </x:c>
      <x:c r="AG294" t="n">
        <x:f>--AND(N294=1,AF294=1,OR(AE294="SUPPORTED",AE294="HALLUCINATION"))</x:f>
        <x:v>0</x:v>
      </x:c>
      <x:c r="AH294" t="n">
        <x:f>--AND(AG294=1,AE294="HALLUCINATION")</x:f>
        <x:v>0</x:v>
      </x:c>
      <x:c r="AI294" t="n">
        <x:f>--AND(Q294=1,AF294=1,AE294="HALLUCINATION")</x:f>
        <x:v>0</x:v>
      </x:c>
      <x:c r="AJ294" t="n">
        <x:f>--AND(AI294=1,R294=1,S294=1)</x:f>
        <x:v>0</x:v>
      </x:c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  <x:c r="V295" s="28"/>
      <x:c r="W295" s="43" t="n">
        <x:f>--AND(N295=1,OR(O295="SUPPORTED",O295="HALLUCINATION"))</x:f>
        <x:v>0</x:v>
      </x:c>
      <x:c r="X295" s="43" t="n">
        <x:f>--AND(W295=1,O295="HALLUCINATION")</x:f>
        <x:v>0</x:v>
      </x:c>
      <x:c r="Y295" s="43" t="n">
        <x:f>--AND(Q295=1,O295="HALLUCINATION")</x:f>
        <x:v>0</x:v>
      </x:c>
      <x:c r="Z295" s="43" t="n">
        <x:f>--AND(Y295=1,R295=1,S295=1)</x:f>
        <x:v>0</x:v>
      </x:c>
      <x:c r="AC295" t="str">
        <x:f>IF(OR(AA295="",AB295=""),"",--(AA295&lt;&gt;AB295))</x:f>
      </x:c>
      <x:c r="AE295" t="str">
        <x:f>IF(OR(AA295="",AB295=""),"PENDING_HUMAN",IF(AA295=AB295,AA295,IF(AD295&lt;&gt;"",AD295,"PENDING_HUMAN")))</x:f>
        <x:v>PENDING_HUMAN</x:v>
      </x:c>
      <x:c r="AF295" t="n">
        <x:f>--AND(A295&lt;&gt;"",AA295&lt;&gt;"",AB295&lt;&gt;"",OR(AA295=AB295,AD295&lt;&gt;""),IF(AE295="HALLUCINATION",U295&lt;&gt;"",TRUE))</x:f>
        <x:v>0</x:v>
      </x:c>
      <x:c r="AG295" t="n">
        <x:f>--AND(N295=1,AF295=1,OR(AE295="SUPPORTED",AE295="HALLUCINATION"))</x:f>
        <x:v>0</x:v>
      </x:c>
      <x:c r="AH295" t="n">
        <x:f>--AND(AG295=1,AE295="HALLUCINATION")</x:f>
        <x:v>0</x:v>
      </x:c>
      <x:c r="AI295" t="n">
        <x:f>--AND(Q295=1,AF295=1,AE295="HALLUCINATION")</x:f>
        <x:v>0</x:v>
      </x:c>
      <x:c r="AJ295" t="n">
        <x:f>--AND(AI295=1,R295=1,S295=1)</x:f>
        <x:v>0</x:v>
      </x:c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  <x:c r="V296" s="28"/>
      <x:c r="W296" s="43" t="n">
        <x:f>--AND(N296=1,OR(O296="SUPPORTED",O296="HALLUCINATION"))</x:f>
        <x:v>0</x:v>
      </x:c>
      <x:c r="X296" s="43" t="n">
        <x:f>--AND(W296=1,O296="HALLUCINATION")</x:f>
        <x:v>0</x:v>
      </x:c>
      <x:c r="Y296" s="43" t="n">
        <x:f>--AND(Q296=1,O296="HALLUCINATION")</x:f>
        <x:v>0</x:v>
      </x:c>
      <x:c r="Z296" s="43" t="n">
        <x:f>--AND(Y296=1,R296=1,S296=1)</x:f>
        <x:v>0</x:v>
      </x:c>
      <x:c r="AC296" t="str">
        <x:f>IF(OR(AA296="",AB296=""),"",--(AA296&lt;&gt;AB296))</x:f>
      </x:c>
      <x:c r="AE296" t="str">
        <x:f>IF(OR(AA296="",AB296=""),"PENDING_HUMAN",IF(AA296=AB296,AA296,IF(AD296&lt;&gt;"",AD296,"PENDING_HUMAN")))</x:f>
        <x:v>PENDING_HUMAN</x:v>
      </x:c>
      <x:c r="AF296" t="n">
        <x:f>--AND(A296&lt;&gt;"",AA296&lt;&gt;"",AB296&lt;&gt;"",OR(AA296=AB296,AD296&lt;&gt;""),IF(AE296="HALLUCINATION",U296&lt;&gt;"",TRUE))</x:f>
        <x:v>0</x:v>
      </x:c>
      <x:c r="AG296" t="n">
        <x:f>--AND(N296=1,AF296=1,OR(AE296="SUPPORTED",AE296="HALLUCINATION"))</x:f>
        <x:v>0</x:v>
      </x:c>
      <x:c r="AH296" t="n">
        <x:f>--AND(AG296=1,AE296="HALLUCINATION")</x:f>
        <x:v>0</x:v>
      </x:c>
      <x:c r="AI296" t="n">
        <x:f>--AND(Q296=1,AF296=1,AE296="HALLUCINATION")</x:f>
        <x:v>0</x:v>
      </x:c>
      <x:c r="AJ296" t="n">
        <x:f>--AND(AI296=1,R296=1,S296=1)</x:f>
        <x:v>0</x:v>
      </x:c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  <x:c r="V297" s="28"/>
      <x:c r="W297" s="43" t="n">
        <x:f>--AND(N297=1,OR(O297="SUPPORTED",O297="HALLUCINATION"))</x:f>
        <x:v>0</x:v>
      </x:c>
      <x:c r="X297" s="43" t="n">
        <x:f>--AND(W297=1,O297="HALLUCINATION")</x:f>
        <x:v>0</x:v>
      </x:c>
      <x:c r="Y297" s="43" t="n">
        <x:f>--AND(Q297=1,O297="HALLUCINATION")</x:f>
        <x:v>0</x:v>
      </x:c>
      <x:c r="Z297" s="43" t="n">
        <x:f>--AND(Y297=1,R297=1,S297=1)</x:f>
        <x:v>0</x:v>
      </x:c>
      <x:c r="AC297" t="str">
        <x:f>IF(OR(AA297="",AB297=""),"",--(AA297&lt;&gt;AB297))</x:f>
      </x:c>
      <x:c r="AE297" t="str">
        <x:f>IF(OR(AA297="",AB297=""),"PENDING_HUMAN",IF(AA297=AB297,AA297,IF(AD297&lt;&gt;"",AD297,"PENDING_HUMAN")))</x:f>
        <x:v>PENDING_HUMAN</x:v>
      </x:c>
      <x:c r="AF297" t="n">
        <x:f>--AND(A297&lt;&gt;"",AA297&lt;&gt;"",AB297&lt;&gt;"",OR(AA297=AB297,AD297&lt;&gt;""),IF(AE297="HALLUCINATION",U297&lt;&gt;"",TRUE))</x:f>
        <x:v>0</x:v>
      </x:c>
      <x:c r="AG297" t="n">
        <x:f>--AND(N297=1,AF297=1,OR(AE297="SUPPORTED",AE297="HALLUCINATION"))</x:f>
        <x:v>0</x:v>
      </x:c>
      <x:c r="AH297" t="n">
        <x:f>--AND(AG297=1,AE297="HALLUCINATION")</x:f>
        <x:v>0</x:v>
      </x:c>
      <x:c r="AI297" t="n">
        <x:f>--AND(Q297=1,AF297=1,AE297="HALLUCINATION")</x:f>
        <x:v>0</x:v>
      </x:c>
      <x:c r="AJ297" t="n">
        <x:f>--AND(AI297=1,R297=1,S297=1)</x:f>
        <x:v>0</x:v>
      </x:c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  <x:c r="V298" s="28"/>
      <x:c r="W298" s="43" t="n">
        <x:f>--AND(N298=1,OR(O298="SUPPORTED",O298="HALLUCINATION"))</x:f>
        <x:v>0</x:v>
      </x:c>
      <x:c r="X298" s="43" t="n">
        <x:f>--AND(W298=1,O298="HALLUCINATION")</x:f>
        <x:v>0</x:v>
      </x:c>
      <x:c r="Y298" s="43" t="n">
        <x:f>--AND(Q298=1,O298="HALLUCINATION")</x:f>
        <x:v>0</x:v>
      </x:c>
      <x:c r="Z298" s="43" t="n">
        <x:f>--AND(Y298=1,R298=1,S298=1)</x:f>
        <x:v>0</x:v>
      </x:c>
      <x:c r="AC298" t="str">
        <x:f>IF(OR(AA298="",AB298=""),"",--(AA298&lt;&gt;AB298))</x:f>
      </x:c>
      <x:c r="AE298" t="str">
        <x:f>IF(OR(AA298="",AB298=""),"PENDING_HUMAN",IF(AA298=AB298,AA298,IF(AD298&lt;&gt;"",AD298,"PENDING_HUMAN")))</x:f>
        <x:v>PENDING_HUMAN</x:v>
      </x:c>
      <x:c r="AF298" t="n">
        <x:f>--AND(A298&lt;&gt;"",AA298&lt;&gt;"",AB298&lt;&gt;"",OR(AA298=AB298,AD298&lt;&gt;""),IF(AE298="HALLUCINATION",U298&lt;&gt;"",TRUE))</x:f>
        <x:v>0</x:v>
      </x:c>
      <x:c r="AG298" t="n">
        <x:f>--AND(N298=1,AF298=1,OR(AE298="SUPPORTED",AE298="HALLUCINATION"))</x:f>
        <x:v>0</x:v>
      </x:c>
      <x:c r="AH298" t="n">
        <x:f>--AND(AG298=1,AE298="HALLUCINATION")</x:f>
        <x:v>0</x:v>
      </x:c>
      <x:c r="AI298" t="n">
        <x:f>--AND(Q298=1,AF298=1,AE298="HALLUCINATION")</x:f>
        <x:v>0</x:v>
      </x:c>
      <x:c r="AJ298" t="n">
        <x:f>--AND(AI298=1,R298=1,S298=1)</x:f>
        <x:v>0</x:v>
      </x:c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  <x:c r="V299" s="28"/>
      <x:c r="W299" s="43" t="n">
        <x:f>--AND(N299=1,OR(O299="SUPPORTED",O299="HALLUCINATION"))</x:f>
        <x:v>0</x:v>
      </x:c>
      <x:c r="X299" s="43" t="n">
        <x:f>--AND(W299=1,O299="HALLUCINATION")</x:f>
        <x:v>0</x:v>
      </x:c>
      <x:c r="Y299" s="43" t="n">
        <x:f>--AND(Q299=1,O299="HALLUCINATION")</x:f>
        <x:v>0</x:v>
      </x:c>
      <x:c r="Z299" s="43" t="n">
        <x:f>--AND(Y299=1,R299=1,S299=1)</x:f>
        <x:v>0</x:v>
      </x:c>
      <x:c r="AC299" t="str">
        <x:f>IF(OR(AA299="",AB299=""),"",--(AA299&lt;&gt;AB299))</x:f>
      </x:c>
      <x:c r="AE299" t="str">
        <x:f>IF(OR(AA299="",AB299=""),"PENDING_HUMAN",IF(AA299=AB299,AA299,IF(AD299&lt;&gt;"",AD299,"PENDING_HUMAN")))</x:f>
        <x:v>PENDING_HUMAN</x:v>
      </x:c>
      <x:c r="AF299" t="n">
        <x:f>--AND(A299&lt;&gt;"",AA299&lt;&gt;"",AB299&lt;&gt;"",OR(AA299=AB299,AD299&lt;&gt;""),IF(AE299="HALLUCINATION",U299&lt;&gt;"",TRUE))</x:f>
        <x:v>0</x:v>
      </x:c>
      <x:c r="AG299" t="n">
        <x:f>--AND(N299=1,AF299=1,OR(AE299="SUPPORTED",AE299="HALLUCINATION"))</x:f>
        <x:v>0</x:v>
      </x:c>
      <x:c r="AH299" t="n">
        <x:f>--AND(AG299=1,AE299="HALLUCINATION")</x:f>
        <x:v>0</x:v>
      </x:c>
      <x:c r="AI299" t="n">
        <x:f>--AND(Q299=1,AF299=1,AE299="HALLUCINATION")</x:f>
        <x:v>0</x:v>
      </x:c>
      <x:c r="AJ299" t="n">
        <x:f>--AND(AI299=1,R299=1,S299=1)</x:f>
        <x:v>0</x:v>
      </x:c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  <x:c r="V300" s="28"/>
      <x:c r="W300" s="43" t="n">
        <x:f>--AND(N300=1,OR(O300="SUPPORTED",O300="HALLUCINATION"))</x:f>
        <x:v>0</x:v>
      </x:c>
      <x:c r="X300" s="43" t="n">
        <x:f>--AND(W300=1,O300="HALLUCINATION")</x:f>
        <x:v>0</x:v>
      </x:c>
      <x:c r="Y300" s="43" t="n">
        <x:f>--AND(Q300=1,O300="HALLUCINATION")</x:f>
        <x:v>0</x:v>
      </x:c>
      <x:c r="Z300" s="43" t="n">
        <x:f>--AND(Y300=1,R300=1,S300=1)</x:f>
        <x:v>0</x:v>
      </x:c>
      <x:c r="AC300" t="str">
        <x:f>IF(OR(AA300="",AB300=""),"",--(AA300&lt;&gt;AB300))</x:f>
      </x:c>
      <x:c r="AE300" t="str">
        <x:f>IF(OR(AA300="",AB300=""),"PENDING_HUMAN",IF(AA300=AB300,AA300,IF(AD300&lt;&gt;"",AD300,"PENDING_HUMAN")))</x:f>
        <x:v>PENDING_HUMAN</x:v>
      </x:c>
      <x:c r="AF300" t="n">
        <x:f>--AND(A300&lt;&gt;"",AA300&lt;&gt;"",AB300&lt;&gt;"",OR(AA300=AB300,AD300&lt;&gt;""),IF(AE300="HALLUCINATION",U300&lt;&gt;"",TRUE))</x:f>
        <x:v>0</x:v>
      </x:c>
      <x:c r="AG300" t="n">
        <x:f>--AND(N300=1,AF300=1,OR(AE300="SUPPORTED",AE300="HALLUCINATION"))</x:f>
        <x:v>0</x:v>
      </x:c>
      <x:c r="AH300" t="n">
        <x:f>--AND(AG300=1,AE300="HALLUCINATION")</x:f>
        <x:v>0</x:v>
      </x:c>
      <x:c r="AI300" t="n">
        <x:f>--AND(Q300=1,AF300=1,AE300="HALLUCINATION")</x:f>
        <x:v>0</x:v>
      </x:c>
      <x:c r="AJ300" t="n">
        <x:f>--AND(AI300=1,R300=1,S300=1)</x:f>
        <x:v>0</x:v>
      </x:c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  <x:c r="V301" s="28"/>
      <x:c r="W301" s="43" t="n">
        <x:f>--AND(N301=1,OR(O301="SUPPORTED",O301="HALLUCINATION"))</x:f>
        <x:v>0</x:v>
      </x:c>
      <x:c r="X301" s="43" t="n">
        <x:f>--AND(W301=1,O301="HALLUCINATION")</x:f>
        <x:v>0</x:v>
      </x:c>
      <x:c r="Y301" s="43" t="n">
        <x:f>--AND(Q301=1,O301="HALLUCINATION")</x:f>
        <x:v>0</x:v>
      </x:c>
      <x:c r="Z301" s="43" t="n">
        <x:f>--AND(Y301=1,R301=1,S301=1)</x:f>
        <x:v>0</x:v>
      </x:c>
      <x:c r="AC301" t="str">
        <x:f>IF(OR(AA301="",AB301=""),"",--(AA301&lt;&gt;AB301))</x:f>
      </x:c>
      <x:c r="AE301" t="str">
        <x:f>IF(OR(AA301="",AB301=""),"PENDING_HUMAN",IF(AA301=AB301,AA301,IF(AD301&lt;&gt;"",AD301,"PENDING_HUMAN")))</x:f>
        <x:v>PENDING_HUMAN</x:v>
      </x:c>
      <x:c r="AF301" t="n">
        <x:f>--AND(A301&lt;&gt;"",AA301&lt;&gt;"",AB301&lt;&gt;"",OR(AA301=AB301,AD301&lt;&gt;""),IF(AE301="HALLUCINATION",U301&lt;&gt;"",TRUE))</x:f>
        <x:v>0</x:v>
      </x:c>
      <x:c r="AG301" t="n">
        <x:f>--AND(N301=1,AF301=1,OR(AE301="SUPPORTED",AE301="HALLUCINATION"))</x:f>
        <x:v>0</x:v>
      </x:c>
      <x:c r="AH301" t="n">
        <x:f>--AND(AG301=1,AE301="HALLUCINATION")</x:f>
        <x:v>0</x:v>
      </x:c>
      <x:c r="AI301" t="n">
        <x:f>--AND(Q301=1,AF301=1,AE301="HALLUCINATION")</x:f>
        <x:v>0</x:v>
      </x:c>
      <x:c r="AJ301" t="n">
        <x:f>--AND(AI301=1,R301=1,S301=1)</x:f>
        <x:v>0</x:v>
      </x:c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  <x:c r="V302" s="28"/>
      <x:c r="W302" s="43" t="n">
        <x:f>--AND(N302=1,OR(O302="SUPPORTED",O302="HALLUCINATION"))</x:f>
        <x:v>0</x:v>
      </x:c>
      <x:c r="X302" s="43" t="n">
        <x:f>--AND(W302=1,O302="HALLUCINATION")</x:f>
        <x:v>0</x:v>
      </x:c>
      <x:c r="Y302" s="43" t="n">
        <x:f>--AND(Q302=1,O302="HALLUCINATION")</x:f>
        <x:v>0</x:v>
      </x:c>
      <x:c r="Z302" s="43" t="n">
        <x:f>--AND(Y302=1,R302=1,S302=1)</x:f>
        <x:v>0</x:v>
      </x:c>
      <x:c r="AC302" t="str">
        <x:f>IF(OR(AA302="",AB302=""),"",--(AA302&lt;&gt;AB302))</x:f>
      </x:c>
      <x:c r="AE302" t="str">
        <x:f>IF(OR(AA302="",AB302=""),"PENDING_HUMAN",IF(AA302=AB302,AA302,IF(AD302&lt;&gt;"",AD302,"PENDING_HUMAN")))</x:f>
        <x:v>PENDING_HUMAN</x:v>
      </x:c>
      <x:c r="AF302" t="n">
        <x:f>--AND(A302&lt;&gt;"",AA302&lt;&gt;"",AB302&lt;&gt;"",OR(AA302=AB302,AD302&lt;&gt;""),IF(AE302="HALLUCINATION",U302&lt;&gt;"",TRUE))</x:f>
        <x:v>0</x:v>
      </x:c>
      <x:c r="AG302" t="n">
        <x:f>--AND(N302=1,AF302=1,OR(AE302="SUPPORTED",AE302="HALLUCINATION"))</x:f>
        <x:v>0</x:v>
      </x:c>
      <x:c r="AH302" t="n">
        <x:f>--AND(AG302=1,AE302="HALLUCINATION")</x:f>
        <x:v>0</x:v>
      </x:c>
      <x:c r="AI302" t="n">
        <x:f>--AND(Q302=1,AF302=1,AE302="HALLUCINATION")</x:f>
        <x:v>0</x:v>
      </x:c>
      <x:c r="AJ302" t="n">
        <x:f>--AND(AI302=1,R302=1,S302=1)</x:f>
        <x:v>0</x:v>
      </x:c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  <x:c r="V303" s="28"/>
      <x:c r="W303" s="43" t="n">
        <x:f>--AND(N303=1,OR(O303="SUPPORTED",O303="HALLUCINATION"))</x:f>
        <x:v>0</x:v>
      </x:c>
      <x:c r="X303" s="43" t="n">
        <x:f>--AND(W303=1,O303="HALLUCINATION")</x:f>
        <x:v>0</x:v>
      </x:c>
      <x:c r="Y303" s="43" t="n">
        <x:f>--AND(Q303=1,O303="HALLUCINATION")</x:f>
        <x:v>0</x:v>
      </x:c>
      <x:c r="Z303" s="43" t="n">
        <x:f>--AND(Y303=1,R303=1,S303=1)</x:f>
        <x:v>0</x:v>
      </x:c>
      <x:c r="AC303" t="str">
        <x:f>IF(OR(AA303="",AB303=""),"",--(AA303&lt;&gt;AB303))</x:f>
      </x:c>
      <x:c r="AE303" t="str">
        <x:f>IF(OR(AA303="",AB303=""),"PENDING_HUMAN",IF(AA303=AB303,AA303,IF(AD303&lt;&gt;"",AD303,"PENDING_HUMAN")))</x:f>
        <x:v>PENDING_HUMAN</x:v>
      </x:c>
      <x:c r="AF303" t="n">
        <x:f>--AND(A303&lt;&gt;"",AA303&lt;&gt;"",AB303&lt;&gt;"",OR(AA303=AB303,AD303&lt;&gt;""),IF(AE303="HALLUCINATION",U303&lt;&gt;"",TRUE))</x:f>
        <x:v>0</x:v>
      </x:c>
      <x:c r="AG303" t="n">
        <x:f>--AND(N303=1,AF303=1,OR(AE303="SUPPORTED",AE303="HALLUCINATION"))</x:f>
        <x:v>0</x:v>
      </x:c>
      <x:c r="AH303" t="n">
        <x:f>--AND(AG303=1,AE303="HALLUCINATION")</x:f>
        <x:v>0</x:v>
      </x:c>
      <x:c r="AI303" t="n">
        <x:f>--AND(Q303=1,AF303=1,AE303="HALLUCINATION")</x:f>
        <x:v>0</x:v>
      </x:c>
      <x:c r="AJ303" t="n">
        <x:f>--AND(AI303=1,R303=1,S303=1)</x:f>
        <x:v>0</x:v>
      </x:c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  <x:c r="V304" s="28"/>
      <x:c r="W304" s="43" t="n">
        <x:f>--AND(N304=1,OR(O304="SUPPORTED",O304="HALLUCINATION"))</x:f>
        <x:v>0</x:v>
      </x:c>
      <x:c r="X304" s="43" t="n">
        <x:f>--AND(W304=1,O304="HALLUCINATION")</x:f>
        <x:v>0</x:v>
      </x:c>
      <x:c r="Y304" s="43" t="n">
        <x:f>--AND(Q304=1,O304="HALLUCINATION")</x:f>
        <x:v>0</x:v>
      </x:c>
      <x:c r="Z304" s="43" t="n">
        <x:f>--AND(Y304=1,R304=1,S304=1)</x:f>
        <x:v>0</x:v>
      </x:c>
      <x:c r="AC304" t="str">
        <x:f>IF(OR(AA304="",AB304=""),"",--(AA304&lt;&gt;AB304))</x:f>
      </x:c>
      <x:c r="AE304" t="str">
        <x:f>IF(OR(AA304="",AB304=""),"PENDING_HUMAN",IF(AA304=AB304,AA304,IF(AD304&lt;&gt;"",AD304,"PENDING_HUMAN")))</x:f>
        <x:v>PENDING_HUMAN</x:v>
      </x:c>
      <x:c r="AF304" t="n">
        <x:f>--AND(A304&lt;&gt;"",AA304&lt;&gt;"",AB304&lt;&gt;"",OR(AA304=AB304,AD304&lt;&gt;""),IF(AE304="HALLUCINATION",U304&lt;&gt;"",TRUE))</x:f>
        <x:v>0</x:v>
      </x:c>
      <x:c r="AG304" t="n">
        <x:f>--AND(N304=1,AF304=1,OR(AE304="SUPPORTED",AE304="HALLUCINATION"))</x:f>
        <x:v>0</x:v>
      </x:c>
      <x:c r="AH304" t="n">
        <x:f>--AND(AG304=1,AE304="HALLUCINATION")</x:f>
        <x:v>0</x:v>
      </x:c>
      <x:c r="AI304" t="n">
        <x:f>--AND(Q304=1,AF304=1,AE304="HALLUCINATION")</x:f>
        <x:v>0</x:v>
      </x:c>
      <x:c r="AJ304" t="n">
        <x:f>--AND(AI304=1,R304=1,S304=1)</x:f>
        <x:v>0</x:v>
      </x:c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  <x:c r="V305" s="28"/>
      <x:c r="W305" s="43" t="n">
        <x:f>--AND(N305=1,OR(O305="SUPPORTED",O305="HALLUCINATION"))</x:f>
        <x:v>0</x:v>
      </x:c>
      <x:c r="X305" s="43" t="n">
        <x:f>--AND(W305=1,O305="HALLUCINATION")</x:f>
        <x:v>0</x:v>
      </x:c>
      <x:c r="Y305" s="43" t="n">
        <x:f>--AND(Q305=1,O305="HALLUCINATION")</x:f>
        <x:v>0</x:v>
      </x:c>
      <x:c r="Z305" s="43" t="n">
        <x:f>--AND(Y305=1,R305=1,S305=1)</x:f>
        <x:v>0</x:v>
      </x:c>
      <x:c r="AC305" t="str">
        <x:f>IF(OR(AA305="",AB305=""),"",--(AA305&lt;&gt;AB305))</x:f>
      </x:c>
      <x:c r="AE305" t="str">
        <x:f>IF(OR(AA305="",AB305=""),"PENDING_HUMAN",IF(AA305=AB305,AA305,IF(AD305&lt;&gt;"",AD305,"PENDING_HUMAN")))</x:f>
        <x:v>PENDING_HUMAN</x:v>
      </x:c>
      <x:c r="AF305" t="n">
        <x:f>--AND(A305&lt;&gt;"",AA305&lt;&gt;"",AB305&lt;&gt;"",OR(AA305=AB305,AD305&lt;&gt;""),IF(AE305="HALLUCINATION",U305&lt;&gt;"",TRUE))</x:f>
        <x:v>0</x:v>
      </x:c>
      <x:c r="AG305" t="n">
        <x:f>--AND(N305=1,AF305=1,OR(AE305="SUPPORTED",AE305="HALLUCINATION"))</x:f>
        <x:v>0</x:v>
      </x:c>
      <x:c r="AH305" t="n">
        <x:f>--AND(AG305=1,AE305="HALLUCINATION")</x:f>
        <x:v>0</x:v>
      </x:c>
      <x:c r="AI305" t="n">
        <x:f>--AND(Q305=1,AF305=1,AE305="HALLUCINATION")</x:f>
        <x:v>0</x:v>
      </x:c>
      <x:c r="AJ305" t="n">
        <x:f>--AND(AI305=1,R305=1,S305=1)</x:f>
        <x:v>0</x:v>
      </x:c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  <x:c r="V306" s="28"/>
      <x:c r="W306" s="43" t="n">
        <x:f>--AND(N306=1,OR(O306="SUPPORTED",O306="HALLUCINATION"))</x:f>
        <x:v>0</x:v>
      </x:c>
      <x:c r="X306" s="43" t="n">
        <x:f>--AND(W306=1,O306="HALLUCINATION")</x:f>
        <x:v>0</x:v>
      </x:c>
      <x:c r="Y306" s="43" t="n">
        <x:f>--AND(Q306=1,O306="HALLUCINATION")</x:f>
        <x:v>0</x:v>
      </x:c>
      <x:c r="Z306" s="43" t="n">
        <x:f>--AND(Y306=1,R306=1,S306=1)</x:f>
        <x:v>0</x:v>
      </x:c>
      <x:c r="AC306" t="str">
        <x:f>IF(OR(AA306="",AB306=""),"",--(AA306&lt;&gt;AB306))</x:f>
      </x:c>
      <x:c r="AE306" t="str">
        <x:f>IF(OR(AA306="",AB306=""),"PENDING_HUMAN",IF(AA306=AB306,AA306,IF(AD306&lt;&gt;"",AD306,"PENDING_HUMAN")))</x:f>
        <x:v>PENDING_HUMAN</x:v>
      </x:c>
      <x:c r="AF306" t="n">
        <x:f>--AND(A306&lt;&gt;"",AA306&lt;&gt;"",AB306&lt;&gt;"",OR(AA306=AB306,AD306&lt;&gt;""),IF(AE306="HALLUCINATION",U306&lt;&gt;"",TRUE))</x:f>
        <x:v>0</x:v>
      </x:c>
      <x:c r="AG306" t="n">
        <x:f>--AND(N306=1,AF306=1,OR(AE306="SUPPORTED",AE306="HALLUCINATION"))</x:f>
        <x:v>0</x:v>
      </x:c>
      <x:c r="AH306" t="n">
        <x:f>--AND(AG306=1,AE306="HALLUCINATION")</x:f>
        <x:v>0</x:v>
      </x:c>
      <x:c r="AI306" t="n">
        <x:f>--AND(Q306=1,AF306=1,AE306="HALLUCINATION")</x:f>
        <x:v>0</x:v>
      </x:c>
      <x:c r="AJ306" t="n">
        <x:f>--AND(AI306=1,R306=1,S306=1)</x:f>
        <x:v>0</x:v>
      </x:c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  <x:c r="V307" s="28"/>
      <x:c r="W307" s="43" t="n">
        <x:f>--AND(N307=1,OR(O307="SUPPORTED",O307="HALLUCINATION"))</x:f>
        <x:v>0</x:v>
      </x:c>
      <x:c r="X307" s="43" t="n">
        <x:f>--AND(W307=1,O307="HALLUCINATION")</x:f>
        <x:v>0</x:v>
      </x:c>
      <x:c r="Y307" s="43" t="n">
        <x:f>--AND(Q307=1,O307="HALLUCINATION")</x:f>
        <x:v>0</x:v>
      </x:c>
      <x:c r="Z307" s="43" t="n">
        <x:f>--AND(Y307=1,R307=1,S307=1)</x:f>
        <x:v>0</x:v>
      </x:c>
      <x:c r="AC307" t="str">
        <x:f>IF(OR(AA307="",AB307=""),"",--(AA307&lt;&gt;AB307))</x:f>
      </x:c>
      <x:c r="AE307" t="str">
        <x:f>IF(OR(AA307="",AB307=""),"PENDING_HUMAN",IF(AA307=AB307,AA307,IF(AD307&lt;&gt;"",AD307,"PENDING_HUMAN")))</x:f>
        <x:v>PENDING_HUMAN</x:v>
      </x:c>
      <x:c r="AF307" t="n">
        <x:f>--AND(A307&lt;&gt;"",AA307&lt;&gt;"",AB307&lt;&gt;"",OR(AA307=AB307,AD307&lt;&gt;""),IF(AE307="HALLUCINATION",U307&lt;&gt;"",TRUE))</x:f>
        <x:v>0</x:v>
      </x:c>
      <x:c r="AG307" t="n">
        <x:f>--AND(N307=1,AF307=1,OR(AE307="SUPPORTED",AE307="HALLUCINATION"))</x:f>
        <x:v>0</x:v>
      </x:c>
      <x:c r="AH307" t="n">
        <x:f>--AND(AG307=1,AE307="HALLUCINATION")</x:f>
        <x:v>0</x:v>
      </x:c>
      <x:c r="AI307" t="n">
        <x:f>--AND(Q307=1,AF307=1,AE307="HALLUCINATION")</x:f>
        <x:v>0</x:v>
      </x:c>
      <x:c r="AJ307" t="n">
        <x:f>--AND(AI307=1,R307=1,S307=1)</x:f>
        <x:v>0</x:v>
      </x:c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  <x:c r="V308" s="28"/>
      <x:c r="W308" s="43" t="n">
        <x:f>--AND(N308=1,OR(O308="SUPPORTED",O308="HALLUCINATION"))</x:f>
        <x:v>0</x:v>
      </x:c>
      <x:c r="X308" s="43" t="n">
        <x:f>--AND(W308=1,O308="HALLUCINATION")</x:f>
        <x:v>0</x:v>
      </x:c>
      <x:c r="Y308" s="43" t="n">
        <x:f>--AND(Q308=1,O308="HALLUCINATION")</x:f>
        <x:v>0</x:v>
      </x:c>
      <x:c r="Z308" s="43" t="n">
        <x:f>--AND(Y308=1,R308=1,S308=1)</x:f>
        <x:v>0</x:v>
      </x:c>
      <x:c r="AC308" t="str">
        <x:f>IF(OR(AA308="",AB308=""),"",--(AA308&lt;&gt;AB308))</x:f>
      </x:c>
      <x:c r="AE308" t="str">
        <x:f>IF(OR(AA308="",AB308=""),"PENDING_HUMAN",IF(AA308=AB308,AA308,IF(AD308&lt;&gt;"",AD308,"PENDING_HUMAN")))</x:f>
        <x:v>PENDING_HUMAN</x:v>
      </x:c>
      <x:c r="AF308" t="n">
        <x:f>--AND(A308&lt;&gt;"",AA308&lt;&gt;"",AB308&lt;&gt;"",OR(AA308=AB308,AD308&lt;&gt;""),IF(AE308="HALLUCINATION",U308&lt;&gt;"",TRUE))</x:f>
        <x:v>0</x:v>
      </x:c>
      <x:c r="AG308" t="n">
        <x:f>--AND(N308=1,AF308=1,OR(AE308="SUPPORTED",AE308="HALLUCINATION"))</x:f>
        <x:v>0</x:v>
      </x:c>
      <x:c r="AH308" t="n">
        <x:f>--AND(AG308=1,AE308="HALLUCINATION")</x:f>
        <x:v>0</x:v>
      </x:c>
      <x:c r="AI308" t="n">
        <x:f>--AND(Q308=1,AF308=1,AE308="HALLUCINATION")</x:f>
        <x:v>0</x:v>
      </x:c>
      <x:c r="AJ308" t="n">
        <x:f>--AND(AI308=1,R308=1,S308=1)</x:f>
        <x:v>0</x:v>
      </x:c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  <x:c r="V309" s="28"/>
      <x:c r="W309" s="43" t="n">
        <x:f>--AND(N309=1,OR(O309="SUPPORTED",O309="HALLUCINATION"))</x:f>
        <x:v>0</x:v>
      </x:c>
      <x:c r="X309" s="43" t="n">
        <x:f>--AND(W309=1,O309="HALLUCINATION")</x:f>
        <x:v>0</x:v>
      </x:c>
      <x:c r="Y309" s="43" t="n">
        <x:f>--AND(Q309=1,O309="HALLUCINATION")</x:f>
        <x:v>0</x:v>
      </x:c>
      <x:c r="Z309" s="43" t="n">
        <x:f>--AND(Y309=1,R309=1,S309=1)</x:f>
        <x:v>0</x:v>
      </x:c>
      <x:c r="AC309" t="str">
        <x:f>IF(OR(AA309="",AB309=""),"",--(AA309&lt;&gt;AB309))</x:f>
      </x:c>
      <x:c r="AE309" t="str">
        <x:f>IF(OR(AA309="",AB309=""),"PENDING_HUMAN",IF(AA309=AB309,AA309,IF(AD309&lt;&gt;"",AD309,"PENDING_HUMAN")))</x:f>
        <x:v>PENDING_HUMAN</x:v>
      </x:c>
      <x:c r="AF309" t="n">
        <x:f>--AND(A309&lt;&gt;"",AA309&lt;&gt;"",AB309&lt;&gt;"",OR(AA309=AB309,AD309&lt;&gt;""),IF(AE309="HALLUCINATION",U309&lt;&gt;"",TRUE))</x:f>
        <x:v>0</x:v>
      </x:c>
      <x:c r="AG309" t="n">
        <x:f>--AND(N309=1,AF309=1,OR(AE309="SUPPORTED",AE309="HALLUCINATION"))</x:f>
        <x:v>0</x:v>
      </x:c>
      <x:c r="AH309" t="n">
        <x:f>--AND(AG309=1,AE309="HALLUCINATION")</x:f>
        <x:v>0</x:v>
      </x:c>
      <x:c r="AI309" t="n">
        <x:f>--AND(Q309=1,AF309=1,AE309="HALLUCINATION")</x:f>
        <x:v>0</x:v>
      </x:c>
      <x:c r="AJ309" t="n">
        <x:f>--AND(AI309=1,R309=1,S309=1)</x:f>
        <x:v>0</x:v>
      </x:c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  <x:c r="V310" s="28"/>
      <x:c r="W310" s="43" t="n">
        <x:f>--AND(N310=1,OR(O310="SUPPORTED",O310="HALLUCINATION"))</x:f>
        <x:v>0</x:v>
      </x:c>
      <x:c r="X310" s="43" t="n">
        <x:f>--AND(W310=1,O310="HALLUCINATION")</x:f>
        <x:v>0</x:v>
      </x:c>
      <x:c r="Y310" s="43" t="n">
        <x:f>--AND(Q310=1,O310="HALLUCINATION")</x:f>
        <x:v>0</x:v>
      </x:c>
      <x:c r="Z310" s="43" t="n">
        <x:f>--AND(Y310=1,R310=1,S310=1)</x:f>
        <x:v>0</x:v>
      </x:c>
      <x:c r="AC310" t="str">
        <x:f>IF(OR(AA310="",AB310=""),"",--(AA310&lt;&gt;AB310))</x:f>
      </x:c>
      <x:c r="AE310" t="str">
        <x:f>IF(OR(AA310="",AB310=""),"PENDING_HUMAN",IF(AA310=AB310,AA310,IF(AD310&lt;&gt;"",AD310,"PENDING_HUMAN")))</x:f>
        <x:v>PENDING_HUMAN</x:v>
      </x:c>
      <x:c r="AF310" t="n">
        <x:f>--AND(A310&lt;&gt;"",AA310&lt;&gt;"",AB310&lt;&gt;"",OR(AA310=AB310,AD310&lt;&gt;""),IF(AE310="HALLUCINATION",U310&lt;&gt;"",TRUE))</x:f>
        <x:v>0</x:v>
      </x:c>
      <x:c r="AG310" t="n">
        <x:f>--AND(N310=1,AF310=1,OR(AE310="SUPPORTED",AE310="HALLUCINATION"))</x:f>
        <x:v>0</x:v>
      </x:c>
      <x:c r="AH310" t="n">
        <x:f>--AND(AG310=1,AE310="HALLUCINATION")</x:f>
        <x:v>0</x:v>
      </x:c>
      <x:c r="AI310" t="n">
        <x:f>--AND(Q310=1,AF310=1,AE310="HALLUCINATION")</x:f>
        <x:v>0</x:v>
      </x:c>
      <x:c r="AJ310" t="n">
        <x:f>--AND(AI310=1,R310=1,S310=1)</x:f>
        <x:v>0</x:v>
      </x:c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  <x:c r="V311" s="28"/>
      <x:c r="W311" s="43" t="n">
        <x:f>--AND(N311=1,OR(O311="SUPPORTED",O311="HALLUCINATION"))</x:f>
        <x:v>0</x:v>
      </x:c>
      <x:c r="X311" s="43" t="n">
        <x:f>--AND(W311=1,O311="HALLUCINATION")</x:f>
        <x:v>0</x:v>
      </x:c>
      <x:c r="Y311" s="43" t="n">
        <x:f>--AND(Q311=1,O311="HALLUCINATION")</x:f>
        <x:v>0</x:v>
      </x:c>
      <x:c r="Z311" s="43" t="n">
        <x:f>--AND(Y311=1,R311=1,S311=1)</x:f>
        <x:v>0</x:v>
      </x:c>
      <x:c r="AC311" t="str">
        <x:f>IF(OR(AA311="",AB311=""),"",--(AA311&lt;&gt;AB311))</x:f>
      </x:c>
      <x:c r="AE311" t="str">
        <x:f>IF(OR(AA311="",AB311=""),"PENDING_HUMAN",IF(AA311=AB311,AA311,IF(AD311&lt;&gt;"",AD311,"PENDING_HUMAN")))</x:f>
        <x:v>PENDING_HUMAN</x:v>
      </x:c>
      <x:c r="AF311" t="n">
        <x:f>--AND(A311&lt;&gt;"",AA311&lt;&gt;"",AB311&lt;&gt;"",OR(AA311=AB311,AD311&lt;&gt;""),IF(AE311="HALLUCINATION",U311&lt;&gt;"",TRUE))</x:f>
        <x:v>0</x:v>
      </x:c>
      <x:c r="AG311" t="n">
        <x:f>--AND(N311=1,AF311=1,OR(AE311="SUPPORTED",AE311="HALLUCINATION"))</x:f>
        <x:v>0</x:v>
      </x:c>
      <x:c r="AH311" t="n">
        <x:f>--AND(AG311=1,AE311="HALLUCINATION")</x:f>
        <x:v>0</x:v>
      </x:c>
      <x:c r="AI311" t="n">
        <x:f>--AND(Q311=1,AF311=1,AE311="HALLUCINATION")</x:f>
        <x:v>0</x:v>
      </x:c>
      <x:c r="AJ311" t="n">
        <x:f>--AND(AI311=1,R311=1,S311=1)</x:f>
        <x:v>0</x:v>
      </x:c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  <x:c r="V312" s="28"/>
      <x:c r="W312" s="43" t="n">
        <x:f>--AND(N312=1,OR(O312="SUPPORTED",O312="HALLUCINATION"))</x:f>
        <x:v>0</x:v>
      </x:c>
      <x:c r="X312" s="43" t="n">
        <x:f>--AND(W312=1,O312="HALLUCINATION")</x:f>
        <x:v>0</x:v>
      </x:c>
      <x:c r="Y312" s="43" t="n">
        <x:f>--AND(Q312=1,O312="HALLUCINATION")</x:f>
        <x:v>0</x:v>
      </x:c>
      <x:c r="Z312" s="43" t="n">
        <x:f>--AND(Y312=1,R312=1,S312=1)</x:f>
        <x:v>0</x:v>
      </x:c>
      <x:c r="AC312" t="str">
        <x:f>IF(OR(AA312="",AB312=""),"",--(AA312&lt;&gt;AB312))</x:f>
      </x:c>
      <x:c r="AE312" t="str">
        <x:f>IF(OR(AA312="",AB312=""),"PENDING_HUMAN",IF(AA312=AB312,AA312,IF(AD312&lt;&gt;"",AD312,"PENDING_HUMAN")))</x:f>
        <x:v>PENDING_HUMAN</x:v>
      </x:c>
      <x:c r="AF312" t="n">
        <x:f>--AND(A312&lt;&gt;"",AA312&lt;&gt;"",AB312&lt;&gt;"",OR(AA312=AB312,AD312&lt;&gt;""),IF(AE312="HALLUCINATION",U312&lt;&gt;"",TRUE))</x:f>
        <x:v>0</x:v>
      </x:c>
      <x:c r="AG312" t="n">
        <x:f>--AND(N312=1,AF312=1,OR(AE312="SUPPORTED",AE312="HALLUCINATION"))</x:f>
        <x:v>0</x:v>
      </x:c>
      <x:c r="AH312" t="n">
        <x:f>--AND(AG312=1,AE312="HALLUCINATION")</x:f>
        <x:v>0</x:v>
      </x:c>
      <x:c r="AI312" t="n">
        <x:f>--AND(Q312=1,AF312=1,AE312="HALLUCINATION")</x:f>
        <x:v>0</x:v>
      </x:c>
      <x:c r="AJ312" t="n">
        <x:f>--AND(AI312=1,R312=1,S312=1)</x:f>
        <x:v>0</x:v>
      </x:c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  <x:c r="V313" s="28"/>
      <x:c r="W313" s="43" t="n">
        <x:f>--AND(N313=1,OR(O313="SUPPORTED",O313="HALLUCINATION"))</x:f>
        <x:v>0</x:v>
      </x:c>
      <x:c r="X313" s="43" t="n">
        <x:f>--AND(W313=1,O313="HALLUCINATION")</x:f>
        <x:v>0</x:v>
      </x:c>
      <x:c r="Y313" s="43" t="n">
        <x:f>--AND(Q313=1,O313="HALLUCINATION")</x:f>
        <x:v>0</x:v>
      </x:c>
      <x:c r="Z313" s="43" t="n">
        <x:f>--AND(Y313=1,R313=1,S313=1)</x:f>
        <x:v>0</x:v>
      </x:c>
      <x:c r="AC313" t="str">
        <x:f>IF(OR(AA313="",AB313=""),"",--(AA313&lt;&gt;AB313))</x:f>
      </x:c>
      <x:c r="AE313" t="str">
        <x:f>IF(OR(AA313="",AB313=""),"PENDING_HUMAN",IF(AA313=AB313,AA313,IF(AD313&lt;&gt;"",AD313,"PENDING_HUMAN")))</x:f>
        <x:v>PENDING_HUMAN</x:v>
      </x:c>
      <x:c r="AF313" t="n">
        <x:f>--AND(A313&lt;&gt;"",AA313&lt;&gt;"",AB313&lt;&gt;"",OR(AA313=AB313,AD313&lt;&gt;""),IF(AE313="HALLUCINATION",U313&lt;&gt;"",TRUE))</x:f>
        <x:v>0</x:v>
      </x:c>
      <x:c r="AG313" t="n">
        <x:f>--AND(N313=1,AF313=1,OR(AE313="SUPPORTED",AE313="HALLUCINATION"))</x:f>
        <x:v>0</x:v>
      </x:c>
      <x:c r="AH313" t="n">
        <x:f>--AND(AG313=1,AE313="HALLUCINATION")</x:f>
        <x:v>0</x:v>
      </x:c>
      <x:c r="AI313" t="n">
        <x:f>--AND(Q313=1,AF313=1,AE313="HALLUCINATION")</x:f>
        <x:v>0</x:v>
      </x:c>
      <x:c r="AJ313" t="n">
        <x:f>--AND(AI313=1,R313=1,S313=1)</x:f>
        <x:v>0</x:v>
      </x:c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  <x:c r="V314" s="28"/>
      <x:c r="W314" s="43" t="n">
        <x:f>--AND(N314=1,OR(O314="SUPPORTED",O314="HALLUCINATION"))</x:f>
        <x:v>0</x:v>
      </x:c>
      <x:c r="X314" s="43" t="n">
        <x:f>--AND(W314=1,O314="HALLUCINATION")</x:f>
        <x:v>0</x:v>
      </x:c>
      <x:c r="Y314" s="43" t="n">
        <x:f>--AND(Q314=1,O314="HALLUCINATION")</x:f>
        <x:v>0</x:v>
      </x:c>
      <x:c r="Z314" s="43" t="n">
        <x:f>--AND(Y314=1,R314=1,S314=1)</x:f>
        <x:v>0</x:v>
      </x:c>
      <x:c r="AC314" t="str">
        <x:f>IF(OR(AA314="",AB314=""),"",--(AA314&lt;&gt;AB314))</x:f>
      </x:c>
      <x:c r="AE314" t="str">
        <x:f>IF(OR(AA314="",AB314=""),"PENDING_HUMAN",IF(AA314=AB314,AA314,IF(AD314&lt;&gt;"",AD314,"PENDING_HUMAN")))</x:f>
        <x:v>PENDING_HUMAN</x:v>
      </x:c>
      <x:c r="AF314" t="n">
        <x:f>--AND(A314&lt;&gt;"",AA314&lt;&gt;"",AB314&lt;&gt;"",OR(AA314=AB314,AD314&lt;&gt;""),IF(AE314="HALLUCINATION",U314&lt;&gt;"",TRUE))</x:f>
        <x:v>0</x:v>
      </x:c>
      <x:c r="AG314" t="n">
        <x:f>--AND(N314=1,AF314=1,OR(AE314="SUPPORTED",AE314="HALLUCINATION"))</x:f>
        <x:v>0</x:v>
      </x:c>
      <x:c r="AH314" t="n">
        <x:f>--AND(AG314=1,AE314="HALLUCINATION")</x:f>
        <x:v>0</x:v>
      </x:c>
      <x:c r="AI314" t="n">
        <x:f>--AND(Q314=1,AF314=1,AE314="HALLUCINATION")</x:f>
        <x:v>0</x:v>
      </x:c>
      <x:c r="AJ314" t="n">
        <x:f>--AND(AI314=1,R314=1,S314=1)</x:f>
        <x:v>0</x:v>
      </x:c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  <x:c r="V315" s="28"/>
      <x:c r="W315" s="43" t="n">
        <x:f>--AND(N315=1,OR(O315="SUPPORTED",O315="HALLUCINATION"))</x:f>
        <x:v>0</x:v>
      </x:c>
      <x:c r="X315" s="43" t="n">
        <x:f>--AND(W315=1,O315="HALLUCINATION")</x:f>
        <x:v>0</x:v>
      </x:c>
      <x:c r="Y315" s="43" t="n">
        <x:f>--AND(Q315=1,O315="HALLUCINATION")</x:f>
        <x:v>0</x:v>
      </x:c>
      <x:c r="Z315" s="43" t="n">
        <x:f>--AND(Y315=1,R315=1,S315=1)</x:f>
        <x:v>0</x:v>
      </x:c>
      <x:c r="AC315" t="str">
        <x:f>IF(OR(AA315="",AB315=""),"",--(AA315&lt;&gt;AB315))</x:f>
      </x:c>
      <x:c r="AE315" t="str">
        <x:f>IF(OR(AA315="",AB315=""),"PENDING_HUMAN",IF(AA315=AB315,AA315,IF(AD315&lt;&gt;"",AD315,"PENDING_HUMAN")))</x:f>
        <x:v>PENDING_HUMAN</x:v>
      </x:c>
      <x:c r="AF315" t="n">
        <x:f>--AND(A315&lt;&gt;"",AA315&lt;&gt;"",AB315&lt;&gt;"",OR(AA315=AB315,AD315&lt;&gt;""),IF(AE315="HALLUCINATION",U315&lt;&gt;"",TRUE))</x:f>
        <x:v>0</x:v>
      </x:c>
      <x:c r="AG315" t="n">
        <x:f>--AND(N315=1,AF315=1,OR(AE315="SUPPORTED",AE315="HALLUCINATION"))</x:f>
        <x:v>0</x:v>
      </x:c>
      <x:c r="AH315" t="n">
        <x:f>--AND(AG315=1,AE315="HALLUCINATION")</x:f>
        <x:v>0</x:v>
      </x:c>
      <x:c r="AI315" t="n">
        <x:f>--AND(Q315=1,AF315=1,AE315="HALLUCINATION")</x:f>
        <x:v>0</x:v>
      </x:c>
      <x:c r="AJ315" t="n">
        <x:f>--AND(AI315=1,R315=1,S315=1)</x:f>
        <x:v>0</x:v>
      </x:c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  <x:c r="V316" s="28"/>
      <x:c r="W316" s="43" t="n">
        <x:f>--AND(N316=1,OR(O316="SUPPORTED",O316="HALLUCINATION"))</x:f>
        <x:v>0</x:v>
      </x:c>
      <x:c r="X316" s="43" t="n">
        <x:f>--AND(W316=1,O316="HALLUCINATION")</x:f>
        <x:v>0</x:v>
      </x:c>
      <x:c r="Y316" s="43" t="n">
        <x:f>--AND(Q316=1,O316="HALLUCINATION")</x:f>
        <x:v>0</x:v>
      </x:c>
      <x:c r="Z316" s="43" t="n">
        <x:f>--AND(Y316=1,R316=1,S316=1)</x:f>
        <x:v>0</x:v>
      </x:c>
      <x:c r="AC316" t="str">
        <x:f>IF(OR(AA316="",AB316=""),"",--(AA316&lt;&gt;AB316))</x:f>
      </x:c>
      <x:c r="AE316" t="str">
        <x:f>IF(OR(AA316="",AB316=""),"PENDING_HUMAN",IF(AA316=AB316,AA316,IF(AD316&lt;&gt;"",AD316,"PENDING_HUMAN")))</x:f>
        <x:v>PENDING_HUMAN</x:v>
      </x:c>
      <x:c r="AF316" t="n">
        <x:f>--AND(A316&lt;&gt;"",AA316&lt;&gt;"",AB316&lt;&gt;"",OR(AA316=AB316,AD316&lt;&gt;""),IF(AE316="HALLUCINATION",U316&lt;&gt;"",TRUE))</x:f>
        <x:v>0</x:v>
      </x:c>
      <x:c r="AG316" t="n">
        <x:f>--AND(N316=1,AF316=1,OR(AE316="SUPPORTED",AE316="HALLUCINATION"))</x:f>
        <x:v>0</x:v>
      </x:c>
      <x:c r="AH316" t="n">
        <x:f>--AND(AG316=1,AE316="HALLUCINATION")</x:f>
        <x:v>0</x:v>
      </x:c>
      <x:c r="AI316" t="n">
        <x:f>--AND(Q316=1,AF316=1,AE316="HALLUCINATION")</x:f>
        <x:v>0</x:v>
      </x:c>
      <x:c r="AJ316" t="n">
        <x:f>--AND(AI316=1,R316=1,S316=1)</x:f>
        <x:v>0</x:v>
      </x:c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  <x:c r="V317" s="28"/>
      <x:c r="W317" s="43" t="n">
        <x:f>--AND(N317=1,OR(O317="SUPPORTED",O317="HALLUCINATION"))</x:f>
        <x:v>0</x:v>
      </x:c>
      <x:c r="X317" s="43" t="n">
        <x:f>--AND(W317=1,O317="HALLUCINATION")</x:f>
        <x:v>0</x:v>
      </x:c>
      <x:c r="Y317" s="43" t="n">
        <x:f>--AND(Q317=1,O317="HALLUCINATION")</x:f>
        <x:v>0</x:v>
      </x:c>
      <x:c r="Z317" s="43" t="n">
        <x:f>--AND(Y317=1,R317=1,S317=1)</x:f>
        <x:v>0</x:v>
      </x:c>
      <x:c r="AC317" t="str">
        <x:f>IF(OR(AA317="",AB317=""),"",--(AA317&lt;&gt;AB317))</x:f>
      </x:c>
      <x:c r="AE317" t="str">
        <x:f>IF(OR(AA317="",AB317=""),"PENDING_HUMAN",IF(AA317=AB317,AA317,IF(AD317&lt;&gt;"",AD317,"PENDING_HUMAN")))</x:f>
        <x:v>PENDING_HUMAN</x:v>
      </x:c>
      <x:c r="AF317" t="n">
        <x:f>--AND(A317&lt;&gt;"",AA317&lt;&gt;"",AB317&lt;&gt;"",OR(AA317=AB317,AD317&lt;&gt;""),IF(AE317="HALLUCINATION",U317&lt;&gt;"",TRUE))</x:f>
        <x:v>0</x:v>
      </x:c>
      <x:c r="AG317" t="n">
        <x:f>--AND(N317=1,AF317=1,OR(AE317="SUPPORTED",AE317="HALLUCINATION"))</x:f>
        <x:v>0</x:v>
      </x:c>
      <x:c r="AH317" t="n">
        <x:f>--AND(AG317=1,AE317="HALLUCINATION")</x:f>
        <x:v>0</x:v>
      </x:c>
      <x:c r="AI317" t="n">
        <x:f>--AND(Q317=1,AF317=1,AE317="HALLUCINATION")</x:f>
        <x:v>0</x:v>
      </x:c>
      <x:c r="AJ317" t="n">
        <x:f>--AND(AI317=1,R317=1,S317=1)</x:f>
        <x:v>0</x:v>
      </x:c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  <x:c r="V318" s="28"/>
      <x:c r="W318" s="43" t="n">
        <x:f>--AND(N318=1,OR(O318="SUPPORTED",O318="HALLUCINATION"))</x:f>
        <x:v>0</x:v>
      </x:c>
      <x:c r="X318" s="43" t="n">
        <x:f>--AND(W318=1,O318="HALLUCINATION")</x:f>
        <x:v>0</x:v>
      </x:c>
      <x:c r="Y318" s="43" t="n">
        <x:f>--AND(Q318=1,O318="HALLUCINATION")</x:f>
        <x:v>0</x:v>
      </x:c>
      <x:c r="Z318" s="43" t="n">
        <x:f>--AND(Y318=1,R318=1,S318=1)</x:f>
        <x:v>0</x:v>
      </x:c>
      <x:c r="AC318" t="str">
        <x:f>IF(OR(AA318="",AB318=""),"",--(AA318&lt;&gt;AB318))</x:f>
      </x:c>
      <x:c r="AE318" t="str">
        <x:f>IF(OR(AA318="",AB318=""),"PENDING_HUMAN",IF(AA318=AB318,AA318,IF(AD318&lt;&gt;"",AD318,"PENDING_HUMAN")))</x:f>
        <x:v>PENDING_HUMAN</x:v>
      </x:c>
      <x:c r="AF318" t="n">
        <x:f>--AND(A318&lt;&gt;"",AA318&lt;&gt;"",AB318&lt;&gt;"",OR(AA318=AB318,AD318&lt;&gt;""),IF(AE318="HALLUCINATION",U318&lt;&gt;"",TRUE))</x:f>
        <x:v>0</x:v>
      </x:c>
      <x:c r="AG318" t="n">
        <x:f>--AND(N318=1,AF318=1,OR(AE318="SUPPORTED",AE318="HALLUCINATION"))</x:f>
        <x:v>0</x:v>
      </x:c>
      <x:c r="AH318" t="n">
        <x:f>--AND(AG318=1,AE318="HALLUCINATION")</x:f>
        <x:v>0</x:v>
      </x:c>
      <x:c r="AI318" t="n">
        <x:f>--AND(Q318=1,AF318=1,AE318="HALLUCINATION")</x:f>
        <x:v>0</x:v>
      </x:c>
      <x:c r="AJ318" t="n">
        <x:f>--AND(AI318=1,R318=1,S318=1)</x:f>
        <x:v>0</x:v>
      </x:c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  <x:c r="V319" s="28"/>
      <x:c r="W319" s="43" t="n">
        <x:f>--AND(N319=1,OR(O319="SUPPORTED",O319="HALLUCINATION"))</x:f>
        <x:v>0</x:v>
      </x:c>
      <x:c r="X319" s="43" t="n">
        <x:f>--AND(W319=1,O319="HALLUCINATION")</x:f>
        <x:v>0</x:v>
      </x:c>
      <x:c r="Y319" s="43" t="n">
        <x:f>--AND(Q319=1,O319="HALLUCINATION")</x:f>
        <x:v>0</x:v>
      </x:c>
      <x:c r="Z319" s="43" t="n">
        <x:f>--AND(Y319=1,R319=1,S319=1)</x:f>
        <x:v>0</x:v>
      </x:c>
      <x:c r="AC319" t="str">
        <x:f>IF(OR(AA319="",AB319=""),"",--(AA319&lt;&gt;AB319))</x:f>
      </x:c>
      <x:c r="AE319" t="str">
        <x:f>IF(OR(AA319="",AB319=""),"PENDING_HUMAN",IF(AA319=AB319,AA319,IF(AD319&lt;&gt;"",AD319,"PENDING_HUMAN")))</x:f>
        <x:v>PENDING_HUMAN</x:v>
      </x:c>
      <x:c r="AF319" t="n">
        <x:f>--AND(A319&lt;&gt;"",AA319&lt;&gt;"",AB319&lt;&gt;"",OR(AA319=AB319,AD319&lt;&gt;""),IF(AE319="HALLUCINATION",U319&lt;&gt;"",TRUE))</x:f>
        <x:v>0</x:v>
      </x:c>
      <x:c r="AG319" t="n">
        <x:f>--AND(N319=1,AF319=1,OR(AE319="SUPPORTED",AE319="HALLUCINATION"))</x:f>
        <x:v>0</x:v>
      </x:c>
      <x:c r="AH319" t="n">
        <x:f>--AND(AG319=1,AE319="HALLUCINATION")</x:f>
        <x:v>0</x:v>
      </x:c>
      <x:c r="AI319" t="n">
        <x:f>--AND(Q319=1,AF319=1,AE319="HALLUCINATION")</x:f>
        <x:v>0</x:v>
      </x:c>
      <x:c r="AJ319" t="n">
        <x:f>--AND(AI319=1,R319=1,S319=1)</x:f>
        <x:v>0</x:v>
      </x:c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  <x:c r="V320" s="28"/>
      <x:c r="W320" s="43" t="n">
        <x:f>--AND(N320=1,OR(O320="SUPPORTED",O320="HALLUCINATION"))</x:f>
        <x:v>0</x:v>
      </x:c>
      <x:c r="X320" s="43" t="n">
        <x:f>--AND(W320=1,O320="HALLUCINATION")</x:f>
        <x:v>0</x:v>
      </x:c>
      <x:c r="Y320" s="43" t="n">
        <x:f>--AND(Q320=1,O320="HALLUCINATION")</x:f>
        <x:v>0</x:v>
      </x:c>
      <x:c r="Z320" s="43" t="n">
        <x:f>--AND(Y320=1,R320=1,S320=1)</x:f>
        <x:v>0</x:v>
      </x:c>
      <x:c r="AC320" t="str">
        <x:f>IF(OR(AA320="",AB320=""),"",--(AA320&lt;&gt;AB320))</x:f>
      </x:c>
      <x:c r="AE320" t="str">
        <x:f>IF(OR(AA320="",AB320=""),"PENDING_HUMAN",IF(AA320=AB320,AA320,IF(AD320&lt;&gt;"",AD320,"PENDING_HUMAN")))</x:f>
        <x:v>PENDING_HUMAN</x:v>
      </x:c>
      <x:c r="AF320" t="n">
        <x:f>--AND(A320&lt;&gt;"",AA320&lt;&gt;"",AB320&lt;&gt;"",OR(AA320=AB320,AD320&lt;&gt;""),IF(AE320="HALLUCINATION",U320&lt;&gt;"",TRUE))</x:f>
        <x:v>0</x:v>
      </x:c>
      <x:c r="AG320" t="n">
        <x:f>--AND(N320=1,AF320=1,OR(AE320="SUPPORTED",AE320="HALLUCINATION"))</x:f>
        <x:v>0</x:v>
      </x:c>
      <x:c r="AH320" t="n">
        <x:f>--AND(AG320=1,AE320="HALLUCINATION")</x:f>
        <x:v>0</x:v>
      </x:c>
      <x:c r="AI320" t="n">
        <x:f>--AND(Q320=1,AF320=1,AE320="HALLUCINATION")</x:f>
        <x:v>0</x:v>
      </x:c>
      <x:c r="AJ320" t="n">
        <x:f>--AND(AI320=1,R320=1,S320=1)</x:f>
        <x:v>0</x:v>
      </x:c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  <x:c r="V321" s="28"/>
      <x:c r="W321" s="43" t="n">
        <x:f>--AND(N321=1,OR(O321="SUPPORTED",O321="HALLUCINATION"))</x:f>
        <x:v>0</x:v>
      </x:c>
      <x:c r="X321" s="43" t="n">
        <x:f>--AND(W321=1,O321="HALLUCINATION")</x:f>
        <x:v>0</x:v>
      </x:c>
      <x:c r="Y321" s="43" t="n">
        <x:f>--AND(Q321=1,O321="HALLUCINATION")</x:f>
        <x:v>0</x:v>
      </x:c>
      <x:c r="Z321" s="43" t="n">
        <x:f>--AND(Y321=1,R321=1,S321=1)</x:f>
        <x:v>0</x:v>
      </x:c>
      <x:c r="AC321" t="str">
        <x:f>IF(OR(AA321="",AB321=""),"",--(AA321&lt;&gt;AB321))</x:f>
      </x:c>
      <x:c r="AE321" t="str">
        <x:f>IF(OR(AA321="",AB321=""),"PENDING_HUMAN",IF(AA321=AB321,AA321,IF(AD321&lt;&gt;"",AD321,"PENDING_HUMAN")))</x:f>
        <x:v>PENDING_HUMAN</x:v>
      </x:c>
      <x:c r="AF321" t="n">
        <x:f>--AND(A321&lt;&gt;"",AA321&lt;&gt;"",AB321&lt;&gt;"",OR(AA321=AB321,AD321&lt;&gt;""),IF(AE321="HALLUCINATION",U321&lt;&gt;"",TRUE))</x:f>
        <x:v>0</x:v>
      </x:c>
      <x:c r="AG321" t="n">
        <x:f>--AND(N321=1,AF321=1,OR(AE321="SUPPORTED",AE321="HALLUCINATION"))</x:f>
        <x:v>0</x:v>
      </x:c>
      <x:c r="AH321" t="n">
        <x:f>--AND(AG321=1,AE321="HALLUCINATION")</x:f>
        <x:v>0</x:v>
      </x:c>
      <x:c r="AI321" t="n">
        <x:f>--AND(Q321=1,AF321=1,AE321="HALLUCINATION")</x:f>
        <x:v>0</x:v>
      </x:c>
      <x:c r="AJ321" t="n">
        <x:f>--AND(AI321=1,R321=1,S321=1)</x:f>
        <x:v>0</x:v>
      </x:c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  <x:c r="V322" s="28"/>
      <x:c r="W322" s="43" t="n">
        <x:f>--AND(N322=1,OR(O322="SUPPORTED",O322="HALLUCINATION"))</x:f>
        <x:v>0</x:v>
      </x:c>
      <x:c r="X322" s="43" t="n">
        <x:f>--AND(W322=1,O322="HALLUCINATION")</x:f>
        <x:v>0</x:v>
      </x:c>
      <x:c r="Y322" s="43" t="n">
        <x:f>--AND(Q322=1,O322="HALLUCINATION")</x:f>
        <x:v>0</x:v>
      </x:c>
      <x:c r="Z322" s="43" t="n">
        <x:f>--AND(Y322=1,R322=1,S322=1)</x:f>
        <x:v>0</x:v>
      </x:c>
      <x:c r="AC322" t="str">
        <x:f>IF(OR(AA322="",AB322=""),"",--(AA322&lt;&gt;AB322))</x:f>
      </x:c>
      <x:c r="AE322" t="str">
        <x:f>IF(OR(AA322="",AB322=""),"PENDING_HUMAN",IF(AA322=AB322,AA322,IF(AD322&lt;&gt;"",AD322,"PENDING_HUMAN")))</x:f>
        <x:v>PENDING_HUMAN</x:v>
      </x:c>
      <x:c r="AF322" t="n">
        <x:f>--AND(A322&lt;&gt;"",AA322&lt;&gt;"",AB322&lt;&gt;"",OR(AA322=AB322,AD322&lt;&gt;""),IF(AE322="HALLUCINATION",U322&lt;&gt;"",TRUE))</x:f>
        <x:v>0</x:v>
      </x:c>
      <x:c r="AG322" t="n">
        <x:f>--AND(N322=1,AF322=1,OR(AE322="SUPPORTED",AE322="HALLUCINATION"))</x:f>
        <x:v>0</x:v>
      </x:c>
      <x:c r="AH322" t="n">
        <x:f>--AND(AG322=1,AE322="HALLUCINATION")</x:f>
        <x:v>0</x:v>
      </x:c>
      <x:c r="AI322" t="n">
        <x:f>--AND(Q322=1,AF322=1,AE322="HALLUCINATION")</x:f>
        <x:v>0</x:v>
      </x:c>
      <x:c r="AJ322" t="n">
        <x:f>--AND(AI322=1,R322=1,S322=1)</x:f>
        <x:v>0</x:v>
      </x:c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  <x:c r="V323" s="28"/>
      <x:c r="W323" s="43" t="n">
        <x:f>--AND(N323=1,OR(O323="SUPPORTED",O323="HALLUCINATION"))</x:f>
        <x:v>0</x:v>
      </x:c>
      <x:c r="X323" s="43" t="n">
        <x:f>--AND(W323=1,O323="HALLUCINATION")</x:f>
        <x:v>0</x:v>
      </x:c>
      <x:c r="Y323" s="43" t="n">
        <x:f>--AND(Q323=1,O323="HALLUCINATION")</x:f>
        <x:v>0</x:v>
      </x:c>
      <x:c r="Z323" s="43" t="n">
        <x:f>--AND(Y323=1,R323=1,S323=1)</x:f>
        <x:v>0</x:v>
      </x:c>
      <x:c r="AC323" t="str">
        <x:f>IF(OR(AA323="",AB323=""),"",--(AA323&lt;&gt;AB323))</x:f>
      </x:c>
      <x:c r="AE323" t="str">
        <x:f>IF(OR(AA323="",AB323=""),"PENDING_HUMAN",IF(AA323=AB323,AA323,IF(AD323&lt;&gt;"",AD323,"PENDING_HUMAN")))</x:f>
        <x:v>PENDING_HUMAN</x:v>
      </x:c>
      <x:c r="AF323" t="n">
        <x:f>--AND(A323&lt;&gt;"",AA323&lt;&gt;"",AB323&lt;&gt;"",OR(AA323=AB323,AD323&lt;&gt;""),IF(AE323="HALLUCINATION",U323&lt;&gt;"",TRUE))</x:f>
        <x:v>0</x:v>
      </x:c>
      <x:c r="AG323" t="n">
        <x:f>--AND(N323=1,AF323=1,OR(AE323="SUPPORTED",AE323="HALLUCINATION"))</x:f>
        <x:v>0</x:v>
      </x:c>
      <x:c r="AH323" t="n">
        <x:f>--AND(AG323=1,AE323="HALLUCINATION")</x:f>
        <x:v>0</x:v>
      </x:c>
      <x:c r="AI323" t="n">
        <x:f>--AND(Q323=1,AF323=1,AE323="HALLUCINATION")</x:f>
        <x:v>0</x:v>
      </x:c>
      <x:c r="AJ323" t="n">
        <x:f>--AND(AI323=1,R323=1,S323=1)</x:f>
        <x:v>0</x:v>
      </x:c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  <x:c r="V324" s="28"/>
      <x:c r="W324" s="43" t="n">
        <x:f>--AND(N324=1,OR(O324="SUPPORTED",O324="HALLUCINATION"))</x:f>
        <x:v>0</x:v>
      </x:c>
      <x:c r="X324" s="43" t="n">
        <x:f>--AND(W324=1,O324="HALLUCINATION")</x:f>
        <x:v>0</x:v>
      </x:c>
      <x:c r="Y324" s="43" t="n">
        <x:f>--AND(Q324=1,O324="HALLUCINATION")</x:f>
        <x:v>0</x:v>
      </x:c>
      <x:c r="Z324" s="43" t="n">
        <x:f>--AND(Y324=1,R324=1,S324=1)</x:f>
        <x:v>0</x:v>
      </x:c>
      <x:c r="AC324" t="str">
        <x:f>IF(OR(AA324="",AB324=""),"",--(AA324&lt;&gt;AB324))</x:f>
      </x:c>
      <x:c r="AE324" t="str">
        <x:f>IF(OR(AA324="",AB324=""),"PENDING_HUMAN",IF(AA324=AB324,AA324,IF(AD324&lt;&gt;"",AD324,"PENDING_HUMAN")))</x:f>
        <x:v>PENDING_HUMAN</x:v>
      </x:c>
      <x:c r="AF324" t="n">
        <x:f>--AND(A324&lt;&gt;"",AA324&lt;&gt;"",AB324&lt;&gt;"",OR(AA324=AB324,AD324&lt;&gt;""),IF(AE324="HALLUCINATION",U324&lt;&gt;"",TRUE))</x:f>
        <x:v>0</x:v>
      </x:c>
      <x:c r="AG324" t="n">
        <x:f>--AND(N324=1,AF324=1,OR(AE324="SUPPORTED",AE324="HALLUCINATION"))</x:f>
        <x:v>0</x:v>
      </x:c>
      <x:c r="AH324" t="n">
        <x:f>--AND(AG324=1,AE324="HALLUCINATION")</x:f>
        <x:v>0</x:v>
      </x:c>
      <x:c r="AI324" t="n">
        <x:f>--AND(Q324=1,AF324=1,AE324="HALLUCINATION")</x:f>
        <x:v>0</x:v>
      </x:c>
      <x:c r="AJ324" t="n">
        <x:f>--AND(AI324=1,R324=1,S324=1)</x:f>
        <x:v>0</x:v>
      </x:c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  <x:c r="V325" s="28"/>
      <x:c r="W325" s="43" t="n">
        <x:f>--AND(N325=1,OR(O325="SUPPORTED",O325="HALLUCINATION"))</x:f>
        <x:v>0</x:v>
      </x:c>
      <x:c r="X325" s="43" t="n">
        <x:f>--AND(W325=1,O325="HALLUCINATION")</x:f>
        <x:v>0</x:v>
      </x:c>
      <x:c r="Y325" s="43" t="n">
        <x:f>--AND(Q325=1,O325="HALLUCINATION")</x:f>
        <x:v>0</x:v>
      </x:c>
      <x:c r="Z325" s="43" t="n">
        <x:f>--AND(Y325=1,R325=1,S325=1)</x:f>
        <x:v>0</x:v>
      </x:c>
      <x:c r="AC325" t="str">
        <x:f>IF(OR(AA325="",AB325=""),"",--(AA325&lt;&gt;AB325))</x:f>
      </x:c>
      <x:c r="AE325" t="str">
        <x:f>IF(OR(AA325="",AB325=""),"PENDING_HUMAN",IF(AA325=AB325,AA325,IF(AD325&lt;&gt;"",AD325,"PENDING_HUMAN")))</x:f>
        <x:v>PENDING_HUMAN</x:v>
      </x:c>
      <x:c r="AF325" t="n">
        <x:f>--AND(A325&lt;&gt;"",AA325&lt;&gt;"",AB325&lt;&gt;"",OR(AA325=AB325,AD325&lt;&gt;""),IF(AE325="HALLUCINATION",U325&lt;&gt;"",TRUE))</x:f>
        <x:v>0</x:v>
      </x:c>
      <x:c r="AG325" t="n">
        <x:f>--AND(N325=1,AF325=1,OR(AE325="SUPPORTED",AE325="HALLUCINATION"))</x:f>
        <x:v>0</x:v>
      </x:c>
      <x:c r="AH325" t="n">
        <x:f>--AND(AG325=1,AE325="HALLUCINATION")</x:f>
        <x:v>0</x:v>
      </x:c>
      <x:c r="AI325" t="n">
        <x:f>--AND(Q325=1,AF325=1,AE325="HALLUCINATION")</x:f>
        <x:v>0</x:v>
      </x:c>
      <x:c r="AJ325" t="n">
        <x:f>--AND(AI325=1,R325=1,S325=1)</x:f>
        <x:v>0</x:v>
      </x:c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  <x:c r="V326" s="28"/>
      <x:c r="W326" s="43" t="n">
        <x:f>--AND(N326=1,OR(O326="SUPPORTED",O326="HALLUCINATION"))</x:f>
        <x:v>0</x:v>
      </x:c>
      <x:c r="X326" s="43" t="n">
        <x:f>--AND(W326=1,O326="HALLUCINATION")</x:f>
        <x:v>0</x:v>
      </x:c>
      <x:c r="Y326" s="43" t="n">
        <x:f>--AND(Q326=1,O326="HALLUCINATION")</x:f>
        <x:v>0</x:v>
      </x:c>
      <x:c r="Z326" s="43" t="n">
        <x:f>--AND(Y326=1,R326=1,S326=1)</x:f>
        <x:v>0</x:v>
      </x:c>
      <x:c r="AC326" t="str">
        <x:f>IF(OR(AA326="",AB326=""),"",--(AA326&lt;&gt;AB326))</x:f>
      </x:c>
      <x:c r="AE326" t="str">
        <x:f>IF(OR(AA326="",AB326=""),"PENDING_HUMAN",IF(AA326=AB326,AA326,IF(AD326&lt;&gt;"",AD326,"PENDING_HUMAN")))</x:f>
        <x:v>PENDING_HUMAN</x:v>
      </x:c>
      <x:c r="AF326" t="n">
        <x:f>--AND(A326&lt;&gt;"",AA326&lt;&gt;"",AB326&lt;&gt;"",OR(AA326=AB326,AD326&lt;&gt;""),IF(AE326="HALLUCINATION",U326&lt;&gt;"",TRUE))</x:f>
        <x:v>0</x:v>
      </x:c>
      <x:c r="AG326" t="n">
        <x:f>--AND(N326=1,AF326=1,OR(AE326="SUPPORTED",AE326="HALLUCINATION"))</x:f>
        <x:v>0</x:v>
      </x:c>
      <x:c r="AH326" t="n">
        <x:f>--AND(AG326=1,AE326="HALLUCINATION")</x:f>
        <x:v>0</x:v>
      </x:c>
      <x:c r="AI326" t="n">
        <x:f>--AND(Q326=1,AF326=1,AE326="HALLUCINATION")</x:f>
        <x:v>0</x:v>
      </x:c>
      <x:c r="AJ326" t="n">
        <x:f>--AND(AI326=1,R326=1,S326=1)</x:f>
        <x:v>0</x:v>
      </x:c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  <x:c r="V327" s="28"/>
      <x:c r="W327" s="43" t="n">
        <x:f>--AND(N327=1,OR(O327="SUPPORTED",O327="HALLUCINATION"))</x:f>
        <x:v>0</x:v>
      </x:c>
      <x:c r="X327" s="43" t="n">
        <x:f>--AND(W327=1,O327="HALLUCINATION")</x:f>
        <x:v>0</x:v>
      </x:c>
      <x:c r="Y327" s="43" t="n">
        <x:f>--AND(Q327=1,O327="HALLUCINATION")</x:f>
        <x:v>0</x:v>
      </x:c>
      <x:c r="Z327" s="43" t="n">
        <x:f>--AND(Y327=1,R327=1,S327=1)</x:f>
        <x:v>0</x:v>
      </x:c>
      <x:c r="AC327" t="str">
        <x:f>IF(OR(AA327="",AB327=""),"",--(AA327&lt;&gt;AB327))</x:f>
      </x:c>
      <x:c r="AE327" t="str">
        <x:f>IF(OR(AA327="",AB327=""),"PENDING_HUMAN",IF(AA327=AB327,AA327,IF(AD327&lt;&gt;"",AD327,"PENDING_HUMAN")))</x:f>
        <x:v>PENDING_HUMAN</x:v>
      </x:c>
      <x:c r="AF327" t="n">
        <x:f>--AND(A327&lt;&gt;"",AA327&lt;&gt;"",AB327&lt;&gt;"",OR(AA327=AB327,AD327&lt;&gt;""),IF(AE327="HALLUCINATION",U327&lt;&gt;"",TRUE))</x:f>
        <x:v>0</x:v>
      </x:c>
      <x:c r="AG327" t="n">
        <x:f>--AND(N327=1,AF327=1,OR(AE327="SUPPORTED",AE327="HALLUCINATION"))</x:f>
        <x:v>0</x:v>
      </x:c>
      <x:c r="AH327" t="n">
        <x:f>--AND(AG327=1,AE327="HALLUCINATION")</x:f>
        <x:v>0</x:v>
      </x:c>
      <x:c r="AI327" t="n">
        <x:f>--AND(Q327=1,AF327=1,AE327="HALLUCINATION")</x:f>
        <x:v>0</x:v>
      </x:c>
      <x:c r="AJ327" t="n">
        <x:f>--AND(AI327=1,R327=1,S327=1)</x:f>
        <x:v>0</x:v>
      </x:c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  <x:c r="V328" s="28"/>
      <x:c r="W328" s="43" t="n">
        <x:f>--AND(N328=1,OR(O328="SUPPORTED",O328="HALLUCINATION"))</x:f>
        <x:v>0</x:v>
      </x:c>
      <x:c r="X328" s="43" t="n">
        <x:f>--AND(W328=1,O328="HALLUCINATION")</x:f>
        <x:v>0</x:v>
      </x:c>
      <x:c r="Y328" s="43" t="n">
        <x:f>--AND(Q328=1,O328="HALLUCINATION")</x:f>
        <x:v>0</x:v>
      </x:c>
      <x:c r="Z328" s="43" t="n">
        <x:f>--AND(Y328=1,R328=1,S328=1)</x:f>
        <x:v>0</x:v>
      </x:c>
      <x:c r="AC328" t="str">
        <x:f>IF(OR(AA328="",AB328=""),"",--(AA328&lt;&gt;AB328))</x:f>
      </x:c>
      <x:c r="AE328" t="str">
        <x:f>IF(OR(AA328="",AB328=""),"PENDING_HUMAN",IF(AA328=AB328,AA328,IF(AD328&lt;&gt;"",AD328,"PENDING_HUMAN")))</x:f>
        <x:v>PENDING_HUMAN</x:v>
      </x:c>
      <x:c r="AF328" t="n">
        <x:f>--AND(A328&lt;&gt;"",AA328&lt;&gt;"",AB328&lt;&gt;"",OR(AA328=AB328,AD328&lt;&gt;""),IF(AE328="HALLUCINATION",U328&lt;&gt;"",TRUE))</x:f>
        <x:v>0</x:v>
      </x:c>
      <x:c r="AG328" t="n">
        <x:f>--AND(N328=1,AF328=1,OR(AE328="SUPPORTED",AE328="HALLUCINATION"))</x:f>
        <x:v>0</x:v>
      </x:c>
      <x:c r="AH328" t="n">
        <x:f>--AND(AG328=1,AE328="HALLUCINATION")</x:f>
        <x:v>0</x:v>
      </x:c>
      <x:c r="AI328" t="n">
        <x:f>--AND(Q328=1,AF328=1,AE328="HALLUCINATION")</x:f>
        <x:v>0</x:v>
      </x:c>
      <x:c r="AJ328" t="n">
        <x:f>--AND(AI328=1,R328=1,S328=1)</x:f>
        <x:v>0</x:v>
      </x:c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  <x:c r="V329" s="28"/>
      <x:c r="W329" s="43" t="n">
        <x:f>--AND(N329=1,OR(O329="SUPPORTED",O329="HALLUCINATION"))</x:f>
        <x:v>0</x:v>
      </x:c>
      <x:c r="X329" s="43" t="n">
        <x:f>--AND(W329=1,O329="HALLUCINATION")</x:f>
        <x:v>0</x:v>
      </x:c>
      <x:c r="Y329" s="43" t="n">
        <x:f>--AND(Q329=1,O329="HALLUCINATION")</x:f>
        <x:v>0</x:v>
      </x:c>
      <x:c r="Z329" s="43" t="n">
        <x:f>--AND(Y329=1,R329=1,S329=1)</x:f>
        <x:v>0</x:v>
      </x:c>
      <x:c r="AC329" t="str">
        <x:f>IF(OR(AA329="",AB329=""),"",--(AA329&lt;&gt;AB329))</x:f>
      </x:c>
      <x:c r="AE329" t="str">
        <x:f>IF(OR(AA329="",AB329=""),"PENDING_HUMAN",IF(AA329=AB329,AA329,IF(AD329&lt;&gt;"",AD329,"PENDING_HUMAN")))</x:f>
        <x:v>PENDING_HUMAN</x:v>
      </x:c>
      <x:c r="AF329" t="n">
        <x:f>--AND(A329&lt;&gt;"",AA329&lt;&gt;"",AB329&lt;&gt;"",OR(AA329=AB329,AD329&lt;&gt;""),IF(AE329="HALLUCINATION",U329&lt;&gt;"",TRUE))</x:f>
        <x:v>0</x:v>
      </x:c>
      <x:c r="AG329" t="n">
        <x:f>--AND(N329=1,AF329=1,OR(AE329="SUPPORTED",AE329="HALLUCINATION"))</x:f>
        <x:v>0</x:v>
      </x:c>
      <x:c r="AH329" t="n">
        <x:f>--AND(AG329=1,AE329="HALLUCINATION")</x:f>
        <x:v>0</x:v>
      </x:c>
      <x:c r="AI329" t="n">
        <x:f>--AND(Q329=1,AF329=1,AE329="HALLUCINATION")</x:f>
        <x:v>0</x:v>
      </x:c>
      <x:c r="AJ329" t="n">
        <x:f>--AND(AI329=1,R329=1,S329=1)</x:f>
        <x:v>0</x:v>
      </x:c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  <x:c r="V330" s="28"/>
      <x:c r="W330" s="43" t="n">
        <x:f>--AND(N330=1,OR(O330="SUPPORTED",O330="HALLUCINATION"))</x:f>
        <x:v>0</x:v>
      </x:c>
      <x:c r="X330" s="43" t="n">
        <x:f>--AND(W330=1,O330="HALLUCINATION")</x:f>
        <x:v>0</x:v>
      </x:c>
      <x:c r="Y330" s="43" t="n">
        <x:f>--AND(Q330=1,O330="HALLUCINATION")</x:f>
        <x:v>0</x:v>
      </x:c>
      <x:c r="Z330" s="43" t="n">
        <x:f>--AND(Y330=1,R330=1,S330=1)</x:f>
        <x:v>0</x:v>
      </x:c>
      <x:c r="AC330" t="str">
        <x:f>IF(OR(AA330="",AB330=""),"",--(AA330&lt;&gt;AB330))</x:f>
      </x:c>
      <x:c r="AE330" t="str">
        <x:f>IF(OR(AA330="",AB330=""),"PENDING_HUMAN",IF(AA330=AB330,AA330,IF(AD330&lt;&gt;"",AD330,"PENDING_HUMAN")))</x:f>
        <x:v>PENDING_HUMAN</x:v>
      </x:c>
      <x:c r="AF330" t="n">
        <x:f>--AND(A330&lt;&gt;"",AA330&lt;&gt;"",AB330&lt;&gt;"",OR(AA330=AB330,AD330&lt;&gt;""),IF(AE330="HALLUCINATION",U330&lt;&gt;"",TRUE))</x:f>
        <x:v>0</x:v>
      </x:c>
      <x:c r="AG330" t="n">
        <x:f>--AND(N330=1,AF330=1,OR(AE330="SUPPORTED",AE330="HALLUCINATION"))</x:f>
        <x:v>0</x:v>
      </x:c>
      <x:c r="AH330" t="n">
        <x:f>--AND(AG330=1,AE330="HALLUCINATION")</x:f>
        <x:v>0</x:v>
      </x:c>
      <x:c r="AI330" t="n">
        <x:f>--AND(Q330=1,AF330=1,AE330="HALLUCINATION")</x:f>
        <x:v>0</x:v>
      </x:c>
      <x:c r="AJ330" t="n">
        <x:f>--AND(AI330=1,R330=1,S330=1)</x:f>
        <x:v>0</x:v>
      </x:c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  <x:c r="V331" s="28"/>
      <x:c r="W331" s="43" t="n">
        <x:f>--AND(N331=1,OR(O331="SUPPORTED",O331="HALLUCINATION"))</x:f>
        <x:v>0</x:v>
      </x:c>
      <x:c r="X331" s="43" t="n">
        <x:f>--AND(W331=1,O331="HALLUCINATION")</x:f>
        <x:v>0</x:v>
      </x:c>
      <x:c r="Y331" s="43" t="n">
        <x:f>--AND(Q331=1,O331="HALLUCINATION")</x:f>
        <x:v>0</x:v>
      </x:c>
      <x:c r="Z331" s="43" t="n">
        <x:f>--AND(Y331=1,R331=1,S331=1)</x:f>
        <x:v>0</x:v>
      </x:c>
      <x:c r="AC331" t="str">
        <x:f>IF(OR(AA331="",AB331=""),"",--(AA331&lt;&gt;AB331))</x:f>
      </x:c>
      <x:c r="AE331" t="str">
        <x:f>IF(OR(AA331="",AB331=""),"PENDING_HUMAN",IF(AA331=AB331,AA331,IF(AD331&lt;&gt;"",AD331,"PENDING_HUMAN")))</x:f>
        <x:v>PENDING_HUMAN</x:v>
      </x:c>
      <x:c r="AF331" t="n">
        <x:f>--AND(A331&lt;&gt;"",AA331&lt;&gt;"",AB331&lt;&gt;"",OR(AA331=AB331,AD331&lt;&gt;""),IF(AE331="HALLUCINATION",U331&lt;&gt;"",TRUE))</x:f>
        <x:v>0</x:v>
      </x:c>
      <x:c r="AG331" t="n">
        <x:f>--AND(N331=1,AF331=1,OR(AE331="SUPPORTED",AE331="HALLUCINATION"))</x:f>
        <x:v>0</x:v>
      </x:c>
      <x:c r="AH331" t="n">
        <x:f>--AND(AG331=1,AE331="HALLUCINATION")</x:f>
        <x:v>0</x:v>
      </x:c>
      <x:c r="AI331" t="n">
        <x:f>--AND(Q331=1,AF331=1,AE331="HALLUCINATION")</x:f>
        <x:v>0</x:v>
      </x:c>
      <x:c r="AJ331" t="n">
        <x:f>--AND(AI331=1,R331=1,S331=1)</x:f>
        <x:v>0</x:v>
      </x:c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  <x:c r="V332" s="28"/>
      <x:c r="W332" s="43" t="n">
        <x:f>--AND(N332=1,OR(O332="SUPPORTED",O332="HALLUCINATION"))</x:f>
        <x:v>0</x:v>
      </x:c>
      <x:c r="X332" s="43" t="n">
        <x:f>--AND(W332=1,O332="HALLUCINATION")</x:f>
        <x:v>0</x:v>
      </x:c>
      <x:c r="Y332" s="43" t="n">
        <x:f>--AND(Q332=1,O332="HALLUCINATION")</x:f>
        <x:v>0</x:v>
      </x:c>
      <x:c r="Z332" s="43" t="n">
        <x:f>--AND(Y332=1,R332=1,S332=1)</x:f>
        <x:v>0</x:v>
      </x:c>
      <x:c r="AC332" t="str">
        <x:f>IF(OR(AA332="",AB332=""),"",--(AA332&lt;&gt;AB332))</x:f>
      </x:c>
      <x:c r="AE332" t="str">
        <x:f>IF(OR(AA332="",AB332=""),"PENDING_HUMAN",IF(AA332=AB332,AA332,IF(AD332&lt;&gt;"",AD332,"PENDING_HUMAN")))</x:f>
        <x:v>PENDING_HUMAN</x:v>
      </x:c>
      <x:c r="AF332" t="n">
        <x:f>--AND(A332&lt;&gt;"",AA332&lt;&gt;"",AB332&lt;&gt;"",OR(AA332=AB332,AD332&lt;&gt;""),IF(AE332="HALLUCINATION",U332&lt;&gt;"",TRUE))</x:f>
        <x:v>0</x:v>
      </x:c>
      <x:c r="AG332" t="n">
        <x:f>--AND(N332=1,AF332=1,OR(AE332="SUPPORTED",AE332="HALLUCINATION"))</x:f>
        <x:v>0</x:v>
      </x:c>
      <x:c r="AH332" t="n">
        <x:f>--AND(AG332=1,AE332="HALLUCINATION")</x:f>
        <x:v>0</x:v>
      </x:c>
      <x:c r="AI332" t="n">
        <x:f>--AND(Q332=1,AF332=1,AE332="HALLUCINATION")</x:f>
        <x:v>0</x:v>
      </x:c>
      <x:c r="AJ332" t="n">
        <x:f>--AND(AI332=1,R332=1,S332=1)</x:f>
        <x:v>0</x:v>
      </x:c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  <x:c r="V333" s="28"/>
      <x:c r="W333" s="43" t="n">
        <x:f>--AND(N333=1,OR(O333="SUPPORTED",O333="HALLUCINATION"))</x:f>
        <x:v>0</x:v>
      </x:c>
      <x:c r="X333" s="43" t="n">
        <x:f>--AND(W333=1,O333="HALLUCINATION")</x:f>
        <x:v>0</x:v>
      </x:c>
      <x:c r="Y333" s="43" t="n">
        <x:f>--AND(Q333=1,O333="HALLUCINATION")</x:f>
        <x:v>0</x:v>
      </x:c>
      <x:c r="Z333" s="43" t="n">
        <x:f>--AND(Y333=1,R333=1,S333=1)</x:f>
        <x:v>0</x:v>
      </x:c>
      <x:c r="AC333" t="str">
        <x:f>IF(OR(AA333="",AB333=""),"",--(AA333&lt;&gt;AB333))</x:f>
      </x:c>
      <x:c r="AE333" t="str">
        <x:f>IF(OR(AA333="",AB333=""),"PENDING_HUMAN",IF(AA333=AB333,AA333,IF(AD333&lt;&gt;"",AD333,"PENDING_HUMAN")))</x:f>
        <x:v>PENDING_HUMAN</x:v>
      </x:c>
      <x:c r="AF333" t="n">
        <x:f>--AND(A333&lt;&gt;"",AA333&lt;&gt;"",AB333&lt;&gt;"",OR(AA333=AB333,AD333&lt;&gt;""),IF(AE333="HALLUCINATION",U333&lt;&gt;"",TRUE))</x:f>
        <x:v>0</x:v>
      </x:c>
      <x:c r="AG333" t="n">
        <x:f>--AND(N333=1,AF333=1,OR(AE333="SUPPORTED",AE333="HALLUCINATION"))</x:f>
        <x:v>0</x:v>
      </x:c>
      <x:c r="AH333" t="n">
        <x:f>--AND(AG333=1,AE333="HALLUCINATION")</x:f>
        <x:v>0</x:v>
      </x:c>
      <x:c r="AI333" t="n">
        <x:f>--AND(Q333=1,AF333=1,AE333="HALLUCINATION")</x:f>
        <x:v>0</x:v>
      </x:c>
      <x:c r="AJ333" t="n">
        <x:f>--AND(AI333=1,R333=1,S333=1)</x:f>
        <x:v>0</x:v>
      </x:c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  <x:c r="V334" s="28"/>
      <x:c r="W334" s="43" t="n">
        <x:f>--AND(N334=1,OR(O334="SUPPORTED",O334="HALLUCINATION"))</x:f>
        <x:v>0</x:v>
      </x:c>
      <x:c r="X334" s="43" t="n">
        <x:f>--AND(W334=1,O334="HALLUCINATION")</x:f>
        <x:v>0</x:v>
      </x:c>
      <x:c r="Y334" s="43" t="n">
        <x:f>--AND(Q334=1,O334="HALLUCINATION")</x:f>
        <x:v>0</x:v>
      </x:c>
      <x:c r="Z334" s="43" t="n">
        <x:f>--AND(Y334=1,R334=1,S334=1)</x:f>
        <x:v>0</x:v>
      </x:c>
      <x:c r="AC334" t="str">
        <x:f>IF(OR(AA334="",AB334=""),"",--(AA334&lt;&gt;AB334))</x:f>
      </x:c>
      <x:c r="AE334" t="str">
        <x:f>IF(OR(AA334="",AB334=""),"PENDING_HUMAN",IF(AA334=AB334,AA334,IF(AD334&lt;&gt;"",AD334,"PENDING_HUMAN")))</x:f>
        <x:v>PENDING_HUMAN</x:v>
      </x:c>
      <x:c r="AF334" t="n">
        <x:f>--AND(A334&lt;&gt;"",AA334&lt;&gt;"",AB334&lt;&gt;"",OR(AA334=AB334,AD334&lt;&gt;""),IF(AE334="HALLUCINATION",U334&lt;&gt;"",TRUE))</x:f>
        <x:v>0</x:v>
      </x:c>
      <x:c r="AG334" t="n">
        <x:f>--AND(N334=1,AF334=1,OR(AE334="SUPPORTED",AE334="HALLUCINATION"))</x:f>
        <x:v>0</x:v>
      </x:c>
      <x:c r="AH334" t="n">
        <x:f>--AND(AG334=1,AE334="HALLUCINATION")</x:f>
        <x:v>0</x:v>
      </x:c>
      <x:c r="AI334" t="n">
        <x:f>--AND(Q334=1,AF334=1,AE334="HALLUCINATION")</x:f>
        <x:v>0</x:v>
      </x:c>
      <x:c r="AJ334" t="n">
        <x:f>--AND(AI334=1,R334=1,S334=1)</x:f>
        <x:v>0</x:v>
      </x:c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  <x:c r="V335" s="28"/>
      <x:c r="W335" s="43" t="n">
        <x:f>--AND(N335=1,OR(O335="SUPPORTED",O335="HALLUCINATION"))</x:f>
        <x:v>0</x:v>
      </x:c>
      <x:c r="X335" s="43" t="n">
        <x:f>--AND(W335=1,O335="HALLUCINATION")</x:f>
        <x:v>0</x:v>
      </x:c>
      <x:c r="Y335" s="43" t="n">
        <x:f>--AND(Q335=1,O335="HALLUCINATION")</x:f>
        <x:v>0</x:v>
      </x:c>
      <x:c r="Z335" s="43" t="n">
        <x:f>--AND(Y335=1,R335=1,S335=1)</x:f>
        <x:v>0</x:v>
      </x:c>
      <x:c r="AC335" t="str">
        <x:f>IF(OR(AA335="",AB335=""),"",--(AA335&lt;&gt;AB335))</x:f>
      </x:c>
      <x:c r="AE335" t="str">
        <x:f>IF(OR(AA335="",AB335=""),"PENDING_HUMAN",IF(AA335=AB335,AA335,IF(AD335&lt;&gt;"",AD335,"PENDING_HUMAN")))</x:f>
        <x:v>PENDING_HUMAN</x:v>
      </x:c>
      <x:c r="AF335" t="n">
        <x:f>--AND(A335&lt;&gt;"",AA335&lt;&gt;"",AB335&lt;&gt;"",OR(AA335=AB335,AD335&lt;&gt;""),IF(AE335="HALLUCINATION",U335&lt;&gt;"",TRUE))</x:f>
        <x:v>0</x:v>
      </x:c>
      <x:c r="AG335" t="n">
        <x:f>--AND(N335=1,AF335=1,OR(AE335="SUPPORTED",AE335="HALLUCINATION"))</x:f>
        <x:v>0</x:v>
      </x:c>
      <x:c r="AH335" t="n">
        <x:f>--AND(AG335=1,AE335="HALLUCINATION")</x:f>
        <x:v>0</x:v>
      </x:c>
      <x:c r="AI335" t="n">
        <x:f>--AND(Q335=1,AF335=1,AE335="HALLUCINATION")</x:f>
        <x:v>0</x:v>
      </x:c>
      <x:c r="AJ335" t="n">
        <x:f>--AND(AI335=1,R335=1,S335=1)</x:f>
        <x:v>0</x:v>
      </x:c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  <x:c r="V336" s="28"/>
      <x:c r="W336" s="43" t="n">
        <x:f>--AND(N336=1,OR(O336="SUPPORTED",O336="HALLUCINATION"))</x:f>
        <x:v>0</x:v>
      </x:c>
      <x:c r="X336" s="43" t="n">
        <x:f>--AND(W336=1,O336="HALLUCINATION")</x:f>
        <x:v>0</x:v>
      </x:c>
      <x:c r="Y336" s="43" t="n">
        <x:f>--AND(Q336=1,O336="HALLUCINATION")</x:f>
        <x:v>0</x:v>
      </x:c>
      <x:c r="Z336" s="43" t="n">
        <x:f>--AND(Y336=1,R336=1,S336=1)</x:f>
        <x:v>0</x:v>
      </x:c>
      <x:c r="AC336" t="str">
        <x:f>IF(OR(AA336="",AB336=""),"",--(AA336&lt;&gt;AB336))</x:f>
      </x:c>
      <x:c r="AE336" t="str">
        <x:f>IF(OR(AA336="",AB336=""),"PENDING_HUMAN",IF(AA336=AB336,AA336,IF(AD336&lt;&gt;"",AD336,"PENDING_HUMAN")))</x:f>
        <x:v>PENDING_HUMAN</x:v>
      </x:c>
      <x:c r="AF336" t="n">
        <x:f>--AND(A336&lt;&gt;"",AA336&lt;&gt;"",AB336&lt;&gt;"",OR(AA336=AB336,AD336&lt;&gt;""),IF(AE336="HALLUCINATION",U336&lt;&gt;"",TRUE))</x:f>
        <x:v>0</x:v>
      </x:c>
      <x:c r="AG336" t="n">
        <x:f>--AND(N336=1,AF336=1,OR(AE336="SUPPORTED",AE336="HALLUCINATION"))</x:f>
        <x:v>0</x:v>
      </x:c>
      <x:c r="AH336" t="n">
        <x:f>--AND(AG336=1,AE336="HALLUCINATION")</x:f>
        <x:v>0</x:v>
      </x:c>
      <x:c r="AI336" t="n">
        <x:f>--AND(Q336=1,AF336=1,AE336="HALLUCINATION")</x:f>
        <x:v>0</x:v>
      </x:c>
      <x:c r="AJ336" t="n">
        <x:f>--AND(AI336=1,R336=1,S336=1)</x:f>
        <x:v>0</x:v>
      </x:c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  <x:c r="V337" s="28"/>
      <x:c r="W337" s="43" t="n">
        <x:f>--AND(N337=1,OR(O337="SUPPORTED",O337="HALLUCINATION"))</x:f>
        <x:v>0</x:v>
      </x:c>
      <x:c r="X337" s="43" t="n">
        <x:f>--AND(W337=1,O337="HALLUCINATION")</x:f>
        <x:v>0</x:v>
      </x:c>
      <x:c r="Y337" s="43" t="n">
        <x:f>--AND(Q337=1,O337="HALLUCINATION")</x:f>
        <x:v>0</x:v>
      </x:c>
      <x:c r="Z337" s="43" t="n">
        <x:f>--AND(Y337=1,R337=1,S337=1)</x:f>
        <x:v>0</x:v>
      </x:c>
      <x:c r="AC337" t="str">
        <x:f>IF(OR(AA337="",AB337=""),"",--(AA337&lt;&gt;AB337))</x:f>
      </x:c>
      <x:c r="AE337" t="str">
        <x:f>IF(OR(AA337="",AB337=""),"PENDING_HUMAN",IF(AA337=AB337,AA337,IF(AD337&lt;&gt;"",AD337,"PENDING_HUMAN")))</x:f>
        <x:v>PENDING_HUMAN</x:v>
      </x:c>
      <x:c r="AF337" t="n">
        <x:f>--AND(A337&lt;&gt;"",AA337&lt;&gt;"",AB337&lt;&gt;"",OR(AA337=AB337,AD337&lt;&gt;""),IF(AE337="HALLUCINATION",U337&lt;&gt;"",TRUE))</x:f>
        <x:v>0</x:v>
      </x:c>
      <x:c r="AG337" t="n">
        <x:f>--AND(N337=1,AF337=1,OR(AE337="SUPPORTED",AE337="HALLUCINATION"))</x:f>
        <x:v>0</x:v>
      </x:c>
      <x:c r="AH337" t="n">
        <x:f>--AND(AG337=1,AE337="HALLUCINATION")</x:f>
        <x:v>0</x:v>
      </x:c>
      <x:c r="AI337" t="n">
        <x:f>--AND(Q337=1,AF337=1,AE337="HALLUCINATION")</x:f>
        <x:v>0</x:v>
      </x:c>
      <x:c r="AJ337" t="n">
        <x:f>--AND(AI337=1,R337=1,S337=1)</x:f>
        <x:v>0</x:v>
      </x:c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  <x:c r="V338" s="28"/>
      <x:c r="W338" s="43" t="n">
        <x:f>--AND(N338=1,OR(O338="SUPPORTED",O338="HALLUCINATION"))</x:f>
        <x:v>0</x:v>
      </x:c>
      <x:c r="X338" s="43" t="n">
        <x:f>--AND(W338=1,O338="HALLUCINATION")</x:f>
        <x:v>0</x:v>
      </x:c>
      <x:c r="Y338" s="43" t="n">
        <x:f>--AND(Q338=1,O338="HALLUCINATION")</x:f>
        <x:v>0</x:v>
      </x:c>
      <x:c r="Z338" s="43" t="n">
        <x:f>--AND(Y338=1,R338=1,S338=1)</x:f>
        <x:v>0</x:v>
      </x:c>
      <x:c r="AC338" t="str">
        <x:f>IF(OR(AA338="",AB338=""),"",--(AA338&lt;&gt;AB338))</x:f>
      </x:c>
      <x:c r="AE338" t="str">
        <x:f>IF(OR(AA338="",AB338=""),"PENDING_HUMAN",IF(AA338=AB338,AA338,IF(AD338&lt;&gt;"",AD338,"PENDING_HUMAN")))</x:f>
        <x:v>PENDING_HUMAN</x:v>
      </x:c>
      <x:c r="AF338" t="n">
        <x:f>--AND(A338&lt;&gt;"",AA338&lt;&gt;"",AB338&lt;&gt;"",OR(AA338=AB338,AD338&lt;&gt;""),IF(AE338="HALLUCINATION",U338&lt;&gt;"",TRUE))</x:f>
        <x:v>0</x:v>
      </x:c>
      <x:c r="AG338" t="n">
        <x:f>--AND(N338=1,AF338=1,OR(AE338="SUPPORTED",AE338="HALLUCINATION"))</x:f>
        <x:v>0</x:v>
      </x:c>
      <x:c r="AH338" t="n">
        <x:f>--AND(AG338=1,AE338="HALLUCINATION")</x:f>
        <x:v>0</x:v>
      </x:c>
      <x:c r="AI338" t="n">
        <x:f>--AND(Q338=1,AF338=1,AE338="HALLUCINATION")</x:f>
        <x:v>0</x:v>
      </x:c>
      <x:c r="AJ338" t="n">
        <x:f>--AND(AI338=1,R338=1,S338=1)</x:f>
        <x:v>0</x:v>
      </x:c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  <x:c r="V339" s="28"/>
      <x:c r="W339" s="43" t="n">
        <x:f>--AND(N339=1,OR(O339="SUPPORTED",O339="HALLUCINATION"))</x:f>
        <x:v>0</x:v>
      </x:c>
      <x:c r="X339" s="43" t="n">
        <x:f>--AND(W339=1,O339="HALLUCINATION")</x:f>
        <x:v>0</x:v>
      </x:c>
      <x:c r="Y339" s="43" t="n">
        <x:f>--AND(Q339=1,O339="HALLUCINATION")</x:f>
        <x:v>0</x:v>
      </x:c>
      <x:c r="Z339" s="43" t="n">
        <x:f>--AND(Y339=1,R339=1,S339=1)</x:f>
        <x:v>0</x:v>
      </x:c>
      <x:c r="AC339" t="str">
        <x:f>IF(OR(AA339="",AB339=""),"",--(AA339&lt;&gt;AB339))</x:f>
      </x:c>
      <x:c r="AE339" t="str">
        <x:f>IF(OR(AA339="",AB339=""),"PENDING_HUMAN",IF(AA339=AB339,AA339,IF(AD339&lt;&gt;"",AD339,"PENDING_HUMAN")))</x:f>
        <x:v>PENDING_HUMAN</x:v>
      </x:c>
      <x:c r="AF339" t="n">
        <x:f>--AND(A339&lt;&gt;"",AA339&lt;&gt;"",AB339&lt;&gt;"",OR(AA339=AB339,AD339&lt;&gt;""),IF(AE339="HALLUCINATION",U339&lt;&gt;"",TRUE))</x:f>
        <x:v>0</x:v>
      </x:c>
      <x:c r="AG339" t="n">
        <x:f>--AND(N339=1,AF339=1,OR(AE339="SUPPORTED",AE339="HALLUCINATION"))</x:f>
        <x:v>0</x:v>
      </x:c>
      <x:c r="AH339" t="n">
        <x:f>--AND(AG339=1,AE339="HALLUCINATION")</x:f>
        <x:v>0</x:v>
      </x:c>
      <x:c r="AI339" t="n">
        <x:f>--AND(Q339=1,AF339=1,AE339="HALLUCINATION")</x:f>
        <x:v>0</x:v>
      </x:c>
      <x:c r="AJ339" t="n">
        <x:f>--AND(AI339=1,R339=1,S339=1)</x:f>
        <x:v>0</x:v>
      </x:c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  <x:c r="V340" s="28"/>
      <x:c r="W340" s="43" t="n">
        <x:f>--AND(N340=1,OR(O340="SUPPORTED",O340="HALLUCINATION"))</x:f>
        <x:v>0</x:v>
      </x:c>
      <x:c r="X340" s="43" t="n">
        <x:f>--AND(W340=1,O340="HALLUCINATION")</x:f>
        <x:v>0</x:v>
      </x:c>
      <x:c r="Y340" s="43" t="n">
        <x:f>--AND(Q340=1,O340="HALLUCINATION")</x:f>
        <x:v>0</x:v>
      </x:c>
      <x:c r="Z340" s="43" t="n">
        <x:f>--AND(Y340=1,R340=1,S340=1)</x:f>
        <x:v>0</x:v>
      </x:c>
      <x:c r="AC340" t="str">
        <x:f>IF(OR(AA340="",AB340=""),"",--(AA340&lt;&gt;AB340))</x:f>
      </x:c>
      <x:c r="AE340" t="str">
        <x:f>IF(OR(AA340="",AB340=""),"PENDING_HUMAN",IF(AA340=AB340,AA340,IF(AD340&lt;&gt;"",AD340,"PENDING_HUMAN")))</x:f>
        <x:v>PENDING_HUMAN</x:v>
      </x:c>
      <x:c r="AF340" t="n">
        <x:f>--AND(A340&lt;&gt;"",AA340&lt;&gt;"",AB340&lt;&gt;"",OR(AA340=AB340,AD340&lt;&gt;""),IF(AE340="HALLUCINATION",U340&lt;&gt;"",TRUE))</x:f>
        <x:v>0</x:v>
      </x:c>
      <x:c r="AG340" t="n">
        <x:f>--AND(N340=1,AF340=1,OR(AE340="SUPPORTED",AE340="HALLUCINATION"))</x:f>
        <x:v>0</x:v>
      </x:c>
      <x:c r="AH340" t="n">
        <x:f>--AND(AG340=1,AE340="HALLUCINATION")</x:f>
        <x:v>0</x:v>
      </x:c>
      <x:c r="AI340" t="n">
        <x:f>--AND(Q340=1,AF340=1,AE340="HALLUCINATION")</x:f>
        <x:v>0</x:v>
      </x:c>
      <x:c r="AJ340" t="n">
        <x:f>--AND(AI340=1,R340=1,S340=1)</x:f>
        <x:v>0</x:v>
      </x:c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  <x:c r="V341" s="28"/>
      <x:c r="W341" s="43" t="n">
        <x:f>--AND(N341=1,OR(O341="SUPPORTED",O341="HALLUCINATION"))</x:f>
        <x:v>0</x:v>
      </x:c>
      <x:c r="X341" s="43" t="n">
        <x:f>--AND(W341=1,O341="HALLUCINATION")</x:f>
        <x:v>0</x:v>
      </x:c>
      <x:c r="Y341" s="43" t="n">
        <x:f>--AND(Q341=1,O341="HALLUCINATION")</x:f>
        <x:v>0</x:v>
      </x:c>
      <x:c r="Z341" s="43" t="n">
        <x:f>--AND(Y341=1,R341=1,S341=1)</x:f>
        <x:v>0</x:v>
      </x:c>
      <x:c r="AC341" t="str">
        <x:f>IF(OR(AA341="",AB341=""),"",--(AA341&lt;&gt;AB341))</x:f>
      </x:c>
      <x:c r="AE341" t="str">
        <x:f>IF(OR(AA341="",AB341=""),"PENDING_HUMAN",IF(AA341=AB341,AA341,IF(AD341&lt;&gt;"",AD341,"PENDING_HUMAN")))</x:f>
        <x:v>PENDING_HUMAN</x:v>
      </x:c>
      <x:c r="AF341" t="n">
        <x:f>--AND(A341&lt;&gt;"",AA341&lt;&gt;"",AB341&lt;&gt;"",OR(AA341=AB341,AD341&lt;&gt;""),IF(AE341="HALLUCINATION",U341&lt;&gt;"",TRUE))</x:f>
        <x:v>0</x:v>
      </x:c>
      <x:c r="AG341" t="n">
        <x:f>--AND(N341=1,AF341=1,OR(AE341="SUPPORTED",AE341="HALLUCINATION"))</x:f>
        <x:v>0</x:v>
      </x:c>
      <x:c r="AH341" t="n">
        <x:f>--AND(AG341=1,AE341="HALLUCINATION")</x:f>
        <x:v>0</x:v>
      </x:c>
      <x:c r="AI341" t="n">
        <x:f>--AND(Q341=1,AF341=1,AE341="HALLUCINATION")</x:f>
        <x:v>0</x:v>
      </x:c>
      <x:c r="AJ341" t="n">
        <x:f>--AND(AI341=1,R341=1,S341=1)</x:f>
        <x:v>0</x:v>
      </x:c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  <x:c r="V342" s="28"/>
      <x:c r="W342" s="43" t="n">
        <x:f>--AND(N342=1,OR(O342="SUPPORTED",O342="HALLUCINATION"))</x:f>
        <x:v>0</x:v>
      </x:c>
      <x:c r="X342" s="43" t="n">
        <x:f>--AND(W342=1,O342="HALLUCINATION")</x:f>
        <x:v>0</x:v>
      </x:c>
      <x:c r="Y342" s="43" t="n">
        <x:f>--AND(Q342=1,O342="HALLUCINATION")</x:f>
        <x:v>0</x:v>
      </x:c>
      <x:c r="Z342" s="43" t="n">
        <x:f>--AND(Y342=1,R342=1,S342=1)</x:f>
        <x:v>0</x:v>
      </x:c>
      <x:c r="AC342" t="str">
        <x:f>IF(OR(AA342="",AB342=""),"",--(AA342&lt;&gt;AB342))</x:f>
      </x:c>
      <x:c r="AE342" t="str">
        <x:f>IF(OR(AA342="",AB342=""),"PENDING_HUMAN",IF(AA342=AB342,AA342,IF(AD342&lt;&gt;"",AD342,"PENDING_HUMAN")))</x:f>
        <x:v>PENDING_HUMAN</x:v>
      </x:c>
      <x:c r="AF342" t="n">
        <x:f>--AND(A342&lt;&gt;"",AA342&lt;&gt;"",AB342&lt;&gt;"",OR(AA342=AB342,AD342&lt;&gt;""),IF(AE342="HALLUCINATION",U342&lt;&gt;"",TRUE))</x:f>
        <x:v>0</x:v>
      </x:c>
      <x:c r="AG342" t="n">
        <x:f>--AND(N342=1,AF342=1,OR(AE342="SUPPORTED",AE342="HALLUCINATION"))</x:f>
        <x:v>0</x:v>
      </x:c>
      <x:c r="AH342" t="n">
        <x:f>--AND(AG342=1,AE342="HALLUCINATION")</x:f>
        <x:v>0</x:v>
      </x:c>
      <x:c r="AI342" t="n">
        <x:f>--AND(Q342=1,AF342=1,AE342="HALLUCINATION")</x:f>
        <x:v>0</x:v>
      </x:c>
      <x:c r="AJ342" t="n">
        <x:f>--AND(AI342=1,R342=1,S342=1)</x:f>
        <x:v>0</x:v>
      </x:c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  <x:c r="V343" s="28"/>
      <x:c r="W343" s="43" t="n">
        <x:f>--AND(N343=1,OR(O343="SUPPORTED",O343="HALLUCINATION"))</x:f>
        <x:v>0</x:v>
      </x:c>
      <x:c r="X343" s="43" t="n">
        <x:f>--AND(W343=1,O343="HALLUCINATION")</x:f>
        <x:v>0</x:v>
      </x:c>
      <x:c r="Y343" s="43" t="n">
        <x:f>--AND(Q343=1,O343="HALLUCINATION")</x:f>
        <x:v>0</x:v>
      </x:c>
      <x:c r="Z343" s="43" t="n">
        <x:f>--AND(Y343=1,R343=1,S343=1)</x:f>
        <x:v>0</x:v>
      </x:c>
      <x:c r="AC343" t="str">
        <x:f>IF(OR(AA343="",AB343=""),"",--(AA343&lt;&gt;AB343))</x:f>
      </x:c>
      <x:c r="AE343" t="str">
        <x:f>IF(OR(AA343="",AB343=""),"PENDING_HUMAN",IF(AA343=AB343,AA343,IF(AD343&lt;&gt;"",AD343,"PENDING_HUMAN")))</x:f>
        <x:v>PENDING_HUMAN</x:v>
      </x:c>
      <x:c r="AF343" t="n">
        <x:f>--AND(A343&lt;&gt;"",AA343&lt;&gt;"",AB343&lt;&gt;"",OR(AA343=AB343,AD343&lt;&gt;""),IF(AE343="HALLUCINATION",U343&lt;&gt;"",TRUE))</x:f>
        <x:v>0</x:v>
      </x:c>
      <x:c r="AG343" t="n">
        <x:f>--AND(N343=1,AF343=1,OR(AE343="SUPPORTED",AE343="HALLUCINATION"))</x:f>
        <x:v>0</x:v>
      </x:c>
      <x:c r="AH343" t="n">
        <x:f>--AND(AG343=1,AE343="HALLUCINATION")</x:f>
        <x:v>0</x:v>
      </x:c>
      <x:c r="AI343" t="n">
        <x:f>--AND(Q343=1,AF343=1,AE343="HALLUCINATION")</x:f>
        <x:v>0</x:v>
      </x:c>
      <x:c r="AJ343" t="n">
        <x:f>--AND(AI343=1,R343=1,S343=1)</x:f>
        <x:v>0</x:v>
      </x:c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  <x:c r="V344" s="28"/>
      <x:c r="W344" s="43" t="n">
        <x:f>--AND(N344=1,OR(O344="SUPPORTED",O344="HALLUCINATION"))</x:f>
        <x:v>0</x:v>
      </x:c>
      <x:c r="X344" s="43" t="n">
        <x:f>--AND(W344=1,O344="HALLUCINATION")</x:f>
        <x:v>0</x:v>
      </x:c>
      <x:c r="Y344" s="43" t="n">
        <x:f>--AND(Q344=1,O344="HALLUCINATION")</x:f>
        <x:v>0</x:v>
      </x:c>
      <x:c r="Z344" s="43" t="n">
        <x:f>--AND(Y344=1,R344=1,S344=1)</x:f>
        <x:v>0</x:v>
      </x:c>
      <x:c r="AC344" t="str">
        <x:f>IF(OR(AA344="",AB344=""),"",--(AA344&lt;&gt;AB344))</x:f>
      </x:c>
      <x:c r="AE344" t="str">
        <x:f>IF(OR(AA344="",AB344=""),"PENDING_HUMAN",IF(AA344=AB344,AA344,IF(AD344&lt;&gt;"",AD344,"PENDING_HUMAN")))</x:f>
        <x:v>PENDING_HUMAN</x:v>
      </x:c>
      <x:c r="AF344" t="n">
        <x:f>--AND(A344&lt;&gt;"",AA344&lt;&gt;"",AB344&lt;&gt;"",OR(AA344=AB344,AD344&lt;&gt;""),IF(AE344="HALLUCINATION",U344&lt;&gt;"",TRUE))</x:f>
        <x:v>0</x:v>
      </x:c>
      <x:c r="AG344" t="n">
        <x:f>--AND(N344=1,AF344=1,OR(AE344="SUPPORTED",AE344="HALLUCINATION"))</x:f>
        <x:v>0</x:v>
      </x:c>
      <x:c r="AH344" t="n">
        <x:f>--AND(AG344=1,AE344="HALLUCINATION")</x:f>
        <x:v>0</x:v>
      </x:c>
      <x:c r="AI344" t="n">
        <x:f>--AND(Q344=1,AF344=1,AE344="HALLUCINATION")</x:f>
        <x:v>0</x:v>
      </x:c>
      <x:c r="AJ344" t="n">
        <x:f>--AND(AI344=1,R344=1,S344=1)</x:f>
        <x:v>0</x:v>
      </x:c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  <x:c r="V345" s="28"/>
      <x:c r="W345" s="43" t="n">
        <x:f>--AND(N345=1,OR(O345="SUPPORTED",O345="HALLUCINATION"))</x:f>
        <x:v>0</x:v>
      </x:c>
      <x:c r="X345" s="43" t="n">
        <x:f>--AND(W345=1,O345="HALLUCINATION")</x:f>
        <x:v>0</x:v>
      </x:c>
      <x:c r="Y345" s="43" t="n">
        <x:f>--AND(Q345=1,O345="HALLUCINATION")</x:f>
        <x:v>0</x:v>
      </x:c>
      <x:c r="Z345" s="43" t="n">
        <x:f>--AND(Y345=1,R345=1,S345=1)</x:f>
        <x:v>0</x:v>
      </x:c>
      <x:c r="AC345" t="str">
        <x:f>IF(OR(AA345="",AB345=""),"",--(AA345&lt;&gt;AB345))</x:f>
      </x:c>
      <x:c r="AE345" t="str">
        <x:f>IF(OR(AA345="",AB345=""),"PENDING_HUMAN",IF(AA345=AB345,AA345,IF(AD345&lt;&gt;"",AD345,"PENDING_HUMAN")))</x:f>
        <x:v>PENDING_HUMAN</x:v>
      </x:c>
      <x:c r="AF345" t="n">
        <x:f>--AND(A345&lt;&gt;"",AA345&lt;&gt;"",AB345&lt;&gt;"",OR(AA345=AB345,AD345&lt;&gt;""),IF(AE345="HALLUCINATION",U345&lt;&gt;"",TRUE))</x:f>
        <x:v>0</x:v>
      </x:c>
      <x:c r="AG345" t="n">
        <x:f>--AND(N345=1,AF345=1,OR(AE345="SUPPORTED",AE345="HALLUCINATION"))</x:f>
        <x:v>0</x:v>
      </x:c>
      <x:c r="AH345" t="n">
        <x:f>--AND(AG345=1,AE345="HALLUCINATION")</x:f>
        <x:v>0</x:v>
      </x:c>
      <x:c r="AI345" t="n">
        <x:f>--AND(Q345=1,AF345=1,AE345="HALLUCINATION")</x:f>
        <x:v>0</x:v>
      </x:c>
      <x:c r="AJ345" t="n">
        <x:f>--AND(AI345=1,R345=1,S345=1)</x:f>
        <x:v>0</x:v>
      </x:c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  <x:c r="V346" s="28"/>
      <x:c r="W346" s="43" t="n">
        <x:f>--AND(N346=1,OR(O346="SUPPORTED",O346="HALLUCINATION"))</x:f>
        <x:v>0</x:v>
      </x:c>
      <x:c r="X346" s="43" t="n">
        <x:f>--AND(W346=1,O346="HALLUCINATION")</x:f>
        <x:v>0</x:v>
      </x:c>
      <x:c r="Y346" s="43" t="n">
        <x:f>--AND(Q346=1,O346="HALLUCINATION")</x:f>
        <x:v>0</x:v>
      </x:c>
      <x:c r="Z346" s="43" t="n">
        <x:f>--AND(Y346=1,R346=1,S346=1)</x:f>
        <x:v>0</x:v>
      </x:c>
      <x:c r="AC346" t="str">
        <x:f>IF(OR(AA346="",AB346=""),"",--(AA346&lt;&gt;AB346))</x:f>
      </x:c>
      <x:c r="AE346" t="str">
        <x:f>IF(OR(AA346="",AB346=""),"PENDING_HUMAN",IF(AA346=AB346,AA346,IF(AD346&lt;&gt;"",AD346,"PENDING_HUMAN")))</x:f>
        <x:v>PENDING_HUMAN</x:v>
      </x:c>
      <x:c r="AF346" t="n">
        <x:f>--AND(A346&lt;&gt;"",AA346&lt;&gt;"",AB346&lt;&gt;"",OR(AA346=AB346,AD346&lt;&gt;""),IF(AE346="HALLUCINATION",U346&lt;&gt;"",TRUE))</x:f>
        <x:v>0</x:v>
      </x:c>
      <x:c r="AG346" t="n">
        <x:f>--AND(N346=1,AF346=1,OR(AE346="SUPPORTED",AE346="HALLUCINATION"))</x:f>
        <x:v>0</x:v>
      </x:c>
      <x:c r="AH346" t="n">
        <x:f>--AND(AG346=1,AE346="HALLUCINATION")</x:f>
        <x:v>0</x:v>
      </x:c>
      <x:c r="AI346" t="n">
        <x:f>--AND(Q346=1,AF346=1,AE346="HALLUCINATION")</x:f>
        <x:v>0</x:v>
      </x:c>
      <x:c r="AJ346" t="n">
        <x:f>--AND(AI346=1,R346=1,S346=1)</x:f>
        <x:v>0</x:v>
      </x:c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  <x:c r="V347" s="28"/>
      <x:c r="W347" s="43" t="n">
        <x:f>--AND(N347=1,OR(O347="SUPPORTED",O347="HALLUCINATION"))</x:f>
        <x:v>0</x:v>
      </x:c>
      <x:c r="X347" s="43" t="n">
        <x:f>--AND(W347=1,O347="HALLUCINATION")</x:f>
        <x:v>0</x:v>
      </x:c>
      <x:c r="Y347" s="43" t="n">
        <x:f>--AND(Q347=1,O347="HALLUCINATION")</x:f>
        <x:v>0</x:v>
      </x:c>
      <x:c r="Z347" s="43" t="n">
        <x:f>--AND(Y347=1,R347=1,S347=1)</x:f>
        <x:v>0</x:v>
      </x:c>
      <x:c r="AC347" t="str">
        <x:f>IF(OR(AA347="",AB347=""),"",--(AA347&lt;&gt;AB347))</x:f>
      </x:c>
      <x:c r="AE347" t="str">
        <x:f>IF(OR(AA347="",AB347=""),"PENDING_HUMAN",IF(AA347=AB347,AA347,IF(AD347&lt;&gt;"",AD347,"PENDING_HUMAN")))</x:f>
        <x:v>PENDING_HUMAN</x:v>
      </x:c>
      <x:c r="AF347" t="n">
        <x:f>--AND(A347&lt;&gt;"",AA347&lt;&gt;"",AB347&lt;&gt;"",OR(AA347=AB347,AD347&lt;&gt;""),IF(AE347="HALLUCINATION",U347&lt;&gt;"",TRUE))</x:f>
        <x:v>0</x:v>
      </x:c>
      <x:c r="AG347" t="n">
        <x:f>--AND(N347=1,AF347=1,OR(AE347="SUPPORTED",AE347="HALLUCINATION"))</x:f>
        <x:v>0</x:v>
      </x:c>
      <x:c r="AH347" t="n">
        <x:f>--AND(AG347=1,AE347="HALLUCINATION")</x:f>
        <x:v>0</x:v>
      </x:c>
      <x:c r="AI347" t="n">
        <x:f>--AND(Q347=1,AF347=1,AE347="HALLUCINATION")</x:f>
        <x:v>0</x:v>
      </x:c>
      <x:c r="AJ347" t="n">
        <x:f>--AND(AI347=1,R347=1,S347=1)</x:f>
        <x:v>0</x:v>
      </x:c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  <x:c r="V348" s="28"/>
      <x:c r="W348" s="43" t="n">
        <x:f>--AND(N348=1,OR(O348="SUPPORTED",O348="HALLUCINATION"))</x:f>
        <x:v>0</x:v>
      </x:c>
      <x:c r="X348" s="43" t="n">
        <x:f>--AND(W348=1,O348="HALLUCINATION")</x:f>
        <x:v>0</x:v>
      </x:c>
      <x:c r="Y348" s="43" t="n">
        <x:f>--AND(Q348=1,O348="HALLUCINATION")</x:f>
        <x:v>0</x:v>
      </x:c>
      <x:c r="Z348" s="43" t="n">
        <x:f>--AND(Y348=1,R348=1,S348=1)</x:f>
        <x:v>0</x:v>
      </x:c>
      <x:c r="AC348" t="str">
        <x:f>IF(OR(AA348="",AB348=""),"",--(AA348&lt;&gt;AB348))</x:f>
      </x:c>
      <x:c r="AE348" t="str">
        <x:f>IF(OR(AA348="",AB348=""),"PENDING_HUMAN",IF(AA348=AB348,AA348,IF(AD348&lt;&gt;"",AD348,"PENDING_HUMAN")))</x:f>
        <x:v>PENDING_HUMAN</x:v>
      </x:c>
      <x:c r="AF348" t="n">
        <x:f>--AND(A348&lt;&gt;"",AA348&lt;&gt;"",AB348&lt;&gt;"",OR(AA348=AB348,AD348&lt;&gt;""),IF(AE348="HALLUCINATION",U348&lt;&gt;"",TRUE))</x:f>
        <x:v>0</x:v>
      </x:c>
      <x:c r="AG348" t="n">
        <x:f>--AND(N348=1,AF348=1,OR(AE348="SUPPORTED",AE348="HALLUCINATION"))</x:f>
        <x:v>0</x:v>
      </x:c>
      <x:c r="AH348" t="n">
        <x:f>--AND(AG348=1,AE348="HALLUCINATION")</x:f>
        <x:v>0</x:v>
      </x:c>
      <x:c r="AI348" t="n">
        <x:f>--AND(Q348=1,AF348=1,AE348="HALLUCINATION")</x:f>
        <x:v>0</x:v>
      </x:c>
      <x:c r="AJ348" t="n">
        <x:f>--AND(AI348=1,R348=1,S348=1)</x:f>
        <x:v>0</x:v>
      </x:c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  <x:c r="V349" s="28"/>
      <x:c r="W349" s="43" t="n">
        <x:f>--AND(N349=1,OR(O349="SUPPORTED",O349="HALLUCINATION"))</x:f>
        <x:v>0</x:v>
      </x:c>
      <x:c r="X349" s="43" t="n">
        <x:f>--AND(W349=1,O349="HALLUCINATION")</x:f>
        <x:v>0</x:v>
      </x:c>
      <x:c r="Y349" s="43" t="n">
        <x:f>--AND(Q349=1,O349="HALLUCINATION")</x:f>
        <x:v>0</x:v>
      </x:c>
      <x:c r="Z349" s="43" t="n">
        <x:f>--AND(Y349=1,R349=1,S349=1)</x:f>
        <x:v>0</x:v>
      </x:c>
      <x:c r="AC349" t="str">
        <x:f>IF(OR(AA349="",AB349=""),"",--(AA349&lt;&gt;AB349))</x:f>
      </x:c>
      <x:c r="AE349" t="str">
        <x:f>IF(OR(AA349="",AB349=""),"PENDING_HUMAN",IF(AA349=AB349,AA349,IF(AD349&lt;&gt;"",AD349,"PENDING_HUMAN")))</x:f>
        <x:v>PENDING_HUMAN</x:v>
      </x:c>
      <x:c r="AF349" t="n">
        <x:f>--AND(A349&lt;&gt;"",AA349&lt;&gt;"",AB349&lt;&gt;"",OR(AA349=AB349,AD349&lt;&gt;""),IF(AE349="HALLUCINATION",U349&lt;&gt;"",TRUE))</x:f>
        <x:v>0</x:v>
      </x:c>
      <x:c r="AG349" t="n">
        <x:f>--AND(N349=1,AF349=1,OR(AE349="SUPPORTED",AE349="HALLUCINATION"))</x:f>
        <x:v>0</x:v>
      </x:c>
      <x:c r="AH349" t="n">
        <x:f>--AND(AG349=1,AE349="HALLUCINATION")</x:f>
        <x:v>0</x:v>
      </x:c>
      <x:c r="AI349" t="n">
        <x:f>--AND(Q349=1,AF349=1,AE349="HALLUCINATION")</x:f>
        <x:v>0</x:v>
      </x:c>
      <x:c r="AJ349" t="n">
        <x:f>--AND(AI349=1,R349=1,S349=1)</x:f>
        <x:v>0</x:v>
      </x:c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  <x:c r="V350" s="28"/>
      <x:c r="W350" s="43" t="n">
        <x:f>--AND(N350=1,OR(O350="SUPPORTED",O350="HALLUCINATION"))</x:f>
        <x:v>0</x:v>
      </x:c>
      <x:c r="X350" s="43" t="n">
        <x:f>--AND(W350=1,O350="HALLUCINATION")</x:f>
        <x:v>0</x:v>
      </x:c>
      <x:c r="Y350" s="43" t="n">
        <x:f>--AND(Q350=1,O350="HALLUCINATION")</x:f>
        <x:v>0</x:v>
      </x:c>
      <x:c r="Z350" s="43" t="n">
        <x:f>--AND(Y350=1,R350=1,S350=1)</x:f>
        <x:v>0</x:v>
      </x:c>
      <x:c r="AC350" t="str">
        <x:f>IF(OR(AA350="",AB350=""),"",--(AA350&lt;&gt;AB350))</x:f>
      </x:c>
      <x:c r="AE350" t="str">
        <x:f>IF(OR(AA350="",AB350=""),"PENDING_HUMAN",IF(AA350=AB350,AA350,IF(AD350&lt;&gt;"",AD350,"PENDING_HUMAN")))</x:f>
        <x:v>PENDING_HUMAN</x:v>
      </x:c>
      <x:c r="AF350" t="n">
        <x:f>--AND(A350&lt;&gt;"",AA350&lt;&gt;"",AB350&lt;&gt;"",OR(AA350=AB350,AD350&lt;&gt;""),IF(AE350="HALLUCINATION",U350&lt;&gt;"",TRUE))</x:f>
        <x:v>0</x:v>
      </x:c>
      <x:c r="AG350" t="n">
        <x:f>--AND(N350=1,AF350=1,OR(AE350="SUPPORTED",AE350="HALLUCINATION"))</x:f>
        <x:v>0</x:v>
      </x:c>
      <x:c r="AH350" t="n">
        <x:f>--AND(AG350=1,AE350="HALLUCINATION")</x:f>
        <x:v>0</x:v>
      </x:c>
      <x:c r="AI350" t="n">
        <x:f>--AND(Q350=1,AF350=1,AE350="HALLUCINATION")</x:f>
        <x:v>0</x:v>
      </x:c>
      <x:c r="AJ350" t="n">
        <x:f>--AND(AI350=1,R350=1,S350=1)</x:f>
        <x:v>0</x:v>
      </x:c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  <x:c r="V351" s="28"/>
      <x:c r="W351" s="43" t="n">
        <x:f>--AND(N351=1,OR(O351="SUPPORTED",O351="HALLUCINATION"))</x:f>
        <x:v>0</x:v>
      </x:c>
      <x:c r="X351" s="43" t="n">
        <x:f>--AND(W351=1,O351="HALLUCINATION")</x:f>
        <x:v>0</x:v>
      </x:c>
      <x:c r="Y351" s="43" t="n">
        <x:f>--AND(Q351=1,O351="HALLUCINATION")</x:f>
        <x:v>0</x:v>
      </x:c>
      <x:c r="Z351" s="43" t="n">
        <x:f>--AND(Y351=1,R351=1,S351=1)</x:f>
        <x:v>0</x:v>
      </x:c>
      <x:c r="AC351" t="str">
        <x:f>IF(OR(AA351="",AB351=""),"",--(AA351&lt;&gt;AB351))</x:f>
      </x:c>
      <x:c r="AE351" t="str">
        <x:f>IF(OR(AA351="",AB351=""),"PENDING_HUMAN",IF(AA351=AB351,AA351,IF(AD351&lt;&gt;"",AD351,"PENDING_HUMAN")))</x:f>
        <x:v>PENDING_HUMAN</x:v>
      </x:c>
      <x:c r="AF351" t="n">
        <x:f>--AND(A351&lt;&gt;"",AA351&lt;&gt;"",AB351&lt;&gt;"",OR(AA351=AB351,AD351&lt;&gt;""),IF(AE351="HALLUCINATION",U351&lt;&gt;"",TRUE))</x:f>
        <x:v>0</x:v>
      </x:c>
      <x:c r="AG351" t="n">
        <x:f>--AND(N351=1,AF351=1,OR(AE351="SUPPORTED",AE351="HALLUCINATION"))</x:f>
        <x:v>0</x:v>
      </x:c>
      <x:c r="AH351" t="n">
        <x:f>--AND(AG351=1,AE351="HALLUCINATION")</x:f>
        <x:v>0</x:v>
      </x:c>
      <x:c r="AI351" t="n">
        <x:f>--AND(Q351=1,AF351=1,AE351="HALLUCINATION")</x:f>
        <x:v>0</x:v>
      </x:c>
      <x:c r="AJ351" t="n">
        <x:f>--AND(AI351=1,R351=1,S351=1)</x:f>
        <x:v>0</x:v>
      </x:c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  <x:c r="V352" s="28"/>
      <x:c r="W352" s="43" t="n">
        <x:f>--AND(N352=1,OR(O352="SUPPORTED",O352="HALLUCINATION"))</x:f>
        <x:v>0</x:v>
      </x:c>
      <x:c r="X352" s="43" t="n">
        <x:f>--AND(W352=1,O352="HALLUCINATION")</x:f>
        <x:v>0</x:v>
      </x:c>
      <x:c r="Y352" s="43" t="n">
        <x:f>--AND(Q352=1,O352="HALLUCINATION")</x:f>
        <x:v>0</x:v>
      </x:c>
      <x:c r="Z352" s="43" t="n">
        <x:f>--AND(Y352=1,R352=1,S352=1)</x:f>
        <x:v>0</x:v>
      </x:c>
      <x:c r="AC352" t="str">
        <x:f>IF(OR(AA352="",AB352=""),"",--(AA352&lt;&gt;AB352))</x:f>
      </x:c>
      <x:c r="AE352" t="str">
        <x:f>IF(OR(AA352="",AB352=""),"PENDING_HUMAN",IF(AA352=AB352,AA352,IF(AD352&lt;&gt;"",AD352,"PENDING_HUMAN")))</x:f>
        <x:v>PENDING_HUMAN</x:v>
      </x:c>
      <x:c r="AF352" t="n">
        <x:f>--AND(A352&lt;&gt;"",AA352&lt;&gt;"",AB352&lt;&gt;"",OR(AA352=AB352,AD352&lt;&gt;""),IF(AE352="HALLUCINATION",U352&lt;&gt;"",TRUE))</x:f>
        <x:v>0</x:v>
      </x:c>
      <x:c r="AG352" t="n">
        <x:f>--AND(N352=1,AF352=1,OR(AE352="SUPPORTED",AE352="HALLUCINATION"))</x:f>
        <x:v>0</x:v>
      </x:c>
      <x:c r="AH352" t="n">
        <x:f>--AND(AG352=1,AE352="HALLUCINATION")</x:f>
        <x:v>0</x:v>
      </x:c>
      <x:c r="AI352" t="n">
        <x:f>--AND(Q352=1,AF352=1,AE352="HALLUCINATION")</x:f>
        <x:v>0</x:v>
      </x:c>
      <x:c r="AJ352" t="n">
        <x:f>--AND(AI352=1,R352=1,S352=1)</x:f>
        <x:v>0</x:v>
      </x:c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  <x:c r="V353" s="28"/>
      <x:c r="W353" s="43" t="n">
        <x:f>--AND(N353=1,OR(O353="SUPPORTED",O353="HALLUCINATION"))</x:f>
        <x:v>0</x:v>
      </x:c>
      <x:c r="X353" s="43" t="n">
        <x:f>--AND(W353=1,O353="HALLUCINATION")</x:f>
        <x:v>0</x:v>
      </x:c>
      <x:c r="Y353" s="43" t="n">
        <x:f>--AND(Q353=1,O353="HALLUCINATION")</x:f>
        <x:v>0</x:v>
      </x:c>
      <x:c r="Z353" s="43" t="n">
        <x:f>--AND(Y353=1,R353=1,S353=1)</x:f>
        <x:v>0</x:v>
      </x:c>
      <x:c r="AC353" t="str">
        <x:f>IF(OR(AA353="",AB353=""),"",--(AA353&lt;&gt;AB353))</x:f>
      </x:c>
      <x:c r="AE353" t="str">
        <x:f>IF(OR(AA353="",AB353=""),"PENDING_HUMAN",IF(AA353=AB353,AA353,IF(AD353&lt;&gt;"",AD353,"PENDING_HUMAN")))</x:f>
        <x:v>PENDING_HUMAN</x:v>
      </x:c>
      <x:c r="AF353" t="n">
        <x:f>--AND(A353&lt;&gt;"",AA353&lt;&gt;"",AB353&lt;&gt;"",OR(AA353=AB353,AD353&lt;&gt;""),IF(AE353="HALLUCINATION",U353&lt;&gt;"",TRUE))</x:f>
        <x:v>0</x:v>
      </x:c>
      <x:c r="AG353" t="n">
        <x:f>--AND(N353=1,AF353=1,OR(AE353="SUPPORTED",AE353="HALLUCINATION"))</x:f>
        <x:v>0</x:v>
      </x:c>
      <x:c r="AH353" t="n">
        <x:f>--AND(AG353=1,AE353="HALLUCINATION")</x:f>
        <x:v>0</x:v>
      </x:c>
      <x:c r="AI353" t="n">
        <x:f>--AND(Q353=1,AF353=1,AE353="HALLUCINATION")</x:f>
        <x:v>0</x:v>
      </x:c>
      <x:c r="AJ353" t="n">
        <x:f>--AND(AI353=1,R353=1,S353=1)</x:f>
        <x:v>0</x:v>
      </x:c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  <x:c r="V354" s="28"/>
      <x:c r="W354" s="43" t="n">
        <x:f>--AND(N354=1,OR(O354="SUPPORTED",O354="HALLUCINATION"))</x:f>
        <x:v>0</x:v>
      </x:c>
      <x:c r="X354" s="43" t="n">
        <x:f>--AND(W354=1,O354="HALLUCINATION")</x:f>
        <x:v>0</x:v>
      </x:c>
      <x:c r="Y354" s="43" t="n">
        <x:f>--AND(Q354=1,O354="HALLUCINATION")</x:f>
        <x:v>0</x:v>
      </x:c>
      <x:c r="Z354" s="43" t="n">
        <x:f>--AND(Y354=1,R354=1,S354=1)</x:f>
        <x:v>0</x:v>
      </x:c>
      <x:c r="AC354" t="str">
        <x:f>IF(OR(AA354="",AB354=""),"",--(AA354&lt;&gt;AB354))</x:f>
      </x:c>
      <x:c r="AE354" t="str">
        <x:f>IF(OR(AA354="",AB354=""),"PENDING_HUMAN",IF(AA354=AB354,AA354,IF(AD354&lt;&gt;"",AD354,"PENDING_HUMAN")))</x:f>
        <x:v>PENDING_HUMAN</x:v>
      </x:c>
      <x:c r="AF354" t="n">
        <x:f>--AND(A354&lt;&gt;"",AA354&lt;&gt;"",AB354&lt;&gt;"",OR(AA354=AB354,AD354&lt;&gt;""),IF(AE354="HALLUCINATION",U354&lt;&gt;"",TRUE))</x:f>
        <x:v>0</x:v>
      </x:c>
      <x:c r="AG354" t="n">
        <x:f>--AND(N354=1,AF354=1,OR(AE354="SUPPORTED",AE354="HALLUCINATION"))</x:f>
        <x:v>0</x:v>
      </x:c>
      <x:c r="AH354" t="n">
        <x:f>--AND(AG354=1,AE354="HALLUCINATION")</x:f>
        <x:v>0</x:v>
      </x:c>
      <x:c r="AI354" t="n">
        <x:f>--AND(Q354=1,AF354=1,AE354="HALLUCINATION")</x:f>
        <x:v>0</x:v>
      </x:c>
      <x:c r="AJ354" t="n">
        <x:f>--AND(AI354=1,R354=1,S354=1)</x:f>
        <x:v>0</x:v>
      </x:c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  <x:c r="V355" s="28"/>
      <x:c r="W355" s="43" t="n">
        <x:f>--AND(N355=1,OR(O355="SUPPORTED",O355="HALLUCINATION"))</x:f>
        <x:v>0</x:v>
      </x:c>
      <x:c r="X355" s="43" t="n">
        <x:f>--AND(W355=1,O355="HALLUCINATION")</x:f>
        <x:v>0</x:v>
      </x:c>
      <x:c r="Y355" s="43" t="n">
        <x:f>--AND(Q355=1,O355="HALLUCINATION")</x:f>
        <x:v>0</x:v>
      </x:c>
      <x:c r="Z355" s="43" t="n">
        <x:f>--AND(Y355=1,R355=1,S355=1)</x:f>
        <x:v>0</x:v>
      </x:c>
      <x:c r="AC355" t="str">
        <x:f>IF(OR(AA355="",AB355=""),"",--(AA355&lt;&gt;AB355))</x:f>
      </x:c>
      <x:c r="AE355" t="str">
        <x:f>IF(OR(AA355="",AB355=""),"PENDING_HUMAN",IF(AA355=AB355,AA355,IF(AD355&lt;&gt;"",AD355,"PENDING_HUMAN")))</x:f>
        <x:v>PENDING_HUMAN</x:v>
      </x:c>
      <x:c r="AF355" t="n">
        <x:f>--AND(A355&lt;&gt;"",AA355&lt;&gt;"",AB355&lt;&gt;"",OR(AA355=AB355,AD355&lt;&gt;""),IF(AE355="HALLUCINATION",U355&lt;&gt;"",TRUE))</x:f>
        <x:v>0</x:v>
      </x:c>
      <x:c r="AG355" t="n">
        <x:f>--AND(N355=1,AF355=1,OR(AE355="SUPPORTED",AE355="HALLUCINATION"))</x:f>
        <x:v>0</x:v>
      </x:c>
      <x:c r="AH355" t="n">
        <x:f>--AND(AG355=1,AE355="HALLUCINATION")</x:f>
        <x:v>0</x:v>
      </x:c>
      <x:c r="AI355" t="n">
        <x:f>--AND(Q355=1,AF355=1,AE355="HALLUCINATION")</x:f>
        <x:v>0</x:v>
      </x:c>
      <x:c r="AJ355" t="n">
        <x:f>--AND(AI355=1,R355=1,S355=1)</x:f>
        <x:v>0</x:v>
      </x:c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  <x:c r="V356" s="28"/>
      <x:c r="W356" s="43" t="n">
        <x:f>--AND(N356=1,OR(O356="SUPPORTED",O356="HALLUCINATION"))</x:f>
        <x:v>0</x:v>
      </x:c>
      <x:c r="X356" s="43" t="n">
        <x:f>--AND(W356=1,O356="HALLUCINATION")</x:f>
        <x:v>0</x:v>
      </x:c>
      <x:c r="Y356" s="43" t="n">
        <x:f>--AND(Q356=1,O356="HALLUCINATION")</x:f>
        <x:v>0</x:v>
      </x:c>
      <x:c r="Z356" s="43" t="n">
        <x:f>--AND(Y356=1,R356=1,S356=1)</x:f>
        <x:v>0</x:v>
      </x:c>
      <x:c r="AC356" t="str">
        <x:f>IF(OR(AA356="",AB356=""),"",--(AA356&lt;&gt;AB356))</x:f>
      </x:c>
      <x:c r="AE356" t="str">
        <x:f>IF(OR(AA356="",AB356=""),"PENDING_HUMAN",IF(AA356=AB356,AA356,IF(AD356&lt;&gt;"",AD356,"PENDING_HUMAN")))</x:f>
        <x:v>PENDING_HUMAN</x:v>
      </x:c>
      <x:c r="AF356" t="n">
        <x:f>--AND(A356&lt;&gt;"",AA356&lt;&gt;"",AB356&lt;&gt;"",OR(AA356=AB356,AD356&lt;&gt;""),IF(AE356="HALLUCINATION",U356&lt;&gt;"",TRUE))</x:f>
        <x:v>0</x:v>
      </x:c>
      <x:c r="AG356" t="n">
        <x:f>--AND(N356=1,AF356=1,OR(AE356="SUPPORTED",AE356="HALLUCINATION"))</x:f>
        <x:v>0</x:v>
      </x:c>
      <x:c r="AH356" t="n">
        <x:f>--AND(AG356=1,AE356="HALLUCINATION")</x:f>
        <x:v>0</x:v>
      </x:c>
      <x:c r="AI356" t="n">
        <x:f>--AND(Q356=1,AF356=1,AE356="HALLUCINATION")</x:f>
        <x:v>0</x:v>
      </x:c>
      <x:c r="AJ356" t="n">
        <x:f>--AND(AI356=1,R356=1,S356=1)</x:f>
        <x:v>0</x:v>
      </x:c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  <x:c r="V357" s="28"/>
      <x:c r="W357" s="43" t="n">
        <x:f>--AND(N357=1,OR(O357="SUPPORTED",O357="HALLUCINATION"))</x:f>
        <x:v>0</x:v>
      </x:c>
      <x:c r="X357" s="43" t="n">
        <x:f>--AND(W357=1,O357="HALLUCINATION")</x:f>
        <x:v>0</x:v>
      </x:c>
      <x:c r="Y357" s="43" t="n">
        <x:f>--AND(Q357=1,O357="HALLUCINATION")</x:f>
        <x:v>0</x:v>
      </x:c>
      <x:c r="Z357" s="43" t="n">
        <x:f>--AND(Y357=1,R357=1,S357=1)</x:f>
        <x:v>0</x:v>
      </x:c>
      <x:c r="AC357" t="str">
        <x:f>IF(OR(AA357="",AB357=""),"",--(AA357&lt;&gt;AB357))</x:f>
      </x:c>
      <x:c r="AE357" t="str">
        <x:f>IF(OR(AA357="",AB357=""),"PENDING_HUMAN",IF(AA357=AB357,AA357,IF(AD357&lt;&gt;"",AD357,"PENDING_HUMAN")))</x:f>
        <x:v>PENDING_HUMAN</x:v>
      </x:c>
      <x:c r="AF357" t="n">
        <x:f>--AND(A357&lt;&gt;"",AA357&lt;&gt;"",AB357&lt;&gt;"",OR(AA357=AB357,AD357&lt;&gt;""),IF(AE357="HALLUCINATION",U357&lt;&gt;"",TRUE))</x:f>
        <x:v>0</x:v>
      </x:c>
      <x:c r="AG357" t="n">
        <x:f>--AND(N357=1,AF357=1,OR(AE357="SUPPORTED",AE357="HALLUCINATION"))</x:f>
        <x:v>0</x:v>
      </x:c>
      <x:c r="AH357" t="n">
        <x:f>--AND(AG357=1,AE357="HALLUCINATION")</x:f>
        <x:v>0</x:v>
      </x:c>
      <x:c r="AI357" t="n">
        <x:f>--AND(Q357=1,AF357=1,AE357="HALLUCINATION")</x:f>
        <x:v>0</x:v>
      </x:c>
      <x:c r="AJ357" t="n">
        <x:f>--AND(AI357=1,R357=1,S357=1)</x:f>
        <x:v>0</x:v>
      </x:c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  <x:c r="V358" s="28"/>
      <x:c r="W358" s="43" t="n">
        <x:f>--AND(N358=1,OR(O358="SUPPORTED",O358="HALLUCINATION"))</x:f>
        <x:v>0</x:v>
      </x:c>
      <x:c r="X358" s="43" t="n">
        <x:f>--AND(W358=1,O358="HALLUCINATION")</x:f>
        <x:v>0</x:v>
      </x:c>
      <x:c r="Y358" s="43" t="n">
        <x:f>--AND(Q358=1,O358="HALLUCINATION")</x:f>
        <x:v>0</x:v>
      </x:c>
      <x:c r="Z358" s="43" t="n">
        <x:f>--AND(Y358=1,R358=1,S358=1)</x:f>
        <x:v>0</x:v>
      </x:c>
      <x:c r="AC358" t="str">
        <x:f>IF(OR(AA358="",AB358=""),"",--(AA358&lt;&gt;AB358))</x:f>
      </x:c>
      <x:c r="AE358" t="str">
        <x:f>IF(OR(AA358="",AB358=""),"PENDING_HUMAN",IF(AA358=AB358,AA358,IF(AD358&lt;&gt;"",AD358,"PENDING_HUMAN")))</x:f>
        <x:v>PENDING_HUMAN</x:v>
      </x:c>
      <x:c r="AF358" t="n">
        <x:f>--AND(A358&lt;&gt;"",AA358&lt;&gt;"",AB358&lt;&gt;"",OR(AA358=AB358,AD358&lt;&gt;""),IF(AE358="HALLUCINATION",U358&lt;&gt;"",TRUE))</x:f>
        <x:v>0</x:v>
      </x:c>
      <x:c r="AG358" t="n">
        <x:f>--AND(N358=1,AF358=1,OR(AE358="SUPPORTED",AE358="HALLUCINATION"))</x:f>
        <x:v>0</x:v>
      </x:c>
      <x:c r="AH358" t="n">
        <x:f>--AND(AG358=1,AE358="HALLUCINATION")</x:f>
        <x:v>0</x:v>
      </x:c>
      <x:c r="AI358" t="n">
        <x:f>--AND(Q358=1,AF358=1,AE358="HALLUCINATION")</x:f>
        <x:v>0</x:v>
      </x:c>
      <x:c r="AJ358" t="n">
        <x:f>--AND(AI358=1,R358=1,S358=1)</x:f>
        <x:v>0</x:v>
      </x:c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  <x:c r="V359" s="28"/>
      <x:c r="W359" s="43" t="n">
        <x:f>--AND(N359=1,OR(O359="SUPPORTED",O359="HALLUCINATION"))</x:f>
        <x:v>0</x:v>
      </x:c>
      <x:c r="X359" s="43" t="n">
        <x:f>--AND(W359=1,O359="HALLUCINATION")</x:f>
        <x:v>0</x:v>
      </x:c>
      <x:c r="Y359" s="43" t="n">
        <x:f>--AND(Q359=1,O359="HALLUCINATION")</x:f>
        <x:v>0</x:v>
      </x:c>
      <x:c r="Z359" s="43" t="n">
        <x:f>--AND(Y359=1,R359=1,S359=1)</x:f>
        <x:v>0</x:v>
      </x:c>
      <x:c r="AC359" t="str">
        <x:f>IF(OR(AA359="",AB359=""),"",--(AA359&lt;&gt;AB359))</x:f>
      </x:c>
      <x:c r="AE359" t="str">
        <x:f>IF(OR(AA359="",AB359=""),"PENDING_HUMAN",IF(AA359=AB359,AA359,IF(AD359&lt;&gt;"",AD359,"PENDING_HUMAN")))</x:f>
        <x:v>PENDING_HUMAN</x:v>
      </x:c>
      <x:c r="AF359" t="n">
        <x:f>--AND(A359&lt;&gt;"",AA359&lt;&gt;"",AB359&lt;&gt;"",OR(AA359=AB359,AD359&lt;&gt;""),IF(AE359="HALLUCINATION",U359&lt;&gt;"",TRUE))</x:f>
        <x:v>0</x:v>
      </x:c>
      <x:c r="AG359" t="n">
        <x:f>--AND(N359=1,AF359=1,OR(AE359="SUPPORTED",AE359="HALLUCINATION"))</x:f>
        <x:v>0</x:v>
      </x:c>
      <x:c r="AH359" t="n">
        <x:f>--AND(AG359=1,AE359="HALLUCINATION")</x:f>
        <x:v>0</x:v>
      </x:c>
      <x:c r="AI359" t="n">
        <x:f>--AND(Q359=1,AF359=1,AE359="HALLUCINATION")</x:f>
        <x:v>0</x:v>
      </x:c>
      <x:c r="AJ359" t="n">
        <x:f>--AND(AI359=1,R359=1,S359=1)</x:f>
        <x:v>0</x:v>
      </x:c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  <x:c r="V360" s="28"/>
      <x:c r="W360" s="43" t="n">
        <x:f>--AND(N360=1,OR(O360="SUPPORTED",O360="HALLUCINATION"))</x:f>
        <x:v>0</x:v>
      </x:c>
      <x:c r="X360" s="43" t="n">
        <x:f>--AND(W360=1,O360="HALLUCINATION")</x:f>
        <x:v>0</x:v>
      </x:c>
      <x:c r="Y360" s="43" t="n">
        <x:f>--AND(Q360=1,O360="HALLUCINATION")</x:f>
        <x:v>0</x:v>
      </x:c>
      <x:c r="Z360" s="43" t="n">
        <x:f>--AND(Y360=1,R360=1,S360=1)</x:f>
        <x:v>0</x:v>
      </x:c>
      <x:c r="AC360" t="str">
        <x:f>IF(OR(AA360="",AB360=""),"",--(AA360&lt;&gt;AB360))</x:f>
      </x:c>
      <x:c r="AE360" t="str">
        <x:f>IF(OR(AA360="",AB360=""),"PENDING_HUMAN",IF(AA360=AB360,AA360,IF(AD360&lt;&gt;"",AD360,"PENDING_HUMAN")))</x:f>
        <x:v>PENDING_HUMAN</x:v>
      </x:c>
      <x:c r="AF360" t="n">
        <x:f>--AND(A360&lt;&gt;"",AA360&lt;&gt;"",AB360&lt;&gt;"",OR(AA360=AB360,AD360&lt;&gt;""),IF(AE360="HALLUCINATION",U360&lt;&gt;"",TRUE))</x:f>
        <x:v>0</x:v>
      </x:c>
      <x:c r="AG360" t="n">
        <x:f>--AND(N360=1,AF360=1,OR(AE360="SUPPORTED",AE360="HALLUCINATION"))</x:f>
        <x:v>0</x:v>
      </x:c>
      <x:c r="AH360" t="n">
        <x:f>--AND(AG360=1,AE360="HALLUCINATION")</x:f>
        <x:v>0</x:v>
      </x:c>
      <x:c r="AI360" t="n">
        <x:f>--AND(Q360=1,AF360=1,AE360="HALLUCINATION")</x:f>
        <x:v>0</x:v>
      </x:c>
      <x:c r="AJ360" t="n">
        <x:f>--AND(AI360=1,R360=1,S360=1)</x:f>
        <x:v>0</x:v>
      </x:c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  <x:c r="V361" s="28"/>
      <x:c r="W361" s="43" t="n">
        <x:f>--AND(N361=1,OR(O361="SUPPORTED",O361="HALLUCINATION"))</x:f>
        <x:v>0</x:v>
      </x:c>
      <x:c r="X361" s="43" t="n">
        <x:f>--AND(W361=1,O361="HALLUCINATION")</x:f>
        <x:v>0</x:v>
      </x:c>
      <x:c r="Y361" s="43" t="n">
        <x:f>--AND(Q361=1,O361="HALLUCINATION")</x:f>
        <x:v>0</x:v>
      </x:c>
      <x:c r="Z361" s="43" t="n">
        <x:f>--AND(Y361=1,R361=1,S361=1)</x:f>
        <x:v>0</x:v>
      </x:c>
      <x:c r="AC361" t="str">
        <x:f>IF(OR(AA361="",AB361=""),"",--(AA361&lt;&gt;AB361))</x:f>
      </x:c>
      <x:c r="AE361" t="str">
        <x:f>IF(OR(AA361="",AB361=""),"PENDING_HUMAN",IF(AA361=AB361,AA361,IF(AD361&lt;&gt;"",AD361,"PENDING_HUMAN")))</x:f>
        <x:v>PENDING_HUMAN</x:v>
      </x:c>
      <x:c r="AF361" t="n">
        <x:f>--AND(A361&lt;&gt;"",AA361&lt;&gt;"",AB361&lt;&gt;"",OR(AA361=AB361,AD361&lt;&gt;""),IF(AE361="HALLUCINATION",U361&lt;&gt;"",TRUE))</x:f>
        <x:v>0</x:v>
      </x:c>
      <x:c r="AG361" t="n">
        <x:f>--AND(N361=1,AF361=1,OR(AE361="SUPPORTED",AE361="HALLUCINATION"))</x:f>
        <x:v>0</x:v>
      </x:c>
      <x:c r="AH361" t="n">
        <x:f>--AND(AG361=1,AE361="HALLUCINATION")</x:f>
        <x:v>0</x:v>
      </x:c>
      <x:c r="AI361" t="n">
        <x:f>--AND(Q361=1,AF361=1,AE361="HALLUCINATION")</x:f>
        <x:v>0</x:v>
      </x:c>
      <x:c r="AJ361" t="n">
        <x:f>--AND(AI361=1,R361=1,S361=1)</x:f>
        <x:v>0</x:v>
      </x:c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  <x:c r="V362" s="28"/>
      <x:c r="W362" s="43" t="n">
        <x:f>--AND(N362=1,OR(O362="SUPPORTED",O362="HALLUCINATION"))</x:f>
        <x:v>0</x:v>
      </x:c>
      <x:c r="X362" s="43" t="n">
        <x:f>--AND(W362=1,O362="HALLUCINATION")</x:f>
        <x:v>0</x:v>
      </x:c>
      <x:c r="Y362" s="43" t="n">
        <x:f>--AND(Q362=1,O362="HALLUCINATION")</x:f>
        <x:v>0</x:v>
      </x:c>
      <x:c r="Z362" s="43" t="n">
        <x:f>--AND(Y362=1,R362=1,S362=1)</x:f>
        <x:v>0</x:v>
      </x:c>
      <x:c r="AC362" t="str">
        <x:f>IF(OR(AA362="",AB362=""),"",--(AA362&lt;&gt;AB362))</x:f>
      </x:c>
      <x:c r="AE362" t="str">
        <x:f>IF(OR(AA362="",AB362=""),"PENDING_HUMAN",IF(AA362=AB362,AA362,IF(AD362&lt;&gt;"",AD362,"PENDING_HUMAN")))</x:f>
        <x:v>PENDING_HUMAN</x:v>
      </x:c>
      <x:c r="AF362" t="n">
        <x:f>--AND(A362&lt;&gt;"",AA362&lt;&gt;"",AB362&lt;&gt;"",OR(AA362=AB362,AD362&lt;&gt;""),IF(AE362="HALLUCINATION",U362&lt;&gt;"",TRUE))</x:f>
        <x:v>0</x:v>
      </x:c>
      <x:c r="AG362" t="n">
        <x:f>--AND(N362=1,AF362=1,OR(AE362="SUPPORTED",AE362="HALLUCINATION"))</x:f>
        <x:v>0</x:v>
      </x:c>
      <x:c r="AH362" t="n">
        <x:f>--AND(AG362=1,AE362="HALLUCINATION")</x:f>
        <x:v>0</x:v>
      </x:c>
      <x:c r="AI362" t="n">
        <x:f>--AND(Q362=1,AF362=1,AE362="HALLUCINATION")</x:f>
        <x:v>0</x:v>
      </x:c>
      <x:c r="AJ362" t="n">
        <x:f>--AND(AI362=1,R362=1,S362=1)</x:f>
        <x:v>0</x:v>
      </x:c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  <x:c r="V363" s="28"/>
      <x:c r="W363" s="43" t="n">
        <x:f>--AND(N363=1,OR(O363="SUPPORTED",O363="HALLUCINATION"))</x:f>
        <x:v>0</x:v>
      </x:c>
      <x:c r="X363" s="43" t="n">
        <x:f>--AND(W363=1,O363="HALLUCINATION")</x:f>
        <x:v>0</x:v>
      </x:c>
      <x:c r="Y363" s="43" t="n">
        <x:f>--AND(Q363=1,O363="HALLUCINATION")</x:f>
        <x:v>0</x:v>
      </x:c>
      <x:c r="Z363" s="43" t="n">
        <x:f>--AND(Y363=1,R363=1,S363=1)</x:f>
        <x:v>0</x:v>
      </x:c>
      <x:c r="AC363" t="str">
        <x:f>IF(OR(AA363="",AB363=""),"",--(AA363&lt;&gt;AB363))</x:f>
      </x:c>
      <x:c r="AE363" t="str">
        <x:f>IF(OR(AA363="",AB363=""),"PENDING_HUMAN",IF(AA363=AB363,AA363,IF(AD363&lt;&gt;"",AD363,"PENDING_HUMAN")))</x:f>
        <x:v>PENDING_HUMAN</x:v>
      </x:c>
      <x:c r="AF363" t="n">
        <x:f>--AND(A363&lt;&gt;"",AA363&lt;&gt;"",AB363&lt;&gt;"",OR(AA363=AB363,AD363&lt;&gt;""),IF(AE363="HALLUCINATION",U363&lt;&gt;"",TRUE))</x:f>
        <x:v>0</x:v>
      </x:c>
      <x:c r="AG363" t="n">
        <x:f>--AND(N363=1,AF363=1,OR(AE363="SUPPORTED",AE363="HALLUCINATION"))</x:f>
        <x:v>0</x:v>
      </x:c>
      <x:c r="AH363" t="n">
        <x:f>--AND(AG363=1,AE363="HALLUCINATION")</x:f>
        <x:v>0</x:v>
      </x:c>
      <x:c r="AI363" t="n">
        <x:f>--AND(Q363=1,AF363=1,AE363="HALLUCINATION")</x:f>
        <x:v>0</x:v>
      </x:c>
      <x:c r="AJ363" t="n">
        <x:f>--AND(AI363=1,R363=1,S363=1)</x:f>
        <x:v>0</x:v>
      </x:c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  <x:c r="V364" s="28"/>
      <x:c r="W364" s="43" t="n">
        <x:f>--AND(N364=1,OR(O364="SUPPORTED",O364="HALLUCINATION"))</x:f>
        <x:v>0</x:v>
      </x:c>
      <x:c r="X364" s="43" t="n">
        <x:f>--AND(W364=1,O364="HALLUCINATION")</x:f>
        <x:v>0</x:v>
      </x:c>
      <x:c r="Y364" s="43" t="n">
        <x:f>--AND(Q364=1,O364="HALLUCINATION")</x:f>
        <x:v>0</x:v>
      </x:c>
      <x:c r="Z364" s="43" t="n">
        <x:f>--AND(Y364=1,R364=1,S364=1)</x:f>
        <x:v>0</x:v>
      </x:c>
      <x:c r="AC364" t="str">
        <x:f>IF(OR(AA364="",AB364=""),"",--(AA364&lt;&gt;AB364))</x:f>
      </x:c>
      <x:c r="AE364" t="str">
        <x:f>IF(OR(AA364="",AB364=""),"PENDING_HUMAN",IF(AA364=AB364,AA364,IF(AD364&lt;&gt;"",AD364,"PENDING_HUMAN")))</x:f>
        <x:v>PENDING_HUMAN</x:v>
      </x:c>
      <x:c r="AF364" t="n">
        <x:f>--AND(A364&lt;&gt;"",AA364&lt;&gt;"",AB364&lt;&gt;"",OR(AA364=AB364,AD364&lt;&gt;""),IF(AE364="HALLUCINATION",U364&lt;&gt;"",TRUE))</x:f>
        <x:v>0</x:v>
      </x:c>
      <x:c r="AG364" t="n">
        <x:f>--AND(N364=1,AF364=1,OR(AE364="SUPPORTED",AE364="HALLUCINATION"))</x:f>
        <x:v>0</x:v>
      </x:c>
      <x:c r="AH364" t="n">
        <x:f>--AND(AG364=1,AE364="HALLUCINATION")</x:f>
        <x:v>0</x:v>
      </x:c>
      <x:c r="AI364" t="n">
        <x:f>--AND(Q364=1,AF364=1,AE364="HALLUCINATION")</x:f>
        <x:v>0</x:v>
      </x:c>
      <x:c r="AJ364" t="n">
        <x:f>--AND(AI364=1,R364=1,S364=1)</x:f>
        <x:v>0</x:v>
      </x:c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  <x:c r="V365" s="28"/>
      <x:c r="W365" s="43" t="n">
        <x:f>--AND(N365=1,OR(O365="SUPPORTED",O365="HALLUCINATION"))</x:f>
        <x:v>0</x:v>
      </x:c>
      <x:c r="X365" s="43" t="n">
        <x:f>--AND(W365=1,O365="HALLUCINATION")</x:f>
        <x:v>0</x:v>
      </x:c>
      <x:c r="Y365" s="43" t="n">
        <x:f>--AND(Q365=1,O365="HALLUCINATION")</x:f>
        <x:v>0</x:v>
      </x:c>
      <x:c r="Z365" s="43" t="n">
        <x:f>--AND(Y365=1,R365=1,S365=1)</x:f>
        <x:v>0</x:v>
      </x:c>
      <x:c r="AC365" t="str">
        <x:f>IF(OR(AA365="",AB365=""),"",--(AA365&lt;&gt;AB365))</x:f>
      </x:c>
      <x:c r="AE365" t="str">
        <x:f>IF(OR(AA365="",AB365=""),"PENDING_HUMAN",IF(AA365=AB365,AA365,IF(AD365&lt;&gt;"",AD365,"PENDING_HUMAN")))</x:f>
        <x:v>PENDING_HUMAN</x:v>
      </x:c>
      <x:c r="AF365" t="n">
        <x:f>--AND(A365&lt;&gt;"",AA365&lt;&gt;"",AB365&lt;&gt;"",OR(AA365=AB365,AD365&lt;&gt;""),IF(AE365="HALLUCINATION",U365&lt;&gt;"",TRUE))</x:f>
        <x:v>0</x:v>
      </x:c>
      <x:c r="AG365" t="n">
        <x:f>--AND(N365=1,AF365=1,OR(AE365="SUPPORTED",AE365="HALLUCINATION"))</x:f>
        <x:v>0</x:v>
      </x:c>
      <x:c r="AH365" t="n">
        <x:f>--AND(AG365=1,AE365="HALLUCINATION")</x:f>
        <x:v>0</x:v>
      </x:c>
      <x:c r="AI365" t="n">
        <x:f>--AND(Q365=1,AF365=1,AE365="HALLUCINATION")</x:f>
        <x:v>0</x:v>
      </x:c>
      <x:c r="AJ365" t="n">
        <x:f>--AND(AI365=1,R365=1,S365=1)</x:f>
        <x:v>0</x:v>
      </x:c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  <x:c r="V366" s="28"/>
      <x:c r="W366" s="43" t="n">
        <x:f>--AND(N366=1,OR(O366="SUPPORTED",O366="HALLUCINATION"))</x:f>
        <x:v>0</x:v>
      </x:c>
      <x:c r="X366" s="43" t="n">
        <x:f>--AND(W366=1,O366="HALLUCINATION")</x:f>
        <x:v>0</x:v>
      </x:c>
      <x:c r="Y366" s="43" t="n">
        <x:f>--AND(Q366=1,O366="HALLUCINATION")</x:f>
        <x:v>0</x:v>
      </x:c>
      <x:c r="Z366" s="43" t="n">
        <x:f>--AND(Y366=1,R366=1,S366=1)</x:f>
        <x:v>0</x:v>
      </x:c>
      <x:c r="AC366" t="str">
        <x:f>IF(OR(AA366="",AB366=""),"",--(AA366&lt;&gt;AB366))</x:f>
      </x:c>
      <x:c r="AE366" t="str">
        <x:f>IF(OR(AA366="",AB366=""),"PENDING_HUMAN",IF(AA366=AB366,AA366,IF(AD366&lt;&gt;"",AD366,"PENDING_HUMAN")))</x:f>
        <x:v>PENDING_HUMAN</x:v>
      </x:c>
      <x:c r="AF366" t="n">
        <x:f>--AND(A366&lt;&gt;"",AA366&lt;&gt;"",AB366&lt;&gt;"",OR(AA366=AB366,AD366&lt;&gt;""),IF(AE366="HALLUCINATION",U366&lt;&gt;"",TRUE))</x:f>
        <x:v>0</x:v>
      </x:c>
      <x:c r="AG366" t="n">
        <x:f>--AND(N366=1,AF366=1,OR(AE366="SUPPORTED",AE366="HALLUCINATION"))</x:f>
        <x:v>0</x:v>
      </x:c>
      <x:c r="AH366" t="n">
        <x:f>--AND(AG366=1,AE366="HALLUCINATION")</x:f>
        <x:v>0</x:v>
      </x:c>
      <x:c r="AI366" t="n">
        <x:f>--AND(Q366=1,AF366=1,AE366="HALLUCINATION")</x:f>
        <x:v>0</x:v>
      </x:c>
      <x:c r="AJ366" t="n">
        <x:f>--AND(AI366=1,R366=1,S366=1)</x:f>
        <x:v>0</x:v>
      </x:c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  <x:c r="V367" s="28"/>
      <x:c r="W367" s="43" t="n">
        <x:f>--AND(N367=1,OR(O367="SUPPORTED",O367="HALLUCINATION"))</x:f>
        <x:v>0</x:v>
      </x:c>
      <x:c r="X367" s="43" t="n">
        <x:f>--AND(W367=1,O367="HALLUCINATION")</x:f>
        <x:v>0</x:v>
      </x:c>
      <x:c r="Y367" s="43" t="n">
        <x:f>--AND(Q367=1,O367="HALLUCINATION")</x:f>
        <x:v>0</x:v>
      </x:c>
      <x:c r="Z367" s="43" t="n">
        <x:f>--AND(Y367=1,R367=1,S367=1)</x:f>
        <x:v>0</x:v>
      </x:c>
      <x:c r="AC367" t="str">
        <x:f>IF(OR(AA367="",AB367=""),"",--(AA367&lt;&gt;AB367))</x:f>
      </x:c>
      <x:c r="AE367" t="str">
        <x:f>IF(OR(AA367="",AB367=""),"PENDING_HUMAN",IF(AA367=AB367,AA367,IF(AD367&lt;&gt;"",AD367,"PENDING_HUMAN")))</x:f>
        <x:v>PENDING_HUMAN</x:v>
      </x:c>
      <x:c r="AF367" t="n">
        <x:f>--AND(A367&lt;&gt;"",AA367&lt;&gt;"",AB367&lt;&gt;"",OR(AA367=AB367,AD367&lt;&gt;""),IF(AE367="HALLUCINATION",U367&lt;&gt;"",TRUE))</x:f>
        <x:v>0</x:v>
      </x:c>
      <x:c r="AG367" t="n">
        <x:f>--AND(N367=1,AF367=1,OR(AE367="SUPPORTED",AE367="HALLUCINATION"))</x:f>
        <x:v>0</x:v>
      </x:c>
      <x:c r="AH367" t="n">
        <x:f>--AND(AG367=1,AE367="HALLUCINATION")</x:f>
        <x:v>0</x:v>
      </x:c>
      <x:c r="AI367" t="n">
        <x:f>--AND(Q367=1,AF367=1,AE367="HALLUCINATION")</x:f>
        <x:v>0</x:v>
      </x:c>
      <x:c r="AJ367" t="n">
        <x:f>--AND(AI367=1,R367=1,S367=1)</x:f>
        <x:v>0</x:v>
      </x:c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  <x:c r="V368" s="28"/>
      <x:c r="W368" s="43" t="n">
        <x:f>--AND(N368=1,OR(O368="SUPPORTED",O368="HALLUCINATION"))</x:f>
        <x:v>0</x:v>
      </x:c>
      <x:c r="X368" s="43" t="n">
        <x:f>--AND(W368=1,O368="HALLUCINATION")</x:f>
        <x:v>0</x:v>
      </x:c>
      <x:c r="Y368" s="43" t="n">
        <x:f>--AND(Q368=1,O368="HALLUCINATION")</x:f>
        <x:v>0</x:v>
      </x:c>
      <x:c r="Z368" s="43" t="n">
        <x:f>--AND(Y368=1,R368=1,S368=1)</x:f>
        <x:v>0</x:v>
      </x:c>
      <x:c r="AC368" t="str">
        <x:f>IF(OR(AA368="",AB368=""),"",--(AA368&lt;&gt;AB368))</x:f>
      </x:c>
      <x:c r="AE368" t="str">
        <x:f>IF(OR(AA368="",AB368=""),"PENDING_HUMAN",IF(AA368=AB368,AA368,IF(AD368&lt;&gt;"",AD368,"PENDING_HUMAN")))</x:f>
        <x:v>PENDING_HUMAN</x:v>
      </x:c>
      <x:c r="AF368" t="n">
        <x:f>--AND(A368&lt;&gt;"",AA368&lt;&gt;"",AB368&lt;&gt;"",OR(AA368=AB368,AD368&lt;&gt;""),IF(AE368="HALLUCINATION",U368&lt;&gt;"",TRUE))</x:f>
        <x:v>0</x:v>
      </x:c>
      <x:c r="AG368" t="n">
        <x:f>--AND(N368=1,AF368=1,OR(AE368="SUPPORTED",AE368="HALLUCINATION"))</x:f>
        <x:v>0</x:v>
      </x:c>
      <x:c r="AH368" t="n">
        <x:f>--AND(AG368=1,AE368="HALLUCINATION")</x:f>
        <x:v>0</x:v>
      </x:c>
      <x:c r="AI368" t="n">
        <x:f>--AND(Q368=1,AF368=1,AE368="HALLUCINATION")</x:f>
        <x:v>0</x:v>
      </x:c>
      <x:c r="AJ368" t="n">
        <x:f>--AND(AI368=1,R368=1,S368=1)</x:f>
        <x:v>0</x:v>
      </x:c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  <x:c r="V369" s="28"/>
      <x:c r="W369" s="43" t="n">
        <x:f>--AND(N369=1,OR(O369="SUPPORTED",O369="HALLUCINATION"))</x:f>
        <x:v>0</x:v>
      </x:c>
      <x:c r="X369" s="43" t="n">
        <x:f>--AND(W369=1,O369="HALLUCINATION")</x:f>
        <x:v>0</x:v>
      </x:c>
      <x:c r="Y369" s="43" t="n">
        <x:f>--AND(Q369=1,O369="HALLUCINATION")</x:f>
        <x:v>0</x:v>
      </x:c>
      <x:c r="Z369" s="43" t="n">
        <x:f>--AND(Y369=1,R369=1,S369=1)</x:f>
        <x:v>0</x:v>
      </x:c>
      <x:c r="AC369" t="str">
        <x:f>IF(OR(AA369="",AB369=""),"",--(AA369&lt;&gt;AB369))</x:f>
      </x:c>
      <x:c r="AE369" t="str">
        <x:f>IF(OR(AA369="",AB369=""),"PENDING_HUMAN",IF(AA369=AB369,AA369,IF(AD369&lt;&gt;"",AD369,"PENDING_HUMAN")))</x:f>
        <x:v>PENDING_HUMAN</x:v>
      </x:c>
      <x:c r="AF369" t="n">
        <x:f>--AND(A369&lt;&gt;"",AA369&lt;&gt;"",AB369&lt;&gt;"",OR(AA369=AB369,AD369&lt;&gt;""),IF(AE369="HALLUCINATION",U369&lt;&gt;"",TRUE))</x:f>
        <x:v>0</x:v>
      </x:c>
      <x:c r="AG369" t="n">
        <x:f>--AND(N369=1,AF369=1,OR(AE369="SUPPORTED",AE369="HALLUCINATION"))</x:f>
        <x:v>0</x:v>
      </x:c>
      <x:c r="AH369" t="n">
        <x:f>--AND(AG369=1,AE369="HALLUCINATION")</x:f>
        <x:v>0</x:v>
      </x:c>
      <x:c r="AI369" t="n">
        <x:f>--AND(Q369=1,AF369=1,AE369="HALLUCINATION")</x:f>
        <x:v>0</x:v>
      </x:c>
      <x:c r="AJ369" t="n">
        <x:f>--AND(AI369=1,R369=1,S369=1)</x:f>
        <x:v>0</x:v>
      </x:c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  <x:c r="V370" s="28"/>
      <x:c r="W370" s="43" t="n">
        <x:f>--AND(N370=1,OR(O370="SUPPORTED",O370="HALLUCINATION"))</x:f>
        <x:v>0</x:v>
      </x:c>
      <x:c r="X370" s="43" t="n">
        <x:f>--AND(W370=1,O370="HALLUCINATION")</x:f>
        <x:v>0</x:v>
      </x:c>
      <x:c r="Y370" s="43" t="n">
        <x:f>--AND(Q370=1,O370="HALLUCINATION")</x:f>
        <x:v>0</x:v>
      </x:c>
      <x:c r="Z370" s="43" t="n">
        <x:f>--AND(Y370=1,R370=1,S370=1)</x:f>
        <x:v>0</x:v>
      </x:c>
      <x:c r="AC370" t="str">
        <x:f>IF(OR(AA370="",AB370=""),"",--(AA370&lt;&gt;AB370))</x:f>
      </x:c>
      <x:c r="AE370" t="str">
        <x:f>IF(OR(AA370="",AB370=""),"PENDING_HUMAN",IF(AA370=AB370,AA370,IF(AD370&lt;&gt;"",AD370,"PENDING_HUMAN")))</x:f>
        <x:v>PENDING_HUMAN</x:v>
      </x:c>
      <x:c r="AF370" t="n">
        <x:f>--AND(A370&lt;&gt;"",AA370&lt;&gt;"",AB370&lt;&gt;"",OR(AA370=AB370,AD370&lt;&gt;""),IF(AE370="HALLUCINATION",U370&lt;&gt;"",TRUE))</x:f>
        <x:v>0</x:v>
      </x:c>
      <x:c r="AG370" t="n">
        <x:f>--AND(N370=1,AF370=1,OR(AE370="SUPPORTED",AE370="HALLUCINATION"))</x:f>
        <x:v>0</x:v>
      </x:c>
      <x:c r="AH370" t="n">
        <x:f>--AND(AG370=1,AE370="HALLUCINATION")</x:f>
        <x:v>0</x:v>
      </x:c>
      <x:c r="AI370" t="n">
        <x:f>--AND(Q370=1,AF370=1,AE370="HALLUCINATION")</x:f>
        <x:v>0</x:v>
      </x:c>
      <x:c r="AJ370" t="n">
        <x:f>--AND(AI370=1,R370=1,S370=1)</x:f>
        <x:v>0</x:v>
      </x:c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  <x:c r="V371" s="28"/>
      <x:c r="W371" s="43" t="n">
        <x:f>--AND(N371=1,OR(O371="SUPPORTED",O371="HALLUCINATION"))</x:f>
        <x:v>0</x:v>
      </x:c>
      <x:c r="X371" s="43" t="n">
        <x:f>--AND(W371=1,O371="HALLUCINATION")</x:f>
        <x:v>0</x:v>
      </x:c>
      <x:c r="Y371" s="43" t="n">
        <x:f>--AND(Q371=1,O371="HALLUCINATION")</x:f>
        <x:v>0</x:v>
      </x:c>
      <x:c r="Z371" s="43" t="n">
        <x:f>--AND(Y371=1,R371=1,S371=1)</x:f>
        <x:v>0</x:v>
      </x:c>
      <x:c r="AC371" t="str">
        <x:f>IF(OR(AA371="",AB371=""),"",--(AA371&lt;&gt;AB371))</x:f>
      </x:c>
      <x:c r="AE371" t="str">
        <x:f>IF(OR(AA371="",AB371=""),"PENDING_HUMAN",IF(AA371=AB371,AA371,IF(AD371&lt;&gt;"",AD371,"PENDING_HUMAN")))</x:f>
        <x:v>PENDING_HUMAN</x:v>
      </x:c>
      <x:c r="AF371" t="n">
        <x:f>--AND(A371&lt;&gt;"",AA371&lt;&gt;"",AB371&lt;&gt;"",OR(AA371=AB371,AD371&lt;&gt;""),IF(AE371="HALLUCINATION",U371&lt;&gt;"",TRUE))</x:f>
        <x:v>0</x:v>
      </x:c>
      <x:c r="AG371" t="n">
        <x:f>--AND(N371=1,AF371=1,OR(AE371="SUPPORTED",AE371="HALLUCINATION"))</x:f>
        <x:v>0</x:v>
      </x:c>
      <x:c r="AH371" t="n">
        <x:f>--AND(AG371=1,AE371="HALLUCINATION")</x:f>
        <x:v>0</x:v>
      </x:c>
      <x:c r="AI371" t="n">
        <x:f>--AND(Q371=1,AF371=1,AE371="HALLUCINATION")</x:f>
        <x:v>0</x:v>
      </x:c>
      <x:c r="AJ371" t="n">
        <x:f>--AND(AI371=1,R371=1,S371=1)</x:f>
        <x:v>0</x:v>
      </x:c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  <x:c r="V372" s="28"/>
      <x:c r="W372" s="43" t="n">
        <x:f>--AND(N372=1,OR(O372="SUPPORTED",O372="HALLUCINATION"))</x:f>
        <x:v>0</x:v>
      </x:c>
      <x:c r="X372" s="43" t="n">
        <x:f>--AND(W372=1,O372="HALLUCINATION")</x:f>
        <x:v>0</x:v>
      </x:c>
      <x:c r="Y372" s="43" t="n">
        <x:f>--AND(Q372=1,O372="HALLUCINATION")</x:f>
        <x:v>0</x:v>
      </x:c>
      <x:c r="Z372" s="43" t="n">
        <x:f>--AND(Y372=1,R372=1,S372=1)</x:f>
        <x:v>0</x:v>
      </x:c>
      <x:c r="AC372" t="str">
        <x:f>IF(OR(AA372="",AB372=""),"",--(AA372&lt;&gt;AB372))</x:f>
      </x:c>
      <x:c r="AE372" t="str">
        <x:f>IF(OR(AA372="",AB372=""),"PENDING_HUMAN",IF(AA372=AB372,AA372,IF(AD372&lt;&gt;"",AD372,"PENDING_HUMAN")))</x:f>
        <x:v>PENDING_HUMAN</x:v>
      </x:c>
      <x:c r="AF372" t="n">
        <x:f>--AND(A372&lt;&gt;"",AA372&lt;&gt;"",AB372&lt;&gt;"",OR(AA372=AB372,AD372&lt;&gt;""),IF(AE372="HALLUCINATION",U372&lt;&gt;"",TRUE))</x:f>
        <x:v>0</x:v>
      </x:c>
      <x:c r="AG372" t="n">
        <x:f>--AND(N372=1,AF372=1,OR(AE372="SUPPORTED",AE372="HALLUCINATION"))</x:f>
        <x:v>0</x:v>
      </x:c>
      <x:c r="AH372" t="n">
        <x:f>--AND(AG372=1,AE372="HALLUCINATION")</x:f>
        <x:v>0</x:v>
      </x:c>
      <x:c r="AI372" t="n">
        <x:f>--AND(Q372=1,AF372=1,AE372="HALLUCINATION")</x:f>
        <x:v>0</x:v>
      </x:c>
      <x:c r="AJ372" t="n">
        <x:f>--AND(AI372=1,R372=1,S372=1)</x:f>
        <x:v>0</x:v>
      </x:c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  <x:c r="V373" s="28"/>
      <x:c r="W373" s="43" t="n">
        <x:f>--AND(N373=1,OR(O373="SUPPORTED",O373="HALLUCINATION"))</x:f>
        <x:v>0</x:v>
      </x:c>
      <x:c r="X373" s="43" t="n">
        <x:f>--AND(W373=1,O373="HALLUCINATION")</x:f>
        <x:v>0</x:v>
      </x:c>
      <x:c r="Y373" s="43" t="n">
        <x:f>--AND(Q373=1,O373="HALLUCINATION")</x:f>
        <x:v>0</x:v>
      </x:c>
      <x:c r="Z373" s="43" t="n">
        <x:f>--AND(Y373=1,R373=1,S373=1)</x:f>
        <x:v>0</x:v>
      </x:c>
      <x:c r="AC373" t="str">
        <x:f>IF(OR(AA373="",AB373=""),"",--(AA373&lt;&gt;AB373))</x:f>
      </x:c>
      <x:c r="AE373" t="str">
        <x:f>IF(OR(AA373="",AB373=""),"PENDING_HUMAN",IF(AA373=AB373,AA373,IF(AD373&lt;&gt;"",AD373,"PENDING_HUMAN")))</x:f>
        <x:v>PENDING_HUMAN</x:v>
      </x:c>
      <x:c r="AF373" t="n">
        <x:f>--AND(A373&lt;&gt;"",AA373&lt;&gt;"",AB373&lt;&gt;"",OR(AA373=AB373,AD373&lt;&gt;""),IF(AE373="HALLUCINATION",U373&lt;&gt;"",TRUE))</x:f>
        <x:v>0</x:v>
      </x:c>
      <x:c r="AG373" t="n">
        <x:f>--AND(N373=1,AF373=1,OR(AE373="SUPPORTED",AE373="HALLUCINATION"))</x:f>
        <x:v>0</x:v>
      </x:c>
      <x:c r="AH373" t="n">
        <x:f>--AND(AG373=1,AE373="HALLUCINATION")</x:f>
        <x:v>0</x:v>
      </x:c>
      <x:c r="AI373" t="n">
        <x:f>--AND(Q373=1,AF373=1,AE373="HALLUCINATION")</x:f>
        <x:v>0</x:v>
      </x:c>
      <x:c r="AJ373" t="n">
        <x:f>--AND(AI373=1,R373=1,S373=1)</x:f>
        <x:v>0</x:v>
      </x:c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  <x:c r="V374" s="28"/>
      <x:c r="W374" s="43" t="n">
        <x:f>--AND(N374=1,OR(O374="SUPPORTED",O374="HALLUCINATION"))</x:f>
        <x:v>0</x:v>
      </x:c>
      <x:c r="X374" s="43" t="n">
        <x:f>--AND(W374=1,O374="HALLUCINATION")</x:f>
        <x:v>0</x:v>
      </x:c>
      <x:c r="Y374" s="43" t="n">
        <x:f>--AND(Q374=1,O374="HALLUCINATION")</x:f>
        <x:v>0</x:v>
      </x:c>
      <x:c r="Z374" s="43" t="n">
        <x:f>--AND(Y374=1,R374=1,S374=1)</x:f>
        <x:v>0</x:v>
      </x:c>
      <x:c r="AC374" t="str">
        <x:f>IF(OR(AA374="",AB374=""),"",--(AA374&lt;&gt;AB374))</x:f>
      </x:c>
      <x:c r="AE374" t="str">
        <x:f>IF(OR(AA374="",AB374=""),"PENDING_HUMAN",IF(AA374=AB374,AA374,IF(AD374&lt;&gt;"",AD374,"PENDING_HUMAN")))</x:f>
        <x:v>PENDING_HUMAN</x:v>
      </x:c>
      <x:c r="AF374" t="n">
        <x:f>--AND(A374&lt;&gt;"",AA374&lt;&gt;"",AB374&lt;&gt;"",OR(AA374=AB374,AD374&lt;&gt;""),IF(AE374="HALLUCINATION",U374&lt;&gt;"",TRUE))</x:f>
        <x:v>0</x:v>
      </x:c>
      <x:c r="AG374" t="n">
        <x:f>--AND(N374=1,AF374=1,OR(AE374="SUPPORTED",AE374="HALLUCINATION"))</x:f>
        <x:v>0</x:v>
      </x:c>
      <x:c r="AH374" t="n">
        <x:f>--AND(AG374=1,AE374="HALLUCINATION")</x:f>
        <x:v>0</x:v>
      </x:c>
      <x:c r="AI374" t="n">
        <x:f>--AND(Q374=1,AF374=1,AE374="HALLUCINATION")</x:f>
        <x:v>0</x:v>
      </x:c>
      <x:c r="AJ374" t="n">
        <x:f>--AND(AI374=1,R374=1,S374=1)</x:f>
        <x:v>0</x:v>
      </x:c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  <x:c r="V375" s="28"/>
      <x:c r="W375" s="43" t="n">
        <x:f>--AND(N375=1,OR(O375="SUPPORTED",O375="HALLUCINATION"))</x:f>
        <x:v>0</x:v>
      </x:c>
      <x:c r="X375" s="43" t="n">
        <x:f>--AND(W375=1,O375="HALLUCINATION")</x:f>
        <x:v>0</x:v>
      </x:c>
      <x:c r="Y375" s="43" t="n">
        <x:f>--AND(Q375=1,O375="HALLUCINATION")</x:f>
        <x:v>0</x:v>
      </x:c>
      <x:c r="Z375" s="43" t="n">
        <x:f>--AND(Y375=1,R375=1,S375=1)</x:f>
        <x:v>0</x:v>
      </x:c>
      <x:c r="AC375" t="str">
        <x:f>IF(OR(AA375="",AB375=""),"",--(AA375&lt;&gt;AB375))</x:f>
      </x:c>
      <x:c r="AE375" t="str">
        <x:f>IF(OR(AA375="",AB375=""),"PENDING_HUMAN",IF(AA375=AB375,AA375,IF(AD375&lt;&gt;"",AD375,"PENDING_HUMAN")))</x:f>
        <x:v>PENDING_HUMAN</x:v>
      </x:c>
      <x:c r="AF375" t="n">
        <x:f>--AND(A375&lt;&gt;"",AA375&lt;&gt;"",AB375&lt;&gt;"",OR(AA375=AB375,AD375&lt;&gt;""),IF(AE375="HALLUCINATION",U375&lt;&gt;"",TRUE))</x:f>
        <x:v>0</x:v>
      </x:c>
      <x:c r="AG375" t="n">
        <x:f>--AND(N375=1,AF375=1,OR(AE375="SUPPORTED",AE375="HALLUCINATION"))</x:f>
        <x:v>0</x:v>
      </x:c>
      <x:c r="AH375" t="n">
        <x:f>--AND(AG375=1,AE375="HALLUCINATION")</x:f>
        <x:v>0</x:v>
      </x:c>
      <x:c r="AI375" t="n">
        <x:f>--AND(Q375=1,AF375=1,AE375="HALLUCINATION")</x:f>
        <x:v>0</x:v>
      </x:c>
      <x:c r="AJ375" t="n">
        <x:f>--AND(AI375=1,R375=1,S375=1)</x:f>
        <x:v>0</x:v>
      </x:c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  <x:c r="V376" s="28"/>
      <x:c r="W376" s="43" t="n">
        <x:f>--AND(N376=1,OR(O376="SUPPORTED",O376="HALLUCINATION"))</x:f>
        <x:v>0</x:v>
      </x:c>
      <x:c r="X376" s="43" t="n">
        <x:f>--AND(W376=1,O376="HALLUCINATION")</x:f>
        <x:v>0</x:v>
      </x:c>
      <x:c r="Y376" s="43" t="n">
        <x:f>--AND(Q376=1,O376="HALLUCINATION")</x:f>
        <x:v>0</x:v>
      </x:c>
      <x:c r="Z376" s="43" t="n">
        <x:f>--AND(Y376=1,R376=1,S376=1)</x:f>
        <x:v>0</x:v>
      </x:c>
      <x:c r="AC376" t="str">
        <x:f>IF(OR(AA376="",AB376=""),"",--(AA376&lt;&gt;AB376))</x:f>
      </x:c>
      <x:c r="AE376" t="str">
        <x:f>IF(OR(AA376="",AB376=""),"PENDING_HUMAN",IF(AA376=AB376,AA376,IF(AD376&lt;&gt;"",AD376,"PENDING_HUMAN")))</x:f>
        <x:v>PENDING_HUMAN</x:v>
      </x:c>
      <x:c r="AF376" t="n">
        <x:f>--AND(A376&lt;&gt;"",AA376&lt;&gt;"",AB376&lt;&gt;"",OR(AA376=AB376,AD376&lt;&gt;""),IF(AE376="HALLUCINATION",U376&lt;&gt;"",TRUE))</x:f>
        <x:v>0</x:v>
      </x:c>
      <x:c r="AG376" t="n">
        <x:f>--AND(N376=1,AF376=1,OR(AE376="SUPPORTED",AE376="HALLUCINATION"))</x:f>
        <x:v>0</x:v>
      </x:c>
      <x:c r="AH376" t="n">
        <x:f>--AND(AG376=1,AE376="HALLUCINATION")</x:f>
        <x:v>0</x:v>
      </x:c>
      <x:c r="AI376" t="n">
        <x:f>--AND(Q376=1,AF376=1,AE376="HALLUCINATION")</x:f>
        <x:v>0</x:v>
      </x:c>
      <x:c r="AJ376" t="n">
        <x:f>--AND(AI376=1,R376=1,S376=1)</x:f>
        <x:v>0</x:v>
      </x:c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  <x:c r="V377" s="28"/>
      <x:c r="W377" s="43" t="n">
        <x:f>--AND(N377=1,OR(O377="SUPPORTED",O377="HALLUCINATION"))</x:f>
        <x:v>0</x:v>
      </x:c>
      <x:c r="X377" s="43" t="n">
        <x:f>--AND(W377=1,O377="HALLUCINATION")</x:f>
        <x:v>0</x:v>
      </x:c>
      <x:c r="Y377" s="43" t="n">
        <x:f>--AND(Q377=1,O377="HALLUCINATION")</x:f>
        <x:v>0</x:v>
      </x:c>
      <x:c r="Z377" s="43" t="n">
        <x:f>--AND(Y377=1,R377=1,S377=1)</x:f>
        <x:v>0</x:v>
      </x:c>
      <x:c r="AC377" t="str">
        <x:f>IF(OR(AA377="",AB377=""),"",--(AA377&lt;&gt;AB377))</x:f>
      </x:c>
      <x:c r="AE377" t="str">
        <x:f>IF(OR(AA377="",AB377=""),"PENDING_HUMAN",IF(AA377=AB377,AA377,IF(AD377&lt;&gt;"",AD377,"PENDING_HUMAN")))</x:f>
        <x:v>PENDING_HUMAN</x:v>
      </x:c>
      <x:c r="AF377" t="n">
        <x:f>--AND(A377&lt;&gt;"",AA377&lt;&gt;"",AB377&lt;&gt;"",OR(AA377=AB377,AD377&lt;&gt;""),IF(AE377="HALLUCINATION",U377&lt;&gt;"",TRUE))</x:f>
        <x:v>0</x:v>
      </x:c>
      <x:c r="AG377" t="n">
        <x:f>--AND(N377=1,AF377=1,OR(AE377="SUPPORTED",AE377="HALLUCINATION"))</x:f>
        <x:v>0</x:v>
      </x:c>
      <x:c r="AH377" t="n">
        <x:f>--AND(AG377=1,AE377="HALLUCINATION")</x:f>
        <x:v>0</x:v>
      </x:c>
      <x:c r="AI377" t="n">
        <x:f>--AND(Q377=1,AF377=1,AE377="HALLUCINATION")</x:f>
        <x:v>0</x:v>
      </x:c>
      <x:c r="AJ377" t="n">
        <x:f>--AND(AI377=1,R377=1,S377=1)</x:f>
        <x:v>0</x:v>
      </x:c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  <x:c r="V378" s="28"/>
      <x:c r="W378" s="43" t="n">
        <x:f>--AND(N378=1,OR(O378="SUPPORTED",O378="HALLUCINATION"))</x:f>
        <x:v>0</x:v>
      </x:c>
      <x:c r="X378" s="43" t="n">
        <x:f>--AND(W378=1,O378="HALLUCINATION")</x:f>
        <x:v>0</x:v>
      </x:c>
      <x:c r="Y378" s="43" t="n">
        <x:f>--AND(Q378=1,O378="HALLUCINATION")</x:f>
        <x:v>0</x:v>
      </x:c>
      <x:c r="Z378" s="43" t="n">
        <x:f>--AND(Y378=1,R378=1,S378=1)</x:f>
        <x:v>0</x:v>
      </x:c>
      <x:c r="AC378" t="str">
        <x:f>IF(OR(AA378="",AB378=""),"",--(AA378&lt;&gt;AB378))</x:f>
      </x:c>
      <x:c r="AE378" t="str">
        <x:f>IF(OR(AA378="",AB378=""),"PENDING_HUMAN",IF(AA378=AB378,AA378,IF(AD378&lt;&gt;"",AD378,"PENDING_HUMAN")))</x:f>
        <x:v>PENDING_HUMAN</x:v>
      </x:c>
      <x:c r="AF378" t="n">
        <x:f>--AND(A378&lt;&gt;"",AA378&lt;&gt;"",AB378&lt;&gt;"",OR(AA378=AB378,AD378&lt;&gt;""),IF(AE378="HALLUCINATION",U378&lt;&gt;"",TRUE))</x:f>
        <x:v>0</x:v>
      </x:c>
      <x:c r="AG378" t="n">
        <x:f>--AND(N378=1,AF378=1,OR(AE378="SUPPORTED",AE378="HALLUCINATION"))</x:f>
        <x:v>0</x:v>
      </x:c>
      <x:c r="AH378" t="n">
        <x:f>--AND(AG378=1,AE378="HALLUCINATION")</x:f>
        <x:v>0</x:v>
      </x:c>
      <x:c r="AI378" t="n">
        <x:f>--AND(Q378=1,AF378=1,AE378="HALLUCINATION")</x:f>
        <x:v>0</x:v>
      </x:c>
      <x:c r="AJ378" t="n">
        <x:f>--AND(AI378=1,R378=1,S378=1)</x:f>
        <x:v>0</x:v>
      </x:c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  <x:c r="V379" s="28"/>
      <x:c r="W379" s="43" t="n">
        <x:f>--AND(N379=1,OR(O379="SUPPORTED",O379="HALLUCINATION"))</x:f>
        <x:v>0</x:v>
      </x:c>
      <x:c r="X379" s="43" t="n">
        <x:f>--AND(W379=1,O379="HALLUCINATION")</x:f>
        <x:v>0</x:v>
      </x:c>
      <x:c r="Y379" s="43" t="n">
        <x:f>--AND(Q379=1,O379="HALLUCINATION")</x:f>
        <x:v>0</x:v>
      </x:c>
      <x:c r="Z379" s="43" t="n">
        <x:f>--AND(Y379=1,R379=1,S379=1)</x:f>
        <x:v>0</x:v>
      </x:c>
      <x:c r="AC379" t="str">
        <x:f>IF(OR(AA379="",AB379=""),"",--(AA379&lt;&gt;AB379))</x:f>
      </x:c>
      <x:c r="AE379" t="str">
        <x:f>IF(OR(AA379="",AB379=""),"PENDING_HUMAN",IF(AA379=AB379,AA379,IF(AD379&lt;&gt;"",AD379,"PENDING_HUMAN")))</x:f>
        <x:v>PENDING_HUMAN</x:v>
      </x:c>
      <x:c r="AF379" t="n">
        <x:f>--AND(A379&lt;&gt;"",AA379&lt;&gt;"",AB379&lt;&gt;"",OR(AA379=AB379,AD379&lt;&gt;""),IF(AE379="HALLUCINATION",U379&lt;&gt;"",TRUE))</x:f>
        <x:v>0</x:v>
      </x:c>
      <x:c r="AG379" t="n">
        <x:f>--AND(N379=1,AF379=1,OR(AE379="SUPPORTED",AE379="HALLUCINATION"))</x:f>
        <x:v>0</x:v>
      </x:c>
      <x:c r="AH379" t="n">
        <x:f>--AND(AG379=1,AE379="HALLUCINATION")</x:f>
        <x:v>0</x:v>
      </x:c>
      <x:c r="AI379" t="n">
        <x:f>--AND(Q379=1,AF379=1,AE379="HALLUCINATION")</x:f>
        <x:v>0</x:v>
      </x:c>
      <x:c r="AJ379" t="n">
        <x:f>--AND(AI379=1,R379=1,S379=1)</x:f>
        <x:v>0</x:v>
      </x:c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  <x:c r="V380" s="28"/>
      <x:c r="W380" s="43" t="n">
        <x:f>--AND(N380=1,OR(O380="SUPPORTED",O380="HALLUCINATION"))</x:f>
        <x:v>0</x:v>
      </x:c>
      <x:c r="X380" s="43" t="n">
        <x:f>--AND(W380=1,O380="HALLUCINATION")</x:f>
        <x:v>0</x:v>
      </x:c>
      <x:c r="Y380" s="43" t="n">
        <x:f>--AND(Q380=1,O380="HALLUCINATION")</x:f>
        <x:v>0</x:v>
      </x:c>
      <x:c r="Z380" s="43" t="n">
        <x:f>--AND(Y380=1,R380=1,S380=1)</x:f>
        <x:v>0</x:v>
      </x:c>
      <x:c r="AC380" t="str">
        <x:f>IF(OR(AA380="",AB380=""),"",--(AA380&lt;&gt;AB380))</x:f>
      </x:c>
      <x:c r="AE380" t="str">
        <x:f>IF(OR(AA380="",AB380=""),"PENDING_HUMAN",IF(AA380=AB380,AA380,IF(AD380&lt;&gt;"",AD380,"PENDING_HUMAN")))</x:f>
        <x:v>PENDING_HUMAN</x:v>
      </x:c>
      <x:c r="AF380" t="n">
        <x:f>--AND(A380&lt;&gt;"",AA380&lt;&gt;"",AB380&lt;&gt;"",OR(AA380=AB380,AD380&lt;&gt;""),IF(AE380="HALLUCINATION",U380&lt;&gt;"",TRUE))</x:f>
        <x:v>0</x:v>
      </x:c>
      <x:c r="AG380" t="n">
        <x:f>--AND(N380=1,AF380=1,OR(AE380="SUPPORTED",AE380="HALLUCINATION"))</x:f>
        <x:v>0</x:v>
      </x:c>
      <x:c r="AH380" t="n">
        <x:f>--AND(AG380=1,AE380="HALLUCINATION")</x:f>
        <x:v>0</x:v>
      </x:c>
      <x:c r="AI380" t="n">
        <x:f>--AND(Q380=1,AF380=1,AE380="HALLUCINATION")</x:f>
        <x:v>0</x:v>
      </x:c>
      <x:c r="AJ380" t="n">
        <x:f>--AND(AI380=1,R380=1,S380=1)</x:f>
        <x:v>0</x:v>
      </x:c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  <x:c r="V381" s="28"/>
      <x:c r="W381" s="43" t="n">
        <x:f>--AND(N381=1,OR(O381="SUPPORTED",O381="HALLUCINATION"))</x:f>
        <x:v>0</x:v>
      </x:c>
      <x:c r="X381" s="43" t="n">
        <x:f>--AND(W381=1,O381="HALLUCINATION")</x:f>
        <x:v>0</x:v>
      </x:c>
      <x:c r="Y381" s="43" t="n">
        <x:f>--AND(Q381=1,O381="HALLUCINATION")</x:f>
        <x:v>0</x:v>
      </x:c>
      <x:c r="Z381" s="43" t="n">
        <x:f>--AND(Y381=1,R381=1,S381=1)</x:f>
        <x:v>0</x:v>
      </x:c>
      <x:c r="AC381" t="str">
        <x:f>IF(OR(AA381="",AB381=""),"",--(AA381&lt;&gt;AB381))</x:f>
      </x:c>
      <x:c r="AE381" t="str">
        <x:f>IF(OR(AA381="",AB381=""),"PENDING_HUMAN",IF(AA381=AB381,AA381,IF(AD381&lt;&gt;"",AD381,"PENDING_HUMAN")))</x:f>
        <x:v>PENDING_HUMAN</x:v>
      </x:c>
      <x:c r="AF381" t="n">
        <x:f>--AND(A381&lt;&gt;"",AA381&lt;&gt;"",AB381&lt;&gt;"",OR(AA381=AB381,AD381&lt;&gt;""),IF(AE381="HALLUCINATION",U381&lt;&gt;"",TRUE))</x:f>
        <x:v>0</x:v>
      </x:c>
      <x:c r="AG381" t="n">
        <x:f>--AND(N381=1,AF381=1,OR(AE381="SUPPORTED",AE381="HALLUCINATION"))</x:f>
        <x:v>0</x:v>
      </x:c>
      <x:c r="AH381" t="n">
        <x:f>--AND(AG381=1,AE381="HALLUCINATION")</x:f>
        <x:v>0</x:v>
      </x:c>
      <x:c r="AI381" t="n">
        <x:f>--AND(Q381=1,AF381=1,AE381="HALLUCINATION")</x:f>
        <x:v>0</x:v>
      </x:c>
      <x:c r="AJ381" t="n">
        <x:f>--AND(AI381=1,R381=1,S381=1)</x:f>
        <x:v>0</x:v>
      </x:c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  <x:c r="V382" s="28"/>
      <x:c r="W382" s="43" t="n">
        <x:f>--AND(N382=1,OR(O382="SUPPORTED",O382="HALLUCINATION"))</x:f>
        <x:v>0</x:v>
      </x:c>
      <x:c r="X382" s="43" t="n">
        <x:f>--AND(W382=1,O382="HALLUCINATION")</x:f>
        <x:v>0</x:v>
      </x:c>
      <x:c r="Y382" s="43" t="n">
        <x:f>--AND(Q382=1,O382="HALLUCINATION")</x:f>
        <x:v>0</x:v>
      </x:c>
      <x:c r="Z382" s="43" t="n">
        <x:f>--AND(Y382=1,R382=1,S382=1)</x:f>
        <x:v>0</x:v>
      </x:c>
      <x:c r="AC382" t="str">
        <x:f>IF(OR(AA382="",AB382=""),"",--(AA382&lt;&gt;AB382))</x:f>
      </x:c>
      <x:c r="AE382" t="str">
        <x:f>IF(OR(AA382="",AB382=""),"PENDING_HUMAN",IF(AA382=AB382,AA382,IF(AD382&lt;&gt;"",AD382,"PENDING_HUMAN")))</x:f>
        <x:v>PENDING_HUMAN</x:v>
      </x:c>
      <x:c r="AF382" t="n">
        <x:f>--AND(A382&lt;&gt;"",AA382&lt;&gt;"",AB382&lt;&gt;"",OR(AA382=AB382,AD382&lt;&gt;""),IF(AE382="HALLUCINATION",U382&lt;&gt;"",TRUE))</x:f>
        <x:v>0</x:v>
      </x:c>
      <x:c r="AG382" t="n">
        <x:f>--AND(N382=1,AF382=1,OR(AE382="SUPPORTED",AE382="HALLUCINATION"))</x:f>
        <x:v>0</x:v>
      </x:c>
      <x:c r="AH382" t="n">
        <x:f>--AND(AG382=1,AE382="HALLUCINATION")</x:f>
        <x:v>0</x:v>
      </x:c>
      <x:c r="AI382" t="n">
        <x:f>--AND(Q382=1,AF382=1,AE382="HALLUCINATION")</x:f>
        <x:v>0</x:v>
      </x:c>
      <x:c r="AJ382" t="n">
        <x:f>--AND(AI382=1,R382=1,S382=1)</x:f>
        <x:v>0</x:v>
      </x:c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  <x:c r="V383" s="28"/>
      <x:c r="W383" s="43" t="n">
        <x:f>--AND(N383=1,OR(O383="SUPPORTED",O383="HALLUCINATION"))</x:f>
        <x:v>0</x:v>
      </x:c>
      <x:c r="X383" s="43" t="n">
        <x:f>--AND(W383=1,O383="HALLUCINATION")</x:f>
        <x:v>0</x:v>
      </x:c>
      <x:c r="Y383" s="43" t="n">
        <x:f>--AND(Q383=1,O383="HALLUCINATION")</x:f>
        <x:v>0</x:v>
      </x:c>
      <x:c r="Z383" s="43" t="n">
        <x:f>--AND(Y383=1,R383=1,S383=1)</x:f>
        <x:v>0</x:v>
      </x:c>
      <x:c r="AC383" t="str">
        <x:f>IF(OR(AA383="",AB383=""),"",--(AA383&lt;&gt;AB383))</x:f>
      </x:c>
      <x:c r="AE383" t="str">
        <x:f>IF(OR(AA383="",AB383=""),"PENDING_HUMAN",IF(AA383=AB383,AA383,IF(AD383&lt;&gt;"",AD383,"PENDING_HUMAN")))</x:f>
        <x:v>PENDING_HUMAN</x:v>
      </x:c>
      <x:c r="AF383" t="n">
        <x:f>--AND(A383&lt;&gt;"",AA383&lt;&gt;"",AB383&lt;&gt;"",OR(AA383=AB383,AD383&lt;&gt;""),IF(AE383="HALLUCINATION",U383&lt;&gt;"",TRUE))</x:f>
        <x:v>0</x:v>
      </x:c>
      <x:c r="AG383" t="n">
        <x:f>--AND(N383=1,AF383=1,OR(AE383="SUPPORTED",AE383="HALLUCINATION"))</x:f>
        <x:v>0</x:v>
      </x:c>
      <x:c r="AH383" t="n">
        <x:f>--AND(AG383=1,AE383="HALLUCINATION")</x:f>
        <x:v>0</x:v>
      </x:c>
      <x:c r="AI383" t="n">
        <x:f>--AND(Q383=1,AF383=1,AE383="HALLUCINATION")</x:f>
        <x:v>0</x:v>
      </x:c>
      <x:c r="AJ383" t="n">
        <x:f>--AND(AI383=1,R383=1,S383=1)</x:f>
        <x:v>0</x:v>
      </x:c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  <x:c r="V384" s="28"/>
      <x:c r="W384" s="43" t="n">
        <x:f>--AND(N384=1,OR(O384="SUPPORTED",O384="HALLUCINATION"))</x:f>
        <x:v>0</x:v>
      </x:c>
      <x:c r="X384" s="43" t="n">
        <x:f>--AND(W384=1,O384="HALLUCINATION")</x:f>
        <x:v>0</x:v>
      </x:c>
      <x:c r="Y384" s="43" t="n">
        <x:f>--AND(Q384=1,O384="HALLUCINATION")</x:f>
        <x:v>0</x:v>
      </x:c>
      <x:c r="Z384" s="43" t="n">
        <x:f>--AND(Y384=1,R384=1,S384=1)</x:f>
        <x:v>0</x:v>
      </x:c>
      <x:c r="AC384" t="str">
        <x:f>IF(OR(AA384="",AB384=""),"",--(AA384&lt;&gt;AB384))</x:f>
      </x:c>
      <x:c r="AE384" t="str">
        <x:f>IF(OR(AA384="",AB384=""),"PENDING_HUMAN",IF(AA384=AB384,AA384,IF(AD384&lt;&gt;"",AD384,"PENDING_HUMAN")))</x:f>
        <x:v>PENDING_HUMAN</x:v>
      </x:c>
      <x:c r="AF384" t="n">
        <x:f>--AND(A384&lt;&gt;"",AA384&lt;&gt;"",AB384&lt;&gt;"",OR(AA384=AB384,AD384&lt;&gt;""),IF(AE384="HALLUCINATION",U384&lt;&gt;"",TRUE))</x:f>
        <x:v>0</x:v>
      </x:c>
      <x:c r="AG384" t="n">
        <x:f>--AND(N384=1,AF384=1,OR(AE384="SUPPORTED",AE384="HALLUCINATION"))</x:f>
        <x:v>0</x:v>
      </x:c>
      <x:c r="AH384" t="n">
        <x:f>--AND(AG384=1,AE384="HALLUCINATION")</x:f>
        <x:v>0</x:v>
      </x:c>
      <x:c r="AI384" t="n">
        <x:f>--AND(Q384=1,AF384=1,AE384="HALLUCINATION")</x:f>
        <x:v>0</x:v>
      </x:c>
      <x:c r="AJ384" t="n">
        <x:f>--AND(AI384=1,R384=1,S384=1)</x:f>
        <x:v>0</x:v>
      </x:c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  <x:c r="V385" s="28"/>
      <x:c r="W385" s="43" t="n">
        <x:f>--AND(N385=1,OR(O385="SUPPORTED",O385="HALLUCINATION"))</x:f>
        <x:v>0</x:v>
      </x:c>
      <x:c r="X385" s="43" t="n">
        <x:f>--AND(W385=1,O385="HALLUCINATION")</x:f>
        <x:v>0</x:v>
      </x:c>
      <x:c r="Y385" s="43" t="n">
        <x:f>--AND(Q385=1,O385="HALLUCINATION")</x:f>
        <x:v>0</x:v>
      </x:c>
      <x:c r="Z385" s="43" t="n">
        <x:f>--AND(Y385=1,R385=1,S385=1)</x:f>
        <x:v>0</x:v>
      </x:c>
      <x:c r="AC385" t="str">
        <x:f>IF(OR(AA385="",AB385=""),"",--(AA385&lt;&gt;AB385))</x:f>
      </x:c>
      <x:c r="AE385" t="str">
        <x:f>IF(OR(AA385="",AB385=""),"PENDING_HUMAN",IF(AA385=AB385,AA385,IF(AD385&lt;&gt;"",AD385,"PENDING_HUMAN")))</x:f>
        <x:v>PENDING_HUMAN</x:v>
      </x:c>
      <x:c r="AF385" t="n">
        <x:f>--AND(A385&lt;&gt;"",AA385&lt;&gt;"",AB385&lt;&gt;"",OR(AA385=AB385,AD385&lt;&gt;""),IF(AE385="HALLUCINATION",U385&lt;&gt;"",TRUE))</x:f>
        <x:v>0</x:v>
      </x:c>
      <x:c r="AG385" t="n">
        <x:f>--AND(N385=1,AF385=1,OR(AE385="SUPPORTED",AE385="HALLUCINATION"))</x:f>
        <x:v>0</x:v>
      </x:c>
      <x:c r="AH385" t="n">
        <x:f>--AND(AG385=1,AE385="HALLUCINATION")</x:f>
        <x:v>0</x:v>
      </x:c>
      <x:c r="AI385" t="n">
        <x:f>--AND(Q385=1,AF385=1,AE385="HALLUCINATION")</x:f>
        <x:v>0</x:v>
      </x:c>
      <x:c r="AJ385" t="n">
        <x:f>--AND(AI385=1,R385=1,S385=1)</x:f>
        <x:v>0</x:v>
      </x:c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  <x:c r="V386" s="28"/>
      <x:c r="W386" s="43" t="n">
        <x:f>--AND(N386=1,OR(O386="SUPPORTED",O386="HALLUCINATION"))</x:f>
        <x:v>0</x:v>
      </x:c>
      <x:c r="X386" s="43" t="n">
        <x:f>--AND(W386=1,O386="HALLUCINATION")</x:f>
        <x:v>0</x:v>
      </x:c>
      <x:c r="Y386" s="43" t="n">
        <x:f>--AND(Q386=1,O386="HALLUCINATION")</x:f>
        <x:v>0</x:v>
      </x:c>
      <x:c r="Z386" s="43" t="n">
        <x:f>--AND(Y386=1,R386=1,S386=1)</x:f>
        <x:v>0</x:v>
      </x:c>
      <x:c r="AC386" t="str">
        <x:f>IF(OR(AA386="",AB386=""),"",--(AA386&lt;&gt;AB386))</x:f>
      </x:c>
      <x:c r="AE386" t="str">
        <x:f>IF(OR(AA386="",AB386=""),"PENDING_HUMAN",IF(AA386=AB386,AA386,IF(AD386&lt;&gt;"",AD386,"PENDING_HUMAN")))</x:f>
        <x:v>PENDING_HUMAN</x:v>
      </x:c>
      <x:c r="AF386" t="n">
        <x:f>--AND(A386&lt;&gt;"",AA386&lt;&gt;"",AB386&lt;&gt;"",OR(AA386=AB386,AD386&lt;&gt;""),IF(AE386="HALLUCINATION",U386&lt;&gt;"",TRUE))</x:f>
        <x:v>0</x:v>
      </x:c>
      <x:c r="AG386" t="n">
        <x:f>--AND(N386=1,AF386=1,OR(AE386="SUPPORTED",AE386="HALLUCINATION"))</x:f>
        <x:v>0</x:v>
      </x:c>
      <x:c r="AH386" t="n">
        <x:f>--AND(AG386=1,AE386="HALLUCINATION")</x:f>
        <x:v>0</x:v>
      </x:c>
      <x:c r="AI386" t="n">
        <x:f>--AND(Q386=1,AF386=1,AE386="HALLUCINATION")</x:f>
        <x:v>0</x:v>
      </x:c>
      <x:c r="AJ386" t="n">
        <x:f>--AND(AI386=1,R386=1,S386=1)</x:f>
        <x:v>0</x:v>
      </x:c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  <x:c r="V387" s="28"/>
      <x:c r="W387" s="43" t="n">
        <x:f>--AND(N387=1,OR(O387="SUPPORTED",O387="HALLUCINATION"))</x:f>
        <x:v>0</x:v>
      </x:c>
      <x:c r="X387" s="43" t="n">
        <x:f>--AND(W387=1,O387="HALLUCINATION")</x:f>
        <x:v>0</x:v>
      </x:c>
      <x:c r="Y387" s="43" t="n">
        <x:f>--AND(Q387=1,O387="HALLUCINATION")</x:f>
        <x:v>0</x:v>
      </x:c>
      <x:c r="Z387" s="43" t="n">
        <x:f>--AND(Y387=1,R387=1,S387=1)</x:f>
        <x:v>0</x:v>
      </x:c>
      <x:c r="AC387" t="str">
        <x:f>IF(OR(AA387="",AB387=""),"",--(AA387&lt;&gt;AB387))</x:f>
      </x:c>
      <x:c r="AE387" t="str">
        <x:f>IF(OR(AA387="",AB387=""),"PENDING_HUMAN",IF(AA387=AB387,AA387,IF(AD387&lt;&gt;"",AD387,"PENDING_HUMAN")))</x:f>
        <x:v>PENDING_HUMAN</x:v>
      </x:c>
      <x:c r="AF387" t="n">
        <x:f>--AND(A387&lt;&gt;"",AA387&lt;&gt;"",AB387&lt;&gt;"",OR(AA387=AB387,AD387&lt;&gt;""),IF(AE387="HALLUCINATION",U387&lt;&gt;"",TRUE))</x:f>
        <x:v>0</x:v>
      </x:c>
      <x:c r="AG387" t="n">
        <x:f>--AND(N387=1,AF387=1,OR(AE387="SUPPORTED",AE387="HALLUCINATION"))</x:f>
        <x:v>0</x:v>
      </x:c>
      <x:c r="AH387" t="n">
        <x:f>--AND(AG387=1,AE387="HALLUCINATION")</x:f>
        <x:v>0</x:v>
      </x:c>
      <x:c r="AI387" t="n">
        <x:f>--AND(Q387=1,AF387=1,AE387="HALLUCINATION")</x:f>
        <x:v>0</x:v>
      </x:c>
      <x:c r="AJ387" t="n">
        <x:f>--AND(AI387=1,R387=1,S387=1)</x:f>
        <x:v>0</x:v>
      </x:c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  <x:c r="V388" s="28"/>
      <x:c r="W388" s="43" t="n">
        <x:f>--AND(N388=1,OR(O388="SUPPORTED",O388="HALLUCINATION"))</x:f>
        <x:v>0</x:v>
      </x:c>
      <x:c r="X388" s="43" t="n">
        <x:f>--AND(W388=1,O388="HALLUCINATION")</x:f>
        <x:v>0</x:v>
      </x:c>
      <x:c r="Y388" s="43" t="n">
        <x:f>--AND(Q388=1,O388="HALLUCINATION")</x:f>
        <x:v>0</x:v>
      </x:c>
      <x:c r="Z388" s="43" t="n">
        <x:f>--AND(Y388=1,R388=1,S388=1)</x:f>
        <x:v>0</x:v>
      </x:c>
      <x:c r="AC388" t="str">
        <x:f>IF(OR(AA388="",AB388=""),"",--(AA388&lt;&gt;AB388))</x:f>
      </x:c>
      <x:c r="AE388" t="str">
        <x:f>IF(OR(AA388="",AB388=""),"PENDING_HUMAN",IF(AA388=AB388,AA388,IF(AD388&lt;&gt;"",AD388,"PENDING_HUMAN")))</x:f>
        <x:v>PENDING_HUMAN</x:v>
      </x:c>
      <x:c r="AF388" t="n">
        <x:f>--AND(A388&lt;&gt;"",AA388&lt;&gt;"",AB388&lt;&gt;"",OR(AA388=AB388,AD388&lt;&gt;""),IF(AE388="HALLUCINATION",U388&lt;&gt;"",TRUE))</x:f>
        <x:v>0</x:v>
      </x:c>
      <x:c r="AG388" t="n">
        <x:f>--AND(N388=1,AF388=1,OR(AE388="SUPPORTED",AE388="HALLUCINATION"))</x:f>
        <x:v>0</x:v>
      </x:c>
      <x:c r="AH388" t="n">
        <x:f>--AND(AG388=1,AE388="HALLUCINATION")</x:f>
        <x:v>0</x:v>
      </x:c>
      <x:c r="AI388" t="n">
        <x:f>--AND(Q388=1,AF388=1,AE388="HALLUCINATION")</x:f>
        <x:v>0</x:v>
      </x:c>
      <x:c r="AJ388" t="n">
        <x:f>--AND(AI388=1,R388=1,S388=1)</x:f>
        <x:v>0</x:v>
      </x:c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  <x:c r="V389" s="28"/>
      <x:c r="W389" s="43" t="n">
        <x:f>--AND(N389=1,OR(O389="SUPPORTED",O389="HALLUCINATION"))</x:f>
        <x:v>0</x:v>
      </x:c>
      <x:c r="X389" s="43" t="n">
        <x:f>--AND(W389=1,O389="HALLUCINATION")</x:f>
        <x:v>0</x:v>
      </x:c>
      <x:c r="Y389" s="43" t="n">
        <x:f>--AND(Q389=1,O389="HALLUCINATION")</x:f>
        <x:v>0</x:v>
      </x:c>
      <x:c r="Z389" s="43" t="n">
        <x:f>--AND(Y389=1,R389=1,S389=1)</x:f>
        <x:v>0</x:v>
      </x:c>
      <x:c r="AC389" t="str">
        <x:f>IF(OR(AA389="",AB389=""),"",--(AA389&lt;&gt;AB389))</x:f>
      </x:c>
      <x:c r="AE389" t="str">
        <x:f>IF(OR(AA389="",AB389=""),"PENDING_HUMAN",IF(AA389=AB389,AA389,IF(AD389&lt;&gt;"",AD389,"PENDING_HUMAN")))</x:f>
        <x:v>PENDING_HUMAN</x:v>
      </x:c>
      <x:c r="AF389" t="n">
        <x:f>--AND(A389&lt;&gt;"",AA389&lt;&gt;"",AB389&lt;&gt;"",OR(AA389=AB389,AD389&lt;&gt;""),IF(AE389="HALLUCINATION",U389&lt;&gt;"",TRUE))</x:f>
        <x:v>0</x:v>
      </x:c>
      <x:c r="AG389" t="n">
        <x:f>--AND(N389=1,AF389=1,OR(AE389="SUPPORTED",AE389="HALLUCINATION"))</x:f>
        <x:v>0</x:v>
      </x:c>
      <x:c r="AH389" t="n">
        <x:f>--AND(AG389=1,AE389="HALLUCINATION")</x:f>
        <x:v>0</x:v>
      </x:c>
      <x:c r="AI389" t="n">
        <x:f>--AND(Q389=1,AF389=1,AE389="HALLUCINATION")</x:f>
        <x:v>0</x:v>
      </x:c>
      <x:c r="AJ389" t="n">
        <x:f>--AND(AI389=1,R389=1,S389=1)</x:f>
        <x:v>0</x:v>
      </x:c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  <x:c r="V390" s="28"/>
      <x:c r="W390" s="43" t="n">
        <x:f>--AND(N390=1,OR(O390="SUPPORTED",O390="HALLUCINATION"))</x:f>
        <x:v>0</x:v>
      </x:c>
      <x:c r="X390" s="43" t="n">
        <x:f>--AND(W390=1,O390="HALLUCINATION")</x:f>
        <x:v>0</x:v>
      </x:c>
      <x:c r="Y390" s="43" t="n">
        <x:f>--AND(Q390=1,O390="HALLUCINATION")</x:f>
        <x:v>0</x:v>
      </x:c>
      <x:c r="Z390" s="43" t="n">
        <x:f>--AND(Y390=1,R390=1,S390=1)</x:f>
        <x:v>0</x:v>
      </x:c>
      <x:c r="AC390" t="str">
        <x:f>IF(OR(AA390="",AB390=""),"",--(AA390&lt;&gt;AB390))</x:f>
      </x:c>
      <x:c r="AE390" t="str">
        <x:f>IF(OR(AA390="",AB390=""),"PENDING_HUMAN",IF(AA390=AB390,AA390,IF(AD390&lt;&gt;"",AD390,"PENDING_HUMAN")))</x:f>
        <x:v>PENDING_HUMAN</x:v>
      </x:c>
      <x:c r="AF390" t="n">
        <x:f>--AND(A390&lt;&gt;"",AA390&lt;&gt;"",AB390&lt;&gt;"",OR(AA390=AB390,AD390&lt;&gt;""),IF(AE390="HALLUCINATION",U390&lt;&gt;"",TRUE))</x:f>
        <x:v>0</x:v>
      </x:c>
      <x:c r="AG390" t="n">
        <x:f>--AND(N390=1,AF390=1,OR(AE390="SUPPORTED",AE390="HALLUCINATION"))</x:f>
        <x:v>0</x:v>
      </x:c>
      <x:c r="AH390" t="n">
        <x:f>--AND(AG390=1,AE390="HALLUCINATION")</x:f>
        <x:v>0</x:v>
      </x:c>
      <x:c r="AI390" t="n">
        <x:f>--AND(Q390=1,AF390=1,AE390="HALLUCINATION")</x:f>
        <x:v>0</x:v>
      </x:c>
      <x:c r="AJ390" t="n">
        <x:f>--AND(AI390=1,R390=1,S390=1)</x:f>
        <x:v>0</x:v>
      </x:c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  <x:c r="V391" s="28"/>
      <x:c r="W391" s="43" t="n">
        <x:f>--AND(N391=1,OR(O391="SUPPORTED",O391="HALLUCINATION"))</x:f>
        <x:v>0</x:v>
      </x:c>
      <x:c r="X391" s="43" t="n">
        <x:f>--AND(W391=1,O391="HALLUCINATION")</x:f>
        <x:v>0</x:v>
      </x:c>
      <x:c r="Y391" s="43" t="n">
        <x:f>--AND(Q391=1,O391="HALLUCINATION")</x:f>
        <x:v>0</x:v>
      </x:c>
      <x:c r="Z391" s="43" t="n">
        <x:f>--AND(Y391=1,R391=1,S391=1)</x:f>
        <x:v>0</x:v>
      </x:c>
      <x:c r="AC391" t="str">
        <x:f>IF(OR(AA391="",AB391=""),"",--(AA391&lt;&gt;AB391))</x:f>
      </x:c>
      <x:c r="AE391" t="str">
        <x:f>IF(OR(AA391="",AB391=""),"PENDING_HUMAN",IF(AA391=AB391,AA391,IF(AD391&lt;&gt;"",AD391,"PENDING_HUMAN")))</x:f>
        <x:v>PENDING_HUMAN</x:v>
      </x:c>
      <x:c r="AF391" t="n">
        <x:f>--AND(A391&lt;&gt;"",AA391&lt;&gt;"",AB391&lt;&gt;"",OR(AA391=AB391,AD391&lt;&gt;""),IF(AE391="HALLUCINATION",U391&lt;&gt;"",TRUE))</x:f>
        <x:v>0</x:v>
      </x:c>
      <x:c r="AG391" t="n">
        <x:f>--AND(N391=1,AF391=1,OR(AE391="SUPPORTED",AE391="HALLUCINATION"))</x:f>
        <x:v>0</x:v>
      </x:c>
      <x:c r="AH391" t="n">
        <x:f>--AND(AG391=1,AE391="HALLUCINATION")</x:f>
        <x:v>0</x:v>
      </x:c>
      <x:c r="AI391" t="n">
        <x:f>--AND(Q391=1,AF391=1,AE391="HALLUCINATION")</x:f>
        <x:v>0</x:v>
      </x:c>
      <x:c r="AJ391" t="n">
        <x:f>--AND(AI391=1,R391=1,S391=1)</x:f>
        <x:v>0</x:v>
      </x:c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  <x:c r="V392" s="28"/>
      <x:c r="W392" s="43" t="n">
        <x:f>--AND(N392=1,OR(O392="SUPPORTED",O392="HALLUCINATION"))</x:f>
        <x:v>0</x:v>
      </x:c>
      <x:c r="X392" s="43" t="n">
        <x:f>--AND(W392=1,O392="HALLUCINATION")</x:f>
        <x:v>0</x:v>
      </x:c>
      <x:c r="Y392" s="43" t="n">
        <x:f>--AND(Q392=1,O392="HALLUCINATION")</x:f>
        <x:v>0</x:v>
      </x:c>
      <x:c r="Z392" s="43" t="n">
        <x:f>--AND(Y392=1,R392=1,S392=1)</x:f>
        <x:v>0</x:v>
      </x:c>
      <x:c r="AC392" t="str">
        <x:f>IF(OR(AA392="",AB392=""),"",--(AA392&lt;&gt;AB392))</x:f>
      </x:c>
      <x:c r="AE392" t="str">
        <x:f>IF(OR(AA392="",AB392=""),"PENDING_HUMAN",IF(AA392=AB392,AA392,IF(AD392&lt;&gt;"",AD392,"PENDING_HUMAN")))</x:f>
        <x:v>PENDING_HUMAN</x:v>
      </x:c>
      <x:c r="AF392" t="n">
        <x:f>--AND(A392&lt;&gt;"",AA392&lt;&gt;"",AB392&lt;&gt;"",OR(AA392=AB392,AD392&lt;&gt;""),IF(AE392="HALLUCINATION",U392&lt;&gt;"",TRUE))</x:f>
        <x:v>0</x:v>
      </x:c>
      <x:c r="AG392" t="n">
        <x:f>--AND(N392=1,AF392=1,OR(AE392="SUPPORTED",AE392="HALLUCINATION"))</x:f>
        <x:v>0</x:v>
      </x:c>
      <x:c r="AH392" t="n">
        <x:f>--AND(AG392=1,AE392="HALLUCINATION")</x:f>
        <x:v>0</x:v>
      </x:c>
      <x:c r="AI392" t="n">
        <x:f>--AND(Q392=1,AF392=1,AE392="HALLUCINATION")</x:f>
        <x:v>0</x:v>
      </x:c>
      <x:c r="AJ392" t="n">
        <x:f>--AND(AI392=1,R392=1,S392=1)</x:f>
        <x:v>0</x:v>
      </x:c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  <x:c r="V393" s="28"/>
      <x:c r="W393" s="43" t="n">
        <x:f>--AND(N393=1,OR(O393="SUPPORTED",O393="HALLUCINATION"))</x:f>
        <x:v>0</x:v>
      </x:c>
      <x:c r="X393" s="43" t="n">
        <x:f>--AND(W393=1,O393="HALLUCINATION")</x:f>
        <x:v>0</x:v>
      </x:c>
      <x:c r="Y393" s="43" t="n">
        <x:f>--AND(Q393=1,O393="HALLUCINATION")</x:f>
        <x:v>0</x:v>
      </x:c>
      <x:c r="Z393" s="43" t="n">
        <x:f>--AND(Y393=1,R393=1,S393=1)</x:f>
        <x:v>0</x:v>
      </x:c>
      <x:c r="AC393" t="str">
        <x:f>IF(OR(AA393="",AB393=""),"",--(AA393&lt;&gt;AB393))</x:f>
      </x:c>
      <x:c r="AE393" t="str">
        <x:f>IF(OR(AA393="",AB393=""),"PENDING_HUMAN",IF(AA393=AB393,AA393,IF(AD393&lt;&gt;"",AD393,"PENDING_HUMAN")))</x:f>
        <x:v>PENDING_HUMAN</x:v>
      </x:c>
      <x:c r="AF393" t="n">
        <x:f>--AND(A393&lt;&gt;"",AA393&lt;&gt;"",AB393&lt;&gt;"",OR(AA393=AB393,AD393&lt;&gt;""),IF(AE393="HALLUCINATION",U393&lt;&gt;"",TRUE))</x:f>
        <x:v>0</x:v>
      </x:c>
      <x:c r="AG393" t="n">
        <x:f>--AND(N393=1,AF393=1,OR(AE393="SUPPORTED",AE393="HALLUCINATION"))</x:f>
        <x:v>0</x:v>
      </x:c>
      <x:c r="AH393" t="n">
        <x:f>--AND(AG393=1,AE393="HALLUCINATION")</x:f>
        <x:v>0</x:v>
      </x:c>
      <x:c r="AI393" t="n">
        <x:f>--AND(Q393=1,AF393=1,AE393="HALLUCINATION")</x:f>
        <x:v>0</x:v>
      </x:c>
      <x:c r="AJ393" t="n">
        <x:f>--AND(AI393=1,R393=1,S393=1)</x:f>
        <x:v>0</x:v>
      </x:c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  <x:c r="V394" s="28"/>
      <x:c r="W394" s="43" t="n">
        <x:f>--AND(N394=1,OR(O394="SUPPORTED",O394="HALLUCINATION"))</x:f>
        <x:v>0</x:v>
      </x:c>
      <x:c r="X394" s="43" t="n">
        <x:f>--AND(W394=1,O394="HALLUCINATION")</x:f>
        <x:v>0</x:v>
      </x:c>
      <x:c r="Y394" s="43" t="n">
        <x:f>--AND(Q394=1,O394="HALLUCINATION")</x:f>
        <x:v>0</x:v>
      </x:c>
      <x:c r="Z394" s="43" t="n">
        <x:f>--AND(Y394=1,R394=1,S394=1)</x:f>
        <x:v>0</x:v>
      </x:c>
      <x:c r="AC394" t="str">
        <x:f>IF(OR(AA394="",AB394=""),"",--(AA394&lt;&gt;AB394))</x:f>
      </x:c>
      <x:c r="AE394" t="str">
        <x:f>IF(OR(AA394="",AB394=""),"PENDING_HUMAN",IF(AA394=AB394,AA394,IF(AD394&lt;&gt;"",AD394,"PENDING_HUMAN")))</x:f>
        <x:v>PENDING_HUMAN</x:v>
      </x:c>
      <x:c r="AF394" t="n">
        <x:f>--AND(A394&lt;&gt;"",AA394&lt;&gt;"",AB394&lt;&gt;"",OR(AA394=AB394,AD394&lt;&gt;""),IF(AE394="HALLUCINATION",U394&lt;&gt;"",TRUE))</x:f>
        <x:v>0</x:v>
      </x:c>
      <x:c r="AG394" t="n">
        <x:f>--AND(N394=1,AF394=1,OR(AE394="SUPPORTED",AE394="HALLUCINATION"))</x:f>
        <x:v>0</x:v>
      </x:c>
      <x:c r="AH394" t="n">
        <x:f>--AND(AG394=1,AE394="HALLUCINATION")</x:f>
        <x:v>0</x:v>
      </x:c>
      <x:c r="AI394" t="n">
        <x:f>--AND(Q394=1,AF394=1,AE394="HALLUCINATION")</x:f>
        <x:v>0</x:v>
      </x:c>
      <x:c r="AJ394" t="n">
        <x:f>--AND(AI394=1,R394=1,S394=1)</x:f>
        <x:v>0</x:v>
      </x:c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  <x:c r="V395" s="28"/>
      <x:c r="W395" s="43" t="n">
        <x:f>--AND(N395=1,OR(O395="SUPPORTED",O395="HALLUCINATION"))</x:f>
        <x:v>0</x:v>
      </x:c>
      <x:c r="X395" s="43" t="n">
        <x:f>--AND(W395=1,O395="HALLUCINATION")</x:f>
        <x:v>0</x:v>
      </x:c>
      <x:c r="Y395" s="43" t="n">
        <x:f>--AND(Q395=1,O395="HALLUCINATION")</x:f>
        <x:v>0</x:v>
      </x:c>
      <x:c r="Z395" s="43" t="n">
        <x:f>--AND(Y395=1,R395=1,S395=1)</x:f>
        <x:v>0</x:v>
      </x:c>
      <x:c r="AC395" t="str">
        <x:f>IF(OR(AA395="",AB395=""),"",--(AA395&lt;&gt;AB395))</x:f>
      </x:c>
      <x:c r="AE395" t="str">
        <x:f>IF(OR(AA395="",AB395=""),"PENDING_HUMAN",IF(AA395=AB395,AA395,IF(AD395&lt;&gt;"",AD395,"PENDING_HUMAN")))</x:f>
        <x:v>PENDING_HUMAN</x:v>
      </x:c>
      <x:c r="AF395" t="n">
        <x:f>--AND(A395&lt;&gt;"",AA395&lt;&gt;"",AB395&lt;&gt;"",OR(AA395=AB395,AD395&lt;&gt;""),IF(AE395="HALLUCINATION",U395&lt;&gt;"",TRUE))</x:f>
        <x:v>0</x:v>
      </x:c>
      <x:c r="AG395" t="n">
        <x:f>--AND(N395=1,AF395=1,OR(AE395="SUPPORTED",AE395="HALLUCINATION"))</x:f>
        <x:v>0</x:v>
      </x:c>
      <x:c r="AH395" t="n">
        <x:f>--AND(AG395=1,AE395="HALLUCINATION")</x:f>
        <x:v>0</x:v>
      </x:c>
      <x:c r="AI395" t="n">
        <x:f>--AND(Q395=1,AF395=1,AE395="HALLUCINATION")</x:f>
        <x:v>0</x:v>
      </x:c>
      <x:c r="AJ395" t="n">
        <x:f>--AND(AI395=1,R395=1,S395=1)</x:f>
        <x:v>0</x:v>
      </x:c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  <x:c r="V396" s="28"/>
      <x:c r="W396" s="43" t="n">
        <x:f>--AND(N396=1,OR(O396="SUPPORTED",O396="HALLUCINATION"))</x:f>
        <x:v>0</x:v>
      </x:c>
      <x:c r="X396" s="43" t="n">
        <x:f>--AND(W396=1,O396="HALLUCINATION")</x:f>
        <x:v>0</x:v>
      </x:c>
      <x:c r="Y396" s="43" t="n">
        <x:f>--AND(Q396=1,O396="HALLUCINATION")</x:f>
        <x:v>0</x:v>
      </x:c>
      <x:c r="Z396" s="43" t="n">
        <x:f>--AND(Y396=1,R396=1,S396=1)</x:f>
        <x:v>0</x:v>
      </x:c>
      <x:c r="AC396" t="str">
        <x:f>IF(OR(AA396="",AB396=""),"",--(AA396&lt;&gt;AB396))</x:f>
      </x:c>
      <x:c r="AE396" t="str">
        <x:f>IF(OR(AA396="",AB396=""),"PENDING_HUMAN",IF(AA396=AB396,AA396,IF(AD396&lt;&gt;"",AD396,"PENDING_HUMAN")))</x:f>
        <x:v>PENDING_HUMAN</x:v>
      </x:c>
      <x:c r="AF396" t="n">
        <x:f>--AND(A396&lt;&gt;"",AA396&lt;&gt;"",AB396&lt;&gt;"",OR(AA396=AB396,AD396&lt;&gt;""),IF(AE396="HALLUCINATION",U396&lt;&gt;"",TRUE))</x:f>
        <x:v>0</x:v>
      </x:c>
      <x:c r="AG396" t="n">
        <x:f>--AND(N396=1,AF396=1,OR(AE396="SUPPORTED",AE396="HALLUCINATION"))</x:f>
        <x:v>0</x:v>
      </x:c>
      <x:c r="AH396" t="n">
        <x:f>--AND(AG396=1,AE396="HALLUCINATION")</x:f>
        <x:v>0</x:v>
      </x:c>
      <x:c r="AI396" t="n">
        <x:f>--AND(Q396=1,AF396=1,AE396="HALLUCINATION")</x:f>
        <x:v>0</x:v>
      </x:c>
      <x:c r="AJ396" t="n">
        <x:f>--AND(AI396=1,R396=1,S396=1)</x:f>
        <x:v>0</x:v>
      </x:c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  <x:c r="V397" s="28"/>
      <x:c r="W397" s="43" t="n">
        <x:f>--AND(N397=1,OR(O397="SUPPORTED",O397="HALLUCINATION"))</x:f>
        <x:v>0</x:v>
      </x:c>
      <x:c r="X397" s="43" t="n">
        <x:f>--AND(W397=1,O397="HALLUCINATION")</x:f>
        <x:v>0</x:v>
      </x:c>
      <x:c r="Y397" s="43" t="n">
        <x:f>--AND(Q397=1,O397="HALLUCINATION")</x:f>
        <x:v>0</x:v>
      </x:c>
      <x:c r="Z397" s="43" t="n">
        <x:f>--AND(Y397=1,R397=1,S397=1)</x:f>
        <x:v>0</x:v>
      </x:c>
      <x:c r="AC397" t="str">
        <x:f>IF(OR(AA397="",AB397=""),"",--(AA397&lt;&gt;AB397))</x:f>
      </x:c>
      <x:c r="AE397" t="str">
        <x:f>IF(OR(AA397="",AB397=""),"PENDING_HUMAN",IF(AA397=AB397,AA397,IF(AD397&lt;&gt;"",AD397,"PENDING_HUMAN")))</x:f>
        <x:v>PENDING_HUMAN</x:v>
      </x:c>
      <x:c r="AF397" t="n">
        <x:f>--AND(A397&lt;&gt;"",AA397&lt;&gt;"",AB397&lt;&gt;"",OR(AA397=AB397,AD397&lt;&gt;""),IF(AE397="HALLUCINATION",U397&lt;&gt;"",TRUE))</x:f>
        <x:v>0</x:v>
      </x:c>
      <x:c r="AG397" t="n">
        <x:f>--AND(N397=1,AF397=1,OR(AE397="SUPPORTED",AE397="HALLUCINATION"))</x:f>
        <x:v>0</x:v>
      </x:c>
      <x:c r="AH397" t="n">
        <x:f>--AND(AG397=1,AE397="HALLUCINATION")</x:f>
        <x:v>0</x:v>
      </x:c>
      <x:c r="AI397" t="n">
        <x:f>--AND(Q397=1,AF397=1,AE397="HALLUCINATION")</x:f>
        <x:v>0</x:v>
      </x:c>
      <x:c r="AJ397" t="n">
        <x:f>--AND(AI397=1,R397=1,S397=1)</x:f>
        <x:v>0</x:v>
      </x:c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  <x:c r="V398" s="28"/>
      <x:c r="W398" s="43" t="n">
        <x:f>--AND(N398=1,OR(O398="SUPPORTED",O398="HALLUCINATION"))</x:f>
        <x:v>0</x:v>
      </x:c>
      <x:c r="X398" s="43" t="n">
        <x:f>--AND(W398=1,O398="HALLUCINATION")</x:f>
        <x:v>0</x:v>
      </x:c>
      <x:c r="Y398" s="43" t="n">
        <x:f>--AND(Q398=1,O398="HALLUCINATION")</x:f>
        <x:v>0</x:v>
      </x:c>
      <x:c r="Z398" s="43" t="n">
        <x:f>--AND(Y398=1,R398=1,S398=1)</x:f>
        <x:v>0</x:v>
      </x:c>
      <x:c r="AC398" t="str">
        <x:f>IF(OR(AA398="",AB398=""),"",--(AA398&lt;&gt;AB398))</x:f>
      </x:c>
      <x:c r="AE398" t="str">
        <x:f>IF(OR(AA398="",AB398=""),"PENDING_HUMAN",IF(AA398=AB398,AA398,IF(AD398&lt;&gt;"",AD398,"PENDING_HUMAN")))</x:f>
        <x:v>PENDING_HUMAN</x:v>
      </x:c>
      <x:c r="AF398" t="n">
        <x:f>--AND(A398&lt;&gt;"",AA398&lt;&gt;"",AB398&lt;&gt;"",OR(AA398=AB398,AD398&lt;&gt;""),IF(AE398="HALLUCINATION",U398&lt;&gt;"",TRUE))</x:f>
        <x:v>0</x:v>
      </x:c>
      <x:c r="AG398" t="n">
        <x:f>--AND(N398=1,AF398=1,OR(AE398="SUPPORTED",AE398="HALLUCINATION"))</x:f>
        <x:v>0</x:v>
      </x:c>
      <x:c r="AH398" t="n">
        <x:f>--AND(AG398=1,AE398="HALLUCINATION")</x:f>
        <x:v>0</x:v>
      </x:c>
      <x:c r="AI398" t="n">
        <x:f>--AND(Q398=1,AF398=1,AE398="HALLUCINATION")</x:f>
        <x:v>0</x:v>
      </x:c>
      <x:c r="AJ398" t="n">
        <x:f>--AND(AI398=1,R398=1,S398=1)</x:f>
        <x:v>0</x:v>
      </x:c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  <x:c r="V399" s="28"/>
      <x:c r="W399" s="43" t="n">
        <x:f>--AND(N399=1,OR(O399="SUPPORTED",O399="HALLUCINATION"))</x:f>
        <x:v>0</x:v>
      </x:c>
      <x:c r="X399" s="43" t="n">
        <x:f>--AND(W399=1,O399="HALLUCINATION")</x:f>
        <x:v>0</x:v>
      </x:c>
      <x:c r="Y399" s="43" t="n">
        <x:f>--AND(Q399=1,O399="HALLUCINATION")</x:f>
        <x:v>0</x:v>
      </x:c>
      <x:c r="Z399" s="43" t="n">
        <x:f>--AND(Y399=1,R399=1,S399=1)</x:f>
        <x:v>0</x:v>
      </x:c>
      <x:c r="AC399" t="str">
        <x:f>IF(OR(AA399="",AB399=""),"",--(AA399&lt;&gt;AB399))</x:f>
      </x:c>
      <x:c r="AE399" t="str">
        <x:f>IF(OR(AA399="",AB399=""),"PENDING_HUMAN",IF(AA399=AB399,AA399,IF(AD399&lt;&gt;"",AD399,"PENDING_HUMAN")))</x:f>
        <x:v>PENDING_HUMAN</x:v>
      </x:c>
      <x:c r="AF399" t="n">
        <x:f>--AND(A399&lt;&gt;"",AA399&lt;&gt;"",AB399&lt;&gt;"",OR(AA399=AB399,AD399&lt;&gt;""),IF(AE399="HALLUCINATION",U399&lt;&gt;"",TRUE))</x:f>
        <x:v>0</x:v>
      </x:c>
      <x:c r="AG399" t="n">
        <x:f>--AND(N399=1,AF399=1,OR(AE399="SUPPORTED",AE399="HALLUCINATION"))</x:f>
        <x:v>0</x:v>
      </x:c>
      <x:c r="AH399" t="n">
        <x:f>--AND(AG399=1,AE399="HALLUCINATION")</x:f>
        <x:v>0</x:v>
      </x:c>
      <x:c r="AI399" t="n">
        <x:f>--AND(Q399=1,AF399=1,AE399="HALLUCINATION")</x:f>
        <x:v>0</x:v>
      </x:c>
      <x:c r="AJ399" t="n">
        <x:f>--AND(AI399=1,R399=1,S399=1)</x:f>
        <x:v>0</x:v>
      </x:c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  <x:c r="V400" s="28"/>
      <x:c r="W400" s="43" t="n">
        <x:f>--AND(N400=1,OR(O400="SUPPORTED",O400="HALLUCINATION"))</x:f>
        <x:v>0</x:v>
      </x:c>
      <x:c r="X400" s="43" t="n">
        <x:f>--AND(W400=1,O400="HALLUCINATION")</x:f>
        <x:v>0</x:v>
      </x:c>
      <x:c r="Y400" s="43" t="n">
        <x:f>--AND(Q400=1,O400="HALLUCINATION")</x:f>
        <x:v>0</x:v>
      </x:c>
      <x:c r="Z400" s="43" t="n">
        <x:f>--AND(Y400=1,R400=1,S400=1)</x:f>
        <x:v>0</x:v>
      </x:c>
      <x:c r="AC400" t="str">
        <x:f>IF(OR(AA400="",AB400=""),"",--(AA400&lt;&gt;AB400))</x:f>
      </x:c>
      <x:c r="AE400" t="str">
        <x:f>IF(OR(AA400="",AB400=""),"PENDING_HUMAN",IF(AA400=AB400,AA400,IF(AD400&lt;&gt;"",AD400,"PENDING_HUMAN")))</x:f>
        <x:v>PENDING_HUMAN</x:v>
      </x:c>
      <x:c r="AF400" t="n">
        <x:f>--AND(A400&lt;&gt;"",AA400&lt;&gt;"",AB400&lt;&gt;"",OR(AA400=AB400,AD400&lt;&gt;""),IF(AE400="HALLUCINATION",U400&lt;&gt;"",TRUE))</x:f>
        <x:v>0</x:v>
      </x:c>
      <x:c r="AG400" t="n">
        <x:f>--AND(N400=1,AF400=1,OR(AE400="SUPPORTED",AE400="HALLUCINATION"))</x:f>
        <x:v>0</x:v>
      </x:c>
      <x:c r="AH400" t="n">
        <x:f>--AND(AG400=1,AE400="HALLUCINATION")</x:f>
        <x:v>0</x:v>
      </x:c>
      <x:c r="AI400" t="n">
        <x:f>--AND(Q400=1,AF400=1,AE400="HALLUCINATION")</x:f>
        <x:v>0</x:v>
      </x:c>
      <x:c r="AJ400" t="n">
        <x:f>--AND(AI400=1,R400=1,S400=1)</x:f>
        <x:v>0</x:v>
      </x:c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  <x:c r="V401" s="28"/>
      <x:c r="W401" s="43" t="n">
        <x:f>--AND(N401=1,OR(O401="SUPPORTED",O401="HALLUCINATION"))</x:f>
        <x:v>0</x:v>
      </x:c>
      <x:c r="X401" s="43" t="n">
        <x:f>--AND(W401=1,O401="HALLUCINATION")</x:f>
        <x:v>0</x:v>
      </x:c>
      <x:c r="Y401" s="43" t="n">
        <x:f>--AND(Q401=1,O401="HALLUCINATION")</x:f>
        <x:v>0</x:v>
      </x:c>
      <x:c r="Z401" s="43" t="n">
        <x:f>--AND(Y401=1,R401=1,S401=1)</x:f>
        <x:v>0</x:v>
      </x:c>
      <x:c r="AC401" t="str">
        <x:f>IF(OR(AA401="",AB401=""),"",--(AA401&lt;&gt;AB401))</x:f>
      </x:c>
      <x:c r="AE401" t="str">
        <x:f>IF(OR(AA401="",AB401=""),"PENDING_HUMAN",IF(AA401=AB401,AA401,IF(AD401&lt;&gt;"",AD401,"PENDING_HUMAN")))</x:f>
        <x:v>PENDING_HUMAN</x:v>
      </x:c>
      <x:c r="AF401" t="n">
        <x:f>--AND(A401&lt;&gt;"",AA401&lt;&gt;"",AB401&lt;&gt;"",OR(AA401=AB401,AD401&lt;&gt;""),IF(AE401="HALLUCINATION",U401&lt;&gt;"",TRUE))</x:f>
        <x:v>0</x:v>
      </x:c>
      <x:c r="AG401" t="n">
        <x:f>--AND(N401=1,AF401=1,OR(AE401="SUPPORTED",AE401="HALLUCINATION"))</x:f>
        <x:v>0</x:v>
      </x:c>
      <x:c r="AH401" t="n">
        <x:f>--AND(AG401=1,AE401="HALLUCINATION")</x:f>
        <x:v>0</x:v>
      </x:c>
      <x:c r="AI401" t="n">
        <x:f>--AND(Q401=1,AF401=1,AE401="HALLUCINATION")</x:f>
        <x:v>0</x:v>
      </x:c>
      <x:c r="AJ401" t="n">
        <x:f>--AND(AI401=1,R401=1,S401=1)</x:f>
        <x:v>0</x:v>
      </x:c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  <x:c r="V402" s="28"/>
      <x:c r="W402" s="43" t="n">
        <x:f>--AND(N402=1,OR(O402="SUPPORTED",O402="HALLUCINATION"))</x:f>
        <x:v>0</x:v>
      </x:c>
      <x:c r="X402" s="43" t="n">
        <x:f>--AND(W402=1,O402="HALLUCINATION")</x:f>
        <x:v>0</x:v>
      </x:c>
      <x:c r="Y402" s="43" t="n">
        <x:f>--AND(Q402=1,O402="HALLUCINATION")</x:f>
        <x:v>0</x:v>
      </x:c>
      <x:c r="Z402" s="43" t="n">
        <x:f>--AND(Y402=1,R402=1,S402=1)</x:f>
        <x:v>0</x:v>
      </x:c>
      <x:c r="AC402" t="str">
        <x:f>IF(OR(AA402="",AB402=""),"",--(AA402&lt;&gt;AB402))</x:f>
      </x:c>
      <x:c r="AE402" t="str">
        <x:f>IF(OR(AA402="",AB402=""),"PENDING_HUMAN",IF(AA402=AB402,AA402,IF(AD402&lt;&gt;"",AD402,"PENDING_HUMAN")))</x:f>
        <x:v>PENDING_HUMAN</x:v>
      </x:c>
      <x:c r="AF402" t="n">
        <x:f>--AND(A402&lt;&gt;"",AA402&lt;&gt;"",AB402&lt;&gt;"",OR(AA402=AB402,AD402&lt;&gt;""),IF(AE402="HALLUCINATION",U402&lt;&gt;"",TRUE))</x:f>
        <x:v>0</x:v>
      </x:c>
      <x:c r="AG402" t="n">
        <x:f>--AND(N402=1,AF402=1,OR(AE402="SUPPORTED",AE402="HALLUCINATION"))</x:f>
        <x:v>0</x:v>
      </x:c>
      <x:c r="AH402" t="n">
        <x:f>--AND(AG402=1,AE402="HALLUCINATION")</x:f>
        <x:v>0</x:v>
      </x:c>
      <x:c r="AI402" t="n">
        <x:f>--AND(Q402=1,AF402=1,AE402="HALLUCINATION")</x:f>
        <x:v>0</x:v>
      </x:c>
      <x:c r="AJ402" t="n">
        <x:f>--AND(AI402=1,R402=1,S402=1)</x:f>
        <x:v>0</x:v>
      </x:c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  <x:c r="V403" s="28"/>
      <x:c r="W403" s="43" t="n">
        <x:f>--AND(N403=1,OR(O403="SUPPORTED",O403="HALLUCINATION"))</x:f>
        <x:v>0</x:v>
      </x:c>
      <x:c r="X403" s="43" t="n">
        <x:f>--AND(W403=1,O403="HALLUCINATION")</x:f>
        <x:v>0</x:v>
      </x:c>
      <x:c r="Y403" s="43" t="n">
        <x:f>--AND(Q403=1,O403="HALLUCINATION")</x:f>
        <x:v>0</x:v>
      </x:c>
      <x:c r="Z403" s="43" t="n">
        <x:f>--AND(Y403=1,R403=1,S403=1)</x:f>
        <x:v>0</x:v>
      </x:c>
      <x:c r="AC403" t="str">
        <x:f>IF(OR(AA403="",AB403=""),"",--(AA403&lt;&gt;AB403))</x:f>
      </x:c>
      <x:c r="AE403" t="str">
        <x:f>IF(OR(AA403="",AB403=""),"PENDING_HUMAN",IF(AA403=AB403,AA403,IF(AD403&lt;&gt;"",AD403,"PENDING_HUMAN")))</x:f>
        <x:v>PENDING_HUMAN</x:v>
      </x:c>
      <x:c r="AF403" t="n">
        <x:f>--AND(A403&lt;&gt;"",AA403&lt;&gt;"",AB403&lt;&gt;"",OR(AA403=AB403,AD403&lt;&gt;""),IF(AE403="HALLUCINATION",U403&lt;&gt;"",TRUE))</x:f>
        <x:v>0</x:v>
      </x:c>
      <x:c r="AG403" t="n">
        <x:f>--AND(N403=1,AF403=1,OR(AE403="SUPPORTED",AE403="HALLUCINATION"))</x:f>
        <x:v>0</x:v>
      </x:c>
      <x:c r="AH403" t="n">
        <x:f>--AND(AG403=1,AE403="HALLUCINATION")</x:f>
        <x:v>0</x:v>
      </x:c>
      <x:c r="AI403" t="n">
        <x:f>--AND(Q403=1,AF403=1,AE403="HALLUCINATION")</x:f>
        <x:v>0</x:v>
      </x:c>
      <x:c r="AJ403" t="n">
        <x:f>--AND(AI403=1,R403=1,S403=1)</x:f>
        <x:v>0</x:v>
      </x:c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  <x:c r="V404" s="28"/>
      <x:c r="W404" s="43" t="n">
        <x:f>--AND(N404=1,OR(O404="SUPPORTED",O404="HALLUCINATION"))</x:f>
        <x:v>0</x:v>
      </x:c>
      <x:c r="X404" s="43" t="n">
        <x:f>--AND(W404=1,O404="HALLUCINATION")</x:f>
        <x:v>0</x:v>
      </x:c>
      <x:c r="Y404" s="43" t="n">
        <x:f>--AND(Q404=1,O404="HALLUCINATION")</x:f>
        <x:v>0</x:v>
      </x:c>
      <x:c r="Z404" s="43" t="n">
        <x:f>--AND(Y404=1,R404=1,S404=1)</x:f>
        <x:v>0</x:v>
      </x:c>
      <x:c r="AC404" t="str">
        <x:f>IF(OR(AA404="",AB404=""),"",--(AA404&lt;&gt;AB404))</x:f>
      </x:c>
      <x:c r="AE404" t="str">
        <x:f>IF(OR(AA404="",AB404=""),"PENDING_HUMAN",IF(AA404=AB404,AA404,IF(AD404&lt;&gt;"",AD404,"PENDING_HUMAN")))</x:f>
        <x:v>PENDING_HUMAN</x:v>
      </x:c>
      <x:c r="AF404" t="n">
        <x:f>--AND(A404&lt;&gt;"",AA404&lt;&gt;"",AB404&lt;&gt;"",OR(AA404=AB404,AD404&lt;&gt;""),IF(AE404="HALLUCINATION",U404&lt;&gt;"",TRUE))</x:f>
        <x:v>0</x:v>
      </x:c>
      <x:c r="AG404" t="n">
        <x:f>--AND(N404=1,AF404=1,OR(AE404="SUPPORTED",AE404="HALLUCINATION"))</x:f>
        <x:v>0</x:v>
      </x:c>
      <x:c r="AH404" t="n">
        <x:f>--AND(AG404=1,AE404="HALLUCINATION")</x:f>
        <x:v>0</x:v>
      </x:c>
      <x:c r="AI404" t="n">
        <x:f>--AND(Q404=1,AF404=1,AE404="HALLUCINATION")</x:f>
        <x:v>0</x:v>
      </x:c>
      <x:c r="AJ404" t="n">
        <x:f>--AND(AI404=1,R404=1,S404=1)</x:f>
        <x:v>0</x:v>
      </x:c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  <x:c r="V405" s="28"/>
      <x:c r="W405" s="43" t="n">
        <x:f>--AND(N405=1,OR(O405="SUPPORTED",O405="HALLUCINATION"))</x:f>
        <x:v>0</x:v>
      </x:c>
      <x:c r="X405" s="43" t="n">
        <x:f>--AND(W405=1,O405="HALLUCINATION")</x:f>
        <x:v>0</x:v>
      </x:c>
      <x:c r="Y405" s="43" t="n">
        <x:f>--AND(Q405=1,O405="HALLUCINATION")</x:f>
        <x:v>0</x:v>
      </x:c>
      <x:c r="Z405" s="43" t="n">
        <x:f>--AND(Y405=1,R405=1,S405=1)</x:f>
        <x:v>0</x:v>
      </x:c>
      <x:c r="AC405" t="str">
        <x:f>IF(OR(AA405="",AB405=""),"",--(AA405&lt;&gt;AB405))</x:f>
      </x:c>
      <x:c r="AE405" t="str">
        <x:f>IF(OR(AA405="",AB405=""),"PENDING_HUMAN",IF(AA405=AB405,AA405,IF(AD405&lt;&gt;"",AD405,"PENDING_HUMAN")))</x:f>
        <x:v>PENDING_HUMAN</x:v>
      </x:c>
      <x:c r="AF405" t="n">
        <x:f>--AND(A405&lt;&gt;"",AA405&lt;&gt;"",AB405&lt;&gt;"",OR(AA405=AB405,AD405&lt;&gt;""),IF(AE405="HALLUCINATION",U405&lt;&gt;"",TRUE))</x:f>
        <x:v>0</x:v>
      </x:c>
      <x:c r="AG405" t="n">
        <x:f>--AND(N405=1,AF405=1,OR(AE405="SUPPORTED",AE405="HALLUCINATION"))</x:f>
        <x:v>0</x:v>
      </x:c>
      <x:c r="AH405" t="n">
        <x:f>--AND(AG405=1,AE405="HALLUCINATION")</x:f>
        <x:v>0</x:v>
      </x:c>
      <x:c r="AI405" t="n">
        <x:f>--AND(Q405=1,AF405=1,AE405="HALLUCINATION")</x:f>
        <x:v>0</x:v>
      </x:c>
      <x:c r="AJ405" t="n">
        <x:f>--AND(AI405=1,R405=1,S405=1)</x:f>
        <x:v>0</x:v>
      </x:c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  <x:c r="V406" s="28"/>
      <x:c r="W406" s="43" t="n">
        <x:f>--AND(N406=1,OR(O406="SUPPORTED",O406="HALLUCINATION"))</x:f>
        <x:v>0</x:v>
      </x:c>
      <x:c r="X406" s="43" t="n">
        <x:f>--AND(W406=1,O406="HALLUCINATION")</x:f>
        <x:v>0</x:v>
      </x:c>
      <x:c r="Y406" s="43" t="n">
        <x:f>--AND(Q406=1,O406="HALLUCINATION")</x:f>
        <x:v>0</x:v>
      </x:c>
      <x:c r="Z406" s="43" t="n">
        <x:f>--AND(Y406=1,R406=1,S406=1)</x:f>
        <x:v>0</x:v>
      </x:c>
      <x:c r="AC406" t="str">
        <x:f>IF(OR(AA406="",AB406=""),"",--(AA406&lt;&gt;AB406))</x:f>
      </x:c>
      <x:c r="AE406" t="str">
        <x:f>IF(OR(AA406="",AB406=""),"PENDING_HUMAN",IF(AA406=AB406,AA406,IF(AD406&lt;&gt;"",AD406,"PENDING_HUMAN")))</x:f>
        <x:v>PENDING_HUMAN</x:v>
      </x:c>
      <x:c r="AF406" t="n">
        <x:f>--AND(A406&lt;&gt;"",AA406&lt;&gt;"",AB406&lt;&gt;"",OR(AA406=AB406,AD406&lt;&gt;""),IF(AE406="HALLUCINATION",U406&lt;&gt;"",TRUE))</x:f>
        <x:v>0</x:v>
      </x:c>
      <x:c r="AG406" t="n">
        <x:f>--AND(N406=1,AF406=1,OR(AE406="SUPPORTED",AE406="HALLUCINATION"))</x:f>
        <x:v>0</x:v>
      </x:c>
      <x:c r="AH406" t="n">
        <x:f>--AND(AG406=1,AE406="HALLUCINATION")</x:f>
        <x:v>0</x:v>
      </x:c>
      <x:c r="AI406" t="n">
        <x:f>--AND(Q406=1,AF406=1,AE406="HALLUCINATION")</x:f>
        <x:v>0</x:v>
      </x:c>
      <x:c r="AJ406" t="n">
        <x:f>--AND(AI406=1,R406=1,S406=1)</x:f>
        <x:v>0</x:v>
      </x:c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  <x:c r="V407" s="28"/>
      <x:c r="W407" s="43" t="n">
        <x:f>--AND(N407=1,OR(O407="SUPPORTED",O407="HALLUCINATION"))</x:f>
        <x:v>0</x:v>
      </x:c>
      <x:c r="X407" s="43" t="n">
        <x:f>--AND(W407=1,O407="HALLUCINATION")</x:f>
        <x:v>0</x:v>
      </x:c>
      <x:c r="Y407" s="43" t="n">
        <x:f>--AND(Q407=1,O407="HALLUCINATION")</x:f>
        <x:v>0</x:v>
      </x:c>
      <x:c r="Z407" s="43" t="n">
        <x:f>--AND(Y407=1,R407=1,S407=1)</x:f>
        <x:v>0</x:v>
      </x:c>
      <x:c r="AC407" t="str">
        <x:f>IF(OR(AA407="",AB407=""),"",--(AA407&lt;&gt;AB407))</x:f>
      </x:c>
      <x:c r="AE407" t="str">
        <x:f>IF(OR(AA407="",AB407=""),"PENDING_HUMAN",IF(AA407=AB407,AA407,IF(AD407&lt;&gt;"",AD407,"PENDING_HUMAN")))</x:f>
        <x:v>PENDING_HUMAN</x:v>
      </x:c>
      <x:c r="AF407" t="n">
        <x:f>--AND(A407&lt;&gt;"",AA407&lt;&gt;"",AB407&lt;&gt;"",OR(AA407=AB407,AD407&lt;&gt;""),IF(AE407="HALLUCINATION",U407&lt;&gt;"",TRUE))</x:f>
        <x:v>0</x:v>
      </x:c>
      <x:c r="AG407" t="n">
        <x:f>--AND(N407=1,AF407=1,OR(AE407="SUPPORTED",AE407="HALLUCINATION"))</x:f>
        <x:v>0</x:v>
      </x:c>
      <x:c r="AH407" t="n">
        <x:f>--AND(AG407=1,AE407="HALLUCINATION")</x:f>
        <x:v>0</x:v>
      </x:c>
      <x:c r="AI407" t="n">
        <x:f>--AND(Q407=1,AF407=1,AE407="HALLUCINATION")</x:f>
        <x:v>0</x:v>
      </x:c>
      <x:c r="AJ407" t="n">
        <x:f>--AND(AI407=1,R407=1,S407=1)</x:f>
        <x:v>0</x:v>
      </x:c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  <x:c r="V408" s="28"/>
      <x:c r="W408" s="43" t="n">
        <x:f>--AND(N408=1,OR(O408="SUPPORTED",O408="HALLUCINATION"))</x:f>
        <x:v>0</x:v>
      </x:c>
      <x:c r="X408" s="43" t="n">
        <x:f>--AND(W408=1,O408="HALLUCINATION")</x:f>
        <x:v>0</x:v>
      </x:c>
      <x:c r="Y408" s="43" t="n">
        <x:f>--AND(Q408=1,O408="HALLUCINATION")</x:f>
        <x:v>0</x:v>
      </x:c>
      <x:c r="Z408" s="43" t="n">
        <x:f>--AND(Y408=1,R408=1,S408=1)</x:f>
        <x:v>0</x:v>
      </x:c>
      <x:c r="AC408" t="str">
        <x:f>IF(OR(AA408="",AB408=""),"",--(AA408&lt;&gt;AB408))</x:f>
      </x:c>
      <x:c r="AE408" t="str">
        <x:f>IF(OR(AA408="",AB408=""),"PENDING_HUMAN",IF(AA408=AB408,AA408,IF(AD408&lt;&gt;"",AD408,"PENDING_HUMAN")))</x:f>
        <x:v>PENDING_HUMAN</x:v>
      </x:c>
      <x:c r="AF408" t="n">
        <x:f>--AND(A408&lt;&gt;"",AA408&lt;&gt;"",AB408&lt;&gt;"",OR(AA408=AB408,AD408&lt;&gt;""),IF(AE408="HALLUCINATION",U408&lt;&gt;"",TRUE))</x:f>
        <x:v>0</x:v>
      </x:c>
      <x:c r="AG408" t="n">
        <x:f>--AND(N408=1,AF408=1,OR(AE408="SUPPORTED",AE408="HALLUCINATION"))</x:f>
        <x:v>0</x:v>
      </x:c>
      <x:c r="AH408" t="n">
        <x:f>--AND(AG408=1,AE408="HALLUCINATION")</x:f>
        <x:v>0</x:v>
      </x:c>
      <x:c r="AI408" t="n">
        <x:f>--AND(Q408=1,AF408=1,AE408="HALLUCINATION")</x:f>
        <x:v>0</x:v>
      </x:c>
      <x:c r="AJ408" t="n">
        <x:f>--AND(AI408=1,R408=1,S408=1)</x:f>
        <x:v>0</x:v>
      </x:c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  <x:c r="V409" s="28"/>
      <x:c r="W409" s="43" t="n">
        <x:f>--AND(N409=1,OR(O409="SUPPORTED",O409="HALLUCINATION"))</x:f>
        <x:v>0</x:v>
      </x:c>
      <x:c r="X409" s="43" t="n">
        <x:f>--AND(W409=1,O409="HALLUCINATION")</x:f>
        <x:v>0</x:v>
      </x:c>
      <x:c r="Y409" s="43" t="n">
        <x:f>--AND(Q409=1,O409="HALLUCINATION")</x:f>
        <x:v>0</x:v>
      </x:c>
      <x:c r="Z409" s="43" t="n">
        <x:f>--AND(Y409=1,R409=1,S409=1)</x:f>
        <x:v>0</x:v>
      </x:c>
      <x:c r="AC409" t="str">
        <x:f>IF(OR(AA409="",AB409=""),"",--(AA409&lt;&gt;AB409))</x:f>
      </x:c>
      <x:c r="AE409" t="str">
        <x:f>IF(OR(AA409="",AB409=""),"PENDING_HUMAN",IF(AA409=AB409,AA409,IF(AD409&lt;&gt;"",AD409,"PENDING_HUMAN")))</x:f>
        <x:v>PENDING_HUMAN</x:v>
      </x:c>
      <x:c r="AF409" t="n">
        <x:f>--AND(A409&lt;&gt;"",AA409&lt;&gt;"",AB409&lt;&gt;"",OR(AA409=AB409,AD409&lt;&gt;""),IF(AE409="HALLUCINATION",U409&lt;&gt;"",TRUE))</x:f>
        <x:v>0</x:v>
      </x:c>
      <x:c r="AG409" t="n">
        <x:f>--AND(N409=1,AF409=1,OR(AE409="SUPPORTED",AE409="HALLUCINATION"))</x:f>
        <x:v>0</x:v>
      </x:c>
      <x:c r="AH409" t="n">
        <x:f>--AND(AG409=1,AE409="HALLUCINATION")</x:f>
        <x:v>0</x:v>
      </x:c>
      <x:c r="AI409" t="n">
        <x:f>--AND(Q409=1,AF409=1,AE409="HALLUCINATION")</x:f>
        <x:v>0</x:v>
      </x:c>
      <x:c r="AJ409" t="n">
        <x:f>--AND(AI409=1,R409=1,S409=1)</x:f>
        <x:v>0</x:v>
      </x:c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  <x:c r="V410" s="28"/>
      <x:c r="W410" s="43" t="n">
        <x:f>--AND(N410=1,OR(O410="SUPPORTED",O410="HALLUCINATION"))</x:f>
        <x:v>0</x:v>
      </x:c>
      <x:c r="X410" s="43" t="n">
        <x:f>--AND(W410=1,O410="HALLUCINATION")</x:f>
        <x:v>0</x:v>
      </x:c>
      <x:c r="Y410" s="43" t="n">
        <x:f>--AND(Q410=1,O410="HALLUCINATION")</x:f>
        <x:v>0</x:v>
      </x:c>
      <x:c r="Z410" s="43" t="n">
        <x:f>--AND(Y410=1,R410=1,S410=1)</x:f>
        <x:v>0</x:v>
      </x:c>
      <x:c r="AC410" t="str">
        <x:f>IF(OR(AA410="",AB410=""),"",--(AA410&lt;&gt;AB410))</x:f>
      </x:c>
      <x:c r="AE410" t="str">
        <x:f>IF(OR(AA410="",AB410=""),"PENDING_HUMAN",IF(AA410=AB410,AA410,IF(AD410&lt;&gt;"",AD410,"PENDING_HUMAN")))</x:f>
        <x:v>PENDING_HUMAN</x:v>
      </x:c>
      <x:c r="AF410" t="n">
        <x:f>--AND(A410&lt;&gt;"",AA410&lt;&gt;"",AB410&lt;&gt;"",OR(AA410=AB410,AD410&lt;&gt;""),IF(AE410="HALLUCINATION",U410&lt;&gt;"",TRUE))</x:f>
        <x:v>0</x:v>
      </x:c>
      <x:c r="AG410" t="n">
        <x:f>--AND(N410=1,AF410=1,OR(AE410="SUPPORTED",AE410="HALLUCINATION"))</x:f>
        <x:v>0</x:v>
      </x:c>
      <x:c r="AH410" t="n">
        <x:f>--AND(AG410=1,AE410="HALLUCINATION")</x:f>
        <x:v>0</x:v>
      </x:c>
      <x:c r="AI410" t="n">
        <x:f>--AND(Q410=1,AF410=1,AE410="HALLUCINATION")</x:f>
        <x:v>0</x:v>
      </x:c>
      <x:c r="AJ410" t="n">
        <x:f>--AND(AI410=1,R410=1,S410=1)</x:f>
        <x:v>0</x:v>
      </x:c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  <x:c r="V411" s="28"/>
      <x:c r="W411" s="43" t="n">
        <x:f>--AND(N411=1,OR(O411="SUPPORTED",O411="HALLUCINATION"))</x:f>
        <x:v>0</x:v>
      </x:c>
      <x:c r="X411" s="43" t="n">
        <x:f>--AND(W411=1,O411="HALLUCINATION")</x:f>
        <x:v>0</x:v>
      </x:c>
      <x:c r="Y411" s="43" t="n">
        <x:f>--AND(Q411=1,O411="HALLUCINATION")</x:f>
        <x:v>0</x:v>
      </x:c>
      <x:c r="Z411" s="43" t="n">
        <x:f>--AND(Y411=1,R411=1,S411=1)</x:f>
        <x:v>0</x:v>
      </x:c>
      <x:c r="AC411" t="str">
        <x:f>IF(OR(AA411="",AB411=""),"",--(AA411&lt;&gt;AB411))</x:f>
      </x:c>
      <x:c r="AE411" t="str">
        <x:f>IF(OR(AA411="",AB411=""),"PENDING_HUMAN",IF(AA411=AB411,AA411,IF(AD411&lt;&gt;"",AD411,"PENDING_HUMAN")))</x:f>
        <x:v>PENDING_HUMAN</x:v>
      </x:c>
      <x:c r="AF411" t="n">
        <x:f>--AND(A411&lt;&gt;"",AA411&lt;&gt;"",AB411&lt;&gt;"",OR(AA411=AB411,AD411&lt;&gt;""),IF(AE411="HALLUCINATION",U411&lt;&gt;"",TRUE))</x:f>
        <x:v>0</x:v>
      </x:c>
      <x:c r="AG411" t="n">
        <x:f>--AND(N411=1,AF411=1,OR(AE411="SUPPORTED",AE411="HALLUCINATION"))</x:f>
        <x:v>0</x:v>
      </x:c>
      <x:c r="AH411" t="n">
        <x:f>--AND(AG411=1,AE411="HALLUCINATION")</x:f>
        <x:v>0</x:v>
      </x:c>
      <x:c r="AI411" t="n">
        <x:f>--AND(Q411=1,AF411=1,AE411="HALLUCINATION")</x:f>
        <x:v>0</x:v>
      </x:c>
      <x:c r="AJ411" t="n">
        <x:f>--AND(AI411=1,R411=1,S411=1)</x:f>
        <x:v>0</x:v>
      </x:c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  <x:c r="V412" s="28"/>
      <x:c r="W412" s="43" t="n">
        <x:f>--AND(N412=1,OR(O412="SUPPORTED",O412="HALLUCINATION"))</x:f>
        <x:v>0</x:v>
      </x:c>
      <x:c r="X412" s="43" t="n">
        <x:f>--AND(W412=1,O412="HALLUCINATION")</x:f>
        <x:v>0</x:v>
      </x:c>
      <x:c r="Y412" s="43" t="n">
        <x:f>--AND(Q412=1,O412="HALLUCINATION")</x:f>
        <x:v>0</x:v>
      </x:c>
      <x:c r="Z412" s="43" t="n">
        <x:f>--AND(Y412=1,R412=1,S412=1)</x:f>
        <x:v>0</x:v>
      </x:c>
      <x:c r="AC412" t="str">
        <x:f>IF(OR(AA412="",AB412=""),"",--(AA412&lt;&gt;AB412))</x:f>
      </x:c>
      <x:c r="AE412" t="str">
        <x:f>IF(OR(AA412="",AB412=""),"PENDING_HUMAN",IF(AA412=AB412,AA412,IF(AD412&lt;&gt;"",AD412,"PENDING_HUMAN")))</x:f>
        <x:v>PENDING_HUMAN</x:v>
      </x:c>
      <x:c r="AF412" t="n">
        <x:f>--AND(A412&lt;&gt;"",AA412&lt;&gt;"",AB412&lt;&gt;"",OR(AA412=AB412,AD412&lt;&gt;""),IF(AE412="HALLUCINATION",U412&lt;&gt;"",TRUE))</x:f>
        <x:v>0</x:v>
      </x:c>
      <x:c r="AG412" t="n">
        <x:f>--AND(N412=1,AF412=1,OR(AE412="SUPPORTED",AE412="HALLUCINATION"))</x:f>
        <x:v>0</x:v>
      </x:c>
      <x:c r="AH412" t="n">
        <x:f>--AND(AG412=1,AE412="HALLUCINATION")</x:f>
        <x:v>0</x:v>
      </x:c>
      <x:c r="AI412" t="n">
        <x:f>--AND(Q412=1,AF412=1,AE412="HALLUCINATION")</x:f>
        <x:v>0</x:v>
      </x:c>
      <x:c r="AJ412" t="n">
        <x:f>--AND(AI412=1,R412=1,S412=1)</x:f>
        <x:v>0</x:v>
      </x:c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  <x:c r="V413" s="28"/>
      <x:c r="W413" s="43" t="n">
        <x:f>--AND(N413=1,OR(O413="SUPPORTED",O413="HALLUCINATION"))</x:f>
        <x:v>0</x:v>
      </x:c>
      <x:c r="X413" s="43" t="n">
        <x:f>--AND(W413=1,O413="HALLUCINATION")</x:f>
        <x:v>0</x:v>
      </x:c>
      <x:c r="Y413" s="43" t="n">
        <x:f>--AND(Q413=1,O413="HALLUCINATION")</x:f>
        <x:v>0</x:v>
      </x:c>
      <x:c r="Z413" s="43" t="n">
        <x:f>--AND(Y413=1,R413=1,S413=1)</x:f>
        <x:v>0</x:v>
      </x:c>
      <x:c r="AC413" t="str">
        <x:f>IF(OR(AA413="",AB413=""),"",--(AA413&lt;&gt;AB413))</x:f>
      </x:c>
      <x:c r="AE413" t="str">
        <x:f>IF(OR(AA413="",AB413=""),"PENDING_HUMAN",IF(AA413=AB413,AA413,IF(AD413&lt;&gt;"",AD413,"PENDING_HUMAN")))</x:f>
        <x:v>PENDING_HUMAN</x:v>
      </x:c>
      <x:c r="AF413" t="n">
        <x:f>--AND(A413&lt;&gt;"",AA413&lt;&gt;"",AB413&lt;&gt;"",OR(AA413=AB413,AD413&lt;&gt;""),IF(AE413="HALLUCINATION",U413&lt;&gt;"",TRUE))</x:f>
        <x:v>0</x:v>
      </x:c>
      <x:c r="AG413" t="n">
        <x:f>--AND(N413=1,AF413=1,OR(AE413="SUPPORTED",AE413="HALLUCINATION"))</x:f>
        <x:v>0</x:v>
      </x:c>
      <x:c r="AH413" t="n">
        <x:f>--AND(AG413=1,AE413="HALLUCINATION")</x:f>
        <x:v>0</x:v>
      </x:c>
      <x:c r="AI413" t="n">
        <x:f>--AND(Q413=1,AF413=1,AE413="HALLUCINATION")</x:f>
        <x:v>0</x:v>
      </x:c>
      <x:c r="AJ413" t="n">
        <x:f>--AND(AI413=1,R413=1,S413=1)</x:f>
        <x:v>0</x:v>
      </x:c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  <x:c r="V414" s="28"/>
      <x:c r="W414" s="43" t="n">
        <x:f>--AND(N414=1,OR(O414="SUPPORTED",O414="HALLUCINATION"))</x:f>
        <x:v>0</x:v>
      </x:c>
      <x:c r="X414" s="43" t="n">
        <x:f>--AND(W414=1,O414="HALLUCINATION")</x:f>
        <x:v>0</x:v>
      </x:c>
      <x:c r="Y414" s="43" t="n">
        <x:f>--AND(Q414=1,O414="HALLUCINATION")</x:f>
        <x:v>0</x:v>
      </x:c>
      <x:c r="Z414" s="43" t="n">
        <x:f>--AND(Y414=1,R414=1,S414=1)</x:f>
        <x:v>0</x:v>
      </x:c>
      <x:c r="AC414" t="str">
        <x:f>IF(OR(AA414="",AB414=""),"",--(AA414&lt;&gt;AB414))</x:f>
      </x:c>
      <x:c r="AE414" t="str">
        <x:f>IF(OR(AA414="",AB414=""),"PENDING_HUMAN",IF(AA414=AB414,AA414,IF(AD414&lt;&gt;"",AD414,"PENDING_HUMAN")))</x:f>
        <x:v>PENDING_HUMAN</x:v>
      </x:c>
      <x:c r="AF414" t="n">
        <x:f>--AND(A414&lt;&gt;"",AA414&lt;&gt;"",AB414&lt;&gt;"",OR(AA414=AB414,AD414&lt;&gt;""),IF(AE414="HALLUCINATION",U414&lt;&gt;"",TRUE))</x:f>
        <x:v>0</x:v>
      </x:c>
      <x:c r="AG414" t="n">
        <x:f>--AND(N414=1,AF414=1,OR(AE414="SUPPORTED",AE414="HALLUCINATION"))</x:f>
        <x:v>0</x:v>
      </x:c>
      <x:c r="AH414" t="n">
        <x:f>--AND(AG414=1,AE414="HALLUCINATION")</x:f>
        <x:v>0</x:v>
      </x:c>
      <x:c r="AI414" t="n">
        <x:f>--AND(Q414=1,AF414=1,AE414="HALLUCINATION")</x:f>
        <x:v>0</x:v>
      </x:c>
      <x:c r="AJ414" t="n">
        <x:f>--AND(AI414=1,R414=1,S414=1)</x:f>
        <x:v>0</x:v>
      </x:c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  <x:c r="V415" s="28"/>
      <x:c r="W415" s="43" t="n">
        <x:f>--AND(N415=1,OR(O415="SUPPORTED",O415="HALLUCINATION"))</x:f>
        <x:v>0</x:v>
      </x:c>
      <x:c r="X415" s="43" t="n">
        <x:f>--AND(W415=1,O415="HALLUCINATION")</x:f>
        <x:v>0</x:v>
      </x:c>
      <x:c r="Y415" s="43" t="n">
        <x:f>--AND(Q415=1,O415="HALLUCINATION")</x:f>
        <x:v>0</x:v>
      </x:c>
      <x:c r="Z415" s="43" t="n">
        <x:f>--AND(Y415=1,R415=1,S415=1)</x:f>
        <x:v>0</x:v>
      </x:c>
      <x:c r="AC415" t="str">
        <x:f>IF(OR(AA415="",AB415=""),"",--(AA415&lt;&gt;AB415))</x:f>
      </x:c>
      <x:c r="AE415" t="str">
        <x:f>IF(OR(AA415="",AB415=""),"PENDING_HUMAN",IF(AA415=AB415,AA415,IF(AD415&lt;&gt;"",AD415,"PENDING_HUMAN")))</x:f>
        <x:v>PENDING_HUMAN</x:v>
      </x:c>
      <x:c r="AF415" t="n">
        <x:f>--AND(A415&lt;&gt;"",AA415&lt;&gt;"",AB415&lt;&gt;"",OR(AA415=AB415,AD415&lt;&gt;""),IF(AE415="HALLUCINATION",U415&lt;&gt;"",TRUE))</x:f>
        <x:v>0</x:v>
      </x:c>
      <x:c r="AG415" t="n">
        <x:f>--AND(N415=1,AF415=1,OR(AE415="SUPPORTED",AE415="HALLUCINATION"))</x:f>
        <x:v>0</x:v>
      </x:c>
      <x:c r="AH415" t="n">
        <x:f>--AND(AG415=1,AE415="HALLUCINATION")</x:f>
        <x:v>0</x:v>
      </x:c>
      <x:c r="AI415" t="n">
        <x:f>--AND(Q415=1,AF415=1,AE415="HALLUCINATION")</x:f>
        <x:v>0</x:v>
      </x:c>
      <x:c r="AJ415" t="n">
        <x:f>--AND(AI415=1,R415=1,S415=1)</x:f>
        <x:v>0</x:v>
      </x:c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  <x:c r="V416" s="28"/>
      <x:c r="W416" s="43" t="n">
        <x:f>--AND(N416=1,OR(O416="SUPPORTED",O416="HALLUCINATION"))</x:f>
        <x:v>0</x:v>
      </x:c>
      <x:c r="X416" s="43" t="n">
        <x:f>--AND(W416=1,O416="HALLUCINATION")</x:f>
        <x:v>0</x:v>
      </x:c>
      <x:c r="Y416" s="43" t="n">
        <x:f>--AND(Q416=1,O416="HALLUCINATION")</x:f>
        <x:v>0</x:v>
      </x:c>
      <x:c r="Z416" s="43" t="n">
        <x:f>--AND(Y416=1,R416=1,S416=1)</x:f>
        <x:v>0</x:v>
      </x:c>
      <x:c r="AC416" t="str">
        <x:f>IF(OR(AA416="",AB416=""),"",--(AA416&lt;&gt;AB416))</x:f>
      </x:c>
      <x:c r="AE416" t="str">
        <x:f>IF(OR(AA416="",AB416=""),"PENDING_HUMAN",IF(AA416=AB416,AA416,IF(AD416&lt;&gt;"",AD416,"PENDING_HUMAN")))</x:f>
        <x:v>PENDING_HUMAN</x:v>
      </x:c>
      <x:c r="AF416" t="n">
        <x:f>--AND(A416&lt;&gt;"",AA416&lt;&gt;"",AB416&lt;&gt;"",OR(AA416=AB416,AD416&lt;&gt;""),IF(AE416="HALLUCINATION",U416&lt;&gt;"",TRUE))</x:f>
        <x:v>0</x:v>
      </x:c>
      <x:c r="AG416" t="n">
        <x:f>--AND(N416=1,AF416=1,OR(AE416="SUPPORTED",AE416="HALLUCINATION"))</x:f>
        <x:v>0</x:v>
      </x:c>
      <x:c r="AH416" t="n">
        <x:f>--AND(AG416=1,AE416="HALLUCINATION")</x:f>
        <x:v>0</x:v>
      </x:c>
      <x:c r="AI416" t="n">
        <x:f>--AND(Q416=1,AF416=1,AE416="HALLUCINATION")</x:f>
        <x:v>0</x:v>
      </x:c>
      <x:c r="AJ416" t="n">
        <x:f>--AND(AI416=1,R416=1,S416=1)</x:f>
        <x:v>0</x:v>
      </x:c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  <x:c r="V417" s="28"/>
      <x:c r="W417" s="43" t="n">
        <x:f>--AND(N417=1,OR(O417="SUPPORTED",O417="HALLUCINATION"))</x:f>
        <x:v>0</x:v>
      </x:c>
      <x:c r="X417" s="43" t="n">
        <x:f>--AND(W417=1,O417="HALLUCINATION")</x:f>
        <x:v>0</x:v>
      </x:c>
      <x:c r="Y417" s="43" t="n">
        <x:f>--AND(Q417=1,O417="HALLUCINATION")</x:f>
        <x:v>0</x:v>
      </x:c>
      <x:c r="Z417" s="43" t="n">
        <x:f>--AND(Y417=1,R417=1,S417=1)</x:f>
        <x:v>0</x:v>
      </x:c>
      <x:c r="AC417" t="str">
        <x:f>IF(OR(AA417="",AB417=""),"",--(AA417&lt;&gt;AB417))</x:f>
      </x:c>
      <x:c r="AE417" t="str">
        <x:f>IF(OR(AA417="",AB417=""),"PENDING_HUMAN",IF(AA417=AB417,AA417,IF(AD417&lt;&gt;"",AD417,"PENDING_HUMAN")))</x:f>
        <x:v>PENDING_HUMAN</x:v>
      </x:c>
      <x:c r="AF417" t="n">
        <x:f>--AND(A417&lt;&gt;"",AA417&lt;&gt;"",AB417&lt;&gt;"",OR(AA417=AB417,AD417&lt;&gt;""),IF(AE417="HALLUCINATION",U417&lt;&gt;"",TRUE))</x:f>
        <x:v>0</x:v>
      </x:c>
      <x:c r="AG417" t="n">
        <x:f>--AND(N417=1,AF417=1,OR(AE417="SUPPORTED",AE417="HALLUCINATION"))</x:f>
        <x:v>0</x:v>
      </x:c>
      <x:c r="AH417" t="n">
        <x:f>--AND(AG417=1,AE417="HALLUCINATION")</x:f>
        <x:v>0</x:v>
      </x:c>
      <x:c r="AI417" t="n">
        <x:f>--AND(Q417=1,AF417=1,AE417="HALLUCINATION")</x:f>
        <x:v>0</x:v>
      </x:c>
      <x:c r="AJ417" t="n">
        <x:f>--AND(AI417=1,R417=1,S417=1)</x:f>
        <x:v>0</x:v>
      </x:c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  <x:c r="V418" s="28"/>
      <x:c r="W418" s="43" t="n">
        <x:f>--AND(N418=1,OR(O418="SUPPORTED",O418="HALLUCINATION"))</x:f>
        <x:v>0</x:v>
      </x:c>
      <x:c r="X418" s="43" t="n">
        <x:f>--AND(W418=1,O418="HALLUCINATION")</x:f>
        <x:v>0</x:v>
      </x:c>
      <x:c r="Y418" s="43" t="n">
        <x:f>--AND(Q418=1,O418="HALLUCINATION")</x:f>
        <x:v>0</x:v>
      </x:c>
      <x:c r="Z418" s="43" t="n">
        <x:f>--AND(Y418=1,R418=1,S418=1)</x:f>
        <x:v>0</x:v>
      </x:c>
      <x:c r="AC418" t="str">
        <x:f>IF(OR(AA418="",AB418=""),"",--(AA418&lt;&gt;AB418))</x:f>
      </x:c>
      <x:c r="AE418" t="str">
        <x:f>IF(OR(AA418="",AB418=""),"PENDING_HUMAN",IF(AA418=AB418,AA418,IF(AD418&lt;&gt;"",AD418,"PENDING_HUMAN")))</x:f>
        <x:v>PENDING_HUMAN</x:v>
      </x:c>
      <x:c r="AF418" t="n">
        <x:f>--AND(A418&lt;&gt;"",AA418&lt;&gt;"",AB418&lt;&gt;"",OR(AA418=AB418,AD418&lt;&gt;""),IF(AE418="HALLUCINATION",U418&lt;&gt;"",TRUE))</x:f>
        <x:v>0</x:v>
      </x:c>
      <x:c r="AG418" t="n">
        <x:f>--AND(N418=1,AF418=1,OR(AE418="SUPPORTED",AE418="HALLUCINATION"))</x:f>
        <x:v>0</x:v>
      </x:c>
      <x:c r="AH418" t="n">
        <x:f>--AND(AG418=1,AE418="HALLUCINATION")</x:f>
        <x:v>0</x:v>
      </x:c>
      <x:c r="AI418" t="n">
        <x:f>--AND(Q418=1,AF418=1,AE418="HALLUCINATION")</x:f>
        <x:v>0</x:v>
      </x:c>
      <x:c r="AJ418" t="n">
        <x:f>--AND(AI418=1,R418=1,S418=1)</x:f>
        <x:v>0</x:v>
      </x:c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  <x:c r="V419" s="28"/>
      <x:c r="W419" s="43" t="n">
        <x:f>--AND(N419=1,OR(O419="SUPPORTED",O419="HALLUCINATION"))</x:f>
        <x:v>0</x:v>
      </x:c>
      <x:c r="X419" s="43" t="n">
        <x:f>--AND(W419=1,O419="HALLUCINATION")</x:f>
        <x:v>0</x:v>
      </x:c>
      <x:c r="Y419" s="43" t="n">
        <x:f>--AND(Q419=1,O419="HALLUCINATION")</x:f>
        <x:v>0</x:v>
      </x:c>
      <x:c r="Z419" s="43" t="n">
        <x:f>--AND(Y419=1,R419=1,S419=1)</x:f>
        <x:v>0</x:v>
      </x:c>
      <x:c r="AC419" t="str">
        <x:f>IF(OR(AA419="",AB419=""),"",--(AA419&lt;&gt;AB419))</x:f>
      </x:c>
      <x:c r="AE419" t="str">
        <x:f>IF(OR(AA419="",AB419=""),"PENDING_HUMAN",IF(AA419=AB419,AA419,IF(AD419&lt;&gt;"",AD419,"PENDING_HUMAN")))</x:f>
        <x:v>PENDING_HUMAN</x:v>
      </x:c>
      <x:c r="AF419" t="n">
        <x:f>--AND(A419&lt;&gt;"",AA419&lt;&gt;"",AB419&lt;&gt;"",OR(AA419=AB419,AD419&lt;&gt;""),IF(AE419="HALLUCINATION",U419&lt;&gt;"",TRUE))</x:f>
        <x:v>0</x:v>
      </x:c>
      <x:c r="AG419" t="n">
        <x:f>--AND(N419=1,AF419=1,OR(AE419="SUPPORTED",AE419="HALLUCINATION"))</x:f>
        <x:v>0</x:v>
      </x:c>
      <x:c r="AH419" t="n">
        <x:f>--AND(AG419=1,AE419="HALLUCINATION")</x:f>
        <x:v>0</x:v>
      </x:c>
      <x:c r="AI419" t="n">
        <x:f>--AND(Q419=1,AF419=1,AE419="HALLUCINATION")</x:f>
        <x:v>0</x:v>
      </x:c>
      <x:c r="AJ419" t="n">
        <x:f>--AND(AI419=1,R419=1,S419=1)</x:f>
        <x:v>0</x:v>
      </x:c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  <x:c r="V420" s="28"/>
      <x:c r="W420" s="43" t="n">
        <x:f>--AND(N420=1,OR(O420="SUPPORTED",O420="HALLUCINATION"))</x:f>
        <x:v>0</x:v>
      </x:c>
      <x:c r="X420" s="43" t="n">
        <x:f>--AND(W420=1,O420="HALLUCINATION")</x:f>
        <x:v>0</x:v>
      </x:c>
      <x:c r="Y420" s="43" t="n">
        <x:f>--AND(Q420=1,O420="HALLUCINATION")</x:f>
        <x:v>0</x:v>
      </x:c>
      <x:c r="Z420" s="43" t="n">
        <x:f>--AND(Y420=1,R420=1,S420=1)</x:f>
        <x:v>0</x:v>
      </x:c>
      <x:c r="AC420" t="str">
        <x:f>IF(OR(AA420="",AB420=""),"",--(AA420&lt;&gt;AB420))</x:f>
      </x:c>
      <x:c r="AE420" t="str">
        <x:f>IF(OR(AA420="",AB420=""),"PENDING_HUMAN",IF(AA420=AB420,AA420,IF(AD420&lt;&gt;"",AD420,"PENDING_HUMAN")))</x:f>
        <x:v>PENDING_HUMAN</x:v>
      </x:c>
      <x:c r="AF420" t="n">
        <x:f>--AND(A420&lt;&gt;"",AA420&lt;&gt;"",AB420&lt;&gt;"",OR(AA420=AB420,AD420&lt;&gt;""),IF(AE420="HALLUCINATION",U420&lt;&gt;"",TRUE))</x:f>
        <x:v>0</x:v>
      </x:c>
      <x:c r="AG420" t="n">
        <x:f>--AND(N420=1,AF420=1,OR(AE420="SUPPORTED",AE420="HALLUCINATION"))</x:f>
        <x:v>0</x:v>
      </x:c>
      <x:c r="AH420" t="n">
        <x:f>--AND(AG420=1,AE420="HALLUCINATION")</x:f>
        <x:v>0</x:v>
      </x:c>
      <x:c r="AI420" t="n">
        <x:f>--AND(Q420=1,AF420=1,AE420="HALLUCINATION")</x:f>
        <x:v>0</x:v>
      </x:c>
      <x:c r="AJ420" t="n">
        <x:f>--AND(AI420=1,R420=1,S420=1)</x:f>
        <x:v>0</x:v>
      </x:c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  <x:c r="V421" s="28"/>
      <x:c r="W421" s="43" t="n">
        <x:f>--AND(N421=1,OR(O421="SUPPORTED",O421="HALLUCINATION"))</x:f>
        <x:v>0</x:v>
      </x:c>
      <x:c r="X421" s="43" t="n">
        <x:f>--AND(W421=1,O421="HALLUCINATION")</x:f>
        <x:v>0</x:v>
      </x:c>
      <x:c r="Y421" s="43" t="n">
        <x:f>--AND(Q421=1,O421="HALLUCINATION")</x:f>
        <x:v>0</x:v>
      </x:c>
      <x:c r="Z421" s="43" t="n">
        <x:f>--AND(Y421=1,R421=1,S421=1)</x:f>
        <x:v>0</x:v>
      </x:c>
      <x:c r="AC421" t="str">
        <x:f>IF(OR(AA421="",AB421=""),"",--(AA421&lt;&gt;AB421))</x:f>
      </x:c>
      <x:c r="AE421" t="str">
        <x:f>IF(OR(AA421="",AB421=""),"PENDING_HUMAN",IF(AA421=AB421,AA421,IF(AD421&lt;&gt;"",AD421,"PENDING_HUMAN")))</x:f>
        <x:v>PENDING_HUMAN</x:v>
      </x:c>
      <x:c r="AF421" t="n">
        <x:f>--AND(A421&lt;&gt;"",AA421&lt;&gt;"",AB421&lt;&gt;"",OR(AA421=AB421,AD421&lt;&gt;""),IF(AE421="HALLUCINATION",U421&lt;&gt;"",TRUE))</x:f>
        <x:v>0</x:v>
      </x:c>
      <x:c r="AG421" t="n">
        <x:f>--AND(N421=1,AF421=1,OR(AE421="SUPPORTED",AE421="HALLUCINATION"))</x:f>
        <x:v>0</x:v>
      </x:c>
      <x:c r="AH421" t="n">
        <x:f>--AND(AG421=1,AE421="HALLUCINATION")</x:f>
        <x:v>0</x:v>
      </x:c>
      <x:c r="AI421" t="n">
        <x:f>--AND(Q421=1,AF421=1,AE421="HALLUCINATION")</x:f>
        <x:v>0</x:v>
      </x:c>
      <x:c r="AJ421" t="n">
        <x:f>--AND(AI421=1,R421=1,S421=1)</x:f>
        <x:v>0</x:v>
      </x:c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  <x:c r="V422" s="28"/>
      <x:c r="W422" s="43" t="n">
        <x:f>--AND(N422=1,OR(O422="SUPPORTED",O422="HALLUCINATION"))</x:f>
        <x:v>0</x:v>
      </x:c>
      <x:c r="X422" s="43" t="n">
        <x:f>--AND(W422=1,O422="HALLUCINATION")</x:f>
        <x:v>0</x:v>
      </x:c>
      <x:c r="Y422" s="43" t="n">
        <x:f>--AND(Q422=1,O422="HALLUCINATION")</x:f>
        <x:v>0</x:v>
      </x:c>
      <x:c r="Z422" s="43" t="n">
        <x:f>--AND(Y422=1,R422=1,S422=1)</x:f>
        <x:v>0</x:v>
      </x:c>
      <x:c r="AC422" t="str">
        <x:f>IF(OR(AA422="",AB422=""),"",--(AA422&lt;&gt;AB422))</x:f>
      </x:c>
      <x:c r="AE422" t="str">
        <x:f>IF(OR(AA422="",AB422=""),"PENDING_HUMAN",IF(AA422=AB422,AA422,IF(AD422&lt;&gt;"",AD422,"PENDING_HUMAN")))</x:f>
        <x:v>PENDING_HUMAN</x:v>
      </x:c>
      <x:c r="AF422" t="n">
        <x:f>--AND(A422&lt;&gt;"",AA422&lt;&gt;"",AB422&lt;&gt;"",OR(AA422=AB422,AD422&lt;&gt;""),IF(AE422="HALLUCINATION",U422&lt;&gt;"",TRUE))</x:f>
        <x:v>0</x:v>
      </x:c>
      <x:c r="AG422" t="n">
        <x:f>--AND(N422=1,AF422=1,OR(AE422="SUPPORTED",AE422="HALLUCINATION"))</x:f>
        <x:v>0</x:v>
      </x:c>
      <x:c r="AH422" t="n">
        <x:f>--AND(AG422=1,AE422="HALLUCINATION")</x:f>
        <x:v>0</x:v>
      </x:c>
      <x:c r="AI422" t="n">
        <x:f>--AND(Q422=1,AF422=1,AE422="HALLUCINATION")</x:f>
        <x:v>0</x:v>
      </x:c>
      <x:c r="AJ422" t="n">
        <x:f>--AND(AI422=1,R422=1,S422=1)</x:f>
        <x:v>0</x:v>
      </x:c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  <x:c r="V423" s="28"/>
      <x:c r="W423" s="43" t="n">
        <x:f>--AND(N423=1,OR(O423="SUPPORTED",O423="HALLUCINATION"))</x:f>
        <x:v>0</x:v>
      </x:c>
      <x:c r="X423" s="43" t="n">
        <x:f>--AND(W423=1,O423="HALLUCINATION")</x:f>
        <x:v>0</x:v>
      </x:c>
      <x:c r="Y423" s="43" t="n">
        <x:f>--AND(Q423=1,O423="HALLUCINATION")</x:f>
        <x:v>0</x:v>
      </x:c>
      <x:c r="Z423" s="43" t="n">
        <x:f>--AND(Y423=1,R423=1,S423=1)</x:f>
        <x:v>0</x:v>
      </x:c>
      <x:c r="AC423" t="str">
        <x:f>IF(OR(AA423="",AB423=""),"",--(AA423&lt;&gt;AB423))</x:f>
      </x:c>
      <x:c r="AE423" t="str">
        <x:f>IF(OR(AA423="",AB423=""),"PENDING_HUMAN",IF(AA423=AB423,AA423,IF(AD423&lt;&gt;"",AD423,"PENDING_HUMAN")))</x:f>
        <x:v>PENDING_HUMAN</x:v>
      </x:c>
      <x:c r="AF423" t="n">
        <x:f>--AND(A423&lt;&gt;"",AA423&lt;&gt;"",AB423&lt;&gt;"",OR(AA423=AB423,AD423&lt;&gt;""),IF(AE423="HALLUCINATION",U423&lt;&gt;"",TRUE))</x:f>
        <x:v>0</x:v>
      </x:c>
      <x:c r="AG423" t="n">
        <x:f>--AND(N423=1,AF423=1,OR(AE423="SUPPORTED",AE423="HALLUCINATION"))</x:f>
        <x:v>0</x:v>
      </x:c>
      <x:c r="AH423" t="n">
        <x:f>--AND(AG423=1,AE423="HALLUCINATION")</x:f>
        <x:v>0</x:v>
      </x:c>
      <x:c r="AI423" t="n">
        <x:f>--AND(Q423=1,AF423=1,AE423="HALLUCINATION")</x:f>
        <x:v>0</x:v>
      </x:c>
      <x:c r="AJ423" t="n">
        <x:f>--AND(AI423=1,R423=1,S423=1)</x:f>
        <x:v>0</x:v>
      </x:c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  <x:c r="V424" s="28"/>
      <x:c r="W424" s="43" t="n">
        <x:f>--AND(N424=1,OR(O424="SUPPORTED",O424="HALLUCINATION"))</x:f>
        <x:v>0</x:v>
      </x:c>
      <x:c r="X424" s="43" t="n">
        <x:f>--AND(W424=1,O424="HALLUCINATION")</x:f>
        <x:v>0</x:v>
      </x:c>
      <x:c r="Y424" s="43" t="n">
        <x:f>--AND(Q424=1,O424="HALLUCINATION")</x:f>
        <x:v>0</x:v>
      </x:c>
      <x:c r="Z424" s="43" t="n">
        <x:f>--AND(Y424=1,R424=1,S424=1)</x:f>
        <x:v>0</x:v>
      </x:c>
      <x:c r="AC424" t="str">
        <x:f>IF(OR(AA424="",AB424=""),"",--(AA424&lt;&gt;AB424))</x:f>
      </x:c>
      <x:c r="AE424" t="str">
        <x:f>IF(OR(AA424="",AB424=""),"PENDING_HUMAN",IF(AA424=AB424,AA424,IF(AD424&lt;&gt;"",AD424,"PENDING_HUMAN")))</x:f>
        <x:v>PENDING_HUMAN</x:v>
      </x:c>
      <x:c r="AF424" t="n">
        <x:f>--AND(A424&lt;&gt;"",AA424&lt;&gt;"",AB424&lt;&gt;"",OR(AA424=AB424,AD424&lt;&gt;""),IF(AE424="HALLUCINATION",U424&lt;&gt;"",TRUE))</x:f>
        <x:v>0</x:v>
      </x:c>
      <x:c r="AG424" t="n">
        <x:f>--AND(N424=1,AF424=1,OR(AE424="SUPPORTED",AE424="HALLUCINATION"))</x:f>
        <x:v>0</x:v>
      </x:c>
      <x:c r="AH424" t="n">
        <x:f>--AND(AG424=1,AE424="HALLUCINATION")</x:f>
        <x:v>0</x:v>
      </x:c>
      <x:c r="AI424" t="n">
        <x:f>--AND(Q424=1,AF424=1,AE424="HALLUCINATION")</x:f>
        <x:v>0</x:v>
      </x:c>
      <x:c r="AJ424" t="n">
        <x:f>--AND(AI424=1,R424=1,S424=1)</x:f>
        <x:v>0</x:v>
      </x:c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  <x:c r="V425" s="28"/>
      <x:c r="W425" s="43" t="n">
        <x:f>--AND(N425=1,OR(O425="SUPPORTED",O425="HALLUCINATION"))</x:f>
        <x:v>0</x:v>
      </x:c>
      <x:c r="X425" s="43" t="n">
        <x:f>--AND(W425=1,O425="HALLUCINATION")</x:f>
        <x:v>0</x:v>
      </x:c>
      <x:c r="Y425" s="43" t="n">
        <x:f>--AND(Q425=1,O425="HALLUCINATION")</x:f>
        <x:v>0</x:v>
      </x:c>
      <x:c r="Z425" s="43" t="n">
        <x:f>--AND(Y425=1,R425=1,S425=1)</x:f>
        <x:v>0</x:v>
      </x:c>
      <x:c r="AC425" t="str">
        <x:f>IF(OR(AA425="",AB425=""),"",--(AA425&lt;&gt;AB425))</x:f>
      </x:c>
      <x:c r="AE425" t="str">
        <x:f>IF(OR(AA425="",AB425=""),"PENDING_HUMAN",IF(AA425=AB425,AA425,IF(AD425&lt;&gt;"",AD425,"PENDING_HUMAN")))</x:f>
        <x:v>PENDING_HUMAN</x:v>
      </x:c>
      <x:c r="AF425" t="n">
        <x:f>--AND(A425&lt;&gt;"",AA425&lt;&gt;"",AB425&lt;&gt;"",OR(AA425=AB425,AD425&lt;&gt;""),IF(AE425="HALLUCINATION",U425&lt;&gt;"",TRUE))</x:f>
        <x:v>0</x:v>
      </x:c>
      <x:c r="AG425" t="n">
        <x:f>--AND(N425=1,AF425=1,OR(AE425="SUPPORTED",AE425="HALLUCINATION"))</x:f>
        <x:v>0</x:v>
      </x:c>
      <x:c r="AH425" t="n">
        <x:f>--AND(AG425=1,AE425="HALLUCINATION")</x:f>
        <x:v>0</x:v>
      </x:c>
      <x:c r="AI425" t="n">
        <x:f>--AND(Q425=1,AF425=1,AE425="HALLUCINATION")</x:f>
        <x:v>0</x:v>
      </x:c>
      <x:c r="AJ425" t="n">
        <x:f>--AND(AI425=1,R425=1,S425=1)</x:f>
        <x:v>0</x:v>
      </x:c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  <x:c r="V426" s="28"/>
      <x:c r="W426" s="43" t="n">
        <x:f>--AND(N426=1,OR(O426="SUPPORTED",O426="HALLUCINATION"))</x:f>
        <x:v>0</x:v>
      </x:c>
      <x:c r="X426" s="43" t="n">
        <x:f>--AND(W426=1,O426="HALLUCINATION")</x:f>
        <x:v>0</x:v>
      </x:c>
      <x:c r="Y426" s="43" t="n">
        <x:f>--AND(Q426=1,O426="HALLUCINATION")</x:f>
        <x:v>0</x:v>
      </x:c>
      <x:c r="Z426" s="43" t="n">
        <x:f>--AND(Y426=1,R426=1,S426=1)</x:f>
        <x:v>0</x:v>
      </x:c>
      <x:c r="AC426" t="str">
        <x:f>IF(OR(AA426="",AB426=""),"",--(AA426&lt;&gt;AB426))</x:f>
      </x:c>
      <x:c r="AE426" t="str">
        <x:f>IF(OR(AA426="",AB426=""),"PENDING_HUMAN",IF(AA426=AB426,AA426,IF(AD426&lt;&gt;"",AD426,"PENDING_HUMAN")))</x:f>
        <x:v>PENDING_HUMAN</x:v>
      </x:c>
      <x:c r="AF426" t="n">
        <x:f>--AND(A426&lt;&gt;"",AA426&lt;&gt;"",AB426&lt;&gt;"",OR(AA426=AB426,AD426&lt;&gt;""),IF(AE426="HALLUCINATION",U426&lt;&gt;"",TRUE))</x:f>
        <x:v>0</x:v>
      </x:c>
      <x:c r="AG426" t="n">
        <x:f>--AND(N426=1,AF426=1,OR(AE426="SUPPORTED",AE426="HALLUCINATION"))</x:f>
        <x:v>0</x:v>
      </x:c>
      <x:c r="AH426" t="n">
        <x:f>--AND(AG426=1,AE426="HALLUCINATION")</x:f>
        <x:v>0</x:v>
      </x:c>
      <x:c r="AI426" t="n">
        <x:f>--AND(Q426=1,AF426=1,AE426="HALLUCINATION")</x:f>
        <x:v>0</x:v>
      </x:c>
      <x:c r="AJ426" t="n">
        <x:f>--AND(AI426=1,R426=1,S426=1)</x:f>
        <x:v>0</x:v>
      </x:c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  <x:c r="V427" s="28"/>
      <x:c r="W427" s="43" t="n">
        <x:f>--AND(N427=1,OR(O427="SUPPORTED",O427="HALLUCINATION"))</x:f>
        <x:v>0</x:v>
      </x:c>
      <x:c r="X427" s="43" t="n">
        <x:f>--AND(W427=1,O427="HALLUCINATION")</x:f>
        <x:v>0</x:v>
      </x:c>
      <x:c r="Y427" s="43" t="n">
        <x:f>--AND(Q427=1,O427="HALLUCINATION")</x:f>
        <x:v>0</x:v>
      </x:c>
      <x:c r="Z427" s="43" t="n">
        <x:f>--AND(Y427=1,R427=1,S427=1)</x:f>
        <x:v>0</x:v>
      </x:c>
      <x:c r="AC427" t="str">
        <x:f>IF(OR(AA427="",AB427=""),"",--(AA427&lt;&gt;AB427))</x:f>
      </x:c>
      <x:c r="AE427" t="str">
        <x:f>IF(OR(AA427="",AB427=""),"PENDING_HUMAN",IF(AA427=AB427,AA427,IF(AD427&lt;&gt;"",AD427,"PENDING_HUMAN")))</x:f>
        <x:v>PENDING_HUMAN</x:v>
      </x:c>
      <x:c r="AF427" t="n">
        <x:f>--AND(A427&lt;&gt;"",AA427&lt;&gt;"",AB427&lt;&gt;"",OR(AA427=AB427,AD427&lt;&gt;""),IF(AE427="HALLUCINATION",U427&lt;&gt;"",TRUE))</x:f>
        <x:v>0</x:v>
      </x:c>
      <x:c r="AG427" t="n">
        <x:f>--AND(N427=1,AF427=1,OR(AE427="SUPPORTED",AE427="HALLUCINATION"))</x:f>
        <x:v>0</x:v>
      </x:c>
      <x:c r="AH427" t="n">
        <x:f>--AND(AG427=1,AE427="HALLUCINATION")</x:f>
        <x:v>0</x:v>
      </x:c>
      <x:c r="AI427" t="n">
        <x:f>--AND(Q427=1,AF427=1,AE427="HALLUCINATION")</x:f>
        <x:v>0</x:v>
      </x:c>
      <x:c r="AJ427" t="n">
        <x:f>--AND(AI427=1,R427=1,S427=1)</x:f>
        <x:v>0</x:v>
      </x:c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  <x:c r="V428" s="28"/>
      <x:c r="W428" s="43" t="n">
        <x:f>--AND(N428=1,OR(O428="SUPPORTED",O428="HALLUCINATION"))</x:f>
        <x:v>0</x:v>
      </x:c>
      <x:c r="X428" s="43" t="n">
        <x:f>--AND(W428=1,O428="HALLUCINATION")</x:f>
        <x:v>0</x:v>
      </x:c>
      <x:c r="Y428" s="43" t="n">
        <x:f>--AND(Q428=1,O428="HALLUCINATION")</x:f>
        <x:v>0</x:v>
      </x:c>
      <x:c r="Z428" s="43" t="n">
        <x:f>--AND(Y428=1,R428=1,S428=1)</x:f>
        <x:v>0</x:v>
      </x:c>
      <x:c r="AC428" t="str">
        <x:f>IF(OR(AA428="",AB428=""),"",--(AA428&lt;&gt;AB428))</x:f>
      </x:c>
      <x:c r="AE428" t="str">
        <x:f>IF(OR(AA428="",AB428=""),"PENDING_HUMAN",IF(AA428=AB428,AA428,IF(AD428&lt;&gt;"",AD428,"PENDING_HUMAN")))</x:f>
        <x:v>PENDING_HUMAN</x:v>
      </x:c>
      <x:c r="AF428" t="n">
        <x:f>--AND(A428&lt;&gt;"",AA428&lt;&gt;"",AB428&lt;&gt;"",OR(AA428=AB428,AD428&lt;&gt;""),IF(AE428="HALLUCINATION",U428&lt;&gt;"",TRUE))</x:f>
        <x:v>0</x:v>
      </x:c>
      <x:c r="AG428" t="n">
        <x:f>--AND(N428=1,AF428=1,OR(AE428="SUPPORTED",AE428="HALLUCINATION"))</x:f>
        <x:v>0</x:v>
      </x:c>
      <x:c r="AH428" t="n">
        <x:f>--AND(AG428=1,AE428="HALLUCINATION")</x:f>
        <x:v>0</x:v>
      </x:c>
      <x:c r="AI428" t="n">
        <x:f>--AND(Q428=1,AF428=1,AE428="HALLUCINATION")</x:f>
        <x:v>0</x:v>
      </x:c>
      <x:c r="AJ428" t="n">
        <x:f>--AND(AI428=1,R428=1,S428=1)</x:f>
        <x:v>0</x:v>
      </x:c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  <x:c r="V429" s="28"/>
      <x:c r="W429" s="43" t="n">
        <x:f>--AND(N429=1,OR(O429="SUPPORTED",O429="HALLUCINATION"))</x:f>
        <x:v>0</x:v>
      </x:c>
      <x:c r="X429" s="43" t="n">
        <x:f>--AND(W429=1,O429="HALLUCINATION")</x:f>
        <x:v>0</x:v>
      </x:c>
      <x:c r="Y429" s="43" t="n">
        <x:f>--AND(Q429=1,O429="HALLUCINATION")</x:f>
        <x:v>0</x:v>
      </x:c>
      <x:c r="Z429" s="43" t="n">
        <x:f>--AND(Y429=1,R429=1,S429=1)</x:f>
        <x:v>0</x:v>
      </x:c>
      <x:c r="AC429" t="str">
        <x:f>IF(OR(AA429="",AB429=""),"",--(AA429&lt;&gt;AB429))</x:f>
      </x:c>
      <x:c r="AE429" t="str">
        <x:f>IF(OR(AA429="",AB429=""),"PENDING_HUMAN",IF(AA429=AB429,AA429,IF(AD429&lt;&gt;"",AD429,"PENDING_HUMAN")))</x:f>
        <x:v>PENDING_HUMAN</x:v>
      </x:c>
      <x:c r="AF429" t="n">
        <x:f>--AND(A429&lt;&gt;"",AA429&lt;&gt;"",AB429&lt;&gt;"",OR(AA429=AB429,AD429&lt;&gt;""),IF(AE429="HALLUCINATION",U429&lt;&gt;"",TRUE))</x:f>
        <x:v>0</x:v>
      </x:c>
      <x:c r="AG429" t="n">
        <x:f>--AND(N429=1,AF429=1,OR(AE429="SUPPORTED",AE429="HALLUCINATION"))</x:f>
        <x:v>0</x:v>
      </x:c>
      <x:c r="AH429" t="n">
        <x:f>--AND(AG429=1,AE429="HALLUCINATION")</x:f>
        <x:v>0</x:v>
      </x:c>
      <x:c r="AI429" t="n">
        <x:f>--AND(Q429=1,AF429=1,AE429="HALLUCINATION")</x:f>
        <x:v>0</x:v>
      </x:c>
      <x:c r="AJ429" t="n">
        <x:f>--AND(AI429=1,R429=1,S429=1)</x:f>
        <x:v>0</x:v>
      </x:c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  <x:c r="V430" s="28"/>
      <x:c r="W430" s="43" t="n">
        <x:f>--AND(N430=1,OR(O430="SUPPORTED",O430="HALLUCINATION"))</x:f>
        <x:v>0</x:v>
      </x:c>
      <x:c r="X430" s="43" t="n">
        <x:f>--AND(W430=1,O430="HALLUCINATION")</x:f>
        <x:v>0</x:v>
      </x:c>
      <x:c r="Y430" s="43" t="n">
        <x:f>--AND(Q430=1,O430="HALLUCINATION")</x:f>
        <x:v>0</x:v>
      </x:c>
      <x:c r="Z430" s="43" t="n">
        <x:f>--AND(Y430=1,R430=1,S430=1)</x:f>
        <x:v>0</x:v>
      </x:c>
      <x:c r="AC430" t="str">
        <x:f>IF(OR(AA430="",AB430=""),"",--(AA430&lt;&gt;AB430))</x:f>
      </x:c>
      <x:c r="AE430" t="str">
        <x:f>IF(OR(AA430="",AB430=""),"PENDING_HUMAN",IF(AA430=AB430,AA430,IF(AD430&lt;&gt;"",AD430,"PENDING_HUMAN")))</x:f>
        <x:v>PENDING_HUMAN</x:v>
      </x:c>
      <x:c r="AF430" t="n">
        <x:f>--AND(A430&lt;&gt;"",AA430&lt;&gt;"",AB430&lt;&gt;"",OR(AA430=AB430,AD430&lt;&gt;""),IF(AE430="HALLUCINATION",U430&lt;&gt;"",TRUE))</x:f>
        <x:v>0</x:v>
      </x:c>
      <x:c r="AG430" t="n">
        <x:f>--AND(N430=1,AF430=1,OR(AE430="SUPPORTED",AE430="HALLUCINATION"))</x:f>
        <x:v>0</x:v>
      </x:c>
      <x:c r="AH430" t="n">
        <x:f>--AND(AG430=1,AE430="HALLUCINATION")</x:f>
        <x:v>0</x:v>
      </x:c>
      <x:c r="AI430" t="n">
        <x:f>--AND(Q430=1,AF430=1,AE430="HALLUCINATION")</x:f>
        <x:v>0</x:v>
      </x:c>
      <x:c r="AJ430" t="n">
        <x:f>--AND(AI430=1,R430=1,S430=1)</x:f>
        <x:v>0</x:v>
      </x:c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  <x:c r="V431" s="28"/>
      <x:c r="W431" s="43" t="n">
        <x:f>--AND(N431=1,OR(O431="SUPPORTED",O431="HALLUCINATION"))</x:f>
        <x:v>0</x:v>
      </x:c>
      <x:c r="X431" s="43" t="n">
        <x:f>--AND(W431=1,O431="HALLUCINATION")</x:f>
        <x:v>0</x:v>
      </x:c>
      <x:c r="Y431" s="43" t="n">
        <x:f>--AND(Q431=1,O431="HALLUCINATION")</x:f>
        <x:v>0</x:v>
      </x:c>
      <x:c r="Z431" s="43" t="n">
        <x:f>--AND(Y431=1,R431=1,S431=1)</x:f>
        <x:v>0</x:v>
      </x:c>
      <x:c r="AC431" t="str">
        <x:f>IF(OR(AA431="",AB431=""),"",--(AA431&lt;&gt;AB431))</x:f>
      </x:c>
      <x:c r="AE431" t="str">
        <x:f>IF(OR(AA431="",AB431=""),"PENDING_HUMAN",IF(AA431=AB431,AA431,IF(AD431&lt;&gt;"",AD431,"PENDING_HUMAN")))</x:f>
        <x:v>PENDING_HUMAN</x:v>
      </x:c>
      <x:c r="AF431" t="n">
        <x:f>--AND(A431&lt;&gt;"",AA431&lt;&gt;"",AB431&lt;&gt;"",OR(AA431=AB431,AD431&lt;&gt;""),IF(AE431="HALLUCINATION",U431&lt;&gt;"",TRUE))</x:f>
        <x:v>0</x:v>
      </x:c>
      <x:c r="AG431" t="n">
        <x:f>--AND(N431=1,AF431=1,OR(AE431="SUPPORTED",AE431="HALLUCINATION"))</x:f>
        <x:v>0</x:v>
      </x:c>
      <x:c r="AH431" t="n">
        <x:f>--AND(AG431=1,AE431="HALLUCINATION")</x:f>
        <x:v>0</x:v>
      </x:c>
      <x:c r="AI431" t="n">
        <x:f>--AND(Q431=1,AF431=1,AE431="HALLUCINATION")</x:f>
        <x:v>0</x:v>
      </x:c>
      <x:c r="AJ431" t="n">
        <x:f>--AND(AI431=1,R431=1,S431=1)</x:f>
        <x:v>0</x:v>
      </x:c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  <x:c r="V432" s="28"/>
      <x:c r="W432" s="43" t="n">
        <x:f>--AND(N432=1,OR(O432="SUPPORTED",O432="HALLUCINATION"))</x:f>
        <x:v>0</x:v>
      </x:c>
      <x:c r="X432" s="43" t="n">
        <x:f>--AND(W432=1,O432="HALLUCINATION")</x:f>
        <x:v>0</x:v>
      </x:c>
      <x:c r="Y432" s="43" t="n">
        <x:f>--AND(Q432=1,O432="HALLUCINATION")</x:f>
        <x:v>0</x:v>
      </x:c>
      <x:c r="Z432" s="43" t="n">
        <x:f>--AND(Y432=1,R432=1,S432=1)</x:f>
        <x:v>0</x:v>
      </x:c>
      <x:c r="AC432" t="str">
        <x:f>IF(OR(AA432="",AB432=""),"",--(AA432&lt;&gt;AB432))</x:f>
      </x:c>
      <x:c r="AE432" t="str">
        <x:f>IF(OR(AA432="",AB432=""),"PENDING_HUMAN",IF(AA432=AB432,AA432,IF(AD432&lt;&gt;"",AD432,"PENDING_HUMAN")))</x:f>
        <x:v>PENDING_HUMAN</x:v>
      </x:c>
      <x:c r="AF432" t="n">
        <x:f>--AND(A432&lt;&gt;"",AA432&lt;&gt;"",AB432&lt;&gt;"",OR(AA432=AB432,AD432&lt;&gt;""),IF(AE432="HALLUCINATION",U432&lt;&gt;"",TRUE))</x:f>
        <x:v>0</x:v>
      </x:c>
      <x:c r="AG432" t="n">
        <x:f>--AND(N432=1,AF432=1,OR(AE432="SUPPORTED",AE432="HALLUCINATION"))</x:f>
        <x:v>0</x:v>
      </x:c>
      <x:c r="AH432" t="n">
        <x:f>--AND(AG432=1,AE432="HALLUCINATION")</x:f>
        <x:v>0</x:v>
      </x:c>
      <x:c r="AI432" t="n">
        <x:f>--AND(Q432=1,AF432=1,AE432="HALLUCINATION")</x:f>
        <x:v>0</x:v>
      </x:c>
      <x:c r="AJ432" t="n">
        <x:f>--AND(AI432=1,R432=1,S432=1)</x:f>
        <x:v>0</x:v>
      </x:c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  <x:c r="V433" s="28"/>
      <x:c r="W433" s="43" t="n">
        <x:f>--AND(N433=1,OR(O433="SUPPORTED",O433="HALLUCINATION"))</x:f>
        <x:v>0</x:v>
      </x:c>
      <x:c r="X433" s="43" t="n">
        <x:f>--AND(W433=1,O433="HALLUCINATION")</x:f>
        <x:v>0</x:v>
      </x:c>
      <x:c r="Y433" s="43" t="n">
        <x:f>--AND(Q433=1,O433="HALLUCINATION")</x:f>
        <x:v>0</x:v>
      </x:c>
      <x:c r="Z433" s="43" t="n">
        <x:f>--AND(Y433=1,R433=1,S433=1)</x:f>
        <x:v>0</x:v>
      </x:c>
      <x:c r="AC433" t="str">
        <x:f>IF(OR(AA433="",AB433=""),"",--(AA433&lt;&gt;AB433))</x:f>
      </x:c>
      <x:c r="AE433" t="str">
        <x:f>IF(OR(AA433="",AB433=""),"PENDING_HUMAN",IF(AA433=AB433,AA433,IF(AD433&lt;&gt;"",AD433,"PENDING_HUMAN")))</x:f>
        <x:v>PENDING_HUMAN</x:v>
      </x:c>
      <x:c r="AF433" t="n">
        <x:f>--AND(A433&lt;&gt;"",AA433&lt;&gt;"",AB433&lt;&gt;"",OR(AA433=AB433,AD433&lt;&gt;""),IF(AE433="HALLUCINATION",U433&lt;&gt;"",TRUE))</x:f>
        <x:v>0</x:v>
      </x:c>
      <x:c r="AG433" t="n">
        <x:f>--AND(N433=1,AF433=1,OR(AE433="SUPPORTED",AE433="HALLUCINATION"))</x:f>
        <x:v>0</x:v>
      </x:c>
      <x:c r="AH433" t="n">
        <x:f>--AND(AG433=1,AE433="HALLUCINATION")</x:f>
        <x:v>0</x:v>
      </x:c>
      <x:c r="AI433" t="n">
        <x:f>--AND(Q433=1,AF433=1,AE433="HALLUCINATION")</x:f>
        <x:v>0</x:v>
      </x:c>
      <x:c r="AJ433" t="n">
        <x:f>--AND(AI433=1,R433=1,S433=1)</x:f>
        <x:v>0</x:v>
      </x:c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  <x:c r="V434" s="28"/>
      <x:c r="W434" s="43" t="n">
        <x:f>--AND(N434=1,OR(O434="SUPPORTED",O434="HALLUCINATION"))</x:f>
        <x:v>0</x:v>
      </x:c>
      <x:c r="X434" s="43" t="n">
        <x:f>--AND(W434=1,O434="HALLUCINATION")</x:f>
        <x:v>0</x:v>
      </x:c>
      <x:c r="Y434" s="43" t="n">
        <x:f>--AND(Q434=1,O434="HALLUCINATION")</x:f>
        <x:v>0</x:v>
      </x:c>
      <x:c r="Z434" s="43" t="n">
        <x:f>--AND(Y434=1,R434=1,S434=1)</x:f>
        <x:v>0</x:v>
      </x:c>
      <x:c r="AC434" t="str">
        <x:f>IF(OR(AA434="",AB434=""),"",--(AA434&lt;&gt;AB434))</x:f>
      </x:c>
      <x:c r="AE434" t="str">
        <x:f>IF(OR(AA434="",AB434=""),"PENDING_HUMAN",IF(AA434=AB434,AA434,IF(AD434&lt;&gt;"",AD434,"PENDING_HUMAN")))</x:f>
        <x:v>PENDING_HUMAN</x:v>
      </x:c>
      <x:c r="AF434" t="n">
        <x:f>--AND(A434&lt;&gt;"",AA434&lt;&gt;"",AB434&lt;&gt;"",OR(AA434=AB434,AD434&lt;&gt;""),IF(AE434="HALLUCINATION",U434&lt;&gt;"",TRUE))</x:f>
        <x:v>0</x:v>
      </x:c>
      <x:c r="AG434" t="n">
        <x:f>--AND(N434=1,AF434=1,OR(AE434="SUPPORTED",AE434="HALLUCINATION"))</x:f>
        <x:v>0</x:v>
      </x:c>
      <x:c r="AH434" t="n">
        <x:f>--AND(AG434=1,AE434="HALLUCINATION")</x:f>
        <x:v>0</x:v>
      </x:c>
      <x:c r="AI434" t="n">
        <x:f>--AND(Q434=1,AF434=1,AE434="HALLUCINATION")</x:f>
        <x:v>0</x:v>
      </x:c>
      <x:c r="AJ434" t="n">
        <x:f>--AND(AI434=1,R434=1,S434=1)</x:f>
        <x:v>0</x:v>
      </x:c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  <x:c r="V435" s="28"/>
      <x:c r="W435" s="43" t="n">
        <x:f>--AND(N435=1,OR(O435="SUPPORTED",O435="HALLUCINATION"))</x:f>
        <x:v>0</x:v>
      </x:c>
      <x:c r="X435" s="43" t="n">
        <x:f>--AND(W435=1,O435="HALLUCINATION")</x:f>
        <x:v>0</x:v>
      </x:c>
      <x:c r="Y435" s="43" t="n">
        <x:f>--AND(Q435=1,O435="HALLUCINATION")</x:f>
        <x:v>0</x:v>
      </x:c>
      <x:c r="Z435" s="43" t="n">
        <x:f>--AND(Y435=1,R435=1,S435=1)</x:f>
        <x:v>0</x:v>
      </x:c>
      <x:c r="AC435" t="str">
        <x:f>IF(OR(AA435="",AB435=""),"",--(AA435&lt;&gt;AB435))</x:f>
      </x:c>
      <x:c r="AE435" t="str">
        <x:f>IF(OR(AA435="",AB435=""),"PENDING_HUMAN",IF(AA435=AB435,AA435,IF(AD435&lt;&gt;"",AD435,"PENDING_HUMAN")))</x:f>
        <x:v>PENDING_HUMAN</x:v>
      </x:c>
      <x:c r="AF435" t="n">
        <x:f>--AND(A435&lt;&gt;"",AA435&lt;&gt;"",AB435&lt;&gt;"",OR(AA435=AB435,AD435&lt;&gt;""),IF(AE435="HALLUCINATION",U435&lt;&gt;"",TRUE))</x:f>
        <x:v>0</x:v>
      </x:c>
      <x:c r="AG435" t="n">
        <x:f>--AND(N435=1,AF435=1,OR(AE435="SUPPORTED",AE435="HALLUCINATION"))</x:f>
        <x:v>0</x:v>
      </x:c>
      <x:c r="AH435" t="n">
        <x:f>--AND(AG435=1,AE435="HALLUCINATION")</x:f>
        <x:v>0</x:v>
      </x:c>
      <x:c r="AI435" t="n">
        <x:f>--AND(Q435=1,AF435=1,AE435="HALLUCINATION")</x:f>
        <x:v>0</x:v>
      </x:c>
      <x:c r="AJ435" t="n">
        <x:f>--AND(AI435=1,R435=1,S435=1)</x:f>
        <x:v>0</x:v>
      </x:c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  <x:c r="V436" s="28"/>
      <x:c r="W436" s="43" t="n">
        <x:f>--AND(N436=1,OR(O436="SUPPORTED",O436="HALLUCINATION"))</x:f>
        <x:v>0</x:v>
      </x:c>
      <x:c r="X436" s="43" t="n">
        <x:f>--AND(W436=1,O436="HALLUCINATION")</x:f>
        <x:v>0</x:v>
      </x:c>
      <x:c r="Y436" s="43" t="n">
        <x:f>--AND(Q436=1,O436="HALLUCINATION")</x:f>
        <x:v>0</x:v>
      </x:c>
      <x:c r="Z436" s="43" t="n">
        <x:f>--AND(Y436=1,R436=1,S436=1)</x:f>
        <x:v>0</x:v>
      </x:c>
      <x:c r="AC436" t="str">
        <x:f>IF(OR(AA436="",AB436=""),"",--(AA436&lt;&gt;AB436))</x:f>
      </x:c>
      <x:c r="AE436" t="str">
        <x:f>IF(OR(AA436="",AB436=""),"PENDING_HUMAN",IF(AA436=AB436,AA436,IF(AD436&lt;&gt;"",AD436,"PENDING_HUMAN")))</x:f>
        <x:v>PENDING_HUMAN</x:v>
      </x:c>
      <x:c r="AF436" t="n">
        <x:f>--AND(A436&lt;&gt;"",AA436&lt;&gt;"",AB436&lt;&gt;"",OR(AA436=AB436,AD436&lt;&gt;""),IF(AE436="HALLUCINATION",U436&lt;&gt;"",TRUE))</x:f>
        <x:v>0</x:v>
      </x:c>
      <x:c r="AG436" t="n">
        <x:f>--AND(N436=1,AF436=1,OR(AE436="SUPPORTED",AE436="HALLUCINATION"))</x:f>
        <x:v>0</x:v>
      </x:c>
      <x:c r="AH436" t="n">
        <x:f>--AND(AG436=1,AE436="HALLUCINATION")</x:f>
        <x:v>0</x:v>
      </x:c>
      <x:c r="AI436" t="n">
        <x:f>--AND(Q436=1,AF436=1,AE436="HALLUCINATION")</x:f>
        <x:v>0</x:v>
      </x:c>
      <x:c r="AJ436" t="n">
        <x:f>--AND(AI436=1,R436=1,S436=1)</x:f>
        <x:v>0</x:v>
      </x:c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  <x:c r="V437" s="28"/>
      <x:c r="W437" s="43" t="n">
        <x:f>--AND(N437=1,OR(O437="SUPPORTED",O437="HALLUCINATION"))</x:f>
        <x:v>0</x:v>
      </x:c>
      <x:c r="X437" s="43" t="n">
        <x:f>--AND(W437=1,O437="HALLUCINATION")</x:f>
        <x:v>0</x:v>
      </x:c>
      <x:c r="Y437" s="43" t="n">
        <x:f>--AND(Q437=1,O437="HALLUCINATION")</x:f>
        <x:v>0</x:v>
      </x:c>
      <x:c r="Z437" s="43" t="n">
        <x:f>--AND(Y437=1,R437=1,S437=1)</x:f>
        <x:v>0</x:v>
      </x:c>
      <x:c r="AC437" t="str">
        <x:f>IF(OR(AA437="",AB437=""),"",--(AA437&lt;&gt;AB437))</x:f>
      </x:c>
      <x:c r="AE437" t="str">
        <x:f>IF(OR(AA437="",AB437=""),"PENDING_HUMAN",IF(AA437=AB437,AA437,IF(AD437&lt;&gt;"",AD437,"PENDING_HUMAN")))</x:f>
        <x:v>PENDING_HUMAN</x:v>
      </x:c>
      <x:c r="AF437" t="n">
        <x:f>--AND(A437&lt;&gt;"",AA437&lt;&gt;"",AB437&lt;&gt;"",OR(AA437=AB437,AD437&lt;&gt;""),IF(AE437="HALLUCINATION",U437&lt;&gt;"",TRUE))</x:f>
        <x:v>0</x:v>
      </x:c>
      <x:c r="AG437" t="n">
        <x:f>--AND(N437=1,AF437=1,OR(AE437="SUPPORTED",AE437="HALLUCINATION"))</x:f>
        <x:v>0</x:v>
      </x:c>
      <x:c r="AH437" t="n">
        <x:f>--AND(AG437=1,AE437="HALLUCINATION")</x:f>
        <x:v>0</x:v>
      </x:c>
      <x:c r="AI437" t="n">
        <x:f>--AND(Q437=1,AF437=1,AE437="HALLUCINATION")</x:f>
        <x:v>0</x:v>
      </x:c>
      <x:c r="AJ437" t="n">
        <x:f>--AND(AI437=1,R437=1,S437=1)</x:f>
        <x:v>0</x:v>
      </x:c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  <x:c r="V438" s="28"/>
      <x:c r="W438" s="43" t="n">
        <x:f>--AND(N438=1,OR(O438="SUPPORTED",O438="HALLUCINATION"))</x:f>
        <x:v>0</x:v>
      </x:c>
      <x:c r="X438" s="43" t="n">
        <x:f>--AND(W438=1,O438="HALLUCINATION")</x:f>
        <x:v>0</x:v>
      </x:c>
      <x:c r="Y438" s="43" t="n">
        <x:f>--AND(Q438=1,O438="HALLUCINATION")</x:f>
        <x:v>0</x:v>
      </x:c>
      <x:c r="Z438" s="43" t="n">
        <x:f>--AND(Y438=1,R438=1,S438=1)</x:f>
        <x:v>0</x:v>
      </x:c>
      <x:c r="AC438" t="str">
        <x:f>IF(OR(AA438="",AB438=""),"",--(AA438&lt;&gt;AB438))</x:f>
      </x:c>
      <x:c r="AE438" t="str">
        <x:f>IF(OR(AA438="",AB438=""),"PENDING_HUMAN",IF(AA438=AB438,AA438,IF(AD438&lt;&gt;"",AD438,"PENDING_HUMAN")))</x:f>
        <x:v>PENDING_HUMAN</x:v>
      </x:c>
      <x:c r="AF438" t="n">
        <x:f>--AND(A438&lt;&gt;"",AA438&lt;&gt;"",AB438&lt;&gt;"",OR(AA438=AB438,AD438&lt;&gt;""),IF(AE438="HALLUCINATION",U438&lt;&gt;"",TRUE))</x:f>
        <x:v>0</x:v>
      </x:c>
      <x:c r="AG438" t="n">
        <x:f>--AND(N438=1,AF438=1,OR(AE438="SUPPORTED",AE438="HALLUCINATION"))</x:f>
        <x:v>0</x:v>
      </x:c>
      <x:c r="AH438" t="n">
        <x:f>--AND(AG438=1,AE438="HALLUCINATION")</x:f>
        <x:v>0</x:v>
      </x:c>
      <x:c r="AI438" t="n">
        <x:f>--AND(Q438=1,AF438=1,AE438="HALLUCINATION")</x:f>
        <x:v>0</x:v>
      </x:c>
      <x:c r="AJ438" t="n">
        <x:f>--AND(AI438=1,R438=1,S438=1)</x:f>
        <x:v>0</x:v>
      </x:c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  <x:c r="V439" s="28"/>
      <x:c r="W439" s="43" t="n">
        <x:f>--AND(N439=1,OR(O439="SUPPORTED",O439="HALLUCINATION"))</x:f>
        <x:v>0</x:v>
      </x:c>
      <x:c r="X439" s="43" t="n">
        <x:f>--AND(W439=1,O439="HALLUCINATION")</x:f>
        <x:v>0</x:v>
      </x:c>
      <x:c r="Y439" s="43" t="n">
        <x:f>--AND(Q439=1,O439="HALLUCINATION")</x:f>
        <x:v>0</x:v>
      </x:c>
      <x:c r="Z439" s="43" t="n">
        <x:f>--AND(Y439=1,R439=1,S439=1)</x:f>
        <x:v>0</x:v>
      </x:c>
      <x:c r="AC439" t="str">
        <x:f>IF(OR(AA439="",AB439=""),"",--(AA439&lt;&gt;AB439))</x:f>
      </x:c>
      <x:c r="AE439" t="str">
        <x:f>IF(OR(AA439="",AB439=""),"PENDING_HUMAN",IF(AA439=AB439,AA439,IF(AD439&lt;&gt;"",AD439,"PENDING_HUMAN")))</x:f>
        <x:v>PENDING_HUMAN</x:v>
      </x:c>
      <x:c r="AF439" t="n">
        <x:f>--AND(A439&lt;&gt;"",AA439&lt;&gt;"",AB439&lt;&gt;"",OR(AA439=AB439,AD439&lt;&gt;""),IF(AE439="HALLUCINATION",U439&lt;&gt;"",TRUE))</x:f>
        <x:v>0</x:v>
      </x:c>
      <x:c r="AG439" t="n">
        <x:f>--AND(N439=1,AF439=1,OR(AE439="SUPPORTED",AE439="HALLUCINATION"))</x:f>
        <x:v>0</x:v>
      </x:c>
      <x:c r="AH439" t="n">
        <x:f>--AND(AG439=1,AE439="HALLUCINATION")</x:f>
        <x:v>0</x:v>
      </x:c>
      <x:c r="AI439" t="n">
        <x:f>--AND(Q439=1,AF439=1,AE439="HALLUCINATION")</x:f>
        <x:v>0</x:v>
      </x:c>
      <x:c r="AJ439" t="n">
        <x:f>--AND(AI439=1,R439=1,S439=1)</x:f>
        <x:v>0</x:v>
      </x:c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  <x:c r="V440" s="28"/>
      <x:c r="W440" s="43" t="n">
        <x:f>--AND(N440=1,OR(O440="SUPPORTED",O440="HALLUCINATION"))</x:f>
        <x:v>0</x:v>
      </x:c>
      <x:c r="X440" s="43" t="n">
        <x:f>--AND(W440=1,O440="HALLUCINATION")</x:f>
        <x:v>0</x:v>
      </x:c>
      <x:c r="Y440" s="43" t="n">
        <x:f>--AND(Q440=1,O440="HALLUCINATION")</x:f>
        <x:v>0</x:v>
      </x:c>
      <x:c r="Z440" s="43" t="n">
        <x:f>--AND(Y440=1,R440=1,S440=1)</x:f>
        <x:v>0</x:v>
      </x:c>
      <x:c r="AC440" t="str">
        <x:f>IF(OR(AA440="",AB440=""),"",--(AA440&lt;&gt;AB440))</x:f>
      </x:c>
      <x:c r="AE440" t="str">
        <x:f>IF(OR(AA440="",AB440=""),"PENDING_HUMAN",IF(AA440=AB440,AA440,IF(AD440&lt;&gt;"",AD440,"PENDING_HUMAN")))</x:f>
        <x:v>PENDING_HUMAN</x:v>
      </x:c>
      <x:c r="AF440" t="n">
        <x:f>--AND(A440&lt;&gt;"",AA440&lt;&gt;"",AB440&lt;&gt;"",OR(AA440=AB440,AD440&lt;&gt;""),IF(AE440="HALLUCINATION",U440&lt;&gt;"",TRUE))</x:f>
        <x:v>0</x:v>
      </x:c>
      <x:c r="AG440" t="n">
        <x:f>--AND(N440=1,AF440=1,OR(AE440="SUPPORTED",AE440="HALLUCINATION"))</x:f>
        <x:v>0</x:v>
      </x:c>
      <x:c r="AH440" t="n">
        <x:f>--AND(AG440=1,AE440="HALLUCINATION")</x:f>
        <x:v>0</x:v>
      </x:c>
      <x:c r="AI440" t="n">
        <x:f>--AND(Q440=1,AF440=1,AE440="HALLUCINATION")</x:f>
        <x:v>0</x:v>
      </x:c>
      <x:c r="AJ440" t="n">
        <x:f>--AND(AI440=1,R440=1,S440=1)</x:f>
        <x:v>0</x:v>
      </x:c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  <x:c r="V441" s="28"/>
      <x:c r="W441" s="43" t="n">
        <x:f>--AND(N441=1,OR(O441="SUPPORTED",O441="HALLUCINATION"))</x:f>
        <x:v>0</x:v>
      </x:c>
      <x:c r="X441" s="43" t="n">
        <x:f>--AND(W441=1,O441="HALLUCINATION")</x:f>
        <x:v>0</x:v>
      </x:c>
      <x:c r="Y441" s="43" t="n">
        <x:f>--AND(Q441=1,O441="HALLUCINATION")</x:f>
        <x:v>0</x:v>
      </x:c>
      <x:c r="Z441" s="43" t="n">
        <x:f>--AND(Y441=1,R441=1,S441=1)</x:f>
        <x:v>0</x:v>
      </x:c>
      <x:c r="AC441" t="str">
        <x:f>IF(OR(AA441="",AB441=""),"",--(AA441&lt;&gt;AB441))</x:f>
      </x:c>
      <x:c r="AE441" t="str">
        <x:f>IF(OR(AA441="",AB441=""),"PENDING_HUMAN",IF(AA441=AB441,AA441,IF(AD441&lt;&gt;"",AD441,"PENDING_HUMAN")))</x:f>
        <x:v>PENDING_HUMAN</x:v>
      </x:c>
      <x:c r="AF441" t="n">
        <x:f>--AND(A441&lt;&gt;"",AA441&lt;&gt;"",AB441&lt;&gt;"",OR(AA441=AB441,AD441&lt;&gt;""),IF(AE441="HALLUCINATION",U441&lt;&gt;"",TRUE))</x:f>
        <x:v>0</x:v>
      </x:c>
      <x:c r="AG441" t="n">
        <x:f>--AND(N441=1,AF441=1,OR(AE441="SUPPORTED",AE441="HALLUCINATION"))</x:f>
        <x:v>0</x:v>
      </x:c>
      <x:c r="AH441" t="n">
        <x:f>--AND(AG441=1,AE441="HALLUCINATION")</x:f>
        <x:v>0</x:v>
      </x:c>
      <x:c r="AI441" t="n">
        <x:f>--AND(Q441=1,AF441=1,AE441="HALLUCINATION")</x:f>
        <x:v>0</x:v>
      </x:c>
      <x:c r="AJ441" t="n">
        <x:f>--AND(AI441=1,R441=1,S441=1)</x:f>
        <x:v>0</x:v>
      </x:c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  <x:c r="V442" s="28"/>
      <x:c r="W442" s="43" t="n">
        <x:f>--AND(N442=1,OR(O442="SUPPORTED",O442="HALLUCINATION"))</x:f>
        <x:v>0</x:v>
      </x:c>
      <x:c r="X442" s="43" t="n">
        <x:f>--AND(W442=1,O442="HALLUCINATION")</x:f>
        <x:v>0</x:v>
      </x:c>
      <x:c r="Y442" s="43" t="n">
        <x:f>--AND(Q442=1,O442="HALLUCINATION")</x:f>
        <x:v>0</x:v>
      </x:c>
      <x:c r="Z442" s="43" t="n">
        <x:f>--AND(Y442=1,R442=1,S442=1)</x:f>
        <x:v>0</x:v>
      </x:c>
      <x:c r="AC442" t="str">
        <x:f>IF(OR(AA442="",AB442=""),"",--(AA442&lt;&gt;AB442))</x:f>
      </x:c>
      <x:c r="AE442" t="str">
        <x:f>IF(OR(AA442="",AB442=""),"PENDING_HUMAN",IF(AA442=AB442,AA442,IF(AD442&lt;&gt;"",AD442,"PENDING_HUMAN")))</x:f>
        <x:v>PENDING_HUMAN</x:v>
      </x:c>
      <x:c r="AF442" t="n">
        <x:f>--AND(A442&lt;&gt;"",AA442&lt;&gt;"",AB442&lt;&gt;"",OR(AA442=AB442,AD442&lt;&gt;""),IF(AE442="HALLUCINATION",U442&lt;&gt;"",TRUE))</x:f>
        <x:v>0</x:v>
      </x:c>
      <x:c r="AG442" t="n">
        <x:f>--AND(N442=1,AF442=1,OR(AE442="SUPPORTED",AE442="HALLUCINATION"))</x:f>
        <x:v>0</x:v>
      </x:c>
      <x:c r="AH442" t="n">
        <x:f>--AND(AG442=1,AE442="HALLUCINATION")</x:f>
        <x:v>0</x:v>
      </x:c>
      <x:c r="AI442" t="n">
        <x:f>--AND(Q442=1,AF442=1,AE442="HALLUCINATION")</x:f>
        <x:v>0</x:v>
      </x:c>
      <x:c r="AJ442" t="n">
        <x:f>--AND(AI442=1,R442=1,S442=1)</x:f>
        <x:v>0</x:v>
      </x:c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  <x:c r="V443" s="28"/>
      <x:c r="W443" s="43" t="n">
        <x:f>--AND(N443=1,OR(O443="SUPPORTED",O443="HALLUCINATION"))</x:f>
        <x:v>0</x:v>
      </x:c>
      <x:c r="X443" s="43" t="n">
        <x:f>--AND(W443=1,O443="HALLUCINATION")</x:f>
        <x:v>0</x:v>
      </x:c>
      <x:c r="Y443" s="43" t="n">
        <x:f>--AND(Q443=1,O443="HALLUCINATION")</x:f>
        <x:v>0</x:v>
      </x:c>
      <x:c r="Z443" s="43" t="n">
        <x:f>--AND(Y443=1,R443=1,S443=1)</x:f>
        <x:v>0</x:v>
      </x:c>
      <x:c r="AC443" t="str">
        <x:f>IF(OR(AA443="",AB443=""),"",--(AA443&lt;&gt;AB443))</x:f>
      </x:c>
      <x:c r="AE443" t="str">
        <x:f>IF(OR(AA443="",AB443=""),"PENDING_HUMAN",IF(AA443=AB443,AA443,IF(AD443&lt;&gt;"",AD443,"PENDING_HUMAN")))</x:f>
        <x:v>PENDING_HUMAN</x:v>
      </x:c>
      <x:c r="AF443" t="n">
        <x:f>--AND(A443&lt;&gt;"",AA443&lt;&gt;"",AB443&lt;&gt;"",OR(AA443=AB443,AD443&lt;&gt;""),IF(AE443="HALLUCINATION",U443&lt;&gt;"",TRUE))</x:f>
        <x:v>0</x:v>
      </x:c>
      <x:c r="AG443" t="n">
        <x:f>--AND(N443=1,AF443=1,OR(AE443="SUPPORTED",AE443="HALLUCINATION"))</x:f>
        <x:v>0</x:v>
      </x:c>
      <x:c r="AH443" t="n">
        <x:f>--AND(AG443=1,AE443="HALLUCINATION")</x:f>
        <x:v>0</x:v>
      </x:c>
      <x:c r="AI443" t="n">
        <x:f>--AND(Q443=1,AF443=1,AE443="HALLUCINATION")</x:f>
        <x:v>0</x:v>
      </x:c>
      <x:c r="AJ443" t="n">
        <x:f>--AND(AI443=1,R443=1,S443=1)</x:f>
        <x:v>0</x:v>
      </x:c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  <x:c r="V444" s="28"/>
      <x:c r="W444" s="43" t="n">
        <x:f>--AND(N444=1,OR(O444="SUPPORTED",O444="HALLUCINATION"))</x:f>
        <x:v>0</x:v>
      </x:c>
      <x:c r="X444" s="43" t="n">
        <x:f>--AND(W444=1,O444="HALLUCINATION")</x:f>
        <x:v>0</x:v>
      </x:c>
      <x:c r="Y444" s="43" t="n">
        <x:f>--AND(Q444=1,O444="HALLUCINATION")</x:f>
        <x:v>0</x:v>
      </x:c>
      <x:c r="Z444" s="43" t="n">
        <x:f>--AND(Y444=1,R444=1,S444=1)</x:f>
        <x:v>0</x:v>
      </x:c>
      <x:c r="AC444" t="str">
        <x:f>IF(OR(AA444="",AB444=""),"",--(AA444&lt;&gt;AB444))</x:f>
      </x:c>
      <x:c r="AE444" t="str">
        <x:f>IF(OR(AA444="",AB444=""),"PENDING_HUMAN",IF(AA444=AB444,AA444,IF(AD444&lt;&gt;"",AD444,"PENDING_HUMAN")))</x:f>
        <x:v>PENDING_HUMAN</x:v>
      </x:c>
      <x:c r="AF444" t="n">
        <x:f>--AND(A444&lt;&gt;"",AA444&lt;&gt;"",AB444&lt;&gt;"",OR(AA444=AB444,AD444&lt;&gt;""),IF(AE444="HALLUCINATION",U444&lt;&gt;"",TRUE))</x:f>
        <x:v>0</x:v>
      </x:c>
      <x:c r="AG444" t="n">
        <x:f>--AND(N444=1,AF444=1,OR(AE444="SUPPORTED",AE444="HALLUCINATION"))</x:f>
        <x:v>0</x:v>
      </x:c>
      <x:c r="AH444" t="n">
        <x:f>--AND(AG444=1,AE444="HALLUCINATION")</x:f>
        <x:v>0</x:v>
      </x:c>
      <x:c r="AI444" t="n">
        <x:f>--AND(Q444=1,AF444=1,AE444="HALLUCINATION")</x:f>
        <x:v>0</x:v>
      </x:c>
      <x:c r="AJ444" t="n">
        <x:f>--AND(AI444=1,R444=1,S444=1)</x:f>
        <x:v>0</x:v>
      </x:c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  <x:c r="V445" s="28"/>
      <x:c r="W445" s="43" t="n">
        <x:f>--AND(N445=1,OR(O445="SUPPORTED",O445="HALLUCINATION"))</x:f>
        <x:v>0</x:v>
      </x:c>
      <x:c r="X445" s="43" t="n">
        <x:f>--AND(W445=1,O445="HALLUCINATION")</x:f>
        <x:v>0</x:v>
      </x:c>
      <x:c r="Y445" s="43" t="n">
        <x:f>--AND(Q445=1,O445="HALLUCINATION")</x:f>
        <x:v>0</x:v>
      </x:c>
      <x:c r="Z445" s="43" t="n">
        <x:f>--AND(Y445=1,R445=1,S445=1)</x:f>
        <x:v>0</x:v>
      </x:c>
      <x:c r="AC445" t="str">
        <x:f>IF(OR(AA445="",AB445=""),"",--(AA445&lt;&gt;AB445))</x:f>
      </x:c>
      <x:c r="AE445" t="str">
        <x:f>IF(OR(AA445="",AB445=""),"PENDING_HUMAN",IF(AA445=AB445,AA445,IF(AD445&lt;&gt;"",AD445,"PENDING_HUMAN")))</x:f>
        <x:v>PENDING_HUMAN</x:v>
      </x:c>
      <x:c r="AF445" t="n">
        <x:f>--AND(A445&lt;&gt;"",AA445&lt;&gt;"",AB445&lt;&gt;"",OR(AA445=AB445,AD445&lt;&gt;""),IF(AE445="HALLUCINATION",U445&lt;&gt;"",TRUE))</x:f>
        <x:v>0</x:v>
      </x:c>
      <x:c r="AG445" t="n">
        <x:f>--AND(N445=1,AF445=1,OR(AE445="SUPPORTED",AE445="HALLUCINATION"))</x:f>
        <x:v>0</x:v>
      </x:c>
      <x:c r="AH445" t="n">
        <x:f>--AND(AG445=1,AE445="HALLUCINATION")</x:f>
        <x:v>0</x:v>
      </x:c>
      <x:c r="AI445" t="n">
        <x:f>--AND(Q445=1,AF445=1,AE445="HALLUCINATION")</x:f>
        <x:v>0</x:v>
      </x:c>
      <x:c r="AJ445" t="n">
        <x:f>--AND(AI445=1,R445=1,S445=1)</x:f>
        <x:v>0</x:v>
      </x:c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  <x:c r="V446" s="28"/>
      <x:c r="W446" s="43" t="n">
        <x:f>--AND(N446=1,OR(O446="SUPPORTED",O446="HALLUCINATION"))</x:f>
        <x:v>0</x:v>
      </x:c>
      <x:c r="X446" s="43" t="n">
        <x:f>--AND(W446=1,O446="HALLUCINATION")</x:f>
        <x:v>0</x:v>
      </x:c>
      <x:c r="Y446" s="43" t="n">
        <x:f>--AND(Q446=1,O446="HALLUCINATION")</x:f>
        <x:v>0</x:v>
      </x:c>
      <x:c r="Z446" s="43" t="n">
        <x:f>--AND(Y446=1,R446=1,S446=1)</x:f>
        <x:v>0</x:v>
      </x:c>
      <x:c r="AC446" t="str">
        <x:f>IF(OR(AA446="",AB446=""),"",--(AA446&lt;&gt;AB446))</x:f>
      </x:c>
      <x:c r="AE446" t="str">
        <x:f>IF(OR(AA446="",AB446=""),"PENDING_HUMAN",IF(AA446=AB446,AA446,IF(AD446&lt;&gt;"",AD446,"PENDING_HUMAN")))</x:f>
        <x:v>PENDING_HUMAN</x:v>
      </x:c>
      <x:c r="AF446" t="n">
        <x:f>--AND(A446&lt;&gt;"",AA446&lt;&gt;"",AB446&lt;&gt;"",OR(AA446=AB446,AD446&lt;&gt;""),IF(AE446="HALLUCINATION",U446&lt;&gt;"",TRUE))</x:f>
        <x:v>0</x:v>
      </x:c>
      <x:c r="AG446" t="n">
        <x:f>--AND(N446=1,AF446=1,OR(AE446="SUPPORTED",AE446="HALLUCINATION"))</x:f>
        <x:v>0</x:v>
      </x:c>
      <x:c r="AH446" t="n">
        <x:f>--AND(AG446=1,AE446="HALLUCINATION")</x:f>
        <x:v>0</x:v>
      </x:c>
      <x:c r="AI446" t="n">
        <x:f>--AND(Q446=1,AF446=1,AE446="HALLUCINATION")</x:f>
        <x:v>0</x:v>
      </x:c>
      <x:c r="AJ446" t="n">
        <x:f>--AND(AI446=1,R446=1,S446=1)</x:f>
        <x:v>0</x:v>
      </x:c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  <x:c r="V447" s="28"/>
      <x:c r="W447" s="43" t="n">
        <x:f>--AND(N447=1,OR(O447="SUPPORTED",O447="HALLUCINATION"))</x:f>
        <x:v>0</x:v>
      </x:c>
      <x:c r="X447" s="43" t="n">
        <x:f>--AND(W447=1,O447="HALLUCINATION")</x:f>
        <x:v>0</x:v>
      </x:c>
      <x:c r="Y447" s="43" t="n">
        <x:f>--AND(Q447=1,O447="HALLUCINATION")</x:f>
        <x:v>0</x:v>
      </x:c>
      <x:c r="Z447" s="43" t="n">
        <x:f>--AND(Y447=1,R447=1,S447=1)</x:f>
        <x:v>0</x:v>
      </x:c>
      <x:c r="AC447" t="str">
        <x:f>IF(OR(AA447="",AB447=""),"",--(AA447&lt;&gt;AB447))</x:f>
      </x:c>
      <x:c r="AE447" t="str">
        <x:f>IF(OR(AA447="",AB447=""),"PENDING_HUMAN",IF(AA447=AB447,AA447,IF(AD447&lt;&gt;"",AD447,"PENDING_HUMAN")))</x:f>
        <x:v>PENDING_HUMAN</x:v>
      </x:c>
      <x:c r="AF447" t="n">
        <x:f>--AND(A447&lt;&gt;"",AA447&lt;&gt;"",AB447&lt;&gt;"",OR(AA447=AB447,AD447&lt;&gt;""),IF(AE447="HALLUCINATION",U447&lt;&gt;"",TRUE))</x:f>
        <x:v>0</x:v>
      </x:c>
      <x:c r="AG447" t="n">
        <x:f>--AND(N447=1,AF447=1,OR(AE447="SUPPORTED",AE447="HALLUCINATION"))</x:f>
        <x:v>0</x:v>
      </x:c>
      <x:c r="AH447" t="n">
        <x:f>--AND(AG447=1,AE447="HALLUCINATION")</x:f>
        <x:v>0</x:v>
      </x:c>
      <x:c r="AI447" t="n">
        <x:f>--AND(Q447=1,AF447=1,AE447="HALLUCINATION")</x:f>
        <x:v>0</x:v>
      </x:c>
      <x:c r="AJ447" t="n">
        <x:f>--AND(AI447=1,R447=1,S447=1)</x:f>
        <x:v>0</x:v>
      </x:c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  <x:c r="V448" s="28"/>
      <x:c r="W448" s="43" t="n">
        <x:f>--AND(N448=1,OR(O448="SUPPORTED",O448="HALLUCINATION"))</x:f>
        <x:v>0</x:v>
      </x:c>
      <x:c r="X448" s="43" t="n">
        <x:f>--AND(W448=1,O448="HALLUCINATION")</x:f>
        <x:v>0</x:v>
      </x:c>
      <x:c r="Y448" s="43" t="n">
        <x:f>--AND(Q448=1,O448="HALLUCINATION")</x:f>
        <x:v>0</x:v>
      </x:c>
      <x:c r="Z448" s="43" t="n">
        <x:f>--AND(Y448=1,R448=1,S448=1)</x:f>
        <x:v>0</x:v>
      </x:c>
      <x:c r="AC448" t="str">
        <x:f>IF(OR(AA448="",AB448=""),"",--(AA448&lt;&gt;AB448))</x:f>
      </x:c>
      <x:c r="AE448" t="str">
        <x:f>IF(OR(AA448="",AB448=""),"PENDING_HUMAN",IF(AA448=AB448,AA448,IF(AD448&lt;&gt;"",AD448,"PENDING_HUMAN")))</x:f>
        <x:v>PENDING_HUMAN</x:v>
      </x:c>
      <x:c r="AF448" t="n">
        <x:f>--AND(A448&lt;&gt;"",AA448&lt;&gt;"",AB448&lt;&gt;"",OR(AA448=AB448,AD448&lt;&gt;""),IF(AE448="HALLUCINATION",U448&lt;&gt;"",TRUE))</x:f>
        <x:v>0</x:v>
      </x:c>
      <x:c r="AG448" t="n">
        <x:f>--AND(N448=1,AF448=1,OR(AE448="SUPPORTED",AE448="HALLUCINATION"))</x:f>
        <x:v>0</x:v>
      </x:c>
      <x:c r="AH448" t="n">
        <x:f>--AND(AG448=1,AE448="HALLUCINATION")</x:f>
        <x:v>0</x:v>
      </x:c>
      <x:c r="AI448" t="n">
        <x:f>--AND(Q448=1,AF448=1,AE448="HALLUCINATION")</x:f>
        <x:v>0</x:v>
      </x:c>
      <x:c r="AJ448" t="n">
        <x:f>--AND(AI448=1,R448=1,S448=1)</x:f>
        <x:v>0</x:v>
      </x:c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  <x:c r="V449" s="28"/>
      <x:c r="W449" s="43" t="n">
        <x:f>--AND(N449=1,OR(O449="SUPPORTED",O449="HALLUCINATION"))</x:f>
        <x:v>0</x:v>
      </x:c>
      <x:c r="X449" s="43" t="n">
        <x:f>--AND(W449=1,O449="HALLUCINATION")</x:f>
        <x:v>0</x:v>
      </x:c>
      <x:c r="Y449" s="43" t="n">
        <x:f>--AND(Q449=1,O449="HALLUCINATION")</x:f>
        <x:v>0</x:v>
      </x:c>
      <x:c r="Z449" s="43" t="n">
        <x:f>--AND(Y449=1,R449=1,S449=1)</x:f>
        <x:v>0</x:v>
      </x:c>
      <x:c r="AC449" t="str">
        <x:f>IF(OR(AA449="",AB449=""),"",--(AA449&lt;&gt;AB449))</x:f>
      </x:c>
      <x:c r="AE449" t="str">
        <x:f>IF(OR(AA449="",AB449=""),"PENDING_HUMAN",IF(AA449=AB449,AA449,IF(AD449&lt;&gt;"",AD449,"PENDING_HUMAN")))</x:f>
        <x:v>PENDING_HUMAN</x:v>
      </x:c>
      <x:c r="AF449" t="n">
        <x:f>--AND(A449&lt;&gt;"",AA449&lt;&gt;"",AB449&lt;&gt;"",OR(AA449=AB449,AD449&lt;&gt;""),IF(AE449="HALLUCINATION",U449&lt;&gt;"",TRUE))</x:f>
        <x:v>0</x:v>
      </x:c>
      <x:c r="AG449" t="n">
        <x:f>--AND(N449=1,AF449=1,OR(AE449="SUPPORTED",AE449="HALLUCINATION"))</x:f>
        <x:v>0</x:v>
      </x:c>
      <x:c r="AH449" t="n">
        <x:f>--AND(AG449=1,AE449="HALLUCINATION")</x:f>
        <x:v>0</x:v>
      </x:c>
      <x:c r="AI449" t="n">
        <x:f>--AND(Q449=1,AF449=1,AE449="HALLUCINATION")</x:f>
        <x:v>0</x:v>
      </x:c>
      <x:c r="AJ449" t="n">
        <x:f>--AND(AI449=1,R449=1,S449=1)</x:f>
        <x:v>0</x:v>
      </x:c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  <x:c r="V450" s="28"/>
      <x:c r="W450" s="43" t="n">
        <x:f>--AND(N450=1,OR(O450="SUPPORTED",O450="HALLUCINATION"))</x:f>
        <x:v>0</x:v>
      </x:c>
      <x:c r="X450" s="43" t="n">
        <x:f>--AND(W450=1,O450="HALLUCINATION")</x:f>
        <x:v>0</x:v>
      </x:c>
      <x:c r="Y450" s="43" t="n">
        <x:f>--AND(Q450=1,O450="HALLUCINATION")</x:f>
        <x:v>0</x:v>
      </x:c>
      <x:c r="Z450" s="43" t="n">
        <x:f>--AND(Y450=1,R450=1,S450=1)</x:f>
        <x:v>0</x:v>
      </x:c>
      <x:c r="AC450" t="str">
        <x:f>IF(OR(AA450="",AB450=""),"",--(AA450&lt;&gt;AB450))</x:f>
      </x:c>
      <x:c r="AE450" t="str">
        <x:f>IF(OR(AA450="",AB450=""),"PENDING_HUMAN",IF(AA450=AB450,AA450,IF(AD450&lt;&gt;"",AD450,"PENDING_HUMAN")))</x:f>
        <x:v>PENDING_HUMAN</x:v>
      </x:c>
      <x:c r="AF450" t="n">
        <x:f>--AND(A450&lt;&gt;"",AA450&lt;&gt;"",AB450&lt;&gt;"",OR(AA450=AB450,AD450&lt;&gt;""),IF(AE450="HALLUCINATION",U450&lt;&gt;"",TRUE))</x:f>
        <x:v>0</x:v>
      </x:c>
      <x:c r="AG450" t="n">
        <x:f>--AND(N450=1,AF450=1,OR(AE450="SUPPORTED",AE450="HALLUCINATION"))</x:f>
        <x:v>0</x:v>
      </x:c>
      <x:c r="AH450" t="n">
        <x:f>--AND(AG450=1,AE450="HALLUCINATION")</x:f>
        <x:v>0</x:v>
      </x:c>
      <x:c r="AI450" t="n">
        <x:f>--AND(Q450=1,AF450=1,AE450="HALLUCINATION")</x:f>
        <x:v>0</x:v>
      </x:c>
      <x:c r="AJ450" t="n">
        <x:f>--AND(AI450=1,R450=1,S450=1)</x:f>
        <x:v>0</x:v>
      </x:c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  <x:c r="V451" s="28"/>
      <x:c r="W451" s="43" t="n">
        <x:f>--AND(N451=1,OR(O451="SUPPORTED",O451="HALLUCINATION"))</x:f>
        <x:v>0</x:v>
      </x:c>
      <x:c r="X451" s="43" t="n">
        <x:f>--AND(W451=1,O451="HALLUCINATION")</x:f>
        <x:v>0</x:v>
      </x:c>
      <x:c r="Y451" s="43" t="n">
        <x:f>--AND(Q451=1,O451="HALLUCINATION")</x:f>
        <x:v>0</x:v>
      </x:c>
      <x:c r="Z451" s="43" t="n">
        <x:f>--AND(Y451=1,R451=1,S451=1)</x:f>
        <x:v>0</x:v>
      </x:c>
      <x:c r="AC451" t="str">
        <x:f>IF(OR(AA451="",AB451=""),"",--(AA451&lt;&gt;AB451))</x:f>
      </x:c>
      <x:c r="AE451" t="str">
        <x:f>IF(OR(AA451="",AB451=""),"PENDING_HUMAN",IF(AA451=AB451,AA451,IF(AD451&lt;&gt;"",AD451,"PENDING_HUMAN")))</x:f>
        <x:v>PENDING_HUMAN</x:v>
      </x:c>
      <x:c r="AF451" t="n">
        <x:f>--AND(A451&lt;&gt;"",AA451&lt;&gt;"",AB451&lt;&gt;"",OR(AA451=AB451,AD451&lt;&gt;""),IF(AE451="HALLUCINATION",U451&lt;&gt;"",TRUE))</x:f>
        <x:v>0</x:v>
      </x:c>
      <x:c r="AG451" t="n">
        <x:f>--AND(N451=1,AF451=1,OR(AE451="SUPPORTED",AE451="HALLUCINATION"))</x:f>
        <x:v>0</x:v>
      </x:c>
      <x:c r="AH451" t="n">
        <x:f>--AND(AG451=1,AE451="HALLUCINATION")</x:f>
        <x:v>0</x:v>
      </x:c>
      <x:c r="AI451" t="n">
        <x:f>--AND(Q451=1,AF451=1,AE451="HALLUCINATION")</x:f>
        <x:v>0</x:v>
      </x:c>
      <x:c r="AJ451" t="n">
        <x:f>--AND(AI451=1,R451=1,S451=1)</x:f>
        <x:v>0</x:v>
      </x:c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  <x:c r="V452" s="28"/>
      <x:c r="W452" s="43" t="n">
        <x:f>--AND(N452=1,OR(O452="SUPPORTED",O452="HALLUCINATION"))</x:f>
        <x:v>0</x:v>
      </x:c>
      <x:c r="X452" s="43" t="n">
        <x:f>--AND(W452=1,O452="HALLUCINATION")</x:f>
        <x:v>0</x:v>
      </x:c>
      <x:c r="Y452" s="43" t="n">
        <x:f>--AND(Q452=1,O452="HALLUCINATION")</x:f>
        <x:v>0</x:v>
      </x:c>
      <x:c r="Z452" s="43" t="n">
        <x:f>--AND(Y452=1,R452=1,S452=1)</x:f>
        <x:v>0</x:v>
      </x:c>
      <x:c r="AC452" t="str">
        <x:f>IF(OR(AA452="",AB452=""),"",--(AA452&lt;&gt;AB452))</x:f>
      </x:c>
      <x:c r="AE452" t="str">
        <x:f>IF(OR(AA452="",AB452=""),"PENDING_HUMAN",IF(AA452=AB452,AA452,IF(AD452&lt;&gt;"",AD452,"PENDING_HUMAN")))</x:f>
        <x:v>PENDING_HUMAN</x:v>
      </x:c>
      <x:c r="AF452" t="n">
        <x:f>--AND(A452&lt;&gt;"",AA452&lt;&gt;"",AB452&lt;&gt;"",OR(AA452=AB452,AD452&lt;&gt;""),IF(AE452="HALLUCINATION",U452&lt;&gt;"",TRUE))</x:f>
        <x:v>0</x:v>
      </x:c>
      <x:c r="AG452" t="n">
        <x:f>--AND(N452=1,AF452=1,OR(AE452="SUPPORTED",AE452="HALLUCINATION"))</x:f>
        <x:v>0</x:v>
      </x:c>
      <x:c r="AH452" t="n">
        <x:f>--AND(AG452=1,AE452="HALLUCINATION")</x:f>
        <x:v>0</x:v>
      </x:c>
      <x:c r="AI452" t="n">
        <x:f>--AND(Q452=1,AF452=1,AE452="HALLUCINATION")</x:f>
        <x:v>0</x:v>
      </x:c>
      <x:c r="AJ452" t="n">
        <x:f>--AND(AI452=1,R452=1,S452=1)</x:f>
        <x:v>0</x:v>
      </x:c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  <x:c r="V453" s="28"/>
      <x:c r="W453" s="43" t="n">
        <x:f>--AND(N453=1,OR(O453="SUPPORTED",O453="HALLUCINATION"))</x:f>
        <x:v>0</x:v>
      </x:c>
      <x:c r="X453" s="43" t="n">
        <x:f>--AND(W453=1,O453="HALLUCINATION")</x:f>
        <x:v>0</x:v>
      </x:c>
      <x:c r="Y453" s="43" t="n">
        <x:f>--AND(Q453=1,O453="HALLUCINATION")</x:f>
        <x:v>0</x:v>
      </x:c>
      <x:c r="Z453" s="43" t="n">
        <x:f>--AND(Y453=1,R453=1,S453=1)</x:f>
        <x:v>0</x:v>
      </x:c>
      <x:c r="AC453" t="str">
        <x:f>IF(OR(AA453="",AB453=""),"",--(AA453&lt;&gt;AB453))</x:f>
      </x:c>
      <x:c r="AE453" t="str">
        <x:f>IF(OR(AA453="",AB453=""),"PENDING_HUMAN",IF(AA453=AB453,AA453,IF(AD453&lt;&gt;"",AD453,"PENDING_HUMAN")))</x:f>
        <x:v>PENDING_HUMAN</x:v>
      </x:c>
      <x:c r="AF453" t="n">
        <x:f>--AND(A453&lt;&gt;"",AA453&lt;&gt;"",AB453&lt;&gt;"",OR(AA453=AB453,AD453&lt;&gt;""),IF(AE453="HALLUCINATION",U453&lt;&gt;"",TRUE))</x:f>
        <x:v>0</x:v>
      </x:c>
      <x:c r="AG453" t="n">
        <x:f>--AND(N453=1,AF453=1,OR(AE453="SUPPORTED",AE453="HALLUCINATION"))</x:f>
        <x:v>0</x:v>
      </x:c>
      <x:c r="AH453" t="n">
        <x:f>--AND(AG453=1,AE453="HALLUCINATION")</x:f>
        <x:v>0</x:v>
      </x:c>
      <x:c r="AI453" t="n">
        <x:f>--AND(Q453=1,AF453=1,AE453="HALLUCINATION")</x:f>
        <x:v>0</x:v>
      </x:c>
      <x:c r="AJ453" t="n">
        <x:f>--AND(AI453=1,R453=1,S453=1)</x:f>
        <x:v>0</x:v>
      </x:c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  <x:c r="V454" s="28"/>
      <x:c r="W454" s="43" t="n">
        <x:f>--AND(N454=1,OR(O454="SUPPORTED",O454="HALLUCINATION"))</x:f>
        <x:v>0</x:v>
      </x:c>
      <x:c r="X454" s="43" t="n">
        <x:f>--AND(W454=1,O454="HALLUCINATION")</x:f>
        <x:v>0</x:v>
      </x:c>
      <x:c r="Y454" s="43" t="n">
        <x:f>--AND(Q454=1,O454="HALLUCINATION")</x:f>
        <x:v>0</x:v>
      </x:c>
      <x:c r="Z454" s="43" t="n">
        <x:f>--AND(Y454=1,R454=1,S454=1)</x:f>
        <x:v>0</x:v>
      </x:c>
      <x:c r="AC454" t="str">
        <x:f>IF(OR(AA454="",AB454=""),"",--(AA454&lt;&gt;AB454))</x:f>
      </x:c>
      <x:c r="AE454" t="str">
        <x:f>IF(OR(AA454="",AB454=""),"PENDING_HUMAN",IF(AA454=AB454,AA454,IF(AD454&lt;&gt;"",AD454,"PENDING_HUMAN")))</x:f>
        <x:v>PENDING_HUMAN</x:v>
      </x:c>
      <x:c r="AF454" t="n">
        <x:f>--AND(A454&lt;&gt;"",AA454&lt;&gt;"",AB454&lt;&gt;"",OR(AA454=AB454,AD454&lt;&gt;""),IF(AE454="HALLUCINATION",U454&lt;&gt;"",TRUE))</x:f>
        <x:v>0</x:v>
      </x:c>
      <x:c r="AG454" t="n">
        <x:f>--AND(N454=1,AF454=1,OR(AE454="SUPPORTED",AE454="HALLUCINATION"))</x:f>
        <x:v>0</x:v>
      </x:c>
      <x:c r="AH454" t="n">
        <x:f>--AND(AG454=1,AE454="HALLUCINATION")</x:f>
        <x:v>0</x:v>
      </x:c>
      <x:c r="AI454" t="n">
        <x:f>--AND(Q454=1,AF454=1,AE454="HALLUCINATION")</x:f>
        <x:v>0</x:v>
      </x:c>
      <x:c r="AJ454" t="n">
        <x:f>--AND(AI454=1,R454=1,S454=1)</x:f>
        <x:v>0</x:v>
      </x:c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  <x:c r="V455" s="28"/>
      <x:c r="W455" s="43" t="n">
        <x:f>--AND(N455=1,OR(O455="SUPPORTED",O455="HALLUCINATION"))</x:f>
        <x:v>0</x:v>
      </x:c>
      <x:c r="X455" s="43" t="n">
        <x:f>--AND(W455=1,O455="HALLUCINATION")</x:f>
        <x:v>0</x:v>
      </x:c>
      <x:c r="Y455" s="43" t="n">
        <x:f>--AND(Q455=1,O455="HALLUCINATION")</x:f>
        <x:v>0</x:v>
      </x:c>
      <x:c r="Z455" s="43" t="n">
        <x:f>--AND(Y455=1,R455=1,S455=1)</x:f>
        <x:v>0</x:v>
      </x:c>
      <x:c r="AC455" t="str">
        <x:f>IF(OR(AA455="",AB455=""),"",--(AA455&lt;&gt;AB455))</x:f>
      </x:c>
      <x:c r="AE455" t="str">
        <x:f>IF(OR(AA455="",AB455=""),"PENDING_HUMAN",IF(AA455=AB455,AA455,IF(AD455&lt;&gt;"",AD455,"PENDING_HUMAN")))</x:f>
        <x:v>PENDING_HUMAN</x:v>
      </x:c>
      <x:c r="AF455" t="n">
        <x:f>--AND(A455&lt;&gt;"",AA455&lt;&gt;"",AB455&lt;&gt;"",OR(AA455=AB455,AD455&lt;&gt;""),IF(AE455="HALLUCINATION",U455&lt;&gt;"",TRUE))</x:f>
        <x:v>0</x:v>
      </x:c>
      <x:c r="AG455" t="n">
        <x:f>--AND(N455=1,AF455=1,OR(AE455="SUPPORTED",AE455="HALLUCINATION"))</x:f>
        <x:v>0</x:v>
      </x:c>
      <x:c r="AH455" t="n">
        <x:f>--AND(AG455=1,AE455="HALLUCINATION")</x:f>
        <x:v>0</x:v>
      </x:c>
      <x:c r="AI455" t="n">
        <x:f>--AND(Q455=1,AF455=1,AE455="HALLUCINATION")</x:f>
        <x:v>0</x:v>
      </x:c>
      <x:c r="AJ455" t="n">
        <x:f>--AND(AI455=1,R455=1,S455=1)</x:f>
        <x:v>0</x:v>
      </x:c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  <x:c r="V456" s="28"/>
      <x:c r="W456" s="43" t="n">
        <x:f>--AND(N456=1,OR(O456="SUPPORTED",O456="HALLUCINATION"))</x:f>
        <x:v>0</x:v>
      </x:c>
      <x:c r="X456" s="43" t="n">
        <x:f>--AND(W456=1,O456="HALLUCINATION")</x:f>
        <x:v>0</x:v>
      </x:c>
      <x:c r="Y456" s="43" t="n">
        <x:f>--AND(Q456=1,O456="HALLUCINATION")</x:f>
        <x:v>0</x:v>
      </x:c>
      <x:c r="Z456" s="43" t="n">
        <x:f>--AND(Y456=1,R456=1,S456=1)</x:f>
        <x:v>0</x:v>
      </x:c>
      <x:c r="AC456" t="str">
        <x:f>IF(OR(AA456="",AB456=""),"",--(AA456&lt;&gt;AB456))</x:f>
      </x:c>
      <x:c r="AE456" t="str">
        <x:f>IF(OR(AA456="",AB456=""),"PENDING_HUMAN",IF(AA456=AB456,AA456,IF(AD456&lt;&gt;"",AD456,"PENDING_HUMAN")))</x:f>
        <x:v>PENDING_HUMAN</x:v>
      </x:c>
      <x:c r="AF456" t="n">
        <x:f>--AND(A456&lt;&gt;"",AA456&lt;&gt;"",AB456&lt;&gt;"",OR(AA456=AB456,AD456&lt;&gt;""),IF(AE456="HALLUCINATION",U456&lt;&gt;"",TRUE))</x:f>
        <x:v>0</x:v>
      </x:c>
      <x:c r="AG456" t="n">
        <x:f>--AND(N456=1,AF456=1,OR(AE456="SUPPORTED",AE456="HALLUCINATION"))</x:f>
        <x:v>0</x:v>
      </x:c>
      <x:c r="AH456" t="n">
        <x:f>--AND(AG456=1,AE456="HALLUCINATION")</x:f>
        <x:v>0</x:v>
      </x:c>
      <x:c r="AI456" t="n">
        <x:f>--AND(Q456=1,AF456=1,AE456="HALLUCINATION")</x:f>
        <x:v>0</x:v>
      </x:c>
      <x:c r="AJ456" t="n">
        <x:f>--AND(AI456=1,R456=1,S456=1)</x:f>
        <x:v>0</x:v>
      </x:c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  <x:c r="V457" s="28"/>
      <x:c r="W457" s="43" t="n">
        <x:f>--AND(N457=1,OR(O457="SUPPORTED",O457="HALLUCINATION"))</x:f>
        <x:v>0</x:v>
      </x:c>
      <x:c r="X457" s="43" t="n">
        <x:f>--AND(W457=1,O457="HALLUCINATION")</x:f>
        <x:v>0</x:v>
      </x:c>
      <x:c r="Y457" s="43" t="n">
        <x:f>--AND(Q457=1,O457="HALLUCINATION")</x:f>
        <x:v>0</x:v>
      </x:c>
      <x:c r="Z457" s="43" t="n">
        <x:f>--AND(Y457=1,R457=1,S457=1)</x:f>
        <x:v>0</x:v>
      </x:c>
      <x:c r="AC457" t="str">
        <x:f>IF(OR(AA457="",AB457=""),"",--(AA457&lt;&gt;AB457))</x:f>
      </x:c>
      <x:c r="AE457" t="str">
        <x:f>IF(OR(AA457="",AB457=""),"PENDING_HUMAN",IF(AA457=AB457,AA457,IF(AD457&lt;&gt;"",AD457,"PENDING_HUMAN")))</x:f>
        <x:v>PENDING_HUMAN</x:v>
      </x:c>
      <x:c r="AF457" t="n">
        <x:f>--AND(A457&lt;&gt;"",AA457&lt;&gt;"",AB457&lt;&gt;"",OR(AA457=AB457,AD457&lt;&gt;""),IF(AE457="HALLUCINATION",U457&lt;&gt;"",TRUE))</x:f>
        <x:v>0</x:v>
      </x:c>
      <x:c r="AG457" t="n">
        <x:f>--AND(N457=1,AF457=1,OR(AE457="SUPPORTED",AE457="HALLUCINATION"))</x:f>
        <x:v>0</x:v>
      </x:c>
      <x:c r="AH457" t="n">
        <x:f>--AND(AG457=1,AE457="HALLUCINATION")</x:f>
        <x:v>0</x:v>
      </x:c>
      <x:c r="AI457" t="n">
        <x:f>--AND(Q457=1,AF457=1,AE457="HALLUCINATION")</x:f>
        <x:v>0</x:v>
      </x:c>
      <x:c r="AJ457" t="n">
        <x:f>--AND(AI457=1,R457=1,S457=1)</x:f>
        <x:v>0</x:v>
      </x:c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  <x:c r="V458" s="28"/>
      <x:c r="W458" s="43" t="n">
        <x:f>--AND(N458=1,OR(O458="SUPPORTED",O458="HALLUCINATION"))</x:f>
        <x:v>0</x:v>
      </x:c>
      <x:c r="X458" s="43" t="n">
        <x:f>--AND(W458=1,O458="HALLUCINATION")</x:f>
        <x:v>0</x:v>
      </x:c>
      <x:c r="Y458" s="43" t="n">
        <x:f>--AND(Q458=1,O458="HALLUCINATION")</x:f>
        <x:v>0</x:v>
      </x:c>
      <x:c r="Z458" s="43" t="n">
        <x:f>--AND(Y458=1,R458=1,S458=1)</x:f>
        <x:v>0</x:v>
      </x:c>
      <x:c r="AC458" t="str">
        <x:f>IF(OR(AA458="",AB458=""),"",--(AA458&lt;&gt;AB458))</x:f>
      </x:c>
      <x:c r="AE458" t="str">
        <x:f>IF(OR(AA458="",AB458=""),"PENDING_HUMAN",IF(AA458=AB458,AA458,IF(AD458&lt;&gt;"",AD458,"PENDING_HUMAN")))</x:f>
        <x:v>PENDING_HUMAN</x:v>
      </x:c>
      <x:c r="AF458" t="n">
        <x:f>--AND(A458&lt;&gt;"",AA458&lt;&gt;"",AB458&lt;&gt;"",OR(AA458=AB458,AD458&lt;&gt;""),IF(AE458="HALLUCINATION",U458&lt;&gt;"",TRUE))</x:f>
        <x:v>0</x:v>
      </x:c>
      <x:c r="AG458" t="n">
        <x:f>--AND(N458=1,AF458=1,OR(AE458="SUPPORTED",AE458="HALLUCINATION"))</x:f>
        <x:v>0</x:v>
      </x:c>
      <x:c r="AH458" t="n">
        <x:f>--AND(AG458=1,AE458="HALLUCINATION")</x:f>
        <x:v>0</x:v>
      </x:c>
      <x:c r="AI458" t="n">
        <x:f>--AND(Q458=1,AF458=1,AE458="HALLUCINATION")</x:f>
        <x:v>0</x:v>
      </x:c>
      <x:c r="AJ458" t="n">
        <x:f>--AND(AI458=1,R458=1,S458=1)</x:f>
        <x:v>0</x:v>
      </x:c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  <x:c r="V459" s="28"/>
      <x:c r="W459" s="43" t="n">
        <x:f>--AND(N459=1,OR(O459="SUPPORTED",O459="HALLUCINATION"))</x:f>
        <x:v>0</x:v>
      </x:c>
      <x:c r="X459" s="43" t="n">
        <x:f>--AND(W459=1,O459="HALLUCINATION")</x:f>
        <x:v>0</x:v>
      </x:c>
      <x:c r="Y459" s="43" t="n">
        <x:f>--AND(Q459=1,O459="HALLUCINATION")</x:f>
        <x:v>0</x:v>
      </x:c>
      <x:c r="Z459" s="43" t="n">
        <x:f>--AND(Y459=1,R459=1,S459=1)</x:f>
        <x:v>0</x:v>
      </x:c>
      <x:c r="AC459" t="str">
        <x:f>IF(OR(AA459="",AB459=""),"",--(AA459&lt;&gt;AB459))</x:f>
      </x:c>
      <x:c r="AE459" t="str">
        <x:f>IF(OR(AA459="",AB459=""),"PENDING_HUMAN",IF(AA459=AB459,AA459,IF(AD459&lt;&gt;"",AD459,"PENDING_HUMAN")))</x:f>
        <x:v>PENDING_HUMAN</x:v>
      </x:c>
      <x:c r="AF459" t="n">
        <x:f>--AND(A459&lt;&gt;"",AA459&lt;&gt;"",AB459&lt;&gt;"",OR(AA459=AB459,AD459&lt;&gt;""),IF(AE459="HALLUCINATION",U459&lt;&gt;"",TRUE))</x:f>
        <x:v>0</x:v>
      </x:c>
      <x:c r="AG459" t="n">
        <x:f>--AND(N459=1,AF459=1,OR(AE459="SUPPORTED",AE459="HALLUCINATION"))</x:f>
        <x:v>0</x:v>
      </x:c>
      <x:c r="AH459" t="n">
        <x:f>--AND(AG459=1,AE459="HALLUCINATION")</x:f>
        <x:v>0</x:v>
      </x:c>
      <x:c r="AI459" t="n">
        <x:f>--AND(Q459=1,AF459=1,AE459="HALLUCINATION")</x:f>
        <x:v>0</x:v>
      </x:c>
      <x:c r="AJ459" t="n">
        <x:f>--AND(AI459=1,R459=1,S459=1)</x:f>
        <x:v>0</x:v>
      </x:c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  <x:c r="V460" s="28"/>
      <x:c r="W460" s="43" t="n">
        <x:f>--AND(N460=1,OR(O460="SUPPORTED",O460="HALLUCINATION"))</x:f>
        <x:v>0</x:v>
      </x:c>
      <x:c r="X460" s="43" t="n">
        <x:f>--AND(W460=1,O460="HALLUCINATION")</x:f>
        <x:v>0</x:v>
      </x:c>
      <x:c r="Y460" s="43" t="n">
        <x:f>--AND(Q460=1,O460="HALLUCINATION")</x:f>
        <x:v>0</x:v>
      </x:c>
      <x:c r="Z460" s="43" t="n">
        <x:f>--AND(Y460=1,R460=1,S460=1)</x:f>
        <x:v>0</x:v>
      </x:c>
      <x:c r="AC460" t="str">
        <x:f>IF(OR(AA460="",AB460=""),"",--(AA460&lt;&gt;AB460))</x:f>
      </x:c>
      <x:c r="AE460" t="str">
        <x:f>IF(OR(AA460="",AB460=""),"PENDING_HUMAN",IF(AA460=AB460,AA460,IF(AD460&lt;&gt;"",AD460,"PENDING_HUMAN")))</x:f>
        <x:v>PENDING_HUMAN</x:v>
      </x:c>
      <x:c r="AF460" t="n">
        <x:f>--AND(A460&lt;&gt;"",AA460&lt;&gt;"",AB460&lt;&gt;"",OR(AA460=AB460,AD460&lt;&gt;""),IF(AE460="HALLUCINATION",U460&lt;&gt;"",TRUE))</x:f>
        <x:v>0</x:v>
      </x:c>
      <x:c r="AG460" t="n">
        <x:f>--AND(N460=1,AF460=1,OR(AE460="SUPPORTED",AE460="HALLUCINATION"))</x:f>
        <x:v>0</x:v>
      </x:c>
      <x:c r="AH460" t="n">
        <x:f>--AND(AG460=1,AE460="HALLUCINATION")</x:f>
        <x:v>0</x:v>
      </x:c>
      <x:c r="AI460" t="n">
        <x:f>--AND(Q460=1,AF460=1,AE460="HALLUCINATION")</x:f>
        <x:v>0</x:v>
      </x:c>
      <x:c r="AJ460" t="n">
        <x:f>--AND(AI460=1,R460=1,S460=1)</x:f>
        <x:v>0</x:v>
      </x:c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  <x:c r="V461" s="28"/>
      <x:c r="W461" s="43" t="n">
        <x:f>--AND(N461=1,OR(O461="SUPPORTED",O461="HALLUCINATION"))</x:f>
        <x:v>0</x:v>
      </x:c>
      <x:c r="X461" s="43" t="n">
        <x:f>--AND(W461=1,O461="HALLUCINATION")</x:f>
        <x:v>0</x:v>
      </x:c>
      <x:c r="Y461" s="43" t="n">
        <x:f>--AND(Q461=1,O461="HALLUCINATION")</x:f>
        <x:v>0</x:v>
      </x:c>
      <x:c r="Z461" s="43" t="n">
        <x:f>--AND(Y461=1,R461=1,S461=1)</x:f>
        <x:v>0</x:v>
      </x:c>
      <x:c r="AC461" t="str">
        <x:f>IF(OR(AA461="",AB461=""),"",--(AA461&lt;&gt;AB461))</x:f>
      </x:c>
      <x:c r="AE461" t="str">
        <x:f>IF(OR(AA461="",AB461=""),"PENDING_HUMAN",IF(AA461=AB461,AA461,IF(AD461&lt;&gt;"",AD461,"PENDING_HUMAN")))</x:f>
        <x:v>PENDING_HUMAN</x:v>
      </x:c>
      <x:c r="AF461" t="n">
        <x:f>--AND(A461&lt;&gt;"",AA461&lt;&gt;"",AB461&lt;&gt;"",OR(AA461=AB461,AD461&lt;&gt;""),IF(AE461="HALLUCINATION",U461&lt;&gt;"",TRUE))</x:f>
        <x:v>0</x:v>
      </x:c>
      <x:c r="AG461" t="n">
        <x:f>--AND(N461=1,AF461=1,OR(AE461="SUPPORTED",AE461="HALLUCINATION"))</x:f>
        <x:v>0</x:v>
      </x:c>
      <x:c r="AH461" t="n">
        <x:f>--AND(AG461=1,AE461="HALLUCINATION")</x:f>
        <x:v>0</x:v>
      </x:c>
      <x:c r="AI461" t="n">
        <x:f>--AND(Q461=1,AF461=1,AE461="HALLUCINATION")</x:f>
        <x:v>0</x:v>
      </x:c>
      <x:c r="AJ461" t="n">
        <x:f>--AND(AI461=1,R461=1,S461=1)</x:f>
        <x:v>0</x:v>
      </x:c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  <x:c r="V462" s="28"/>
      <x:c r="W462" s="43" t="n">
        <x:f>--AND(N462=1,OR(O462="SUPPORTED",O462="HALLUCINATION"))</x:f>
        <x:v>0</x:v>
      </x:c>
      <x:c r="X462" s="43" t="n">
        <x:f>--AND(W462=1,O462="HALLUCINATION")</x:f>
        <x:v>0</x:v>
      </x:c>
      <x:c r="Y462" s="43" t="n">
        <x:f>--AND(Q462=1,O462="HALLUCINATION")</x:f>
        <x:v>0</x:v>
      </x:c>
      <x:c r="Z462" s="43" t="n">
        <x:f>--AND(Y462=1,R462=1,S462=1)</x:f>
        <x:v>0</x:v>
      </x:c>
      <x:c r="AC462" t="str">
        <x:f>IF(OR(AA462="",AB462=""),"",--(AA462&lt;&gt;AB462))</x:f>
      </x:c>
      <x:c r="AE462" t="str">
        <x:f>IF(OR(AA462="",AB462=""),"PENDING_HUMAN",IF(AA462=AB462,AA462,IF(AD462&lt;&gt;"",AD462,"PENDING_HUMAN")))</x:f>
        <x:v>PENDING_HUMAN</x:v>
      </x:c>
      <x:c r="AF462" t="n">
        <x:f>--AND(A462&lt;&gt;"",AA462&lt;&gt;"",AB462&lt;&gt;"",OR(AA462=AB462,AD462&lt;&gt;""),IF(AE462="HALLUCINATION",U462&lt;&gt;"",TRUE))</x:f>
        <x:v>0</x:v>
      </x:c>
      <x:c r="AG462" t="n">
        <x:f>--AND(N462=1,AF462=1,OR(AE462="SUPPORTED",AE462="HALLUCINATION"))</x:f>
        <x:v>0</x:v>
      </x:c>
      <x:c r="AH462" t="n">
        <x:f>--AND(AG462=1,AE462="HALLUCINATION")</x:f>
        <x:v>0</x:v>
      </x:c>
      <x:c r="AI462" t="n">
        <x:f>--AND(Q462=1,AF462=1,AE462="HALLUCINATION")</x:f>
        <x:v>0</x:v>
      </x:c>
      <x:c r="AJ462" t="n">
        <x:f>--AND(AI462=1,R462=1,S462=1)</x:f>
        <x:v>0</x:v>
      </x:c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  <x:c r="V463" s="28"/>
      <x:c r="W463" s="43" t="n">
        <x:f>--AND(N463=1,OR(O463="SUPPORTED",O463="HALLUCINATION"))</x:f>
        <x:v>0</x:v>
      </x:c>
      <x:c r="X463" s="43" t="n">
        <x:f>--AND(W463=1,O463="HALLUCINATION")</x:f>
        <x:v>0</x:v>
      </x:c>
      <x:c r="Y463" s="43" t="n">
        <x:f>--AND(Q463=1,O463="HALLUCINATION")</x:f>
        <x:v>0</x:v>
      </x:c>
      <x:c r="Z463" s="43" t="n">
        <x:f>--AND(Y463=1,R463=1,S463=1)</x:f>
        <x:v>0</x:v>
      </x:c>
      <x:c r="AC463" t="str">
        <x:f>IF(OR(AA463="",AB463=""),"",--(AA463&lt;&gt;AB463))</x:f>
      </x:c>
      <x:c r="AE463" t="str">
        <x:f>IF(OR(AA463="",AB463=""),"PENDING_HUMAN",IF(AA463=AB463,AA463,IF(AD463&lt;&gt;"",AD463,"PENDING_HUMAN")))</x:f>
        <x:v>PENDING_HUMAN</x:v>
      </x:c>
      <x:c r="AF463" t="n">
        <x:f>--AND(A463&lt;&gt;"",AA463&lt;&gt;"",AB463&lt;&gt;"",OR(AA463=AB463,AD463&lt;&gt;""),IF(AE463="HALLUCINATION",U463&lt;&gt;"",TRUE))</x:f>
        <x:v>0</x:v>
      </x:c>
      <x:c r="AG463" t="n">
        <x:f>--AND(N463=1,AF463=1,OR(AE463="SUPPORTED",AE463="HALLUCINATION"))</x:f>
        <x:v>0</x:v>
      </x:c>
      <x:c r="AH463" t="n">
        <x:f>--AND(AG463=1,AE463="HALLUCINATION")</x:f>
        <x:v>0</x:v>
      </x:c>
      <x:c r="AI463" t="n">
        <x:f>--AND(Q463=1,AF463=1,AE463="HALLUCINATION")</x:f>
        <x:v>0</x:v>
      </x:c>
      <x:c r="AJ463" t="n">
        <x:f>--AND(AI463=1,R463=1,S463=1)</x:f>
        <x:v>0</x:v>
      </x:c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  <x:c r="V464" s="28"/>
      <x:c r="W464" s="43" t="n">
        <x:f>--AND(N464=1,OR(O464="SUPPORTED",O464="HALLUCINATION"))</x:f>
        <x:v>0</x:v>
      </x:c>
      <x:c r="X464" s="43" t="n">
        <x:f>--AND(W464=1,O464="HALLUCINATION")</x:f>
        <x:v>0</x:v>
      </x:c>
      <x:c r="Y464" s="43" t="n">
        <x:f>--AND(Q464=1,O464="HALLUCINATION")</x:f>
        <x:v>0</x:v>
      </x:c>
      <x:c r="Z464" s="43" t="n">
        <x:f>--AND(Y464=1,R464=1,S464=1)</x:f>
        <x:v>0</x:v>
      </x:c>
      <x:c r="AC464" t="str">
        <x:f>IF(OR(AA464="",AB464=""),"",--(AA464&lt;&gt;AB464))</x:f>
      </x:c>
      <x:c r="AE464" t="str">
        <x:f>IF(OR(AA464="",AB464=""),"PENDING_HUMAN",IF(AA464=AB464,AA464,IF(AD464&lt;&gt;"",AD464,"PENDING_HUMAN")))</x:f>
        <x:v>PENDING_HUMAN</x:v>
      </x:c>
      <x:c r="AF464" t="n">
        <x:f>--AND(A464&lt;&gt;"",AA464&lt;&gt;"",AB464&lt;&gt;"",OR(AA464=AB464,AD464&lt;&gt;""),IF(AE464="HALLUCINATION",U464&lt;&gt;"",TRUE))</x:f>
        <x:v>0</x:v>
      </x:c>
      <x:c r="AG464" t="n">
        <x:f>--AND(N464=1,AF464=1,OR(AE464="SUPPORTED",AE464="HALLUCINATION"))</x:f>
        <x:v>0</x:v>
      </x:c>
      <x:c r="AH464" t="n">
        <x:f>--AND(AG464=1,AE464="HALLUCINATION")</x:f>
        <x:v>0</x:v>
      </x:c>
      <x:c r="AI464" t="n">
        <x:f>--AND(Q464=1,AF464=1,AE464="HALLUCINATION")</x:f>
        <x:v>0</x:v>
      </x:c>
      <x:c r="AJ464" t="n">
        <x:f>--AND(AI464=1,R464=1,S464=1)</x:f>
        <x:v>0</x:v>
      </x:c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  <x:c r="V465" s="28"/>
      <x:c r="W465" s="43" t="n">
        <x:f>--AND(N465=1,OR(O465="SUPPORTED",O465="HALLUCINATION"))</x:f>
        <x:v>0</x:v>
      </x:c>
      <x:c r="X465" s="43" t="n">
        <x:f>--AND(W465=1,O465="HALLUCINATION")</x:f>
        <x:v>0</x:v>
      </x:c>
      <x:c r="Y465" s="43" t="n">
        <x:f>--AND(Q465=1,O465="HALLUCINATION")</x:f>
        <x:v>0</x:v>
      </x:c>
      <x:c r="Z465" s="43" t="n">
        <x:f>--AND(Y465=1,R465=1,S465=1)</x:f>
        <x:v>0</x:v>
      </x:c>
      <x:c r="AC465" t="str">
        <x:f>IF(OR(AA465="",AB465=""),"",--(AA465&lt;&gt;AB465))</x:f>
      </x:c>
      <x:c r="AE465" t="str">
        <x:f>IF(OR(AA465="",AB465=""),"PENDING_HUMAN",IF(AA465=AB465,AA465,IF(AD465&lt;&gt;"",AD465,"PENDING_HUMAN")))</x:f>
        <x:v>PENDING_HUMAN</x:v>
      </x:c>
      <x:c r="AF465" t="n">
        <x:f>--AND(A465&lt;&gt;"",AA465&lt;&gt;"",AB465&lt;&gt;"",OR(AA465=AB465,AD465&lt;&gt;""),IF(AE465="HALLUCINATION",U465&lt;&gt;"",TRUE))</x:f>
        <x:v>0</x:v>
      </x:c>
      <x:c r="AG465" t="n">
        <x:f>--AND(N465=1,AF465=1,OR(AE465="SUPPORTED",AE465="HALLUCINATION"))</x:f>
        <x:v>0</x:v>
      </x:c>
      <x:c r="AH465" t="n">
        <x:f>--AND(AG465=1,AE465="HALLUCINATION")</x:f>
        <x:v>0</x:v>
      </x:c>
      <x:c r="AI465" t="n">
        <x:f>--AND(Q465=1,AF465=1,AE465="HALLUCINATION")</x:f>
        <x:v>0</x:v>
      </x:c>
      <x:c r="AJ465" t="n">
        <x:f>--AND(AI465=1,R465=1,S465=1)</x:f>
        <x:v>0</x:v>
      </x:c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  <x:c r="V466" s="28"/>
      <x:c r="W466" s="43" t="n">
        <x:f>--AND(N466=1,OR(O466="SUPPORTED",O466="HALLUCINATION"))</x:f>
        <x:v>0</x:v>
      </x:c>
      <x:c r="X466" s="43" t="n">
        <x:f>--AND(W466=1,O466="HALLUCINATION")</x:f>
        <x:v>0</x:v>
      </x:c>
      <x:c r="Y466" s="43" t="n">
        <x:f>--AND(Q466=1,O466="HALLUCINATION")</x:f>
        <x:v>0</x:v>
      </x:c>
      <x:c r="Z466" s="43" t="n">
        <x:f>--AND(Y466=1,R466=1,S466=1)</x:f>
        <x:v>0</x:v>
      </x:c>
      <x:c r="AC466" t="str">
        <x:f>IF(OR(AA466="",AB466=""),"",--(AA466&lt;&gt;AB466))</x:f>
      </x:c>
      <x:c r="AE466" t="str">
        <x:f>IF(OR(AA466="",AB466=""),"PENDING_HUMAN",IF(AA466=AB466,AA466,IF(AD466&lt;&gt;"",AD466,"PENDING_HUMAN")))</x:f>
        <x:v>PENDING_HUMAN</x:v>
      </x:c>
      <x:c r="AF466" t="n">
        <x:f>--AND(A466&lt;&gt;"",AA466&lt;&gt;"",AB466&lt;&gt;"",OR(AA466=AB466,AD466&lt;&gt;""),IF(AE466="HALLUCINATION",U466&lt;&gt;"",TRUE))</x:f>
        <x:v>0</x:v>
      </x:c>
      <x:c r="AG466" t="n">
        <x:f>--AND(N466=1,AF466=1,OR(AE466="SUPPORTED",AE466="HALLUCINATION"))</x:f>
        <x:v>0</x:v>
      </x:c>
      <x:c r="AH466" t="n">
        <x:f>--AND(AG466=1,AE466="HALLUCINATION")</x:f>
        <x:v>0</x:v>
      </x:c>
      <x:c r="AI466" t="n">
        <x:f>--AND(Q466=1,AF466=1,AE466="HALLUCINATION")</x:f>
        <x:v>0</x:v>
      </x:c>
      <x:c r="AJ466" t="n">
        <x:f>--AND(AI466=1,R466=1,S466=1)</x:f>
        <x:v>0</x:v>
      </x:c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  <x:c r="V467" s="28"/>
      <x:c r="W467" s="43" t="n">
        <x:f>--AND(N467=1,OR(O467="SUPPORTED",O467="HALLUCINATION"))</x:f>
        <x:v>0</x:v>
      </x:c>
      <x:c r="X467" s="43" t="n">
        <x:f>--AND(W467=1,O467="HALLUCINATION")</x:f>
        <x:v>0</x:v>
      </x:c>
      <x:c r="Y467" s="43" t="n">
        <x:f>--AND(Q467=1,O467="HALLUCINATION")</x:f>
        <x:v>0</x:v>
      </x:c>
      <x:c r="Z467" s="43" t="n">
        <x:f>--AND(Y467=1,R467=1,S467=1)</x:f>
        <x:v>0</x:v>
      </x:c>
      <x:c r="AC467" t="str">
        <x:f>IF(OR(AA467="",AB467=""),"",--(AA467&lt;&gt;AB467))</x:f>
      </x:c>
      <x:c r="AE467" t="str">
        <x:f>IF(OR(AA467="",AB467=""),"PENDING_HUMAN",IF(AA467=AB467,AA467,IF(AD467&lt;&gt;"",AD467,"PENDING_HUMAN")))</x:f>
        <x:v>PENDING_HUMAN</x:v>
      </x:c>
      <x:c r="AF467" t="n">
        <x:f>--AND(A467&lt;&gt;"",AA467&lt;&gt;"",AB467&lt;&gt;"",OR(AA467=AB467,AD467&lt;&gt;""),IF(AE467="HALLUCINATION",U467&lt;&gt;"",TRUE))</x:f>
        <x:v>0</x:v>
      </x:c>
      <x:c r="AG467" t="n">
        <x:f>--AND(N467=1,AF467=1,OR(AE467="SUPPORTED",AE467="HALLUCINATION"))</x:f>
        <x:v>0</x:v>
      </x:c>
      <x:c r="AH467" t="n">
        <x:f>--AND(AG467=1,AE467="HALLUCINATION")</x:f>
        <x:v>0</x:v>
      </x:c>
      <x:c r="AI467" t="n">
        <x:f>--AND(Q467=1,AF467=1,AE467="HALLUCINATION")</x:f>
        <x:v>0</x:v>
      </x:c>
      <x:c r="AJ467" t="n">
        <x:f>--AND(AI467=1,R467=1,S467=1)</x:f>
        <x:v>0</x:v>
      </x:c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  <x:c r="V468" s="28"/>
      <x:c r="W468" s="43" t="n">
        <x:f>--AND(N468=1,OR(O468="SUPPORTED",O468="HALLUCINATION"))</x:f>
        <x:v>0</x:v>
      </x:c>
      <x:c r="X468" s="43" t="n">
        <x:f>--AND(W468=1,O468="HALLUCINATION")</x:f>
        <x:v>0</x:v>
      </x:c>
      <x:c r="Y468" s="43" t="n">
        <x:f>--AND(Q468=1,O468="HALLUCINATION")</x:f>
        <x:v>0</x:v>
      </x:c>
      <x:c r="Z468" s="43" t="n">
        <x:f>--AND(Y468=1,R468=1,S468=1)</x:f>
        <x:v>0</x:v>
      </x:c>
      <x:c r="AC468" t="str">
        <x:f>IF(OR(AA468="",AB468=""),"",--(AA468&lt;&gt;AB468))</x:f>
      </x:c>
      <x:c r="AE468" t="str">
        <x:f>IF(OR(AA468="",AB468=""),"PENDING_HUMAN",IF(AA468=AB468,AA468,IF(AD468&lt;&gt;"",AD468,"PENDING_HUMAN")))</x:f>
        <x:v>PENDING_HUMAN</x:v>
      </x:c>
      <x:c r="AF468" t="n">
        <x:f>--AND(A468&lt;&gt;"",AA468&lt;&gt;"",AB468&lt;&gt;"",OR(AA468=AB468,AD468&lt;&gt;""),IF(AE468="HALLUCINATION",U468&lt;&gt;"",TRUE))</x:f>
        <x:v>0</x:v>
      </x:c>
      <x:c r="AG468" t="n">
        <x:f>--AND(N468=1,AF468=1,OR(AE468="SUPPORTED",AE468="HALLUCINATION"))</x:f>
        <x:v>0</x:v>
      </x:c>
      <x:c r="AH468" t="n">
        <x:f>--AND(AG468=1,AE468="HALLUCINATION")</x:f>
        <x:v>0</x:v>
      </x:c>
      <x:c r="AI468" t="n">
        <x:f>--AND(Q468=1,AF468=1,AE468="HALLUCINATION")</x:f>
        <x:v>0</x:v>
      </x:c>
      <x:c r="AJ468" t="n">
        <x:f>--AND(AI468=1,R468=1,S468=1)</x:f>
        <x:v>0</x:v>
      </x:c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  <x:c r="V469" s="28"/>
      <x:c r="W469" s="43" t="n">
        <x:f>--AND(N469=1,OR(O469="SUPPORTED",O469="HALLUCINATION"))</x:f>
        <x:v>0</x:v>
      </x:c>
      <x:c r="X469" s="43" t="n">
        <x:f>--AND(W469=1,O469="HALLUCINATION")</x:f>
        <x:v>0</x:v>
      </x:c>
      <x:c r="Y469" s="43" t="n">
        <x:f>--AND(Q469=1,O469="HALLUCINATION")</x:f>
        <x:v>0</x:v>
      </x:c>
      <x:c r="Z469" s="43" t="n">
        <x:f>--AND(Y469=1,R469=1,S469=1)</x:f>
        <x:v>0</x:v>
      </x:c>
      <x:c r="AC469" t="str">
        <x:f>IF(OR(AA469="",AB469=""),"",--(AA469&lt;&gt;AB469))</x:f>
      </x:c>
      <x:c r="AE469" t="str">
        <x:f>IF(OR(AA469="",AB469=""),"PENDING_HUMAN",IF(AA469=AB469,AA469,IF(AD469&lt;&gt;"",AD469,"PENDING_HUMAN")))</x:f>
        <x:v>PENDING_HUMAN</x:v>
      </x:c>
      <x:c r="AF469" t="n">
        <x:f>--AND(A469&lt;&gt;"",AA469&lt;&gt;"",AB469&lt;&gt;"",OR(AA469=AB469,AD469&lt;&gt;""),IF(AE469="HALLUCINATION",U469&lt;&gt;"",TRUE))</x:f>
        <x:v>0</x:v>
      </x:c>
      <x:c r="AG469" t="n">
        <x:f>--AND(N469=1,AF469=1,OR(AE469="SUPPORTED",AE469="HALLUCINATION"))</x:f>
        <x:v>0</x:v>
      </x:c>
      <x:c r="AH469" t="n">
        <x:f>--AND(AG469=1,AE469="HALLUCINATION")</x:f>
        <x:v>0</x:v>
      </x:c>
      <x:c r="AI469" t="n">
        <x:f>--AND(Q469=1,AF469=1,AE469="HALLUCINATION")</x:f>
        <x:v>0</x:v>
      </x:c>
      <x:c r="AJ469" t="n">
        <x:f>--AND(AI469=1,R469=1,S469=1)</x:f>
        <x:v>0</x:v>
      </x:c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  <x:c r="V470" s="28"/>
      <x:c r="W470" s="43" t="n">
        <x:f>--AND(N470=1,OR(O470="SUPPORTED",O470="HALLUCINATION"))</x:f>
        <x:v>0</x:v>
      </x:c>
      <x:c r="X470" s="43" t="n">
        <x:f>--AND(W470=1,O470="HALLUCINATION")</x:f>
        <x:v>0</x:v>
      </x:c>
      <x:c r="Y470" s="43" t="n">
        <x:f>--AND(Q470=1,O470="HALLUCINATION")</x:f>
        <x:v>0</x:v>
      </x:c>
      <x:c r="Z470" s="43" t="n">
        <x:f>--AND(Y470=1,R470=1,S470=1)</x:f>
        <x:v>0</x:v>
      </x:c>
      <x:c r="AC470" t="str">
        <x:f>IF(OR(AA470="",AB470=""),"",--(AA470&lt;&gt;AB470))</x:f>
      </x:c>
      <x:c r="AE470" t="str">
        <x:f>IF(OR(AA470="",AB470=""),"PENDING_HUMAN",IF(AA470=AB470,AA470,IF(AD470&lt;&gt;"",AD470,"PENDING_HUMAN")))</x:f>
        <x:v>PENDING_HUMAN</x:v>
      </x:c>
      <x:c r="AF470" t="n">
        <x:f>--AND(A470&lt;&gt;"",AA470&lt;&gt;"",AB470&lt;&gt;"",OR(AA470=AB470,AD470&lt;&gt;""),IF(AE470="HALLUCINATION",U470&lt;&gt;"",TRUE))</x:f>
        <x:v>0</x:v>
      </x:c>
      <x:c r="AG470" t="n">
        <x:f>--AND(N470=1,AF470=1,OR(AE470="SUPPORTED",AE470="HALLUCINATION"))</x:f>
        <x:v>0</x:v>
      </x:c>
      <x:c r="AH470" t="n">
        <x:f>--AND(AG470=1,AE470="HALLUCINATION")</x:f>
        <x:v>0</x:v>
      </x:c>
      <x:c r="AI470" t="n">
        <x:f>--AND(Q470=1,AF470=1,AE470="HALLUCINATION")</x:f>
        <x:v>0</x:v>
      </x:c>
      <x:c r="AJ470" t="n">
        <x:f>--AND(AI470=1,R470=1,S470=1)</x:f>
        <x:v>0</x:v>
      </x:c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  <x:c r="V471" s="28"/>
      <x:c r="W471" s="43" t="n">
        <x:f>--AND(N471=1,OR(O471="SUPPORTED",O471="HALLUCINATION"))</x:f>
        <x:v>0</x:v>
      </x:c>
      <x:c r="X471" s="43" t="n">
        <x:f>--AND(W471=1,O471="HALLUCINATION")</x:f>
        <x:v>0</x:v>
      </x:c>
      <x:c r="Y471" s="43" t="n">
        <x:f>--AND(Q471=1,O471="HALLUCINATION")</x:f>
        <x:v>0</x:v>
      </x:c>
      <x:c r="Z471" s="43" t="n">
        <x:f>--AND(Y471=1,R471=1,S471=1)</x:f>
        <x:v>0</x:v>
      </x:c>
      <x:c r="AC471" t="str">
        <x:f>IF(OR(AA471="",AB471=""),"",--(AA471&lt;&gt;AB471))</x:f>
      </x:c>
      <x:c r="AE471" t="str">
        <x:f>IF(OR(AA471="",AB471=""),"PENDING_HUMAN",IF(AA471=AB471,AA471,IF(AD471&lt;&gt;"",AD471,"PENDING_HUMAN")))</x:f>
        <x:v>PENDING_HUMAN</x:v>
      </x:c>
      <x:c r="AF471" t="n">
        <x:f>--AND(A471&lt;&gt;"",AA471&lt;&gt;"",AB471&lt;&gt;"",OR(AA471=AB471,AD471&lt;&gt;""),IF(AE471="HALLUCINATION",U471&lt;&gt;"",TRUE))</x:f>
        <x:v>0</x:v>
      </x:c>
      <x:c r="AG471" t="n">
        <x:f>--AND(N471=1,AF471=1,OR(AE471="SUPPORTED",AE471="HALLUCINATION"))</x:f>
        <x:v>0</x:v>
      </x:c>
      <x:c r="AH471" t="n">
        <x:f>--AND(AG471=1,AE471="HALLUCINATION")</x:f>
        <x:v>0</x:v>
      </x:c>
      <x:c r="AI471" t="n">
        <x:f>--AND(Q471=1,AF471=1,AE471="HALLUCINATION")</x:f>
        <x:v>0</x:v>
      </x:c>
      <x:c r="AJ471" t="n">
        <x:f>--AND(AI471=1,R471=1,S471=1)</x:f>
        <x:v>0</x:v>
      </x:c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  <x:c r="V472" s="28"/>
      <x:c r="W472" s="43" t="n">
        <x:f>--AND(N472=1,OR(O472="SUPPORTED",O472="HALLUCINATION"))</x:f>
        <x:v>0</x:v>
      </x:c>
      <x:c r="X472" s="43" t="n">
        <x:f>--AND(W472=1,O472="HALLUCINATION")</x:f>
        <x:v>0</x:v>
      </x:c>
      <x:c r="Y472" s="43" t="n">
        <x:f>--AND(Q472=1,O472="HALLUCINATION")</x:f>
        <x:v>0</x:v>
      </x:c>
      <x:c r="Z472" s="43" t="n">
        <x:f>--AND(Y472=1,R472=1,S472=1)</x:f>
        <x:v>0</x:v>
      </x:c>
      <x:c r="AC472" t="str">
        <x:f>IF(OR(AA472="",AB472=""),"",--(AA472&lt;&gt;AB472))</x:f>
      </x:c>
      <x:c r="AE472" t="str">
        <x:f>IF(OR(AA472="",AB472=""),"PENDING_HUMAN",IF(AA472=AB472,AA472,IF(AD472&lt;&gt;"",AD472,"PENDING_HUMAN")))</x:f>
        <x:v>PENDING_HUMAN</x:v>
      </x:c>
      <x:c r="AF472" t="n">
        <x:f>--AND(A472&lt;&gt;"",AA472&lt;&gt;"",AB472&lt;&gt;"",OR(AA472=AB472,AD472&lt;&gt;""),IF(AE472="HALLUCINATION",U472&lt;&gt;"",TRUE))</x:f>
        <x:v>0</x:v>
      </x:c>
      <x:c r="AG472" t="n">
        <x:f>--AND(N472=1,AF472=1,OR(AE472="SUPPORTED",AE472="HALLUCINATION"))</x:f>
        <x:v>0</x:v>
      </x:c>
      <x:c r="AH472" t="n">
        <x:f>--AND(AG472=1,AE472="HALLUCINATION")</x:f>
        <x:v>0</x:v>
      </x:c>
      <x:c r="AI472" t="n">
        <x:f>--AND(Q472=1,AF472=1,AE472="HALLUCINATION")</x:f>
        <x:v>0</x:v>
      </x:c>
      <x:c r="AJ472" t="n">
        <x:f>--AND(AI472=1,R472=1,S472=1)</x:f>
        <x:v>0</x:v>
      </x:c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  <x:c r="V473" s="28"/>
      <x:c r="W473" s="43" t="n">
        <x:f>--AND(N473=1,OR(O473="SUPPORTED",O473="HALLUCINATION"))</x:f>
        <x:v>0</x:v>
      </x:c>
      <x:c r="X473" s="43" t="n">
        <x:f>--AND(W473=1,O473="HALLUCINATION")</x:f>
        <x:v>0</x:v>
      </x:c>
      <x:c r="Y473" s="43" t="n">
        <x:f>--AND(Q473=1,O473="HALLUCINATION")</x:f>
        <x:v>0</x:v>
      </x:c>
      <x:c r="Z473" s="43" t="n">
        <x:f>--AND(Y473=1,R473=1,S473=1)</x:f>
        <x:v>0</x:v>
      </x:c>
      <x:c r="AC473" t="str">
        <x:f>IF(OR(AA473="",AB473=""),"",--(AA473&lt;&gt;AB473))</x:f>
      </x:c>
      <x:c r="AE473" t="str">
        <x:f>IF(OR(AA473="",AB473=""),"PENDING_HUMAN",IF(AA473=AB473,AA473,IF(AD473&lt;&gt;"",AD473,"PENDING_HUMAN")))</x:f>
        <x:v>PENDING_HUMAN</x:v>
      </x:c>
      <x:c r="AF473" t="n">
        <x:f>--AND(A473&lt;&gt;"",AA473&lt;&gt;"",AB473&lt;&gt;"",OR(AA473=AB473,AD473&lt;&gt;""),IF(AE473="HALLUCINATION",U473&lt;&gt;"",TRUE))</x:f>
        <x:v>0</x:v>
      </x:c>
      <x:c r="AG473" t="n">
        <x:f>--AND(N473=1,AF473=1,OR(AE473="SUPPORTED",AE473="HALLUCINATION"))</x:f>
        <x:v>0</x:v>
      </x:c>
      <x:c r="AH473" t="n">
        <x:f>--AND(AG473=1,AE473="HALLUCINATION")</x:f>
        <x:v>0</x:v>
      </x:c>
      <x:c r="AI473" t="n">
        <x:f>--AND(Q473=1,AF473=1,AE473="HALLUCINATION")</x:f>
        <x:v>0</x:v>
      </x:c>
      <x:c r="AJ473" t="n">
        <x:f>--AND(AI473=1,R473=1,S473=1)</x:f>
        <x:v>0</x:v>
      </x:c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  <x:c r="V474" s="28"/>
      <x:c r="W474" s="43" t="n">
        <x:f>--AND(N474=1,OR(O474="SUPPORTED",O474="HALLUCINATION"))</x:f>
        <x:v>0</x:v>
      </x:c>
      <x:c r="X474" s="43" t="n">
        <x:f>--AND(W474=1,O474="HALLUCINATION")</x:f>
        <x:v>0</x:v>
      </x:c>
      <x:c r="Y474" s="43" t="n">
        <x:f>--AND(Q474=1,O474="HALLUCINATION")</x:f>
        <x:v>0</x:v>
      </x:c>
      <x:c r="Z474" s="43" t="n">
        <x:f>--AND(Y474=1,R474=1,S474=1)</x:f>
        <x:v>0</x:v>
      </x:c>
      <x:c r="AC474" t="str">
        <x:f>IF(OR(AA474="",AB474=""),"",--(AA474&lt;&gt;AB474))</x:f>
      </x:c>
      <x:c r="AE474" t="str">
        <x:f>IF(OR(AA474="",AB474=""),"PENDING_HUMAN",IF(AA474=AB474,AA474,IF(AD474&lt;&gt;"",AD474,"PENDING_HUMAN")))</x:f>
        <x:v>PENDING_HUMAN</x:v>
      </x:c>
      <x:c r="AF474" t="n">
        <x:f>--AND(A474&lt;&gt;"",AA474&lt;&gt;"",AB474&lt;&gt;"",OR(AA474=AB474,AD474&lt;&gt;""),IF(AE474="HALLUCINATION",U474&lt;&gt;"",TRUE))</x:f>
        <x:v>0</x:v>
      </x:c>
      <x:c r="AG474" t="n">
        <x:f>--AND(N474=1,AF474=1,OR(AE474="SUPPORTED",AE474="HALLUCINATION"))</x:f>
        <x:v>0</x:v>
      </x:c>
      <x:c r="AH474" t="n">
        <x:f>--AND(AG474=1,AE474="HALLUCINATION")</x:f>
        <x:v>0</x:v>
      </x:c>
      <x:c r="AI474" t="n">
        <x:f>--AND(Q474=1,AF474=1,AE474="HALLUCINATION")</x:f>
        <x:v>0</x:v>
      </x:c>
      <x:c r="AJ474" t="n">
        <x:f>--AND(AI474=1,R474=1,S474=1)</x:f>
        <x:v>0</x:v>
      </x:c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  <x:c r="V475" s="28"/>
      <x:c r="W475" s="43" t="n">
        <x:f>--AND(N475=1,OR(O475="SUPPORTED",O475="HALLUCINATION"))</x:f>
        <x:v>0</x:v>
      </x:c>
      <x:c r="X475" s="43" t="n">
        <x:f>--AND(W475=1,O475="HALLUCINATION")</x:f>
        <x:v>0</x:v>
      </x:c>
      <x:c r="Y475" s="43" t="n">
        <x:f>--AND(Q475=1,O475="HALLUCINATION")</x:f>
        <x:v>0</x:v>
      </x:c>
      <x:c r="Z475" s="43" t="n">
        <x:f>--AND(Y475=1,R475=1,S475=1)</x:f>
        <x:v>0</x:v>
      </x:c>
      <x:c r="AC475" t="str">
        <x:f>IF(OR(AA475="",AB475=""),"",--(AA475&lt;&gt;AB475))</x:f>
      </x:c>
      <x:c r="AE475" t="str">
        <x:f>IF(OR(AA475="",AB475=""),"PENDING_HUMAN",IF(AA475=AB475,AA475,IF(AD475&lt;&gt;"",AD475,"PENDING_HUMAN")))</x:f>
        <x:v>PENDING_HUMAN</x:v>
      </x:c>
      <x:c r="AF475" t="n">
        <x:f>--AND(A475&lt;&gt;"",AA475&lt;&gt;"",AB475&lt;&gt;"",OR(AA475=AB475,AD475&lt;&gt;""),IF(AE475="HALLUCINATION",U475&lt;&gt;"",TRUE))</x:f>
        <x:v>0</x:v>
      </x:c>
      <x:c r="AG475" t="n">
        <x:f>--AND(N475=1,AF475=1,OR(AE475="SUPPORTED",AE475="HALLUCINATION"))</x:f>
        <x:v>0</x:v>
      </x:c>
      <x:c r="AH475" t="n">
        <x:f>--AND(AG475=1,AE475="HALLUCINATION")</x:f>
        <x:v>0</x:v>
      </x:c>
      <x:c r="AI475" t="n">
        <x:f>--AND(Q475=1,AF475=1,AE475="HALLUCINATION")</x:f>
        <x:v>0</x:v>
      </x:c>
      <x:c r="AJ475" t="n">
        <x:f>--AND(AI475=1,R475=1,S475=1)</x:f>
        <x:v>0</x:v>
      </x:c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  <x:c r="V476" s="28"/>
      <x:c r="W476" s="43" t="n">
        <x:f>--AND(N476=1,OR(O476="SUPPORTED",O476="HALLUCINATION"))</x:f>
        <x:v>0</x:v>
      </x:c>
      <x:c r="X476" s="43" t="n">
        <x:f>--AND(W476=1,O476="HALLUCINATION")</x:f>
        <x:v>0</x:v>
      </x:c>
      <x:c r="Y476" s="43" t="n">
        <x:f>--AND(Q476=1,O476="HALLUCINATION")</x:f>
        <x:v>0</x:v>
      </x:c>
      <x:c r="Z476" s="43" t="n">
        <x:f>--AND(Y476=1,R476=1,S476=1)</x:f>
        <x:v>0</x:v>
      </x:c>
      <x:c r="AC476" t="str">
        <x:f>IF(OR(AA476="",AB476=""),"",--(AA476&lt;&gt;AB476))</x:f>
      </x:c>
      <x:c r="AE476" t="str">
        <x:f>IF(OR(AA476="",AB476=""),"PENDING_HUMAN",IF(AA476=AB476,AA476,IF(AD476&lt;&gt;"",AD476,"PENDING_HUMAN")))</x:f>
        <x:v>PENDING_HUMAN</x:v>
      </x:c>
      <x:c r="AF476" t="n">
        <x:f>--AND(A476&lt;&gt;"",AA476&lt;&gt;"",AB476&lt;&gt;"",OR(AA476=AB476,AD476&lt;&gt;""),IF(AE476="HALLUCINATION",U476&lt;&gt;"",TRUE))</x:f>
        <x:v>0</x:v>
      </x:c>
      <x:c r="AG476" t="n">
        <x:f>--AND(N476=1,AF476=1,OR(AE476="SUPPORTED",AE476="HALLUCINATION"))</x:f>
        <x:v>0</x:v>
      </x:c>
      <x:c r="AH476" t="n">
        <x:f>--AND(AG476=1,AE476="HALLUCINATION")</x:f>
        <x:v>0</x:v>
      </x:c>
      <x:c r="AI476" t="n">
        <x:f>--AND(Q476=1,AF476=1,AE476="HALLUCINATION")</x:f>
        <x:v>0</x:v>
      </x:c>
      <x:c r="AJ476" t="n">
        <x:f>--AND(AI476=1,R476=1,S476=1)</x:f>
        <x:v>0</x:v>
      </x:c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  <x:c r="V477" s="28"/>
      <x:c r="W477" s="43" t="n">
        <x:f>--AND(N477=1,OR(O477="SUPPORTED",O477="HALLUCINATION"))</x:f>
        <x:v>0</x:v>
      </x:c>
      <x:c r="X477" s="43" t="n">
        <x:f>--AND(W477=1,O477="HALLUCINATION")</x:f>
        <x:v>0</x:v>
      </x:c>
      <x:c r="Y477" s="43" t="n">
        <x:f>--AND(Q477=1,O477="HALLUCINATION")</x:f>
        <x:v>0</x:v>
      </x:c>
      <x:c r="Z477" s="43" t="n">
        <x:f>--AND(Y477=1,R477=1,S477=1)</x:f>
        <x:v>0</x:v>
      </x:c>
      <x:c r="AC477" t="str">
        <x:f>IF(OR(AA477="",AB477=""),"",--(AA477&lt;&gt;AB477))</x:f>
      </x:c>
      <x:c r="AE477" t="str">
        <x:f>IF(OR(AA477="",AB477=""),"PENDING_HUMAN",IF(AA477=AB477,AA477,IF(AD477&lt;&gt;"",AD477,"PENDING_HUMAN")))</x:f>
        <x:v>PENDING_HUMAN</x:v>
      </x:c>
      <x:c r="AF477" t="n">
        <x:f>--AND(A477&lt;&gt;"",AA477&lt;&gt;"",AB477&lt;&gt;"",OR(AA477=AB477,AD477&lt;&gt;""),IF(AE477="HALLUCINATION",U477&lt;&gt;"",TRUE))</x:f>
        <x:v>0</x:v>
      </x:c>
      <x:c r="AG477" t="n">
        <x:f>--AND(N477=1,AF477=1,OR(AE477="SUPPORTED",AE477="HALLUCINATION"))</x:f>
        <x:v>0</x:v>
      </x:c>
      <x:c r="AH477" t="n">
        <x:f>--AND(AG477=1,AE477="HALLUCINATION")</x:f>
        <x:v>0</x:v>
      </x:c>
      <x:c r="AI477" t="n">
        <x:f>--AND(Q477=1,AF477=1,AE477="HALLUCINATION")</x:f>
        <x:v>0</x:v>
      </x:c>
      <x:c r="AJ477" t="n">
        <x:f>--AND(AI477=1,R477=1,S477=1)</x:f>
        <x:v>0</x:v>
      </x:c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  <x:c r="V478" s="28"/>
      <x:c r="W478" s="43" t="n">
        <x:f>--AND(N478=1,OR(O478="SUPPORTED",O478="HALLUCINATION"))</x:f>
        <x:v>0</x:v>
      </x:c>
      <x:c r="X478" s="43" t="n">
        <x:f>--AND(W478=1,O478="HALLUCINATION")</x:f>
        <x:v>0</x:v>
      </x:c>
      <x:c r="Y478" s="43" t="n">
        <x:f>--AND(Q478=1,O478="HALLUCINATION")</x:f>
        <x:v>0</x:v>
      </x:c>
      <x:c r="Z478" s="43" t="n">
        <x:f>--AND(Y478=1,R478=1,S478=1)</x:f>
        <x:v>0</x:v>
      </x:c>
      <x:c r="AC478" t="str">
        <x:f>IF(OR(AA478="",AB478=""),"",--(AA478&lt;&gt;AB478))</x:f>
      </x:c>
      <x:c r="AE478" t="str">
        <x:f>IF(OR(AA478="",AB478=""),"PENDING_HUMAN",IF(AA478=AB478,AA478,IF(AD478&lt;&gt;"",AD478,"PENDING_HUMAN")))</x:f>
        <x:v>PENDING_HUMAN</x:v>
      </x:c>
      <x:c r="AF478" t="n">
        <x:f>--AND(A478&lt;&gt;"",AA478&lt;&gt;"",AB478&lt;&gt;"",OR(AA478=AB478,AD478&lt;&gt;""),IF(AE478="HALLUCINATION",U478&lt;&gt;"",TRUE))</x:f>
        <x:v>0</x:v>
      </x:c>
      <x:c r="AG478" t="n">
        <x:f>--AND(N478=1,AF478=1,OR(AE478="SUPPORTED",AE478="HALLUCINATION"))</x:f>
        <x:v>0</x:v>
      </x:c>
      <x:c r="AH478" t="n">
        <x:f>--AND(AG478=1,AE478="HALLUCINATION")</x:f>
        <x:v>0</x:v>
      </x:c>
      <x:c r="AI478" t="n">
        <x:f>--AND(Q478=1,AF478=1,AE478="HALLUCINATION")</x:f>
        <x:v>0</x:v>
      </x:c>
      <x:c r="AJ478" t="n">
        <x:f>--AND(AI478=1,R478=1,S478=1)</x:f>
        <x:v>0</x:v>
      </x:c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  <x:c r="V479" s="28"/>
      <x:c r="W479" s="43" t="n">
        <x:f>--AND(N479=1,OR(O479="SUPPORTED",O479="HALLUCINATION"))</x:f>
        <x:v>0</x:v>
      </x:c>
      <x:c r="X479" s="43" t="n">
        <x:f>--AND(W479=1,O479="HALLUCINATION")</x:f>
        <x:v>0</x:v>
      </x:c>
      <x:c r="Y479" s="43" t="n">
        <x:f>--AND(Q479=1,O479="HALLUCINATION")</x:f>
        <x:v>0</x:v>
      </x:c>
      <x:c r="Z479" s="43" t="n">
        <x:f>--AND(Y479=1,R479=1,S479=1)</x:f>
        <x:v>0</x:v>
      </x:c>
      <x:c r="AC479" t="str">
        <x:f>IF(OR(AA479="",AB479=""),"",--(AA479&lt;&gt;AB479))</x:f>
      </x:c>
      <x:c r="AE479" t="str">
        <x:f>IF(OR(AA479="",AB479=""),"PENDING_HUMAN",IF(AA479=AB479,AA479,IF(AD479&lt;&gt;"",AD479,"PENDING_HUMAN")))</x:f>
        <x:v>PENDING_HUMAN</x:v>
      </x:c>
      <x:c r="AF479" t="n">
        <x:f>--AND(A479&lt;&gt;"",AA479&lt;&gt;"",AB479&lt;&gt;"",OR(AA479=AB479,AD479&lt;&gt;""),IF(AE479="HALLUCINATION",U479&lt;&gt;"",TRUE))</x:f>
        <x:v>0</x:v>
      </x:c>
      <x:c r="AG479" t="n">
        <x:f>--AND(N479=1,AF479=1,OR(AE479="SUPPORTED",AE479="HALLUCINATION"))</x:f>
        <x:v>0</x:v>
      </x:c>
      <x:c r="AH479" t="n">
        <x:f>--AND(AG479=1,AE479="HALLUCINATION")</x:f>
        <x:v>0</x:v>
      </x:c>
      <x:c r="AI479" t="n">
        <x:f>--AND(Q479=1,AF479=1,AE479="HALLUCINATION")</x:f>
        <x:v>0</x:v>
      </x:c>
      <x:c r="AJ479" t="n">
        <x:f>--AND(AI479=1,R479=1,S479=1)</x:f>
        <x:v>0</x:v>
      </x:c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  <x:c r="V480" s="28"/>
      <x:c r="W480" s="43" t="n">
        <x:f>--AND(N480=1,OR(O480="SUPPORTED",O480="HALLUCINATION"))</x:f>
        <x:v>0</x:v>
      </x:c>
      <x:c r="X480" s="43" t="n">
        <x:f>--AND(W480=1,O480="HALLUCINATION")</x:f>
        <x:v>0</x:v>
      </x:c>
      <x:c r="Y480" s="43" t="n">
        <x:f>--AND(Q480=1,O480="HALLUCINATION")</x:f>
        <x:v>0</x:v>
      </x:c>
      <x:c r="Z480" s="43" t="n">
        <x:f>--AND(Y480=1,R480=1,S480=1)</x:f>
        <x:v>0</x:v>
      </x:c>
      <x:c r="AC480" t="str">
        <x:f>IF(OR(AA480="",AB480=""),"",--(AA480&lt;&gt;AB480))</x:f>
      </x:c>
      <x:c r="AE480" t="str">
        <x:f>IF(OR(AA480="",AB480=""),"PENDING_HUMAN",IF(AA480=AB480,AA480,IF(AD480&lt;&gt;"",AD480,"PENDING_HUMAN")))</x:f>
        <x:v>PENDING_HUMAN</x:v>
      </x:c>
      <x:c r="AF480" t="n">
        <x:f>--AND(A480&lt;&gt;"",AA480&lt;&gt;"",AB480&lt;&gt;"",OR(AA480=AB480,AD480&lt;&gt;""),IF(AE480="HALLUCINATION",U480&lt;&gt;"",TRUE))</x:f>
        <x:v>0</x:v>
      </x:c>
      <x:c r="AG480" t="n">
        <x:f>--AND(N480=1,AF480=1,OR(AE480="SUPPORTED",AE480="HALLUCINATION"))</x:f>
        <x:v>0</x:v>
      </x:c>
      <x:c r="AH480" t="n">
        <x:f>--AND(AG480=1,AE480="HALLUCINATION")</x:f>
        <x:v>0</x:v>
      </x:c>
      <x:c r="AI480" t="n">
        <x:f>--AND(Q480=1,AF480=1,AE480="HALLUCINATION")</x:f>
        <x:v>0</x:v>
      </x:c>
      <x:c r="AJ480" t="n">
        <x:f>--AND(AI480=1,R480=1,S480=1)</x:f>
        <x:v>0</x:v>
      </x:c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  <x:c r="V481" s="28"/>
      <x:c r="W481" s="43" t="n">
        <x:f>--AND(N481=1,OR(O481="SUPPORTED",O481="HALLUCINATION"))</x:f>
        <x:v>0</x:v>
      </x:c>
      <x:c r="X481" s="43" t="n">
        <x:f>--AND(W481=1,O481="HALLUCINATION")</x:f>
        <x:v>0</x:v>
      </x:c>
      <x:c r="Y481" s="43" t="n">
        <x:f>--AND(Q481=1,O481="HALLUCINATION")</x:f>
        <x:v>0</x:v>
      </x:c>
      <x:c r="Z481" s="43" t="n">
        <x:f>--AND(Y481=1,R481=1,S481=1)</x:f>
        <x:v>0</x:v>
      </x:c>
      <x:c r="AC481" t="str">
        <x:f>IF(OR(AA481="",AB481=""),"",--(AA481&lt;&gt;AB481))</x:f>
      </x:c>
      <x:c r="AE481" t="str">
        <x:f>IF(OR(AA481="",AB481=""),"PENDING_HUMAN",IF(AA481=AB481,AA481,IF(AD481&lt;&gt;"",AD481,"PENDING_HUMAN")))</x:f>
        <x:v>PENDING_HUMAN</x:v>
      </x:c>
      <x:c r="AF481" t="n">
        <x:f>--AND(A481&lt;&gt;"",AA481&lt;&gt;"",AB481&lt;&gt;"",OR(AA481=AB481,AD481&lt;&gt;""),IF(AE481="HALLUCINATION",U481&lt;&gt;"",TRUE))</x:f>
        <x:v>0</x:v>
      </x:c>
      <x:c r="AG481" t="n">
        <x:f>--AND(N481=1,AF481=1,OR(AE481="SUPPORTED",AE481="HALLUCINATION"))</x:f>
        <x:v>0</x:v>
      </x:c>
      <x:c r="AH481" t="n">
        <x:f>--AND(AG481=1,AE481="HALLUCINATION")</x:f>
        <x:v>0</x:v>
      </x:c>
      <x:c r="AI481" t="n">
        <x:f>--AND(Q481=1,AF481=1,AE481="HALLUCINATION")</x:f>
        <x:v>0</x:v>
      </x:c>
      <x:c r="AJ481" t="n">
        <x:f>--AND(AI481=1,R481=1,S481=1)</x:f>
        <x:v>0</x:v>
      </x:c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  <x:c r="V482" s="28"/>
      <x:c r="W482" s="43" t="n">
        <x:f>--AND(N482=1,OR(O482="SUPPORTED",O482="HALLUCINATION"))</x:f>
        <x:v>0</x:v>
      </x:c>
      <x:c r="X482" s="43" t="n">
        <x:f>--AND(W482=1,O482="HALLUCINATION")</x:f>
        <x:v>0</x:v>
      </x:c>
      <x:c r="Y482" s="43" t="n">
        <x:f>--AND(Q482=1,O482="HALLUCINATION")</x:f>
        <x:v>0</x:v>
      </x:c>
      <x:c r="Z482" s="43" t="n">
        <x:f>--AND(Y482=1,R482=1,S482=1)</x:f>
        <x:v>0</x:v>
      </x:c>
      <x:c r="AC482" t="str">
        <x:f>IF(OR(AA482="",AB482=""),"",--(AA482&lt;&gt;AB482))</x:f>
      </x:c>
      <x:c r="AE482" t="str">
        <x:f>IF(OR(AA482="",AB482=""),"PENDING_HUMAN",IF(AA482=AB482,AA482,IF(AD482&lt;&gt;"",AD482,"PENDING_HUMAN")))</x:f>
        <x:v>PENDING_HUMAN</x:v>
      </x:c>
      <x:c r="AF482" t="n">
        <x:f>--AND(A482&lt;&gt;"",AA482&lt;&gt;"",AB482&lt;&gt;"",OR(AA482=AB482,AD482&lt;&gt;""),IF(AE482="HALLUCINATION",U482&lt;&gt;"",TRUE))</x:f>
        <x:v>0</x:v>
      </x:c>
      <x:c r="AG482" t="n">
        <x:f>--AND(N482=1,AF482=1,OR(AE482="SUPPORTED",AE482="HALLUCINATION"))</x:f>
        <x:v>0</x:v>
      </x:c>
      <x:c r="AH482" t="n">
        <x:f>--AND(AG482=1,AE482="HALLUCINATION")</x:f>
        <x:v>0</x:v>
      </x:c>
      <x:c r="AI482" t="n">
        <x:f>--AND(Q482=1,AF482=1,AE482="HALLUCINATION")</x:f>
        <x:v>0</x:v>
      </x:c>
      <x:c r="AJ482" t="n">
        <x:f>--AND(AI482=1,R482=1,S482=1)</x:f>
        <x:v>0</x:v>
      </x:c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  <x:c r="V483" s="28"/>
      <x:c r="W483" s="43" t="n">
        <x:f>--AND(N483=1,OR(O483="SUPPORTED",O483="HALLUCINATION"))</x:f>
        <x:v>0</x:v>
      </x:c>
      <x:c r="X483" s="43" t="n">
        <x:f>--AND(W483=1,O483="HALLUCINATION")</x:f>
        <x:v>0</x:v>
      </x:c>
      <x:c r="Y483" s="43" t="n">
        <x:f>--AND(Q483=1,O483="HALLUCINATION")</x:f>
        <x:v>0</x:v>
      </x:c>
      <x:c r="Z483" s="43" t="n">
        <x:f>--AND(Y483=1,R483=1,S483=1)</x:f>
        <x:v>0</x:v>
      </x:c>
      <x:c r="AC483" t="str">
        <x:f>IF(OR(AA483="",AB483=""),"",--(AA483&lt;&gt;AB483))</x:f>
      </x:c>
      <x:c r="AE483" t="str">
        <x:f>IF(OR(AA483="",AB483=""),"PENDING_HUMAN",IF(AA483=AB483,AA483,IF(AD483&lt;&gt;"",AD483,"PENDING_HUMAN")))</x:f>
        <x:v>PENDING_HUMAN</x:v>
      </x:c>
      <x:c r="AF483" t="n">
        <x:f>--AND(A483&lt;&gt;"",AA483&lt;&gt;"",AB483&lt;&gt;"",OR(AA483=AB483,AD483&lt;&gt;""),IF(AE483="HALLUCINATION",U483&lt;&gt;"",TRUE))</x:f>
        <x:v>0</x:v>
      </x:c>
      <x:c r="AG483" t="n">
        <x:f>--AND(N483=1,AF483=1,OR(AE483="SUPPORTED",AE483="HALLUCINATION"))</x:f>
        <x:v>0</x:v>
      </x:c>
      <x:c r="AH483" t="n">
        <x:f>--AND(AG483=1,AE483="HALLUCINATION")</x:f>
        <x:v>0</x:v>
      </x:c>
      <x:c r="AI483" t="n">
        <x:f>--AND(Q483=1,AF483=1,AE483="HALLUCINATION")</x:f>
        <x:v>0</x:v>
      </x:c>
      <x:c r="AJ483" t="n">
        <x:f>--AND(AI483=1,R483=1,S483=1)</x:f>
        <x:v>0</x:v>
      </x:c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  <x:c r="V484" s="28"/>
      <x:c r="W484" s="43" t="n">
        <x:f>--AND(N484=1,OR(O484="SUPPORTED",O484="HALLUCINATION"))</x:f>
        <x:v>0</x:v>
      </x:c>
      <x:c r="X484" s="43" t="n">
        <x:f>--AND(W484=1,O484="HALLUCINATION")</x:f>
        <x:v>0</x:v>
      </x:c>
      <x:c r="Y484" s="43" t="n">
        <x:f>--AND(Q484=1,O484="HALLUCINATION")</x:f>
        <x:v>0</x:v>
      </x:c>
      <x:c r="Z484" s="43" t="n">
        <x:f>--AND(Y484=1,R484=1,S484=1)</x:f>
        <x:v>0</x:v>
      </x:c>
      <x:c r="AC484" t="str">
        <x:f>IF(OR(AA484="",AB484=""),"",--(AA484&lt;&gt;AB484))</x:f>
      </x:c>
      <x:c r="AE484" t="str">
        <x:f>IF(OR(AA484="",AB484=""),"PENDING_HUMAN",IF(AA484=AB484,AA484,IF(AD484&lt;&gt;"",AD484,"PENDING_HUMAN")))</x:f>
        <x:v>PENDING_HUMAN</x:v>
      </x:c>
      <x:c r="AF484" t="n">
        <x:f>--AND(A484&lt;&gt;"",AA484&lt;&gt;"",AB484&lt;&gt;"",OR(AA484=AB484,AD484&lt;&gt;""),IF(AE484="HALLUCINATION",U484&lt;&gt;"",TRUE))</x:f>
        <x:v>0</x:v>
      </x:c>
      <x:c r="AG484" t="n">
        <x:f>--AND(N484=1,AF484=1,OR(AE484="SUPPORTED",AE484="HALLUCINATION"))</x:f>
        <x:v>0</x:v>
      </x:c>
      <x:c r="AH484" t="n">
        <x:f>--AND(AG484=1,AE484="HALLUCINATION")</x:f>
        <x:v>0</x:v>
      </x:c>
      <x:c r="AI484" t="n">
        <x:f>--AND(Q484=1,AF484=1,AE484="HALLUCINATION")</x:f>
        <x:v>0</x:v>
      </x:c>
      <x:c r="AJ484" t="n">
        <x:f>--AND(AI484=1,R484=1,S484=1)</x:f>
        <x:v>0</x:v>
      </x:c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  <x:c r="V485" s="28"/>
      <x:c r="W485" s="43" t="n">
        <x:f>--AND(N485=1,OR(O485="SUPPORTED",O485="HALLUCINATION"))</x:f>
        <x:v>0</x:v>
      </x:c>
      <x:c r="X485" s="43" t="n">
        <x:f>--AND(W485=1,O485="HALLUCINATION")</x:f>
        <x:v>0</x:v>
      </x:c>
      <x:c r="Y485" s="43" t="n">
        <x:f>--AND(Q485=1,O485="HALLUCINATION")</x:f>
        <x:v>0</x:v>
      </x:c>
      <x:c r="Z485" s="43" t="n">
        <x:f>--AND(Y485=1,R485=1,S485=1)</x:f>
        <x:v>0</x:v>
      </x:c>
      <x:c r="AC485" t="str">
        <x:f>IF(OR(AA485="",AB485=""),"",--(AA485&lt;&gt;AB485))</x:f>
      </x:c>
      <x:c r="AE485" t="str">
        <x:f>IF(OR(AA485="",AB485=""),"PENDING_HUMAN",IF(AA485=AB485,AA485,IF(AD485&lt;&gt;"",AD485,"PENDING_HUMAN")))</x:f>
        <x:v>PENDING_HUMAN</x:v>
      </x:c>
      <x:c r="AF485" t="n">
        <x:f>--AND(A485&lt;&gt;"",AA485&lt;&gt;"",AB485&lt;&gt;"",OR(AA485=AB485,AD485&lt;&gt;""),IF(AE485="HALLUCINATION",U485&lt;&gt;"",TRUE))</x:f>
        <x:v>0</x:v>
      </x:c>
      <x:c r="AG485" t="n">
        <x:f>--AND(N485=1,AF485=1,OR(AE485="SUPPORTED",AE485="HALLUCINATION"))</x:f>
        <x:v>0</x:v>
      </x:c>
      <x:c r="AH485" t="n">
        <x:f>--AND(AG485=1,AE485="HALLUCINATION")</x:f>
        <x:v>0</x:v>
      </x:c>
      <x:c r="AI485" t="n">
        <x:f>--AND(Q485=1,AF485=1,AE485="HALLUCINATION")</x:f>
        <x:v>0</x:v>
      </x:c>
      <x:c r="AJ485" t="n">
        <x:f>--AND(AI485=1,R485=1,S485=1)</x:f>
        <x:v>0</x:v>
      </x:c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  <x:c r="V486" s="28"/>
      <x:c r="W486" s="43" t="n">
        <x:f>--AND(N486=1,OR(O486="SUPPORTED",O486="HALLUCINATION"))</x:f>
        <x:v>0</x:v>
      </x:c>
      <x:c r="X486" s="43" t="n">
        <x:f>--AND(W486=1,O486="HALLUCINATION")</x:f>
        <x:v>0</x:v>
      </x:c>
      <x:c r="Y486" s="43" t="n">
        <x:f>--AND(Q486=1,O486="HALLUCINATION")</x:f>
        <x:v>0</x:v>
      </x:c>
      <x:c r="Z486" s="43" t="n">
        <x:f>--AND(Y486=1,R486=1,S486=1)</x:f>
        <x:v>0</x:v>
      </x:c>
      <x:c r="AC486" t="str">
        <x:f>IF(OR(AA486="",AB486=""),"",--(AA486&lt;&gt;AB486))</x:f>
      </x:c>
      <x:c r="AE486" t="str">
        <x:f>IF(OR(AA486="",AB486=""),"PENDING_HUMAN",IF(AA486=AB486,AA486,IF(AD486&lt;&gt;"",AD486,"PENDING_HUMAN")))</x:f>
        <x:v>PENDING_HUMAN</x:v>
      </x:c>
      <x:c r="AF486" t="n">
        <x:f>--AND(A486&lt;&gt;"",AA486&lt;&gt;"",AB486&lt;&gt;"",OR(AA486=AB486,AD486&lt;&gt;""),IF(AE486="HALLUCINATION",U486&lt;&gt;"",TRUE))</x:f>
        <x:v>0</x:v>
      </x:c>
      <x:c r="AG486" t="n">
        <x:f>--AND(N486=1,AF486=1,OR(AE486="SUPPORTED",AE486="HALLUCINATION"))</x:f>
        <x:v>0</x:v>
      </x:c>
      <x:c r="AH486" t="n">
        <x:f>--AND(AG486=1,AE486="HALLUCINATION")</x:f>
        <x:v>0</x:v>
      </x:c>
      <x:c r="AI486" t="n">
        <x:f>--AND(Q486=1,AF486=1,AE486="HALLUCINATION")</x:f>
        <x:v>0</x:v>
      </x:c>
      <x:c r="AJ486" t="n">
        <x:f>--AND(AI486=1,R486=1,S486=1)</x:f>
        <x:v>0</x:v>
      </x:c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  <x:c r="V487" s="28"/>
      <x:c r="W487" s="43" t="n">
        <x:f>--AND(N487=1,OR(O487="SUPPORTED",O487="HALLUCINATION"))</x:f>
        <x:v>0</x:v>
      </x:c>
      <x:c r="X487" s="43" t="n">
        <x:f>--AND(W487=1,O487="HALLUCINATION")</x:f>
        <x:v>0</x:v>
      </x:c>
      <x:c r="Y487" s="43" t="n">
        <x:f>--AND(Q487=1,O487="HALLUCINATION")</x:f>
        <x:v>0</x:v>
      </x:c>
      <x:c r="Z487" s="43" t="n">
        <x:f>--AND(Y487=1,R487=1,S487=1)</x:f>
        <x:v>0</x:v>
      </x:c>
      <x:c r="AC487" t="str">
        <x:f>IF(OR(AA487="",AB487=""),"",--(AA487&lt;&gt;AB487))</x:f>
      </x:c>
      <x:c r="AE487" t="str">
        <x:f>IF(OR(AA487="",AB487=""),"PENDING_HUMAN",IF(AA487=AB487,AA487,IF(AD487&lt;&gt;"",AD487,"PENDING_HUMAN")))</x:f>
        <x:v>PENDING_HUMAN</x:v>
      </x:c>
      <x:c r="AF487" t="n">
        <x:f>--AND(A487&lt;&gt;"",AA487&lt;&gt;"",AB487&lt;&gt;"",OR(AA487=AB487,AD487&lt;&gt;""),IF(AE487="HALLUCINATION",U487&lt;&gt;"",TRUE))</x:f>
        <x:v>0</x:v>
      </x:c>
      <x:c r="AG487" t="n">
        <x:f>--AND(N487=1,AF487=1,OR(AE487="SUPPORTED",AE487="HALLUCINATION"))</x:f>
        <x:v>0</x:v>
      </x:c>
      <x:c r="AH487" t="n">
        <x:f>--AND(AG487=1,AE487="HALLUCINATION")</x:f>
        <x:v>0</x:v>
      </x:c>
      <x:c r="AI487" t="n">
        <x:f>--AND(Q487=1,AF487=1,AE487="HALLUCINATION")</x:f>
        <x:v>0</x:v>
      </x:c>
      <x:c r="AJ487" t="n">
        <x:f>--AND(AI487=1,R487=1,S487=1)</x:f>
        <x:v>0</x:v>
      </x:c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  <x:c r="V488" s="28"/>
      <x:c r="W488" s="43" t="n">
        <x:f>--AND(N488=1,OR(O488="SUPPORTED",O488="HALLUCINATION"))</x:f>
        <x:v>0</x:v>
      </x:c>
      <x:c r="X488" s="43" t="n">
        <x:f>--AND(W488=1,O488="HALLUCINATION")</x:f>
        <x:v>0</x:v>
      </x:c>
      <x:c r="Y488" s="43" t="n">
        <x:f>--AND(Q488=1,O488="HALLUCINATION")</x:f>
        <x:v>0</x:v>
      </x:c>
      <x:c r="Z488" s="43" t="n">
        <x:f>--AND(Y488=1,R488=1,S488=1)</x:f>
        <x:v>0</x:v>
      </x:c>
      <x:c r="AC488" t="str">
        <x:f>IF(OR(AA488="",AB488=""),"",--(AA488&lt;&gt;AB488))</x:f>
      </x:c>
      <x:c r="AE488" t="str">
        <x:f>IF(OR(AA488="",AB488=""),"PENDING_HUMAN",IF(AA488=AB488,AA488,IF(AD488&lt;&gt;"",AD488,"PENDING_HUMAN")))</x:f>
        <x:v>PENDING_HUMAN</x:v>
      </x:c>
      <x:c r="AF488" t="n">
        <x:f>--AND(A488&lt;&gt;"",AA488&lt;&gt;"",AB488&lt;&gt;"",OR(AA488=AB488,AD488&lt;&gt;""),IF(AE488="HALLUCINATION",U488&lt;&gt;"",TRUE))</x:f>
        <x:v>0</x:v>
      </x:c>
      <x:c r="AG488" t="n">
        <x:f>--AND(N488=1,AF488=1,OR(AE488="SUPPORTED",AE488="HALLUCINATION"))</x:f>
        <x:v>0</x:v>
      </x:c>
      <x:c r="AH488" t="n">
        <x:f>--AND(AG488=1,AE488="HALLUCINATION")</x:f>
        <x:v>0</x:v>
      </x:c>
      <x:c r="AI488" t="n">
        <x:f>--AND(Q488=1,AF488=1,AE488="HALLUCINATION")</x:f>
        <x:v>0</x:v>
      </x:c>
      <x:c r="AJ488" t="n">
        <x:f>--AND(AI488=1,R488=1,S488=1)</x:f>
        <x:v>0</x:v>
      </x:c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  <x:c r="V489" s="28"/>
      <x:c r="W489" s="43" t="n">
        <x:f>--AND(N489=1,OR(O489="SUPPORTED",O489="HALLUCINATION"))</x:f>
        <x:v>0</x:v>
      </x:c>
      <x:c r="X489" s="43" t="n">
        <x:f>--AND(W489=1,O489="HALLUCINATION")</x:f>
        <x:v>0</x:v>
      </x:c>
      <x:c r="Y489" s="43" t="n">
        <x:f>--AND(Q489=1,O489="HALLUCINATION")</x:f>
        <x:v>0</x:v>
      </x:c>
      <x:c r="Z489" s="43" t="n">
        <x:f>--AND(Y489=1,R489=1,S489=1)</x:f>
        <x:v>0</x:v>
      </x:c>
      <x:c r="AC489" t="str">
        <x:f>IF(OR(AA489="",AB489=""),"",--(AA489&lt;&gt;AB489))</x:f>
      </x:c>
      <x:c r="AE489" t="str">
        <x:f>IF(OR(AA489="",AB489=""),"PENDING_HUMAN",IF(AA489=AB489,AA489,IF(AD489&lt;&gt;"",AD489,"PENDING_HUMAN")))</x:f>
        <x:v>PENDING_HUMAN</x:v>
      </x:c>
      <x:c r="AF489" t="n">
        <x:f>--AND(A489&lt;&gt;"",AA489&lt;&gt;"",AB489&lt;&gt;"",OR(AA489=AB489,AD489&lt;&gt;""),IF(AE489="HALLUCINATION",U489&lt;&gt;"",TRUE))</x:f>
        <x:v>0</x:v>
      </x:c>
      <x:c r="AG489" t="n">
        <x:f>--AND(N489=1,AF489=1,OR(AE489="SUPPORTED",AE489="HALLUCINATION"))</x:f>
        <x:v>0</x:v>
      </x:c>
      <x:c r="AH489" t="n">
        <x:f>--AND(AG489=1,AE489="HALLUCINATION")</x:f>
        <x:v>0</x:v>
      </x:c>
      <x:c r="AI489" t="n">
        <x:f>--AND(Q489=1,AF489=1,AE489="HALLUCINATION")</x:f>
        <x:v>0</x:v>
      </x:c>
      <x:c r="AJ489" t="n">
        <x:f>--AND(AI489=1,R489=1,S489=1)</x:f>
        <x:v>0</x:v>
      </x:c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  <x:c r="V490" s="28"/>
      <x:c r="W490" s="43" t="n">
        <x:f>--AND(N490=1,OR(O490="SUPPORTED",O490="HALLUCINATION"))</x:f>
        <x:v>0</x:v>
      </x:c>
      <x:c r="X490" s="43" t="n">
        <x:f>--AND(W490=1,O490="HALLUCINATION")</x:f>
        <x:v>0</x:v>
      </x:c>
      <x:c r="Y490" s="43" t="n">
        <x:f>--AND(Q490=1,O490="HALLUCINATION")</x:f>
        <x:v>0</x:v>
      </x:c>
      <x:c r="Z490" s="43" t="n">
        <x:f>--AND(Y490=1,R490=1,S490=1)</x:f>
        <x:v>0</x:v>
      </x:c>
      <x:c r="AC490" t="str">
        <x:f>IF(OR(AA490="",AB490=""),"",--(AA490&lt;&gt;AB490))</x:f>
      </x:c>
      <x:c r="AE490" t="str">
        <x:f>IF(OR(AA490="",AB490=""),"PENDING_HUMAN",IF(AA490=AB490,AA490,IF(AD490&lt;&gt;"",AD490,"PENDING_HUMAN")))</x:f>
        <x:v>PENDING_HUMAN</x:v>
      </x:c>
      <x:c r="AF490" t="n">
        <x:f>--AND(A490&lt;&gt;"",AA490&lt;&gt;"",AB490&lt;&gt;"",OR(AA490=AB490,AD490&lt;&gt;""),IF(AE490="HALLUCINATION",U490&lt;&gt;"",TRUE))</x:f>
        <x:v>0</x:v>
      </x:c>
      <x:c r="AG490" t="n">
        <x:f>--AND(N490=1,AF490=1,OR(AE490="SUPPORTED",AE490="HALLUCINATION"))</x:f>
        <x:v>0</x:v>
      </x:c>
      <x:c r="AH490" t="n">
        <x:f>--AND(AG490=1,AE490="HALLUCINATION")</x:f>
        <x:v>0</x:v>
      </x:c>
      <x:c r="AI490" t="n">
        <x:f>--AND(Q490=1,AF490=1,AE490="HALLUCINATION")</x:f>
        <x:v>0</x:v>
      </x:c>
      <x:c r="AJ490" t="n">
        <x:f>--AND(AI490=1,R490=1,S490=1)</x:f>
        <x:v>0</x:v>
      </x:c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  <x:c r="V491" s="28"/>
      <x:c r="W491" s="43" t="n">
        <x:f>--AND(N491=1,OR(O491="SUPPORTED",O491="HALLUCINATION"))</x:f>
        <x:v>0</x:v>
      </x:c>
      <x:c r="X491" s="43" t="n">
        <x:f>--AND(W491=1,O491="HALLUCINATION")</x:f>
        <x:v>0</x:v>
      </x:c>
      <x:c r="Y491" s="43" t="n">
        <x:f>--AND(Q491=1,O491="HALLUCINATION")</x:f>
        <x:v>0</x:v>
      </x:c>
      <x:c r="Z491" s="43" t="n">
        <x:f>--AND(Y491=1,R491=1,S491=1)</x:f>
        <x:v>0</x:v>
      </x:c>
      <x:c r="AC491" t="str">
        <x:f>IF(OR(AA491="",AB491=""),"",--(AA491&lt;&gt;AB491))</x:f>
      </x:c>
      <x:c r="AE491" t="str">
        <x:f>IF(OR(AA491="",AB491=""),"PENDING_HUMAN",IF(AA491=AB491,AA491,IF(AD491&lt;&gt;"",AD491,"PENDING_HUMAN")))</x:f>
        <x:v>PENDING_HUMAN</x:v>
      </x:c>
      <x:c r="AF491" t="n">
        <x:f>--AND(A491&lt;&gt;"",AA491&lt;&gt;"",AB491&lt;&gt;"",OR(AA491=AB491,AD491&lt;&gt;""),IF(AE491="HALLUCINATION",U491&lt;&gt;"",TRUE))</x:f>
        <x:v>0</x:v>
      </x:c>
      <x:c r="AG491" t="n">
        <x:f>--AND(N491=1,AF491=1,OR(AE491="SUPPORTED",AE491="HALLUCINATION"))</x:f>
        <x:v>0</x:v>
      </x:c>
      <x:c r="AH491" t="n">
        <x:f>--AND(AG491=1,AE491="HALLUCINATION")</x:f>
        <x:v>0</x:v>
      </x:c>
      <x:c r="AI491" t="n">
        <x:f>--AND(Q491=1,AF491=1,AE491="HALLUCINATION")</x:f>
        <x:v>0</x:v>
      </x:c>
      <x:c r="AJ491" t="n">
        <x:f>--AND(AI491=1,R491=1,S491=1)</x:f>
        <x:v>0</x:v>
      </x:c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  <x:c r="V492" s="28"/>
      <x:c r="W492" s="43" t="n">
        <x:f>--AND(N492=1,OR(O492="SUPPORTED",O492="HALLUCINATION"))</x:f>
        <x:v>0</x:v>
      </x:c>
      <x:c r="X492" s="43" t="n">
        <x:f>--AND(W492=1,O492="HALLUCINATION")</x:f>
        <x:v>0</x:v>
      </x:c>
      <x:c r="Y492" s="43" t="n">
        <x:f>--AND(Q492=1,O492="HALLUCINATION")</x:f>
        <x:v>0</x:v>
      </x:c>
      <x:c r="Z492" s="43" t="n">
        <x:f>--AND(Y492=1,R492=1,S492=1)</x:f>
        <x:v>0</x:v>
      </x:c>
      <x:c r="AC492" t="str">
        <x:f>IF(OR(AA492="",AB492=""),"",--(AA492&lt;&gt;AB492))</x:f>
      </x:c>
      <x:c r="AE492" t="str">
        <x:f>IF(OR(AA492="",AB492=""),"PENDING_HUMAN",IF(AA492=AB492,AA492,IF(AD492&lt;&gt;"",AD492,"PENDING_HUMAN")))</x:f>
        <x:v>PENDING_HUMAN</x:v>
      </x:c>
      <x:c r="AF492" t="n">
        <x:f>--AND(A492&lt;&gt;"",AA492&lt;&gt;"",AB492&lt;&gt;"",OR(AA492=AB492,AD492&lt;&gt;""),IF(AE492="HALLUCINATION",U492&lt;&gt;"",TRUE))</x:f>
        <x:v>0</x:v>
      </x:c>
      <x:c r="AG492" t="n">
        <x:f>--AND(N492=1,AF492=1,OR(AE492="SUPPORTED",AE492="HALLUCINATION"))</x:f>
        <x:v>0</x:v>
      </x:c>
      <x:c r="AH492" t="n">
        <x:f>--AND(AG492=1,AE492="HALLUCINATION")</x:f>
        <x:v>0</x:v>
      </x:c>
      <x:c r="AI492" t="n">
        <x:f>--AND(Q492=1,AF492=1,AE492="HALLUCINATION")</x:f>
        <x:v>0</x:v>
      </x:c>
      <x:c r="AJ492" t="n">
        <x:f>--AND(AI492=1,R492=1,S492=1)</x:f>
        <x:v>0</x:v>
      </x:c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  <x:c r="V493" s="28"/>
      <x:c r="W493" s="43" t="n">
        <x:f>--AND(N493=1,OR(O493="SUPPORTED",O493="HALLUCINATION"))</x:f>
        <x:v>0</x:v>
      </x:c>
      <x:c r="X493" s="43" t="n">
        <x:f>--AND(W493=1,O493="HALLUCINATION")</x:f>
        <x:v>0</x:v>
      </x:c>
      <x:c r="Y493" s="43" t="n">
        <x:f>--AND(Q493=1,O493="HALLUCINATION")</x:f>
        <x:v>0</x:v>
      </x:c>
      <x:c r="Z493" s="43" t="n">
        <x:f>--AND(Y493=1,R493=1,S493=1)</x:f>
        <x:v>0</x:v>
      </x:c>
      <x:c r="AC493" t="str">
        <x:f>IF(OR(AA493="",AB493=""),"",--(AA493&lt;&gt;AB493))</x:f>
      </x:c>
      <x:c r="AE493" t="str">
        <x:f>IF(OR(AA493="",AB493=""),"PENDING_HUMAN",IF(AA493=AB493,AA493,IF(AD493&lt;&gt;"",AD493,"PENDING_HUMAN")))</x:f>
        <x:v>PENDING_HUMAN</x:v>
      </x:c>
      <x:c r="AF493" t="n">
        <x:f>--AND(A493&lt;&gt;"",AA493&lt;&gt;"",AB493&lt;&gt;"",OR(AA493=AB493,AD493&lt;&gt;""),IF(AE493="HALLUCINATION",U493&lt;&gt;"",TRUE))</x:f>
        <x:v>0</x:v>
      </x:c>
      <x:c r="AG493" t="n">
        <x:f>--AND(N493=1,AF493=1,OR(AE493="SUPPORTED",AE493="HALLUCINATION"))</x:f>
        <x:v>0</x:v>
      </x:c>
      <x:c r="AH493" t="n">
        <x:f>--AND(AG493=1,AE493="HALLUCINATION")</x:f>
        <x:v>0</x:v>
      </x:c>
      <x:c r="AI493" t="n">
        <x:f>--AND(Q493=1,AF493=1,AE493="HALLUCINATION")</x:f>
        <x:v>0</x:v>
      </x:c>
      <x:c r="AJ493" t="n">
        <x:f>--AND(AI493=1,R493=1,S493=1)</x:f>
        <x:v>0</x:v>
      </x:c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  <x:c r="V494" s="28"/>
      <x:c r="W494" s="43" t="n">
        <x:f>--AND(N494=1,OR(O494="SUPPORTED",O494="HALLUCINATION"))</x:f>
        <x:v>0</x:v>
      </x:c>
      <x:c r="X494" s="43" t="n">
        <x:f>--AND(W494=1,O494="HALLUCINATION")</x:f>
        <x:v>0</x:v>
      </x:c>
      <x:c r="Y494" s="43" t="n">
        <x:f>--AND(Q494=1,O494="HALLUCINATION")</x:f>
        <x:v>0</x:v>
      </x:c>
      <x:c r="Z494" s="43" t="n">
        <x:f>--AND(Y494=1,R494=1,S494=1)</x:f>
        <x:v>0</x:v>
      </x:c>
      <x:c r="AC494" t="str">
        <x:f>IF(OR(AA494="",AB494=""),"",--(AA494&lt;&gt;AB494))</x:f>
      </x:c>
      <x:c r="AE494" t="str">
        <x:f>IF(OR(AA494="",AB494=""),"PENDING_HUMAN",IF(AA494=AB494,AA494,IF(AD494&lt;&gt;"",AD494,"PENDING_HUMAN")))</x:f>
        <x:v>PENDING_HUMAN</x:v>
      </x:c>
      <x:c r="AF494" t="n">
        <x:f>--AND(A494&lt;&gt;"",AA494&lt;&gt;"",AB494&lt;&gt;"",OR(AA494=AB494,AD494&lt;&gt;""),IF(AE494="HALLUCINATION",U494&lt;&gt;"",TRUE))</x:f>
        <x:v>0</x:v>
      </x:c>
      <x:c r="AG494" t="n">
        <x:f>--AND(N494=1,AF494=1,OR(AE494="SUPPORTED",AE494="HALLUCINATION"))</x:f>
        <x:v>0</x:v>
      </x:c>
      <x:c r="AH494" t="n">
        <x:f>--AND(AG494=1,AE494="HALLUCINATION")</x:f>
        <x:v>0</x:v>
      </x:c>
      <x:c r="AI494" t="n">
        <x:f>--AND(Q494=1,AF494=1,AE494="HALLUCINATION")</x:f>
        <x:v>0</x:v>
      </x:c>
      <x:c r="AJ494" t="n">
        <x:f>--AND(AI494=1,R494=1,S494=1)</x:f>
        <x:v>0</x:v>
      </x:c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  <x:c r="V495" s="28"/>
      <x:c r="W495" s="43" t="n">
        <x:f>--AND(N495=1,OR(O495="SUPPORTED",O495="HALLUCINATION"))</x:f>
        <x:v>0</x:v>
      </x:c>
      <x:c r="X495" s="43" t="n">
        <x:f>--AND(W495=1,O495="HALLUCINATION")</x:f>
        <x:v>0</x:v>
      </x:c>
      <x:c r="Y495" s="43" t="n">
        <x:f>--AND(Q495=1,O495="HALLUCINATION")</x:f>
        <x:v>0</x:v>
      </x:c>
      <x:c r="Z495" s="43" t="n">
        <x:f>--AND(Y495=1,R495=1,S495=1)</x:f>
        <x:v>0</x:v>
      </x:c>
      <x:c r="AC495" t="str">
        <x:f>IF(OR(AA495="",AB495=""),"",--(AA495&lt;&gt;AB495))</x:f>
      </x:c>
      <x:c r="AE495" t="str">
        <x:f>IF(OR(AA495="",AB495=""),"PENDING_HUMAN",IF(AA495=AB495,AA495,IF(AD495&lt;&gt;"",AD495,"PENDING_HUMAN")))</x:f>
        <x:v>PENDING_HUMAN</x:v>
      </x:c>
      <x:c r="AF495" t="n">
        <x:f>--AND(A495&lt;&gt;"",AA495&lt;&gt;"",AB495&lt;&gt;"",OR(AA495=AB495,AD495&lt;&gt;""),IF(AE495="HALLUCINATION",U495&lt;&gt;"",TRUE))</x:f>
        <x:v>0</x:v>
      </x:c>
      <x:c r="AG495" t="n">
        <x:f>--AND(N495=1,AF495=1,OR(AE495="SUPPORTED",AE495="HALLUCINATION"))</x:f>
        <x:v>0</x:v>
      </x:c>
      <x:c r="AH495" t="n">
        <x:f>--AND(AG495=1,AE495="HALLUCINATION")</x:f>
        <x:v>0</x:v>
      </x:c>
      <x:c r="AI495" t="n">
        <x:f>--AND(Q495=1,AF495=1,AE495="HALLUCINATION")</x:f>
        <x:v>0</x:v>
      </x:c>
      <x:c r="AJ495" t="n">
        <x:f>--AND(AI495=1,R495=1,S495=1)</x:f>
        <x:v>0</x:v>
      </x:c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  <x:c r="V496" s="28"/>
      <x:c r="W496" s="43" t="n">
        <x:f>--AND(N496=1,OR(O496="SUPPORTED",O496="HALLUCINATION"))</x:f>
        <x:v>0</x:v>
      </x:c>
      <x:c r="X496" s="43" t="n">
        <x:f>--AND(W496=1,O496="HALLUCINATION")</x:f>
        <x:v>0</x:v>
      </x:c>
      <x:c r="Y496" s="43" t="n">
        <x:f>--AND(Q496=1,O496="HALLUCINATION")</x:f>
        <x:v>0</x:v>
      </x:c>
      <x:c r="Z496" s="43" t="n">
        <x:f>--AND(Y496=1,R496=1,S496=1)</x:f>
        <x:v>0</x:v>
      </x:c>
      <x:c r="AC496" t="str">
        <x:f>IF(OR(AA496="",AB496=""),"",--(AA496&lt;&gt;AB496))</x:f>
      </x:c>
      <x:c r="AE496" t="str">
        <x:f>IF(OR(AA496="",AB496=""),"PENDING_HUMAN",IF(AA496=AB496,AA496,IF(AD496&lt;&gt;"",AD496,"PENDING_HUMAN")))</x:f>
        <x:v>PENDING_HUMAN</x:v>
      </x:c>
      <x:c r="AF496" t="n">
        <x:f>--AND(A496&lt;&gt;"",AA496&lt;&gt;"",AB496&lt;&gt;"",OR(AA496=AB496,AD496&lt;&gt;""),IF(AE496="HALLUCINATION",U496&lt;&gt;"",TRUE))</x:f>
        <x:v>0</x:v>
      </x:c>
      <x:c r="AG496" t="n">
        <x:f>--AND(N496=1,AF496=1,OR(AE496="SUPPORTED",AE496="HALLUCINATION"))</x:f>
        <x:v>0</x:v>
      </x:c>
      <x:c r="AH496" t="n">
        <x:f>--AND(AG496=1,AE496="HALLUCINATION")</x:f>
        <x:v>0</x:v>
      </x:c>
      <x:c r="AI496" t="n">
        <x:f>--AND(Q496=1,AF496=1,AE496="HALLUCINATION")</x:f>
        <x:v>0</x:v>
      </x:c>
      <x:c r="AJ496" t="n">
        <x:f>--AND(AI496=1,R496=1,S496=1)</x:f>
        <x:v>0</x:v>
      </x:c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  <x:c r="V497" s="28"/>
      <x:c r="W497" s="43" t="n">
        <x:f>--AND(N497=1,OR(O497="SUPPORTED",O497="HALLUCINATION"))</x:f>
        <x:v>0</x:v>
      </x:c>
      <x:c r="X497" s="43" t="n">
        <x:f>--AND(W497=1,O497="HALLUCINATION")</x:f>
        <x:v>0</x:v>
      </x:c>
      <x:c r="Y497" s="43" t="n">
        <x:f>--AND(Q497=1,O497="HALLUCINATION")</x:f>
        <x:v>0</x:v>
      </x:c>
      <x:c r="Z497" s="43" t="n">
        <x:f>--AND(Y497=1,R497=1,S497=1)</x:f>
        <x:v>0</x:v>
      </x:c>
      <x:c r="AC497" t="str">
        <x:f>IF(OR(AA497="",AB497=""),"",--(AA497&lt;&gt;AB497))</x:f>
      </x:c>
      <x:c r="AE497" t="str">
        <x:f>IF(OR(AA497="",AB497=""),"PENDING_HUMAN",IF(AA497=AB497,AA497,IF(AD497&lt;&gt;"",AD497,"PENDING_HUMAN")))</x:f>
        <x:v>PENDING_HUMAN</x:v>
      </x:c>
      <x:c r="AF497" t="n">
        <x:f>--AND(A497&lt;&gt;"",AA497&lt;&gt;"",AB497&lt;&gt;"",OR(AA497=AB497,AD497&lt;&gt;""),IF(AE497="HALLUCINATION",U497&lt;&gt;"",TRUE))</x:f>
        <x:v>0</x:v>
      </x:c>
      <x:c r="AG497" t="n">
        <x:f>--AND(N497=1,AF497=1,OR(AE497="SUPPORTED",AE497="HALLUCINATION"))</x:f>
        <x:v>0</x:v>
      </x:c>
      <x:c r="AH497" t="n">
        <x:f>--AND(AG497=1,AE497="HALLUCINATION")</x:f>
        <x:v>0</x:v>
      </x:c>
      <x:c r="AI497" t="n">
        <x:f>--AND(Q497=1,AF497=1,AE497="HALLUCINATION")</x:f>
        <x:v>0</x:v>
      </x:c>
      <x:c r="AJ497" t="n">
        <x:f>--AND(AI497=1,R497=1,S497=1)</x:f>
        <x:v>0</x:v>
      </x:c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  <x:c r="V498" s="28"/>
      <x:c r="W498" s="43" t="n">
        <x:f>--AND(N498=1,OR(O498="SUPPORTED",O498="HALLUCINATION"))</x:f>
        <x:v>0</x:v>
      </x:c>
      <x:c r="X498" s="43" t="n">
        <x:f>--AND(W498=1,O498="HALLUCINATION")</x:f>
        <x:v>0</x:v>
      </x:c>
      <x:c r="Y498" s="43" t="n">
        <x:f>--AND(Q498=1,O498="HALLUCINATION")</x:f>
        <x:v>0</x:v>
      </x:c>
      <x:c r="Z498" s="43" t="n">
        <x:f>--AND(Y498=1,R498=1,S498=1)</x:f>
        <x:v>0</x:v>
      </x:c>
      <x:c r="AC498" t="str">
        <x:f>IF(OR(AA498="",AB498=""),"",--(AA498&lt;&gt;AB498))</x:f>
      </x:c>
      <x:c r="AE498" t="str">
        <x:f>IF(OR(AA498="",AB498=""),"PENDING_HUMAN",IF(AA498=AB498,AA498,IF(AD498&lt;&gt;"",AD498,"PENDING_HUMAN")))</x:f>
        <x:v>PENDING_HUMAN</x:v>
      </x:c>
      <x:c r="AF498" t="n">
        <x:f>--AND(A498&lt;&gt;"",AA498&lt;&gt;"",AB498&lt;&gt;"",OR(AA498=AB498,AD498&lt;&gt;""),IF(AE498="HALLUCINATION",U498&lt;&gt;"",TRUE))</x:f>
        <x:v>0</x:v>
      </x:c>
      <x:c r="AG498" t="n">
        <x:f>--AND(N498=1,AF498=1,OR(AE498="SUPPORTED",AE498="HALLUCINATION"))</x:f>
        <x:v>0</x:v>
      </x:c>
      <x:c r="AH498" t="n">
        <x:f>--AND(AG498=1,AE498="HALLUCINATION")</x:f>
        <x:v>0</x:v>
      </x:c>
      <x:c r="AI498" t="n">
        <x:f>--AND(Q498=1,AF498=1,AE498="HALLUCINATION")</x:f>
        <x:v>0</x:v>
      </x:c>
      <x:c r="AJ498" t="n">
        <x:f>--AND(AI498=1,R498=1,S498=1)</x:f>
        <x:v>0</x:v>
      </x:c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  <x:c r="V499" s="28"/>
      <x:c r="W499" s="43" t="n">
        <x:f>--AND(N499=1,OR(O499="SUPPORTED",O499="HALLUCINATION"))</x:f>
        <x:v>0</x:v>
      </x:c>
      <x:c r="X499" s="43" t="n">
        <x:f>--AND(W499=1,O499="HALLUCINATION")</x:f>
        <x:v>0</x:v>
      </x:c>
      <x:c r="Y499" s="43" t="n">
        <x:f>--AND(Q499=1,O499="HALLUCINATION")</x:f>
        <x:v>0</x:v>
      </x:c>
      <x:c r="Z499" s="43" t="n">
        <x:f>--AND(Y499=1,R499=1,S499=1)</x:f>
        <x:v>0</x:v>
      </x:c>
      <x:c r="AC499" t="str">
        <x:f>IF(OR(AA499="",AB499=""),"",--(AA499&lt;&gt;AB499))</x:f>
      </x:c>
      <x:c r="AE499" t="str">
        <x:f>IF(OR(AA499="",AB499=""),"PENDING_HUMAN",IF(AA499=AB499,AA499,IF(AD499&lt;&gt;"",AD499,"PENDING_HUMAN")))</x:f>
        <x:v>PENDING_HUMAN</x:v>
      </x:c>
      <x:c r="AF499" t="n">
        <x:f>--AND(A499&lt;&gt;"",AA499&lt;&gt;"",AB499&lt;&gt;"",OR(AA499=AB499,AD499&lt;&gt;""),IF(AE499="HALLUCINATION",U499&lt;&gt;"",TRUE))</x:f>
        <x:v>0</x:v>
      </x:c>
      <x:c r="AG499" t="n">
        <x:f>--AND(N499=1,AF499=1,OR(AE499="SUPPORTED",AE499="HALLUCINATION"))</x:f>
        <x:v>0</x:v>
      </x:c>
      <x:c r="AH499" t="n">
        <x:f>--AND(AG499=1,AE499="HALLUCINATION")</x:f>
        <x:v>0</x:v>
      </x:c>
      <x:c r="AI499" t="n">
        <x:f>--AND(Q499=1,AF499=1,AE499="HALLUCINATION")</x:f>
        <x:v>0</x:v>
      </x:c>
      <x:c r="AJ499" t="n">
        <x:f>--AND(AI499=1,R499=1,S499=1)</x:f>
        <x:v>0</x:v>
      </x:c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  <x:c r="V500" s="28"/>
      <x:c r="W500" s="43" t="n">
        <x:f>--AND(N500=1,OR(O500="SUPPORTED",O500="HALLUCINATION"))</x:f>
        <x:v>0</x:v>
      </x:c>
      <x:c r="X500" s="43" t="n">
        <x:f>--AND(W500=1,O500="HALLUCINATION")</x:f>
        <x:v>0</x:v>
      </x:c>
      <x:c r="Y500" s="43" t="n">
        <x:f>--AND(Q500=1,O500="HALLUCINATION")</x:f>
        <x:v>0</x:v>
      </x:c>
      <x:c r="Z500" s="43" t="n">
        <x:f>--AND(Y500=1,R500=1,S500=1)</x:f>
        <x:v>0</x:v>
      </x:c>
      <x:c r="AC500" t="str">
        <x:f>IF(OR(AA500="",AB500=""),"",--(AA500&lt;&gt;AB500))</x:f>
      </x:c>
      <x:c r="AE500" t="str">
        <x:f>IF(OR(AA500="",AB500=""),"PENDING_HUMAN",IF(AA500=AB500,AA500,IF(AD500&lt;&gt;"",AD500,"PENDING_HUMAN")))</x:f>
        <x:v>PENDING_HUMAN</x:v>
      </x:c>
      <x:c r="AF500" t="n">
        <x:f>--AND(A500&lt;&gt;"",AA500&lt;&gt;"",AB500&lt;&gt;"",OR(AA500=AB500,AD500&lt;&gt;""),IF(AE500="HALLUCINATION",U500&lt;&gt;"",TRUE))</x:f>
        <x:v>0</x:v>
      </x:c>
      <x:c r="AG500" t="n">
        <x:f>--AND(N500=1,AF500=1,OR(AE500="SUPPORTED",AE500="HALLUCINATION"))</x:f>
        <x:v>0</x:v>
      </x:c>
      <x:c r="AH500" t="n">
        <x:f>--AND(AG500=1,AE500="HALLUCINATION")</x:f>
        <x:v>0</x:v>
      </x:c>
      <x:c r="AI500" t="n">
        <x:f>--AND(Q500=1,AF500=1,AE500="HALLUCINATION")</x:f>
        <x:v>0</x:v>
      </x:c>
      <x:c r="AJ500" t="n">
        <x:f>--AND(AI500=1,R500=1,S500=1)</x:f>
        <x:v>0</x:v>
      </x:c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28"/>
      <x:c r="R501" s="28"/>
      <x:c r="S501" s="28"/>
      <x:c r="T501" s="28"/>
      <x:c r="U501" s="28"/>
      <x:c r="V501" s="28"/>
      <x:c r="W501" s="43" t="n">
        <x:f>--AND(N501=1,OR(O501="SUPPORTED",O501="HALLUCINATION"))</x:f>
        <x:v>0</x:v>
      </x:c>
      <x:c r="X501" s="43" t="n">
        <x:f>--AND(W501=1,O501="HALLUCINATION")</x:f>
        <x:v>0</x:v>
      </x:c>
      <x:c r="Y501" s="43" t="n">
        <x:f>--AND(Q501=1,O501="HALLUCINATION")</x:f>
        <x:v>0</x:v>
      </x:c>
      <x:c r="Z501" s="43" t="n">
        <x:f>--AND(Y501=1,R501=1,S501=1)</x:f>
        <x:v>0</x:v>
      </x:c>
      <x:c r="AC501" t="str">
        <x:f>IF(OR(AA501="",AB501=""),"",--(AA501&lt;&gt;AB501))</x:f>
      </x:c>
      <x:c r="AE501" t="str">
        <x:f>IF(OR(AA501="",AB501=""),"PENDING_HUMAN",IF(AA501=AB501,AA501,IF(AD501&lt;&gt;"",AD501,"PENDING_HUMAN")))</x:f>
        <x:v>PENDING_HUMAN</x:v>
      </x:c>
      <x:c r="AF501" t="n">
        <x:f>--AND(A501&lt;&gt;"",AA501&lt;&gt;"",AB501&lt;&gt;"",OR(AA501=AB501,AD501&lt;&gt;""),IF(AE501="HALLUCINATION",U501&lt;&gt;"",TRUE))</x:f>
        <x:v>0</x:v>
      </x:c>
      <x:c r="AG501" t="n">
        <x:f>--AND(N501=1,AF501=1,OR(AE501="SUPPORTED",AE501="HALLUCINATION"))</x:f>
        <x:v>0</x:v>
      </x:c>
      <x:c r="AH501" t="n">
        <x:f>--AND(AG501=1,AE501="HALLUCINATION")</x:f>
        <x:v>0</x:v>
      </x:c>
      <x:c r="AI501" t="n">
        <x:f>--AND(Q501=1,AF501=1,AE501="HALLUCINATION")</x:f>
        <x:v>0</x:v>
      </x:c>
      <x:c r="AJ501" t="n">
        <x:f>--AND(AI501=1,R501=1,S501=1)</x:f>
        <x:v>0</x:v>
      </x:c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28"/>
      <x:c r="R502" s="28"/>
      <x:c r="S502" s="28"/>
      <x:c r="T502" s="28"/>
      <x:c r="U502" s="28"/>
      <x:c r="V502" s="28"/>
      <x:c r="W502" s="43" t="n">
        <x:f>--AND(N502=1,OR(O502="SUPPORTED",O502="HALLUCINATION"))</x:f>
        <x:v>0</x:v>
      </x:c>
      <x:c r="X502" s="43" t="n">
        <x:f>--AND(W502=1,O502="HALLUCINATION")</x:f>
        <x:v>0</x:v>
      </x:c>
      <x:c r="Y502" s="43" t="n">
        <x:f>--AND(Q502=1,O502="HALLUCINATION")</x:f>
        <x:v>0</x:v>
      </x:c>
      <x:c r="Z502" s="43" t="n">
        <x:f>--AND(Y502=1,R502=1,S502=1)</x:f>
        <x:v>0</x:v>
      </x:c>
      <x:c r="AC502" t="str">
        <x:f>IF(OR(AA502="",AB502=""),"",--(AA502&lt;&gt;AB502))</x:f>
      </x:c>
      <x:c r="AE502" t="str">
        <x:f>IF(OR(AA502="",AB502=""),"PENDING_HUMAN",IF(AA502=AB502,AA502,IF(AD502&lt;&gt;"",AD502,"PENDING_HUMAN")))</x:f>
        <x:v>PENDING_HUMAN</x:v>
      </x:c>
      <x:c r="AF502" t="n">
        <x:f>--AND(A502&lt;&gt;"",AA502&lt;&gt;"",AB502&lt;&gt;"",OR(AA502=AB502,AD502&lt;&gt;""),IF(AE502="HALLUCINATION",U502&lt;&gt;"",TRUE))</x:f>
        <x:v>0</x:v>
      </x:c>
      <x:c r="AG502" t="n">
        <x:f>--AND(N502=1,AF502=1,OR(AE502="SUPPORTED",AE502="HALLUCINATION"))</x:f>
        <x:v>0</x:v>
      </x:c>
      <x:c r="AH502" t="n">
        <x:f>--AND(AG502=1,AE502="HALLUCINATION")</x:f>
        <x:v>0</x:v>
      </x:c>
      <x:c r="AI502" t="n">
        <x:f>--AND(Q502=1,AF502=1,AE502="HALLUCINATION")</x:f>
        <x:v>0</x:v>
      </x:c>
      <x:c r="AJ502" t="n">
        <x:f>--AND(AI502=1,R502=1,S502=1)</x:f>
        <x:v>0</x:v>
      </x:c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28"/>
      <x:c r="R503" s="28"/>
      <x:c r="S503" s="28"/>
      <x:c r="T503" s="28"/>
      <x:c r="U503" s="28"/>
      <x:c r="V503" s="28"/>
      <x:c r="W503" s="43" t="n">
        <x:f>--AND(N503=1,OR(O503="SUPPORTED",O503="HALLUCINATION"))</x:f>
        <x:v>0</x:v>
      </x:c>
      <x:c r="X503" s="43" t="n">
        <x:f>--AND(W503=1,O503="HALLUCINATION")</x:f>
        <x:v>0</x:v>
      </x:c>
      <x:c r="Y503" s="43" t="n">
        <x:f>--AND(Q503=1,O503="HALLUCINATION")</x:f>
        <x:v>0</x:v>
      </x:c>
      <x:c r="Z503" s="43" t="n">
        <x:f>--AND(Y503=1,R503=1,S503=1)</x:f>
        <x:v>0</x:v>
      </x:c>
      <x:c r="AC503" t="str">
        <x:f>IF(OR(AA503="",AB503=""),"",--(AA503&lt;&gt;AB503))</x:f>
      </x:c>
      <x:c r="AE503" t="str">
        <x:f>IF(OR(AA503="",AB503=""),"PENDING_HUMAN",IF(AA503=AB503,AA503,IF(AD503&lt;&gt;"",AD503,"PENDING_HUMAN")))</x:f>
        <x:v>PENDING_HUMAN</x:v>
      </x:c>
      <x:c r="AF503" t="n">
        <x:f>--AND(A503&lt;&gt;"",AA503&lt;&gt;"",AB503&lt;&gt;"",OR(AA503=AB503,AD503&lt;&gt;""),IF(AE503="HALLUCINATION",U503&lt;&gt;"",TRUE))</x:f>
        <x:v>0</x:v>
      </x:c>
      <x:c r="AG503" t="n">
        <x:f>--AND(N503=1,AF503=1,OR(AE503="SUPPORTED",AE503="HALLUCINATION"))</x:f>
        <x:v>0</x:v>
      </x:c>
      <x:c r="AH503" t="n">
        <x:f>--AND(AG503=1,AE503="HALLUCINATION")</x:f>
        <x:v>0</x:v>
      </x:c>
      <x:c r="AI503" t="n">
        <x:f>--AND(Q503=1,AF503=1,AE503="HALLUCINATION")</x:f>
        <x:v>0</x:v>
      </x:c>
      <x:c r="AJ503" t="n">
        <x:f>--AND(AI503=1,R503=1,S503=1)</x:f>
        <x:v>0</x:v>
      </x:c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28"/>
      <x:c r="R504" s="28"/>
      <x:c r="S504" s="28"/>
      <x:c r="T504" s="28"/>
      <x:c r="U504" s="28"/>
      <x:c r="V504" s="28"/>
      <x:c r="W504" s="43" t="n">
        <x:f>--AND(N504=1,OR(O504="SUPPORTED",O504="HALLUCINATION"))</x:f>
        <x:v>0</x:v>
      </x:c>
      <x:c r="X504" s="43" t="n">
        <x:f>--AND(W504=1,O504="HALLUCINATION")</x:f>
        <x:v>0</x:v>
      </x:c>
      <x:c r="Y504" s="43" t="n">
        <x:f>--AND(Q504=1,O504="HALLUCINATION")</x:f>
        <x:v>0</x:v>
      </x:c>
      <x:c r="Z504" s="43" t="n">
        <x:f>--AND(Y504=1,R504=1,S504=1)</x:f>
        <x:v>0</x:v>
      </x:c>
      <x:c r="AC504" t="str">
        <x:f>IF(OR(AA504="",AB504=""),"",--(AA504&lt;&gt;AB504))</x:f>
      </x:c>
      <x:c r="AE504" t="str">
        <x:f>IF(OR(AA504="",AB504=""),"PENDING_HUMAN",IF(AA504=AB504,AA504,IF(AD504&lt;&gt;"",AD504,"PENDING_HUMAN")))</x:f>
        <x:v>PENDING_HUMAN</x:v>
      </x:c>
      <x:c r="AF504" t="n">
        <x:f>--AND(A504&lt;&gt;"",AA504&lt;&gt;"",AB504&lt;&gt;"",OR(AA504=AB504,AD504&lt;&gt;""),IF(AE504="HALLUCINATION",U504&lt;&gt;"",TRUE))</x:f>
        <x:v>0</x:v>
      </x:c>
      <x:c r="AG504" t="n">
        <x:f>--AND(N504=1,AF504=1,OR(AE504="SUPPORTED",AE504="HALLUCINATION"))</x:f>
        <x:v>0</x:v>
      </x:c>
      <x:c r="AH504" t="n">
        <x:f>--AND(AG504=1,AE504="HALLUCINATION")</x:f>
        <x:v>0</x:v>
      </x:c>
      <x:c r="AI504" t="n">
        <x:f>--AND(Q504=1,AF504=1,AE504="HALLUCINATION")</x:f>
        <x:v>0</x:v>
      </x:c>
      <x:c r="AJ504" t="n">
        <x:f>--AND(AI504=1,R504=1,S504=1)</x:f>
        <x:v>0</x:v>
      </x:c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28"/>
      <x:c r="R505" s="28"/>
      <x:c r="S505" s="28"/>
      <x:c r="T505" s="28"/>
      <x:c r="U505" s="28"/>
      <x:c r="V505" s="28"/>
      <x:c r="W505" s="43" t="n">
        <x:f>--AND(N505=1,OR(O505="SUPPORTED",O505="HALLUCINATION"))</x:f>
        <x:v>0</x:v>
      </x:c>
      <x:c r="X505" s="43" t="n">
        <x:f>--AND(W505=1,O505="HALLUCINATION")</x:f>
        <x:v>0</x:v>
      </x:c>
      <x:c r="Y505" s="43" t="n">
        <x:f>--AND(Q505=1,O505="HALLUCINATION")</x:f>
        <x:v>0</x:v>
      </x:c>
      <x:c r="Z505" s="43" t="n">
        <x:f>--AND(Y505=1,R505=1,S505=1)</x:f>
        <x:v>0</x:v>
      </x:c>
      <x:c r="AC505" t="str">
        <x:f>IF(OR(AA505="",AB505=""),"",--(AA505&lt;&gt;AB505))</x:f>
      </x:c>
      <x:c r="AE505" t="str">
        <x:f>IF(OR(AA505="",AB505=""),"PENDING_HUMAN",IF(AA505=AB505,AA505,IF(AD505&lt;&gt;"",AD505,"PENDING_HUMAN")))</x:f>
        <x:v>PENDING_HUMAN</x:v>
      </x:c>
      <x:c r="AF505" t="n">
        <x:f>--AND(A505&lt;&gt;"",AA505&lt;&gt;"",AB505&lt;&gt;"",OR(AA505=AB505,AD505&lt;&gt;""),IF(AE505="HALLUCINATION",U505&lt;&gt;"",TRUE))</x:f>
        <x:v>0</x:v>
      </x:c>
      <x:c r="AG505" t="n">
        <x:f>--AND(N505=1,AF505=1,OR(AE505="SUPPORTED",AE505="HALLUCINATION"))</x:f>
        <x:v>0</x:v>
      </x:c>
      <x:c r="AH505" t="n">
        <x:f>--AND(AG505=1,AE505="HALLUCINATION")</x:f>
        <x:v>0</x:v>
      </x:c>
      <x:c r="AI505" t="n">
        <x:f>--AND(Q505=1,AF505=1,AE505="HALLUCINATION")</x:f>
        <x:v>0</x:v>
      </x:c>
      <x:c r="AJ505" t="n">
        <x:f>--AND(AI505=1,R505=1,S505=1)</x:f>
        <x:v>0</x:v>
      </x:c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28"/>
      <x:c r="R506" s="28"/>
      <x:c r="S506" s="28"/>
      <x:c r="T506" s="28"/>
      <x:c r="U506" s="28"/>
      <x:c r="V506" s="28"/>
      <x:c r="W506" s="43" t="n">
        <x:f>--AND(N506=1,OR(O506="SUPPORTED",O506="HALLUCINATION"))</x:f>
        <x:v>0</x:v>
      </x:c>
      <x:c r="X506" s="43" t="n">
        <x:f>--AND(W506=1,O506="HALLUCINATION")</x:f>
        <x:v>0</x:v>
      </x:c>
      <x:c r="Y506" s="43" t="n">
        <x:f>--AND(Q506=1,O506="HALLUCINATION")</x:f>
        <x:v>0</x:v>
      </x:c>
      <x:c r="Z506" s="43" t="n">
        <x:f>--AND(Y506=1,R506=1,S506=1)</x:f>
        <x:v>0</x:v>
      </x:c>
      <x:c r="AC506" t="str">
        <x:f>IF(OR(AA506="",AB506=""),"",--(AA506&lt;&gt;AB506))</x:f>
      </x:c>
      <x:c r="AE506" t="str">
        <x:f>IF(OR(AA506="",AB506=""),"PENDING_HUMAN",IF(AA506=AB506,AA506,IF(AD506&lt;&gt;"",AD506,"PENDING_HUMAN")))</x:f>
        <x:v>PENDING_HUMAN</x:v>
      </x:c>
      <x:c r="AF506" t="n">
        <x:f>--AND(A506&lt;&gt;"",AA506&lt;&gt;"",AB506&lt;&gt;"",OR(AA506=AB506,AD506&lt;&gt;""),IF(AE506="HALLUCINATION",U506&lt;&gt;"",TRUE))</x:f>
        <x:v>0</x:v>
      </x:c>
      <x:c r="AG506" t="n">
        <x:f>--AND(N506=1,AF506=1,OR(AE506="SUPPORTED",AE506="HALLUCINATION"))</x:f>
        <x:v>0</x:v>
      </x:c>
      <x:c r="AH506" t="n">
        <x:f>--AND(AG506=1,AE506="HALLUCINATION")</x:f>
        <x:v>0</x:v>
      </x:c>
      <x:c r="AI506" t="n">
        <x:f>--AND(Q506=1,AF506=1,AE506="HALLUCINATION")</x:f>
        <x:v>0</x:v>
      </x:c>
      <x:c r="AJ506" t="n">
        <x:f>--AND(AI506=1,R506=1,S506=1)</x:f>
        <x:v>0</x:v>
      </x:c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28"/>
      <x:c r="R507" s="28"/>
      <x:c r="S507" s="28"/>
      <x:c r="T507" s="28"/>
      <x:c r="U507" s="28"/>
      <x:c r="V507" s="28"/>
      <x:c r="W507" s="43" t="n">
        <x:f>--AND(N507=1,OR(O507="SUPPORTED",O507="HALLUCINATION"))</x:f>
        <x:v>0</x:v>
      </x:c>
      <x:c r="X507" s="43" t="n">
        <x:f>--AND(W507=1,O507="HALLUCINATION")</x:f>
        <x:v>0</x:v>
      </x:c>
      <x:c r="Y507" s="43" t="n">
        <x:f>--AND(Q507=1,O507="HALLUCINATION")</x:f>
        <x:v>0</x:v>
      </x:c>
      <x:c r="Z507" s="43" t="n">
        <x:f>--AND(Y507=1,R507=1,S507=1)</x:f>
        <x:v>0</x:v>
      </x:c>
      <x:c r="AC507" t="str">
        <x:f>IF(OR(AA507="",AB507=""),"",--(AA507&lt;&gt;AB507))</x:f>
      </x:c>
      <x:c r="AE507" t="str">
        <x:f>IF(OR(AA507="",AB507=""),"PENDING_HUMAN",IF(AA507=AB507,AA507,IF(AD507&lt;&gt;"",AD507,"PENDING_HUMAN")))</x:f>
        <x:v>PENDING_HUMAN</x:v>
      </x:c>
      <x:c r="AF507" t="n">
        <x:f>--AND(A507&lt;&gt;"",AA507&lt;&gt;"",AB507&lt;&gt;"",OR(AA507=AB507,AD507&lt;&gt;""),IF(AE507="HALLUCINATION",U507&lt;&gt;"",TRUE))</x:f>
        <x:v>0</x:v>
      </x:c>
      <x:c r="AG507" t="n">
        <x:f>--AND(N507=1,AF507=1,OR(AE507="SUPPORTED",AE507="HALLUCINATION"))</x:f>
        <x:v>0</x:v>
      </x:c>
      <x:c r="AH507" t="n">
        <x:f>--AND(AG507=1,AE507="HALLUCINATION")</x:f>
        <x:v>0</x:v>
      </x:c>
      <x:c r="AI507" t="n">
        <x:f>--AND(Q507=1,AF507=1,AE507="HALLUCINATION")</x:f>
        <x:v>0</x:v>
      </x:c>
      <x:c r="AJ507" t="n">
        <x:f>--AND(AI507=1,R507=1,S507=1)</x:f>
        <x:v>0</x:v>
      </x:c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28"/>
      <x:c r="R508" s="28"/>
      <x:c r="S508" s="28"/>
      <x:c r="T508" s="28"/>
      <x:c r="U508" s="28"/>
      <x:c r="V508" s="28"/>
      <x:c r="W508" s="43" t="n">
        <x:f>--AND(N508=1,OR(O508="SUPPORTED",O508="HALLUCINATION"))</x:f>
        <x:v>0</x:v>
      </x:c>
      <x:c r="X508" s="43" t="n">
        <x:f>--AND(W508=1,O508="HALLUCINATION")</x:f>
        <x:v>0</x:v>
      </x:c>
      <x:c r="Y508" s="43" t="n">
        <x:f>--AND(Q508=1,O508="HALLUCINATION")</x:f>
        <x:v>0</x:v>
      </x:c>
      <x:c r="Z508" s="43" t="n">
        <x:f>--AND(Y508=1,R508=1,S508=1)</x:f>
        <x:v>0</x:v>
      </x:c>
      <x:c r="AC508" t="str">
        <x:f>IF(OR(AA508="",AB508=""),"",--(AA508&lt;&gt;AB508))</x:f>
      </x:c>
      <x:c r="AE508" t="str">
        <x:f>IF(OR(AA508="",AB508=""),"PENDING_HUMAN",IF(AA508=AB508,AA508,IF(AD508&lt;&gt;"",AD508,"PENDING_HUMAN")))</x:f>
        <x:v>PENDING_HUMAN</x:v>
      </x:c>
      <x:c r="AF508" t="n">
        <x:f>--AND(A508&lt;&gt;"",AA508&lt;&gt;"",AB508&lt;&gt;"",OR(AA508=AB508,AD508&lt;&gt;""),IF(AE508="HALLUCINATION",U508&lt;&gt;"",TRUE))</x:f>
        <x:v>0</x:v>
      </x:c>
      <x:c r="AG508" t="n">
        <x:f>--AND(N508=1,AF508=1,OR(AE508="SUPPORTED",AE508="HALLUCINATION"))</x:f>
        <x:v>0</x:v>
      </x:c>
      <x:c r="AH508" t="n">
        <x:f>--AND(AG508=1,AE508="HALLUCINATION")</x:f>
        <x:v>0</x:v>
      </x:c>
      <x:c r="AI508" t="n">
        <x:f>--AND(Q508=1,AF508=1,AE508="HALLUCINATION")</x:f>
        <x:v>0</x:v>
      </x:c>
      <x:c r="AJ508" t="n">
        <x:f>--AND(AI508=1,R508=1,S508=1)</x:f>
        <x:v>0</x:v>
      </x:c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28"/>
      <x:c r="R509" s="28"/>
      <x:c r="S509" s="28"/>
      <x:c r="T509" s="28"/>
      <x:c r="U509" s="28"/>
      <x:c r="V509" s="28"/>
      <x:c r="W509" s="43" t="n">
        <x:f>--AND(N509=1,OR(O509="SUPPORTED",O509="HALLUCINATION"))</x:f>
        <x:v>0</x:v>
      </x:c>
      <x:c r="X509" s="43" t="n">
        <x:f>--AND(W509=1,O509="HALLUCINATION")</x:f>
        <x:v>0</x:v>
      </x:c>
      <x:c r="Y509" s="43" t="n">
        <x:f>--AND(Q509=1,O509="HALLUCINATION")</x:f>
        <x:v>0</x:v>
      </x:c>
      <x:c r="Z509" s="43" t="n">
        <x:f>--AND(Y509=1,R509=1,S509=1)</x:f>
        <x:v>0</x:v>
      </x:c>
      <x:c r="AC509" t="str">
        <x:f>IF(OR(AA509="",AB509=""),"",--(AA509&lt;&gt;AB509))</x:f>
      </x:c>
      <x:c r="AE509" t="str">
        <x:f>IF(OR(AA509="",AB509=""),"PENDING_HUMAN",IF(AA509=AB509,AA509,IF(AD509&lt;&gt;"",AD509,"PENDING_HUMAN")))</x:f>
        <x:v>PENDING_HUMAN</x:v>
      </x:c>
      <x:c r="AF509" t="n">
        <x:f>--AND(A509&lt;&gt;"",AA509&lt;&gt;"",AB509&lt;&gt;"",OR(AA509=AB509,AD509&lt;&gt;""),IF(AE509="HALLUCINATION",U509&lt;&gt;"",TRUE))</x:f>
        <x:v>0</x:v>
      </x:c>
      <x:c r="AG509" t="n">
        <x:f>--AND(N509=1,AF509=1,OR(AE509="SUPPORTED",AE509="HALLUCINATION"))</x:f>
        <x:v>0</x:v>
      </x:c>
      <x:c r="AH509" t="n">
        <x:f>--AND(AG509=1,AE509="HALLUCINATION")</x:f>
        <x:v>0</x:v>
      </x:c>
      <x:c r="AI509" t="n">
        <x:f>--AND(Q509=1,AF509=1,AE509="HALLUCINATION")</x:f>
        <x:v>0</x:v>
      </x:c>
      <x:c r="AJ509" t="n">
        <x:f>--AND(AI509=1,R509=1,S509=1)</x:f>
        <x:v>0</x:v>
      </x:c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28"/>
      <x:c r="R510" s="28"/>
      <x:c r="S510" s="28"/>
      <x:c r="T510" s="28"/>
      <x:c r="U510" s="28"/>
      <x:c r="V510" s="28"/>
      <x:c r="W510" s="43" t="n">
        <x:f>--AND(N510=1,OR(O510="SUPPORTED",O510="HALLUCINATION"))</x:f>
        <x:v>0</x:v>
      </x:c>
      <x:c r="X510" s="43" t="n">
        <x:f>--AND(W510=1,O510="HALLUCINATION")</x:f>
        <x:v>0</x:v>
      </x:c>
      <x:c r="Y510" s="43" t="n">
        <x:f>--AND(Q510=1,O510="HALLUCINATION")</x:f>
        <x:v>0</x:v>
      </x:c>
      <x:c r="Z510" s="43" t="n">
        <x:f>--AND(Y510=1,R510=1,S510=1)</x:f>
        <x:v>0</x:v>
      </x:c>
      <x:c r="AC510" t="str">
        <x:f>IF(OR(AA510="",AB510=""),"",--(AA510&lt;&gt;AB510))</x:f>
      </x:c>
      <x:c r="AE510" t="str">
        <x:f>IF(OR(AA510="",AB510=""),"PENDING_HUMAN",IF(AA510=AB510,AA510,IF(AD510&lt;&gt;"",AD510,"PENDING_HUMAN")))</x:f>
        <x:v>PENDING_HUMAN</x:v>
      </x:c>
      <x:c r="AF510" t="n">
        <x:f>--AND(A510&lt;&gt;"",AA510&lt;&gt;"",AB510&lt;&gt;"",OR(AA510=AB510,AD510&lt;&gt;""),IF(AE510="HALLUCINATION",U510&lt;&gt;"",TRUE))</x:f>
        <x:v>0</x:v>
      </x:c>
      <x:c r="AG510" t="n">
        <x:f>--AND(N510=1,AF510=1,OR(AE510="SUPPORTED",AE510="HALLUCINATION"))</x:f>
        <x:v>0</x:v>
      </x:c>
      <x:c r="AH510" t="n">
        <x:f>--AND(AG510=1,AE510="HALLUCINATION")</x:f>
        <x:v>0</x:v>
      </x:c>
      <x:c r="AI510" t="n">
        <x:f>--AND(Q510=1,AF510=1,AE510="HALLUCINATION")</x:f>
        <x:v>0</x:v>
      </x:c>
      <x:c r="AJ510" t="n">
        <x:f>--AND(AI510=1,R510=1,S510=1)</x:f>
        <x:v>0</x:v>
      </x:c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28"/>
      <x:c r="R511" s="28"/>
      <x:c r="S511" s="28"/>
      <x:c r="T511" s="28"/>
      <x:c r="U511" s="28"/>
      <x:c r="V511" s="28"/>
      <x:c r="W511" s="43" t="n">
        <x:f>--AND(N511=1,OR(O511="SUPPORTED",O511="HALLUCINATION"))</x:f>
        <x:v>0</x:v>
      </x:c>
      <x:c r="X511" s="43" t="n">
        <x:f>--AND(W511=1,O511="HALLUCINATION")</x:f>
        <x:v>0</x:v>
      </x:c>
      <x:c r="Y511" s="43" t="n">
        <x:f>--AND(Q511=1,O511="HALLUCINATION")</x:f>
        <x:v>0</x:v>
      </x:c>
      <x:c r="Z511" s="43" t="n">
        <x:f>--AND(Y511=1,R511=1,S511=1)</x:f>
        <x:v>0</x:v>
      </x:c>
      <x:c r="AC511" t="str">
        <x:f>IF(OR(AA511="",AB511=""),"",--(AA511&lt;&gt;AB511))</x:f>
      </x:c>
      <x:c r="AE511" t="str">
        <x:f>IF(OR(AA511="",AB511=""),"PENDING_HUMAN",IF(AA511=AB511,AA511,IF(AD511&lt;&gt;"",AD511,"PENDING_HUMAN")))</x:f>
        <x:v>PENDING_HUMAN</x:v>
      </x:c>
      <x:c r="AF511" t="n">
        <x:f>--AND(A511&lt;&gt;"",AA511&lt;&gt;"",AB511&lt;&gt;"",OR(AA511=AB511,AD511&lt;&gt;""),IF(AE511="HALLUCINATION",U511&lt;&gt;"",TRUE))</x:f>
        <x:v>0</x:v>
      </x:c>
      <x:c r="AG511" t="n">
        <x:f>--AND(N511=1,AF511=1,OR(AE511="SUPPORTED",AE511="HALLUCINATION"))</x:f>
        <x:v>0</x:v>
      </x:c>
      <x:c r="AH511" t="n">
        <x:f>--AND(AG511=1,AE511="HALLUCINATION")</x:f>
        <x:v>0</x:v>
      </x:c>
      <x:c r="AI511" t="n">
        <x:f>--AND(Q511=1,AF511=1,AE511="HALLUCINATION")</x:f>
        <x:v>0</x:v>
      </x:c>
      <x:c r="AJ511" t="n">
        <x:f>--AND(AI511=1,R511=1,S511=1)</x:f>
        <x:v>0</x:v>
      </x:c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28"/>
      <x:c r="R512" s="28"/>
      <x:c r="S512" s="28"/>
      <x:c r="T512" s="28"/>
      <x:c r="U512" s="28"/>
      <x:c r="V512" s="28"/>
      <x:c r="W512" s="43" t="n">
        <x:f>--AND(N512=1,OR(O512="SUPPORTED",O512="HALLUCINATION"))</x:f>
        <x:v>0</x:v>
      </x:c>
      <x:c r="X512" s="43" t="n">
        <x:f>--AND(W512=1,O512="HALLUCINATION")</x:f>
        <x:v>0</x:v>
      </x:c>
      <x:c r="Y512" s="43" t="n">
        <x:f>--AND(Q512=1,O512="HALLUCINATION")</x:f>
        <x:v>0</x:v>
      </x:c>
      <x:c r="Z512" s="43" t="n">
        <x:f>--AND(Y512=1,R512=1,S512=1)</x:f>
        <x:v>0</x:v>
      </x:c>
      <x:c r="AC512" t="str">
        <x:f>IF(OR(AA512="",AB512=""),"",--(AA512&lt;&gt;AB512))</x:f>
      </x:c>
      <x:c r="AE512" t="str">
        <x:f>IF(OR(AA512="",AB512=""),"PENDING_HUMAN",IF(AA512=AB512,AA512,IF(AD512&lt;&gt;"",AD512,"PENDING_HUMAN")))</x:f>
        <x:v>PENDING_HUMAN</x:v>
      </x:c>
      <x:c r="AF512" t="n">
        <x:f>--AND(A512&lt;&gt;"",AA512&lt;&gt;"",AB512&lt;&gt;"",OR(AA512=AB512,AD512&lt;&gt;""),IF(AE512="HALLUCINATION",U512&lt;&gt;"",TRUE))</x:f>
        <x:v>0</x:v>
      </x:c>
      <x:c r="AG512" t="n">
        <x:f>--AND(N512=1,AF512=1,OR(AE512="SUPPORTED",AE512="HALLUCINATION"))</x:f>
        <x:v>0</x:v>
      </x:c>
      <x:c r="AH512" t="n">
        <x:f>--AND(AG512=1,AE512="HALLUCINATION")</x:f>
        <x:v>0</x:v>
      </x:c>
      <x:c r="AI512" t="n">
        <x:f>--AND(Q512=1,AF512=1,AE512="HALLUCINATION")</x:f>
        <x:v>0</x:v>
      </x:c>
      <x:c r="AJ512" t="n">
        <x:f>--AND(AI512=1,R512=1,S512=1)</x:f>
        <x:v>0</x:v>
      </x:c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28"/>
      <x:c r="R513" s="28"/>
      <x:c r="S513" s="28"/>
      <x:c r="T513" s="28"/>
      <x:c r="U513" s="28"/>
      <x:c r="V513" s="28"/>
      <x:c r="W513" s="43" t="n">
        <x:f>--AND(N513=1,OR(O513="SUPPORTED",O513="HALLUCINATION"))</x:f>
        <x:v>0</x:v>
      </x:c>
      <x:c r="X513" s="43" t="n">
        <x:f>--AND(W513=1,O513="HALLUCINATION")</x:f>
        <x:v>0</x:v>
      </x:c>
      <x:c r="Y513" s="43" t="n">
        <x:f>--AND(Q513=1,O513="HALLUCINATION")</x:f>
        <x:v>0</x:v>
      </x:c>
      <x:c r="Z513" s="43" t="n">
        <x:f>--AND(Y513=1,R513=1,S513=1)</x:f>
        <x:v>0</x:v>
      </x:c>
      <x:c r="AC513" t="str">
        <x:f>IF(OR(AA513="",AB513=""),"",--(AA513&lt;&gt;AB513))</x:f>
      </x:c>
      <x:c r="AE513" t="str">
        <x:f>IF(OR(AA513="",AB513=""),"PENDING_HUMAN",IF(AA513=AB513,AA513,IF(AD513&lt;&gt;"",AD513,"PENDING_HUMAN")))</x:f>
        <x:v>PENDING_HUMAN</x:v>
      </x:c>
      <x:c r="AF513" t="n">
        <x:f>--AND(A513&lt;&gt;"",AA513&lt;&gt;"",AB513&lt;&gt;"",OR(AA513=AB513,AD513&lt;&gt;""),IF(AE513="HALLUCINATION",U513&lt;&gt;"",TRUE))</x:f>
        <x:v>0</x:v>
      </x:c>
      <x:c r="AG513" t="n">
        <x:f>--AND(N513=1,AF513=1,OR(AE513="SUPPORTED",AE513="HALLUCINATION"))</x:f>
        <x:v>0</x:v>
      </x:c>
      <x:c r="AH513" t="n">
        <x:f>--AND(AG513=1,AE513="HALLUCINATION")</x:f>
        <x:v>0</x:v>
      </x:c>
      <x:c r="AI513" t="n">
        <x:f>--AND(Q513=1,AF513=1,AE513="HALLUCINATION")</x:f>
        <x:v>0</x:v>
      </x:c>
      <x:c r="AJ513" t="n">
        <x:f>--AND(AI513=1,R513=1,S513=1)</x:f>
        <x:v>0</x:v>
      </x:c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28"/>
      <x:c r="R514" s="28"/>
      <x:c r="S514" s="28"/>
      <x:c r="T514" s="28"/>
      <x:c r="U514" s="28"/>
      <x:c r="V514" s="28"/>
      <x:c r="W514" s="43" t="n">
        <x:f>--AND(N514=1,OR(O514="SUPPORTED",O514="HALLUCINATION"))</x:f>
        <x:v>0</x:v>
      </x:c>
      <x:c r="X514" s="43" t="n">
        <x:f>--AND(W514=1,O514="HALLUCINATION")</x:f>
        <x:v>0</x:v>
      </x:c>
      <x:c r="Y514" s="43" t="n">
        <x:f>--AND(Q514=1,O514="HALLUCINATION")</x:f>
        <x:v>0</x:v>
      </x:c>
      <x:c r="Z514" s="43" t="n">
        <x:f>--AND(Y514=1,R514=1,S514=1)</x:f>
        <x:v>0</x:v>
      </x:c>
      <x:c r="AC514" t="str">
        <x:f>IF(OR(AA514="",AB514=""),"",--(AA514&lt;&gt;AB514))</x:f>
      </x:c>
      <x:c r="AE514" t="str">
        <x:f>IF(OR(AA514="",AB514=""),"PENDING_HUMAN",IF(AA514=AB514,AA514,IF(AD514&lt;&gt;"",AD514,"PENDING_HUMAN")))</x:f>
        <x:v>PENDING_HUMAN</x:v>
      </x:c>
      <x:c r="AF514" t="n">
        <x:f>--AND(A514&lt;&gt;"",AA514&lt;&gt;"",AB514&lt;&gt;"",OR(AA514=AB514,AD514&lt;&gt;""),IF(AE514="HALLUCINATION",U514&lt;&gt;"",TRUE))</x:f>
        <x:v>0</x:v>
      </x:c>
      <x:c r="AG514" t="n">
        <x:f>--AND(N514=1,AF514=1,OR(AE514="SUPPORTED",AE514="HALLUCINATION"))</x:f>
        <x:v>0</x:v>
      </x:c>
      <x:c r="AH514" t="n">
        <x:f>--AND(AG514=1,AE514="HALLUCINATION")</x:f>
        <x:v>0</x:v>
      </x:c>
      <x:c r="AI514" t="n">
        <x:f>--AND(Q514=1,AF514=1,AE514="HALLUCINATION")</x:f>
        <x:v>0</x:v>
      </x:c>
      <x:c r="AJ514" t="n">
        <x:f>--AND(AI514=1,R514=1,S514=1)</x:f>
        <x:v>0</x:v>
      </x:c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28"/>
      <x:c r="R515" s="28"/>
      <x:c r="S515" s="28"/>
      <x:c r="T515" s="28"/>
      <x:c r="U515" s="28"/>
      <x:c r="V515" s="28"/>
      <x:c r="W515" s="43" t="n">
        <x:f>--AND(N515=1,OR(O515="SUPPORTED",O515="HALLUCINATION"))</x:f>
        <x:v>0</x:v>
      </x:c>
      <x:c r="X515" s="43" t="n">
        <x:f>--AND(W515=1,O515="HALLUCINATION")</x:f>
        <x:v>0</x:v>
      </x:c>
      <x:c r="Y515" s="43" t="n">
        <x:f>--AND(Q515=1,O515="HALLUCINATION")</x:f>
        <x:v>0</x:v>
      </x:c>
      <x:c r="Z515" s="43" t="n">
        <x:f>--AND(Y515=1,R515=1,S515=1)</x:f>
        <x:v>0</x:v>
      </x:c>
      <x:c r="AC515" t="str">
        <x:f>IF(OR(AA515="",AB515=""),"",--(AA515&lt;&gt;AB515))</x:f>
      </x:c>
      <x:c r="AE515" t="str">
        <x:f>IF(OR(AA515="",AB515=""),"PENDING_HUMAN",IF(AA515=AB515,AA515,IF(AD515&lt;&gt;"",AD515,"PENDING_HUMAN")))</x:f>
        <x:v>PENDING_HUMAN</x:v>
      </x:c>
      <x:c r="AF515" t="n">
        <x:f>--AND(A515&lt;&gt;"",AA515&lt;&gt;"",AB515&lt;&gt;"",OR(AA515=AB515,AD515&lt;&gt;""),IF(AE515="HALLUCINATION",U515&lt;&gt;"",TRUE))</x:f>
        <x:v>0</x:v>
      </x:c>
      <x:c r="AG515" t="n">
        <x:f>--AND(N515=1,AF515=1,OR(AE515="SUPPORTED",AE515="HALLUCINATION"))</x:f>
        <x:v>0</x:v>
      </x:c>
      <x:c r="AH515" t="n">
        <x:f>--AND(AG515=1,AE515="HALLUCINATION")</x:f>
        <x:v>0</x:v>
      </x:c>
      <x:c r="AI515" t="n">
        <x:f>--AND(Q515=1,AF515=1,AE515="HALLUCINATION")</x:f>
        <x:v>0</x:v>
      </x:c>
      <x:c r="AJ515" t="n">
        <x:f>--AND(AI515=1,R515=1,S515=1)</x:f>
        <x:v>0</x:v>
      </x:c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28"/>
      <x:c r="R516" s="28"/>
      <x:c r="S516" s="28"/>
      <x:c r="T516" s="28"/>
      <x:c r="U516" s="28"/>
      <x:c r="V516" s="28"/>
      <x:c r="W516" s="43" t="n">
        <x:f>--AND(N516=1,OR(O516="SUPPORTED",O516="HALLUCINATION"))</x:f>
        <x:v>0</x:v>
      </x:c>
      <x:c r="X516" s="43" t="n">
        <x:f>--AND(W516=1,O516="HALLUCINATION")</x:f>
        <x:v>0</x:v>
      </x:c>
      <x:c r="Y516" s="43" t="n">
        <x:f>--AND(Q516=1,O516="HALLUCINATION")</x:f>
        <x:v>0</x:v>
      </x:c>
      <x:c r="Z516" s="43" t="n">
        <x:f>--AND(Y516=1,R516=1,S516=1)</x:f>
        <x:v>0</x:v>
      </x:c>
      <x:c r="AC516" t="str">
        <x:f>IF(OR(AA516="",AB516=""),"",--(AA516&lt;&gt;AB516))</x:f>
      </x:c>
      <x:c r="AE516" t="str">
        <x:f>IF(OR(AA516="",AB516=""),"PENDING_HUMAN",IF(AA516=AB516,AA516,IF(AD516&lt;&gt;"",AD516,"PENDING_HUMAN")))</x:f>
        <x:v>PENDING_HUMAN</x:v>
      </x:c>
      <x:c r="AF516" t="n">
        <x:f>--AND(A516&lt;&gt;"",AA516&lt;&gt;"",AB516&lt;&gt;"",OR(AA516=AB516,AD516&lt;&gt;""),IF(AE516="HALLUCINATION",U516&lt;&gt;"",TRUE))</x:f>
        <x:v>0</x:v>
      </x:c>
      <x:c r="AG516" t="n">
        <x:f>--AND(N516=1,AF516=1,OR(AE516="SUPPORTED",AE516="HALLUCINATION"))</x:f>
        <x:v>0</x:v>
      </x:c>
      <x:c r="AH516" t="n">
        <x:f>--AND(AG516=1,AE516="HALLUCINATION")</x:f>
        <x:v>0</x:v>
      </x:c>
      <x:c r="AI516" t="n">
        <x:f>--AND(Q516=1,AF516=1,AE516="HALLUCINATION")</x:f>
        <x:v>0</x:v>
      </x:c>
      <x:c r="AJ516" t="n">
        <x:f>--AND(AI516=1,R516=1,S516=1)</x:f>
        <x:v>0</x:v>
      </x:c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28"/>
      <x:c r="R517" s="28"/>
      <x:c r="S517" s="28"/>
      <x:c r="T517" s="28"/>
      <x:c r="U517" s="28"/>
      <x:c r="V517" s="28"/>
      <x:c r="W517" s="43" t="n">
        <x:f>--AND(N517=1,OR(O517="SUPPORTED",O517="HALLUCINATION"))</x:f>
        <x:v>0</x:v>
      </x:c>
      <x:c r="X517" s="43" t="n">
        <x:f>--AND(W517=1,O517="HALLUCINATION")</x:f>
        <x:v>0</x:v>
      </x:c>
      <x:c r="Y517" s="43" t="n">
        <x:f>--AND(Q517=1,O517="HALLUCINATION")</x:f>
        <x:v>0</x:v>
      </x:c>
      <x:c r="Z517" s="43" t="n">
        <x:f>--AND(Y517=1,R517=1,S517=1)</x:f>
        <x:v>0</x:v>
      </x:c>
      <x:c r="AC517" t="str">
        <x:f>IF(OR(AA517="",AB517=""),"",--(AA517&lt;&gt;AB517))</x:f>
      </x:c>
      <x:c r="AE517" t="str">
        <x:f>IF(OR(AA517="",AB517=""),"PENDING_HUMAN",IF(AA517=AB517,AA517,IF(AD517&lt;&gt;"",AD517,"PENDING_HUMAN")))</x:f>
        <x:v>PENDING_HUMAN</x:v>
      </x:c>
      <x:c r="AF517" t="n">
        <x:f>--AND(A517&lt;&gt;"",AA517&lt;&gt;"",AB517&lt;&gt;"",OR(AA517=AB517,AD517&lt;&gt;""),IF(AE517="HALLUCINATION",U517&lt;&gt;"",TRUE))</x:f>
        <x:v>0</x:v>
      </x:c>
      <x:c r="AG517" t="n">
        <x:f>--AND(N517=1,AF517=1,OR(AE517="SUPPORTED",AE517="HALLUCINATION"))</x:f>
        <x:v>0</x:v>
      </x:c>
      <x:c r="AH517" t="n">
        <x:f>--AND(AG517=1,AE517="HALLUCINATION")</x:f>
        <x:v>0</x:v>
      </x:c>
      <x:c r="AI517" t="n">
        <x:f>--AND(Q517=1,AF517=1,AE517="HALLUCINATION")</x:f>
        <x:v>0</x:v>
      </x:c>
      <x:c r="AJ517" t="n">
        <x:f>--AND(AI517=1,R517=1,S517=1)</x:f>
        <x:v>0</x:v>
      </x:c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28"/>
      <x:c r="R518" s="28"/>
      <x:c r="S518" s="28"/>
      <x:c r="T518" s="28"/>
      <x:c r="U518" s="28"/>
      <x:c r="V518" s="28"/>
      <x:c r="W518" s="43" t="n">
        <x:f>--AND(N518=1,OR(O518="SUPPORTED",O518="HALLUCINATION"))</x:f>
        <x:v>0</x:v>
      </x:c>
      <x:c r="X518" s="43" t="n">
        <x:f>--AND(W518=1,O518="HALLUCINATION")</x:f>
        <x:v>0</x:v>
      </x:c>
      <x:c r="Y518" s="43" t="n">
        <x:f>--AND(Q518=1,O518="HALLUCINATION")</x:f>
        <x:v>0</x:v>
      </x:c>
      <x:c r="Z518" s="43" t="n">
        <x:f>--AND(Y518=1,R518=1,S518=1)</x:f>
        <x:v>0</x:v>
      </x:c>
      <x:c r="AC518" t="str">
        <x:f>IF(OR(AA518="",AB518=""),"",--(AA518&lt;&gt;AB518))</x:f>
      </x:c>
      <x:c r="AE518" t="str">
        <x:f>IF(OR(AA518="",AB518=""),"PENDING_HUMAN",IF(AA518=AB518,AA518,IF(AD518&lt;&gt;"",AD518,"PENDING_HUMAN")))</x:f>
        <x:v>PENDING_HUMAN</x:v>
      </x:c>
      <x:c r="AF518" t="n">
        <x:f>--AND(A518&lt;&gt;"",AA518&lt;&gt;"",AB518&lt;&gt;"",OR(AA518=AB518,AD518&lt;&gt;""),IF(AE518="HALLUCINATION",U518&lt;&gt;"",TRUE))</x:f>
        <x:v>0</x:v>
      </x:c>
      <x:c r="AG518" t="n">
        <x:f>--AND(N518=1,AF518=1,OR(AE518="SUPPORTED",AE518="HALLUCINATION"))</x:f>
        <x:v>0</x:v>
      </x:c>
      <x:c r="AH518" t="n">
        <x:f>--AND(AG518=1,AE518="HALLUCINATION")</x:f>
        <x:v>0</x:v>
      </x:c>
      <x:c r="AI518" t="n">
        <x:f>--AND(Q518=1,AF518=1,AE518="HALLUCINATION")</x:f>
        <x:v>0</x:v>
      </x:c>
      <x:c r="AJ518" t="n">
        <x:f>--AND(AI518=1,R518=1,S518=1)</x:f>
        <x:v>0</x:v>
      </x:c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28"/>
      <x:c r="R519" s="28"/>
      <x:c r="S519" s="28"/>
      <x:c r="T519" s="28"/>
      <x:c r="U519" s="28"/>
      <x:c r="V519" s="28"/>
      <x:c r="W519" s="43" t="n">
        <x:f>--AND(N519=1,OR(O519="SUPPORTED",O519="HALLUCINATION"))</x:f>
        <x:v>0</x:v>
      </x:c>
      <x:c r="X519" s="43" t="n">
        <x:f>--AND(W519=1,O519="HALLUCINATION")</x:f>
        <x:v>0</x:v>
      </x:c>
      <x:c r="Y519" s="43" t="n">
        <x:f>--AND(Q519=1,O519="HALLUCINATION")</x:f>
        <x:v>0</x:v>
      </x:c>
      <x:c r="Z519" s="43" t="n">
        <x:f>--AND(Y519=1,R519=1,S519=1)</x:f>
        <x:v>0</x:v>
      </x:c>
      <x:c r="AC519" t="str">
        <x:f>IF(OR(AA519="",AB519=""),"",--(AA519&lt;&gt;AB519))</x:f>
      </x:c>
      <x:c r="AE519" t="str">
        <x:f>IF(OR(AA519="",AB519=""),"PENDING_HUMAN",IF(AA519=AB519,AA519,IF(AD519&lt;&gt;"",AD519,"PENDING_HUMAN")))</x:f>
        <x:v>PENDING_HUMAN</x:v>
      </x:c>
      <x:c r="AF519" t="n">
        <x:f>--AND(A519&lt;&gt;"",AA519&lt;&gt;"",AB519&lt;&gt;"",OR(AA519=AB519,AD519&lt;&gt;""),IF(AE519="HALLUCINATION",U519&lt;&gt;"",TRUE))</x:f>
        <x:v>0</x:v>
      </x:c>
      <x:c r="AG519" t="n">
        <x:f>--AND(N519=1,AF519=1,OR(AE519="SUPPORTED",AE519="HALLUCINATION"))</x:f>
        <x:v>0</x:v>
      </x:c>
      <x:c r="AH519" t="n">
        <x:f>--AND(AG519=1,AE519="HALLUCINATION")</x:f>
        <x:v>0</x:v>
      </x:c>
      <x:c r="AI519" t="n">
        <x:f>--AND(Q519=1,AF519=1,AE519="HALLUCINATION")</x:f>
        <x:v>0</x:v>
      </x:c>
      <x:c r="AJ519" t="n">
        <x:f>--AND(AI519=1,R519=1,S519=1)</x:f>
        <x:v>0</x:v>
      </x:c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28"/>
      <x:c r="R520" s="28"/>
      <x:c r="S520" s="28"/>
      <x:c r="T520" s="28"/>
      <x:c r="U520" s="28"/>
      <x:c r="V520" s="28"/>
      <x:c r="W520" s="43" t="n">
        <x:f>--AND(N520=1,OR(O520="SUPPORTED",O520="HALLUCINATION"))</x:f>
        <x:v>0</x:v>
      </x:c>
      <x:c r="X520" s="43" t="n">
        <x:f>--AND(W520=1,O520="HALLUCINATION")</x:f>
        <x:v>0</x:v>
      </x:c>
      <x:c r="Y520" s="43" t="n">
        <x:f>--AND(Q520=1,O520="HALLUCINATION")</x:f>
        <x:v>0</x:v>
      </x:c>
      <x:c r="Z520" s="43" t="n">
        <x:f>--AND(Y520=1,R520=1,S520=1)</x:f>
        <x:v>0</x:v>
      </x:c>
      <x:c r="AC520" t="str">
        <x:f>IF(OR(AA520="",AB520=""),"",--(AA520&lt;&gt;AB520))</x:f>
      </x:c>
      <x:c r="AE520" t="str">
        <x:f>IF(OR(AA520="",AB520=""),"PENDING_HUMAN",IF(AA520=AB520,AA520,IF(AD520&lt;&gt;"",AD520,"PENDING_HUMAN")))</x:f>
        <x:v>PENDING_HUMAN</x:v>
      </x:c>
      <x:c r="AF520" t="n">
        <x:f>--AND(A520&lt;&gt;"",AA520&lt;&gt;"",AB520&lt;&gt;"",OR(AA520=AB520,AD520&lt;&gt;""),IF(AE520="HALLUCINATION",U520&lt;&gt;"",TRUE))</x:f>
        <x:v>0</x:v>
      </x:c>
      <x:c r="AG520" t="n">
        <x:f>--AND(N520=1,AF520=1,OR(AE520="SUPPORTED",AE520="HALLUCINATION"))</x:f>
        <x:v>0</x:v>
      </x:c>
      <x:c r="AH520" t="n">
        <x:f>--AND(AG520=1,AE520="HALLUCINATION")</x:f>
        <x:v>0</x:v>
      </x:c>
      <x:c r="AI520" t="n">
        <x:f>--AND(Q520=1,AF520=1,AE520="HALLUCINATION")</x:f>
        <x:v>0</x:v>
      </x:c>
      <x:c r="AJ520" t="n">
        <x:f>--AND(AI520=1,R520=1,S520=1)</x:f>
        <x:v>0</x:v>
      </x:c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28"/>
      <x:c r="R521" s="28"/>
      <x:c r="S521" s="28"/>
      <x:c r="T521" s="28"/>
      <x:c r="U521" s="28"/>
      <x:c r="V521" s="28"/>
      <x:c r="W521" s="43" t="n">
        <x:f>--AND(N521=1,OR(O521="SUPPORTED",O521="HALLUCINATION"))</x:f>
        <x:v>0</x:v>
      </x:c>
      <x:c r="X521" s="43" t="n">
        <x:f>--AND(W521=1,O521="HALLUCINATION")</x:f>
        <x:v>0</x:v>
      </x:c>
      <x:c r="Y521" s="43" t="n">
        <x:f>--AND(Q521=1,O521="HALLUCINATION")</x:f>
        <x:v>0</x:v>
      </x:c>
      <x:c r="Z521" s="43" t="n">
        <x:f>--AND(Y521=1,R521=1,S521=1)</x:f>
        <x:v>0</x:v>
      </x:c>
      <x:c r="AC521" t="str">
        <x:f>IF(OR(AA521="",AB521=""),"",--(AA521&lt;&gt;AB521))</x:f>
      </x:c>
      <x:c r="AE521" t="str">
        <x:f>IF(OR(AA521="",AB521=""),"PENDING_HUMAN",IF(AA521=AB521,AA521,IF(AD521&lt;&gt;"",AD521,"PENDING_HUMAN")))</x:f>
        <x:v>PENDING_HUMAN</x:v>
      </x:c>
      <x:c r="AF521" t="n">
        <x:f>--AND(A521&lt;&gt;"",AA521&lt;&gt;"",AB521&lt;&gt;"",OR(AA521=AB521,AD521&lt;&gt;""),IF(AE521="HALLUCINATION",U521&lt;&gt;"",TRUE))</x:f>
        <x:v>0</x:v>
      </x:c>
      <x:c r="AG521" t="n">
        <x:f>--AND(N521=1,AF521=1,OR(AE521="SUPPORTED",AE521="HALLUCINATION"))</x:f>
        <x:v>0</x:v>
      </x:c>
      <x:c r="AH521" t="n">
        <x:f>--AND(AG521=1,AE521="HALLUCINATION")</x:f>
        <x:v>0</x:v>
      </x:c>
      <x:c r="AI521" t="n">
        <x:f>--AND(Q521=1,AF521=1,AE521="HALLUCINATION")</x:f>
        <x:v>0</x:v>
      </x:c>
      <x:c r="AJ521" t="n">
        <x:f>--AND(AI521=1,R521=1,S521=1)</x:f>
        <x:v>0</x:v>
      </x:c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28"/>
      <x:c r="R522" s="28"/>
      <x:c r="S522" s="28"/>
      <x:c r="T522" s="28"/>
      <x:c r="U522" s="28"/>
      <x:c r="V522" s="28"/>
      <x:c r="W522" s="43" t="n">
        <x:f>--AND(N522=1,OR(O522="SUPPORTED",O522="HALLUCINATION"))</x:f>
        <x:v>0</x:v>
      </x:c>
      <x:c r="X522" s="43" t="n">
        <x:f>--AND(W522=1,O522="HALLUCINATION")</x:f>
        <x:v>0</x:v>
      </x:c>
      <x:c r="Y522" s="43" t="n">
        <x:f>--AND(Q522=1,O522="HALLUCINATION")</x:f>
        <x:v>0</x:v>
      </x:c>
      <x:c r="Z522" s="43" t="n">
        <x:f>--AND(Y522=1,R522=1,S522=1)</x:f>
        <x:v>0</x:v>
      </x:c>
      <x:c r="AC522" t="str">
        <x:f>IF(OR(AA522="",AB522=""),"",--(AA522&lt;&gt;AB522))</x:f>
      </x:c>
      <x:c r="AE522" t="str">
        <x:f>IF(OR(AA522="",AB522=""),"PENDING_HUMAN",IF(AA522=AB522,AA522,IF(AD522&lt;&gt;"",AD522,"PENDING_HUMAN")))</x:f>
        <x:v>PENDING_HUMAN</x:v>
      </x:c>
      <x:c r="AF522" t="n">
        <x:f>--AND(A522&lt;&gt;"",AA522&lt;&gt;"",AB522&lt;&gt;"",OR(AA522=AB522,AD522&lt;&gt;""),IF(AE522="HALLUCINATION",U522&lt;&gt;"",TRUE))</x:f>
        <x:v>0</x:v>
      </x:c>
      <x:c r="AG522" t="n">
        <x:f>--AND(N522=1,AF522=1,OR(AE522="SUPPORTED",AE522="HALLUCINATION"))</x:f>
        <x:v>0</x:v>
      </x:c>
      <x:c r="AH522" t="n">
        <x:f>--AND(AG522=1,AE522="HALLUCINATION")</x:f>
        <x:v>0</x:v>
      </x:c>
      <x:c r="AI522" t="n">
        <x:f>--AND(Q522=1,AF522=1,AE522="HALLUCINATION")</x:f>
        <x:v>0</x:v>
      </x:c>
      <x:c r="AJ522" t="n">
        <x:f>--AND(AI522=1,R522=1,S522=1)</x:f>
        <x:v>0</x:v>
      </x:c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28"/>
      <x:c r="R523" s="28"/>
      <x:c r="S523" s="28"/>
      <x:c r="T523" s="28"/>
      <x:c r="U523" s="28"/>
      <x:c r="V523" s="28"/>
      <x:c r="W523" s="43" t="n">
        <x:f>--AND(N523=1,OR(O523="SUPPORTED",O523="HALLUCINATION"))</x:f>
        <x:v>0</x:v>
      </x:c>
      <x:c r="X523" s="43" t="n">
        <x:f>--AND(W523=1,O523="HALLUCINATION")</x:f>
        <x:v>0</x:v>
      </x:c>
      <x:c r="Y523" s="43" t="n">
        <x:f>--AND(Q523=1,O523="HALLUCINATION")</x:f>
        <x:v>0</x:v>
      </x:c>
      <x:c r="Z523" s="43" t="n">
        <x:f>--AND(Y523=1,R523=1,S523=1)</x:f>
        <x:v>0</x:v>
      </x:c>
      <x:c r="AC523" t="str">
        <x:f>IF(OR(AA523="",AB523=""),"",--(AA523&lt;&gt;AB523))</x:f>
      </x:c>
      <x:c r="AE523" t="str">
        <x:f>IF(OR(AA523="",AB523=""),"PENDING_HUMAN",IF(AA523=AB523,AA523,IF(AD523&lt;&gt;"",AD523,"PENDING_HUMAN")))</x:f>
        <x:v>PENDING_HUMAN</x:v>
      </x:c>
      <x:c r="AF523" t="n">
        <x:f>--AND(A523&lt;&gt;"",AA523&lt;&gt;"",AB523&lt;&gt;"",OR(AA523=AB523,AD523&lt;&gt;""),IF(AE523="HALLUCINATION",U523&lt;&gt;"",TRUE))</x:f>
        <x:v>0</x:v>
      </x:c>
      <x:c r="AG523" t="n">
        <x:f>--AND(N523=1,AF523=1,OR(AE523="SUPPORTED",AE523="HALLUCINATION"))</x:f>
        <x:v>0</x:v>
      </x:c>
      <x:c r="AH523" t="n">
        <x:f>--AND(AG523=1,AE523="HALLUCINATION")</x:f>
        <x:v>0</x:v>
      </x:c>
      <x:c r="AI523" t="n">
        <x:f>--AND(Q523=1,AF523=1,AE523="HALLUCINATION")</x:f>
        <x:v>0</x:v>
      </x:c>
      <x:c r="AJ523" t="n">
        <x:f>--AND(AI523=1,R523=1,S523=1)</x:f>
        <x:v>0</x:v>
      </x:c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28"/>
      <x:c r="R524" s="28"/>
      <x:c r="S524" s="28"/>
      <x:c r="T524" s="28"/>
      <x:c r="U524" s="28"/>
      <x:c r="V524" s="28"/>
      <x:c r="W524" s="43" t="n">
        <x:f>--AND(N524=1,OR(O524="SUPPORTED",O524="HALLUCINATION"))</x:f>
        <x:v>0</x:v>
      </x:c>
      <x:c r="X524" s="43" t="n">
        <x:f>--AND(W524=1,O524="HALLUCINATION")</x:f>
        <x:v>0</x:v>
      </x:c>
      <x:c r="Y524" s="43" t="n">
        <x:f>--AND(Q524=1,O524="HALLUCINATION")</x:f>
        <x:v>0</x:v>
      </x:c>
      <x:c r="Z524" s="43" t="n">
        <x:f>--AND(Y524=1,R524=1,S524=1)</x:f>
        <x:v>0</x:v>
      </x:c>
      <x:c r="AC524" t="str">
        <x:f>IF(OR(AA524="",AB524=""),"",--(AA524&lt;&gt;AB524))</x:f>
      </x:c>
      <x:c r="AE524" t="str">
        <x:f>IF(OR(AA524="",AB524=""),"PENDING_HUMAN",IF(AA524=AB524,AA524,IF(AD524&lt;&gt;"",AD524,"PENDING_HUMAN")))</x:f>
        <x:v>PENDING_HUMAN</x:v>
      </x:c>
      <x:c r="AF524" t="n">
        <x:f>--AND(A524&lt;&gt;"",AA524&lt;&gt;"",AB524&lt;&gt;"",OR(AA524=AB524,AD524&lt;&gt;""),IF(AE524="HALLUCINATION",U524&lt;&gt;"",TRUE))</x:f>
        <x:v>0</x:v>
      </x:c>
      <x:c r="AG524" t="n">
        <x:f>--AND(N524=1,AF524=1,OR(AE524="SUPPORTED",AE524="HALLUCINATION"))</x:f>
        <x:v>0</x:v>
      </x:c>
      <x:c r="AH524" t="n">
        <x:f>--AND(AG524=1,AE524="HALLUCINATION")</x:f>
        <x:v>0</x:v>
      </x:c>
      <x:c r="AI524" t="n">
        <x:f>--AND(Q524=1,AF524=1,AE524="HALLUCINATION")</x:f>
        <x:v>0</x:v>
      </x:c>
      <x:c r="AJ524" t="n">
        <x:f>--AND(AI524=1,R524=1,S524=1)</x:f>
        <x:v>0</x:v>
      </x:c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28"/>
      <x:c r="R525" s="28"/>
      <x:c r="S525" s="28"/>
      <x:c r="T525" s="28"/>
      <x:c r="U525" s="28"/>
      <x:c r="V525" s="28"/>
      <x:c r="W525" s="43" t="n">
        <x:f>--AND(N525=1,OR(O525="SUPPORTED",O525="HALLUCINATION"))</x:f>
        <x:v>0</x:v>
      </x:c>
      <x:c r="X525" s="43" t="n">
        <x:f>--AND(W525=1,O525="HALLUCINATION")</x:f>
        <x:v>0</x:v>
      </x:c>
      <x:c r="Y525" s="43" t="n">
        <x:f>--AND(Q525=1,O525="HALLUCINATION")</x:f>
        <x:v>0</x:v>
      </x:c>
      <x:c r="Z525" s="43" t="n">
        <x:f>--AND(Y525=1,R525=1,S525=1)</x:f>
        <x:v>0</x:v>
      </x:c>
      <x:c r="AC525" t="str">
        <x:f>IF(OR(AA525="",AB525=""),"",--(AA525&lt;&gt;AB525))</x:f>
      </x:c>
      <x:c r="AE525" t="str">
        <x:f>IF(OR(AA525="",AB525=""),"PENDING_HUMAN",IF(AA525=AB525,AA525,IF(AD525&lt;&gt;"",AD525,"PENDING_HUMAN")))</x:f>
        <x:v>PENDING_HUMAN</x:v>
      </x:c>
      <x:c r="AF525" t="n">
        <x:f>--AND(A525&lt;&gt;"",AA525&lt;&gt;"",AB525&lt;&gt;"",OR(AA525=AB525,AD525&lt;&gt;""),IF(AE525="HALLUCINATION",U525&lt;&gt;"",TRUE))</x:f>
        <x:v>0</x:v>
      </x:c>
      <x:c r="AG525" t="n">
        <x:f>--AND(N525=1,AF525=1,OR(AE525="SUPPORTED",AE525="HALLUCINATION"))</x:f>
        <x:v>0</x:v>
      </x:c>
      <x:c r="AH525" t="n">
        <x:f>--AND(AG525=1,AE525="HALLUCINATION")</x:f>
        <x:v>0</x:v>
      </x:c>
      <x:c r="AI525" t="n">
        <x:f>--AND(Q525=1,AF525=1,AE525="HALLUCINATION")</x:f>
        <x:v>0</x:v>
      </x:c>
      <x:c r="AJ525" t="n">
        <x:f>--AND(AI525=1,R525=1,S525=1)</x:f>
        <x:v>0</x:v>
      </x:c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28"/>
      <x:c r="R526" s="28"/>
      <x:c r="S526" s="28"/>
      <x:c r="T526" s="28"/>
      <x:c r="U526" s="28"/>
      <x:c r="V526" s="28"/>
      <x:c r="W526" s="43" t="n">
        <x:f>--AND(N526=1,OR(O526="SUPPORTED",O526="HALLUCINATION"))</x:f>
        <x:v>0</x:v>
      </x:c>
      <x:c r="X526" s="43" t="n">
        <x:f>--AND(W526=1,O526="HALLUCINATION")</x:f>
        <x:v>0</x:v>
      </x:c>
      <x:c r="Y526" s="43" t="n">
        <x:f>--AND(Q526=1,O526="HALLUCINATION")</x:f>
        <x:v>0</x:v>
      </x:c>
      <x:c r="Z526" s="43" t="n">
        <x:f>--AND(Y526=1,R526=1,S526=1)</x:f>
        <x:v>0</x:v>
      </x:c>
      <x:c r="AC526" t="str">
        <x:f>IF(OR(AA526="",AB526=""),"",--(AA526&lt;&gt;AB526))</x:f>
      </x:c>
      <x:c r="AE526" t="str">
        <x:f>IF(OR(AA526="",AB526=""),"PENDING_HUMAN",IF(AA526=AB526,AA526,IF(AD526&lt;&gt;"",AD526,"PENDING_HUMAN")))</x:f>
        <x:v>PENDING_HUMAN</x:v>
      </x:c>
      <x:c r="AF526" t="n">
        <x:f>--AND(A526&lt;&gt;"",AA526&lt;&gt;"",AB526&lt;&gt;"",OR(AA526=AB526,AD526&lt;&gt;""),IF(AE526="HALLUCINATION",U526&lt;&gt;"",TRUE))</x:f>
        <x:v>0</x:v>
      </x:c>
      <x:c r="AG526" t="n">
        <x:f>--AND(N526=1,AF526=1,OR(AE526="SUPPORTED",AE526="HALLUCINATION"))</x:f>
        <x:v>0</x:v>
      </x:c>
      <x:c r="AH526" t="n">
        <x:f>--AND(AG526=1,AE526="HALLUCINATION")</x:f>
        <x:v>0</x:v>
      </x:c>
      <x:c r="AI526" t="n">
        <x:f>--AND(Q526=1,AF526=1,AE526="HALLUCINATION")</x:f>
        <x:v>0</x:v>
      </x:c>
      <x:c r="AJ526" t="n">
        <x:f>--AND(AI526=1,R526=1,S526=1)</x:f>
        <x:v>0</x:v>
      </x:c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28"/>
      <x:c r="R527" s="28"/>
      <x:c r="S527" s="28"/>
      <x:c r="T527" s="28"/>
      <x:c r="U527" s="28"/>
      <x:c r="V527" s="28"/>
      <x:c r="W527" s="43" t="n">
        <x:f>--AND(N527=1,OR(O527="SUPPORTED",O527="HALLUCINATION"))</x:f>
        <x:v>0</x:v>
      </x:c>
      <x:c r="X527" s="43" t="n">
        <x:f>--AND(W527=1,O527="HALLUCINATION")</x:f>
        <x:v>0</x:v>
      </x:c>
      <x:c r="Y527" s="43" t="n">
        <x:f>--AND(Q527=1,O527="HALLUCINATION")</x:f>
        <x:v>0</x:v>
      </x:c>
      <x:c r="Z527" s="43" t="n">
        <x:f>--AND(Y527=1,R527=1,S527=1)</x:f>
        <x:v>0</x:v>
      </x:c>
      <x:c r="AC527" t="str">
        <x:f>IF(OR(AA527="",AB527=""),"",--(AA527&lt;&gt;AB527))</x:f>
      </x:c>
      <x:c r="AE527" t="str">
        <x:f>IF(OR(AA527="",AB527=""),"PENDING_HUMAN",IF(AA527=AB527,AA527,IF(AD527&lt;&gt;"",AD527,"PENDING_HUMAN")))</x:f>
        <x:v>PENDING_HUMAN</x:v>
      </x:c>
      <x:c r="AF527" t="n">
        <x:f>--AND(A527&lt;&gt;"",AA527&lt;&gt;"",AB527&lt;&gt;"",OR(AA527=AB527,AD527&lt;&gt;""),IF(AE527="HALLUCINATION",U527&lt;&gt;"",TRUE))</x:f>
        <x:v>0</x:v>
      </x:c>
      <x:c r="AG527" t="n">
        <x:f>--AND(N527=1,AF527=1,OR(AE527="SUPPORTED",AE527="HALLUCINATION"))</x:f>
        <x:v>0</x:v>
      </x:c>
      <x:c r="AH527" t="n">
        <x:f>--AND(AG527=1,AE527="HALLUCINATION")</x:f>
        <x:v>0</x:v>
      </x:c>
      <x:c r="AI527" t="n">
        <x:f>--AND(Q527=1,AF527=1,AE527="HALLUCINATION")</x:f>
        <x:v>0</x:v>
      </x:c>
      <x:c r="AJ527" t="n">
        <x:f>--AND(AI527=1,R527=1,S527=1)</x:f>
        <x:v>0</x:v>
      </x:c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28"/>
      <x:c r="R528" s="28"/>
      <x:c r="S528" s="28"/>
      <x:c r="T528" s="28"/>
      <x:c r="U528" s="28"/>
      <x:c r="V528" s="28"/>
      <x:c r="W528" s="43" t="n">
        <x:f>--AND(N528=1,OR(O528="SUPPORTED",O528="HALLUCINATION"))</x:f>
        <x:v>0</x:v>
      </x:c>
      <x:c r="X528" s="43" t="n">
        <x:f>--AND(W528=1,O528="HALLUCINATION")</x:f>
        <x:v>0</x:v>
      </x:c>
      <x:c r="Y528" s="43" t="n">
        <x:f>--AND(Q528=1,O528="HALLUCINATION")</x:f>
        <x:v>0</x:v>
      </x:c>
      <x:c r="Z528" s="43" t="n">
        <x:f>--AND(Y528=1,R528=1,S528=1)</x:f>
        <x:v>0</x:v>
      </x:c>
      <x:c r="AC528" t="str">
        <x:f>IF(OR(AA528="",AB528=""),"",--(AA528&lt;&gt;AB528))</x:f>
      </x:c>
      <x:c r="AE528" t="str">
        <x:f>IF(OR(AA528="",AB528=""),"PENDING_HUMAN",IF(AA528=AB528,AA528,IF(AD528&lt;&gt;"",AD528,"PENDING_HUMAN")))</x:f>
        <x:v>PENDING_HUMAN</x:v>
      </x:c>
      <x:c r="AF528" t="n">
        <x:f>--AND(A528&lt;&gt;"",AA528&lt;&gt;"",AB528&lt;&gt;"",OR(AA528=AB528,AD528&lt;&gt;""),IF(AE528="HALLUCINATION",U528&lt;&gt;"",TRUE))</x:f>
        <x:v>0</x:v>
      </x:c>
      <x:c r="AG528" t="n">
        <x:f>--AND(N528=1,AF528=1,OR(AE528="SUPPORTED",AE528="HALLUCINATION"))</x:f>
        <x:v>0</x:v>
      </x:c>
      <x:c r="AH528" t="n">
        <x:f>--AND(AG528=1,AE528="HALLUCINATION")</x:f>
        <x:v>0</x:v>
      </x:c>
      <x:c r="AI528" t="n">
        <x:f>--AND(Q528=1,AF528=1,AE528="HALLUCINATION")</x:f>
        <x:v>0</x:v>
      </x:c>
      <x:c r="AJ528" t="n">
        <x:f>--AND(AI528=1,R528=1,S528=1)</x:f>
        <x:v>0</x:v>
      </x:c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28"/>
      <x:c r="R529" s="28"/>
      <x:c r="S529" s="28"/>
      <x:c r="T529" s="28"/>
      <x:c r="U529" s="28"/>
      <x:c r="V529" s="28"/>
      <x:c r="W529" s="43" t="n">
        <x:f>--AND(N529=1,OR(O529="SUPPORTED",O529="HALLUCINATION"))</x:f>
        <x:v>0</x:v>
      </x:c>
      <x:c r="X529" s="43" t="n">
        <x:f>--AND(W529=1,O529="HALLUCINATION")</x:f>
        <x:v>0</x:v>
      </x:c>
      <x:c r="Y529" s="43" t="n">
        <x:f>--AND(Q529=1,O529="HALLUCINATION")</x:f>
        <x:v>0</x:v>
      </x:c>
      <x:c r="Z529" s="43" t="n">
        <x:f>--AND(Y529=1,R529=1,S529=1)</x:f>
        <x:v>0</x:v>
      </x:c>
      <x:c r="AC529" t="str">
        <x:f>IF(OR(AA529="",AB529=""),"",--(AA529&lt;&gt;AB529))</x:f>
      </x:c>
      <x:c r="AE529" t="str">
        <x:f>IF(OR(AA529="",AB529=""),"PENDING_HUMAN",IF(AA529=AB529,AA529,IF(AD529&lt;&gt;"",AD529,"PENDING_HUMAN")))</x:f>
        <x:v>PENDING_HUMAN</x:v>
      </x:c>
      <x:c r="AF529" t="n">
        <x:f>--AND(A529&lt;&gt;"",AA529&lt;&gt;"",AB529&lt;&gt;"",OR(AA529=AB529,AD529&lt;&gt;""),IF(AE529="HALLUCINATION",U529&lt;&gt;"",TRUE))</x:f>
        <x:v>0</x:v>
      </x:c>
      <x:c r="AG529" t="n">
        <x:f>--AND(N529=1,AF529=1,OR(AE529="SUPPORTED",AE529="HALLUCINATION"))</x:f>
        <x:v>0</x:v>
      </x:c>
      <x:c r="AH529" t="n">
        <x:f>--AND(AG529=1,AE529="HALLUCINATION")</x:f>
        <x:v>0</x:v>
      </x:c>
      <x:c r="AI529" t="n">
        <x:f>--AND(Q529=1,AF529=1,AE529="HALLUCINATION")</x:f>
        <x:v>0</x:v>
      </x:c>
      <x:c r="AJ529" t="n">
        <x:f>--AND(AI529=1,R529=1,S529=1)</x:f>
        <x:v>0</x:v>
      </x:c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28"/>
      <x:c r="R530" s="28"/>
      <x:c r="S530" s="28"/>
      <x:c r="T530" s="28"/>
      <x:c r="U530" s="28"/>
      <x:c r="V530" s="28"/>
      <x:c r="W530" s="43" t="n">
        <x:f>--AND(N530=1,OR(O530="SUPPORTED",O530="HALLUCINATION"))</x:f>
        <x:v>0</x:v>
      </x:c>
      <x:c r="X530" s="43" t="n">
        <x:f>--AND(W530=1,O530="HALLUCINATION")</x:f>
        <x:v>0</x:v>
      </x:c>
      <x:c r="Y530" s="43" t="n">
        <x:f>--AND(Q530=1,O530="HALLUCINATION")</x:f>
        <x:v>0</x:v>
      </x:c>
      <x:c r="Z530" s="43" t="n">
        <x:f>--AND(Y530=1,R530=1,S530=1)</x:f>
        <x:v>0</x:v>
      </x:c>
      <x:c r="AC530" t="str">
        <x:f>IF(OR(AA530="",AB530=""),"",--(AA530&lt;&gt;AB530))</x:f>
      </x:c>
      <x:c r="AE530" t="str">
        <x:f>IF(OR(AA530="",AB530=""),"PENDING_HUMAN",IF(AA530=AB530,AA530,IF(AD530&lt;&gt;"",AD530,"PENDING_HUMAN")))</x:f>
        <x:v>PENDING_HUMAN</x:v>
      </x:c>
      <x:c r="AF530" t="n">
        <x:f>--AND(A530&lt;&gt;"",AA530&lt;&gt;"",AB530&lt;&gt;"",OR(AA530=AB530,AD530&lt;&gt;""),IF(AE530="HALLUCINATION",U530&lt;&gt;"",TRUE))</x:f>
        <x:v>0</x:v>
      </x:c>
      <x:c r="AG530" t="n">
        <x:f>--AND(N530=1,AF530=1,OR(AE530="SUPPORTED",AE530="HALLUCINATION"))</x:f>
        <x:v>0</x:v>
      </x:c>
      <x:c r="AH530" t="n">
        <x:f>--AND(AG530=1,AE530="HALLUCINATION")</x:f>
        <x:v>0</x:v>
      </x:c>
      <x:c r="AI530" t="n">
        <x:f>--AND(Q530=1,AF530=1,AE530="HALLUCINATION")</x:f>
        <x:v>0</x:v>
      </x:c>
      <x:c r="AJ530" t="n">
        <x:f>--AND(AI530=1,R530=1,S530=1)</x:f>
        <x:v>0</x:v>
      </x:c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28"/>
      <x:c r="R531" s="28"/>
      <x:c r="S531" s="28"/>
      <x:c r="T531" s="28"/>
      <x:c r="U531" s="28"/>
      <x:c r="V531" s="28"/>
      <x:c r="W531" s="43" t="n">
        <x:f>--AND(N531=1,OR(O531="SUPPORTED",O531="HALLUCINATION"))</x:f>
        <x:v>0</x:v>
      </x:c>
      <x:c r="X531" s="43" t="n">
        <x:f>--AND(W531=1,O531="HALLUCINATION")</x:f>
        <x:v>0</x:v>
      </x:c>
      <x:c r="Y531" s="43" t="n">
        <x:f>--AND(Q531=1,O531="HALLUCINATION")</x:f>
        <x:v>0</x:v>
      </x:c>
      <x:c r="Z531" s="43" t="n">
        <x:f>--AND(Y531=1,R531=1,S531=1)</x:f>
        <x:v>0</x:v>
      </x:c>
      <x:c r="AC531" t="str">
        <x:f>IF(OR(AA531="",AB531=""),"",--(AA531&lt;&gt;AB531))</x:f>
      </x:c>
      <x:c r="AE531" t="str">
        <x:f>IF(OR(AA531="",AB531=""),"PENDING_HUMAN",IF(AA531=AB531,AA531,IF(AD531&lt;&gt;"",AD531,"PENDING_HUMAN")))</x:f>
        <x:v>PENDING_HUMAN</x:v>
      </x:c>
      <x:c r="AF531" t="n">
        <x:f>--AND(A531&lt;&gt;"",AA531&lt;&gt;"",AB531&lt;&gt;"",OR(AA531=AB531,AD531&lt;&gt;""),IF(AE531="HALLUCINATION",U531&lt;&gt;"",TRUE))</x:f>
        <x:v>0</x:v>
      </x:c>
      <x:c r="AG531" t="n">
        <x:f>--AND(N531=1,AF531=1,OR(AE531="SUPPORTED",AE531="HALLUCINATION"))</x:f>
        <x:v>0</x:v>
      </x:c>
      <x:c r="AH531" t="n">
        <x:f>--AND(AG531=1,AE531="HALLUCINATION")</x:f>
        <x:v>0</x:v>
      </x:c>
      <x:c r="AI531" t="n">
        <x:f>--AND(Q531=1,AF531=1,AE531="HALLUCINATION")</x:f>
        <x:v>0</x:v>
      </x:c>
      <x:c r="AJ531" t="n">
        <x:f>--AND(AI531=1,R531=1,S531=1)</x:f>
        <x:v>0</x:v>
      </x:c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28"/>
      <x:c r="R532" s="28"/>
      <x:c r="S532" s="28"/>
      <x:c r="T532" s="28"/>
      <x:c r="U532" s="28"/>
      <x:c r="V532" s="28"/>
      <x:c r="W532" s="43" t="n">
        <x:f>--AND(N532=1,OR(O532="SUPPORTED",O532="HALLUCINATION"))</x:f>
        <x:v>0</x:v>
      </x:c>
      <x:c r="X532" s="43" t="n">
        <x:f>--AND(W532=1,O532="HALLUCINATION")</x:f>
        <x:v>0</x:v>
      </x:c>
      <x:c r="Y532" s="43" t="n">
        <x:f>--AND(Q532=1,O532="HALLUCINATION")</x:f>
        <x:v>0</x:v>
      </x:c>
      <x:c r="Z532" s="43" t="n">
        <x:f>--AND(Y532=1,R532=1,S532=1)</x:f>
        <x:v>0</x:v>
      </x:c>
      <x:c r="AC532" t="str">
        <x:f>IF(OR(AA532="",AB532=""),"",--(AA532&lt;&gt;AB532))</x:f>
      </x:c>
      <x:c r="AE532" t="str">
        <x:f>IF(OR(AA532="",AB532=""),"PENDING_HUMAN",IF(AA532=AB532,AA532,IF(AD532&lt;&gt;"",AD532,"PENDING_HUMAN")))</x:f>
        <x:v>PENDING_HUMAN</x:v>
      </x:c>
      <x:c r="AF532" t="n">
        <x:f>--AND(A532&lt;&gt;"",AA532&lt;&gt;"",AB532&lt;&gt;"",OR(AA532=AB532,AD532&lt;&gt;""),IF(AE532="HALLUCINATION",U532&lt;&gt;"",TRUE))</x:f>
        <x:v>0</x:v>
      </x:c>
      <x:c r="AG532" t="n">
        <x:f>--AND(N532=1,AF532=1,OR(AE532="SUPPORTED",AE532="HALLUCINATION"))</x:f>
        <x:v>0</x:v>
      </x:c>
      <x:c r="AH532" t="n">
        <x:f>--AND(AG532=1,AE532="HALLUCINATION")</x:f>
        <x:v>0</x:v>
      </x:c>
      <x:c r="AI532" t="n">
        <x:f>--AND(Q532=1,AF532=1,AE532="HALLUCINATION")</x:f>
        <x:v>0</x:v>
      </x:c>
      <x:c r="AJ532" t="n">
        <x:f>--AND(AI532=1,R532=1,S532=1)</x:f>
        <x:v>0</x:v>
      </x:c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28"/>
      <x:c r="R533" s="28"/>
      <x:c r="S533" s="28"/>
      <x:c r="T533" s="28"/>
      <x:c r="U533" s="28"/>
      <x:c r="V533" s="28"/>
      <x:c r="W533" s="43" t="n">
        <x:f>--AND(N533=1,OR(O533="SUPPORTED",O533="HALLUCINATION"))</x:f>
        <x:v>0</x:v>
      </x:c>
      <x:c r="X533" s="43" t="n">
        <x:f>--AND(W533=1,O533="HALLUCINATION")</x:f>
        <x:v>0</x:v>
      </x:c>
      <x:c r="Y533" s="43" t="n">
        <x:f>--AND(Q533=1,O533="HALLUCINATION")</x:f>
        <x:v>0</x:v>
      </x:c>
      <x:c r="Z533" s="43" t="n">
        <x:f>--AND(Y533=1,R533=1,S533=1)</x:f>
        <x:v>0</x:v>
      </x:c>
      <x:c r="AC533" t="str">
        <x:f>IF(OR(AA533="",AB533=""),"",--(AA533&lt;&gt;AB533))</x:f>
      </x:c>
      <x:c r="AE533" t="str">
        <x:f>IF(OR(AA533="",AB533=""),"PENDING_HUMAN",IF(AA533=AB533,AA533,IF(AD533&lt;&gt;"",AD533,"PENDING_HUMAN")))</x:f>
        <x:v>PENDING_HUMAN</x:v>
      </x:c>
      <x:c r="AF533" t="n">
        <x:f>--AND(A533&lt;&gt;"",AA533&lt;&gt;"",AB533&lt;&gt;"",OR(AA533=AB533,AD533&lt;&gt;""),IF(AE533="HALLUCINATION",U533&lt;&gt;"",TRUE))</x:f>
        <x:v>0</x:v>
      </x:c>
      <x:c r="AG533" t="n">
        <x:f>--AND(N533=1,AF533=1,OR(AE533="SUPPORTED",AE533="HALLUCINATION"))</x:f>
        <x:v>0</x:v>
      </x:c>
      <x:c r="AH533" t="n">
        <x:f>--AND(AG533=1,AE533="HALLUCINATION")</x:f>
        <x:v>0</x:v>
      </x:c>
      <x:c r="AI533" t="n">
        <x:f>--AND(Q533=1,AF533=1,AE533="HALLUCINATION")</x:f>
        <x:v>0</x:v>
      </x:c>
      <x:c r="AJ533" t="n">
        <x:f>--AND(AI533=1,R533=1,S533=1)</x:f>
        <x:v>0</x:v>
      </x:c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28"/>
      <x:c r="R534" s="28"/>
      <x:c r="S534" s="28"/>
      <x:c r="T534" s="28"/>
      <x:c r="U534" s="28"/>
      <x:c r="V534" s="28"/>
      <x:c r="W534" s="43" t="n">
        <x:f>--AND(N534=1,OR(O534="SUPPORTED",O534="HALLUCINATION"))</x:f>
        <x:v>0</x:v>
      </x:c>
      <x:c r="X534" s="43" t="n">
        <x:f>--AND(W534=1,O534="HALLUCINATION")</x:f>
        <x:v>0</x:v>
      </x:c>
      <x:c r="Y534" s="43" t="n">
        <x:f>--AND(Q534=1,O534="HALLUCINATION")</x:f>
        <x:v>0</x:v>
      </x:c>
      <x:c r="Z534" s="43" t="n">
        <x:f>--AND(Y534=1,R534=1,S534=1)</x:f>
        <x:v>0</x:v>
      </x:c>
      <x:c r="AC534" t="str">
        <x:f>IF(OR(AA534="",AB534=""),"",--(AA534&lt;&gt;AB534))</x:f>
      </x:c>
      <x:c r="AE534" t="str">
        <x:f>IF(OR(AA534="",AB534=""),"PENDING_HUMAN",IF(AA534=AB534,AA534,IF(AD534&lt;&gt;"",AD534,"PENDING_HUMAN")))</x:f>
        <x:v>PENDING_HUMAN</x:v>
      </x:c>
      <x:c r="AF534" t="n">
        <x:f>--AND(A534&lt;&gt;"",AA534&lt;&gt;"",AB534&lt;&gt;"",OR(AA534=AB534,AD534&lt;&gt;""),IF(AE534="HALLUCINATION",U534&lt;&gt;"",TRUE))</x:f>
        <x:v>0</x:v>
      </x:c>
      <x:c r="AG534" t="n">
        <x:f>--AND(N534=1,AF534=1,OR(AE534="SUPPORTED",AE534="HALLUCINATION"))</x:f>
        <x:v>0</x:v>
      </x:c>
      <x:c r="AH534" t="n">
        <x:f>--AND(AG534=1,AE534="HALLUCINATION")</x:f>
        <x:v>0</x:v>
      </x:c>
      <x:c r="AI534" t="n">
        <x:f>--AND(Q534=1,AF534=1,AE534="HALLUCINATION")</x:f>
        <x:v>0</x:v>
      </x:c>
      <x:c r="AJ534" t="n">
        <x:f>--AND(AI534=1,R534=1,S534=1)</x:f>
        <x:v>0</x:v>
      </x:c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28"/>
      <x:c r="R535" s="28"/>
      <x:c r="S535" s="28"/>
      <x:c r="T535" s="28"/>
      <x:c r="U535" s="28"/>
      <x:c r="V535" s="28"/>
      <x:c r="W535" s="43" t="n">
        <x:f>--AND(N535=1,OR(O535="SUPPORTED",O535="HALLUCINATION"))</x:f>
        <x:v>0</x:v>
      </x:c>
      <x:c r="X535" s="43" t="n">
        <x:f>--AND(W535=1,O535="HALLUCINATION")</x:f>
        <x:v>0</x:v>
      </x:c>
      <x:c r="Y535" s="43" t="n">
        <x:f>--AND(Q535=1,O535="HALLUCINATION")</x:f>
        <x:v>0</x:v>
      </x:c>
      <x:c r="Z535" s="43" t="n">
        <x:f>--AND(Y535=1,R535=1,S535=1)</x:f>
        <x:v>0</x:v>
      </x:c>
      <x:c r="AC535" t="str">
        <x:f>IF(OR(AA535="",AB535=""),"",--(AA535&lt;&gt;AB535))</x:f>
      </x:c>
      <x:c r="AE535" t="str">
        <x:f>IF(OR(AA535="",AB535=""),"PENDING_HUMAN",IF(AA535=AB535,AA535,IF(AD535&lt;&gt;"",AD535,"PENDING_HUMAN")))</x:f>
        <x:v>PENDING_HUMAN</x:v>
      </x:c>
      <x:c r="AF535" t="n">
        <x:f>--AND(A535&lt;&gt;"",AA535&lt;&gt;"",AB535&lt;&gt;"",OR(AA535=AB535,AD535&lt;&gt;""),IF(AE535="HALLUCINATION",U535&lt;&gt;"",TRUE))</x:f>
        <x:v>0</x:v>
      </x:c>
      <x:c r="AG535" t="n">
        <x:f>--AND(N535=1,AF535=1,OR(AE535="SUPPORTED",AE535="HALLUCINATION"))</x:f>
        <x:v>0</x:v>
      </x:c>
      <x:c r="AH535" t="n">
        <x:f>--AND(AG535=1,AE535="HALLUCINATION")</x:f>
        <x:v>0</x:v>
      </x:c>
      <x:c r="AI535" t="n">
        <x:f>--AND(Q535=1,AF535=1,AE535="HALLUCINATION")</x:f>
        <x:v>0</x:v>
      </x:c>
      <x:c r="AJ535" t="n">
        <x:f>--AND(AI535=1,R535=1,S535=1)</x:f>
        <x:v>0</x:v>
      </x:c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28"/>
      <x:c r="R536" s="28"/>
      <x:c r="S536" s="28"/>
      <x:c r="T536" s="28"/>
      <x:c r="U536" s="28"/>
      <x:c r="V536" s="28"/>
      <x:c r="W536" s="43" t="n">
        <x:f>--AND(N536=1,OR(O536="SUPPORTED",O536="HALLUCINATION"))</x:f>
        <x:v>0</x:v>
      </x:c>
      <x:c r="X536" s="43" t="n">
        <x:f>--AND(W536=1,O536="HALLUCINATION")</x:f>
        <x:v>0</x:v>
      </x:c>
      <x:c r="Y536" s="43" t="n">
        <x:f>--AND(Q536=1,O536="HALLUCINATION")</x:f>
        <x:v>0</x:v>
      </x:c>
      <x:c r="Z536" s="43" t="n">
        <x:f>--AND(Y536=1,R536=1,S536=1)</x:f>
        <x:v>0</x:v>
      </x:c>
      <x:c r="AC536" t="str">
        <x:f>IF(OR(AA536="",AB536=""),"",--(AA536&lt;&gt;AB536))</x:f>
      </x:c>
      <x:c r="AE536" t="str">
        <x:f>IF(OR(AA536="",AB536=""),"PENDING_HUMAN",IF(AA536=AB536,AA536,IF(AD536&lt;&gt;"",AD536,"PENDING_HUMAN")))</x:f>
        <x:v>PENDING_HUMAN</x:v>
      </x:c>
      <x:c r="AF536" t="n">
        <x:f>--AND(A536&lt;&gt;"",AA536&lt;&gt;"",AB536&lt;&gt;"",OR(AA536=AB536,AD536&lt;&gt;""),IF(AE536="HALLUCINATION",U536&lt;&gt;"",TRUE))</x:f>
        <x:v>0</x:v>
      </x:c>
      <x:c r="AG536" t="n">
        <x:f>--AND(N536=1,AF536=1,OR(AE536="SUPPORTED",AE536="HALLUCINATION"))</x:f>
        <x:v>0</x:v>
      </x:c>
      <x:c r="AH536" t="n">
        <x:f>--AND(AG536=1,AE536="HALLUCINATION")</x:f>
        <x:v>0</x:v>
      </x:c>
      <x:c r="AI536" t="n">
        <x:f>--AND(Q536=1,AF536=1,AE536="HALLUCINATION")</x:f>
        <x:v>0</x:v>
      </x:c>
      <x:c r="AJ536" t="n">
        <x:f>--AND(AI536=1,R536=1,S536=1)</x:f>
        <x:v>0</x:v>
      </x:c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28"/>
      <x:c r="R537" s="28"/>
      <x:c r="S537" s="28"/>
      <x:c r="T537" s="28"/>
      <x:c r="U537" s="28"/>
      <x:c r="V537" s="28"/>
      <x:c r="W537" s="43" t="n">
        <x:f>--AND(N537=1,OR(O537="SUPPORTED",O537="HALLUCINATION"))</x:f>
        <x:v>0</x:v>
      </x:c>
      <x:c r="X537" s="43" t="n">
        <x:f>--AND(W537=1,O537="HALLUCINATION")</x:f>
        <x:v>0</x:v>
      </x:c>
      <x:c r="Y537" s="43" t="n">
        <x:f>--AND(Q537=1,O537="HALLUCINATION")</x:f>
        <x:v>0</x:v>
      </x:c>
      <x:c r="Z537" s="43" t="n">
        <x:f>--AND(Y537=1,R537=1,S537=1)</x:f>
        <x:v>0</x:v>
      </x:c>
      <x:c r="AC537" t="str">
        <x:f>IF(OR(AA537="",AB537=""),"",--(AA537&lt;&gt;AB537))</x:f>
      </x:c>
      <x:c r="AE537" t="str">
        <x:f>IF(OR(AA537="",AB537=""),"PENDING_HUMAN",IF(AA537=AB537,AA537,IF(AD537&lt;&gt;"",AD537,"PENDING_HUMAN")))</x:f>
        <x:v>PENDING_HUMAN</x:v>
      </x:c>
      <x:c r="AF537" t="n">
        <x:f>--AND(A537&lt;&gt;"",AA537&lt;&gt;"",AB537&lt;&gt;"",OR(AA537=AB537,AD537&lt;&gt;""),IF(AE537="HALLUCINATION",U537&lt;&gt;"",TRUE))</x:f>
        <x:v>0</x:v>
      </x:c>
      <x:c r="AG537" t="n">
        <x:f>--AND(N537=1,AF537=1,OR(AE537="SUPPORTED",AE537="HALLUCINATION"))</x:f>
        <x:v>0</x:v>
      </x:c>
      <x:c r="AH537" t="n">
        <x:f>--AND(AG537=1,AE537="HALLUCINATION")</x:f>
        <x:v>0</x:v>
      </x:c>
      <x:c r="AI537" t="n">
        <x:f>--AND(Q537=1,AF537=1,AE537="HALLUCINATION")</x:f>
        <x:v>0</x:v>
      </x:c>
      <x:c r="AJ537" t="n">
        <x:f>--AND(AI537=1,R537=1,S537=1)</x:f>
        <x:v>0</x:v>
      </x:c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28"/>
      <x:c r="R538" s="28"/>
      <x:c r="S538" s="28"/>
      <x:c r="T538" s="28"/>
      <x:c r="U538" s="28"/>
      <x:c r="V538" s="28"/>
      <x:c r="W538" s="43" t="n">
        <x:f>--AND(N538=1,OR(O538="SUPPORTED",O538="HALLUCINATION"))</x:f>
        <x:v>0</x:v>
      </x:c>
      <x:c r="X538" s="43" t="n">
        <x:f>--AND(W538=1,O538="HALLUCINATION")</x:f>
        <x:v>0</x:v>
      </x:c>
      <x:c r="Y538" s="43" t="n">
        <x:f>--AND(Q538=1,O538="HALLUCINATION")</x:f>
        <x:v>0</x:v>
      </x:c>
      <x:c r="Z538" s="43" t="n">
        <x:f>--AND(Y538=1,R538=1,S538=1)</x:f>
        <x:v>0</x:v>
      </x:c>
      <x:c r="AC538" t="str">
        <x:f>IF(OR(AA538="",AB538=""),"",--(AA538&lt;&gt;AB538))</x:f>
      </x:c>
      <x:c r="AE538" t="str">
        <x:f>IF(OR(AA538="",AB538=""),"PENDING_HUMAN",IF(AA538=AB538,AA538,IF(AD538&lt;&gt;"",AD538,"PENDING_HUMAN")))</x:f>
        <x:v>PENDING_HUMAN</x:v>
      </x:c>
      <x:c r="AF538" t="n">
        <x:f>--AND(A538&lt;&gt;"",AA538&lt;&gt;"",AB538&lt;&gt;"",OR(AA538=AB538,AD538&lt;&gt;""),IF(AE538="HALLUCINATION",U538&lt;&gt;"",TRUE))</x:f>
        <x:v>0</x:v>
      </x:c>
      <x:c r="AG538" t="n">
        <x:f>--AND(N538=1,AF538=1,OR(AE538="SUPPORTED",AE538="HALLUCINATION"))</x:f>
        <x:v>0</x:v>
      </x:c>
      <x:c r="AH538" t="n">
        <x:f>--AND(AG538=1,AE538="HALLUCINATION")</x:f>
        <x:v>0</x:v>
      </x:c>
      <x:c r="AI538" t="n">
        <x:f>--AND(Q538=1,AF538=1,AE538="HALLUCINATION")</x:f>
        <x:v>0</x:v>
      </x:c>
      <x:c r="AJ538" t="n">
        <x:f>--AND(AI538=1,R538=1,S538=1)</x:f>
        <x:v>0</x:v>
      </x:c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28"/>
      <x:c r="R539" s="28"/>
      <x:c r="S539" s="28"/>
      <x:c r="T539" s="28"/>
      <x:c r="U539" s="28"/>
      <x:c r="V539" s="28"/>
      <x:c r="W539" s="43" t="n">
        <x:f>--AND(N539=1,OR(O539="SUPPORTED",O539="HALLUCINATION"))</x:f>
        <x:v>0</x:v>
      </x:c>
      <x:c r="X539" s="43" t="n">
        <x:f>--AND(W539=1,O539="HALLUCINATION")</x:f>
        <x:v>0</x:v>
      </x:c>
      <x:c r="Y539" s="43" t="n">
        <x:f>--AND(Q539=1,O539="HALLUCINATION")</x:f>
        <x:v>0</x:v>
      </x:c>
      <x:c r="Z539" s="43" t="n">
        <x:f>--AND(Y539=1,R539=1,S539=1)</x:f>
        <x:v>0</x:v>
      </x:c>
      <x:c r="AC539" t="str">
        <x:f>IF(OR(AA539="",AB539=""),"",--(AA539&lt;&gt;AB539))</x:f>
      </x:c>
      <x:c r="AE539" t="str">
        <x:f>IF(OR(AA539="",AB539=""),"PENDING_HUMAN",IF(AA539=AB539,AA539,IF(AD539&lt;&gt;"",AD539,"PENDING_HUMAN")))</x:f>
        <x:v>PENDING_HUMAN</x:v>
      </x:c>
      <x:c r="AF539" t="n">
        <x:f>--AND(A539&lt;&gt;"",AA539&lt;&gt;"",AB539&lt;&gt;"",OR(AA539=AB539,AD539&lt;&gt;""),IF(AE539="HALLUCINATION",U539&lt;&gt;"",TRUE))</x:f>
        <x:v>0</x:v>
      </x:c>
      <x:c r="AG539" t="n">
        <x:f>--AND(N539=1,AF539=1,OR(AE539="SUPPORTED",AE539="HALLUCINATION"))</x:f>
        <x:v>0</x:v>
      </x:c>
      <x:c r="AH539" t="n">
        <x:f>--AND(AG539=1,AE539="HALLUCINATION")</x:f>
        <x:v>0</x:v>
      </x:c>
      <x:c r="AI539" t="n">
        <x:f>--AND(Q539=1,AF539=1,AE539="HALLUCINATION")</x:f>
        <x:v>0</x:v>
      </x:c>
      <x:c r="AJ539" t="n">
        <x:f>--AND(AI539=1,R539=1,S539=1)</x:f>
        <x:v>0</x:v>
      </x:c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28"/>
      <x:c r="R540" s="28"/>
      <x:c r="S540" s="28"/>
      <x:c r="T540" s="28"/>
      <x:c r="U540" s="28"/>
      <x:c r="V540" s="28"/>
      <x:c r="W540" s="43" t="n">
        <x:f>--AND(N540=1,OR(O540="SUPPORTED",O540="HALLUCINATION"))</x:f>
        <x:v>0</x:v>
      </x:c>
      <x:c r="X540" s="43" t="n">
        <x:f>--AND(W540=1,O540="HALLUCINATION")</x:f>
        <x:v>0</x:v>
      </x:c>
      <x:c r="Y540" s="43" t="n">
        <x:f>--AND(Q540=1,O540="HALLUCINATION")</x:f>
        <x:v>0</x:v>
      </x:c>
      <x:c r="Z540" s="43" t="n">
        <x:f>--AND(Y540=1,R540=1,S540=1)</x:f>
        <x:v>0</x:v>
      </x:c>
      <x:c r="AC540" t="str">
        <x:f>IF(OR(AA540="",AB540=""),"",--(AA540&lt;&gt;AB540))</x:f>
      </x:c>
      <x:c r="AE540" t="str">
        <x:f>IF(OR(AA540="",AB540=""),"PENDING_HUMAN",IF(AA540=AB540,AA540,IF(AD540&lt;&gt;"",AD540,"PENDING_HUMAN")))</x:f>
        <x:v>PENDING_HUMAN</x:v>
      </x:c>
      <x:c r="AF540" t="n">
        <x:f>--AND(A540&lt;&gt;"",AA540&lt;&gt;"",AB540&lt;&gt;"",OR(AA540=AB540,AD540&lt;&gt;""),IF(AE540="HALLUCINATION",U540&lt;&gt;"",TRUE))</x:f>
        <x:v>0</x:v>
      </x:c>
      <x:c r="AG540" t="n">
        <x:f>--AND(N540=1,AF540=1,OR(AE540="SUPPORTED",AE540="HALLUCINATION"))</x:f>
        <x:v>0</x:v>
      </x:c>
      <x:c r="AH540" t="n">
        <x:f>--AND(AG540=1,AE540="HALLUCINATION")</x:f>
        <x:v>0</x:v>
      </x:c>
      <x:c r="AI540" t="n">
        <x:f>--AND(Q540=1,AF540=1,AE540="HALLUCINATION")</x:f>
        <x:v>0</x:v>
      </x:c>
      <x:c r="AJ540" t="n">
        <x:f>--AND(AI540=1,R540=1,S540=1)</x:f>
        <x:v>0</x:v>
      </x:c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28"/>
      <x:c r="R541" s="28"/>
      <x:c r="S541" s="28"/>
      <x:c r="T541" s="28"/>
      <x:c r="U541" s="28"/>
      <x:c r="V541" s="28"/>
      <x:c r="W541" s="43" t="n">
        <x:f>--AND(N541=1,OR(O541="SUPPORTED",O541="HALLUCINATION"))</x:f>
        <x:v>0</x:v>
      </x:c>
      <x:c r="X541" s="43" t="n">
        <x:f>--AND(W541=1,O541="HALLUCINATION")</x:f>
        <x:v>0</x:v>
      </x:c>
      <x:c r="Y541" s="43" t="n">
        <x:f>--AND(Q541=1,O541="HALLUCINATION")</x:f>
        <x:v>0</x:v>
      </x:c>
      <x:c r="Z541" s="43" t="n">
        <x:f>--AND(Y541=1,R541=1,S541=1)</x:f>
        <x:v>0</x:v>
      </x:c>
      <x:c r="AC541" t="str">
        <x:f>IF(OR(AA541="",AB541=""),"",--(AA541&lt;&gt;AB541))</x:f>
      </x:c>
      <x:c r="AE541" t="str">
        <x:f>IF(OR(AA541="",AB541=""),"PENDING_HUMAN",IF(AA541=AB541,AA541,IF(AD541&lt;&gt;"",AD541,"PENDING_HUMAN")))</x:f>
        <x:v>PENDING_HUMAN</x:v>
      </x:c>
      <x:c r="AF541" t="n">
        <x:f>--AND(A541&lt;&gt;"",AA541&lt;&gt;"",AB541&lt;&gt;"",OR(AA541=AB541,AD541&lt;&gt;""),IF(AE541="HALLUCINATION",U541&lt;&gt;"",TRUE))</x:f>
        <x:v>0</x:v>
      </x:c>
      <x:c r="AG541" t="n">
        <x:f>--AND(N541=1,AF541=1,OR(AE541="SUPPORTED",AE541="HALLUCINATION"))</x:f>
        <x:v>0</x:v>
      </x:c>
      <x:c r="AH541" t="n">
        <x:f>--AND(AG541=1,AE541="HALLUCINATION")</x:f>
        <x:v>0</x:v>
      </x:c>
      <x:c r="AI541" t="n">
        <x:f>--AND(Q541=1,AF541=1,AE541="HALLUCINATION")</x:f>
        <x:v>0</x:v>
      </x:c>
      <x:c r="AJ541" t="n">
        <x:f>--AND(AI541=1,R541=1,S541=1)</x:f>
        <x:v>0</x:v>
      </x:c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28"/>
      <x:c r="R542" s="28"/>
      <x:c r="S542" s="28"/>
      <x:c r="T542" s="28"/>
      <x:c r="U542" s="28"/>
      <x:c r="V542" s="28"/>
      <x:c r="W542" s="43" t="n">
        <x:f>--AND(N542=1,OR(O542="SUPPORTED",O542="HALLUCINATION"))</x:f>
        <x:v>0</x:v>
      </x:c>
      <x:c r="X542" s="43" t="n">
        <x:f>--AND(W542=1,O542="HALLUCINATION")</x:f>
        <x:v>0</x:v>
      </x:c>
      <x:c r="Y542" s="43" t="n">
        <x:f>--AND(Q542=1,O542="HALLUCINATION")</x:f>
        <x:v>0</x:v>
      </x:c>
      <x:c r="Z542" s="43" t="n">
        <x:f>--AND(Y542=1,R542=1,S542=1)</x:f>
        <x:v>0</x:v>
      </x:c>
      <x:c r="AC542" t="str">
        <x:f>IF(OR(AA542="",AB542=""),"",--(AA542&lt;&gt;AB542))</x:f>
      </x:c>
      <x:c r="AE542" t="str">
        <x:f>IF(OR(AA542="",AB542=""),"PENDING_HUMAN",IF(AA542=AB542,AA542,IF(AD542&lt;&gt;"",AD542,"PENDING_HUMAN")))</x:f>
        <x:v>PENDING_HUMAN</x:v>
      </x:c>
      <x:c r="AF542" t="n">
        <x:f>--AND(A542&lt;&gt;"",AA542&lt;&gt;"",AB542&lt;&gt;"",OR(AA542=AB542,AD542&lt;&gt;""),IF(AE542="HALLUCINATION",U542&lt;&gt;"",TRUE))</x:f>
        <x:v>0</x:v>
      </x:c>
      <x:c r="AG542" t="n">
        <x:f>--AND(N542=1,AF542=1,OR(AE542="SUPPORTED",AE542="HALLUCINATION"))</x:f>
        <x:v>0</x:v>
      </x:c>
      <x:c r="AH542" t="n">
        <x:f>--AND(AG542=1,AE542="HALLUCINATION")</x:f>
        <x:v>0</x:v>
      </x:c>
      <x:c r="AI542" t="n">
        <x:f>--AND(Q542=1,AF542=1,AE542="HALLUCINATION")</x:f>
        <x:v>0</x:v>
      </x:c>
      <x:c r="AJ542" t="n">
        <x:f>--AND(AI542=1,R542=1,S542=1)</x:f>
        <x:v>0</x:v>
      </x:c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28"/>
      <x:c r="R543" s="28"/>
      <x:c r="S543" s="28"/>
      <x:c r="T543" s="28"/>
      <x:c r="U543" s="28"/>
      <x:c r="V543" s="28"/>
      <x:c r="W543" s="43" t="n">
        <x:f>--AND(N543=1,OR(O543="SUPPORTED",O543="HALLUCINATION"))</x:f>
        <x:v>0</x:v>
      </x:c>
      <x:c r="X543" s="43" t="n">
        <x:f>--AND(W543=1,O543="HALLUCINATION")</x:f>
        <x:v>0</x:v>
      </x:c>
      <x:c r="Y543" s="43" t="n">
        <x:f>--AND(Q543=1,O543="HALLUCINATION")</x:f>
        <x:v>0</x:v>
      </x:c>
      <x:c r="Z543" s="43" t="n">
        <x:f>--AND(Y543=1,R543=1,S543=1)</x:f>
        <x:v>0</x:v>
      </x:c>
      <x:c r="AC543" t="str">
        <x:f>IF(OR(AA543="",AB543=""),"",--(AA543&lt;&gt;AB543))</x:f>
      </x:c>
      <x:c r="AE543" t="str">
        <x:f>IF(OR(AA543="",AB543=""),"PENDING_HUMAN",IF(AA543=AB543,AA543,IF(AD543&lt;&gt;"",AD543,"PENDING_HUMAN")))</x:f>
        <x:v>PENDING_HUMAN</x:v>
      </x:c>
      <x:c r="AF543" t="n">
        <x:f>--AND(A543&lt;&gt;"",AA543&lt;&gt;"",AB543&lt;&gt;"",OR(AA543=AB543,AD543&lt;&gt;""),IF(AE543="HALLUCINATION",U543&lt;&gt;"",TRUE))</x:f>
        <x:v>0</x:v>
      </x:c>
      <x:c r="AG543" t="n">
        <x:f>--AND(N543=1,AF543=1,OR(AE543="SUPPORTED",AE543="HALLUCINATION"))</x:f>
        <x:v>0</x:v>
      </x:c>
      <x:c r="AH543" t="n">
        <x:f>--AND(AG543=1,AE543="HALLUCINATION")</x:f>
        <x:v>0</x:v>
      </x:c>
      <x:c r="AI543" t="n">
        <x:f>--AND(Q543=1,AF543=1,AE543="HALLUCINATION")</x:f>
        <x:v>0</x:v>
      </x:c>
      <x:c r="AJ543" t="n">
        <x:f>--AND(AI543=1,R543=1,S543=1)</x:f>
        <x:v>0</x:v>
      </x:c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28"/>
      <x:c r="R544" s="28"/>
      <x:c r="S544" s="28"/>
      <x:c r="T544" s="28"/>
      <x:c r="U544" s="28"/>
      <x:c r="V544" s="28"/>
      <x:c r="W544" s="43" t="n">
        <x:f>--AND(N544=1,OR(O544="SUPPORTED",O544="HALLUCINATION"))</x:f>
        <x:v>0</x:v>
      </x:c>
      <x:c r="X544" s="43" t="n">
        <x:f>--AND(W544=1,O544="HALLUCINATION")</x:f>
        <x:v>0</x:v>
      </x:c>
      <x:c r="Y544" s="43" t="n">
        <x:f>--AND(Q544=1,O544="HALLUCINATION")</x:f>
        <x:v>0</x:v>
      </x:c>
      <x:c r="Z544" s="43" t="n">
        <x:f>--AND(Y544=1,R544=1,S544=1)</x:f>
        <x:v>0</x:v>
      </x:c>
      <x:c r="AC544" t="str">
        <x:f>IF(OR(AA544="",AB544=""),"",--(AA544&lt;&gt;AB544))</x:f>
      </x:c>
      <x:c r="AE544" t="str">
        <x:f>IF(OR(AA544="",AB544=""),"PENDING_HUMAN",IF(AA544=AB544,AA544,IF(AD544&lt;&gt;"",AD544,"PENDING_HUMAN")))</x:f>
        <x:v>PENDING_HUMAN</x:v>
      </x:c>
      <x:c r="AF544" t="n">
        <x:f>--AND(A544&lt;&gt;"",AA544&lt;&gt;"",AB544&lt;&gt;"",OR(AA544=AB544,AD544&lt;&gt;""),IF(AE544="HALLUCINATION",U544&lt;&gt;"",TRUE))</x:f>
        <x:v>0</x:v>
      </x:c>
      <x:c r="AG544" t="n">
        <x:f>--AND(N544=1,AF544=1,OR(AE544="SUPPORTED",AE544="HALLUCINATION"))</x:f>
        <x:v>0</x:v>
      </x:c>
      <x:c r="AH544" t="n">
        <x:f>--AND(AG544=1,AE544="HALLUCINATION")</x:f>
        <x:v>0</x:v>
      </x:c>
      <x:c r="AI544" t="n">
        <x:f>--AND(Q544=1,AF544=1,AE544="HALLUCINATION")</x:f>
        <x:v>0</x:v>
      </x:c>
      <x:c r="AJ544" t="n">
        <x:f>--AND(AI544=1,R544=1,S544=1)</x:f>
        <x:v>0</x:v>
      </x:c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28"/>
      <x:c r="R545" s="28"/>
      <x:c r="S545" s="28"/>
      <x:c r="T545" s="28"/>
      <x:c r="U545" s="28"/>
      <x:c r="V545" s="28"/>
      <x:c r="W545" s="43" t="n">
        <x:f>--AND(N545=1,OR(O545="SUPPORTED",O545="HALLUCINATION"))</x:f>
        <x:v>0</x:v>
      </x:c>
      <x:c r="X545" s="43" t="n">
        <x:f>--AND(W545=1,O545="HALLUCINATION")</x:f>
        <x:v>0</x:v>
      </x:c>
      <x:c r="Y545" s="43" t="n">
        <x:f>--AND(Q545=1,O545="HALLUCINATION")</x:f>
        <x:v>0</x:v>
      </x:c>
      <x:c r="Z545" s="43" t="n">
        <x:f>--AND(Y545=1,R545=1,S545=1)</x:f>
        <x:v>0</x:v>
      </x:c>
      <x:c r="AC545" t="str">
        <x:f>IF(OR(AA545="",AB545=""),"",--(AA545&lt;&gt;AB545))</x:f>
      </x:c>
      <x:c r="AE545" t="str">
        <x:f>IF(OR(AA545="",AB545=""),"PENDING_HUMAN",IF(AA545=AB545,AA545,IF(AD545&lt;&gt;"",AD545,"PENDING_HUMAN")))</x:f>
        <x:v>PENDING_HUMAN</x:v>
      </x:c>
      <x:c r="AF545" t="n">
        <x:f>--AND(A545&lt;&gt;"",AA545&lt;&gt;"",AB545&lt;&gt;"",OR(AA545=AB545,AD545&lt;&gt;""),IF(AE545="HALLUCINATION",U545&lt;&gt;"",TRUE))</x:f>
        <x:v>0</x:v>
      </x:c>
      <x:c r="AG545" t="n">
        <x:f>--AND(N545=1,AF545=1,OR(AE545="SUPPORTED",AE545="HALLUCINATION"))</x:f>
        <x:v>0</x:v>
      </x:c>
      <x:c r="AH545" t="n">
        <x:f>--AND(AG545=1,AE545="HALLUCINATION")</x:f>
        <x:v>0</x:v>
      </x:c>
      <x:c r="AI545" t="n">
        <x:f>--AND(Q545=1,AF545=1,AE545="HALLUCINATION")</x:f>
        <x:v>0</x:v>
      </x:c>
      <x:c r="AJ545" t="n">
        <x:f>--AND(AI545=1,R545=1,S545=1)</x:f>
        <x:v>0</x:v>
      </x:c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28"/>
      <x:c r="R546" s="28"/>
      <x:c r="S546" s="28"/>
      <x:c r="T546" s="28"/>
      <x:c r="U546" s="28"/>
      <x:c r="V546" s="28"/>
      <x:c r="W546" s="43" t="n">
        <x:f>--AND(N546=1,OR(O546="SUPPORTED",O546="HALLUCINATION"))</x:f>
        <x:v>0</x:v>
      </x:c>
      <x:c r="X546" s="43" t="n">
        <x:f>--AND(W546=1,O546="HALLUCINATION")</x:f>
        <x:v>0</x:v>
      </x:c>
      <x:c r="Y546" s="43" t="n">
        <x:f>--AND(Q546=1,O546="HALLUCINATION")</x:f>
        <x:v>0</x:v>
      </x:c>
      <x:c r="Z546" s="43" t="n">
        <x:f>--AND(Y546=1,R546=1,S546=1)</x:f>
        <x:v>0</x:v>
      </x:c>
      <x:c r="AC546" t="str">
        <x:f>IF(OR(AA546="",AB546=""),"",--(AA546&lt;&gt;AB546))</x:f>
      </x:c>
      <x:c r="AE546" t="str">
        <x:f>IF(OR(AA546="",AB546=""),"PENDING_HUMAN",IF(AA546=AB546,AA546,IF(AD546&lt;&gt;"",AD546,"PENDING_HUMAN")))</x:f>
        <x:v>PENDING_HUMAN</x:v>
      </x:c>
      <x:c r="AF546" t="n">
        <x:f>--AND(A546&lt;&gt;"",AA546&lt;&gt;"",AB546&lt;&gt;"",OR(AA546=AB546,AD546&lt;&gt;""),IF(AE546="HALLUCINATION",U546&lt;&gt;"",TRUE))</x:f>
        <x:v>0</x:v>
      </x:c>
      <x:c r="AG546" t="n">
        <x:f>--AND(N546=1,AF546=1,OR(AE546="SUPPORTED",AE546="HALLUCINATION"))</x:f>
        <x:v>0</x:v>
      </x:c>
      <x:c r="AH546" t="n">
        <x:f>--AND(AG546=1,AE546="HALLUCINATION")</x:f>
        <x:v>0</x:v>
      </x:c>
      <x:c r="AI546" t="n">
        <x:f>--AND(Q546=1,AF546=1,AE546="HALLUCINATION")</x:f>
        <x:v>0</x:v>
      </x:c>
      <x:c r="AJ546" t="n">
        <x:f>--AND(AI546=1,R546=1,S546=1)</x:f>
        <x:v>0</x:v>
      </x:c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28"/>
      <x:c r="R547" s="28"/>
      <x:c r="S547" s="28"/>
      <x:c r="T547" s="28"/>
      <x:c r="U547" s="28"/>
      <x:c r="V547" s="28"/>
      <x:c r="W547" s="43" t="n">
        <x:f>--AND(N547=1,OR(O547="SUPPORTED",O547="HALLUCINATION"))</x:f>
        <x:v>0</x:v>
      </x:c>
      <x:c r="X547" s="43" t="n">
        <x:f>--AND(W547=1,O547="HALLUCINATION")</x:f>
        <x:v>0</x:v>
      </x:c>
      <x:c r="Y547" s="43" t="n">
        <x:f>--AND(Q547=1,O547="HALLUCINATION")</x:f>
        <x:v>0</x:v>
      </x:c>
      <x:c r="Z547" s="43" t="n">
        <x:f>--AND(Y547=1,R547=1,S547=1)</x:f>
        <x:v>0</x:v>
      </x:c>
      <x:c r="AC547" t="str">
        <x:f>IF(OR(AA547="",AB547=""),"",--(AA547&lt;&gt;AB547))</x:f>
      </x:c>
      <x:c r="AE547" t="str">
        <x:f>IF(OR(AA547="",AB547=""),"PENDING_HUMAN",IF(AA547=AB547,AA547,IF(AD547&lt;&gt;"",AD547,"PENDING_HUMAN")))</x:f>
        <x:v>PENDING_HUMAN</x:v>
      </x:c>
      <x:c r="AF547" t="n">
        <x:f>--AND(A547&lt;&gt;"",AA547&lt;&gt;"",AB547&lt;&gt;"",OR(AA547=AB547,AD547&lt;&gt;""),IF(AE547="HALLUCINATION",U547&lt;&gt;"",TRUE))</x:f>
        <x:v>0</x:v>
      </x:c>
      <x:c r="AG547" t="n">
        <x:f>--AND(N547=1,AF547=1,OR(AE547="SUPPORTED",AE547="HALLUCINATION"))</x:f>
        <x:v>0</x:v>
      </x:c>
      <x:c r="AH547" t="n">
        <x:f>--AND(AG547=1,AE547="HALLUCINATION")</x:f>
        <x:v>0</x:v>
      </x:c>
      <x:c r="AI547" t="n">
        <x:f>--AND(Q547=1,AF547=1,AE547="HALLUCINATION")</x:f>
        <x:v>0</x:v>
      </x:c>
      <x:c r="AJ547" t="n">
        <x:f>--AND(AI547=1,R547=1,S547=1)</x:f>
        <x:v>0</x:v>
      </x:c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28"/>
      <x:c r="R548" s="28"/>
      <x:c r="S548" s="28"/>
      <x:c r="T548" s="28"/>
      <x:c r="U548" s="28"/>
      <x:c r="V548" s="28"/>
      <x:c r="W548" s="43" t="n">
        <x:f>--AND(N548=1,OR(O548="SUPPORTED",O548="HALLUCINATION"))</x:f>
        <x:v>0</x:v>
      </x:c>
      <x:c r="X548" s="43" t="n">
        <x:f>--AND(W548=1,O548="HALLUCINATION")</x:f>
        <x:v>0</x:v>
      </x:c>
      <x:c r="Y548" s="43" t="n">
        <x:f>--AND(Q548=1,O548="HALLUCINATION")</x:f>
        <x:v>0</x:v>
      </x:c>
      <x:c r="Z548" s="43" t="n">
        <x:f>--AND(Y548=1,R548=1,S548=1)</x:f>
        <x:v>0</x:v>
      </x:c>
      <x:c r="AC548" t="str">
        <x:f>IF(OR(AA548="",AB548=""),"",--(AA548&lt;&gt;AB548))</x:f>
      </x:c>
      <x:c r="AE548" t="str">
        <x:f>IF(OR(AA548="",AB548=""),"PENDING_HUMAN",IF(AA548=AB548,AA548,IF(AD548&lt;&gt;"",AD548,"PENDING_HUMAN")))</x:f>
        <x:v>PENDING_HUMAN</x:v>
      </x:c>
      <x:c r="AF548" t="n">
        <x:f>--AND(A548&lt;&gt;"",AA548&lt;&gt;"",AB548&lt;&gt;"",OR(AA548=AB548,AD548&lt;&gt;""),IF(AE548="HALLUCINATION",U548&lt;&gt;"",TRUE))</x:f>
        <x:v>0</x:v>
      </x:c>
      <x:c r="AG548" t="n">
        <x:f>--AND(N548=1,AF548=1,OR(AE548="SUPPORTED",AE548="HALLUCINATION"))</x:f>
        <x:v>0</x:v>
      </x:c>
      <x:c r="AH548" t="n">
        <x:f>--AND(AG548=1,AE548="HALLUCINATION")</x:f>
        <x:v>0</x:v>
      </x:c>
      <x:c r="AI548" t="n">
        <x:f>--AND(Q548=1,AF548=1,AE548="HALLUCINATION")</x:f>
        <x:v>0</x:v>
      </x:c>
      <x:c r="AJ548" t="n">
        <x:f>--AND(AI548=1,R548=1,S548=1)</x:f>
        <x:v>0</x:v>
      </x:c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28"/>
      <x:c r="R549" s="28"/>
      <x:c r="S549" s="28"/>
      <x:c r="T549" s="28"/>
      <x:c r="U549" s="28"/>
      <x:c r="V549" s="28"/>
      <x:c r="W549" s="43" t="n">
        <x:f>--AND(N549=1,OR(O549="SUPPORTED",O549="HALLUCINATION"))</x:f>
        <x:v>0</x:v>
      </x:c>
      <x:c r="X549" s="43" t="n">
        <x:f>--AND(W549=1,O549="HALLUCINATION")</x:f>
        <x:v>0</x:v>
      </x:c>
      <x:c r="Y549" s="43" t="n">
        <x:f>--AND(Q549=1,O549="HALLUCINATION")</x:f>
        <x:v>0</x:v>
      </x:c>
      <x:c r="Z549" s="43" t="n">
        <x:f>--AND(Y549=1,R549=1,S549=1)</x:f>
        <x:v>0</x:v>
      </x:c>
      <x:c r="AC549" t="str">
        <x:f>IF(OR(AA549="",AB549=""),"",--(AA549&lt;&gt;AB549))</x:f>
      </x:c>
      <x:c r="AE549" t="str">
        <x:f>IF(OR(AA549="",AB549=""),"PENDING_HUMAN",IF(AA549=AB549,AA549,IF(AD549&lt;&gt;"",AD549,"PENDING_HUMAN")))</x:f>
        <x:v>PENDING_HUMAN</x:v>
      </x:c>
      <x:c r="AF549" t="n">
        <x:f>--AND(A549&lt;&gt;"",AA549&lt;&gt;"",AB549&lt;&gt;"",OR(AA549=AB549,AD549&lt;&gt;""),IF(AE549="HALLUCINATION",U549&lt;&gt;"",TRUE))</x:f>
        <x:v>0</x:v>
      </x:c>
      <x:c r="AG549" t="n">
        <x:f>--AND(N549=1,AF549=1,OR(AE549="SUPPORTED",AE549="HALLUCINATION"))</x:f>
        <x:v>0</x:v>
      </x:c>
      <x:c r="AH549" t="n">
        <x:f>--AND(AG549=1,AE549="HALLUCINATION")</x:f>
        <x:v>0</x:v>
      </x:c>
      <x:c r="AI549" t="n">
        <x:f>--AND(Q549=1,AF549=1,AE549="HALLUCINATION")</x:f>
        <x:v>0</x:v>
      </x:c>
      <x:c r="AJ549" t="n">
        <x:f>--AND(AI549=1,R549=1,S549=1)</x:f>
        <x:v>0</x:v>
      </x:c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28"/>
      <x:c r="R550" s="28"/>
      <x:c r="S550" s="28"/>
      <x:c r="T550" s="28"/>
      <x:c r="U550" s="28"/>
      <x:c r="V550" s="28"/>
      <x:c r="W550" s="43" t="n">
        <x:f>--AND(N550=1,OR(O550="SUPPORTED",O550="HALLUCINATION"))</x:f>
        <x:v>0</x:v>
      </x:c>
      <x:c r="X550" s="43" t="n">
        <x:f>--AND(W550=1,O550="HALLUCINATION")</x:f>
        <x:v>0</x:v>
      </x:c>
      <x:c r="Y550" s="43" t="n">
        <x:f>--AND(Q550=1,O550="HALLUCINATION")</x:f>
        <x:v>0</x:v>
      </x:c>
      <x:c r="Z550" s="43" t="n">
        <x:f>--AND(Y550=1,R550=1,S550=1)</x:f>
        <x:v>0</x:v>
      </x:c>
      <x:c r="AC550" t="str">
        <x:f>IF(OR(AA550="",AB550=""),"",--(AA550&lt;&gt;AB550))</x:f>
      </x:c>
      <x:c r="AE550" t="str">
        <x:f>IF(OR(AA550="",AB550=""),"PENDING_HUMAN",IF(AA550=AB550,AA550,IF(AD550&lt;&gt;"",AD550,"PENDING_HUMAN")))</x:f>
        <x:v>PENDING_HUMAN</x:v>
      </x:c>
      <x:c r="AF550" t="n">
        <x:f>--AND(A550&lt;&gt;"",AA550&lt;&gt;"",AB550&lt;&gt;"",OR(AA550=AB550,AD550&lt;&gt;""),IF(AE550="HALLUCINATION",U550&lt;&gt;"",TRUE))</x:f>
        <x:v>0</x:v>
      </x:c>
      <x:c r="AG550" t="n">
        <x:f>--AND(N550=1,AF550=1,OR(AE550="SUPPORTED",AE550="HALLUCINATION"))</x:f>
        <x:v>0</x:v>
      </x:c>
      <x:c r="AH550" t="n">
        <x:f>--AND(AG550=1,AE550="HALLUCINATION")</x:f>
        <x:v>0</x:v>
      </x:c>
      <x:c r="AI550" t="n">
        <x:f>--AND(Q550=1,AF550=1,AE550="HALLUCINATION")</x:f>
        <x:v>0</x:v>
      </x:c>
      <x:c r="AJ550" t="n">
        <x:f>--AND(AI550=1,R550=1,S550=1)</x:f>
        <x:v>0</x:v>
      </x:c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28"/>
      <x:c r="R551" s="28"/>
      <x:c r="S551" s="28"/>
      <x:c r="T551" s="28"/>
      <x:c r="U551" s="28"/>
      <x:c r="V551" s="28"/>
      <x:c r="W551" s="43" t="n">
        <x:f>--AND(N551=1,OR(O551="SUPPORTED",O551="HALLUCINATION"))</x:f>
        <x:v>0</x:v>
      </x:c>
      <x:c r="X551" s="43" t="n">
        <x:f>--AND(W551=1,O551="HALLUCINATION")</x:f>
        <x:v>0</x:v>
      </x:c>
      <x:c r="Y551" s="43" t="n">
        <x:f>--AND(Q551=1,O551="HALLUCINATION")</x:f>
        <x:v>0</x:v>
      </x:c>
      <x:c r="Z551" s="43" t="n">
        <x:f>--AND(Y551=1,R551=1,S551=1)</x:f>
        <x:v>0</x:v>
      </x:c>
      <x:c r="AC551" t="str">
        <x:f>IF(OR(AA551="",AB551=""),"",--(AA551&lt;&gt;AB551))</x:f>
      </x:c>
      <x:c r="AE551" t="str">
        <x:f>IF(OR(AA551="",AB551=""),"PENDING_HUMAN",IF(AA551=AB551,AA551,IF(AD551&lt;&gt;"",AD551,"PENDING_HUMAN")))</x:f>
        <x:v>PENDING_HUMAN</x:v>
      </x:c>
      <x:c r="AF551" t="n">
        <x:f>--AND(A551&lt;&gt;"",AA551&lt;&gt;"",AB551&lt;&gt;"",OR(AA551=AB551,AD551&lt;&gt;""),IF(AE551="HALLUCINATION",U551&lt;&gt;"",TRUE))</x:f>
        <x:v>0</x:v>
      </x:c>
      <x:c r="AG551" t="n">
        <x:f>--AND(N551=1,AF551=1,OR(AE551="SUPPORTED",AE551="HALLUCINATION"))</x:f>
        <x:v>0</x:v>
      </x:c>
      <x:c r="AH551" t="n">
        <x:f>--AND(AG551=1,AE551="HALLUCINATION")</x:f>
        <x:v>0</x:v>
      </x:c>
      <x:c r="AI551" t="n">
        <x:f>--AND(Q551=1,AF551=1,AE551="HALLUCINATION")</x:f>
        <x:v>0</x:v>
      </x:c>
      <x:c r="AJ551" t="n">
        <x:f>--AND(AI551=1,R551=1,S551=1)</x:f>
        <x:v>0</x:v>
      </x:c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28"/>
      <x:c r="R552" s="28"/>
      <x:c r="S552" s="28"/>
      <x:c r="T552" s="28"/>
      <x:c r="U552" s="28"/>
      <x:c r="V552" s="28"/>
      <x:c r="W552" s="43" t="n">
        <x:f>--AND(N552=1,OR(O552="SUPPORTED",O552="HALLUCINATION"))</x:f>
        <x:v>0</x:v>
      </x:c>
      <x:c r="X552" s="43" t="n">
        <x:f>--AND(W552=1,O552="HALLUCINATION")</x:f>
        <x:v>0</x:v>
      </x:c>
      <x:c r="Y552" s="43" t="n">
        <x:f>--AND(Q552=1,O552="HALLUCINATION")</x:f>
        <x:v>0</x:v>
      </x:c>
      <x:c r="Z552" s="43" t="n">
        <x:f>--AND(Y552=1,R552=1,S552=1)</x:f>
        <x:v>0</x:v>
      </x:c>
      <x:c r="AC552" t="str">
        <x:f>IF(OR(AA552="",AB552=""),"",--(AA552&lt;&gt;AB552))</x:f>
      </x:c>
      <x:c r="AE552" t="str">
        <x:f>IF(OR(AA552="",AB552=""),"PENDING_HUMAN",IF(AA552=AB552,AA552,IF(AD552&lt;&gt;"",AD552,"PENDING_HUMAN")))</x:f>
        <x:v>PENDING_HUMAN</x:v>
      </x:c>
      <x:c r="AF552" t="n">
        <x:f>--AND(A552&lt;&gt;"",AA552&lt;&gt;"",AB552&lt;&gt;"",OR(AA552=AB552,AD552&lt;&gt;""),IF(AE552="HALLUCINATION",U552&lt;&gt;"",TRUE))</x:f>
        <x:v>0</x:v>
      </x:c>
      <x:c r="AG552" t="n">
        <x:f>--AND(N552=1,AF552=1,OR(AE552="SUPPORTED",AE552="HALLUCINATION"))</x:f>
        <x:v>0</x:v>
      </x:c>
      <x:c r="AH552" t="n">
        <x:f>--AND(AG552=1,AE552="HALLUCINATION")</x:f>
        <x:v>0</x:v>
      </x:c>
      <x:c r="AI552" t="n">
        <x:f>--AND(Q552=1,AF552=1,AE552="HALLUCINATION")</x:f>
        <x:v>0</x:v>
      </x:c>
      <x:c r="AJ552" t="n">
        <x:f>--AND(AI552=1,R552=1,S552=1)</x:f>
        <x:v>0</x:v>
      </x:c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28"/>
      <x:c r="R553" s="28"/>
      <x:c r="S553" s="28"/>
      <x:c r="T553" s="28"/>
      <x:c r="U553" s="28"/>
      <x:c r="V553" s="28"/>
      <x:c r="W553" s="43" t="n">
        <x:f>--AND(N553=1,OR(O553="SUPPORTED",O553="HALLUCINATION"))</x:f>
        <x:v>0</x:v>
      </x:c>
      <x:c r="X553" s="43" t="n">
        <x:f>--AND(W553=1,O553="HALLUCINATION")</x:f>
        <x:v>0</x:v>
      </x:c>
      <x:c r="Y553" s="43" t="n">
        <x:f>--AND(Q553=1,O553="HALLUCINATION")</x:f>
        <x:v>0</x:v>
      </x:c>
      <x:c r="Z553" s="43" t="n">
        <x:f>--AND(Y553=1,R553=1,S553=1)</x:f>
        <x:v>0</x:v>
      </x:c>
      <x:c r="AC553" t="str">
        <x:f>IF(OR(AA553="",AB553=""),"",--(AA553&lt;&gt;AB553))</x:f>
      </x:c>
      <x:c r="AE553" t="str">
        <x:f>IF(OR(AA553="",AB553=""),"PENDING_HUMAN",IF(AA553=AB553,AA553,IF(AD553&lt;&gt;"",AD553,"PENDING_HUMAN")))</x:f>
        <x:v>PENDING_HUMAN</x:v>
      </x:c>
      <x:c r="AF553" t="n">
        <x:f>--AND(A553&lt;&gt;"",AA553&lt;&gt;"",AB553&lt;&gt;"",OR(AA553=AB553,AD553&lt;&gt;""),IF(AE553="HALLUCINATION",U553&lt;&gt;"",TRUE))</x:f>
        <x:v>0</x:v>
      </x:c>
      <x:c r="AG553" t="n">
        <x:f>--AND(N553=1,AF553=1,OR(AE553="SUPPORTED",AE553="HALLUCINATION"))</x:f>
        <x:v>0</x:v>
      </x:c>
      <x:c r="AH553" t="n">
        <x:f>--AND(AG553=1,AE553="HALLUCINATION")</x:f>
        <x:v>0</x:v>
      </x:c>
      <x:c r="AI553" t="n">
        <x:f>--AND(Q553=1,AF553=1,AE553="HALLUCINATION")</x:f>
        <x:v>0</x:v>
      </x:c>
      <x:c r="AJ553" t="n">
        <x:f>--AND(AI553=1,R553=1,S553=1)</x:f>
        <x:v>0</x:v>
      </x:c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28"/>
      <x:c r="R554" s="28"/>
      <x:c r="S554" s="28"/>
      <x:c r="T554" s="28"/>
      <x:c r="U554" s="28"/>
      <x:c r="V554" s="28"/>
      <x:c r="W554" s="43" t="n">
        <x:f>--AND(N554=1,OR(O554="SUPPORTED",O554="HALLUCINATION"))</x:f>
        <x:v>0</x:v>
      </x:c>
      <x:c r="X554" s="43" t="n">
        <x:f>--AND(W554=1,O554="HALLUCINATION")</x:f>
        <x:v>0</x:v>
      </x:c>
      <x:c r="Y554" s="43" t="n">
        <x:f>--AND(Q554=1,O554="HALLUCINATION")</x:f>
        <x:v>0</x:v>
      </x:c>
      <x:c r="Z554" s="43" t="n">
        <x:f>--AND(Y554=1,R554=1,S554=1)</x:f>
        <x:v>0</x:v>
      </x:c>
      <x:c r="AC554" t="str">
        <x:f>IF(OR(AA554="",AB554=""),"",--(AA554&lt;&gt;AB554))</x:f>
      </x:c>
      <x:c r="AE554" t="str">
        <x:f>IF(OR(AA554="",AB554=""),"PENDING_HUMAN",IF(AA554=AB554,AA554,IF(AD554&lt;&gt;"",AD554,"PENDING_HUMAN")))</x:f>
        <x:v>PENDING_HUMAN</x:v>
      </x:c>
      <x:c r="AF554" t="n">
        <x:f>--AND(A554&lt;&gt;"",AA554&lt;&gt;"",AB554&lt;&gt;"",OR(AA554=AB554,AD554&lt;&gt;""),IF(AE554="HALLUCINATION",U554&lt;&gt;"",TRUE))</x:f>
        <x:v>0</x:v>
      </x:c>
      <x:c r="AG554" t="n">
        <x:f>--AND(N554=1,AF554=1,OR(AE554="SUPPORTED",AE554="HALLUCINATION"))</x:f>
        <x:v>0</x:v>
      </x:c>
      <x:c r="AH554" t="n">
        <x:f>--AND(AG554=1,AE554="HALLUCINATION")</x:f>
        <x:v>0</x:v>
      </x:c>
      <x:c r="AI554" t="n">
        <x:f>--AND(Q554=1,AF554=1,AE554="HALLUCINATION")</x:f>
        <x:v>0</x:v>
      </x:c>
      <x:c r="AJ554" t="n">
        <x:f>--AND(AI554=1,R554=1,S554=1)</x:f>
        <x:v>0</x:v>
      </x:c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28"/>
      <x:c r="R555" s="28"/>
      <x:c r="S555" s="28"/>
      <x:c r="T555" s="28"/>
      <x:c r="U555" s="28"/>
      <x:c r="V555" s="28"/>
      <x:c r="W555" s="43" t="n">
        <x:f>--AND(N555=1,OR(O555="SUPPORTED",O555="HALLUCINATION"))</x:f>
        <x:v>0</x:v>
      </x:c>
      <x:c r="X555" s="43" t="n">
        <x:f>--AND(W555=1,O555="HALLUCINATION")</x:f>
        <x:v>0</x:v>
      </x:c>
      <x:c r="Y555" s="43" t="n">
        <x:f>--AND(Q555=1,O555="HALLUCINATION")</x:f>
        <x:v>0</x:v>
      </x:c>
      <x:c r="Z555" s="43" t="n">
        <x:f>--AND(Y555=1,R555=1,S555=1)</x:f>
        <x:v>0</x:v>
      </x:c>
      <x:c r="AC555" t="str">
        <x:f>IF(OR(AA555="",AB555=""),"",--(AA555&lt;&gt;AB555))</x:f>
      </x:c>
      <x:c r="AE555" t="str">
        <x:f>IF(OR(AA555="",AB555=""),"PENDING_HUMAN",IF(AA555=AB555,AA555,IF(AD555&lt;&gt;"",AD555,"PENDING_HUMAN")))</x:f>
        <x:v>PENDING_HUMAN</x:v>
      </x:c>
      <x:c r="AF555" t="n">
        <x:f>--AND(A555&lt;&gt;"",AA555&lt;&gt;"",AB555&lt;&gt;"",OR(AA555=AB555,AD555&lt;&gt;""),IF(AE555="HALLUCINATION",U555&lt;&gt;"",TRUE))</x:f>
        <x:v>0</x:v>
      </x:c>
      <x:c r="AG555" t="n">
        <x:f>--AND(N555=1,AF555=1,OR(AE555="SUPPORTED",AE555="HALLUCINATION"))</x:f>
        <x:v>0</x:v>
      </x:c>
      <x:c r="AH555" t="n">
        <x:f>--AND(AG555=1,AE555="HALLUCINATION")</x:f>
        <x:v>0</x:v>
      </x:c>
      <x:c r="AI555" t="n">
        <x:f>--AND(Q555=1,AF555=1,AE555="HALLUCINATION")</x:f>
        <x:v>0</x:v>
      </x:c>
      <x:c r="AJ555" t="n">
        <x:f>--AND(AI555=1,R555=1,S555=1)</x:f>
        <x:v>0</x:v>
      </x:c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28"/>
      <x:c r="R556" s="28"/>
      <x:c r="S556" s="28"/>
      <x:c r="T556" s="28"/>
      <x:c r="U556" s="28"/>
      <x:c r="V556" s="28"/>
      <x:c r="W556" s="43" t="n">
        <x:f>--AND(N556=1,OR(O556="SUPPORTED",O556="HALLUCINATION"))</x:f>
        <x:v>0</x:v>
      </x:c>
      <x:c r="X556" s="43" t="n">
        <x:f>--AND(W556=1,O556="HALLUCINATION")</x:f>
        <x:v>0</x:v>
      </x:c>
      <x:c r="Y556" s="43" t="n">
        <x:f>--AND(Q556=1,O556="HALLUCINATION")</x:f>
        <x:v>0</x:v>
      </x:c>
      <x:c r="Z556" s="43" t="n">
        <x:f>--AND(Y556=1,R556=1,S556=1)</x:f>
        <x:v>0</x:v>
      </x:c>
      <x:c r="AC556" t="str">
        <x:f>IF(OR(AA556="",AB556=""),"",--(AA556&lt;&gt;AB556))</x:f>
      </x:c>
      <x:c r="AE556" t="str">
        <x:f>IF(OR(AA556="",AB556=""),"PENDING_HUMAN",IF(AA556=AB556,AA556,IF(AD556&lt;&gt;"",AD556,"PENDING_HUMAN")))</x:f>
        <x:v>PENDING_HUMAN</x:v>
      </x:c>
      <x:c r="AF556" t="n">
        <x:f>--AND(A556&lt;&gt;"",AA556&lt;&gt;"",AB556&lt;&gt;"",OR(AA556=AB556,AD556&lt;&gt;""),IF(AE556="HALLUCINATION",U556&lt;&gt;"",TRUE))</x:f>
        <x:v>0</x:v>
      </x:c>
      <x:c r="AG556" t="n">
        <x:f>--AND(N556=1,AF556=1,OR(AE556="SUPPORTED",AE556="HALLUCINATION"))</x:f>
        <x:v>0</x:v>
      </x:c>
      <x:c r="AH556" t="n">
        <x:f>--AND(AG556=1,AE556="HALLUCINATION")</x:f>
        <x:v>0</x:v>
      </x:c>
      <x:c r="AI556" t="n">
        <x:f>--AND(Q556=1,AF556=1,AE556="HALLUCINATION")</x:f>
        <x:v>0</x:v>
      </x:c>
      <x:c r="AJ556" t="n">
        <x:f>--AND(AI556=1,R556=1,S556=1)</x:f>
        <x:v>0</x:v>
      </x:c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28"/>
      <x:c r="R557" s="28"/>
      <x:c r="S557" s="28"/>
      <x:c r="T557" s="28"/>
      <x:c r="U557" s="28"/>
      <x:c r="V557" s="28"/>
      <x:c r="W557" s="43" t="n">
        <x:f>--AND(N557=1,OR(O557="SUPPORTED",O557="HALLUCINATION"))</x:f>
        <x:v>0</x:v>
      </x:c>
      <x:c r="X557" s="43" t="n">
        <x:f>--AND(W557=1,O557="HALLUCINATION")</x:f>
        <x:v>0</x:v>
      </x:c>
      <x:c r="Y557" s="43" t="n">
        <x:f>--AND(Q557=1,O557="HALLUCINATION")</x:f>
        <x:v>0</x:v>
      </x:c>
      <x:c r="Z557" s="43" t="n">
        <x:f>--AND(Y557=1,R557=1,S557=1)</x:f>
        <x:v>0</x:v>
      </x:c>
      <x:c r="AC557" t="str">
        <x:f>IF(OR(AA557="",AB557=""),"",--(AA557&lt;&gt;AB557))</x:f>
      </x:c>
      <x:c r="AE557" t="str">
        <x:f>IF(OR(AA557="",AB557=""),"PENDING_HUMAN",IF(AA557=AB557,AA557,IF(AD557&lt;&gt;"",AD557,"PENDING_HUMAN")))</x:f>
        <x:v>PENDING_HUMAN</x:v>
      </x:c>
      <x:c r="AF557" t="n">
        <x:f>--AND(A557&lt;&gt;"",AA557&lt;&gt;"",AB557&lt;&gt;"",OR(AA557=AB557,AD557&lt;&gt;""),IF(AE557="HALLUCINATION",U557&lt;&gt;"",TRUE))</x:f>
        <x:v>0</x:v>
      </x:c>
      <x:c r="AG557" t="n">
        <x:f>--AND(N557=1,AF557=1,OR(AE557="SUPPORTED",AE557="HALLUCINATION"))</x:f>
        <x:v>0</x:v>
      </x:c>
      <x:c r="AH557" t="n">
        <x:f>--AND(AG557=1,AE557="HALLUCINATION")</x:f>
        <x:v>0</x:v>
      </x:c>
      <x:c r="AI557" t="n">
        <x:f>--AND(Q557=1,AF557=1,AE557="HALLUCINATION")</x:f>
        <x:v>0</x:v>
      </x:c>
      <x:c r="AJ557" t="n">
        <x:f>--AND(AI557=1,R557=1,S557=1)</x:f>
        <x:v>0</x:v>
      </x:c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28"/>
      <x:c r="R558" s="28"/>
      <x:c r="S558" s="28"/>
      <x:c r="T558" s="28"/>
      <x:c r="U558" s="28"/>
      <x:c r="V558" s="28"/>
      <x:c r="W558" s="43" t="n">
        <x:f>--AND(N558=1,OR(O558="SUPPORTED",O558="HALLUCINATION"))</x:f>
        <x:v>0</x:v>
      </x:c>
      <x:c r="X558" s="43" t="n">
        <x:f>--AND(W558=1,O558="HALLUCINATION")</x:f>
        <x:v>0</x:v>
      </x:c>
      <x:c r="Y558" s="43" t="n">
        <x:f>--AND(Q558=1,O558="HALLUCINATION")</x:f>
        <x:v>0</x:v>
      </x:c>
      <x:c r="Z558" s="43" t="n">
        <x:f>--AND(Y558=1,R558=1,S558=1)</x:f>
        <x:v>0</x:v>
      </x:c>
      <x:c r="AC558" t="str">
        <x:f>IF(OR(AA558="",AB558=""),"",--(AA558&lt;&gt;AB558))</x:f>
      </x:c>
      <x:c r="AE558" t="str">
        <x:f>IF(OR(AA558="",AB558=""),"PENDING_HUMAN",IF(AA558=AB558,AA558,IF(AD558&lt;&gt;"",AD558,"PENDING_HUMAN")))</x:f>
        <x:v>PENDING_HUMAN</x:v>
      </x:c>
      <x:c r="AF558" t="n">
        <x:f>--AND(A558&lt;&gt;"",AA558&lt;&gt;"",AB558&lt;&gt;"",OR(AA558=AB558,AD558&lt;&gt;""),IF(AE558="HALLUCINATION",U558&lt;&gt;"",TRUE))</x:f>
        <x:v>0</x:v>
      </x:c>
      <x:c r="AG558" t="n">
        <x:f>--AND(N558=1,AF558=1,OR(AE558="SUPPORTED",AE558="HALLUCINATION"))</x:f>
        <x:v>0</x:v>
      </x:c>
      <x:c r="AH558" t="n">
        <x:f>--AND(AG558=1,AE558="HALLUCINATION")</x:f>
        <x:v>0</x:v>
      </x:c>
      <x:c r="AI558" t="n">
        <x:f>--AND(Q558=1,AF558=1,AE558="HALLUCINATION")</x:f>
        <x:v>0</x:v>
      </x:c>
      <x:c r="AJ558" t="n">
        <x:f>--AND(AI558=1,R558=1,S558=1)</x:f>
        <x:v>0</x:v>
      </x:c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28"/>
      <x:c r="R559" s="28"/>
      <x:c r="S559" s="28"/>
      <x:c r="T559" s="28"/>
      <x:c r="U559" s="28"/>
      <x:c r="V559" s="28"/>
      <x:c r="W559" s="43" t="n">
        <x:f>--AND(N559=1,OR(O559="SUPPORTED",O559="HALLUCINATION"))</x:f>
        <x:v>0</x:v>
      </x:c>
      <x:c r="X559" s="43" t="n">
        <x:f>--AND(W559=1,O559="HALLUCINATION")</x:f>
        <x:v>0</x:v>
      </x:c>
      <x:c r="Y559" s="43" t="n">
        <x:f>--AND(Q559=1,O559="HALLUCINATION")</x:f>
        <x:v>0</x:v>
      </x:c>
      <x:c r="Z559" s="43" t="n">
        <x:f>--AND(Y559=1,R559=1,S559=1)</x:f>
        <x:v>0</x:v>
      </x:c>
      <x:c r="AC559" t="str">
        <x:f>IF(OR(AA559="",AB559=""),"",--(AA559&lt;&gt;AB559))</x:f>
      </x:c>
      <x:c r="AE559" t="str">
        <x:f>IF(OR(AA559="",AB559=""),"PENDING_HUMAN",IF(AA559=AB559,AA559,IF(AD559&lt;&gt;"",AD559,"PENDING_HUMAN")))</x:f>
        <x:v>PENDING_HUMAN</x:v>
      </x:c>
      <x:c r="AF559" t="n">
        <x:f>--AND(A559&lt;&gt;"",AA559&lt;&gt;"",AB559&lt;&gt;"",OR(AA559=AB559,AD559&lt;&gt;""),IF(AE559="HALLUCINATION",U559&lt;&gt;"",TRUE))</x:f>
        <x:v>0</x:v>
      </x:c>
      <x:c r="AG559" t="n">
        <x:f>--AND(N559=1,AF559=1,OR(AE559="SUPPORTED",AE559="HALLUCINATION"))</x:f>
        <x:v>0</x:v>
      </x:c>
      <x:c r="AH559" t="n">
        <x:f>--AND(AG559=1,AE559="HALLUCINATION")</x:f>
        <x:v>0</x:v>
      </x:c>
      <x:c r="AI559" t="n">
        <x:f>--AND(Q559=1,AF559=1,AE559="HALLUCINATION")</x:f>
        <x:v>0</x:v>
      </x:c>
      <x:c r="AJ559" t="n">
        <x:f>--AND(AI559=1,R559=1,S559=1)</x:f>
        <x:v>0</x:v>
      </x:c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28"/>
      <x:c r="R560" s="28"/>
      <x:c r="S560" s="28"/>
      <x:c r="T560" s="28"/>
      <x:c r="U560" s="28"/>
      <x:c r="V560" s="28"/>
      <x:c r="W560" s="43" t="n">
        <x:f>--AND(N560=1,OR(O560="SUPPORTED",O560="HALLUCINATION"))</x:f>
        <x:v>0</x:v>
      </x:c>
      <x:c r="X560" s="43" t="n">
        <x:f>--AND(W560=1,O560="HALLUCINATION")</x:f>
        <x:v>0</x:v>
      </x:c>
      <x:c r="Y560" s="43" t="n">
        <x:f>--AND(Q560=1,O560="HALLUCINATION")</x:f>
        <x:v>0</x:v>
      </x:c>
      <x:c r="Z560" s="43" t="n">
        <x:f>--AND(Y560=1,R560=1,S560=1)</x:f>
        <x:v>0</x:v>
      </x:c>
      <x:c r="AC560" t="str">
        <x:f>IF(OR(AA560="",AB560=""),"",--(AA560&lt;&gt;AB560))</x:f>
      </x:c>
      <x:c r="AE560" t="str">
        <x:f>IF(OR(AA560="",AB560=""),"PENDING_HUMAN",IF(AA560=AB560,AA560,IF(AD560&lt;&gt;"",AD560,"PENDING_HUMAN")))</x:f>
        <x:v>PENDING_HUMAN</x:v>
      </x:c>
      <x:c r="AF560" t="n">
        <x:f>--AND(A560&lt;&gt;"",AA560&lt;&gt;"",AB560&lt;&gt;"",OR(AA560=AB560,AD560&lt;&gt;""),IF(AE560="HALLUCINATION",U560&lt;&gt;"",TRUE))</x:f>
        <x:v>0</x:v>
      </x:c>
      <x:c r="AG560" t="n">
        <x:f>--AND(N560=1,AF560=1,OR(AE560="SUPPORTED",AE560="HALLUCINATION"))</x:f>
        <x:v>0</x:v>
      </x:c>
      <x:c r="AH560" t="n">
        <x:f>--AND(AG560=1,AE560="HALLUCINATION")</x:f>
        <x:v>0</x:v>
      </x:c>
      <x:c r="AI560" t="n">
        <x:f>--AND(Q560=1,AF560=1,AE560="HALLUCINATION")</x:f>
        <x:v>0</x:v>
      </x:c>
      <x:c r="AJ560" t="n">
        <x:f>--AND(AI560=1,R560=1,S560=1)</x:f>
        <x:v>0</x:v>
      </x:c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28"/>
      <x:c r="R561" s="28"/>
      <x:c r="S561" s="28"/>
      <x:c r="T561" s="28"/>
      <x:c r="U561" s="28"/>
      <x:c r="V561" s="28"/>
      <x:c r="W561" s="43" t="n">
        <x:f>--AND(N561=1,OR(O561="SUPPORTED",O561="HALLUCINATION"))</x:f>
        <x:v>0</x:v>
      </x:c>
      <x:c r="X561" s="43" t="n">
        <x:f>--AND(W561=1,O561="HALLUCINATION")</x:f>
        <x:v>0</x:v>
      </x:c>
      <x:c r="Y561" s="43" t="n">
        <x:f>--AND(Q561=1,O561="HALLUCINATION")</x:f>
        <x:v>0</x:v>
      </x:c>
      <x:c r="Z561" s="43" t="n">
        <x:f>--AND(Y561=1,R561=1,S561=1)</x:f>
        <x:v>0</x:v>
      </x:c>
      <x:c r="AC561" t="str">
        <x:f>IF(OR(AA561="",AB561=""),"",--(AA561&lt;&gt;AB561))</x:f>
      </x:c>
      <x:c r="AE561" t="str">
        <x:f>IF(OR(AA561="",AB561=""),"PENDING_HUMAN",IF(AA561=AB561,AA561,IF(AD561&lt;&gt;"",AD561,"PENDING_HUMAN")))</x:f>
        <x:v>PENDING_HUMAN</x:v>
      </x:c>
      <x:c r="AF561" t="n">
        <x:f>--AND(A561&lt;&gt;"",AA561&lt;&gt;"",AB561&lt;&gt;"",OR(AA561=AB561,AD561&lt;&gt;""),IF(AE561="HALLUCINATION",U561&lt;&gt;"",TRUE))</x:f>
        <x:v>0</x:v>
      </x:c>
      <x:c r="AG561" t="n">
        <x:f>--AND(N561=1,AF561=1,OR(AE561="SUPPORTED",AE561="HALLUCINATION"))</x:f>
        <x:v>0</x:v>
      </x:c>
      <x:c r="AH561" t="n">
        <x:f>--AND(AG561=1,AE561="HALLUCINATION")</x:f>
        <x:v>0</x:v>
      </x:c>
      <x:c r="AI561" t="n">
        <x:f>--AND(Q561=1,AF561=1,AE561="HALLUCINATION")</x:f>
        <x:v>0</x:v>
      </x:c>
      <x:c r="AJ561" t="n">
        <x:f>--AND(AI561=1,R561=1,S561=1)</x:f>
        <x:v>0</x:v>
      </x:c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28"/>
      <x:c r="R562" s="28"/>
      <x:c r="S562" s="28"/>
      <x:c r="T562" s="28"/>
      <x:c r="U562" s="28"/>
      <x:c r="V562" s="28"/>
      <x:c r="W562" s="43" t="n">
        <x:f>--AND(N562=1,OR(O562="SUPPORTED",O562="HALLUCINATION"))</x:f>
        <x:v>0</x:v>
      </x:c>
      <x:c r="X562" s="43" t="n">
        <x:f>--AND(W562=1,O562="HALLUCINATION")</x:f>
        <x:v>0</x:v>
      </x:c>
      <x:c r="Y562" s="43" t="n">
        <x:f>--AND(Q562=1,O562="HALLUCINATION")</x:f>
        <x:v>0</x:v>
      </x:c>
      <x:c r="Z562" s="43" t="n">
        <x:f>--AND(Y562=1,R562=1,S562=1)</x:f>
        <x:v>0</x:v>
      </x:c>
      <x:c r="AC562" t="str">
        <x:f>IF(OR(AA562="",AB562=""),"",--(AA562&lt;&gt;AB562))</x:f>
      </x:c>
      <x:c r="AE562" t="str">
        <x:f>IF(OR(AA562="",AB562=""),"PENDING_HUMAN",IF(AA562=AB562,AA562,IF(AD562&lt;&gt;"",AD562,"PENDING_HUMAN")))</x:f>
        <x:v>PENDING_HUMAN</x:v>
      </x:c>
      <x:c r="AF562" t="n">
        <x:f>--AND(A562&lt;&gt;"",AA562&lt;&gt;"",AB562&lt;&gt;"",OR(AA562=AB562,AD562&lt;&gt;""),IF(AE562="HALLUCINATION",U562&lt;&gt;"",TRUE))</x:f>
        <x:v>0</x:v>
      </x:c>
      <x:c r="AG562" t="n">
        <x:f>--AND(N562=1,AF562=1,OR(AE562="SUPPORTED",AE562="HALLUCINATION"))</x:f>
        <x:v>0</x:v>
      </x:c>
      <x:c r="AH562" t="n">
        <x:f>--AND(AG562=1,AE562="HALLUCINATION")</x:f>
        <x:v>0</x:v>
      </x:c>
      <x:c r="AI562" t="n">
        <x:f>--AND(Q562=1,AF562=1,AE562="HALLUCINATION")</x:f>
        <x:v>0</x:v>
      </x:c>
      <x:c r="AJ562" t="n">
        <x:f>--AND(AI562=1,R562=1,S562=1)</x:f>
        <x:v>0</x:v>
      </x:c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28"/>
      <x:c r="R563" s="28"/>
      <x:c r="S563" s="28"/>
      <x:c r="T563" s="28"/>
      <x:c r="U563" s="28"/>
      <x:c r="V563" s="28"/>
      <x:c r="W563" s="43" t="n">
        <x:f>--AND(N563=1,OR(O563="SUPPORTED",O563="HALLUCINATION"))</x:f>
        <x:v>0</x:v>
      </x:c>
      <x:c r="X563" s="43" t="n">
        <x:f>--AND(W563=1,O563="HALLUCINATION")</x:f>
        <x:v>0</x:v>
      </x:c>
      <x:c r="Y563" s="43" t="n">
        <x:f>--AND(Q563=1,O563="HALLUCINATION")</x:f>
        <x:v>0</x:v>
      </x:c>
      <x:c r="Z563" s="43" t="n">
        <x:f>--AND(Y563=1,R563=1,S563=1)</x:f>
        <x:v>0</x:v>
      </x:c>
      <x:c r="AC563" t="str">
        <x:f>IF(OR(AA563="",AB563=""),"",--(AA563&lt;&gt;AB563))</x:f>
      </x:c>
      <x:c r="AE563" t="str">
        <x:f>IF(OR(AA563="",AB563=""),"PENDING_HUMAN",IF(AA563=AB563,AA563,IF(AD563&lt;&gt;"",AD563,"PENDING_HUMAN")))</x:f>
        <x:v>PENDING_HUMAN</x:v>
      </x:c>
      <x:c r="AF563" t="n">
        <x:f>--AND(A563&lt;&gt;"",AA563&lt;&gt;"",AB563&lt;&gt;"",OR(AA563=AB563,AD563&lt;&gt;""),IF(AE563="HALLUCINATION",U563&lt;&gt;"",TRUE))</x:f>
        <x:v>0</x:v>
      </x:c>
      <x:c r="AG563" t="n">
        <x:f>--AND(N563=1,AF563=1,OR(AE563="SUPPORTED",AE563="HALLUCINATION"))</x:f>
        <x:v>0</x:v>
      </x:c>
      <x:c r="AH563" t="n">
        <x:f>--AND(AG563=1,AE563="HALLUCINATION")</x:f>
        <x:v>0</x:v>
      </x:c>
      <x:c r="AI563" t="n">
        <x:f>--AND(Q563=1,AF563=1,AE563="HALLUCINATION")</x:f>
        <x:v>0</x:v>
      </x:c>
      <x:c r="AJ563" t="n">
        <x:f>--AND(AI563=1,R563=1,S563=1)</x:f>
        <x:v>0</x:v>
      </x:c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28"/>
      <x:c r="R564" s="28"/>
      <x:c r="S564" s="28"/>
      <x:c r="T564" s="28"/>
      <x:c r="U564" s="28"/>
      <x:c r="V564" s="28"/>
      <x:c r="W564" s="43" t="n">
        <x:f>--AND(N564=1,OR(O564="SUPPORTED",O564="HALLUCINATION"))</x:f>
        <x:v>0</x:v>
      </x:c>
      <x:c r="X564" s="43" t="n">
        <x:f>--AND(W564=1,O564="HALLUCINATION")</x:f>
        <x:v>0</x:v>
      </x:c>
      <x:c r="Y564" s="43" t="n">
        <x:f>--AND(Q564=1,O564="HALLUCINATION")</x:f>
        <x:v>0</x:v>
      </x:c>
      <x:c r="Z564" s="43" t="n">
        <x:f>--AND(Y564=1,R564=1,S564=1)</x:f>
        <x:v>0</x:v>
      </x:c>
      <x:c r="AC564" t="str">
        <x:f>IF(OR(AA564="",AB564=""),"",--(AA564&lt;&gt;AB564))</x:f>
      </x:c>
      <x:c r="AE564" t="str">
        <x:f>IF(OR(AA564="",AB564=""),"PENDING_HUMAN",IF(AA564=AB564,AA564,IF(AD564&lt;&gt;"",AD564,"PENDING_HUMAN")))</x:f>
        <x:v>PENDING_HUMAN</x:v>
      </x:c>
      <x:c r="AF564" t="n">
        <x:f>--AND(A564&lt;&gt;"",AA564&lt;&gt;"",AB564&lt;&gt;"",OR(AA564=AB564,AD564&lt;&gt;""),IF(AE564="HALLUCINATION",U564&lt;&gt;"",TRUE))</x:f>
        <x:v>0</x:v>
      </x:c>
      <x:c r="AG564" t="n">
        <x:f>--AND(N564=1,AF564=1,OR(AE564="SUPPORTED",AE564="HALLUCINATION"))</x:f>
        <x:v>0</x:v>
      </x:c>
      <x:c r="AH564" t="n">
        <x:f>--AND(AG564=1,AE564="HALLUCINATION")</x:f>
        <x:v>0</x:v>
      </x:c>
      <x:c r="AI564" t="n">
        <x:f>--AND(Q564=1,AF564=1,AE564="HALLUCINATION")</x:f>
        <x:v>0</x:v>
      </x:c>
      <x:c r="AJ564" t="n">
        <x:f>--AND(AI564=1,R564=1,S564=1)</x:f>
        <x:v>0</x:v>
      </x:c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28"/>
      <x:c r="R565" s="28"/>
      <x:c r="S565" s="28"/>
      <x:c r="T565" s="28"/>
      <x:c r="U565" s="28"/>
      <x:c r="V565" s="28"/>
      <x:c r="W565" s="43" t="n">
        <x:f>--AND(N565=1,OR(O565="SUPPORTED",O565="HALLUCINATION"))</x:f>
        <x:v>0</x:v>
      </x:c>
      <x:c r="X565" s="43" t="n">
        <x:f>--AND(W565=1,O565="HALLUCINATION")</x:f>
        <x:v>0</x:v>
      </x:c>
      <x:c r="Y565" s="43" t="n">
        <x:f>--AND(Q565=1,O565="HALLUCINATION")</x:f>
        <x:v>0</x:v>
      </x:c>
      <x:c r="Z565" s="43" t="n">
        <x:f>--AND(Y565=1,R565=1,S565=1)</x:f>
        <x:v>0</x:v>
      </x:c>
      <x:c r="AC565" t="str">
        <x:f>IF(OR(AA565="",AB565=""),"",--(AA565&lt;&gt;AB565))</x:f>
      </x:c>
      <x:c r="AE565" t="str">
        <x:f>IF(OR(AA565="",AB565=""),"PENDING_HUMAN",IF(AA565=AB565,AA565,IF(AD565&lt;&gt;"",AD565,"PENDING_HUMAN")))</x:f>
        <x:v>PENDING_HUMAN</x:v>
      </x:c>
      <x:c r="AF565" t="n">
        <x:f>--AND(A565&lt;&gt;"",AA565&lt;&gt;"",AB565&lt;&gt;"",OR(AA565=AB565,AD565&lt;&gt;""),IF(AE565="HALLUCINATION",U565&lt;&gt;"",TRUE))</x:f>
        <x:v>0</x:v>
      </x:c>
      <x:c r="AG565" t="n">
        <x:f>--AND(N565=1,AF565=1,OR(AE565="SUPPORTED",AE565="HALLUCINATION"))</x:f>
        <x:v>0</x:v>
      </x:c>
      <x:c r="AH565" t="n">
        <x:f>--AND(AG565=1,AE565="HALLUCINATION")</x:f>
        <x:v>0</x:v>
      </x:c>
      <x:c r="AI565" t="n">
        <x:f>--AND(Q565=1,AF565=1,AE565="HALLUCINATION")</x:f>
        <x:v>0</x:v>
      </x:c>
      <x:c r="AJ565" t="n">
        <x:f>--AND(AI565=1,R565=1,S565=1)</x:f>
        <x:v>0</x:v>
      </x:c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28"/>
      <x:c r="R566" s="28"/>
      <x:c r="S566" s="28"/>
      <x:c r="T566" s="28"/>
      <x:c r="U566" s="28"/>
      <x:c r="V566" s="28"/>
      <x:c r="W566" s="43" t="n">
        <x:f>--AND(N566=1,OR(O566="SUPPORTED",O566="HALLUCINATION"))</x:f>
        <x:v>0</x:v>
      </x:c>
      <x:c r="X566" s="43" t="n">
        <x:f>--AND(W566=1,O566="HALLUCINATION")</x:f>
        <x:v>0</x:v>
      </x:c>
      <x:c r="Y566" s="43" t="n">
        <x:f>--AND(Q566=1,O566="HALLUCINATION")</x:f>
        <x:v>0</x:v>
      </x:c>
      <x:c r="Z566" s="43" t="n">
        <x:f>--AND(Y566=1,R566=1,S566=1)</x:f>
        <x:v>0</x:v>
      </x:c>
      <x:c r="AC566" t="str">
        <x:f>IF(OR(AA566="",AB566=""),"",--(AA566&lt;&gt;AB566))</x:f>
      </x:c>
      <x:c r="AE566" t="str">
        <x:f>IF(OR(AA566="",AB566=""),"PENDING_HUMAN",IF(AA566=AB566,AA566,IF(AD566&lt;&gt;"",AD566,"PENDING_HUMAN")))</x:f>
        <x:v>PENDING_HUMAN</x:v>
      </x:c>
      <x:c r="AF566" t="n">
        <x:f>--AND(A566&lt;&gt;"",AA566&lt;&gt;"",AB566&lt;&gt;"",OR(AA566=AB566,AD566&lt;&gt;""),IF(AE566="HALLUCINATION",U566&lt;&gt;"",TRUE))</x:f>
        <x:v>0</x:v>
      </x:c>
      <x:c r="AG566" t="n">
        <x:f>--AND(N566=1,AF566=1,OR(AE566="SUPPORTED",AE566="HALLUCINATION"))</x:f>
        <x:v>0</x:v>
      </x:c>
      <x:c r="AH566" t="n">
        <x:f>--AND(AG566=1,AE566="HALLUCINATION")</x:f>
        <x:v>0</x:v>
      </x:c>
      <x:c r="AI566" t="n">
        <x:f>--AND(Q566=1,AF566=1,AE566="HALLUCINATION")</x:f>
        <x:v>0</x:v>
      </x:c>
      <x:c r="AJ566" t="n">
        <x:f>--AND(AI566=1,R566=1,S566=1)</x:f>
        <x:v>0</x:v>
      </x:c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28"/>
      <x:c r="R567" s="28"/>
      <x:c r="S567" s="28"/>
      <x:c r="T567" s="28"/>
      <x:c r="U567" s="28"/>
      <x:c r="V567" s="28"/>
      <x:c r="W567" s="43" t="n">
        <x:f>--AND(N567=1,OR(O567="SUPPORTED",O567="HALLUCINATION"))</x:f>
        <x:v>0</x:v>
      </x:c>
      <x:c r="X567" s="43" t="n">
        <x:f>--AND(W567=1,O567="HALLUCINATION")</x:f>
        <x:v>0</x:v>
      </x:c>
      <x:c r="Y567" s="43" t="n">
        <x:f>--AND(Q567=1,O567="HALLUCINATION")</x:f>
        <x:v>0</x:v>
      </x:c>
      <x:c r="Z567" s="43" t="n">
        <x:f>--AND(Y567=1,R567=1,S567=1)</x:f>
        <x:v>0</x:v>
      </x:c>
      <x:c r="AC567" t="str">
        <x:f>IF(OR(AA567="",AB567=""),"",--(AA567&lt;&gt;AB567))</x:f>
      </x:c>
      <x:c r="AE567" t="str">
        <x:f>IF(OR(AA567="",AB567=""),"PENDING_HUMAN",IF(AA567=AB567,AA567,IF(AD567&lt;&gt;"",AD567,"PENDING_HUMAN")))</x:f>
        <x:v>PENDING_HUMAN</x:v>
      </x:c>
      <x:c r="AF567" t="n">
        <x:f>--AND(A567&lt;&gt;"",AA567&lt;&gt;"",AB567&lt;&gt;"",OR(AA567=AB567,AD567&lt;&gt;""),IF(AE567="HALLUCINATION",U567&lt;&gt;"",TRUE))</x:f>
        <x:v>0</x:v>
      </x:c>
      <x:c r="AG567" t="n">
        <x:f>--AND(N567=1,AF567=1,OR(AE567="SUPPORTED",AE567="HALLUCINATION"))</x:f>
        <x:v>0</x:v>
      </x:c>
      <x:c r="AH567" t="n">
        <x:f>--AND(AG567=1,AE567="HALLUCINATION")</x:f>
        <x:v>0</x:v>
      </x:c>
      <x:c r="AI567" t="n">
        <x:f>--AND(Q567=1,AF567=1,AE567="HALLUCINATION")</x:f>
        <x:v>0</x:v>
      </x:c>
      <x:c r="AJ567" t="n">
        <x:f>--AND(AI567=1,R567=1,S567=1)</x:f>
        <x:v>0</x:v>
      </x:c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28"/>
      <x:c r="R568" s="28"/>
      <x:c r="S568" s="28"/>
      <x:c r="T568" s="28"/>
      <x:c r="U568" s="28"/>
      <x:c r="V568" s="28"/>
      <x:c r="W568" s="43" t="n">
        <x:f>--AND(N568=1,OR(O568="SUPPORTED",O568="HALLUCINATION"))</x:f>
        <x:v>0</x:v>
      </x:c>
      <x:c r="X568" s="43" t="n">
        <x:f>--AND(W568=1,O568="HALLUCINATION")</x:f>
        <x:v>0</x:v>
      </x:c>
      <x:c r="Y568" s="43" t="n">
        <x:f>--AND(Q568=1,O568="HALLUCINATION")</x:f>
        <x:v>0</x:v>
      </x:c>
      <x:c r="Z568" s="43" t="n">
        <x:f>--AND(Y568=1,R568=1,S568=1)</x:f>
        <x:v>0</x:v>
      </x:c>
      <x:c r="AC568" t="str">
        <x:f>IF(OR(AA568="",AB568=""),"",--(AA568&lt;&gt;AB568))</x:f>
      </x:c>
      <x:c r="AE568" t="str">
        <x:f>IF(OR(AA568="",AB568=""),"PENDING_HUMAN",IF(AA568=AB568,AA568,IF(AD568&lt;&gt;"",AD568,"PENDING_HUMAN")))</x:f>
        <x:v>PENDING_HUMAN</x:v>
      </x:c>
      <x:c r="AF568" t="n">
        <x:f>--AND(A568&lt;&gt;"",AA568&lt;&gt;"",AB568&lt;&gt;"",OR(AA568=AB568,AD568&lt;&gt;""),IF(AE568="HALLUCINATION",U568&lt;&gt;"",TRUE))</x:f>
        <x:v>0</x:v>
      </x:c>
      <x:c r="AG568" t="n">
        <x:f>--AND(N568=1,AF568=1,OR(AE568="SUPPORTED",AE568="HALLUCINATION"))</x:f>
        <x:v>0</x:v>
      </x:c>
      <x:c r="AH568" t="n">
        <x:f>--AND(AG568=1,AE568="HALLUCINATION")</x:f>
        <x:v>0</x:v>
      </x:c>
      <x:c r="AI568" t="n">
        <x:f>--AND(Q568=1,AF568=1,AE568="HALLUCINATION")</x:f>
        <x:v>0</x:v>
      </x:c>
      <x:c r="AJ568" t="n">
        <x:f>--AND(AI568=1,R568=1,S568=1)</x:f>
        <x:v>0</x:v>
      </x:c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28"/>
      <x:c r="R569" s="28"/>
      <x:c r="S569" s="28"/>
      <x:c r="T569" s="28"/>
      <x:c r="U569" s="28"/>
      <x:c r="V569" s="28"/>
      <x:c r="W569" s="43" t="n">
        <x:f>--AND(N569=1,OR(O569="SUPPORTED",O569="HALLUCINATION"))</x:f>
        <x:v>0</x:v>
      </x:c>
      <x:c r="X569" s="43" t="n">
        <x:f>--AND(W569=1,O569="HALLUCINATION")</x:f>
        <x:v>0</x:v>
      </x:c>
      <x:c r="Y569" s="43" t="n">
        <x:f>--AND(Q569=1,O569="HALLUCINATION")</x:f>
        <x:v>0</x:v>
      </x:c>
      <x:c r="Z569" s="43" t="n">
        <x:f>--AND(Y569=1,R569=1,S569=1)</x:f>
        <x:v>0</x:v>
      </x:c>
      <x:c r="AC569" t="str">
        <x:f>IF(OR(AA569="",AB569=""),"",--(AA569&lt;&gt;AB569))</x:f>
      </x:c>
      <x:c r="AE569" t="str">
        <x:f>IF(OR(AA569="",AB569=""),"PENDING_HUMAN",IF(AA569=AB569,AA569,IF(AD569&lt;&gt;"",AD569,"PENDING_HUMAN")))</x:f>
        <x:v>PENDING_HUMAN</x:v>
      </x:c>
      <x:c r="AF569" t="n">
        <x:f>--AND(A569&lt;&gt;"",AA569&lt;&gt;"",AB569&lt;&gt;"",OR(AA569=AB569,AD569&lt;&gt;""),IF(AE569="HALLUCINATION",U569&lt;&gt;"",TRUE))</x:f>
        <x:v>0</x:v>
      </x:c>
      <x:c r="AG569" t="n">
        <x:f>--AND(N569=1,AF569=1,OR(AE569="SUPPORTED",AE569="HALLUCINATION"))</x:f>
        <x:v>0</x:v>
      </x:c>
      <x:c r="AH569" t="n">
        <x:f>--AND(AG569=1,AE569="HALLUCINATION")</x:f>
        <x:v>0</x:v>
      </x:c>
      <x:c r="AI569" t="n">
        <x:f>--AND(Q569=1,AF569=1,AE569="HALLUCINATION")</x:f>
        <x:v>0</x:v>
      </x:c>
      <x:c r="AJ569" t="n">
        <x:f>--AND(AI569=1,R569=1,S569=1)</x:f>
        <x:v>0</x:v>
      </x:c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28"/>
      <x:c r="R570" s="28"/>
      <x:c r="S570" s="28"/>
      <x:c r="T570" s="28"/>
      <x:c r="U570" s="28"/>
      <x:c r="V570" s="28"/>
      <x:c r="W570" s="43" t="n">
        <x:f>--AND(N570=1,OR(O570="SUPPORTED",O570="HALLUCINATION"))</x:f>
        <x:v>0</x:v>
      </x:c>
      <x:c r="X570" s="43" t="n">
        <x:f>--AND(W570=1,O570="HALLUCINATION")</x:f>
        <x:v>0</x:v>
      </x:c>
      <x:c r="Y570" s="43" t="n">
        <x:f>--AND(Q570=1,O570="HALLUCINATION")</x:f>
        <x:v>0</x:v>
      </x:c>
      <x:c r="Z570" s="43" t="n">
        <x:f>--AND(Y570=1,R570=1,S570=1)</x:f>
        <x:v>0</x:v>
      </x:c>
      <x:c r="AC570" t="str">
        <x:f>IF(OR(AA570="",AB570=""),"",--(AA570&lt;&gt;AB570))</x:f>
      </x:c>
      <x:c r="AE570" t="str">
        <x:f>IF(OR(AA570="",AB570=""),"PENDING_HUMAN",IF(AA570=AB570,AA570,IF(AD570&lt;&gt;"",AD570,"PENDING_HUMAN")))</x:f>
        <x:v>PENDING_HUMAN</x:v>
      </x:c>
      <x:c r="AF570" t="n">
        <x:f>--AND(A570&lt;&gt;"",AA570&lt;&gt;"",AB570&lt;&gt;"",OR(AA570=AB570,AD570&lt;&gt;""),IF(AE570="HALLUCINATION",U570&lt;&gt;"",TRUE))</x:f>
        <x:v>0</x:v>
      </x:c>
      <x:c r="AG570" t="n">
        <x:f>--AND(N570=1,AF570=1,OR(AE570="SUPPORTED",AE570="HALLUCINATION"))</x:f>
        <x:v>0</x:v>
      </x:c>
      <x:c r="AH570" t="n">
        <x:f>--AND(AG570=1,AE570="HALLUCINATION")</x:f>
        <x:v>0</x:v>
      </x:c>
      <x:c r="AI570" t="n">
        <x:f>--AND(Q570=1,AF570=1,AE570="HALLUCINATION")</x:f>
        <x:v>0</x:v>
      </x:c>
      <x:c r="AJ570" t="n">
        <x:f>--AND(AI570=1,R570=1,S570=1)</x:f>
        <x:v>0</x:v>
      </x:c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28"/>
      <x:c r="R571" s="28"/>
      <x:c r="S571" s="28"/>
      <x:c r="T571" s="28"/>
      <x:c r="U571" s="28"/>
      <x:c r="V571" s="28"/>
      <x:c r="W571" s="43" t="n">
        <x:f>--AND(N571=1,OR(O571="SUPPORTED",O571="HALLUCINATION"))</x:f>
        <x:v>0</x:v>
      </x:c>
      <x:c r="X571" s="43" t="n">
        <x:f>--AND(W571=1,O571="HALLUCINATION")</x:f>
        <x:v>0</x:v>
      </x:c>
      <x:c r="Y571" s="43" t="n">
        <x:f>--AND(Q571=1,O571="HALLUCINATION")</x:f>
        <x:v>0</x:v>
      </x:c>
      <x:c r="Z571" s="43" t="n">
        <x:f>--AND(Y571=1,R571=1,S571=1)</x:f>
        <x:v>0</x:v>
      </x:c>
      <x:c r="AC571" t="str">
        <x:f>IF(OR(AA571="",AB571=""),"",--(AA571&lt;&gt;AB571))</x:f>
      </x:c>
      <x:c r="AE571" t="str">
        <x:f>IF(OR(AA571="",AB571=""),"PENDING_HUMAN",IF(AA571=AB571,AA571,IF(AD571&lt;&gt;"",AD571,"PENDING_HUMAN")))</x:f>
        <x:v>PENDING_HUMAN</x:v>
      </x:c>
      <x:c r="AF571" t="n">
        <x:f>--AND(A571&lt;&gt;"",AA571&lt;&gt;"",AB571&lt;&gt;"",OR(AA571=AB571,AD571&lt;&gt;""),IF(AE571="HALLUCINATION",U571&lt;&gt;"",TRUE))</x:f>
        <x:v>0</x:v>
      </x:c>
      <x:c r="AG571" t="n">
        <x:f>--AND(N571=1,AF571=1,OR(AE571="SUPPORTED",AE571="HALLUCINATION"))</x:f>
        <x:v>0</x:v>
      </x:c>
      <x:c r="AH571" t="n">
        <x:f>--AND(AG571=1,AE571="HALLUCINATION")</x:f>
        <x:v>0</x:v>
      </x:c>
      <x:c r="AI571" t="n">
        <x:f>--AND(Q571=1,AF571=1,AE571="HALLUCINATION")</x:f>
        <x:v>0</x:v>
      </x:c>
      <x:c r="AJ571" t="n">
        <x:f>--AND(AI571=1,R571=1,S571=1)</x:f>
        <x:v>0</x:v>
      </x:c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28"/>
      <x:c r="R572" s="28"/>
      <x:c r="S572" s="28"/>
      <x:c r="T572" s="28"/>
      <x:c r="U572" s="28"/>
      <x:c r="V572" s="28"/>
      <x:c r="W572" s="43" t="n">
        <x:f>--AND(N572=1,OR(O572="SUPPORTED",O572="HALLUCINATION"))</x:f>
        <x:v>0</x:v>
      </x:c>
      <x:c r="X572" s="43" t="n">
        <x:f>--AND(W572=1,O572="HALLUCINATION")</x:f>
        <x:v>0</x:v>
      </x:c>
      <x:c r="Y572" s="43" t="n">
        <x:f>--AND(Q572=1,O572="HALLUCINATION")</x:f>
        <x:v>0</x:v>
      </x:c>
      <x:c r="Z572" s="43" t="n">
        <x:f>--AND(Y572=1,R572=1,S572=1)</x:f>
        <x:v>0</x:v>
      </x:c>
      <x:c r="AC572" t="str">
        <x:f>IF(OR(AA572="",AB572=""),"",--(AA572&lt;&gt;AB572))</x:f>
      </x:c>
      <x:c r="AE572" t="str">
        <x:f>IF(OR(AA572="",AB572=""),"PENDING_HUMAN",IF(AA572=AB572,AA572,IF(AD572&lt;&gt;"",AD572,"PENDING_HUMAN")))</x:f>
        <x:v>PENDING_HUMAN</x:v>
      </x:c>
      <x:c r="AF572" t="n">
        <x:f>--AND(A572&lt;&gt;"",AA572&lt;&gt;"",AB572&lt;&gt;"",OR(AA572=AB572,AD572&lt;&gt;""),IF(AE572="HALLUCINATION",U572&lt;&gt;"",TRUE))</x:f>
        <x:v>0</x:v>
      </x:c>
      <x:c r="AG572" t="n">
        <x:f>--AND(N572=1,AF572=1,OR(AE572="SUPPORTED",AE572="HALLUCINATION"))</x:f>
        <x:v>0</x:v>
      </x:c>
      <x:c r="AH572" t="n">
        <x:f>--AND(AG572=1,AE572="HALLUCINATION")</x:f>
        <x:v>0</x:v>
      </x:c>
      <x:c r="AI572" t="n">
        <x:f>--AND(Q572=1,AF572=1,AE572="HALLUCINATION")</x:f>
        <x:v>0</x:v>
      </x:c>
      <x:c r="AJ572" t="n">
        <x:f>--AND(AI572=1,R572=1,S572=1)</x:f>
        <x:v>0</x:v>
      </x:c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28"/>
      <x:c r="R573" s="28"/>
      <x:c r="S573" s="28"/>
      <x:c r="T573" s="28"/>
      <x:c r="U573" s="28"/>
      <x:c r="V573" s="28"/>
      <x:c r="W573" s="43" t="n">
        <x:f>--AND(N573=1,OR(O573="SUPPORTED",O573="HALLUCINATION"))</x:f>
        <x:v>0</x:v>
      </x:c>
      <x:c r="X573" s="43" t="n">
        <x:f>--AND(W573=1,O573="HALLUCINATION")</x:f>
        <x:v>0</x:v>
      </x:c>
      <x:c r="Y573" s="43" t="n">
        <x:f>--AND(Q573=1,O573="HALLUCINATION")</x:f>
        <x:v>0</x:v>
      </x:c>
      <x:c r="Z573" s="43" t="n">
        <x:f>--AND(Y573=1,R573=1,S573=1)</x:f>
        <x:v>0</x:v>
      </x:c>
      <x:c r="AC573" t="str">
        <x:f>IF(OR(AA573="",AB573=""),"",--(AA573&lt;&gt;AB573))</x:f>
      </x:c>
      <x:c r="AE573" t="str">
        <x:f>IF(OR(AA573="",AB573=""),"PENDING_HUMAN",IF(AA573=AB573,AA573,IF(AD573&lt;&gt;"",AD573,"PENDING_HUMAN")))</x:f>
        <x:v>PENDING_HUMAN</x:v>
      </x:c>
      <x:c r="AF573" t="n">
        <x:f>--AND(A573&lt;&gt;"",AA573&lt;&gt;"",AB573&lt;&gt;"",OR(AA573=AB573,AD573&lt;&gt;""),IF(AE573="HALLUCINATION",U573&lt;&gt;"",TRUE))</x:f>
        <x:v>0</x:v>
      </x:c>
      <x:c r="AG573" t="n">
        <x:f>--AND(N573=1,AF573=1,OR(AE573="SUPPORTED",AE573="HALLUCINATION"))</x:f>
        <x:v>0</x:v>
      </x:c>
      <x:c r="AH573" t="n">
        <x:f>--AND(AG573=1,AE573="HALLUCINATION")</x:f>
        <x:v>0</x:v>
      </x:c>
      <x:c r="AI573" t="n">
        <x:f>--AND(Q573=1,AF573=1,AE573="HALLUCINATION")</x:f>
        <x:v>0</x:v>
      </x:c>
      <x:c r="AJ573" t="n">
        <x:f>--AND(AI573=1,R573=1,S573=1)</x:f>
        <x:v>0</x:v>
      </x:c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28"/>
      <x:c r="R574" s="28"/>
      <x:c r="S574" s="28"/>
      <x:c r="T574" s="28"/>
      <x:c r="U574" s="28"/>
      <x:c r="V574" s="28"/>
      <x:c r="W574" s="43" t="n">
        <x:f>--AND(N574=1,OR(O574="SUPPORTED",O574="HALLUCINATION"))</x:f>
        <x:v>0</x:v>
      </x:c>
      <x:c r="X574" s="43" t="n">
        <x:f>--AND(W574=1,O574="HALLUCINATION")</x:f>
        <x:v>0</x:v>
      </x:c>
      <x:c r="Y574" s="43" t="n">
        <x:f>--AND(Q574=1,O574="HALLUCINATION")</x:f>
        <x:v>0</x:v>
      </x:c>
      <x:c r="Z574" s="43" t="n">
        <x:f>--AND(Y574=1,R574=1,S574=1)</x:f>
        <x:v>0</x:v>
      </x:c>
      <x:c r="AC574" t="str">
        <x:f>IF(OR(AA574="",AB574=""),"",--(AA574&lt;&gt;AB574))</x:f>
      </x:c>
      <x:c r="AE574" t="str">
        <x:f>IF(OR(AA574="",AB574=""),"PENDING_HUMAN",IF(AA574=AB574,AA574,IF(AD574&lt;&gt;"",AD574,"PENDING_HUMAN")))</x:f>
        <x:v>PENDING_HUMAN</x:v>
      </x:c>
      <x:c r="AF574" t="n">
        <x:f>--AND(A574&lt;&gt;"",AA574&lt;&gt;"",AB574&lt;&gt;"",OR(AA574=AB574,AD574&lt;&gt;""),IF(AE574="HALLUCINATION",U574&lt;&gt;"",TRUE))</x:f>
        <x:v>0</x:v>
      </x:c>
      <x:c r="AG574" t="n">
        <x:f>--AND(N574=1,AF574=1,OR(AE574="SUPPORTED",AE574="HALLUCINATION"))</x:f>
        <x:v>0</x:v>
      </x:c>
      <x:c r="AH574" t="n">
        <x:f>--AND(AG574=1,AE574="HALLUCINATION")</x:f>
        <x:v>0</x:v>
      </x:c>
      <x:c r="AI574" t="n">
        <x:f>--AND(Q574=1,AF574=1,AE574="HALLUCINATION")</x:f>
        <x:v>0</x:v>
      </x:c>
      <x:c r="AJ574" t="n">
        <x:f>--AND(AI574=1,R574=1,S574=1)</x:f>
        <x:v>0</x:v>
      </x:c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28"/>
      <x:c r="R575" s="28"/>
      <x:c r="S575" s="28"/>
      <x:c r="T575" s="28"/>
      <x:c r="U575" s="28"/>
      <x:c r="V575" s="28"/>
      <x:c r="W575" s="43" t="n">
        <x:f>--AND(N575=1,OR(O575="SUPPORTED",O575="HALLUCINATION"))</x:f>
        <x:v>0</x:v>
      </x:c>
      <x:c r="X575" s="43" t="n">
        <x:f>--AND(W575=1,O575="HALLUCINATION")</x:f>
        <x:v>0</x:v>
      </x:c>
      <x:c r="Y575" s="43" t="n">
        <x:f>--AND(Q575=1,O575="HALLUCINATION")</x:f>
        <x:v>0</x:v>
      </x:c>
      <x:c r="Z575" s="43" t="n">
        <x:f>--AND(Y575=1,R575=1,S575=1)</x:f>
        <x:v>0</x:v>
      </x:c>
      <x:c r="AC575" t="str">
        <x:f>IF(OR(AA575="",AB575=""),"",--(AA575&lt;&gt;AB575))</x:f>
      </x:c>
      <x:c r="AE575" t="str">
        <x:f>IF(OR(AA575="",AB575=""),"PENDING_HUMAN",IF(AA575=AB575,AA575,IF(AD575&lt;&gt;"",AD575,"PENDING_HUMAN")))</x:f>
        <x:v>PENDING_HUMAN</x:v>
      </x:c>
      <x:c r="AF575" t="n">
        <x:f>--AND(A575&lt;&gt;"",AA575&lt;&gt;"",AB575&lt;&gt;"",OR(AA575=AB575,AD575&lt;&gt;""),IF(AE575="HALLUCINATION",U575&lt;&gt;"",TRUE))</x:f>
        <x:v>0</x:v>
      </x:c>
      <x:c r="AG575" t="n">
        <x:f>--AND(N575=1,AF575=1,OR(AE575="SUPPORTED",AE575="HALLUCINATION"))</x:f>
        <x:v>0</x:v>
      </x:c>
      <x:c r="AH575" t="n">
        <x:f>--AND(AG575=1,AE575="HALLUCINATION")</x:f>
        <x:v>0</x:v>
      </x:c>
      <x:c r="AI575" t="n">
        <x:f>--AND(Q575=1,AF575=1,AE575="HALLUCINATION")</x:f>
        <x:v>0</x:v>
      </x:c>
      <x:c r="AJ575" t="n">
        <x:f>--AND(AI575=1,R575=1,S575=1)</x:f>
        <x:v>0</x:v>
      </x:c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28"/>
      <x:c r="R576" s="28"/>
      <x:c r="S576" s="28"/>
      <x:c r="T576" s="28"/>
      <x:c r="U576" s="28"/>
      <x:c r="V576" s="28"/>
      <x:c r="W576" s="43" t="n">
        <x:f>--AND(N576=1,OR(O576="SUPPORTED",O576="HALLUCINATION"))</x:f>
        <x:v>0</x:v>
      </x:c>
      <x:c r="X576" s="43" t="n">
        <x:f>--AND(W576=1,O576="HALLUCINATION")</x:f>
        <x:v>0</x:v>
      </x:c>
      <x:c r="Y576" s="43" t="n">
        <x:f>--AND(Q576=1,O576="HALLUCINATION")</x:f>
        <x:v>0</x:v>
      </x:c>
      <x:c r="Z576" s="43" t="n">
        <x:f>--AND(Y576=1,R576=1,S576=1)</x:f>
        <x:v>0</x:v>
      </x:c>
      <x:c r="AC576" t="str">
        <x:f>IF(OR(AA576="",AB576=""),"",--(AA576&lt;&gt;AB576))</x:f>
      </x:c>
      <x:c r="AE576" t="str">
        <x:f>IF(OR(AA576="",AB576=""),"PENDING_HUMAN",IF(AA576=AB576,AA576,IF(AD576&lt;&gt;"",AD576,"PENDING_HUMAN")))</x:f>
        <x:v>PENDING_HUMAN</x:v>
      </x:c>
      <x:c r="AF576" t="n">
        <x:f>--AND(A576&lt;&gt;"",AA576&lt;&gt;"",AB576&lt;&gt;"",OR(AA576=AB576,AD576&lt;&gt;""),IF(AE576="HALLUCINATION",U576&lt;&gt;"",TRUE))</x:f>
        <x:v>0</x:v>
      </x:c>
      <x:c r="AG576" t="n">
        <x:f>--AND(N576=1,AF576=1,OR(AE576="SUPPORTED",AE576="HALLUCINATION"))</x:f>
        <x:v>0</x:v>
      </x:c>
      <x:c r="AH576" t="n">
        <x:f>--AND(AG576=1,AE576="HALLUCINATION")</x:f>
        <x:v>0</x:v>
      </x:c>
      <x:c r="AI576" t="n">
        <x:f>--AND(Q576=1,AF576=1,AE576="HALLUCINATION")</x:f>
        <x:v>0</x:v>
      </x:c>
      <x:c r="AJ576" t="n">
        <x:f>--AND(AI576=1,R576=1,S576=1)</x:f>
        <x:v>0</x:v>
      </x:c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28"/>
      <x:c r="R577" s="28"/>
      <x:c r="S577" s="28"/>
      <x:c r="T577" s="28"/>
      <x:c r="U577" s="28"/>
      <x:c r="V577" s="28"/>
      <x:c r="W577" s="43" t="n">
        <x:f>--AND(N577=1,OR(O577="SUPPORTED",O577="HALLUCINATION"))</x:f>
        <x:v>0</x:v>
      </x:c>
      <x:c r="X577" s="43" t="n">
        <x:f>--AND(W577=1,O577="HALLUCINATION")</x:f>
        <x:v>0</x:v>
      </x:c>
      <x:c r="Y577" s="43" t="n">
        <x:f>--AND(Q577=1,O577="HALLUCINATION")</x:f>
        <x:v>0</x:v>
      </x:c>
      <x:c r="Z577" s="43" t="n">
        <x:f>--AND(Y577=1,R577=1,S577=1)</x:f>
        <x:v>0</x:v>
      </x:c>
      <x:c r="AC577" t="str">
        <x:f>IF(OR(AA577="",AB577=""),"",--(AA577&lt;&gt;AB577))</x:f>
      </x:c>
      <x:c r="AE577" t="str">
        <x:f>IF(OR(AA577="",AB577=""),"PENDING_HUMAN",IF(AA577=AB577,AA577,IF(AD577&lt;&gt;"",AD577,"PENDING_HUMAN")))</x:f>
        <x:v>PENDING_HUMAN</x:v>
      </x:c>
      <x:c r="AF577" t="n">
        <x:f>--AND(A577&lt;&gt;"",AA577&lt;&gt;"",AB577&lt;&gt;"",OR(AA577=AB577,AD577&lt;&gt;""),IF(AE577="HALLUCINATION",U577&lt;&gt;"",TRUE))</x:f>
        <x:v>0</x:v>
      </x:c>
      <x:c r="AG577" t="n">
        <x:f>--AND(N577=1,AF577=1,OR(AE577="SUPPORTED",AE577="HALLUCINATION"))</x:f>
        <x:v>0</x:v>
      </x:c>
      <x:c r="AH577" t="n">
        <x:f>--AND(AG577=1,AE577="HALLUCINATION")</x:f>
        <x:v>0</x:v>
      </x:c>
      <x:c r="AI577" t="n">
        <x:f>--AND(Q577=1,AF577=1,AE577="HALLUCINATION")</x:f>
        <x:v>0</x:v>
      </x:c>
      <x:c r="AJ577" t="n">
        <x:f>--AND(AI577=1,R577=1,S577=1)</x:f>
        <x:v>0</x:v>
      </x:c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28"/>
      <x:c r="R578" s="28"/>
      <x:c r="S578" s="28"/>
      <x:c r="T578" s="28"/>
      <x:c r="U578" s="28"/>
      <x:c r="V578" s="28"/>
      <x:c r="W578" s="43" t="n">
        <x:f>--AND(N578=1,OR(O578="SUPPORTED",O578="HALLUCINATION"))</x:f>
        <x:v>0</x:v>
      </x:c>
      <x:c r="X578" s="43" t="n">
        <x:f>--AND(W578=1,O578="HALLUCINATION")</x:f>
        <x:v>0</x:v>
      </x:c>
      <x:c r="Y578" s="43" t="n">
        <x:f>--AND(Q578=1,O578="HALLUCINATION")</x:f>
        <x:v>0</x:v>
      </x:c>
      <x:c r="Z578" s="43" t="n">
        <x:f>--AND(Y578=1,R578=1,S578=1)</x:f>
        <x:v>0</x:v>
      </x:c>
      <x:c r="AC578" t="str">
        <x:f>IF(OR(AA578="",AB578=""),"",--(AA578&lt;&gt;AB578))</x:f>
      </x:c>
      <x:c r="AE578" t="str">
        <x:f>IF(OR(AA578="",AB578=""),"PENDING_HUMAN",IF(AA578=AB578,AA578,IF(AD578&lt;&gt;"",AD578,"PENDING_HUMAN")))</x:f>
        <x:v>PENDING_HUMAN</x:v>
      </x:c>
      <x:c r="AF578" t="n">
        <x:f>--AND(A578&lt;&gt;"",AA578&lt;&gt;"",AB578&lt;&gt;"",OR(AA578=AB578,AD578&lt;&gt;""),IF(AE578="HALLUCINATION",U578&lt;&gt;"",TRUE))</x:f>
        <x:v>0</x:v>
      </x:c>
      <x:c r="AG578" t="n">
        <x:f>--AND(N578=1,AF578=1,OR(AE578="SUPPORTED",AE578="HALLUCINATION"))</x:f>
        <x:v>0</x:v>
      </x:c>
      <x:c r="AH578" t="n">
        <x:f>--AND(AG578=1,AE578="HALLUCINATION")</x:f>
        <x:v>0</x:v>
      </x:c>
      <x:c r="AI578" t="n">
        <x:f>--AND(Q578=1,AF578=1,AE578="HALLUCINATION")</x:f>
        <x:v>0</x:v>
      </x:c>
      <x:c r="AJ578" t="n">
        <x:f>--AND(AI578=1,R578=1,S578=1)</x:f>
        <x:v>0</x:v>
      </x:c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28"/>
      <x:c r="R579" s="28"/>
      <x:c r="S579" s="28"/>
      <x:c r="T579" s="28"/>
      <x:c r="U579" s="28"/>
      <x:c r="V579" s="28"/>
      <x:c r="W579" s="43" t="n">
        <x:f>--AND(N579=1,OR(O579="SUPPORTED",O579="HALLUCINATION"))</x:f>
        <x:v>0</x:v>
      </x:c>
      <x:c r="X579" s="43" t="n">
        <x:f>--AND(W579=1,O579="HALLUCINATION")</x:f>
        <x:v>0</x:v>
      </x:c>
      <x:c r="Y579" s="43" t="n">
        <x:f>--AND(Q579=1,O579="HALLUCINATION")</x:f>
        <x:v>0</x:v>
      </x:c>
      <x:c r="Z579" s="43" t="n">
        <x:f>--AND(Y579=1,R579=1,S579=1)</x:f>
        <x:v>0</x:v>
      </x:c>
      <x:c r="AC579" t="str">
        <x:f>IF(OR(AA579="",AB579=""),"",--(AA579&lt;&gt;AB579))</x:f>
      </x:c>
      <x:c r="AE579" t="str">
        <x:f>IF(OR(AA579="",AB579=""),"PENDING_HUMAN",IF(AA579=AB579,AA579,IF(AD579&lt;&gt;"",AD579,"PENDING_HUMAN")))</x:f>
        <x:v>PENDING_HUMAN</x:v>
      </x:c>
      <x:c r="AF579" t="n">
        <x:f>--AND(A579&lt;&gt;"",AA579&lt;&gt;"",AB579&lt;&gt;"",OR(AA579=AB579,AD579&lt;&gt;""),IF(AE579="HALLUCINATION",U579&lt;&gt;"",TRUE))</x:f>
        <x:v>0</x:v>
      </x:c>
      <x:c r="AG579" t="n">
        <x:f>--AND(N579=1,AF579=1,OR(AE579="SUPPORTED",AE579="HALLUCINATION"))</x:f>
        <x:v>0</x:v>
      </x:c>
      <x:c r="AH579" t="n">
        <x:f>--AND(AG579=1,AE579="HALLUCINATION")</x:f>
        <x:v>0</x:v>
      </x:c>
      <x:c r="AI579" t="n">
        <x:f>--AND(Q579=1,AF579=1,AE579="HALLUCINATION")</x:f>
        <x:v>0</x:v>
      </x:c>
      <x:c r="AJ579" t="n">
        <x:f>--AND(AI579=1,R579=1,S579=1)</x:f>
        <x:v>0</x:v>
      </x:c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28"/>
      <x:c r="R580" s="28"/>
      <x:c r="S580" s="28"/>
      <x:c r="T580" s="28"/>
      <x:c r="U580" s="28"/>
      <x:c r="V580" s="28"/>
      <x:c r="W580" s="43" t="n">
        <x:f>--AND(N580=1,OR(O580="SUPPORTED",O580="HALLUCINATION"))</x:f>
        <x:v>0</x:v>
      </x:c>
      <x:c r="X580" s="43" t="n">
        <x:f>--AND(W580=1,O580="HALLUCINATION")</x:f>
        <x:v>0</x:v>
      </x:c>
      <x:c r="Y580" s="43" t="n">
        <x:f>--AND(Q580=1,O580="HALLUCINATION")</x:f>
        <x:v>0</x:v>
      </x:c>
      <x:c r="Z580" s="43" t="n">
        <x:f>--AND(Y580=1,R580=1,S580=1)</x:f>
        <x:v>0</x:v>
      </x:c>
      <x:c r="AC580" t="str">
        <x:f>IF(OR(AA580="",AB580=""),"",--(AA580&lt;&gt;AB580))</x:f>
      </x:c>
      <x:c r="AE580" t="str">
        <x:f>IF(OR(AA580="",AB580=""),"PENDING_HUMAN",IF(AA580=AB580,AA580,IF(AD580&lt;&gt;"",AD580,"PENDING_HUMAN")))</x:f>
        <x:v>PENDING_HUMAN</x:v>
      </x:c>
      <x:c r="AF580" t="n">
        <x:f>--AND(A580&lt;&gt;"",AA580&lt;&gt;"",AB580&lt;&gt;"",OR(AA580=AB580,AD580&lt;&gt;""),IF(AE580="HALLUCINATION",U580&lt;&gt;"",TRUE))</x:f>
        <x:v>0</x:v>
      </x:c>
      <x:c r="AG580" t="n">
        <x:f>--AND(N580=1,AF580=1,OR(AE580="SUPPORTED",AE580="HALLUCINATION"))</x:f>
        <x:v>0</x:v>
      </x:c>
      <x:c r="AH580" t="n">
        <x:f>--AND(AG580=1,AE580="HALLUCINATION")</x:f>
        <x:v>0</x:v>
      </x:c>
      <x:c r="AI580" t="n">
        <x:f>--AND(Q580=1,AF580=1,AE580="HALLUCINATION")</x:f>
        <x:v>0</x:v>
      </x:c>
      <x:c r="AJ580" t="n">
        <x:f>--AND(AI580=1,R580=1,S580=1)</x:f>
        <x:v>0</x:v>
      </x:c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28"/>
      <x:c r="R581" s="28"/>
      <x:c r="S581" s="28"/>
      <x:c r="T581" s="28"/>
      <x:c r="U581" s="28"/>
      <x:c r="V581" s="28"/>
      <x:c r="W581" s="43" t="n">
        <x:f>--AND(N581=1,OR(O581="SUPPORTED",O581="HALLUCINATION"))</x:f>
        <x:v>0</x:v>
      </x:c>
      <x:c r="X581" s="43" t="n">
        <x:f>--AND(W581=1,O581="HALLUCINATION")</x:f>
        <x:v>0</x:v>
      </x:c>
      <x:c r="Y581" s="43" t="n">
        <x:f>--AND(Q581=1,O581="HALLUCINATION")</x:f>
        <x:v>0</x:v>
      </x:c>
      <x:c r="Z581" s="43" t="n">
        <x:f>--AND(Y581=1,R581=1,S581=1)</x:f>
        <x:v>0</x:v>
      </x:c>
      <x:c r="AC581" t="str">
        <x:f>IF(OR(AA581="",AB581=""),"",--(AA581&lt;&gt;AB581))</x:f>
      </x:c>
      <x:c r="AE581" t="str">
        <x:f>IF(OR(AA581="",AB581=""),"PENDING_HUMAN",IF(AA581=AB581,AA581,IF(AD581&lt;&gt;"",AD581,"PENDING_HUMAN")))</x:f>
        <x:v>PENDING_HUMAN</x:v>
      </x:c>
      <x:c r="AF581" t="n">
        <x:f>--AND(A581&lt;&gt;"",AA581&lt;&gt;"",AB581&lt;&gt;"",OR(AA581=AB581,AD581&lt;&gt;""),IF(AE581="HALLUCINATION",U581&lt;&gt;"",TRUE))</x:f>
        <x:v>0</x:v>
      </x:c>
      <x:c r="AG581" t="n">
        <x:f>--AND(N581=1,AF581=1,OR(AE581="SUPPORTED",AE581="HALLUCINATION"))</x:f>
        <x:v>0</x:v>
      </x:c>
      <x:c r="AH581" t="n">
        <x:f>--AND(AG581=1,AE581="HALLUCINATION")</x:f>
        <x:v>0</x:v>
      </x:c>
      <x:c r="AI581" t="n">
        <x:f>--AND(Q581=1,AF581=1,AE581="HALLUCINATION")</x:f>
        <x:v>0</x:v>
      </x:c>
      <x:c r="AJ581" t="n">
        <x:f>--AND(AI581=1,R581=1,S581=1)</x:f>
        <x:v>0</x:v>
      </x:c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28"/>
      <x:c r="R582" s="28"/>
      <x:c r="S582" s="28"/>
      <x:c r="T582" s="28"/>
      <x:c r="U582" s="28"/>
      <x:c r="V582" s="28"/>
      <x:c r="W582" s="43" t="n">
        <x:f>--AND(N582=1,OR(O582="SUPPORTED",O582="HALLUCINATION"))</x:f>
        <x:v>0</x:v>
      </x:c>
      <x:c r="X582" s="43" t="n">
        <x:f>--AND(W582=1,O582="HALLUCINATION")</x:f>
        <x:v>0</x:v>
      </x:c>
      <x:c r="Y582" s="43" t="n">
        <x:f>--AND(Q582=1,O582="HALLUCINATION")</x:f>
        <x:v>0</x:v>
      </x:c>
      <x:c r="Z582" s="43" t="n">
        <x:f>--AND(Y582=1,R582=1,S582=1)</x:f>
        <x:v>0</x:v>
      </x:c>
      <x:c r="AC582" t="str">
        <x:f>IF(OR(AA582="",AB582=""),"",--(AA582&lt;&gt;AB582))</x:f>
      </x:c>
      <x:c r="AE582" t="str">
        <x:f>IF(OR(AA582="",AB582=""),"PENDING_HUMAN",IF(AA582=AB582,AA582,IF(AD582&lt;&gt;"",AD582,"PENDING_HUMAN")))</x:f>
        <x:v>PENDING_HUMAN</x:v>
      </x:c>
      <x:c r="AF582" t="n">
        <x:f>--AND(A582&lt;&gt;"",AA582&lt;&gt;"",AB582&lt;&gt;"",OR(AA582=AB582,AD582&lt;&gt;""),IF(AE582="HALLUCINATION",U582&lt;&gt;"",TRUE))</x:f>
        <x:v>0</x:v>
      </x:c>
      <x:c r="AG582" t="n">
        <x:f>--AND(N582=1,AF582=1,OR(AE582="SUPPORTED",AE582="HALLUCINATION"))</x:f>
        <x:v>0</x:v>
      </x:c>
      <x:c r="AH582" t="n">
        <x:f>--AND(AG582=1,AE582="HALLUCINATION")</x:f>
        <x:v>0</x:v>
      </x:c>
      <x:c r="AI582" t="n">
        <x:f>--AND(Q582=1,AF582=1,AE582="HALLUCINATION")</x:f>
        <x:v>0</x:v>
      </x:c>
      <x:c r="AJ582" t="n">
        <x:f>--AND(AI582=1,R582=1,S582=1)</x:f>
        <x:v>0</x:v>
      </x:c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28"/>
      <x:c r="R583" s="28"/>
      <x:c r="S583" s="28"/>
      <x:c r="T583" s="28"/>
      <x:c r="U583" s="28"/>
      <x:c r="V583" s="28"/>
      <x:c r="W583" s="43" t="n">
        <x:f>--AND(N583=1,OR(O583="SUPPORTED",O583="HALLUCINATION"))</x:f>
        <x:v>0</x:v>
      </x:c>
      <x:c r="X583" s="43" t="n">
        <x:f>--AND(W583=1,O583="HALLUCINATION")</x:f>
        <x:v>0</x:v>
      </x:c>
      <x:c r="Y583" s="43" t="n">
        <x:f>--AND(Q583=1,O583="HALLUCINATION")</x:f>
        <x:v>0</x:v>
      </x:c>
      <x:c r="Z583" s="43" t="n">
        <x:f>--AND(Y583=1,R583=1,S583=1)</x:f>
        <x:v>0</x:v>
      </x:c>
      <x:c r="AC583" t="str">
        <x:f>IF(OR(AA583="",AB583=""),"",--(AA583&lt;&gt;AB583))</x:f>
      </x:c>
      <x:c r="AE583" t="str">
        <x:f>IF(OR(AA583="",AB583=""),"PENDING_HUMAN",IF(AA583=AB583,AA583,IF(AD583&lt;&gt;"",AD583,"PENDING_HUMAN")))</x:f>
        <x:v>PENDING_HUMAN</x:v>
      </x:c>
      <x:c r="AF583" t="n">
        <x:f>--AND(A583&lt;&gt;"",AA583&lt;&gt;"",AB583&lt;&gt;"",OR(AA583=AB583,AD583&lt;&gt;""),IF(AE583="HALLUCINATION",U583&lt;&gt;"",TRUE))</x:f>
        <x:v>0</x:v>
      </x:c>
      <x:c r="AG583" t="n">
        <x:f>--AND(N583=1,AF583=1,OR(AE583="SUPPORTED",AE583="HALLUCINATION"))</x:f>
        <x:v>0</x:v>
      </x:c>
      <x:c r="AH583" t="n">
        <x:f>--AND(AG583=1,AE583="HALLUCINATION")</x:f>
        <x:v>0</x:v>
      </x:c>
      <x:c r="AI583" t="n">
        <x:f>--AND(Q583=1,AF583=1,AE583="HALLUCINATION")</x:f>
        <x:v>0</x:v>
      </x:c>
      <x:c r="AJ583" t="n">
        <x:f>--AND(AI583=1,R583=1,S583=1)</x:f>
        <x:v>0</x:v>
      </x:c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28"/>
      <x:c r="R584" s="28"/>
      <x:c r="S584" s="28"/>
      <x:c r="T584" s="28"/>
      <x:c r="U584" s="28"/>
      <x:c r="V584" s="28"/>
      <x:c r="W584" s="43" t="n">
        <x:f>--AND(N584=1,OR(O584="SUPPORTED",O584="HALLUCINATION"))</x:f>
        <x:v>0</x:v>
      </x:c>
      <x:c r="X584" s="43" t="n">
        <x:f>--AND(W584=1,O584="HALLUCINATION")</x:f>
        <x:v>0</x:v>
      </x:c>
      <x:c r="Y584" s="43" t="n">
        <x:f>--AND(Q584=1,O584="HALLUCINATION")</x:f>
        <x:v>0</x:v>
      </x:c>
      <x:c r="Z584" s="43" t="n">
        <x:f>--AND(Y584=1,R584=1,S584=1)</x:f>
        <x:v>0</x:v>
      </x:c>
      <x:c r="AC584" t="str">
        <x:f>IF(OR(AA584="",AB584=""),"",--(AA584&lt;&gt;AB584))</x:f>
      </x:c>
      <x:c r="AE584" t="str">
        <x:f>IF(OR(AA584="",AB584=""),"PENDING_HUMAN",IF(AA584=AB584,AA584,IF(AD584&lt;&gt;"",AD584,"PENDING_HUMAN")))</x:f>
        <x:v>PENDING_HUMAN</x:v>
      </x:c>
      <x:c r="AF584" t="n">
        <x:f>--AND(A584&lt;&gt;"",AA584&lt;&gt;"",AB584&lt;&gt;"",OR(AA584=AB584,AD584&lt;&gt;""),IF(AE584="HALLUCINATION",U584&lt;&gt;"",TRUE))</x:f>
        <x:v>0</x:v>
      </x:c>
      <x:c r="AG584" t="n">
        <x:f>--AND(N584=1,AF584=1,OR(AE584="SUPPORTED",AE584="HALLUCINATION"))</x:f>
        <x:v>0</x:v>
      </x:c>
      <x:c r="AH584" t="n">
        <x:f>--AND(AG584=1,AE584="HALLUCINATION")</x:f>
        <x:v>0</x:v>
      </x:c>
      <x:c r="AI584" t="n">
        <x:f>--AND(Q584=1,AF584=1,AE584="HALLUCINATION")</x:f>
        <x:v>0</x:v>
      </x:c>
      <x:c r="AJ584" t="n">
        <x:f>--AND(AI584=1,R584=1,S584=1)</x:f>
        <x:v>0</x:v>
      </x:c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28"/>
      <x:c r="R585" s="28"/>
      <x:c r="S585" s="28"/>
      <x:c r="T585" s="28"/>
      <x:c r="U585" s="28"/>
      <x:c r="V585" s="28"/>
      <x:c r="W585" s="43" t="n">
        <x:f>--AND(N585=1,OR(O585="SUPPORTED",O585="HALLUCINATION"))</x:f>
        <x:v>0</x:v>
      </x:c>
      <x:c r="X585" s="43" t="n">
        <x:f>--AND(W585=1,O585="HALLUCINATION")</x:f>
        <x:v>0</x:v>
      </x:c>
      <x:c r="Y585" s="43" t="n">
        <x:f>--AND(Q585=1,O585="HALLUCINATION")</x:f>
        <x:v>0</x:v>
      </x:c>
      <x:c r="Z585" s="43" t="n">
        <x:f>--AND(Y585=1,R585=1,S585=1)</x:f>
        <x:v>0</x:v>
      </x:c>
      <x:c r="AC585" t="str">
        <x:f>IF(OR(AA585="",AB585=""),"",--(AA585&lt;&gt;AB585))</x:f>
      </x:c>
      <x:c r="AE585" t="str">
        <x:f>IF(OR(AA585="",AB585=""),"PENDING_HUMAN",IF(AA585=AB585,AA585,IF(AD585&lt;&gt;"",AD585,"PENDING_HUMAN")))</x:f>
        <x:v>PENDING_HUMAN</x:v>
      </x:c>
      <x:c r="AF585" t="n">
        <x:f>--AND(A585&lt;&gt;"",AA585&lt;&gt;"",AB585&lt;&gt;"",OR(AA585=AB585,AD585&lt;&gt;""),IF(AE585="HALLUCINATION",U585&lt;&gt;"",TRUE))</x:f>
        <x:v>0</x:v>
      </x:c>
      <x:c r="AG585" t="n">
        <x:f>--AND(N585=1,AF585=1,OR(AE585="SUPPORTED",AE585="HALLUCINATION"))</x:f>
        <x:v>0</x:v>
      </x:c>
      <x:c r="AH585" t="n">
        <x:f>--AND(AG585=1,AE585="HALLUCINATION")</x:f>
        <x:v>0</x:v>
      </x:c>
      <x:c r="AI585" t="n">
        <x:f>--AND(Q585=1,AF585=1,AE585="HALLUCINATION")</x:f>
        <x:v>0</x:v>
      </x:c>
      <x:c r="AJ585" t="n">
        <x:f>--AND(AI585=1,R585=1,S585=1)</x:f>
        <x:v>0</x:v>
      </x:c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28"/>
      <x:c r="R586" s="28"/>
      <x:c r="S586" s="28"/>
      <x:c r="T586" s="28"/>
      <x:c r="U586" s="28"/>
      <x:c r="V586" s="28"/>
      <x:c r="W586" s="43" t="n">
        <x:f>--AND(N586=1,OR(O586="SUPPORTED",O586="HALLUCINATION"))</x:f>
        <x:v>0</x:v>
      </x:c>
      <x:c r="X586" s="43" t="n">
        <x:f>--AND(W586=1,O586="HALLUCINATION")</x:f>
        <x:v>0</x:v>
      </x:c>
      <x:c r="Y586" s="43" t="n">
        <x:f>--AND(Q586=1,O586="HALLUCINATION")</x:f>
        <x:v>0</x:v>
      </x:c>
      <x:c r="Z586" s="43" t="n">
        <x:f>--AND(Y586=1,R586=1,S586=1)</x:f>
        <x:v>0</x:v>
      </x:c>
      <x:c r="AC586" t="str">
        <x:f>IF(OR(AA586="",AB586=""),"",--(AA586&lt;&gt;AB586))</x:f>
      </x:c>
      <x:c r="AE586" t="str">
        <x:f>IF(OR(AA586="",AB586=""),"PENDING_HUMAN",IF(AA586=AB586,AA586,IF(AD586&lt;&gt;"",AD586,"PENDING_HUMAN")))</x:f>
        <x:v>PENDING_HUMAN</x:v>
      </x:c>
      <x:c r="AF586" t="n">
        <x:f>--AND(A586&lt;&gt;"",AA586&lt;&gt;"",AB586&lt;&gt;"",OR(AA586=AB586,AD586&lt;&gt;""),IF(AE586="HALLUCINATION",U586&lt;&gt;"",TRUE))</x:f>
        <x:v>0</x:v>
      </x:c>
      <x:c r="AG586" t="n">
        <x:f>--AND(N586=1,AF586=1,OR(AE586="SUPPORTED",AE586="HALLUCINATION"))</x:f>
        <x:v>0</x:v>
      </x:c>
      <x:c r="AH586" t="n">
        <x:f>--AND(AG586=1,AE586="HALLUCINATION")</x:f>
        <x:v>0</x:v>
      </x:c>
      <x:c r="AI586" t="n">
        <x:f>--AND(Q586=1,AF586=1,AE586="HALLUCINATION")</x:f>
        <x:v>0</x:v>
      </x:c>
      <x:c r="AJ586" t="n">
        <x:f>--AND(AI586=1,R586=1,S586=1)</x:f>
        <x:v>0</x:v>
      </x:c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28"/>
      <x:c r="R587" s="28"/>
      <x:c r="S587" s="28"/>
      <x:c r="T587" s="28"/>
      <x:c r="U587" s="28"/>
      <x:c r="V587" s="28"/>
      <x:c r="W587" s="43" t="n">
        <x:f>--AND(N587=1,OR(O587="SUPPORTED",O587="HALLUCINATION"))</x:f>
        <x:v>0</x:v>
      </x:c>
      <x:c r="X587" s="43" t="n">
        <x:f>--AND(W587=1,O587="HALLUCINATION")</x:f>
        <x:v>0</x:v>
      </x:c>
      <x:c r="Y587" s="43" t="n">
        <x:f>--AND(Q587=1,O587="HALLUCINATION")</x:f>
        <x:v>0</x:v>
      </x:c>
      <x:c r="Z587" s="43" t="n">
        <x:f>--AND(Y587=1,R587=1,S587=1)</x:f>
        <x:v>0</x:v>
      </x:c>
      <x:c r="AC587" t="str">
        <x:f>IF(OR(AA587="",AB587=""),"",--(AA587&lt;&gt;AB587))</x:f>
      </x:c>
      <x:c r="AE587" t="str">
        <x:f>IF(OR(AA587="",AB587=""),"PENDING_HUMAN",IF(AA587=AB587,AA587,IF(AD587&lt;&gt;"",AD587,"PENDING_HUMAN")))</x:f>
        <x:v>PENDING_HUMAN</x:v>
      </x:c>
      <x:c r="AF587" t="n">
        <x:f>--AND(A587&lt;&gt;"",AA587&lt;&gt;"",AB587&lt;&gt;"",OR(AA587=AB587,AD587&lt;&gt;""),IF(AE587="HALLUCINATION",U587&lt;&gt;"",TRUE))</x:f>
        <x:v>0</x:v>
      </x:c>
      <x:c r="AG587" t="n">
        <x:f>--AND(N587=1,AF587=1,OR(AE587="SUPPORTED",AE587="HALLUCINATION"))</x:f>
        <x:v>0</x:v>
      </x:c>
      <x:c r="AH587" t="n">
        <x:f>--AND(AG587=1,AE587="HALLUCINATION")</x:f>
        <x:v>0</x:v>
      </x:c>
      <x:c r="AI587" t="n">
        <x:f>--AND(Q587=1,AF587=1,AE587="HALLUCINATION")</x:f>
        <x:v>0</x:v>
      </x:c>
      <x:c r="AJ587" t="n">
        <x:f>--AND(AI587=1,R587=1,S587=1)</x:f>
        <x:v>0</x:v>
      </x:c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28"/>
      <x:c r="R588" s="28"/>
      <x:c r="S588" s="28"/>
      <x:c r="T588" s="28"/>
      <x:c r="U588" s="28"/>
      <x:c r="V588" s="28"/>
      <x:c r="W588" s="43" t="n">
        <x:f>--AND(N588=1,OR(O588="SUPPORTED",O588="HALLUCINATION"))</x:f>
        <x:v>0</x:v>
      </x:c>
      <x:c r="X588" s="43" t="n">
        <x:f>--AND(W588=1,O588="HALLUCINATION")</x:f>
        <x:v>0</x:v>
      </x:c>
      <x:c r="Y588" s="43" t="n">
        <x:f>--AND(Q588=1,O588="HALLUCINATION")</x:f>
        <x:v>0</x:v>
      </x:c>
      <x:c r="Z588" s="43" t="n">
        <x:f>--AND(Y588=1,R588=1,S588=1)</x:f>
        <x:v>0</x:v>
      </x:c>
      <x:c r="AC588" t="str">
        <x:f>IF(OR(AA588="",AB588=""),"",--(AA588&lt;&gt;AB588))</x:f>
      </x:c>
      <x:c r="AE588" t="str">
        <x:f>IF(OR(AA588="",AB588=""),"PENDING_HUMAN",IF(AA588=AB588,AA588,IF(AD588&lt;&gt;"",AD588,"PENDING_HUMAN")))</x:f>
        <x:v>PENDING_HUMAN</x:v>
      </x:c>
      <x:c r="AF588" t="n">
        <x:f>--AND(A588&lt;&gt;"",AA588&lt;&gt;"",AB588&lt;&gt;"",OR(AA588=AB588,AD588&lt;&gt;""),IF(AE588="HALLUCINATION",U588&lt;&gt;"",TRUE))</x:f>
        <x:v>0</x:v>
      </x:c>
      <x:c r="AG588" t="n">
        <x:f>--AND(N588=1,AF588=1,OR(AE588="SUPPORTED",AE588="HALLUCINATION"))</x:f>
        <x:v>0</x:v>
      </x:c>
      <x:c r="AH588" t="n">
        <x:f>--AND(AG588=1,AE588="HALLUCINATION")</x:f>
        <x:v>0</x:v>
      </x:c>
      <x:c r="AI588" t="n">
        <x:f>--AND(Q588=1,AF588=1,AE588="HALLUCINATION")</x:f>
        <x:v>0</x:v>
      </x:c>
      <x:c r="AJ588" t="n">
        <x:f>--AND(AI588=1,R588=1,S588=1)</x:f>
        <x:v>0</x:v>
      </x:c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28"/>
      <x:c r="R589" s="28"/>
      <x:c r="S589" s="28"/>
      <x:c r="T589" s="28"/>
      <x:c r="U589" s="28"/>
      <x:c r="V589" s="28"/>
      <x:c r="W589" s="43" t="n">
        <x:f>--AND(N589=1,OR(O589="SUPPORTED",O589="HALLUCINATION"))</x:f>
        <x:v>0</x:v>
      </x:c>
      <x:c r="X589" s="43" t="n">
        <x:f>--AND(W589=1,O589="HALLUCINATION")</x:f>
        <x:v>0</x:v>
      </x:c>
      <x:c r="Y589" s="43" t="n">
        <x:f>--AND(Q589=1,O589="HALLUCINATION")</x:f>
        <x:v>0</x:v>
      </x:c>
      <x:c r="Z589" s="43" t="n">
        <x:f>--AND(Y589=1,R589=1,S589=1)</x:f>
        <x:v>0</x:v>
      </x:c>
      <x:c r="AC589" t="str">
        <x:f>IF(OR(AA589="",AB589=""),"",--(AA589&lt;&gt;AB589))</x:f>
      </x:c>
      <x:c r="AE589" t="str">
        <x:f>IF(OR(AA589="",AB589=""),"PENDING_HUMAN",IF(AA589=AB589,AA589,IF(AD589&lt;&gt;"",AD589,"PENDING_HUMAN")))</x:f>
        <x:v>PENDING_HUMAN</x:v>
      </x:c>
      <x:c r="AF589" t="n">
        <x:f>--AND(A589&lt;&gt;"",AA589&lt;&gt;"",AB589&lt;&gt;"",OR(AA589=AB589,AD589&lt;&gt;""),IF(AE589="HALLUCINATION",U589&lt;&gt;"",TRUE))</x:f>
        <x:v>0</x:v>
      </x:c>
      <x:c r="AG589" t="n">
        <x:f>--AND(N589=1,AF589=1,OR(AE589="SUPPORTED",AE589="HALLUCINATION"))</x:f>
        <x:v>0</x:v>
      </x:c>
      <x:c r="AH589" t="n">
        <x:f>--AND(AG589=1,AE589="HALLUCINATION")</x:f>
        <x:v>0</x:v>
      </x:c>
      <x:c r="AI589" t="n">
        <x:f>--AND(Q589=1,AF589=1,AE589="HALLUCINATION")</x:f>
        <x:v>0</x:v>
      </x:c>
      <x:c r="AJ589" t="n">
        <x:f>--AND(AI589=1,R589=1,S589=1)</x:f>
        <x:v>0</x:v>
      </x:c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28"/>
      <x:c r="R590" s="28"/>
      <x:c r="S590" s="28"/>
      <x:c r="T590" s="28"/>
      <x:c r="U590" s="28"/>
      <x:c r="V590" s="28"/>
      <x:c r="W590" s="43" t="n">
        <x:f>--AND(N590=1,OR(O590="SUPPORTED",O590="HALLUCINATION"))</x:f>
        <x:v>0</x:v>
      </x:c>
      <x:c r="X590" s="43" t="n">
        <x:f>--AND(W590=1,O590="HALLUCINATION")</x:f>
        <x:v>0</x:v>
      </x:c>
      <x:c r="Y590" s="43" t="n">
        <x:f>--AND(Q590=1,O590="HALLUCINATION")</x:f>
        <x:v>0</x:v>
      </x:c>
      <x:c r="Z590" s="43" t="n">
        <x:f>--AND(Y590=1,R590=1,S590=1)</x:f>
        <x:v>0</x:v>
      </x:c>
      <x:c r="AC590" t="str">
        <x:f>IF(OR(AA590="",AB590=""),"",--(AA590&lt;&gt;AB590))</x:f>
      </x:c>
      <x:c r="AE590" t="str">
        <x:f>IF(OR(AA590="",AB590=""),"PENDING_HUMAN",IF(AA590=AB590,AA590,IF(AD590&lt;&gt;"",AD590,"PENDING_HUMAN")))</x:f>
        <x:v>PENDING_HUMAN</x:v>
      </x:c>
      <x:c r="AF590" t="n">
        <x:f>--AND(A590&lt;&gt;"",AA590&lt;&gt;"",AB590&lt;&gt;"",OR(AA590=AB590,AD590&lt;&gt;""),IF(AE590="HALLUCINATION",U590&lt;&gt;"",TRUE))</x:f>
        <x:v>0</x:v>
      </x:c>
      <x:c r="AG590" t="n">
        <x:f>--AND(N590=1,AF590=1,OR(AE590="SUPPORTED",AE590="HALLUCINATION"))</x:f>
        <x:v>0</x:v>
      </x:c>
      <x:c r="AH590" t="n">
        <x:f>--AND(AG590=1,AE590="HALLUCINATION")</x:f>
        <x:v>0</x:v>
      </x:c>
      <x:c r="AI590" t="n">
        <x:f>--AND(Q590=1,AF590=1,AE590="HALLUCINATION")</x:f>
        <x:v>0</x:v>
      </x:c>
      <x:c r="AJ590" t="n">
        <x:f>--AND(AI590=1,R590=1,S590=1)</x:f>
        <x:v>0</x:v>
      </x:c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28"/>
      <x:c r="R591" s="28"/>
      <x:c r="S591" s="28"/>
      <x:c r="T591" s="28"/>
      <x:c r="U591" s="28"/>
      <x:c r="V591" s="28"/>
      <x:c r="W591" s="43" t="n">
        <x:f>--AND(N591=1,OR(O591="SUPPORTED",O591="HALLUCINATION"))</x:f>
        <x:v>0</x:v>
      </x:c>
      <x:c r="X591" s="43" t="n">
        <x:f>--AND(W591=1,O591="HALLUCINATION")</x:f>
        <x:v>0</x:v>
      </x:c>
      <x:c r="Y591" s="43" t="n">
        <x:f>--AND(Q591=1,O591="HALLUCINATION")</x:f>
        <x:v>0</x:v>
      </x:c>
      <x:c r="Z591" s="43" t="n">
        <x:f>--AND(Y591=1,R591=1,S591=1)</x:f>
        <x:v>0</x:v>
      </x:c>
      <x:c r="AC591" t="str">
        <x:f>IF(OR(AA591="",AB591=""),"",--(AA591&lt;&gt;AB591))</x:f>
      </x:c>
      <x:c r="AE591" t="str">
        <x:f>IF(OR(AA591="",AB591=""),"PENDING_HUMAN",IF(AA591=AB591,AA591,IF(AD591&lt;&gt;"",AD591,"PENDING_HUMAN")))</x:f>
        <x:v>PENDING_HUMAN</x:v>
      </x:c>
      <x:c r="AF591" t="n">
        <x:f>--AND(A591&lt;&gt;"",AA591&lt;&gt;"",AB591&lt;&gt;"",OR(AA591=AB591,AD591&lt;&gt;""),IF(AE591="HALLUCINATION",U591&lt;&gt;"",TRUE))</x:f>
        <x:v>0</x:v>
      </x:c>
      <x:c r="AG591" t="n">
        <x:f>--AND(N591=1,AF591=1,OR(AE591="SUPPORTED",AE591="HALLUCINATION"))</x:f>
        <x:v>0</x:v>
      </x:c>
      <x:c r="AH591" t="n">
        <x:f>--AND(AG591=1,AE591="HALLUCINATION")</x:f>
        <x:v>0</x:v>
      </x:c>
      <x:c r="AI591" t="n">
        <x:f>--AND(Q591=1,AF591=1,AE591="HALLUCINATION")</x:f>
        <x:v>0</x:v>
      </x:c>
      <x:c r="AJ591" t="n">
        <x:f>--AND(AI591=1,R591=1,S591=1)</x:f>
        <x:v>0</x:v>
      </x:c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28"/>
      <x:c r="R592" s="28"/>
      <x:c r="S592" s="28"/>
      <x:c r="T592" s="28"/>
      <x:c r="U592" s="28"/>
      <x:c r="V592" s="28"/>
      <x:c r="W592" s="43" t="n">
        <x:f>--AND(N592=1,OR(O592="SUPPORTED",O592="HALLUCINATION"))</x:f>
        <x:v>0</x:v>
      </x:c>
      <x:c r="X592" s="43" t="n">
        <x:f>--AND(W592=1,O592="HALLUCINATION")</x:f>
        <x:v>0</x:v>
      </x:c>
      <x:c r="Y592" s="43" t="n">
        <x:f>--AND(Q592=1,O592="HALLUCINATION")</x:f>
        <x:v>0</x:v>
      </x:c>
      <x:c r="Z592" s="43" t="n">
        <x:f>--AND(Y592=1,R592=1,S592=1)</x:f>
        <x:v>0</x:v>
      </x:c>
      <x:c r="AC592" t="str">
        <x:f>IF(OR(AA592="",AB592=""),"",--(AA592&lt;&gt;AB592))</x:f>
      </x:c>
      <x:c r="AE592" t="str">
        <x:f>IF(OR(AA592="",AB592=""),"PENDING_HUMAN",IF(AA592=AB592,AA592,IF(AD592&lt;&gt;"",AD592,"PENDING_HUMAN")))</x:f>
        <x:v>PENDING_HUMAN</x:v>
      </x:c>
      <x:c r="AF592" t="n">
        <x:f>--AND(A592&lt;&gt;"",AA592&lt;&gt;"",AB592&lt;&gt;"",OR(AA592=AB592,AD592&lt;&gt;""),IF(AE592="HALLUCINATION",U592&lt;&gt;"",TRUE))</x:f>
        <x:v>0</x:v>
      </x:c>
      <x:c r="AG592" t="n">
        <x:f>--AND(N592=1,AF592=1,OR(AE592="SUPPORTED",AE592="HALLUCINATION"))</x:f>
        <x:v>0</x:v>
      </x:c>
      <x:c r="AH592" t="n">
        <x:f>--AND(AG592=1,AE592="HALLUCINATION")</x:f>
        <x:v>0</x:v>
      </x:c>
      <x:c r="AI592" t="n">
        <x:f>--AND(Q592=1,AF592=1,AE592="HALLUCINATION")</x:f>
        <x:v>0</x:v>
      </x:c>
      <x:c r="AJ592" t="n">
        <x:f>--AND(AI592=1,R592=1,S592=1)</x:f>
        <x:v>0</x:v>
      </x:c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28"/>
      <x:c r="R593" s="28"/>
      <x:c r="S593" s="28"/>
      <x:c r="T593" s="28"/>
      <x:c r="U593" s="28"/>
      <x:c r="V593" s="28"/>
      <x:c r="W593" s="43" t="n">
        <x:f>--AND(N593=1,OR(O593="SUPPORTED",O593="HALLUCINATION"))</x:f>
        <x:v>0</x:v>
      </x:c>
      <x:c r="X593" s="43" t="n">
        <x:f>--AND(W593=1,O593="HALLUCINATION")</x:f>
        <x:v>0</x:v>
      </x:c>
      <x:c r="Y593" s="43" t="n">
        <x:f>--AND(Q593=1,O593="HALLUCINATION")</x:f>
        <x:v>0</x:v>
      </x:c>
      <x:c r="Z593" s="43" t="n">
        <x:f>--AND(Y593=1,R593=1,S593=1)</x:f>
        <x:v>0</x:v>
      </x:c>
      <x:c r="AC593" t="str">
        <x:f>IF(OR(AA593="",AB593=""),"",--(AA593&lt;&gt;AB593))</x:f>
      </x:c>
      <x:c r="AE593" t="str">
        <x:f>IF(OR(AA593="",AB593=""),"PENDING_HUMAN",IF(AA593=AB593,AA593,IF(AD593&lt;&gt;"",AD593,"PENDING_HUMAN")))</x:f>
        <x:v>PENDING_HUMAN</x:v>
      </x:c>
      <x:c r="AF593" t="n">
        <x:f>--AND(A593&lt;&gt;"",AA593&lt;&gt;"",AB593&lt;&gt;"",OR(AA593=AB593,AD593&lt;&gt;""),IF(AE593="HALLUCINATION",U593&lt;&gt;"",TRUE))</x:f>
        <x:v>0</x:v>
      </x:c>
      <x:c r="AG593" t="n">
        <x:f>--AND(N593=1,AF593=1,OR(AE593="SUPPORTED",AE593="HALLUCINATION"))</x:f>
        <x:v>0</x:v>
      </x:c>
      <x:c r="AH593" t="n">
        <x:f>--AND(AG593=1,AE593="HALLUCINATION")</x:f>
        <x:v>0</x:v>
      </x:c>
      <x:c r="AI593" t="n">
        <x:f>--AND(Q593=1,AF593=1,AE593="HALLUCINATION")</x:f>
        <x:v>0</x:v>
      </x:c>
      <x:c r="AJ593" t="n">
        <x:f>--AND(AI593=1,R593=1,S593=1)</x:f>
        <x:v>0</x:v>
      </x:c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28"/>
      <x:c r="R594" s="28"/>
      <x:c r="S594" s="28"/>
      <x:c r="T594" s="28"/>
      <x:c r="U594" s="28"/>
      <x:c r="V594" s="28"/>
      <x:c r="W594" s="43" t="n">
        <x:f>--AND(N594=1,OR(O594="SUPPORTED",O594="HALLUCINATION"))</x:f>
        <x:v>0</x:v>
      </x:c>
      <x:c r="X594" s="43" t="n">
        <x:f>--AND(W594=1,O594="HALLUCINATION")</x:f>
        <x:v>0</x:v>
      </x:c>
      <x:c r="Y594" s="43" t="n">
        <x:f>--AND(Q594=1,O594="HALLUCINATION")</x:f>
        <x:v>0</x:v>
      </x:c>
      <x:c r="Z594" s="43" t="n">
        <x:f>--AND(Y594=1,R594=1,S594=1)</x:f>
        <x:v>0</x:v>
      </x:c>
      <x:c r="AC594" t="str">
        <x:f>IF(OR(AA594="",AB594=""),"",--(AA594&lt;&gt;AB594))</x:f>
      </x:c>
      <x:c r="AE594" t="str">
        <x:f>IF(OR(AA594="",AB594=""),"PENDING_HUMAN",IF(AA594=AB594,AA594,IF(AD594&lt;&gt;"",AD594,"PENDING_HUMAN")))</x:f>
        <x:v>PENDING_HUMAN</x:v>
      </x:c>
      <x:c r="AF594" t="n">
        <x:f>--AND(A594&lt;&gt;"",AA594&lt;&gt;"",AB594&lt;&gt;"",OR(AA594=AB594,AD594&lt;&gt;""),IF(AE594="HALLUCINATION",U594&lt;&gt;"",TRUE))</x:f>
        <x:v>0</x:v>
      </x:c>
      <x:c r="AG594" t="n">
        <x:f>--AND(N594=1,AF594=1,OR(AE594="SUPPORTED",AE594="HALLUCINATION"))</x:f>
        <x:v>0</x:v>
      </x:c>
      <x:c r="AH594" t="n">
        <x:f>--AND(AG594=1,AE594="HALLUCINATION")</x:f>
        <x:v>0</x:v>
      </x:c>
      <x:c r="AI594" t="n">
        <x:f>--AND(Q594=1,AF594=1,AE594="HALLUCINATION")</x:f>
        <x:v>0</x:v>
      </x:c>
      <x:c r="AJ594" t="n">
        <x:f>--AND(AI594=1,R594=1,S594=1)</x:f>
        <x:v>0</x:v>
      </x:c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28"/>
      <x:c r="R595" s="28"/>
      <x:c r="S595" s="28"/>
      <x:c r="T595" s="28"/>
      <x:c r="U595" s="28"/>
      <x:c r="V595" s="28"/>
      <x:c r="W595" s="43" t="n">
        <x:f>--AND(N595=1,OR(O595="SUPPORTED",O595="HALLUCINATION"))</x:f>
        <x:v>0</x:v>
      </x:c>
      <x:c r="X595" s="43" t="n">
        <x:f>--AND(W595=1,O595="HALLUCINATION")</x:f>
        <x:v>0</x:v>
      </x:c>
      <x:c r="Y595" s="43" t="n">
        <x:f>--AND(Q595=1,O595="HALLUCINATION")</x:f>
        <x:v>0</x:v>
      </x:c>
      <x:c r="Z595" s="43" t="n">
        <x:f>--AND(Y595=1,R595=1,S595=1)</x:f>
        <x:v>0</x:v>
      </x:c>
      <x:c r="AC595" t="str">
        <x:f>IF(OR(AA595="",AB595=""),"",--(AA595&lt;&gt;AB595))</x:f>
      </x:c>
      <x:c r="AE595" t="str">
        <x:f>IF(OR(AA595="",AB595=""),"PENDING_HUMAN",IF(AA595=AB595,AA595,IF(AD595&lt;&gt;"",AD595,"PENDING_HUMAN")))</x:f>
        <x:v>PENDING_HUMAN</x:v>
      </x:c>
      <x:c r="AF595" t="n">
        <x:f>--AND(A595&lt;&gt;"",AA595&lt;&gt;"",AB595&lt;&gt;"",OR(AA595=AB595,AD595&lt;&gt;""),IF(AE595="HALLUCINATION",U595&lt;&gt;"",TRUE))</x:f>
        <x:v>0</x:v>
      </x:c>
      <x:c r="AG595" t="n">
        <x:f>--AND(N595=1,AF595=1,OR(AE595="SUPPORTED",AE595="HALLUCINATION"))</x:f>
        <x:v>0</x:v>
      </x:c>
      <x:c r="AH595" t="n">
        <x:f>--AND(AG595=1,AE595="HALLUCINATION")</x:f>
        <x:v>0</x:v>
      </x:c>
      <x:c r="AI595" t="n">
        <x:f>--AND(Q595=1,AF595=1,AE595="HALLUCINATION")</x:f>
        <x:v>0</x:v>
      </x:c>
      <x:c r="AJ595" t="n">
        <x:f>--AND(AI595=1,R595=1,S595=1)</x:f>
        <x:v>0</x:v>
      </x:c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28"/>
      <x:c r="R596" s="28"/>
      <x:c r="S596" s="28"/>
      <x:c r="T596" s="28"/>
      <x:c r="U596" s="28"/>
      <x:c r="V596" s="28"/>
      <x:c r="W596" s="43" t="n">
        <x:f>--AND(N596=1,OR(O596="SUPPORTED",O596="HALLUCINATION"))</x:f>
        <x:v>0</x:v>
      </x:c>
      <x:c r="X596" s="43" t="n">
        <x:f>--AND(W596=1,O596="HALLUCINATION")</x:f>
        <x:v>0</x:v>
      </x:c>
      <x:c r="Y596" s="43" t="n">
        <x:f>--AND(Q596=1,O596="HALLUCINATION")</x:f>
        <x:v>0</x:v>
      </x:c>
      <x:c r="Z596" s="43" t="n">
        <x:f>--AND(Y596=1,R596=1,S596=1)</x:f>
        <x:v>0</x:v>
      </x:c>
      <x:c r="AC596" t="str">
        <x:f>IF(OR(AA596="",AB596=""),"",--(AA596&lt;&gt;AB596))</x:f>
      </x:c>
      <x:c r="AE596" t="str">
        <x:f>IF(OR(AA596="",AB596=""),"PENDING_HUMAN",IF(AA596=AB596,AA596,IF(AD596&lt;&gt;"",AD596,"PENDING_HUMAN")))</x:f>
        <x:v>PENDING_HUMAN</x:v>
      </x:c>
      <x:c r="AF596" t="n">
        <x:f>--AND(A596&lt;&gt;"",AA596&lt;&gt;"",AB596&lt;&gt;"",OR(AA596=AB596,AD596&lt;&gt;""),IF(AE596="HALLUCINATION",U596&lt;&gt;"",TRUE))</x:f>
        <x:v>0</x:v>
      </x:c>
      <x:c r="AG596" t="n">
        <x:f>--AND(N596=1,AF596=1,OR(AE596="SUPPORTED",AE596="HALLUCINATION"))</x:f>
        <x:v>0</x:v>
      </x:c>
      <x:c r="AH596" t="n">
        <x:f>--AND(AG596=1,AE596="HALLUCINATION")</x:f>
        <x:v>0</x:v>
      </x:c>
      <x:c r="AI596" t="n">
        <x:f>--AND(Q596=1,AF596=1,AE596="HALLUCINATION")</x:f>
        <x:v>0</x:v>
      </x:c>
      <x:c r="AJ596" t="n">
        <x:f>--AND(AI596=1,R596=1,S596=1)</x:f>
        <x:v>0</x:v>
      </x:c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28"/>
      <x:c r="R597" s="28"/>
      <x:c r="S597" s="28"/>
      <x:c r="T597" s="28"/>
      <x:c r="U597" s="28"/>
      <x:c r="V597" s="28"/>
      <x:c r="W597" s="43" t="n">
        <x:f>--AND(N597=1,OR(O597="SUPPORTED",O597="HALLUCINATION"))</x:f>
        <x:v>0</x:v>
      </x:c>
      <x:c r="X597" s="43" t="n">
        <x:f>--AND(W597=1,O597="HALLUCINATION")</x:f>
        <x:v>0</x:v>
      </x:c>
      <x:c r="Y597" s="43" t="n">
        <x:f>--AND(Q597=1,O597="HALLUCINATION")</x:f>
        <x:v>0</x:v>
      </x:c>
      <x:c r="Z597" s="43" t="n">
        <x:f>--AND(Y597=1,R597=1,S597=1)</x:f>
        <x:v>0</x:v>
      </x:c>
      <x:c r="AC597" t="str">
        <x:f>IF(OR(AA597="",AB597=""),"",--(AA597&lt;&gt;AB597))</x:f>
      </x:c>
      <x:c r="AE597" t="str">
        <x:f>IF(OR(AA597="",AB597=""),"PENDING_HUMAN",IF(AA597=AB597,AA597,IF(AD597&lt;&gt;"",AD597,"PENDING_HUMAN")))</x:f>
        <x:v>PENDING_HUMAN</x:v>
      </x:c>
      <x:c r="AF597" t="n">
        <x:f>--AND(A597&lt;&gt;"",AA597&lt;&gt;"",AB597&lt;&gt;"",OR(AA597=AB597,AD597&lt;&gt;""),IF(AE597="HALLUCINATION",U597&lt;&gt;"",TRUE))</x:f>
        <x:v>0</x:v>
      </x:c>
      <x:c r="AG597" t="n">
        <x:f>--AND(N597=1,AF597=1,OR(AE597="SUPPORTED",AE597="HALLUCINATION"))</x:f>
        <x:v>0</x:v>
      </x:c>
      <x:c r="AH597" t="n">
        <x:f>--AND(AG597=1,AE597="HALLUCINATION")</x:f>
        <x:v>0</x:v>
      </x:c>
      <x:c r="AI597" t="n">
        <x:f>--AND(Q597=1,AF597=1,AE597="HALLUCINATION")</x:f>
        <x:v>0</x:v>
      </x:c>
      <x:c r="AJ597" t="n">
        <x:f>--AND(AI597=1,R597=1,S597=1)</x:f>
        <x:v>0</x:v>
      </x:c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28"/>
      <x:c r="R598" s="28"/>
      <x:c r="S598" s="28"/>
      <x:c r="T598" s="28"/>
      <x:c r="U598" s="28"/>
      <x:c r="V598" s="28"/>
      <x:c r="W598" s="43" t="n">
        <x:f>--AND(N598=1,OR(O598="SUPPORTED",O598="HALLUCINATION"))</x:f>
        <x:v>0</x:v>
      </x:c>
      <x:c r="X598" s="43" t="n">
        <x:f>--AND(W598=1,O598="HALLUCINATION")</x:f>
        <x:v>0</x:v>
      </x:c>
      <x:c r="Y598" s="43" t="n">
        <x:f>--AND(Q598=1,O598="HALLUCINATION")</x:f>
        <x:v>0</x:v>
      </x:c>
      <x:c r="Z598" s="43" t="n">
        <x:f>--AND(Y598=1,R598=1,S598=1)</x:f>
        <x:v>0</x:v>
      </x:c>
      <x:c r="AC598" t="str">
        <x:f>IF(OR(AA598="",AB598=""),"",--(AA598&lt;&gt;AB598))</x:f>
      </x:c>
      <x:c r="AE598" t="str">
        <x:f>IF(OR(AA598="",AB598=""),"PENDING_HUMAN",IF(AA598=AB598,AA598,IF(AD598&lt;&gt;"",AD598,"PENDING_HUMAN")))</x:f>
        <x:v>PENDING_HUMAN</x:v>
      </x:c>
      <x:c r="AF598" t="n">
        <x:f>--AND(A598&lt;&gt;"",AA598&lt;&gt;"",AB598&lt;&gt;"",OR(AA598=AB598,AD598&lt;&gt;""),IF(AE598="HALLUCINATION",U598&lt;&gt;"",TRUE))</x:f>
        <x:v>0</x:v>
      </x:c>
      <x:c r="AG598" t="n">
        <x:f>--AND(N598=1,AF598=1,OR(AE598="SUPPORTED",AE598="HALLUCINATION"))</x:f>
        <x:v>0</x:v>
      </x:c>
      <x:c r="AH598" t="n">
        <x:f>--AND(AG598=1,AE598="HALLUCINATION")</x:f>
        <x:v>0</x:v>
      </x:c>
      <x:c r="AI598" t="n">
        <x:f>--AND(Q598=1,AF598=1,AE598="HALLUCINATION")</x:f>
        <x:v>0</x:v>
      </x:c>
      <x:c r="AJ598" t="n">
        <x:f>--AND(AI598=1,R598=1,S598=1)</x:f>
        <x:v>0</x:v>
      </x:c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28"/>
      <x:c r="R599" s="28"/>
      <x:c r="S599" s="28"/>
      <x:c r="T599" s="28"/>
      <x:c r="U599" s="28"/>
      <x:c r="V599" s="28"/>
      <x:c r="W599" s="43" t="n">
        <x:f>--AND(N599=1,OR(O599="SUPPORTED",O599="HALLUCINATION"))</x:f>
        <x:v>0</x:v>
      </x:c>
      <x:c r="X599" s="43" t="n">
        <x:f>--AND(W599=1,O599="HALLUCINATION")</x:f>
        <x:v>0</x:v>
      </x:c>
      <x:c r="Y599" s="43" t="n">
        <x:f>--AND(Q599=1,O599="HALLUCINATION")</x:f>
        <x:v>0</x:v>
      </x:c>
      <x:c r="Z599" s="43" t="n">
        <x:f>--AND(Y599=1,R599=1,S599=1)</x:f>
        <x:v>0</x:v>
      </x:c>
      <x:c r="AC599" t="str">
        <x:f>IF(OR(AA599="",AB599=""),"",--(AA599&lt;&gt;AB599))</x:f>
      </x:c>
      <x:c r="AE599" t="str">
        <x:f>IF(OR(AA599="",AB599=""),"PENDING_HUMAN",IF(AA599=AB599,AA599,IF(AD599&lt;&gt;"",AD599,"PENDING_HUMAN")))</x:f>
        <x:v>PENDING_HUMAN</x:v>
      </x:c>
      <x:c r="AF599" t="n">
        <x:f>--AND(A599&lt;&gt;"",AA599&lt;&gt;"",AB599&lt;&gt;"",OR(AA599=AB599,AD599&lt;&gt;""),IF(AE599="HALLUCINATION",U599&lt;&gt;"",TRUE))</x:f>
        <x:v>0</x:v>
      </x:c>
      <x:c r="AG599" t="n">
        <x:f>--AND(N599=1,AF599=1,OR(AE599="SUPPORTED",AE599="HALLUCINATION"))</x:f>
        <x:v>0</x:v>
      </x:c>
      <x:c r="AH599" t="n">
        <x:f>--AND(AG599=1,AE599="HALLUCINATION")</x:f>
        <x:v>0</x:v>
      </x:c>
      <x:c r="AI599" t="n">
        <x:f>--AND(Q599=1,AF599=1,AE599="HALLUCINATION")</x:f>
        <x:v>0</x:v>
      </x:c>
      <x:c r="AJ599" t="n">
        <x:f>--AND(AI599=1,R599=1,S599=1)</x:f>
        <x:v>0</x:v>
      </x:c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28"/>
      <x:c r="R600" s="28"/>
      <x:c r="S600" s="28"/>
      <x:c r="T600" s="28"/>
      <x:c r="U600" s="28"/>
      <x:c r="V600" s="28"/>
      <x:c r="W600" s="43" t="n">
        <x:f>--AND(N600=1,OR(O600="SUPPORTED",O600="HALLUCINATION"))</x:f>
        <x:v>0</x:v>
      </x:c>
      <x:c r="X600" s="43" t="n">
        <x:f>--AND(W600=1,O600="HALLUCINATION")</x:f>
        <x:v>0</x:v>
      </x:c>
      <x:c r="Y600" s="43" t="n">
        <x:f>--AND(Q600=1,O600="HALLUCINATION")</x:f>
        <x:v>0</x:v>
      </x:c>
      <x:c r="Z600" s="43" t="n">
        <x:f>--AND(Y600=1,R600=1,S600=1)</x:f>
        <x:v>0</x:v>
      </x:c>
      <x:c r="AC600" t="str">
        <x:f>IF(OR(AA600="",AB600=""),"",--(AA600&lt;&gt;AB600))</x:f>
      </x:c>
      <x:c r="AE600" t="str">
        <x:f>IF(OR(AA600="",AB600=""),"PENDING_HUMAN",IF(AA600=AB600,AA600,IF(AD600&lt;&gt;"",AD600,"PENDING_HUMAN")))</x:f>
        <x:v>PENDING_HUMAN</x:v>
      </x:c>
      <x:c r="AF600" t="n">
        <x:f>--AND(A600&lt;&gt;"",AA600&lt;&gt;"",AB600&lt;&gt;"",OR(AA600=AB600,AD600&lt;&gt;""),IF(AE600="HALLUCINATION",U600&lt;&gt;"",TRUE))</x:f>
        <x:v>0</x:v>
      </x:c>
      <x:c r="AG600" t="n">
        <x:f>--AND(N600=1,AF600=1,OR(AE600="SUPPORTED",AE600="HALLUCINATION"))</x:f>
        <x:v>0</x:v>
      </x:c>
      <x:c r="AH600" t="n">
        <x:f>--AND(AG600=1,AE600="HALLUCINATION")</x:f>
        <x:v>0</x:v>
      </x:c>
      <x:c r="AI600" t="n">
        <x:f>--AND(Q600=1,AF600=1,AE600="HALLUCINATION")</x:f>
        <x:v>0</x:v>
      </x:c>
      <x:c r="AJ600" t="n">
        <x:f>--AND(AI600=1,R600=1,S600=1)</x:f>
        <x:v>0</x:v>
      </x:c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28"/>
      <x:c r="R601" s="28"/>
      <x:c r="S601" s="28"/>
      <x:c r="T601" s="28"/>
      <x:c r="U601" s="28"/>
      <x:c r="V601" s="28"/>
      <x:c r="W601" s="43" t="n">
        <x:f>--AND(N601=1,OR(O601="SUPPORTED",O601="HALLUCINATION"))</x:f>
        <x:v>0</x:v>
      </x:c>
      <x:c r="X601" s="43" t="n">
        <x:f>--AND(W601=1,O601="HALLUCINATION")</x:f>
        <x:v>0</x:v>
      </x:c>
      <x:c r="Y601" s="43" t="n">
        <x:f>--AND(Q601=1,O601="HALLUCINATION")</x:f>
        <x:v>0</x:v>
      </x:c>
      <x:c r="Z601" s="43" t="n">
        <x:f>--AND(Y601=1,R601=1,S601=1)</x:f>
        <x:v>0</x:v>
      </x:c>
      <x:c r="AC601" t="str">
        <x:f>IF(OR(AA601="",AB601=""),"",--(AA601&lt;&gt;AB601))</x:f>
      </x:c>
      <x:c r="AE601" t="str">
        <x:f>IF(OR(AA601="",AB601=""),"PENDING_HUMAN",IF(AA601=AB601,AA601,IF(AD601&lt;&gt;"",AD601,"PENDING_HUMAN")))</x:f>
        <x:v>PENDING_HUMAN</x:v>
      </x:c>
      <x:c r="AF601" t="n">
        <x:f>--AND(A601&lt;&gt;"",AA601&lt;&gt;"",AB601&lt;&gt;"",OR(AA601=AB601,AD601&lt;&gt;""),IF(AE601="HALLUCINATION",U601&lt;&gt;"",TRUE))</x:f>
        <x:v>0</x:v>
      </x:c>
      <x:c r="AG601" t="n">
        <x:f>--AND(N601=1,AF601=1,OR(AE601="SUPPORTED",AE601="HALLUCINATION"))</x:f>
        <x:v>0</x:v>
      </x:c>
      <x:c r="AH601" t="n">
        <x:f>--AND(AG601=1,AE601="HALLUCINATION")</x:f>
        <x:v>0</x:v>
      </x:c>
      <x:c r="AI601" t="n">
        <x:f>--AND(Q601=1,AF601=1,AE601="HALLUCINATION")</x:f>
        <x:v>0</x:v>
      </x:c>
      <x:c r="AJ601" t="n">
        <x:f>--AND(AI601=1,R601=1,S601=1)</x:f>
        <x:v>0</x:v>
      </x:c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28"/>
      <x:c r="R602" s="28"/>
      <x:c r="S602" s="28"/>
      <x:c r="T602" s="28"/>
      <x:c r="U602" s="28"/>
      <x:c r="V602" s="28"/>
      <x:c r="W602" s="43" t="n">
        <x:f>--AND(N602=1,OR(O602="SUPPORTED",O602="HALLUCINATION"))</x:f>
        <x:v>0</x:v>
      </x:c>
      <x:c r="X602" s="43" t="n">
        <x:f>--AND(W602=1,O602="HALLUCINATION")</x:f>
        <x:v>0</x:v>
      </x:c>
      <x:c r="Y602" s="43" t="n">
        <x:f>--AND(Q602=1,O602="HALLUCINATION")</x:f>
        <x:v>0</x:v>
      </x:c>
      <x:c r="Z602" s="43" t="n">
        <x:f>--AND(Y602=1,R602=1,S602=1)</x:f>
        <x:v>0</x:v>
      </x:c>
      <x:c r="AC602" t="str">
        <x:f>IF(OR(AA602="",AB602=""),"",--(AA602&lt;&gt;AB602))</x:f>
      </x:c>
      <x:c r="AE602" t="str">
        <x:f>IF(OR(AA602="",AB602=""),"PENDING_HUMAN",IF(AA602=AB602,AA602,IF(AD602&lt;&gt;"",AD602,"PENDING_HUMAN")))</x:f>
        <x:v>PENDING_HUMAN</x:v>
      </x:c>
      <x:c r="AF602" t="n">
        <x:f>--AND(A602&lt;&gt;"",AA602&lt;&gt;"",AB602&lt;&gt;"",OR(AA602=AB602,AD602&lt;&gt;""),IF(AE602="HALLUCINATION",U602&lt;&gt;"",TRUE))</x:f>
        <x:v>0</x:v>
      </x:c>
      <x:c r="AG602" t="n">
        <x:f>--AND(N602=1,AF602=1,OR(AE602="SUPPORTED",AE602="HALLUCINATION"))</x:f>
        <x:v>0</x:v>
      </x:c>
      <x:c r="AH602" t="n">
        <x:f>--AND(AG602=1,AE602="HALLUCINATION")</x:f>
        <x:v>0</x:v>
      </x:c>
      <x:c r="AI602" t="n">
        <x:f>--AND(Q602=1,AF602=1,AE602="HALLUCINATION")</x:f>
        <x:v>0</x:v>
      </x:c>
      <x:c r="AJ602" t="n">
        <x:f>--AND(AI602=1,R602=1,S602=1)</x:f>
        <x:v>0</x:v>
      </x:c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28"/>
      <x:c r="R603" s="28"/>
      <x:c r="S603" s="28"/>
      <x:c r="T603" s="28"/>
      <x:c r="U603" s="28"/>
      <x:c r="V603" s="28"/>
      <x:c r="W603" s="43" t="n">
        <x:f>--AND(N603=1,OR(O603="SUPPORTED",O603="HALLUCINATION"))</x:f>
        <x:v>0</x:v>
      </x:c>
      <x:c r="X603" s="43" t="n">
        <x:f>--AND(W603=1,O603="HALLUCINATION")</x:f>
        <x:v>0</x:v>
      </x:c>
      <x:c r="Y603" s="43" t="n">
        <x:f>--AND(Q603=1,O603="HALLUCINATION")</x:f>
        <x:v>0</x:v>
      </x:c>
      <x:c r="Z603" s="43" t="n">
        <x:f>--AND(Y603=1,R603=1,S603=1)</x:f>
        <x:v>0</x:v>
      </x:c>
      <x:c r="AC603" t="str">
        <x:f>IF(OR(AA603="",AB603=""),"",--(AA603&lt;&gt;AB603))</x:f>
      </x:c>
      <x:c r="AE603" t="str">
        <x:f>IF(OR(AA603="",AB603=""),"PENDING_HUMAN",IF(AA603=AB603,AA603,IF(AD603&lt;&gt;"",AD603,"PENDING_HUMAN")))</x:f>
        <x:v>PENDING_HUMAN</x:v>
      </x:c>
      <x:c r="AF603" t="n">
        <x:f>--AND(A603&lt;&gt;"",AA603&lt;&gt;"",AB603&lt;&gt;"",OR(AA603=AB603,AD603&lt;&gt;""),IF(AE603="HALLUCINATION",U603&lt;&gt;"",TRUE))</x:f>
        <x:v>0</x:v>
      </x:c>
      <x:c r="AG603" t="n">
        <x:f>--AND(N603=1,AF603=1,OR(AE603="SUPPORTED",AE603="HALLUCINATION"))</x:f>
        <x:v>0</x:v>
      </x:c>
      <x:c r="AH603" t="n">
        <x:f>--AND(AG603=1,AE603="HALLUCINATION")</x:f>
        <x:v>0</x:v>
      </x:c>
      <x:c r="AI603" t="n">
        <x:f>--AND(Q603=1,AF603=1,AE603="HALLUCINATION")</x:f>
        <x:v>0</x:v>
      </x:c>
      <x:c r="AJ603" t="n">
        <x:f>--AND(AI603=1,R603=1,S603=1)</x:f>
        <x:v>0</x:v>
      </x:c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28"/>
      <x:c r="R604" s="28"/>
      <x:c r="S604" s="28"/>
      <x:c r="T604" s="28"/>
      <x:c r="U604" s="28"/>
      <x:c r="V604" s="28"/>
      <x:c r="W604" s="43" t="n">
        <x:f>--AND(N604=1,OR(O604="SUPPORTED",O604="HALLUCINATION"))</x:f>
        <x:v>0</x:v>
      </x:c>
      <x:c r="X604" s="43" t="n">
        <x:f>--AND(W604=1,O604="HALLUCINATION")</x:f>
        <x:v>0</x:v>
      </x:c>
      <x:c r="Y604" s="43" t="n">
        <x:f>--AND(Q604=1,O604="HALLUCINATION")</x:f>
        <x:v>0</x:v>
      </x:c>
      <x:c r="Z604" s="43" t="n">
        <x:f>--AND(Y604=1,R604=1,S604=1)</x:f>
        <x:v>0</x:v>
      </x:c>
      <x:c r="AC604" t="str">
        <x:f>IF(OR(AA604="",AB604=""),"",--(AA604&lt;&gt;AB604))</x:f>
      </x:c>
      <x:c r="AE604" t="str">
        <x:f>IF(OR(AA604="",AB604=""),"PENDING_HUMAN",IF(AA604=AB604,AA604,IF(AD604&lt;&gt;"",AD604,"PENDING_HUMAN")))</x:f>
        <x:v>PENDING_HUMAN</x:v>
      </x:c>
      <x:c r="AF604" t="n">
        <x:f>--AND(A604&lt;&gt;"",AA604&lt;&gt;"",AB604&lt;&gt;"",OR(AA604=AB604,AD604&lt;&gt;""),IF(AE604="HALLUCINATION",U604&lt;&gt;"",TRUE))</x:f>
        <x:v>0</x:v>
      </x:c>
      <x:c r="AG604" t="n">
        <x:f>--AND(N604=1,AF604=1,OR(AE604="SUPPORTED",AE604="HALLUCINATION"))</x:f>
        <x:v>0</x:v>
      </x:c>
      <x:c r="AH604" t="n">
        <x:f>--AND(AG604=1,AE604="HALLUCINATION")</x:f>
        <x:v>0</x:v>
      </x:c>
      <x:c r="AI604" t="n">
        <x:f>--AND(Q604=1,AF604=1,AE604="HALLUCINATION")</x:f>
        <x:v>0</x:v>
      </x:c>
      <x:c r="AJ604" t="n">
        <x:f>--AND(AI604=1,R604=1,S604=1)</x:f>
        <x:v>0</x:v>
      </x:c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28"/>
      <x:c r="R605" s="28"/>
      <x:c r="S605" s="28"/>
      <x:c r="T605" s="28"/>
      <x:c r="U605" s="28"/>
      <x:c r="V605" s="28"/>
      <x:c r="W605" s="43" t="n">
        <x:f>--AND(N605=1,OR(O605="SUPPORTED",O605="HALLUCINATION"))</x:f>
        <x:v>0</x:v>
      </x:c>
      <x:c r="X605" s="43" t="n">
        <x:f>--AND(W605=1,O605="HALLUCINATION")</x:f>
        <x:v>0</x:v>
      </x:c>
      <x:c r="Y605" s="43" t="n">
        <x:f>--AND(Q605=1,O605="HALLUCINATION")</x:f>
        <x:v>0</x:v>
      </x:c>
      <x:c r="Z605" s="43" t="n">
        <x:f>--AND(Y605=1,R605=1,S605=1)</x:f>
        <x:v>0</x:v>
      </x:c>
      <x:c r="AC605" t="str">
        <x:f>IF(OR(AA605="",AB605=""),"",--(AA605&lt;&gt;AB605))</x:f>
      </x:c>
      <x:c r="AE605" t="str">
        <x:f>IF(OR(AA605="",AB605=""),"PENDING_HUMAN",IF(AA605=AB605,AA605,IF(AD605&lt;&gt;"",AD605,"PENDING_HUMAN")))</x:f>
        <x:v>PENDING_HUMAN</x:v>
      </x:c>
      <x:c r="AF605" t="n">
        <x:f>--AND(A605&lt;&gt;"",AA605&lt;&gt;"",AB605&lt;&gt;"",OR(AA605=AB605,AD605&lt;&gt;""),IF(AE605="HALLUCINATION",U605&lt;&gt;"",TRUE))</x:f>
        <x:v>0</x:v>
      </x:c>
      <x:c r="AG605" t="n">
        <x:f>--AND(N605=1,AF605=1,OR(AE605="SUPPORTED",AE605="HALLUCINATION"))</x:f>
        <x:v>0</x:v>
      </x:c>
      <x:c r="AH605" t="n">
        <x:f>--AND(AG605=1,AE605="HALLUCINATION")</x:f>
        <x:v>0</x:v>
      </x:c>
      <x:c r="AI605" t="n">
        <x:f>--AND(Q605=1,AF605=1,AE605="HALLUCINATION")</x:f>
        <x:v>0</x:v>
      </x:c>
      <x:c r="AJ605" t="n">
        <x:f>--AND(AI605=1,R605=1,S605=1)</x:f>
        <x:v>0</x:v>
      </x:c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28"/>
      <x:c r="R606" s="28"/>
      <x:c r="S606" s="28"/>
      <x:c r="T606" s="28"/>
      <x:c r="U606" s="28"/>
      <x:c r="V606" s="28"/>
      <x:c r="W606" s="43" t="n">
        <x:f>--AND(N606=1,OR(O606="SUPPORTED",O606="HALLUCINATION"))</x:f>
        <x:v>0</x:v>
      </x:c>
      <x:c r="X606" s="43" t="n">
        <x:f>--AND(W606=1,O606="HALLUCINATION")</x:f>
        <x:v>0</x:v>
      </x:c>
      <x:c r="Y606" s="43" t="n">
        <x:f>--AND(Q606=1,O606="HALLUCINATION")</x:f>
        <x:v>0</x:v>
      </x:c>
      <x:c r="Z606" s="43" t="n">
        <x:f>--AND(Y606=1,R606=1,S606=1)</x:f>
        <x:v>0</x:v>
      </x:c>
      <x:c r="AC606" t="str">
        <x:f>IF(OR(AA606="",AB606=""),"",--(AA606&lt;&gt;AB606))</x:f>
      </x:c>
      <x:c r="AE606" t="str">
        <x:f>IF(OR(AA606="",AB606=""),"PENDING_HUMAN",IF(AA606=AB606,AA606,IF(AD606&lt;&gt;"",AD606,"PENDING_HUMAN")))</x:f>
        <x:v>PENDING_HUMAN</x:v>
      </x:c>
      <x:c r="AF606" t="n">
        <x:f>--AND(A606&lt;&gt;"",AA606&lt;&gt;"",AB606&lt;&gt;"",OR(AA606=AB606,AD606&lt;&gt;""),IF(AE606="HALLUCINATION",U606&lt;&gt;"",TRUE))</x:f>
        <x:v>0</x:v>
      </x:c>
      <x:c r="AG606" t="n">
        <x:f>--AND(N606=1,AF606=1,OR(AE606="SUPPORTED",AE606="HALLUCINATION"))</x:f>
        <x:v>0</x:v>
      </x:c>
      <x:c r="AH606" t="n">
        <x:f>--AND(AG606=1,AE606="HALLUCINATION")</x:f>
        <x:v>0</x:v>
      </x:c>
      <x:c r="AI606" t="n">
        <x:f>--AND(Q606=1,AF606=1,AE606="HALLUCINATION")</x:f>
        <x:v>0</x:v>
      </x:c>
      <x:c r="AJ606" t="n">
        <x:f>--AND(AI606=1,R606=1,S606=1)</x:f>
        <x:v>0</x:v>
      </x:c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28"/>
      <x:c r="R607" s="28"/>
      <x:c r="S607" s="28"/>
      <x:c r="T607" s="28"/>
      <x:c r="U607" s="28"/>
      <x:c r="V607" s="28"/>
      <x:c r="W607" s="43" t="n">
        <x:f>--AND(N607=1,OR(O607="SUPPORTED",O607="HALLUCINATION"))</x:f>
        <x:v>0</x:v>
      </x:c>
      <x:c r="X607" s="43" t="n">
        <x:f>--AND(W607=1,O607="HALLUCINATION")</x:f>
        <x:v>0</x:v>
      </x:c>
      <x:c r="Y607" s="43" t="n">
        <x:f>--AND(Q607=1,O607="HALLUCINATION")</x:f>
        <x:v>0</x:v>
      </x:c>
      <x:c r="Z607" s="43" t="n">
        <x:f>--AND(Y607=1,R607=1,S607=1)</x:f>
        <x:v>0</x:v>
      </x:c>
      <x:c r="AC607" t="str">
        <x:f>IF(OR(AA607="",AB607=""),"",--(AA607&lt;&gt;AB607))</x:f>
      </x:c>
      <x:c r="AE607" t="str">
        <x:f>IF(OR(AA607="",AB607=""),"PENDING_HUMAN",IF(AA607=AB607,AA607,IF(AD607&lt;&gt;"",AD607,"PENDING_HUMAN")))</x:f>
        <x:v>PENDING_HUMAN</x:v>
      </x:c>
      <x:c r="AF607" t="n">
        <x:f>--AND(A607&lt;&gt;"",AA607&lt;&gt;"",AB607&lt;&gt;"",OR(AA607=AB607,AD607&lt;&gt;""),IF(AE607="HALLUCINATION",U607&lt;&gt;"",TRUE))</x:f>
        <x:v>0</x:v>
      </x:c>
      <x:c r="AG607" t="n">
        <x:f>--AND(N607=1,AF607=1,OR(AE607="SUPPORTED",AE607="HALLUCINATION"))</x:f>
        <x:v>0</x:v>
      </x:c>
      <x:c r="AH607" t="n">
        <x:f>--AND(AG607=1,AE607="HALLUCINATION")</x:f>
        <x:v>0</x:v>
      </x:c>
      <x:c r="AI607" t="n">
        <x:f>--AND(Q607=1,AF607=1,AE607="HALLUCINATION")</x:f>
        <x:v>0</x:v>
      </x:c>
      <x:c r="AJ607" t="n">
        <x:f>--AND(AI607=1,R607=1,S607=1)</x:f>
        <x:v>0</x:v>
      </x:c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28"/>
      <x:c r="R608" s="28"/>
      <x:c r="S608" s="28"/>
      <x:c r="T608" s="28"/>
      <x:c r="U608" s="28"/>
      <x:c r="V608" s="28"/>
      <x:c r="W608" s="43" t="n">
        <x:f>--AND(N608=1,OR(O608="SUPPORTED",O608="HALLUCINATION"))</x:f>
        <x:v>0</x:v>
      </x:c>
      <x:c r="X608" s="43" t="n">
        <x:f>--AND(W608=1,O608="HALLUCINATION")</x:f>
        <x:v>0</x:v>
      </x:c>
      <x:c r="Y608" s="43" t="n">
        <x:f>--AND(Q608=1,O608="HALLUCINATION")</x:f>
        <x:v>0</x:v>
      </x:c>
      <x:c r="Z608" s="43" t="n">
        <x:f>--AND(Y608=1,R608=1,S608=1)</x:f>
        <x:v>0</x:v>
      </x:c>
      <x:c r="AC608" t="str">
        <x:f>IF(OR(AA608="",AB608=""),"",--(AA608&lt;&gt;AB608))</x:f>
      </x:c>
      <x:c r="AE608" t="str">
        <x:f>IF(OR(AA608="",AB608=""),"PENDING_HUMAN",IF(AA608=AB608,AA608,IF(AD608&lt;&gt;"",AD608,"PENDING_HUMAN")))</x:f>
        <x:v>PENDING_HUMAN</x:v>
      </x:c>
      <x:c r="AF608" t="n">
        <x:f>--AND(A608&lt;&gt;"",AA608&lt;&gt;"",AB608&lt;&gt;"",OR(AA608=AB608,AD608&lt;&gt;""),IF(AE608="HALLUCINATION",U608&lt;&gt;"",TRUE))</x:f>
        <x:v>0</x:v>
      </x:c>
      <x:c r="AG608" t="n">
        <x:f>--AND(N608=1,AF608=1,OR(AE608="SUPPORTED",AE608="HALLUCINATION"))</x:f>
        <x:v>0</x:v>
      </x:c>
      <x:c r="AH608" t="n">
        <x:f>--AND(AG608=1,AE608="HALLUCINATION")</x:f>
        <x:v>0</x:v>
      </x:c>
      <x:c r="AI608" t="n">
        <x:f>--AND(Q608=1,AF608=1,AE608="HALLUCINATION")</x:f>
        <x:v>0</x:v>
      </x:c>
      <x:c r="AJ608" t="n">
        <x:f>--AND(AI608=1,R608=1,S608=1)</x:f>
        <x:v>0</x:v>
      </x:c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28"/>
      <x:c r="R609" s="28"/>
      <x:c r="S609" s="28"/>
      <x:c r="T609" s="28"/>
      <x:c r="U609" s="28"/>
      <x:c r="V609" s="28"/>
      <x:c r="W609" s="43" t="n">
        <x:f>--AND(N609=1,OR(O609="SUPPORTED",O609="HALLUCINATION"))</x:f>
        <x:v>0</x:v>
      </x:c>
      <x:c r="X609" s="43" t="n">
        <x:f>--AND(W609=1,O609="HALLUCINATION")</x:f>
        <x:v>0</x:v>
      </x:c>
      <x:c r="Y609" s="43" t="n">
        <x:f>--AND(Q609=1,O609="HALLUCINATION")</x:f>
        <x:v>0</x:v>
      </x:c>
      <x:c r="Z609" s="43" t="n">
        <x:f>--AND(Y609=1,R609=1,S609=1)</x:f>
        <x:v>0</x:v>
      </x:c>
      <x:c r="AC609" t="str">
        <x:f>IF(OR(AA609="",AB609=""),"",--(AA609&lt;&gt;AB609))</x:f>
      </x:c>
      <x:c r="AE609" t="str">
        <x:f>IF(OR(AA609="",AB609=""),"PENDING_HUMAN",IF(AA609=AB609,AA609,IF(AD609&lt;&gt;"",AD609,"PENDING_HUMAN")))</x:f>
        <x:v>PENDING_HUMAN</x:v>
      </x:c>
      <x:c r="AF609" t="n">
        <x:f>--AND(A609&lt;&gt;"",AA609&lt;&gt;"",AB609&lt;&gt;"",OR(AA609=AB609,AD609&lt;&gt;""),IF(AE609="HALLUCINATION",U609&lt;&gt;"",TRUE))</x:f>
        <x:v>0</x:v>
      </x:c>
      <x:c r="AG609" t="n">
        <x:f>--AND(N609=1,AF609=1,OR(AE609="SUPPORTED",AE609="HALLUCINATION"))</x:f>
        <x:v>0</x:v>
      </x:c>
      <x:c r="AH609" t="n">
        <x:f>--AND(AG609=1,AE609="HALLUCINATION")</x:f>
        <x:v>0</x:v>
      </x:c>
      <x:c r="AI609" t="n">
        <x:f>--AND(Q609=1,AF609=1,AE609="HALLUCINATION")</x:f>
        <x:v>0</x:v>
      </x:c>
      <x:c r="AJ609" t="n">
        <x:f>--AND(AI609=1,R609=1,S609=1)</x:f>
        <x:v>0</x:v>
      </x:c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28"/>
      <x:c r="R610" s="28"/>
      <x:c r="S610" s="28"/>
      <x:c r="T610" s="28"/>
      <x:c r="U610" s="28"/>
      <x:c r="V610" s="28"/>
      <x:c r="W610" s="43" t="n">
        <x:f>--AND(N610=1,OR(O610="SUPPORTED",O610="HALLUCINATION"))</x:f>
        <x:v>0</x:v>
      </x:c>
      <x:c r="X610" s="43" t="n">
        <x:f>--AND(W610=1,O610="HALLUCINATION")</x:f>
        <x:v>0</x:v>
      </x:c>
      <x:c r="Y610" s="43" t="n">
        <x:f>--AND(Q610=1,O610="HALLUCINATION")</x:f>
        <x:v>0</x:v>
      </x:c>
      <x:c r="Z610" s="43" t="n">
        <x:f>--AND(Y610=1,R610=1,S610=1)</x:f>
        <x:v>0</x:v>
      </x:c>
      <x:c r="AC610" t="str">
        <x:f>IF(OR(AA610="",AB610=""),"",--(AA610&lt;&gt;AB610))</x:f>
      </x:c>
      <x:c r="AE610" t="str">
        <x:f>IF(OR(AA610="",AB610=""),"PENDING_HUMAN",IF(AA610=AB610,AA610,IF(AD610&lt;&gt;"",AD610,"PENDING_HUMAN")))</x:f>
        <x:v>PENDING_HUMAN</x:v>
      </x:c>
      <x:c r="AF610" t="n">
        <x:f>--AND(A610&lt;&gt;"",AA610&lt;&gt;"",AB610&lt;&gt;"",OR(AA610=AB610,AD610&lt;&gt;""),IF(AE610="HALLUCINATION",U610&lt;&gt;"",TRUE))</x:f>
        <x:v>0</x:v>
      </x:c>
      <x:c r="AG610" t="n">
        <x:f>--AND(N610=1,AF610=1,OR(AE610="SUPPORTED",AE610="HALLUCINATION"))</x:f>
        <x:v>0</x:v>
      </x:c>
      <x:c r="AH610" t="n">
        <x:f>--AND(AG610=1,AE610="HALLUCINATION")</x:f>
        <x:v>0</x:v>
      </x:c>
      <x:c r="AI610" t="n">
        <x:f>--AND(Q610=1,AF610=1,AE610="HALLUCINATION")</x:f>
        <x:v>0</x:v>
      </x:c>
      <x:c r="AJ610" t="n">
        <x:f>--AND(AI610=1,R610=1,S610=1)</x:f>
        <x:v>0</x:v>
      </x:c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28"/>
      <x:c r="R611" s="28"/>
      <x:c r="S611" s="28"/>
      <x:c r="T611" s="28"/>
      <x:c r="U611" s="28"/>
      <x:c r="V611" s="28"/>
      <x:c r="W611" s="43" t="n">
        <x:f>--AND(N611=1,OR(O611="SUPPORTED",O611="HALLUCINATION"))</x:f>
        <x:v>0</x:v>
      </x:c>
      <x:c r="X611" s="43" t="n">
        <x:f>--AND(W611=1,O611="HALLUCINATION")</x:f>
        <x:v>0</x:v>
      </x:c>
      <x:c r="Y611" s="43" t="n">
        <x:f>--AND(Q611=1,O611="HALLUCINATION")</x:f>
        <x:v>0</x:v>
      </x:c>
      <x:c r="Z611" s="43" t="n">
        <x:f>--AND(Y611=1,R611=1,S611=1)</x:f>
        <x:v>0</x:v>
      </x:c>
      <x:c r="AC611" t="str">
        <x:f>IF(OR(AA611="",AB611=""),"",--(AA611&lt;&gt;AB611))</x:f>
      </x:c>
      <x:c r="AE611" t="str">
        <x:f>IF(OR(AA611="",AB611=""),"PENDING_HUMAN",IF(AA611=AB611,AA611,IF(AD611&lt;&gt;"",AD611,"PENDING_HUMAN")))</x:f>
        <x:v>PENDING_HUMAN</x:v>
      </x:c>
      <x:c r="AF611" t="n">
        <x:f>--AND(A611&lt;&gt;"",AA611&lt;&gt;"",AB611&lt;&gt;"",OR(AA611=AB611,AD611&lt;&gt;""),IF(AE611="HALLUCINATION",U611&lt;&gt;"",TRUE))</x:f>
        <x:v>0</x:v>
      </x:c>
      <x:c r="AG611" t="n">
        <x:f>--AND(N611=1,AF611=1,OR(AE611="SUPPORTED",AE611="HALLUCINATION"))</x:f>
        <x:v>0</x:v>
      </x:c>
      <x:c r="AH611" t="n">
        <x:f>--AND(AG611=1,AE611="HALLUCINATION")</x:f>
        <x:v>0</x:v>
      </x:c>
      <x:c r="AI611" t="n">
        <x:f>--AND(Q611=1,AF611=1,AE611="HALLUCINATION")</x:f>
        <x:v>0</x:v>
      </x:c>
      <x:c r="AJ611" t="n">
        <x:f>--AND(AI611=1,R611=1,S611=1)</x:f>
        <x:v>0</x:v>
      </x:c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28"/>
      <x:c r="R612" s="28"/>
      <x:c r="S612" s="28"/>
      <x:c r="T612" s="28"/>
      <x:c r="U612" s="28"/>
      <x:c r="V612" s="28"/>
      <x:c r="W612" s="43" t="n">
        <x:f>--AND(N612=1,OR(O612="SUPPORTED",O612="HALLUCINATION"))</x:f>
        <x:v>0</x:v>
      </x:c>
      <x:c r="X612" s="43" t="n">
        <x:f>--AND(W612=1,O612="HALLUCINATION")</x:f>
        <x:v>0</x:v>
      </x:c>
      <x:c r="Y612" s="43" t="n">
        <x:f>--AND(Q612=1,O612="HALLUCINATION")</x:f>
        <x:v>0</x:v>
      </x:c>
      <x:c r="Z612" s="43" t="n">
        <x:f>--AND(Y612=1,R612=1,S612=1)</x:f>
        <x:v>0</x:v>
      </x:c>
      <x:c r="AC612" t="str">
        <x:f>IF(OR(AA612="",AB612=""),"",--(AA612&lt;&gt;AB612))</x:f>
      </x:c>
      <x:c r="AE612" t="str">
        <x:f>IF(OR(AA612="",AB612=""),"PENDING_HUMAN",IF(AA612=AB612,AA612,IF(AD612&lt;&gt;"",AD612,"PENDING_HUMAN")))</x:f>
        <x:v>PENDING_HUMAN</x:v>
      </x:c>
      <x:c r="AF612" t="n">
        <x:f>--AND(A612&lt;&gt;"",AA612&lt;&gt;"",AB612&lt;&gt;"",OR(AA612=AB612,AD612&lt;&gt;""),IF(AE612="HALLUCINATION",U612&lt;&gt;"",TRUE))</x:f>
        <x:v>0</x:v>
      </x:c>
      <x:c r="AG612" t="n">
        <x:f>--AND(N612=1,AF612=1,OR(AE612="SUPPORTED",AE612="HALLUCINATION"))</x:f>
        <x:v>0</x:v>
      </x:c>
      <x:c r="AH612" t="n">
        <x:f>--AND(AG612=1,AE612="HALLUCINATION")</x:f>
        <x:v>0</x:v>
      </x:c>
      <x:c r="AI612" t="n">
        <x:f>--AND(Q612=1,AF612=1,AE612="HALLUCINATION")</x:f>
        <x:v>0</x:v>
      </x:c>
      <x:c r="AJ612" t="n">
        <x:f>--AND(AI612=1,R612=1,S612=1)</x:f>
        <x:v>0</x:v>
      </x:c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28"/>
      <x:c r="R613" s="28"/>
      <x:c r="S613" s="28"/>
      <x:c r="T613" s="28"/>
      <x:c r="U613" s="28"/>
      <x:c r="V613" s="28"/>
      <x:c r="W613" s="43" t="n">
        <x:f>--AND(N613=1,OR(O613="SUPPORTED",O613="HALLUCINATION"))</x:f>
        <x:v>0</x:v>
      </x:c>
      <x:c r="X613" s="43" t="n">
        <x:f>--AND(W613=1,O613="HALLUCINATION")</x:f>
        <x:v>0</x:v>
      </x:c>
      <x:c r="Y613" s="43" t="n">
        <x:f>--AND(Q613=1,O613="HALLUCINATION")</x:f>
        <x:v>0</x:v>
      </x:c>
      <x:c r="Z613" s="43" t="n">
        <x:f>--AND(Y613=1,R613=1,S613=1)</x:f>
        <x:v>0</x:v>
      </x:c>
      <x:c r="AC613" t="str">
        <x:f>IF(OR(AA613="",AB613=""),"",--(AA613&lt;&gt;AB613))</x:f>
      </x:c>
      <x:c r="AE613" t="str">
        <x:f>IF(OR(AA613="",AB613=""),"PENDING_HUMAN",IF(AA613=AB613,AA613,IF(AD613&lt;&gt;"",AD613,"PENDING_HUMAN")))</x:f>
        <x:v>PENDING_HUMAN</x:v>
      </x:c>
      <x:c r="AF613" t="n">
        <x:f>--AND(A613&lt;&gt;"",AA613&lt;&gt;"",AB613&lt;&gt;"",OR(AA613=AB613,AD613&lt;&gt;""),IF(AE613="HALLUCINATION",U613&lt;&gt;"",TRUE))</x:f>
        <x:v>0</x:v>
      </x:c>
      <x:c r="AG613" t="n">
        <x:f>--AND(N613=1,AF613=1,OR(AE613="SUPPORTED",AE613="HALLUCINATION"))</x:f>
        <x:v>0</x:v>
      </x:c>
      <x:c r="AH613" t="n">
        <x:f>--AND(AG613=1,AE613="HALLUCINATION")</x:f>
        <x:v>0</x:v>
      </x:c>
      <x:c r="AI613" t="n">
        <x:f>--AND(Q613=1,AF613=1,AE613="HALLUCINATION")</x:f>
        <x:v>0</x:v>
      </x:c>
      <x:c r="AJ613" t="n">
        <x:f>--AND(AI613=1,R613=1,S613=1)</x:f>
        <x:v>0</x:v>
      </x:c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28"/>
      <x:c r="R614" s="28"/>
      <x:c r="S614" s="28"/>
      <x:c r="T614" s="28"/>
      <x:c r="U614" s="28"/>
      <x:c r="V614" s="28"/>
      <x:c r="W614" s="43" t="n">
        <x:f>--AND(N614=1,OR(O614="SUPPORTED",O614="HALLUCINATION"))</x:f>
        <x:v>0</x:v>
      </x:c>
      <x:c r="X614" s="43" t="n">
        <x:f>--AND(W614=1,O614="HALLUCINATION")</x:f>
        <x:v>0</x:v>
      </x:c>
      <x:c r="Y614" s="43" t="n">
        <x:f>--AND(Q614=1,O614="HALLUCINATION")</x:f>
        <x:v>0</x:v>
      </x:c>
      <x:c r="Z614" s="43" t="n">
        <x:f>--AND(Y614=1,R614=1,S614=1)</x:f>
        <x:v>0</x:v>
      </x:c>
      <x:c r="AC614" t="str">
        <x:f>IF(OR(AA614="",AB614=""),"",--(AA614&lt;&gt;AB614))</x:f>
      </x:c>
      <x:c r="AE614" t="str">
        <x:f>IF(OR(AA614="",AB614=""),"PENDING_HUMAN",IF(AA614=AB614,AA614,IF(AD614&lt;&gt;"",AD614,"PENDING_HUMAN")))</x:f>
        <x:v>PENDING_HUMAN</x:v>
      </x:c>
      <x:c r="AF614" t="n">
        <x:f>--AND(A614&lt;&gt;"",AA614&lt;&gt;"",AB614&lt;&gt;"",OR(AA614=AB614,AD614&lt;&gt;""),IF(AE614="HALLUCINATION",U614&lt;&gt;"",TRUE))</x:f>
        <x:v>0</x:v>
      </x:c>
      <x:c r="AG614" t="n">
        <x:f>--AND(N614=1,AF614=1,OR(AE614="SUPPORTED",AE614="HALLUCINATION"))</x:f>
        <x:v>0</x:v>
      </x:c>
      <x:c r="AH614" t="n">
        <x:f>--AND(AG614=1,AE614="HALLUCINATION")</x:f>
        <x:v>0</x:v>
      </x:c>
      <x:c r="AI614" t="n">
        <x:f>--AND(Q614=1,AF614=1,AE614="HALLUCINATION")</x:f>
        <x:v>0</x:v>
      </x:c>
      <x:c r="AJ614" t="n">
        <x:f>--AND(AI614=1,R614=1,S614=1)</x:f>
        <x:v>0</x:v>
      </x:c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28"/>
      <x:c r="R615" s="28"/>
      <x:c r="S615" s="28"/>
      <x:c r="T615" s="28"/>
      <x:c r="U615" s="28"/>
      <x:c r="V615" s="28"/>
      <x:c r="W615" s="43" t="n">
        <x:f>--AND(N615=1,OR(O615="SUPPORTED",O615="HALLUCINATION"))</x:f>
        <x:v>0</x:v>
      </x:c>
      <x:c r="X615" s="43" t="n">
        <x:f>--AND(W615=1,O615="HALLUCINATION")</x:f>
        <x:v>0</x:v>
      </x:c>
      <x:c r="Y615" s="43" t="n">
        <x:f>--AND(Q615=1,O615="HALLUCINATION")</x:f>
        <x:v>0</x:v>
      </x:c>
      <x:c r="Z615" s="43" t="n">
        <x:f>--AND(Y615=1,R615=1,S615=1)</x:f>
        <x:v>0</x:v>
      </x:c>
      <x:c r="AC615" t="str">
        <x:f>IF(OR(AA615="",AB615=""),"",--(AA615&lt;&gt;AB615))</x:f>
      </x:c>
      <x:c r="AE615" t="str">
        <x:f>IF(OR(AA615="",AB615=""),"PENDING_HUMAN",IF(AA615=AB615,AA615,IF(AD615&lt;&gt;"",AD615,"PENDING_HUMAN")))</x:f>
        <x:v>PENDING_HUMAN</x:v>
      </x:c>
      <x:c r="AF615" t="n">
        <x:f>--AND(A615&lt;&gt;"",AA615&lt;&gt;"",AB615&lt;&gt;"",OR(AA615=AB615,AD615&lt;&gt;""),IF(AE615="HALLUCINATION",U615&lt;&gt;"",TRUE))</x:f>
        <x:v>0</x:v>
      </x:c>
      <x:c r="AG615" t="n">
        <x:f>--AND(N615=1,AF615=1,OR(AE615="SUPPORTED",AE615="HALLUCINATION"))</x:f>
        <x:v>0</x:v>
      </x:c>
      <x:c r="AH615" t="n">
        <x:f>--AND(AG615=1,AE615="HALLUCINATION")</x:f>
        <x:v>0</x:v>
      </x:c>
      <x:c r="AI615" t="n">
        <x:f>--AND(Q615=1,AF615=1,AE615="HALLUCINATION")</x:f>
        <x:v>0</x:v>
      </x:c>
      <x:c r="AJ615" t="n">
        <x:f>--AND(AI615=1,R615=1,S615=1)</x:f>
        <x:v>0</x:v>
      </x:c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28"/>
      <x:c r="R616" s="28"/>
      <x:c r="S616" s="28"/>
      <x:c r="T616" s="28"/>
      <x:c r="U616" s="28"/>
      <x:c r="V616" s="28"/>
      <x:c r="W616" s="43" t="n">
        <x:f>--AND(N616=1,OR(O616="SUPPORTED",O616="HALLUCINATION"))</x:f>
        <x:v>0</x:v>
      </x:c>
      <x:c r="X616" s="43" t="n">
        <x:f>--AND(W616=1,O616="HALLUCINATION")</x:f>
        <x:v>0</x:v>
      </x:c>
      <x:c r="Y616" s="43" t="n">
        <x:f>--AND(Q616=1,O616="HALLUCINATION")</x:f>
        <x:v>0</x:v>
      </x:c>
      <x:c r="Z616" s="43" t="n">
        <x:f>--AND(Y616=1,R616=1,S616=1)</x:f>
        <x:v>0</x:v>
      </x:c>
      <x:c r="AC616" t="str">
        <x:f>IF(OR(AA616="",AB616=""),"",--(AA616&lt;&gt;AB616))</x:f>
      </x:c>
      <x:c r="AE616" t="str">
        <x:f>IF(OR(AA616="",AB616=""),"PENDING_HUMAN",IF(AA616=AB616,AA616,IF(AD616&lt;&gt;"",AD616,"PENDING_HUMAN")))</x:f>
        <x:v>PENDING_HUMAN</x:v>
      </x:c>
      <x:c r="AF616" t="n">
        <x:f>--AND(A616&lt;&gt;"",AA616&lt;&gt;"",AB616&lt;&gt;"",OR(AA616=AB616,AD616&lt;&gt;""),IF(AE616="HALLUCINATION",U616&lt;&gt;"",TRUE))</x:f>
        <x:v>0</x:v>
      </x:c>
      <x:c r="AG616" t="n">
        <x:f>--AND(N616=1,AF616=1,OR(AE616="SUPPORTED",AE616="HALLUCINATION"))</x:f>
        <x:v>0</x:v>
      </x:c>
      <x:c r="AH616" t="n">
        <x:f>--AND(AG616=1,AE616="HALLUCINATION")</x:f>
        <x:v>0</x:v>
      </x:c>
      <x:c r="AI616" t="n">
        <x:f>--AND(Q616=1,AF616=1,AE616="HALLUCINATION")</x:f>
        <x:v>0</x:v>
      </x:c>
      <x:c r="AJ616" t="n">
        <x:f>--AND(AI616=1,R616=1,S616=1)</x:f>
        <x:v>0</x:v>
      </x:c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28"/>
      <x:c r="R617" s="28"/>
      <x:c r="S617" s="28"/>
      <x:c r="T617" s="28"/>
      <x:c r="U617" s="28"/>
      <x:c r="V617" s="28"/>
      <x:c r="W617" s="43" t="n">
        <x:f>--AND(N617=1,OR(O617="SUPPORTED",O617="HALLUCINATION"))</x:f>
        <x:v>0</x:v>
      </x:c>
      <x:c r="X617" s="43" t="n">
        <x:f>--AND(W617=1,O617="HALLUCINATION")</x:f>
        <x:v>0</x:v>
      </x:c>
      <x:c r="Y617" s="43" t="n">
        <x:f>--AND(Q617=1,O617="HALLUCINATION")</x:f>
        <x:v>0</x:v>
      </x:c>
      <x:c r="Z617" s="43" t="n">
        <x:f>--AND(Y617=1,R617=1,S617=1)</x:f>
        <x:v>0</x:v>
      </x:c>
      <x:c r="AC617" t="str">
        <x:f>IF(OR(AA617="",AB617=""),"",--(AA617&lt;&gt;AB617))</x:f>
      </x:c>
      <x:c r="AE617" t="str">
        <x:f>IF(OR(AA617="",AB617=""),"PENDING_HUMAN",IF(AA617=AB617,AA617,IF(AD617&lt;&gt;"",AD617,"PENDING_HUMAN")))</x:f>
        <x:v>PENDING_HUMAN</x:v>
      </x:c>
      <x:c r="AF617" t="n">
        <x:f>--AND(A617&lt;&gt;"",AA617&lt;&gt;"",AB617&lt;&gt;"",OR(AA617=AB617,AD617&lt;&gt;""),IF(AE617="HALLUCINATION",U617&lt;&gt;"",TRUE))</x:f>
        <x:v>0</x:v>
      </x:c>
      <x:c r="AG617" t="n">
        <x:f>--AND(N617=1,AF617=1,OR(AE617="SUPPORTED",AE617="HALLUCINATION"))</x:f>
        <x:v>0</x:v>
      </x:c>
      <x:c r="AH617" t="n">
        <x:f>--AND(AG617=1,AE617="HALLUCINATION")</x:f>
        <x:v>0</x:v>
      </x:c>
      <x:c r="AI617" t="n">
        <x:f>--AND(Q617=1,AF617=1,AE617="HALLUCINATION")</x:f>
        <x:v>0</x:v>
      </x:c>
      <x:c r="AJ617" t="n">
        <x:f>--AND(AI617=1,R617=1,S617=1)</x:f>
        <x:v>0</x:v>
      </x:c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28"/>
      <x:c r="R618" s="28"/>
      <x:c r="S618" s="28"/>
      <x:c r="T618" s="28"/>
      <x:c r="U618" s="28"/>
      <x:c r="V618" s="28"/>
      <x:c r="W618" s="43" t="n">
        <x:f>--AND(N618=1,OR(O618="SUPPORTED",O618="HALLUCINATION"))</x:f>
        <x:v>0</x:v>
      </x:c>
      <x:c r="X618" s="43" t="n">
        <x:f>--AND(W618=1,O618="HALLUCINATION")</x:f>
        <x:v>0</x:v>
      </x:c>
      <x:c r="Y618" s="43" t="n">
        <x:f>--AND(Q618=1,O618="HALLUCINATION")</x:f>
        <x:v>0</x:v>
      </x:c>
      <x:c r="Z618" s="43" t="n">
        <x:f>--AND(Y618=1,R618=1,S618=1)</x:f>
        <x:v>0</x:v>
      </x:c>
      <x:c r="AC618" t="str">
        <x:f>IF(OR(AA618="",AB618=""),"",--(AA618&lt;&gt;AB618))</x:f>
      </x:c>
      <x:c r="AE618" t="str">
        <x:f>IF(OR(AA618="",AB618=""),"PENDING_HUMAN",IF(AA618=AB618,AA618,IF(AD618&lt;&gt;"",AD618,"PENDING_HUMAN")))</x:f>
        <x:v>PENDING_HUMAN</x:v>
      </x:c>
      <x:c r="AF618" t="n">
        <x:f>--AND(A618&lt;&gt;"",AA618&lt;&gt;"",AB618&lt;&gt;"",OR(AA618=AB618,AD618&lt;&gt;""),IF(AE618="HALLUCINATION",U618&lt;&gt;"",TRUE))</x:f>
        <x:v>0</x:v>
      </x:c>
      <x:c r="AG618" t="n">
        <x:f>--AND(N618=1,AF618=1,OR(AE618="SUPPORTED",AE618="HALLUCINATION"))</x:f>
        <x:v>0</x:v>
      </x:c>
      <x:c r="AH618" t="n">
        <x:f>--AND(AG618=1,AE618="HALLUCINATION")</x:f>
        <x:v>0</x:v>
      </x:c>
      <x:c r="AI618" t="n">
        <x:f>--AND(Q618=1,AF618=1,AE618="HALLUCINATION")</x:f>
        <x:v>0</x:v>
      </x:c>
      <x:c r="AJ618" t="n">
        <x:f>--AND(AI618=1,R618=1,S618=1)</x:f>
        <x:v>0</x:v>
      </x:c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28"/>
      <x:c r="R619" s="28"/>
      <x:c r="S619" s="28"/>
      <x:c r="T619" s="28"/>
      <x:c r="U619" s="28"/>
      <x:c r="V619" s="28"/>
      <x:c r="W619" s="43" t="n">
        <x:f>--AND(N619=1,OR(O619="SUPPORTED",O619="HALLUCINATION"))</x:f>
        <x:v>0</x:v>
      </x:c>
      <x:c r="X619" s="43" t="n">
        <x:f>--AND(W619=1,O619="HALLUCINATION")</x:f>
        <x:v>0</x:v>
      </x:c>
      <x:c r="Y619" s="43" t="n">
        <x:f>--AND(Q619=1,O619="HALLUCINATION")</x:f>
        <x:v>0</x:v>
      </x:c>
      <x:c r="Z619" s="43" t="n">
        <x:f>--AND(Y619=1,R619=1,S619=1)</x:f>
        <x:v>0</x:v>
      </x:c>
      <x:c r="AC619" t="str">
        <x:f>IF(OR(AA619="",AB619=""),"",--(AA619&lt;&gt;AB619))</x:f>
      </x:c>
      <x:c r="AE619" t="str">
        <x:f>IF(OR(AA619="",AB619=""),"PENDING_HUMAN",IF(AA619=AB619,AA619,IF(AD619&lt;&gt;"",AD619,"PENDING_HUMAN")))</x:f>
        <x:v>PENDING_HUMAN</x:v>
      </x:c>
      <x:c r="AF619" t="n">
        <x:f>--AND(A619&lt;&gt;"",AA619&lt;&gt;"",AB619&lt;&gt;"",OR(AA619=AB619,AD619&lt;&gt;""),IF(AE619="HALLUCINATION",U619&lt;&gt;"",TRUE))</x:f>
        <x:v>0</x:v>
      </x:c>
      <x:c r="AG619" t="n">
        <x:f>--AND(N619=1,AF619=1,OR(AE619="SUPPORTED",AE619="HALLUCINATION"))</x:f>
        <x:v>0</x:v>
      </x:c>
      <x:c r="AH619" t="n">
        <x:f>--AND(AG619=1,AE619="HALLUCINATION")</x:f>
        <x:v>0</x:v>
      </x:c>
      <x:c r="AI619" t="n">
        <x:f>--AND(Q619=1,AF619=1,AE619="HALLUCINATION")</x:f>
        <x:v>0</x:v>
      </x:c>
      <x:c r="AJ619" t="n">
        <x:f>--AND(AI619=1,R619=1,S619=1)</x:f>
        <x:v>0</x:v>
      </x:c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28"/>
      <x:c r="R620" s="28"/>
      <x:c r="S620" s="28"/>
      <x:c r="T620" s="28"/>
      <x:c r="U620" s="28"/>
      <x:c r="V620" s="28"/>
      <x:c r="W620" s="43" t="n">
        <x:f>--AND(N620=1,OR(O620="SUPPORTED",O620="HALLUCINATION"))</x:f>
        <x:v>0</x:v>
      </x:c>
      <x:c r="X620" s="43" t="n">
        <x:f>--AND(W620=1,O620="HALLUCINATION")</x:f>
        <x:v>0</x:v>
      </x:c>
      <x:c r="Y620" s="43" t="n">
        <x:f>--AND(Q620=1,O620="HALLUCINATION")</x:f>
        <x:v>0</x:v>
      </x:c>
      <x:c r="Z620" s="43" t="n">
        <x:f>--AND(Y620=1,R620=1,S620=1)</x:f>
        <x:v>0</x:v>
      </x:c>
      <x:c r="AC620" t="str">
        <x:f>IF(OR(AA620="",AB620=""),"",--(AA620&lt;&gt;AB620))</x:f>
      </x:c>
      <x:c r="AE620" t="str">
        <x:f>IF(OR(AA620="",AB620=""),"PENDING_HUMAN",IF(AA620=AB620,AA620,IF(AD620&lt;&gt;"",AD620,"PENDING_HUMAN")))</x:f>
        <x:v>PENDING_HUMAN</x:v>
      </x:c>
      <x:c r="AF620" t="n">
        <x:f>--AND(A620&lt;&gt;"",AA620&lt;&gt;"",AB620&lt;&gt;"",OR(AA620=AB620,AD620&lt;&gt;""),IF(AE620="HALLUCINATION",U620&lt;&gt;"",TRUE))</x:f>
        <x:v>0</x:v>
      </x:c>
      <x:c r="AG620" t="n">
        <x:f>--AND(N620=1,AF620=1,OR(AE620="SUPPORTED",AE620="HALLUCINATION"))</x:f>
        <x:v>0</x:v>
      </x:c>
      <x:c r="AH620" t="n">
        <x:f>--AND(AG620=1,AE620="HALLUCINATION")</x:f>
        <x:v>0</x:v>
      </x:c>
      <x:c r="AI620" t="n">
        <x:f>--AND(Q620=1,AF620=1,AE620="HALLUCINATION")</x:f>
        <x:v>0</x:v>
      </x:c>
      <x:c r="AJ620" t="n">
        <x:f>--AND(AI620=1,R620=1,S620=1)</x:f>
        <x:v>0</x:v>
      </x:c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28"/>
      <x:c r="R621" s="28"/>
      <x:c r="S621" s="28"/>
      <x:c r="T621" s="28"/>
      <x:c r="U621" s="28"/>
      <x:c r="V621" s="28"/>
      <x:c r="W621" s="43" t="n">
        <x:f>--AND(N621=1,OR(O621="SUPPORTED",O621="HALLUCINATION"))</x:f>
        <x:v>0</x:v>
      </x:c>
      <x:c r="X621" s="43" t="n">
        <x:f>--AND(W621=1,O621="HALLUCINATION")</x:f>
        <x:v>0</x:v>
      </x:c>
      <x:c r="Y621" s="43" t="n">
        <x:f>--AND(Q621=1,O621="HALLUCINATION")</x:f>
        <x:v>0</x:v>
      </x:c>
      <x:c r="Z621" s="43" t="n">
        <x:f>--AND(Y621=1,R621=1,S621=1)</x:f>
        <x:v>0</x:v>
      </x:c>
      <x:c r="AC621" t="str">
        <x:f>IF(OR(AA621="",AB621=""),"",--(AA621&lt;&gt;AB621))</x:f>
      </x:c>
      <x:c r="AE621" t="str">
        <x:f>IF(OR(AA621="",AB621=""),"PENDING_HUMAN",IF(AA621=AB621,AA621,IF(AD621&lt;&gt;"",AD621,"PENDING_HUMAN")))</x:f>
        <x:v>PENDING_HUMAN</x:v>
      </x:c>
      <x:c r="AF621" t="n">
        <x:f>--AND(A621&lt;&gt;"",AA621&lt;&gt;"",AB621&lt;&gt;"",OR(AA621=AB621,AD621&lt;&gt;""),IF(AE621="HALLUCINATION",U621&lt;&gt;"",TRUE))</x:f>
        <x:v>0</x:v>
      </x:c>
      <x:c r="AG621" t="n">
        <x:f>--AND(N621=1,AF621=1,OR(AE621="SUPPORTED",AE621="HALLUCINATION"))</x:f>
        <x:v>0</x:v>
      </x:c>
      <x:c r="AH621" t="n">
        <x:f>--AND(AG621=1,AE621="HALLUCINATION")</x:f>
        <x:v>0</x:v>
      </x:c>
      <x:c r="AI621" t="n">
        <x:f>--AND(Q621=1,AF621=1,AE621="HALLUCINATION")</x:f>
        <x:v>0</x:v>
      </x:c>
      <x:c r="AJ621" t="n">
        <x:f>--AND(AI621=1,R621=1,S621=1)</x:f>
        <x:v>0</x:v>
      </x:c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28"/>
      <x:c r="R622" s="28"/>
      <x:c r="S622" s="28"/>
      <x:c r="T622" s="28"/>
      <x:c r="U622" s="28"/>
      <x:c r="V622" s="28"/>
      <x:c r="W622" s="43" t="n">
        <x:f>--AND(N622=1,OR(O622="SUPPORTED",O622="HALLUCINATION"))</x:f>
        <x:v>0</x:v>
      </x:c>
      <x:c r="X622" s="43" t="n">
        <x:f>--AND(W622=1,O622="HALLUCINATION")</x:f>
        <x:v>0</x:v>
      </x:c>
      <x:c r="Y622" s="43" t="n">
        <x:f>--AND(Q622=1,O622="HALLUCINATION")</x:f>
        <x:v>0</x:v>
      </x:c>
      <x:c r="Z622" s="43" t="n">
        <x:f>--AND(Y622=1,R622=1,S622=1)</x:f>
        <x:v>0</x:v>
      </x:c>
      <x:c r="AC622" t="str">
        <x:f>IF(OR(AA622="",AB622=""),"",--(AA622&lt;&gt;AB622))</x:f>
      </x:c>
      <x:c r="AE622" t="str">
        <x:f>IF(OR(AA622="",AB622=""),"PENDING_HUMAN",IF(AA622=AB622,AA622,IF(AD622&lt;&gt;"",AD622,"PENDING_HUMAN")))</x:f>
        <x:v>PENDING_HUMAN</x:v>
      </x:c>
      <x:c r="AF622" t="n">
        <x:f>--AND(A622&lt;&gt;"",AA622&lt;&gt;"",AB622&lt;&gt;"",OR(AA622=AB622,AD622&lt;&gt;""),IF(AE622="HALLUCINATION",U622&lt;&gt;"",TRUE))</x:f>
        <x:v>0</x:v>
      </x:c>
      <x:c r="AG622" t="n">
        <x:f>--AND(N622=1,AF622=1,OR(AE622="SUPPORTED",AE622="HALLUCINATION"))</x:f>
        <x:v>0</x:v>
      </x:c>
      <x:c r="AH622" t="n">
        <x:f>--AND(AG622=1,AE622="HALLUCINATION")</x:f>
        <x:v>0</x:v>
      </x:c>
      <x:c r="AI622" t="n">
        <x:f>--AND(Q622=1,AF622=1,AE622="HALLUCINATION")</x:f>
        <x:v>0</x:v>
      </x:c>
      <x:c r="AJ622" t="n">
        <x:f>--AND(AI622=1,R622=1,S622=1)</x:f>
        <x:v>0</x:v>
      </x:c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28"/>
      <x:c r="R623" s="28"/>
      <x:c r="S623" s="28"/>
      <x:c r="T623" s="28"/>
      <x:c r="U623" s="28"/>
      <x:c r="V623" s="28"/>
      <x:c r="W623" s="43" t="n">
        <x:f>--AND(N623=1,OR(O623="SUPPORTED",O623="HALLUCINATION"))</x:f>
        <x:v>0</x:v>
      </x:c>
      <x:c r="X623" s="43" t="n">
        <x:f>--AND(W623=1,O623="HALLUCINATION")</x:f>
        <x:v>0</x:v>
      </x:c>
      <x:c r="Y623" s="43" t="n">
        <x:f>--AND(Q623=1,O623="HALLUCINATION")</x:f>
        <x:v>0</x:v>
      </x:c>
      <x:c r="Z623" s="43" t="n">
        <x:f>--AND(Y623=1,R623=1,S623=1)</x:f>
        <x:v>0</x:v>
      </x:c>
      <x:c r="AC623" t="str">
        <x:f>IF(OR(AA623="",AB623=""),"",--(AA623&lt;&gt;AB623))</x:f>
      </x:c>
      <x:c r="AE623" t="str">
        <x:f>IF(OR(AA623="",AB623=""),"PENDING_HUMAN",IF(AA623=AB623,AA623,IF(AD623&lt;&gt;"",AD623,"PENDING_HUMAN")))</x:f>
        <x:v>PENDING_HUMAN</x:v>
      </x:c>
      <x:c r="AF623" t="n">
        <x:f>--AND(A623&lt;&gt;"",AA623&lt;&gt;"",AB623&lt;&gt;"",OR(AA623=AB623,AD623&lt;&gt;""),IF(AE623="HALLUCINATION",U623&lt;&gt;"",TRUE))</x:f>
        <x:v>0</x:v>
      </x:c>
      <x:c r="AG623" t="n">
        <x:f>--AND(N623=1,AF623=1,OR(AE623="SUPPORTED",AE623="HALLUCINATION"))</x:f>
        <x:v>0</x:v>
      </x:c>
      <x:c r="AH623" t="n">
        <x:f>--AND(AG623=1,AE623="HALLUCINATION")</x:f>
        <x:v>0</x:v>
      </x:c>
      <x:c r="AI623" t="n">
        <x:f>--AND(Q623=1,AF623=1,AE623="HALLUCINATION")</x:f>
        <x:v>0</x:v>
      </x:c>
      <x:c r="AJ623" t="n">
        <x:f>--AND(AI623=1,R623=1,S623=1)</x:f>
        <x:v>0</x:v>
      </x:c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28"/>
      <x:c r="R624" s="28"/>
      <x:c r="S624" s="28"/>
      <x:c r="T624" s="28"/>
      <x:c r="U624" s="28"/>
      <x:c r="V624" s="28"/>
      <x:c r="W624" s="43" t="n">
        <x:f>--AND(N624=1,OR(O624="SUPPORTED",O624="HALLUCINATION"))</x:f>
        <x:v>0</x:v>
      </x:c>
      <x:c r="X624" s="43" t="n">
        <x:f>--AND(W624=1,O624="HALLUCINATION")</x:f>
        <x:v>0</x:v>
      </x:c>
      <x:c r="Y624" s="43" t="n">
        <x:f>--AND(Q624=1,O624="HALLUCINATION")</x:f>
        <x:v>0</x:v>
      </x:c>
      <x:c r="Z624" s="43" t="n">
        <x:f>--AND(Y624=1,R624=1,S624=1)</x:f>
        <x:v>0</x:v>
      </x:c>
      <x:c r="AC624" t="str">
        <x:f>IF(OR(AA624="",AB624=""),"",--(AA624&lt;&gt;AB624))</x:f>
      </x:c>
      <x:c r="AE624" t="str">
        <x:f>IF(OR(AA624="",AB624=""),"PENDING_HUMAN",IF(AA624=AB624,AA624,IF(AD624&lt;&gt;"",AD624,"PENDING_HUMAN")))</x:f>
        <x:v>PENDING_HUMAN</x:v>
      </x:c>
      <x:c r="AF624" t="n">
        <x:f>--AND(A624&lt;&gt;"",AA624&lt;&gt;"",AB624&lt;&gt;"",OR(AA624=AB624,AD624&lt;&gt;""),IF(AE624="HALLUCINATION",U624&lt;&gt;"",TRUE))</x:f>
        <x:v>0</x:v>
      </x:c>
      <x:c r="AG624" t="n">
        <x:f>--AND(N624=1,AF624=1,OR(AE624="SUPPORTED",AE624="HALLUCINATION"))</x:f>
        <x:v>0</x:v>
      </x:c>
      <x:c r="AH624" t="n">
        <x:f>--AND(AG624=1,AE624="HALLUCINATION")</x:f>
        <x:v>0</x:v>
      </x:c>
      <x:c r="AI624" t="n">
        <x:f>--AND(Q624=1,AF624=1,AE624="HALLUCINATION")</x:f>
        <x:v>0</x:v>
      </x:c>
      <x:c r="AJ624" t="n">
        <x:f>--AND(AI624=1,R624=1,S624=1)</x:f>
        <x:v>0</x:v>
      </x:c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28"/>
      <x:c r="R625" s="28"/>
      <x:c r="S625" s="28"/>
      <x:c r="T625" s="28"/>
      <x:c r="U625" s="28"/>
      <x:c r="V625" s="28"/>
      <x:c r="W625" s="43" t="n">
        <x:f>--AND(N625=1,OR(O625="SUPPORTED",O625="HALLUCINATION"))</x:f>
        <x:v>0</x:v>
      </x:c>
      <x:c r="X625" s="43" t="n">
        <x:f>--AND(W625=1,O625="HALLUCINATION")</x:f>
        <x:v>0</x:v>
      </x:c>
      <x:c r="Y625" s="43" t="n">
        <x:f>--AND(Q625=1,O625="HALLUCINATION")</x:f>
        <x:v>0</x:v>
      </x:c>
      <x:c r="Z625" s="43" t="n">
        <x:f>--AND(Y625=1,R625=1,S625=1)</x:f>
        <x:v>0</x:v>
      </x:c>
      <x:c r="AC625" t="str">
        <x:f>IF(OR(AA625="",AB625=""),"",--(AA625&lt;&gt;AB625))</x:f>
      </x:c>
      <x:c r="AE625" t="str">
        <x:f>IF(OR(AA625="",AB625=""),"PENDING_HUMAN",IF(AA625=AB625,AA625,IF(AD625&lt;&gt;"",AD625,"PENDING_HUMAN")))</x:f>
        <x:v>PENDING_HUMAN</x:v>
      </x:c>
      <x:c r="AF625" t="n">
        <x:f>--AND(A625&lt;&gt;"",AA625&lt;&gt;"",AB625&lt;&gt;"",OR(AA625=AB625,AD625&lt;&gt;""),IF(AE625="HALLUCINATION",U625&lt;&gt;"",TRUE))</x:f>
        <x:v>0</x:v>
      </x:c>
      <x:c r="AG625" t="n">
        <x:f>--AND(N625=1,AF625=1,OR(AE625="SUPPORTED",AE625="HALLUCINATION"))</x:f>
        <x:v>0</x:v>
      </x:c>
      <x:c r="AH625" t="n">
        <x:f>--AND(AG625=1,AE625="HALLUCINATION")</x:f>
        <x:v>0</x:v>
      </x:c>
      <x:c r="AI625" t="n">
        <x:f>--AND(Q625=1,AF625=1,AE625="HALLUCINATION")</x:f>
        <x:v>0</x:v>
      </x:c>
      <x:c r="AJ625" t="n">
        <x:f>--AND(AI625=1,R625=1,S625=1)</x:f>
        <x:v>0</x:v>
      </x:c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28"/>
      <x:c r="R626" s="28"/>
      <x:c r="S626" s="28"/>
      <x:c r="T626" s="28"/>
      <x:c r="U626" s="28"/>
      <x:c r="V626" s="28"/>
      <x:c r="W626" s="43" t="n">
        <x:f>--AND(N626=1,OR(O626="SUPPORTED",O626="HALLUCINATION"))</x:f>
        <x:v>0</x:v>
      </x:c>
      <x:c r="X626" s="43" t="n">
        <x:f>--AND(W626=1,O626="HALLUCINATION")</x:f>
        <x:v>0</x:v>
      </x:c>
      <x:c r="Y626" s="43" t="n">
        <x:f>--AND(Q626=1,O626="HALLUCINATION")</x:f>
        <x:v>0</x:v>
      </x:c>
      <x:c r="Z626" s="43" t="n">
        <x:f>--AND(Y626=1,R626=1,S626=1)</x:f>
        <x:v>0</x:v>
      </x:c>
      <x:c r="AC626" t="str">
        <x:f>IF(OR(AA626="",AB626=""),"",--(AA626&lt;&gt;AB626))</x:f>
      </x:c>
      <x:c r="AE626" t="str">
        <x:f>IF(OR(AA626="",AB626=""),"PENDING_HUMAN",IF(AA626=AB626,AA626,IF(AD626&lt;&gt;"",AD626,"PENDING_HUMAN")))</x:f>
        <x:v>PENDING_HUMAN</x:v>
      </x:c>
      <x:c r="AF626" t="n">
        <x:f>--AND(A626&lt;&gt;"",AA626&lt;&gt;"",AB626&lt;&gt;"",OR(AA626=AB626,AD626&lt;&gt;""),IF(AE626="HALLUCINATION",U626&lt;&gt;"",TRUE))</x:f>
        <x:v>0</x:v>
      </x:c>
      <x:c r="AG626" t="n">
        <x:f>--AND(N626=1,AF626=1,OR(AE626="SUPPORTED",AE626="HALLUCINATION"))</x:f>
        <x:v>0</x:v>
      </x:c>
      <x:c r="AH626" t="n">
        <x:f>--AND(AG626=1,AE626="HALLUCINATION")</x:f>
        <x:v>0</x:v>
      </x:c>
      <x:c r="AI626" t="n">
        <x:f>--AND(Q626=1,AF626=1,AE626="HALLUCINATION")</x:f>
        <x:v>0</x:v>
      </x:c>
      <x:c r="AJ626" t="n">
        <x:f>--AND(AI626=1,R626=1,S626=1)</x:f>
        <x:v>0</x:v>
      </x:c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28"/>
      <x:c r="R627" s="28"/>
      <x:c r="S627" s="28"/>
      <x:c r="T627" s="28"/>
      <x:c r="U627" s="28"/>
      <x:c r="V627" s="28"/>
      <x:c r="W627" s="43" t="n">
        <x:f>--AND(N627=1,OR(O627="SUPPORTED",O627="HALLUCINATION"))</x:f>
        <x:v>0</x:v>
      </x:c>
      <x:c r="X627" s="43" t="n">
        <x:f>--AND(W627=1,O627="HALLUCINATION")</x:f>
        <x:v>0</x:v>
      </x:c>
      <x:c r="Y627" s="43" t="n">
        <x:f>--AND(Q627=1,O627="HALLUCINATION")</x:f>
        <x:v>0</x:v>
      </x:c>
      <x:c r="Z627" s="43" t="n">
        <x:f>--AND(Y627=1,R627=1,S627=1)</x:f>
        <x:v>0</x:v>
      </x:c>
      <x:c r="AC627" t="str">
        <x:f>IF(OR(AA627="",AB627=""),"",--(AA627&lt;&gt;AB627))</x:f>
      </x:c>
      <x:c r="AE627" t="str">
        <x:f>IF(OR(AA627="",AB627=""),"PENDING_HUMAN",IF(AA627=AB627,AA627,IF(AD627&lt;&gt;"",AD627,"PENDING_HUMAN")))</x:f>
        <x:v>PENDING_HUMAN</x:v>
      </x:c>
      <x:c r="AF627" t="n">
        <x:f>--AND(A627&lt;&gt;"",AA627&lt;&gt;"",AB627&lt;&gt;"",OR(AA627=AB627,AD627&lt;&gt;""),IF(AE627="HALLUCINATION",U627&lt;&gt;"",TRUE))</x:f>
        <x:v>0</x:v>
      </x:c>
      <x:c r="AG627" t="n">
        <x:f>--AND(N627=1,AF627=1,OR(AE627="SUPPORTED",AE627="HALLUCINATION"))</x:f>
        <x:v>0</x:v>
      </x:c>
      <x:c r="AH627" t="n">
        <x:f>--AND(AG627=1,AE627="HALLUCINATION")</x:f>
        <x:v>0</x:v>
      </x:c>
      <x:c r="AI627" t="n">
        <x:f>--AND(Q627=1,AF627=1,AE627="HALLUCINATION")</x:f>
        <x:v>0</x:v>
      </x:c>
      <x:c r="AJ627" t="n">
        <x:f>--AND(AI627=1,R627=1,S627=1)</x:f>
        <x:v>0</x:v>
      </x:c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28"/>
      <x:c r="R628" s="28"/>
      <x:c r="S628" s="28"/>
      <x:c r="T628" s="28"/>
      <x:c r="U628" s="28"/>
      <x:c r="V628" s="28"/>
      <x:c r="W628" s="43" t="n">
        <x:f>--AND(N628=1,OR(O628="SUPPORTED",O628="HALLUCINATION"))</x:f>
        <x:v>0</x:v>
      </x:c>
      <x:c r="X628" s="43" t="n">
        <x:f>--AND(W628=1,O628="HALLUCINATION")</x:f>
        <x:v>0</x:v>
      </x:c>
      <x:c r="Y628" s="43" t="n">
        <x:f>--AND(Q628=1,O628="HALLUCINATION")</x:f>
        <x:v>0</x:v>
      </x:c>
      <x:c r="Z628" s="43" t="n">
        <x:f>--AND(Y628=1,R628=1,S628=1)</x:f>
        <x:v>0</x:v>
      </x:c>
      <x:c r="AC628" t="str">
        <x:f>IF(OR(AA628="",AB628=""),"",--(AA628&lt;&gt;AB628))</x:f>
      </x:c>
      <x:c r="AE628" t="str">
        <x:f>IF(OR(AA628="",AB628=""),"PENDING_HUMAN",IF(AA628=AB628,AA628,IF(AD628&lt;&gt;"",AD628,"PENDING_HUMAN")))</x:f>
        <x:v>PENDING_HUMAN</x:v>
      </x:c>
      <x:c r="AF628" t="n">
        <x:f>--AND(A628&lt;&gt;"",AA628&lt;&gt;"",AB628&lt;&gt;"",OR(AA628=AB628,AD628&lt;&gt;""),IF(AE628="HALLUCINATION",U628&lt;&gt;"",TRUE))</x:f>
        <x:v>0</x:v>
      </x:c>
      <x:c r="AG628" t="n">
        <x:f>--AND(N628=1,AF628=1,OR(AE628="SUPPORTED",AE628="HALLUCINATION"))</x:f>
        <x:v>0</x:v>
      </x:c>
      <x:c r="AH628" t="n">
        <x:f>--AND(AG628=1,AE628="HALLUCINATION")</x:f>
        <x:v>0</x:v>
      </x:c>
      <x:c r="AI628" t="n">
        <x:f>--AND(Q628=1,AF628=1,AE628="HALLUCINATION")</x:f>
        <x:v>0</x:v>
      </x:c>
      <x:c r="AJ628" t="n">
        <x:f>--AND(AI628=1,R628=1,S628=1)</x:f>
        <x:v>0</x:v>
      </x:c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28"/>
      <x:c r="R629" s="28"/>
      <x:c r="S629" s="28"/>
      <x:c r="T629" s="28"/>
      <x:c r="U629" s="28"/>
      <x:c r="V629" s="28"/>
      <x:c r="W629" s="43" t="n">
        <x:f>--AND(N629=1,OR(O629="SUPPORTED",O629="HALLUCINATION"))</x:f>
        <x:v>0</x:v>
      </x:c>
      <x:c r="X629" s="43" t="n">
        <x:f>--AND(W629=1,O629="HALLUCINATION")</x:f>
        <x:v>0</x:v>
      </x:c>
      <x:c r="Y629" s="43" t="n">
        <x:f>--AND(Q629=1,O629="HALLUCINATION")</x:f>
        <x:v>0</x:v>
      </x:c>
      <x:c r="Z629" s="43" t="n">
        <x:f>--AND(Y629=1,R629=1,S629=1)</x:f>
        <x:v>0</x:v>
      </x:c>
      <x:c r="AC629" t="str">
        <x:f>IF(OR(AA629="",AB629=""),"",--(AA629&lt;&gt;AB629))</x:f>
      </x:c>
      <x:c r="AE629" t="str">
        <x:f>IF(OR(AA629="",AB629=""),"PENDING_HUMAN",IF(AA629=AB629,AA629,IF(AD629&lt;&gt;"",AD629,"PENDING_HUMAN")))</x:f>
        <x:v>PENDING_HUMAN</x:v>
      </x:c>
      <x:c r="AF629" t="n">
        <x:f>--AND(A629&lt;&gt;"",AA629&lt;&gt;"",AB629&lt;&gt;"",OR(AA629=AB629,AD629&lt;&gt;""),IF(AE629="HALLUCINATION",U629&lt;&gt;"",TRUE))</x:f>
        <x:v>0</x:v>
      </x:c>
      <x:c r="AG629" t="n">
        <x:f>--AND(N629=1,AF629=1,OR(AE629="SUPPORTED",AE629="HALLUCINATION"))</x:f>
        <x:v>0</x:v>
      </x:c>
      <x:c r="AH629" t="n">
        <x:f>--AND(AG629=1,AE629="HALLUCINATION")</x:f>
        <x:v>0</x:v>
      </x:c>
      <x:c r="AI629" t="n">
        <x:f>--AND(Q629=1,AF629=1,AE629="HALLUCINATION")</x:f>
        <x:v>0</x:v>
      </x:c>
      <x:c r="AJ629" t="n">
        <x:f>--AND(AI629=1,R629=1,S629=1)</x:f>
        <x:v>0</x:v>
      </x:c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28"/>
      <x:c r="R630" s="28"/>
      <x:c r="S630" s="28"/>
      <x:c r="T630" s="28"/>
      <x:c r="U630" s="28"/>
      <x:c r="V630" s="28"/>
      <x:c r="W630" s="43" t="n">
        <x:f>--AND(N630=1,OR(O630="SUPPORTED",O630="HALLUCINATION"))</x:f>
        <x:v>0</x:v>
      </x:c>
      <x:c r="X630" s="43" t="n">
        <x:f>--AND(W630=1,O630="HALLUCINATION")</x:f>
        <x:v>0</x:v>
      </x:c>
      <x:c r="Y630" s="43" t="n">
        <x:f>--AND(Q630=1,O630="HALLUCINATION")</x:f>
        <x:v>0</x:v>
      </x:c>
      <x:c r="Z630" s="43" t="n">
        <x:f>--AND(Y630=1,R630=1,S630=1)</x:f>
        <x:v>0</x:v>
      </x:c>
      <x:c r="AC630" t="str">
        <x:f>IF(OR(AA630="",AB630=""),"",--(AA630&lt;&gt;AB630))</x:f>
      </x:c>
      <x:c r="AE630" t="str">
        <x:f>IF(OR(AA630="",AB630=""),"PENDING_HUMAN",IF(AA630=AB630,AA630,IF(AD630&lt;&gt;"",AD630,"PENDING_HUMAN")))</x:f>
        <x:v>PENDING_HUMAN</x:v>
      </x:c>
      <x:c r="AF630" t="n">
        <x:f>--AND(A630&lt;&gt;"",AA630&lt;&gt;"",AB630&lt;&gt;"",OR(AA630=AB630,AD630&lt;&gt;""),IF(AE630="HALLUCINATION",U630&lt;&gt;"",TRUE))</x:f>
        <x:v>0</x:v>
      </x:c>
      <x:c r="AG630" t="n">
        <x:f>--AND(N630=1,AF630=1,OR(AE630="SUPPORTED",AE630="HALLUCINATION"))</x:f>
        <x:v>0</x:v>
      </x:c>
      <x:c r="AH630" t="n">
        <x:f>--AND(AG630=1,AE630="HALLUCINATION")</x:f>
        <x:v>0</x:v>
      </x:c>
      <x:c r="AI630" t="n">
        <x:f>--AND(Q630=1,AF630=1,AE630="HALLUCINATION")</x:f>
        <x:v>0</x:v>
      </x:c>
      <x:c r="AJ630" t="n">
        <x:f>--AND(AI630=1,R630=1,S630=1)</x:f>
        <x:v>0</x:v>
      </x:c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28"/>
      <x:c r="R631" s="28"/>
      <x:c r="S631" s="28"/>
      <x:c r="T631" s="28"/>
      <x:c r="U631" s="28"/>
      <x:c r="V631" s="28"/>
      <x:c r="W631" s="43" t="n">
        <x:f>--AND(N631=1,OR(O631="SUPPORTED",O631="HALLUCINATION"))</x:f>
        <x:v>0</x:v>
      </x:c>
      <x:c r="X631" s="43" t="n">
        <x:f>--AND(W631=1,O631="HALLUCINATION")</x:f>
        <x:v>0</x:v>
      </x:c>
      <x:c r="Y631" s="43" t="n">
        <x:f>--AND(Q631=1,O631="HALLUCINATION")</x:f>
        <x:v>0</x:v>
      </x:c>
      <x:c r="Z631" s="43" t="n">
        <x:f>--AND(Y631=1,R631=1,S631=1)</x:f>
        <x:v>0</x:v>
      </x:c>
      <x:c r="AC631" t="str">
        <x:f>IF(OR(AA631="",AB631=""),"",--(AA631&lt;&gt;AB631))</x:f>
      </x:c>
      <x:c r="AE631" t="str">
        <x:f>IF(OR(AA631="",AB631=""),"PENDING_HUMAN",IF(AA631=AB631,AA631,IF(AD631&lt;&gt;"",AD631,"PENDING_HUMAN")))</x:f>
        <x:v>PENDING_HUMAN</x:v>
      </x:c>
      <x:c r="AF631" t="n">
        <x:f>--AND(A631&lt;&gt;"",AA631&lt;&gt;"",AB631&lt;&gt;"",OR(AA631=AB631,AD631&lt;&gt;""),IF(AE631="HALLUCINATION",U631&lt;&gt;"",TRUE))</x:f>
        <x:v>0</x:v>
      </x:c>
      <x:c r="AG631" t="n">
        <x:f>--AND(N631=1,AF631=1,OR(AE631="SUPPORTED",AE631="HALLUCINATION"))</x:f>
        <x:v>0</x:v>
      </x:c>
      <x:c r="AH631" t="n">
        <x:f>--AND(AG631=1,AE631="HALLUCINATION")</x:f>
        <x:v>0</x:v>
      </x:c>
      <x:c r="AI631" t="n">
        <x:f>--AND(Q631=1,AF631=1,AE631="HALLUCINATION")</x:f>
        <x:v>0</x:v>
      </x:c>
      <x:c r="AJ631" t="n">
        <x:f>--AND(AI631=1,R631=1,S631=1)</x:f>
        <x:v>0</x:v>
      </x:c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28"/>
      <x:c r="R632" s="28"/>
      <x:c r="S632" s="28"/>
      <x:c r="T632" s="28"/>
      <x:c r="U632" s="28"/>
      <x:c r="V632" s="28"/>
      <x:c r="W632" s="43" t="n">
        <x:f>--AND(N632=1,OR(O632="SUPPORTED",O632="HALLUCINATION"))</x:f>
        <x:v>0</x:v>
      </x:c>
      <x:c r="X632" s="43" t="n">
        <x:f>--AND(W632=1,O632="HALLUCINATION")</x:f>
        <x:v>0</x:v>
      </x:c>
      <x:c r="Y632" s="43" t="n">
        <x:f>--AND(Q632=1,O632="HALLUCINATION")</x:f>
        <x:v>0</x:v>
      </x:c>
      <x:c r="Z632" s="43" t="n">
        <x:f>--AND(Y632=1,R632=1,S632=1)</x:f>
        <x:v>0</x:v>
      </x:c>
      <x:c r="AC632" t="str">
        <x:f>IF(OR(AA632="",AB632=""),"",--(AA632&lt;&gt;AB632))</x:f>
      </x:c>
      <x:c r="AE632" t="str">
        <x:f>IF(OR(AA632="",AB632=""),"PENDING_HUMAN",IF(AA632=AB632,AA632,IF(AD632&lt;&gt;"",AD632,"PENDING_HUMAN")))</x:f>
        <x:v>PENDING_HUMAN</x:v>
      </x:c>
      <x:c r="AF632" t="n">
        <x:f>--AND(A632&lt;&gt;"",AA632&lt;&gt;"",AB632&lt;&gt;"",OR(AA632=AB632,AD632&lt;&gt;""),IF(AE632="HALLUCINATION",U632&lt;&gt;"",TRUE))</x:f>
        <x:v>0</x:v>
      </x:c>
      <x:c r="AG632" t="n">
        <x:f>--AND(N632=1,AF632=1,OR(AE632="SUPPORTED",AE632="HALLUCINATION"))</x:f>
        <x:v>0</x:v>
      </x:c>
      <x:c r="AH632" t="n">
        <x:f>--AND(AG632=1,AE632="HALLUCINATION")</x:f>
        <x:v>0</x:v>
      </x:c>
      <x:c r="AI632" t="n">
        <x:f>--AND(Q632=1,AF632=1,AE632="HALLUCINATION")</x:f>
        <x:v>0</x:v>
      </x:c>
      <x:c r="AJ632" t="n">
        <x:f>--AND(AI632=1,R632=1,S632=1)</x:f>
        <x:v>0</x:v>
      </x:c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28"/>
      <x:c r="R633" s="28"/>
      <x:c r="S633" s="28"/>
      <x:c r="T633" s="28"/>
      <x:c r="U633" s="28"/>
      <x:c r="V633" s="28"/>
      <x:c r="W633" s="43" t="n">
        <x:f>--AND(N633=1,OR(O633="SUPPORTED",O633="HALLUCINATION"))</x:f>
        <x:v>0</x:v>
      </x:c>
      <x:c r="X633" s="43" t="n">
        <x:f>--AND(W633=1,O633="HALLUCINATION")</x:f>
        <x:v>0</x:v>
      </x:c>
      <x:c r="Y633" s="43" t="n">
        <x:f>--AND(Q633=1,O633="HALLUCINATION")</x:f>
        <x:v>0</x:v>
      </x:c>
      <x:c r="Z633" s="43" t="n">
        <x:f>--AND(Y633=1,R633=1,S633=1)</x:f>
        <x:v>0</x:v>
      </x:c>
      <x:c r="AC633" t="str">
        <x:f>IF(OR(AA633="",AB633=""),"",--(AA633&lt;&gt;AB633))</x:f>
      </x:c>
      <x:c r="AE633" t="str">
        <x:f>IF(OR(AA633="",AB633=""),"PENDING_HUMAN",IF(AA633=AB633,AA633,IF(AD633&lt;&gt;"",AD633,"PENDING_HUMAN")))</x:f>
        <x:v>PENDING_HUMAN</x:v>
      </x:c>
      <x:c r="AF633" t="n">
        <x:f>--AND(A633&lt;&gt;"",AA633&lt;&gt;"",AB633&lt;&gt;"",OR(AA633=AB633,AD633&lt;&gt;""),IF(AE633="HALLUCINATION",U633&lt;&gt;"",TRUE))</x:f>
        <x:v>0</x:v>
      </x:c>
      <x:c r="AG633" t="n">
        <x:f>--AND(N633=1,AF633=1,OR(AE633="SUPPORTED",AE633="HALLUCINATION"))</x:f>
        <x:v>0</x:v>
      </x:c>
      <x:c r="AH633" t="n">
        <x:f>--AND(AG633=1,AE633="HALLUCINATION")</x:f>
        <x:v>0</x:v>
      </x:c>
      <x:c r="AI633" t="n">
        <x:f>--AND(Q633=1,AF633=1,AE633="HALLUCINATION")</x:f>
        <x:v>0</x:v>
      </x:c>
      <x:c r="AJ633" t="n">
        <x:f>--AND(AI633=1,R633=1,S633=1)</x:f>
        <x:v>0</x:v>
      </x:c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28"/>
      <x:c r="R634" s="28"/>
      <x:c r="S634" s="28"/>
      <x:c r="T634" s="28"/>
      <x:c r="U634" s="28"/>
      <x:c r="V634" s="28"/>
      <x:c r="W634" s="43" t="n">
        <x:f>--AND(N634=1,OR(O634="SUPPORTED",O634="HALLUCINATION"))</x:f>
        <x:v>0</x:v>
      </x:c>
      <x:c r="X634" s="43" t="n">
        <x:f>--AND(W634=1,O634="HALLUCINATION")</x:f>
        <x:v>0</x:v>
      </x:c>
      <x:c r="Y634" s="43" t="n">
        <x:f>--AND(Q634=1,O634="HALLUCINATION")</x:f>
        <x:v>0</x:v>
      </x:c>
      <x:c r="Z634" s="43" t="n">
        <x:f>--AND(Y634=1,R634=1,S634=1)</x:f>
        <x:v>0</x:v>
      </x:c>
      <x:c r="AC634" t="str">
        <x:f>IF(OR(AA634="",AB634=""),"",--(AA634&lt;&gt;AB634))</x:f>
      </x:c>
      <x:c r="AE634" t="str">
        <x:f>IF(OR(AA634="",AB634=""),"PENDING_HUMAN",IF(AA634=AB634,AA634,IF(AD634&lt;&gt;"",AD634,"PENDING_HUMAN")))</x:f>
        <x:v>PENDING_HUMAN</x:v>
      </x:c>
      <x:c r="AF634" t="n">
        <x:f>--AND(A634&lt;&gt;"",AA634&lt;&gt;"",AB634&lt;&gt;"",OR(AA634=AB634,AD634&lt;&gt;""),IF(AE634="HALLUCINATION",U634&lt;&gt;"",TRUE))</x:f>
        <x:v>0</x:v>
      </x:c>
      <x:c r="AG634" t="n">
        <x:f>--AND(N634=1,AF634=1,OR(AE634="SUPPORTED",AE634="HALLUCINATION"))</x:f>
        <x:v>0</x:v>
      </x:c>
      <x:c r="AH634" t="n">
        <x:f>--AND(AG634=1,AE634="HALLUCINATION")</x:f>
        <x:v>0</x:v>
      </x:c>
      <x:c r="AI634" t="n">
        <x:f>--AND(Q634=1,AF634=1,AE634="HALLUCINATION")</x:f>
        <x:v>0</x:v>
      </x:c>
      <x:c r="AJ634" t="n">
        <x:f>--AND(AI634=1,R634=1,S634=1)</x:f>
        <x:v>0</x:v>
      </x:c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28"/>
      <x:c r="R635" s="28"/>
      <x:c r="S635" s="28"/>
      <x:c r="T635" s="28"/>
      <x:c r="U635" s="28"/>
      <x:c r="V635" s="28"/>
      <x:c r="W635" s="43" t="n">
        <x:f>--AND(N635=1,OR(O635="SUPPORTED",O635="HALLUCINATION"))</x:f>
        <x:v>0</x:v>
      </x:c>
      <x:c r="X635" s="43" t="n">
        <x:f>--AND(W635=1,O635="HALLUCINATION")</x:f>
        <x:v>0</x:v>
      </x:c>
      <x:c r="Y635" s="43" t="n">
        <x:f>--AND(Q635=1,O635="HALLUCINATION")</x:f>
        <x:v>0</x:v>
      </x:c>
      <x:c r="Z635" s="43" t="n">
        <x:f>--AND(Y635=1,R635=1,S635=1)</x:f>
        <x:v>0</x:v>
      </x:c>
      <x:c r="AC635" t="str">
        <x:f>IF(OR(AA635="",AB635=""),"",--(AA635&lt;&gt;AB635))</x:f>
      </x:c>
      <x:c r="AE635" t="str">
        <x:f>IF(OR(AA635="",AB635=""),"PENDING_HUMAN",IF(AA635=AB635,AA635,IF(AD635&lt;&gt;"",AD635,"PENDING_HUMAN")))</x:f>
        <x:v>PENDING_HUMAN</x:v>
      </x:c>
      <x:c r="AF635" t="n">
        <x:f>--AND(A635&lt;&gt;"",AA635&lt;&gt;"",AB635&lt;&gt;"",OR(AA635=AB635,AD635&lt;&gt;""),IF(AE635="HALLUCINATION",U635&lt;&gt;"",TRUE))</x:f>
        <x:v>0</x:v>
      </x:c>
      <x:c r="AG635" t="n">
        <x:f>--AND(N635=1,AF635=1,OR(AE635="SUPPORTED",AE635="HALLUCINATION"))</x:f>
        <x:v>0</x:v>
      </x:c>
      <x:c r="AH635" t="n">
        <x:f>--AND(AG635=1,AE635="HALLUCINATION")</x:f>
        <x:v>0</x:v>
      </x:c>
      <x:c r="AI635" t="n">
        <x:f>--AND(Q635=1,AF635=1,AE635="HALLUCINATION")</x:f>
        <x:v>0</x:v>
      </x:c>
      <x:c r="AJ635" t="n">
        <x:f>--AND(AI635=1,R635=1,S635=1)</x:f>
        <x:v>0</x:v>
      </x:c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28"/>
      <x:c r="R636" s="28"/>
      <x:c r="S636" s="28"/>
      <x:c r="T636" s="28"/>
      <x:c r="U636" s="28"/>
      <x:c r="V636" s="28"/>
      <x:c r="W636" s="43" t="n">
        <x:f>--AND(N636=1,OR(O636="SUPPORTED",O636="HALLUCINATION"))</x:f>
        <x:v>0</x:v>
      </x:c>
      <x:c r="X636" s="43" t="n">
        <x:f>--AND(W636=1,O636="HALLUCINATION")</x:f>
        <x:v>0</x:v>
      </x:c>
      <x:c r="Y636" s="43" t="n">
        <x:f>--AND(Q636=1,O636="HALLUCINATION")</x:f>
        <x:v>0</x:v>
      </x:c>
      <x:c r="Z636" s="43" t="n">
        <x:f>--AND(Y636=1,R636=1,S636=1)</x:f>
        <x:v>0</x:v>
      </x:c>
      <x:c r="AC636" t="str">
        <x:f>IF(OR(AA636="",AB636=""),"",--(AA636&lt;&gt;AB636))</x:f>
      </x:c>
      <x:c r="AE636" t="str">
        <x:f>IF(OR(AA636="",AB636=""),"PENDING_HUMAN",IF(AA636=AB636,AA636,IF(AD636&lt;&gt;"",AD636,"PENDING_HUMAN")))</x:f>
        <x:v>PENDING_HUMAN</x:v>
      </x:c>
      <x:c r="AF636" t="n">
        <x:f>--AND(A636&lt;&gt;"",AA636&lt;&gt;"",AB636&lt;&gt;"",OR(AA636=AB636,AD636&lt;&gt;""),IF(AE636="HALLUCINATION",U636&lt;&gt;"",TRUE))</x:f>
        <x:v>0</x:v>
      </x:c>
      <x:c r="AG636" t="n">
        <x:f>--AND(N636=1,AF636=1,OR(AE636="SUPPORTED",AE636="HALLUCINATION"))</x:f>
        <x:v>0</x:v>
      </x:c>
      <x:c r="AH636" t="n">
        <x:f>--AND(AG636=1,AE636="HALLUCINATION")</x:f>
        <x:v>0</x:v>
      </x:c>
      <x:c r="AI636" t="n">
        <x:f>--AND(Q636=1,AF636=1,AE636="HALLUCINATION")</x:f>
        <x:v>0</x:v>
      </x:c>
      <x:c r="AJ636" t="n">
        <x:f>--AND(AI636=1,R636=1,S636=1)</x:f>
        <x:v>0</x:v>
      </x:c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28"/>
      <x:c r="R637" s="28"/>
      <x:c r="S637" s="28"/>
      <x:c r="T637" s="28"/>
      <x:c r="U637" s="28"/>
      <x:c r="V637" s="28"/>
      <x:c r="W637" s="43" t="n">
        <x:f>--AND(N637=1,OR(O637="SUPPORTED",O637="HALLUCINATION"))</x:f>
        <x:v>0</x:v>
      </x:c>
      <x:c r="X637" s="43" t="n">
        <x:f>--AND(W637=1,O637="HALLUCINATION")</x:f>
        <x:v>0</x:v>
      </x:c>
      <x:c r="Y637" s="43" t="n">
        <x:f>--AND(Q637=1,O637="HALLUCINATION")</x:f>
        <x:v>0</x:v>
      </x:c>
      <x:c r="Z637" s="43" t="n">
        <x:f>--AND(Y637=1,R637=1,S637=1)</x:f>
        <x:v>0</x:v>
      </x:c>
      <x:c r="AC637" t="str">
        <x:f>IF(OR(AA637="",AB637=""),"",--(AA637&lt;&gt;AB637))</x:f>
      </x:c>
      <x:c r="AE637" t="str">
        <x:f>IF(OR(AA637="",AB637=""),"PENDING_HUMAN",IF(AA637=AB637,AA637,IF(AD637&lt;&gt;"",AD637,"PENDING_HUMAN")))</x:f>
        <x:v>PENDING_HUMAN</x:v>
      </x:c>
      <x:c r="AF637" t="n">
        <x:f>--AND(A637&lt;&gt;"",AA637&lt;&gt;"",AB637&lt;&gt;"",OR(AA637=AB637,AD637&lt;&gt;""),IF(AE637="HALLUCINATION",U637&lt;&gt;"",TRUE))</x:f>
        <x:v>0</x:v>
      </x:c>
      <x:c r="AG637" t="n">
        <x:f>--AND(N637=1,AF637=1,OR(AE637="SUPPORTED",AE637="HALLUCINATION"))</x:f>
        <x:v>0</x:v>
      </x:c>
      <x:c r="AH637" t="n">
        <x:f>--AND(AG637=1,AE637="HALLUCINATION")</x:f>
        <x:v>0</x:v>
      </x:c>
      <x:c r="AI637" t="n">
        <x:f>--AND(Q637=1,AF637=1,AE637="HALLUCINATION")</x:f>
        <x:v>0</x:v>
      </x:c>
      <x:c r="AJ637" t="n">
        <x:f>--AND(AI637=1,R637=1,S637=1)</x:f>
        <x:v>0</x:v>
      </x:c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28"/>
      <x:c r="R638" s="28"/>
      <x:c r="S638" s="28"/>
      <x:c r="T638" s="28"/>
      <x:c r="U638" s="28"/>
      <x:c r="V638" s="28"/>
      <x:c r="W638" s="43" t="n">
        <x:f>--AND(N638=1,OR(O638="SUPPORTED",O638="HALLUCINATION"))</x:f>
        <x:v>0</x:v>
      </x:c>
      <x:c r="X638" s="43" t="n">
        <x:f>--AND(W638=1,O638="HALLUCINATION")</x:f>
        <x:v>0</x:v>
      </x:c>
      <x:c r="Y638" s="43" t="n">
        <x:f>--AND(Q638=1,O638="HALLUCINATION")</x:f>
        <x:v>0</x:v>
      </x:c>
      <x:c r="Z638" s="43" t="n">
        <x:f>--AND(Y638=1,R638=1,S638=1)</x:f>
        <x:v>0</x:v>
      </x:c>
      <x:c r="AC638" t="str">
        <x:f>IF(OR(AA638="",AB638=""),"",--(AA638&lt;&gt;AB638))</x:f>
      </x:c>
      <x:c r="AE638" t="str">
        <x:f>IF(OR(AA638="",AB638=""),"PENDING_HUMAN",IF(AA638=AB638,AA638,IF(AD638&lt;&gt;"",AD638,"PENDING_HUMAN")))</x:f>
        <x:v>PENDING_HUMAN</x:v>
      </x:c>
      <x:c r="AF638" t="n">
        <x:f>--AND(A638&lt;&gt;"",AA638&lt;&gt;"",AB638&lt;&gt;"",OR(AA638=AB638,AD638&lt;&gt;""),IF(AE638="HALLUCINATION",U638&lt;&gt;"",TRUE))</x:f>
        <x:v>0</x:v>
      </x:c>
      <x:c r="AG638" t="n">
        <x:f>--AND(N638=1,AF638=1,OR(AE638="SUPPORTED",AE638="HALLUCINATION"))</x:f>
        <x:v>0</x:v>
      </x:c>
      <x:c r="AH638" t="n">
        <x:f>--AND(AG638=1,AE638="HALLUCINATION")</x:f>
        <x:v>0</x:v>
      </x:c>
      <x:c r="AI638" t="n">
        <x:f>--AND(Q638=1,AF638=1,AE638="HALLUCINATION")</x:f>
        <x:v>0</x:v>
      </x:c>
      <x:c r="AJ638" t="n">
        <x:f>--AND(AI638=1,R638=1,S638=1)</x:f>
        <x:v>0</x:v>
      </x:c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28"/>
      <x:c r="R639" s="28"/>
      <x:c r="S639" s="28"/>
      <x:c r="T639" s="28"/>
      <x:c r="U639" s="28"/>
      <x:c r="V639" s="28"/>
      <x:c r="W639" s="43" t="n">
        <x:f>--AND(N639=1,OR(O639="SUPPORTED",O639="HALLUCINATION"))</x:f>
        <x:v>0</x:v>
      </x:c>
      <x:c r="X639" s="43" t="n">
        <x:f>--AND(W639=1,O639="HALLUCINATION")</x:f>
        <x:v>0</x:v>
      </x:c>
      <x:c r="Y639" s="43" t="n">
        <x:f>--AND(Q639=1,O639="HALLUCINATION")</x:f>
        <x:v>0</x:v>
      </x:c>
      <x:c r="Z639" s="43" t="n">
        <x:f>--AND(Y639=1,R639=1,S639=1)</x:f>
        <x:v>0</x:v>
      </x:c>
      <x:c r="AC639" t="str">
        <x:f>IF(OR(AA639="",AB639=""),"",--(AA639&lt;&gt;AB639))</x:f>
      </x:c>
      <x:c r="AE639" t="str">
        <x:f>IF(OR(AA639="",AB639=""),"PENDING_HUMAN",IF(AA639=AB639,AA639,IF(AD639&lt;&gt;"",AD639,"PENDING_HUMAN")))</x:f>
        <x:v>PENDING_HUMAN</x:v>
      </x:c>
      <x:c r="AF639" t="n">
        <x:f>--AND(A639&lt;&gt;"",AA639&lt;&gt;"",AB639&lt;&gt;"",OR(AA639=AB639,AD639&lt;&gt;""),IF(AE639="HALLUCINATION",U639&lt;&gt;"",TRUE))</x:f>
        <x:v>0</x:v>
      </x:c>
      <x:c r="AG639" t="n">
        <x:f>--AND(N639=1,AF639=1,OR(AE639="SUPPORTED",AE639="HALLUCINATION"))</x:f>
        <x:v>0</x:v>
      </x:c>
      <x:c r="AH639" t="n">
        <x:f>--AND(AG639=1,AE639="HALLUCINATION")</x:f>
        <x:v>0</x:v>
      </x:c>
      <x:c r="AI639" t="n">
        <x:f>--AND(Q639=1,AF639=1,AE639="HALLUCINATION")</x:f>
        <x:v>0</x:v>
      </x:c>
      <x:c r="AJ639" t="n">
        <x:f>--AND(AI639=1,R639=1,S639=1)</x:f>
        <x:v>0</x:v>
      </x:c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28"/>
      <x:c r="R640" s="28"/>
      <x:c r="S640" s="28"/>
      <x:c r="T640" s="28"/>
      <x:c r="U640" s="28"/>
      <x:c r="V640" s="28"/>
      <x:c r="W640" s="43" t="n">
        <x:f>--AND(N640=1,OR(O640="SUPPORTED",O640="HALLUCINATION"))</x:f>
        <x:v>0</x:v>
      </x:c>
      <x:c r="X640" s="43" t="n">
        <x:f>--AND(W640=1,O640="HALLUCINATION")</x:f>
        <x:v>0</x:v>
      </x:c>
      <x:c r="Y640" s="43" t="n">
        <x:f>--AND(Q640=1,O640="HALLUCINATION")</x:f>
        <x:v>0</x:v>
      </x:c>
      <x:c r="Z640" s="43" t="n">
        <x:f>--AND(Y640=1,R640=1,S640=1)</x:f>
        <x:v>0</x:v>
      </x:c>
      <x:c r="AC640" t="str">
        <x:f>IF(OR(AA640="",AB640=""),"",--(AA640&lt;&gt;AB640))</x:f>
      </x:c>
      <x:c r="AE640" t="str">
        <x:f>IF(OR(AA640="",AB640=""),"PENDING_HUMAN",IF(AA640=AB640,AA640,IF(AD640&lt;&gt;"",AD640,"PENDING_HUMAN")))</x:f>
        <x:v>PENDING_HUMAN</x:v>
      </x:c>
      <x:c r="AF640" t="n">
        <x:f>--AND(A640&lt;&gt;"",AA640&lt;&gt;"",AB640&lt;&gt;"",OR(AA640=AB640,AD640&lt;&gt;""),IF(AE640="HALLUCINATION",U640&lt;&gt;"",TRUE))</x:f>
        <x:v>0</x:v>
      </x:c>
      <x:c r="AG640" t="n">
        <x:f>--AND(N640=1,AF640=1,OR(AE640="SUPPORTED",AE640="HALLUCINATION"))</x:f>
        <x:v>0</x:v>
      </x:c>
      <x:c r="AH640" t="n">
        <x:f>--AND(AG640=1,AE640="HALLUCINATION")</x:f>
        <x:v>0</x:v>
      </x:c>
      <x:c r="AI640" t="n">
        <x:f>--AND(Q640=1,AF640=1,AE640="HALLUCINATION")</x:f>
        <x:v>0</x:v>
      </x:c>
      <x:c r="AJ640" t="n">
        <x:f>--AND(AI640=1,R640=1,S640=1)</x:f>
        <x:v>0</x:v>
      </x:c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28"/>
      <x:c r="R641" s="28"/>
      <x:c r="S641" s="28"/>
      <x:c r="T641" s="28"/>
      <x:c r="U641" s="28"/>
      <x:c r="V641" s="28"/>
      <x:c r="W641" s="43" t="n">
        <x:f>--AND(N641=1,OR(O641="SUPPORTED",O641="HALLUCINATION"))</x:f>
        <x:v>0</x:v>
      </x:c>
      <x:c r="X641" s="43" t="n">
        <x:f>--AND(W641=1,O641="HALLUCINATION")</x:f>
        <x:v>0</x:v>
      </x:c>
      <x:c r="Y641" s="43" t="n">
        <x:f>--AND(Q641=1,O641="HALLUCINATION")</x:f>
        <x:v>0</x:v>
      </x:c>
      <x:c r="Z641" s="43" t="n">
        <x:f>--AND(Y641=1,R641=1,S641=1)</x:f>
        <x:v>0</x:v>
      </x:c>
      <x:c r="AC641" t="str">
        <x:f>IF(OR(AA641="",AB641=""),"",--(AA641&lt;&gt;AB641))</x:f>
      </x:c>
      <x:c r="AE641" t="str">
        <x:f>IF(OR(AA641="",AB641=""),"PENDING_HUMAN",IF(AA641=AB641,AA641,IF(AD641&lt;&gt;"",AD641,"PENDING_HUMAN")))</x:f>
        <x:v>PENDING_HUMAN</x:v>
      </x:c>
      <x:c r="AF641" t="n">
        <x:f>--AND(A641&lt;&gt;"",AA641&lt;&gt;"",AB641&lt;&gt;"",OR(AA641=AB641,AD641&lt;&gt;""),IF(AE641="HALLUCINATION",U641&lt;&gt;"",TRUE))</x:f>
        <x:v>0</x:v>
      </x:c>
      <x:c r="AG641" t="n">
        <x:f>--AND(N641=1,AF641=1,OR(AE641="SUPPORTED",AE641="HALLUCINATION"))</x:f>
        <x:v>0</x:v>
      </x:c>
      <x:c r="AH641" t="n">
        <x:f>--AND(AG641=1,AE641="HALLUCINATION")</x:f>
        <x:v>0</x:v>
      </x:c>
      <x:c r="AI641" t="n">
        <x:f>--AND(Q641=1,AF641=1,AE641="HALLUCINATION")</x:f>
        <x:v>0</x:v>
      </x:c>
      <x:c r="AJ641" t="n">
        <x:f>--AND(AI641=1,R641=1,S641=1)</x:f>
        <x:v>0</x:v>
      </x:c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28"/>
      <x:c r="R642" s="28"/>
      <x:c r="S642" s="28"/>
      <x:c r="T642" s="28"/>
      <x:c r="U642" s="28"/>
      <x:c r="V642" s="28"/>
      <x:c r="W642" s="43" t="n">
        <x:f>--AND(N642=1,OR(O642="SUPPORTED",O642="HALLUCINATION"))</x:f>
        <x:v>0</x:v>
      </x:c>
      <x:c r="X642" s="43" t="n">
        <x:f>--AND(W642=1,O642="HALLUCINATION")</x:f>
        <x:v>0</x:v>
      </x:c>
      <x:c r="Y642" s="43" t="n">
        <x:f>--AND(Q642=1,O642="HALLUCINATION")</x:f>
        <x:v>0</x:v>
      </x:c>
      <x:c r="Z642" s="43" t="n">
        <x:f>--AND(Y642=1,R642=1,S642=1)</x:f>
        <x:v>0</x:v>
      </x:c>
      <x:c r="AC642" t="str">
        <x:f>IF(OR(AA642="",AB642=""),"",--(AA642&lt;&gt;AB642))</x:f>
      </x:c>
      <x:c r="AE642" t="str">
        <x:f>IF(OR(AA642="",AB642=""),"PENDING_HUMAN",IF(AA642=AB642,AA642,IF(AD642&lt;&gt;"",AD642,"PENDING_HUMAN")))</x:f>
        <x:v>PENDING_HUMAN</x:v>
      </x:c>
      <x:c r="AF642" t="n">
        <x:f>--AND(A642&lt;&gt;"",AA642&lt;&gt;"",AB642&lt;&gt;"",OR(AA642=AB642,AD642&lt;&gt;""),IF(AE642="HALLUCINATION",U642&lt;&gt;"",TRUE))</x:f>
        <x:v>0</x:v>
      </x:c>
      <x:c r="AG642" t="n">
        <x:f>--AND(N642=1,AF642=1,OR(AE642="SUPPORTED",AE642="HALLUCINATION"))</x:f>
        <x:v>0</x:v>
      </x:c>
      <x:c r="AH642" t="n">
        <x:f>--AND(AG642=1,AE642="HALLUCINATION")</x:f>
        <x:v>0</x:v>
      </x:c>
      <x:c r="AI642" t="n">
        <x:f>--AND(Q642=1,AF642=1,AE642="HALLUCINATION")</x:f>
        <x:v>0</x:v>
      </x:c>
      <x:c r="AJ642" t="n">
        <x:f>--AND(AI642=1,R642=1,S642=1)</x:f>
        <x:v>0</x:v>
      </x:c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28"/>
      <x:c r="R643" s="28"/>
      <x:c r="S643" s="28"/>
      <x:c r="T643" s="28"/>
      <x:c r="U643" s="28"/>
      <x:c r="V643" s="28"/>
      <x:c r="W643" s="43" t="n">
        <x:f>--AND(N643=1,OR(O643="SUPPORTED",O643="HALLUCINATION"))</x:f>
        <x:v>0</x:v>
      </x:c>
      <x:c r="X643" s="43" t="n">
        <x:f>--AND(W643=1,O643="HALLUCINATION")</x:f>
        <x:v>0</x:v>
      </x:c>
      <x:c r="Y643" s="43" t="n">
        <x:f>--AND(Q643=1,O643="HALLUCINATION")</x:f>
        <x:v>0</x:v>
      </x:c>
      <x:c r="Z643" s="43" t="n">
        <x:f>--AND(Y643=1,R643=1,S643=1)</x:f>
        <x:v>0</x:v>
      </x:c>
      <x:c r="AC643" t="str">
        <x:f>IF(OR(AA643="",AB643=""),"",--(AA643&lt;&gt;AB643))</x:f>
      </x:c>
      <x:c r="AE643" t="str">
        <x:f>IF(OR(AA643="",AB643=""),"PENDING_HUMAN",IF(AA643=AB643,AA643,IF(AD643&lt;&gt;"",AD643,"PENDING_HUMAN")))</x:f>
        <x:v>PENDING_HUMAN</x:v>
      </x:c>
      <x:c r="AF643" t="n">
        <x:f>--AND(A643&lt;&gt;"",AA643&lt;&gt;"",AB643&lt;&gt;"",OR(AA643=AB643,AD643&lt;&gt;""),IF(AE643="HALLUCINATION",U643&lt;&gt;"",TRUE))</x:f>
        <x:v>0</x:v>
      </x:c>
      <x:c r="AG643" t="n">
        <x:f>--AND(N643=1,AF643=1,OR(AE643="SUPPORTED",AE643="HALLUCINATION"))</x:f>
        <x:v>0</x:v>
      </x:c>
      <x:c r="AH643" t="n">
        <x:f>--AND(AG643=1,AE643="HALLUCINATION")</x:f>
        <x:v>0</x:v>
      </x:c>
      <x:c r="AI643" t="n">
        <x:f>--AND(Q643=1,AF643=1,AE643="HALLUCINATION")</x:f>
        <x:v>0</x:v>
      </x:c>
      <x:c r="AJ643" t="n">
        <x:f>--AND(AI643=1,R643=1,S643=1)</x:f>
        <x:v>0</x:v>
      </x:c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28"/>
      <x:c r="R644" s="28"/>
      <x:c r="S644" s="28"/>
      <x:c r="T644" s="28"/>
      <x:c r="U644" s="28"/>
      <x:c r="V644" s="28"/>
      <x:c r="W644" s="43" t="n">
        <x:f>--AND(N644=1,OR(O644="SUPPORTED",O644="HALLUCINATION"))</x:f>
        <x:v>0</x:v>
      </x:c>
      <x:c r="X644" s="43" t="n">
        <x:f>--AND(W644=1,O644="HALLUCINATION")</x:f>
        <x:v>0</x:v>
      </x:c>
      <x:c r="Y644" s="43" t="n">
        <x:f>--AND(Q644=1,O644="HALLUCINATION")</x:f>
        <x:v>0</x:v>
      </x:c>
      <x:c r="Z644" s="43" t="n">
        <x:f>--AND(Y644=1,R644=1,S644=1)</x:f>
        <x:v>0</x:v>
      </x:c>
      <x:c r="AC644" t="str">
        <x:f>IF(OR(AA644="",AB644=""),"",--(AA644&lt;&gt;AB644))</x:f>
      </x:c>
      <x:c r="AE644" t="str">
        <x:f>IF(OR(AA644="",AB644=""),"PENDING_HUMAN",IF(AA644=AB644,AA644,IF(AD644&lt;&gt;"",AD644,"PENDING_HUMAN")))</x:f>
        <x:v>PENDING_HUMAN</x:v>
      </x:c>
      <x:c r="AF644" t="n">
        <x:f>--AND(A644&lt;&gt;"",AA644&lt;&gt;"",AB644&lt;&gt;"",OR(AA644=AB644,AD644&lt;&gt;""),IF(AE644="HALLUCINATION",U644&lt;&gt;"",TRUE))</x:f>
        <x:v>0</x:v>
      </x:c>
      <x:c r="AG644" t="n">
        <x:f>--AND(N644=1,AF644=1,OR(AE644="SUPPORTED",AE644="HALLUCINATION"))</x:f>
        <x:v>0</x:v>
      </x:c>
      <x:c r="AH644" t="n">
        <x:f>--AND(AG644=1,AE644="HALLUCINATION")</x:f>
        <x:v>0</x:v>
      </x:c>
      <x:c r="AI644" t="n">
        <x:f>--AND(Q644=1,AF644=1,AE644="HALLUCINATION")</x:f>
        <x:v>0</x:v>
      </x:c>
      <x:c r="AJ644" t="n">
        <x:f>--AND(AI644=1,R644=1,S644=1)</x:f>
        <x:v>0</x:v>
      </x:c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28"/>
      <x:c r="R645" s="28"/>
      <x:c r="S645" s="28"/>
      <x:c r="T645" s="28"/>
      <x:c r="U645" s="28"/>
      <x:c r="V645" s="28"/>
      <x:c r="W645" s="43" t="n">
        <x:f>--AND(N645=1,OR(O645="SUPPORTED",O645="HALLUCINATION"))</x:f>
        <x:v>0</x:v>
      </x:c>
      <x:c r="X645" s="43" t="n">
        <x:f>--AND(W645=1,O645="HALLUCINATION")</x:f>
        <x:v>0</x:v>
      </x:c>
      <x:c r="Y645" s="43" t="n">
        <x:f>--AND(Q645=1,O645="HALLUCINATION")</x:f>
        <x:v>0</x:v>
      </x:c>
      <x:c r="Z645" s="43" t="n">
        <x:f>--AND(Y645=1,R645=1,S645=1)</x:f>
        <x:v>0</x:v>
      </x:c>
      <x:c r="AC645" t="str">
        <x:f>IF(OR(AA645="",AB645=""),"",--(AA645&lt;&gt;AB645))</x:f>
      </x:c>
      <x:c r="AE645" t="str">
        <x:f>IF(OR(AA645="",AB645=""),"PENDING_HUMAN",IF(AA645=AB645,AA645,IF(AD645&lt;&gt;"",AD645,"PENDING_HUMAN")))</x:f>
        <x:v>PENDING_HUMAN</x:v>
      </x:c>
      <x:c r="AF645" t="n">
        <x:f>--AND(A645&lt;&gt;"",AA645&lt;&gt;"",AB645&lt;&gt;"",OR(AA645=AB645,AD645&lt;&gt;""),IF(AE645="HALLUCINATION",U645&lt;&gt;"",TRUE))</x:f>
        <x:v>0</x:v>
      </x:c>
      <x:c r="AG645" t="n">
        <x:f>--AND(N645=1,AF645=1,OR(AE645="SUPPORTED",AE645="HALLUCINATION"))</x:f>
        <x:v>0</x:v>
      </x:c>
      <x:c r="AH645" t="n">
        <x:f>--AND(AG645=1,AE645="HALLUCINATION")</x:f>
        <x:v>0</x:v>
      </x:c>
      <x:c r="AI645" t="n">
        <x:f>--AND(Q645=1,AF645=1,AE645="HALLUCINATION")</x:f>
        <x:v>0</x:v>
      </x:c>
      <x:c r="AJ645" t="n">
        <x:f>--AND(AI645=1,R645=1,S645=1)</x:f>
        <x:v>0</x:v>
      </x:c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28"/>
      <x:c r="R646" s="28"/>
      <x:c r="S646" s="28"/>
      <x:c r="T646" s="28"/>
      <x:c r="U646" s="28"/>
      <x:c r="V646" s="28"/>
      <x:c r="W646" s="43" t="n">
        <x:f>--AND(N646=1,OR(O646="SUPPORTED",O646="HALLUCINATION"))</x:f>
        <x:v>0</x:v>
      </x:c>
      <x:c r="X646" s="43" t="n">
        <x:f>--AND(W646=1,O646="HALLUCINATION")</x:f>
        <x:v>0</x:v>
      </x:c>
      <x:c r="Y646" s="43" t="n">
        <x:f>--AND(Q646=1,O646="HALLUCINATION")</x:f>
        <x:v>0</x:v>
      </x:c>
      <x:c r="Z646" s="43" t="n">
        <x:f>--AND(Y646=1,R646=1,S646=1)</x:f>
        <x:v>0</x:v>
      </x:c>
      <x:c r="AC646" t="str">
        <x:f>IF(OR(AA646="",AB646=""),"",--(AA646&lt;&gt;AB646))</x:f>
      </x:c>
      <x:c r="AE646" t="str">
        <x:f>IF(OR(AA646="",AB646=""),"PENDING_HUMAN",IF(AA646=AB646,AA646,IF(AD646&lt;&gt;"",AD646,"PENDING_HUMAN")))</x:f>
        <x:v>PENDING_HUMAN</x:v>
      </x:c>
      <x:c r="AF646" t="n">
        <x:f>--AND(A646&lt;&gt;"",AA646&lt;&gt;"",AB646&lt;&gt;"",OR(AA646=AB646,AD646&lt;&gt;""),IF(AE646="HALLUCINATION",U646&lt;&gt;"",TRUE))</x:f>
        <x:v>0</x:v>
      </x:c>
      <x:c r="AG646" t="n">
        <x:f>--AND(N646=1,AF646=1,OR(AE646="SUPPORTED",AE646="HALLUCINATION"))</x:f>
        <x:v>0</x:v>
      </x:c>
      <x:c r="AH646" t="n">
        <x:f>--AND(AG646=1,AE646="HALLUCINATION")</x:f>
        <x:v>0</x:v>
      </x:c>
      <x:c r="AI646" t="n">
        <x:f>--AND(Q646=1,AF646=1,AE646="HALLUCINATION")</x:f>
        <x:v>0</x:v>
      </x:c>
      <x:c r="AJ646" t="n">
        <x:f>--AND(AI646=1,R646=1,S646=1)</x:f>
        <x:v>0</x:v>
      </x:c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28"/>
      <x:c r="R647" s="28"/>
      <x:c r="S647" s="28"/>
      <x:c r="T647" s="28"/>
      <x:c r="U647" s="28"/>
      <x:c r="V647" s="28"/>
      <x:c r="W647" s="43" t="n">
        <x:f>--AND(N647=1,OR(O647="SUPPORTED",O647="HALLUCINATION"))</x:f>
        <x:v>0</x:v>
      </x:c>
      <x:c r="X647" s="43" t="n">
        <x:f>--AND(W647=1,O647="HALLUCINATION")</x:f>
        <x:v>0</x:v>
      </x:c>
      <x:c r="Y647" s="43" t="n">
        <x:f>--AND(Q647=1,O647="HALLUCINATION")</x:f>
        <x:v>0</x:v>
      </x:c>
      <x:c r="Z647" s="43" t="n">
        <x:f>--AND(Y647=1,R647=1,S647=1)</x:f>
        <x:v>0</x:v>
      </x:c>
      <x:c r="AC647" t="str">
        <x:f>IF(OR(AA647="",AB647=""),"",--(AA647&lt;&gt;AB647))</x:f>
      </x:c>
      <x:c r="AE647" t="str">
        <x:f>IF(OR(AA647="",AB647=""),"PENDING_HUMAN",IF(AA647=AB647,AA647,IF(AD647&lt;&gt;"",AD647,"PENDING_HUMAN")))</x:f>
        <x:v>PENDING_HUMAN</x:v>
      </x:c>
      <x:c r="AF647" t="n">
        <x:f>--AND(A647&lt;&gt;"",AA647&lt;&gt;"",AB647&lt;&gt;"",OR(AA647=AB647,AD647&lt;&gt;""),IF(AE647="HALLUCINATION",U647&lt;&gt;"",TRUE))</x:f>
        <x:v>0</x:v>
      </x:c>
      <x:c r="AG647" t="n">
        <x:f>--AND(N647=1,AF647=1,OR(AE647="SUPPORTED",AE647="HALLUCINATION"))</x:f>
        <x:v>0</x:v>
      </x:c>
      <x:c r="AH647" t="n">
        <x:f>--AND(AG647=1,AE647="HALLUCINATION")</x:f>
        <x:v>0</x:v>
      </x:c>
      <x:c r="AI647" t="n">
        <x:f>--AND(Q647=1,AF647=1,AE647="HALLUCINATION")</x:f>
        <x:v>0</x:v>
      </x:c>
      <x:c r="AJ647" t="n">
        <x:f>--AND(AI647=1,R647=1,S647=1)</x:f>
        <x:v>0</x:v>
      </x:c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28"/>
      <x:c r="R648" s="28"/>
      <x:c r="S648" s="28"/>
      <x:c r="T648" s="28"/>
      <x:c r="U648" s="28"/>
      <x:c r="V648" s="28"/>
      <x:c r="W648" s="43" t="n">
        <x:f>--AND(N648=1,OR(O648="SUPPORTED",O648="HALLUCINATION"))</x:f>
        <x:v>0</x:v>
      </x:c>
      <x:c r="X648" s="43" t="n">
        <x:f>--AND(W648=1,O648="HALLUCINATION")</x:f>
        <x:v>0</x:v>
      </x:c>
      <x:c r="Y648" s="43" t="n">
        <x:f>--AND(Q648=1,O648="HALLUCINATION")</x:f>
        <x:v>0</x:v>
      </x:c>
      <x:c r="Z648" s="43" t="n">
        <x:f>--AND(Y648=1,R648=1,S648=1)</x:f>
        <x:v>0</x:v>
      </x:c>
      <x:c r="AC648" t="str">
        <x:f>IF(OR(AA648="",AB648=""),"",--(AA648&lt;&gt;AB648))</x:f>
      </x:c>
      <x:c r="AE648" t="str">
        <x:f>IF(OR(AA648="",AB648=""),"PENDING_HUMAN",IF(AA648=AB648,AA648,IF(AD648&lt;&gt;"",AD648,"PENDING_HUMAN")))</x:f>
        <x:v>PENDING_HUMAN</x:v>
      </x:c>
      <x:c r="AF648" t="n">
        <x:f>--AND(A648&lt;&gt;"",AA648&lt;&gt;"",AB648&lt;&gt;"",OR(AA648=AB648,AD648&lt;&gt;""),IF(AE648="HALLUCINATION",U648&lt;&gt;"",TRUE))</x:f>
        <x:v>0</x:v>
      </x:c>
      <x:c r="AG648" t="n">
        <x:f>--AND(N648=1,AF648=1,OR(AE648="SUPPORTED",AE648="HALLUCINATION"))</x:f>
        <x:v>0</x:v>
      </x:c>
      <x:c r="AH648" t="n">
        <x:f>--AND(AG648=1,AE648="HALLUCINATION")</x:f>
        <x:v>0</x:v>
      </x:c>
      <x:c r="AI648" t="n">
        <x:f>--AND(Q648=1,AF648=1,AE648="HALLUCINATION")</x:f>
        <x:v>0</x:v>
      </x:c>
      <x:c r="AJ648" t="n">
        <x:f>--AND(AI648=1,R648=1,S648=1)</x:f>
        <x:v>0</x:v>
      </x:c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28"/>
      <x:c r="R649" s="28"/>
      <x:c r="S649" s="28"/>
      <x:c r="T649" s="28"/>
      <x:c r="U649" s="28"/>
      <x:c r="V649" s="28"/>
      <x:c r="W649" s="43" t="n">
        <x:f>--AND(N649=1,OR(O649="SUPPORTED",O649="HALLUCINATION"))</x:f>
        <x:v>0</x:v>
      </x:c>
      <x:c r="X649" s="43" t="n">
        <x:f>--AND(W649=1,O649="HALLUCINATION")</x:f>
        <x:v>0</x:v>
      </x:c>
      <x:c r="Y649" s="43" t="n">
        <x:f>--AND(Q649=1,O649="HALLUCINATION")</x:f>
        <x:v>0</x:v>
      </x:c>
      <x:c r="Z649" s="43" t="n">
        <x:f>--AND(Y649=1,R649=1,S649=1)</x:f>
        <x:v>0</x:v>
      </x:c>
      <x:c r="AC649" t="str">
        <x:f>IF(OR(AA649="",AB649=""),"",--(AA649&lt;&gt;AB649))</x:f>
      </x:c>
      <x:c r="AE649" t="str">
        <x:f>IF(OR(AA649="",AB649=""),"PENDING_HUMAN",IF(AA649=AB649,AA649,IF(AD649&lt;&gt;"",AD649,"PENDING_HUMAN")))</x:f>
        <x:v>PENDING_HUMAN</x:v>
      </x:c>
      <x:c r="AF649" t="n">
        <x:f>--AND(A649&lt;&gt;"",AA649&lt;&gt;"",AB649&lt;&gt;"",OR(AA649=AB649,AD649&lt;&gt;""),IF(AE649="HALLUCINATION",U649&lt;&gt;"",TRUE))</x:f>
        <x:v>0</x:v>
      </x:c>
      <x:c r="AG649" t="n">
        <x:f>--AND(N649=1,AF649=1,OR(AE649="SUPPORTED",AE649="HALLUCINATION"))</x:f>
        <x:v>0</x:v>
      </x:c>
      <x:c r="AH649" t="n">
        <x:f>--AND(AG649=1,AE649="HALLUCINATION")</x:f>
        <x:v>0</x:v>
      </x:c>
      <x:c r="AI649" t="n">
        <x:f>--AND(Q649=1,AF649=1,AE649="HALLUCINATION")</x:f>
        <x:v>0</x:v>
      </x:c>
      <x:c r="AJ649" t="n">
        <x:f>--AND(AI649=1,R649=1,S649=1)</x:f>
        <x:v>0</x:v>
      </x:c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28"/>
      <x:c r="R650" s="28"/>
      <x:c r="S650" s="28"/>
      <x:c r="T650" s="28"/>
      <x:c r="U650" s="28"/>
      <x:c r="V650" s="28"/>
      <x:c r="W650" s="43" t="n">
        <x:f>--AND(N650=1,OR(O650="SUPPORTED",O650="HALLUCINATION"))</x:f>
        <x:v>0</x:v>
      </x:c>
      <x:c r="X650" s="43" t="n">
        <x:f>--AND(W650=1,O650="HALLUCINATION")</x:f>
        <x:v>0</x:v>
      </x:c>
      <x:c r="Y650" s="43" t="n">
        <x:f>--AND(Q650=1,O650="HALLUCINATION")</x:f>
        <x:v>0</x:v>
      </x:c>
      <x:c r="Z650" s="43" t="n">
        <x:f>--AND(Y650=1,R650=1,S650=1)</x:f>
        <x:v>0</x:v>
      </x:c>
      <x:c r="AC650" t="str">
        <x:f>IF(OR(AA650="",AB650=""),"",--(AA650&lt;&gt;AB650))</x:f>
      </x:c>
      <x:c r="AE650" t="str">
        <x:f>IF(OR(AA650="",AB650=""),"PENDING_HUMAN",IF(AA650=AB650,AA650,IF(AD650&lt;&gt;"",AD650,"PENDING_HUMAN")))</x:f>
        <x:v>PENDING_HUMAN</x:v>
      </x:c>
      <x:c r="AF650" t="n">
        <x:f>--AND(A650&lt;&gt;"",AA650&lt;&gt;"",AB650&lt;&gt;"",OR(AA650=AB650,AD650&lt;&gt;""),IF(AE650="HALLUCINATION",U650&lt;&gt;"",TRUE))</x:f>
        <x:v>0</x:v>
      </x:c>
      <x:c r="AG650" t="n">
        <x:f>--AND(N650=1,AF650=1,OR(AE650="SUPPORTED",AE650="HALLUCINATION"))</x:f>
        <x:v>0</x:v>
      </x:c>
      <x:c r="AH650" t="n">
        <x:f>--AND(AG650=1,AE650="HALLUCINATION")</x:f>
        <x:v>0</x:v>
      </x:c>
      <x:c r="AI650" t="n">
        <x:f>--AND(Q650=1,AF650=1,AE650="HALLUCINATION")</x:f>
        <x:v>0</x:v>
      </x:c>
      <x:c r="AJ650" t="n">
        <x:f>--AND(AI650=1,R650=1,S650=1)</x:f>
        <x:v>0</x:v>
      </x:c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28"/>
      <x:c r="R651" s="28"/>
      <x:c r="S651" s="28"/>
      <x:c r="T651" s="28"/>
      <x:c r="U651" s="28"/>
      <x:c r="V651" s="28"/>
      <x:c r="W651" s="43" t="n">
        <x:f>--AND(N651=1,OR(O651="SUPPORTED",O651="HALLUCINATION"))</x:f>
        <x:v>0</x:v>
      </x:c>
      <x:c r="X651" s="43" t="n">
        <x:f>--AND(W651=1,O651="HALLUCINATION")</x:f>
        <x:v>0</x:v>
      </x:c>
      <x:c r="Y651" s="43" t="n">
        <x:f>--AND(Q651=1,O651="HALLUCINATION")</x:f>
        <x:v>0</x:v>
      </x:c>
      <x:c r="Z651" s="43" t="n">
        <x:f>--AND(Y651=1,R651=1,S651=1)</x:f>
        <x:v>0</x:v>
      </x:c>
      <x:c r="AC651" t="str">
        <x:f>IF(OR(AA651="",AB651=""),"",--(AA651&lt;&gt;AB651))</x:f>
      </x:c>
      <x:c r="AE651" t="str">
        <x:f>IF(OR(AA651="",AB651=""),"PENDING_HUMAN",IF(AA651=AB651,AA651,IF(AD651&lt;&gt;"",AD651,"PENDING_HUMAN")))</x:f>
        <x:v>PENDING_HUMAN</x:v>
      </x:c>
      <x:c r="AF651" t="n">
        <x:f>--AND(A651&lt;&gt;"",AA651&lt;&gt;"",AB651&lt;&gt;"",OR(AA651=AB651,AD651&lt;&gt;""),IF(AE651="HALLUCINATION",U651&lt;&gt;"",TRUE))</x:f>
        <x:v>0</x:v>
      </x:c>
      <x:c r="AG651" t="n">
        <x:f>--AND(N651=1,AF651=1,OR(AE651="SUPPORTED",AE651="HALLUCINATION"))</x:f>
        <x:v>0</x:v>
      </x:c>
      <x:c r="AH651" t="n">
        <x:f>--AND(AG651=1,AE651="HALLUCINATION")</x:f>
        <x:v>0</x:v>
      </x:c>
      <x:c r="AI651" t="n">
        <x:f>--AND(Q651=1,AF651=1,AE651="HALLUCINATION")</x:f>
        <x:v>0</x:v>
      </x:c>
      <x:c r="AJ651" t="n">
        <x:f>--AND(AI651=1,R651=1,S651=1)</x:f>
        <x:v>0</x:v>
      </x:c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28"/>
      <x:c r="R652" s="28"/>
      <x:c r="S652" s="28"/>
      <x:c r="T652" s="28"/>
      <x:c r="U652" s="28"/>
      <x:c r="V652" s="28"/>
      <x:c r="W652" s="43" t="n">
        <x:f>--AND(N652=1,OR(O652="SUPPORTED",O652="HALLUCINATION"))</x:f>
        <x:v>0</x:v>
      </x:c>
      <x:c r="X652" s="43" t="n">
        <x:f>--AND(W652=1,O652="HALLUCINATION")</x:f>
        <x:v>0</x:v>
      </x:c>
      <x:c r="Y652" s="43" t="n">
        <x:f>--AND(Q652=1,O652="HALLUCINATION")</x:f>
        <x:v>0</x:v>
      </x:c>
      <x:c r="Z652" s="43" t="n">
        <x:f>--AND(Y652=1,R652=1,S652=1)</x:f>
        <x:v>0</x:v>
      </x:c>
      <x:c r="AC652" t="str">
        <x:f>IF(OR(AA652="",AB652=""),"",--(AA652&lt;&gt;AB652))</x:f>
      </x:c>
      <x:c r="AE652" t="str">
        <x:f>IF(OR(AA652="",AB652=""),"PENDING_HUMAN",IF(AA652=AB652,AA652,IF(AD652&lt;&gt;"",AD652,"PENDING_HUMAN")))</x:f>
        <x:v>PENDING_HUMAN</x:v>
      </x:c>
      <x:c r="AF652" t="n">
        <x:f>--AND(A652&lt;&gt;"",AA652&lt;&gt;"",AB652&lt;&gt;"",OR(AA652=AB652,AD652&lt;&gt;""),IF(AE652="HALLUCINATION",U652&lt;&gt;"",TRUE))</x:f>
        <x:v>0</x:v>
      </x:c>
      <x:c r="AG652" t="n">
        <x:f>--AND(N652=1,AF652=1,OR(AE652="SUPPORTED",AE652="HALLUCINATION"))</x:f>
        <x:v>0</x:v>
      </x:c>
      <x:c r="AH652" t="n">
        <x:f>--AND(AG652=1,AE652="HALLUCINATION")</x:f>
        <x:v>0</x:v>
      </x:c>
      <x:c r="AI652" t="n">
        <x:f>--AND(Q652=1,AF652=1,AE652="HALLUCINATION")</x:f>
        <x:v>0</x:v>
      </x:c>
      <x:c r="AJ652" t="n">
        <x:f>--AND(AI652=1,R652=1,S652=1)</x:f>
        <x:v>0</x:v>
      </x:c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28"/>
      <x:c r="R653" s="28"/>
      <x:c r="S653" s="28"/>
      <x:c r="T653" s="28"/>
      <x:c r="U653" s="28"/>
      <x:c r="V653" s="28"/>
      <x:c r="W653" s="43" t="n">
        <x:f>--AND(N653=1,OR(O653="SUPPORTED",O653="HALLUCINATION"))</x:f>
        <x:v>0</x:v>
      </x:c>
      <x:c r="X653" s="43" t="n">
        <x:f>--AND(W653=1,O653="HALLUCINATION")</x:f>
        <x:v>0</x:v>
      </x:c>
      <x:c r="Y653" s="43" t="n">
        <x:f>--AND(Q653=1,O653="HALLUCINATION")</x:f>
        <x:v>0</x:v>
      </x:c>
      <x:c r="Z653" s="43" t="n">
        <x:f>--AND(Y653=1,R653=1,S653=1)</x:f>
        <x:v>0</x:v>
      </x:c>
      <x:c r="AC653" t="str">
        <x:f>IF(OR(AA653="",AB653=""),"",--(AA653&lt;&gt;AB653))</x:f>
      </x:c>
      <x:c r="AE653" t="str">
        <x:f>IF(OR(AA653="",AB653=""),"PENDING_HUMAN",IF(AA653=AB653,AA653,IF(AD653&lt;&gt;"",AD653,"PENDING_HUMAN")))</x:f>
        <x:v>PENDING_HUMAN</x:v>
      </x:c>
      <x:c r="AF653" t="n">
        <x:f>--AND(A653&lt;&gt;"",AA653&lt;&gt;"",AB653&lt;&gt;"",OR(AA653=AB653,AD653&lt;&gt;""),IF(AE653="HALLUCINATION",U653&lt;&gt;"",TRUE))</x:f>
        <x:v>0</x:v>
      </x:c>
      <x:c r="AG653" t="n">
        <x:f>--AND(N653=1,AF653=1,OR(AE653="SUPPORTED",AE653="HALLUCINATION"))</x:f>
        <x:v>0</x:v>
      </x:c>
      <x:c r="AH653" t="n">
        <x:f>--AND(AG653=1,AE653="HALLUCINATION")</x:f>
        <x:v>0</x:v>
      </x:c>
      <x:c r="AI653" t="n">
        <x:f>--AND(Q653=1,AF653=1,AE653="HALLUCINATION")</x:f>
        <x:v>0</x:v>
      </x:c>
      <x:c r="AJ653" t="n">
        <x:f>--AND(AI653=1,R653=1,S653=1)</x:f>
        <x:v>0</x:v>
      </x:c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28"/>
      <x:c r="R654" s="28"/>
      <x:c r="S654" s="28"/>
      <x:c r="T654" s="28"/>
      <x:c r="U654" s="28"/>
      <x:c r="V654" s="28"/>
      <x:c r="W654" s="43" t="n">
        <x:f>--AND(N654=1,OR(O654="SUPPORTED",O654="HALLUCINATION"))</x:f>
        <x:v>0</x:v>
      </x:c>
      <x:c r="X654" s="43" t="n">
        <x:f>--AND(W654=1,O654="HALLUCINATION")</x:f>
        <x:v>0</x:v>
      </x:c>
      <x:c r="Y654" s="43" t="n">
        <x:f>--AND(Q654=1,O654="HALLUCINATION")</x:f>
        <x:v>0</x:v>
      </x:c>
      <x:c r="Z654" s="43" t="n">
        <x:f>--AND(Y654=1,R654=1,S654=1)</x:f>
        <x:v>0</x:v>
      </x:c>
      <x:c r="AC654" t="str">
        <x:f>IF(OR(AA654="",AB654=""),"",--(AA654&lt;&gt;AB654))</x:f>
      </x:c>
      <x:c r="AE654" t="str">
        <x:f>IF(OR(AA654="",AB654=""),"PENDING_HUMAN",IF(AA654=AB654,AA654,IF(AD654&lt;&gt;"",AD654,"PENDING_HUMAN")))</x:f>
        <x:v>PENDING_HUMAN</x:v>
      </x:c>
      <x:c r="AF654" t="n">
        <x:f>--AND(A654&lt;&gt;"",AA654&lt;&gt;"",AB654&lt;&gt;"",OR(AA654=AB654,AD654&lt;&gt;""),IF(AE654="HALLUCINATION",U654&lt;&gt;"",TRUE))</x:f>
        <x:v>0</x:v>
      </x:c>
      <x:c r="AG654" t="n">
        <x:f>--AND(N654=1,AF654=1,OR(AE654="SUPPORTED",AE654="HALLUCINATION"))</x:f>
        <x:v>0</x:v>
      </x:c>
      <x:c r="AH654" t="n">
        <x:f>--AND(AG654=1,AE654="HALLUCINATION")</x:f>
        <x:v>0</x:v>
      </x:c>
      <x:c r="AI654" t="n">
        <x:f>--AND(Q654=1,AF654=1,AE654="HALLUCINATION")</x:f>
        <x:v>0</x:v>
      </x:c>
      <x:c r="AJ654" t="n">
        <x:f>--AND(AI654=1,R654=1,S654=1)</x:f>
        <x:v>0</x:v>
      </x:c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28"/>
      <x:c r="R655" s="28"/>
      <x:c r="S655" s="28"/>
      <x:c r="T655" s="28"/>
      <x:c r="U655" s="28"/>
      <x:c r="V655" s="28"/>
      <x:c r="W655" s="43" t="n">
        <x:f>--AND(N655=1,OR(O655="SUPPORTED",O655="HALLUCINATION"))</x:f>
        <x:v>0</x:v>
      </x:c>
      <x:c r="X655" s="43" t="n">
        <x:f>--AND(W655=1,O655="HALLUCINATION")</x:f>
        <x:v>0</x:v>
      </x:c>
      <x:c r="Y655" s="43" t="n">
        <x:f>--AND(Q655=1,O655="HALLUCINATION")</x:f>
        <x:v>0</x:v>
      </x:c>
      <x:c r="Z655" s="43" t="n">
        <x:f>--AND(Y655=1,R655=1,S655=1)</x:f>
        <x:v>0</x:v>
      </x:c>
      <x:c r="AC655" t="str">
        <x:f>IF(OR(AA655="",AB655=""),"",--(AA655&lt;&gt;AB655))</x:f>
      </x:c>
      <x:c r="AE655" t="str">
        <x:f>IF(OR(AA655="",AB655=""),"PENDING_HUMAN",IF(AA655=AB655,AA655,IF(AD655&lt;&gt;"",AD655,"PENDING_HUMAN")))</x:f>
        <x:v>PENDING_HUMAN</x:v>
      </x:c>
      <x:c r="AF655" t="n">
        <x:f>--AND(A655&lt;&gt;"",AA655&lt;&gt;"",AB655&lt;&gt;"",OR(AA655=AB655,AD655&lt;&gt;""),IF(AE655="HALLUCINATION",U655&lt;&gt;"",TRUE))</x:f>
        <x:v>0</x:v>
      </x:c>
      <x:c r="AG655" t="n">
        <x:f>--AND(N655=1,AF655=1,OR(AE655="SUPPORTED",AE655="HALLUCINATION"))</x:f>
        <x:v>0</x:v>
      </x:c>
      <x:c r="AH655" t="n">
        <x:f>--AND(AG655=1,AE655="HALLUCINATION")</x:f>
        <x:v>0</x:v>
      </x:c>
      <x:c r="AI655" t="n">
        <x:f>--AND(Q655=1,AF655=1,AE655="HALLUCINATION")</x:f>
        <x:v>0</x:v>
      </x:c>
      <x:c r="AJ655" t="n">
        <x:f>--AND(AI655=1,R655=1,S655=1)</x:f>
        <x:v>0</x:v>
      </x:c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28"/>
      <x:c r="R656" s="28"/>
      <x:c r="S656" s="28"/>
      <x:c r="T656" s="28"/>
      <x:c r="U656" s="28"/>
      <x:c r="V656" s="28"/>
      <x:c r="W656" s="43" t="n">
        <x:f>--AND(N656=1,OR(O656="SUPPORTED",O656="HALLUCINATION"))</x:f>
        <x:v>0</x:v>
      </x:c>
      <x:c r="X656" s="43" t="n">
        <x:f>--AND(W656=1,O656="HALLUCINATION")</x:f>
        <x:v>0</x:v>
      </x:c>
      <x:c r="Y656" s="43" t="n">
        <x:f>--AND(Q656=1,O656="HALLUCINATION")</x:f>
        <x:v>0</x:v>
      </x:c>
      <x:c r="Z656" s="43" t="n">
        <x:f>--AND(Y656=1,R656=1,S656=1)</x:f>
        <x:v>0</x:v>
      </x:c>
      <x:c r="AC656" t="str">
        <x:f>IF(OR(AA656="",AB656=""),"",--(AA656&lt;&gt;AB656))</x:f>
      </x:c>
      <x:c r="AE656" t="str">
        <x:f>IF(OR(AA656="",AB656=""),"PENDING_HUMAN",IF(AA656=AB656,AA656,IF(AD656&lt;&gt;"",AD656,"PENDING_HUMAN")))</x:f>
        <x:v>PENDING_HUMAN</x:v>
      </x:c>
      <x:c r="AF656" t="n">
        <x:f>--AND(A656&lt;&gt;"",AA656&lt;&gt;"",AB656&lt;&gt;"",OR(AA656=AB656,AD656&lt;&gt;""),IF(AE656="HALLUCINATION",U656&lt;&gt;"",TRUE))</x:f>
        <x:v>0</x:v>
      </x:c>
      <x:c r="AG656" t="n">
        <x:f>--AND(N656=1,AF656=1,OR(AE656="SUPPORTED",AE656="HALLUCINATION"))</x:f>
        <x:v>0</x:v>
      </x:c>
      <x:c r="AH656" t="n">
        <x:f>--AND(AG656=1,AE656="HALLUCINATION")</x:f>
        <x:v>0</x:v>
      </x:c>
      <x:c r="AI656" t="n">
        <x:f>--AND(Q656=1,AF656=1,AE656="HALLUCINATION")</x:f>
        <x:v>0</x:v>
      </x:c>
      <x:c r="AJ656" t="n">
        <x:f>--AND(AI656=1,R656=1,S656=1)</x:f>
        <x:v>0</x:v>
      </x:c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28"/>
      <x:c r="R657" s="28"/>
      <x:c r="S657" s="28"/>
      <x:c r="T657" s="28"/>
      <x:c r="U657" s="28"/>
      <x:c r="V657" s="28"/>
      <x:c r="W657" s="43" t="n">
        <x:f>--AND(N657=1,OR(O657="SUPPORTED",O657="HALLUCINATION"))</x:f>
        <x:v>0</x:v>
      </x:c>
      <x:c r="X657" s="43" t="n">
        <x:f>--AND(W657=1,O657="HALLUCINATION")</x:f>
        <x:v>0</x:v>
      </x:c>
      <x:c r="Y657" s="43" t="n">
        <x:f>--AND(Q657=1,O657="HALLUCINATION")</x:f>
        <x:v>0</x:v>
      </x:c>
      <x:c r="Z657" s="43" t="n">
        <x:f>--AND(Y657=1,R657=1,S657=1)</x:f>
        <x:v>0</x:v>
      </x:c>
      <x:c r="AC657" t="str">
        <x:f>IF(OR(AA657="",AB657=""),"",--(AA657&lt;&gt;AB657))</x:f>
      </x:c>
      <x:c r="AE657" t="str">
        <x:f>IF(OR(AA657="",AB657=""),"PENDING_HUMAN",IF(AA657=AB657,AA657,IF(AD657&lt;&gt;"",AD657,"PENDING_HUMAN")))</x:f>
        <x:v>PENDING_HUMAN</x:v>
      </x:c>
      <x:c r="AF657" t="n">
        <x:f>--AND(A657&lt;&gt;"",AA657&lt;&gt;"",AB657&lt;&gt;"",OR(AA657=AB657,AD657&lt;&gt;""),IF(AE657="HALLUCINATION",U657&lt;&gt;"",TRUE))</x:f>
        <x:v>0</x:v>
      </x:c>
      <x:c r="AG657" t="n">
        <x:f>--AND(N657=1,AF657=1,OR(AE657="SUPPORTED",AE657="HALLUCINATION"))</x:f>
        <x:v>0</x:v>
      </x:c>
      <x:c r="AH657" t="n">
        <x:f>--AND(AG657=1,AE657="HALLUCINATION")</x:f>
        <x:v>0</x:v>
      </x:c>
      <x:c r="AI657" t="n">
        <x:f>--AND(Q657=1,AF657=1,AE657="HALLUCINATION")</x:f>
        <x:v>0</x:v>
      </x:c>
      <x:c r="AJ657" t="n">
        <x:f>--AND(AI657=1,R657=1,S657=1)</x:f>
        <x:v>0</x:v>
      </x:c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28"/>
      <x:c r="R658" s="28"/>
      <x:c r="S658" s="28"/>
      <x:c r="T658" s="28"/>
      <x:c r="U658" s="28"/>
      <x:c r="V658" s="28"/>
      <x:c r="W658" s="43" t="n">
        <x:f>--AND(N658=1,OR(O658="SUPPORTED",O658="HALLUCINATION"))</x:f>
        <x:v>0</x:v>
      </x:c>
      <x:c r="X658" s="43" t="n">
        <x:f>--AND(W658=1,O658="HALLUCINATION")</x:f>
        <x:v>0</x:v>
      </x:c>
      <x:c r="Y658" s="43" t="n">
        <x:f>--AND(Q658=1,O658="HALLUCINATION")</x:f>
        <x:v>0</x:v>
      </x:c>
      <x:c r="Z658" s="43" t="n">
        <x:f>--AND(Y658=1,R658=1,S658=1)</x:f>
        <x:v>0</x:v>
      </x:c>
      <x:c r="AC658" t="str">
        <x:f>IF(OR(AA658="",AB658=""),"",--(AA658&lt;&gt;AB658))</x:f>
      </x:c>
      <x:c r="AE658" t="str">
        <x:f>IF(OR(AA658="",AB658=""),"PENDING_HUMAN",IF(AA658=AB658,AA658,IF(AD658&lt;&gt;"",AD658,"PENDING_HUMAN")))</x:f>
        <x:v>PENDING_HUMAN</x:v>
      </x:c>
      <x:c r="AF658" t="n">
        <x:f>--AND(A658&lt;&gt;"",AA658&lt;&gt;"",AB658&lt;&gt;"",OR(AA658=AB658,AD658&lt;&gt;""),IF(AE658="HALLUCINATION",U658&lt;&gt;"",TRUE))</x:f>
        <x:v>0</x:v>
      </x:c>
      <x:c r="AG658" t="n">
        <x:f>--AND(N658=1,AF658=1,OR(AE658="SUPPORTED",AE658="HALLUCINATION"))</x:f>
        <x:v>0</x:v>
      </x:c>
      <x:c r="AH658" t="n">
        <x:f>--AND(AG658=1,AE658="HALLUCINATION")</x:f>
        <x:v>0</x:v>
      </x:c>
      <x:c r="AI658" t="n">
        <x:f>--AND(Q658=1,AF658=1,AE658="HALLUCINATION")</x:f>
        <x:v>0</x:v>
      </x:c>
      <x:c r="AJ658" t="n">
        <x:f>--AND(AI658=1,R658=1,S658=1)</x:f>
        <x:v>0</x:v>
      </x:c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28"/>
      <x:c r="R659" s="28"/>
      <x:c r="S659" s="28"/>
      <x:c r="T659" s="28"/>
      <x:c r="U659" s="28"/>
      <x:c r="V659" s="28"/>
      <x:c r="W659" s="43" t="n">
        <x:f>--AND(N659=1,OR(O659="SUPPORTED",O659="HALLUCINATION"))</x:f>
        <x:v>0</x:v>
      </x:c>
      <x:c r="X659" s="43" t="n">
        <x:f>--AND(W659=1,O659="HALLUCINATION")</x:f>
        <x:v>0</x:v>
      </x:c>
      <x:c r="Y659" s="43" t="n">
        <x:f>--AND(Q659=1,O659="HALLUCINATION")</x:f>
        <x:v>0</x:v>
      </x:c>
      <x:c r="Z659" s="43" t="n">
        <x:f>--AND(Y659=1,R659=1,S659=1)</x:f>
        <x:v>0</x:v>
      </x:c>
      <x:c r="AC659" t="str">
        <x:f>IF(OR(AA659="",AB659=""),"",--(AA659&lt;&gt;AB659))</x:f>
      </x:c>
      <x:c r="AE659" t="str">
        <x:f>IF(OR(AA659="",AB659=""),"PENDING_HUMAN",IF(AA659=AB659,AA659,IF(AD659&lt;&gt;"",AD659,"PENDING_HUMAN")))</x:f>
        <x:v>PENDING_HUMAN</x:v>
      </x:c>
      <x:c r="AF659" t="n">
        <x:f>--AND(A659&lt;&gt;"",AA659&lt;&gt;"",AB659&lt;&gt;"",OR(AA659=AB659,AD659&lt;&gt;""),IF(AE659="HALLUCINATION",U659&lt;&gt;"",TRUE))</x:f>
        <x:v>0</x:v>
      </x:c>
      <x:c r="AG659" t="n">
        <x:f>--AND(N659=1,AF659=1,OR(AE659="SUPPORTED",AE659="HALLUCINATION"))</x:f>
        <x:v>0</x:v>
      </x:c>
      <x:c r="AH659" t="n">
        <x:f>--AND(AG659=1,AE659="HALLUCINATION")</x:f>
        <x:v>0</x:v>
      </x:c>
      <x:c r="AI659" t="n">
        <x:f>--AND(Q659=1,AF659=1,AE659="HALLUCINATION")</x:f>
        <x:v>0</x:v>
      </x:c>
      <x:c r="AJ659" t="n">
        <x:f>--AND(AI659=1,R659=1,S659=1)</x:f>
        <x:v>0</x:v>
      </x:c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28"/>
      <x:c r="R660" s="28"/>
      <x:c r="S660" s="28"/>
      <x:c r="T660" s="28"/>
      <x:c r="U660" s="28"/>
      <x:c r="V660" s="28"/>
      <x:c r="W660" s="43" t="n">
        <x:f>--AND(N660=1,OR(O660="SUPPORTED",O660="HALLUCINATION"))</x:f>
        <x:v>0</x:v>
      </x:c>
      <x:c r="X660" s="43" t="n">
        <x:f>--AND(W660=1,O660="HALLUCINATION")</x:f>
        <x:v>0</x:v>
      </x:c>
      <x:c r="Y660" s="43" t="n">
        <x:f>--AND(Q660=1,O660="HALLUCINATION")</x:f>
        <x:v>0</x:v>
      </x:c>
      <x:c r="Z660" s="43" t="n">
        <x:f>--AND(Y660=1,R660=1,S660=1)</x:f>
        <x:v>0</x:v>
      </x:c>
      <x:c r="AC660" t="str">
        <x:f>IF(OR(AA660="",AB660=""),"",--(AA660&lt;&gt;AB660))</x:f>
      </x:c>
      <x:c r="AE660" t="str">
        <x:f>IF(OR(AA660="",AB660=""),"PENDING_HUMAN",IF(AA660=AB660,AA660,IF(AD660&lt;&gt;"",AD660,"PENDING_HUMAN")))</x:f>
        <x:v>PENDING_HUMAN</x:v>
      </x:c>
      <x:c r="AF660" t="n">
        <x:f>--AND(A660&lt;&gt;"",AA660&lt;&gt;"",AB660&lt;&gt;"",OR(AA660=AB660,AD660&lt;&gt;""),IF(AE660="HALLUCINATION",U660&lt;&gt;"",TRUE))</x:f>
        <x:v>0</x:v>
      </x:c>
      <x:c r="AG660" t="n">
        <x:f>--AND(N660=1,AF660=1,OR(AE660="SUPPORTED",AE660="HALLUCINATION"))</x:f>
        <x:v>0</x:v>
      </x:c>
      <x:c r="AH660" t="n">
        <x:f>--AND(AG660=1,AE660="HALLUCINATION")</x:f>
        <x:v>0</x:v>
      </x:c>
      <x:c r="AI660" t="n">
        <x:f>--AND(Q660=1,AF660=1,AE660="HALLUCINATION")</x:f>
        <x:v>0</x:v>
      </x:c>
      <x:c r="AJ660" t="n">
        <x:f>--AND(AI660=1,R660=1,S660=1)</x:f>
        <x:v>0</x:v>
      </x:c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28"/>
      <x:c r="R661" s="28"/>
      <x:c r="S661" s="28"/>
      <x:c r="T661" s="28"/>
      <x:c r="U661" s="28"/>
      <x:c r="V661" s="28"/>
      <x:c r="W661" s="43" t="n">
        <x:f>--AND(N661=1,OR(O661="SUPPORTED",O661="HALLUCINATION"))</x:f>
        <x:v>0</x:v>
      </x:c>
      <x:c r="X661" s="43" t="n">
        <x:f>--AND(W661=1,O661="HALLUCINATION")</x:f>
        <x:v>0</x:v>
      </x:c>
      <x:c r="Y661" s="43" t="n">
        <x:f>--AND(Q661=1,O661="HALLUCINATION")</x:f>
        <x:v>0</x:v>
      </x:c>
      <x:c r="Z661" s="43" t="n">
        <x:f>--AND(Y661=1,R661=1,S661=1)</x:f>
        <x:v>0</x:v>
      </x:c>
      <x:c r="AC661" t="str">
        <x:f>IF(OR(AA661="",AB661=""),"",--(AA661&lt;&gt;AB661))</x:f>
      </x:c>
      <x:c r="AE661" t="str">
        <x:f>IF(OR(AA661="",AB661=""),"PENDING_HUMAN",IF(AA661=AB661,AA661,IF(AD661&lt;&gt;"",AD661,"PENDING_HUMAN")))</x:f>
        <x:v>PENDING_HUMAN</x:v>
      </x:c>
      <x:c r="AF661" t="n">
        <x:f>--AND(A661&lt;&gt;"",AA661&lt;&gt;"",AB661&lt;&gt;"",OR(AA661=AB661,AD661&lt;&gt;""),IF(AE661="HALLUCINATION",U661&lt;&gt;"",TRUE))</x:f>
        <x:v>0</x:v>
      </x:c>
      <x:c r="AG661" t="n">
        <x:f>--AND(N661=1,AF661=1,OR(AE661="SUPPORTED",AE661="HALLUCINATION"))</x:f>
        <x:v>0</x:v>
      </x:c>
      <x:c r="AH661" t="n">
        <x:f>--AND(AG661=1,AE661="HALLUCINATION")</x:f>
        <x:v>0</x:v>
      </x:c>
      <x:c r="AI661" t="n">
        <x:f>--AND(Q661=1,AF661=1,AE661="HALLUCINATION")</x:f>
        <x:v>0</x:v>
      </x:c>
      <x:c r="AJ661" t="n">
        <x:f>--AND(AI661=1,R661=1,S661=1)</x:f>
        <x:v>0</x:v>
      </x:c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28"/>
      <x:c r="R662" s="28"/>
      <x:c r="S662" s="28"/>
      <x:c r="T662" s="28"/>
      <x:c r="U662" s="28"/>
      <x:c r="V662" s="28"/>
      <x:c r="W662" s="43" t="n">
        <x:f>--AND(N662=1,OR(O662="SUPPORTED",O662="HALLUCINATION"))</x:f>
        <x:v>0</x:v>
      </x:c>
      <x:c r="X662" s="43" t="n">
        <x:f>--AND(W662=1,O662="HALLUCINATION")</x:f>
        <x:v>0</x:v>
      </x:c>
      <x:c r="Y662" s="43" t="n">
        <x:f>--AND(Q662=1,O662="HALLUCINATION")</x:f>
        <x:v>0</x:v>
      </x:c>
      <x:c r="Z662" s="43" t="n">
        <x:f>--AND(Y662=1,R662=1,S662=1)</x:f>
        <x:v>0</x:v>
      </x:c>
      <x:c r="AC662" t="str">
        <x:f>IF(OR(AA662="",AB662=""),"",--(AA662&lt;&gt;AB662))</x:f>
      </x:c>
      <x:c r="AE662" t="str">
        <x:f>IF(OR(AA662="",AB662=""),"PENDING_HUMAN",IF(AA662=AB662,AA662,IF(AD662&lt;&gt;"",AD662,"PENDING_HUMAN")))</x:f>
        <x:v>PENDING_HUMAN</x:v>
      </x:c>
      <x:c r="AF662" t="n">
        <x:f>--AND(A662&lt;&gt;"",AA662&lt;&gt;"",AB662&lt;&gt;"",OR(AA662=AB662,AD662&lt;&gt;""),IF(AE662="HALLUCINATION",U662&lt;&gt;"",TRUE))</x:f>
        <x:v>0</x:v>
      </x:c>
      <x:c r="AG662" t="n">
        <x:f>--AND(N662=1,AF662=1,OR(AE662="SUPPORTED",AE662="HALLUCINATION"))</x:f>
        <x:v>0</x:v>
      </x:c>
      <x:c r="AH662" t="n">
        <x:f>--AND(AG662=1,AE662="HALLUCINATION")</x:f>
        <x:v>0</x:v>
      </x:c>
      <x:c r="AI662" t="n">
        <x:f>--AND(Q662=1,AF662=1,AE662="HALLUCINATION")</x:f>
        <x:v>0</x:v>
      </x:c>
      <x:c r="AJ662" t="n">
        <x:f>--AND(AI662=1,R662=1,S662=1)</x:f>
        <x:v>0</x:v>
      </x:c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28"/>
      <x:c r="R663" s="28"/>
      <x:c r="S663" s="28"/>
      <x:c r="T663" s="28"/>
      <x:c r="U663" s="28"/>
      <x:c r="V663" s="28"/>
      <x:c r="W663" s="43" t="n">
        <x:f>--AND(N663=1,OR(O663="SUPPORTED",O663="HALLUCINATION"))</x:f>
        <x:v>0</x:v>
      </x:c>
      <x:c r="X663" s="43" t="n">
        <x:f>--AND(W663=1,O663="HALLUCINATION")</x:f>
        <x:v>0</x:v>
      </x:c>
      <x:c r="Y663" s="43" t="n">
        <x:f>--AND(Q663=1,O663="HALLUCINATION")</x:f>
        <x:v>0</x:v>
      </x:c>
      <x:c r="Z663" s="43" t="n">
        <x:f>--AND(Y663=1,R663=1,S663=1)</x:f>
        <x:v>0</x:v>
      </x:c>
      <x:c r="AC663" t="str">
        <x:f>IF(OR(AA663="",AB663=""),"",--(AA663&lt;&gt;AB663))</x:f>
      </x:c>
      <x:c r="AE663" t="str">
        <x:f>IF(OR(AA663="",AB663=""),"PENDING_HUMAN",IF(AA663=AB663,AA663,IF(AD663&lt;&gt;"",AD663,"PENDING_HUMAN")))</x:f>
        <x:v>PENDING_HUMAN</x:v>
      </x:c>
      <x:c r="AF663" t="n">
        <x:f>--AND(A663&lt;&gt;"",AA663&lt;&gt;"",AB663&lt;&gt;"",OR(AA663=AB663,AD663&lt;&gt;""),IF(AE663="HALLUCINATION",U663&lt;&gt;"",TRUE))</x:f>
        <x:v>0</x:v>
      </x:c>
      <x:c r="AG663" t="n">
        <x:f>--AND(N663=1,AF663=1,OR(AE663="SUPPORTED",AE663="HALLUCINATION"))</x:f>
        <x:v>0</x:v>
      </x:c>
      <x:c r="AH663" t="n">
        <x:f>--AND(AG663=1,AE663="HALLUCINATION")</x:f>
        <x:v>0</x:v>
      </x:c>
      <x:c r="AI663" t="n">
        <x:f>--AND(Q663=1,AF663=1,AE663="HALLUCINATION")</x:f>
        <x:v>0</x:v>
      </x:c>
      <x:c r="AJ663" t="n">
        <x:f>--AND(AI663=1,R663=1,S663=1)</x:f>
        <x:v>0</x:v>
      </x:c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28"/>
      <x:c r="R664" s="28"/>
      <x:c r="S664" s="28"/>
      <x:c r="T664" s="28"/>
      <x:c r="U664" s="28"/>
      <x:c r="V664" s="28"/>
      <x:c r="W664" s="43" t="n">
        <x:f>--AND(N664=1,OR(O664="SUPPORTED",O664="HALLUCINATION"))</x:f>
        <x:v>0</x:v>
      </x:c>
      <x:c r="X664" s="43" t="n">
        <x:f>--AND(W664=1,O664="HALLUCINATION")</x:f>
        <x:v>0</x:v>
      </x:c>
      <x:c r="Y664" s="43" t="n">
        <x:f>--AND(Q664=1,O664="HALLUCINATION")</x:f>
        <x:v>0</x:v>
      </x:c>
      <x:c r="Z664" s="43" t="n">
        <x:f>--AND(Y664=1,R664=1,S664=1)</x:f>
        <x:v>0</x:v>
      </x:c>
      <x:c r="AC664" t="str">
        <x:f>IF(OR(AA664="",AB664=""),"",--(AA664&lt;&gt;AB664))</x:f>
      </x:c>
      <x:c r="AE664" t="str">
        <x:f>IF(OR(AA664="",AB664=""),"PENDING_HUMAN",IF(AA664=AB664,AA664,IF(AD664&lt;&gt;"",AD664,"PENDING_HUMAN")))</x:f>
        <x:v>PENDING_HUMAN</x:v>
      </x:c>
      <x:c r="AF664" t="n">
        <x:f>--AND(A664&lt;&gt;"",AA664&lt;&gt;"",AB664&lt;&gt;"",OR(AA664=AB664,AD664&lt;&gt;""),IF(AE664="HALLUCINATION",U664&lt;&gt;"",TRUE))</x:f>
        <x:v>0</x:v>
      </x:c>
      <x:c r="AG664" t="n">
        <x:f>--AND(N664=1,AF664=1,OR(AE664="SUPPORTED",AE664="HALLUCINATION"))</x:f>
        <x:v>0</x:v>
      </x:c>
      <x:c r="AH664" t="n">
        <x:f>--AND(AG664=1,AE664="HALLUCINATION")</x:f>
        <x:v>0</x:v>
      </x:c>
      <x:c r="AI664" t="n">
        <x:f>--AND(Q664=1,AF664=1,AE664="HALLUCINATION")</x:f>
        <x:v>0</x:v>
      </x:c>
      <x:c r="AJ664" t="n">
        <x:f>--AND(AI664=1,R664=1,S664=1)</x:f>
        <x:v>0</x:v>
      </x:c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28"/>
      <x:c r="R665" s="28"/>
      <x:c r="S665" s="28"/>
      <x:c r="T665" s="28"/>
      <x:c r="U665" s="28"/>
      <x:c r="V665" s="28"/>
      <x:c r="W665" s="43" t="n">
        <x:f>--AND(N665=1,OR(O665="SUPPORTED",O665="HALLUCINATION"))</x:f>
        <x:v>0</x:v>
      </x:c>
      <x:c r="X665" s="43" t="n">
        <x:f>--AND(W665=1,O665="HALLUCINATION")</x:f>
        <x:v>0</x:v>
      </x:c>
      <x:c r="Y665" s="43" t="n">
        <x:f>--AND(Q665=1,O665="HALLUCINATION")</x:f>
        <x:v>0</x:v>
      </x:c>
      <x:c r="Z665" s="43" t="n">
        <x:f>--AND(Y665=1,R665=1,S665=1)</x:f>
        <x:v>0</x:v>
      </x:c>
      <x:c r="AC665" t="str">
        <x:f>IF(OR(AA665="",AB665=""),"",--(AA665&lt;&gt;AB665))</x:f>
      </x:c>
      <x:c r="AE665" t="str">
        <x:f>IF(OR(AA665="",AB665=""),"PENDING_HUMAN",IF(AA665=AB665,AA665,IF(AD665&lt;&gt;"",AD665,"PENDING_HUMAN")))</x:f>
        <x:v>PENDING_HUMAN</x:v>
      </x:c>
      <x:c r="AF665" t="n">
        <x:f>--AND(A665&lt;&gt;"",AA665&lt;&gt;"",AB665&lt;&gt;"",OR(AA665=AB665,AD665&lt;&gt;""),IF(AE665="HALLUCINATION",U665&lt;&gt;"",TRUE))</x:f>
        <x:v>0</x:v>
      </x:c>
      <x:c r="AG665" t="n">
        <x:f>--AND(N665=1,AF665=1,OR(AE665="SUPPORTED",AE665="HALLUCINATION"))</x:f>
        <x:v>0</x:v>
      </x:c>
      <x:c r="AH665" t="n">
        <x:f>--AND(AG665=1,AE665="HALLUCINATION")</x:f>
        <x:v>0</x:v>
      </x:c>
      <x:c r="AI665" t="n">
        <x:f>--AND(Q665=1,AF665=1,AE665="HALLUCINATION")</x:f>
        <x:v>0</x:v>
      </x:c>
      <x:c r="AJ665" t="n">
        <x:f>--AND(AI665=1,R665=1,S665=1)</x:f>
        <x:v>0</x:v>
      </x:c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28"/>
      <x:c r="R666" s="28"/>
      <x:c r="S666" s="28"/>
      <x:c r="T666" s="28"/>
      <x:c r="U666" s="28"/>
      <x:c r="V666" s="28"/>
      <x:c r="W666" s="43" t="n">
        <x:f>--AND(N666=1,OR(O666="SUPPORTED",O666="HALLUCINATION"))</x:f>
        <x:v>0</x:v>
      </x:c>
      <x:c r="X666" s="43" t="n">
        <x:f>--AND(W666=1,O666="HALLUCINATION")</x:f>
        <x:v>0</x:v>
      </x:c>
      <x:c r="Y666" s="43" t="n">
        <x:f>--AND(Q666=1,O666="HALLUCINATION")</x:f>
        <x:v>0</x:v>
      </x:c>
      <x:c r="Z666" s="43" t="n">
        <x:f>--AND(Y666=1,R666=1,S666=1)</x:f>
        <x:v>0</x:v>
      </x:c>
      <x:c r="AC666" t="str">
        <x:f>IF(OR(AA666="",AB666=""),"",--(AA666&lt;&gt;AB666))</x:f>
      </x:c>
      <x:c r="AE666" t="str">
        <x:f>IF(OR(AA666="",AB666=""),"PENDING_HUMAN",IF(AA666=AB666,AA666,IF(AD666&lt;&gt;"",AD666,"PENDING_HUMAN")))</x:f>
        <x:v>PENDING_HUMAN</x:v>
      </x:c>
      <x:c r="AF666" t="n">
        <x:f>--AND(A666&lt;&gt;"",AA666&lt;&gt;"",AB666&lt;&gt;"",OR(AA666=AB666,AD666&lt;&gt;""),IF(AE666="HALLUCINATION",U666&lt;&gt;"",TRUE))</x:f>
        <x:v>0</x:v>
      </x:c>
      <x:c r="AG666" t="n">
        <x:f>--AND(N666=1,AF666=1,OR(AE666="SUPPORTED",AE666="HALLUCINATION"))</x:f>
        <x:v>0</x:v>
      </x:c>
      <x:c r="AH666" t="n">
        <x:f>--AND(AG666=1,AE666="HALLUCINATION")</x:f>
        <x:v>0</x:v>
      </x:c>
      <x:c r="AI666" t="n">
        <x:f>--AND(Q666=1,AF666=1,AE666="HALLUCINATION")</x:f>
        <x:v>0</x:v>
      </x:c>
      <x:c r="AJ666" t="n">
        <x:f>--AND(AI666=1,R666=1,S666=1)</x:f>
        <x:v>0</x:v>
      </x:c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28"/>
      <x:c r="R667" s="28"/>
      <x:c r="S667" s="28"/>
      <x:c r="T667" s="28"/>
      <x:c r="U667" s="28"/>
      <x:c r="V667" s="28"/>
      <x:c r="W667" s="43" t="n">
        <x:f>--AND(N667=1,OR(O667="SUPPORTED",O667="HALLUCINATION"))</x:f>
        <x:v>0</x:v>
      </x:c>
      <x:c r="X667" s="43" t="n">
        <x:f>--AND(W667=1,O667="HALLUCINATION")</x:f>
        <x:v>0</x:v>
      </x:c>
      <x:c r="Y667" s="43" t="n">
        <x:f>--AND(Q667=1,O667="HALLUCINATION")</x:f>
        <x:v>0</x:v>
      </x:c>
      <x:c r="Z667" s="43" t="n">
        <x:f>--AND(Y667=1,R667=1,S667=1)</x:f>
        <x:v>0</x:v>
      </x:c>
      <x:c r="AC667" t="str">
        <x:f>IF(OR(AA667="",AB667=""),"",--(AA667&lt;&gt;AB667))</x:f>
      </x:c>
      <x:c r="AE667" t="str">
        <x:f>IF(OR(AA667="",AB667=""),"PENDING_HUMAN",IF(AA667=AB667,AA667,IF(AD667&lt;&gt;"",AD667,"PENDING_HUMAN")))</x:f>
        <x:v>PENDING_HUMAN</x:v>
      </x:c>
      <x:c r="AF667" t="n">
        <x:f>--AND(A667&lt;&gt;"",AA667&lt;&gt;"",AB667&lt;&gt;"",OR(AA667=AB667,AD667&lt;&gt;""),IF(AE667="HALLUCINATION",U667&lt;&gt;"",TRUE))</x:f>
        <x:v>0</x:v>
      </x:c>
      <x:c r="AG667" t="n">
        <x:f>--AND(N667=1,AF667=1,OR(AE667="SUPPORTED",AE667="HALLUCINATION"))</x:f>
        <x:v>0</x:v>
      </x:c>
      <x:c r="AH667" t="n">
        <x:f>--AND(AG667=1,AE667="HALLUCINATION")</x:f>
        <x:v>0</x:v>
      </x:c>
      <x:c r="AI667" t="n">
        <x:f>--AND(Q667=1,AF667=1,AE667="HALLUCINATION")</x:f>
        <x:v>0</x:v>
      </x:c>
      <x:c r="AJ667" t="n">
        <x:f>--AND(AI667=1,R667=1,S667=1)</x:f>
        <x:v>0</x:v>
      </x:c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28"/>
      <x:c r="R668" s="28"/>
      <x:c r="S668" s="28"/>
      <x:c r="T668" s="28"/>
      <x:c r="U668" s="28"/>
      <x:c r="V668" s="28"/>
      <x:c r="W668" s="43" t="n">
        <x:f>--AND(N668=1,OR(O668="SUPPORTED",O668="HALLUCINATION"))</x:f>
        <x:v>0</x:v>
      </x:c>
      <x:c r="X668" s="43" t="n">
        <x:f>--AND(W668=1,O668="HALLUCINATION")</x:f>
        <x:v>0</x:v>
      </x:c>
      <x:c r="Y668" s="43" t="n">
        <x:f>--AND(Q668=1,O668="HALLUCINATION")</x:f>
        <x:v>0</x:v>
      </x:c>
      <x:c r="Z668" s="43" t="n">
        <x:f>--AND(Y668=1,R668=1,S668=1)</x:f>
        <x:v>0</x:v>
      </x:c>
      <x:c r="AC668" t="str">
        <x:f>IF(OR(AA668="",AB668=""),"",--(AA668&lt;&gt;AB668))</x:f>
      </x:c>
      <x:c r="AE668" t="str">
        <x:f>IF(OR(AA668="",AB668=""),"PENDING_HUMAN",IF(AA668=AB668,AA668,IF(AD668&lt;&gt;"",AD668,"PENDING_HUMAN")))</x:f>
        <x:v>PENDING_HUMAN</x:v>
      </x:c>
      <x:c r="AF668" t="n">
        <x:f>--AND(A668&lt;&gt;"",AA668&lt;&gt;"",AB668&lt;&gt;"",OR(AA668=AB668,AD668&lt;&gt;""),IF(AE668="HALLUCINATION",U668&lt;&gt;"",TRUE))</x:f>
        <x:v>0</x:v>
      </x:c>
      <x:c r="AG668" t="n">
        <x:f>--AND(N668=1,AF668=1,OR(AE668="SUPPORTED",AE668="HALLUCINATION"))</x:f>
        <x:v>0</x:v>
      </x:c>
      <x:c r="AH668" t="n">
        <x:f>--AND(AG668=1,AE668="HALLUCINATION")</x:f>
        <x:v>0</x:v>
      </x:c>
      <x:c r="AI668" t="n">
        <x:f>--AND(Q668=1,AF668=1,AE668="HALLUCINATION")</x:f>
        <x:v>0</x:v>
      </x:c>
      <x:c r="AJ668" t="n">
        <x:f>--AND(AI668=1,R668=1,S668=1)</x:f>
        <x:v>0</x:v>
      </x:c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28"/>
      <x:c r="R669" s="28"/>
      <x:c r="S669" s="28"/>
      <x:c r="T669" s="28"/>
      <x:c r="U669" s="28"/>
      <x:c r="V669" s="28"/>
      <x:c r="W669" s="43" t="n">
        <x:f>--AND(N669=1,OR(O669="SUPPORTED",O669="HALLUCINATION"))</x:f>
        <x:v>0</x:v>
      </x:c>
      <x:c r="X669" s="43" t="n">
        <x:f>--AND(W669=1,O669="HALLUCINATION")</x:f>
        <x:v>0</x:v>
      </x:c>
      <x:c r="Y669" s="43" t="n">
        <x:f>--AND(Q669=1,O669="HALLUCINATION")</x:f>
        <x:v>0</x:v>
      </x:c>
      <x:c r="Z669" s="43" t="n">
        <x:f>--AND(Y669=1,R669=1,S669=1)</x:f>
        <x:v>0</x:v>
      </x:c>
      <x:c r="AC669" t="str">
        <x:f>IF(OR(AA669="",AB669=""),"",--(AA669&lt;&gt;AB669))</x:f>
      </x:c>
      <x:c r="AE669" t="str">
        <x:f>IF(OR(AA669="",AB669=""),"PENDING_HUMAN",IF(AA669=AB669,AA669,IF(AD669&lt;&gt;"",AD669,"PENDING_HUMAN")))</x:f>
        <x:v>PENDING_HUMAN</x:v>
      </x:c>
      <x:c r="AF669" t="n">
        <x:f>--AND(A669&lt;&gt;"",AA669&lt;&gt;"",AB669&lt;&gt;"",OR(AA669=AB669,AD669&lt;&gt;""),IF(AE669="HALLUCINATION",U669&lt;&gt;"",TRUE))</x:f>
        <x:v>0</x:v>
      </x:c>
      <x:c r="AG669" t="n">
        <x:f>--AND(N669=1,AF669=1,OR(AE669="SUPPORTED",AE669="HALLUCINATION"))</x:f>
        <x:v>0</x:v>
      </x:c>
      <x:c r="AH669" t="n">
        <x:f>--AND(AG669=1,AE669="HALLUCINATION")</x:f>
        <x:v>0</x:v>
      </x:c>
      <x:c r="AI669" t="n">
        <x:f>--AND(Q669=1,AF669=1,AE669="HALLUCINATION")</x:f>
        <x:v>0</x:v>
      </x:c>
      <x:c r="AJ669" t="n">
        <x:f>--AND(AI669=1,R669=1,S669=1)</x:f>
        <x:v>0</x:v>
      </x:c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28"/>
      <x:c r="R670" s="28"/>
      <x:c r="S670" s="28"/>
      <x:c r="T670" s="28"/>
      <x:c r="U670" s="28"/>
      <x:c r="V670" s="28"/>
      <x:c r="W670" s="43" t="n">
        <x:f>--AND(N670=1,OR(O670="SUPPORTED",O670="HALLUCINATION"))</x:f>
        <x:v>0</x:v>
      </x:c>
      <x:c r="X670" s="43" t="n">
        <x:f>--AND(W670=1,O670="HALLUCINATION")</x:f>
        <x:v>0</x:v>
      </x:c>
      <x:c r="Y670" s="43" t="n">
        <x:f>--AND(Q670=1,O670="HALLUCINATION")</x:f>
        <x:v>0</x:v>
      </x:c>
      <x:c r="Z670" s="43" t="n">
        <x:f>--AND(Y670=1,R670=1,S670=1)</x:f>
        <x:v>0</x:v>
      </x:c>
      <x:c r="AC670" t="str">
        <x:f>IF(OR(AA670="",AB670=""),"",--(AA670&lt;&gt;AB670))</x:f>
      </x:c>
      <x:c r="AE670" t="str">
        <x:f>IF(OR(AA670="",AB670=""),"PENDING_HUMAN",IF(AA670=AB670,AA670,IF(AD670&lt;&gt;"",AD670,"PENDING_HUMAN")))</x:f>
        <x:v>PENDING_HUMAN</x:v>
      </x:c>
      <x:c r="AF670" t="n">
        <x:f>--AND(A670&lt;&gt;"",AA670&lt;&gt;"",AB670&lt;&gt;"",OR(AA670=AB670,AD670&lt;&gt;""),IF(AE670="HALLUCINATION",U670&lt;&gt;"",TRUE))</x:f>
        <x:v>0</x:v>
      </x:c>
      <x:c r="AG670" t="n">
        <x:f>--AND(N670=1,AF670=1,OR(AE670="SUPPORTED",AE670="HALLUCINATION"))</x:f>
        <x:v>0</x:v>
      </x:c>
      <x:c r="AH670" t="n">
        <x:f>--AND(AG670=1,AE670="HALLUCINATION")</x:f>
        <x:v>0</x:v>
      </x:c>
      <x:c r="AI670" t="n">
        <x:f>--AND(Q670=1,AF670=1,AE670="HALLUCINATION")</x:f>
        <x:v>0</x:v>
      </x:c>
      <x:c r="AJ670" t="n">
        <x:f>--AND(AI670=1,R670=1,S670=1)</x:f>
        <x:v>0</x:v>
      </x:c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28"/>
      <x:c r="R671" s="28"/>
      <x:c r="S671" s="28"/>
      <x:c r="T671" s="28"/>
      <x:c r="U671" s="28"/>
      <x:c r="V671" s="28"/>
      <x:c r="W671" s="43" t="n">
        <x:f>--AND(N671=1,OR(O671="SUPPORTED",O671="HALLUCINATION"))</x:f>
        <x:v>0</x:v>
      </x:c>
      <x:c r="X671" s="43" t="n">
        <x:f>--AND(W671=1,O671="HALLUCINATION")</x:f>
        <x:v>0</x:v>
      </x:c>
      <x:c r="Y671" s="43" t="n">
        <x:f>--AND(Q671=1,O671="HALLUCINATION")</x:f>
        <x:v>0</x:v>
      </x:c>
      <x:c r="Z671" s="43" t="n">
        <x:f>--AND(Y671=1,R671=1,S671=1)</x:f>
        <x:v>0</x:v>
      </x:c>
      <x:c r="AC671" t="str">
        <x:f>IF(OR(AA671="",AB671=""),"",--(AA671&lt;&gt;AB671))</x:f>
      </x:c>
      <x:c r="AE671" t="str">
        <x:f>IF(OR(AA671="",AB671=""),"PENDING_HUMAN",IF(AA671=AB671,AA671,IF(AD671&lt;&gt;"",AD671,"PENDING_HUMAN")))</x:f>
        <x:v>PENDING_HUMAN</x:v>
      </x:c>
      <x:c r="AF671" t="n">
        <x:f>--AND(A671&lt;&gt;"",AA671&lt;&gt;"",AB671&lt;&gt;"",OR(AA671=AB671,AD671&lt;&gt;""),IF(AE671="HALLUCINATION",U671&lt;&gt;"",TRUE))</x:f>
        <x:v>0</x:v>
      </x:c>
      <x:c r="AG671" t="n">
        <x:f>--AND(N671=1,AF671=1,OR(AE671="SUPPORTED",AE671="HALLUCINATION"))</x:f>
        <x:v>0</x:v>
      </x:c>
      <x:c r="AH671" t="n">
        <x:f>--AND(AG671=1,AE671="HALLUCINATION")</x:f>
        <x:v>0</x:v>
      </x:c>
      <x:c r="AI671" t="n">
        <x:f>--AND(Q671=1,AF671=1,AE671="HALLUCINATION")</x:f>
        <x:v>0</x:v>
      </x:c>
      <x:c r="AJ671" t="n">
        <x:f>--AND(AI671=1,R671=1,S671=1)</x:f>
        <x:v>0</x:v>
      </x:c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28"/>
      <x:c r="R672" s="28"/>
      <x:c r="S672" s="28"/>
      <x:c r="T672" s="28"/>
      <x:c r="U672" s="28"/>
      <x:c r="V672" s="28"/>
      <x:c r="W672" s="43" t="n">
        <x:f>--AND(N672=1,OR(O672="SUPPORTED",O672="HALLUCINATION"))</x:f>
        <x:v>0</x:v>
      </x:c>
      <x:c r="X672" s="43" t="n">
        <x:f>--AND(W672=1,O672="HALLUCINATION")</x:f>
        <x:v>0</x:v>
      </x:c>
      <x:c r="Y672" s="43" t="n">
        <x:f>--AND(Q672=1,O672="HALLUCINATION")</x:f>
        <x:v>0</x:v>
      </x:c>
      <x:c r="Z672" s="43" t="n">
        <x:f>--AND(Y672=1,R672=1,S672=1)</x:f>
        <x:v>0</x:v>
      </x:c>
      <x:c r="AC672" t="str">
        <x:f>IF(OR(AA672="",AB672=""),"",--(AA672&lt;&gt;AB672))</x:f>
      </x:c>
      <x:c r="AE672" t="str">
        <x:f>IF(OR(AA672="",AB672=""),"PENDING_HUMAN",IF(AA672=AB672,AA672,IF(AD672&lt;&gt;"",AD672,"PENDING_HUMAN")))</x:f>
        <x:v>PENDING_HUMAN</x:v>
      </x:c>
      <x:c r="AF672" t="n">
        <x:f>--AND(A672&lt;&gt;"",AA672&lt;&gt;"",AB672&lt;&gt;"",OR(AA672=AB672,AD672&lt;&gt;""),IF(AE672="HALLUCINATION",U672&lt;&gt;"",TRUE))</x:f>
        <x:v>0</x:v>
      </x:c>
      <x:c r="AG672" t="n">
        <x:f>--AND(N672=1,AF672=1,OR(AE672="SUPPORTED",AE672="HALLUCINATION"))</x:f>
        <x:v>0</x:v>
      </x:c>
      <x:c r="AH672" t="n">
        <x:f>--AND(AG672=1,AE672="HALLUCINATION")</x:f>
        <x:v>0</x:v>
      </x:c>
      <x:c r="AI672" t="n">
        <x:f>--AND(Q672=1,AF672=1,AE672="HALLUCINATION")</x:f>
        <x:v>0</x:v>
      </x:c>
      <x:c r="AJ672" t="n">
        <x:f>--AND(AI672=1,R672=1,S672=1)</x:f>
        <x:v>0</x:v>
      </x:c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28"/>
      <x:c r="R673" s="28"/>
      <x:c r="S673" s="28"/>
      <x:c r="T673" s="28"/>
      <x:c r="U673" s="28"/>
      <x:c r="V673" s="28"/>
      <x:c r="W673" s="43" t="n">
        <x:f>--AND(N673=1,OR(O673="SUPPORTED",O673="HALLUCINATION"))</x:f>
        <x:v>0</x:v>
      </x:c>
      <x:c r="X673" s="43" t="n">
        <x:f>--AND(W673=1,O673="HALLUCINATION")</x:f>
        <x:v>0</x:v>
      </x:c>
      <x:c r="Y673" s="43" t="n">
        <x:f>--AND(Q673=1,O673="HALLUCINATION")</x:f>
        <x:v>0</x:v>
      </x:c>
      <x:c r="Z673" s="43" t="n">
        <x:f>--AND(Y673=1,R673=1,S673=1)</x:f>
        <x:v>0</x:v>
      </x:c>
      <x:c r="AC673" t="str">
        <x:f>IF(OR(AA673="",AB673=""),"",--(AA673&lt;&gt;AB673))</x:f>
      </x:c>
      <x:c r="AE673" t="str">
        <x:f>IF(OR(AA673="",AB673=""),"PENDING_HUMAN",IF(AA673=AB673,AA673,IF(AD673&lt;&gt;"",AD673,"PENDING_HUMAN")))</x:f>
        <x:v>PENDING_HUMAN</x:v>
      </x:c>
      <x:c r="AF673" t="n">
        <x:f>--AND(A673&lt;&gt;"",AA673&lt;&gt;"",AB673&lt;&gt;"",OR(AA673=AB673,AD673&lt;&gt;""),IF(AE673="HALLUCINATION",U673&lt;&gt;"",TRUE))</x:f>
        <x:v>0</x:v>
      </x:c>
      <x:c r="AG673" t="n">
        <x:f>--AND(N673=1,AF673=1,OR(AE673="SUPPORTED",AE673="HALLUCINATION"))</x:f>
        <x:v>0</x:v>
      </x:c>
      <x:c r="AH673" t="n">
        <x:f>--AND(AG673=1,AE673="HALLUCINATION")</x:f>
        <x:v>0</x:v>
      </x:c>
      <x:c r="AI673" t="n">
        <x:f>--AND(Q673=1,AF673=1,AE673="HALLUCINATION")</x:f>
        <x:v>0</x:v>
      </x:c>
      <x:c r="AJ673" t="n">
        <x:f>--AND(AI673=1,R673=1,S673=1)</x:f>
        <x:v>0</x:v>
      </x:c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28"/>
      <x:c r="R674" s="28"/>
      <x:c r="S674" s="28"/>
      <x:c r="T674" s="28"/>
      <x:c r="U674" s="28"/>
      <x:c r="V674" s="28"/>
      <x:c r="W674" s="43" t="n">
        <x:f>--AND(N674=1,OR(O674="SUPPORTED",O674="HALLUCINATION"))</x:f>
        <x:v>0</x:v>
      </x:c>
      <x:c r="X674" s="43" t="n">
        <x:f>--AND(W674=1,O674="HALLUCINATION")</x:f>
        <x:v>0</x:v>
      </x:c>
      <x:c r="Y674" s="43" t="n">
        <x:f>--AND(Q674=1,O674="HALLUCINATION")</x:f>
        <x:v>0</x:v>
      </x:c>
      <x:c r="Z674" s="43" t="n">
        <x:f>--AND(Y674=1,R674=1,S674=1)</x:f>
        <x:v>0</x:v>
      </x:c>
      <x:c r="AC674" t="str">
        <x:f>IF(OR(AA674="",AB674=""),"",--(AA674&lt;&gt;AB674))</x:f>
      </x:c>
      <x:c r="AE674" t="str">
        <x:f>IF(OR(AA674="",AB674=""),"PENDING_HUMAN",IF(AA674=AB674,AA674,IF(AD674&lt;&gt;"",AD674,"PENDING_HUMAN")))</x:f>
        <x:v>PENDING_HUMAN</x:v>
      </x:c>
      <x:c r="AF674" t="n">
        <x:f>--AND(A674&lt;&gt;"",AA674&lt;&gt;"",AB674&lt;&gt;"",OR(AA674=AB674,AD674&lt;&gt;""),IF(AE674="HALLUCINATION",U674&lt;&gt;"",TRUE))</x:f>
        <x:v>0</x:v>
      </x:c>
      <x:c r="AG674" t="n">
        <x:f>--AND(N674=1,AF674=1,OR(AE674="SUPPORTED",AE674="HALLUCINATION"))</x:f>
        <x:v>0</x:v>
      </x:c>
      <x:c r="AH674" t="n">
        <x:f>--AND(AG674=1,AE674="HALLUCINATION")</x:f>
        <x:v>0</x:v>
      </x:c>
      <x:c r="AI674" t="n">
        <x:f>--AND(Q674=1,AF674=1,AE674="HALLUCINATION")</x:f>
        <x:v>0</x:v>
      </x:c>
      <x:c r="AJ674" t="n">
        <x:f>--AND(AI674=1,R674=1,S674=1)</x:f>
        <x:v>0</x:v>
      </x:c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28"/>
      <x:c r="R675" s="28"/>
      <x:c r="S675" s="28"/>
      <x:c r="T675" s="28"/>
      <x:c r="U675" s="28"/>
      <x:c r="V675" s="28"/>
      <x:c r="W675" s="43" t="n">
        <x:f>--AND(N675=1,OR(O675="SUPPORTED",O675="HALLUCINATION"))</x:f>
        <x:v>0</x:v>
      </x:c>
      <x:c r="X675" s="43" t="n">
        <x:f>--AND(W675=1,O675="HALLUCINATION")</x:f>
        <x:v>0</x:v>
      </x:c>
      <x:c r="Y675" s="43" t="n">
        <x:f>--AND(Q675=1,O675="HALLUCINATION")</x:f>
        <x:v>0</x:v>
      </x:c>
      <x:c r="Z675" s="43" t="n">
        <x:f>--AND(Y675=1,R675=1,S675=1)</x:f>
        <x:v>0</x:v>
      </x:c>
      <x:c r="AC675" t="str">
        <x:f>IF(OR(AA675="",AB675=""),"",--(AA675&lt;&gt;AB675))</x:f>
      </x:c>
      <x:c r="AE675" t="str">
        <x:f>IF(OR(AA675="",AB675=""),"PENDING_HUMAN",IF(AA675=AB675,AA675,IF(AD675&lt;&gt;"",AD675,"PENDING_HUMAN")))</x:f>
        <x:v>PENDING_HUMAN</x:v>
      </x:c>
      <x:c r="AF675" t="n">
        <x:f>--AND(A675&lt;&gt;"",AA675&lt;&gt;"",AB675&lt;&gt;"",OR(AA675=AB675,AD675&lt;&gt;""),IF(AE675="HALLUCINATION",U675&lt;&gt;"",TRUE))</x:f>
        <x:v>0</x:v>
      </x:c>
      <x:c r="AG675" t="n">
        <x:f>--AND(N675=1,AF675=1,OR(AE675="SUPPORTED",AE675="HALLUCINATION"))</x:f>
        <x:v>0</x:v>
      </x:c>
      <x:c r="AH675" t="n">
        <x:f>--AND(AG675=1,AE675="HALLUCINATION")</x:f>
        <x:v>0</x:v>
      </x:c>
      <x:c r="AI675" t="n">
        <x:f>--AND(Q675=1,AF675=1,AE675="HALLUCINATION")</x:f>
        <x:v>0</x:v>
      </x:c>
      <x:c r="AJ675" t="n">
        <x:f>--AND(AI675=1,R675=1,S675=1)</x:f>
        <x:v>0</x:v>
      </x:c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28"/>
      <x:c r="R676" s="28"/>
      <x:c r="S676" s="28"/>
      <x:c r="T676" s="28"/>
      <x:c r="U676" s="28"/>
      <x:c r="V676" s="28"/>
      <x:c r="W676" s="43" t="n">
        <x:f>--AND(N676=1,OR(O676="SUPPORTED",O676="HALLUCINATION"))</x:f>
        <x:v>0</x:v>
      </x:c>
      <x:c r="X676" s="43" t="n">
        <x:f>--AND(W676=1,O676="HALLUCINATION")</x:f>
        <x:v>0</x:v>
      </x:c>
      <x:c r="Y676" s="43" t="n">
        <x:f>--AND(Q676=1,O676="HALLUCINATION")</x:f>
        <x:v>0</x:v>
      </x:c>
      <x:c r="Z676" s="43" t="n">
        <x:f>--AND(Y676=1,R676=1,S676=1)</x:f>
        <x:v>0</x:v>
      </x:c>
      <x:c r="AC676" t="str">
        <x:f>IF(OR(AA676="",AB676=""),"",--(AA676&lt;&gt;AB676))</x:f>
      </x:c>
      <x:c r="AE676" t="str">
        <x:f>IF(OR(AA676="",AB676=""),"PENDING_HUMAN",IF(AA676=AB676,AA676,IF(AD676&lt;&gt;"",AD676,"PENDING_HUMAN")))</x:f>
        <x:v>PENDING_HUMAN</x:v>
      </x:c>
      <x:c r="AF676" t="n">
        <x:f>--AND(A676&lt;&gt;"",AA676&lt;&gt;"",AB676&lt;&gt;"",OR(AA676=AB676,AD676&lt;&gt;""),IF(AE676="HALLUCINATION",U676&lt;&gt;"",TRUE))</x:f>
        <x:v>0</x:v>
      </x:c>
      <x:c r="AG676" t="n">
        <x:f>--AND(N676=1,AF676=1,OR(AE676="SUPPORTED",AE676="HALLUCINATION"))</x:f>
        <x:v>0</x:v>
      </x:c>
      <x:c r="AH676" t="n">
        <x:f>--AND(AG676=1,AE676="HALLUCINATION")</x:f>
        <x:v>0</x:v>
      </x:c>
      <x:c r="AI676" t="n">
        <x:f>--AND(Q676=1,AF676=1,AE676="HALLUCINATION")</x:f>
        <x:v>0</x:v>
      </x:c>
      <x:c r="AJ676" t="n">
        <x:f>--AND(AI676=1,R676=1,S676=1)</x:f>
        <x:v>0</x:v>
      </x:c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28"/>
      <x:c r="R677" s="28"/>
      <x:c r="S677" s="28"/>
      <x:c r="T677" s="28"/>
      <x:c r="U677" s="28"/>
      <x:c r="V677" s="28"/>
      <x:c r="W677" s="43" t="n">
        <x:f>--AND(N677=1,OR(O677="SUPPORTED",O677="HALLUCINATION"))</x:f>
        <x:v>0</x:v>
      </x:c>
      <x:c r="X677" s="43" t="n">
        <x:f>--AND(W677=1,O677="HALLUCINATION")</x:f>
        <x:v>0</x:v>
      </x:c>
      <x:c r="Y677" s="43" t="n">
        <x:f>--AND(Q677=1,O677="HALLUCINATION")</x:f>
        <x:v>0</x:v>
      </x:c>
      <x:c r="Z677" s="43" t="n">
        <x:f>--AND(Y677=1,R677=1,S677=1)</x:f>
        <x:v>0</x:v>
      </x:c>
      <x:c r="AC677" t="str">
        <x:f>IF(OR(AA677="",AB677=""),"",--(AA677&lt;&gt;AB677))</x:f>
      </x:c>
      <x:c r="AE677" t="str">
        <x:f>IF(OR(AA677="",AB677=""),"PENDING_HUMAN",IF(AA677=AB677,AA677,IF(AD677&lt;&gt;"",AD677,"PENDING_HUMAN")))</x:f>
        <x:v>PENDING_HUMAN</x:v>
      </x:c>
      <x:c r="AF677" t="n">
        <x:f>--AND(A677&lt;&gt;"",AA677&lt;&gt;"",AB677&lt;&gt;"",OR(AA677=AB677,AD677&lt;&gt;""),IF(AE677="HALLUCINATION",U677&lt;&gt;"",TRUE))</x:f>
        <x:v>0</x:v>
      </x:c>
      <x:c r="AG677" t="n">
        <x:f>--AND(N677=1,AF677=1,OR(AE677="SUPPORTED",AE677="HALLUCINATION"))</x:f>
        <x:v>0</x:v>
      </x:c>
      <x:c r="AH677" t="n">
        <x:f>--AND(AG677=1,AE677="HALLUCINATION")</x:f>
        <x:v>0</x:v>
      </x:c>
      <x:c r="AI677" t="n">
        <x:f>--AND(Q677=1,AF677=1,AE677="HALLUCINATION")</x:f>
        <x:v>0</x:v>
      </x:c>
      <x:c r="AJ677" t="n">
        <x:f>--AND(AI677=1,R677=1,S677=1)</x:f>
        <x:v>0</x:v>
      </x:c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28"/>
      <x:c r="R678" s="28"/>
      <x:c r="S678" s="28"/>
      <x:c r="T678" s="28"/>
      <x:c r="U678" s="28"/>
      <x:c r="V678" s="28"/>
      <x:c r="W678" s="43" t="n">
        <x:f>--AND(N678=1,OR(O678="SUPPORTED",O678="HALLUCINATION"))</x:f>
        <x:v>0</x:v>
      </x:c>
      <x:c r="X678" s="43" t="n">
        <x:f>--AND(W678=1,O678="HALLUCINATION")</x:f>
        <x:v>0</x:v>
      </x:c>
      <x:c r="Y678" s="43" t="n">
        <x:f>--AND(Q678=1,O678="HALLUCINATION")</x:f>
        <x:v>0</x:v>
      </x:c>
      <x:c r="Z678" s="43" t="n">
        <x:f>--AND(Y678=1,R678=1,S678=1)</x:f>
        <x:v>0</x:v>
      </x:c>
      <x:c r="AC678" t="str">
        <x:f>IF(OR(AA678="",AB678=""),"",--(AA678&lt;&gt;AB678))</x:f>
      </x:c>
      <x:c r="AE678" t="str">
        <x:f>IF(OR(AA678="",AB678=""),"PENDING_HUMAN",IF(AA678=AB678,AA678,IF(AD678&lt;&gt;"",AD678,"PENDING_HUMAN")))</x:f>
        <x:v>PENDING_HUMAN</x:v>
      </x:c>
      <x:c r="AF678" t="n">
        <x:f>--AND(A678&lt;&gt;"",AA678&lt;&gt;"",AB678&lt;&gt;"",OR(AA678=AB678,AD678&lt;&gt;""),IF(AE678="HALLUCINATION",U678&lt;&gt;"",TRUE))</x:f>
        <x:v>0</x:v>
      </x:c>
      <x:c r="AG678" t="n">
        <x:f>--AND(N678=1,AF678=1,OR(AE678="SUPPORTED",AE678="HALLUCINATION"))</x:f>
        <x:v>0</x:v>
      </x:c>
      <x:c r="AH678" t="n">
        <x:f>--AND(AG678=1,AE678="HALLUCINATION")</x:f>
        <x:v>0</x:v>
      </x:c>
      <x:c r="AI678" t="n">
        <x:f>--AND(Q678=1,AF678=1,AE678="HALLUCINATION")</x:f>
        <x:v>0</x:v>
      </x:c>
      <x:c r="AJ678" t="n">
        <x:f>--AND(AI678=1,R678=1,S678=1)</x:f>
        <x:v>0</x:v>
      </x:c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28"/>
      <x:c r="R679" s="28"/>
      <x:c r="S679" s="28"/>
      <x:c r="T679" s="28"/>
      <x:c r="U679" s="28"/>
      <x:c r="V679" s="28"/>
      <x:c r="W679" s="43" t="n">
        <x:f>--AND(N679=1,OR(O679="SUPPORTED",O679="HALLUCINATION"))</x:f>
        <x:v>0</x:v>
      </x:c>
      <x:c r="X679" s="43" t="n">
        <x:f>--AND(W679=1,O679="HALLUCINATION")</x:f>
        <x:v>0</x:v>
      </x:c>
      <x:c r="Y679" s="43" t="n">
        <x:f>--AND(Q679=1,O679="HALLUCINATION")</x:f>
        <x:v>0</x:v>
      </x:c>
      <x:c r="Z679" s="43" t="n">
        <x:f>--AND(Y679=1,R679=1,S679=1)</x:f>
        <x:v>0</x:v>
      </x:c>
      <x:c r="AC679" t="str">
        <x:f>IF(OR(AA679="",AB679=""),"",--(AA679&lt;&gt;AB679))</x:f>
      </x:c>
      <x:c r="AE679" t="str">
        <x:f>IF(OR(AA679="",AB679=""),"PENDING_HUMAN",IF(AA679=AB679,AA679,IF(AD679&lt;&gt;"",AD679,"PENDING_HUMAN")))</x:f>
        <x:v>PENDING_HUMAN</x:v>
      </x:c>
      <x:c r="AF679" t="n">
        <x:f>--AND(A679&lt;&gt;"",AA679&lt;&gt;"",AB679&lt;&gt;"",OR(AA679=AB679,AD679&lt;&gt;""),IF(AE679="HALLUCINATION",U679&lt;&gt;"",TRUE))</x:f>
        <x:v>0</x:v>
      </x:c>
      <x:c r="AG679" t="n">
        <x:f>--AND(N679=1,AF679=1,OR(AE679="SUPPORTED",AE679="HALLUCINATION"))</x:f>
        <x:v>0</x:v>
      </x:c>
      <x:c r="AH679" t="n">
        <x:f>--AND(AG679=1,AE679="HALLUCINATION")</x:f>
        <x:v>0</x:v>
      </x:c>
      <x:c r="AI679" t="n">
        <x:f>--AND(Q679=1,AF679=1,AE679="HALLUCINATION")</x:f>
        <x:v>0</x:v>
      </x:c>
      <x:c r="AJ679" t="n">
        <x:f>--AND(AI679=1,R679=1,S679=1)</x:f>
        <x:v>0</x:v>
      </x:c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28"/>
      <x:c r="R680" s="28"/>
      <x:c r="S680" s="28"/>
      <x:c r="T680" s="28"/>
      <x:c r="U680" s="28"/>
      <x:c r="V680" s="28"/>
      <x:c r="W680" s="43" t="n">
        <x:f>--AND(N680=1,OR(O680="SUPPORTED",O680="HALLUCINATION"))</x:f>
        <x:v>0</x:v>
      </x:c>
      <x:c r="X680" s="43" t="n">
        <x:f>--AND(W680=1,O680="HALLUCINATION")</x:f>
        <x:v>0</x:v>
      </x:c>
      <x:c r="Y680" s="43" t="n">
        <x:f>--AND(Q680=1,O680="HALLUCINATION")</x:f>
        <x:v>0</x:v>
      </x:c>
      <x:c r="Z680" s="43" t="n">
        <x:f>--AND(Y680=1,R680=1,S680=1)</x:f>
        <x:v>0</x:v>
      </x:c>
      <x:c r="AC680" t="str">
        <x:f>IF(OR(AA680="",AB680=""),"",--(AA680&lt;&gt;AB680))</x:f>
      </x:c>
      <x:c r="AE680" t="str">
        <x:f>IF(OR(AA680="",AB680=""),"PENDING_HUMAN",IF(AA680=AB680,AA680,IF(AD680&lt;&gt;"",AD680,"PENDING_HUMAN")))</x:f>
        <x:v>PENDING_HUMAN</x:v>
      </x:c>
      <x:c r="AF680" t="n">
        <x:f>--AND(A680&lt;&gt;"",AA680&lt;&gt;"",AB680&lt;&gt;"",OR(AA680=AB680,AD680&lt;&gt;""),IF(AE680="HALLUCINATION",U680&lt;&gt;"",TRUE))</x:f>
        <x:v>0</x:v>
      </x:c>
      <x:c r="AG680" t="n">
        <x:f>--AND(N680=1,AF680=1,OR(AE680="SUPPORTED",AE680="HALLUCINATION"))</x:f>
        <x:v>0</x:v>
      </x:c>
      <x:c r="AH680" t="n">
        <x:f>--AND(AG680=1,AE680="HALLUCINATION")</x:f>
        <x:v>0</x:v>
      </x:c>
      <x:c r="AI680" t="n">
        <x:f>--AND(Q680=1,AF680=1,AE680="HALLUCINATION")</x:f>
        <x:v>0</x:v>
      </x:c>
      <x:c r="AJ680" t="n">
        <x:f>--AND(AI680=1,R680=1,S680=1)</x:f>
        <x:v>0</x:v>
      </x:c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28"/>
      <x:c r="R681" s="28"/>
      <x:c r="S681" s="28"/>
      <x:c r="T681" s="28"/>
      <x:c r="U681" s="28"/>
      <x:c r="V681" s="28"/>
      <x:c r="W681" s="43" t="n">
        <x:f>--AND(N681=1,OR(O681="SUPPORTED",O681="HALLUCINATION"))</x:f>
        <x:v>0</x:v>
      </x:c>
      <x:c r="X681" s="43" t="n">
        <x:f>--AND(W681=1,O681="HALLUCINATION")</x:f>
        <x:v>0</x:v>
      </x:c>
      <x:c r="Y681" s="43" t="n">
        <x:f>--AND(Q681=1,O681="HALLUCINATION")</x:f>
        <x:v>0</x:v>
      </x:c>
      <x:c r="Z681" s="43" t="n">
        <x:f>--AND(Y681=1,R681=1,S681=1)</x:f>
        <x:v>0</x:v>
      </x:c>
      <x:c r="AC681" t="str">
        <x:f>IF(OR(AA681="",AB681=""),"",--(AA681&lt;&gt;AB681))</x:f>
      </x:c>
      <x:c r="AE681" t="str">
        <x:f>IF(OR(AA681="",AB681=""),"PENDING_HUMAN",IF(AA681=AB681,AA681,IF(AD681&lt;&gt;"",AD681,"PENDING_HUMAN")))</x:f>
        <x:v>PENDING_HUMAN</x:v>
      </x:c>
      <x:c r="AF681" t="n">
        <x:f>--AND(A681&lt;&gt;"",AA681&lt;&gt;"",AB681&lt;&gt;"",OR(AA681=AB681,AD681&lt;&gt;""),IF(AE681="HALLUCINATION",U681&lt;&gt;"",TRUE))</x:f>
        <x:v>0</x:v>
      </x:c>
      <x:c r="AG681" t="n">
        <x:f>--AND(N681=1,AF681=1,OR(AE681="SUPPORTED",AE681="HALLUCINATION"))</x:f>
        <x:v>0</x:v>
      </x:c>
      <x:c r="AH681" t="n">
        <x:f>--AND(AG681=1,AE681="HALLUCINATION")</x:f>
        <x:v>0</x:v>
      </x:c>
      <x:c r="AI681" t="n">
        <x:f>--AND(Q681=1,AF681=1,AE681="HALLUCINATION")</x:f>
        <x:v>0</x:v>
      </x:c>
      <x:c r="AJ681" t="n">
        <x:f>--AND(AI681=1,R681=1,S681=1)</x:f>
        <x:v>0</x:v>
      </x:c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28"/>
      <x:c r="R682" s="28"/>
      <x:c r="S682" s="28"/>
      <x:c r="T682" s="28"/>
      <x:c r="U682" s="28"/>
      <x:c r="V682" s="28"/>
      <x:c r="W682" s="43" t="n">
        <x:f>--AND(N682=1,OR(O682="SUPPORTED",O682="HALLUCINATION"))</x:f>
        <x:v>0</x:v>
      </x:c>
      <x:c r="X682" s="43" t="n">
        <x:f>--AND(W682=1,O682="HALLUCINATION")</x:f>
        <x:v>0</x:v>
      </x:c>
      <x:c r="Y682" s="43" t="n">
        <x:f>--AND(Q682=1,O682="HALLUCINATION")</x:f>
        <x:v>0</x:v>
      </x:c>
      <x:c r="Z682" s="43" t="n">
        <x:f>--AND(Y682=1,R682=1,S682=1)</x:f>
        <x:v>0</x:v>
      </x:c>
      <x:c r="AC682" t="str">
        <x:f>IF(OR(AA682="",AB682=""),"",--(AA682&lt;&gt;AB682))</x:f>
      </x:c>
      <x:c r="AE682" t="str">
        <x:f>IF(OR(AA682="",AB682=""),"PENDING_HUMAN",IF(AA682=AB682,AA682,IF(AD682&lt;&gt;"",AD682,"PENDING_HUMAN")))</x:f>
        <x:v>PENDING_HUMAN</x:v>
      </x:c>
      <x:c r="AF682" t="n">
        <x:f>--AND(A682&lt;&gt;"",AA682&lt;&gt;"",AB682&lt;&gt;"",OR(AA682=AB682,AD682&lt;&gt;""),IF(AE682="HALLUCINATION",U682&lt;&gt;"",TRUE))</x:f>
        <x:v>0</x:v>
      </x:c>
      <x:c r="AG682" t="n">
        <x:f>--AND(N682=1,AF682=1,OR(AE682="SUPPORTED",AE682="HALLUCINATION"))</x:f>
        <x:v>0</x:v>
      </x:c>
      <x:c r="AH682" t="n">
        <x:f>--AND(AG682=1,AE682="HALLUCINATION")</x:f>
        <x:v>0</x:v>
      </x:c>
      <x:c r="AI682" t="n">
        <x:f>--AND(Q682=1,AF682=1,AE682="HALLUCINATION")</x:f>
        <x:v>0</x:v>
      </x:c>
      <x:c r="AJ682" t="n">
        <x:f>--AND(AI682=1,R682=1,S682=1)</x:f>
        <x:v>0</x:v>
      </x:c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28"/>
      <x:c r="R683" s="28"/>
      <x:c r="S683" s="28"/>
      <x:c r="T683" s="28"/>
      <x:c r="U683" s="28"/>
      <x:c r="V683" s="28"/>
      <x:c r="W683" s="43" t="n">
        <x:f>--AND(N683=1,OR(O683="SUPPORTED",O683="HALLUCINATION"))</x:f>
        <x:v>0</x:v>
      </x:c>
      <x:c r="X683" s="43" t="n">
        <x:f>--AND(W683=1,O683="HALLUCINATION")</x:f>
        <x:v>0</x:v>
      </x:c>
      <x:c r="Y683" s="43" t="n">
        <x:f>--AND(Q683=1,O683="HALLUCINATION")</x:f>
        <x:v>0</x:v>
      </x:c>
      <x:c r="Z683" s="43" t="n">
        <x:f>--AND(Y683=1,R683=1,S683=1)</x:f>
        <x:v>0</x:v>
      </x:c>
      <x:c r="AC683" t="str">
        <x:f>IF(OR(AA683="",AB683=""),"",--(AA683&lt;&gt;AB683))</x:f>
      </x:c>
      <x:c r="AE683" t="str">
        <x:f>IF(OR(AA683="",AB683=""),"PENDING_HUMAN",IF(AA683=AB683,AA683,IF(AD683&lt;&gt;"",AD683,"PENDING_HUMAN")))</x:f>
        <x:v>PENDING_HUMAN</x:v>
      </x:c>
      <x:c r="AF683" t="n">
        <x:f>--AND(A683&lt;&gt;"",AA683&lt;&gt;"",AB683&lt;&gt;"",OR(AA683=AB683,AD683&lt;&gt;""),IF(AE683="HALLUCINATION",U683&lt;&gt;"",TRUE))</x:f>
        <x:v>0</x:v>
      </x:c>
      <x:c r="AG683" t="n">
        <x:f>--AND(N683=1,AF683=1,OR(AE683="SUPPORTED",AE683="HALLUCINATION"))</x:f>
        <x:v>0</x:v>
      </x:c>
      <x:c r="AH683" t="n">
        <x:f>--AND(AG683=1,AE683="HALLUCINATION")</x:f>
        <x:v>0</x:v>
      </x:c>
      <x:c r="AI683" t="n">
        <x:f>--AND(Q683=1,AF683=1,AE683="HALLUCINATION")</x:f>
        <x:v>0</x:v>
      </x:c>
      <x:c r="AJ683" t="n">
        <x:f>--AND(AI683=1,R683=1,S683=1)</x:f>
        <x:v>0</x:v>
      </x:c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28"/>
      <x:c r="R684" s="28"/>
      <x:c r="S684" s="28"/>
      <x:c r="T684" s="28"/>
      <x:c r="U684" s="28"/>
      <x:c r="V684" s="28"/>
      <x:c r="W684" s="43" t="n">
        <x:f>--AND(N684=1,OR(O684="SUPPORTED",O684="HALLUCINATION"))</x:f>
        <x:v>0</x:v>
      </x:c>
      <x:c r="X684" s="43" t="n">
        <x:f>--AND(W684=1,O684="HALLUCINATION")</x:f>
        <x:v>0</x:v>
      </x:c>
      <x:c r="Y684" s="43" t="n">
        <x:f>--AND(Q684=1,O684="HALLUCINATION")</x:f>
        <x:v>0</x:v>
      </x:c>
      <x:c r="Z684" s="43" t="n">
        <x:f>--AND(Y684=1,R684=1,S684=1)</x:f>
        <x:v>0</x:v>
      </x:c>
      <x:c r="AC684" t="str">
        <x:f>IF(OR(AA684="",AB684=""),"",--(AA684&lt;&gt;AB684))</x:f>
      </x:c>
      <x:c r="AE684" t="str">
        <x:f>IF(OR(AA684="",AB684=""),"PENDING_HUMAN",IF(AA684=AB684,AA684,IF(AD684&lt;&gt;"",AD684,"PENDING_HUMAN")))</x:f>
        <x:v>PENDING_HUMAN</x:v>
      </x:c>
      <x:c r="AF684" t="n">
        <x:f>--AND(A684&lt;&gt;"",AA684&lt;&gt;"",AB684&lt;&gt;"",OR(AA684=AB684,AD684&lt;&gt;""),IF(AE684="HALLUCINATION",U684&lt;&gt;"",TRUE))</x:f>
        <x:v>0</x:v>
      </x:c>
      <x:c r="AG684" t="n">
        <x:f>--AND(N684=1,AF684=1,OR(AE684="SUPPORTED",AE684="HALLUCINATION"))</x:f>
        <x:v>0</x:v>
      </x:c>
      <x:c r="AH684" t="n">
        <x:f>--AND(AG684=1,AE684="HALLUCINATION")</x:f>
        <x:v>0</x:v>
      </x:c>
      <x:c r="AI684" t="n">
        <x:f>--AND(Q684=1,AF684=1,AE684="HALLUCINATION")</x:f>
        <x:v>0</x:v>
      </x:c>
      <x:c r="AJ684" t="n">
        <x:f>--AND(AI684=1,R684=1,S684=1)</x:f>
        <x:v>0</x:v>
      </x:c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28"/>
      <x:c r="R685" s="28"/>
      <x:c r="S685" s="28"/>
      <x:c r="T685" s="28"/>
      <x:c r="U685" s="28"/>
      <x:c r="V685" s="28"/>
      <x:c r="W685" s="43" t="n">
        <x:f>--AND(N685=1,OR(O685="SUPPORTED",O685="HALLUCINATION"))</x:f>
        <x:v>0</x:v>
      </x:c>
      <x:c r="X685" s="43" t="n">
        <x:f>--AND(W685=1,O685="HALLUCINATION")</x:f>
        <x:v>0</x:v>
      </x:c>
      <x:c r="Y685" s="43" t="n">
        <x:f>--AND(Q685=1,O685="HALLUCINATION")</x:f>
        <x:v>0</x:v>
      </x:c>
      <x:c r="Z685" s="43" t="n">
        <x:f>--AND(Y685=1,R685=1,S685=1)</x:f>
        <x:v>0</x:v>
      </x:c>
      <x:c r="AC685" t="str">
        <x:f>IF(OR(AA685="",AB685=""),"",--(AA685&lt;&gt;AB685))</x:f>
      </x:c>
      <x:c r="AE685" t="str">
        <x:f>IF(OR(AA685="",AB685=""),"PENDING_HUMAN",IF(AA685=AB685,AA685,IF(AD685&lt;&gt;"",AD685,"PENDING_HUMAN")))</x:f>
        <x:v>PENDING_HUMAN</x:v>
      </x:c>
      <x:c r="AF685" t="n">
        <x:f>--AND(A685&lt;&gt;"",AA685&lt;&gt;"",AB685&lt;&gt;"",OR(AA685=AB685,AD685&lt;&gt;""),IF(AE685="HALLUCINATION",U685&lt;&gt;"",TRUE))</x:f>
        <x:v>0</x:v>
      </x:c>
      <x:c r="AG685" t="n">
        <x:f>--AND(N685=1,AF685=1,OR(AE685="SUPPORTED",AE685="HALLUCINATION"))</x:f>
        <x:v>0</x:v>
      </x:c>
      <x:c r="AH685" t="n">
        <x:f>--AND(AG685=1,AE685="HALLUCINATION")</x:f>
        <x:v>0</x:v>
      </x:c>
      <x:c r="AI685" t="n">
        <x:f>--AND(Q685=1,AF685=1,AE685="HALLUCINATION")</x:f>
        <x:v>0</x:v>
      </x:c>
      <x:c r="AJ685" t="n">
        <x:f>--AND(AI685=1,R685=1,S685=1)</x:f>
        <x:v>0</x:v>
      </x:c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28"/>
      <x:c r="R686" s="28"/>
      <x:c r="S686" s="28"/>
      <x:c r="T686" s="28"/>
      <x:c r="U686" s="28"/>
      <x:c r="V686" s="28"/>
      <x:c r="W686" s="43" t="n">
        <x:f>--AND(N686=1,OR(O686="SUPPORTED",O686="HALLUCINATION"))</x:f>
        <x:v>0</x:v>
      </x:c>
      <x:c r="X686" s="43" t="n">
        <x:f>--AND(W686=1,O686="HALLUCINATION")</x:f>
        <x:v>0</x:v>
      </x:c>
      <x:c r="Y686" s="43" t="n">
        <x:f>--AND(Q686=1,O686="HALLUCINATION")</x:f>
        <x:v>0</x:v>
      </x:c>
      <x:c r="Z686" s="43" t="n">
        <x:f>--AND(Y686=1,R686=1,S686=1)</x:f>
        <x:v>0</x:v>
      </x:c>
      <x:c r="AC686" t="str">
        <x:f>IF(OR(AA686="",AB686=""),"",--(AA686&lt;&gt;AB686))</x:f>
      </x:c>
      <x:c r="AE686" t="str">
        <x:f>IF(OR(AA686="",AB686=""),"PENDING_HUMAN",IF(AA686=AB686,AA686,IF(AD686&lt;&gt;"",AD686,"PENDING_HUMAN")))</x:f>
        <x:v>PENDING_HUMAN</x:v>
      </x:c>
      <x:c r="AF686" t="n">
        <x:f>--AND(A686&lt;&gt;"",AA686&lt;&gt;"",AB686&lt;&gt;"",OR(AA686=AB686,AD686&lt;&gt;""),IF(AE686="HALLUCINATION",U686&lt;&gt;"",TRUE))</x:f>
        <x:v>0</x:v>
      </x:c>
      <x:c r="AG686" t="n">
        <x:f>--AND(N686=1,AF686=1,OR(AE686="SUPPORTED",AE686="HALLUCINATION"))</x:f>
        <x:v>0</x:v>
      </x:c>
      <x:c r="AH686" t="n">
        <x:f>--AND(AG686=1,AE686="HALLUCINATION")</x:f>
        <x:v>0</x:v>
      </x:c>
      <x:c r="AI686" t="n">
        <x:f>--AND(Q686=1,AF686=1,AE686="HALLUCINATION")</x:f>
        <x:v>0</x:v>
      </x:c>
      <x:c r="AJ686" t="n">
        <x:f>--AND(AI686=1,R686=1,S686=1)</x:f>
        <x:v>0</x:v>
      </x:c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28"/>
      <x:c r="R687" s="28"/>
      <x:c r="S687" s="28"/>
      <x:c r="T687" s="28"/>
      <x:c r="U687" s="28"/>
      <x:c r="V687" s="28"/>
      <x:c r="W687" s="43" t="n">
        <x:f>--AND(N687=1,OR(O687="SUPPORTED",O687="HALLUCINATION"))</x:f>
        <x:v>0</x:v>
      </x:c>
      <x:c r="X687" s="43" t="n">
        <x:f>--AND(W687=1,O687="HALLUCINATION")</x:f>
        <x:v>0</x:v>
      </x:c>
      <x:c r="Y687" s="43" t="n">
        <x:f>--AND(Q687=1,O687="HALLUCINATION")</x:f>
        <x:v>0</x:v>
      </x:c>
      <x:c r="Z687" s="43" t="n">
        <x:f>--AND(Y687=1,R687=1,S687=1)</x:f>
        <x:v>0</x:v>
      </x:c>
      <x:c r="AC687" t="str">
        <x:f>IF(OR(AA687="",AB687=""),"",--(AA687&lt;&gt;AB687))</x:f>
      </x:c>
      <x:c r="AE687" t="str">
        <x:f>IF(OR(AA687="",AB687=""),"PENDING_HUMAN",IF(AA687=AB687,AA687,IF(AD687&lt;&gt;"",AD687,"PENDING_HUMAN")))</x:f>
        <x:v>PENDING_HUMAN</x:v>
      </x:c>
      <x:c r="AF687" t="n">
        <x:f>--AND(A687&lt;&gt;"",AA687&lt;&gt;"",AB687&lt;&gt;"",OR(AA687=AB687,AD687&lt;&gt;""),IF(AE687="HALLUCINATION",U687&lt;&gt;"",TRUE))</x:f>
        <x:v>0</x:v>
      </x:c>
      <x:c r="AG687" t="n">
        <x:f>--AND(N687=1,AF687=1,OR(AE687="SUPPORTED",AE687="HALLUCINATION"))</x:f>
        <x:v>0</x:v>
      </x:c>
      <x:c r="AH687" t="n">
        <x:f>--AND(AG687=1,AE687="HALLUCINATION")</x:f>
        <x:v>0</x:v>
      </x:c>
      <x:c r="AI687" t="n">
        <x:f>--AND(Q687=1,AF687=1,AE687="HALLUCINATION")</x:f>
        <x:v>0</x:v>
      </x:c>
      <x:c r="AJ687" t="n">
        <x:f>--AND(AI687=1,R687=1,S687=1)</x:f>
        <x:v>0</x:v>
      </x:c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28"/>
      <x:c r="R688" s="28"/>
      <x:c r="S688" s="28"/>
      <x:c r="T688" s="28"/>
      <x:c r="U688" s="28"/>
      <x:c r="V688" s="28"/>
      <x:c r="W688" s="43" t="n">
        <x:f>--AND(N688=1,OR(O688="SUPPORTED",O688="HALLUCINATION"))</x:f>
        <x:v>0</x:v>
      </x:c>
      <x:c r="X688" s="43" t="n">
        <x:f>--AND(W688=1,O688="HALLUCINATION")</x:f>
        <x:v>0</x:v>
      </x:c>
      <x:c r="Y688" s="43" t="n">
        <x:f>--AND(Q688=1,O688="HALLUCINATION")</x:f>
        <x:v>0</x:v>
      </x:c>
      <x:c r="Z688" s="43" t="n">
        <x:f>--AND(Y688=1,R688=1,S688=1)</x:f>
        <x:v>0</x:v>
      </x:c>
      <x:c r="AC688" t="str">
        <x:f>IF(OR(AA688="",AB688=""),"",--(AA688&lt;&gt;AB688))</x:f>
      </x:c>
      <x:c r="AE688" t="str">
        <x:f>IF(OR(AA688="",AB688=""),"PENDING_HUMAN",IF(AA688=AB688,AA688,IF(AD688&lt;&gt;"",AD688,"PENDING_HUMAN")))</x:f>
        <x:v>PENDING_HUMAN</x:v>
      </x:c>
      <x:c r="AF688" t="n">
        <x:f>--AND(A688&lt;&gt;"",AA688&lt;&gt;"",AB688&lt;&gt;"",OR(AA688=AB688,AD688&lt;&gt;""),IF(AE688="HALLUCINATION",U688&lt;&gt;"",TRUE))</x:f>
        <x:v>0</x:v>
      </x:c>
      <x:c r="AG688" t="n">
        <x:f>--AND(N688=1,AF688=1,OR(AE688="SUPPORTED",AE688="HALLUCINATION"))</x:f>
        <x:v>0</x:v>
      </x:c>
      <x:c r="AH688" t="n">
        <x:f>--AND(AG688=1,AE688="HALLUCINATION")</x:f>
        <x:v>0</x:v>
      </x:c>
      <x:c r="AI688" t="n">
        <x:f>--AND(Q688=1,AF688=1,AE688="HALLUCINATION")</x:f>
        <x:v>0</x:v>
      </x:c>
      <x:c r="AJ688" t="n">
        <x:f>--AND(AI688=1,R688=1,S688=1)</x:f>
        <x:v>0</x:v>
      </x:c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28"/>
      <x:c r="R689" s="28"/>
      <x:c r="S689" s="28"/>
      <x:c r="T689" s="28"/>
      <x:c r="U689" s="28"/>
      <x:c r="V689" s="28"/>
      <x:c r="W689" s="43" t="n">
        <x:f>--AND(N689=1,OR(O689="SUPPORTED",O689="HALLUCINATION"))</x:f>
        <x:v>0</x:v>
      </x:c>
      <x:c r="X689" s="43" t="n">
        <x:f>--AND(W689=1,O689="HALLUCINATION")</x:f>
        <x:v>0</x:v>
      </x:c>
      <x:c r="Y689" s="43" t="n">
        <x:f>--AND(Q689=1,O689="HALLUCINATION")</x:f>
        <x:v>0</x:v>
      </x:c>
      <x:c r="Z689" s="43" t="n">
        <x:f>--AND(Y689=1,R689=1,S689=1)</x:f>
        <x:v>0</x:v>
      </x:c>
      <x:c r="AC689" t="str">
        <x:f>IF(OR(AA689="",AB689=""),"",--(AA689&lt;&gt;AB689))</x:f>
      </x:c>
      <x:c r="AE689" t="str">
        <x:f>IF(OR(AA689="",AB689=""),"PENDING_HUMAN",IF(AA689=AB689,AA689,IF(AD689&lt;&gt;"",AD689,"PENDING_HUMAN")))</x:f>
        <x:v>PENDING_HUMAN</x:v>
      </x:c>
      <x:c r="AF689" t="n">
        <x:f>--AND(A689&lt;&gt;"",AA689&lt;&gt;"",AB689&lt;&gt;"",OR(AA689=AB689,AD689&lt;&gt;""),IF(AE689="HALLUCINATION",U689&lt;&gt;"",TRUE))</x:f>
        <x:v>0</x:v>
      </x:c>
      <x:c r="AG689" t="n">
        <x:f>--AND(N689=1,AF689=1,OR(AE689="SUPPORTED",AE689="HALLUCINATION"))</x:f>
        <x:v>0</x:v>
      </x:c>
      <x:c r="AH689" t="n">
        <x:f>--AND(AG689=1,AE689="HALLUCINATION")</x:f>
        <x:v>0</x:v>
      </x:c>
      <x:c r="AI689" t="n">
        <x:f>--AND(Q689=1,AF689=1,AE689="HALLUCINATION")</x:f>
        <x:v>0</x:v>
      </x:c>
      <x:c r="AJ689" t="n">
        <x:f>--AND(AI689=1,R689=1,S689=1)</x:f>
        <x:v>0</x:v>
      </x:c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28"/>
      <x:c r="R690" s="28"/>
      <x:c r="S690" s="28"/>
      <x:c r="T690" s="28"/>
      <x:c r="U690" s="28"/>
      <x:c r="V690" s="28"/>
      <x:c r="W690" s="43" t="n">
        <x:f>--AND(N690=1,OR(O690="SUPPORTED",O690="HALLUCINATION"))</x:f>
        <x:v>0</x:v>
      </x:c>
      <x:c r="X690" s="43" t="n">
        <x:f>--AND(W690=1,O690="HALLUCINATION")</x:f>
        <x:v>0</x:v>
      </x:c>
      <x:c r="Y690" s="43" t="n">
        <x:f>--AND(Q690=1,O690="HALLUCINATION")</x:f>
        <x:v>0</x:v>
      </x:c>
      <x:c r="Z690" s="43" t="n">
        <x:f>--AND(Y690=1,R690=1,S690=1)</x:f>
        <x:v>0</x:v>
      </x:c>
      <x:c r="AC690" t="str">
        <x:f>IF(OR(AA690="",AB690=""),"",--(AA690&lt;&gt;AB690))</x:f>
      </x:c>
      <x:c r="AE690" t="str">
        <x:f>IF(OR(AA690="",AB690=""),"PENDING_HUMAN",IF(AA690=AB690,AA690,IF(AD690&lt;&gt;"",AD690,"PENDING_HUMAN")))</x:f>
        <x:v>PENDING_HUMAN</x:v>
      </x:c>
      <x:c r="AF690" t="n">
        <x:f>--AND(A690&lt;&gt;"",AA690&lt;&gt;"",AB690&lt;&gt;"",OR(AA690=AB690,AD690&lt;&gt;""),IF(AE690="HALLUCINATION",U690&lt;&gt;"",TRUE))</x:f>
        <x:v>0</x:v>
      </x:c>
      <x:c r="AG690" t="n">
        <x:f>--AND(N690=1,AF690=1,OR(AE690="SUPPORTED",AE690="HALLUCINATION"))</x:f>
        <x:v>0</x:v>
      </x:c>
      <x:c r="AH690" t="n">
        <x:f>--AND(AG690=1,AE690="HALLUCINATION")</x:f>
        <x:v>0</x:v>
      </x:c>
      <x:c r="AI690" t="n">
        <x:f>--AND(Q690=1,AF690=1,AE690="HALLUCINATION")</x:f>
        <x:v>0</x:v>
      </x:c>
      <x:c r="AJ690" t="n">
        <x:f>--AND(AI690=1,R690=1,S690=1)</x:f>
        <x:v>0</x:v>
      </x:c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28"/>
      <x:c r="R691" s="28"/>
      <x:c r="S691" s="28"/>
      <x:c r="T691" s="28"/>
      <x:c r="U691" s="28"/>
      <x:c r="V691" s="28"/>
      <x:c r="W691" s="43" t="n">
        <x:f>--AND(N691=1,OR(O691="SUPPORTED",O691="HALLUCINATION"))</x:f>
        <x:v>0</x:v>
      </x:c>
      <x:c r="X691" s="43" t="n">
        <x:f>--AND(W691=1,O691="HALLUCINATION")</x:f>
        <x:v>0</x:v>
      </x:c>
      <x:c r="Y691" s="43" t="n">
        <x:f>--AND(Q691=1,O691="HALLUCINATION")</x:f>
        <x:v>0</x:v>
      </x:c>
      <x:c r="Z691" s="43" t="n">
        <x:f>--AND(Y691=1,R691=1,S691=1)</x:f>
        <x:v>0</x:v>
      </x:c>
      <x:c r="AC691" t="str">
        <x:f>IF(OR(AA691="",AB691=""),"",--(AA691&lt;&gt;AB691))</x:f>
      </x:c>
      <x:c r="AE691" t="str">
        <x:f>IF(OR(AA691="",AB691=""),"PENDING_HUMAN",IF(AA691=AB691,AA691,IF(AD691&lt;&gt;"",AD691,"PENDING_HUMAN")))</x:f>
        <x:v>PENDING_HUMAN</x:v>
      </x:c>
      <x:c r="AF691" t="n">
        <x:f>--AND(A691&lt;&gt;"",AA691&lt;&gt;"",AB691&lt;&gt;"",OR(AA691=AB691,AD691&lt;&gt;""),IF(AE691="HALLUCINATION",U691&lt;&gt;"",TRUE))</x:f>
        <x:v>0</x:v>
      </x:c>
      <x:c r="AG691" t="n">
        <x:f>--AND(N691=1,AF691=1,OR(AE691="SUPPORTED",AE691="HALLUCINATION"))</x:f>
        <x:v>0</x:v>
      </x:c>
      <x:c r="AH691" t="n">
        <x:f>--AND(AG691=1,AE691="HALLUCINATION")</x:f>
        <x:v>0</x:v>
      </x:c>
      <x:c r="AI691" t="n">
        <x:f>--AND(Q691=1,AF691=1,AE691="HALLUCINATION")</x:f>
        <x:v>0</x:v>
      </x:c>
      <x:c r="AJ691" t="n">
        <x:f>--AND(AI691=1,R691=1,S691=1)</x:f>
        <x:v>0</x:v>
      </x:c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28"/>
      <x:c r="R692" s="28"/>
      <x:c r="S692" s="28"/>
      <x:c r="T692" s="28"/>
      <x:c r="U692" s="28"/>
      <x:c r="V692" s="28"/>
      <x:c r="W692" s="43" t="n">
        <x:f>--AND(N692=1,OR(O692="SUPPORTED",O692="HALLUCINATION"))</x:f>
        <x:v>0</x:v>
      </x:c>
      <x:c r="X692" s="43" t="n">
        <x:f>--AND(W692=1,O692="HALLUCINATION")</x:f>
        <x:v>0</x:v>
      </x:c>
      <x:c r="Y692" s="43" t="n">
        <x:f>--AND(Q692=1,O692="HALLUCINATION")</x:f>
        <x:v>0</x:v>
      </x:c>
      <x:c r="Z692" s="43" t="n">
        <x:f>--AND(Y692=1,R692=1,S692=1)</x:f>
        <x:v>0</x:v>
      </x:c>
      <x:c r="AC692" t="str">
        <x:f>IF(OR(AA692="",AB692=""),"",--(AA692&lt;&gt;AB692))</x:f>
      </x:c>
      <x:c r="AE692" t="str">
        <x:f>IF(OR(AA692="",AB692=""),"PENDING_HUMAN",IF(AA692=AB692,AA692,IF(AD692&lt;&gt;"",AD692,"PENDING_HUMAN")))</x:f>
        <x:v>PENDING_HUMAN</x:v>
      </x:c>
      <x:c r="AF692" t="n">
        <x:f>--AND(A692&lt;&gt;"",AA692&lt;&gt;"",AB692&lt;&gt;"",OR(AA692=AB692,AD692&lt;&gt;""),IF(AE692="HALLUCINATION",U692&lt;&gt;"",TRUE))</x:f>
        <x:v>0</x:v>
      </x:c>
      <x:c r="AG692" t="n">
        <x:f>--AND(N692=1,AF692=1,OR(AE692="SUPPORTED",AE692="HALLUCINATION"))</x:f>
        <x:v>0</x:v>
      </x:c>
      <x:c r="AH692" t="n">
        <x:f>--AND(AG692=1,AE692="HALLUCINATION")</x:f>
        <x:v>0</x:v>
      </x:c>
      <x:c r="AI692" t="n">
        <x:f>--AND(Q692=1,AF692=1,AE692="HALLUCINATION")</x:f>
        <x:v>0</x:v>
      </x:c>
      <x:c r="AJ692" t="n">
        <x:f>--AND(AI692=1,R692=1,S692=1)</x:f>
        <x:v>0</x:v>
      </x:c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28"/>
      <x:c r="R693" s="28"/>
      <x:c r="S693" s="28"/>
      <x:c r="T693" s="28"/>
      <x:c r="U693" s="28"/>
      <x:c r="V693" s="28"/>
      <x:c r="W693" s="43" t="n">
        <x:f>--AND(N693=1,OR(O693="SUPPORTED",O693="HALLUCINATION"))</x:f>
        <x:v>0</x:v>
      </x:c>
      <x:c r="X693" s="43" t="n">
        <x:f>--AND(W693=1,O693="HALLUCINATION")</x:f>
        <x:v>0</x:v>
      </x:c>
      <x:c r="Y693" s="43" t="n">
        <x:f>--AND(Q693=1,O693="HALLUCINATION")</x:f>
        <x:v>0</x:v>
      </x:c>
      <x:c r="Z693" s="43" t="n">
        <x:f>--AND(Y693=1,R693=1,S693=1)</x:f>
        <x:v>0</x:v>
      </x:c>
      <x:c r="AC693" t="str">
        <x:f>IF(OR(AA693="",AB693=""),"",--(AA693&lt;&gt;AB693))</x:f>
      </x:c>
      <x:c r="AE693" t="str">
        <x:f>IF(OR(AA693="",AB693=""),"PENDING_HUMAN",IF(AA693=AB693,AA693,IF(AD693&lt;&gt;"",AD693,"PENDING_HUMAN")))</x:f>
        <x:v>PENDING_HUMAN</x:v>
      </x:c>
      <x:c r="AF693" t="n">
        <x:f>--AND(A693&lt;&gt;"",AA693&lt;&gt;"",AB693&lt;&gt;"",OR(AA693=AB693,AD693&lt;&gt;""),IF(AE693="HALLUCINATION",U693&lt;&gt;"",TRUE))</x:f>
        <x:v>0</x:v>
      </x:c>
      <x:c r="AG693" t="n">
        <x:f>--AND(N693=1,AF693=1,OR(AE693="SUPPORTED",AE693="HALLUCINATION"))</x:f>
        <x:v>0</x:v>
      </x:c>
      <x:c r="AH693" t="n">
        <x:f>--AND(AG693=1,AE693="HALLUCINATION")</x:f>
        <x:v>0</x:v>
      </x:c>
      <x:c r="AI693" t="n">
        <x:f>--AND(Q693=1,AF693=1,AE693="HALLUCINATION")</x:f>
        <x:v>0</x:v>
      </x:c>
      <x:c r="AJ693" t="n">
        <x:f>--AND(AI693=1,R693=1,S693=1)</x:f>
        <x:v>0</x:v>
      </x:c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28"/>
      <x:c r="R694" s="28"/>
      <x:c r="S694" s="28"/>
      <x:c r="T694" s="28"/>
      <x:c r="U694" s="28"/>
      <x:c r="V694" s="28"/>
      <x:c r="W694" s="43" t="n">
        <x:f>--AND(N694=1,OR(O694="SUPPORTED",O694="HALLUCINATION"))</x:f>
        <x:v>0</x:v>
      </x:c>
      <x:c r="X694" s="43" t="n">
        <x:f>--AND(W694=1,O694="HALLUCINATION")</x:f>
        <x:v>0</x:v>
      </x:c>
      <x:c r="Y694" s="43" t="n">
        <x:f>--AND(Q694=1,O694="HALLUCINATION")</x:f>
        <x:v>0</x:v>
      </x:c>
      <x:c r="Z694" s="43" t="n">
        <x:f>--AND(Y694=1,R694=1,S694=1)</x:f>
        <x:v>0</x:v>
      </x:c>
      <x:c r="AC694" t="str">
        <x:f>IF(OR(AA694="",AB694=""),"",--(AA694&lt;&gt;AB694))</x:f>
      </x:c>
      <x:c r="AE694" t="str">
        <x:f>IF(OR(AA694="",AB694=""),"PENDING_HUMAN",IF(AA694=AB694,AA694,IF(AD694&lt;&gt;"",AD694,"PENDING_HUMAN")))</x:f>
        <x:v>PENDING_HUMAN</x:v>
      </x:c>
      <x:c r="AF694" t="n">
        <x:f>--AND(A694&lt;&gt;"",AA694&lt;&gt;"",AB694&lt;&gt;"",OR(AA694=AB694,AD694&lt;&gt;""),IF(AE694="HALLUCINATION",U694&lt;&gt;"",TRUE))</x:f>
        <x:v>0</x:v>
      </x:c>
      <x:c r="AG694" t="n">
        <x:f>--AND(N694=1,AF694=1,OR(AE694="SUPPORTED",AE694="HALLUCINATION"))</x:f>
        <x:v>0</x:v>
      </x:c>
      <x:c r="AH694" t="n">
        <x:f>--AND(AG694=1,AE694="HALLUCINATION")</x:f>
        <x:v>0</x:v>
      </x:c>
      <x:c r="AI694" t="n">
        <x:f>--AND(Q694=1,AF694=1,AE694="HALLUCINATION")</x:f>
        <x:v>0</x:v>
      </x:c>
      <x:c r="AJ694" t="n">
        <x:f>--AND(AI694=1,R694=1,S694=1)</x:f>
        <x:v>0</x:v>
      </x:c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28"/>
      <x:c r="R695" s="28"/>
      <x:c r="S695" s="28"/>
      <x:c r="T695" s="28"/>
      <x:c r="U695" s="28"/>
      <x:c r="V695" s="28"/>
      <x:c r="W695" s="43" t="n">
        <x:f>--AND(N695=1,OR(O695="SUPPORTED",O695="HALLUCINATION"))</x:f>
        <x:v>0</x:v>
      </x:c>
      <x:c r="X695" s="43" t="n">
        <x:f>--AND(W695=1,O695="HALLUCINATION")</x:f>
        <x:v>0</x:v>
      </x:c>
      <x:c r="Y695" s="43" t="n">
        <x:f>--AND(Q695=1,O695="HALLUCINATION")</x:f>
        <x:v>0</x:v>
      </x:c>
      <x:c r="Z695" s="43" t="n">
        <x:f>--AND(Y695=1,R695=1,S695=1)</x:f>
        <x:v>0</x:v>
      </x:c>
      <x:c r="AC695" t="str">
        <x:f>IF(OR(AA695="",AB695=""),"",--(AA695&lt;&gt;AB695))</x:f>
      </x:c>
      <x:c r="AE695" t="str">
        <x:f>IF(OR(AA695="",AB695=""),"PENDING_HUMAN",IF(AA695=AB695,AA695,IF(AD695&lt;&gt;"",AD695,"PENDING_HUMAN")))</x:f>
        <x:v>PENDING_HUMAN</x:v>
      </x:c>
      <x:c r="AF695" t="n">
        <x:f>--AND(A695&lt;&gt;"",AA695&lt;&gt;"",AB695&lt;&gt;"",OR(AA695=AB695,AD695&lt;&gt;""),IF(AE695="HALLUCINATION",U695&lt;&gt;"",TRUE))</x:f>
        <x:v>0</x:v>
      </x:c>
      <x:c r="AG695" t="n">
        <x:f>--AND(N695=1,AF695=1,OR(AE695="SUPPORTED",AE695="HALLUCINATION"))</x:f>
        <x:v>0</x:v>
      </x:c>
      <x:c r="AH695" t="n">
        <x:f>--AND(AG695=1,AE695="HALLUCINATION")</x:f>
        <x:v>0</x:v>
      </x:c>
      <x:c r="AI695" t="n">
        <x:f>--AND(Q695=1,AF695=1,AE695="HALLUCINATION")</x:f>
        <x:v>0</x:v>
      </x:c>
      <x:c r="AJ695" t="n">
        <x:f>--AND(AI695=1,R695=1,S695=1)</x:f>
        <x:v>0</x:v>
      </x:c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28"/>
      <x:c r="R696" s="28"/>
      <x:c r="S696" s="28"/>
      <x:c r="T696" s="28"/>
      <x:c r="U696" s="28"/>
      <x:c r="V696" s="28"/>
      <x:c r="W696" s="43" t="n">
        <x:f>--AND(N696=1,OR(O696="SUPPORTED",O696="HALLUCINATION"))</x:f>
        <x:v>0</x:v>
      </x:c>
      <x:c r="X696" s="43" t="n">
        <x:f>--AND(W696=1,O696="HALLUCINATION")</x:f>
        <x:v>0</x:v>
      </x:c>
      <x:c r="Y696" s="43" t="n">
        <x:f>--AND(Q696=1,O696="HALLUCINATION")</x:f>
        <x:v>0</x:v>
      </x:c>
      <x:c r="Z696" s="43" t="n">
        <x:f>--AND(Y696=1,R696=1,S696=1)</x:f>
        <x:v>0</x:v>
      </x:c>
      <x:c r="AC696" t="str">
        <x:f>IF(OR(AA696="",AB696=""),"",--(AA696&lt;&gt;AB696))</x:f>
      </x:c>
      <x:c r="AE696" t="str">
        <x:f>IF(OR(AA696="",AB696=""),"PENDING_HUMAN",IF(AA696=AB696,AA696,IF(AD696&lt;&gt;"",AD696,"PENDING_HUMAN")))</x:f>
        <x:v>PENDING_HUMAN</x:v>
      </x:c>
      <x:c r="AF696" t="n">
        <x:f>--AND(A696&lt;&gt;"",AA696&lt;&gt;"",AB696&lt;&gt;"",OR(AA696=AB696,AD696&lt;&gt;""),IF(AE696="HALLUCINATION",U696&lt;&gt;"",TRUE))</x:f>
        <x:v>0</x:v>
      </x:c>
      <x:c r="AG696" t="n">
        <x:f>--AND(N696=1,AF696=1,OR(AE696="SUPPORTED",AE696="HALLUCINATION"))</x:f>
        <x:v>0</x:v>
      </x:c>
      <x:c r="AH696" t="n">
        <x:f>--AND(AG696=1,AE696="HALLUCINATION")</x:f>
        <x:v>0</x:v>
      </x:c>
      <x:c r="AI696" t="n">
        <x:f>--AND(Q696=1,AF696=1,AE696="HALLUCINATION")</x:f>
        <x:v>0</x:v>
      </x:c>
      <x:c r="AJ696" t="n">
        <x:f>--AND(AI696=1,R696=1,S696=1)</x:f>
        <x:v>0</x:v>
      </x:c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28"/>
      <x:c r="R697" s="28"/>
      <x:c r="S697" s="28"/>
      <x:c r="T697" s="28"/>
      <x:c r="U697" s="28"/>
      <x:c r="V697" s="28"/>
      <x:c r="W697" s="43" t="n">
        <x:f>--AND(N697=1,OR(O697="SUPPORTED",O697="HALLUCINATION"))</x:f>
        <x:v>0</x:v>
      </x:c>
      <x:c r="X697" s="43" t="n">
        <x:f>--AND(W697=1,O697="HALLUCINATION")</x:f>
        <x:v>0</x:v>
      </x:c>
      <x:c r="Y697" s="43" t="n">
        <x:f>--AND(Q697=1,O697="HALLUCINATION")</x:f>
        <x:v>0</x:v>
      </x:c>
      <x:c r="Z697" s="43" t="n">
        <x:f>--AND(Y697=1,R697=1,S697=1)</x:f>
        <x:v>0</x:v>
      </x:c>
      <x:c r="AC697" t="str">
        <x:f>IF(OR(AA697="",AB697=""),"",--(AA697&lt;&gt;AB697))</x:f>
      </x:c>
      <x:c r="AE697" t="str">
        <x:f>IF(OR(AA697="",AB697=""),"PENDING_HUMAN",IF(AA697=AB697,AA697,IF(AD697&lt;&gt;"",AD697,"PENDING_HUMAN")))</x:f>
        <x:v>PENDING_HUMAN</x:v>
      </x:c>
      <x:c r="AF697" t="n">
        <x:f>--AND(A697&lt;&gt;"",AA697&lt;&gt;"",AB697&lt;&gt;"",OR(AA697=AB697,AD697&lt;&gt;""),IF(AE697="HALLUCINATION",U697&lt;&gt;"",TRUE))</x:f>
        <x:v>0</x:v>
      </x:c>
      <x:c r="AG697" t="n">
        <x:f>--AND(N697=1,AF697=1,OR(AE697="SUPPORTED",AE697="HALLUCINATION"))</x:f>
        <x:v>0</x:v>
      </x:c>
      <x:c r="AH697" t="n">
        <x:f>--AND(AG697=1,AE697="HALLUCINATION")</x:f>
        <x:v>0</x:v>
      </x:c>
      <x:c r="AI697" t="n">
        <x:f>--AND(Q697=1,AF697=1,AE697="HALLUCINATION")</x:f>
        <x:v>0</x:v>
      </x:c>
      <x:c r="AJ697" t="n">
        <x:f>--AND(AI697=1,R697=1,S697=1)</x:f>
        <x:v>0</x:v>
      </x:c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28"/>
      <x:c r="R698" s="28"/>
      <x:c r="S698" s="28"/>
      <x:c r="T698" s="28"/>
      <x:c r="U698" s="28"/>
      <x:c r="V698" s="28"/>
      <x:c r="W698" s="43" t="n">
        <x:f>--AND(N698=1,OR(O698="SUPPORTED",O698="HALLUCINATION"))</x:f>
        <x:v>0</x:v>
      </x:c>
      <x:c r="X698" s="43" t="n">
        <x:f>--AND(W698=1,O698="HALLUCINATION")</x:f>
        <x:v>0</x:v>
      </x:c>
      <x:c r="Y698" s="43" t="n">
        <x:f>--AND(Q698=1,O698="HALLUCINATION")</x:f>
        <x:v>0</x:v>
      </x:c>
      <x:c r="Z698" s="43" t="n">
        <x:f>--AND(Y698=1,R698=1,S698=1)</x:f>
        <x:v>0</x:v>
      </x:c>
      <x:c r="AC698" t="str">
        <x:f>IF(OR(AA698="",AB698=""),"",--(AA698&lt;&gt;AB698))</x:f>
      </x:c>
      <x:c r="AE698" t="str">
        <x:f>IF(OR(AA698="",AB698=""),"PENDING_HUMAN",IF(AA698=AB698,AA698,IF(AD698&lt;&gt;"",AD698,"PENDING_HUMAN")))</x:f>
        <x:v>PENDING_HUMAN</x:v>
      </x:c>
      <x:c r="AF698" t="n">
        <x:f>--AND(A698&lt;&gt;"",AA698&lt;&gt;"",AB698&lt;&gt;"",OR(AA698=AB698,AD698&lt;&gt;""),IF(AE698="HALLUCINATION",U698&lt;&gt;"",TRUE))</x:f>
        <x:v>0</x:v>
      </x:c>
      <x:c r="AG698" t="n">
        <x:f>--AND(N698=1,AF698=1,OR(AE698="SUPPORTED",AE698="HALLUCINATION"))</x:f>
        <x:v>0</x:v>
      </x:c>
      <x:c r="AH698" t="n">
        <x:f>--AND(AG698=1,AE698="HALLUCINATION")</x:f>
        <x:v>0</x:v>
      </x:c>
      <x:c r="AI698" t="n">
        <x:f>--AND(Q698=1,AF698=1,AE698="HALLUCINATION")</x:f>
        <x:v>0</x:v>
      </x:c>
      <x:c r="AJ698" t="n">
        <x:f>--AND(AI698=1,R698=1,S698=1)</x:f>
        <x:v>0</x:v>
      </x:c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28"/>
      <x:c r="R699" s="28"/>
      <x:c r="S699" s="28"/>
      <x:c r="T699" s="28"/>
      <x:c r="U699" s="28"/>
      <x:c r="V699" s="28"/>
      <x:c r="W699" s="43" t="n">
        <x:f>--AND(N699=1,OR(O699="SUPPORTED",O699="HALLUCINATION"))</x:f>
        <x:v>0</x:v>
      </x:c>
      <x:c r="X699" s="43" t="n">
        <x:f>--AND(W699=1,O699="HALLUCINATION")</x:f>
        <x:v>0</x:v>
      </x:c>
      <x:c r="Y699" s="43" t="n">
        <x:f>--AND(Q699=1,O699="HALLUCINATION")</x:f>
        <x:v>0</x:v>
      </x:c>
      <x:c r="Z699" s="43" t="n">
        <x:f>--AND(Y699=1,R699=1,S699=1)</x:f>
        <x:v>0</x:v>
      </x:c>
      <x:c r="AC699" t="str">
        <x:f>IF(OR(AA699="",AB699=""),"",--(AA699&lt;&gt;AB699))</x:f>
      </x:c>
      <x:c r="AE699" t="str">
        <x:f>IF(OR(AA699="",AB699=""),"PENDING_HUMAN",IF(AA699=AB699,AA699,IF(AD699&lt;&gt;"",AD699,"PENDING_HUMAN")))</x:f>
        <x:v>PENDING_HUMAN</x:v>
      </x:c>
      <x:c r="AF699" t="n">
        <x:f>--AND(A699&lt;&gt;"",AA699&lt;&gt;"",AB699&lt;&gt;"",OR(AA699=AB699,AD699&lt;&gt;""),IF(AE699="HALLUCINATION",U699&lt;&gt;"",TRUE))</x:f>
        <x:v>0</x:v>
      </x:c>
      <x:c r="AG699" t="n">
        <x:f>--AND(N699=1,AF699=1,OR(AE699="SUPPORTED",AE699="HALLUCINATION"))</x:f>
        <x:v>0</x:v>
      </x:c>
      <x:c r="AH699" t="n">
        <x:f>--AND(AG699=1,AE699="HALLUCINATION")</x:f>
        <x:v>0</x:v>
      </x:c>
      <x:c r="AI699" t="n">
        <x:f>--AND(Q699=1,AF699=1,AE699="HALLUCINATION")</x:f>
        <x:v>0</x:v>
      </x:c>
      <x:c r="AJ699" t="n">
        <x:f>--AND(AI699=1,R699=1,S699=1)</x:f>
        <x:v>0</x:v>
      </x:c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28"/>
      <x:c r="R700" s="28"/>
      <x:c r="S700" s="28"/>
      <x:c r="T700" s="28"/>
      <x:c r="U700" s="28"/>
      <x:c r="V700" s="28"/>
      <x:c r="W700" s="43" t="n">
        <x:f>--AND(N700=1,OR(O700="SUPPORTED",O700="HALLUCINATION"))</x:f>
        <x:v>0</x:v>
      </x:c>
      <x:c r="X700" s="43" t="n">
        <x:f>--AND(W700=1,O700="HALLUCINATION")</x:f>
        <x:v>0</x:v>
      </x:c>
      <x:c r="Y700" s="43" t="n">
        <x:f>--AND(Q700=1,O700="HALLUCINATION")</x:f>
        <x:v>0</x:v>
      </x:c>
      <x:c r="Z700" s="43" t="n">
        <x:f>--AND(Y700=1,R700=1,S700=1)</x:f>
        <x:v>0</x:v>
      </x:c>
      <x:c r="AC700" t="str">
        <x:f>IF(OR(AA700="",AB700=""),"",--(AA700&lt;&gt;AB700))</x:f>
      </x:c>
      <x:c r="AE700" t="str">
        <x:f>IF(OR(AA700="",AB700=""),"PENDING_HUMAN",IF(AA700=AB700,AA700,IF(AD700&lt;&gt;"",AD700,"PENDING_HUMAN")))</x:f>
        <x:v>PENDING_HUMAN</x:v>
      </x:c>
      <x:c r="AF700" t="n">
        <x:f>--AND(A700&lt;&gt;"",AA700&lt;&gt;"",AB700&lt;&gt;"",OR(AA700=AB700,AD700&lt;&gt;""),IF(AE700="HALLUCINATION",U700&lt;&gt;"",TRUE))</x:f>
        <x:v>0</x:v>
      </x:c>
      <x:c r="AG700" t="n">
        <x:f>--AND(N700=1,AF700=1,OR(AE700="SUPPORTED",AE700="HALLUCINATION"))</x:f>
        <x:v>0</x:v>
      </x:c>
      <x:c r="AH700" t="n">
        <x:f>--AND(AG700=1,AE700="HALLUCINATION")</x:f>
        <x:v>0</x:v>
      </x:c>
      <x:c r="AI700" t="n">
        <x:f>--AND(Q700=1,AF700=1,AE700="HALLUCINATION")</x:f>
        <x:v>0</x:v>
      </x:c>
      <x:c r="AJ700" t="n">
        <x:f>--AND(AI700=1,R700=1,S700=1)</x:f>
        <x:v>0</x:v>
      </x:c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28"/>
      <x:c r="R701" s="28"/>
      <x:c r="S701" s="28"/>
      <x:c r="T701" s="28"/>
      <x:c r="U701" s="28"/>
      <x:c r="V701" s="28"/>
      <x:c r="W701" s="43" t="n">
        <x:f>--AND(N701=1,OR(O701="SUPPORTED",O701="HALLUCINATION"))</x:f>
        <x:v>0</x:v>
      </x:c>
      <x:c r="X701" s="43" t="n">
        <x:f>--AND(W701=1,O701="HALLUCINATION")</x:f>
        <x:v>0</x:v>
      </x:c>
      <x:c r="Y701" s="43" t="n">
        <x:f>--AND(Q701=1,O701="HALLUCINATION")</x:f>
        <x:v>0</x:v>
      </x:c>
      <x:c r="Z701" s="43" t="n">
        <x:f>--AND(Y701=1,R701=1,S701=1)</x:f>
        <x:v>0</x:v>
      </x:c>
      <x:c r="AC701" t="str">
        <x:f>IF(OR(AA701="",AB701=""),"",--(AA701&lt;&gt;AB701))</x:f>
      </x:c>
      <x:c r="AE701" t="str">
        <x:f>IF(OR(AA701="",AB701=""),"PENDING_HUMAN",IF(AA701=AB701,AA701,IF(AD701&lt;&gt;"",AD701,"PENDING_HUMAN")))</x:f>
        <x:v>PENDING_HUMAN</x:v>
      </x:c>
      <x:c r="AF701" t="n">
        <x:f>--AND(A701&lt;&gt;"",AA701&lt;&gt;"",AB701&lt;&gt;"",OR(AA701=AB701,AD701&lt;&gt;""),IF(AE701="HALLUCINATION",U701&lt;&gt;"",TRUE))</x:f>
        <x:v>0</x:v>
      </x:c>
      <x:c r="AG701" t="n">
        <x:f>--AND(N701=1,AF701=1,OR(AE701="SUPPORTED",AE701="HALLUCINATION"))</x:f>
        <x:v>0</x:v>
      </x:c>
      <x:c r="AH701" t="n">
        <x:f>--AND(AG701=1,AE701="HALLUCINATION")</x:f>
        <x:v>0</x:v>
      </x:c>
      <x:c r="AI701" t="n">
        <x:f>--AND(Q701=1,AF701=1,AE701="HALLUCINATION")</x:f>
        <x:v>0</x:v>
      </x:c>
      <x:c r="AJ701" t="n">
        <x:f>--AND(AI701=1,R701=1,S701=1)</x:f>
        <x:v>0</x:v>
      </x:c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28"/>
      <x:c r="R702" s="28"/>
      <x:c r="S702" s="28"/>
      <x:c r="T702" s="28"/>
      <x:c r="U702" s="28"/>
      <x:c r="V702" s="28"/>
      <x:c r="W702" s="43" t="n">
        <x:f>--AND(N702=1,OR(O702="SUPPORTED",O702="HALLUCINATION"))</x:f>
        <x:v>0</x:v>
      </x:c>
      <x:c r="X702" s="43" t="n">
        <x:f>--AND(W702=1,O702="HALLUCINATION")</x:f>
        <x:v>0</x:v>
      </x:c>
      <x:c r="Y702" s="43" t="n">
        <x:f>--AND(Q702=1,O702="HALLUCINATION")</x:f>
        <x:v>0</x:v>
      </x:c>
      <x:c r="Z702" s="43" t="n">
        <x:f>--AND(Y702=1,R702=1,S702=1)</x:f>
        <x:v>0</x:v>
      </x:c>
      <x:c r="AC702" t="str">
        <x:f>IF(OR(AA702="",AB702=""),"",--(AA702&lt;&gt;AB702))</x:f>
      </x:c>
      <x:c r="AE702" t="str">
        <x:f>IF(OR(AA702="",AB702=""),"PENDING_HUMAN",IF(AA702=AB702,AA702,IF(AD702&lt;&gt;"",AD702,"PENDING_HUMAN")))</x:f>
        <x:v>PENDING_HUMAN</x:v>
      </x:c>
      <x:c r="AF702" t="n">
        <x:f>--AND(A702&lt;&gt;"",AA702&lt;&gt;"",AB702&lt;&gt;"",OR(AA702=AB702,AD702&lt;&gt;""),IF(AE702="HALLUCINATION",U702&lt;&gt;"",TRUE))</x:f>
        <x:v>0</x:v>
      </x:c>
      <x:c r="AG702" t="n">
        <x:f>--AND(N702=1,AF702=1,OR(AE702="SUPPORTED",AE702="HALLUCINATION"))</x:f>
        <x:v>0</x:v>
      </x:c>
      <x:c r="AH702" t="n">
        <x:f>--AND(AG702=1,AE702="HALLUCINATION")</x:f>
        <x:v>0</x:v>
      </x:c>
      <x:c r="AI702" t="n">
        <x:f>--AND(Q702=1,AF702=1,AE702="HALLUCINATION")</x:f>
        <x:v>0</x:v>
      </x:c>
      <x:c r="AJ702" t="n">
        <x:f>--AND(AI702=1,R702=1,S702=1)</x:f>
        <x:v>0</x:v>
      </x:c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28"/>
      <x:c r="R703" s="28"/>
      <x:c r="S703" s="28"/>
      <x:c r="T703" s="28"/>
      <x:c r="U703" s="28"/>
      <x:c r="V703" s="28"/>
      <x:c r="W703" s="43" t="n">
        <x:f>--AND(N703=1,OR(O703="SUPPORTED",O703="HALLUCINATION"))</x:f>
        <x:v>0</x:v>
      </x:c>
      <x:c r="X703" s="43" t="n">
        <x:f>--AND(W703=1,O703="HALLUCINATION")</x:f>
        <x:v>0</x:v>
      </x:c>
      <x:c r="Y703" s="43" t="n">
        <x:f>--AND(Q703=1,O703="HALLUCINATION")</x:f>
        <x:v>0</x:v>
      </x:c>
      <x:c r="Z703" s="43" t="n">
        <x:f>--AND(Y703=1,R703=1,S703=1)</x:f>
        <x:v>0</x:v>
      </x:c>
      <x:c r="AC703" t="str">
        <x:f>IF(OR(AA703="",AB703=""),"",--(AA703&lt;&gt;AB703))</x:f>
      </x:c>
      <x:c r="AE703" t="str">
        <x:f>IF(OR(AA703="",AB703=""),"PENDING_HUMAN",IF(AA703=AB703,AA703,IF(AD703&lt;&gt;"",AD703,"PENDING_HUMAN")))</x:f>
        <x:v>PENDING_HUMAN</x:v>
      </x:c>
      <x:c r="AF703" t="n">
        <x:f>--AND(A703&lt;&gt;"",AA703&lt;&gt;"",AB703&lt;&gt;"",OR(AA703=AB703,AD703&lt;&gt;""),IF(AE703="HALLUCINATION",U703&lt;&gt;"",TRUE))</x:f>
        <x:v>0</x:v>
      </x:c>
      <x:c r="AG703" t="n">
        <x:f>--AND(N703=1,AF703=1,OR(AE703="SUPPORTED",AE703="HALLUCINATION"))</x:f>
        <x:v>0</x:v>
      </x:c>
      <x:c r="AH703" t="n">
        <x:f>--AND(AG703=1,AE703="HALLUCINATION")</x:f>
        <x:v>0</x:v>
      </x:c>
      <x:c r="AI703" t="n">
        <x:f>--AND(Q703=1,AF703=1,AE703="HALLUCINATION")</x:f>
        <x:v>0</x:v>
      </x:c>
      <x:c r="AJ703" t="n">
        <x:f>--AND(AI703=1,R703=1,S703=1)</x:f>
        <x:v>0</x:v>
      </x:c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28"/>
      <x:c r="R704" s="28"/>
      <x:c r="S704" s="28"/>
      <x:c r="T704" s="28"/>
      <x:c r="U704" s="28"/>
      <x:c r="V704" s="28"/>
      <x:c r="W704" s="43" t="n">
        <x:f>--AND(N704=1,OR(O704="SUPPORTED",O704="HALLUCINATION"))</x:f>
        <x:v>0</x:v>
      </x:c>
      <x:c r="X704" s="43" t="n">
        <x:f>--AND(W704=1,O704="HALLUCINATION")</x:f>
        <x:v>0</x:v>
      </x:c>
      <x:c r="Y704" s="43" t="n">
        <x:f>--AND(Q704=1,O704="HALLUCINATION")</x:f>
        <x:v>0</x:v>
      </x:c>
      <x:c r="Z704" s="43" t="n">
        <x:f>--AND(Y704=1,R704=1,S704=1)</x:f>
        <x:v>0</x:v>
      </x:c>
      <x:c r="AC704" t="str">
        <x:f>IF(OR(AA704="",AB704=""),"",--(AA704&lt;&gt;AB704))</x:f>
      </x:c>
      <x:c r="AE704" t="str">
        <x:f>IF(OR(AA704="",AB704=""),"PENDING_HUMAN",IF(AA704=AB704,AA704,IF(AD704&lt;&gt;"",AD704,"PENDING_HUMAN")))</x:f>
        <x:v>PENDING_HUMAN</x:v>
      </x:c>
      <x:c r="AF704" t="n">
        <x:f>--AND(A704&lt;&gt;"",AA704&lt;&gt;"",AB704&lt;&gt;"",OR(AA704=AB704,AD704&lt;&gt;""),IF(AE704="HALLUCINATION",U704&lt;&gt;"",TRUE))</x:f>
        <x:v>0</x:v>
      </x:c>
      <x:c r="AG704" t="n">
        <x:f>--AND(N704=1,AF704=1,OR(AE704="SUPPORTED",AE704="HALLUCINATION"))</x:f>
        <x:v>0</x:v>
      </x:c>
      <x:c r="AH704" t="n">
        <x:f>--AND(AG704=1,AE704="HALLUCINATION")</x:f>
        <x:v>0</x:v>
      </x:c>
      <x:c r="AI704" t="n">
        <x:f>--AND(Q704=1,AF704=1,AE704="HALLUCINATION")</x:f>
        <x:v>0</x:v>
      </x:c>
      <x:c r="AJ704" t="n">
        <x:f>--AND(AI704=1,R704=1,S704=1)</x:f>
        <x:v>0</x:v>
      </x:c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28"/>
      <x:c r="R705" s="28"/>
      <x:c r="S705" s="28"/>
      <x:c r="T705" s="28"/>
      <x:c r="U705" s="28"/>
      <x:c r="V705" s="28"/>
      <x:c r="W705" s="43" t="n">
        <x:f>--AND(N705=1,OR(O705="SUPPORTED",O705="HALLUCINATION"))</x:f>
        <x:v>0</x:v>
      </x:c>
      <x:c r="X705" s="43" t="n">
        <x:f>--AND(W705=1,O705="HALLUCINATION")</x:f>
        <x:v>0</x:v>
      </x:c>
      <x:c r="Y705" s="43" t="n">
        <x:f>--AND(Q705=1,O705="HALLUCINATION")</x:f>
        <x:v>0</x:v>
      </x:c>
      <x:c r="Z705" s="43" t="n">
        <x:f>--AND(Y705=1,R705=1,S705=1)</x:f>
        <x:v>0</x:v>
      </x:c>
      <x:c r="AC705" t="str">
        <x:f>IF(OR(AA705="",AB705=""),"",--(AA705&lt;&gt;AB705))</x:f>
      </x:c>
      <x:c r="AE705" t="str">
        <x:f>IF(OR(AA705="",AB705=""),"PENDING_HUMAN",IF(AA705=AB705,AA705,IF(AD705&lt;&gt;"",AD705,"PENDING_HUMAN")))</x:f>
        <x:v>PENDING_HUMAN</x:v>
      </x:c>
      <x:c r="AF705" t="n">
        <x:f>--AND(A705&lt;&gt;"",AA705&lt;&gt;"",AB705&lt;&gt;"",OR(AA705=AB705,AD705&lt;&gt;""),IF(AE705="HALLUCINATION",U705&lt;&gt;"",TRUE))</x:f>
        <x:v>0</x:v>
      </x:c>
      <x:c r="AG705" t="n">
        <x:f>--AND(N705=1,AF705=1,OR(AE705="SUPPORTED",AE705="HALLUCINATION"))</x:f>
        <x:v>0</x:v>
      </x:c>
      <x:c r="AH705" t="n">
        <x:f>--AND(AG705=1,AE705="HALLUCINATION")</x:f>
        <x:v>0</x:v>
      </x:c>
      <x:c r="AI705" t="n">
        <x:f>--AND(Q705=1,AF705=1,AE705="HALLUCINATION")</x:f>
        <x:v>0</x:v>
      </x:c>
      <x:c r="AJ705" t="n">
        <x:f>--AND(AI705=1,R705=1,S705=1)</x:f>
        <x:v>0</x:v>
      </x:c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28"/>
      <x:c r="R706" s="28"/>
      <x:c r="S706" s="28"/>
      <x:c r="T706" s="28"/>
      <x:c r="U706" s="28"/>
      <x:c r="V706" s="28"/>
      <x:c r="W706" s="43" t="n">
        <x:f>--AND(N706=1,OR(O706="SUPPORTED",O706="HALLUCINATION"))</x:f>
        <x:v>0</x:v>
      </x:c>
      <x:c r="X706" s="43" t="n">
        <x:f>--AND(W706=1,O706="HALLUCINATION")</x:f>
        <x:v>0</x:v>
      </x:c>
      <x:c r="Y706" s="43" t="n">
        <x:f>--AND(Q706=1,O706="HALLUCINATION")</x:f>
        <x:v>0</x:v>
      </x:c>
      <x:c r="Z706" s="43" t="n">
        <x:f>--AND(Y706=1,R706=1,S706=1)</x:f>
        <x:v>0</x:v>
      </x:c>
      <x:c r="AC706" t="str">
        <x:f>IF(OR(AA706="",AB706=""),"",--(AA706&lt;&gt;AB706))</x:f>
      </x:c>
      <x:c r="AE706" t="str">
        <x:f>IF(OR(AA706="",AB706=""),"PENDING_HUMAN",IF(AA706=AB706,AA706,IF(AD706&lt;&gt;"",AD706,"PENDING_HUMAN")))</x:f>
        <x:v>PENDING_HUMAN</x:v>
      </x:c>
      <x:c r="AF706" t="n">
        <x:f>--AND(A706&lt;&gt;"",AA706&lt;&gt;"",AB706&lt;&gt;"",OR(AA706=AB706,AD706&lt;&gt;""),IF(AE706="HALLUCINATION",U706&lt;&gt;"",TRUE))</x:f>
        <x:v>0</x:v>
      </x:c>
      <x:c r="AG706" t="n">
        <x:f>--AND(N706=1,AF706=1,OR(AE706="SUPPORTED",AE706="HALLUCINATION"))</x:f>
        <x:v>0</x:v>
      </x:c>
      <x:c r="AH706" t="n">
        <x:f>--AND(AG706=1,AE706="HALLUCINATION")</x:f>
        <x:v>0</x:v>
      </x:c>
      <x:c r="AI706" t="n">
        <x:f>--AND(Q706=1,AF706=1,AE706="HALLUCINATION")</x:f>
        <x:v>0</x:v>
      </x:c>
      <x:c r="AJ706" t="n">
        <x:f>--AND(AI706=1,R706=1,S706=1)</x:f>
        <x:v>0</x:v>
      </x:c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28"/>
      <x:c r="R707" s="28"/>
      <x:c r="S707" s="28"/>
      <x:c r="T707" s="28"/>
      <x:c r="U707" s="28"/>
      <x:c r="V707" s="28"/>
      <x:c r="W707" s="43" t="n">
        <x:f>--AND(N707=1,OR(O707="SUPPORTED",O707="HALLUCINATION"))</x:f>
        <x:v>0</x:v>
      </x:c>
      <x:c r="X707" s="43" t="n">
        <x:f>--AND(W707=1,O707="HALLUCINATION")</x:f>
        <x:v>0</x:v>
      </x:c>
      <x:c r="Y707" s="43" t="n">
        <x:f>--AND(Q707=1,O707="HALLUCINATION")</x:f>
        <x:v>0</x:v>
      </x:c>
      <x:c r="Z707" s="43" t="n">
        <x:f>--AND(Y707=1,R707=1,S707=1)</x:f>
        <x:v>0</x:v>
      </x:c>
      <x:c r="AC707" t="str">
        <x:f>IF(OR(AA707="",AB707=""),"",--(AA707&lt;&gt;AB707))</x:f>
      </x:c>
      <x:c r="AE707" t="str">
        <x:f>IF(OR(AA707="",AB707=""),"PENDING_HUMAN",IF(AA707=AB707,AA707,IF(AD707&lt;&gt;"",AD707,"PENDING_HUMAN")))</x:f>
        <x:v>PENDING_HUMAN</x:v>
      </x:c>
      <x:c r="AF707" t="n">
        <x:f>--AND(A707&lt;&gt;"",AA707&lt;&gt;"",AB707&lt;&gt;"",OR(AA707=AB707,AD707&lt;&gt;""),IF(AE707="HALLUCINATION",U707&lt;&gt;"",TRUE))</x:f>
        <x:v>0</x:v>
      </x:c>
      <x:c r="AG707" t="n">
        <x:f>--AND(N707=1,AF707=1,OR(AE707="SUPPORTED",AE707="HALLUCINATION"))</x:f>
        <x:v>0</x:v>
      </x:c>
      <x:c r="AH707" t="n">
        <x:f>--AND(AG707=1,AE707="HALLUCINATION")</x:f>
        <x:v>0</x:v>
      </x:c>
      <x:c r="AI707" t="n">
        <x:f>--AND(Q707=1,AF707=1,AE707="HALLUCINATION")</x:f>
        <x:v>0</x:v>
      </x:c>
      <x:c r="AJ707" t="n">
        <x:f>--AND(AI707=1,R707=1,S707=1)</x:f>
        <x:v>0</x:v>
      </x:c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28"/>
      <x:c r="R708" s="28"/>
      <x:c r="S708" s="28"/>
      <x:c r="T708" s="28"/>
      <x:c r="U708" s="28"/>
      <x:c r="V708" s="28"/>
      <x:c r="W708" s="43" t="n">
        <x:f>--AND(N708=1,OR(O708="SUPPORTED",O708="HALLUCINATION"))</x:f>
        <x:v>0</x:v>
      </x:c>
      <x:c r="X708" s="43" t="n">
        <x:f>--AND(W708=1,O708="HALLUCINATION")</x:f>
        <x:v>0</x:v>
      </x:c>
      <x:c r="Y708" s="43" t="n">
        <x:f>--AND(Q708=1,O708="HALLUCINATION")</x:f>
        <x:v>0</x:v>
      </x:c>
      <x:c r="Z708" s="43" t="n">
        <x:f>--AND(Y708=1,R708=1,S708=1)</x:f>
        <x:v>0</x:v>
      </x:c>
      <x:c r="AC708" t="str">
        <x:f>IF(OR(AA708="",AB708=""),"",--(AA708&lt;&gt;AB708))</x:f>
      </x:c>
      <x:c r="AE708" t="str">
        <x:f>IF(OR(AA708="",AB708=""),"PENDING_HUMAN",IF(AA708=AB708,AA708,IF(AD708&lt;&gt;"",AD708,"PENDING_HUMAN")))</x:f>
        <x:v>PENDING_HUMAN</x:v>
      </x:c>
      <x:c r="AF708" t="n">
        <x:f>--AND(A708&lt;&gt;"",AA708&lt;&gt;"",AB708&lt;&gt;"",OR(AA708=AB708,AD708&lt;&gt;""),IF(AE708="HALLUCINATION",U708&lt;&gt;"",TRUE))</x:f>
        <x:v>0</x:v>
      </x:c>
      <x:c r="AG708" t="n">
        <x:f>--AND(N708=1,AF708=1,OR(AE708="SUPPORTED",AE708="HALLUCINATION"))</x:f>
        <x:v>0</x:v>
      </x:c>
      <x:c r="AH708" t="n">
        <x:f>--AND(AG708=1,AE708="HALLUCINATION")</x:f>
        <x:v>0</x:v>
      </x:c>
      <x:c r="AI708" t="n">
        <x:f>--AND(Q708=1,AF708=1,AE708="HALLUCINATION")</x:f>
        <x:v>0</x:v>
      </x:c>
      <x:c r="AJ708" t="n">
        <x:f>--AND(AI708=1,R708=1,S708=1)</x:f>
        <x:v>0</x:v>
      </x:c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28"/>
      <x:c r="R709" s="28"/>
      <x:c r="S709" s="28"/>
      <x:c r="T709" s="28"/>
      <x:c r="U709" s="28"/>
      <x:c r="V709" s="28"/>
      <x:c r="W709" s="43" t="n">
        <x:f>--AND(N709=1,OR(O709="SUPPORTED",O709="HALLUCINATION"))</x:f>
        <x:v>0</x:v>
      </x:c>
      <x:c r="X709" s="43" t="n">
        <x:f>--AND(W709=1,O709="HALLUCINATION")</x:f>
        <x:v>0</x:v>
      </x:c>
      <x:c r="Y709" s="43" t="n">
        <x:f>--AND(Q709=1,O709="HALLUCINATION")</x:f>
        <x:v>0</x:v>
      </x:c>
      <x:c r="Z709" s="43" t="n">
        <x:f>--AND(Y709=1,R709=1,S709=1)</x:f>
        <x:v>0</x:v>
      </x:c>
      <x:c r="AC709" t="str">
        <x:f>IF(OR(AA709="",AB709=""),"",--(AA709&lt;&gt;AB709))</x:f>
      </x:c>
      <x:c r="AE709" t="str">
        <x:f>IF(OR(AA709="",AB709=""),"PENDING_HUMAN",IF(AA709=AB709,AA709,IF(AD709&lt;&gt;"",AD709,"PENDING_HUMAN")))</x:f>
        <x:v>PENDING_HUMAN</x:v>
      </x:c>
      <x:c r="AF709" t="n">
        <x:f>--AND(A709&lt;&gt;"",AA709&lt;&gt;"",AB709&lt;&gt;"",OR(AA709=AB709,AD709&lt;&gt;""),IF(AE709="HALLUCINATION",U709&lt;&gt;"",TRUE))</x:f>
        <x:v>0</x:v>
      </x:c>
      <x:c r="AG709" t="n">
        <x:f>--AND(N709=1,AF709=1,OR(AE709="SUPPORTED",AE709="HALLUCINATION"))</x:f>
        <x:v>0</x:v>
      </x:c>
      <x:c r="AH709" t="n">
        <x:f>--AND(AG709=1,AE709="HALLUCINATION")</x:f>
        <x:v>0</x:v>
      </x:c>
      <x:c r="AI709" t="n">
        <x:f>--AND(Q709=1,AF709=1,AE709="HALLUCINATION")</x:f>
        <x:v>0</x:v>
      </x:c>
      <x:c r="AJ709" t="n">
        <x:f>--AND(AI709=1,R709=1,S709=1)</x:f>
        <x:v>0</x:v>
      </x:c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28"/>
      <x:c r="R710" s="28"/>
      <x:c r="S710" s="28"/>
      <x:c r="T710" s="28"/>
      <x:c r="U710" s="28"/>
      <x:c r="V710" s="28"/>
      <x:c r="W710" s="43" t="n">
        <x:f>--AND(N710=1,OR(O710="SUPPORTED",O710="HALLUCINATION"))</x:f>
        <x:v>0</x:v>
      </x:c>
      <x:c r="X710" s="43" t="n">
        <x:f>--AND(W710=1,O710="HALLUCINATION")</x:f>
        <x:v>0</x:v>
      </x:c>
      <x:c r="Y710" s="43" t="n">
        <x:f>--AND(Q710=1,O710="HALLUCINATION")</x:f>
        <x:v>0</x:v>
      </x:c>
      <x:c r="Z710" s="43" t="n">
        <x:f>--AND(Y710=1,R710=1,S710=1)</x:f>
        <x:v>0</x:v>
      </x:c>
      <x:c r="AC710" t="str">
        <x:f>IF(OR(AA710="",AB710=""),"",--(AA710&lt;&gt;AB710))</x:f>
      </x:c>
      <x:c r="AE710" t="str">
        <x:f>IF(OR(AA710="",AB710=""),"PENDING_HUMAN",IF(AA710=AB710,AA710,IF(AD710&lt;&gt;"",AD710,"PENDING_HUMAN")))</x:f>
        <x:v>PENDING_HUMAN</x:v>
      </x:c>
      <x:c r="AF710" t="n">
        <x:f>--AND(A710&lt;&gt;"",AA710&lt;&gt;"",AB710&lt;&gt;"",OR(AA710=AB710,AD710&lt;&gt;""),IF(AE710="HALLUCINATION",U710&lt;&gt;"",TRUE))</x:f>
        <x:v>0</x:v>
      </x:c>
      <x:c r="AG710" t="n">
        <x:f>--AND(N710=1,AF710=1,OR(AE710="SUPPORTED",AE710="HALLUCINATION"))</x:f>
        <x:v>0</x:v>
      </x:c>
      <x:c r="AH710" t="n">
        <x:f>--AND(AG710=1,AE710="HALLUCINATION")</x:f>
        <x:v>0</x:v>
      </x:c>
      <x:c r="AI710" t="n">
        <x:f>--AND(Q710=1,AF710=1,AE710="HALLUCINATION")</x:f>
        <x:v>0</x:v>
      </x:c>
      <x:c r="AJ710" t="n">
        <x:f>--AND(AI710=1,R710=1,S710=1)</x:f>
        <x:v>0</x:v>
      </x:c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28"/>
      <x:c r="R711" s="28"/>
      <x:c r="S711" s="28"/>
      <x:c r="T711" s="28"/>
      <x:c r="U711" s="28"/>
      <x:c r="V711" s="28"/>
      <x:c r="W711" s="43" t="n">
        <x:f>--AND(N711=1,OR(O711="SUPPORTED",O711="HALLUCINATION"))</x:f>
        <x:v>0</x:v>
      </x:c>
      <x:c r="X711" s="43" t="n">
        <x:f>--AND(W711=1,O711="HALLUCINATION")</x:f>
        <x:v>0</x:v>
      </x:c>
      <x:c r="Y711" s="43" t="n">
        <x:f>--AND(Q711=1,O711="HALLUCINATION")</x:f>
        <x:v>0</x:v>
      </x:c>
      <x:c r="Z711" s="43" t="n">
        <x:f>--AND(Y711=1,R711=1,S711=1)</x:f>
        <x:v>0</x:v>
      </x:c>
      <x:c r="AC711" t="str">
        <x:f>IF(OR(AA711="",AB711=""),"",--(AA711&lt;&gt;AB711))</x:f>
      </x:c>
      <x:c r="AE711" t="str">
        <x:f>IF(OR(AA711="",AB711=""),"PENDING_HUMAN",IF(AA711=AB711,AA711,IF(AD711&lt;&gt;"",AD711,"PENDING_HUMAN")))</x:f>
        <x:v>PENDING_HUMAN</x:v>
      </x:c>
      <x:c r="AF711" t="n">
        <x:f>--AND(A711&lt;&gt;"",AA711&lt;&gt;"",AB711&lt;&gt;"",OR(AA711=AB711,AD711&lt;&gt;""),IF(AE711="HALLUCINATION",U711&lt;&gt;"",TRUE))</x:f>
        <x:v>0</x:v>
      </x:c>
      <x:c r="AG711" t="n">
        <x:f>--AND(N711=1,AF711=1,OR(AE711="SUPPORTED",AE711="HALLUCINATION"))</x:f>
        <x:v>0</x:v>
      </x:c>
      <x:c r="AH711" t="n">
        <x:f>--AND(AG711=1,AE711="HALLUCINATION")</x:f>
        <x:v>0</x:v>
      </x:c>
      <x:c r="AI711" t="n">
        <x:f>--AND(Q711=1,AF711=1,AE711="HALLUCINATION")</x:f>
        <x:v>0</x:v>
      </x:c>
      <x:c r="AJ711" t="n">
        <x:f>--AND(AI711=1,R711=1,S711=1)</x:f>
        <x:v>0</x:v>
      </x:c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28"/>
      <x:c r="R712" s="28"/>
      <x:c r="S712" s="28"/>
      <x:c r="T712" s="28"/>
      <x:c r="U712" s="28"/>
      <x:c r="V712" s="28"/>
      <x:c r="W712" s="43" t="n">
        <x:f>--AND(N712=1,OR(O712="SUPPORTED",O712="HALLUCINATION"))</x:f>
        <x:v>0</x:v>
      </x:c>
      <x:c r="X712" s="43" t="n">
        <x:f>--AND(W712=1,O712="HALLUCINATION")</x:f>
        <x:v>0</x:v>
      </x:c>
      <x:c r="Y712" s="43" t="n">
        <x:f>--AND(Q712=1,O712="HALLUCINATION")</x:f>
        <x:v>0</x:v>
      </x:c>
      <x:c r="Z712" s="43" t="n">
        <x:f>--AND(Y712=1,R712=1,S712=1)</x:f>
        <x:v>0</x:v>
      </x:c>
      <x:c r="AC712" t="str">
        <x:f>IF(OR(AA712="",AB712=""),"",--(AA712&lt;&gt;AB712))</x:f>
      </x:c>
      <x:c r="AE712" t="str">
        <x:f>IF(OR(AA712="",AB712=""),"PENDING_HUMAN",IF(AA712=AB712,AA712,IF(AD712&lt;&gt;"",AD712,"PENDING_HUMAN")))</x:f>
        <x:v>PENDING_HUMAN</x:v>
      </x:c>
      <x:c r="AF712" t="n">
        <x:f>--AND(A712&lt;&gt;"",AA712&lt;&gt;"",AB712&lt;&gt;"",OR(AA712=AB712,AD712&lt;&gt;""),IF(AE712="HALLUCINATION",U712&lt;&gt;"",TRUE))</x:f>
        <x:v>0</x:v>
      </x:c>
      <x:c r="AG712" t="n">
        <x:f>--AND(N712=1,AF712=1,OR(AE712="SUPPORTED",AE712="HALLUCINATION"))</x:f>
        <x:v>0</x:v>
      </x:c>
      <x:c r="AH712" t="n">
        <x:f>--AND(AG712=1,AE712="HALLUCINATION")</x:f>
        <x:v>0</x:v>
      </x:c>
      <x:c r="AI712" t="n">
        <x:f>--AND(Q712=1,AF712=1,AE712="HALLUCINATION")</x:f>
        <x:v>0</x:v>
      </x:c>
      <x:c r="AJ712" t="n">
        <x:f>--AND(AI712=1,R712=1,S712=1)</x:f>
        <x:v>0</x:v>
      </x:c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28"/>
      <x:c r="R713" s="28"/>
      <x:c r="S713" s="28"/>
      <x:c r="T713" s="28"/>
      <x:c r="U713" s="28"/>
      <x:c r="V713" s="28"/>
      <x:c r="W713" s="43" t="n">
        <x:f>--AND(N713=1,OR(O713="SUPPORTED",O713="HALLUCINATION"))</x:f>
        <x:v>0</x:v>
      </x:c>
      <x:c r="X713" s="43" t="n">
        <x:f>--AND(W713=1,O713="HALLUCINATION")</x:f>
        <x:v>0</x:v>
      </x:c>
      <x:c r="Y713" s="43" t="n">
        <x:f>--AND(Q713=1,O713="HALLUCINATION")</x:f>
        <x:v>0</x:v>
      </x:c>
      <x:c r="Z713" s="43" t="n">
        <x:f>--AND(Y713=1,R713=1,S713=1)</x:f>
        <x:v>0</x:v>
      </x:c>
      <x:c r="AC713" t="str">
        <x:f>IF(OR(AA713="",AB713=""),"",--(AA713&lt;&gt;AB713))</x:f>
      </x:c>
      <x:c r="AE713" t="str">
        <x:f>IF(OR(AA713="",AB713=""),"PENDING_HUMAN",IF(AA713=AB713,AA713,IF(AD713&lt;&gt;"",AD713,"PENDING_HUMAN")))</x:f>
        <x:v>PENDING_HUMAN</x:v>
      </x:c>
      <x:c r="AF713" t="n">
        <x:f>--AND(A713&lt;&gt;"",AA713&lt;&gt;"",AB713&lt;&gt;"",OR(AA713=AB713,AD713&lt;&gt;""),IF(AE713="HALLUCINATION",U713&lt;&gt;"",TRUE))</x:f>
        <x:v>0</x:v>
      </x:c>
      <x:c r="AG713" t="n">
        <x:f>--AND(N713=1,AF713=1,OR(AE713="SUPPORTED",AE713="HALLUCINATION"))</x:f>
        <x:v>0</x:v>
      </x:c>
      <x:c r="AH713" t="n">
        <x:f>--AND(AG713=1,AE713="HALLUCINATION")</x:f>
        <x:v>0</x:v>
      </x:c>
      <x:c r="AI713" t="n">
        <x:f>--AND(Q713=1,AF713=1,AE713="HALLUCINATION")</x:f>
        <x:v>0</x:v>
      </x:c>
      <x:c r="AJ713" t="n">
        <x:f>--AND(AI713=1,R713=1,S713=1)</x:f>
        <x:v>0</x:v>
      </x:c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28"/>
      <x:c r="R714" s="28"/>
      <x:c r="S714" s="28"/>
      <x:c r="T714" s="28"/>
      <x:c r="U714" s="28"/>
      <x:c r="V714" s="28"/>
      <x:c r="W714" s="43" t="n">
        <x:f>--AND(N714=1,OR(O714="SUPPORTED",O714="HALLUCINATION"))</x:f>
        <x:v>0</x:v>
      </x:c>
      <x:c r="X714" s="43" t="n">
        <x:f>--AND(W714=1,O714="HALLUCINATION")</x:f>
        <x:v>0</x:v>
      </x:c>
      <x:c r="Y714" s="43" t="n">
        <x:f>--AND(Q714=1,O714="HALLUCINATION")</x:f>
        <x:v>0</x:v>
      </x:c>
      <x:c r="Z714" s="43" t="n">
        <x:f>--AND(Y714=1,R714=1,S714=1)</x:f>
        <x:v>0</x:v>
      </x:c>
      <x:c r="AC714" t="str">
        <x:f>IF(OR(AA714="",AB714=""),"",--(AA714&lt;&gt;AB714))</x:f>
      </x:c>
      <x:c r="AE714" t="str">
        <x:f>IF(OR(AA714="",AB714=""),"PENDING_HUMAN",IF(AA714=AB714,AA714,IF(AD714&lt;&gt;"",AD714,"PENDING_HUMAN")))</x:f>
        <x:v>PENDING_HUMAN</x:v>
      </x:c>
      <x:c r="AF714" t="n">
        <x:f>--AND(A714&lt;&gt;"",AA714&lt;&gt;"",AB714&lt;&gt;"",OR(AA714=AB714,AD714&lt;&gt;""),IF(AE714="HALLUCINATION",U714&lt;&gt;"",TRUE))</x:f>
        <x:v>0</x:v>
      </x:c>
      <x:c r="AG714" t="n">
        <x:f>--AND(N714=1,AF714=1,OR(AE714="SUPPORTED",AE714="HALLUCINATION"))</x:f>
        <x:v>0</x:v>
      </x:c>
      <x:c r="AH714" t="n">
        <x:f>--AND(AG714=1,AE714="HALLUCINATION")</x:f>
        <x:v>0</x:v>
      </x:c>
      <x:c r="AI714" t="n">
        <x:f>--AND(Q714=1,AF714=1,AE714="HALLUCINATION")</x:f>
        <x:v>0</x:v>
      </x:c>
      <x:c r="AJ714" t="n">
        <x:f>--AND(AI714=1,R714=1,S714=1)</x:f>
        <x:v>0</x:v>
      </x:c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28"/>
      <x:c r="R715" s="28"/>
      <x:c r="S715" s="28"/>
      <x:c r="T715" s="28"/>
      <x:c r="U715" s="28"/>
      <x:c r="V715" s="28"/>
      <x:c r="W715" s="43" t="n">
        <x:f>--AND(N715=1,OR(O715="SUPPORTED",O715="HALLUCINATION"))</x:f>
        <x:v>0</x:v>
      </x:c>
      <x:c r="X715" s="43" t="n">
        <x:f>--AND(W715=1,O715="HALLUCINATION")</x:f>
        <x:v>0</x:v>
      </x:c>
      <x:c r="Y715" s="43" t="n">
        <x:f>--AND(Q715=1,O715="HALLUCINATION")</x:f>
        <x:v>0</x:v>
      </x:c>
      <x:c r="Z715" s="43" t="n">
        <x:f>--AND(Y715=1,R715=1,S715=1)</x:f>
        <x:v>0</x:v>
      </x:c>
      <x:c r="AC715" t="str">
        <x:f>IF(OR(AA715="",AB715=""),"",--(AA715&lt;&gt;AB715))</x:f>
      </x:c>
      <x:c r="AE715" t="str">
        <x:f>IF(OR(AA715="",AB715=""),"PENDING_HUMAN",IF(AA715=AB715,AA715,IF(AD715&lt;&gt;"",AD715,"PENDING_HUMAN")))</x:f>
        <x:v>PENDING_HUMAN</x:v>
      </x:c>
      <x:c r="AF715" t="n">
        <x:f>--AND(A715&lt;&gt;"",AA715&lt;&gt;"",AB715&lt;&gt;"",OR(AA715=AB715,AD715&lt;&gt;""),IF(AE715="HALLUCINATION",U715&lt;&gt;"",TRUE))</x:f>
        <x:v>0</x:v>
      </x:c>
      <x:c r="AG715" t="n">
        <x:f>--AND(N715=1,AF715=1,OR(AE715="SUPPORTED",AE715="HALLUCINATION"))</x:f>
        <x:v>0</x:v>
      </x:c>
      <x:c r="AH715" t="n">
        <x:f>--AND(AG715=1,AE715="HALLUCINATION")</x:f>
        <x:v>0</x:v>
      </x:c>
      <x:c r="AI715" t="n">
        <x:f>--AND(Q715=1,AF715=1,AE715="HALLUCINATION")</x:f>
        <x:v>0</x:v>
      </x:c>
      <x:c r="AJ715" t="n">
        <x:f>--AND(AI715=1,R715=1,S715=1)</x:f>
        <x:v>0</x:v>
      </x:c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28"/>
      <x:c r="R716" s="28"/>
      <x:c r="S716" s="28"/>
      <x:c r="T716" s="28"/>
      <x:c r="U716" s="28"/>
      <x:c r="V716" s="28"/>
      <x:c r="W716" s="43" t="n">
        <x:f>--AND(N716=1,OR(O716="SUPPORTED",O716="HALLUCINATION"))</x:f>
        <x:v>0</x:v>
      </x:c>
      <x:c r="X716" s="43" t="n">
        <x:f>--AND(W716=1,O716="HALLUCINATION")</x:f>
        <x:v>0</x:v>
      </x:c>
      <x:c r="Y716" s="43" t="n">
        <x:f>--AND(Q716=1,O716="HALLUCINATION")</x:f>
        <x:v>0</x:v>
      </x:c>
      <x:c r="Z716" s="43" t="n">
        <x:f>--AND(Y716=1,R716=1,S716=1)</x:f>
        <x:v>0</x:v>
      </x:c>
      <x:c r="AC716" t="str">
        <x:f>IF(OR(AA716="",AB716=""),"",--(AA716&lt;&gt;AB716))</x:f>
      </x:c>
      <x:c r="AE716" t="str">
        <x:f>IF(OR(AA716="",AB716=""),"PENDING_HUMAN",IF(AA716=AB716,AA716,IF(AD716&lt;&gt;"",AD716,"PENDING_HUMAN")))</x:f>
        <x:v>PENDING_HUMAN</x:v>
      </x:c>
      <x:c r="AF716" t="n">
        <x:f>--AND(A716&lt;&gt;"",AA716&lt;&gt;"",AB716&lt;&gt;"",OR(AA716=AB716,AD716&lt;&gt;""),IF(AE716="HALLUCINATION",U716&lt;&gt;"",TRUE))</x:f>
        <x:v>0</x:v>
      </x:c>
      <x:c r="AG716" t="n">
        <x:f>--AND(N716=1,AF716=1,OR(AE716="SUPPORTED",AE716="HALLUCINATION"))</x:f>
        <x:v>0</x:v>
      </x:c>
      <x:c r="AH716" t="n">
        <x:f>--AND(AG716=1,AE716="HALLUCINATION")</x:f>
        <x:v>0</x:v>
      </x:c>
      <x:c r="AI716" t="n">
        <x:f>--AND(Q716=1,AF716=1,AE716="HALLUCINATION")</x:f>
        <x:v>0</x:v>
      </x:c>
      <x:c r="AJ716" t="n">
        <x:f>--AND(AI716=1,R716=1,S716=1)</x:f>
        <x:v>0</x:v>
      </x:c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28"/>
      <x:c r="R717" s="28"/>
      <x:c r="S717" s="28"/>
      <x:c r="T717" s="28"/>
      <x:c r="U717" s="28"/>
      <x:c r="V717" s="28"/>
      <x:c r="W717" s="43" t="n">
        <x:f>--AND(N717=1,OR(O717="SUPPORTED",O717="HALLUCINATION"))</x:f>
        <x:v>0</x:v>
      </x:c>
      <x:c r="X717" s="43" t="n">
        <x:f>--AND(W717=1,O717="HALLUCINATION")</x:f>
        <x:v>0</x:v>
      </x:c>
      <x:c r="Y717" s="43" t="n">
        <x:f>--AND(Q717=1,O717="HALLUCINATION")</x:f>
        <x:v>0</x:v>
      </x:c>
      <x:c r="Z717" s="43" t="n">
        <x:f>--AND(Y717=1,R717=1,S717=1)</x:f>
        <x:v>0</x:v>
      </x:c>
      <x:c r="AC717" t="str">
        <x:f>IF(OR(AA717="",AB717=""),"",--(AA717&lt;&gt;AB717))</x:f>
      </x:c>
      <x:c r="AE717" t="str">
        <x:f>IF(OR(AA717="",AB717=""),"PENDING_HUMAN",IF(AA717=AB717,AA717,IF(AD717&lt;&gt;"",AD717,"PENDING_HUMAN")))</x:f>
        <x:v>PENDING_HUMAN</x:v>
      </x:c>
      <x:c r="AF717" t="n">
        <x:f>--AND(A717&lt;&gt;"",AA717&lt;&gt;"",AB717&lt;&gt;"",OR(AA717=AB717,AD717&lt;&gt;""),IF(AE717="HALLUCINATION",U717&lt;&gt;"",TRUE))</x:f>
        <x:v>0</x:v>
      </x:c>
      <x:c r="AG717" t="n">
        <x:f>--AND(N717=1,AF717=1,OR(AE717="SUPPORTED",AE717="HALLUCINATION"))</x:f>
        <x:v>0</x:v>
      </x:c>
      <x:c r="AH717" t="n">
        <x:f>--AND(AG717=1,AE717="HALLUCINATION")</x:f>
        <x:v>0</x:v>
      </x:c>
      <x:c r="AI717" t="n">
        <x:f>--AND(Q717=1,AF717=1,AE717="HALLUCINATION")</x:f>
        <x:v>0</x:v>
      </x:c>
      <x:c r="AJ717" t="n">
        <x:f>--AND(AI717=1,R717=1,S717=1)</x:f>
        <x:v>0</x:v>
      </x:c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28"/>
      <x:c r="R718" s="28"/>
      <x:c r="S718" s="28"/>
      <x:c r="T718" s="28"/>
      <x:c r="U718" s="28"/>
      <x:c r="V718" s="28"/>
      <x:c r="W718" s="43" t="n">
        <x:f>--AND(N718=1,OR(O718="SUPPORTED",O718="HALLUCINATION"))</x:f>
        <x:v>0</x:v>
      </x:c>
      <x:c r="X718" s="43" t="n">
        <x:f>--AND(W718=1,O718="HALLUCINATION")</x:f>
        <x:v>0</x:v>
      </x:c>
      <x:c r="Y718" s="43" t="n">
        <x:f>--AND(Q718=1,O718="HALLUCINATION")</x:f>
        <x:v>0</x:v>
      </x:c>
      <x:c r="Z718" s="43" t="n">
        <x:f>--AND(Y718=1,R718=1,S718=1)</x:f>
        <x:v>0</x:v>
      </x:c>
      <x:c r="AC718" t="str">
        <x:f>IF(OR(AA718="",AB718=""),"",--(AA718&lt;&gt;AB718))</x:f>
      </x:c>
      <x:c r="AE718" t="str">
        <x:f>IF(OR(AA718="",AB718=""),"PENDING_HUMAN",IF(AA718=AB718,AA718,IF(AD718&lt;&gt;"",AD718,"PENDING_HUMAN")))</x:f>
        <x:v>PENDING_HUMAN</x:v>
      </x:c>
      <x:c r="AF718" t="n">
        <x:f>--AND(A718&lt;&gt;"",AA718&lt;&gt;"",AB718&lt;&gt;"",OR(AA718=AB718,AD718&lt;&gt;""),IF(AE718="HALLUCINATION",U718&lt;&gt;"",TRUE))</x:f>
        <x:v>0</x:v>
      </x:c>
      <x:c r="AG718" t="n">
        <x:f>--AND(N718=1,AF718=1,OR(AE718="SUPPORTED",AE718="HALLUCINATION"))</x:f>
        <x:v>0</x:v>
      </x:c>
      <x:c r="AH718" t="n">
        <x:f>--AND(AG718=1,AE718="HALLUCINATION")</x:f>
        <x:v>0</x:v>
      </x:c>
      <x:c r="AI718" t="n">
        <x:f>--AND(Q718=1,AF718=1,AE718="HALLUCINATION")</x:f>
        <x:v>0</x:v>
      </x:c>
      <x:c r="AJ718" t="n">
        <x:f>--AND(AI718=1,R718=1,S718=1)</x:f>
        <x:v>0</x:v>
      </x:c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28"/>
      <x:c r="R719" s="28"/>
      <x:c r="S719" s="28"/>
      <x:c r="T719" s="28"/>
      <x:c r="U719" s="28"/>
      <x:c r="V719" s="28"/>
      <x:c r="W719" s="43" t="n">
        <x:f>--AND(N719=1,OR(O719="SUPPORTED",O719="HALLUCINATION"))</x:f>
        <x:v>0</x:v>
      </x:c>
      <x:c r="X719" s="43" t="n">
        <x:f>--AND(W719=1,O719="HALLUCINATION")</x:f>
        <x:v>0</x:v>
      </x:c>
      <x:c r="Y719" s="43" t="n">
        <x:f>--AND(Q719=1,O719="HALLUCINATION")</x:f>
        <x:v>0</x:v>
      </x:c>
      <x:c r="Z719" s="43" t="n">
        <x:f>--AND(Y719=1,R719=1,S719=1)</x:f>
        <x:v>0</x:v>
      </x:c>
      <x:c r="AC719" t="str">
        <x:f>IF(OR(AA719="",AB719=""),"",--(AA719&lt;&gt;AB719))</x:f>
      </x:c>
      <x:c r="AE719" t="str">
        <x:f>IF(OR(AA719="",AB719=""),"PENDING_HUMAN",IF(AA719=AB719,AA719,IF(AD719&lt;&gt;"",AD719,"PENDING_HUMAN")))</x:f>
        <x:v>PENDING_HUMAN</x:v>
      </x:c>
      <x:c r="AF719" t="n">
        <x:f>--AND(A719&lt;&gt;"",AA719&lt;&gt;"",AB719&lt;&gt;"",OR(AA719=AB719,AD719&lt;&gt;""),IF(AE719="HALLUCINATION",U719&lt;&gt;"",TRUE))</x:f>
        <x:v>0</x:v>
      </x:c>
      <x:c r="AG719" t="n">
        <x:f>--AND(N719=1,AF719=1,OR(AE719="SUPPORTED",AE719="HALLUCINATION"))</x:f>
        <x:v>0</x:v>
      </x:c>
      <x:c r="AH719" t="n">
        <x:f>--AND(AG719=1,AE719="HALLUCINATION")</x:f>
        <x:v>0</x:v>
      </x:c>
      <x:c r="AI719" t="n">
        <x:f>--AND(Q719=1,AF719=1,AE719="HALLUCINATION")</x:f>
        <x:v>0</x:v>
      </x:c>
      <x:c r="AJ719" t="n">
        <x:f>--AND(AI719=1,R719=1,S719=1)</x:f>
        <x:v>0</x:v>
      </x:c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28"/>
      <x:c r="R720" s="28"/>
      <x:c r="S720" s="28"/>
      <x:c r="T720" s="28"/>
      <x:c r="U720" s="28"/>
      <x:c r="V720" s="28"/>
      <x:c r="W720" s="43" t="n">
        <x:f>--AND(N720=1,OR(O720="SUPPORTED",O720="HALLUCINATION"))</x:f>
        <x:v>0</x:v>
      </x:c>
      <x:c r="X720" s="43" t="n">
        <x:f>--AND(W720=1,O720="HALLUCINATION")</x:f>
        <x:v>0</x:v>
      </x:c>
      <x:c r="Y720" s="43" t="n">
        <x:f>--AND(Q720=1,O720="HALLUCINATION")</x:f>
        <x:v>0</x:v>
      </x:c>
      <x:c r="Z720" s="43" t="n">
        <x:f>--AND(Y720=1,R720=1,S720=1)</x:f>
        <x:v>0</x:v>
      </x:c>
      <x:c r="AC720" t="str">
        <x:f>IF(OR(AA720="",AB720=""),"",--(AA720&lt;&gt;AB720))</x:f>
      </x:c>
      <x:c r="AE720" t="str">
        <x:f>IF(OR(AA720="",AB720=""),"PENDING_HUMAN",IF(AA720=AB720,AA720,IF(AD720&lt;&gt;"",AD720,"PENDING_HUMAN")))</x:f>
        <x:v>PENDING_HUMAN</x:v>
      </x:c>
      <x:c r="AF720" t="n">
        <x:f>--AND(A720&lt;&gt;"",AA720&lt;&gt;"",AB720&lt;&gt;"",OR(AA720=AB720,AD720&lt;&gt;""),IF(AE720="HALLUCINATION",U720&lt;&gt;"",TRUE))</x:f>
        <x:v>0</x:v>
      </x:c>
      <x:c r="AG720" t="n">
        <x:f>--AND(N720=1,AF720=1,OR(AE720="SUPPORTED",AE720="HALLUCINATION"))</x:f>
        <x:v>0</x:v>
      </x:c>
      <x:c r="AH720" t="n">
        <x:f>--AND(AG720=1,AE720="HALLUCINATION")</x:f>
        <x:v>0</x:v>
      </x:c>
      <x:c r="AI720" t="n">
        <x:f>--AND(Q720=1,AF720=1,AE720="HALLUCINATION")</x:f>
        <x:v>0</x:v>
      </x:c>
      <x:c r="AJ720" t="n">
        <x:f>--AND(AI720=1,R720=1,S720=1)</x:f>
        <x:v>0</x:v>
      </x:c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28"/>
      <x:c r="R721" s="28"/>
      <x:c r="S721" s="28"/>
      <x:c r="T721" s="28"/>
      <x:c r="U721" s="28"/>
      <x:c r="V721" s="28"/>
      <x:c r="W721" s="43" t="n">
        <x:f>--AND(N721=1,OR(O721="SUPPORTED",O721="HALLUCINATION"))</x:f>
        <x:v>0</x:v>
      </x:c>
      <x:c r="X721" s="43" t="n">
        <x:f>--AND(W721=1,O721="HALLUCINATION")</x:f>
        <x:v>0</x:v>
      </x:c>
      <x:c r="Y721" s="43" t="n">
        <x:f>--AND(Q721=1,O721="HALLUCINATION")</x:f>
        <x:v>0</x:v>
      </x:c>
      <x:c r="Z721" s="43" t="n">
        <x:f>--AND(Y721=1,R721=1,S721=1)</x:f>
        <x:v>0</x:v>
      </x:c>
      <x:c r="AC721" t="str">
        <x:f>IF(OR(AA721="",AB721=""),"",--(AA721&lt;&gt;AB721))</x:f>
      </x:c>
      <x:c r="AE721" t="str">
        <x:f>IF(OR(AA721="",AB721=""),"PENDING_HUMAN",IF(AA721=AB721,AA721,IF(AD721&lt;&gt;"",AD721,"PENDING_HUMAN")))</x:f>
        <x:v>PENDING_HUMAN</x:v>
      </x:c>
      <x:c r="AF721" t="n">
        <x:f>--AND(A721&lt;&gt;"",AA721&lt;&gt;"",AB721&lt;&gt;"",OR(AA721=AB721,AD721&lt;&gt;""),IF(AE721="HALLUCINATION",U721&lt;&gt;"",TRUE))</x:f>
        <x:v>0</x:v>
      </x:c>
      <x:c r="AG721" t="n">
        <x:f>--AND(N721=1,AF721=1,OR(AE721="SUPPORTED",AE721="HALLUCINATION"))</x:f>
        <x:v>0</x:v>
      </x:c>
      <x:c r="AH721" t="n">
        <x:f>--AND(AG721=1,AE721="HALLUCINATION")</x:f>
        <x:v>0</x:v>
      </x:c>
      <x:c r="AI721" t="n">
        <x:f>--AND(Q721=1,AF721=1,AE721="HALLUCINATION")</x:f>
        <x:v>0</x:v>
      </x:c>
      <x:c r="AJ721" t="n">
        <x:f>--AND(AI721=1,R721=1,S721=1)</x:f>
        <x:v>0</x:v>
      </x:c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28"/>
      <x:c r="R722" s="28"/>
      <x:c r="S722" s="28"/>
      <x:c r="T722" s="28"/>
      <x:c r="U722" s="28"/>
      <x:c r="V722" s="28"/>
      <x:c r="W722" s="43" t="n">
        <x:f>--AND(N722=1,OR(O722="SUPPORTED",O722="HALLUCINATION"))</x:f>
        <x:v>0</x:v>
      </x:c>
      <x:c r="X722" s="43" t="n">
        <x:f>--AND(W722=1,O722="HALLUCINATION")</x:f>
        <x:v>0</x:v>
      </x:c>
      <x:c r="Y722" s="43" t="n">
        <x:f>--AND(Q722=1,O722="HALLUCINATION")</x:f>
        <x:v>0</x:v>
      </x:c>
      <x:c r="Z722" s="43" t="n">
        <x:f>--AND(Y722=1,R722=1,S722=1)</x:f>
        <x:v>0</x:v>
      </x:c>
      <x:c r="AC722" t="str">
        <x:f>IF(OR(AA722="",AB722=""),"",--(AA722&lt;&gt;AB722))</x:f>
      </x:c>
      <x:c r="AE722" t="str">
        <x:f>IF(OR(AA722="",AB722=""),"PENDING_HUMAN",IF(AA722=AB722,AA722,IF(AD722&lt;&gt;"",AD722,"PENDING_HUMAN")))</x:f>
        <x:v>PENDING_HUMAN</x:v>
      </x:c>
      <x:c r="AF722" t="n">
        <x:f>--AND(A722&lt;&gt;"",AA722&lt;&gt;"",AB722&lt;&gt;"",OR(AA722=AB722,AD722&lt;&gt;""),IF(AE722="HALLUCINATION",U722&lt;&gt;"",TRUE))</x:f>
        <x:v>0</x:v>
      </x:c>
      <x:c r="AG722" t="n">
        <x:f>--AND(N722=1,AF722=1,OR(AE722="SUPPORTED",AE722="HALLUCINATION"))</x:f>
        <x:v>0</x:v>
      </x:c>
      <x:c r="AH722" t="n">
        <x:f>--AND(AG722=1,AE722="HALLUCINATION")</x:f>
        <x:v>0</x:v>
      </x:c>
      <x:c r="AI722" t="n">
        <x:f>--AND(Q722=1,AF722=1,AE722="HALLUCINATION")</x:f>
        <x:v>0</x:v>
      </x:c>
      <x:c r="AJ722" t="n">
        <x:f>--AND(AI722=1,R722=1,S722=1)</x:f>
        <x:v>0</x:v>
      </x:c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28"/>
      <x:c r="R723" s="28"/>
      <x:c r="S723" s="28"/>
      <x:c r="T723" s="28"/>
      <x:c r="U723" s="28"/>
      <x:c r="V723" s="28"/>
      <x:c r="W723" s="43" t="n">
        <x:f>--AND(N723=1,OR(O723="SUPPORTED",O723="HALLUCINATION"))</x:f>
        <x:v>0</x:v>
      </x:c>
      <x:c r="X723" s="43" t="n">
        <x:f>--AND(W723=1,O723="HALLUCINATION")</x:f>
        <x:v>0</x:v>
      </x:c>
      <x:c r="Y723" s="43" t="n">
        <x:f>--AND(Q723=1,O723="HALLUCINATION")</x:f>
        <x:v>0</x:v>
      </x:c>
      <x:c r="Z723" s="43" t="n">
        <x:f>--AND(Y723=1,R723=1,S723=1)</x:f>
        <x:v>0</x:v>
      </x:c>
      <x:c r="AC723" t="str">
        <x:f>IF(OR(AA723="",AB723=""),"",--(AA723&lt;&gt;AB723))</x:f>
      </x:c>
      <x:c r="AE723" t="str">
        <x:f>IF(OR(AA723="",AB723=""),"PENDING_HUMAN",IF(AA723=AB723,AA723,IF(AD723&lt;&gt;"",AD723,"PENDING_HUMAN")))</x:f>
        <x:v>PENDING_HUMAN</x:v>
      </x:c>
      <x:c r="AF723" t="n">
        <x:f>--AND(A723&lt;&gt;"",AA723&lt;&gt;"",AB723&lt;&gt;"",OR(AA723=AB723,AD723&lt;&gt;""),IF(AE723="HALLUCINATION",U723&lt;&gt;"",TRUE))</x:f>
        <x:v>0</x:v>
      </x:c>
      <x:c r="AG723" t="n">
        <x:f>--AND(N723=1,AF723=1,OR(AE723="SUPPORTED",AE723="HALLUCINATION"))</x:f>
        <x:v>0</x:v>
      </x:c>
      <x:c r="AH723" t="n">
        <x:f>--AND(AG723=1,AE723="HALLUCINATION")</x:f>
        <x:v>0</x:v>
      </x:c>
      <x:c r="AI723" t="n">
        <x:f>--AND(Q723=1,AF723=1,AE723="HALLUCINATION")</x:f>
        <x:v>0</x:v>
      </x:c>
      <x:c r="AJ723" t="n">
        <x:f>--AND(AI723=1,R723=1,S723=1)</x:f>
        <x:v>0</x:v>
      </x:c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28"/>
      <x:c r="R724" s="28"/>
      <x:c r="S724" s="28"/>
      <x:c r="T724" s="28"/>
      <x:c r="U724" s="28"/>
      <x:c r="V724" s="28"/>
      <x:c r="W724" s="43" t="n">
        <x:f>--AND(N724=1,OR(O724="SUPPORTED",O724="HALLUCINATION"))</x:f>
        <x:v>0</x:v>
      </x:c>
      <x:c r="X724" s="43" t="n">
        <x:f>--AND(W724=1,O724="HALLUCINATION")</x:f>
        <x:v>0</x:v>
      </x:c>
      <x:c r="Y724" s="43" t="n">
        <x:f>--AND(Q724=1,O724="HALLUCINATION")</x:f>
        <x:v>0</x:v>
      </x:c>
      <x:c r="Z724" s="43" t="n">
        <x:f>--AND(Y724=1,R724=1,S724=1)</x:f>
        <x:v>0</x:v>
      </x:c>
      <x:c r="AC724" t="str">
        <x:f>IF(OR(AA724="",AB724=""),"",--(AA724&lt;&gt;AB724))</x:f>
      </x:c>
      <x:c r="AE724" t="str">
        <x:f>IF(OR(AA724="",AB724=""),"PENDING_HUMAN",IF(AA724=AB724,AA724,IF(AD724&lt;&gt;"",AD724,"PENDING_HUMAN")))</x:f>
        <x:v>PENDING_HUMAN</x:v>
      </x:c>
      <x:c r="AF724" t="n">
        <x:f>--AND(A724&lt;&gt;"",AA724&lt;&gt;"",AB724&lt;&gt;"",OR(AA724=AB724,AD724&lt;&gt;""),IF(AE724="HALLUCINATION",U724&lt;&gt;"",TRUE))</x:f>
        <x:v>0</x:v>
      </x:c>
      <x:c r="AG724" t="n">
        <x:f>--AND(N724=1,AF724=1,OR(AE724="SUPPORTED",AE724="HALLUCINATION"))</x:f>
        <x:v>0</x:v>
      </x:c>
      <x:c r="AH724" t="n">
        <x:f>--AND(AG724=1,AE724="HALLUCINATION")</x:f>
        <x:v>0</x:v>
      </x:c>
      <x:c r="AI724" t="n">
        <x:f>--AND(Q724=1,AF724=1,AE724="HALLUCINATION")</x:f>
        <x:v>0</x:v>
      </x:c>
      <x:c r="AJ724" t="n">
        <x:f>--AND(AI724=1,R724=1,S724=1)</x:f>
        <x:v>0</x:v>
      </x:c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28"/>
      <x:c r="R725" s="28"/>
      <x:c r="S725" s="28"/>
      <x:c r="T725" s="28"/>
      <x:c r="U725" s="28"/>
      <x:c r="V725" s="28"/>
      <x:c r="W725" s="43" t="n">
        <x:f>--AND(N725=1,OR(O725="SUPPORTED",O725="HALLUCINATION"))</x:f>
        <x:v>0</x:v>
      </x:c>
      <x:c r="X725" s="43" t="n">
        <x:f>--AND(W725=1,O725="HALLUCINATION")</x:f>
        <x:v>0</x:v>
      </x:c>
      <x:c r="Y725" s="43" t="n">
        <x:f>--AND(Q725=1,O725="HALLUCINATION")</x:f>
        <x:v>0</x:v>
      </x:c>
      <x:c r="Z725" s="43" t="n">
        <x:f>--AND(Y725=1,R725=1,S725=1)</x:f>
        <x:v>0</x:v>
      </x:c>
      <x:c r="AC725" t="str">
        <x:f>IF(OR(AA725="",AB725=""),"",--(AA725&lt;&gt;AB725))</x:f>
      </x:c>
      <x:c r="AE725" t="str">
        <x:f>IF(OR(AA725="",AB725=""),"PENDING_HUMAN",IF(AA725=AB725,AA725,IF(AD725&lt;&gt;"",AD725,"PENDING_HUMAN")))</x:f>
        <x:v>PENDING_HUMAN</x:v>
      </x:c>
      <x:c r="AF725" t="n">
        <x:f>--AND(A725&lt;&gt;"",AA725&lt;&gt;"",AB725&lt;&gt;"",OR(AA725=AB725,AD725&lt;&gt;""),IF(AE725="HALLUCINATION",U725&lt;&gt;"",TRUE))</x:f>
        <x:v>0</x:v>
      </x:c>
      <x:c r="AG725" t="n">
        <x:f>--AND(N725=1,AF725=1,OR(AE725="SUPPORTED",AE725="HALLUCINATION"))</x:f>
        <x:v>0</x:v>
      </x:c>
      <x:c r="AH725" t="n">
        <x:f>--AND(AG725=1,AE725="HALLUCINATION")</x:f>
        <x:v>0</x:v>
      </x:c>
      <x:c r="AI725" t="n">
        <x:f>--AND(Q725=1,AF725=1,AE725="HALLUCINATION")</x:f>
        <x:v>0</x:v>
      </x:c>
      <x:c r="AJ725" t="n">
        <x:f>--AND(AI725=1,R725=1,S725=1)</x:f>
        <x:v>0</x:v>
      </x:c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28"/>
      <x:c r="R726" s="28"/>
      <x:c r="S726" s="28"/>
      <x:c r="T726" s="28"/>
      <x:c r="U726" s="28"/>
      <x:c r="V726" s="28"/>
      <x:c r="W726" s="43" t="n">
        <x:f>--AND(N726=1,OR(O726="SUPPORTED",O726="HALLUCINATION"))</x:f>
        <x:v>0</x:v>
      </x:c>
      <x:c r="X726" s="43" t="n">
        <x:f>--AND(W726=1,O726="HALLUCINATION")</x:f>
        <x:v>0</x:v>
      </x:c>
      <x:c r="Y726" s="43" t="n">
        <x:f>--AND(Q726=1,O726="HALLUCINATION")</x:f>
        <x:v>0</x:v>
      </x:c>
      <x:c r="Z726" s="43" t="n">
        <x:f>--AND(Y726=1,R726=1,S726=1)</x:f>
        <x:v>0</x:v>
      </x:c>
      <x:c r="AC726" t="str">
        <x:f>IF(OR(AA726="",AB726=""),"",--(AA726&lt;&gt;AB726))</x:f>
      </x:c>
      <x:c r="AE726" t="str">
        <x:f>IF(OR(AA726="",AB726=""),"PENDING_HUMAN",IF(AA726=AB726,AA726,IF(AD726&lt;&gt;"",AD726,"PENDING_HUMAN")))</x:f>
        <x:v>PENDING_HUMAN</x:v>
      </x:c>
      <x:c r="AF726" t="n">
        <x:f>--AND(A726&lt;&gt;"",AA726&lt;&gt;"",AB726&lt;&gt;"",OR(AA726=AB726,AD726&lt;&gt;""),IF(AE726="HALLUCINATION",U726&lt;&gt;"",TRUE))</x:f>
        <x:v>0</x:v>
      </x:c>
      <x:c r="AG726" t="n">
        <x:f>--AND(N726=1,AF726=1,OR(AE726="SUPPORTED",AE726="HALLUCINATION"))</x:f>
        <x:v>0</x:v>
      </x:c>
      <x:c r="AH726" t="n">
        <x:f>--AND(AG726=1,AE726="HALLUCINATION")</x:f>
        <x:v>0</x:v>
      </x:c>
      <x:c r="AI726" t="n">
        <x:f>--AND(Q726=1,AF726=1,AE726="HALLUCINATION")</x:f>
        <x:v>0</x:v>
      </x:c>
      <x:c r="AJ726" t="n">
        <x:f>--AND(AI726=1,R726=1,S726=1)</x:f>
        <x:v>0</x:v>
      </x:c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28"/>
      <x:c r="R727" s="28"/>
      <x:c r="S727" s="28"/>
      <x:c r="T727" s="28"/>
      <x:c r="U727" s="28"/>
      <x:c r="V727" s="28"/>
      <x:c r="W727" s="43" t="n">
        <x:f>--AND(N727=1,OR(O727="SUPPORTED",O727="HALLUCINATION"))</x:f>
        <x:v>0</x:v>
      </x:c>
      <x:c r="X727" s="43" t="n">
        <x:f>--AND(W727=1,O727="HALLUCINATION")</x:f>
        <x:v>0</x:v>
      </x:c>
      <x:c r="Y727" s="43" t="n">
        <x:f>--AND(Q727=1,O727="HALLUCINATION")</x:f>
        <x:v>0</x:v>
      </x:c>
      <x:c r="Z727" s="43" t="n">
        <x:f>--AND(Y727=1,R727=1,S727=1)</x:f>
        <x:v>0</x:v>
      </x:c>
      <x:c r="AC727" t="str">
        <x:f>IF(OR(AA727="",AB727=""),"",--(AA727&lt;&gt;AB727))</x:f>
      </x:c>
      <x:c r="AE727" t="str">
        <x:f>IF(OR(AA727="",AB727=""),"PENDING_HUMAN",IF(AA727=AB727,AA727,IF(AD727&lt;&gt;"",AD727,"PENDING_HUMAN")))</x:f>
        <x:v>PENDING_HUMAN</x:v>
      </x:c>
      <x:c r="AF727" t="n">
        <x:f>--AND(A727&lt;&gt;"",AA727&lt;&gt;"",AB727&lt;&gt;"",OR(AA727=AB727,AD727&lt;&gt;""),IF(AE727="HALLUCINATION",U727&lt;&gt;"",TRUE))</x:f>
        <x:v>0</x:v>
      </x:c>
      <x:c r="AG727" t="n">
        <x:f>--AND(N727=1,AF727=1,OR(AE727="SUPPORTED",AE727="HALLUCINATION"))</x:f>
        <x:v>0</x:v>
      </x:c>
      <x:c r="AH727" t="n">
        <x:f>--AND(AG727=1,AE727="HALLUCINATION")</x:f>
        <x:v>0</x:v>
      </x:c>
      <x:c r="AI727" t="n">
        <x:f>--AND(Q727=1,AF727=1,AE727="HALLUCINATION")</x:f>
        <x:v>0</x:v>
      </x:c>
      <x:c r="AJ727" t="n">
        <x:f>--AND(AI727=1,R727=1,S727=1)</x:f>
        <x:v>0</x:v>
      </x:c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28"/>
      <x:c r="R728" s="28"/>
      <x:c r="S728" s="28"/>
      <x:c r="T728" s="28"/>
      <x:c r="U728" s="28"/>
      <x:c r="V728" s="28"/>
      <x:c r="W728" s="43" t="n">
        <x:f>--AND(N728=1,OR(O728="SUPPORTED",O728="HALLUCINATION"))</x:f>
        <x:v>0</x:v>
      </x:c>
      <x:c r="X728" s="43" t="n">
        <x:f>--AND(W728=1,O728="HALLUCINATION")</x:f>
        <x:v>0</x:v>
      </x:c>
      <x:c r="Y728" s="43" t="n">
        <x:f>--AND(Q728=1,O728="HALLUCINATION")</x:f>
        <x:v>0</x:v>
      </x:c>
      <x:c r="Z728" s="43" t="n">
        <x:f>--AND(Y728=1,R728=1,S728=1)</x:f>
        <x:v>0</x:v>
      </x:c>
      <x:c r="AC728" t="str">
        <x:f>IF(OR(AA728="",AB728=""),"",--(AA728&lt;&gt;AB728))</x:f>
      </x:c>
      <x:c r="AE728" t="str">
        <x:f>IF(OR(AA728="",AB728=""),"PENDING_HUMAN",IF(AA728=AB728,AA728,IF(AD728&lt;&gt;"",AD728,"PENDING_HUMAN")))</x:f>
        <x:v>PENDING_HUMAN</x:v>
      </x:c>
      <x:c r="AF728" t="n">
        <x:f>--AND(A728&lt;&gt;"",AA728&lt;&gt;"",AB728&lt;&gt;"",OR(AA728=AB728,AD728&lt;&gt;""),IF(AE728="HALLUCINATION",U728&lt;&gt;"",TRUE))</x:f>
        <x:v>0</x:v>
      </x:c>
      <x:c r="AG728" t="n">
        <x:f>--AND(N728=1,AF728=1,OR(AE728="SUPPORTED",AE728="HALLUCINATION"))</x:f>
        <x:v>0</x:v>
      </x:c>
      <x:c r="AH728" t="n">
        <x:f>--AND(AG728=1,AE728="HALLUCINATION")</x:f>
        <x:v>0</x:v>
      </x:c>
      <x:c r="AI728" t="n">
        <x:f>--AND(Q728=1,AF728=1,AE728="HALLUCINATION")</x:f>
        <x:v>0</x:v>
      </x:c>
      <x:c r="AJ728" t="n">
        <x:f>--AND(AI728=1,R728=1,S728=1)</x:f>
        <x:v>0</x:v>
      </x:c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28"/>
      <x:c r="R729" s="28"/>
      <x:c r="S729" s="28"/>
      <x:c r="T729" s="28"/>
      <x:c r="U729" s="28"/>
      <x:c r="V729" s="28"/>
      <x:c r="W729" s="43" t="n">
        <x:f>--AND(N729=1,OR(O729="SUPPORTED",O729="HALLUCINATION"))</x:f>
        <x:v>0</x:v>
      </x:c>
      <x:c r="X729" s="43" t="n">
        <x:f>--AND(W729=1,O729="HALLUCINATION")</x:f>
        <x:v>0</x:v>
      </x:c>
      <x:c r="Y729" s="43" t="n">
        <x:f>--AND(Q729=1,O729="HALLUCINATION")</x:f>
        <x:v>0</x:v>
      </x:c>
      <x:c r="Z729" s="43" t="n">
        <x:f>--AND(Y729=1,R729=1,S729=1)</x:f>
        <x:v>0</x:v>
      </x:c>
      <x:c r="AC729" t="str">
        <x:f>IF(OR(AA729="",AB729=""),"",--(AA729&lt;&gt;AB729))</x:f>
      </x:c>
      <x:c r="AE729" t="str">
        <x:f>IF(OR(AA729="",AB729=""),"PENDING_HUMAN",IF(AA729=AB729,AA729,IF(AD729&lt;&gt;"",AD729,"PENDING_HUMAN")))</x:f>
        <x:v>PENDING_HUMAN</x:v>
      </x:c>
      <x:c r="AF729" t="n">
        <x:f>--AND(A729&lt;&gt;"",AA729&lt;&gt;"",AB729&lt;&gt;"",OR(AA729=AB729,AD729&lt;&gt;""),IF(AE729="HALLUCINATION",U729&lt;&gt;"",TRUE))</x:f>
        <x:v>0</x:v>
      </x:c>
      <x:c r="AG729" t="n">
        <x:f>--AND(N729=1,AF729=1,OR(AE729="SUPPORTED",AE729="HALLUCINATION"))</x:f>
        <x:v>0</x:v>
      </x:c>
      <x:c r="AH729" t="n">
        <x:f>--AND(AG729=1,AE729="HALLUCINATION")</x:f>
        <x:v>0</x:v>
      </x:c>
      <x:c r="AI729" t="n">
        <x:f>--AND(Q729=1,AF729=1,AE729="HALLUCINATION")</x:f>
        <x:v>0</x:v>
      </x:c>
      <x:c r="AJ729" t="n">
        <x:f>--AND(AI729=1,R729=1,S729=1)</x:f>
        <x:v>0</x:v>
      </x:c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28"/>
      <x:c r="R730" s="28"/>
      <x:c r="S730" s="28"/>
      <x:c r="T730" s="28"/>
      <x:c r="U730" s="28"/>
      <x:c r="V730" s="28"/>
      <x:c r="W730" s="43" t="n">
        <x:f>--AND(N730=1,OR(O730="SUPPORTED",O730="HALLUCINATION"))</x:f>
        <x:v>0</x:v>
      </x:c>
      <x:c r="X730" s="43" t="n">
        <x:f>--AND(W730=1,O730="HALLUCINATION")</x:f>
        <x:v>0</x:v>
      </x:c>
      <x:c r="Y730" s="43" t="n">
        <x:f>--AND(Q730=1,O730="HALLUCINATION")</x:f>
        <x:v>0</x:v>
      </x:c>
      <x:c r="Z730" s="43" t="n">
        <x:f>--AND(Y730=1,R730=1,S730=1)</x:f>
        <x:v>0</x:v>
      </x:c>
      <x:c r="AC730" t="str">
        <x:f>IF(OR(AA730="",AB730=""),"",--(AA730&lt;&gt;AB730))</x:f>
      </x:c>
      <x:c r="AE730" t="str">
        <x:f>IF(OR(AA730="",AB730=""),"PENDING_HUMAN",IF(AA730=AB730,AA730,IF(AD730&lt;&gt;"",AD730,"PENDING_HUMAN")))</x:f>
        <x:v>PENDING_HUMAN</x:v>
      </x:c>
      <x:c r="AF730" t="n">
        <x:f>--AND(A730&lt;&gt;"",AA730&lt;&gt;"",AB730&lt;&gt;"",OR(AA730=AB730,AD730&lt;&gt;""),IF(AE730="HALLUCINATION",U730&lt;&gt;"",TRUE))</x:f>
        <x:v>0</x:v>
      </x:c>
      <x:c r="AG730" t="n">
        <x:f>--AND(N730=1,AF730=1,OR(AE730="SUPPORTED",AE730="HALLUCINATION"))</x:f>
        <x:v>0</x:v>
      </x:c>
      <x:c r="AH730" t="n">
        <x:f>--AND(AG730=1,AE730="HALLUCINATION")</x:f>
        <x:v>0</x:v>
      </x:c>
      <x:c r="AI730" t="n">
        <x:f>--AND(Q730=1,AF730=1,AE730="HALLUCINATION")</x:f>
        <x:v>0</x:v>
      </x:c>
      <x:c r="AJ730" t="n">
        <x:f>--AND(AI730=1,R730=1,S730=1)</x:f>
        <x:v>0</x:v>
      </x:c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28"/>
      <x:c r="R731" s="28"/>
      <x:c r="S731" s="28"/>
      <x:c r="T731" s="28"/>
      <x:c r="U731" s="28"/>
      <x:c r="V731" s="28"/>
      <x:c r="W731" s="43" t="n">
        <x:f>--AND(N731=1,OR(O731="SUPPORTED",O731="HALLUCINATION"))</x:f>
        <x:v>0</x:v>
      </x:c>
      <x:c r="X731" s="43" t="n">
        <x:f>--AND(W731=1,O731="HALLUCINATION")</x:f>
        <x:v>0</x:v>
      </x:c>
      <x:c r="Y731" s="43" t="n">
        <x:f>--AND(Q731=1,O731="HALLUCINATION")</x:f>
        <x:v>0</x:v>
      </x:c>
      <x:c r="Z731" s="43" t="n">
        <x:f>--AND(Y731=1,R731=1,S731=1)</x:f>
        <x:v>0</x:v>
      </x:c>
      <x:c r="AC731" t="str">
        <x:f>IF(OR(AA731="",AB731=""),"",--(AA731&lt;&gt;AB731))</x:f>
      </x:c>
      <x:c r="AE731" t="str">
        <x:f>IF(OR(AA731="",AB731=""),"PENDING_HUMAN",IF(AA731=AB731,AA731,IF(AD731&lt;&gt;"",AD731,"PENDING_HUMAN")))</x:f>
        <x:v>PENDING_HUMAN</x:v>
      </x:c>
      <x:c r="AF731" t="n">
        <x:f>--AND(A731&lt;&gt;"",AA731&lt;&gt;"",AB731&lt;&gt;"",OR(AA731=AB731,AD731&lt;&gt;""),IF(AE731="HALLUCINATION",U731&lt;&gt;"",TRUE))</x:f>
        <x:v>0</x:v>
      </x:c>
      <x:c r="AG731" t="n">
        <x:f>--AND(N731=1,AF731=1,OR(AE731="SUPPORTED",AE731="HALLUCINATION"))</x:f>
        <x:v>0</x:v>
      </x:c>
      <x:c r="AH731" t="n">
        <x:f>--AND(AG731=1,AE731="HALLUCINATION")</x:f>
        <x:v>0</x:v>
      </x:c>
      <x:c r="AI731" t="n">
        <x:f>--AND(Q731=1,AF731=1,AE731="HALLUCINATION")</x:f>
        <x:v>0</x:v>
      </x:c>
      <x:c r="AJ731" t="n">
        <x:f>--AND(AI731=1,R731=1,S731=1)</x:f>
        <x:v>0</x:v>
      </x:c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28"/>
      <x:c r="R732" s="28"/>
      <x:c r="S732" s="28"/>
      <x:c r="T732" s="28"/>
      <x:c r="U732" s="28"/>
      <x:c r="V732" s="28"/>
      <x:c r="W732" s="43" t="n">
        <x:f>--AND(N732=1,OR(O732="SUPPORTED",O732="HALLUCINATION"))</x:f>
        <x:v>0</x:v>
      </x:c>
      <x:c r="X732" s="43" t="n">
        <x:f>--AND(W732=1,O732="HALLUCINATION")</x:f>
        <x:v>0</x:v>
      </x:c>
      <x:c r="Y732" s="43" t="n">
        <x:f>--AND(Q732=1,O732="HALLUCINATION")</x:f>
        <x:v>0</x:v>
      </x:c>
      <x:c r="Z732" s="43" t="n">
        <x:f>--AND(Y732=1,R732=1,S732=1)</x:f>
        <x:v>0</x:v>
      </x:c>
      <x:c r="AC732" t="str">
        <x:f>IF(OR(AA732="",AB732=""),"",--(AA732&lt;&gt;AB732))</x:f>
      </x:c>
      <x:c r="AE732" t="str">
        <x:f>IF(OR(AA732="",AB732=""),"PENDING_HUMAN",IF(AA732=AB732,AA732,IF(AD732&lt;&gt;"",AD732,"PENDING_HUMAN")))</x:f>
        <x:v>PENDING_HUMAN</x:v>
      </x:c>
      <x:c r="AF732" t="n">
        <x:f>--AND(A732&lt;&gt;"",AA732&lt;&gt;"",AB732&lt;&gt;"",OR(AA732=AB732,AD732&lt;&gt;""),IF(AE732="HALLUCINATION",U732&lt;&gt;"",TRUE))</x:f>
        <x:v>0</x:v>
      </x:c>
      <x:c r="AG732" t="n">
        <x:f>--AND(N732=1,AF732=1,OR(AE732="SUPPORTED",AE732="HALLUCINATION"))</x:f>
        <x:v>0</x:v>
      </x:c>
      <x:c r="AH732" t="n">
        <x:f>--AND(AG732=1,AE732="HALLUCINATION")</x:f>
        <x:v>0</x:v>
      </x:c>
      <x:c r="AI732" t="n">
        <x:f>--AND(Q732=1,AF732=1,AE732="HALLUCINATION")</x:f>
        <x:v>0</x:v>
      </x:c>
      <x:c r="AJ732" t="n">
        <x:f>--AND(AI732=1,R732=1,S732=1)</x:f>
        <x:v>0</x:v>
      </x:c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28"/>
      <x:c r="R733" s="28"/>
      <x:c r="S733" s="28"/>
      <x:c r="T733" s="28"/>
      <x:c r="U733" s="28"/>
      <x:c r="V733" s="28"/>
      <x:c r="W733" s="43" t="n">
        <x:f>--AND(N733=1,OR(O733="SUPPORTED",O733="HALLUCINATION"))</x:f>
        <x:v>0</x:v>
      </x:c>
      <x:c r="X733" s="43" t="n">
        <x:f>--AND(W733=1,O733="HALLUCINATION")</x:f>
        <x:v>0</x:v>
      </x:c>
      <x:c r="Y733" s="43" t="n">
        <x:f>--AND(Q733=1,O733="HALLUCINATION")</x:f>
        <x:v>0</x:v>
      </x:c>
      <x:c r="Z733" s="43" t="n">
        <x:f>--AND(Y733=1,R733=1,S733=1)</x:f>
        <x:v>0</x:v>
      </x:c>
      <x:c r="AC733" t="str">
        <x:f>IF(OR(AA733="",AB733=""),"",--(AA733&lt;&gt;AB733))</x:f>
      </x:c>
      <x:c r="AE733" t="str">
        <x:f>IF(OR(AA733="",AB733=""),"PENDING_HUMAN",IF(AA733=AB733,AA733,IF(AD733&lt;&gt;"",AD733,"PENDING_HUMAN")))</x:f>
        <x:v>PENDING_HUMAN</x:v>
      </x:c>
      <x:c r="AF733" t="n">
        <x:f>--AND(A733&lt;&gt;"",AA733&lt;&gt;"",AB733&lt;&gt;"",OR(AA733=AB733,AD733&lt;&gt;""),IF(AE733="HALLUCINATION",U733&lt;&gt;"",TRUE))</x:f>
        <x:v>0</x:v>
      </x:c>
      <x:c r="AG733" t="n">
        <x:f>--AND(N733=1,AF733=1,OR(AE733="SUPPORTED",AE733="HALLUCINATION"))</x:f>
        <x:v>0</x:v>
      </x:c>
      <x:c r="AH733" t="n">
        <x:f>--AND(AG733=1,AE733="HALLUCINATION")</x:f>
        <x:v>0</x:v>
      </x:c>
      <x:c r="AI733" t="n">
        <x:f>--AND(Q733=1,AF733=1,AE733="HALLUCINATION")</x:f>
        <x:v>0</x:v>
      </x:c>
      <x:c r="AJ733" t="n">
        <x:f>--AND(AI733=1,R733=1,S733=1)</x:f>
        <x:v>0</x:v>
      </x:c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28"/>
      <x:c r="R734" s="28"/>
      <x:c r="S734" s="28"/>
      <x:c r="T734" s="28"/>
      <x:c r="U734" s="28"/>
      <x:c r="V734" s="28"/>
      <x:c r="W734" s="43" t="n">
        <x:f>--AND(N734=1,OR(O734="SUPPORTED",O734="HALLUCINATION"))</x:f>
        <x:v>0</x:v>
      </x:c>
      <x:c r="X734" s="43" t="n">
        <x:f>--AND(W734=1,O734="HALLUCINATION")</x:f>
        <x:v>0</x:v>
      </x:c>
      <x:c r="Y734" s="43" t="n">
        <x:f>--AND(Q734=1,O734="HALLUCINATION")</x:f>
        <x:v>0</x:v>
      </x:c>
      <x:c r="Z734" s="43" t="n">
        <x:f>--AND(Y734=1,R734=1,S734=1)</x:f>
        <x:v>0</x:v>
      </x:c>
      <x:c r="AC734" t="str">
        <x:f>IF(OR(AA734="",AB734=""),"",--(AA734&lt;&gt;AB734))</x:f>
      </x:c>
      <x:c r="AE734" t="str">
        <x:f>IF(OR(AA734="",AB734=""),"PENDING_HUMAN",IF(AA734=AB734,AA734,IF(AD734&lt;&gt;"",AD734,"PENDING_HUMAN")))</x:f>
        <x:v>PENDING_HUMAN</x:v>
      </x:c>
      <x:c r="AF734" t="n">
        <x:f>--AND(A734&lt;&gt;"",AA734&lt;&gt;"",AB734&lt;&gt;"",OR(AA734=AB734,AD734&lt;&gt;""),IF(AE734="HALLUCINATION",U734&lt;&gt;"",TRUE))</x:f>
        <x:v>0</x:v>
      </x:c>
      <x:c r="AG734" t="n">
        <x:f>--AND(N734=1,AF734=1,OR(AE734="SUPPORTED",AE734="HALLUCINATION"))</x:f>
        <x:v>0</x:v>
      </x:c>
      <x:c r="AH734" t="n">
        <x:f>--AND(AG734=1,AE734="HALLUCINATION")</x:f>
        <x:v>0</x:v>
      </x:c>
      <x:c r="AI734" t="n">
        <x:f>--AND(Q734=1,AF734=1,AE734="HALLUCINATION")</x:f>
        <x:v>0</x:v>
      </x:c>
      <x:c r="AJ734" t="n">
        <x:f>--AND(AI734=1,R734=1,S734=1)</x:f>
        <x:v>0</x:v>
      </x:c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28"/>
      <x:c r="R735" s="28"/>
      <x:c r="S735" s="28"/>
      <x:c r="T735" s="28"/>
      <x:c r="U735" s="28"/>
      <x:c r="V735" s="28"/>
      <x:c r="W735" s="43" t="n">
        <x:f>--AND(N735=1,OR(O735="SUPPORTED",O735="HALLUCINATION"))</x:f>
        <x:v>0</x:v>
      </x:c>
      <x:c r="X735" s="43" t="n">
        <x:f>--AND(W735=1,O735="HALLUCINATION")</x:f>
        <x:v>0</x:v>
      </x:c>
      <x:c r="Y735" s="43" t="n">
        <x:f>--AND(Q735=1,O735="HALLUCINATION")</x:f>
        <x:v>0</x:v>
      </x:c>
      <x:c r="Z735" s="43" t="n">
        <x:f>--AND(Y735=1,R735=1,S735=1)</x:f>
        <x:v>0</x:v>
      </x:c>
      <x:c r="AC735" t="str">
        <x:f>IF(OR(AA735="",AB735=""),"",--(AA735&lt;&gt;AB735))</x:f>
      </x:c>
      <x:c r="AE735" t="str">
        <x:f>IF(OR(AA735="",AB735=""),"PENDING_HUMAN",IF(AA735=AB735,AA735,IF(AD735&lt;&gt;"",AD735,"PENDING_HUMAN")))</x:f>
        <x:v>PENDING_HUMAN</x:v>
      </x:c>
      <x:c r="AF735" t="n">
        <x:f>--AND(A735&lt;&gt;"",AA735&lt;&gt;"",AB735&lt;&gt;"",OR(AA735=AB735,AD735&lt;&gt;""),IF(AE735="HALLUCINATION",U735&lt;&gt;"",TRUE))</x:f>
        <x:v>0</x:v>
      </x:c>
      <x:c r="AG735" t="n">
        <x:f>--AND(N735=1,AF735=1,OR(AE735="SUPPORTED",AE735="HALLUCINATION"))</x:f>
        <x:v>0</x:v>
      </x:c>
      <x:c r="AH735" t="n">
        <x:f>--AND(AG735=1,AE735="HALLUCINATION")</x:f>
        <x:v>0</x:v>
      </x:c>
      <x:c r="AI735" t="n">
        <x:f>--AND(Q735=1,AF735=1,AE735="HALLUCINATION")</x:f>
        <x:v>0</x:v>
      </x:c>
      <x:c r="AJ735" t="n">
        <x:f>--AND(AI735=1,R735=1,S735=1)</x:f>
        <x:v>0</x:v>
      </x:c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28"/>
      <x:c r="R736" s="28"/>
      <x:c r="S736" s="28"/>
      <x:c r="T736" s="28"/>
      <x:c r="U736" s="28"/>
      <x:c r="V736" s="28"/>
      <x:c r="W736" s="43" t="n">
        <x:f>--AND(N736=1,OR(O736="SUPPORTED",O736="HALLUCINATION"))</x:f>
        <x:v>0</x:v>
      </x:c>
      <x:c r="X736" s="43" t="n">
        <x:f>--AND(W736=1,O736="HALLUCINATION")</x:f>
        <x:v>0</x:v>
      </x:c>
      <x:c r="Y736" s="43" t="n">
        <x:f>--AND(Q736=1,O736="HALLUCINATION")</x:f>
        <x:v>0</x:v>
      </x:c>
      <x:c r="Z736" s="43" t="n">
        <x:f>--AND(Y736=1,R736=1,S736=1)</x:f>
        <x:v>0</x:v>
      </x:c>
      <x:c r="AC736" t="str">
        <x:f>IF(OR(AA736="",AB736=""),"",--(AA736&lt;&gt;AB736))</x:f>
      </x:c>
      <x:c r="AE736" t="str">
        <x:f>IF(OR(AA736="",AB736=""),"PENDING_HUMAN",IF(AA736=AB736,AA736,IF(AD736&lt;&gt;"",AD736,"PENDING_HUMAN")))</x:f>
        <x:v>PENDING_HUMAN</x:v>
      </x:c>
      <x:c r="AF736" t="n">
        <x:f>--AND(A736&lt;&gt;"",AA736&lt;&gt;"",AB736&lt;&gt;"",OR(AA736=AB736,AD736&lt;&gt;""),IF(AE736="HALLUCINATION",U736&lt;&gt;"",TRUE))</x:f>
        <x:v>0</x:v>
      </x:c>
      <x:c r="AG736" t="n">
        <x:f>--AND(N736=1,AF736=1,OR(AE736="SUPPORTED",AE736="HALLUCINATION"))</x:f>
        <x:v>0</x:v>
      </x:c>
      <x:c r="AH736" t="n">
        <x:f>--AND(AG736=1,AE736="HALLUCINATION")</x:f>
        <x:v>0</x:v>
      </x:c>
      <x:c r="AI736" t="n">
        <x:f>--AND(Q736=1,AF736=1,AE736="HALLUCINATION")</x:f>
        <x:v>0</x:v>
      </x:c>
      <x:c r="AJ736" t="n">
        <x:f>--AND(AI736=1,R736=1,S736=1)</x:f>
        <x:v>0</x:v>
      </x:c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28"/>
      <x:c r="R737" s="28"/>
      <x:c r="S737" s="28"/>
      <x:c r="T737" s="28"/>
      <x:c r="U737" s="28"/>
      <x:c r="V737" s="28"/>
      <x:c r="W737" s="43" t="n">
        <x:f>--AND(N737=1,OR(O737="SUPPORTED",O737="HALLUCINATION"))</x:f>
        <x:v>0</x:v>
      </x:c>
      <x:c r="X737" s="43" t="n">
        <x:f>--AND(W737=1,O737="HALLUCINATION")</x:f>
        <x:v>0</x:v>
      </x:c>
      <x:c r="Y737" s="43" t="n">
        <x:f>--AND(Q737=1,O737="HALLUCINATION")</x:f>
        <x:v>0</x:v>
      </x:c>
      <x:c r="Z737" s="43" t="n">
        <x:f>--AND(Y737=1,R737=1,S737=1)</x:f>
        <x:v>0</x:v>
      </x:c>
      <x:c r="AC737" t="str">
        <x:f>IF(OR(AA737="",AB737=""),"",--(AA737&lt;&gt;AB737))</x:f>
      </x:c>
      <x:c r="AE737" t="str">
        <x:f>IF(OR(AA737="",AB737=""),"PENDING_HUMAN",IF(AA737=AB737,AA737,IF(AD737&lt;&gt;"",AD737,"PENDING_HUMAN")))</x:f>
        <x:v>PENDING_HUMAN</x:v>
      </x:c>
      <x:c r="AF737" t="n">
        <x:f>--AND(A737&lt;&gt;"",AA737&lt;&gt;"",AB737&lt;&gt;"",OR(AA737=AB737,AD737&lt;&gt;""),IF(AE737="HALLUCINATION",U737&lt;&gt;"",TRUE))</x:f>
        <x:v>0</x:v>
      </x:c>
      <x:c r="AG737" t="n">
        <x:f>--AND(N737=1,AF737=1,OR(AE737="SUPPORTED",AE737="HALLUCINATION"))</x:f>
        <x:v>0</x:v>
      </x:c>
      <x:c r="AH737" t="n">
        <x:f>--AND(AG737=1,AE737="HALLUCINATION")</x:f>
        <x:v>0</x:v>
      </x:c>
      <x:c r="AI737" t="n">
        <x:f>--AND(Q737=1,AF737=1,AE737="HALLUCINATION")</x:f>
        <x:v>0</x:v>
      </x:c>
      <x:c r="AJ737" t="n">
        <x:f>--AND(AI737=1,R737=1,S737=1)</x:f>
        <x:v>0</x:v>
      </x:c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28"/>
      <x:c r="R738" s="28"/>
      <x:c r="S738" s="28"/>
      <x:c r="T738" s="28"/>
      <x:c r="U738" s="28"/>
      <x:c r="V738" s="28"/>
      <x:c r="W738" s="43" t="n">
        <x:f>--AND(N738=1,OR(O738="SUPPORTED",O738="HALLUCINATION"))</x:f>
        <x:v>0</x:v>
      </x:c>
      <x:c r="X738" s="43" t="n">
        <x:f>--AND(W738=1,O738="HALLUCINATION")</x:f>
        <x:v>0</x:v>
      </x:c>
      <x:c r="Y738" s="43" t="n">
        <x:f>--AND(Q738=1,O738="HALLUCINATION")</x:f>
        <x:v>0</x:v>
      </x:c>
      <x:c r="Z738" s="43" t="n">
        <x:f>--AND(Y738=1,R738=1,S738=1)</x:f>
        <x:v>0</x:v>
      </x:c>
      <x:c r="AC738" t="str">
        <x:f>IF(OR(AA738="",AB738=""),"",--(AA738&lt;&gt;AB738))</x:f>
      </x:c>
      <x:c r="AE738" t="str">
        <x:f>IF(OR(AA738="",AB738=""),"PENDING_HUMAN",IF(AA738=AB738,AA738,IF(AD738&lt;&gt;"",AD738,"PENDING_HUMAN")))</x:f>
        <x:v>PENDING_HUMAN</x:v>
      </x:c>
      <x:c r="AF738" t="n">
        <x:f>--AND(A738&lt;&gt;"",AA738&lt;&gt;"",AB738&lt;&gt;"",OR(AA738=AB738,AD738&lt;&gt;""),IF(AE738="HALLUCINATION",U738&lt;&gt;"",TRUE))</x:f>
        <x:v>0</x:v>
      </x:c>
      <x:c r="AG738" t="n">
        <x:f>--AND(N738=1,AF738=1,OR(AE738="SUPPORTED",AE738="HALLUCINATION"))</x:f>
        <x:v>0</x:v>
      </x:c>
      <x:c r="AH738" t="n">
        <x:f>--AND(AG738=1,AE738="HALLUCINATION")</x:f>
        <x:v>0</x:v>
      </x:c>
      <x:c r="AI738" t="n">
        <x:f>--AND(Q738=1,AF738=1,AE738="HALLUCINATION")</x:f>
        <x:v>0</x:v>
      </x:c>
      <x:c r="AJ738" t="n">
        <x:f>--AND(AI738=1,R738=1,S738=1)</x:f>
        <x:v>0</x:v>
      </x:c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28"/>
      <x:c r="R739" s="28"/>
      <x:c r="S739" s="28"/>
      <x:c r="T739" s="28"/>
      <x:c r="U739" s="28"/>
      <x:c r="V739" s="28"/>
      <x:c r="W739" s="43" t="n">
        <x:f>--AND(N739=1,OR(O739="SUPPORTED",O739="HALLUCINATION"))</x:f>
        <x:v>0</x:v>
      </x:c>
      <x:c r="X739" s="43" t="n">
        <x:f>--AND(W739=1,O739="HALLUCINATION")</x:f>
        <x:v>0</x:v>
      </x:c>
      <x:c r="Y739" s="43" t="n">
        <x:f>--AND(Q739=1,O739="HALLUCINATION")</x:f>
        <x:v>0</x:v>
      </x:c>
      <x:c r="Z739" s="43" t="n">
        <x:f>--AND(Y739=1,R739=1,S739=1)</x:f>
        <x:v>0</x:v>
      </x:c>
      <x:c r="AC739" t="str">
        <x:f>IF(OR(AA739="",AB739=""),"",--(AA739&lt;&gt;AB739))</x:f>
      </x:c>
      <x:c r="AE739" t="str">
        <x:f>IF(OR(AA739="",AB739=""),"PENDING_HUMAN",IF(AA739=AB739,AA739,IF(AD739&lt;&gt;"",AD739,"PENDING_HUMAN")))</x:f>
        <x:v>PENDING_HUMAN</x:v>
      </x:c>
      <x:c r="AF739" t="n">
        <x:f>--AND(A739&lt;&gt;"",AA739&lt;&gt;"",AB739&lt;&gt;"",OR(AA739=AB739,AD739&lt;&gt;""),IF(AE739="HALLUCINATION",U739&lt;&gt;"",TRUE))</x:f>
        <x:v>0</x:v>
      </x:c>
      <x:c r="AG739" t="n">
        <x:f>--AND(N739=1,AF739=1,OR(AE739="SUPPORTED",AE739="HALLUCINATION"))</x:f>
        <x:v>0</x:v>
      </x:c>
      <x:c r="AH739" t="n">
        <x:f>--AND(AG739=1,AE739="HALLUCINATION")</x:f>
        <x:v>0</x:v>
      </x:c>
      <x:c r="AI739" t="n">
        <x:f>--AND(Q739=1,AF739=1,AE739="HALLUCINATION")</x:f>
        <x:v>0</x:v>
      </x:c>
      <x:c r="AJ739" t="n">
        <x:f>--AND(AI739=1,R739=1,S739=1)</x:f>
        <x:v>0</x:v>
      </x:c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28"/>
      <x:c r="R740" s="28"/>
      <x:c r="S740" s="28"/>
      <x:c r="T740" s="28"/>
      <x:c r="U740" s="28"/>
      <x:c r="V740" s="28"/>
      <x:c r="W740" s="43" t="n">
        <x:f>--AND(N740=1,OR(O740="SUPPORTED",O740="HALLUCINATION"))</x:f>
        <x:v>0</x:v>
      </x:c>
      <x:c r="X740" s="43" t="n">
        <x:f>--AND(W740=1,O740="HALLUCINATION")</x:f>
        <x:v>0</x:v>
      </x:c>
      <x:c r="Y740" s="43" t="n">
        <x:f>--AND(Q740=1,O740="HALLUCINATION")</x:f>
        <x:v>0</x:v>
      </x:c>
      <x:c r="Z740" s="43" t="n">
        <x:f>--AND(Y740=1,R740=1,S740=1)</x:f>
        <x:v>0</x:v>
      </x:c>
      <x:c r="AC740" t="str">
        <x:f>IF(OR(AA740="",AB740=""),"",--(AA740&lt;&gt;AB740))</x:f>
      </x:c>
      <x:c r="AE740" t="str">
        <x:f>IF(OR(AA740="",AB740=""),"PENDING_HUMAN",IF(AA740=AB740,AA740,IF(AD740&lt;&gt;"",AD740,"PENDING_HUMAN")))</x:f>
        <x:v>PENDING_HUMAN</x:v>
      </x:c>
      <x:c r="AF740" t="n">
        <x:f>--AND(A740&lt;&gt;"",AA740&lt;&gt;"",AB740&lt;&gt;"",OR(AA740=AB740,AD740&lt;&gt;""),IF(AE740="HALLUCINATION",U740&lt;&gt;"",TRUE))</x:f>
        <x:v>0</x:v>
      </x:c>
      <x:c r="AG740" t="n">
        <x:f>--AND(N740=1,AF740=1,OR(AE740="SUPPORTED",AE740="HALLUCINATION"))</x:f>
        <x:v>0</x:v>
      </x:c>
      <x:c r="AH740" t="n">
        <x:f>--AND(AG740=1,AE740="HALLUCINATION")</x:f>
        <x:v>0</x:v>
      </x:c>
      <x:c r="AI740" t="n">
        <x:f>--AND(Q740=1,AF740=1,AE740="HALLUCINATION")</x:f>
        <x:v>0</x:v>
      </x:c>
      <x:c r="AJ740" t="n">
        <x:f>--AND(AI740=1,R740=1,S740=1)</x:f>
        <x:v>0</x:v>
      </x:c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28"/>
      <x:c r="R741" s="28"/>
      <x:c r="S741" s="28"/>
      <x:c r="T741" s="28"/>
      <x:c r="U741" s="28"/>
      <x:c r="V741" s="28"/>
      <x:c r="W741" s="43" t="n">
        <x:f>--AND(N741=1,OR(O741="SUPPORTED",O741="HALLUCINATION"))</x:f>
        <x:v>0</x:v>
      </x:c>
      <x:c r="X741" s="43" t="n">
        <x:f>--AND(W741=1,O741="HALLUCINATION")</x:f>
        <x:v>0</x:v>
      </x:c>
      <x:c r="Y741" s="43" t="n">
        <x:f>--AND(Q741=1,O741="HALLUCINATION")</x:f>
        <x:v>0</x:v>
      </x:c>
      <x:c r="Z741" s="43" t="n">
        <x:f>--AND(Y741=1,R741=1,S741=1)</x:f>
        <x:v>0</x:v>
      </x:c>
      <x:c r="AC741" t="str">
        <x:f>IF(OR(AA741="",AB741=""),"",--(AA741&lt;&gt;AB741))</x:f>
      </x:c>
      <x:c r="AE741" t="str">
        <x:f>IF(OR(AA741="",AB741=""),"PENDING_HUMAN",IF(AA741=AB741,AA741,IF(AD741&lt;&gt;"",AD741,"PENDING_HUMAN")))</x:f>
        <x:v>PENDING_HUMAN</x:v>
      </x:c>
      <x:c r="AF741" t="n">
        <x:f>--AND(A741&lt;&gt;"",AA741&lt;&gt;"",AB741&lt;&gt;"",OR(AA741=AB741,AD741&lt;&gt;""),IF(AE741="HALLUCINATION",U741&lt;&gt;"",TRUE))</x:f>
        <x:v>0</x:v>
      </x:c>
      <x:c r="AG741" t="n">
        <x:f>--AND(N741=1,AF741=1,OR(AE741="SUPPORTED",AE741="HALLUCINATION"))</x:f>
        <x:v>0</x:v>
      </x:c>
      <x:c r="AH741" t="n">
        <x:f>--AND(AG741=1,AE741="HALLUCINATION")</x:f>
        <x:v>0</x:v>
      </x:c>
      <x:c r="AI741" t="n">
        <x:f>--AND(Q741=1,AF741=1,AE741="HALLUCINATION")</x:f>
        <x:v>0</x:v>
      </x:c>
      <x:c r="AJ741" t="n">
        <x:f>--AND(AI741=1,R741=1,S741=1)</x:f>
        <x:v>0</x:v>
      </x:c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28"/>
      <x:c r="R742" s="28"/>
      <x:c r="S742" s="28"/>
      <x:c r="T742" s="28"/>
      <x:c r="U742" s="28"/>
      <x:c r="V742" s="28"/>
      <x:c r="W742" s="43" t="n">
        <x:f>--AND(N742=1,OR(O742="SUPPORTED",O742="HALLUCINATION"))</x:f>
        <x:v>0</x:v>
      </x:c>
      <x:c r="X742" s="43" t="n">
        <x:f>--AND(W742=1,O742="HALLUCINATION")</x:f>
        <x:v>0</x:v>
      </x:c>
      <x:c r="Y742" s="43" t="n">
        <x:f>--AND(Q742=1,O742="HALLUCINATION")</x:f>
        <x:v>0</x:v>
      </x:c>
      <x:c r="Z742" s="43" t="n">
        <x:f>--AND(Y742=1,R742=1,S742=1)</x:f>
        <x:v>0</x:v>
      </x:c>
      <x:c r="AC742" t="str">
        <x:f>IF(OR(AA742="",AB742=""),"",--(AA742&lt;&gt;AB742))</x:f>
      </x:c>
      <x:c r="AE742" t="str">
        <x:f>IF(OR(AA742="",AB742=""),"PENDING_HUMAN",IF(AA742=AB742,AA742,IF(AD742&lt;&gt;"",AD742,"PENDING_HUMAN")))</x:f>
        <x:v>PENDING_HUMAN</x:v>
      </x:c>
      <x:c r="AF742" t="n">
        <x:f>--AND(A742&lt;&gt;"",AA742&lt;&gt;"",AB742&lt;&gt;"",OR(AA742=AB742,AD742&lt;&gt;""),IF(AE742="HALLUCINATION",U742&lt;&gt;"",TRUE))</x:f>
        <x:v>0</x:v>
      </x:c>
      <x:c r="AG742" t="n">
        <x:f>--AND(N742=1,AF742=1,OR(AE742="SUPPORTED",AE742="HALLUCINATION"))</x:f>
        <x:v>0</x:v>
      </x:c>
      <x:c r="AH742" t="n">
        <x:f>--AND(AG742=1,AE742="HALLUCINATION")</x:f>
        <x:v>0</x:v>
      </x:c>
      <x:c r="AI742" t="n">
        <x:f>--AND(Q742=1,AF742=1,AE742="HALLUCINATION")</x:f>
        <x:v>0</x:v>
      </x:c>
      <x:c r="AJ742" t="n">
        <x:f>--AND(AI742=1,R742=1,S742=1)</x:f>
        <x:v>0</x:v>
      </x:c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28"/>
      <x:c r="R743" s="28"/>
      <x:c r="S743" s="28"/>
      <x:c r="T743" s="28"/>
      <x:c r="U743" s="28"/>
      <x:c r="V743" s="28"/>
      <x:c r="W743" s="43" t="n">
        <x:f>--AND(N743=1,OR(O743="SUPPORTED",O743="HALLUCINATION"))</x:f>
        <x:v>0</x:v>
      </x:c>
      <x:c r="X743" s="43" t="n">
        <x:f>--AND(W743=1,O743="HALLUCINATION")</x:f>
        <x:v>0</x:v>
      </x:c>
      <x:c r="Y743" s="43" t="n">
        <x:f>--AND(Q743=1,O743="HALLUCINATION")</x:f>
        <x:v>0</x:v>
      </x:c>
      <x:c r="Z743" s="43" t="n">
        <x:f>--AND(Y743=1,R743=1,S743=1)</x:f>
        <x:v>0</x:v>
      </x:c>
      <x:c r="AC743" t="str">
        <x:f>IF(OR(AA743="",AB743=""),"",--(AA743&lt;&gt;AB743))</x:f>
      </x:c>
      <x:c r="AE743" t="str">
        <x:f>IF(OR(AA743="",AB743=""),"PENDING_HUMAN",IF(AA743=AB743,AA743,IF(AD743&lt;&gt;"",AD743,"PENDING_HUMAN")))</x:f>
        <x:v>PENDING_HUMAN</x:v>
      </x:c>
      <x:c r="AF743" t="n">
        <x:f>--AND(A743&lt;&gt;"",AA743&lt;&gt;"",AB743&lt;&gt;"",OR(AA743=AB743,AD743&lt;&gt;""),IF(AE743="HALLUCINATION",U743&lt;&gt;"",TRUE))</x:f>
        <x:v>0</x:v>
      </x:c>
      <x:c r="AG743" t="n">
        <x:f>--AND(N743=1,AF743=1,OR(AE743="SUPPORTED",AE743="HALLUCINATION"))</x:f>
        <x:v>0</x:v>
      </x:c>
      <x:c r="AH743" t="n">
        <x:f>--AND(AG743=1,AE743="HALLUCINATION")</x:f>
        <x:v>0</x:v>
      </x:c>
      <x:c r="AI743" t="n">
        <x:f>--AND(Q743=1,AF743=1,AE743="HALLUCINATION")</x:f>
        <x:v>0</x:v>
      </x:c>
      <x:c r="AJ743" t="n">
        <x:f>--AND(AI743=1,R743=1,S743=1)</x:f>
        <x:v>0</x:v>
      </x:c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28"/>
      <x:c r="R744" s="28"/>
      <x:c r="S744" s="28"/>
      <x:c r="T744" s="28"/>
      <x:c r="U744" s="28"/>
      <x:c r="V744" s="28"/>
      <x:c r="W744" s="43" t="n">
        <x:f>--AND(N744=1,OR(O744="SUPPORTED",O744="HALLUCINATION"))</x:f>
        <x:v>0</x:v>
      </x:c>
      <x:c r="X744" s="43" t="n">
        <x:f>--AND(W744=1,O744="HALLUCINATION")</x:f>
        <x:v>0</x:v>
      </x:c>
      <x:c r="Y744" s="43" t="n">
        <x:f>--AND(Q744=1,O744="HALLUCINATION")</x:f>
        <x:v>0</x:v>
      </x:c>
      <x:c r="Z744" s="43" t="n">
        <x:f>--AND(Y744=1,R744=1,S744=1)</x:f>
        <x:v>0</x:v>
      </x:c>
      <x:c r="AC744" t="str">
        <x:f>IF(OR(AA744="",AB744=""),"",--(AA744&lt;&gt;AB744))</x:f>
      </x:c>
      <x:c r="AE744" t="str">
        <x:f>IF(OR(AA744="",AB744=""),"PENDING_HUMAN",IF(AA744=AB744,AA744,IF(AD744&lt;&gt;"",AD744,"PENDING_HUMAN")))</x:f>
        <x:v>PENDING_HUMAN</x:v>
      </x:c>
      <x:c r="AF744" t="n">
        <x:f>--AND(A744&lt;&gt;"",AA744&lt;&gt;"",AB744&lt;&gt;"",OR(AA744=AB744,AD744&lt;&gt;""),IF(AE744="HALLUCINATION",U744&lt;&gt;"",TRUE))</x:f>
        <x:v>0</x:v>
      </x:c>
      <x:c r="AG744" t="n">
        <x:f>--AND(N744=1,AF744=1,OR(AE744="SUPPORTED",AE744="HALLUCINATION"))</x:f>
        <x:v>0</x:v>
      </x:c>
      <x:c r="AH744" t="n">
        <x:f>--AND(AG744=1,AE744="HALLUCINATION")</x:f>
        <x:v>0</x:v>
      </x:c>
      <x:c r="AI744" t="n">
        <x:f>--AND(Q744=1,AF744=1,AE744="HALLUCINATION")</x:f>
        <x:v>0</x:v>
      </x:c>
      <x:c r="AJ744" t="n">
        <x:f>--AND(AI744=1,R744=1,S744=1)</x:f>
        <x:v>0</x:v>
      </x:c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28"/>
      <x:c r="R745" s="28"/>
      <x:c r="S745" s="28"/>
      <x:c r="T745" s="28"/>
      <x:c r="U745" s="28"/>
      <x:c r="V745" s="28"/>
      <x:c r="W745" s="43" t="n">
        <x:f>--AND(N745=1,OR(O745="SUPPORTED",O745="HALLUCINATION"))</x:f>
        <x:v>0</x:v>
      </x:c>
      <x:c r="X745" s="43" t="n">
        <x:f>--AND(W745=1,O745="HALLUCINATION")</x:f>
        <x:v>0</x:v>
      </x:c>
      <x:c r="Y745" s="43" t="n">
        <x:f>--AND(Q745=1,O745="HALLUCINATION")</x:f>
        <x:v>0</x:v>
      </x:c>
      <x:c r="Z745" s="43" t="n">
        <x:f>--AND(Y745=1,R745=1,S745=1)</x:f>
        <x:v>0</x:v>
      </x:c>
      <x:c r="AC745" t="str">
        <x:f>IF(OR(AA745="",AB745=""),"",--(AA745&lt;&gt;AB745))</x:f>
      </x:c>
      <x:c r="AE745" t="str">
        <x:f>IF(OR(AA745="",AB745=""),"PENDING_HUMAN",IF(AA745=AB745,AA745,IF(AD745&lt;&gt;"",AD745,"PENDING_HUMAN")))</x:f>
        <x:v>PENDING_HUMAN</x:v>
      </x:c>
      <x:c r="AF745" t="n">
        <x:f>--AND(A745&lt;&gt;"",AA745&lt;&gt;"",AB745&lt;&gt;"",OR(AA745=AB745,AD745&lt;&gt;""),IF(AE745="HALLUCINATION",U745&lt;&gt;"",TRUE))</x:f>
        <x:v>0</x:v>
      </x:c>
      <x:c r="AG745" t="n">
        <x:f>--AND(N745=1,AF745=1,OR(AE745="SUPPORTED",AE745="HALLUCINATION"))</x:f>
        <x:v>0</x:v>
      </x:c>
      <x:c r="AH745" t="n">
        <x:f>--AND(AG745=1,AE745="HALLUCINATION")</x:f>
        <x:v>0</x:v>
      </x:c>
      <x:c r="AI745" t="n">
        <x:f>--AND(Q745=1,AF745=1,AE745="HALLUCINATION")</x:f>
        <x:v>0</x:v>
      </x:c>
      <x:c r="AJ745" t="n">
        <x:f>--AND(AI745=1,R745=1,S745=1)</x:f>
        <x:v>0</x:v>
      </x:c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28"/>
      <x:c r="R746" s="28"/>
      <x:c r="S746" s="28"/>
      <x:c r="T746" s="28"/>
      <x:c r="U746" s="28"/>
      <x:c r="V746" s="28"/>
      <x:c r="W746" s="43" t="n">
        <x:f>--AND(N746=1,OR(O746="SUPPORTED",O746="HALLUCINATION"))</x:f>
        <x:v>0</x:v>
      </x:c>
      <x:c r="X746" s="43" t="n">
        <x:f>--AND(W746=1,O746="HALLUCINATION")</x:f>
        <x:v>0</x:v>
      </x:c>
      <x:c r="Y746" s="43" t="n">
        <x:f>--AND(Q746=1,O746="HALLUCINATION")</x:f>
        <x:v>0</x:v>
      </x:c>
      <x:c r="Z746" s="43" t="n">
        <x:f>--AND(Y746=1,R746=1,S746=1)</x:f>
        <x:v>0</x:v>
      </x:c>
      <x:c r="AC746" t="str">
        <x:f>IF(OR(AA746="",AB746=""),"",--(AA746&lt;&gt;AB746))</x:f>
      </x:c>
      <x:c r="AE746" t="str">
        <x:f>IF(OR(AA746="",AB746=""),"PENDING_HUMAN",IF(AA746=AB746,AA746,IF(AD746&lt;&gt;"",AD746,"PENDING_HUMAN")))</x:f>
        <x:v>PENDING_HUMAN</x:v>
      </x:c>
      <x:c r="AF746" t="n">
        <x:f>--AND(A746&lt;&gt;"",AA746&lt;&gt;"",AB746&lt;&gt;"",OR(AA746=AB746,AD746&lt;&gt;""),IF(AE746="HALLUCINATION",U746&lt;&gt;"",TRUE))</x:f>
        <x:v>0</x:v>
      </x:c>
      <x:c r="AG746" t="n">
        <x:f>--AND(N746=1,AF746=1,OR(AE746="SUPPORTED",AE746="HALLUCINATION"))</x:f>
        <x:v>0</x:v>
      </x:c>
      <x:c r="AH746" t="n">
        <x:f>--AND(AG746=1,AE746="HALLUCINATION")</x:f>
        <x:v>0</x:v>
      </x:c>
      <x:c r="AI746" t="n">
        <x:f>--AND(Q746=1,AF746=1,AE746="HALLUCINATION")</x:f>
        <x:v>0</x:v>
      </x:c>
      <x:c r="AJ746" t="n">
        <x:f>--AND(AI746=1,R746=1,S746=1)</x:f>
        <x:v>0</x:v>
      </x:c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28"/>
      <x:c r="R747" s="28"/>
      <x:c r="S747" s="28"/>
      <x:c r="T747" s="28"/>
      <x:c r="U747" s="28"/>
      <x:c r="V747" s="28"/>
      <x:c r="W747" s="43" t="n">
        <x:f>--AND(N747=1,OR(O747="SUPPORTED",O747="HALLUCINATION"))</x:f>
        <x:v>0</x:v>
      </x:c>
      <x:c r="X747" s="43" t="n">
        <x:f>--AND(W747=1,O747="HALLUCINATION")</x:f>
        <x:v>0</x:v>
      </x:c>
      <x:c r="Y747" s="43" t="n">
        <x:f>--AND(Q747=1,O747="HALLUCINATION")</x:f>
        <x:v>0</x:v>
      </x:c>
      <x:c r="Z747" s="43" t="n">
        <x:f>--AND(Y747=1,R747=1,S747=1)</x:f>
        <x:v>0</x:v>
      </x:c>
      <x:c r="AC747" t="str">
        <x:f>IF(OR(AA747="",AB747=""),"",--(AA747&lt;&gt;AB747))</x:f>
      </x:c>
      <x:c r="AE747" t="str">
        <x:f>IF(OR(AA747="",AB747=""),"PENDING_HUMAN",IF(AA747=AB747,AA747,IF(AD747&lt;&gt;"",AD747,"PENDING_HUMAN")))</x:f>
        <x:v>PENDING_HUMAN</x:v>
      </x:c>
      <x:c r="AF747" t="n">
        <x:f>--AND(A747&lt;&gt;"",AA747&lt;&gt;"",AB747&lt;&gt;"",OR(AA747=AB747,AD747&lt;&gt;""),IF(AE747="HALLUCINATION",U747&lt;&gt;"",TRUE))</x:f>
        <x:v>0</x:v>
      </x:c>
      <x:c r="AG747" t="n">
        <x:f>--AND(N747=1,AF747=1,OR(AE747="SUPPORTED",AE747="HALLUCINATION"))</x:f>
        <x:v>0</x:v>
      </x:c>
      <x:c r="AH747" t="n">
        <x:f>--AND(AG747=1,AE747="HALLUCINATION")</x:f>
        <x:v>0</x:v>
      </x:c>
      <x:c r="AI747" t="n">
        <x:f>--AND(Q747=1,AF747=1,AE747="HALLUCINATION")</x:f>
        <x:v>0</x:v>
      </x:c>
      <x:c r="AJ747" t="n">
        <x:f>--AND(AI747=1,R747=1,S747=1)</x:f>
        <x:v>0</x:v>
      </x:c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28"/>
      <x:c r="R748" s="28"/>
      <x:c r="S748" s="28"/>
      <x:c r="T748" s="28"/>
      <x:c r="U748" s="28"/>
      <x:c r="V748" s="28"/>
      <x:c r="W748" s="43" t="n">
        <x:f>--AND(N748=1,OR(O748="SUPPORTED",O748="HALLUCINATION"))</x:f>
        <x:v>0</x:v>
      </x:c>
      <x:c r="X748" s="43" t="n">
        <x:f>--AND(W748=1,O748="HALLUCINATION")</x:f>
        <x:v>0</x:v>
      </x:c>
      <x:c r="Y748" s="43" t="n">
        <x:f>--AND(Q748=1,O748="HALLUCINATION")</x:f>
        <x:v>0</x:v>
      </x:c>
      <x:c r="Z748" s="43" t="n">
        <x:f>--AND(Y748=1,R748=1,S748=1)</x:f>
        <x:v>0</x:v>
      </x:c>
      <x:c r="AC748" t="str">
        <x:f>IF(OR(AA748="",AB748=""),"",--(AA748&lt;&gt;AB748))</x:f>
      </x:c>
      <x:c r="AE748" t="str">
        <x:f>IF(OR(AA748="",AB748=""),"PENDING_HUMAN",IF(AA748=AB748,AA748,IF(AD748&lt;&gt;"",AD748,"PENDING_HUMAN")))</x:f>
        <x:v>PENDING_HUMAN</x:v>
      </x:c>
      <x:c r="AF748" t="n">
        <x:f>--AND(A748&lt;&gt;"",AA748&lt;&gt;"",AB748&lt;&gt;"",OR(AA748=AB748,AD748&lt;&gt;""),IF(AE748="HALLUCINATION",U748&lt;&gt;"",TRUE))</x:f>
        <x:v>0</x:v>
      </x:c>
      <x:c r="AG748" t="n">
        <x:f>--AND(N748=1,AF748=1,OR(AE748="SUPPORTED",AE748="HALLUCINATION"))</x:f>
        <x:v>0</x:v>
      </x:c>
      <x:c r="AH748" t="n">
        <x:f>--AND(AG748=1,AE748="HALLUCINATION")</x:f>
        <x:v>0</x:v>
      </x:c>
      <x:c r="AI748" t="n">
        <x:f>--AND(Q748=1,AF748=1,AE748="HALLUCINATION")</x:f>
        <x:v>0</x:v>
      </x:c>
      <x:c r="AJ748" t="n">
        <x:f>--AND(AI748=1,R748=1,S748=1)</x:f>
        <x:v>0</x:v>
      </x:c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28"/>
      <x:c r="R749" s="28"/>
      <x:c r="S749" s="28"/>
      <x:c r="T749" s="28"/>
      <x:c r="U749" s="28"/>
      <x:c r="V749" s="28"/>
      <x:c r="W749" s="43" t="n">
        <x:f>--AND(N749=1,OR(O749="SUPPORTED",O749="HALLUCINATION"))</x:f>
        <x:v>0</x:v>
      </x:c>
      <x:c r="X749" s="43" t="n">
        <x:f>--AND(W749=1,O749="HALLUCINATION")</x:f>
        <x:v>0</x:v>
      </x:c>
      <x:c r="Y749" s="43" t="n">
        <x:f>--AND(Q749=1,O749="HALLUCINATION")</x:f>
        <x:v>0</x:v>
      </x:c>
      <x:c r="Z749" s="43" t="n">
        <x:f>--AND(Y749=1,R749=1,S749=1)</x:f>
        <x:v>0</x:v>
      </x:c>
      <x:c r="AC749" t="str">
        <x:f>IF(OR(AA749="",AB749=""),"",--(AA749&lt;&gt;AB749))</x:f>
      </x:c>
      <x:c r="AE749" t="str">
        <x:f>IF(OR(AA749="",AB749=""),"PENDING_HUMAN",IF(AA749=AB749,AA749,IF(AD749&lt;&gt;"",AD749,"PENDING_HUMAN")))</x:f>
        <x:v>PENDING_HUMAN</x:v>
      </x:c>
      <x:c r="AF749" t="n">
        <x:f>--AND(A749&lt;&gt;"",AA749&lt;&gt;"",AB749&lt;&gt;"",OR(AA749=AB749,AD749&lt;&gt;""),IF(AE749="HALLUCINATION",U749&lt;&gt;"",TRUE))</x:f>
        <x:v>0</x:v>
      </x:c>
      <x:c r="AG749" t="n">
        <x:f>--AND(N749=1,AF749=1,OR(AE749="SUPPORTED",AE749="HALLUCINATION"))</x:f>
        <x:v>0</x:v>
      </x:c>
      <x:c r="AH749" t="n">
        <x:f>--AND(AG749=1,AE749="HALLUCINATION")</x:f>
        <x:v>0</x:v>
      </x:c>
      <x:c r="AI749" t="n">
        <x:f>--AND(Q749=1,AF749=1,AE749="HALLUCINATION")</x:f>
        <x:v>0</x:v>
      </x:c>
      <x:c r="AJ749" t="n">
        <x:f>--AND(AI749=1,R749=1,S749=1)</x:f>
        <x:v>0</x:v>
      </x:c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28"/>
      <x:c r="R750" s="28"/>
      <x:c r="S750" s="28"/>
      <x:c r="T750" s="28"/>
      <x:c r="U750" s="28"/>
      <x:c r="V750" s="28"/>
      <x:c r="W750" s="43" t="n">
        <x:f>--AND(N750=1,OR(O750="SUPPORTED",O750="HALLUCINATION"))</x:f>
        <x:v>0</x:v>
      </x:c>
      <x:c r="X750" s="43" t="n">
        <x:f>--AND(W750=1,O750="HALLUCINATION")</x:f>
        <x:v>0</x:v>
      </x:c>
      <x:c r="Y750" s="43" t="n">
        <x:f>--AND(Q750=1,O750="HALLUCINATION")</x:f>
        <x:v>0</x:v>
      </x:c>
      <x:c r="Z750" s="43" t="n">
        <x:f>--AND(Y750=1,R750=1,S750=1)</x:f>
        <x:v>0</x:v>
      </x:c>
      <x:c r="AC750" t="str">
        <x:f>IF(OR(AA750="",AB750=""),"",--(AA750&lt;&gt;AB750))</x:f>
      </x:c>
      <x:c r="AE750" t="str">
        <x:f>IF(OR(AA750="",AB750=""),"PENDING_HUMAN",IF(AA750=AB750,AA750,IF(AD750&lt;&gt;"",AD750,"PENDING_HUMAN")))</x:f>
        <x:v>PENDING_HUMAN</x:v>
      </x:c>
      <x:c r="AF750" t="n">
        <x:f>--AND(A750&lt;&gt;"",AA750&lt;&gt;"",AB750&lt;&gt;"",OR(AA750=AB750,AD750&lt;&gt;""),IF(AE750="HALLUCINATION",U750&lt;&gt;"",TRUE))</x:f>
        <x:v>0</x:v>
      </x:c>
      <x:c r="AG750" t="n">
        <x:f>--AND(N750=1,AF750=1,OR(AE750="SUPPORTED",AE750="HALLUCINATION"))</x:f>
        <x:v>0</x:v>
      </x:c>
      <x:c r="AH750" t="n">
        <x:f>--AND(AG750=1,AE750="HALLUCINATION")</x:f>
        <x:v>0</x:v>
      </x:c>
      <x:c r="AI750" t="n">
        <x:f>--AND(Q750=1,AF750=1,AE750="HALLUCINATION")</x:f>
        <x:v>0</x:v>
      </x:c>
      <x:c r="AJ750" t="n">
        <x:f>--AND(AI750=1,R750=1,S750=1)</x:f>
        <x:v>0</x:v>
      </x:c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28"/>
      <x:c r="R751" s="28"/>
      <x:c r="S751" s="28"/>
      <x:c r="T751" s="28"/>
      <x:c r="U751" s="28"/>
      <x:c r="V751" s="28"/>
      <x:c r="W751" s="43" t="n">
        <x:f>--AND(N751=1,OR(O751="SUPPORTED",O751="HALLUCINATION"))</x:f>
        <x:v>0</x:v>
      </x:c>
      <x:c r="X751" s="43" t="n">
        <x:f>--AND(W751=1,O751="HALLUCINATION")</x:f>
        <x:v>0</x:v>
      </x:c>
      <x:c r="Y751" s="43" t="n">
        <x:f>--AND(Q751=1,O751="HALLUCINATION")</x:f>
        <x:v>0</x:v>
      </x:c>
      <x:c r="Z751" s="43" t="n">
        <x:f>--AND(Y751=1,R751=1,S751=1)</x:f>
        <x:v>0</x:v>
      </x:c>
      <x:c r="AC751" t="str">
        <x:f>IF(OR(AA751="",AB751=""),"",--(AA751&lt;&gt;AB751))</x:f>
      </x:c>
      <x:c r="AE751" t="str">
        <x:f>IF(OR(AA751="",AB751=""),"PENDING_HUMAN",IF(AA751=AB751,AA751,IF(AD751&lt;&gt;"",AD751,"PENDING_HUMAN")))</x:f>
        <x:v>PENDING_HUMAN</x:v>
      </x:c>
      <x:c r="AF751" t="n">
        <x:f>--AND(A751&lt;&gt;"",AA751&lt;&gt;"",AB751&lt;&gt;"",OR(AA751=AB751,AD751&lt;&gt;""),IF(AE751="HALLUCINATION",U751&lt;&gt;"",TRUE))</x:f>
        <x:v>0</x:v>
      </x:c>
      <x:c r="AG751" t="n">
        <x:f>--AND(N751=1,AF751=1,OR(AE751="SUPPORTED",AE751="HALLUCINATION"))</x:f>
        <x:v>0</x:v>
      </x:c>
      <x:c r="AH751" t="n">
        <x:f>--AND(AG751=1,AE751="HALLUCINATION")</x:f>
        <x:v>0</x:v>
      </x:c>
      <x:c r="AI751" t="n">
        <x:f>--AND(Q751=1,AF751=1,AE751="HALLUCINATION")</x:f>
        <x:v>0</x:v>
      </x:c>
      <x:c r="AJ751" t="n">
        <x:f>--AND(AI751=1,R751=1,S751=1)</x:f>
        <x:v>0</x:v>
      </x:c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28"/>
      <x:c r="R752" s="28"/>
      <x:c r="S752" s="28"/>
      <x:c r="T752" s="28"/>
      <x:c r="U752" s="28"/>
      <x:c r="V752" s="28"/>
      <x:c r="W752" s="43" t="n">
        <x:f>--AND(N752=1,OR(O752="SUPPORTED",O752="HALLUCINATION"))</x:f>
        <x:v>0</x:v>
      </x:c>
      <x:c r="X752" s="43" t="n">
        <x:f>--AND(W752=1,O752="HALLUCINATION")</x:f>
        <x:v>0</x:v>
      </x:c>
      <x:c r="Y752" s="43" t="n">
        <x:f>--AND(Q752=1,O752="HALLUCINATION")</x:f>
        <x:v>0</x:v>
      </x:c>
      <x:c r="Z752" s="43" t="n">
        <x:f>--AND(Y752=1,R752=1,S752=1)</x:f>
        <x:v>0</x:v>
      </x:c>
      <x:c r="AC752" t="str">
        <x:f>IF(OR(AA752="",AB752=""),"",--(AA752&lt;&gt;AB752))</x:f>
      </x:c>
      <x:c r="AE752" t="str">
        <x:f>IF(OR(AA752="",AB752=""),"PENDING_HUMAN",IF(AA752=AB752,AA752,IF(AD752&lt;&gt;"",AD752,"PENDING_HUMAN")))</x:f>
        <x:v>PENDING_HUMAN</x:v>
      </x:c>
      <x:c r="AF752" t="n">
        <x:f>--AND(A752&lt;&gt;"",AA752&lt;&gt;"",AB752&lt;&gt;"",OR(AA752=AB752,AD752&lt;&gt;""),IF(AE752="HALLUCINATION",U752&lt;&gt;"",TRUE))</x:f>
        <x:v>0</x:v>
      </x:c>
      <x:c r="AG752" t="n">
        <x:f>--AND(N752=1,AF752=1,OR(AE752="SUPPORTED",AE752="HALLUCINATION"))</x:f>
        <x:v>0</x:v>
      </x:c>
      <x:c r="AH752" t="n">
        <x:f>--AND(AG752=1,AE752="HALLUCINATION")</x:f>
        <x:v>0</x:v>
      </x:c>
      <x:c r="AI752" t="n">
        <x:f>--AND(Q752=1,AF752=1,AE752="HALLUCINATION")</x:f>
        <x:v>0</x:v>
      </x:c>
      <x:c r="AJ752" t="n">
        <x:f>--AND(AI752=1,R752=1,S752=1)</x:f>
        <x:v>0</x:v>
      </x:c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28"/>
      <x:c r="R753" s="28"/>
      <x:c r="S753" s="28"/>
      <x:c r="T753" s="28"/>
      <x:c r="U753" s="28"/>
      <x:c r="V753" s="28"/>
      <x:c r="W753" s="43" t="n">
        <x:f>--AND(N753=1,OR(O753="SUPPORTED",O753="HALLUCINATION"))</x:f>
        <x:v>0</x:v>
      </x:c>
      <x:c r="X753" s="43" t="n">
        <x:f>--AND(W753=1,O753="HALLUCINATION")</x:f>
        <x:v>0</x:v>
      </x:c>
      <x:c r="Y753" s="43" t="n">
        <x:f>--AND(Q753=1,O753="HALLUCINATION")</x:f>
        <x:v>0</x:v>
      </x:c>
      <x:c r="Z753" s="43" t="n">
        <x:f>--AND(Y753=1,R753=1,S753=1)</x:f>
        <x:v>0</x:v>
      </x:c>
      <x:c r="AC753" t="str">
        <x:f>IF(OR(AA753="",AB753=""),"",--(AA753&lt;&gt;AB753))</x:f>
      </x:c>
      <x:c r="AE753" t="str">
        <x:f>IF(OR(AA753="",AB753=""),"PENDING_HUMAN",IF(AA753=AB753,AA753,IF(AD753&lt;&gt;"",AD753,"PENDING_HUMAN")))</x:f>
        <x:v>PENDING_HUMAN</x:v>
      </x:c>
      <x:c r="AF753" t="n">
        <x:f>--AND(A753&lt;&gt;"",AA753&lt;&gt;"",AB753&lt;&gt;"",OR(AA753=AB753,AD753&lt;&gt;""),IF(AE753="HALLUCINATION",U753&lt;&gt;"",TRUE))</x:f>
        <x:v>0</x:v>
      </x:c>
      <x:c r="AG753" t="n">
        <x:f>--AND(N753=1,AF753=1,OR(AE753="SUPPORTED",AE753="HALLUCINATION"))</x:f>
        <x:v>0</x:v>
      </x:c>
      <x:c r="AH753" t="n">
        <x:f>--AND(AG753=1,AE753="HALLUCINATION")</x:f>
        <x:v>0</x:v>
      </x:c>
      <x:c r="AI753" t="n">
        <x:f>--AND(Q753=1,AF753=1,AE753="HALLUCINATION")</x:f>
        <x:v>0</x:v>
      </x:c>
      <x:c r="AJ753" t="n">
        <x:f>--AND(AI753=1,R753=1,S753=1)</x:f>
        <x:v>0</x:v>
      </x:c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28"/>
      <x:c r="R754" s="28"/>
      <x:c r="S754" s="28"/>
      <x:c r="T754" s="28"/>
      <x:c r="U754" s="28"/>
      <x:c r="V754" s="28"/>
      <x:c r="W754" s="43" t="n">
        <x:f>--AND(N754=1,OR(O754="SUPPORTED",O754="HALLUCINATION"))</x:f>
        <x:v>0</x:v>
      </x:c>
      <x:c r="X754" s="43" t="n">
        <x:f>--AND(W754=1,O754="HALLUCINATION")</x:f>
        <x:v>0</x:v>
      </x:c>
      <x:c r="Y754" s="43" t="n">
        <x:f>--AND(Q754=1,O754="HALLUCINATION")</x:f>
        <x:v>0</x:v>
      </x:c>
      <x:c r="Z754" s="43" t="n">
        <x:f>--AND(Y754=1,R754=1,S754=1)</x:f>
        <x:v>0</x:v>
      </x:c>
      <x:c r="AC754" t="str">
        <x:f>IF(OR(AA754="",AB754=""),"",--(AA754&lt;&gt;AB754))</x:f>
      </x:c>
      <x:c r="AE754" t="str">
        <x:f>IF(OR(AA754="",AB754=""),"PENDING_HUMAN",IF(AA754=AB754,AA754,IF(AD754&lt;&gt;"",AD754,"PENDING_HUMAN")))</x:f>
        <x:v>PENDING_HUMAN</x:v>
      </x:c>
      <x:c r="AF754" t="n">
        <x:f>--AND(A754&lt;&gt;"",AA754&lt;&gt;"",AB754&lt;&gt;"",OR(AA754=AB754,AD754&lt;&gt;""),IF(AE754="HALLUCINATION",U754&lt;&gt;"",TRUE))</x:f>
        <x:v>0</x:v>
      </x:c>
      <x:c r="AG754" t="n">
        <x:f>--AND(N754=1,AF754=1,OR(AE754="SUPPORTED",AE754="HALLUCINATION"))</x:f>
        <x:v>0</x:v>
      </x:c>
      <x:c r="AH754" t="n">
        <x:f>--AND(AG754=1,AE754="HALLUCINATION")</x:f>
        <x:v>0</x:v>
      </x:c>
      <x:c r="AI754" t="n">
        <x:f>--AND(Q754=1,AF754=1,AE754="HALLUCINATION")</x:f>
        <x:v>0</x:v>
      </x:c>
      <x:c r="AJ754" t="n">
        <x:f>--AND(AI754=1,R754=1,S754=1)</x:f>
        <x:v>0</x:v>
      </x:c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28"/>
      <x:c r="R755" s="28"/>
      <x:c r="S755" s="28"/>
      <x:c r="T755" s="28"/>
      <x:c r="U755" s="28"/>
      <x:c r="V755" s="28"/>
      <x:c r="W755" s="43" t="n">
        <x:f>--AND(N755=1,OR(O755="SUPPORTED",O755="HALLUCINATION"))</x:f>
        <x:v>0</x:v>
      </x:c>
      <x:c r="X755" s="43" t="n">
        <x:f>--AND(W755=1,O755="HALLUCINATION")</x:f>
        <x:v>0</x:v>
      </x:c>
      <x:c r="Y755" s="43" t="n">
        <x:f>--AND(Q755=1,O755="HALLUCINATION")</x:f>
        <x:v>0</x:v>
      </x:c>
      <x:c r="Z755" s="43" t="n">
        <x:f>--AND(Y755=1,R755=1,S755=1)</x:f>
        <x:v>0</x:v>
      </x:c>
      <x:c r="AC755" t="str">
        <x:f>IF(OR(AA755="",AB755=""),"",--(AA755&lt;&gt;AB755))</x:f>
      </x:c>
      <x:c r="AE755" t="str">
        <x:f>IF(OR(AA755="",AB755=""),"PENDING_HUMAN",IF(AA755=AB755,AA755,IF(AD755&lt;&gt;"",AD755,"PENDING_HUMAN")))</x:f>
        <x:v>PENDING_HUMAN</x:v>
      </x:c>
      <x:c r="AF755" t="n">
        <x:f>--AND(A755&lt;&gt;"",AA755&lt;&gt;"",AB755&lt;&gt;"",OR(AA755=AB755,AD755&lt;&gt;""),IF(AE755="HALLUCINATION",U755&lt;&gt;"",TRUE))</x:f>
        <x:v>0</x:v>
      </x:c>
      <x:c r="AG755" t="n">
        <x:f>--AND(N755=1,AF755=1,OR(AE755="SUPPORTED",AE755="HALLUCINATION"))</x:f>
        <x:v>0</x:v>
      </x:c>
      <x:c r="AH755" t="n">
        <x:f>--AND(AG755=1,AE755="HALLUCINATION")</x:f>
        <x:v>0</x:v>
      </x:c>
      <x:c r="AI755" t="n">
        <x:f>--AND(Q755=1,AF755=1,AE755="HALLUCINATION")</x:f>
        <x:v>0</x:v>
      </x:c>
      <x:c r="AJ755" t="n">
        <x:f>--AND(AI755=1,R755=1,S755=1)</x:f>
        <x:v>0</x:v>
      </x:c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28"/>
      <x:c r="R756" s="28"/>
      <x:c r="S756" s="28"/>
      <x:c r="T756" s="28"/>
      <x:c r="U756" s="28"/>
      <x:c r="V756" s="28"/>
      <x:c r="W756" s="43" t="n">
        <x:f>--AND(N756=1,OR(O756="SUPPORTED",O756="HALLUCINATION"))</x:f>
        <x:v>0</x:v>
      </x:c>
      <x:c r="X756" s="43" t="n">
        <x:f>--AND(W756=1,O756="HALLUCINATION")</x:f>
        <x:v>0</x:v>
      </x:c>
      <x:c r="Y756" s="43" t="n">
        <x:f>--AND(Q756=1,O756="HALLUCINATION")</x:f>
        <x:v>0</x:v>
      </x:c>
      <x:c r="Z756" s="43" t="n">
        <x:f>--AND(Y756=1,R756=1,S756=1)</x:f>
        <x:v>0</x:v>
      </x:c>
      <x:c r="AC756" t="str">
        <x:f>IF(OR(AA756="",AB756=""),"",--(AA756&lt;&gt;AB756))</x:f>
      </x:c>
      <x:c r="AE756" t="str">
        <x:f>IF(OR(AA756="",AB756=""),"PENDING_HUMAN",IF(AA756=AB756,AA756,IF(AD756&lt;&gt;"",AD756,"PENDING_HUMAN")))</x:f>
        <x:v>PENDING_HUMAN</x:v>
      </x:c>
      <x:c r="AF756" t="n">
        <x:f>--AND(A756&lt;&gt;"",AA756&lt;&gt;"",AB756&lt;&gt;"",OR(AA756=AB756,AD756&lt;&gt;""),IF(AE756="HALLUCINATION",U756&lt;&gt;"",TRUE))</x:f>
        <x:v>0</x:v>
      </x:c>
      <x:c r="AG756" t="n">
        <x:f>--AND(N756=1,AF756=1,OR(AE756="SUPPORTED",AE756="HALLUCINATION"))</x:f>
        <x:v>0</x:v>
      </x:c>
      <x:c r="AH756" t="n">
        <x:f>--AND(AG756=1,AE756="HALLUCINATION")</x:f>
        <x:v>0</x:v>
      </x:c>
      <x:c r="AI756" t="n">
        <x:f>--AND(Q756=1,AF756=1,AE756="HALLUCINATION")</x:f>
        <x:v>0</x:v>
      </x:c>
      <x:c r="AJ756" t="n">
        <x:f>--AND(AI756=1,R756=1,S756=1)</x:f>
        <x:v>0</x:v>
      </x:c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28"/>
      <x:c r="R757" s="28"/>
      <x:c r="S757" s="28"/>
      <x:c r="T757" s="28"/>
      <x:c r="U757" s="28"/>
      <x:c r="V757" s="28"/>
      <x:c r="W757" s="43" t="n">
        <x:f>--AND(N757=1,OR(O757="SUPPORTED",O757="HALLUCINATION"))</x:f>
        <x:v>0</x:v>
      </x:c>
      <x:c r="X757" s="43" t="n">
        <x:f>--AND(W757=1,O757="HALLUCINATION")</x:f>
        <x:v>0</x:v>
      </x:c>
      <x:c r="Y757" s="43" t="n">
        <x:f>--AND(Q757=1,O757="HALLUCINATION")</x:f>
        <x:v>0</x:v>
      </x:c>
      <x:c r="Z757" s="43" t="n">
        <x:f>--AND(Y757=1,R757=1,S757=1)</x:f>
        <x:v>0</x:v>
      </x:c>
      <x:c r="AC757" t="str">
        <x:f>IF(OR(AA757="",AB757=""),"",--(AA757&lt;&gt;AB757))</x:f>
      </x:c>
      <x:c r="AE757" t="str">
        <x:f>IF(OR(AA757="",AB757=""),"PENDING_HUMAN",IF(AA757=AB757,AA757,IF(AD757&lt;&gt;"",AD757,"PENDING_HUMAN")))</x:f>
        <x:v>PENDING_HUMAN</x:v>
      </x:c>
      <x:c r="AF757" t="n">
        <x:f>--AND(A757&lt;&gt;"",AA757&lt;&gt;"",AB757&lt;&gt;"",OR(AA757=AB757,AD757&lt;&gt;""),IF(AE757="HALLUCINATION",U757&lt;&gt;"",TRUE))</x:f>
        <x:v>0</x:v>
      </x:c>
      <x:c r="AG757" t="n">
        <x:f>--AND(N757=1,AF757=1,OR(AE757="SUPPORTED",AE757="HALLUCINATION"))</x:f>
        <x:v>0</x:v>
      </x:c>
      <x:c r="AH757" t="n">
        <x:f>--AND(AG757=1,AE757="HALLUCINATION")</x:f>
        <x:v>0</x:v>
      </x:c>
      <x:c r="AI757" t="n">
        <x:f>--AND(Q757=1,AF757=1,AE757="HALLUCINATION")</x:f>
        <x:v>0</x:v>
      </x:c>
      <x:c r="AJ757" t="n">
        <x:f>--AND(AI757=1,R757=1,S757=1)</x:f>
        <x:v>0</x:v>
      </x:c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28"/>
      <x:c r="R758" s="28"/>
      <x:c r="S758" s="28"/>
      <x:c r="T758" s="28"/>
      <x:c r="U758" s="28"/>
      <x:c r="V758" s="28"/>
      <x:c r="W758" s="43" t="n">
        <x:f>--AND(N758=1,OR(O758="SUPPORTED",O758="HALLUCINATION"))</x:f>
        <x:v>0</x:v>
      </x:c>
      <x:c r="X758" s="43" t="n">
        <x:f>--AND(W758=1,O758="HALLUCINATION")</x:f>
        <x:v>0</x:v>
      </x:c>
      <x:c r="Y758" s="43" t="n">
        <x:f>--AND(Q758=1,O758="HALLUCINATION")</x:f>
        <x:v>0</x:v>
      </x:c>
      <x:c r="Z758" s="43" t="n">
        <x:f>--AND(Y758=1,R758=1,S758=1)</x:f>
        <x:v>0</x:v>
      </x:c>
      <x:c r="AC758" t="str">
        <x:f>IF(OR(AA758="",AB758=""),"",--(AA758&lt;&gt;AB758))</x:f>
      </x:c>
      <x:c r="AE758" t="str">
        <x:f>IF(OR(AA758="",AB758=""),"PENDING_HUMAN",IF(AA758=AB758,AA758,IF(AD758&lt;&gt;"",AD758,"PENDING_HUMAN")))</x:f>
        <x:v>PENDING_HUMAN</x:v>
      </x:c>
      <x:c r="AF758" t="n">
        <x:f>--AND(A758&lt;&gt;"",AA758&lt;&gt;"",AB758&lt;&gt;"",OR(AA758=AB758,AD758&lt;&gt;""),IF(AE758="HALLUCINATION",U758&lt;&gt;"",TRUE))</x:f>
        <x:v>0</x:v>
      </x:c>
      <x:c r="AG758" t="n">
        <x:f>--AND(N758=1,AF758=1,OR(AE758="SUPPORTED",AE758="HALLUCINATION"))</x:f>
        <x:v>0</x:v>
      </x:c>
      <x:c r="AH758" t="n">
        <x:f>--AND(AG758=1,AE758="HALLUCINATION")</x:f>
        <x:v>0</x:v>
      </x:c>
      <x:c r="AI758" t="n">
        <x:f>--AND(Q758=1,AF758=1,AE758="HALLUCINATION")</x:f>
        <x:v>0</x:v>
      </x:c>
      <x:c r="AJ758" t="n">
        <x:f>--AND(AI758=1,R758=1,S758=1)</x:f>
        <x:v>0</x:v>
      </x:c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28"/>
      <x:c r="R759" s="28"/>
      <x:c r="S759" s="28"/>
      <x:c r="T759" s="28"/>
      <x:c r="U759" s="28"/>
      <x:c r="V759" s="28"/>
      <x:c r="W759" s="43" t="n">
        <x:f>--AND(N759=1,OR(O759="SUPPORTED",O759="HALLUCINATION"))</x:f>
        <x:v>0</x:v>
      </x:c>
      <x:c r="X759" s="43" t="n">
        <x:f>--AND(W759=1,O759="HALLUCINATION")</x:f>
        <x:v>0</x:v>
      </x:c>
      <x:c r="Y759" s="43" t="n">
        <x:f>--AND(Q759=1,O759="HALLUCINATION")</x:f>
        <x:v>0</x:v>
      </x:c>
      <x:c r="Z759" s="43" t="n">
        <x:f>--AND(Y759=1,R759=1,S759=1)</x:f>
        <x:v>0</x:v>
      </x:c>
      <x:c r="AC759" t="str">
        <x:f>IF(OR(AA759="",AB759=""),"",--(AA759&lt;&gt;AB759))</x:f>
      </x:c>
      <x:c r="AE759" t="str">
        <x:f>IF(OR(AA759="",AB759=""),"PENDING_HUMAN",IF(AA759=AB759,AA759,IF(AD759&lt;&gt;"",AD759,"PENDING_HUMAN")))</x:f>
        <x:v>PENDING_HUMAN</x:v>
      </x:c>
      <x:c r="AF759" t="n">
        <x:f>--AND(A759&lt;&gt;"",AA759&lt;&gt;"",AB759&lt;&gt;"",OR(AA759=AB759,AD759&lt;&gt;""),IF(AE759="HALLUCINATION",U759&lt;&gt;"",TRUE))</x:f>
        <x:v>0</x:v>
      </x:c>
      <x:c r="AG759" t="n">
        <x:f>--AND(N759=1,AF759=1,OR(AE759="SUPPORTED",AE759="HALLUCINATION"))</x:f>
        <x:v>0</x:v>
      </x:c>
      <x:c r="AH759" t="n">
        <x:f>--AND(AG759=1,AE759="HALLUCINATION")</x:f>
        <x:v>0</x:v>
      </x:c>
      <x:c r="AI759" t="n">
        <x:f>--AND(Q759=1,AF759=1,AE759="HALLUCINATION")</x:f>
        <x:v>0</x:v>
      </x:c>
      <x:c r="AJ759" t="n">
        <x:f>--AND(AI759=1,R759=1,S759=1)</x:f>
        <x:v>0</x:v>
      </x:c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28"/>
      <x:c r="R760" s="28"/>
      <x:c r="S760" s="28"/>
      <x:c r="T760" s="28"/>
      <x:c r="U760" s="28"/>
      <x:c r="V760" s="28"/>
      <x:c r="W760" s="43" t="n">
        <x:f>--AND(N760=1,OR(O760="SUPPORTED",O760="HALLUCINATION"))</x:f>
        <x:v>0</x:v>
      </x:c>
      <x:c r="X760" s="43" t="n">
        <x:f>--AND(W760=1,O760="HALLUCINATION")</x:f>
        <x:v>0</x:v>
      </x:c>
      <x:c r="Y760" s="43" t="n">
        <x:f>--AND(Q760=1,O760="HALLUCINATION")</x:f>
        <x:v>0</x:v>
      </x:c>
      <x:c r="Z760" s="43" t="n">
        <x:f>--AND(Y760=1,R760=1,S760=1)</x:f>
        <x:v>0</x:v>
      </x:c>
      <x:c r="AC760" t="str">
        <x:f>IF(OR(AA760="",AB760=""),"",--(AA760&lt;&gt;AB760))</x:f>
      </x:c>
      <x:c r="AE760" t="str">
        <x:f>IF(OR(AA760="",AB760=""),"PENDING_HUMAN",IF(AA760=AB760,AA760,IF(AD760&lt;&gt;"",AD760,"PENDING_HUMAN")))</x:f>
        <x:v>PENDING_HUMAN</x:v>
      </x:c>
      <x:c r="AF760" t="n">
        <x:f>--AND(A760&lt;&gt;"",AA760&lt;&gt;"",AB760&lt;&gt;"",OR(AA760=AB760,AD760&lt;&gt;""),IF(AE760="HALLUCINATION",U760&lt;&gt;"",TRUE))</x:f>
        <x:v>0</x:v>
      </x:c>
      <x:c r="AG760" t="n">
        <x:f>--AND(N760=1,AF760=1,OR(AE760="SUPPORTED",AE760="HALLUCINATION"))</x:f>
        <x:v>0</x:v>
      </x:c>
      <x:c r="AH760" t="n">
        <x:f>--AND(AG760=1,AE760="HALLUCINATION")</x:f>
        <x:v>0</x:v>
      </x:c>
      <x:c r="AI760" t="n">
        <x:f>--AND(Q760=1,AF760=1,AE760="HALLUCINATION")</x:f>
        <x:v>0</x:v>
      </x:c>
      <x:c r="AJ760" t="n">
        <x:f>--AND(AI760=1,R760=1,S760=1)</x:f>
        <x:v>0</x:v>
      </x:c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28"/>
      <x:c r="R761" s="28"/>
      <x:c r="S761" s="28"/>
      <x:c r="T761" s="28"/>
      <x:c r="U761" s="28"/>
      <x:c r="V761" s="28"/>
      <x:c r="W761" s="43" t="n">
        <x:f>--AND(N761=1,OR(O761="SUPPORTED",O761="HALLUCINATION"))</x:f>
        <x:v>0</x:v>
      </x:c>
      <x:c r="X761" s="43" t="n">
        <x:f>--AND(W761=1,O761="HALLUCINATION")</x:f>
        <x:v>0</x:v>
      </x:c>
      <x:c r="Y761" s="43" t="n">
        <x:f>--AND(Q761=1,O761="HALLUCINATION")</x:f>
        <x:v>0</x:v>
      </x:c>
      <x:c r="Z761" s="43" t="n">
        <x:f>--AND(Y761=1,R761=1,S761=1)</x:f>
        <x:v>0</x:v>
      </x:c>
      <x:c r="AC761" t="str">
        <x:f>IF(OR(AA761="",AB761=""),"",--(AA761&lt;&gt;AB761))</x:f>
      </x:c>
      <x:c r="AE761" t="str">
        <x:f>IF(OR(AA761="",AB761=""),"PENDING_HUMAN",IF(AA761=AB761,AA761,IF(AD761&lt;&gt;"",AD761,"PENDING_HUMAN")))</x:f>
        <x:v>PENDING_HUMAN</x:v>
      </x:c>
      <x:c r="AF761" t="n">
        <x:f>--AND(A761&lt;&gt;"",AA761&lt;&gt;"",AB761&lt;&gt;"",OR(AA761=AB761,AD761&lt;&gt;""),IF(AE761="HALLUCINATION",U761&lt;&gt;"",TRUE))</x:f>
        <x:v>0</x:v>
      </x:c>
      <x:c r="AG761" t="n">
        <x:f>--AND(N761=1,AF761=1,OR(AE761="SUPPORTED",AE761="HALLUCINATION"))</x:f>
        <x:v>0</x:v>
      </x:c>
      <x:c r="AH761" t="n">
        <x:f>--AND(AG761=1,AE761="HALLUCINATION")</x:f>
        <x:v>0</x:v>
      </x:c>
      <x:c r="AI761" t="n">
        <x:f>--AND(Q761=1,AF761=1,AE761="HALLUCINATION")</x:f>
        <x:v>0</x:v>
      </x:c>
      <x:c r="AJ761" t="n">
        <x:f>--AND(AI761=1,R761=1,S761=1)</x:f>
        <x:v>0</x:v>
      </x:c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28"/>
      <x:c r="R762" s="28"/>
      <x:c r="S762" s="28"/>
      <x:c r="T762" s="28"/>
      <x:c r="U762" s="28"/>
      <x:c r="V762" s="28"/>
      <x:c r="W762" s="43" t="n">
        <x:f>--AND(N762=1,OR(O762="SUPPORTED",O762="HALLUCINATION"))</x:f>
        <x:v>0</x:v>
      </x:c>
      <x:c r="X762" s="43" t="n">
        <x:f>--AND(W762=1,O762="HALLUCINATION")</x:f>
        <x:v>0</x:v>
      </x:c>
      <x:c r="Y762" s="43" t="n">
        <x:f>--AND(Q762=1,O762="HALLUCINATION")</x:f>
        <x:v>0</x:v>
      </x:c>
      <x:c r="Z762" s="43" t="n">
        <x:f>--AND(Y762=1,R762=1,S762=1)</x:f>
        <x:v>0</x:v>
      </x:c>
      <x:c r="AC762" t="str">
        <x:f>IF(OR(AA762="",AB762=""),"",--(AA762&lt;&gt;AB762))</x:f>
      </x:c>
      <x:c r="AE762" t="str">
        <x:f>IF(OR(AA762="",AB762=""),"PENDING_HUMAN",IF(AA762=AB762,AA762,IF(AD762&lt;&gt;"",AD762,"PENDING_HUMAN")))</x:f>
        <x:v>PENDING_HUMAN</x:v>
      </x:c>
      <x:c r="AF762" t="n">
        <x:f>--AND(A762&lt;&gt;"",AA762&lt;&gt;"",AB762&lt;&gt;"",OR(AA762=AB762,AD762&lt;&gt;""),IF(AE762="HALLUCINATION",U762&lt;&gt;"",TRUE))</x:f>
        <x:v>0</x:v>
      </x:c>
      <x:c r="AG762" t="n">
        <x:f>--AND(N762=1,AF762=1,OR(AE762="SUPPORTED",AE762="HALLUCINATION"))</x:f>
        <x:v>0</x:v>
      </x:c>
      <x:c r="AH762" t="n">
        <x:f>--AND(AG762=1,AE762="HALLUCINATION")</x:f>
        <x:v>0</x:v>
      </x:c>
      <x:c r="AI762" t="n">
        <x:f>--AND(Q762=1,AF762=1,AE762="HALLUCINATION")</x:f>
        <x:v>0</x:v>
      </x:c>
      <x:c r="AJ762" t="n">
        <x:f>--AND(AI762=1,R762=1,S762=1)</x:f>
        <x:v>0</x:v>
      </x:c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28"/>
      <x:c r="R763" s="28"/>
      <x:c r="S763" s="28"/>
      <x:c r="T763" s="28"/>
      <x:c r="U763" s="28"/>
      <x:c r="V763" s="28"/>
      <x:c r="W763" s="43" t="n">
        <x:f>--AND(N763=1,OR(O763="SUPPORTED",O763="HALLUCINATION"))</x:f>
        <x:v>0</x:v>
      </x:c>
      <x:c r="X763" s="43" t="n">
        <x:f>--AND(W763=1,O763="HALLUCINATION")</x:f>
        <x:v>0</x:v>
      </x:c>
      <x:c r="Y763" s="43" t="n">
        <x:f>--AND(Q763=1,O763="HALLUCINATION")</x:f>
        <x:v>0</x:v>
      </x:c>
      <x:c r="Z763" s="43" t="n">
        <x:f>--AND(Y763=1,R763=1,S763=1)</x:f>
        <x:v>0</x:v>
      </x:c>
      <x:c r="AC763" t="str">
        <x:f>IF(OR(AA763="",AB763=""),"",--(AA763&lt;&gt;AB763))</x:f>
      </x:c>
      <x:c r="AE763" t="str">
        <x:f>IF(OR(AA763="",AB763=""),"PENDING_HUMAN",IF(AA763=AB763,AA763,IF(AD763&lt;&gt;"",AD763,"PENDING_HUMAN")))</x:f>
        <x:v>PENDING_HUMAN</x:v>
      </x:c>
      <x:c r="AF763" t="n">
        <x:f>--AND(A763&lt;&gt;"",AA763&lt;&gt;"",AB763&lt;&gt;"",OR(AA763=AB763,AD763&lt;&gt;""),IF(AE763="HALLUCINATION",U763&lt;&gt;"",TRUE))</x:f>
        <x:v>0</x:v>
      </x:c>
      <x:c r="AG763" t="n">
        <x:f>--AND(N763=1,AF763=1,OR(AE763="SUPPORTED",AE763="HALLUCINATION"))</x:f>
        <x:v>0</x:v>
      </x:c>
      <x:c r="AH763" t="n">
        <x:f>--AND(AG763=1,AE763="HALLUCINATION")</x:f>
        <x:v>0</x:v>
      </x:c>
      <x:c r="AI763" t="n">
        <x:f>--AND(Q763=1,AF763=1,AE763="HALLUCINATION")</x:f>
        <x:v>0</x:v>
      </x:c>
      <x:c r="AJ763" t="n">
        <x:f>--AND(AI763=1,R763=1,S763=1)</x:f>
        <x:v>0</x:v>
      </x:c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28"/>
      <x:c r="R764" s="28"/>
      <x:c r="S764" s="28"/>
      <x:c r="T764" s="28"/>
      <x:c r="U764" s="28"/>
      <x:c r="V764" s="28"/>
      <x:c r="W764" s="43" t="n">
        <x:f>--AND(N764=1,OR(O764="SUPPORTED",O764="HALLUCINATION"))</x:f>
        <x:v>0</x:v>
      </x:c>
      <x:c r="X764" s="43" t="n">
        <x:f>--AND(W764=1,O764="HALLUCINATION")</x:f>
        <x:v>0</x:v>
      </x:c>
      <x:c r="Y764" s="43" t="n">
        <x:f>--AND(Q764=1,O764="HALLUCINATION")</x:f>
        <x:v>0</x:v>
      </x:c>
      <x:c r="Z764" s="43" t="n">
        <x:f>--AND(Y764=1,R764=1,S764=1)</x:f>
        <x:v>0</x:v>
      </x:c>
      <x:c r="AC764" t="str">
        <x:f>IF(OR(AA764="",AB764=""),"",--(AA764&lt;&gt;AB764))</x:f>
      </x:c>
      <x:c r="AE764" t="str">
        <x:f>IF(OR(AA764="",AB764=""),"PENDING_HUMAN",IF(AA764=AB764,AA764,IF(AD764&lt;&gt;"",AD764,"PENDING_HUMAN")))</x:f>
        <x:v>PENDING_HUMAN</x:v>
      </x:c>
      <x:c r="AF764" t="n">
        <x:f>--AND(A764&lt;&gt;"",AA764&lt;&gt;"",AB764&lt;&gt;"",OR(AA764=AB764,AD764&lt;&gt;""),IF(AE764="HALLUCINATION",U764&lt;&gt;"",TRUE))</x:f>
        <x:v>0</x:v>
      </x:c>
      <x:c r="AG764" t="n">
        <x:f>--AND(N764=1,AF764=1,OR(AE764="SUPPORTED",AE764="HALLUCINATION"))</x:f>
        <x:v>0</x:v>
      </x:c>
      <x:c r="AH764" t="n">
        <x:f>--AND(AG764=1,AE764="HALLUCINATION")</x:f>
        <x:v>0</x:v>
      </x:c>
      <x:c r="AI764" t="n">
        <x:f>--AND(Q764=1,AF764=1,AE764="HALLUCINATION")</x:f>
        <x:v>0</x:v>
      </x:c>
      <x:c r="AJ764" t="n">
        <x:f>--AND(AI764=1,R764=1,S764=1)</x:f>
        <x:v>0</x:v>
      </x:c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28"/>
      <x:c r="R765" s="28"/>
      <x:c r="S765" s="28"/>
      <x:c r="T765" s="28"/>
      <x:c r="U765" s="28"/>
      <x:c r="V765" s="28"/>
      <x:c r="W765" s="43" t="n">
        <x:f>--AND(N765=1,OR(O765="SUPPORTED",O765="HALLUCINATION"))</x:f>
        <x:v>0</x:v>
      </x:c>
      <x:c r="X765" s="43" t="n">
        <x:f>--AND(W765=1,O765="HALLUCINATION")</x:f>
        <x:v>0</x:v>
      </x:c>
      <x:c r="Y765" s="43" t="n">
        <x:f>--AND(Q765=1,O765="HALLUCINATION")</x:f>
        <x:v>0</x:v>
      </x:c>
      <x:c r="Z765" s="43" t="n">
        <x:f>--AND(Y765=1,R765=1,S765=1)</x:f>
        <x:v>0</x:v>
      </x:c>
      <x:c r="AC765" t="str">
        <x:f>IF(OR(AA765="",AB765=""),"",--(AA765&lt;&gt;AB765))</x:f>
      </x:c>
      <x:c r="AE765" t="str">
        <x:f>IF(OR(AA765="",AB765=""),"PENDING_HUMAN",IF(AA765=AB765,AA765,IF(AD765&lt;&gt;"",AD765,"PENDING_HUMAN")))</x:f>
        <x:v>PENDING_HUMAN</x:v>
      </x:c>
      <x:c r="AF765" t="n">
        <x:f>--AND(A765&lt;&gt;"",AA765&lt;&gt;"",AB765&lt;&gt;"",OR(AA765=AB765,AD765&lt;&gt;""),IF(AE765="HALLUCINATION",U765&lt;&gt;"",TRUE))</x:f>
        <x:v>0</x:v>
      </x:c>
      <x:c r="AG765" t="n">
        <x:f>--AND(N765=1,AF765=1,OR(AE765="SUPPORTED",AE765="HALLUCINATION"))</x:f>
        <x:v>0</x:v>
      </x:c>
      <x:c r="AH765" t="n">
        <x:f>--AND(AG765=1,AE765="HALLUCINATION")</x:f>
        <x:v>0</x:v>
      </x:c>
      <x:c r="AI765" t="n">
        <x:f>--AND(Q765=1,AF765=1,AE765="HALLUCINATION")</x:f>
        <x:v>0</x:v>
      </x:c>
      <x:c r="AJ765" t="n">
        <x:f>--AND(AI765=1,R765=1,S765=1)</x:f>
        <x:v>0</x:v>
      </x:c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28"/>
      <x:c r="R766" s="28"/>
      <x:c r="S766" s="28"/>
      <x:c r="T766" s="28"/>
      <x:c r="U766" s="28"/>
      <x:c r="V766" s="28"/>
      <x:c r="W766" s="43" t="n">
        <x:f>--AND(N766=1,OR(O766="SUPPORTED",O766="HALLUCINATION"))</x:f>
        <x:v>0</x:v>
      </x:c>
      <x:c r="X766" s="43" t="n">
        <x:f>--AND(W766=1,O766="HALLUCINATION")</x:f>
        <x:v>0</x:v>
      </x:c>
      <x:c r="Y766" s="43" t="n">
        <x:f>--AND(Q766=1,O766="HALLUCINATION")</x:f>
        <x:v>0</x:v>
      </x:c>
      <x:c r="Z766" s="43" t="n">
        <x:f>--AND(Y766=1,R766=1,S766=1)</x:f>
        <x:v>0</x:v>
      </x:c>
      <x:c r="AC766" t="str">
        <x:f>IF(OR(AA766="",AB766=""),"",--(AA766&lt;&gt;AB766))</x:f>
      </x:c>
      <x:c r="AE766" t="str">
        <x:f>IF(OR(AA766="",AB766=""),"PENDING_HUMAN",IF(AA766=AB766,AA766,IF(AD766&lt;&gt;"",AD766,"PENDING_HUMAN")))</x:f>
        <x:v>PENDING_HUMAN</x:v>
      </x:c>
      <x:c r="AF766" t="n">
        <x:f>--AND(A766&lt;&gt;"",AA766&lt;&gt;"",AB766&lt;&gt;"",OR(AA766=AB766,AD766&lt;&gt;""),IF(AE766="HALLUCINATION",U766&lt;&gt;"",TRUE))</x:f>
        <x:v>0</x:v>
      </x:c>
      <x:c r="AG766" t="n">
        <x:f>--AND(N766=1,AF766=1,OR(AE766="SUPPORTED",AE766="HALLUCINATION"))</x:f>
        <x:v>0</x:v>
      </x:c>
      <x:c r="AH766" t="n">
        <x:f>--AND(AG766=1,AE766="HALLUCINATION")</x:f>
        <x:v>0</x:v>
      </x:c>
      <x:c r="AI766" t="n">
        <x:f>--AND(Q766=1,AF766=1,AE766="HALLUCINATION")</x:f>
        <x:v>0</x:v>
      </x:c>
      <x:c r="AJ766" t="n">
        <x:f>--AND(AI766=1,R766=1,S766=1)</x:f>
        <x:v>0</x:v>
      </x:c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28"/>
      <x:c r="R767" s="28"/>
      <x:c r="S767" s="28"/>
      <x:c r="T767" s="28"/>
      <x:c r="U767" s="28"/>
      <x:c r="V767" s="28"/>
      <x:c r="W767" s="43" t="n">
        <x:f>--AND(N767=1,OR(O767="SUPPORTED",O767="HALLUCINATION"))</x:f>
        <x:v>0</x:v>
      </x:c>
      <x:c r="X767" s="43" t="n">
        <x:f>--AND(W767=1,O767="HALLUCINATION")</x:f>
        <x:v>0</x:v>
      </x:c>
      <x:c r="Y767" s="43" t="n">
        <x:f>--AND(Q767=1,O767="HALLUCINATION")</x:f>
        <x:v>0</x:v>
      </x:c>
      <x:c r="Z767" s="43" t="n">
        <x:f>--AND(Y767=1,R767=1,S767=1)</x:f>
        <x:v>0</x:v>
      </x:c>
      <x:c r="AC767" t="str">
        <x:f>IF(OR(AA767="",AB767=""),"",--(AA767&lt;&gt;AB767))</x:f>
      </x:c>
      <x:c r="AE767" t="str">
        <x:f>IF(OR(AA767="",AB767=""),"PENDING_HUMAN",IF(AA767=AB767,AA767,IF(AD767&lt;&gt;"",AD767,"PENDING_HUMAN")))</x:f>
        <x:v>PENDING_HUMAN</x:v>
      </x:c>
      <x:c r="AF767" t="n">
        <x:f>--AND(A767&lt;&gt;"",AA767&lt;&gt;"",AB767&lt;&gt;"",OR(AA767=AB767,AD767&lt;&gt;""),IF(AE767="HALLUCINATION",U767&lt;&gt;"",TRUE))</x:f>
        <x:v>0</x:v>
      </x:c>
      <x:c r="AG767" t="n">
        <x:f>--AND(N767=1,AF767=1,OR(AE767="SUPPORTED",AE767="HALLUCINATION"))</x:f>
        <x:v>0</x:v>
      </x:c>
      <x:c r="AH767" t="n">
        <x:f>--AND(AG767=1,AE767="HALLUCINATION")</x:f>
        <x:v>0</x:v>
      </x:c>
      <x:c r="AI767" t="n">
        <x:f>--AND(Q767=1,AF767=1,AE767="HALLUCINATION")</x:f>
        <x:v>0</x:v>
      </x:c>
      <x:c r="AJ767" t="n">
        <x:f>--AND(AI767=1,R767=1,S767=1)</x:f>
        <x:v>0</x:v>
      </x:c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28"/>
      <x:c r="R768" s="28"/>
      <x:c r="S768" s="28"/>
      <x:c r="T768" s="28"/>
      <x:c r="U768" s="28"/>
      <x:c r="V768" s="28"/>
      <x:c r="W768" s="43" t="n">
        <x:f>--AND(N768=1,OR(O768="SUPPORTED",O768="HALLUCINATION"))</x:f>
        <x:v>0</x:v>
      </x:c>
      <x:c r="X768" s="43" t="n">
        <x:f>--AND(W768=1,O768="HALLUCINATION")</x:f>
        <x:v>0</x:v>
      </x:c>
      <x:c r="Y768" s="43" t="n">
        <x:f>--AND(Q768=1,O768="HALLUCINATION")</x:f>
        <x:v>0</x:v>
      </x:c>
      <x:c r="Z768" s="43" t="n">
        <x:f>--AND(Y768=1,R768=1,S768=1)</x:f>
        <x:v>0</x:v>
      </x:c>
      <x:c r="AC768" t="str">
        <x:f>IF(OR(AA768="",AB768=""),"",--(AA768&lt;&gt;AB768))</x:f>
      </x:c>
      <x:c r="AE768" t="str">
        <x:f>IF(OR(AA768="",AB768=""),"PENDING_HUMAN",IF(AA768=AB768,AA768,IF(AD768&lt;&gt;"",AD768,"PENDING_HUMAN")))</x:f>
        <x:v>PENDING_HUMAN</x:v>
      </x:c>
      <x:c r="AF768" t="n">
        <x:f>--AND(A768&lt;&gt;"",AA768&lt;&gt;"",AB768&lt;&gt;"",OR(AA768=AB768,AD768&lt;&gt;""),IF(AE768="HALLUCINATION",U768&lt;&gt;"",TRUE))</x:f>
        <x:v>0</x:v>
      </x:c>
      <x:c r="AG768" t="n">
        <x:f>--AND(N768=1,AF768=1,OR(AE768="SUPPORTED",AE768="HALLUCINATION"))</x:f>
        <x:v>0</x:v>
      </x:c>
      <x:c r="AH768" t="n">
        <x:f>--AND(AG768=1,AE768="HALLUCINATION")</x:f>
        <x:v>0</x:v>
      </x:c>
      <x:c r="AI768" t="n">
        <x:f>--AND(Q768=1,AF768=1,AE768="HALLUCINATION")</x:f>
        <x:v>0</x:v>
      </x:c>
      <x:c r="AJ768" t="n">
        <x:f>--AND(AI768=1,R768=1,S768=1)</x:f>
        <x:v>0</x:v>
      </x:c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28"/>
      <x:c r="R769" s="28"/>
      <x:c r="S769" s="28"/>
      <x:c r="T769" s="28"/>
      <x:c r="U769" s="28"/>
      <x:c r="V769" s="28"/>
      <x:c r="W769" s="43" t="n">
        <x:f>--AND(N769=1,OR(O769="SUPPORTED",O769="HALLUCINATION"))</x:f>
        <x:v>0</x:v>
      </x:c>
      <x:c r="X769" s="43" t="n">
        <x:f>--AND(W769=1,O769="HALLUCINATION")</x:f>
        <x:v>0</x:v>
      </x:c>
      <x:c r="Y769" s="43" t="n">
        <x:f>--AND(Q769=1,O769="HALLUCINATION")</x:f>
        <x:v>0</x:v>
      </x:c>
      <x:c r="Z769" s="43" t="n">
        <x:f>--AND(Y769=1,R769=1,S769=1)</x:f>
        <x:v>0</x:v>
      </x:c>
      <x:c r="AC769" t="str">
        <x:f>IF(OR(AA769="",AB769=""),"",--(AA769&lt;&gt;AB769))</x:f>
      </x:c>
      <x:c r="AE769" t="str">
        <x:f>IF(OR(AA769="",AB769=""),"PENDING_HUMAN",IF(AA769=AB769,AA769,IF(AD769&lt;&gt;"",AD769,"PENDING_HUMAN")))</x:f>
        <x:v>PENDING_HUMAN</x:v>
      </x:c>
      <x:c r="AF769" t="n">
        <x:f>--AND(A769&lt;&gt;"",AA769&lt;&gt;"",AB769&lt;&gt;"",OR(AA769=AB769,AD769&lt;&gt;""),IF(AE769="HALLUCINATION",U769&lt;&gt;"",TRUE))</x:f>
        <x:v>0</x:v>
      </x:c>
      <x:c r="AG769" t="n">
        <x:f>--AND(N769=1,AF769=1,OR(AE769="SUPPORTED",AE769="HALLUCINATION"))</x:f>
        <x:v>0</x:v>
      </x:c>
      <x:c r="AH769" t="n">
        <x:f>--AND(AG769=1,AE769="HALLUCINATION")</x:f>
        <x:v>0</x:v>
      </x:c>
      <x:c r="AI769" t="n">
        <x:f>--AND(Q769=1,AF769=1,AE769="HALLUCINATION")</x:f>
        <x:v>0</x:v>
      </x:c>
      <x:c r="AJ769" t="n">
        <x:f>--AND(AI769=1,R769=1,S769=1)</x:f>
        <x:v>0</x:v>
      </x:c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28"/>
      <x:c r="R770" s="28"/>
      <x:c r="S770" s="28"/>
      <x:c r="T770" s="28"/>
      <x:c r="U770" s="28"/>
      <x:c r="V770" s="28"/>
      <x:c r="W770" s="43" t="n">
        <x:f>--AND(N770=1,OR(O770="SUPPORTED",O770="HALLUCINATION"))</x:f>
        <x:v>0</x:v>
      </x:c>
      <x:c r="X770" s="43" t="n">
        <x:f>--AND(W770=1,O770="HALLUCINATION")</x:f>
        <x:v>0</x:v>
      </x:c>
      <x:c r="Y770" s="43" t="n">
        <x:f>--AND(Q770=1,O770="HALLUCINATION")</x:f>
        <x:v>0</x:v>
      </x:c>
      <x:c r="Z770" s="43" t="n">
        <x:f>--AND(Y770=1,R770=1,S770=1)</x:f>
        <x:v>0</x:v>
      </x:c>
      <x:c r="AC770" t="str">
        <x:f>IF(OR(AA770="",AB770=""),"",--(AA770&lt;&gt;AB770))</x:f>
      </x:c>
      <x:c r="AE770" t="str">
        <x:f>IF(OR(AA770="",AB770=""),"PENDING_HUMAN",IF(AA770=AB770,AA770,IF(AD770&lt;&gt;"",AD770,"PENDING_HUMAN")))</x:f>
        <x:v>PENDING_HUMAN</x:v>
      </x:c>
      <x:c r="AF770" t="n">
        <x:f>--AND(A770&lt;&gt;"",AA770&lt;&gt;"",AB770&lt;&gt;"",OR(AA770=AB770,AD770&lt;&gt;""),IF(AE770="HALLUCINATION",U770&lt;&gt;"",TRUE))</x:f>
        <x:v>0</x:v>
      </x:c>
      <x:c r="AG770" t="n">
        <x:f>--AND(N770=1,AF770=1,OR(AE770="SUPPORTED",AE770="HALLUCINATION"))</x:f>
        <x:v>0</x:v>
      </x:c>
      <x:c r="AH770" t="n">
        <x:f>--AND(AG770=1,AE770="HALLUCINATION")</x:f>
        <x:v>0</x:v>
      </x:c>
      <x:c r="AI770" t="n">
        <x:f>--AND(Q770=1,AF770=1,AE770="HALLUCINATION")</x:f>
        <x:v>0</x:v>
      </x:c>
      <x:c r="AJ770" t="n">
        <x:f>--AND(AI770=1,R770=1,S770=1)</x:f>
        <x:v>0</x:v>
      </x:c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28"/>
      <x:c r="R771" s="28"/>
      <x:c r="S771" s="28"/>
      <x:c r="T771" s="28"/>
      <x:c r="U771" s="28"/>
      <x:c r="V771" s="28"/>
      <x:c r="W771" s="43" t="n">
        <x:f>--AND(N771=1,OR(O771="SUPPORTED",O771="HALLUCINATION"))</x:f>
        <x:v>0</x:v>
      </x:c>
      <x:c r="X771" s="43" t="n">
        <x:f>--AND(W771=1,O771="HALLUCINATION")</x:f>
        <x:v>0</x:v>
      </x:c>
      <x:c r="Y771" s="43" t="n">
        <x:f>--AND(Q771=1,O771="HALLUCINATION")</x:f>
        <x:v>0</x:v>
      </x:c>
      <x:c r="Z771" s="43" t="n">
        <x:f>--AND(Y771=1,R771=1,S771=1)</x:f>
        <x:v>0</x:v>
      </x:c>
      <x:c r="AC771" t="str">
        <x:f>IF(OR(AA771="",AB771=""),"",--(AA771&lt;&gt;AB771))</x:f>
      </x:c>
      <x:c r="AE771" t="str">
        <x:f>IF(OR(AA771="",AB771=""),"PENDING_HUMAN",IF(AA771=AB771,AA771,IF(AD771&lt;&gt;"",AD771,"PENDING_HUMAN")))</x:f>
        <x:v>PENDING_HUMAN</x:v>
      </x:c>
      <x:c r="AF771" t="n">
        <x:f>--AND(A771&lt;&gt;"",AA771&lt;&gt;"",AB771&lt;&gt;"",OR(AA771=AB771,AD771&lt;&gt;""),IF(AE771="HALLUCINATION",U771&lt;&gt;"",TRUE))</x:f>
        <x:v>0</x:v>
      </x:c>
      <x:c r="AG771" t="n">
        <x:f>--AND(N771=1,AF771=1,OR(AE771="SUPPORTED",AE771="HALLUCINATION"))</x:f>
        <x:v>0</x:v>
      </x:c>
      <x:c r="AH771" t="n">
        <x:f>--AND(AG771=1,AE771="HALLUCINATION")</x:f>
        <x:v>0</x:v>
      </x:c>
      <x:c r="AI771" t="n">
        <x:f>--AND(Q771=1,AF771=1,AE771="HALLUCINATION")</x:f>
        <x:v>0</x:v>
      </x:c>
      <x:c r="AJ771" t="n">
        <x:f>--AND(AI771=1,R771=1,S771=1)</x:f>
        <x:v>0</x:v>
      </x:c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28"/>
      <x:c r="R772" s="28"/>
      <x:c r="S772" s="28"/>
      <x:c r="T772" s="28"/>
      <x:c r="U772" s="28"/>
      <x:c r="V772" s="28"/>
      <x:c r="W772" s="43" t="n">
        <x:f>--AND(N772=1,OR(O772="SUPPORTED",O772="HALLUCINATION"))</x:f>
        <x:v>0</x:v>
      </x:c>
      <x:c r="X772" s="43" t="n">
        <x:f>--AND(W772=1,O772="HALLUCINATION")</x:f>
        <x:v>0</x:v>
      </x:c>
      <x:c r="Y772" s="43" t="n">
        <x:f>--AND(Q772=1,O772="HALLUCINATION")</x:f>
        <x:v>0</x:v>
      </x:c>
      <x:c r="Z772" s="43" t="n">
        <x:f>--AND(Y772=1,R772=1,S772=1)</x:f>
        <x:v>0</x:v>
      </x:c>
      <x:c r="AC772" t="str">
        <x:f>IF(OR(AA772="",AB772=""),"",--(AA772&lt;&gt;AB772))</x:f>
      </x:c>
      <x:c r="AE772" t="str">
        <x:f>IF(OR(AA772="",AB772=""),"PENDING_HUMAN",IF(AA772=AB772,AA772,IF(AD772&lt;&gt;"",AD772,"PENDING_HUMAN")))</x:f>
        <x:v>PENDING_HUMAN</x:v>
      </x:c>
      <x:c r="AF772" t="n">
        <x:f>--AND(A772&lt;&gt;"",AA772&lt;&gt;"",AB772&lt;&gt;"",OR(AA772=AB772,AD772&lt;&gt;""),IF(AE772="HALLUCINATION",U772&lt;&gt;"",TRUE))</x:f>
        <x:v>0</x:v>
      </x:c>
      <x:c r="AG772" t="n">
        <x:f>--AND(N772=1,AF772=1,OR(AE772="SUPPORTED",AE772="HALLUCINATION"))</x:f>
        <x:v>0</x:v>
      </x:c>
      <x:c r="AH772" t="n">
        <x:f>--AND(AG772=1,AE772="HALLUCINATION")</x:f>
        <x:v>0</x:v>
      </x:c>
      <x:c r="AI772" t="n">
        <x:f>--AND(Q772=1,AF772=1,AE772="HALLUCINATION")</x:f>
        <x:v>0</x:v>
      </x:c>
      <x:c r="AJ772" t="n">
        <x:f>--AND(AI772=1,R772=1,S772=1)</x:f>
        <x:v>0</x:v>
      </x:c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28"/>
      <x:c r="R773" s="28"/>
      <x:c r="S773" s="28"/>
      <x:c r="T773" s="28"/>
      <x:c r="U773" s="28"/>
      <x:c r="V773" s="28"/>
      <x:c r="W773" s="43" t="n">
        <x:f>--AND(N773=1,OR(O773="SUPPORTED",O773="HALLUCINATION"))</x:f>
        <x:v>0</x:v>
      </x:c>
      <x:c r="X773" s="43" t="n">
        <x:f>--AND(W773=1,O773="HALLUCINATION")</x:f>
        <x:v>0</x:v>
      </x:c>
      <x:c r="Y773" s="43" t="n">
        <x:f>--AND(Q773=1,O773="HALLUCINATION")</x:f>
        <x:v>0</x:v>
      </x:c>
      <x:c r="Z773" s="43" t="n">
        <x:f>--AND(Y773=1,R773=1,S773=1)</x:f>
        <x:v>0</x:v>
      </x:c>
      <x:c r="AC773" t="str">
        <x:f>IF(OR(AA773="",AB773=""),"",--(AA773&lt;&gt;AB773))</x:f>
      </x:c>
      <x:c r="AE773" t="str">
        <x:f>IF(OR(AA773="",AB773=""),"PENDING_HUMAN",IF(AA773=AB773,AA773,IF(AD773&lt;&gt;"",AD773,"PENDING_HUMAN")))</x:f>
        <x:v>PENDING_HUMAN</x:v>
      </x:c>
      <x:c r="AF773" t="n">
        <x:f>--AND(A773&lt;&gt;"",AA773&lt;&gt;"",AB773&lt;&gt;"",OR(AA773=AB773,AD773&lt;&gt;""),IF(AE773="HALLUCINATION",U773&lt;&gt;"",TRUE))</x:f>
        <x:v>0</x:v>
      </x:c>
      <x:c r="AG773" t="n">
        <x:f>--AND(N773=1,AF773=1,OR(AE773="SUPPORTED",AE773="HALLUCINATION"))</x:f>
        <x:v>0</x:v>
      </x:c>
      <x:c r="AH773" t="n">
        <x:f>--AND(AG773=1,AE773="HALLUCINATION")</x:f>
        <x:v>0</x:v>
      </x:c>
      <x:c r="AI773" t="n">
        <x:f>--AND(Q773=1,AF773=1,AE773="HALLUCINATION")</x:f>
        <x:v>0</x:v>
      </x:c>
      <x:c r="AJ773" t="n">
        <x:f>--AND(AI773=1,R773=1,S773=1)</x:f>
        <x:v>0</x:v>
      </x:c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28"/>
      <x:c r="R774" s="28"/>
      <x:c r="S774" s="28"/>
      <x:c r="T774" s="28"/>
      <x:c r="U774" s="28"/>
      <x:c r="V774" s="28"/>
      <x:c r="W774" s="43" t="n">
        <x:f>--AND(N774=1,OR(O774="SUPPORTED",O774="HALLUCINATION"))</x:f>
        <x:v>0</x:v>
      </x:c>
      <x:c r="X774" s="43" t="n">
        <x:f>--AND(W774=1,O774="HALLUCINATION")</x:f>
        <x:v>0</x:v>
      </x:c>
      <x:c r="Y774" s="43" t="n">
        <x:f>--AND(Q774=1,O774="HALLUCINATION")</x:f>
        <x:v>0</x:v>
      </x:c>
      <x:c r="Z774" s="43" t="n">
        <x:f>--AND(Y774=1,R774=1,S774=1)</x:f>
        <x:v>0</x:v>
      </x:c>
      <x:c r="AC774" t="str">
        <x:f>IF(OR(AA774="",AB774=""),"",--(AA774&lt;&gt;AB774))</x:f>
      </x:c>
      <x:c r="AE774" t="str">
        <x:f>IF(OR(AA774="",AB774=""),"PENDING_HUMAN",IF(AA774=AB774,AA774,IF(AD774&lt;&gt;"",AD774,"PENDING_HUMAN")))</x:f>
        <x:v>PENDING_HUMAN</x:v>
      </x:c>
      <x:c r="AF774" t="n">
        <x:f>--AND(A774&lt;&gt;"",AA774&lt;&gt;"",AB774&lt;&gt;"",OR(AA774=AB774,AD774&lt;&gt;""),IF(AE774="HALLUCINATION",U774&lt;&gt;"",TRUE))</x:f>
        <x:v>0</x:v>
      </x:c>
      <x:c r="AG774" t="n">
        <x:f>--AND(N774=1,AF774=1,OR(AE774="SUPPORTED",AE774="HALLUCINATION"))</x:f>
        <x:v>0</x:v>
      </x:c>
      <x:c r="AH774" t="n">
        <x:f>--AND(AG774=1,AE774="HALLUCINATION")</x:f>
        <x:v>0</x:v>
      </x:c>
      <x:c r="AI774" t="n">
        <x:f>--AND(Q774=1,AF774=1,AE774="HALLUCINATION")</x:f>
        <x:v>0</x:v>
      </x:c>
      <x:c r="AJ774" t="n">
        <x:f>--AND(AI774=1,R774=1,S774=1)</x:f>
        <x:v>0</x:v>
      </x:c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28"/>
      <x:c r="R775" s="28"/>
      <x:c r="S775" s="28"/>
      <x:c r="T775" s="28"/>
      <x:c r="U775" s="28"/>
      <x:c r="V775" s="28"/>
      <x:c r="W775" s="43" t="n">
        <x:f>--AND(N775=1,OR(O775="SUPPORTED",O775="HALLUCINATION"))</x:f>
        <x:v>0</x:v>
      </x:c>
      <x:c r="X775" s="43" t="n">
        <x:f>--AND(W775=1,O775="HALLUCINATION")</x:f>
        <x:v>0</x:v>
      </x:c>
      <x:c r="Y775" s="43" t="n">
        <x:f>--AND(Q775=1,O775="HALLUCINATION")</x:f>
        <x:v>0</x:v>
      </x:c>
      <x:c r="Z775" s="43" t="n">
        <x:f>--AND(Y775=1,R775=1,S775=1)</x:f>
        <x:v>0</x:v>
      </x:c>
      <x:c r="AC775" t="str">
        <x:f>IF(OR(AA775="",AB775=""),"",--(AA775&lt;&gt;AB775))</x:f>
      </x:c>
      <x:c r="AE775" t="str">
        <x:f>IF(OR(AA775="",AB775=""),"PENDING_HUMAN",IF(AA775=AB775,AA775,IF(AD775&lt;&gt;"",AD775,"PENDING_HUMAN")))</x:f>
        <x:v>PENDING_HUMAN</x:v>
      </x:c>
      <x:c r="AF775" t="n">
        <x:f>--AND(A775&lt;&gt;"",AA775&lt;&gt;"",AB775&lt;&gt;"",OR(AA775=AB775,AD775&lt;&gt;""),IF(AE775="HALLUCINATION",U775&lt;&gt;"",TRUE))</x:f>
        <x:v>0</x:v>
      </x:c>
      <x:c r="AG775" t="n">
        <x:f>--AND(N775=1,AF775=1,OR(AE775="SUPPORTED",AE775="HALLUCINATION"))</x:f>
        <x:v>0</x:v>
      </x:c>
      <x:c r="AH775" t="n">
        <x:f>--AND(AG775=1,AE775="HALLUCINATION")</x:f>
        <x:v>0</x:v>
      </x:c>
      <x:c r="AI775" t="n">
        <x:f>--AND(Q775=1,AF775=1,AE775="HALLUCINATION")</x:f>
        <x:v>0</x:v>
      </x:c>
      <x:c r="AJ775" t="n">
        <x:f>--AND(AI775=1,R775=1,S775=1)</x:f>
        <x:v>0</x:v>
      </x:c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28"/>
      <x:c r="R776" s="28"/>
      <x:c r="S776" s="28"/>
      <x:c r="T776" s="28"/>
      <x:c r="U776" s="28"/>
      <x:c r="V776" s="28"/>
      <x:c r="W776" s="43" t="n">
        <x:f>--AND(N776=1,OR(O776="SUPPORTED",O776="HALLUCINATION"))</x:f>
        <x:v>0</x:v>
      </x:c>
      <x:c r="X776" s="43" t="n">
        <x:f>--AND(W776=1,O776="HALLUCINATION")</x:f>
        <x:v>0</x:v>
      </x:c>
      <x:c r="Y776" s="43" t="n">
        <x:f>--AND(Q776=1,O776="HALLUCINATION")</x:f>
        <x:v>0</x:v>
      </x:c>
      <x:c r="Z776" s="43" t="n">
        <x:f>--AND(Y776=1,R776=1,S776=1)</x:f>
        <x:v>0</x:v>
      </x:c>
      <x:c r="AC776" t="str">
        <x:f>IF(OR(AA776="",AB776=""),"",--(AA776&lt;&gt;AB776))</x:f>
      </x:c>
      <x:c r="AE776" t="str">
        <x:f>IF(OR(AA776="",AB776=""),"PENDING_HUMAN",IF(AA776=AB776,AA776,IF(AD776&lt;&gt;"",AD776,"PENDING_HUMAN")))</x:f>
        <x:v>PENDING_HUMAN</x:v>
      </x:c>
      <x:c r="AF776" t="n">
        <x:f>--AND(A776&lt;&gt;"",AA776&lt;&gt;"",AB776&lt;&gt;"",OR(AA776=AB776,AD776&lt;&gt;""),IF(AE776="HALLUCINATION",U776&lt;&gt;"",TRUE))</x:f>
        <x:v>0</x:v>
      </x:c>
      <x:c r="AG776" t="n">
        <x:f>--AND(N776=1,AF776=1,OR(AE776="SUPPORTED",AE776="HALLUCINATION"))</x:f>
        <x:v>0</x:v>
      </x:c>
      <x:c r="AH776" t="n">
        <x:f>--AND(AG776=1,AE776="HALLUCINATION")</x:f>
        <x:v>0</x:v>
      </x:c>
      <x:c r="AI776" t="n">
        <x:f>--AND(Q776=1,AF776=1,AE776="HALLUCINATION")</x:f>
        <x:v>0</x:v>
      </x:c>
      <x:c r="AJ776" t="n">
        <x:f>--AND(AI776=1,R776=1,S776=1)</x:f>
        <x:v>0</x:v>
      </x:c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28"/>
      <x:c r="R777" s="28"/>
      <x:c r="S777" s="28"/>
      <x:c r="T777" s="28"/>
      <x:c r="U777" s="28"/>
      <x:c r="V777" s="28"/>
      <x:c r="W777" s="43" t="n">
        <x:f>--AND(N777=1,OR(O777="SUPPORTED",O777="HALLUCINATION"))</x:f>
        <x:v>0</x:v>
      </x:c>
      <x:c r="X777" s="43" t="n">
        <x:f>--AND(W777=1,O777="HALLUCINATION")</x:f>
        <x:v>0</x:v>
      </x:c>
      <x:c r="Y777" s="43" t="n">
        <x:f>--AND(Q777=1,O777="HALLUCINATION")</x:f>
        <x:v>0</x:v>
      </x:c>
      <x:c r="Z777" s="43" t="n">
        <x:f>--AND(Y777=1,R777=1,S777=1)</x:f>
        <x:v>0</x:v>
      </x:c>
      <x:c r="AC777" t="str">
        <x:f>IF(OR(AA777="",AB777=""),"",--(AA777&lt;&gt;AB777))</x:f>
      </x:c>
      <x:c r="AE777" t="str">
        <x:f>IF(OR(AA777="",AB777=""),"PENDING_HUMAN",IF(AA777=AB777,AA777,IF(AD777&lt;&gt;"",AD777,"PENDING_HUMAN")))</x:f>
        <x:v>PENDING_HUMAN</x:v>
      </x:c>
      <x:c r="AF777" t="n">
        <x:f>--AND(A777&lt;&gt;"",AA777&lt;&gt;"",AB777&lt;&gt;"",OR(AA777=AB777,AD777&lt;&gt;""),IF(AE777="HALLUCINATION",U777&lt;&gt;"",TRUE))</x:f>
        <x:v>0</x:v>
      </x:c>
      <x:c r="AG777" t="n">
        <x:f>--AND(N777=1,AF777=1,OR(AE777="SUPPORTED",AE777="HALLUCINATION"))</x:f>
        <x:v>0</x:v>
      </x:c>
      <x:c r="AH777" t="n">
        <x:f>--AND(AG777=1,AE777="HALLUCINATION")</x:f>
        <x:v>0</x:v>
      </x:c>
      <x:c r="AI777" t="n">
        <x:f>--AND(Q777=1,AF777=1,AE777="HALLUCINATION")</x:f>
        <x:v>0</x:v>
      </x:c>
      <x:c r="AJ777" t="n">
        <x:f>--AND(AI777=1,R777=1,S777=1)</x:f>
        <x:v>0</x:v>
      </x:c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28"/>
      <x:c r="R778" s="28"/>
      <x:c r="S778" s="28"/>
      <x:c r="T778" s="28"/>
      <x:c r="U778" s="28"/>
      <x:c r="V778" s="28"/>
      <x:c r="W778" s="43" t="n">
        <x:f>--AND(N778=1,OR(O778="SUPPORTED",O778="HALLUCINATION"))</x:f>
        <x:v>0</x:v>
      </x:c>
      <x:c r="X778" s="43" t="n">
        <x:f>--AND(W778=1,O778="HALLUCINATION")</x:f>
        <x:v>0</x:v>
      </x:c>
      <x:c r="Y778" s="43" t="n">
        <x:f>--AND(Q778=1,O778="HALLUCINATION")</x:f>
        <x:v>0</x:v>
      </x:c>
      <x:c r="Z778" s="43" t="n">
        <x:f>--AND(Y778=1,R778=1,S778=1)</x:f>
        <x:v>0</x:v>
      </x:c>
      <x:c r="AC778" t="str">
        <x:f>IF(OR(AA778="",AB778=""),"",--(AA778&lt;&gt;AB778))</x:f>
      </x:c>
      <x:c r="AE778" t="str">
        <x:f>IF(OR(AA778="",AB778=""),"PENDING_HUMAN",IF(AA778=AB778,AA778,IF(AD778&lt;&gt;"",AD778,"PENDING_HUMAN")))</x:f>
        <x:v>PENDING_HUMAN</x:v>
      </x:c>
      <x:c r="AF778" t="n">
        <x:f>--AND(A778&lt;&gt;"",AA778&lt;&gt;"",AB778&lt;&gt;"",OR(AA778=AB778,AD778&lt;&gt;""),IF(AE778="HALLUCINATION",U778&lt;&gt;"",TRUE))</x:f>
        <x:v>0</x:v>
      </x:c>
      <x:c r="AG778" t="n">
        <x:f>--AND(N778=1,AF778=1,OR(AE778="SUPPORTED",AE778="HALLUCINATION"))</x:f>
        <x:v>0</x:v>
      </x:c>
      <x:c r="AH778" t="n">
        <x:f>--AND(AG778=1,AE778="HALLUCINATION")</x:f>
        <x:v>0</x:v>
      </x:c>
      <x:c r="AI778" t="n">
        <x:f>--AND(Q778=1,AF778=1,AE778="HALLUCINATION")</x:f>
        <x:v>0</x:v>
      </x:c>
      <x:c r="AJ778" t="n">
        <x:f>--AND(AI778=1,R778=1,S778=1)</x:f>
        <x:v>0</x:v>
      </x:c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28"/>
      <x:c r="R779" s="28"/>
      <x:c r="S779" s="28"/>
      <x:c r="T779" s="28"/>
      <x:c r="U779" s="28"/>
      <x:c r="V779" s="28"/>
      <x:c r="W779" s="43" t="n">
        <x:f>--AND(N779=1,OR(O779="SUPPORTED",O779="HALLUCINATION"))</x:f>
        <x:v>0</x:v>
      </x:c>
      <x:c r="X779" s="43" t="n">
        <x:f>--AND(W779=1,O779="HALLUCINATION")</x:f>
        <x:v>0</x:v>
      </x:c>
      <x:c r="Y779" s="43" t="n">
        <x:f>--AND(Q779=1,O779="HALLUCINATION")</x:f>
        <x:v>0</x:v>
      </x:c>
      <x:c r="Z779" s="43" t="n">
        <x:f>--AND(Y779=1,R779=1,S779=1)</x:f>
        <x:v>0</x:v>
      </x:c>
      <x:c r="AC779" t="str">
        <x:f>IF(OR(AA779="",AB779=""),"",--(AA779&lt;&gt;AB779))</x:f>
      </x:c>
      <x:c r="AE779" t="str">
        <x:f>IF(OR(AA779="",AB779=""),"PENDING_HUMAN",IF(AA779=AB779,AA779,IF(AD779&lt;&gt;"",AD779,"PENDING_HUMAN")))</x:f>
        <x:v>PENDING_HUMAN</x:v>
      </x:c>
      <x:c r="AF779" t="n">
        <x:f>--AND(A779&lt;&gt;"",AA779&lt;&gt;"",AB779&lt;&gt;"",OR(AA779=AB779,AD779&lt;&gt;""),IF(AE779="HALLUCINATION",U779&lt;&gt;"",TRUE))</x:f>
        <x:v>0</x:v>
      </x:c>
      <x:c r="AG779" t="n">
        <x:f>--AND(N779=1,AF779=1,OR(AE779="SUPPORTED",AE779="HALLUCINATION"))</x:f>
        <x:v>0</x:v>
      </x:c>
      <x:c r="AH779" t="n">
        <x:f>--AND(AG779=1,AE779="HALLUCINATION")</x:f>
        <x:v>0</x:v>
      </x:c>
      <x:c r="AI779" t="n">
        <x:f>--AND(Q779=1,AF779=1,AE779="HALLUCINATION")</x:f>
        <x:v>0</x:v>
      </x:c>
      <x:c r="AJ779" t="n">
        <x:f>--AND(AI779=1,R779=1,S779=1)</x:f>
        <x:v>0</x:v>
      </x:c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28"/>
      <x:c r="R780" s="28"/>
      <x:c r="S780" s="28"/>
      <x:c r="T780" s="28"/>
      <x:c r="U780" s="28"/>
      <x:c r="V780" s="28"/>
      <x:c r="W780" s="43" t="n">
        <x:f>--AND(N780=1,OR(O780="SUPPORTED",O780="HALLUCINATION"))</x:f>
        <x:v>0</x:v>
      </x:c>
      <x:c r="X780" s="43" t="n">
        <x:f>--AND(W780=1,O780="HALLUCINATION")</x:f>
        <x:v>0</x:v>
      </x:c>
      <x:c r="Y780" s="43" t="n">
        <x:f>--AND(Q780=1,O780="HALLUCINATION")</x:f>
        <x:v>0</x:v>
      </x:c>
      <x:c r="Z780" s="43" t="n">
        <x:f>--AND(Y780=1,R780=1,S780=1)</x:f>
        <x:v>0</x:v>
      </x:c>
      <x:c r="AC780" t="str">
        <x:f>IF(OR(AA780="",AB780=""),"",--(AA780&lt;&gt;AB780))</x:f>
      </x:c>
      <x:c r="AE780" t="str">
        <x:f>IF(OR(AA780="",AB780=""),"PENDING_HUMAN",IF(AA780=AB780,AA780,IF(AD780&lt;&gt;"",AD780,"PENDING_HUMAN")))</x:f>
        <x:v>PENDING_HUMAN</x:v>
      </x:c>
      <x:c r="AF780" t="n">
        <x:f>--AND(A780&lt;&gt;"",AA780&lt;&gt;"",AB780&lt;&gt;"",OR(AA780=AB780,AD780&lt;&gt;""),IF(AE780="HALLUCINATION",U780&lt;&gt;"",TRUE))</x:f>
        <x:v>0</x:v>
      </x:c>
      <x:c r="AG780" t="n">
        <x:f>--AND(N780=1,AF780=1,OR(AE780="SUPPORTED",AE780="HALLUCINATION"))</x:f>
        <x:v>0</x:v>
      </x:c>
      <x:c r="AH780" t="n">
        <x:f>--AND(AG780=1,AE780="HALLUCINATION")</x:f>
        <x:v>0</x:v>
      </x:c>
      <x:c r="AI780" t="n">
        <x:f>--AND(Q780=1,AF780=1,AE780="HALLUCINATION")</x:f>
        <x:v>0</x:v>
      </x:c>
      <x:c r="AJ780" t="n">
        <x:f>--AND(AI780=1,R780=1,S780=1)</x:f>
        <x:v>0</x:v>
      </x:c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28"/>
      <x:c r="R781" s="28"/>
      <x:c r="S781" s="28"/>
      <x:c r="T781" s="28"/>
      <x:c r="U781" s="28"/>
      <x:c r="V781" s="28"/>
      <x:c r="W781" s="43" t="n">
        <x:f>--AND(N781=1,OR(O781="SUPPORTED",O781="HALLUCINATION"))</x:f>
        <x:v>0</x:v>
      </x:c>
      <x:c r="X781" s="43" t="n">
        <x:f>--AND(W781=1,O781="HALLUCINATION")</x:f>
        <x:v>0</x:v>
      </x:c>
      <x:c r="Y781" s="43" t="n">
        <x:f>--AND(Q781=1,O781="HALLUCINATION")</x:f>
        <x:v>0</x:v>
      </x:c>
      <x:c r="Z781" s="43" t="n">
        <x:f>--AND(Y781=1,R781=1,S781=1)</x:f>
        <x:v>0</x:v>
      </x:c>
      <x:c r="AC781" t="str">
        <x:f>IF(OR(AA781="",AB781=""),"",--(AA781&lt;&gt;AB781))</x:f>
      </x:c>
      <x:c r="AE781" t="str">
        <x:f>IF(OR(AA781="",AB781=""),"PENDING_HUMAN",IF(AA781=AB781,AA781,IF(AD781&lt;&gt;"",AD781,"PENDING_HUMAN")))</x:f>
        <x:v>PENDING_HUMAN</x:v>
      </x:c>
      <x:c r="AF781" t="n">
        <x:f>--AND(A781&lt;&gt;"",AA781&lt;&gt;"",AB781&lt;&gt;"",OR(AA781=AB781,AD781&lt;&gt;""),IF(AE781="HALLUCINATION",U781&lt;&gt;"",TRUE))</x:f>
        <x:v>0</x:v>
      </x:c>
      <x:c r="AG781" t="n">
        <x:f>--AND(N781=1,AF781=1,OR(AE781="SUPPORTED",AE781="HALLUCINATION"))</x:f>
        <x:v>0</x:v>
      </x:c>
      <x:c r="AH781" t="n">
        <x:f>--AND(AG781=1,AE781="HALLUCINATION")</x:f>
        <x:v>0</x:v>
      </x:c>
      <x:c r="AI781" t="n">
        <x:f>--AND(Q781=1,AF781=1,AE781="HALLUCINATION")</x:f>
        <x:v>0</x:v>
      </x:c>
      <x:c r="AJ781" t="n">
        <x:f>--AND(AI781=1,R781=1,S781=1)</x:f>
        <x:v>0</x:v>
      </x:c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28"/>
      <x:c r="R782" s="28"/>
      <x:c r="S782" s="28"/>
      <x:c r="T782" s="28"/>
      <x:c r="U782" s="28"/>
      <x:c r="V782" s="28"/>
      <x:c r="W782" s="43" t="n">
        <x:f>--AND(N782=1,OR(O782="SUPPORTED",O782="HALLUCINATION"))</x:f>
        <x:v>0</x:v>
      </x:c>
      <x:c r="X782" s="43" t="n">
        <x:f>--AND(W782=1,O782="HALLUCINATION")</x:f>
        <x:v>0</x:v>
      </x:c>
      <x:c r="Y782" s="43" t="n">
        <x:f>--AND(Q782=1,O782="HALLUCINATION")</x:f>
        <x:v>0</x:v>
      </x:c>
      <x:c r="Z782" s="43" t="n">
        <x:f>--AND(Y782=1,R782=1,S782=1)</x:f>
        <x:v>0</x:v>
      </x:c>
      <x:c r="AC782" t="str">
        <x:f>IF(OR(AA782="",AB782=""),"",--(AA782&lt;&gt;AB782))</x:f>
      </x:c>
      <x:c r="AE782" t="str">
        <x:f>IF(OR(AA782="",AB782=""),"PENDING_HUMAN",IF(AA782=AB782,AA782,IF(AD782&lt;&gt;"",AD782,"PENDING_HUMAN")))</x:f>
        <x:v>PENDING_HUMAN</x:v>
      </x:c>
      <x:c r="AF782" t="n">
        <x:f>--AND(A782&lt;&gt;"",AA782&lt;&gt;"",AB782&lt;&gt;"",OR(AA782=AB782,AD782&lt;&gt;""),IF(AE782="HALLUCINATION",U782&lt;&gt;"",TRUE))</x:f>
        <x:v>0</x:v>
      </x:c>
      <x:c r="AG782" t="n">
        <x:f>--AND(N782=1,AF782=1,OR(AE782="SUPPORTED",AE782="HALLUCINATION"))</x:f>
        <x:v>0</x:v>
      </x:c>
      <x:c r="AH782" t="n">
        <x:f>--AND(AG782=1,AE782="HALLUCINATION")</x:f>
        <x:v>0</x:v>
      </x:c>
      <x:c r="AI782" t="n">
        <x:f>--AND(Q782=1,AF782=1,AE782="HALLUCINATION")</x:f>
        <x:v>0</x:v>
      </x:c>
      <x:c r="AJ782" t="n">
        <x:f>--AND(AI782=1,R782=1,S782=1)</x:f>
        <x:v>0</x:v>
      </x:c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28"/>
      <x:c r="R783" s="28"/>
      <x:c r="S783" s="28"/>
      <x:c r="T783" s="28"/>
      <x:c r="U783" s="28"/>
      <x:c r="V783" s="28"/>
      <x:c r="W783" s="43" t="n">
        <x:f>--AND(N783=1,OR(O783="SUPPORTED",O783="HALLUCINATION"))</x:f>
        <x:v>0</x:v>
      </x:c>
      <x:c r="X783" s="43" t="n">
        <x:f>--AND(W783=1,O783="HALLUCINATION")</x:f>
        <x:v>0</x:v>
      </x:c>
      <x:c r="Y783" s="43" t="n">
        <x:f>--AND(Q783=1,O783="HALLUCINATION")</x:f>
        <x:v>0</x:v>
      </x:c>
      <x:c r="Z783" s="43" t="n">
        <x:f>--AND(Y783=1,R783=1,S783=1)</x:f>
        <x:v>0</x:v>
      </x:c>
      <x:c r="AC783" t="str">
        <x:f>IF(OR(AA783="",AB783=""),"",--(AA783&lt;&gt;AB783))</x:f>
      </x:c>
      <x:c r="AE783" t="str">
        <x:f>IF(OR(AA783="",AB783=""),"PENDING_HUMAN",IF(AA783=AB783,AA783,IF(AD783&lt;&gt;"",AD783,"PENDING_HUMAN")))</x:f>
        <x:v>PENDING_HUMAN</x:v>
      </x:c>
      <x:c r="AF783" t="n">
        <x:f>--AND(A783&lt;&gt;"",AA783&lt;&gt;"",AB783&lt;&gt;"",OR(AA783=AB783,AD783&lt;&gt;""),IF(AE783="HALLUCINATION",U783&lt;&gt;"",TRUE))</x:f>
        <x:v>0</x:v>
      </x:c>
      <x:c r="AG783" t="n">
        <x:f>--AND(N783=1,AF783=1,OR(AE783="SUPPORTED",AE783="HALLUCINATION"))</x:f>
        <x:v>0</x:v>
      </x:c>
      <x:c r="AH783" t="n">
        <x:f>--AND(AG783=1,AE783="HALLUCINATION")</x:f>
        <x:v>0</x:v>
      </x:c>
      <x:c r="AI783" t="n">
        <x:f>--AND(Q783=1,AF783=1,AE783="HALLUCINATION")</x:f>
        <x:v>0</x:v>
      </x:c>
      <x:c r="AJ783" t="n">
        <x:f>--AND(AI783=1,R783=1,S783=1)</x:f>
        <x:v>0</x:v>
      </x:c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28"/>
      <x:c r="R784" s="28"/>
      <x:c r="S784" s="28"/>
      <x:c r="T784" s="28"/>
      <x:c r="U784" s="28"/>
      <x:c r="V784" s="28"/>
      <x:c r="W784" s="43" t="n">
        <x:f>--AND(N784=1,OR(O784="SUPPORTED",O784="HALLUCINATION"))</x:f>
        <x:v>0</x:v>
      </x:c>
      <x:c r="X784" s="43" t="n">
        <x:f>--AND(W784=1,O784="HALLUCINATION")</x:f>
        <x:v>0</x:v>
      </x:c>
      <x:c r="Y784" s="43" t="n">
        <x:f>--AND(Q784=1,O784="HALLUCINATION")</x:f>
        <x:v>0</x:v>
      </x:c>
      <x:c r="Z784" s="43" t="n">
        <x:f>--AND(Y784=1,R784=1,S784=1)</x:f>
        <x:v>0</x:v>
      </x:c>
      <x:c r="AC784" t="str">
        <x:f>IF(OR(AA784="",AB784=""),"",--(AA784&lt;&gt;AB784))</x:f>
      </x:c>
      <x:c r="AE784" t="str">
        <x:f>IF(OR(AA784="",AB784=""),"PENDING_HUMAN",IF(AA784=AB784,AA784,IF(AD784&lt;&gt;"",AD784,"PENDING_HUMAN")))</x:f>
        <x:v>PENDING_HUMAN</x:v>
      </x:c>
      <x:c r="AF784" t="n">
        <x:f>--AND(A784&lt;&gt;"",AA784&lt;&gt;"",AB784&lt;&gt;"",OR(AA784=AB784,AD784&lt;&gt;""),IF(AE784="HALLUCINATION",U784&lt;&gt;"",TRUE))</x:f>
        <x:v>0</x:v>
      </x:c>
      <x:c r="AG784" t="n">
        <x:f>--AND(N784=1,AF784=1,OR(AE784="SUPPORTED",AE784="HALLUCINATION"))</x:f>
        <x:v>0</x:v>
      </x:c>
      <x:c r="AH784" t="n">
        <x:f>--AND(AG784=1,AE784="HALLUCINATION")</x:f>
        <x:v>0</x:v>
      </x:c>
      <x:c r="AI784" t="n">
        <x:f>--AND(Q784=1,AF784=1,AE784="HALLUCINATION")</x:f>
        <x:v>0</x:v>
      </x:c>
      <x:c r="AJ784" t="n">
        <x:f>--AND(AI784=1,R784=1,S784=1)</x:f>
        <x:v>0</x:v>
      </x:c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28"/>
      <x:c r="R785" s="28"/>
      <x:c r="S785" s="28"/>
      <x:c r="T785" s="28"/>
      <x:c r="U785" s="28"/>
      <x:c r="V785" s="28"/>
      <x:c r="W785" s="43" t="n">
        <x:f>--AND(N785=1,OR(O785="SUPPORTED",O785="HALLUCINATION"))</x:f>
        <x:v>0</x:v>
      </x:c>
      <x:c r="X785" s="43" t="n">
        <x:f>--AND(W785=1,O785="HALLUCINATION")</x:f>
        <x:v>0</x:v>
      </x:c>
      <x:c r="Y785" s="43" t="n">
        <x:f>--AND(Q785=1,O785="HALLUCINATION")</x:f>
        <x:v>0</x:v>
      </x:c>
      <x:c r="Z785" s="43" t="n">
        <x:f>--AND(Y785=1,R785=1,S785=1)</x:f>
        <x:v>0</x:v>
      </x:c>
      <x:c r="AC785" t="str">
        <x:f>IF(OR(AA785="",AB785=""),"",--(AA785&lt;&gt;AB785))</x:f>
      </x:c>
      <x:c r="AE785" t="str">
        <x:f>IF(OR(AA785="",AB785=""),"PENDING_HUMAN",IF(AA785=AB785,AA785,IF(AD785&lt;&gt;"",AD785,"PENDING_HUMAN")))</x:f>
        <x:v>PENDING_HUMAN</x:v>
      </x:c>
      <x:c r="AF785" t="n">
        <x:f>--AND(A785&lt;&gt;"",AA785&lt;&gt;"",AB785&lt;&gt;"",OR(AA785=AB785,AD785&lt;&gt;""),IF(AE785="HALLUCINATION",U785&lt;&gt;"",TRUE))</x:f>
        <x:v>0</x:v>
      </x:c>
      <x:c r="AG785" t="n">
        <x:f>--AND(N785=1,AF785=1,OR(AE785="SUPPORTED",AE785="HALLUCINATION"))</x:f>
        <x:v>0</x:v>
      </x:c>
      <x:c r="AH785" t="n">
        <x:f>--AND(AG785=1,AE785="HALLUCINATION")</x:f>
        <x:v>0</x:v>
      </x:c>
      <x:c r="AI785" t="n">
        <x:f>--AND(Q785=1,AF785=1,AE785="HALLUCINATION")</x:f>
        <x:v>0</x:v>
      </x:c>
      <x:c r="AJ785" t="n">
        <x:f>--AND(AI785=1,R785=1,S785=1)</x:f>
        <x:v>0</x:v>
      </x:c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28"/>
      <x:c r="R786" s="28"/>
      <x:c r="S786" s="28"/>
      <x:c r="T786" s="28"/>
      <x:c r="U786" s="28"/>
      <x:c r="V786" s="28"/>
      <x:c r="W786" s="43" t="n">
        <x:f>--AND(N786=1,OR(O786="SUPPORTED",O786="HALLUCINATION"))</x:f>
        <x:v>0</x:v>
      </x:c>
      <x:c r="X786" s="43" t="n">
        <x:f>--AND(W786=1,O786="HALLUCINATION")</x:f>
        <x:v>0</x:v>
      </x:c>
      <x:c r="Y786" s="43" t="n">
        <x:f>--AND(Q786=1,O786="HALLUCINATION")</x:f>
        <x:v>0</x:v>
      </x:c>
      <x:c r="Z786" s="43" t="n">
        <x:f>--AND(Y786=1,R786=1,S786=1)</x:f>
        <x:v>0</x:v>
      </x:c>
      <x:c r="AC786" t="str">
        <x:f>IF(OR(AA786="",AB786=""),"",--(AA786&lt;&gt;AB786))</x:f>
      </x:c>
      <x:c r="AE786" t="str">
        <x:f>IF(OR(AA786="",AB786=""),"PENDING_HUMAN",IF(AA786=AB786,AA786,IF(AD786&lt;&gt;"",AD786,"PENDING_HUMAN")))</x:f>
        <x:v>PENDING_HUMAN</x:v>
      </x:c>
      <x:c r="AF786" t="n">
        <x:f>--AND(A786&lt;&gt;"",AA786&lt;&gt;"",AB786&lt;&gt;"",OR(AA786=AB786,AD786&lt;&gt;""),IF(AE786="HALLUCINATION",U786&lt;&gt;"",TRUE))</x:f>
        <x:v>0</x:v>
      </x:c>
      <x:c r="AG786" t="n">
        <x:f>--AND(N786=1,AF786=1,OR(AE786="SUPPORTED",AE786="HALLUCINATION"))</x:f>
        <x:v>0</x:v>
      </x:c>
      <x:c r="AH786" t="n">
        <x:f>--AND(AG786=1,AE786="HALLUCINATION")</x:f>
        <x:v>0</x:v>
      </x:c>
      <x:c r="AI786" t="n">
        <x:f>--AND(Q786=1,AF786=1,AE786="HALLUCINATION")</x:f>
        <x:v>0</x:v>
      </x:c>
      <x:c r="AJ786" t="n">
        <x:f>--AND(AI786=1,R786=1,S786=1)</x:f>
        <x:v>0</x:v>
      </x:c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28"/>
      <x:c r="R787" s="28"/>
      <x:c r="S787" s="28"/>
      <x:c r="T787" s="28"/>
      <x:c r="U787" s="28"/>
      <x:c r="V787" s="28"/>
      <x:c r="W787" s="43" t="n">
        <x:f>--AND(N787=1,OR(O787="SUPPORTED",O787="HALLUCINATION"))</x:f>
        <x:v>0</x:v>
      </x:c>
      <x:c r="X787" s="43" t="n">
        <x:f>--AND(W787=1,O787="HALLUCINATION")</x:f>
        <x:v>0</x:v>
      </x:c>
      <x:c r="Y787" s="43" t="n">
        <x:f>--AND(Q787=1,O787="HALLUCINATION")</x:f>
        <x:v>0</x:v>
      </x:c>
      <x:c r="Z787" s="43" t="n">
        <x:f>--AND(Y787=1,R787=1,S787=1)</x:f>
        <x:v>0</x:v>
      </x:c>
      <x:c r="AC787" t="str">
        <x:f>IF(OR(AA787="",AB787=""),"",--(AA787&lt;&gt;AB787))</x:f>
      </x:c>
      <x:c r="AE787" t="str">
        <x:f>IF(OR(AA787="",AB787=""),"PENDING_HUMAN",IF(AA787=AB787,AA787,IF(AD787&lt;&gt;"",AD787,"PENDING_HUMAN")))</x:f>
        <x:v>PENDING_HUMAN</x:v>
      </x:c>
      <x:c r="AF787" t="n">
        <x:f>--AND(A787&lt;&gt;"",AA787&lt;&gt;"",AB787&lt;&gt;"",OR(AA787=AB787,AD787&lt;&gt;""),IF(AE787="HALLUCINATION",U787&lt;&gt;"",TRUE))</x:f>
        <x:v>0</x:v>
      </x:c>
      <x:c r="AG787" t="n">
        <x:f>--AND(N787=1,AF787=1,OR(AE787="SUPPORTED",AE787="HALLUCINATION"))</x:f>
        <x:v>0</x:v>
      </x:c>
      <x:c r="AH787" t="n">
        <x:f>--AND(AG787=1,AE787="HALLUCINATION")</x:f>
        <x:v>0</x:v>
      </x:c>
      <x:c r="AI787" t="n">
        <x:f>--AND(Q787=1,AF787=1,AE787="HALLUCINATION")</x:f>
        <x:v>0</x:v>
      </x:c>
      <x:c r="AJ787" t="n">
        <x:f>--AND(AI787=1,R787=1,S787=1)</x:f>
        <x:v>0</x:v>
      </x:c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28"/>
      <x:c r="R788" s="28"/>
      <x:c r="S788" s="28"/>
      <x:c r="T788" s="28"/>
      <x:c r="U788" s="28"/>
      <x:c r="V788" s="28"/>
      <x:c r="W788" s="43" t="n">
        <x:f>--AND(N788=1,OR(O788="SUPPORTED",O788="HALLUCINATION"))</x:f>
        <x:v>0</x:v>
      </x:c>
      <x:c r="X788" s="43" t="n">
        <x:f>--AND(W788=1,O788="HALLUCINATION")</x:f>
        <x:v>0</x:v>
      </x:c>
      <x:c r="Y788" s="43" t="n">
        <x:f>--AND(Q788=1,O788="HALLUCINATION")</x:f>
        <x:v>0</x:v>
      </x:c>
      <x:c r="Z788" s="43" t="n">
        <x:f>--AND(Y788=1,R788=1,S788=1)</x:f>
        <x:v>0</x:v>
      </x:c>
      <x:c r="AC788" t="str">
        <x:f>IF(OR(AA788="",AB788=""),"",--(AA788&lt;&gt;AB788))</x:f>
      </x:c>
      <x:c r="AE788" t="str">
        <x:f>IF(OR(AA788="",AB788=""),"PENDING_HUMAN",IF(AA788=AB788,AA788,IF(AD788&lt;&gt;"",AD788,"PENDING_HUMAN")))</x:f>
        <x:v>PENDING_HUMAN</x:v>
      </x:c>
      <x:c r="AF788" t="n">
        <x:f>--AND(A788&lt;&gt;"",AA788&lt;&gt;"",AB788&lt;&gt;"",OR(AA788=AB788,AD788&lt;&gt;""),IF(AE788="HALLUCINATION",U788&lt;&gt;"",TRUE))</x:f>
        <x:v>0</x:v>
      </x:c>
      <x:c r="AG788" t="n">
        <x:f>--AND(N788=1,AF788=1,OR(AE788="SUPPORTED",AE788="HALLUCINATION"))</x:f>
        <x:v>0</x:v>
      </x:c>
      <x:c r="AH788" t="n">
        <x:f>--AND(AG788=1,AE788="HALLUCINATION")</x:f>
        <x:v>0</x:v>
      </x:c>
      <x:c r="AI788" t="n">
        <x:f>--AND(Q788=1,AF788=1,AE788="HALLUCINATION")</x:f>
        <x:v>0</x:v>
      </x:c>
      <x:c r="AJ788" t="n">
        <x:f>--AND(AI788=1,R788=1,S788=1)</x:f>
        <x:v>0</x:v>
      </x:c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28"/>
      <x:c r="R789" s="28"/>
      <x:c r="S789" s="28"/>
      <x:c r="T789" s="28"/>
      <x:c r="U789" s="28"/>
      <x:c r="V789" s="28"/>
      <x:c r="W789" s="43" t="n">
        <x:f>--AND(N789=1,OR(O789="SUPPORTED",O789="HALLUCINATION"))</x:f>
        <x:v>0</x:v>
      </x:c>
      <x:c r="X789" s="43" t="n">
        <x:f>--AND(W789=1,O789="HALLUCINATION")</x:f>
        <x:v>0</x:v>
      </x:c>
      <x:c r="Y789" s="43" t="n">
        <x:f>--AND(Q789=1,O789="HALLUCINATION")</x:f>
        <x:v>0</x:v>
      </x:c>
      <x:c r="Z789" s="43" t="n">
        <x:f>--AND(Y789=1,R789=1,S789=1)</x:f>
        <x:v>0</x:v>
      </x:c>
      <x:c r="AC789" t="str">
        <x:f>IF(OR(AA789="",AB789=""),"",--(AA789&lt;&gt;AB789))</x:f>
      </x:c>
      <x:c r="AE789" t="str">
        <x:f>IF(OR(AA789="",AB789=""),"PENDING_HUMAN",IF(AA789=AB789,AA789,IF(AD789&lt;&gt;"",AD789,"PENDING_HUMAN")))</x:f>
        <x:v>PENDING_HUMAN</x:v>
      </x:c>
      <x:c r="AF789" t="n">
        <x:f>--AND(A789&lt;&gt;"",AA789&lt;&gt;"",AB789&lt;&gt;"",OR(AA789=AB789,AD789&lt;&gt;""),IF(AE789="HALLUCINATION",U789&lt;&gt;"",TRUE))</x:f>
        <x:v>0</x:v>
      </x:c>
      <x:c r="AG789" t="n">
        <x:f>--AND(N789=1,AF789=1,OR(AE789="SUPPORTED",AE789="HALLUCINATION"))</x:f>
        <x:v>0</x:v>
      </x:c>
      <x:c r="AH789" t="n">
        <x:f>--AND(AG789=1,AE789="HALLUCINATION")</x:f>
        <x:v>0</x:v>
      </x:c>
      <x:c r="AI789" t="n">
        <x:f>--AND(Q789=1,AF789=1,AE789="HALLUCINATION")</x:f>
        <x:v>0</x:v>
      </x:c>
      <x:c r="AJ789" t="n">
        <x:f>--AND(AI789=1,R789=1,S789=1)</x:f>
        <x:v>0</x:v>
      </x:c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28"/>
      <x:c r="R790" s="28"/>
      <x:c r="S790" s="28"/>
      <x:c r="T790" s="28"/>
      <x:c r="U790" s="28"/>
      <x:c r="V790" s="28"/>
      <x:c r="W790" s="43" t="n">
        <x:f>--AND(N790=1,OR(O790="SUPPORTED",O790="HALLUCINATION"))</x:f>
        <x:v>0</x:v>
      </x:c>
      <x:c r="X790" s="43" t="n">
        <x:f>--AND(W790=1,O790="HALLUCINATION")</x:f>
        <x:v>0</x:v>
      </x:c>
      <x:c r="Y790" s="43" t="n">
        <x:f>--AND(Q790=1,O790="HALLUCINATION")</x:f>
        <x:v>0</x:v>
      </x:c>
      <x:c r="Z790" s="43" t="n">
        <x:f>--AND(Y790=1,R790=1,S790=1)</x:f>
        <x:v>0</x:v>
      </x:c>
      <x:c r="AC790" t="str">
        <x:f>IF(OR(AA790="",AB790=""),"",--(AA790&lt;&gt;AB790))</x:f>
      </x:c>
      <x:c r="AE790" t="str">
        <x:f>IF(OR(AA790="",AB790=""),"PENDING_HUMAN",IF(AA790=AB790,AA790,IF(AD790&lt;&gt;"",AD790,"PENDING_HUMAN")))</x:f>
        <x:v>PENDING_HUMAN</x:v>
      </x:c>
      <x:c r="AF790" t="n">
        <x:f>--AND(A790&lt;&gt;"",AA790&lt;&gt;"",AB790&lt;&gt;"",OR(AA790=AB790,AD790&lt;&gt;""),IF(AE790="HALLUCINATION",U790&lt;&gt;"",TRUE))</x:f>
        <x:v>0</x:v>
      </x:c>
      <x:c r="AG790" t="n">
        <x:f>--AND(N790=1,AF790=1,OR(AE790="SUPPORTED",AE790="HALLUCINATION"))</x:f>
        <x:v>0</x:v>
      </x:c>
      <x:c r="AH790" t="n">
        <x:f>--AND(AG790=1,AE790="HALLUCINATION")</x:f>
        <x:v>0</x:v>
      </x:c>
      <x:c r="AI790" t="n">
        <x:f>--AND(Q790=1,AF790=1,AE790="HALLUCINATION")</x:f>
        <x:v>0</x:v>
      </x:c>
      <x:c r="AJ790" t="n">
        <x:f>--AND(AI790=1,R790=1,S790=1)</x:f>
        <x:v>0</x:v>
      </x:c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28"/>
      <x:c r="R791" s="28"/>
      <x:c r="S791" s="28"/>
      <x:c r="T791" s="28"/>
      <x:c r="U791" s="28"/>
      <x:c r="V791" s="28"/>
      <x:c r="W791" s="43" t="n">
        <x:f>--AND(N791=1,OR(O791="SUPPORTED",O791="HALLUCINATION"))</x:f>
        <x:v>0</x:v>
      </x:c>
      <x:c r="X791" s="43" t="n">
        <x:f>--AND(W791=1,O791="HALLUCINATION")</x:f>
        <x:v>0</x:v>
      </x:c>
      <x:c r="Y791" s="43" t="n">
        <x:f>--AND(Q791=1,O791="HALLUCINATION")</x:f>
        <x:v>0</x:v>
      </x:c>
      <x:c r="Z791" s="43" t="n">
        <x:f>--AND(Y791=1,R791=1,S791=1)</x:f>
        <x:v>0</x:v>
      </x:c>
      <x:c r="AC791" t="str">
        <x:f>IF(OR(AA791="",AB791=""),"",--(AA791&lt;&gt;AB791))</x:f>
      </x:c>
      <x:c r="AE791" t="str">
        <x:f>IF(OR(AA791="",AB791=""),"PENDING_HUMAN",IF(AA791=AB791,AA791,IF(AD791&lt;&gt;"",AD791,"PENDING_HUMAN")))</x:f>
        <x:v>PENDING_HUMAN</x:v>
      </x:c>
      <x:c r="AF791" t="n">
        <x:f>--AND(A791&lt;&gt;"",AA791&lt;&gt;"",AB791&lt;&gt;"",OR(AA791=AB791,AD791&lt;&gt;""),IF(AE791="HALLUCINATION",U791&lt;&gt;"",TRUE))</x:f>
        <x:v>0</x:v>
      </x:c>
      <x:c r="AG791" t="n">
        <x:f>--AND(N791=1,AF791=1,OR(AE791="SUPPORTED",AE791="HALLUCINATION"))</x:f>
        <x:v>0</x:v>
      </x:c>
      <x:c r="AH791" t="n">
        <x:f>--AND(AG791=1,AE791="HALLUCINATION")</x:f>
        <x:v>0</x:v>
      </x:c>
      <x:c r="AI791" t="n">
        <x:f>--AND(Q791=1,AF791=1,AE791="HALLUCINATION")</x:f>
        <x:v>0</x:v>
      </x:c>
      <x:c r="AJ791" t="n">
        <x:f>--AND(AI791=1,R791=1,S791=1)</x:f>
        <x:v>0</x:v>
      </x:c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28"/>
      <x:c r="R792" s="28"/>
      <x:c r="S792" s="28"/>
      <x:c r="T792" s="28"/>
      <x:c r="U792" s="28"/>
      <x:c r="V792" s="28"/>
      <x:c r="W792" s="43" t="n">
        <x:f>--AND(N792=1,OR(O792="SUPPORTED",O792="HALLUCINATION"))</x:f>
        <x:v>0</x:v>
      </x:c>
      <x:c r="X792" s="43" t="n">
        <x:f>--AND(W792=1,O792="HALLUCINATION")</x:f>
        <x:v>0</x:v>
      </x:c>
      <x:c r="Y792" s="43" t="n">
        <x:f>--AND(Q792=1,O792="HALLUCINATION")</x:f>
        <x:v>0</x:v>
      </x:c>
      <x:c r="Z792" s="43" t="n">
        <x:f>--AND(Y792=1,R792=1,S792=1)</x:f>
        <x:v>0</x:v>
      </x:c>
      <x:c r="AC792" t="str">
        <x:f>IF(OR(AA792="",AB792=""),"",--(AA792&lt;&gt;AB792))</x:f>
      </x:c>
      <x:c r="AE792" t="str">
        <x:f>IF(OR(AA792="",AB792=""),"PENDING_HUMAN",IF(AA792=AB792,AA792,IF(AD792&lt;&gt;"",AD792,"PENDING_HUMAN")))</x:f>
        <x:v>PENDING_HUMAN</x:v>
      </x:c>
      <x:c r="AF792" t="n">
        <x:f>--AND(A792&lt;&gt;"",AA792&lt;&gt;"",AB792&lt;&gt;"",OR(AA792=AB792,AD792&lt;&gt;""),IF(AE792="HALLUCINATION",U792&lt;&gt;"",TRUE))</x:f>
        <x:v>0</x:v>
      </x:c>
      <x:c r="AG792" t="n">
        <x:f>--AND(N792=1,AF792=1,OR(AE792="SUPPORTED",AE792="HALLUCINATION"))</x:f>
        <x:v>0</x:v>
      </x:c>
      <x:c r="AH792" t="n">
        <x:f>--AND(AG792=1,AE792="HALLUCINATION")</x:f>
        <x:v>0</x:v>
      </x:c>
      <x:c r="AI792" t="n">
        <x:f>--AND(Q792=1,AF792=1,AE792="HALLUCINATION")</x:f>
        <x:v>0</x:v>
      </x:c>
      <x:c r="AJ792" t="n">
        <x:f>--AND(AI792=1,R792=1,S792=1)</x:f>
        <x:v>0</x:v>
      </x:c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28"/>
      <x:c r="R793" s="28"/>
      <x:c r="S793" s="28"/>
      <x:c r="T793" s="28"/>
      <x:c r="U793" s="28"/>
      <x:c r="V793" s="28"/>
      <x:c r="W793" s="43" t="n">
        <x:f>--AND(N793=1,OR(O793="SUPPORTED",O793="HALLUCINATION"))</x:f>
        <x:v>0</x:v>
      </x:c>
      <x:c r="X793" s="43" t="n">
        <x:f>--AND(W793=1,O793="HALLUCINATION")</x:f>
        <x:v>0</x:v>
      </x:c>
      <x:c r="Y793" s="43" t="n">
        <x:f>--AND(Q793=1,O793="HALLUCINATION")</x:f>
        <x:v>0</x:v>
      </x:c>
      <x:c r="Z793" s="43" t="n">
        <x:f>--AND(Y793=1,R793=1,S793=1)</x:f>
        <x:v>0</x:v>
      </x:c>
      <x:c r="AC793" t="str">
        <x:f>IF(OR(AA793="",AB793=""),"",--(AA793&lt;&gt;AB793))</x:f>
      </x:c>
      <x:c r="AE793" t="str">
        <x:f>IF(OR(AA793="",AB793=""),"PENDING_HUMAN",IF(AA793=AB793,AA793,IF(AD793&lt;&gt;"",AD793,"PENDING_HUMAN")))</x:f>
        <x:v>PENDING_HUMAN</x:v>
      </x:c>
      <x:c r="AF793" t="n">
        <x:f>--AND(A793&lt;&gt;"",AA793&lt;&gt;"",AB793&lt;&gt;"",OR(AA793=AB793,AD793&lt;&gt;""),IF(AE793="HALLUCINATION",U793&lt;&gt;"",TRUE))</x:f>
        <x:v>0</x:v>
      </x:c>
      <x:c r="AG793" t="n">
        <x:f>--AND(N793=1,AF793=1,OR(AE793="SUPPORTED",AE793="HALLUCINATION"))</x:f>
        <x:v>0</x:v>
      </x:c>
      <x:c r="AH793" t="n">
        <x:f>--AND(AG793=1,AE793="HALLUCINATION")</x:f>
        <x:v>0</x:v>
      </x:c>
      <x:c r="AI793" t="n">
        <x:f>--AND(Q793=1,AF793=1,AE793="HALLUCINATION")</x:f>
        <x:v>0</x:v>
      </x:c>
      <x:c r="AJ793" t="n">
        <x:f>--AND(AI793=1,R793=1,S793=1)</x:f>
        <x:v>0</x:v>
      </x:c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28"/>
      <x:c r="R794" s="28"/>
      <x:c r="S794" s="28"/>
      <x:c r="T794" s="28"/>
      <x:c r="U794" s="28"/>
      <x:c r="V794" s="28"/>
      <x:c r="W794" s="43" t="n">
        <x:f>--AND(N794=1,OR(O794="SUPPORTED",O794="HALLUCINATION"))</x:f>
        <x:v>0</x:v>
      </x:c>
      <x:c r="X794" s="43" t="n">
        <x:f>--AND(W794=1,O794="HALLUCINATION")</x:f>
        <x:v>0</x:v>
      </x:c>
      <x:c r="Y794" s="43" t="n">
        <x:f>--AND(Q794=1,O794="HALLUCINATION")</x:f>
        <x:v>0</x:v>
      </x:c>
      <x:c r="Z794" s="43" t="n">
        <x:f>--AND(Y794=1,R794=1,S794=1)</x:f>
        <x:v>0</x:v>
      </x:c>
      <x:c r="AC794" t="str">
        <x:f>IF(OR(AA794="",AB794=""),"",--(AA794&lt;&gt;AB794))</x:f>
      </x:c>
      <x:c r="AE794" t="str">
        <x:f>IF(OR(AA794="",AB794=""),"PENDING_HUMAN",IF(AA794=AB794,AA794,IF(AD794&lt;&gt;"",AD794,"PENDING_HUMAN")))</x:f>
        <x:v>PENDING_HUMAN</x:v>
      </x:c>
      <x:c r="AF794" t="n">
        <x:f>--AND(A794&lt;&gt;"",AA794&lt;&gt;"",AB794&lt;&gt;"",OR(AA794=AB794,AD794&lt;&gt;""),IF(AE794="HALLUCINATION",U794&lt;&gt;"",TRUE))</x:f>
        <x:v>0</x:v>
      </x:c>
      <x:c r="AG794" t="n">
        <x:f>--AND(N794=1,AF794=1,OR(AE794="SUPPORTED",AE794="HALLUCINATION"))</x:f>
        <x:v>0</x:v>
      </x:c>
      <x:c r="AH794" t="n">
        <x:f>--AND(AG794=1,AE794="HALLUCINATION")</x:f>
        <x:v>0</x:v>
      </x:c>
      <x:c r="AI794" t="n">
        <x:f>--AND(Q794=1,AF794=1,AE794="HALLUCINATION")</x:f>
        <x:v>0</x:v>
      </x:c>
      <x:c r="AJ794" t="n">
        <x:f>--AND(AI794=1,R794=1,S794=1)</x:f>
        <x:v>0</x:v>
      </x:c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28"/>
      <x:c r="R795" s="28"/>
      <x:c r="S795" s="28"/>
      <x:c r="T795" s="28"/>
      <x:c r="U795" s="28"/>
      <x:c r="V795" s="28"/>
      <x:c r="W795" s="43" t="n">
        <x:f>--AND(N795=1,OR(O795="SUPPORTED",O795="HALLUCINATION"))</x:f>
        <x:v>0</x:v>
      </x:c>
      <x:c r="X795" s="43" t="n">
        <x:f>--AND(W795=1,O795="HALLUCINATION")</x:f>
        <x:v>0</x:v>
      </x:c>
      <x:c r="Y795" s="43" t="n">
        <x:f>--AND(Q795=1,O795="HALLUCINATION")</x:f>
        <x:v>0</x:v>
      </x:c>
      <x:c r="Z795" s="43" t="n">
        <x:f>--AND(Y795=1,R795=1,S795=1)</x:f>
        <x:v>0</x:v>
      </x:c>
      <x:c r="AC795" t="str">
        <x:f>IF(OR(AA795="",AB795=""),"",--(AA795&lt;&gt;AB795))</x:f>
      </x:c>
      <x:c r="AE795" t="str">
        <x:f>IF(OR(AA795="",AB795=""),"PENDING_HUMAN",IF(AA795=AB795,AA795,IF(AD795&lt;&gt;"",AD795,"PENDING_HUMAN")))</x:f>
        <x:v>PENDING_HUMAN</x:v>
      </x:c>
      <x:c r="AF795" t="n">
        <x:f>--AND(A795&lt;&gt;"",AA795&lt;&gt;"",AB795&lt;&gt;"",OR(AA795=AB795,AD795&lt;&gt;""),IF(AE795="HALLUCINATION",U795&lt;&gt;"",TRUE))</x:f>
        <x:v>0</x:v>
      </x:c>
      <x:c r="AG795" t="n">
        <x:f>--AND(N795=1,AF795=1,OR(AE795="SUPPORTED",AE795="HALLUCINATION"))</x:f>
        <x:v>0</x:v>
      </x:c>
      <x:c r="AH795" t="n">
        <x:f>--AND(AG795=1,AE795="HALLUCINATION")</x:f>
        <x:v>0</x:v>
      </x:c>
      <x:c r="AI795" t="n">
        <x:f>--AND(Q795=1,AF795=1,AE795="HALLUCINATION")</x:f>
        <x:v>0</x:v>
      </x:c>
      <x:c r="AJ795" t="n">
        <x:f>--AND(AI795=1,R795=1,S795=1)</x:f>
        <x:v>0</x:v>
      </x:c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28"/>
      <x:c r="R796" s="28"/>
      <x:c r="S796" s="28"/>
      <x:c r="T796" s="28"/>
      <x:c r="U796" s="28"/>
      <x:c r="V796" s="28"/>
      <x:c r="W796" s="43" t="n">
        <x:f>--AND(N796=1,OR(O796="SUPPORTED",O796="HALLUCINATION"))</x:f>
        <x:v>0</x:v>
      </x:c>
      <x:c r="X796" s="43" t="n">
        <x:f>--AND(W796=1,O796="HALLUCINATION")</x:f>
        <x:v>0</x:v>
      </x:c>
      <x:c r="Y796" s="43" t="n">
        <x:f>--AND(Q796=1,O796="HALLUCINATION")</x:f>
        <x:v>0</x:v>
      </x:c>
      <x:c r="Z796" s="43" t="n">
        <x:f>--AND(Y796=1,R796=1,S796=1)</x:f>
        <x:v>0</x:v>
      </x:c>
      <x:c r="AC796" t="str">
        <x:f>IF(OR(AA796="",AB796=""),"",--(AA796&lt;&gt;AB796))</x:f>
      </x:c>
      <x:c r="AE796" t="str">
        <x:f>IF(OR(AA796="",AB796=""),"PENDING_HUMAN",IF(AA796=AB796,AA796,IF(AD796&lt;&gt;"",AD796,"PENDING_HUMAN")))</x:f>
        <x:v>PENDING_HUMAN</x:v>
      </x:c>
      <x:c r="AF796" t="n">
        <x:f>--AND(A796&lt;&gt;"",AA796&lt;&gt;"",AB796&lt;&gt;"",OR(AA796=AB796,AD796&lt;&gt;""),IF(AE796="HALLUCINATION",U796&lt;&gt;"",TRUE))</x:f>
        <x:v>0</x:v>
      </x:c>
      <x:c r="AG796" t="n">
        <x:f>--AND(N796=1,AF796=1,OR(AE796="SUPPORTED",AE796="HALLUCINATION"))</x:f>
        <x:v>0</x:v>
      </x:c>
      <x:c r="AH796" t="n">
        <x:f>--AND(AG796=1,AE796="HALLUCINATION")</x:f>
        <x:v>0</x:v>
      </x:c>
      <x:c r="AI796" t="n">
        <x:f>--AND(Q796=1,AF796=1,AE796="HALLUCINATION")</x:f>
        <x:v>0</x:v>
      </x:c>
      <x:c r="AJ796" t="n">
        <x:f>--AND(AI796=1,R796=1,S796=1)</x:f>
        <x:v>0</x:v>
      </x:c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28"/>
      <x:c r="R797" s="28"/>
      <x:c r="S797" s="28"/>
      <x:c r="T797" s="28"/>
      <x:c r="U797" s="28"/>
      <x:c r="V797" s="28"/>
      <x:c r="W797" s="43" t="n">
        <x:f>--AND(N797=1,OR(O797="SUPPORTED",O797="HALLUCINATION"))</x:f>
        <x:v>0</x:v>
      </x:c>
      <x:c r="X797" s="43" t="n">
        <x:f>--AND(W797=1,O797="HALLUCINATION")</x:f>
        <x:v>0</x:v>
      </x:c>
      <x:c r="Y797" s="43" t="n">
        <x:f>--AND(Q797=1,O797="HALLUCINATION")</x:f>
        <x:v>0</x:v>
      </x:c>
      <x:c r="Z797" s="43" t="n">
        <x:f>--AND(Y797=1,R797=1,S797=1)</x:f>
        <x:v>0</x:v>
      </x:c>
      <x:c r="AC797" t="str">
        <x:f>IF(OR(AA797="",AB797=""),"",--(AA797&lt;&gt;AB797))</x:f>
      </x:c>
      <x:c r="AE797" t="str">
        <x:f>IF(OR(AA797="",AB797=""),"PENDING_HUMAN",IF(AA797=AB797,AA797,IF(AD797&lt;&gt;"",AD797,"PENDING_HUMAN")))</x:f>
        <x:v>PENDING_HUMAN</x:v>
      </x:c>
      <x:c r="AF797" t="n">
        <x:f>--AND(A797&lt;&gt;"",AA797&lt;&gt;"",AB797&lt;&gt;"",OR(AA797=AB797,AD797&lt;&gt;""),IF(AE797="HALLUCINATION",U797&lt;&gt;"",TRUE))</x:f>
        <x:v>0</x:v>
      </x:c>
      <x:c r="AG797" t="n">
        <x:f>--AND(N797=1,AF797=1,OR(AE797="SUPPORTED",AE797="HALLUCINATION"))</x:f>
        <x:v>0</x:v>
      </x:c>
      <x:c r="AH797" t="n">
        <x:f>--AND(AG797=1,AE797="HALLUCINATION")</x:f>
        <x:v>0</x:v>
      </x:c>
      <x:c r="AI797" t="n">
        <x:f>--AND(Q797=1,AF797=1,AE797="HALLUCINATION")</x:f>
        <x:v>0</x:v>
      </x:c>
      <x:c r="AJ797" t="n">
        <x:f>--AND(AI797=1,R797=1,S797=1)</x:f>
        <x:v>0</x:v>
      </x:c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28"/>
      <x:c r="R798" s="28"/>
      <x:c r="S798" s="28"/>
      <x:c r="T798" s="28"/>
      <x:c r="U798" s="28"/>
      <x:c r="V798" s="28"/>
      <x:c r="W798" s="43" t="n">
        <x:f>--AND(N798=1,OR(O798="SUPPORTED",O798="HALLUCINATION"))</x:f>
        <x:v>0</x:v>
      </x:c>
      <x:c r="X798" s="43" t="n">
        <x:f>--AND(W798=1,O798="HALLUCINATION")</x:f>
        <x:v>0</x:v>
      </x:c>
      <x:c r="Y798" s="43" t="n">
        <x:f>--AND(Q798=1,O798="HALLUCINATION")</x:f>
        <x:v>0</x:v>
      </x:c>
      <x:c r="Z798" s="43" t="n">
        <x:f>--AND(Y798=1,R798=1,S798=1)</x:f>
        <x:v>0</x:v>
      </x:c>
      <x:c r="AC798" t="str">
        <x:f>IF(OR(AA798="",AB798=""),"",--(AA798&lt;&gt;AB798))</x:f>
      </x:c>
      <x:c r="AE798" t="str">
        <x:f>IF(OR(AA798="",AB798=""),"PENDING_HUMAN",IF(AA798=AB798,AA798,IF(AD798&lt;&gt;"",AD798,"PENDING_HUMAN")))</x:f>
        <x:v>PENDING_HUMAN</x:v>
      </x:c>
      <x:c r="AF798" t="n">
        <x:f>--AND(A798&lt;&gt;"",AA798&lt;&gt;"",AB798&lt;&gt;"",OR(AA798=AB798,AD798&lt;&gt;""),IF(AE798="HALLUCINATION",U798&lt;&gt;"",TRUE))</x:f>
        <x:v>0</x:v>
      </x:c>
      <x:c r="AG798" t="n">
        <x:f>--AND(N798=1,AF798=1,OR(AE798="SUPPORTED",AE798="HALLUCINATION"))</x:f>
        <x:v>0</x:v>
      </x:c>
      <x:c r="AH798" t="n">
        <x:f>--AND(AG798=1,AE798="HALLUCINATION")</x:f>
        <x:v>0</x:v>
      </x:c>
      <x:c r="AI798" t="n">
        <x:f>--AND(Q798=1,AF798=1,AE798="HALLUCINATION")</x:f>
        <x:v>0</x:v>
      </x:c>
      <x:c r="AJ798" t="n">
        <x:f>--AND(AI798=1,R798=1,S798=1)</x:f>
        <x:v>0</x:v>
      </x:c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28"/>
      <x:c r="R799" s="28"/>
      <x:c r="S799" s="28"/>
      <x:c r="T799" s="28"/>
      <x:c r="U799" s="28"/>
      <x:c r="V799" s="28"/>
      <x:c r="W799" s="43" t="n">
        <x:f>--AND(N799=1,OR(O799="SUPPORTED",O799="HALLUCINATION"))</x:f>
        <x:v>0</x:v>
      </x:c>
      <x:c r="X799" s="43" t="n">
        <x:f>--AND(W799=1,O799="HALLUCINATION")</x:f>
        <x:v>0</x:v>
      </x:c>
      <x:c r="Y799" s="43" t="n">
        <x:f>--AND(Q799=1,O799="HALLUCINATION")</x:f>
        <x:v>0</x:v>
      </x:c>
      <x:c r="Z799" s="43" t="n">
        <x:f>--AND(Y799=1,R799=1,S799=1)</x:f>
        <x:v>0</x:v>
      </x:c>
      <x:c r="AC799" t="str">
        <x:f>IF(OR(AA799="",AB799=""),"",--(AA799&lt;&gt;AB799))</x:f>
      </x:c>
      <x:c r="AE799" t="str">
        <x:f>IF(OR(AA799="",AB799=""),"PENDING_HUMAN",IF(AA799=AB799,AA799,IF(AD799&lt;&gt;"",AD799,"PENDING_HUMAN")))</x:f>
        <x:v>PENDING_HUMAN</x:v>
      </x:c>
      <x:c r="AF799" t="n">
        <x:f>--AND(A799&lt;&gt;"",AA799&lt;&gt;"",AB799&lt;&gt;"",OR(AA799=AB799,AD799&lt;&gt;""),IF(AE799="HALLUCINATION",U799&lt;&gt;"",TRUE))</x:f>
        <x:v>0</x:v>
      </x:c>
      <x:c r="AG799" t="n">
        <x:f>--AND(N799=1,AF799=1,OR(AE799="SUPPORTED",AE799="HALLUCINATION"))</x:f>
        <x:v>0</x:v>
      </x:c>
      <x:c r="AH799" t="n">
        <x:f>--AND(AG799=1,AE799="HALLUCINATION")</x:f>
        <x:v>0</x:v>
      </x:c>
      <x:c r="AI799" t="n">
        <x:f>--AND(Q799=1,AF799=1,AE799="HALLUCINATION")</x:f>
        <x:v>0</x:v>
      </x:c>
      <x:c r="AJ799" t="n">
        <x:f>--AND(AI799=1,R799=1,S799=1)</x:f>
        <x:v>0</x:v>
      </x:c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28"/>
      <x:c r="R800" s="28"/>
      <x:c r="S800" s="28"/>
      <x:c r="T800" s="28"/>
      <x:c r="U800" s="28"/>
      <x:c r="V800" s="28"/>
      <x:c r="W800" s="43" t="n">
        <x:f>--AND(N800=1,OR(O800="SUPPORTED",O800="HALLUCINATION"))</x:f>
        <x:v>0</x:v>
      </x:c>
      <x:c r="X800" s="43" t="n">
        <x:f>--AND(W800=1,O800="HALLUCINATION")</x:f>
        <x:v>0</x:v>
      </x:c>
      <x:c r="Y800" s="43" t="n">
        <x:f>--AND(Q800=1,O800="HALLUCINATION")</x:f>
        <x:v>0</x:v>
      </x:c>
      <x:c r="Z800" s="43" t="n">
        <x:f>--AND(Y800=1,R800=1,S800=1)</x:f>
        <x:v>0</x:v>
      </x:c>
      <x:c r="AC800" t="str">
        <x:f>IF(OR(AA800="",AB800=""),"",--(AA800&lt;&gt;AB800))</x:f>
      </x:c>
      <x:c r="AE800" t="str">
        <x:f>IF(OR(AA800="",AB800=""),"PENDING_HUMAN",IF(AA800=AB800,AA800,IF(AD800&lt;&gt;"",AD800,"PENDING_HUMAN")))</x:f>
        <x:v>PENDING_HUMAN</x:v>
      </x:c>
      <x:c r="AF800" t="n">
        <x:f>--AND(A800&lt;&gt;"",AA800&lt;&gt;"",AB800&lt;&gt;"",OR(AA800=AB800,AD800&lt;&gt;""),IF(AE800="HALLUCINATION",U800&lt;&gt;"",TRUE))</x:f>
        <x:v>0</x:v>
      </x:c>
      <x:c r="AG800" t="n">
        <x:f>--AND(N800=1,AF800=1,OR(AE800="SUPPORTED",AE800="HALLUCINATION"))</x:f>
        <x:v>0</x:v>
      </x:c>
      <x:c r="AH800" t="n">
        <x:f>--AND(AG800=1,AE800="HALLUCINATION")</x:f>
        <x:v>0</x:v>
      </x:c>
      <x:c r="AI800" t="n">
        <x:f>--AND(Q800=1,AF800=1,AE800="HALLUCINATION")</x:f>
        <x:v>0</x:v>
      </x:c>
      <x:c r="AJ800" t="n">
        <x:f>--AND(AI800=1,R800=1,S800=1)</x:f>
        <x:v>0</x:v>
      </x:c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28"/>
      <x:c r="R801" s="28"/>
      <x:c r="S801" s="28"/>
      <x:c r="T801" s="28"/>
      <x:c r="U801" s="28"/>
      <x:c r="V801" s="28"/>
      <x:c r="W801" s="43" t="n">
        <x:f>--AND(N801=1,OR(O801="SUPPORTED",O801="HALLUCINATION"))</x:f>
        <x:v>0</x:v>
      </x:c>
      <x:c r="X801" s="43" t="n">
        <x:f>--AND(W801=1,O801="HALLUCINATION")</x:f>
        <x:v>0</x:v>
      </x:c>
      <x:c r="Y801" s="43" t="n">
        <x:f>--AND(Q801=1,O801="HALLUCINATION")</x:f>
        <x:v>0</x:v>
      </x:c>
      <x:c r="Z801" s="43" t="n">
        <x:f>--AND(Y801=1,R801=1,S801=1)</x:f>
        <x:v>0</x:v>
      </x:c>
      <x:c r="AC801" t="str">
        <x:f>IF(OR(AA801="",AB801=""),"",--(AA801&lt;&gt;AB801))</x:f>
      </x:c>
      <x:c r="AE801" t="str">
        <x:f>IF(OR(AA801="",AB801=""),"PENDING_HUMAN",IF(AA801=AB801,AA801,IF(AD801&lt;&gt;"",AD801,"PENDING_HUMAN")))</x:f>
        <x:v>PENDING_HUMAN</x:v>
      </x:c>
      <x:c r="AF801" t="n">
        <x:f>--AND(A801&lt;&gt;"",AA801&lt;&gt;"",AB801&lt;&gt;"",OR(AA801=AB801,AD801&lt;&gt;""),IF(AE801="HALLUCINATION",U801&lt;&gt;"",TRUE))</x:f>
        <x:v>0</x:v>
      </x:c>
      <x:c r="AG801" t="n">
        <x:f>--AND(N801=1,AF801=1,OR(AE801="SUPPORTED",AE801="HALLUCINATION"))</x:f>
        <x:v>0</x:v>
      </x:c>
      <x:c r="AH801" t="n">
        <x:f>--AND(AG801=1,AE801="HALLUCINATION")</x:f>
        <x:v>0</x:v>
      </x:c>
      <x:c r="AI801" t="n">
        <x:f>--AND(Q801=1,AF801=1,AE801="HALLUCINATION")</x:f>
        <x:v>0</x:v>
      </x:c>
      <x:c r="AJ801" t="n">
        <x:f>--AND(AI801=1,R801=1,S801=1)</x:f>
        <x:v>0</x:v>
      </x:c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28"/>
      <x:c r="R802" s="28"/>
      <x:c r="S802" s="28"/>
      <x:c r="T802" s="28"/>
      <x:c r="U802" s="28"/>
      <x:c r="V802" s="28"/>
      <x:c r="W802" s="43" t="n">
        <x:f>--AND(N802=1,OR(O802="SUPPORTED",O802="HALLUCINATION"))</x:f>
        <x:v>0</x:v>
      </x:c>
      <x:c r="X802" s="43" t="n">
        <x:f>--AND(W802=1,O802="HALLUCINATION")</x:f>
        <x:v>0</x:v>
      </x:c>
      <x:c r="Y802" s="43" t="n">
        <x:f>--AND(Q802=1,O802="HALLUCINATION")</x:f>
        <x:v>0</x:v>
      </x:c>
      <x:c r="Z802" s="43" t="n">
        <x:f>--AND(Y802=1,R802=1,S802=1)</x:f>
        <x:v>0</x:v>
      </x:c>
      <x:c r="AC802" t="str">
        <x:f>IF(OR(AA802="",AB802=""),"",--(AA802&lt;&gt;AB802))</x:f>
      </x:c>
      <x:c r="AE802" t="str">
        <x:f>IF(OR(AA802="",AB802=""),"PENDING_HUMAN",IF(AA802=AB802,AA802,IF(AD802&lt;&gt;"",AD802,"PENDING_HUMAN")))</x:f>
        <x:v>PENDING_HUMAN</x:v>
      </x:c>
      <x:c r="AF802" t="n">
        <x:f>--AND(A802&lt;&gt;"",AA802&lt;&gt;"",AB802&lt;&gt;"",OR(AA802=AB802,AD802&lt;&gt;""),IF(AE802="HALLUCINATION",U802&lt;&gt;"",TRUE))</x:f>
        <x:v>0</x:v>
      </x:c>
      <x:c r="AG802" t="n">
        <x:f>--AND(N802=1,AF802=1,OR(AE802="SUPPORTED",AE802="HALLUCINATION"))</x:f>
        <x:v>0</x:v>
      </x:c>
      <x:c r="AH802" t="n">
        <x:f>--AND(AG802=1,AE802="HALLUCINATION")</x:f>
        <x:v>0</x:v>
      </x:c>
      <x:c r="AI802" t="n">
        <x:f>--AND(Q802=1,AF802=1,AE802="HALLUCINATION")</x:f>
        <x:v>0</x:v>
      </x:c>
      <x:c r="AJ802" t="n">
        <x:f>--AND(AI802=1,R802=1,S802=1)</x:f>
        <x:v>0</x:v>
      </x:c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28"/>
      <x:c r="R803" s="28"/>
      <x:c r="S803" s="28"/>
      <x:c r="T803" s="28"/>
      <x:c r="U803" s="28"/>
      <x:c r="V803" s="28"/>
      <x:c r="W803" s="43" t="n">
        <x:f>--AND(N803=1,OR(O803="SUPPORTED",O803="HALLUCINATION"))</x:f>
        <x:v>0</x:v>
      </x:c>
      <x:c r="X803" s="43" t="n">
        <x:f>--AND(W803=1,O803="HALLUCINATION")</x:f>
        <x:v>0</x:v>
      </x:c>
      <x:c r="Y803" s="43" t="n">
        <x:f>--AND(Q803=1,O803="HALLUCINATION")</x:f>
        <x:v>0</x:v>
      </x:c>
      <x:c r="Z803" s="43" t="n">
        <x:f>--AND(Y803=1,R803=1,S803=1)</x:f>
        <x:v>0</x:v>
      </x:c>
      <x:c r="AC803" t="str">
        <x:f>IF(OR(AA803="",AB803=""),"",--(AA803&lt;&gt;AB803))</x:f>
      </x:c>
      <x:c r="AE803" t="str">
        <x:f>IF(OR(AA803="",AB803=""),"PENDING_HUMAN",IF(AA803=AB803,AA803,IF(AD803&lt;&gt;"",AD803,"PENDING_HUMAN")))</x:f>
        <x:v>PENDING_HUMAN</x:v>
      </x:c>
      <x:c r="AF803" t="n">
        <x:f>--AND(A803&lt;&gt;"",AA803&lt;&gt;"",AB803&lt;&gt;"",OR(AA803=AB803,AD803&lt;&gt;""),IF(AE803="HALLUCINATION",U803&lt;&gt;"",TRUE))</x:f>
        <x:v>0</x:v>
      </x:c>
      <x:c r="AG803" t="n">
        <x:f>--AND(N803=1,AF803=1,OR(AE803="SUPPORTED",AE803="HALLUCINATION"))</x:f>
        <x:v>0</x:v>
      </x:c>
      <x:c r="AH803" t="n">
        <x:f>--AND(AG803=1,AE803="HALLUCINATION")</x:f>
        <x:v>0</x:v>
      </x:c>
      <x:c r="AI803" t="n">
        <x:f>--AND(Q803=1,AF803=1,AE803="HALLUCINATION")</x:f>
        <x:v>0</x:v>
      </x:c>
      <x:c r="AJ803" t="n">
        <x:f>--AND(AI803=1,R803=1,S803=1)</x:f>
        <x:v>0</x:v>
      </x:c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28"/>
      <x:c r="R804" s="28"/>
      <x:c r="S804" s="28"/>
      <x:c r="T804" s="28"/>
      <x:c r="U804" s="28"/>
      <x:c r="V804" s="28"/>
      <x:c r="W804" s="43" t="n">
        <x:f>--AND(N804=1,OR(O804="SUPPORTED",O804="HALLUCINATION"))</x:f>
        <x:v>0</x:v>
      </x:c>
      <x:c r="X804" s="43" t="n">
        <x:f>--AND(W804=1,O804="HALLUCINATION")</x:f>
        <x:v>0</x:v>
      </x:c>
      <x:c r="Y804" s="43" t="n">
        <x:f>--AND(Q804=1,O804="HALLUCINATION")</x:f>
        <x:v>0</x:v>
      </x:c>
      <x:c r="Z804" s="43" t="n">
        <x:f>--AND(Y804=1,R804=1,S804=1)</x:f>
        <x:v>0</x:v>
      </x:c>
      <x:c r="AC804" t="str">
        <x:f>IF(OR(AA804="",AB804=""),"",--(AA804&lt;&gt;AB804))</x:f>
      </x:c>
      <x:c r="AE804" t="str">
        <x:f>IF(OR(AA804="",AB804=""),"PENDING_HUMAN",IF(AA804=AB804,AA804,IF(AD804&lt;&gt;"",AD804,"PENDING_HUMAN")))</x:f>
        <x:v>PENDING_HUMAN</x:v>
      </x:c>
      <x:c r="AF804" t="n">
        <x:f>--AND(A804&lt;&gt;"",AA804&lt;&gt;"",AB804&lt;&gt;"",OR(AA804=AB804,AD804&lt;&gt;""),IF(AE804="HALLUCINATION",U804&lt;&gt;"",TRUE))</x:f>
        <x:v>0</x:v>
      </x:c>
      <x:c r="AG804" t="n">
        <x:f>--AND(N804=1,AF804=1,OR(AE804="SUPPORTED",AE804="HALLUCINATION"))</x:f>
        <x:v>0</x:v>
      </x:c>
      <x:c r="AH804" t="n">
        <x:f>--AND(AG804=1,AE804="HALLUCINATION")</x:f>
        <x:v>0</x:v>
      </x:c>
      <x:c r="AI804" t="n">
        <x:f>--AND(Q804=1,AF804=1,AE804="HALLUCINATION")</x:f>
        <x:v>0</x:v>
      </x:c>
      <x:c r="AJ804" t="n">
        <x:f>--AND(AI804=1,R804=1,S804=1)</x:f>
        <x:v>0</x:v>
      </x:c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28"/>
      <x:c r="R805" s="28"/>
      <x:c r="S805" s="28"/>
      <x:c r="T805" s="28"/>
      <x:c r="U805" s="28"/>
      <x:c r="V805" s="28"/>
      <x:c r="W805" s="43" t="n">
        <x:f>--AND(N805=1,OR(O805="SUPPORTED",O805="HALLUCINATION"))</x:f>
        <x:v>0</x:v>
      </x:c>
      <x:c r="X805" s="43" t="n">
        <x:f>--AND(W805=1,O805="HALLUCINATION")</x:f>
        <x:v>0</x:v>
      </x:c>
      <x:c r="Y805" s="43" t="n">
        <x:f>--AND(Q805=1,O805="HALLUCINATION")</x:f>
        <x:v>0</x:v>
      </x:c>
      <x:c r="Z805" s="43" t="n">
        <x:f>--AND(Y805=1,R805=1,S805=1)</x:f>
        <x:v>0</x:v>
      </x:c>
      <x:c r="AC805" t="str">
        <x:f>IF(OR(AA805="",AB805=""),"",--(AA805&lt;&gt;AB805))</x:f>
      </x:c>
      <x:c r="AE805" t="str">
        <x:f>IF(OR(AA805="",AB805=""),"PENDING_HUMAN",IF(AA805=AB805,AA805,IF(AD805&lt;&gt;"",AD805,"PENDING_HUMAN")))</x:f>
        <x:v>PENDING_HUMAN</x:v>
      </x:c>
      <x:c r="AF805" t="n">
        <x:f>--AND(A805&lt;&gt;"",AA805&lt;&gt;"",AB805&lt;&gt;"",OR(AA805=AB805,AD805&lt;&gt;""),IF(AE805="HALLUCINATION",U805&lt;&gt;"",TRUE))</x:f>
        <x:v>0</x:v>
      </x:c>
      <x:c r="AG805" t="n">
        <x:f>--AND(N805=1,AF805=1,OR(AE805="SUPPORTED",AE805="HALLUCINATION"))</x:f>
        <x:v>0</x:v>
      </x:c>
      <x:c r="AH805" t="n">
        <x:f>--AND(AG805=1,AE805="HALLUCINATION")</x:f>
        <x:v>0</x:v>
      </x:c>
      <x:c r="AI805" t="n">
        <x:f>--AND(Q805=1,AF805=1,AE805="HALLUCINATION")</x:f>
        <x:v>0</x:v>
      </x:c>
      <x:c r="AJ805" t="n">
        <x:f>--AND(AI805=1,R805=1,S805=1)</x:f>
        <x:v>0</x:v>
      </x:c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28"/>
      <x:c r="R806" s="28"/>
      <x:c r="S806" s="28"/>
      <x:c r="T806" s="28"/>
      <x:c r="U806" s="28"/>
      <x:c r="V806" s="28"/>
      <x:c r="W806" s="43" t="n">
        <x:f>--AND(N806=1,OR(O806="SUPPORTED",O806="HALLUCINATION"))</x:f>
        <x:v>0</x:v>
      </x:c>
      <x:c r="X806" s="43" t="n">
        <x:f>--AND(W806=1,O806="HALLUCINATION")</x:f>
        <x:v>0</x:v>
      </x:c>
      <x:c r="Y806" s="43" t="n">
        <x:f>--AND(Q806=1,O806="HALLUCINATION")</x:f>
        <x:v>0</x:v>
      </x:c>
      <x:c r="Z806" s="43" t="n">
        <x:f>--AND(Y806=1,R806=1,S806=1)</x:f>
        <x:v>0</x:v>
      </x:c>
      <x:c r="AC806" t="str">
        <x:f>IF(OR(AA806="",AB806=""),"",--(AA806&lt;&gt;AB806))</x:f>
      </x:c>
      <x:c r="AE806" t="str">
        <x:f>IF(OR(AA806="",AB806=""),"PENDING_HUMAN",IF(AA806=AB806,AA806,IF(AD806&lt;&gt;"",AD806,"PENDING_HUMAN")))</x:f>
        <x:v>PENDING_HUMAN</x:v>
      </x:c>
      <x:c r="AF806" t="n">
        <x:f>--AND(A806&lt;&gt;"",AA806&lt;&gt;"",AB806&lt;&gt;"",OR(AA806=AB806,AD806&lt;&gt;""),IF(AE806="HALLUCINATION",U806&lt;&gt;"",TRUE))</x:f>
        <x:v>0</x:v>
      </x:c>
      <x:c r="AG806" t="n">
        <x:f>--AND(N806=1,AF806=1,OR(AE806="SUPPORTED",AE806="HALLUCINATION"))</x:f>
        <x:v>0</x:v>
      </x:c>
      <x:c r="AH806" t="n">
        <x:f>--AND(AG806=1,AE806="HALLUCINATION")</x:f>
        <x:v>0</x:v>
      </x:c>
      <x:c r="AI806" t="n">
        <x:f>--AND(Q806=1,AF806=1,AE806="HALLUCINATION")</x:f>
        <x:v>0</x:v>
      </x:c>
      <x:c r="AJ806" t="n">
        <x:f>--AND(AI806=1,R806=1,S806=1)</x:f>
        <x:v>0</x:v>
      </x:c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28"/>
      <x:c r="R807" s="28"/>
      <x:c r="S807" s="28"/>
      <x:c r="T807" s="28"/>
      <x:c r="U807" s="28"/>
      <x:c r="V807" s="28"/>
      <x:c r="W807" s="43" t="n">
        <x:f>--AND(N807=1,OR(O807="SUPPORTED",O807="HALLUCINATION"))</x:f>
        <x:v>0</x:v>
      </x:c>
      <x:c r="X807" s="43" t="n">
        <x:f>--AND(W807=1,O807="HALLUCINATION")</x:f>
        <x:v>0</x:v>
      </x:c>
      <x:c r="Y807" s="43" t="n">
        <x:f>--AND(Q807=1,O807="HALLUCINATION")</x:f>
        <x:v>0</x:v>
      </x:c>
      <x:c r="Z807" s="43" t="n">
        <x:f>--AND(Y807=1,R807=1,S807=1)</x:f>
        <x:v>0</x:v>
      </x:c>
      <x:c r="AC807" t="str">
        <x:f>IF(OR(AA807="",AB807=""),"",--(AA807&lt;&gt;AB807))</x:f>
      </x:c>
      <x:c r="AE807" t="str">
        <x:f>IF(OR(AA807="",AB807=""),"PENDING_HUMAN",IF(AA807=AB807,AA807,IF(AD807&lt;&gt;"",AD807,"PENDING_HUMAN")))</x:f>
        <x:v>PENDING_HUMAN</x:v>
      </x:c>
      <x:c r="AF807" t="n">
        <x:f>--AND(A807&lt;&gt;"",AA807&lt;&gt;"",AB807&lt;&gt;"",OR(AA807=AB807,AD807&lt;&gt;""),IF(AE807="HALLUCINATION",U807&lt;&gt;"",TRUE))</x:f>
        <x:v>0</x:v>
      </x:c>
      <x:c r="AG807" t="n">
        <x:f>--AND(N807=1,AF807=1,OR(AE807="SUPPORTED",AE807="HALLUCINATION"))</x:f>
        <x:v>0</x:v>
      </x:c>
      <x:c r="AH807" t="n">
        <x:f>--AND(AG807=1,AE807="HALLUCINATION")</x:f>
        <x:v>0</x:v>
      </x:c>
      <x:c r="AI807" t="n">
        <x:f>--AND(Q807=1,AF807=1,AE807="HALLUCINATION")</x:f>
        <x:v>0</x:v>
      </x:c>
      <x:c r="AJ807" t="n">
        <x:f>--AND(AI807=1,R807=1,S807=1)</x:f>
        <x:v>0</x:v>
      </x:c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28"/>
      <x:c r="R808" s="28"/>
      <x:c r="S808" s="28"/>
      <x:c r="T808" s="28"/>
      <x:c r="U808" s="28"/>
      <x:c r="V808" s="28"/>
      <x:c r="W808" s="43" t="n">
        <x:f>--AND(N808=1,OR(O808="SUPPORTED",O808="HALLUCINATION"))</x:f>
        <x:v>0</x:v>
      </x:c>
      <x:c r="X808" s="43" t="n">
        <x:f>--AND(W808=1,O808="HALLUCINATION")</x:f>
        <x:v>0</x:v>
      </x:c>
      <x:c r="Y808" s="43" t="n">
        <x:f>--AND(Q808=1,O808="HALLUCINATION")</x:f>
        <x:v>0</x:v>
      </x:c>
      <x:c r="Z808" s="43" t="n">
        <x:f>--AND(Y808=1,R808=1,S808=1)</x:f>
        <x:v>0</x:v>
      </x:c>
      <x:c r="AC808" t="str">
        <x:f>IF(OR(AA808="",AB808=""),"",--(AA808&lt;&gt;AB808))</x:f>
      </x:c>
      <x:c r="AE808" t="str">
        <x:f>IF(OR(AA808="",AB808=""),"PENDING_HUMAN",IF(AA808=AB808,AA808,IF(AD808&lt;&gt;"",AD808,"PENDING_HUMAN")))</x:f>
        <x:v>PENDING_HUMAN</x:v>
      </x:c>
      <x:c r="AF808" t="n">
        <x:f>--AND(A808&lt;&gt;"",AA808&lt;&gt;"",AB808&lt;&gt;"",OR(AA808=AB808,AD808&lt;&gt;""),IF(AE808="HALLUCINATION",U808&lt;&gt;"",TRUE))</x:f>
        <x:v>0</x:v>
      </x:c>
      <x:c r="AG808" t="n">
        <x:f>--AND(N808=1,AF808=1,OR(AE808="SUPPORTED",AE808="HALLUCINATION"))</x:f>
        <x:v>0</x:v>
      </x:c>
      <x:c r="AH808" t="n">
        <x:f>--AND(AG808=1,AE808="HALLUCINATION")</x:f>
        <x:v>0</x:v>
      </x:c>
      <x:c r="AI808" t="n">
        <x:f>--AND(Q808=1,AF808=1,AE808="HALLUCINATION")</x:f>
        <x:v>0</x:v>
      </x:c>
      <x:c r="AJ808" t="n">
        <x:f>--AND(AI808=1,R808=1,S808=1)</x:f>
        <x:v>0</x:v>
      </x:c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28"/>
      <x:c r="R809" s="28"/>
      <x:c r="S809" s="28"/>
      <x:c r="T809" s="28"/>
      <x:c r="U809" s="28"/>
      <x:c r="V809" s="28"/>
      <x:c r="W809" s="43" t="n">
        <x:f>--AND(N809=1,OR(O809="SUPPORTED",O809="HALLUCINATION"))</x:f>
        <x:v>0</x:v>
      </x:c>
      <x:c r="X809" s="43" t="n">
        <x:f>--AND(W809=1,O809="HALLUCINATION")</x:f>
        <x:v>0</x:v>
      </x:c>
      <x:c r="Y809" s="43" t="n">
        <x:f>--AND(Q809=1,O809="HALLUCINATION")</x:f>
        <x:v>0</x:v>
      </x:c>
      <x:c r="Z809" s="43" t="n">
        <x:f>--AND(Y809=1,R809=1,S809=1)</x:f>
        <x:v>0</x:v>
      </x:c>
      <x:c r="AC809" t="str">
        <x:f>IF(OR(AA809="",AB809=""),"",--(AA809&lt;&gt;AB809))</x:f>
      </x:c>
      <x:c r="AE809" t="str">
        <x:f>IF(OR(AA809="",AB809=""),"PENDING_HUMAN",IF(AA809=AB809,AA809,IF(AD809&lt;&gt;"",AD809,"PENDING_HUMAN")))</x:f>
        <x:v>PENDING_HUMAN</x:v>
      </x:c>
      <x:c r="AF809" t="n">
        <x:f>--AND(A809&lt;&gt;"",AA809&lt;&gt;"",AB809&lt;&gt;"",OR(AA809=AB809,AD809&lt;&gt;""),IF(AE809="HALLUCINATION",U809&lt;&gt;"",TRUE))</x:f>
        <x:v>0</x:v>
      </x:c>
      <x:c r="AG809" t="n">
        <x:f>--AND(N809=1,AF809=1,OR(AE809="SUPPORTED",AE809="HALLUCINATION"))</x:f>
        <x:v>0</x:v>
      </x:c>
      <x:c r="AH809" t="n">
        <x:f>--AND(AG809=1,AE809="HALLUCINATION")</x:f>
        <x:v>0</x:v>
      </x:c>
      <x:c r="AI809" t="n">
        <x:f>--AND(Q809=1,AF809=1,AE809="HALLUCINATION")</x:f>
        <x:v>0</x:v>
      </x:c>
      <x:c r="AJ809" t="n">
        <x:f>--AND(AI809=1,R809=1,S809=1)</x:f>
        <x:v>0</x:v>
      </x:c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28"/>
      <x:c r="R810" s="28"/>
      <x:c r="S810" s="28"/>
      <x:c r="T810" s="28"/>
      <x:c r="U810" s="28"/>
      <x:c r="V810" s="28"/>
      <x:c r="W810" s="43" t="n">
        <x:f>--AND(N810=1,OR(O810="SUPPORTED",O810="HALLUCINATION"))</x:f>
        <x:v>0</x:v>
      </x:c>
      <x:c r="X810" s="43" t="n">
        <x:f>--AND(W810=1,O810="HALLUCINATION")</x:f>
        <x:v>0</x:v>
      </x:c>
      <x:c r="Y810" s="43" t="n">
        <x:f>--AND(Q810=1,O810="HALLUCINATION")</x:f>
        <x:v>0</x:v>
      </x:c>
      <x:c r="Z810" s="43" t="n">
        <x:f>--AND(Y810=1,R810=1,S810=1)</x:f>
        <x:v>0</x:v>
      </x:c>
      <x:c r="AC810" t="str">
        <x:f>IF(OR(AA810="",AB810=""),"",--(AA810&lt;&gt;AB810))</x:f>
      </x:c>
      <x:c r="AE810" t="str">
        <x:f>IF(OR(AA810="",AB810=""),"PENDING_HUMAN",IF(AA810=AB810,AA810,IF(AD810&lt;&gt;"",AD810,"PENDING_HUMAN")))</x:f>
        <x:v>PENDING_HUMAN</x:v>
      </x:c>
      <x:c r="AF810" t="n">
        <x:f>--AND(A810&lt;&gt;"",AA810&lt;&gt;"",AB810&lt;&gt;"",OR(AA810=AB810,AD810&lt;&gt;""),IF(AE810="HALLUCINATION",U810&lt;&gt;"",TRUE))</x:f>
        <x:v>0</x:v>
      </x:c>
      <x:c r="AG810" t="n">
        <x:f>--AND(N810=1,AF810=1,OR(AE810="SUPPORTED",AE810="HALLUCINATION"))</x:f>
        <x:v>0</x:v>
      </x:c>
      <x:c r="AH810" t="n">
        <x:f>--AND(AG810=1,AE810="HALLUCINATION")</x:f>
        <x:v>0</x:v>
      </x:c>
      <x:c r="AI810" t="n">
        <x:f>--AND(Q810=1,AF810=1,AE810="HALLUCINATION")</x:f>
        <x:v>0</x:v>
      </x:c>
      <x:c r="AJ810" t="n">
        <x:f>--AND(AI810=1,R810=1,S810=1)</x:f>
        <x:v>0</x:v>
      </x:c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28"/>
      <x:c r="R811" s="28"/>
      <x:c r="S811" s="28"/>
      <x:c r="T811" s="28"/>
      <x:c r="U811" s="28"/>
      <x:c r="V811" s="28"/>
      <x:c r="W811" s="43" t="n">
        <x:f>--AND(N811=1,OR(O811="SUPPORTED",O811="HALLUCINATION"))</x:f>
        <x:v>0</x:v>
      </x:c>
      <x:c r="X811" s="43" t="n">
        <x:f>--AND(W811=1,O811="HALLUCINATION")</x:f>
        <x:v>0</x:v>
      </x:c>
      <x:c r="Y811" s="43" t="n">
        <x:f>--AND(Q811=1,O811="HALLUCINATION")</x:f>
        <x:v>0</x:v>
      </x:c>
      <x:c r="Z811" s="43" t="n">
        <x:f>--AND(Y811=1,R811=1,S811=1)</x:f>
        <x:v>0</x:v>
      </x:c>
      <x:c r="AC811" t="str">
        <x:f>IF(OR(AA811="",AB811=""),"",--(AA811&lt;&gt;AB811))</x:f>
      </x:c>
      <x:c r="AE811" t="str">
        <x:f>IF(OR(AA811="",AB811=""),"PENDING_HUMAN",IF(AA811=AB811,AA811,IF(AD811&lt;&gt;"",AD811,"PENDING_HUMAN")))</x:f>
        <x:v>PENDING_HUMAN</x:v>
      </x:c>
      <x:c r="AF811" t="n">
        <x:f>--AND(A811&lt;&gt;"",AA811&lt;&gt;"",AB811&lt;&gt;"",OR(AA811=AB811,AD811&lt;&gt;""),IF(AE811="HALLUCINATION",U811&lt;&gt;"",TRUE))</x:f>
        <x:v>0</x:v>
      </x:c>
      <x:c r="AG811" t="n">
        <x:f>--AND(N811=1,AF811=1,OR(AE811="SUPPORTED",AE811="HALLUCINATION"))</x:f>
        <x:v>0</x:v>
      </x:c>
      <x:c r="AH811" t="n">
        <x:f>--AND(AG811=1,AE811="HALLUCINATION")</x:f>
        <x:v>0</x:v>
      </x:c>
      <x:c r="AI811" t="n">
        <x:f>--AND(Q811=1,AF811=1,AE811="HALLUCINATION")</x:f>
        <x:v>0</x:v>
      </x:c>
      <x:c r="AJ811" t="n">
        <x:f>--AND(AI811=1,R811=1,S811=1)</x:f>
        <x:v>0</x:v>
      </x:c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28"/>
      <x:c r="R812" s="28"/>
      <x:c r="S812" s="28"/>
      <x:c r="T812" s="28"/>
      <x:c r="U812" s="28"/>
      <x:c r="V812" s="28"/>
      <x:c r="W812" s="43" t="n">
        <x:f>--AND(N812=1,OR(O812="SUPPORTED",O812="HALLUCINATION"))</x:f>
        <x:v>0</x:v>
      </x:c>
      <x:c r="X812" s="43" t="n">
        <x:f>--AND(W812=1,O812="HALLUCINATION")</x:f>
        <x:v>0</x:v>
      </x:c>
      <x:c r="Y812" s="43" t="n">
        <x:f>--AND(Q812=1,O812="HALLUCINATION")</x:f>
        <x:v>0</x:v>
      </x:c>
      <x:c r="Z812" s="43" t="n">
        <x:f>--AND(Y812=1,R812=1,S812=1)</x:f>
        <x:v>0</x:v>
      </x:c>
      <x:c r="AC812" t="str">
        <x:f>IF(OR(AA812="",AB812=""),"",--(AA812&lt;&gt;AB812))</x:f>
      </x:c>
      <x:c r="AE812" t="str">
        <x:f>IF(OR(AA812="",AB812=""),"PENDING_HUMAN",IF(AA812=AB812,AA812,IF(AD812&lt;&gt;"",AD812,"PENDING_HUMAN")))</x:f>
        <x:v>PENDING_HUMAN</x:v>
      </x:c>
      <x:c r="AF812" t="n">
        <x:f>--AND(A812&lt;&gt;"",AA812&lt;&gt;"",AB812&lt;&gt;"",OR(AA812=AB812,AD812&lt;&gt;""),IF(AE812="HALLUCINATION",U812&lt;&gt;"",TRUE))</x:f>
        <x:v>0</x:v>
      </x:c>
      <x:c r="AG812" t="n">
        <x:f>--AND(N812=1,AF812=1,OR(AE812="SUPPORTED",AE812="HALLUCINATION"))</x:f>
        <x:v>0</x:v>
      </x:c>
      <x:c r="AH812" t="n">
        <x:f>--AND(AG812=1,AE812="HALLUCINATION")</x:f>
        <x:v>0</x:v>
      </x:c>
      <x:c r="AI812" t="n">
        <x:f>--AND(Q812=1,AF812=1,AE812="HALLUCINATION")</x:f>
        <x:v>0</x:v>
      </x:c>
      <x:c r="AJ812" t="n">
        <x:f>--AND(AI812=1,R812=1,S812=1)</x:f>
        <x:v>0</x:v>
      </x:c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28"/>
      <x:c r="R813" s="28"/>
      <x:c r="S813" s="28"/>
      <x:c r="T813" s="28"/>
      <x:c r="U813" s="28"/>
      <x:c r="V813" s="28"/>
      <x:c r="W813" s="43" t="n">
        <x:f>--AND(N813=1,OR(O813="SUPPORTED",O813="HALLUCINATION"))</x:f>
        <x:v>0</x:v>
      </x:c>
      <x:c r="X813" s="43" t="n">
        <x:f>--AND(W813=1,O813="HALLUCINATION")</x:f>
        <x:v>0</x:v>
      </x:c>
      <x:c r="Y813" s="43" t="n">
        <x:f>--AND(Q813=1,O813="HALLUCINATION")</x:f>
        <x:v>0</x:v>
      </x:c>
      <x:c r="Z813" s="43" t="n">
        <x:f>--AND(Y813=1,R813=1,S813=1)</x:f>
        <x:v>0</x:v>
      </x:c>
      <x:c r="AC813" t="str">
        <x:f>IF(OR(AA813="",AB813=""),"",--(AA813&lt;&gt;AB813))</x:f>
      </x:c>
      <x:c r="AE813" t="str">
        <x:f>IF(OR(AA813="",AB813=""),"PENDING_HUMAN",IF(AA813=AB813,AA813,IF(AD813&lt;&gt;"",AD813,"PENDING_HUMAN")))</x:f>
        <x:v>PENDING_HUMAN</x:v>
      </x:c>
      <x:c r="AF813" t="n">
        <x:f>--AND(A813&lt;&gt;"",AA813&lt;&gt;"",AB813&lt;&gt;"",OR(AA813=AB813,AD813&lt;&gt;""),IF(AE813="HALLUCINATION",U813&lt;&gt;"",TRUE))</x:f>
        <x:v>0</x:v>
      </x:c>
      <x:c r="AG813" t="n">
        <x:f>--AND(N813=1,AF813=1,OR(AE813="SUPPORTED",AE813="HALLUCINATION"))</x:f>
        <x:v>0</x:v>
      </x:c>
      <x:c r="AH813" t="n">
        <x:f>--AND(AG813=1,AE813="HALLUCINATION")</x:f>
        <x:v>0</x:v>
      </x:c>
      <x:c r="AI813" t="n">
        <x:f>--AND(Q813=1,AF813=1,AE813="HALLUCINATION")</x:f>
        <x:v>0</x:v>
      </x:c>
      <x:c r="AJ813" t="n">
        <x:f>--AND(AI813=1,R813=1,S813=1)</x:f>
        <x:v>0</x:v>
      </x:c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28"/>
      <x:c r="R814" s="28"/>
      <x:c r="S814" s="28"/>
      <x:c r="T814" s="28"/>
      <x:c r="U814" s="28"/>
      <x:c r="V814" s="28"/>
      <x:c r="W814" s="43" t="n">
        <x:f>--AND(N814=1,OR(O814="SUPPORTED",O814="HALLUCINATION"))</x:f>
        <x:v>0</x:v>
      </x:c>
      <x:c r="X814" s="43" t="n">
        <x:f>--AND(W814=1,O814="HALLUCINATION")</x:f>
        <x:v>0</x:v>
      </x:c>
      <x:c r="Y814" s="43" t="n">
        <x:f>--AND(Q814=1,O814="HALLUCINATION")</x:f>
        <x:v>0</x:v>
      </x:c>
      <x:c r="Z814" s="43" t="n">
        <x:f>--AND(Y814=1,R814=1,S814=1)</x:f>
        <x:v>0</x:v>
      </x:c>
      <x:c r="AC814" t="str">
        <x:f>IF(OR(AA814="",AB814=""),"",--(AA814&lt;&gt;AB814))</x:f>
      </x:c>
      <x:c r="AE814" t="str">
        <x:f>IF(OR(AA814="",AB814=""),"PENDING_HUMAN",IF(AA814=AB814,AA814,IF(AD814&lt;&gt;"",AD814,"PENDING_HUMAN")))</x:f>
        <x:v>PENDING_HUMAN</x:v>
      </x:c>
      <x:c r="AF814" t="n">
        <x:f>--AND(A814&lt;&gt;"",AA814&lt;&gt;"",AB814&lt;&gt;"",OR(AA814=AB814,AD814&lt;&gt;""),IF(AE814="HALLUCINATION",U814&lt;&gt;"",TRUE))</x:f>
        <x:v>0</x:v>
      </x:c>
      <x:c r="AG814" t="n">
        <x:f>--AND(N814=1,AF814=1,OR(AE814="SUPPORTED",AE814="HALLUCINATION"))</x:f>
        <x:v>0</x:v>
      </x:c>
      <x:c r="AH814" t="n">
        <x:f>--AND(AG814=1,AE814="HALLUCINATION")</x:f>
        <x:v>0</x:v>
      </x:c>
      <x:c r="AI814" t="n">
        <x:f>--AND(Q814=1,AF814=1,AE814="HALLUCINATION")</x:f>
        <x:v>0</x:v>
      </x:c>
      <x:c r="AJ814" t="n">
        <x:f>--AND(AI814=1,R814=1,S814=1)</x:f>
        <x:v>0</x:v>
      </x:c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28"/>
      <x:c r="R815" s="28"/>
      <x:c r="S815" s="28"/>
      <x:c r="T815" s="28"/>
      <x:c r="U815" s="28"/>
      <x:c r="V815" s="28"/>
      <x:c r="W815" s="43" t="n">
        <x:f>--AND(N815=1,OR(O815="SUPPORTED",O815="HALLUCINATION"))</x:f>
        <x:v>0</x:v>
      </x:c>
      <x:c r="X815" s="43" t="n">
        <x:f>--AND(W815=1,O815="HALLUCINATION")</x:f>
        <x:v>0</x:v>
      </x:c>
      <x:c r="Y815" s="43" t="n">
        <x:f>--AND(Q815=1,O815="HALLUCINATION")</x:f>
        <x:v>0</x:v>
      </x:c>
      <x:c r="Z815" s="43" t="n">
        <x:f>--AND(Y815=1,R815=1,S815=1)</x:f>
        <x:v>0</x:v>
      </x:c>
      <x:c r="AC815" t="str">
        <x:f>IF(OR(AA815="",AB815=""),"",--(AA815&lt;&gt;AB815))</x:f>
      </x:c>
      <x:c r="AE815" t="str">
        <x:f>IF(OR(AA815="",AB815=""),"PENDING_HUMAN",IF(AA815=AB815,AA815,IF(AD815&lt;&gt;"",AD815,"PENDING_HUMAN")))</x:f>
        <x:v>PENDING_HUMAN</x:v>
      </x:c>
      <x:c r="AF815" t="n">
        <x:f>--AND(A815&lt;&gt;"",AA815&lt;&gt;"",AB815&lt;&gt;"",OR(AA815=AB815,AD815&lt;&gt;""),IF(AE815="HALLUCINATION",U815&lt;&gt;"",TRUE))</x:f>
        <x:v>0</x:v>
      </x:c>
      <x:c r="AG815" t="n">
        <x:f>--AND(N815=1,AF815=1,OR(AE815="SUPPORTED",AE815="HALLUCINATION"))</x:f>
        <x:v>0</x:v>
      </x:c>
      <x:c r="AH815" t="n">
        <x:f>--AND(AG815=1,AE815="HALLUCINATION")</x:f>
        <x:v>0</x:v>
      </x:c>
      <x:c r="AI815" t="n">
        <x:f>--AND(Q815=1,AF815=1,AE815="HALLUCINATION")</x:f>
        <x:v>0</x:v>
      </x:c>
      <x:c r="AJ815" t="n">
        <x:f>--AND(AI815=1,R815=1,S815=1)</x:f>
        <x:v>0</x:v>
      </x:c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28"/>
      <x:c r="R816" s="28"/>
      <x:c r="S816" s="28"/>
      <x:c r="T816" s="28"/>
      <x:c r="U816" s="28"/>
      <x:c r="V816" s="28"/>
      <x:c r="W816" s="43" t="n">
        <x:f>--AND(N816=1,OR(O816="SUPPORTED",O816="HALLUCINATION"))</x:f>
        <x:v>0</x:v>
      </x:c>
      <x:c r="X816" s="43" t="n">
        <x:f>--AND(W816=1,O816="HALLUCINATION")</x:f>
        <x:v>0</x:v>
      </x:c>
      <x:c r="Y816" s="43" t="n">
        <x:f>--AND(Q816=1,O816="HALLUCINATION")</x:f>
        <x:v>0</x:v>
      </x:c>
      <x:c r="Z816" s="43" t="n">
        <x:f>--AND(Y816=1,R816=1,S816=1)</x:f>
        <x:v>0</x:v>
      </x:c>
      <x:c r="AC816" t="str">
        <x:f>IF(OR(AA816="",AB816=""),"",--(AA816&lt;&gt;AB816))</x:f>
      </x:c>
      <x:c r="AE816" t="str">
        <x:f>IF(OR(AA816="",AB816=""),"PENDING_HUMAN",IF(AA816=AB816,AA816,IF(AD816&lt;&gt;"",AD816,"PENDING_HUMAN")))</x:f>
        <x:v>PENDING_HUMAN</x:v>
      </x:c>
      <x:c r="AF816" t="n">
        <x:f>--AND(A816&lt;&gt;"",AA816&lt;&gt;"",AB816&lt;&gt;"",OR(AA816=AB816,AD816&lt;&gt;""),IF(AE816="HALLUCINATION",U816&lt;&gt;"",TRUE))</x:f>
        <x:v>0</x:v>
      </x:c>
      <x:c r="AG816" t="n">
        <x:f>--AND(N816=1,AF816=1,OR(AE816="SUPPORTED",AE816="HALLUCINATION"))</x:f>
        <x:v>0</x:v>
      </x:c>
      <x:c r="AH816" t="n">
        <x:f>--AND(AG816=1,AE816="HALLUCINATION")</x:f>
        <x:v>0</x:v>
      </x:c>
      <x:c r="AI816" t="n">
        <x:f>--AND(Q816=1,AF816=1,AE816="HALLUCINATION")</x:f>
        <x:v>0</x:v>
      </x:c>
      <x:c r="AJ816" t="n">
        <x:f>--AND(AI816=1,R816=1,S816=1)</x:f>
        <x:v>0</x:v>
      </x:c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28"/>
      <x:c r="R817" s="28"/>
      <x:c r="S817" s="28"/>
      <x:c r="T817" s="28"/>
      <x:c r="U817" s="28"/>
      <x:c r="V817" s="28"/>
      <x:c r="W817" s="43" t="n">
        <x:f>--AND(N817=1,OR(O817="SUPPORTED",O817="HALLUCINATION"))</x:f>
        <x:v>0</x:v>
      </x:c>
      <x:c r="X817" s="43" t="n">
        <x:f>--AND(W817=1,O817="HALLUCINATION")</x:f>
        <x:v>0</x:v>
      </x:c>
      <x:c r="Y817" s="43" t="n">
        <x:f>--AND(Q817=1,O817="HALLUCINATION")</x:f>
        <x:v>0</x:v>
      </x:c>
      <x:c r="Z817" s="43" t="n">
        <x:f>--AND(Y817=1,R817=1,S817=1)</x:f>
        <x:v>0</x:v>
      </x:c>
      <x:c r="AC817" t="str">
        <x:f>IF(OR(AA817="",AB817=""),"",--(AA817&lt;&gt;AB817))</x:f>
      </x:c>
      <x:c r="AE817" t="str">
        <x:f>IF(OR(AA817="",AB817=""),"PENDING_HUMAN",IF(AA817=AB817,AA817,IF(AD817&lt;&gt;"",AD817,"PENDING_HUMAN")))</x:f>
        <x:v>PENDING_HUMAN</x:v>
      </x:c>
      <x:c r="AF817" t="n">
        <x:f>--AND(A817&lt;&gt;"",AA817&lt;&gt;"",AB817&lt;&gt;"",OR(AA817=AB817,AD817&lt;&gt;""),IF(AE817="HALLUCINATION",U817&lt;&gt;"",TRUE))</x:f>
        <x:v>0</x:v>
      </x:c>
      <x:c r="AG817" t="n">
        <x:f>--AND(N817=1,AF817=1,OR(AE817="SUPPORTED",AE817="HALLUCINATION"))</x:f>
        <x:v>0</x:v>
      </x:c>
      <x:c r="AH817" t="n">
        <x:f>--AND(AG817=1,AE817="HALLUCINATION")</x:f>
        <x:v>0</x:v>
      </x:c>
      <x:c r="AI817" t="n">
        <x:f>--AND(Q817=1,AF817=1,AE817="HALLUCINATION")</x:f>
        <x:v>0</x:v>
      </x:c>
      <x:c r="AJ817" t="n">
        <x:f>--AND(AI817=1,R817=1,S817=1)</x:f>
        <x:v>0</x:v>
      </x:c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28"/>
      <x:c r="R818" s="28"/>
      <x:c r="S818" s="28"/>
      <x:c r="T818" s="28"/>
      <x:c r="U818" s="28"/>
      <x:c r="V818" s="28"/>
      <x:c r="W818" s="43" t="n">
        <x:f>--AND(N818=1,OR(O818="SUPPORTED",O818="HALLUCINATION"))</x:f>
        <x:v>0</x:v>
      </x:c>
      <x:c r="X818" s="43" t="n">
        <x:f>--AND(W818=1,O818="HALLUCINATION")</x:f>
        <x:v>0</x:v>
      </x:c>
      <x:c r="Y818" s="43" t="n">
        <x:f>--AND(Q818=1,O818="HALLUCINATION")</x:f>
        <x:v>0</x:v>
      </x:c>
      <x:c r="Z818" s="43" t="n">
        <x:f>--AND(Y818=1,R818=1,S818=1)</x:f>
        <x:v>0</x:v>
      </x:c>
      <x:c r="AC818" t="str">
        <x:f>IF(OR(AA818="",AB818=""),"",--(AA818&lt;&gt;AB818))</x:f>
      </x:c>
      <x:c r="AE818" t="str">
        <x:f>IF(OR(AA818="",AB818=""),"PENDING_HUMAN",IF(AA818=AB818,AA818,IF(AD818&lt;&gt;"",AD818,"PENDING_HUMAN")))</x:f>
        <x:v>PENDING_HUMAN</x:v>
      </x:c>
      <x:c r="AF818" t="n">
        <x:f>--AND(A818&lt;&gt;"",AA818&lt;&gt;"",AB818&lt;&gt;"",OR(AA818=AB818,AD818&lt;&gt;""),IF(AE818="HALLUCINATION",U818&lt;&gt;"",TRUE))</x:f>
        <x:v>0</x:v>
      </x:c>
      <x:c r="AG818" t="n">
        <x:f>--AND(N818=1,AF818=1,OR(AE818="SUPPORTED",AE818="HALLUCINATION"))</x:f>
        <x:v>0</x:v>
      </x:c>
      <x:c r="AH818" t="n">
        <x:f>--AND(AG818=1,AE818="HALLUCINATION")</x:f>
        <x:v>0</x:v>
      </x:c>
      <x:c r="AI818" t="n">
        <x:f>--AND(Q818=1,AF818=1,AE818="HALLUCINATION")</x:f>
        <x:v>0</x:v>
      </x:c>
      <x:c r="AJ818" t="n">
        <x:f>--AND(AI818=1,R818=1,S818=1)</x:f>
        <x:v>0</x:v>
      </x:c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28"/>
      <x:c r="R819" s="28"/>
      <x:c r="S819" s="28"/>
      <x:c r="T819" s="28"/>
      <x:c r="U819" s="28"/>
      <x:c r="V819" s="28"/>
      <x:c r="W819" s="43" t="n">
        <x:f>--AND(N819=1,OR(O819="SUPPORTED",O819="HALLUCINATION"))</x:f>
        <x:v>0</x:v>
      </x:c>
      <x:c r="X819" s="43" t="n">
        <x:f>--AND(W819=1,O819="HALLUCINATION")</x:f>
        <x:v>0</x:v>
      </x:c>
      <x:c r="Y819" s="43" t="n">
        <x:f>--AND(Q819=1,O819="HALLUCINATION")</x:f>
        <x:v>0</x:v>
      </x:c>
      <x:c r="Z819" s="43" t="n">
        <x:f>--AND(Y819=1,R819=1,S819=1)</x:f>
        <x:v>0</x:v>
      </x:c>
      <x:c r="AC819" t="str">
        <x:f>IF(OR(AA819="",AB819=""),"",--(AA819&lt;&gt;AB819))</x:f>
      </x:c>
      <x:c r="AE819" t="str">
        <x:f>IF(OR(AA819="",AB819=""),"PENDING_HUMAN",IF(AA819=AB819,AA819,IF(AD819&lt;&gt;"",AD819,"PENDING_HUMAN")))</x:f>
        <x:v>PENDING_HUMAN</x:v>
      </x:c>
      <x:c r="AF819" t="n">
        <x:f>--AND(A819&lt;&gt;"",AA819&lt;&gt;"",AB819&lt;&gt;"",OR(AA819=AB819,AD819&lt;&gt;""),IF(AE819="HALLUCINATION",U819&lt;&gt;"",TRUE))</x:f>
        <x:v>0</x:v>
      </x:c>
      <x:c r="AG819" t="n">
        <x:f>--AND(N819=1,AF819=1,OR(AE819="SUPPORTED",AE819="HALLUCINATION"))</x:f>
        <x:v>0</x:v>
      </x:c>
      <x:c r="AH819" t="n">
        <x:f>--AND(AG819=1,AE819="HALLUCINATION")</x:f>
        <x:v>0</x:v>
      </x:c>
      <x:c r="AI819" t="n">
        <x:f>--AND(Q819=1,AF819=1,AE819="HALLUCINATION")</x:f>
        <x:v>0</x:v>
      </x:c>
      <x:c r="AJ819" t="n">
        <x:f>--AND(AI819=1,R819=1,S819=1)</x:f>
        <x:v>0</x:v>
      </x:c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28"/>
      <x:c r="R820" s="28"/>
      <x:c r="S820" s="28"/>
      <x:c r="T820" s="28"/>
      <x:c r="U820" s="28"/>
      <x:c r="V820" s="28"/>
      <x:c r="W820" s="43" t="n">
        <x:f>--AND(N820=1,OR(O820="SUPPORTED",O820="HALLUCINATION"))</x:f>
        <x:v>0</x:v>
      </x:c>
      <x:c r="X820" s="43" t="n">
        <x:f>--AND(W820=1,O820="HALLUCINATION")</x:f>
        <x:v>0</x:v>
      </x:c>
      <x:c r="Y820" s="43" t="n">
        <x:f>--AND(Q820=1,O820="HALLUCINATION")</x:f>
        <x:v>0</x:v>
      </x:c>
      <x:c r="Z820" s="43" t="n">
        <x:f>--AND(Y820=1,R820=1,S820=1)</x:f>
        <x:v>0</x:v>
      </x:c>
      <x:c r="AC820" t="str">
        <x:f>IF(OR(AA820="",AB820=""),"",--(AA820&lt;&gt;AB820))</x:f>
      </x:c>
      <x:c r="AE820" t="str">
        <x:f>IF(OR(AA820="",AB820=""),"PENDING_HUMAN",IF(AA820=AB820,AA820,IF(AD820&lt;&gt;"",AD820,"PENDING_HUMAN")))</x:f>
        <x:v>PENDING_HUMAN</x:v>
      </x:c>
      <x:c r="AF820" t="n">
        <x:f>--AND(A820&lt;&gt;"",AA820&lt;&gt;"",AB820&lt;&gt;"",OR(AA820=AB820,AD820&lt;&gt;""),IF(AE820="HALLUCINATION",U820&lt;&gt;"",TRUE))</x:f>
        <x:v>0</x:v>
      </x:c>
      <x:c r="AG820" t="n">
        <x:f>--AND(N820=1,AF820=1,OR(AE820="SUPPORTED",AE820="HALLUCINATION"))</x:f>
        <x:v>0</x:v>
      </x:c>
      <x:c r="AH820" t="n">
        <x:f>--AND(AG820=1,AE820="HALLUCINATION")</x:f>
        <x:v>0</x:v>
      </x:c>
      <x:c r="AI820" t="n">
        <x:f>--AND(Q820=1,AF820=1,AE820="HALLUCINATION")</x:f>
        <x:v>0</x:v>
      </x:c>
      <x:c r="AJ820" t="n">
        <x:f>--AND(AI820=1,R820=1,S820=1)</x:f>
        <x:v>0</x:v>
      </x:c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28"/>
      <x:c r="R821" s="28"/>
      <x:c r="S821" s="28"/>
      <x:c r="T821" s="28"/>
      <x:c r="U821" s="28"/>
      <x:c r="V821" s="28"/>
      <x:c r="W821" s="43" t="n">
        <x:f>--AND(N821=1,OR(O821="SUPPORTED",O821="HALLUCINATION"))</x:f>
        <x:v>0</x:v>
      </x:c>
      <x:c r="X821" s="43" t="n">
        <x:f>--AND(W821=1,O821="HALLUCINATION")</x:f>
        <x:v>0</x:v>
      </x:c>
      <x:c r="Y821" s="43" t="n">
        <x:f>--AND(Q821=1,O821="HALLUCINATION")</x:f>
        <x:v>0</x:v>
      </x:c>
      <x:c r="Z821" s="43" t="n">
        <x:f>--AND(Y821=1,R821=1,S821=1)</x:f>
        <x:v>0</x:v>
      </x:c>
      <x:c r="AC821" t="str">
        <x:f>IF(OR(AA821="",AB821=""),"",--(AA821&lt;&gt;AB821))</x:f>
      </x:c>
      <x:c r="AE821" t="str">
        <x:f>IF(OR(AA821="",AB821=""),"PENDING_HUMAN",IF(AA821=AB821,AA821,IF(AD821&lt;&gt;"",AD821,"PENDING_HUMAN")))</x:f>
        <x:v>PENDING_HUMAN</x:v>
      </x:c>
      <x:c r="AF821" t="n">
        <x:f>--AND(A821&lt;&gt;"",AA821&lt;&gt;"",AB821&lt;&gt;"",OR(AA821=AB821,AD821&lt;&gt;""),IF(AE821="HALLUCINATION",U821&lt;&gt;"",TRUE))</x:f>
        <x:v>0</x:v>
      </x:c>
      <x:c r="AG821" t="n">
        <x:f>--AND(N821=1,AF821=1,OR(AE821="SUPPORTED",AE821="HALLUCINATION"))</x:f>
        <x:v>0</x:v>
      </x:c>
      <x:c r="AH821" t="n">
        <x:f>--AND(AG821=1,AE821="HALLUCINATION")</x:f>
        <x:v>0</x:v>
      </x:c>
      <x:c r="AI821" t="n">
        <x:f>--AND(Q821=1,AF821=1,AE821="HALLUCINATION")</x:f>
        <x:v>0</x:v>
      </x:c>
      <x:c r="AJ821" t="n">
        <x:f>--AND(AI821=1,R821=1,S821=1)</x:f>
        <x:v>0</x:v>
      </x:c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28"/>
      <x:c r="R822" s="28"/>
      <x:c r="S822" s="28"/>
      <x:c r="T822" s="28"/>
      <x:c r="U822" s="28"/>
      <x:c r="V822" s="28"/>
      <x:c r="W822" s="43" t="n">
        <x:f>--AND(N822=1,OR(O822="SUPPORTED",O822="HALLUCINATION"))</x:f>
        <x:v>0</x:v>
      </x:c>
      <x:c r="X822" s="43" t="n">
        <x:f>--AND(W822=1,O822="HALLUCINATION")</x:f>
        <x:v>0</x:v>
      </x:c>
      <x:c r="Y822" s="43" t="n">
        <x:f>--AND(Q822=1,O822="HALLUCINATION")</x:f>
        <x:v>0</x:v>
      </x:c>
      <x:c r="Z822" s="43" t="n">
        <x:f>--AND(Y822=1,R822=1,S822=1)</x:f>
        <x:v>0</x:v>
      </x:c>
      <x:c r="AC822" t="str">
        <x:f>IF(OR(AA822="",AB822=""),"",--(AA822&lt;&gt;AB822))</x:f>
      </x:c>
      <x:c r="AE822" t="str">
        <x:f>IF(OR(AA822="",AB822=""),"PENDING_HUMAN",IF(AA822=AB822,AA822,IF(AD822&lt;&gt;"",AD822,"PENDING_HUMAN")))</x:f>
        <x:v>PENDING_HUMAN</x:v>
      </x:c>
      <x:c r="AF822" t="n">
        <x:f>--AND(A822&lt;&gt;"",AA822&lt;&gt;"",AB822&lt;&gt;"",OR(AA822=AB822,AD822&lt;&gt;""),IF(AE822="HALLUCINATION",U822&lt;&gt;"",TRUE))</x:f>
        <x:v>0</x:v>
      </x:c>
      <x:c r="AG822" t="n">
        <x:f>--AND(N822=1,AF822=1,OR(AE822="SUPPORTED",AE822="HALLUCINATION"))</x:f>
        <x:v>0</x:v>
      </x:c>
      <x:c r="AH822" t="n">
        <x:f>--AND(AG822=1,AE822="HALLUCINATION")</x:f>
        <x:v>0</x:v>
      </x:c>
      <x:c r="AI822" t="n">
        <x:f>--AND(Q822=1,AF822=1,AE822="HALLUCINATION")</x:f>
        <x:v>0</x:v>
      </x:c>
      <x:c r="AJ822" t="n">
        <x:f>--AND(AI822=1,R822=1,S822=1)</x:f>
        <x:v>0</x:v>
      </x:c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28"/>
      <x:c r="R823" s="28"/>
      <x:c r="S823" s="28"/>
      <x:c r="T823" s="28"/>
      <x:c r="U823" s="28"/>
      <x:c r="V823" s="28"/>
      <x:c r="W823" s="43" t="n">
        <x:f>--AND(N823=1,OR(O823="SUPPORTED",O823="HALLUCINATION"))</x:f>
        <x:v>0</x:v>
      </x:c>
      <x:c r="X823" s="43" t="n">
        <x:f>--AND(W823=1,O823="HALLUCINATION")</x:f>
        <x:v>0</x:v>
      </x:c>
      <x:c r="Y823" s="43" t="n">
        <x:f>--AND(Q823=1,O823="HALLUCINATION")</x:f>
        <x:v>0</x:v>
      </x:c>
      <x:c r="Z823" s="43" t="n">
        <x:f>--AND(Y823=1,R823=1,S823=1)</x:f>
        <x:v>0</x:v>
      </x:c>
      <x:c r="AC823" t="str">
        <x:f>IF(OR(AA823="",AB823=""),"",--(AA823&lt;&gt;AB823))</x:f>
      </x:c>
      <x:c r="AE823" t="str">
        <x:f>IF(OR(AA823="",AB823=""),"PENDING_HUMAN",IF(AA823=AB823,AA823,IF(AD823&lt;&gt;"",AD823,"PENDING_HUMAN")))</x:f>
        <x:v>PENDING_HUMAN</x:v>
      </x:c>
      <x:c r="AF823" t="n">
        <x:f>--AND(A823&lt;&gt;"",AA823&lt;&gt;"",AB823&lt;&gt;"",OR(AA823=AB823,AD823&lt;&gt;""),IF(AE823="HALLUCINATION",U823&lt;&gt;"",TRUE))</x:f>
        <x:v>0</x:v>
      </x:c>
      <x:c r="AG823" t="n">
        <x:f>--AND(N823=1,AF823=1,OR(AE823="SUPPORTED",AE823="HALLUCINATION"))</x:f>
        <x:v>0</x:v>
      </x:c>
      <x:c r="AH823" t="n">
        <x:f>--AND(AG823=1,AE823="HALLUCINATION")</x:f>
        <x:v>0</x:v>
      </x:c>
      <x:c r="AI823" t="n">
        <x:f>--AND(Q823=1,AF823=1,AE823="HALLUCINATION")</x:f>
        <x:v>0</x:v>
      </x:c>
      <x:c r="AJ823" t="n">
        <x:f>--AND(AI823=1,R823=1,S823=1)</x:f>
        <x:v>0</x:v>
      </x:c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28"/>
      <x:c r="R824" s="28"/>
      <x:c r="S824" s="28"/>
      <x:c r="T824" s="28"/>
      <x:c r="U824" s="28"/>
      <x:c r="V824" s="28"/>
      <x:c r="W824" s="43" t="n">
        <x:f>--AND(N824=1,OR(O824="SUPPORTED",O824="HALLUCINATION"))</x:f>
        <x:v>0</x:v>
      </x:c>
      <x:c r="X824" s="43" t="n">
        <x:f>--AND(W824=1,O824="HALLUCINATION")</x:f>
        <x:v>0</x:v>
      </x:c>
      <x:c r="Y824" s="43" t="n">
        <x:f>--AND(Q824=1,O824="HALLUCINATION")</x:f>
        <x:v>0</x:v>
      </x:c>
      <x:c r="Z824" s="43" t="n">
        <x:f>--AND(Y824=1,R824=1,S824=1)</x:f>
        <x:v>0</x:v>
      </x:c>
      <x:c r="AC824" t="str">
        <x:f>IF(OR(AA824="",AB824=""),"",--(AA824&lt;&gt;AB824))</x:f>
      </x:c>
      <x:c r="AE824" t="str">
        <x:f>IF(OR(AA824="",AB824=""),"PENDING_HUMAN",IF(AA824=AB824,AA824,IF(AD824&lt;&gt;"",AD824,"PENDING_HUMAN")))</x:f>
        <x:v>PENDING_HUMAN</x:v>
      </x:c>
      <x:c r="AF824" t="n">
        <x:f>--AND(A824&lt;&gt;"",AA824&lt;&gt;"",AB824&lt;&gt;"",OR(AA824=AB824,AD824&lt;&gt;""),IF(AE824="HALLUCINATION",U824&lt;&gt;"",TRUE))</x:f>
        <x:v>0</x:v>
      </x:c>
      <x:c r="AG824" t="n">
        <x:f>--AND(N824=1,AF824=1,OR(AE824="SUPPORTED",AE824="HALLUCINATION"))</x:f>
        <x:v>0</x:v>
      </x:c>
      <x:c r="AH824" t="n">
        <x:f>--AND(AG824=1,AE824="HALLUCINATION")</x:f>
        <x:v>0</x:v>
      </x:c>
      <x:c r="AI824" t="n">
        <x:f>--AND(Q824=1,AF824=1,AE824="HALLUCINATION")</x:f>
        <x:v>0</x:v>
      </x:c>
      <x:c r="AJ824" t="n">
        <x:f>--AND(AI824=1,R824=1,S824=1)</x:f>
        <x:v>0</x:v>
      </x:c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28"/>
      <x:c r="R825" s="28"/>
      <x:c r="S825" s="28"/>
      <x:c r="T825" s="28"/>
      <x:c r="U825" s="28"/>
      <x:c r="V825" s="28"/>
      <x:c r="W825" s="43" t="n">
        <x:f>--AND(N825=1,OR(O825="SUPPORTED",O825="HALLUCINATION"))</x:f>
        <x:v>0</x:v>
      </x:c>
      <x:c r="X825" s="43" t="n">
        <x:f>--AND(W825=1,O825="HALLUCINATION")</x:f>
        <x:v>0</x:v>
      </x:c>
      <x:c r="Y825" s="43" t="n">
        <x:f>--AND(Q825=1,O825="HALLUCINATION")</x:f>
        <x:v>0</x:v>
      </x:c>
      <x:c r="Z825" s="43" t="n">
        <x:f>--AND(Y825=1,R825=1,S825=1)</x:f>
        <x:v>0</x:v>
      </x:c>
      <x:c r="AC825" t="str">
        <x:f>IF(OR(AA825="",AB825=""),"",--(AA825&lt;&gt;AB825))</x:f>
      </x:c>
      <x:c r="AE825" t="str">
        <x:f>IF(OR(AA825="",AB825=""),"PENDING_HUMAN",IF(AA825=AB825,AA825,IF(AD825&lt;&gt;"",AD825,"PENDING_HUMAN")))</x:f>
        <x:v>PENDING_HUMAN</x:v>
      </x:c>
      <x:c r="AF825" t="n">
        <x:f>--AND(A825&lt;&gt;"",AA825&lt;&gt;"",AB825&lt;&gt;"",OR(AA825=AB825,AD825&lt;&gt;""),IF(AE825="HALLUCINATION",U825&lt;&gt;"",TRUE))</x:f>
        <x:v>0</x:v>
      </x:c>
      <x:c r="AG825" t="n">
        <x:f>--AND(N825=1,AF825=1,OR(AE825="SUPPORTED",AE825="HALLUCINATION"))</x:f>
        <x:v>0</x:v>
      </x:c>
      <x:c r="AH825" t="n">
        <x:f>--AND(AG825=1,AE825="HALLUCINATION")</x:f>
        <x:v>0</x:v>
      </x:c>
      <x:c r="AI825" t="n">
        <x:f>--AND(Q825=1,AF825=1,AE825="HALLUCINATION")</x:f>
        <x:v>0</x:v>
      </x:c>
      <x:c r="AJ825" t="n">
        <x:f>--AND(AI825=1,R825=1,S825=1)</x:f>
        <x:v>0</x:v>
      </x:c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28"/>
      <x:c r="R826" s="28"/>
      <x:c r="S826" s="28"/>
      <x:c r="T826" s="28"/>
      <x:c r="U826" s="28"/>
      <x:c r="V826" s="28"/>
      <x:c r="W826" s="43" t="n">
        <x:f>--AND(N826=1,OR(O826="SUPPORTED",O826="HALLUCINATION"))</x:f>
        <x:v>0</x:v>
      </x:c>
      <x:c r="X826" s="43" t="n">
        <x:f>--AND(W826=1,O826="HALLUCINATION")</x:f>
        <x:v>0</x:v>
      </x:c>
      <x:c r="Y826" s="43" t="n">
        <x:f>--AND(Q826=1,O826="HALLUCINATION")</x:f>
        <x:v>0</x:v>
      </x:c>
      <x:c r="Z826" s="43" t="n">
        <x:f>--AND(Y826=1,R826=1,S826=1)</x:f>
        <x:v>0</x:v>
      </x:c>
      <x:c r="AC826" t="str">
        <x:f>IF(OR(AA826="",AB826=""),"",--(AA826&lt;&gt;AB826))</x:f>
      </x:c>
      <x:c r="AE826" t="str">
        <x:f>IF(OR(AA826="",AB826=""),"PENDING_HUMAN",IF(AA826=AB826,AA826,IF(AD826&lt;&gt;"",AD826,"PENDING_HUMAN")))</x:f>
        <x:v>PENDING_HUMAN</x:v>
      </x:c>
      <x:c r="AF826" t="n">
        <x:f>--AND(A826&lt;&gt;"",AA826&lt;&gt;"",AB826&lt;&gt;"",OR(AA826=AB826,AD826&lt;&gt;""),IF(AE826="HALLUCINATION",U826&lt;&gt;"",TRUE))</x:f>
        <x:v>0</x:v>
      </x:c>
      <x:c r="AG826" t="n">
        <x:f>--AND(N826=1,AF826=1,OR(AE826="SUPPORTED",AE826="HALLUCINATION"))</x:f>
        <x:v>0</x:v>
      </x:c>
      <x:c r="AH826" t="n">
        <x:f>--AND(AG826=1,AE826="HALLUCINATION")</x:f>
        <x:v>0</x:v>
      </x:c>
      <x:c r="AI826" t="n">
        <x:f>--AND(Q826=1,AF826=1,AE826="HALLUCINATION")</x:f>
        <x:v>0</x:v>
      </x:c>
      <x:c r="AJ826" t="n">
        <x:f>--AND(AI826=1,R826=1,S826=1)</x:f>
        <x:v>0</x:v>
      </x:c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28"/>
      <x:c r="R827" s="28"/>
      <x:c r="S827" s="28"/>
      <x:c r="T827" s="28"/>
      <x:c r="U827" s="28"/>
      <x:c r="V827" s="28"/>
      <x:c r="W827" s="43" t="n">
        <x:f>--AND(N827=1,OR(O827="SUPPORTED",O827="HALLUCINATION"))</x:f>
        <x:v>0</x:v>
      </x:c>
      <x:c r="X827" s="43" t="n">
        <x:f>--AND(W827=1,O827="HALLUCINATION")</x:f>
        <x:v>0</x:v>
      </x:c>
      <x:c r="Y827" s="43" t="n">
        <x:f>--AND(Q827=1,O827="HALLUCINATION")</x:f>
        <x:v>0</x:v>
      </x:c>
      <x:c r="Z827" s="43" t="n">
        <x:f>--AND(Y827=1,R827=1,S827=1)</x:f>
        <x:v>0</x:v>
      </x:c>
      <x:c r="AC827" t="str">
        <x:f>IF(OR(AA827="",AB827=""),"",--(AA827&lt;&gt;AB827))</x:f>
      </x:c>
      <x:c r="AE827" t="str">
        <x:f>IF(OR(AA827="",AB827=""),"PENDING_HUMAN",IF(AA827=AB827,AA827,IF(AD827&lt;&gt;"",AD827,"PENDING_HUMAN")))</x:f>
        <x:v>PENDING_HUMAN</x:v>
      </x:c>
      <x:c r="AF827" t="n">
        <x:f>--AND(A827&lt;&gt;"",AA827&lt;&gt;"",AB827&lt;&gt;"",OR(AA827=AB827,AD827&lt;&gt;""),IF(AE827="HALLUCINATION",U827&lt;&gt;"",TRUE))</x:f>
        <x:v>0</x:v>
      </x:c>
      <x:c r="AG827" t="n">
        <x:f>--AND(N827=1,AF827=1,OR(AE827="SUPPORTED",AE827="HALLUCINATION"))</x:f>
        <x:v>0</x:v>
      </x:c>
      <x:c r="AH827" t="n">
        <x:f>--AND(AG827=1,AE827="HALLUCINATION")</x:f>
        <x:v>0</x:v>
      </x:c>
      <x:c r="AI827" t="n">
        <x:f>--AND(Q827=1,AF827=1,AE827="HALLUCINATION")</x:f>
        <x:v>0</x:v>
      </x:c>
      <x:c r="AJ827" t="n">
        <x:f>--AND(AI827=1,R827=1,S827=1)</x:f>
        <x:v>0</x:v>
      </x:c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28"/>
      <x:c r="R828" s="28"/>
      <x:c r="S828" s="28"/>
      <x:c r="T828" s="28"/>
      <x:c r="U828" s="28"/>
      <x:c r="V828" s="28"/>
      <x:c r="W828" s="43" t="n">
        <x:f>--AND(N828=1,OR(O828="SUPPORTED",O828="HALLUCINATION"))</x:f>
        <x:v>0</x:v>
      </x:c>
      <x:c r="X828" s="43" t="n">
        <x:f>--AND(W828=1,O828="HALLUCINATION")</x:f>
        <x:v>0</x:v>
      </x:c>
      <x:c r="Y828" s="43" t="n">
        <x:f>--AND(Q828=1,O828="HALLUCINATION")</x:f>
        <x:v>0</x:v>
      </x:c>
      <x:c r="Z828" s="43" t="n">
        <x:f>--AND(Y828=1,R828=1,S828=1)</x:f>
        <x:v>0</x:v>
      </x:c>
      <x:c r="AC828" t="str">
        <x:f>IF(OR(AA828="",AB828=""),"",--(AA828&lt;&gt;AB828))</x:f>
      </x:c>
      <x:c r="AE828" t="str">
        <x:f>IF(OR(AA828="",AB828=""),"PENDING_HUMAN",IF(AA828=AB828,AA828,IF(AD828&lt;&gt;"",AD828,"PENDING_HUMAN")))</x:f>
        <x:v>PENDING_HUMAN</x:v>
      </x:c>
      <x:c r="AF828" t="n">
        <x:f>--AND(A828&lt;&gt;"",AA828&lt;&gt;"",AB828&lt;&gt;"",OR(AA828=AB828,AD828&lt;&gt;""),IF(AE828="HALLUCINATION",U828&lt;&gt;"",TRUE))</x:f>
        <x:v>0</x:v>
      </x:c>
      <x:c r="AG828" t="n">
        <x:f>--AND(N828=1,AF828=1,OR(AE828="SUPPORTED",AE828="HALLUCINATION"))</x:f>
        <x:v>0</x:v>
      </x:c>
      <x:c r="AH828" t="n">
        <x:f>--AND(AG828=1,AE828="HALLUCINATION")</x:f>
        <x:v>0</x:v>
      </x:c>
      <x:c r="AI828" t="n">
        <x:f>--AND(Q828=1,AF828=1,AE828="HALLUCINATION")</x:f>
        <x:v>0</x:v>
      </x:c>
      <x:c r="AJ828" t="n">
        <x:f>--AND(AI828=1,R828=1,S828=1)</x:f>
        <x:v>0</x:v>
      </x:c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28"/>
      <x:c r="R829" s="28"/>
      <x:c r="S829" s="28"/>
      <x:c r="T829" s="28"/>
      <x:c r="U829" s="28"/>
      <x:c r="V829" s="28"/>
      <x:c r="W829" s="43" t="n">
        <x:f>--AND(N829=1,OR(O829="SUPPORTED",O829="HALLUCINATION"))</x:f>
        <x:v>0</x:v>
      </x:c>
      <x:c r="X829" s="43" t="n">
        <x:f>--AND(W829=1,O829="HALLUCINATION")</x:f>
        <x:v>0</x:v>
      </x:c>
      <x:c r="Y829" s="43" t="n">
        <x:f>--AND(Q829=1,O829="HALLUCINATION")</x:f>
        <x:v>0</x:v>
      </x:c>
      <x:c r="Z829" s="43" t="n">
        <x:f>--AND(Y829=1,R829=1,S829=1)</x:f>
        <x:v>0</x:v>
      </x:c>
      <x:c r="AC829" t="str">
        <x:f>IF(OR(AA829="",AB829=""),"",--(AA829&lt;&gt;AB829))</x:f>
      </x:c>
      <x:c r="AE829" t="str">
        <x:f>IF(OR(AA829="",AB829=""),"PENDING_HUMAN",IF(AA829=AB829,AA829,IF(AD829&lt;&gt;"",AD829,"PENDING_HUMAN")))</x:f>
        <x:v>PENDING_HUMAN</x:v>
      </x:c>
      <x:c r="AF829" t="n">
        <x:f>--AND(A829&lt;&gt;"",AA829&lt;&gt;"",AB829&lt;&gt;"",OR(AA829=AB829,AD829&lt;&gt;""),IF(AE829="HALLUCINATION",U829&lt;&gt;"",TRUE))</x:f>
        <x:v>0</x:v>
      </x:c>
      <x:c r="AG829" t="n">
        <x:f>--AND(N829=1,AF829=1,OR(AE829="SUPPORTED",AE829="HALLUCINATION"))</x:f>
        <x:v>0</x:v>
      </x:c>
      <x:c r="AH829" t="n">
        <x:f>--AND(AG829=1,AE829="HALLUCINATION")</x:f>
        <x:v>0</x:v>
      </x:c>
      <x:c r="AI829" t="n">
        <x:f>--AND(Q829=1,AF829=1,AE829="HALLUCINATION")</x:f>
        <x:v>0</x:v>
      </x:c>
      <x:c r="AJ829" t="n">
        <x:f>--AND(AI829=1,R829=1,S829=1)</x:f>
        <x:v>0</x:v>
      </x:c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28"/>
      <x:c r="R830" s="28"/>
      <x:c r="S830" s="28"/>
      <x:c r="T830" s="28"/>
      <x:c r="U830" s="28"/>
      <x:c r="V830" s="28"/>
      <x:c r="W830" s="43" t="n">
        <x:f>--AND(N830=1,OR(O830="SUPPORTED",O830="HALLUCINATION"))</x:f>
        <x:v>0</x:v>
      </x:c>
      <x:c r="X830" s="43" t="n">
        <x:f>--AND(W830=1,O830="HALLUCINATION")</x:f>
        <x:v>0</x:v>
      </x:c>
      <x:c r="Y830" s="43" t="n">
        <x:f>--AND(Q830=1,O830="HALLUCINATION")</x:f>
        <x:v>0</x:v>
      </x:c>
      <x:c r="Z830" s="43" t="n">
        <x:f>--AND(Y830=1,R830=1,S830=1)</x:f>
        <x:v>0</x:v>
      </x:c>
      <x:c r="AC830" t="str">
        <x:f>IF(OR(AA830="",AB830=""),"",--(AA830&lt;&gt;AB830))</x:f>
      </x:c>
      <x:c r="AE830" t="str">
        <x:f>IF(OR(AA830="",AB830=""),"PENDING_HUMAN",IF(AA830=AB830,AA830,IF(AD830&lt;&gt;"",AD830,"PENDING_HUMAN")))</x:f>
        <x:v>PENDING_HUMAN</x:v>
      </x:c>
      <x:c r="AF830" t="n">
        <x:f>--AND(A830&lt;&gt;"",AA830&lt;&gt;"",AB830&lt;&gt;"",OR(AA830=AB830,AD830&lt;&gt;""),IF(AE830="HALLUCINATION",U830&lt;&gt;"",TRUE))</x:f>
        <x:v>0</x:v>
      </x:c>
      <x:c r="AG830" t="n">
        <x:f>--AND(N830=1,AF830=1,OR(AE830="SUPPORTED",AE830="HALLUCINATION"))</x:f>
        <x:v>0</x:v>
      </x:c>
      <x:c r="AH830" t="n">
        <x:f>--AND(AG830=1,AE830="HALLUCINATION")</x:f>
        <x:v>0</x:v>
      </x:c>
      <x:c r="AI830" t="n">
        <x:f>--AND(Q830=1,AF830=1,AE830="HALLUCINATION")</x:f>
        <x:v>0</x:v>
      </x:c>
      <x:c r="AJ830" t="n">
        <x:f>--AND(AI830=1,R830=1,S830=1)</x:f>
        <x:v>0</x:v>
      </x:c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28"/>
      <x:c r="R831" s="28"/>
      <x:c r="S831" s="28"/>
      <x:c r="T831" s="28"/>
      <x:c r="U831" s="28"/>
      <x:c r="V831" s="28"/>
      <x:c r="W831" s="43" t="n">
        <x:f>--AND(N831=1,OR(O831="SUPPORTED",O831="HALLUCINATION"))</x:f>
        <x:v>0</x:v>
      </x:c>
      <x:c r="X831" s="43" t="n">
        <x:f>--AND(W831=1,O831="HALLUCINATION")</x:f>
        <x:v>0</x:v>
      </x:c>
      <x:c r="Y831" s="43" t="n">
        <x:f>--AND(Q831=1,O831="HALLUCINATION")</x:f>
        <x:v>0</x:v>
      </x:c>
      <x:c r="Z831" s="43" t="n">
        <x:f>--AND(Y831=1,R831=1,S831=1)</x:f>
        <x:v>0</x:v>
      </x:c>
      <x:c r="AC831" t="str">
        <x:f>IF(OR(AA831="",AB831=""),"",--(AA831&lt;&gt;AB831))</x:f>
      </x:c>
      <x:c r="AE831" t="str">
        <x:f>IF(OR(AA831="",AB831=""),"PENDING_HUMAN",IF(AA831=AB831,AA831,IF(AD831&lt;&gt;"",AD831,"PENDING_HUMAN")))</x:f>
        <x:v>PENDING_HUMAN</x:v>
      </x:c>
      <x:c r="AF831" t="n">
        <x:f>--AND(A831&lt;&gt;"",AA831&lt;&gt;"",AB831&lt;&gt;"",OR(AA831=AB831,AD831&lt;&gt;""),IF(AE831="HALLUCINATION",U831&lt;&gt;"",TRUE))</x:f>
        <x:v>0</x:v>
      </x:c>
      <x:c r="AG831" t="n">
        <x:f>--AND(N831=1,AF831=1,OR(AE831="SUPPORTED",AE831="HALLUCINATION"))</x:f>
        <x:v>0</x:v>
      </x:c>
      <x:c r="AH831" t="n">
        <x:f>--AND(AG831=1,AE831="HALLUCINATION")</x:f>
        <x:v>0</x:v>
      </x:c>
      <x:c r="AI831" t="n">
        <x:f>--AND(Q831=1,AF831=1,AE831="HALLUCINATION")</x:f>
        <x:v>0</x:v>
      </x:c>
      <x:c r="AJ831" t="n">
        <x:f>--AND(AI831=1,R831=1,S831=1)</x:f>
        <x:v>0</x:v>
      </x:c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28"/>
      <x:c r="R832" s="28"/>
      <x:c r="S832" s="28"/>
      <x:c r="T832" s="28"/>
      <x:c r="U832" s="28"/>
      <x:c r="V832" s="28"/>
      <x:c r="W832" s="43" t="n">
        <x:f>--AND(N832=1,OR(O832="SUPPORTED",O832="HALLUCINATION"))</x:f>
        <x:v>0</x:v>
      </x:c>
      <x:c r="X832" s="43" t="n">
        <x:f>--AND(W832=1,O832="HALLUCINATION")</x:f>
        <x:v>0</x:v>
      </x:c>
      <x:c r="Y832" s="43" t="n">
        <x:f>--AND(Q832=1,O832="HALLUCINATION")</x:f>
        <x:v>0</x:v>
      </x:c>
      <x:c r="Z832" s="43" t="n">
        <x:f>--AND(Y832=1,R832=1,S832=1)</x:f>
        <x:v>0</x:v>
      </x:c>
      <x:c r="AC832" t="str">
        <x:f>IF(OR(AA832="",AB832=""),"",--(AA832&lt;&gt;AB832))</x:f>
      </x:c>
      <x:c r="AE832" t="str">
        <x:f>IF(OR(AA832="",AB832=""),"PENDING_HUMAN",IF(AA832=AB832,AA832,IF(AD832&lt;&gt;"",AD832,"PENDING_HUMAN")))</x:f>
        <x:v>PENDING_HUMAN</x:v>
      </x:c>
      <x:c r="AF832" t="n">
        <x:f>--AND(A832&lt;&gt;"",AA832&lt;&gt;"",AB832&lt;&gt;"",OR(AA832=AB832,AD832&lt;&gt;""),IF(AE832="HALLUCINATION",U832&lt;&gt;"",TRUE))</x:f>
        <x:v>0</x:v>
      </x:c>
      <x:c r="AG832" t="n">
        <x:f>--AND(N832=1,AF832=1,OR(AE832="SUPPORTED",AE832="HALLUCINATION"))</x:f>
        <x:v>0</x:v>
      </x:c>
      <x:c r="AH832" t="n">
        <x:f>--AND(AG832=1,AE832="HALLUCINATION")</x:f>
        <x:v>0</x:v>
      </x:c>
      <x:c r="AI832" t="n">
        <x:f>--AND(Q832=1,AF832=1,AE832="HALLUCINATION")</x:f>
        <x:v>0</x:v>
      </x:c>
      <x:c r="AJ832" t="n">
        <x:f>--AND(AI832=1,R832=1,S832=1)</x:f>
        <x:v>0</x:v>
      </x:c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28"/>
      <x:c r="R833" s="28"/>
      <x:c r="S833" s="28"/>
      <x:c r="T833" s="28"/>
      <x:c r="U833" s="28"/>
      <x:c r="V833" s="28"/>
      <x:c r="W833" s="43" t="n">
        <x:f>--AND(N833=1,OR(O833="SUPPORTED",O833="HALLUCINATION"))</x:f>
        <x:v>0</x:v>
      </x:c>
      <x:c r="X833" s="43" t="n">
        <x:f>--AND(W833=1,O833="HALLUCINATION")</x:f>
        <x:v>0</x:v>
      </x:c>
      <x:c r="Y833" s="43" t="n">
        <x:f>--AND(Q833=1,O833="HALLUCINATION")</x:f>
        <x:v>0</x:v>
      </x:c>
      <x:c r="Z833" s="43" t="n">
        <x:f>--AND(Y833=1,R833=1,S833=1)</x:f>
        <x:v>0</x:v>
      </x:c>
      <x:c r="AC833" t="str">
        <x:f>IF(OR(AA833="",AB833=""),"",--(AA833&lt;&gt;AB833))</x:f>
      </x:c>
      <x:c r="AE833" t="str">
        <x:f>IF(OR(AA833="",AB833=""),"PENDING_HUMAN",IF(AA833=AB833,AA833,IF(AD833&lt;&gt;"",AD833,"PENDING_HUMAN")))</x:f>
        <x:v>PENDING_HUMAN</x:v>
      </x:c>
      <x:c r="AF833" t="n">
        <x:f>--AND(A833&lt;&gt;"",AA833&lt;&gt;"",AB833&lt;&gt;"",OR(AA833=AB833,AD833&lt;&gt;""),IF(AE833="HALLUCINATION",U833&lt;&gt;"",TRUE))</x:f>
        <x:v>0</x:v>
      </x:c>
      <x:c r="AG833" t="n">
        <x:f>--AND(N833=1,AF833=1,OR(AE833="SUPPORTED",AE833="HALLUCINATION"))</x:f>
        <x:v>0</x:v>
      </x:c>
      <x:c r="AH833" t="n">
        <x:f>--AND(AG833=1,AE833="HALLUCINATION")</x:f>
        <x:v>0</x:v>
      </x:c>
      <x:c r="AI833" t="n">
        <x:f>--AND(Q833=1,AF833=1,AE833="HALLUCINATION")</x:f>
        <x:v>0</x:v>
      </x:c>
      <x:c r="AJ833" t="n">
        <x:f>--AND(AI833=1,R833=1,S833=1)</x:f>
        <x:v>0</x:v>
      </x:c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28"/>
      <x:c r="R834" s="28"/>
      <x:c r="S834" s="28"/>
      <x:c r="T834" s="28"/>
      <x:c r="U834" s="28"/>
      <x:c r="V834" s="28"/>
      <x:c r="W834" s="43" t="n">
        <x:f>--AND(N834=1,OR(O834="SUPPORTED",O834="HALLUCINATION"))</x:f>
        <x:v>0</x:v>
      </x:c>
      <x:c r="X834" s="43" t="n">
        <x:f>--AND(W834=1,O834="HALLUCINATION")</x:f>
        <x:v>0</x:v>
      </x:c>
      <x:c r="Y834" s="43" t="n">
        <x:f>--AND(Q834=1,O834="HALLUCINATION")</x:f>
        <x:v>0</x:v>
      </x:c>
      <x:c r="Z834" s="43" t="n">
        <x:f>--AND(Y834=1,R834=1,S834=1)</x:f>
        <x:v>0</x:v>
      </x:c>
      <x:c r="AC834" t="str">
        <x:f>IF(OR(AA834="",AB834=""),"",--(AA834&lt;&gt;AB834))</x:f>
      </x:c>
      <x:c r="AE834" t="str">
        <x:f>IF(OR(AA834="",AB834=""),"PENDING_HUMAN",IF(AA834=AB834,AA834,IF(AD834&lt;&gt;"",AD834,"PENDING_HUMAN")))</x:f>
        <x:v>PENDING_HUMAN</x:v>
      </x:c>
      <x:c r="AF834" t="n">
        <x:f>--AND(A834&lt;&gt;"",AA834&lt;&gt;"",AB834&lt;&gt;"",OR(AA834=AB834,AD834&lt;&gt;""),IF(AE834="HALLUCINATION",U834&lt;&gt;"",TRUE))</x:f>
        <x:v>0</x:v>
      </x:c>
      <x:c r="AG834" t="n">
        <x:f>--AND(N834=1,AF834=1,OR(AE834="SUPPORTED",AE834="HALLUCINATION"))</x:f>
        <x:v>0</x:v>
      </x:c>
      <x:c r="AH834" t="n">
        <x:f>--AND(AG834=1,AE834="HALLUCINATION")</x:f>
        <x:v>0</x:v>
      </x:c>
      <x:c r="AI834" t="n">
        <x:f>--AND(Q834=1,AF834=1,AE834="HALLUCINATION")</x:f>
        <x:v>0</x:v>
      </x:c>
      <x:c r="AJ834" t="n">
        <x:f>--AND(AI834=1,R834=1,S834=1)</x:f>
        <x:v>0</x:v>
      </x:c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28"/>
      <x:c r="R835" s="28"/>
      <x:c r="S835" s="28"/>
      <x:c r="T835" s="28"/>
      <x:c r="U835" s="28"/>
      <x:c r="V835" s="28"/>
      <x:c r="W835" s="43" t="n">
        <x:f>--AND(N835=1,OR(O835="SUPPORTED",O835="HALLUCINATION"))</x:f>
        <x:v>0</x:v>
      </x:c>
      <x:c r="X835" s="43" t="n">
        <x:f>--AND(W835=1,O835="HALLUCINATION")</x:f>
        <x:v>0</x:v>
      </x:c>
      <x:c r="Y835" s="43" t="n">
        <x:f>--AND(Q835=1,O835="HALLUCINATION")</x:f>
        <x:v>0</x:v>
      </x:c>
      <x:c r="Z835" s="43" t="n">
        <x:f>--AND(Y835=1,R835=1,S835=1)</x:f>
        <x:v>0</x:v>
      </x:c>
      <x:c r="AC835" t="str">
        <x:f>IF(OR(AA835="",AB835=""),"",--(AA835&lt;&gt;AB835))</x:f>
      </x:c>
      <x:c r="AE835" t="str">
        <x:f>IF(OR(AA835="",AB835=""),"PENDING_HUMAN",IF(AA835=AB835,AA835,IF(AD835&lt;&gt;"",AD835,"PENDING_HUMAN")))</x:f>
        <x:v>PENDING_HUMAN</x:v>
      </x:c>
      <x:c r="AF835" t="n">
        <x:f>--AND(A835&lt;&gt;"",AA835&lt;&gt;"",AB835&lt;&gt;"",OR(AA835=AB835,AD835&lt;&gt;""),IF(AE835="HALLUCINATION",U835&lt;&gt;"",TRUE))</x:f>
        <x:v>0</x:v>
      </x:c>
      <x:c r="AG835" t="n">
        <x:f>--AND(N835=1,AF835=1,OR(AE835="SUPPORTED",AE835="HALLUCINATION"))</x:f>
        <x:v>0</x:v>
      </x:c>
      <x:c r="AH835" t="n">
        <x:f>--AND(AG835=1,AE835="HALLUCINATION")</x:f>
        <x:v>0</x:v>
      </x:c>
      <x:c r="AI835" t="n">
        <x:f>--AND(Q835=1,AF835=1,AE835="HALLUCINATION")</x:f>
        <x:v>0</x:v>
      </x:c>
      <x:c r="AJ835" t="n">
        <x:f>--AND(AI835=1,R835=1,S835=1)</x:f>
        <x:v>0</x:v>
      </x:c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28"/>
      <x:c r="R836" s="28"/>
      <x:c r="S836" s="28"/>
      <x:c r="T836" s="28"/>
      <x:c r="U836" s="28"/>
      <x:c r="V836" s="28"/>
      <x:c r="W836" s="43" t="n">
        <x:f>--AND(N836=1,OR(O836="SUPPORTED",O836="HALLUCINATION"))</x:f>
        <x:v>0</x:v>
      </x:c>
      <x:c r="X836" s="43" t="n">
        <x:f>--AND(W836=1,O836="HALLUCINATION")</x:f>
        <x:v>0</x:v>
      </x:c>
      <x:c r="Y836" s="43" t="n">
        <x:f>--AND(Q836=1,O836="HALLUCINATION")</x:f>
        <x:v>0</x:v>
      </x:c>
      <x:c r="Z836" s="43" t="n">
        <x:f>--AND(Y836=1,R836=1,S836=1)</x:f>
        <x:v>0</x:v>
      </x:c>
      <x:c r="AC836" t="str">
        <x:f>IF(OR(AA836="",AB836=""),"",--(AA836&lt;&gt;AB836))</x:f>
      </x:c>
      <x:c r="AE836" t="str">
        <x:f>IF(OR(AA836="",AB836=""),"PENDING_HUMAN",IF(AA836=AB836,AA836,IF(AD836&lt;&gt;"",AD836,"PENDING_HUMAN")))</x:f>
        <x:v>PENDING_HUMAN</x:v>
      </x:c>
      <x:c r="AF836" t="n">
        <x:f>--AND(A836&lt;&gt;"",AA836&lt;&gt;"",AB836&lt;&gt;"",OR(AA836=AB836,AD836&lt;&gt;""),IF(AE836="HALLUCINATION",U836&lt;&gt;"",TRUE))</x:f>
        <x:v>0</x:v>
      </x:c>
      <x:c r="AG836" t="n">
        <x:f>--AND(N836=1,AF836=1,OR(AE836="SUPPORTED",AE836="HALLUCINATION"))</x:f>
        <x:v>0</x:v>
      </x:c>
      <x:c r="AH836" t="n">
        <x:f>--AND(AG836=1,AE836="HALLUCINATION")</x:f>
        <x:v>0</x:v>
      </x:c>
      <x:c r="AI836" t="n">
        <x:f>--AND(Q836=1,AF836=1,AE836="HALLUCINATION")</x:f>
        <x:v>0</x:v>
      </x:c>
      <x:c r="AJ836" t="n">
        <x:f>--AND(AI836=1,R836=1,S836=1)</x:f>
        <x:v>0</x:v>
      </x:c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28"/>
      <x:c r="R837" s="28"/>
      <x:c r="S837" s="28"/>
      <x:c r="T837" s="28"/>
      <x:c r="U837" s="28"/>
      <x:c r="V837" s="28"/>
      <x:c r="W837" s="43" t="n">
        <x:f>--AND(N837=1,OR(O837="SUPPORTED",O837="HALLUCINATION"))</x:f>
        <x:v>0</x:v>
      </x:c>
      <x:c r="X837" s="43" t="n">
        <x:f>--AND(W837=1,O837="HALLUCINATION")</x:f>
        <x:v>0</x:v>
      </x:c>
      <x:c r="Y837" s="43" t="n">
        <x:f>--AND(Q837=1,O837="HALLUCINATION")</x:f>
        <x:v>0</x:v>
      </x:c>
      <x:c r="Z837" s="43" t="n">
        <x:f>--AND(Y837=1,R837=1,S837=1)</x:f>
        <x:v>0</x:v>
      </x:c>
      <x:c r="AC837" t="str">
        <x:f>IF(OR(AA837="",AB837=""),"",--(AA837&lt;&gt;AB837))</x:f>
      </x:c>
      <x:c r="AE837" t="str">
        <x:f>IF(OR(AA837="",AB837=""),"PENDING_HUMAN",IF(AA837=AB837,AA837,IF(AD837&lt;&gt;"",AD837,"PENDING_HUMAN")))</x:f>
        <x:v>PENDING_HUMAN</x:v>
      </x:c>
      <x:c r="AF837" t="n">
        <x:f>--AND(A837&lt;&gt;"",AA837&lt;&gt;"",AB837&lt;&gt;"",OR(AA837=AB837,AD837&lt;&gt;""),IF(AE837="HALLUCINATION",U837&lt;&gt;"",TRUE))</x:f>
        <x:v>0</x:v>
      </x:c>
      <x:c r="AG837" t="n">
        <x:f>--AND(N837=1,AF837=1,OR(AE837="SUPPORTED",AE837="HALLUCINATION"))</x:f>
        <x:v>0</x:v>
      </x:c>
      <x:c r="AH837" t="n">
        <x:f>--AND(AG837=1,AE837="HALLUCINATION")</x:f>
        <x:v>0</x:v>
      </x:c>
      <x:c r="AI837" t="n">
        <x:f>--AND(Q837=1,AF837=1,AE837="HALLUCINATION")</x:f>
        <x:v>0</x:v>
      </x:c>
      <x:c r="AJ837" t="n">
        <x:f>--AND(AI837=1,R837=1,S837=1)</x:f>
        <x:v>0</x:v>
      </x:c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28"/>
      <x:c r="R838" s="28"/>
      <x:c r="S838" s="28"/>
      <x:c r="T838" s="28"/>
      <x:c r="U838" s="28"/>
      <x:c r="V838" s="28"/>
      <x:c r="W838" s="43" t="n">
        <x:f>--AND(N838=1,OR(O838="SUPPORTED",O838="HALLUCINATION"))</x:f>
        <x:v>0</x:v>
      </x:c>
      <x:c r="X838" s="43" t="n">
        <x:f>--AND(W838=1,O838="HALLUCINATION")</x:f>
        <x:v>0</x:v>
      </x:c>
      <x:c r="Y838" s="43" t="n">
        <x:f>--AND(Q838=1,O838="HALLUCINATION")</x:f>
        <x:v>0</x:v>
      </x:c>
      <x:c r="Z838" s="43" t="n">
        <x:f>--AND(Y838=1,R838=1,S838=1)</x:f>
        <x:v>0</x:v>
      </x:c>
      <x:c r="AC838" t="str">
        <x:f>IF(OR(AA838="",AB838=""),"",--(AA838&lt;&gt;AB838))</x:f>
      </x:c>
      <x:c r="AE838" t="str">
        <x:f>IF(OR(AA838="",AB838=""),"PENDING_HUMAN",IF(AA838=AB838,AA838,IF(AD838&lt;&gt;"",AD838,"PENDING_HUMAN")))</x:f>
        <x:v>PENDING_HUMAN</x:v>
      </x:c>
      <x:c r="AF838" t="n">
        <x:f>--AND(A838&lt;&gt;"",AA838&lt;&gt;"",AB838&lt;&gt;"",OR(AA838=AB838,AD838&lt;&gt;""),IF(AE838="HALLUCINATION",U838&lt;&gt;"",TRUE))</x:f>
        <x:v>0</x:v>
      </x:c>
      <x:c r="AG838" t="n">
        <x:f>--AND(N838=1,AF838=1,OR(AE838="SUPPORTED",AE838="HALLUCINATION"))</x:f>
        <x:v>0</x:v>
      </x:c>
      <x:c r="AH838" t="n">
        <x:f>--AND(AG838=1,AE838="HALLUCINATION")</x:f>
        <x:v>0</x:v>
      </x:c>
      <x:c r="AI838" t="n">
        <x:f>--AND(Q838=1,AF838=1,AE838="HALLUCINATION")</x:f>
        <x:v>0</x:v>
      </x:c>
      <x:c r="AJ838" t="n">
        <x:f>--AND(AI838=1,R838=1,S838=1)</x:f>
        <x:v>0</x:v>
      </x:c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28"/>
      <x:c r="R839" s="28"/>
      <x:c r="S839" s="28"/>
      <x:c r="T839" s="28"/>
      <x:c r="U839" s="28"/>
      <x:c r="V839" s="28"/>
      <x:c r="W839" s="43" t="n">
        <x:f>--AND(N839=1,OR(O839="SUPPORTED",O839="HALLUCINATION"))</x:f>
        <x:v>0</x:v>
      </x:c>
      <x:c r="X839" s="43" t="n">
        <x:f>--AND(W839=1,O839="HALLUCINATION")</x:f>
        <x:v>0</x:v>
      </x:c>
      <x:c r="Y839" s="43" t="n">
        <x:f>--AND(Q839=1,O839="HALLUCINATION")</x:f>
        <x:v>0</x:v>
      </x:c>
      <x:c r="Z839" s="43" t="n">
        <x:f>--AND(Y839=1,R839=1,S839=1)</x:f>
        <x:v>0</x:v>
      </x:c>
      <x:c r="AC839" t="str">
        <x:f>IF(OR(AA839="",AB839=""),"",--(AA839&lt;&gt;AB839))</x:f>
      </x:c>
      <x:c r="AE839" t="str">
        <x:f>IF(OR(AA839="",AB839=""),"PENDING_HUMAN",IF(AA839=AB839,AA839,IF(AD839&lt;&gt;"",AD839,"PENDING_HUMAN")))</x:f>
        <x:v>PENDING_HUMAN</x:v>
      </x:c>
      <x:c r="AF839" t="n">
        <x:f>--AND(A839&lt;&gt;"",AA839&lt;&gt;"",AB839&lt;&gt;"",OR(AA839=AB839,AD839&lt;&gt;""),IF(AE839="HALLUCINATION",U839&lt;&gt;"",TRUE))</x:f>
        <x:v>0</x:v>
      </x:c>
      <x:c r="AG839" t="n">
        <x:f>--AND(N839=1,AF839=1,OR(AE839="SUPPORTED",AE839="HALLUCINATION"))</x:f>
        <x:v>0</x:v>
      </x:c>
      <x:c r="AH839" t="n">
        <x:f>--AND(AG839=1,AE839="HALLUCINATION")</x:f>
        <x:v>0</x:v>
      </x:c>
      <x:c r="AI839" t="n">
        <x:f>--AND(Q839=1,AF839=1,AE839="HALLUCINATION")</x:f>
        <x:v>0</x:v>
      </x:c>
      <x:c r="AJ839" t="n">
        <x:f>--AND(AI839=1,R839=1,S839=1)</x:f>
        <x:v>0</x:v>
      </x:c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28"/>
      <x:c r="R840" s="28"/>
      <x:c r="S840" s="28"/>
      <x:c r="T840" s="28"/>
      <x:c r="U840" s="28"/>
      <x:c r="V840" s="28"/>
      <x:c r="W840" s="43" t="n">
        <x:f>--AND(N840=1,OR(O840="SUPPORTED",O840="HALLUCINATION"))</x:f>
        <x:v>0</x:v>
      </x:c>
      <x:c r="X840" s="43" t="n">
        <x:f>--AND(W840=1,O840="HALLUCINATION")</x:f>
        <x:v>0</x:v>
      </x:c>
      <x:c r="Y840" s="43" t="n">
        <x:f>--AND(Q840=1,O840="HALLUCINATION")</x:f>
        <x:v>0</x:v>
      </x:c>
      <x:c r="Z840" s="43" t="n">
        <x:f>--AND(Y840=1,R840=1,S840=1)</x:f>
        <x:v>0</x:v>
      </x:c>
      <x:c r="AC840" t="str">
        <x:f>IF(OR(AA840="",AB840=""),"",--(AA840&lt;&gt;AB840))</x:f>
      </x:c>
      <x:c r="AE840" t="str">
        <x:f>IF(OR(AA840="",AB840=""),"PENDING_HUMAN",IF(AA840=AB840,AA840,IF(AD840&lt;&gt;"",AD840,"PENDING_HUMAN")))</x:f>
        <x:v>PENDING_HUMAN</x:v>
      </x:c>
      <x:c r="AF840" t="n">
        <x:f>--AND(A840&lt;&gt;"",AA840&lt;&gt;"",AB840&lt;&gt;"",OR(AA840=AB840,AD840&lt;&gt;""),IF(AE840="HALLUCINATION",U840&lt;&gt;"",TRUE))</x:f>
        <x:v>0</x:v>
      </x:c>
      <x:c r="AG840" t="n">
        <x:f>--AND(N840=1,AF840=1,OR(AE840="SUPPORTED",AE840="HALLUCINATION"))</x:f>
        <x:v>0</x:v>
      </x:c>
      <x:c r="AH840" t="n">
        <x:f>--AND(AG840=1,AE840="HALLUCINATION")</x:f>
        <x:v>0</x:v>
      </x:c>
      <x:c r="AI840" t="n">
        <x:f>--AND(Q840=1,AF840=1,AE840="HALLUCINATION")</x:f>
        <x:v>0</x:v>
      </x:c>
      <x:c r="AJ840" t="n">
        <x:f>--AND(AI840=1,R840=1,S840=1)</x:f>
        <x:v>0</x:v>
      </x:c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28"/>
      <x:c r="R841" s="28"/>
      <x:c r="S841" s="28"/>
      <x:c r="T841" s="28"/>
      <x:c r="U841" s="28"/>
      <x:c r="V841" s="28"/>
      <x:c r="W841" s="43" t="n">
        <x:f>--AND(N841=1,OR(O841="SUPPORTED",O841="HALLUCINATION"))</x:f>
        <x:v>0</x:v>
      </x:c>
      <x:c r="X841" s="43" t="n">
        <x:f>--AND(W841=1,O841="HALLUCINATION")</x:f>
        <x:v>0</x:v>
      </x:c>
      <x:c r="Y841" s="43" t="n">
        <x:f>--AND(Q841=1,O841="HALLUCINATION")</x:f>
        <x:v>0</x:v>
      </x:c>
      <x:c r="Z841" s="43" t="n">
        <x:f>--AND(Y841=1,R841=1,S841=1)</x:f>
        <x:v>0</x:v>
      </x:c>
      <x:c r="AC841" t="str">
        <x:f>IF(OR(AA841="",AB841=""),"",--(AA841&lt;&gt;AB841))</x:f>
      </x:c>
      <x:c r="AE841" t="str">
        <x:f>IF(OR(AA841="",AB841=""),"PENDING_HUMAN",IF(AA841=AB841,AA841,IF(AD841&lt;&gt;"",AD841,"PENDING_HUMAN")))</x:f>
        <x:v>PENDING_HUMAN</x:v>
      </x:c>
      <x:c r="AF841" t="n">
        <x:f>--AND(A841&lt;&gt;"",AA841&lt;&gt;"",AB841&lt;&gt;"",OR(AA841=AB841,AD841&lt;&gt;""),IF(AE841="HALLUCINATION",U841&lt;&gt;"",TRUE))</x:f>
        <x:v>0</x:v>
      </x:c>
      <x:c r="AG841" t="n">
        <x:f>--AND(N841=1,AF841=1,OR(AE841="SUPPORTED",AE841="HALLUCINATION"))</x:f>
        <x:v>0</x:v>
      </x:c>
      <x:c r="AH841" t="n">
        <x:f>--AND(AG841=1,AE841="HALLUCINATION")</x:f>
        <x:v>0</x:v>
      </x:c>
      <x:c r="AI841" t="n">
        <x:f>--AND(Q841=1,AF841=1,AE841="HALLUCINATION")</x:f>
        <x:v>0</x:v>
      </x:c>
      <x:c r="AJ841" t="n">
        <x:f>--AND(AI841=1,R841=1,S841=1)</x:f>
        <x:v>0</x:v>
      </x:c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28"/>
      <x:c r="R842" s="28"/>
      <x:c r="S842" s="28"/>
      <x:c r="T842" s="28"/>
      <x:c r="U842" s="28"/>
      <x:c r="V842" s="28"/>
      <x:c r="W842" s="43" t="n">
        <x:f>--AND(N842=1,OR(O842="SUPPORTED",O842="HALLUCINATION"))</x:f>
        <x:v>0</x:v>
      </x:c>
      <x:c r="X842" s="43" t="n">
        <x:f>--AND(W842=1,O842="HALLUCINATION")</x:f>
        <x:v>0</x:v>
      </x:c>
      <x:c r="Y842" s="43" t="n">
        <x:f>--AND(Q842=1,O842="HALLUCINATION")</x:f>
        <x:v>0</x:v>
      </x:c>
      <x:c r="Z842" s="43" t="n">
        <x:f>--AND(Y842=1,R842=1,S842=1)</x:f>
        <x:v>0</x:v>
      </x:c>
      <x:c r="AC842" t="str">
        <x:f>IF(OR(AA842="",AB842=""),"",--(AA842&lt;&gt;AB842))</x:f>
      </x:c>
      <x:c r="AE842" t="str">
        <x:f>IF(OR(AA842="",AB842=""),"PENDING_HUMAN",IF(AA842=AB842,AA842,IF(AD842&lt;&gt;"",AD842,"PENDING_HUMAN")))</x:f>
        <x:v>PENDING_HUMAN</x:v>
      </x:c>
      <x:c r="AF842" t="n">
        <x:f>--AND(A842&lt;&gt;"",AA842&lt;&gt;"",AB842&lt;&gt;"",OR(AA842=AB842,AD842&lt;&gt;""),IF(AE842="HALLUCINATION",U842&lt;&gt;"",TRUE))</x:f>
        <x:v>0</x:v>
      </x:c>
      <x:c r="AG842" t="n">
        <x:f>--AND(N842=1,AF842=1,OR(AE842="SUPPORTED",AE842="HALLUCINATION"))</x:f>
        <x:v>0</x:v>
      </x:c>
      <x:c r="AH842" t="n">
        <x:f>--AND(AG842=1,AE842="HALLUCINATION")</x:f>
        <x:v>0</x:v>
      </x:c>
      <x:c r="AI842" t="n">
        <x:f>--AND(Q842=1,AF842=1,AE842="HALLUCINATION")</x:f>
        <x:v>0</x:v>
      </x:c>
      <x:c r="AJ842" t="n">
        <x:f>--AND(AI842=1,R842=1,S842=1)</x:f>
        <x:v>0</x:v>
      </x:c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28"/>
      <x:c r="R843" s="28"/>
      <x:c r="S843" s="28"/>
      <x:c r="T843" s="28"/>
      <x:c r="U843" s="28"/>
      <x:c r="V843" s="28"/>
      <x:c r="W843" s="43" t="n">
        <x:f>--AND(N843=1,OR(O843="SUPPORTED",O843="HALLUCINATION"))</x:f>
        <x:v>0</x:v>
      </x:c>
      <x:c r="X843" s="43" t="n">
        <x:f>--AND(W843=1,O843="HALLUCINATION")</x:f>
        <x:v>0</x:v>
      </x:c>
      <x:c r="Y843" s="43" t="n">
        <x:f>--AND(Q843=1,O843="HALLUCINATION")</x:f>
        <x:v>0</x:v>
      </x:c>
      <x:c r="Z843" s="43" t="n">
        <x:f>--AND(Y843=1,R843=1,S843=1)</x:f>
        <x:v>0</x:v>
      </x:c>
      <x:c r="AC843" t="str">
        <x:f>IF(OR(AA843="",AB843=""),"",--(AA843&lt;&gt;AB843))</x:f>
      </x:c>
      <x:c r="AE843" t="str">
        <x:f>IF(OR(AA843="",AB843=""),"PENDING_HUMAN",IF(AA843=AB843,AA843,IF(AD843&lt;&gt;"",AD843,"PENDING_HUMAN")))</x:f>
        <x:v>PENDING_HUMAN</x:v>
      </x:c>
      <x:c r="AF843" t="n">
        <x:f>--AND(A843&lt;&gt;"",AA843&lt;&gt;"",AB843&lt;&gt;"",OR(AA843=AB843,AD843&lt;&gt;""),IF(AE843="HALLUCINATION",U843&lt;&gt;"",TRUE))</x:f>
        <x:v>0</x:v>
      </x:c>
      <x:c r="AG843" t="n">
        <x:f>--AND(N843=1,AF843=1,OR(AE843="SUPPORTED",AE843="HALLUCINATION"))</x:f>
        <x:v>0</x:v>
      </x:c>
      <x:c r="AH843" t="n">
        <x:f>--AND(AG843=1,AE843="HALLUCINATION")</x:f>
        <x:v>0</x:v>
      </x:c>
      <x:c r="AI843" t="n">
        <x:f>--AND(Q843=1,AF843=1,AE843="HALLUCINATION")</x:f>
        <x:v>0</x:v>
      </x:c>
      <x:c r="AJ843" t="n">
        <x:f>--AND(AI843=1,R843=1,S843=1)</x:f>
        <x:v>0</x:v>
      </x:c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28"/>
      <x:c r="R844" s="28"/>
      <x:c r="S844" s="28"/>
      <x:c r="T844" s="28"/>
      <x:c r="U844" s="28"/>
      <x:c r="V844" s="28"/>
      <x:c r="W844" s="43" t="n">
        <x:f>--AND(N844=1,OR(O844="SUPPORTED",O844="HALLUCINATION"))</x:f>
        <x:v>0</x:v>
      </x:c>
      <x:c r="X844" s="43" t="n">
        <x:f>--AND(W844=1,O844="HALLUCINATION")</x:f>
        <x:v>0</x:v>
      </x:c>
      <x:c r="Y844" s="43" t="n">
        <x:f>--AND(Q844=1,O844="HALLUCINATION")</x:f>
        <x:v>0</x:v>
      </x:c>
      <x:c r="Z844" s="43" t="n">
        <x:f>--AND(Y844=1,R844=1,S844=1)</x:f>
        <x:v>0</x:v>
      </x:c>
      <x:c r="AC844" t="str">
        <x:f>IF(OR(AA844="",AB844=""),"",--(AA844&lt;&gt;AB844))</x:f>
      </x:c>
      <x:c r="AE844" t="str">
        <x:f>IF(OR(AA844="",AB844=""),"PENDING_HUMAN",IF(AA844=AB844,AA844,IF(AD844&lt;&gt;"",AD844,"PENDING_HUMAN")))</x:f>
        <x:v>PENDING_HUMAN</x:v>
      </x:c>
      <x:c r="AF844" t="n">
        <x:f>--AND(A844&lt;&gt;"",AA844&lt;&gt;"",AB844&lt;&gt;"",OR(AA844=AB844,AD844&lt;&gt;""),IF(AE844="HALLUCINATION",U844&lt;&gt;"",TRUE))</x:f>
        <x:v>0</x:v>
      </x:c>
      <x:c r="AG844" t="n">
        <x:f>--AND(N844=1,AF844=1,OR(AE844="SUPPORTED",AE844="HALLUCINATION"))</x:f>
        <x:v>0</x:v>
      </x:c>
      <x:c r="AH844" t="n">
        <x:f>--AND(AG844=1,AE844="HALLUCINATION")</x:f>
        <x:v>0</x:v>
      </x:c>
      <x:c r="AI844" t="n">
        <x:f>--AND(Q844=1,AF844=1,AE844="HALLUCINATION")</x:f>
        <x:v>0</x:v>
      </x:c>
      <x:c r="AJ844" t="n">
        <x:f>--AND(AI844=1,R844=1,S844=1)</x:f>
        <x:v>0</x:v>
      </x:c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28"/>
      <x:c r="R845" s="28"/>
      <x:c r="S845" s="28"/>
      <x:c r="T845" s="28"/>
      <x:c r="U845" s="28"/>
      <x:c r="V845" s="28"/>
      <x:c r="W845" s="43" t="n">
        <x:f>--AND(N845=1,OR(O845="SUPPORTED",O845="HALLUCINATION"))</x:f>
        <x:v>0</x:v>
      </x:c>
      <x:c r="X845" s="43" t="n">
        <x:f>--AND(W845=1,O845="HALLUCINATION")</x:f>
        <x:v>0</x:v>
      </x:c>
      <x:c r="Y845" s="43" t="n">
        <x:f>--AND(Q845=1,O845="HALLUCINATION")</x:f>
        <x:v>0</x:v>
      </x:c>
      <x:c r="Z845" s="43" t="n">
        <x:f>--AND(Y845=1,R845=1,S845=1)</x:f>
        <x:v>0</x:v>
      </x:c>
      <x:c r="AC845" t="str">
        <x:f>IF(OR(AA845="",AB845=""),"",--(AA845&lt;&gt;AB845))</x:f>
      </x:c>
      <x:c r="AE845" t="str">
        <x:f>IF(OR(AA845="",AB845=""),"PENDING_HUMAN",IF(AA845=AB845,AA845,IF(AD845&lt;&gt;"",AD845,"PENDING_HUMAN")))</x:f>
        <x:v>PENDING_HUMAN</x:v>
      </x:c>
      <x:c r="AF845" t="n">
        <x:f>--AND(A845&lt;&gt;"",AA845&lt;&gt;"",AB845&lt;&gt;"",OR(AA845=AB845,AD845&lt;&gt;""),IF(AE845="HALLUCINATION",U845&lt;&gt;"",TRUE))</x:f>
        <x:v>0</x:v>
      </x:c>
      <x:c r="AG845" t="n">
        <x:f>--AND(N845=1,AF845=1,OR(AE845="SUPPORTED",AE845="HALLUCINATION"))</x:f>
        <x:v>0</x:v>
      </x:c>
      <x:c r="AH845" t="n">
        <x:f>--AND(AG845=1,AE845="HALLUCINATION")</x:f>
        <x:v>0</x:v>
      </x:c>
      <x:c r="AI845" t="n">
        <x:f>--AND(Q845=1,AF845=1,AE845="HALLUCINATION")</x:f>
        <x:v>0</x:v>
      </x:c>
      <x:c r="AJ845" t="n">
        <x:f>--AND(AI845=1,R845=1,S845=1)</x:f>
        <x:v>0</x:v>
      </x:c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28"/>
      <x:c r="R846" s="28"/>
      <x:c r="S846" s="28"/>
      <x:c r="T846" s="28"/>
      <x:c r="U846" s="28"/>
      <x:c r="V846" s="28"/>
      <x:c r="W846" s="43" t="n">
        <x:f>--AND(N846=1,OR(O846="SUPPORTED",O846="HALLUCINATION"))</x:f>
        <x:v>0</x:v>
      </x:c>
      <x:c r="X846" s="43" t="n">
        <x:f>--AND(W846=1,O846="HALLUCINATION")</x:f>
        <x:v>0</x:v>
      </x:c>
      <x:c r="Y846" s="43" t="n">
        <x:f>--AND(Q846=1,O846="HALLUCINATION")</x:f>
        <x:v>0</x:v>
      </x:c>
      <x:c r="Z846" s="43" t="n">
        <x:f>--AND(Y846=1,R846=1,S846=1)</x:f>
        <x:v>0</x:v>
      </x:c>
      <x:c r="AC846" t="str">
        <x:f>IF(OR(AA846="",AB846=""),"",--(AA846&lt;&gt;AB846))</x:f>
      </x:c>
      <x:c r="AE846" t="str">
        <x:f>IF(OR(AA846="",AB846=""),"PENDING_HUMAN",IF(AA846=AB846,AA846,IF(AD846&lt;&gt;"",AD846,"PENDING_HUMAN")))</x:f>
        <x:v>PENDING_HUMAN</x:v>
      </x:c>
      <x:c r="AF846" t="n">
        <x:f>--AND(A846&lt;&gt;"",AA846&lt;&gt;"",AB846&lt;&gt;"",OR(AA846=AB846,AD846&lt;&gt;""),IF(AE846="HALLUCINATION",U846&lt;&gt;"",TRUE))</x:f>
        <x:v>0</x:v>
      </x:c>
      <x:c r="AG846" t="n">
        <x:f>--AND(N846=1,AF846=1,OR(AE846="SUPPORTED",AE846="HALLUCINATION"))</x:f>
        <x:v>0</x:v>
      </x:c>
      <x:c r="AH846" t="n">
        <x:f>--AND(AG846=1,AE846="HALLUCINATION")</x:f>
        <x:v>0</x:v>
      </x:c>
      <x:c r="AI846" t="n">
        <x:f>--AND(Q846=1,AF846=1,AE846="HALLUCINATION")</x:f>
        <x:v>0</x:v>
      </x:c>
      <x:c r="AJ846" t="n">
        <x:f>--AND(AI846=1,R846=1,S846=1)</x:f>
        <x:v>0</x:v>
      </x:c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28"/>
      <x:c r="R847" s="28"/>
      <x:c r="S847" s="28"/>
      <x:c r="T847" s="28"/>
      <x:c r="U847" s="28"/>
      <x:c r="V847" s="28"/>
      <x:c r="W847" s="43" t="n">
        <x:f>--AND(N847=1,OR(O847="SUPPORTED",O847="HALLUCINATION"))</x:f>
        <x:v>0</x:v>
      </x:c>
      <x:c r="X847" s="43" t="n">
        <x:f>--AND(W847=1,O847="HALLUCINATION")</x:f>
        <x:v>0</x:v>
      </x:c>
      <x:c r="Y847" s="43" t="n">
        <x:f>--AND(Q847=1,O847="HALLUCINATION")</x:f>
        <x:v>0</x:v>
      </x:c>
      <x:c r="Z847" s="43" t="n">
        <x:f>--AND(Y847=1,R847=1,S847=1)</x:f>
        <x:v>0</x:v>
      </x:c>
      <x:c r="AC847" t="str">
        <x:f>IF(OR(AA847="",AB847=""),"",--(AA847&lt;&gt;AB847))</x:f>
      </x:c>
      <x:c r="AE847" t="str">
        <x:f>IF(OR(AA847="",AB847=""),"PENDING_HUMAN",IF(AA847=AB847,AA847,IF(AD847&lt;&gt;"",AD847,"PENDING_HUMAN")))</x:f>
        <x:v>PENDING_HUMAN</x:v>
      </x:c>
      <x:c r="AF847" t="n">
        <x:f>--AND(A847&lt;&gt;"",AA847&lt;&gt;"",AB847&lt;&gt;"",OR(AA847=AB847,AD847&lt;&gt;""),IF(AE847="HALLUCINATION",U847&lt;&gt;"",TRUE))</x:f>
        <x:v>0</x:v>
      </x:c>
      <x:c r="AG847" t="n">
        <x:f>--AND(N847=1,AF847=1,OR(AE847="SUPPORTED",AE847="HALLUCINATION"))</x:f>
        <x:v>0</x:v>
      </x:c>
      <x:c r="AH847" t="n">
        <x:f>--AND(AG847=1,AE847="HALLUCINATION")</x:f>
        <x:v>0</x:v>
      </x:c>
      <x:c r="AI847" t="n">
        <x:f>--AND(Q847=1,AF847=1,AE847="HALLUCINATION")</x:f>
        <x:v>0</x:v>
      </x:c>
      <x:c r="AJ847" t="n">
        <x:f>--AND(AI847=1,R847=1,S847=1)</x:f>
        <x:v>0</x:v>
      </x:c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28"/>
      <x:c r="R848" s="28"/>
      <x:c r="S848" s="28"/>
      <x:c r="T848" s="28"/>
      <x:c r="U848" s="28"/>
      <x:c r="V848" s="28"/>
      <x:c r="W848" s="43" t="n">
        <x:f>--AND(N848=1,OR(O848="SUPPORTED",O848="HALLUCINATION"))</x:f>
        <x:v>0</x:v>
      </x:c>
      <x:c r="X848" s="43" t="n">
        <x:f>--AND(W848=1,O848="HALLUCINATION")</x:f>
        <x:v>0</x:v>
      </x:c>
      <x:c r="Y848" s="43" t="n">
        <x:f>--AND(Q848=1,O848="HALLUCINATION")</x:f>
        <x:v>0</x:v>
      </x:c>
      <x:c r="Z848" s="43" t="n">
        <x:f>--AND(Y848=1,R848=1,S848=1)</x:f>
        <x:v>0</x:v>
      </x:c>
      <x:c r="AC848" t="str">
        <x:f>IF(OR(AA848="",AB848=""),"",--(AA848&lt;&gt;AB848))</x:f>
      </x:c>
      <x:c r="AE848" t="str">
        <x:f>IF(OR(AA848="",AB848=""),"PENDING_HUMAN",IF(AA848=AB848,AA848,IF(AD848&lt;&gt;"",AD848,"PENDING_HUMAN")))</x:f>
        <x:v>PENDING_HUMAN</x:v>
      </x:c>
      <x:c r="AF848" t="n">
        <x:f>--AND(A848&lt;&gt;"",AA848&lt;&gt;"",AB848&lt;&gt;"",OR(AA848=AB848,AD848&lt;&gt;""),IF(AE848="HALLUCINATION",U848&lt;&gt;"",TRUE))</x:f>
        <x:v>0</x:v>
      </x:c>
      <x:c r="AG848" t="n">
        <x:f>--AND(N848=1,AF848=1,OR(AE848="SUPPORTED",AE848="HALLUCINATION"))</x:f>
        <x:v>0</x:v>
      </x:c>
      <x:c r="AH848" t="n">
        <x:f>--AND(AG848=1,AE848="HALLUCINATION")</x:f>
        <x:v>0</x:v>
      </x:c>
      <x:c r="AI848" t="n">
        <x:f>--AND(Q848=1,AF848=1,AE848="HALLUCINATION")</x:f>
        <x:v>0</x:v>
      </x:c>
      <x:c r="AJ848" t="n">
        <x:f>--AND(AI848=1,R848=1,S848=1)</x:f>
        <x:v>0</x:v>
      </x:c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28"/>
      <x:c r="R849" s="28"/>
      <x:c r="S849" s="28"/>
      <x:c r="T849" s="28"/>
      <x:c r="U849" s="28"/>
      <x:c r="V849" s="28"/>
      <x:c r="W849" s="43" t="n">
        <x:f>--AND(N849=1,OR(O849="SUPPORTED",O849="HALLUCINATION"))</x:f>
        <x:v>0</x:v>
      </x:c>
      <x:c r="X849" s="43" t="n">
        <x:f>--AND(W849=1,O849="HALLUCINATION")</x:f>
        <x:v>0</x:v>
      </x:c>
      <x:c r="Y849" s="43" t="n">
        <x:f>--AND(Q849=1,O849="HALLUCINATION")</x:f>
        <x:v>0</x:v>
      </x:c>
      <x:c r="Z849" s="43" t="n">
        <x:f>--AND(Y849=1,R849=1,S849=1)</x:f>
        <x:v>0</x:v>
      </x:c>
      <x:c r="AC849" t="str">
        <x:f>IF(OR(AA849="",AB849=""),"",--(AA849&lt;&gt;AB849))</x:f>
      </x:c>
      <x:c r="AE849" t="str">
        <x:f>IF(OR(AA849="",AB849=""),"PENDING_HUMAN",IF(AA849=AB849,AA849,IF(AD849&lt;&gt;"",AD849,"PENDING_HUMAN")))</x:f>
        <x:v>PENDING_HUMAN</x:v>
      </x:c>
      <x:c r="AF849" t="n">
        <x:f>--AND(A849&lt;&gt;"",AA849&lt;&gt;"",AB849&lt;&gt;"",OR(AA849=AB849,AD849&lt;&gt;""),IF(AE849="HALLUCINATION",U849&lt;&gt;"",TRUE))</x:f>
        <x:v>0</x:v>
      </x:c>
      <x:c r="AG849" t="n">
        <x:f>--AND(N849=1,AF849=1,OR(AE849="SUPPORTED",AE849="HALLUCINATION"))</x:f>
        <x:v>0</x:v>
      </x:c>
      <x:c r="AH849" t="n">
        <x:f>--AND(AG849=1,AE849="HALLUCINATION")</x:f>
        <x:v>0</x:v>
      </x:c>
      <x:c r="AI849" t="n">
        <x:f>--AND(Q849=1,AF849=1,AE849="HALLUCINATION")</x:f>
        <x:v>0</x:v>
      </x:c>
      <x:c r="AJ849" t="n">
        <x:f>--AND(AI849=1,R849=1,S849=1)</x:f>
        <x:v>0</x:v>
      </x:c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28"/>
      <x:c r="R850" s="28"/>
      <x:c r="S850" s="28"/>
      <x:c r="T850" s="28"/>
      <x:c r="U850" s="28"/>
      <x:c r="V850" s="28"/>
      <x:c r="W850" s="43" t="n">
        <x:f>--AND(N850=1,OR(O850="SUPPORTED",O850="HALLUCINATION"))</x:f>
        <x:v>0</x:v>
      </x:c>
      <x:c r="X850" s="43" t="n">
        <x:f>--AND(W850=1,O850="HALLUCINATION")</x:f>
        <x:v>0</x:v>
      </x:c>
      <x:c r="Y850" s="43" t="n">
        <x:f>--AND(Q850=1,O850="HALLUCINATION")</x:f>
        <x:v>0</x:v>
      </x:c>
      <x:c r="Z850" s="43" t="n">
        <x:f>--AND(Y850=1,R850=1,S850=1)</x:f>
        <x:v>0</x:v>
      </x:c>
      <x:c r="AC850" t="str">
        <x:f>IF(OR(AA850="",AB850=""),"",--(AA850&lt;&gt;AB850))</x:f>
      </x:c>
      <x:c r="AE850" t="str">
        <x:f>IF(OR(AA850="",AB850=""),"PENDING_HUMAN",IF(AA850=AB850,AA850,IF(AD850&lt;&gt;"",AD850,"PENDING_HUMAN")))</x:f>
        <x:v>PENDING_HUMAN</x:v>
      </x:c>
      <x:c r="AF850" t="n">
        <x:f>--AND(A850&lt;&gt;"",AA850&lt;&gt;"",AB850&lt;&gt;"",OR(AA850=AB850,AD850&lt;&gt;""),IF(AE850="HALLUCINATION",U850&lt;&gt;"",TRUE))</x:f>
        <x:v>0</x:v>
      </x:c>
      <x:c r="AG850" t="n">
        <x:f>--AND(N850=1,AF850=1,OR(AE850="SUPPORTED",AE850="HALLUCINATION"))</x:f>
        <x:v>0</x:v>
      </x:c>
      <x:c r="AH850" t="n">
        <x:f>--AND(AG850=1,AE850="HALLUCINATION")</x:f>
        <x:v>0</x:v>
      </x:c>
      <x:c r="AI850" t="n">
        <x:f>--AND(Q850=1,AF850=1,AE850="HALLUCINATION")</x:f>
        <x:v>0</x:v>
      </x:c>
      <x:c r="AJ850" t="n">
        <x:f>--AND(AI850=1,R850=1,S850=1)</x:f>
        <x:v>0</x:v>
      </x:c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28"/>
      <x:c r="R851" s="28"/>
      <x:c r="S851" s="28"/>
      <x:c r="T851" s="28"/>
      <x:c r="U851" s="28"/>
      <x:c r="V851" s="28"/>
      <x:c r="W851" s="43" t="n">
        <x:f>--AND(N851=1,OR(O851="SUPPORTED",O851="HALLUCINATION"))</x:f>
        <x:v>0</x:v>
      </x:c>
      <x:c r="X851" s="43" t="n">
        <x:f>--AND(W851=1,O851="HALLUCINATION")</x:f>
        <x:v>0</x:v>
      </x:c>
      <x:c r="Y851" s="43" t="n">
        <x:f>--AND(Q851=1,O851="HALLUCINATION")</x:f>
        <x:v>0</x:v>
      </x:c>
      <x:c r="Z851" s="43" t="n">
        <x:f>--AND(Y851=1,R851=1,S851=1)</x:f>
        <x:v>0</x:v>
      </x:c>
      <x:c r="AC851" t="str">
        <x:f>IF(OR(AA851="",AB851=""),"",--(AA851&lt;&gt;AB851))</x:f>
      </x:c>
      <x:c r="AE851" t="str">
        <x:f>IF(OR(AA851="",AB851=""),"PENDING_HUMAN",IF(AA851=AB851,AA851,IF(AD851&lt;&gt;"",AD851,"PENDING_HUMAN")))</x:f>
        <x:v>PENDING_HUMAN</x:v>
      </x:c>
      <x:c r="AF851" t="n">
        <x:f>--AND(A851&lt;&gt;"",AA851&lt;&gt;"",AB851&lt;&gt;"",OR(AA851=AB851,AD851&lt;&gt;""),IF(AE851="HALLUCINATION",U851&lt;&gt;"",TRUE))</x:f>
        <x:v>0</x:v>
      </x:c>
      <x:c r="AG851" t="n">
        <x:f>--AND(N851=1,AF851=1,OR(AE851="SUPPORTED",AE851="HALLUCINATION"))</x:f>
        <x:v>0</x:v>
      </x:c>
      <x:c r="AH851" t="n">
        <x:f>--AND(AG851=1,AE851="HALLUCINATION")</x:f>
        <x:v>0</x:v>
      </x:c>
      <x:c r="AI851" t="n">
        <x:f>--AND(Q851=1,AF851=1,AE851="HALLUCINATION")</x:f>
        <x:v>0</x:v>
      </x:c>
      <x:c r="AJ851" t="n">
        <x:f>--AND(AI851=1,R851=1,S851=1)</x:f>
        <x:v>0</x:v>
      </x:c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28"/>
      <x:c r="R852" s="28"/>
      <x:c r="S852" s="28"/>
      <x:c r="T852" s="28"/>
      <x:c r="U852" s="28"/>
      <x:c r="V852" s="28"/>
      <x:c r="W852" s="43" t="n">
        <x:f>--AND(N852=1,OR(O852="SUPPORTED",O852="HALLUCINATION"))</x:f>
        <x:v>0</x:v>
      </x:c>
      <x:c r="X852" s="43" t="n">
        <x:f>--AND(W852=1,O852="HALLUCINATION")</x:f>
        <x:v>0</x:v>
      </x:c>
      <x:c r="Y852" s="43" t="n">
        <x:f>--AND(Q852=1,O852="HALLUCINATION")</x:f>
        <x:v>0</x:v>
      </x:c>
      <x:c r="Z852" s="43" t="n">
        <x:f>--AND(Y852=1,R852=1,S852=1)</x:f>
        <x:v>0</x:v>
      </x:c>
      <x:c r="AC852" t="str">
        <x:f>IF(OR(AA852="",AB852=""),"",--(AA852&lt;&gt;AB852))</x:f>
      </x:c>
      <x:c r="AE852" t="str">
        <x:f>IF(OR(AA852="",AB852=""),"PENDING_HUMAN",IF(AA852=AB852,AA852,IF(AD852&lt;&gt;"",AD852,"PENDING_HUMAN")))</x:f>
        <x:v>PENDING_HUMAN</x:v>
      </x:c>
      <x:c r="AF852" t="n">
        <x:f>--AND(A852&lt;&gt;"",AA852&lt;&gt;"",AB852&lt;&gt;"",OR(AA852=AB852,AD852&lt;&gt;""),IF(AE852="HALLUCINATION",U852&lt;&gt;"",TRUE))</x:f>
        <x:v>0</x:v>
      </x:c>
      <x:c r="AG852" t="n">
        <x:f>--AND(N852=1,AF852=1,OR(AE852="SUPPORTED",AE852="HALLUCINATION"))</x:f>
        <x:v>0</x:v>
      </x:c>
      <x:c r="AH852" t="n">
        <x:f>--AND(AG852=1,AE852="HALLUCINATION")</x:f>
        <x:v>0</x:v>
      </x:c>
      <x:c r="AI852" t="n">
        <x:f>--AND(Q852=1,AF852=1,AE852="HALLUCINATION")</x:f>
        <x:v>0</x:v>
      </x:c>
      <x:c r="AJ852" t="n">
        <x:f>--AND(AI852=1,R852=1,S852=1)</x:f>
        <x:v>0</x:v>
      </x:c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28"/>
      <x:c r="R853" s="28"/>
      <x:c r="S853" s="28"/>
      <x:c r="T853" s="28"/>
      <x:c r="U853" s="28"/>
      <x:c r="V853" s="28"/>
      <x:c r="W853" s="43" t="n">
        <x:f>--AND(N853=1,OR(O853="SUPPORTED",O853="HALLUCINATION"))</x:f>
        <x:v>0</x:v>
      </x:c>
      <x:c r="X853" s="43" t="n">
        <x:f>--AND(W853=1,O853="HALLUCINATION")</x:f>
        <x:v>0</x:v>
      </x:c>
      <x:c r="Y853" s="43" t="n">
        <x:f>--AND(Q853=1,O853="HALLUCINATION")</x:f>
        <x:v>0</x:v>
      </x:c>
      <x:c r="Z853" s="43" t="n">
        <x:f>--AND(Y853=1,R853=1,S853=1)</x:f>
        <x:v>0</x:v>
      </x:c>
      <x:c r="AC853" t="str">
        <x:f>IF(OR(AA853="",AB853=""),"",--(AA853&lt;&gt;AB853))</x:f>
      </x:c>
      <x:c r="AE853" t="str">
        <x:f>IF(OR(AA853="",AB853=""),"PENDING_HUMAN",IF(AA853=AB853,AA853,IF(AD853&lt;&gt;"",AD853,"PENDING_HUMAN")))</x:f>
        <x:v>PENDING_HUMAN</x:v>
      </x:c>
      <x:c r="AF853" t="n">
        <x:f>--AND(A853&lt;&gt;"",AA853&lt;&gt;"",AB853&lt;&gt;"",OR(AA853=AB853,AD853&lt;&gt;""),IF(AE853="HALLUCINATION",U853&lt;&gt;"",TRUE))</x:f>
        <x:v>0</x:v>
      </x:c>
      <x:c r="AG853" t="n">
        <x:f>--AND(N853=1,AF853=1,OR(AE853="SUPPORTED",AE853="HALLUCINATION"))</x:f>
        <x:v>0</x:v>
      </x:c>
      <x:c r="AH853" t="n">
        <x:f>--AND(AG853=1,AE853="HALLUCINATION")</x:f>
        <x:v>0</x:v>
      </x:c>
      <x:c r="AI853" t="n">
        <x:f>--AND(Q853=1,AF853=1,AE853="HALLUCINATION")</x:f>
        <x:v>0</x:v>
      </x:c>
      <x:c r="AJ853" t="n">
        <x:f>--AND(AI853=1,R853=1,S853=1)</x:f>
        <x:v>0</x:v>
      </x:c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28"/>
      <x:c r="R854" s="28"/>
      <x:c r="S854" s="28"/>
      <x:c r="T854" s="28"/>
      <x:c r="U854" s="28"/>
      <x:c r="V854" s="28"/>
      <x:c r="W854" s="43" t="n">
        <x:f>--AND(N854=1,OR(O854="SUPPORTED",O854="HALLUCINATION"))</x:f>
        <x:v>0</x:v>
      </x:c>
      <x:c r="X854" s="43" t="n">
        <x:f>--AND(W854=1,O854="HALLUCINATION")</x:f>
        <x:v>0</x:v>
      </x:c>
      <x:c r="Y854" s="43" t="n">
        <x:f>--AND(Q854=1,O854="HALLUCINATION")</x:f>
        <x:v>0</x:v>
      </x:c>
      <x:c r="Z854" s="43" t="n">
        <x:f>--AND(Y854=1,R854=1,S854=1)</x:f>
        <x:v>0</x:v>
      </x:c>
      <x:c r="AC854" t="str">
        <x:f>IF(OR(AA854="",AB854=""),"",--(AA854&lt;&gt;AB854))</x:f>
      </x:c>
      <x:c r="AE854" t="str">
        <x:f>IF(OR(AA854="",AB854=""),"PENDING_HUMAN",IF(AA854=AB854,AA854,IF(AD854&lt;&gt;"",AD854,"PENDING_HUMAN")))</x:f>
        <x:v>PENDING_HUMAN</x:v>
      </x:c>
      <x:c r="AF854" t="n">
        <x:f>--AND(A854&lt;&gt;"",AA854&lt;&gt;"",AB854&lt;&gt;"",OR(AA854=AB854,AD854&lt;&gt;""),IF(AE854="HALLUCINATION",U854&lt;&gt;"",TRUE))</x:f>
        <x:v>0</x:v>
      </x:c>
      <x:c r="AG854" t="n">
        <x:f>--AND(N854=1,AF854=1,OR(AE854="SUPPORTED",AE854="HALLUCINATION"))</x:f>
        <x:v>0</x:v>
      </x:c>
      <x:c r="AH854" t="n">
        <x:f>--AND(AG854=1,AE854="HALLUCINATION")</x:f>
        <x:v>0</x:v>
      </x:c>
      <x:c r="AI854" t="n">
        <x:f>--AND(Q854=1,AF854=1,AE854="HALLUCINATION")</x:f>
        <x:v>0</x:v>
      </x:c>
      <x:c r="AJ854" t="n">
        <x:f>--AND(AI854=1,R854=1,S854=1)</x:f>
        <x:v>0</x:v>
      </x:c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28"/>
      <x:c r="R855" s="28"/>
      <x:c r="S855" s="28"/>
      <x:c r="T855" s="28"/>
      <x:c r="U855" s="28"/>
      <x:c r="V855" s="28"/>
      <x:c r="W855" s="43" t="n">
        <x:f>--AND(N855=1,OR(O855="SUPPORTED",O855="HALLUCINATION"))</x:f>
        <x:v>0</x:v>
      </x:c>
      <x:c r="X855" s="43" t="n">
        <x:f>--AND(W855=1,O855="HALLUCINATION")</x:f>
        <x:v>0</x:v>
      </x:c>
      <x:c r="Y855" s="43" t="n">
        <x:f>--AND(Q855=1,O855="HALLUCINATION")</x:f>
        <x:v>0</x:v>
      </x:c>
      <x:c r="Z855" s="43" t="n">
        <x:f>--AND(Y855=1,R855=1,S855=1)</x:f>
        <x:v>0</x:v>
      </x:c>
      <x:c r="AC855" t="str">
        <x:f>IF(OR(AA855="",AB855=""),"",--(AA855&lt;&gt;AB855))</x:f>
      </x:c>
      <x:c r="AE855" t="str">
        <x:f>IF(OR(AA855="",AB855=""),"PENDING_HUMAN",IF(AA855=AB855,AA855,IF(AD855&lt;&gt;"",AD855,"PENDING_HUMAN")))</x:f>
        <x:v>PENDING_HUMAN</x:v>
      </x:c>
      <x:c r="AF855" t="n">
        <x:f>--AND(A855&lt;&gt;"",AA855&lt;&gt;"",AB855&lt;&gt;"",OR(AA855=AB855,AD855&lt;&gt;""),IF(AE855="HALLUCINATION",U855&lt;&gt;"",TRUE))</x:f>
        <x:v>0</x:v>
      </x:c>
      <x:c r="AG855" t="n">
        <x:f>--AND(N855=1,AF855=1,OR(AE855="SUPPORTED",AE855="HALLUCINATION"))</x:f>
        <x:v>0</x:v>
      </x:c>
      <x:c r="AH855" t="n">
        <x:f>--AND(AG855=1,AE855="HALLUCINATION")</x:f>
        <x:v>0</x:v>
      </x:c>
      <x:c r="AI855" t="n">
        <x:f>--AND(Q855=1,AF855=1,AE855="HALLUCINATION")</x:f>
        <x:v>0</x:v>
      </x:c>
      <x:c r="AJ855" t="n">
        <x:f>--AND(AI855=1,R855=1,S855=1)</x:f>
        <x:v>0</x:v>
      </x:c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28"/>
      <x:c r="R856" s="28"/>
      <x:c r="S856" s="28"/>
      <x:c r="T856" s="28"/>
      <x:c r="U856" s="28"/>
      <x:c r="V856" s="28"/>
      <x:c r="W856" s="43" t="n">
        <x:f>--AND(N856=1,OR(O856="SUPPORTED",O856="HALLUCINATION"))</x:f>
        <x:v>0</x:v>
      </x:c>
      <x:c r="X856" s="43" t="n">
        <x:f>--AND(W856=1,O856="HALLUCINATION")</x:f>
        <x:v>0</x:v>
      </x:c>
      <x:c r="Y856" s="43" t="n">
        <x:f>--AND(Q856=1,O856="HALLUCINATION")</x:f>
        <x:v>0</x:v>
      </x:c>
      <x:c r="Z856" s="43" t="n">
        <x:f>--AND(Y856=1,R856=1,S856=1)</x:f>
        <x:v>0</x:v>
      </x:c>
      <x:c r="AC856" t="str">
        <x:f>IF(OR(AA856="",AB856=""),"",--(AA856&lt;&gt;AB856))</x:f>
      </x:c>
      <x:c r="AE856" t="str">
        <x:f>IF(OR(AA856="",AB856=""),"PENDING_HUMAN",IF(AA856=AB856,AA856,IF(AD856&lt;&gt;"",AD856,"PENDING_HUMAN")))</x:f>
        <x:v>PENDING_HUMAN</x:v>
      </x:c>
      <x:c r="AF856" t="n">
        <x:f>--AND(A856&lt;&gt;"",AA856&lt;&gt;"",AB856&lt;&gt;"",OR(AA856=AB856,AD856&lt;&gt;""),IF(AE856="HALLUCINATION",U856&lt;&gt;"",TRUE))</x:f>
        <x:v>0</x:v>
      </x:c>
      <x:c r="AG856" t="n">
        <x:f>--AND(N856=1,AF856=1,OR(AE856="SUPPORTED",AE856="HALLUCINATION"))</x:f>
        <x:v>0</x:v>
      </x:c>
      <x:c r="AH856" t="n">
        <x:f>--AND(AG856=1,AE856="HALLUCINATION")</x:f>
        <x:v>0</x:v>
      </x:c>
      <x:c r="AI856" t="n">
        <x:f>--AND(Q856=1,AF856=1,AE856="HALLUCINATION")</x:f>
        <x:v>0</x:v>
      </x:c>
      <x:c r="AJ856" t="n">
        <x:f>--AND(AI856=1,R856=1,S856=1)</x:f>
        <x:v>0</x:v>
      </x:c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28"/>
      <x:c r="R857" s="28"/>
      <x:c r="S857" s="28"/>
      <x:c r="T857" s="28"/>
      <x:c r="U857" s="28"/>
      <x:c r="V857" s="28"/>
      <x:c r="W857" s="43" t="n">
        <x:f>--AND(N857=1,OR(O857="SUPPORTED",O857="HALLUCINATION"))</x:f>
        <x:v>0</x:v>
      </x:c>
      <x:c r="X857" s="43" t="n">
        <x:f>--AND(W857=1,O857="HALLUCINATION")</x:f>
        <x:v>0</x:v>
      </x:c>
      <x:c r="Y857" s="43" t="n">
        <x:f>--AND(Q857=1,O857="HALLUCINATION")</x:f>
        <x:v>0</x:v>
      </x:c>
      <x:c r="Z857" s="43" t="n">
        <x:f>--AND(Y857=1,R857=1,S857=1)</x:f>
        <x:v>0</x:v>
      </x:c>
      <x:c r="AC857" t="str">
        <x:f>IF(OR(AA857="",AB857=""),"",--(AA857&lt;&gt;AB857))</x:f>
      </x:c>
      <x:c r="AE857" t="str">
        <x:f>IF(OR(AA857="",AB857=""),"PENDING_HUMAN",IF(AA857=AB857,AA857,IF(AD857&lt;&gt;"",AD857,"PENDING_HUMAN")))</x:f>
        <x:v>PENDING_HUMAN</x:v>
      </x:c>
      <x:c r="AF857" t="n">
        <x:f>--AND(A857&lt;&gt;"",AA857&lt;&gt;"",AB857&lt;&gt;"",OR(AA857=AB857,AD857&lt;&gt;""),IF(AE857="HALLUCINATION",U857&lt;&gt;"",TRUE))</x:f>
        <x:v>0</x:v>
      </x:c>
      <x:c r="AG857" t="n">
        <x:f>--AND(N857=1,AF857=1,OR(AE857="SUPPORTED",AE857="HALLUCINATION"))</x:f>
        <x:v>0</x:v>
      </x:c>
      <x:c r="AH857" t="n">
        <x:f>--AND(AG857=1,AE857="HALLUCINATION")</x:f>
        <x:v>0</x:v>
      </x:c>
      <x:c r="AI857" t="n">
        <x:f>--AND(Q857=1,AF857=1,AE857="HALLUCINATION")</x:f>
        <x:v>0</x:v>
      </x:c>
      <x:c r="AJ857" t="n">
        <x:f>--AND(AI857=1,R857=1,S857=1)</x:f>
        <x:v>0</x:v>
      </x:c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28"/>
      <x:c r="R858" s="28"/>
      <x:c r="S858" s="28"/>
      <x:c r="T858" s="28"/>
      <x:c r="U858" s="28"/>
      <x:c r="V858" s="28"/>
      <x:c r="W858" s="43" t="n">
        <x:f>--AND(N858=1,OR(O858="SUPPORTED",O858="HALLUCINATION"))</x:f>
        <x:v>0</x:v>
      </x:c>
      <x:c r="X858" s="43" t="n">
        <x:f>--AND(W858=1,O858="HALLUCINATION")</x:f>
        <x:v>0</x:v>
      </x:c>
      <x:c r="Y858" s="43" t="n">
        <x:f>--AND(Q858=1,O858="HALLUCINATION")</x:f>
        <x:v>0</x:v>
      </x:c>
      <x:c r="Z858" s="43" t="n">
        <x:f>--AND(Y858=1,R858=1,S858=1)</x:f>
        <x:v>0</x:v>
      </x:c>
      <x:c r="AC858" t="str">
        <x:f>IF(OR(AA858="",AB858=""),"",--(AA858&lt;&gt;AB858))</x:f>
      </x:c>
      <x:c r="AE858" t="str">
        <x:f>IF(OR(AA858="",AB858=""),"PENDING_HUMAN",IF(AA858=AB858,AA858,IF(AD858&lt;&gt;"",AD858,"PENDING_HUMAN")))</x:f>
        <x:v>PENDING_HUMAN</x:v>
      </x:c>
      <x:c r="AF858" t="n">
        <x:f>--AND(A858&lt;&gt;"",AA858&lt;&gt;"",AB858&lt;&gt;"",OR(AA858=AB858,AD858&lt;&gt;""),IF(AE858="HALLUCINATION",U858&lt;&gt;"",TRUE))</x:f>
        <x:v>0</x:v>
      </x:c>
      <x:c r="AG858" t="n">
        <x:f>--AND(N858=1,AF858=1,OR(AE858="SUPPORTED",AE858="HALLUCINATION"))</x:f>
        <x:v>0</x:v>
      </x:c>
      <x:c r="AH858" t="n">
        <x:f>--AND(AG858=1,AE858="HALLUCINATION")</x:f>
        <x:v>0</x:v>
      </x:c>
      <x:c r="AI858" t="n">
        <x:f>--AND(Q858=1,AF858=1,AE858="HALLUCINATION")</x:f>
        <x:v>0</x:v>
      </x:c>
      <x:c r="AJ858" t="n">
        <x:f>--AND(AI858=1,R858=1,S858=1)</x:f>
        <x:v>0</x:v>
      </x:c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8"/>
      <x:c r="P859" s="28"/>
      <x:c r="Q859" s="28"/>
      <x:c r="R859" s="28"/>
      <x:c r="S859" s="28"/>
      <x:c r="T859" s="28"/>
      <x:c r="U859" s="28"/>
      <x:c r="V859" s="28"/>
      <x:c r="W859" s="43" t="n">
        <x:f>--AND(N859=1,OR(O859="SUPPORTED",O859="HALLUCINATION"))</x:f>
        <x:v>0</x:v>
      </x:c>
      <x:c r="X859" s="43" t="n">
        <x:f>--AND(W859=1,O859="HALLUCINATION")</x:f>
        <x:v>0</x:v>
      </x:c>
      <x:c r="Y859" s="43" t="n">
        <x:f>--AND(Q859=1,O859="HALLUCINATION")</x:f>
        <x:v>0</x:v>
      </x:c>
      <x:c r="Z859" s="43" t="n">
        <x:f>--AND(Y859=1,R859=1,S859=1)</x:f>
        <x:v>0</x:v>
      </x:c>
      <x:c r="AC859" t="str">
        <x:f>IF(OR(AA859="",AB859=""),"",--(AA859&lt;&gt;AB859))</x:f>
      </x:c>
      <x:c r="AE859" t="str">
        <x:f>IF(OR(AA859="",AB859=""),"PENDING_HUMAN",IF(AA859=AB859,AA859,IF(AD859&lt;&gt;"",AD859,"PENDING_HUMAN")))</x:f>
        <x:v>PENDING_HUMAN</x:v>
      </x:c>
      <x:c r="AF859" t="n">
        <x:f>--AND(A859&lt;&gt;"",AA859&lt;&gt;"",AB859&lt;&gt;"",OR(AA859=AB859,AD859&lt;&gt;""),IF(AE859="HALLUCINATION",U859&lt;&gt;"",TRUE))</x:f>
        <x:v>0</x:v>
      </x:c>
      <x:c r="AG859" t="n">
        <x:f>--AND(N859=1,AF859=1,OR(AE859="SUPPORTED",AE859="HALLUCINATION"))</x:f>
        <x:v>0</x:v>
      </x:c>
      <x:c r="AH859" t="n">
        <x:f>--AND(AG859=1,AE859="HALLUCINATION")</x:f>
        <x:v>0</x:v>
      </x:c>
      <x:c r="AI859" t="n">
        <x:f>--AND(Q859=1,AF859=1,AE859="HALLUCINATION")</x:f>
        <x:v>0</x:v>
      </x:c>
      <x:c r="AJ859" t="n">
        <x:f>--AND(AI859=1,R859=1,S859=1)</x:f>
        <x:v>0</x:v>
      </x:c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8"/>
      <x:c r="P860" s="28"/>
      <x:c r="Q860" s="28"/>
      <x:c r="R860" s="28"/>
      <x:c r="S860" s="28"/>
      <x:c r="T860" s="28"/>
      <x:c r="U860" s="28"/>
      <x:c r="V860" s="28"/>
      <x:c r="W860" s="43" t="n">
        <x:f>--AND(N860=1,OR(O860="SUPPORTED",O860="HALLUCINATION"))</x:f>
        <x:v>0</x:v>
      </x:c>
      <x:c r="X860" s="43" t="n">
        <x:f>--AND(W860=1,O860="HALLUCINATION")</x:f>
        <x:v>0</x:v>
      </x:c>
      <x:c r="Y860" s="43" t="n">
        <x:f>--AND(Q860=1,O860="HALLUCINATION")</x:f>
        <x:v>0</x:v>
      </x:c>
      <x:c r="Z860" s="43" t="n">
        <x:f>--AND(Y860=1,R860=1,S860=1)</x:f>
        <x:v>0</x:v>
      </x:c>
      <x:c r="AC860" t="str">
        <x:f>IF(OR(AA860="",AB860=""),"",--(AA860&lt;&gt;AB860))</x:f>
      </x:c>
      <x:c r="AE860" t="str">
        <x:f>IF(OR(AA860="",AB860=""),"PENDING_HUMAN",IF(AA860=AB860,AA860,IF(AD860&lt;&gt;"",AD860,"PENDING_HUMAN")))</x:f>
        <x:v>PENDING_HUMAN</x:v>
      </x:c>
      <x:c r="AF860" t="n">
        <x:f>--AND(A860&lt;&gt;"",AA860&lt;&gt;"",AB860&lt;&gt;"",OR(AA860=AB860,AD860&lt;&gt;""),IF(AE860="HALLUCINATION",U860&lt;&gt;"",TRUE))</x:f>
        <x:v>0</x:v>
      </x:c>
      <x:c r="AG860" t="n">
        <x:f>--AND(N860=1,AF860=1,OR(AE860="SUPPORTED",AE860="HALLUCINATION"))</x:f>
        <x:v>0</x:v>
      </x:c>
      <x:c r="AH860" t="n">
        <x:f>--AND(AG860=1,AE860="HALLUCINATION")</x:f>
        <x:v>0</x:v>
      </x:c>
      <x:c r="AI860" t="n">
        <x:f>--AND(Q860=1,AF860=1,AE860="HALLUCINATION")</x:f>
        <x:v>0</x:v>
      </x:c>
      <x:c r="AJ860" t="n">
        <x:f>--AND(AI860=1,R860=1,S860=1)</x:f>
        <x:v>0</x:v>
      </x:c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8"/>
      <x:c r="P861" s="28"/>
      <x:c r="Q861" s="28"/>
      <x:c r="R861" s="28"/>
      <x:c r="S861" s="28"/>
      <x:c r="T861" s="28"/>
      <x:c r="U861" s="28"/>
      <x:c r="V861" s="28"/>
      <x:c r="W861" s="43" t="n">
        <x:f>--AND(N861=1,OR(O861="SUPPORTED",O861="HALLUCINATION"))</x:f>
        <x:v>0</x:v>
      </x:c>
      <x:c r="X861" s="43" t="n">
        <x:f>--AND(W861=1,O861="HALLUCINATION")</x:f>
        <x:v>0</x:v>
      </x:c>
      <x:c r="Y861" s="43" t="n">
        <x:f>--AND(Q861=1,O861="HALLUCINATION")</x:f>
        <x:v>0</x:v>
      </x:c>
      <x:c r="Z861" s="43" t="n">
        <x:f>--AND(Y861=1,R861=1,S861=1)</x:f>
        <x:v>0</x:v>
      </x:c>
      <x:c r="AC861" t="str">
        <x:f>IF(OR(AA861="",AB861=""),"",--(AA861&lt;&gt;AB861))</x:f>
      </x:c>
      <x:c r="AE861" t="str">
        <x:f>IF(OR(AA861="",AB861=""),"PENDING_HUMAN",IF(AA861=AB861,AA861,IF(AD861&lt;&gt;"",AD861,"PENDING_HUMAN")))</x:f>
        <x:v>PENDING_HUMAN</x:v>
      </x:c>
      <x:c r="AF861" t="n">
        <x:f>--AND(A861&lt;&gt;"",AA861&lt;&gt;"",AB861&lt;&gt;"",OR(AA861=AB861,AD861&lt;&gt;""),IF(AE861="HALLUCINATION",U861&lt;&gt;"",TRUE))</x:f>
        <x:v>0</x:v>
      </x:c>
      <x:c r="AG861" t="n">
        <x:f>--AND(N861=1,AF861=1,OR(AE861="SUPPORTED",AE861="HALLUCINATION"))</x:f>
        <x:v>0</x:v>
      </x:c>
      <x:c r="AH861" t="n">
        <x:f>--AND(AG861=1,AE861="HALLUCINATION")</x:f>
        <x:v>0</x:v>
      </x:c>
      <x:c r="AI861" t="n">
        <x:f>--AND(Q861=1,AF861=1,AE861="HALLUCINATION")</x:f>
        <x:v>0</x:v>
      </x:c>
      <x:c r="AJ861" t="n">
        <x:f>--AND(AI861=1,R861=1,S861=1)</x:f>
        <x:v>0</x:v>
      </x:c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8"/>
      <x:c r="P862" s="28"/>
      <x:c r="Q862" s="28"/>
      <x:c r="R862" s="28"/>
      <x:c r="S862" s="28"/>
      <x:c r="T862" s="28"/>
      <x:c r="U862" s="28"/>
      <x:c r="V862" s="28"/>
      <x:c r="W862" s="43" t="n">
        <x:f>--AND(N862=1,OR(O862="SUPPORTED",O862="HALLUCINATION"))</x:f>
        <x:v>0</x:v>
      </x:c>
      <x:c r="X862" s="43" t="n">
        <x:f>--AND(W862=1,O862="HALLUCINATION")</x:f>
        <x:v>0</x:v>
      </x:c>
      <x:c r="Y862" s="43" t="n">
        <x:f>--AND(Q862=1,O862="HALLUCINATION")</x:f>
        <x:v>0</x:v>
      </x:c>
      <x:c r="Z862" s="43" t="n">
        <x:f>--AND(Y862=1,R862=1,S862=1)</x:f>
        <x:v>0</x:v>
      </x:c>
      <x:c r="AC862" t="str">
        <x:f>IF(OR(AA862="",AB862=""),"",--(AA862&lt;&gt;AB862))</x:f>
      </x:c>
      <x:c r="AE862" t="str">
        <x:f>IF(OR(AA862="",AB862=""),"PENDING_HUMAN",IF(AA862=AB862,AA862,IF(AD862&lt;&gt;"",AD862,"PENDING_HUMAN")))</x:f>
        <x:v>PENDING_HUMAN</x:v>
      </x:c>
      <x:c r="AF862" t="n">
        <x:f>--AND(A862&lt;&gt;"",AA862&lt;&gt;"",AB862&lt;&gt;"",OR(AA862=AB862,AD862&lt;&gt;""),IF(AE862="HALLUCINATION",U862&lt;&gt;"",TRUE))</x:f>
        <x:v>0</x:v>
      </x:c>
      <x:c r="AG862" t="n">
        <x:f>--AND(N862=1,AF862=1,OR(AE862="SUPPORTED",AE862="HALLUCINATION"))</x:f>
        <x:v>0</x:v>
      </x:c>
      <x:c r="AH862" t="n">
        <x:f>--AND(AG862=1,AE862="HALLUCINATION")</x:f>
        <x:v>0</x:v>
      </x:c>
      <x:c r="AI862" t="n">
        <x:f>--AND(Q862=1,AF862=1,AE862="HALLUCINATION")</x:f>
        <x:v>0</x:v>
      </x:c>
      <x:c r="AJ862" t="n">
        <x:f>--AND(AI862=1,R862=1,S862=1)</x:f>
        <x:v>0</x:v>
      </x:c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8"/>
      <x:c r="P863" s="28"/>
      <x:c r="Q863" s="28"/>
      <x:c r="R863" s="28"/>
      <x:c r="S863" s="28"/>
      <x:c r="T863" s="28"/>
      <x:c r="U863" s="28"/>
      <x:c r="V863" s="28"/>
      <x:c r="W863" s="43" t="n">
        <x:f>--AND(N863=1,OR(O863="SUPPORTED",O863="HALLUCINATION"))</x:f>
        <x:v>0</x:v>
      </x:c>
      <x:c r="X863" s="43" t="n">
        <x:f>--AND(W863=1,O863="HALLUCINATION")</x:f>
        <x:v>0</x:v>
      </x:c>
      <x:c r="Y863" s="43" t="n">
        <x:f>--AND(Q863=1,O863="HALLUCINATION")</x:f>
        <x:v>0</x:v>
      </x:c>
      <x:c r="Z863" s="43" t="n">
        <x:f>--AND(Y863=1,R863=1,S863=1)</x:f>
        <x:v>0</x:v>
      </x:c>
      <x:c r="AC863" t="str">
        <x:f>IF(OR(AA863="",AB863=""),"",--(AA863&lt;&gt;AB863))</x:f>
      </x:c>
      <x:c r="AE863" t="str">
        <x:f>IF(OR(AA863="",AB863=""),"PENDING_HUMAN",IF(AA863=AB863,AA863,IF(AD863&lt;&gt;"",AD863,"PENDING_HUMAN")))</x:f>
        <x:v>PENDING_HUMAN</x:v>
      </x:c>
      <x:c r="AF863" t="n">
        <x:f>--AND(A863&lt;&gt;"",AA863&lt;&gt;"",AB863&lt;&gt;"",OR(AA863=AB863,AD863&lt;&gt;""),IF(AE863="HALLUCINATION",U863&lt;&gt;"",TRUE))</x:f>
        <x:v>0</x:v>
      </x:c>
      <x:c r="AG863" t="n">
        <x:f>--AND(N863=1,AF863=1,OR(AE863="SUPPORTED",AE863="HALLUCINATION"))</x:f>
        <x:v>0</x:v>
      </x:c>
      <x:c r="AH863" t="n">
        <x:f>--AND(AG863=1,AE863="HALLUCINATION")</x:f>
        <x:v>0</x:v>
      </x:c>
      <x:c r="AI863" t="n">
        <x:f>--AND(Q863=1,AF863=1,AE863="HALLUCINATION")</x:f>
        <x:v>0</x:v>
      </x:c>
      <x:c r="AJ863" t="n">
        <x:f>--AND(AI863=1,R863=1,S863=1)</x:f>
        <x:v>0</x:v>
      </x:c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8"/>
      <x:c r="P864" s="28"/>
      <x:c r="Q864" s="28"/>
      <x:c r="R864" s="28"/>
      <x:c r="S864" s="28"/>
      <x:c r="T864" s="28"/>
      <x:c r="U864" s="28"/>
      <x:c r="V864" s="28"/>
      <x:c r="W864" s="43" t="n">
        <x:f>--AND(N864=1,OR(O864="SUPPORTED",O864="HALLUCINATION"))</x:f>
        <x:v>0</x:v>
      </x:c>
      <x:c r="X864" s="43" t="n">
        <x:f>--AND(W864=1,O864="HALLUCINATION")</x:f>
        <x:v>0</x:v>
      </x:c>
      <x:c r="Y864" s="43" t="n">
        <x:f>--AND(Q864=1,O864="HALLUCINATION")</x:f>
        <x:v>0</x:v>
      </x:c>
      <x:c r="Z864" s="43" t="n">
        <x:f>--AND(Y864=1,R864=1,S864=1)</x:f>
        <x:v>0</x:v>
      </x:c>
      <x:c r="AC864" t="str">
        <x:f>IF(OR(AA864="",AB864=""),"",--(AA864&lt;&gt;AB864))</x:f>
      </x:c>
      <x:c r="AE864" t="str">
        <x:f>IF(OR(AA864="",AB864=""),"PENDING_HUMAN",IF(AA864=AB864,AA864,IF(AD864&lt;&gt;"",AD864,"PENDING_HUMAN")))</x:f>
        <x:v>PENDING_HUMAN</x:v>
      </x:c>
      <x:c r="AF864" t="n">
        <x:f>--AND(A864&lt;&gt;"",AA864&lt;&gt;"",AB864&lt;&gt;"",OR(AA864=AB864,AD864&lt;&gt;""),IF(AE864="HALLUCINATION",U864&lt;&gt;"",TRUE))</x:f>
        <x:v>0</x:v>
      </x:c>
      <x:c r="AG864" t="n">
        <x:f>--AND(N864=1,AF864=1,OR(AE864="SUPPORTED",AE864="HALLUCINATION"))</x:f>
        <x:v>0</x:v>
      </x:c>
      <x:c r="AH864" t="n">
        <x:f>--AND(AG864=1,AE864="HALLUCINATION")</x:f>
        <x:v>0</x:v>
      </x:c>
      <x:c r="AI864" t="n">
        <x:f>--AND(Q864=1,AF864=1,AE864="HALLUCINATION")</x:f>
        <x:v>0</x:v>
      </x:c>
      <x:c r="AJ864" t="n">
        <x:f>--AND(AI864=1,R864=1,S864=1)</x:f>
        <x:v>0</x:v>
      </x:c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8"/>
      <x:c r="P865" s="28"/>
      <x:c r="Q865" s="28"/>
      <x:c r="R865" s="28"/>
      <x:c r="S865" s="28"/>
      <x:c r="T865" s="28"/>
      <x:c r="U865" s="28"/>
      <x:c r="V865" s="28"/>
      <x:c r="W865" s="43" t="n">
        <x:f>--AND(N865=1,OR(O865="SUPPORTED",O865="HALLUCINATION"))</x:f>
        <x:v>0</x:v>
      </x:c>
      <x:c r="X865" s="43" t="n">
        <x:f>--AND(W865=1,O865="HALLUCINATION")</x:f>
        <x:v>0</x:v>
      </x:c>
      <x:c r="Y865" s="43" t="n">
        <x:f>--AND(Q865=1,O865="HALLUCINATION")</x:f>
        <x:v>0</x:v>
      </x:c>
      <x:c r="Z865" s="43" t="n">
        <x:f>--AND(Y865=1,R865=1,S865=1)</x:f>
        <x:v>0</x:v>
      </x:c>
      <x:c r="AC865" t="str">
        <x:f>IF(OR(AA865="",AB865=""),"",--(AA865&lt;&gt;AB865))</x:f>
      </x:c>
      <x:c r="AE865" t="str">
        <x:f>IF(OR(AA865="",AB865=""),"PENDING_HUMAN",IF(AA865=AB865,AA865,IF(AD865&lt;&gt;"",AD865,"PENDING_HUMAN")))</x:f>
        <x:v>PENDING_HUMAN</x:v>
      </x:c>
      <x:c r="AF865" t="n">
        <x:f>--AND(A865&lt;&gt;"",AA865&lt;&gt;"",AB865&lt;&gt;"",OR(AA865=AB865,AD865&lt;&gt;""),IF(AE865="HALLUCINATION",U865&lt;&gt;"",TRUE))</x:f>
        <x:v>0</x:v>
      </x:c>
      <x:c r="AG865" t="n">
        <x:f>--AND(N865=1,AF865=1,OR(AE865="SUPPORTED",AE865="HALLUCINATION"))</x:f>
        <x:v>0</x:v>
      </x:c>
      <x:c r="AH865" t="n">
        <x:f>--AND(AG865=1,AE865="HALLUCINATION")</x:f>
        <x:v>0</x:v>
      </x:c>
      <x:c r="AI865" t="n">
        <x:f>--AND(Q865=1,AF865=1,AE865="HALLUCINATION")</x:f>
        <x:v>0</x:v>
      </x:c>
      <x:c r="AJ865" t="n">
        <x:f>--AND(AI865=1,R865=1,S865=1)</x:f>
        <x:v>0</x:v>
      </x:c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8"/>
      <x:c r="P866" s="28"/>
      <x:c r="Q866" s="28"/>
      <x:c r="R866" s="28"/>
      <x:c r="S866" s="28"/>
      <x:c r="T866" s="28"/>
      <x:c r="U866" s="28"/>
      <x:c r="V866" s="28"/>
      <x:c r="W866" s="43" t="n">
        <x:f>--AND(N866=1,OR(O866="SUPPORTED",O866="HALLUCINATION"))</x:f>
        <x:v>0</x:v>
      </x:c>
      <x:c r="X866" s="43" t="n">
        <x:f>--AND(W866=1,O866="HALLUCINATION")</x:f>
        <x:v>0</x:v>
      </x:c>
      <x:c r="Y866" s="43" t="n">
        <x:f>--AND(Q866=1,O866="HALLUCINATION")</x:f>
        <x:v>0</x:v>
      </x:c>
      <x:c r="Z866" s="43" t="n">
        <x:f>--AND(Y866=1,R866=1,S866=1)</x:f>
        <x:v>0</x:v>
      </x:c>
      <x:c r="AC866" t="str">
        <x:f>IF(OR(AA866="",AB866=""),"",--(AA866&lt;&gt;AB866))</x:f>
      </x:c>
      <x:c r="AE866" t="str">
        <x:f>IF(OR(AA866="",AB866=""),"PENDING_HUMAN",IF(AA866=AB866,AA866,IF(AD866&lt;&gt;"",AD866,"PENDING_HUMAN")))</x:f>
        <x:v>PENDING_HUMAN</x:v>
      </x:c>
      <x:c r="AF866" t="n">
        <x:f>--AND(A866&lt;&gt;"",AA866&lt;&gt;"",AB866&lt;&gt;"",OR(AA866=AB866,AD866&lt;&gt;""),IF(AE866="HALLUCINATION",U866&lt;&gt;"",TRUE))</x:f>
        <x:v>0</x:v>
      </x:c>
      <x:c r="AG866" t="n">
        <x:f>--AND(N866=1,AF866=1,OR(AE866="SUPPORTED",AE866="HALLUCINATION"))</x:f>
        <x:v>0</x:v>
      </x:c>
      <x:c r="AH866" t="n">
        <x:f>--AND(AG866=1,AE866="HALLUCINATION")</x:f>
        <x:v>0</x:v>
      </x:c>
      <x:c r="AI866" t="n">
        <x:f>--AND(Q866=1,AF866=1,AE866="HALLUCINATION")</x:f>
        <x:v>0</x:v>
      </x:c>
      <x:c r="AJ866" t="n">
        <x:f>--AND(AI866=1,R866=1,S866=1)</x:f>
        <x:v>0</x:v>
      </x:c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8"/>
      <x:c r="P867" s="28"/>
      <x:c r="Q867" s="28"/>
      <x:c r="R867" s="28"/>
      <x:c r="S867" s="28"/>
      <x:c r="T867" s="28"/>
      <x:c r="U867" s="28"/>
      <x:c r="V867" s="28"/>
      <x:c r="W867" s="43" t="n">
        <x:f>--AND(N867=1,OR(O867="SUPPORTED",O867="HALLUCINATION"))</x:f>
        <x:v>0</x:v>
      </x:c>
      <x:c r="X867" s="43" t="n">
        <x:f>--AND(W867=1,O867="HALLUCINATION")</x:f>
        <x:v>0</x:v>
      </x:c>
      <x:c r="Y867" s="43" t="n">
        <x:f>--AND(Q867=1,O867="HALLUCINATION")</x:f>
        <x:v>0</x:v>
      </x:c>
      <x:c r="Z867" s="43" t="n">
        <x:f>--AND(Y867=1,R867=1,S867=1)</x:f>
        <x:v>0</x:v>
      </x:c>
      <x:c r="AC867" t="str">
        <x:f>IF(OR(AA867="",AB867=""),"",--(AA867&lt;&gt;AB867))</x:f>
      </x:c>
      <x:c r="AE867" t="str">
        <x:f>IF(OR(AA867="",AB867=""),"PENDING_HUMAN",IF(AA867=AB867,AA867,IF(AD867&lt;&gt;"",AD867,"PENDING_HUMAN")))</x:f>
        <x:v>PENDING_HUMAN</x:v>
      </x:c>
      <x:c r="AF867" t="n">
        <x:f>--AND(A867&lt;&gt;"",AA867&lt;&gt;"",AB867&lt;&gt;"",OR(AA867=AB867,AD867&lt;&gt;""),IF(AE867="HALLUCINATION",U867&lt;&gt;"",TRUE))</x:f>
        <x:v>0</x:v>
      </x:c>
      <x:c r="AG867" t="n">
        <x:f>--AND(N867=1,AF867=1,OR(AE867="SUPPORTED",AE867="HALLUCINATION"))</x:f>
        <x:v>0</x:v>
      </x:c>
      <x:c r="AH867" t="n">
        <x:f>--AND(AG867=1,AE867="HALLUCINATION")</x:f>
        <x:v>0</x:v>
      </x:c>
      <x:c r="AI867" t="n">
        <x:f>--AND(Q867=1,AF867=1,AE867="HALLUCINATION")</x:f>
        <x:v>0</x:v>
      </x:c>
      <x:c r="AJ867" t="n">
        <x:f>--AND(AI867=1,R867=1,S867=1)</x:f>
        <x:v>0</x:v>
      </x:c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8"/>
      <x:c r="P868" s="28"/>
      <x:c r="Q868" s="28"/>
      <x:c r="R868" s="28"/>
      <x:c r="S868" s="28"/>
      <x:c r="T868" s="28"/>
      <x:c r="U868" s="28"/>
      <x:c r="V868" s="28"/>
      <x:c r="W868" s="43" t="n">
        <x:f>--AND(N868=1,OR(O868="SUPPORTED",O868="HALLUCINATION"))</x:f>
        <x:v>0</x:v>
      </x:c>
      <x:c r="X868" s="43" t="n">
        <x:f>--AND(W868=1,O868="HALLUCINATION")</x:f>
        <x:v>0</x:v>
      </x:c>
      <x:c r="Y868" s="43" t="n">
        <x:f>--AND(Q868=1,O868="HALLUCINATION")</x:f>
        <x:v>0</x:v>
      </x:c>
      <x:c r="Z868" s="43" t="n">
        <x:f>--AND(Y868=1,R868=1,S868=1)</x:f>
        <x:v>0</x:v>
      </x:c>
      <x:c r="AC868" t="str">
        <x:f>IF(OR(AA868="",AB868=""),"",--(AA868&lt;&gt;AB868))</x:f>
      </x:c>
      <x:c r="AE868" t="str">
        <x:f>IF(OR(AA868="",AB868=""),"PENDING_HUMAN",IF(AA868=AB868,AA868,IF(AD868&lt;&gt;"",AD868,"PENDING_HUMAN")))</x:f>
        <x:v>PENDING_HUMAN</x:v>
      </x:c>
      <x:c r="AF868" t="n">
        <x:f>--AND(A868&lt;&gt;"",AA868&lt;&gt;"",AB868&lt;&gt;"",OR(AA868=AB868,AD868&lt;&gt;""),IF(AE868="HALLUCINATION",U868&lt;&gt;"",TRUE))</x:f>
        <x:v>0</x:v>
      </x:c>
      <x:c r="AG868" t="n">
        <x:f>--AND(N868=1,AF868=1,OR(AE868="SUPPORTED",AE868="HALLUCINATION"))</x:f>
        <x:v>0</x:v>
      </x:c>
      <x:c r="AH868" t="n">
        <x:f>--AND(AG868=1,AE868="HALLUCINATION")</x:f>
        <x:v>0</x:v>
      </x:c>
      <x:c r="AI868" t="n">
        <x:f>--AND(Q868=1,AF868=1,AE868="HALLUCINATION")</x:f>
        <x:v>0</x:v>
      </x:c>
      <x:c r="AJ868" t="n">
        <x:f>--AND(AI868=1,R868=1,S868=1)</x:f>
        <x:v>0</x:v>
      </x:c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8"/>
      <x:c r="P869" s="28"/>
      <x:c r="Q869" s="28"/>
      <x:c r="R869" s="28"/>
      <x:c r="S869" s="28"/>
      <x:c r="T869" s="28"/>
      <x:c r="U869" s="28"/>
      <x:c r="V869" s="28"/>
      <x:c r="W869" s="43" t="n">
        <x:f>--AND(N869=1,OR(O869="SUPPORTED",O869="HALLUCINATION"))</x:f>
        <x:v>0</x:v>
      </x:c>
      <x:c r="X869" s="43" t="n">
        <x:f>--AND(W869=1,O869="HALLUCINATION")</x:f>
        <x:v>0</x:v>
      </x:c>
      <x:c r="Y869" s="43" t="n">
        <x:f>--AND(Q869=1,O869="HALLUCINATION")</x:f>
        <x:v>0</x:v>
      </x:c>
      <x:c r="Z869" s="43" t="n">
        <x:f>--AND(Y869=1,R869=1,S869=1)</x:f>
        <x:v>0</x:v>
      </x:c>
      <x:c r="AC869" t="str">
        <x:f>IF(OR(AA869="",AB869=""),"",--(AA869&lt;&gt;AB869))</x:f>
      </x:c>
      <x:c r="AE869" t="str">
        <x:f>IF(OR(AA869="",AB869=""),"PENDING_HUMAN",IF(AA869=AB869,AA869,IF(AD869&lt;&gt;"",AD869,"PENDING_HUMAN")))</x:f>
        <x:v>PENDING_HUMAN</x:v>
      </x:c>
      <x:c r="AF869" t="n">
        <x:f>--AND(A869&lt;&gt;"",AA869&lt;&gt;"",AB869&lt;&gt;"",OR(AA869=AB869,AD869&lt;&gt;""),IF(AE869="HALLUCINATION",U869&lt;&gt;"",TRUE))</x:f>
        <x:v>0</x:v>
      </x:c>
      <x:c r="AG869" t="n">
        <x:f>--AND(N869=1,AF869=1,OR(AE869="SUPPORTED",AE869="HALLUCINATION"))</x:f>
        <x:v>0</x:v>
      </x:c>
      <x:c r="AH869" t="n">
        <x:f>--AND(AG869=1,AE869="HALLUCINATION")</x:f>
        <x:v>0</x:v>
      </x:c>
      <x:c r="AI869" t="n">
        <x:f>--AND(Q869=1,AF869=1,AE869="HALLUCINATION")</x:f>
        <x:v>0</x:v>
      </x:c>
      <x:c r="AJ869" t="n">
        <x:f>--AND(AI869=1,R869=1,S869=1)</x:f>
        <x:v>0</x:v>
      </x:c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8"/>
      <x:c r="P870" s="28"/>
      <x:c r="Q870" s="28"/>
      <x:c r="R870" s="28"/>
      <x:c r="S870" s="28"/>
      <x:c r="T870" s="28"/>
      <x:c r="U870" s="28"/>
      <x:c r="V870" s="28"/>
      <x:c r="W870" s="43" t="n">
        <x:f>--AND(N870=1,OR(O870="SUPPORTED",O870="HALLUCINATION"))</x:f>
        <x:v>0</x:v>
      </x:c>
      <x:c r="X870" s="43" t="n">
        <x:f>--AND(W870=1,O870="HALLUCINATION")</x:f>
        <x:v>0</x:v>
      </x:c>
      <x:c r="Y870" s="43" t="n">
        <x:f>--AND(Q870=1,O870="HALLUCINATION")</x:f>
        <x:v>0</x:v>
      </x:c>
      <x:c r="Z870" s="43" t="n">
        <x:f>--AND(Y870=1,R870=1,S870=1)</x:f>
        <x:v>0</x:v>
      </x:c>
      <x:c r="AC870" t="str">
        <x:f>IF(OR(AA870="",AB870=""),"",--(AA870&lt;&gt;AB870))</x:f>
      </x:c>
      <x:c r="AE870" t="str">
        <x:f>IF(OR(AA870="",AB870=""),"PENDING_HUMAN",IF(AA870=AB870,AA870,IF(AD870&lt;&gt;"",AD870,"PENDING_HUMAN")))</x:f>
        <x:v>PENDING_HUMAN</x:v>
      </x:c>
      <x:c r="AF870" t="n">
        <x:f>--AND(A870&lt;&gt;"",AA870&lt;&gt;"",AB870&lt;&gt;"",OR(AA870=AB870,AD870&lt;&gt;""),IF(AE870="HALLUCINATION",U870&lt;&gt;"",TRUE))</x:f>
        <x:v>0</x:v>
      </x:c>
      <x:c r="AG870" t="n">
        <x:f>--AND(N870=1,AF870=1,OR(AE870="SUPPORTED",AE870="HALLUCINATION"))</x:f>
        <x:v>0</x:v>
      </x:c>
      <x:c r="AH870" t="n">
        <x:f>--AND(AG870=1,AE870="HALLUCINATION")</x:f>
        <x:v>0</x:v>
      </x:c>
      <x:c r="AI870" t="n">
        <x:f>--AND(Q870=1,AF870=1,AE870="HALLUCINATION")</x:f>
        <x:v>0</x:v>
      </x:c>
      <x:c r="AJ870" t="n">
        <x:f>--AND(AI870=1,R870=1,S870=1)</x:f>
        <x:v>0</x:v>
      </x:c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8"/>
      <x:c r="P871" s="28"/>
      <x:c r="Q871" s="28"/>
      <x:c r="R871" s="28"/>
      <x:c r="S871" s="28"/>
      <x:c r="T871" s="28"/>
      <x:c r="U871" s="28"/>
      <x:c r="V871" s="28"/>
      <x:c r="W871" s="43" t="n">
        <x:f>--AND(N871=1,OR(O871="SUPPORTED",O871="HALLUCINATION"))</x:f>
        <x:v>0</x:v>
      </x:c>
      <x:c r="X871" s="43" t="n">
        <x:f>--AND(W871=1,O871="HALLUCINATION")</x:f>
        <x:v>0</x:v>
      </x:c>
      <x:c r="Y871" s="43" t="n">
        <x:f>--AND(Q871=1,O871="HALLUCINATION")</x:f>
        <x:v>0</x:v>
      </x:c>
      <x:c r="Z871" s="43" t="n">
        <x:f>--AND(Y871=1,R871=1,S871=1)</x:f>
        <x:v>0</x:v>
      </x:c>
      <x:c r="AC871" t="str">
        <x:f>IF(OR(AA871="",AB871=""),"",--(AA871&lt;&gt;AB871))</x:f>
      </x:c>
      <x:c r="AE871" t="str">
        <x:f>IF(OR(AA871="",AB871=""),"PENDING_HUMAN",IF(AA871=AB871,AA871,IF(AD871&lt;&gt;"",AD871,"PENDING_HUMAN")))</x:f>
        <x:v>PENDING_HUMAN</x:v>
      </x:c>
      <x:c r="AF871" t="n">
        <x:f>--AND(A871&lt;&gt;"",AA871&lt;&gt;"",AB871&lt;&gt;"",OR(AA871=AB871,AD871&lt;&gt;""),IF(AE871="HALLUCINATION",U871&lt;&gt;"",TRUE))</x:f>
        <x:v>0</x:v>
      </x:c>
      <x:c r="AG871" t="n">
        <x:f>--AND(N871=1,AF871=1,OR(AE871="SUPPORTED",AE871="HALLUCINATION"))</x:f>
        <x:v>0</x:v>
      </x:c>
      <x:c r="AH871" t="n">
        <x:f>--AND(AG871=1,AE871="HALLUCINATION")</x:f>
        <x:v>0</x:v>
      </x:c>
      <x:c r="AI871" t="n">
        <x:f>--AND(Q871=1,AF871=1,AE871="HALLUCINATION")</x:f>
        <x:v>0</x:v>
      </x:c>
      <x:c r="AJ871" t="n">
        <x:f>--AND(AI871=1,R871=1,S871=1)</x:f>
        <x:v>0</x:v>
      </x:c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8"/>
      <x:c r="P872" s="28"/>
      <x:c r="Q872" s="28"/>
      <x:c r="R872" s="28"/>
      <x:c r="S872" s="28"/>
      <x:c r="T872" s="28"/>
      <x:c r="U872" s="28"/>
      <x:c r="V872" s="28"/>
      <x:c r="W872" s="43" t="n">
        <x:f>--AND(N872=1,OR(O872="SUPPORTED",O872="HALLUCINATION"))</x:f>
        <x:v>0</x:v>
      </x:c>
      <x:c r="X872" s="43" t="n">
        <x:f>--AND(W872=1,O872="HALLUCINATION")</x:f>
        <x:v>0</x:v>
      </x:c>
      <x:c r="Y872" s="43" t="n">
        <x:f>--AND(Q872=1,O872="HALLUCINATION")</x:f>
        <x:v>0</x:v>
      </x:c>
      <x:c r="Z872" s="43" t="n">
        <x:f>--AND(Y872=1,R872=1,S872=1)</x:f>
        <x:v>0</x:v>
      </x:c>
      <x:c r="AC872" t="str">
        <x:f>IF(OR(AA872="",AB872=""),"",--(AA872&lt;&gt;AB872))</x:f>
      </x:c>
      <x:c r="AE872" t="str">
        <x:f>IF(OR(AA872="",AB872=""),"PENDING_HUMAN",IF(AA872=AB872,AA872,IF(AD872&lt;&gt;"",AD872,"PENDING_HUMAN")))</x:f>
        <x:v>PENDING_HUMAN</x:v>
      </x:c>
      <x:c r="AF872" t="n">
        <x:f>--AND(A872&lt;&gt;"",AA872&lt;&gt;"",AB872&lt;&gt;"",OR(AA872=AB872,AD872&lt;&gt;""),IF(AE872="HALLUCINATION",U872&lt;&gt;"",TRUE))</x:f>
        <x:v>0</x:v>
      </x:c>
      <x:c r="AG872" t="n">
        <x:f>--AND(N872=1,AF872=1,OR(AE872="SUPPORTED",AE872="HALLUCINATION"))</x:f>
        <x:v>0</x:v>
      </x:c>
      <x:c r="AH872" t="n">
        <x:f>--AND(AG872=1,AE872="HALLUCINATION")</x:f>
        <x:v>0</x:v>
      </x:c>
      <x:c r="AI872" t="n">
        <x:f>--AND(Q872=1,AF872=1,AE872="HALLUCINATION")</x:f>
        <x:v>0</x:v>
      </x:c>
      <x:c r="AJ872" t="n">
        <x:f>--AND(AI872=1,R872=1,S872=1)</x:f>
        <x:v>0</x:v>
      </x:c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8"/>
      <x:c r="P873" s="28"/>
      <x:c r="Q873" s="28"/>
      <x:c r="R873" s="28"/>
      <x:c r="S873" s="28"/>
      <x:c r="T873" s="28"/>
      <x:c r="U873" s="28"/>
      <x:c r="V873" s="28"/>
      <x:c r="W873" s="43" t="n">
        <x:f>--AND(N873=1,OR(O873="SUPPORTED",O873="HALLUCINATION"))</x:f>
        <x:v>0</x:v>
      </x:c>
      <x:c r="X873" s="43" t="n">
        <x:f>--AND(W873=1,O873="HALLUCINATION")</x:f>
        <x:v>0</x:v>
      </x:c>
      <x:c r="Y873" s="43" t="n">
        <x:f>--AND(Q873=1,O873="HALLUCINATION")</x:f>
        <x:v>0</x:v>
      </x:c>
      <x:c r="Z873" s="43" t="n">
        <x:f>--AND(Y873=1,R873=1,S873=1)</x:f>
        <x:v>0</x:v>
      </x:c>
      <x:c r="AC873" t="str">
        <x:f>IF(OR(AA873="",AB873=""),"",--(AA873&lt;&gt;AB873))</x:f>
      </x:c>
      <x:c r="AE873" t="str">
        <x:f>IF(OR(AA873="",AB873=""),"PENDING_HUMAN",IF(AA873=AB873,AA873,IF(AD873&lt;&gt;"",AD873,"PENDING_HUMAN")))</x:f>
        <x:v>PENDING_HUMAN</x:v>
      </x:c>
      <x:c r="AF873" t="n">
        <x:f>--AND(A873&lt;&gt;"",AA873&lt;&gt;"",AB873&lt;&gt;"",OR(AA873=AB873,AD873&lt;&gt;""),IF(AE873="HALLUCINATION",U873&lt;&gt;"",TRUE))</x:f>
        <x:v>0</x:v>
      </x:c>
      <x:c r="AG873" t="n">
        <x:f>--AND(N873=1,AF873=1,OR(AE873="SUPPORTED",AE873="HALLUCINATION"))</x:f>
        <x:v>0</x:v>
      </x:c>
      <x:c r="AH873" t="n">
        <x:f>--AND(AG873=1,AE873="HALLUCINATION")</x:f>
        <x:v>0</x:v>
      </x:c>
      <x:c r="AI873" t="n">
        <x:f>--AND(Q873=1,AF873=1,AE873="HALLUCINATION")</x:f>
        <x:v>0</x:v>
      </x:c>
      <x:c r="AJ873" t="n">
        <x:f>--AND(AI873=1,R873=1,S873=1)</x:f>
        <x:v>0</x:v>
      </x:c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8"/>
      <x:c r="P874" s="28"/>
      <x:c r="Q874" s="28"/>
      <x:c r="R874" s="28"/>
      <x:c r="S874" s="28"/>
      <x:c r="T874" s="28"/>
      <x:c r="U874" s="28"/>
      <x:c r="V874" s="28"/>
      <x:c r="W874" s="43" t="n">
        <x:f>--AND(N874=1,OR(O874="SUPPORTED",O874="HALLUCINATION"))</x:f>
        <x:v>0</x:v>
      </x:c>
      <x:c r="X874" s="43" t="n">
        <x:f>--AND(W874=1,O874="HALLUCINATION")</x:f>
        <x:v>0</x:v>
      </x:c>
      <x:c r="Y874" s="43" t="n">
        <x:f>--AND(Q874=1,O874="HALLUCINATION")</x:f>
        <x:v>0</x:v>
      </x:c>
      <x:c r="Z874" s="43" t="n">
        <x:f>--AND(Y874=1,R874=1,S874=1)</x:f>
        <x:v>0</x:v>
      </x:c>
      <x:c r="AC874" t="str">
        <x:f>IF(OR(AA874="",AB874=""),"",--(AA874&lt;&gt;AB874))</x:f>
      </x:c>
      <x:c r="AE874" t="str">
        <x:f>IF(OR(AA874="",AB874=""),"PENDING_HUMAN",IF(AA874=AB874,AA874,IF(AD874&lt;&gt;"",AD874,"PENDING_HUMAN")))</x:f>
        <x:v>PENDING_HUMAN</x:v>
      </x:c>
      <x:c r="AF874" t="n">
        <x:f>--AND(A874&lt;&gt;"",AA874&lt;&gt;"",AB874&lt;&gt;"",OR(AA874=AB874,AD874&lt;&gt;""),IF(AE874="HALLUCINATION",U874&lt;&gt;"",TRUE))</x:f>
        <x:v>0</x:v>
      </x:c>
      <x:c r="AG874" t="n">
        <x:f>--AND(N874=1,AF874=1,OR(AE874="SUPPORTED",AE874="HALLUCINATION"))</x:f>
        <x:v>0</x:v>
      </x:c>
      <x:c r="AH874" t="n">
        <x:f>--AND(AG874=1,AE874="HALLUCINATION")</x:f>
        <x:v>0</x:v>
      </x:c>
      <x:c r="AI874" t="n">
        <x:f>--AND(Q874=1,AF874=1,AE874="HALLUCINATION")</x:f>
        <x:v>0</x:v>
      </x:c>
      <x:c r="AJ874" t="n">
        <x:f>--AND(AI874=1,R874=1,S874=1)</x:f>
        <x:v>0</x:v>
      </x:c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8"/>
      <x:c r="P875" s="28"/>
      <x:c r="Q875" s="28"/>
      <x:c r="R875" s="28"/>
      <x:c r="S875" s="28"/>
      <x:c r="T875" s="28"/>
      <x:c r="U875" s="28"/>
      <x:c r="V875" s="28"/>
      <x:c r="W875" s="43" t="n">
        <x:f>--AND(N875=1,OR(O875="SUPPORTED",O875="HALLUCINATION"))</x:f>
        <x:v>0</x:v>
      </x:c>
      <x:c r="X875" s="43" t="n">
        <x:f>--AND(W875=1,O875="HALLUCINATION")</x:f>
        <x:v>0</x:v>
      </x:c>
      <x:c r="Y875" s="43" t="n">
        <x:f>--AND(Q875=1,O875="HALLUCINATION")</x:f>
        <x:v>0</x:v>
      </x:c>
      <x:c r="Z875" s="43" t="n">
        <x:f>--AND(Y875=1,R875=1,S875=1)</x:f>
        <x:v>0</x:v>
      </x:c>
      <x:c r="AC875" t="str">
        <x:f>IF(OR(AA875="",AB875=""),"",--(AA875&lt;&gt;AB875))</x:f>
      </x:c>
      <x:c r="AE875" t="str">
        <x:f>IF(OR(AA875="",AB875=""),"PENDING_HUMAN",IF(AA875=AB875,AA875,IF(AD875&lt;&gt;"",AD875,"PENDING_HUMAN")))</x:f>
        <x:v>PENDING_HUMAN</x:v>
      </x:c>
      <x:c r="AF875" t="n">
        <x:f>--AND(A875&lt;&gt;"",AA875&lt;&gt;"",AB875&lt;&gt;"",OR(AA875=AB875,AD875&lt;&gt;""),IF(AE875="HALLUCINATION",U875&lt;&gt;"",TRUE))</x:f>
        <x:v>0</x:v>
      </x:c>
      <x:c r="AG875" t="n">
        <x:f>--AND(N875=1,AF875=1,OR(AE875="SUPPORTED",AE875="HALLUCINATION"))</x:f>
        <x:v>0</x:v>
      </x:c>
      <x:c r="AH875" t="n">
        <x:f>--AND(AG875=1,AE875="HALLUCINATION")</x:f>
        <x:v>0</x:v>
      </x:c>
      <x:c r="AI875" t="n">
        <x:f>--AND(Q875=1,AF875=1,AE875="HALLUCINATION")</x:f>
        <x:v>0</x:v>
      </x:c>
      <x:c r="AJ875" t="n">
        <x:f>--AND(AI875=1,R875=1,S875=1)</x:f>
        <x:v>0</x:v>
      </x:c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8"/>
      <x:c r="P876" s="28"/>
      <x:c r="Q876" s="28"/>
      <x:c r="R876" s="28"/>
      <x:c r="S876" s="28"/>
      <x:c r="T876" s="28"/>
      <x:c r="U876" s="28"/>
      <x:c r="V876" s="28"/>
      <x:c r="W876" s="43" t="n">
        <x:f>--AND(N876=1,OR(O876="SUPPORTED",O876="HALLUCINATION"))</x:f>
        <x:v>0</x:v>
      </x:c>
      <x:c r="X876" s="43" t="n">
        <x:f>--AND(W876=1,O876="HALLUCINATION")</x:f>
        <x:v>0</x:v>
      </x:c>
      <x:c r="Y876" s="43" t="n">
        <x:f>--AND(Q876=1,O876="HALLUCINATION")</x:f>
        <x:v>0</x:v>
      </x:c>
      <x:c r="Z876" s="43" t="n">
        <x:f>--AND(Y876=1,R876=1,S876=1)</x:f>
        <x:v>0</x:v>
      </x:c>
      <x:c r="AC876" t="str">
        <x:f>IF(OR(AA876="",AB876=""),"",--(AA876&lt;&gt;AB876))</x:f>
      </x:c>
      <x:c r="AE876" t="str">
        <x:f>IF(OR(AA876="",AB876=""),"PENDING_HUMAN",IF(AA876=AB876,AA876,IF(AD876&lt;&gt;"",AD876,"PENDING_HUMAN")))</x:f>
        <x:v>PENDING_HUMAN</x:v>
      </x:c>
      <x:c r="AF876" t="n">
        <x:f>--AND(A876&lt;&gt;"",AA876&lt;&gt;"",AB876&lt;&gt;"",OR(AA876=AB876,AD876&lt;&gt;""),IF(AE876="HALLUCINATION",U876&lt;&gt;"",TRUE))</x:f>
        <x:v>0</x:v>
      </x:c>
      <x:c r="AG876" t="n">
        <x:f>--AND(N876=1,AF876=1,OR(AE876="SUPPORTED",AE876="HALLUCINATION"))</x:f>
        <x:v>0</x:v>
      </x:c>
      <x:c r="AH876" t="n">
        <x:f>--AND(AG876=1,AE876="HALLUCINATION")</x:f>
        <x:v>0</x:v>
      </x:c>
      <x:c r="AI876" t="n">
        <x:f>--AND(Q876=1,AF876=1,AE876="HALLUCINATION")</x:f>
        <x:v>0</x:v>
      </x:c>
      <x:c r="AJ876" t="n">
        <x:f>--AND(AI876=1,R876=1,S876=1)</x:f>
        <x:v>0</x:v>
      </x:c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8"/>
      <x:c r="P877" s="28"/>
      <x:c r="Q877" s="28"/>
      <x:c r="R877" s="28"/>
      <x:c r="S877" s="28"/>
      <x:c r="T877" s="28"/>
      <x:c r="U877" s="28"/>
      <x:c r="V877" s="28"/>
      <x:c r="W877" s="43" t="n">
        <x:f>--AND(N877=1,OR(O877="SUPPORTED",O877="HALLUCINATION"))</x:f>
        <x:v>0</x:v>
      </x:c>
      <x:c r="X877" s="43" t="n">
        <x:f>--AND(W877=1,O877="HALLUCINATION")</x:f>
        <x:v>0</x:v>
      </x:c>
      <x:c r="Y877" s="43" t="n">
        <x:f>--AND(Q877=1,O877="HALLUCINATION")</x:f>
        <x:v>0</x:v>
      </x:c>
      <x:c r="Z877" s="43" t="n">
        <x:f>--AND(Y877=1,R877=1,S877=1)</x:f>
        <x:v>0</x:v>
      </x:c>
      <x:c r="AC877" t="str">
        <x:f>IF(OR(AA877="",AB877=""),"",--(AA877&lt;&gt;AB877))</x:f>
      </x:c>
      <x:c r="AE877" t="str">
        <x:f>IF(OR(AA877="",AB877=""),"PENDING_HUMAN",IF(AA877=AB877,AA877,IF(AD877&lt;&gt;"",AD877,"PENDING_HUMAN")))</x:f>
        <x:v>PENDING_HUMAN</x:v>
      </x:c>
      <x:c r="AF877" t="n">
        <x:f>--AND(A877&lt;&gt;"",AA877&lt;&gt;"",AB877&lt;&gt;"",OR(AA877=AB877,AD877&lt;&gt;""),IF(AE877="HALLUCINATION",U877&lt;&gt;"",TRUE))</x:f>
        <x:v>0</x:v>
      </x:c>
      <x:c r="AG877" t="n">
        <x:f>--AND(N877=1,AF877=1,OR(AE877="SUPPORTED",AE877="HALLUCINATION"))</x:f>
        <x:v>0</x:v>
      </x:c>
      <x:c r="AH877" t="n">
        <x:f>--AND(AG877=1,AE877="HALLUCINATION")</x:f>
        <x:v>0</x:v>
      </x:c>
      <x:c r="AI877" t="n">
        <x:f>--AND(Q877=1,AF877=1,AE877="HALLUCINATION")</x:f>
        <x:v>0</x:v>
      </x:c>
      <x:c r="AJ877" t="n">
        <x:f>--AND(AI877=1,R877=1,S877=1)</x:f>
        <x:v>0</x:v>
      </x:c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8"/>
      <x:c r="P878" s="28"/>
      <x:c r="Q878" s="28"/>
      <x:c r="R878" s="28"/>
      <x:c r="S878" s="28"/>
      <x:c r="T878" s="28"/>
      <x:c r="U878" s="28"/>
      <x:c r="V878" s="28"/>
      <x:c r="W878" s="43" t="n">
        <x:f>--AND(N878=1,OR(O878="SUPPORTED",O878="HALLUCINATION"))</x:f>
        <x:v>0</x:v>
      </x:c>
      <x:c r="X878" s="43" t="n">
        <x:f>--AND(W878=1,O878="HALLUCINATION")</x:f>
        <x:v>0</x:v>
      </x:c>
      <x:c r="Y878" s="43" t="n">
        <x:f>--AND(Q878=1,O878="HALLUCINATION")</x:f>
        <x:v>0</x:v>
      </x:c>
      <x:c r="Z878" s="43" t="n">
        <x:f>--AND(Y878=1,R878=1,S878=1)</x:f>
        <x:v>0</x:v>
      </x:c>
      <x:c r="AC878" t="str">
        <x:f>IF(OR(AA878="",AB878=""),"",--(AA878&lt;&gt;AB878))</x:f>
      </x:c>
      <x:c r="AE878" t="str">
        <x:f>IF(OR(AA878="",AB878=""),"PENDING_HUMAN",IF(AA878=AB878,AA878,IF(AD878&lt;&gt;"",AD878,"PENDING_HUMAN")))</x:f>
        <x:v>PENDING_HUMAN</x:v>
      </x:c>
      <x:c r="AF878" t="n">
        <x:f>--AND(A878&lt;&gt;"",AA878&lt;&gt;"",AB878&lt;&gt;"",OR(AA878=AB878,AD878&lt;&gt;""),IF(AE878="HALLUCINATION",U878&lt;&gt;"",TRUE))</x:f>
        <x:v>0</x:v>
      </x:c>
      <x:c r="AG878" t="n">
        <x:f>--AND(N878=1,AF878=1,OR(AE878="SUPPORTED",AE878="HALLUCINATION"))</x:f>
        <x:v>0</x:v>
      </x:c>
      <x:c r="AH878" t="n">
        <x:f>--AND(AG878=1,AE878="HALLUCINATION")</x:f>
        <x:v>0</x:v>
      </x:c>
      <x:c r="AI878" t="n">
        <x:f>--AND(Q878=1,AF878=1,AE878="HALLUCINATION")</x:f>
        <x:v>0</x:v>
      </x:c>
      <x:c r="AJ878" t="n">
        <x:f>--AND(AI878=1,R878=1,S878=1)</x:f>
        <x:v>0</x:v>
      </x:c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8"/>
      <x:c r="P879" s="28"/>
      <x:c r="Q879" s="28"/>
      <x:c r="R879" s="28"/>
      <x:c r="S879" s="28"/>
      <x:c r="T879" s="28"/>
      <x:c r="U879" s="28"/>
      <x:c r="V879" s="28"/>
      <x:c r="W879" s="43" t="n">
        <x:f>--AND(N879=1,OR(O879="SUPPORTED",O879="HALLUCINATION"))</x:f>
        <x:v>0</x:v>
      </x:c>
      <x:c r="X879" s="43" t="n">
        <x:f>--AND(W879=1,O879="HALLUCINATION")</x:f>
        <x:v>0</x:v>
      </x:c>
      <x:c r="Y879" s="43" t="n">
        <x:f>--AND(Q879=1,O879="HALLUCINATION")</x:f>
        <x:v>0</x:v>
      </x:c>
      <x:c r="Z879" s="43" t="n">
        <x:f>--AND(Y879=1,R879=1,S879=1)</x:f>
        <x:v>0</x:v>
      </x:c>
      <x:c r="AC879" t="str">
        <x:f>IF(OR(AA879="",AB879=""),"",--(AA879&lt;&gt;AB879))</x:f>
      </x:c>
      <x:c r="AE879" t="str">
        <x:f>IF(OR(AA879="",AB879=""),"PENDING_HUMAN",IF(AA879=AB879,AA879,IF(AD879&lt;&gt;"",AD879,"PENDING_HUMAN")))</x:f>
        <x:v>PENDING_HUMAN</x:v>
      </x:c>
      <x:c r="AF879" t="n">
        <x:f>--AND(A879&lt;&gt;"",AA879&lt;&gt;"",AB879&lt;&gt;"",OR(AA879=AB879,AD879&lt;&gt;""),IF(AE879="HALLUCINATION",U879&lt;&gt;"",TRUE))</x:f>
        <x:v>0</x:v>
      </x:c>
      <x:c r="AG879" t="n">
        <x:f>--AND(N879=1,AF879=1,OR(AE879="SUPPORTED",AE879="HALLUCINATION"))</x:f>
        <x:v>0</x:v>
      </x:c>
      <x:c r="AH879" t="n">
        <x:f>--AND(AG879=1,AE879="HALLUCINATION")</x:f>
        <x:v>0</x:v>
      </x:c>
      <x:c r="AI879" t="n">
        <x:f>--AND(Q879=1,AF879=1,AE879="HALLUCINATION")</x:f>
        <x:v>0</x:v>
      </x:c>
      <x:c r="AJ879" t="n">
        <x:f>--AND(AI879=1,R879=1,S879=1)</x:f>
        <x:v>0</x:v>
      </x:c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8"/>
      <x:c r="P880" s="28"/>
      <x:c r="Q880" s="28"/>
      <x:c r="R880" s="28"/>
      <x:c r="S880" s="28"/>
      <x:c r="T880" s="28"/>
      <x:c r="U880" s="28"/>
      <x:c r="V880" s="28"/>
      <x:c r="W880" s="43" t="n">
        <x:f>--AND(N880=1,OR(O880="SUPPORTED",O880="HALLUCINATION"))</x:f>
        <x:v>0</x:v>
      </x:c>
      <x:c r="X880" s="43" t="n">
        <x:f>--AND(W880=1,O880="HALLUCINATION")</x:f>
        <x:v>0</x:v>
      </x:c>
      <x:c r="Y880" s="43" t="n">
        <x:f>--AND(Q880=1,O880="HALLUCINATION")</x:f>
        <x:v>0</x:v>
      </x:c>
      <x:c r="Z880" s="43" t="n">
        <x:f>--AND(Y880=1,R880=1,S880=1)</x:f>
        <x:v>0</x:v>
      </x:c>
      <x:c r="AC880" t="str">
        <x:f>IF(OR(AA880="",AB880=""),"",--(AA880&lt;&gt;AB880))</x:f>
      </x:c>
      <x:c r="AE880" t="str">
        <x:f>IF(OR(AA880="",AB880=""),"PENDING_HUMAN",IF(AA880=AB880,AA880,IF(AD880&lt;&gt;"",AD880,"PENDING_HUMAN")))</x:f>
        <x:v>PENDING_HUMAN</x:v>
      </x:c>
      <x:c r="AF880" t="n">
        <x:f>--AND(A880&lt;&gt;"",AA880&lt;&gt;"",AB880&lt;&gt;"",OR(AA880=AB880,AD880&lt;&gt;""),IF(AE880="HALLUCINATION",U880&lt;&gt;"",TRUE))</x:f>
        <x:v>0</x:v>
      </x:c>
      <x:c r="AG880" t="n">
        <x:f>--AND(N880=1,AF880=1,OR(AE880="SUPPORTED",AE880="HALLUCINATION"))</x:f>
        <x:v>0</x:v>
      </x:c>
      <x:c r="AH880" t="n">
        <x:f>--AND(AG880=1,AE880="HALLUCINATION")</x:f>
        <x:v>0</x:v>
      </x:c>
      <x:c r="AI880" t="n">
        <x:f>--AND(Q880=1,AF880=1,AE880="HALLUCINATION")</x:f>
        <x:v>0</x:v>
      </x:c>
      <x:c r="AJ880" t="n">
        <x:f>--AND(AI880=1,R880=1,S880=1)</x:f>
        <x:v>0</x:v>
      </x:c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8"/>
      <x:c r="P881" s="28"/>
      <x:c r="Q881" s="28"/>
      <x:c r="R881" s="28"/>
      <x:c r="S881" s="28"/>
      <x:c r="T881" s="28"/>
      <x:c r="U881" s="28"/>
      <x:c r="V881" s="28"/>
      <x:c r="W881" s="43" t="n">
        <x:f>--AND(N881=1,OR(O881="SUPPORTED",O881="HALLUCINATION"))</x:f>
        <x:v>0</x:v>
      </x:c>
      <x:c r="X881" s="43" t="n">
        <x:f>--AND(W881=1,O881="HALLUCINATION")</x:f>
        <x:v>0</x:v>
      </x:c>
      <x:c r="Y881" s="43" t="n">
        <x:f>--AND(Q881=1,O881="HALLUCINATION")</x:f>
        <x:v>0</x:v>
      </x:c>
      <x:c r="Z881" s="43" t="n">
        <x:f>--AND(Y881=1,R881=1,S881=1)</x:f>
        <x:v>0</x:v>
      </x:c>
      <x:c r="AC881" t="str">
        <x:f>IF(OR(AA881="",AB881=""),"",--(AA881&lt;&gt;AB881))</x:f>
      </x:c>
      <x:c r="AE881" t="str">
        <x:f>IF(OR(AA881="",AB881=""),"PENDING_HUMAN",IF(AA881=AB881,AA881,IF(AD881&lt;&gt;"",AD881,"PENDING_HUMAN")))</x:f>
        <x:v>PENDING_HUMAN</x:v>
      </x:c>
      <x:c r="AF881" t="n">
        <x:f>--AND(A881&lt;&gt;"",AA881&lt;&gt;"",AB881&lt;&gt;"",OR(AA881=AB881,AD881&lt;&gt;""),IF(AE881="HALLUCINATION",U881&lt;&gt;"",TRUE))</x:f>
        <x:v>0</x:v>
      </x:c>
      <x:c r="AG881" t="n">
        <x:f>--AND(N881=1,AF881=1,OR(AE881="SUPPORTED",AE881="HALLUCINATION"))</x:f>
        <x:v>0</x:v>
      </x:c>
      <x:c r="AH881" t="n">
        <x:f>--AND(AG881=1,AE881="HALLUCINATION")</x:f>
        <x:v>0</x:v>
      </x:c>
      <x:c r="AI881" t="n">
        <x:f>--AND(Q881=1,AF881=1,AE881="HALLUCINATION")</x:f>
        <x:v>0</x:v>
      </x:c>
      <x:c r="AJ881" t="n">
        <x:f>--AND(AI881=1,R881=1,S881=1)</x:f>
        <x:v>0</x:v>
      </x:c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8"/>
      <x:c r="P882" s="28"/>
      <x:c r="Q882" s="28"/>
      <x:c r="R882" s="28"/>
      <x:c r="S882" s="28"/>
      <x:c r="T882" s="28"/>
      <x:c r="U882" s="28"/>
      <x:c r="V882" s="28"/>
      <x:c r="W882" s="43" t="n">
        <x:f>--AND(N882=1,OR(O882="SUPPORTED",O882="HALLUCINATION"))</x:f>
        <x:v>0</x:v>
      </x:c>
      <x:c r="X882" s="43" t="n">
        <x:f>--AND(W882=1,O882="HALLUCINATION")</x:f>
        <x:v>0</x:v>
      </x:c>
      <x:c r="Y882" s="43" t="n">
        <x:f>--AND(Q882=1,O882="HALLUCINATION")</x:f>
        <x:v>0</x:v>
      </x:c>
      <x:c r="Z882" s="43" t="n">
        <x:f>--AND(Y882=1,R882=1,S882=1)</x:f>
        <x:v>0</x:v>
      </x:c>
      <x:c r="AC882" t="str">
        <x:f>IF(OR(AA882="",AB882=""),"",--(AA882&lt;&gt;AB882))</x:f>
      </x:c>
      <x:c r="AE882" t="str">
        <x:f>IF(OR(AA882="",AB882=""),"PENDING_HUMAN",IF(AA882=AB882,AA882,IF(AD882&lt;&gt;"",AD882,"PENDING_HUMAN")))</x:f>
        <x:v>PENDING_HUMAN</x:v>
      </x:c>
      <x:c r="AF882" t="n">
        <x:f>--AND(A882&lt;&gt;"",AA882&lt;&gt;"",AB882&lt;&gt;"",OR(AA882=AB882,AD882&lt;&gt;""),IF(AE882="HALLUCINATION",U882&lt;&gt;"",TRUE))</x:f>
        <x:v>0</x:v>
      </x:c>
      <x:c r="AG882" t="n">
        <x:f>--AND(N882=1,AF882=1,OR(AE882="SUPPORTED",AE882="HALLUCINATION"))</x:f>
        <x:v>0</x:v>
      </x:c>
      <x:c r="AH882" t="n">
        <x:f>--AND(AG882=1,AE882="HALLUCINATION")</x:f>
        <x:v>0</x:v>
      </x:c>
      <x:c r="AI882" t="n">
        <x:f>--AND(Q882=1,AF882=1,AE882="HALLUCINATION")</x:f>
        <x:v>0</x:v>
      </x:c>
      <x:c r="AJ882" t="n">
        <x:f>--AND(AI882=1,R882=1,S882=1)</x:f>
        <x:v>0</x:v>
      </x:c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8"/>
      <x:c r="P883" s="28"/>
      <x:c r="Q883" s="28"/>
      <x:c r="R883" s="28"/>
      <x:c r="S883" s="28"/>
      <x:c r="T883" s="28"/>
      <x:c r="U883" s="28"/>
      <x:c r="V883" s="28"/>
      <x:c r="W883" s="43" t="n">
        <x:f>--AND(N883=1,OR(O883="SUPPORTED",O883="HALLUCINATION"))</x:f>
        <x:v>0</x:v>
      </x:c>
      <x:c r="X883" s="43" t="n">
        <x:f>--AND(W883=1,O883="HALLUCINATION")</x:f>
        <x:v>0</x:v>
      </x:c>
      <x:c r="Y883" s="43" t="n">
        <x:f>--AND(Q883=1,O883="HALLUCINATION")</x:f>
        <x:v>0</x:v>
      </x:c>
      <x:c r="Z883" s="43" t="n">
        <x:f>--AND(Y883=1,R883=1,S883=1)</x:f>
        <x:v>0</x:v>
      </x:c>
      <x:c r="AC883" t="str">
        <x:f>IF(OR(AA883="",AB883=""),"",--(AA883&lt;&gt;AB883))</x:f>
      </x:c>
      <x:c r="AE883" t="str">
        <x:f>IF(OR(AA883="",AB883=""),"PENDING_HUMAN",IF(AA883=AB883,AA883,IF(AD883&lt;&gt;"",AD883,"PENDING_HUMAN")))</x:f>
        <x:v>PENDING_HUMAN</x:v>
      </x:c>
      <x:c r="AF883" t="n">
        <x:f>--AND(A883&lt;&gt;"",AA883&lt;&gt;"",AB883&lt;&gt;"",OR(AA883=AB883,AD883&lt;&gt;""),IF(AE883="HALLUCINATION",U883&lt;&gt;"",TRUE))</x:f>
        <x:v>0</x:v>
      </x:c>
      <x:c r="AG883" t="n">
        <x:f>--AND(N883=1,AF883=1,OR(AE883="SUPPORTED",AE883="HALLUCINATION"))</x:f>
        <x:v>0</x:v>
      </x:c>
      <x:c r="AH883" t="n">
        <x:f>--AND(AG883=1,AE883="HALLUCINATION")</x:f>
        <x:v>0</x:v>
      </x:c>
      <x:c r="AI883" t="n">
        <x:f>--AND(Q883=1,AF883=1,AE883="HALLUCINATION")</x:f>
        <x:v>0</x:v>
      </x:c>
      <x:c r="AJ883" t="n">
        <x:f>--AND(AI883=1,R883=1,S883=1)</x:f>
        <x:v>0</x:v>
      </x:c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8"/>
      <x:c r="P884" s="28"/>
      <x:c r="Q884" s="28"/>
      <x:c r="R884" s="28"/>
      <x:c r="S884" s="28"/>
      <x:c r="T884" s="28"/>
      <x:c r="U884" s="28"/>
      <x:c r="V884" s="28"/>
      <x:c r="W884" s="43" t="n">
        <x:f>--AND(N884=1,OR(O884="SUPPORTED",O884="HALLUCINATION"))</x:f>
        <x:v>0</x:v>
      </x:c>
      <x:c r="X884" s="43" t="n">
        <x:f>--AND(W884=1,O884="HALLUCINATION")</x:f>
        <x:v>0</x:v>
      </x:c>
      <x:c r="Y884" s="43" t="n">
        <x:f>--AND(Q884=1,O884="HALLUCINATION")</x:f>
        <x:v>0</x:v>
      </x:c>
      <x:c r="Z884" s="43" t="n">
        <x:f>--AND(Y884=1,R884=1,S884=1)</x:f>
        <x:v>0</x:v>
      </x:c>
      <x:c r="AC884" t="str">
        <x:f>IF(OR(AA884="",AB884=""),"",--(AA884&lt;&gt;AB884))</x:f>
      </x:c>
      <x:c r="AE884" t="str">
        <x:f>IF(OR(AA884="",AB884=""),"PENDING_HUMAN",IF(AA884=AB884,AA884,IF(AD884&lt;&gt;"",AD884,"PENDING_HUMAN")))</x:f>
        <x:v>PENDING_HUMAN</x:v>
      </x:c>
      <x:c r="AF884" t="n">
        <x:f>--AND(A884&lt;&gt;"",AA884&lt;&gt;"",AB884&lt;&gt;"",OR(AA884=AB884,AD884&lt;&gt;""),IF(AE884="HALLUCINATION",U884&lt;&gt;"",TRUE))</x:f>
        <x:v>0</x:v>
      </x:c>
      <x:c r="AG884" t="n">
        <x:f>--AND(N884=1,AF884=1,OR(AE884="SUPPORTED",AE884="HALLUCINATION"))</x:f>
        <x:v>0</x:v>
      </x:c>
      <x:c r="AH884" t="n">
        <x:f>--AND(AG884=1,AE884="HALLUCINATION")</x:f>
        <x:v>0</x:v>
      </x:c>
      <x:c r="AI884" t="n">
        <x:f>--AND(Q884=1,AF884=1,AE884="HALLUCINATION")</x:f>
        <x:v>0</x:v>
      </x:c>
      <x:c r="AJ884" t="n">
        <x:f>--AND(AI884=1,R884=1,S884=1)</x:f>
        <x:v>0</x:v>
      </x:c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8"/>
      <x:c r="P885" s="28"/>
      <x:c r="Q885" s="28"/>
      <x:c r="R885" s="28"/>
      <x:c r="S885" s="28"/>
      <x:c r="T885" s="28"/>
      <x:c r="U885" s="28"/>
      <x:c r="V885" s="28"/>
      <x:c r="W885" s="43" t="n">
        <x:f>--AND(N885=1,OR(O885="SUPPORTED",O885="HALLUCINATION"))</x:f>
        <x:v>0</x:v>
      </x:c>
      <x:c r="X885" s="43" t="n">
        <x:f>--AND(W885=1,O885="HALLUCINATION")</x:f>
        <x:v>0</x:v>
      </x:c>
      <x:c r="Y885" s="43" t="n">
        <x:f>--AND(Q885=1,O885="HALLUCINATION")</x:f>
        <x:v>0</x:v>
      </x:c>
      <x:c r="Z885" s="43" t="n">
        <x:f>--AND(Y885=1,R885=1,S885=1)</x:f>
        <x:v>0</x:v>
      </x:c>
      <x:c r="AC885" t="str">
        <x:f>IF(OR(AA885="",AB885=""),"",--(AA885&lt;&gt;AB885))</x:f>
      </x:c>
      <x:c r="AE885" t="str">
        <x:f>IF(OR(AA885="",AB885=""),"PENDING_HUMAN",IF(AA885=AB885,AA885,IF(AD885&lt;&gt;"",AD885,"PENDING_HUMAN")))</x:f>
        <x:v>PENDING_HUMAN</x:v>
      </x:c>
      <x:c r="AF885" t="n">
        <x:f>--AND(A885&lt;&gt;"",AA885&lt;&gt;"",AB885&lt;&gt;"",OR(AA885=AB885,AD885&lt;&gt;""),IF(AE885="HALLUCINATION",U885&lt;&gt;"",TRUE))</x:f>
        <x:v>0</x:v>
      </x:c>
      <x:c r="AG885" t="n">
        <x:f>--AND(N885=1,AF885=1,OR(AE885="SUPPORTED",AE885="HALLUCINATION"))</x:f>
        <x:v>0</x:v>
      </x:c>
      <x:c r="AH885" t="n">
        <x:f>--AND(AG885=1,AE885="HALLUCINATION")</x:f>
        <x:v>0</x:v>
      </x:c>
      <x:c r="AI885" t="n">
        <x:f>--AND(Q885=1,AF885=1,AE885="HALLUCINATION")</x:f>
        <x:v>0</x:v>
      </x:c>
      <x:c r="AJ885" t="n">
        <x:f>--AND(AI885=1,R885=1,S885=1)</x:f>
        <x:v>0</x:v>
      </x:c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8"/>
      <x:c r="P886" s="28"/>
      <x:c r="Q886" s="28"/>
      <x:c r="R886" s="28"/>
      <x:c r="S886" s="28"/>
      <x:c r="T886" s="28"/>
      <x:c r="U886" s="28"/>
      <x:c r="V886" s="28"/>
      <x:c r="W886" s="43" t="n">
        <x:f>--AND(N886=1,OR(O886="SUPPORTED",O886="HALLUCINATION"))</x:f>
        <x:v>0</x:v>
      </x:c>
      <x:c r="X886" s="43" t="n">
        <x:f>--AND(W886=1,O886="HALLUCINATION")</x:f>
        <x:v>0</x:v>
      </x:c>
      <x:c r="Y886" s="43" t="n">
        <x:f>--AND(Q886=1,O886="HALLUCINATION")</x:f>
        <x:v>0</x:v>
      </x:c>
      <x:c r="Z886" s="43" t="n">
        <x:f>--AND(Y886=1,R886=1,S886=1)</x:f>
        <x:v>0</x:v>
      </x:c>
      <x:c r="AC886" t="str">
        <x:f>IF(OR(AA886="",AB886=""),"",--(AA886&lt;&gt;AB886))</x:f>
      </x:c>
      <x:c r="AE886" t="str">
        <x:f>IF(OR(AA886="",AB886=""),"PENDING_HUMAN",IF(AA886=AB886,AA886,IF(AD886&lt;&gt;"",AD886,"PENDING_HUMAN")))</x:f>
        <x:v>PENDING_HUMAN</x:v>
      </x:c>
      <x:c r="AF886" t="n">
        <x:f>--AND(A886&lt;&gt;"",AA886&lt;&gt;"",AB886&lt;&gt;"",OR(AA886=AB886,AD886&lt;&gt;""),IF(AE886="HALLUCINATION",U886&lt;&gt;"",TRUE))</x:f>
        <x:v>0</x:v>
      </x:c>
      <x:c r="AG886" t="n">
        <x:f>--AND(N886=1,AF886=1,OR(AE886="SUPPORTED",AE886="HALLUCINATION"))</x:f>
        <x:v>0</x:v>
      </x:c>
      <x:c r="AH886" t="n">
        <x:f>--AND(AG886=1,AE886="HALLUCINATION")</x:f>
        <x:v>0</x:v>
      </x:c>
      <x:c r="AI886" t="n">
        <x:f>--AND(Q886=1,AF886=1,AE886="HALLUCINATION")</x:f>
        <x:v>0</x:v>
      </x:c>
      <x:c r="AJ886" t="n">
        <x:f>--AND(AI886=1,R886=1,S886=1)</x:f>
        <x:v>0</x:v>
      </x:c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8"/>
      <x:c r="P887" s="28"/>
      <x:c r="Q887" s="28"/>
      <x:c r="R887" s="28"/>
      <x:c r="S887" s="28"/>
      <x:c r="T887" s="28"/>
      <x:c r="U887" s="28"/>
      <x:c r="V887" s="28"/>
      <x:c r="W887" s="43" t="n">
        <x:f>--AND(N887=1,OR(O887="SUPPORTED",O887="HALLUCINATION"))</x:f>
        <x:v>0</x:v>
      </x:c>
      <x:c r="X887" s="43" t="n">
        <x:f>--AND(W887=1,O887="HALLUCINATION")</x:f>
        <x:v>0</x:v>
      </x:c>
      <x:c r="Y887" s="43" t="n">
        <x:f>--AND(Q887=1,O887="HALLUCINATION")</x:f>
        <x:v>0</x:v>
      </x:c>
      <x:c r="Z887" s="43" t="n">
        <x:f>--AND(Y887=1,R887=1,S887=1)</x:f>
        <x:v>0</x:v>
      </x:c>
      <x:c r="AC887" t="str">
        <x:f>IF(OR(AA887="",AB887=""),"",--(AA887&lt;&gt;AB887))</x:f>
      </x:c>
      <x:c r="AE887" t="str">
        <x:f>IF(OR(AA887="",AB887=""),"PENDING_HUMAN",IF(AA887=AB887,AA887,IF(AD887&lt;&gt;"",AD887,"PENDING_HUMAN")))</x:f>
        <x:v>PENDING_HUMAN</x:v>
      </x:c>
      <x:c r="AF887" t="n">
        <x:f>--AND(A887&lt;&gt;"",AA887&lt;&gt;"",AB887&lt;&gt;"",OR(AA887=AB887,AD887&lt;&gt;""),IF(AE887="HALLUCINATION",U887&lt;&gt;"",TRUE))</x:f>
        <x:v>0</x:v>
      </x:c>
      <x:c r="AG887" t="n">
        <x:f>--AND(N887=1,AF887=1,OR(AE887="SUPPORTED",AE887="HALLUCINATION"))</x:f>
        <x:v>0</x:v>
      </x:c>
      <x:c r="AH887" t="n">
        <x:f>--AND(AG887=1,AE887="HALLUCINATION")</x:f>
        <x:v>0</x:v>
      </x:c>
      <x:c r="AI887" t="n">
        <x:f>--AND(Q887=1,AF887=1,AE887="HALLUCINATION")</x:f>
        <x:v>0</x:v>
      </x:c>
      <x:c r="AJ887" t="n">
        <x:f>--AND(AI887=1,R887=1,S887=1)</x:f>
        <x:v>0</x:v>
      </x:c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8"/>
      <x:c r="P888" s="28"/>
      <x:c r="Q888" s="28"/>
      <x:c r="R888" s="28"/>
      <x:c r="S888" s="28"/>
      <x:c r="T888" s="28"/>
      <x:c r="U888" s="28"/>
      <x:c r="V888" s="28"/>
      <x:c r="W888" s="43" t="n">
        <x:f>--AND(N888=1,OR(O888="SUPPORTED",O888="HALLUCINATION"))</x:f>
        <x:v>0</x:v>
      </x:c>
      <x:c r="X888" s="43" t="n">
        <x:f>--AND(W888=1,O888="HALLUCINATION")</x:f>
        <x:v>0</x:v>
      </x:c>
      <x:c r="Y888" s="43" t="n">
        <x:f>--AND(Q888=1,O888="HALLUCINATION")</x:f>
        <x:v>0</x:v>
      </x:c>
      <x:c r="Z888" s="43" t="n">
        <x:f>--AND(Y888=1,R888=1,S888=1)</x:f>
        <x:v>0</x:v>
      </x:c>
      <x:c r="AC888" t="str">
        <x:f>IF(OR(AA888="",AB888=""),"",--(AA888&lt;&gt;AB888))</x:f>
      </x:c>
      <x:c r="AE888" t="str">
        <x:f>IF(OR(AA888="",AB888=""),"PENDING_HUMAN",IF(AA888=AB888,AA888,IF(AD888&lt;&gt;"",AD888,"PENDING_HUMAN")))</x:f>
        <x:v>PENDING_HUMAN</x:v>
      </x:c>
      <x:c r="AF888" t="n">
        <x:f>--AND(A888&lt;&gt;"",AA888&lt;&gt;"",AB888&lt;&gt;"",OR(AA888=AB888,AD888&lt;&gt;""),IF(AE888="HALLUCINATION",U888&lt;&gt;"",TRUE))</x:f>
        <x:v>0</x:v>
      </x:c>
      <x:c r="AG888" t="n">
        <x:f>--AND(N888=1,AF888=1,OR(AE888="SUPPORTED",AE888="HALLUCINATION"))</x:f>
        <x:v>0</x:v>
      </x:c>
      <x:c r="AH888" t="n">
        <x:f>--AND(AG888=1,AE888="HALLUCINATION")</x:f>
        <x:v>0</x:v>
      </x:c>
      <x:c r="AI888" t="n">
        <x:f>--AND(Q888=1,AF888=1,AE888="HALLUCINATION")</x:f>
        <x:v>0</x:v>
      </x:c>
      <x:c r="AJ888" t="n">
        <x:f>--AND(AI888=1,R888=1,S888=1)</x:f>
        <x:v>0</x:v>
      </x:c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8"/>
      <x:c r="P889" s="28"/>
      <x:c r="Q889" s="28"/>
      <x:c r="R889" s="28"/>
      <x:c r="S889" s="28"/>
      <x:c r="T889" s="28"/>
      <x:c r="U889" s="28"/>
      <x:c r="V889" s="28"/>
      <x:c r="W889" s="43" t="n">
        <x:f>--AND(N889=1,OR(O889="SUPPORTED",O889="HALLUCINATION"))</x:f>
        <x:v>0</x:v>
      </x:c>
      <x:c r="X889" s="43" t="n">
        <x:f>--AND(W889=1,O889="HALLUCINATION")</x:f>
        <x:v>0</x:v>
      </x:c>
      <x:c r="Y889" s="43" t="n">
        <x:f>--AND(Q889=1,O889="HALLUCINATION")</x:f>
        <x:v>0</x:v>
      </x:c>
      <x:c r="Z889" s="43" t="n">
        <x:f>--AND(Y889=1,R889=1,S889=1)</x:f>
        <x:v>0</x:v>
      </x:c>
      <x:c r="AC889" t="str">
        <x:f>IF(OR(AA889="",AB889=""),"",--(AA889&lt;&gt;AB889))</x:f>
      </x:c>
      <x:c r="AE889" t="str">
        <x:f>IF(OR(AA889="",AB889=""),"PENDING_HUMAN",IF(AA889=AB889,AA889,IF(AD889&lt;&gt;"",AD889,"PENDING_HUMAN")))</x:f>
        <x:v>PENDING_HUMAN</x:v>
      </x:c>
      <x:c r="AF889" t="n">
        <x:f>--AND(A889&lt;&gt;"",AA889&lt;&gt;"",AB889&lt;&gt;"",OR(AA889=AB889,AD889&lt;&gt;""),IF(AE889="HALLUCINATION",U889&lt;&gt;"",TRUE))</x:f>
        <x:v>0</x:v>
      </x:c>
      <x:c r="AG889" t="n">
        <x:f>--AND(N889=1,AF889=1,OR(AE889="SUPPORTED",AE889="HALLUCINATION"))</x:f>
        <x:v>0</x:v>
      </x:c>
      <x:c r="AH889" t="n">
        <x:f>--AND(AG889=1,AE889="HALLUCINATION")</x:f>
        <x:v>0</x:v>
      </x:c>
      <x:c r="AI889" t="n">
        <x:f>--AND(Q889=1,AF889=1,AE889="HALLUCINATION")</x:f>
        <x:v>0</x:v>
      </x:c>
      <x:c r="AJ889" t="n">
        <x:f>--AND(AI889=1,R889=1,S889=1)</x:f>
        <x:v>0</x:v>
      </x:c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8"/>
      <x:c r="P890" s="28"/>
      <x:c r="Q890" s="28"/>
      <x:c r="R890" s="28"/>
      <x:c r="S890" s="28"/>
      <x:c r="T890" s="28"/>
      <x:c r="U890" s="28"/>
      <x:c r="V890" s="28"/>
      <x:c r="W890" s="43" t="n">
        <x:f>--AND(N890=1,OR(O890="SUPPORTED",O890="HALLUCINATION"))</x:f>
        <x:v>0</x:v>
      </x:c>
      <x:c r="X890" s="43" t="n">
        <x:f>--AND(W890=1,O890="HALLUCINATION")</x:f>
        <x:v>0</x:v>
      </x:c>
      <x:c r="Y890" s="43" t="n">
        <x:f>--AND(Q890=1,O890="HALLUCINATION")</x:f>
        <x:v>0</x:v>
      </x:c>
      <x:c r="Z890" s="43" t="n">
        <x:f>--AND(Y890=1,R890=1,S890=1)</x:f>
        <x:v>0</x:v>
      </x:c>
      <x:c r="AC890" t="str">
        <x:f>IF(OR(AA890="",AB890=""),"",--(AA890&lt;&gt;AB890))</x:f>
      </x:c>
      <x:c r="AE890" t="str">
        <x:f>IF(OR(AA890="",AB890=""),"PENDING_HUMAN",IF(AA890=AB890,AA890,IF(AD890&lt;&gt;"",AD890,"PENDING_HUMAN")))</x:f>
        <x:v>PENDING_HUMAN</x:v>
      </x:c>
      <x:c r="AF890" t="n">
        <x:f>--AND(A890&lt;&gt;"",AA890&lt;&gt;"",AB890&lt;&gt;"",OR(AA890=AB890,AD890&lt;&gt;""),IF(AE890="HALLUCINATION",U890&lt;&gt;"",TRUE))</x:f>
        <x:v>0</x:v>
      </x:c>
      <x:c r="AG890" t="n">
        <x:f>--AND(N890=1,AF890=1,OR(AE890="SUPPORTED",AE890="HALLUCINATION"))</x:f>
        <x:v>0</x:v>
      </x:c>
      <x:c r="AH890" t="n">
        <x:f>--AND(AG890=1,AE890="HALLUCINATION")</x:f>
        <x:v>0</x:v>
      </x:c>
      <x:c r="AI890" t="n">
        <x:f>--AND(Q890=1,AF890=1,AE890="HALLUCINATION")</x:f>
        <x:v>0</x:v>
      </x:c>
      <x:c r="AJ890" t="n">
        <x:f>--AND(AI890=1,R890=1,S890=1)</x:f>
        <x:v>0</x:v>
      </x:c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8"/>
      <x:c r="P891" s="28"/>
      <x:c r="Q891" s="28"/>
      <x:c r="R891" s="28"/>
      <x:c r="S891" s="28"/>
      <x:c r="T891" s="28"/>
      <x:c r="U891" s="28"/>
      <x:c r="V891" s="28"/>
      <x:c r="W891" s="43" t="n">
        <x:f>--AND(N891=1,OR(O891="SUPPORTED",O891="HALLUCINATION"))</x:f>
        <x:v>0</x:v>
      </x:c>
      <x:c r="X891" s="43" t="n">
        <x:f>--AND(W891=1,O891="HALLUCINATION")</x:f>
        <x:v>0</x:v>
      </x:c>
      <x:c r="Y891" s="43" t="n">
        <x:f>--AND(Q891=1,O891="HALLUCINATION")</x:f>
        <x:v>0</x:v>
      </x:c>
      <x:c r="Z891" s="43" t="n">
        <x:f>--AND(Y891=1,R891=1,S891=1)</x:f>
        <x:v>0</x:v>
      </x:c>
      <x:c r="AC891" t="str">
        <x:f>IF(OR(AA891="",AB891=""),"",--(AA891&lt;&gt;AB891))</x:f>
      </x:c>
      <x:c r="AE891" t="str">
        <x:f>IF(OR(AA891="",AB891=""),"PENDING_HUMAN",IF(AA891=AB891,AA891,IF(AD891&lt;&gt;"",AD891,"PENDING_HUMAN")))</x:f>
        <x:v>PENDING_HUMAN</x:v>
      </x:c>
      <x:c r="AF891" t="n">
        <x:f>--AND(A891&lt;&gt;"",AA891&lt;&gt;"",AB891&lt;&gt;"",OR(AA891=AB891,AD891&lt;&gt;""),IF(AE891="HALLUCINATION",U891&lt;&gt;"",TRUE))</x:f>
        <x:v>0</x:v>
      </x:c>
      <x:c r="AG891" t="n">
        <x:f>--AND(N891=1,AF891=1,OR(AE891="SUPPORTED",AE891="HALLUCINATION"))</x:f>
        <x:v>0</x:v>
      </x:c>
      <x:c r="AH891" t="n">
        <x:f>--AND(AG891=1,AE891="HALLUCINATION")</x:f>
        <x:v>0</x:v>
      </x:c>
      <x:c r="AI891" t="n">
        <x:f>--AND(Q891=1,AF891=1,AE891="HALLUCINATION")</x:f>
        <x:v>0</x:v>
      </x:c>
      <x:c r="AJ891" t="n">
        <x:f>--AND(AI891=1,R891=1,S891=1)</x:f>
        <x:v>0</x:v>
      </x:c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8"/>
      <x:c r="P892" s="28"/>
      <x:c r="Q892" s="28"/>
      <x:c r="R892" s="28"/>
      <x:c r="S892" s="28"/>
      <x:c r="T892" s="28"/>
      <x:c r="U892" s="28"/>
      <x:c r="V892" s="28"/>
      <x:c r="W892" s="43" t="n">
        <x:f>--AND(N892=1,OR(O892="SUPPORTED",O892="HALLUCINATION"))</x:f>
        <x:v>0</x:v>
      </x:c>
      <x:c r="X892" s="43" t="n">
        <x:f>--AND(W892=1,O892="HALLUCINATION")</x:f>
        <x:v>0</x:v>
      </x:c>
      <x:c r="Y892" s="43" t="n">
        <x:f>--AND(Q892=1,O892="HALLUCINATION")</x:f>
        <x:v>0</x:v>
      </x:c>
      <x:c r="Z892" s="43" t="n">
        <x:f>--AND(Y892=1,R892=1,S892=1)</x:f>
        <x:v>0</x:v>
      </x:c>
      <x:c r="AC892" t="str">
        <x:f>IF(OR(AA892="",AB892=""),"",--(AA892&lt;&gt;AB892))</x:f>
      </x:c>
      <x:c r="AE892" t="str">
        <x:f>IF(OR(AA892="",AB892=""),"PENDING_HUMAN",IF(AA892=AB892,AA892,IF(AD892&lt;&gt;"",AD892,"PENDING_HUMAN")))</x:f>
        <x:v>PENDING_HUMAN</x:v>
      </x:c>
      <x:c r="AF892" t="n">
        <x:f>--AND(A892&lt;&gt;"",AA892&lt;&gt;"",AB892&lt;&gt;"",OR(AA892=AB892,AD892&lt;&gt;""),IF(AE892="HALLUCINATION",U892&lt;&gt;"",TRUE))</x:f>
        <x:v>0</x:v>
      </x:c>
      <x:c r="AG892" t="n">
        <x:f>--AND(N892=1,AF892=1,OR(AE892="SUPPORTED",AE892="HALLUCINATION"))</x:f>
        <x:v>0</x:v>
      </x:c>
      <x:c r="AH892" t="n">
        <x:f>--AND(AG892=1,AE892="HALLUCINATION")</x:f>
        <x:v>0</x:v>
      </x:c>
      <x:c r="AI892" t="n">
        <x:f>--AND(Q892=1,AF892=1,AE892="HALLUCINATION")</x:f>
        <x:v>0</x:v>
      </x:c>
      <x:c r="AJ892" t="n">
        <x:f>--AND(AI892=1,R892=1,S892=1)</x:f>
        <x:v>0</x:v>
      </x:c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8"/>
      <x:c r="P893" s="28"/>
      <x:c r="Q893" s="28"/>
      <x:c r="R893" s="28"/>
      <x:c r="S893" s="28"/>
      <x:c r="T893" s="28"/>
      <x:c r="U893" s="28"/>
      <x:c r="V893" s="28"/>
      <x:c r="W893" s="43" t="n">
        <x:f>--AND(N893=1,OR(O893="SUPPORTED",O893="HALLUCINATION"))</x:f>
        <x:v>0</x:v>
      </x:c>
      <x:c r="X893" s="43" t="n">
        <x:f>--AND(W893=1,O893="HALLUCINATION")</x:f>
        <x:v>0</x:v>
      </x:c>
      <x:c r="Y893" s="43" t="n">
        <x:f>--AND(Q893=1,O893="HALLUCINATION")</x:f>
        <x:v>0</x:v>
      </x:c>
      <x:c r="Z893" s="43" t="n">
        <x:f>--AND(Y893=1,R893=1,S893=1)</x:f>
        <x:v>0</x:v>
      </x:c>
      <x:c r="AC893" t="str">
        <x:f>IF(OR(AA893="",AB893=""),"",--(AA893&lt;&gt;AB893))</x:f>
      </x:c>
      <x:c r="AE893" t="str">
        <x:f>IF(OR(AA893="",AB893=""),"PENDING_HUMAN",IF(AA893=AB893,AA893,IF(AD893&lt;&gt;"",AD893,"PENDING_HUMAN")))</x:f>
        <x:v>PENDING_HUMAN</x:v>
      </x:c>
      <x:c r="AF893" t="n">
        <x:f>--AND(A893&lt;&gt;"",AA893&lt;&gt;"",AB893&lt;&gt;"",OR(AA893=AB893,AD893&lt;&gt;""),IF(AE893="HALLUCINATION",U893&lt;&gt;"",TRUE))</x:f>
        <x:v>0</x:v>
      </x:c>
      <x:c r="AG893" t="n">
        <x:f>--AND(N893=1,AF893=1,OR(AE893="SUPPORTED",AE893="HALLUCINATION"))</x:f>
        <x:v>0</x:v>
      </x:c>
      <x:c r="AH893" t="n">
        <x:f>--AND(AG893=1,AE893="HALLUCINATION")</x:f>
        <x:v>0</x:v>
      </x:c>
      <x:c r="AI893" t="n">
        <x:f>--AND(Q893=1,AF893=1,AE893="HALLUCINATION")</x:f>
        <x:v>0</x:v>
      </x:c>
      <x:c r="AJ893" t="n">
        <x:f>--AND(AI893=1,R893=1,S893=1)</x:f>
        <x:v>0</x:v>
      </x:c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8"/>
      <x:c r="P894" s="28"/>
      <x:c r="Q894" s="28"/>
      <x:c r="R894" s="28"/>
      <x:c r="S894" s="28"/>
      <x:c r="T894" s="28"/>
      <x:c r="U894" s="28"/>
      <x:c r="V894" s="28"/>
      <x:c r="W894" s="43" t="n">
        <x:f>--AND(N894=1,OR(O894="SUPPORTED",O894="HALLUCINATION"))</x:f>
        <x:v>0</x:v>
      </x:c>
      <x:c r="X894" s="43" t="n">
        <x:f>--AND(W894=1,O894="HALLUCINATION")</x:f>
        <x:v>0</x:v>
      </x:c>
      <x:c r="Y894" s="43" t="n">
        <x:f>--AND(Q894=1,O894="HALLUCINATION")</x:f>
        <x:v>0</x:v>
      </x:c>
      <x:c r="Z894" s="43" t="n">
        <x:f>--AND(Y894=1,R894=1,S894=1)</x:f>
        <x:v>0</x:v>
      </x:c>
      <x:c r="AC894" t="str">
        <x:f>IF(OR(AA894="",AB894=""),"",--(AA894&lt;&gt;AB894))</x:f>
      </x:c>
      <x:c r="AE894" t="str">
        <x:f>IF(OR(AA894="",AB894=""),"PENDING_HUMAN",IF(AA894=AB894,AA894,IF(AD894&lt;&gt;"",AD894,"PENDING_HUMAN")))</x:f>
        <x:v>PENDING_HUMAN</x:v>
      </x:c>
      <x:c r="AF894" t="n">
        <x:f>--AND(A894&lt;&gt;"",AA894&lt;&gt;"",AB894&lt;&gt;"",OR(AA894=AB894,AD894&lt;&gt;""),IF(AE894="HALLUCINATION",U894&lt;&gt;"",TRUE))</x:f>
        <x:v>0</x:v>
      </x:c>
      <x:c r="AG894" t="n">
        <x:f>--AND(N894=1,AF894=1,OR(AE894="SUPPORTED",AE894="HALLUCINATION"))</x:f>
        <x:v>0</x:v>
      </x:c>
      <x:c r="AH894" t="n">
        <x:f>--AND(AG894=1,AE894="HALLUCINATION")</x:f>
        <x:v>0</x:v>
      </x:c>
      <x:c r="AI894" t="n">
        <x:f>--AND(Q894=1,AF894=1,AE894="HALLUCINATION")</x:f>
        <x:v>0</x:v>
      </x:c>
      <x:c r="AJ894" t="n">
        <x:f>--AND(AI894=1,R894=1,S894=1)</x:f>
        <x:v>0</x:v>
      </x:c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8"/>
      <x:c r="P895" s="28"/>
      <x:c r="Q895" s="28"/>
      <x:c r="R895" s="28"/>
      <x:c r="S895" s="28"/>
      <x:c r="T895" s="28"/>
      <x:c r="U895" s="28"/>
      <x:c r="V895" s="28"/>
      <x:c r="W895" s="43" t="n">
        <x:f>--AND(N895=1,OR(O895="SUPPORTED",O895="HALLUCINATION"))</x:f>
        <x:v>0</x:v>
      </x:c>
      <x:c r="X895" s="43" t="n">
        <x:f>--AND(W895=1,O895="HALLUCINATION")</x:f>
        <x:v>0</x:v>
      </x:c>
      <x:c r="Y895" s="43" t="n">
        <x:f>--AND(Q895=1,O895="HALLUCINATION")</x:f>
        <x:v>0</x:v>
      </x:c>
      <x:c r="Z895" s="43" t="n">
        <x:f>--AND(Y895=1,R895=1,S895=1)</x:f>
        <x:v>0</x:v>
      </x:c>
      <x:c r="AC895" t="str">
        <x:f>IF(OR(AA895="",AB895=""),"",--(AA895&lt;&gt;AB895))</x:f>
      </x:c>
      <x:c r="AE895" t="str">
        <x:f>IF(OR(AA895="",AB895=""),"PENDING_HUMAN",IF(AA895=AB895,AA895,IF(AD895&lt;&gt;"",AD895,"PENDING_HUMAN")))</x:f>
        <x:v>PENDING_HUMAN</x:v>
      </x:c>
      <x:c r="AF895" t="n">
        <x:f>--AND(A895&lt;&gt;"",AA895&lt;&gt;"",AB895&lt;&gt;"",OR(AA895=AB895,AD895&lt;&gt;""),IF(AE895="HALLUCINATION",U895&lt;&gt;"",TRUE))</x:f>
        <x:v>0</x:v>
      </x:c>
      <x:c r="AG895" t="n">
        <x:f>--AND(N895=1,AF895=1,OR(AE895="SUPPORTED",AE895="HALLUCINATION"))</x:f>
        <x:v>0</x:v>
      </x:c>
      <x:c r="AH895" t="n">
        <x:f>--AND(AG895=1,AE895="HALLUCINATION")</x:f>
        <x:v>0</x:v>
      </x:c>
      <x:c r="AI895" t="n">
        <x:f>--AND(Q895=1,AF895=1,AE895="HALLUCINATION")</x:f>
        <x:v>0</x:v>
      </x:c>
      <x:c r="AJ895" t="n">
        <x:f>--AND(AI895=1,R895=1,S895=1)</x:f>
        <x:v>0</x:v>
      </x:c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8"/>
      <x:c r="P896" s="28"/>
      <x:c r="Q896" s="28"/>
      <x:c r="R896" s="28"/>
      <x:c r="S896" s="28"/>
      <x:c r="T896" s="28"/>
      <x:c r="U896" s="28"/>
      <x:c r="V896" s="28"/>
      <x:c r="W896" s="43" t="n">
        <x:f>--AND(N896=1,OR(O896="SUPPORTED",O896="HALLUCINATION"))</x:f>
        <x:v>0</x:v>
      </x:c>
      <x:c r="X896" s="43" t="n">
        <x:f>--AND(W896=1,O896="HALLUCINATION")</x:f>
        <x:v>0</x:v>
      </x:c>
      <x:c r="Y896" s="43" t="n">
        <x:f>--AND(Q896=1,O896="HALLUCINATION")</x:f>
        <x:v>0</x:v>
      </x:c>
      <x:c r="Z896" s="43" t="n">
        <x:f>--AND(Y896=1,R896=1,S896=1)</x:f>
        <x:v>0</x:v>
      </x:c>
      <x:c r="AC896" t="str">
        <x:f>IF(OR(AA896="",AB896=""),"",--(AA896&lt;&gt;AB896))</x:f>
      </x:c>
      <x:c r="AE896" t="str">
        <x:f>IF(OR(AA896="",AB896=""),"PENDING_HUMAN",IF(AA896=AB896,AA896,IF(AD896&lt;&gt;"",AD896,"PENDING_HUMAN")))</x:f>
        <x:v>PENDING_HUMAN</x:v>
      </x:c>
      <x:c r="AF896" t="n">
        <x:f>--AND(A896&lt;&gt;"",AA896&lt;&gt;"",AB896&lt;&gt;"",OR(AA896=AB896,AD896&lt;&gt;""),IF(AE896="HALLUCINATION",U896&lt;&gt;"",TRUE))</x:f>
        <x:v>0</x:v>
      </x:c>
      <x:c r="AG896" t="n">
        <x:f>--AND(N896=1,AF896=1,OR(AE896="SUPPORTED",AE896="HALLUCINATION"))</x:f>
        <x:v>0</x:v>
      </x:c>
      <x:c r="AH896" t="n">
        <x:f>--AND(AG896=1,AE896="HALLUCINATION")</x:f>
        <x:v>0</x:v>
      </x:c>
      <x:c r="AI896" t="n">
        <x:f>--AND(Q896=1,AF896=1,AE896="HALLUCINATION")</x:f>
        <x:v>0</x:v>
      </x:c>
      <x:c r="AJ896" t="n">
        <x:f>--AND(AI896=1,R896=1,S896=1)</x:f>
        <x:v>0</x:v>
      </x:c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8"/>
      <x:c r="P897" s="28"/>
      <x:c r="Q897" s="28"/>
      <x:c r="R897" s="28"/>
      <x:c r="S897" s="28"/>
      <x:c r="T897" s="28"/>
      <x:c r="U897" s="28"/>
      <x:c r="V897" s="28"/>
      <x:c r="W897" s="43" t="n">
        <x:f>--AND(N897=1,OR(O897="SUPPORTED",O897="HALLUCINATION"))</x:f>
        <x:v>0</x:v>
      </x:c>
      <x:c r="X897" s="43" t="n">
        <x:f>--AND(W897=1,O897="HALLUCINATION")</x:f>
        <x:v>0</x:v>
      </x:c>
      <x:c r="Y897" s="43" t="n">
        <x:f>--AND(Q897=1,O897="HALLUCINATION")</x:f>
        <x:v>0</x:v>
      </x:c>
      <x:c r="Z897" s="43" t="n">
        <x:f>--AND(Y897=1,R897=1,S897=1)</x:f>
        <x:v>0</x:v>
      </x:c>
      <x:c r="AC897" t="str">
        <x:f>IF(OR(AA897="",AB897=""),"",--(AA897&lt;&gt;AB897))</x:f>
      </x:c>
      <x:c r="AE897" t="str">
        <x:f>IF(OR(AA897="",AB897=""),"PENDING_HUMAN",IF(AA897=AB897,AA897,IF(AD897&lt;&gt;"",AD897,"PENDING_HUMAN")))</x:f>
        <x:v>PENDING_HUMAN</x:v>
      </x:c>
      <x:c r="AF897" t="n">
        <x:f>--AND(A897&lt;&gt;"",AA897&lt;&gt;"",AB897&lt;&gt;"",OR(AA897=AB897,AD897&lt;&gt;""),IF(AE897="HALLUCINATION",U897&lt;&gt;"",TRUE))</x:f>
        <x:v>0</x:v>
      </x:c>
      <x:c r="AG897" t="n">
        <x:f>--AND(N897=1,AF897=1,OR(AE897="SUPPORTED",AE897="HALLUCINATION"))</x:f>
        <x:v>0</x:v>
      </x:c>
      <x:c r="AH897" t="n">
        <x:f>--AND(AG897=1,AE897="HALLUCINATION")</x:f>
        <x:v>0</x:v>
      </x:c>
      <x:c r="AI897" t="n">
        <x:f>--AND(Q897=1,AF897=1,AE897="HALLUCINATION")</x:f>
        <x:v>0</x:v>
      </x:c>
      <x:c r="AJ897" t="n">
        <x:f>--AND(AI897=1,R897=1,S897=1)</x:f>
        <x:v>0</x:v>
      </x:c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8"/>
      <x:c r="P898" s="28"/>
      <x:c r="Q898" s="28"/>
      <x:c r="R898" s="28"/>
      <x:c r="S898" s="28"/>
      <x:c r="T898" s="28"/>
      <x:c r="U898" s="28"/>
      <x:c r="V898" s="28"/>
      <x:c r="W898" s="43" t="n">
        <x:f>--AND(N898=1,OR(O898="SUPPORTED",O898="HALLUCINATION"))</x:f>
        <x:v>0</x:v>
      </x:c>
      <x:c r="X898" s="43" t="n">
        <x:f>--AND(W898=1,O898="HALLUCINATION")</x:f>
        <x:v>0</x:v>
      </x:c>
      <x:c r="Y898" s="43" t="n">
        <x:f>--AND(Q898=1,O898="HALLUCINATION")</x:f>
        <x:v>0</x:v>
      </x:c>
      <x:c r="Z898" s="43" t="n">
        <x:f>--AND(Y898=1,R898=1,S898=1)</x:f>
        <x:v>0</x:v>
      </x:c>
      <x:c r="AC898" t="str">
        <x:f>IF(OR(AA898="",AB898=""),"",--(AA898&lt;&gt;AB898))</x:f>
      </x:c>
      <x:c r="AE898" t="str">
        <x:f>IF(OR(AA898="",AB898=""),"PENDING_HUMAN",IF(AA898=AB898,AA898,IF(AD898&lt;&gt;"",AD898,"PENDING_HUMAN")))</x:f>
        <x:v>PENDING_HUMAN</x:v>
      </x:c>
      <x:c r="AF898" t="n">
        <x:f>--AND(A898&lt;&gt;"",AA898&lt;&gt;"",AB898&lt;&gt;"",OR(AA898=AB898,AD898&lt;&gt;""),IF(AE898="HALLUCINATION",U898&lt;&gt;"",TRUE))</x:f>
        <x:v>0</x:v>
      </x:c>
      <x:c r="AG898" t="n">
        <x:f>--AND(N898=1,AF898=1,OR(AE898="SUPPORTED",AE898="HALLUCINATION"))</x:f>
        <x:v>0</x:v>
      </x:c>
      <x:c r="AH898" t="n">
        <x:f>--AND(AG898=1,AE898="HALLUCINATION")</x:f>
        <x:v>0</x:v>
      </x:c>
      <x:c r="AI898" t="n">
        <x:f>--AND(Q898=1,AF898=1,AE898="HALLUCINATION")</x:f>
        <x:v>0</x:v>
      </x:c>
      <x:c r="AJ898" t="n">
        <x:f>--AND(AI898=1,R898=1,S898=1)</x:f>
        <x:v>0</x:v>
      </x:c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8"/>
      <x:c r="P899" s="28"/>
      <x:c r="Q899" s="28"/>
      <x:c r="R899" s="28"/>
      <x:c r="S899" s="28"/>
      <x:c r="T899" s="28"/>
      <x:c r="U899" s="28"/>
      <x:c r="V899" s="28"/>
      <x:c r="W899" s="43" t="n">
        <x:f>--AND(N899=1,OR(O899="SUPPORTED",O899="HALLUCINATION"))</x:f>
        <x:v>0</x:v>
      </x:c>
      <x:c r="X899" s="43" t="n">
        <x:f>--AND(W899=1,O899="HALLUCINATION")</x:f>
        <x:v>0</x:v>
      </x:c>
      <x:c r="Y899" s="43" t="n">
        <x:f>--AND(Q899=1,O899="HALLUCINATION")</x:f>
        <x:v>0</x:v>
      </x:c>
      <x:c r="Z899" s="43" t="n">
        <x:f>--AND(Y899=1,R899=1,S899=1)</x:f>
        <x:v>0</x:v>
      </x:c>
      <x:c r="AC899" t="str">
        <x:f>IF(OR(AA899="",AB899=""),"",--(AA899&lt;&gt;AB899))</x:f>
      </x:c>
      <x:c r="AE899" t="str">
        <x:f>IF(OR(AA899="",AB899=""),"PENDING_HUMAN",IF(AA899=AB899,AA899,IF(AD899&lt;&gt;"",AD899,"PENDING_HUMAN")))</x:f>
        <x:v>PENDING_HUMAN</x:v>
      </x:c>
      <x:c r="AF899" t="n">
        <x:f>--AND(A899&lt;&gt;"",AA899&lt;&gt;"",AB899&lt;&gt;"",OR(AA899=AB899,AD899&lt;&gt;""),IF(AE899="HALLUCINATION",U899&lt;&gt;"",TRUE))</x:f>
        <x:v>0</x:v>
      </x:c>
      <x:c r="AG899" t="n">
        <x:f>--AND(N899=1,AF899=1,OR(AE899="SUPPORTED",AE899="HALLUCINATION"))</x:f>
        <x:v>0</x:v>
      </x:c>
      <x:c r="AH899" t="n">
        <x:f>--AND(AG899=1,AE899="HALLUCINATION")</x:f>
        <x:v>0</x:v>
      </x:c>
      <x:c r="AI899" t="n">
        <x:f>--AND(Q899=1,AF899=1,AE899="HALLUCINATION")</x:f>
        <x:v>0</x:v>
      </x:c>
      <x:c r="AJ899" t="n">
        <x:f>--AND(AI899=1,R899=1,S899=1)</x:f>
        <x:v>0</x:v>
      </x:c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8"/>
      <x:c r="P900" s="28"/>
      <x:c r="Q900" s="28"/>
      <x:c r="R900" s="28"/>
      <x:c r="S900" s="28"/>
      <x:c r="T900" s="28"/>
      <x:c r="U900" s="28"/>
      <x:c r="V900" s="28"/>
      <x:c r="W900" s="43" t="n">
        <x:f>--AND(N900=1,OR(O900="SUPPORTED",O900="HALLUCINATION"))</x:f>
        <x:v>0</x:v>
      </x:c>
      <x:c r="X900" s="43" t="n">
        <x:f>--AND(W900=1,O900="HALLUCINATION")</x:f>
        <x:v>0</x:v>
      </x:c>
      <x:c r="Y900" s="43" t="n">
        <x:f>--AND(Q900=1,O900="HALLUCINATION")</x:f>
        <x:v>0</x:v>
      </x:c>
      <x:c r="Z900" s="43" t="n">
        <x:f>--AND(Y900=1,R900=1,S900=1)</x:f>
        <x:v>0</x:v>
      </x:c>
      <x:c r="AC900" t="str">
        <x:f>IF(OR(AA900="",AB900=""),"",--(AA900&lt;&gt;AB900))</x:f>
      </x:c>
      <x:c r="AE900" t="str">
        <x:f>IF(OR(AA900="",AB900=""),"PENDING_HUMAN",IF(AA900=AB900,AA900,IF(AD900&lt;&gt;"",AD900,"PENDING_HUMAN")))</x:f>
        <x:v>PENDING_HUMAN</x:v>
      </x:c>
      <x:c r="AF900" t="n">
        <x:f>--AND(A900&lt;&gt;"",AA900&lt;&gt;"",AB900&lt;&gt;"",OR(AA900=AB900,AD900&lt;&gt;""),IF(AE900="HALLUCINATION",U900&lt;&gt;"",TRUE))</x:f>
        <x:v>0</x:v>
      </x:c>
      <x:c r="AG900" t="n">
        <x:f>--AND(N900=1,AF900=1,OR(AE900="SUPPORTED",AE900="HALLUCINATION"))</x:f>
        <x:v>0</x:v>
      </x:c>
      <x:c r="AH900" t="n">
        <x:f>--AND(AG900=1,AE900="HALLUCINATION")</x:f>
        <x:v>0</x:v>
      </x:c>
      <x:c r="AI900" t="n">
        <x:f>--AND(Q900=1,AF900=1,AE900="HALLUCINATION")</x:f>
        <x:v>0</x:v>
      </x:c>
      <x:c r="AJ900" t="n">
        <x:f>--AND(AI900=1,R900=1,S900=1)</x:f>
        <x:v>0</x:v>
      </x:c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8"/>
      <x:c r="P901" s="28"/>
      <x:c r="Q901" s="28"/>
      <x:c r="R901" s="28"/>
      <x:c r="S901" s="28"/>
      <x:c r="T901" s="28"/>
      <x:c r="U901" s="28"/>
      <x:c r="V901" s="28"/>
      <x:c r="W901" s="43" t="n">
        <x:f>--AND(N901=1,OR(O901="SUPPORTED",O901="HALLUCINATION"))</x:f>
        <x:v>0</x:v>
      </x:c>
      <x:c r="X901" s="43" t="n">
        <x:f>--AND(W901=1,O901="HALLUCINATION")</x:f>
        <x:v>0</x:v>
      </x:c>
      <x:c r="Y901" s="43" t="n">
        <x:f>--AND(Q901=1,O901="HALLUCINATION")</x:f>
        <x:v>0</x:v>
      </x:c>
      <x:c r="Z901" s="43" t="n">
        <x:f>--AND(Y901=1,R901=1,S901=1)</x:f>
        <x:v>0</x:v>
      </x:c>
      <x:c r="AC901" t="str">
        <x:f>IF(OR(AA901="",AB901=""),"",--(AA901&lt;&gt;AB901))</x:f>
      </x:c>
      <x:c r="AE901" t="str">
        <x:f>IF(OR(AA901="",AB901=""),"PENDING_HUMAN",IF(AA901=AB901,AA901,IF(AD901&lt;&gt;"",AD901,"PENDING_HUMAN")))</x:f>
        <x:v>PENDING_HUMAN</x:v>
      </x:c>
      <x:c r="AF901" t="n">
        <x:f>--AND(A901&lt;&gt;"",AA901&lt;&gt;"",AB901&lt;&gt;"",OR(AA901=AB901,AD901&lt;&gt;""),IF(AE901="HALLUCINATION",U901&lt;&gt;"",TRUE))</x:f>
        <x:v>0</x:v>
      </x:c>
      <x:c r="AG901" t="n">
        <x:f>--AND(N901=1,AF901=1,OR(AE901="SUPPORTED",AE901="HALLUCINATION"))</x:f>
        <x:v>0</x:v>
      </x:c>
      <x:c r="AH901" t="n">
        <x:f>--AND(AG901=1,AE901="HALLUCINATION")</x:f>
        <x:v>0</x:v>
      </x:c>
      <x:c r="AI901" t="n">
        <x:f>--AND(Q901=1,AF901=1,AE901="HALLUCINATION")</x:f>
        <x:v>0</x:v>
      </x:c>
      <x:c r="AJ901" t="n">
        <x:f>--AND(AI901=1,R901=1,S901=1)</x:f>
        <x:v>0</x:v>
      </x:c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8"/>
      <x:c r="P902" s="28"/>
      <x:c r="Q902" s="28"/>
      <x:c r="R902" s="28"/>
      <x:c r="S902" s="28"/>
      <x:c r="T902" s="28"/>
      <x:c r="U902" s="28"/>
      <x:c r="V902" s="28"/>
      <x:c r="W902" s="43" t="n">
        <x:f>--AND(N902=1,OR(O902="SUPPORTED",O902="HALLUCINATION"))</x:f>
        <x:v>0</x:v>
      </x:c>
      <x:c r="X902" s="43" t="n">
        <x:f>--AND(W902=1,O902="HALLUCINATION")</x:f>
        <x:v>0</x:v>
      </x:c>
      <x:c r="Y902" s="43" t="n">
        <x:f>--AND(Q902=1,O902="HALLUCINATION")</x:f>
        <x:v>0</x:v>
      </x:c>
      <x:c r="Z902" s="43" t="n">
        <x:f>--AND(Y902=1,R902=1,S902=1)</x:f>
        <x:v>0</x:v>
      </x:c>
      <x:c r="AC902" t="str">
        <x:f>IF(OR(AA902="",AB902=""),"",--(AA902&lt;&gt;AB902))</x:f>
      </x:c>
      <x:c r="AE902" t="str">
        <x:f>IF(OR(AA902="",AB902=""),"PENDING_HUMAN",IF(AA902=AB902,AA902,IF(AD902&lt;&gt;"",AD902,"PENDING_HUMAN")))</x:f>
        <x:v>PENDING_HUMAN</x:v>
      </x:c>
      <x:c r="AF902" t="n">
        <x:f>--AND(A902&lt;&gt;"",AA902&lt;&gt;"",AB902&lt;&gt;"",OR(AA902=AB902,AD902&lt;&gt;""),IF(AE902="HALLUCINATION",U902&lt;&gt;"",TRUE))</x:f>
        <x:v>0</x:v>
      </x:c>
      <x:c r="AG902" t="n">
        <x:f>--AND(N902=1,AF902=1,OR(AE902="SUPPORTED",AE902="HALLUCINATION"))</x:f>
        <x:v>0</x:v>
      </x:c>
      <x:c r="AH902" t="n">
        <x:f>--AND(AG902=1,AE902="HALLUCINATION")</x:f>
        <x:v>0</x:v>
      </x:c>
      <x:c r="AI902" t="n">
        <x:f>--AND(Q902=1,AF902=1,AE902="HALLUCINATION")</x:f>
        <x:v>0</x:v>
      </x:c>
      <x:c r="AJ902" t="n">
        <x:f>--AND(AI902=1,R902=1,S902=1)</x:f>
        <x:v>0</x:v>
      </x:c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8"/>
      <x:c r="P903" s="28"/>
      <x:c r="Q903" s="28"/>
      <x:c r="R903" s="28"/>
      <x:c r="S903" s="28"/>
      <x:c r="T903" s="28"/>
      <x:c r="U903" s="28"/>
      <x:c r="V903" s="28"/>
      <x:c r="W903" s="43" t="n">
        <x:f>--AND(N903=1,OR(O903="SUPPORTED",O903="HALLUCINATION"))</x:f>
        <x:v>0</x:v>
      </x:c>
      <x:c r="X903" s="43" t="n">
        <x:f>--AND(W903=1,O903="HALLUCINATION")</x:f>
        <x:v>0</x:v>
      </x:c>
      <x:c r="Y903" s="43" t="n">
        <x:f>--AND(Q903=1,O903="HALLUCINATION")</x:f>
        <x:v>0</x:v>
      </x:c>
      <x:c r="Z903" s="43" t="n">
        <x:f>--AND(Y903=1,R903=1,S903=1)</x:f>
        <x:v>0</x:v>
      </x:c>
      <x:c r="AC903" t="str">
        <x:f>IF(OR(AA903="",AB903=""),"",--(AA903&lt;&gt;AB903))</x:f>
      </x:c>
      <x:c r="AE903" t="str">
        <x:f>IF(OR(AA903="",AB903=""),"PENDING_HUMAN",IF(AA903=AB903,AA903,IF(AD903&lt;&gt;"",AD903,"PENDING_HUMAN")))</x:f>
        <x:v>PENDING_HUMAN</x:v>
      </x:c>
      <x:c r="AF903" t="n">
        <x:f>--AND(A903&lt;&gt;"",AA903&lt;&gt;"",AB903&lt;&gt;"",OR(AA903=AB903,AD903&lt;&gt;""),IF(AE903="HALLUCINATION",U903&lt;&gt;"",TRUE))</x:f>
        <x:v>0</x:v>
      </x:c>
      <x:c r="AG903" t="n">
        <x:f>--AND(N903=1,AF903=1,OR(AE903="SUPPORTED",AE903="HALLUCINATION"))</x:f>
        <x:v>0</x:v>
      </x:c>
      <x:c r="AH903" t="n">
        <x:f>--AND(AG903=1,AE903="HALLUCINATION")</x:f>
        <x:v>0</x:v>
      </x:c>
      <x:c r="AI903" t="n">
        <x:f>--AND(Q903=1,AF903=1,AE903="HALLUCINATION")</x:f>
        <x:v>0</x:v>
      </x:c>
      <x:c r="AJ903" t="n">
        <x:f>--AND(AI903=1,R903=1,S903=1)</x:f>
        <x:v>0</x:v>
      </x:c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8"/>
      <x:c r="P904" s="28"/>
      <x:c r="Q904" s="28"/>
      <x:c r="R904" s="28"/>
      <x:c r="S904" s="28"/>
      <x:c r="T904" s="28"/>
      <x:c r="U904" s="28"/>
      <x:c r="V904" s="28"/>
      <x:c r="W904" s="43" t="n">
        <x:f>--AND(N904=1,OR(O904="SUPPORTED",O904="HALLUCINATION"))</x:f>
        <x:v>0</x:v>
      </x:c>
      <x:c r="X904" s="43" t="n">
        <x:f>--AND(W904=1,O904="HALLUCINATION")</x:f>
        <x:v>0</x:v>
      </x:c>
      <x:c r="Y904" s="43" t="n">
        <x:f>--AND(Q904=1,O904="HALLUCINATION")</x:f>
        <x:v>0</x:v>
      </x:c>
      <x:c r="Z904" s="43" t="n">
        <x:f>--AND(Y904=1,R904=1,S904=1)</x:f>
        <x:v>0</x:v>
      </x:c>
      <x:c r="AC904" t="str">
        <x:f>IF(OR(AA904="",AB904=""),"",--(AA904&lt;&gt;AB904))</x:f>
      </x:c>
      <x:c r="AE904" t="str">
        <x:f>IF(OR(AA904="",AB904=""),"PENDING_HUMAN",IF(AA904=AB904,AA904,IF(AD904&lt;&gt;"",AD904,"PENDING_HUMAN")))</x:f>
        <x:v>PENDING_HUMAN</x:v>
      </x:c>
      <x:c r="AF904" t="n">
        <x:f>--AND(A904&lt;&gt;"",AA904&lt;&gt;"",AB904&lt;&gt;"",OR(AA904=AB904,AD904&lt;&gt;""),IF(AE904="HALLUCINATION",U904&lt;&gt;"",TRUE))</x:f>
        <x:v>0</x:v>
      </x:c>
      <x:c r="AG904" t="n">
        <x:f>--AND(N904=1,AF904=1,OR(AE904="SUPPORTED",AE904="HALLUCINATION"))</x:f>
        <x:v>0</x:v>
      </x:c>
      <x:c r="AH904" t="n">
        <x:f>--AND(AG904=1,AE904="HALLUCINATION")</x:f>
        <x:v>0</x:v>
      </x:c>
      <x:c r="AI904" t="n">
        <x:f>--AND(Q904=1,AF904=1,AE904="HALLUCINATION")</x:f>
        <x:v>0</x:v>
      </x:c>
      <x:c r="AJ904" t="n">
        <x:f>--AND(AI904=1,R904=1,S904=1)</x:f>
        <x:v>0</x:v>
      </x:c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8"/>
      <x:c r="P905" s="28"/>
      <x:c r="Q905" s="28"/>
      <x:c r="R905" s="28"/>
      <x:c r="S905" s="28"/>
      <x:c r="T905" s="28"/>
      <x:c r="U905" s="28"/>
      <x:c r="V905" s="28"/>
      <x:c r="W905" s="43" t="n">
        <x:f>--AND(N905=1,OR(O905="SUPPORTED",O905="HALLUCINATION"))</x:f>
        <x:v>0</x:v>
      </x:c>
      <x:c r="X905" s="43" t="n">
        <x:f>--AND(W905=1,O905="HALLUCINATION")</x:f>
        <x:v>0</x:v>
      </x:c>
      <x:c r="Y905" s="43" t="n">
        <x:f>--AND(Q905=1,O905="HALLUCINATION")</x:f>
        <x:v>0</x:v>
      </x:c>
      <x:c r="Z905" s="43" t="n">
        <x:f>--AND(Y905=1,R905=1,S905=1)</x:f>
        <x:v>0</x:v>
      </x:c>
      <x:c r="AC905" t="str">
        <x:f>IF(OR(AA905="",AB905=""),"",--(AA905&lt;&gt;AB905))</x:f>
      </x:c>
      <x:c r="AE905" t="str">
        <x:f>IF(OR(AA905="",AB905=""),"PENDING_HUMAN",IF(AA905=AB905,AA905,IF(AD905&lt;&gt;"",AD905,"PENDING_HUMAN")))</x:f>
        <x:v>PENDING_HUMAN</x:v>
      </x:c>
      <x:c r="AF905" t="n">
        <x:f>--AND(A905&lt;&gt;"",AA905&lt;&gt;"",AB905&lt;&gt;"",OR(AA905=AB905,AD905&lt;&gt;""),IF(AE905="HALLUCINATION",U905&lt;&gt;"",TRUE))</x:f>
        <x:v>0</x:v>
      </x:c>
      <x:c r="AG905" t="n">
        <x:f>--AND(N905=1,AF905=1,OR(AE905="SUPPORTED",AE905="HALLUCINATION"))</x:f>
        <x:v>0</x:v>
      </x:c>
      <x:c r="AH905" t="n">
        <x:f>--AND(AG905=1,AE905="HALLUCINATION")</x:f>
        <x:v>0</x:v>
      </x:c>
      <x:c r="AI905" t="n">
        <x:f>--AND(Q905=1,AF905=1,AE905="HALLUCINATION")</x:f>
        <x:v>0</x:v>
      </x:c>
      <x:c r="AJ905" t="n">
        <x:f>--AND(AI905=1,R905=1,S905=1)</x:f>
        <x:v>0</x:v>
      </x:c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8"/>
      <x:c r="P906" s="28"/>
      <x:c r="Q906" s="28"/>
      <x:c r="R906" s="28"/>
      <x:c r="S906" s="28"/>
      <x:c r="T906" s="28"/>
      <x:c r="U906" s="28"/>
      <x:c r="V906" s="28"/>
      <x:c r="W906" s="43" t="n">
        <x:f>--AND(N906=1,OR(O906="SUPPORTED",O906="HALLUCINATION"))</x:f>
        <x:v>0</x:v>
      </x:c>
      <x:c r="X906" s="43" t="n">
        <x:f>--AND(W906=1,O906="HALLUCINATION")</x:f>
        <x:v>0</x:v>
      </x:c>
      <x:c r="Y906" s="43" t="n">
        <x:f>--AND(Q906=1,O906="HALLUCINATION")</x:f>
        <x:v>0</x:v>
      </x:c>
      <x:c r="Z906" s="43" t="n">
        <x:f>--AND(Y906=1,R906=1,S906=1)</x:f>
        <x:v>0</x:v>
      </x:c>
      <x:c r="AC906" t="str">
        <x:f>IF(OR(AA906="",AB906=""),"",--(AA906&lt;&gt;AB906))</x:f>
      </x:c>
      <x:c r="AE906" t="str">
        <x:f>IF(OR(AA906="",AB906=""),"PENDING_HUMAN",IF(AA906=AB906,AA906,IF(AD906&lt;&gt;"",AD906,"PENDING_HUMAN")))</x:f>
        <x:v>PENDING_HUMAN</x:v>
      </x:c>
      <x:c r="AF906" t="n">
        <x:f>--AND(A906&lt;&gt;"",AA906&lt;&gt;"",AB906&lt;&gt;"",OR(AA906=AB906,AD906&lt;&gt;""),IF(AE906="HALLUCINATION",U906&lt;&gt;"",TRUE))</x:f>
        <x:v>0</x:v>
      </x:c>
      <x:c r="AG906" t="n">
        <x:f>--AND(N906=1,AF906=1,OR(AE906="SUPPORTED",AE906="HALLUCINATION"))</x:f>
        <x:v>0</x:v>
      </x:c>
      <x:c r="AH906" t="n">
        <x:f>--AND(AG906=1,AE906="HALLUCINATION")</x:f>
        <x:v>0</x:v>
      </x:c>
      <x:c r="AI906" t="n">
        <x:f>--AND(Q906=1,AF906=1,AE906="HALLUCINATION")</x:f>
        <x:v>0</x:v>
      </x:c>
      <x:c r="AJ906" t="n">
        <x:f>--AND(AI906=1,R906=1,S906=1)</x:f>
        <x:v>0</x:v>
      </x:c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8"/>
      <x:c r="P907" s="28"/>
      <x:c r="Q907" s="28"/>
      <x:c r="R907" s="28"/>
      <x:c r="S907" s="28"/>
      <x:c r="T907" s="28"/>
      <x:c r="U907" s="28"/>
      <x:c r="V907" s="28"/>
      <x:c r="W907" s="43" t="n">
        <x:f>--AND(N907=1,OR(O907="SUPPORTED",O907="HALLUCINATION"))</x:f>
        <x:v>0</x:v>
      </x:c>
      <x:c r="X907" s="43" t="n">
        <x:f>--AND(W907=1,O907="HALLUCINATION")</x:f>
        <x:v>0</x:v>
      </x:c>
      <x:c r="Y907" s="43" t="n">
        <x:f>--AND(Q907=1,O907="HALLUCINATION")</x:f>
        <x:v>0</x:v>
      </x:c>
      <x:c r="Z907" s="43" t="n">
        <x:f>--AND(Y907=1,R907=1,S907=1)</x:f>
        <x:v>0</x:v>
      </x:c>
      <x:c r="AC907" t="str">
        <x:f>IF(OR(AA907="",AB907=""),"",--(AA907&lt;&gt;AB907))</x:f>
      </x:c>
      <x:c r="AE907" t="str">
        <x:f>IF(OR(AA907="",AB907=""),"PENDING_HUMAN",IF(AA907=AB907,AA907,IF(AD907&lt;&gt;"",AD907,"PENDING_HUMAN")))</x:f>
        <x:v>PENDING_HUMAN</x:v>
      </x:c>
      <x:c r="AF907" t="n">
        <x:f>--AND(A907&lt;&gt;"",AA907&lt;&gt;"",AB907&lt;&gt;"",OR(AA907=AB907,AD907&lt;&gt;""),IF(AE907="HALLUCINATION",U907&lt;&gt;"",TRUE))</x:f>
        <x:v>0</x:v>
      </x:c>
      <x:c r="AG907" t="n">
        <x:f>--AND(N907=1,AF907=1,OR(AE907="SUPPORTED",AE907="HALLUCINATION"))</x:f>
        <x:v>0</x:v>
      </x:c>
      <x:c r="AH907" t="n">
        <x:f>--AND(AG907=1,AE907="HALLUCINATION")</x:f>
        <x:v>0</x:v>
      </x:c>
      <x:c r="AI907" t="n">
        <x:f>--AND(Q907=1,AF907=1,AE907="HALLUCINATION")</x:f>
        <x:v>0</x:v>
      </x:c>
      <x:c r="AJ907" t="n">
        <x:f>--AND(AI907=1,R907=1,S907=1)</x:f>
        <x:v>0</x:v>
      </x:c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8"/>
      <x:c r="P908" s="28"/>
      <x:c r="Q908" s="28"/>
      <x:c r="R908" s="28"/>
      <x:c r="S908" s="28"/>
      <x:c r="T908" s="28"/>
      <x:c r="U908" s="28"/>
      <x:c r="V908" s="28"/>
      <x:c r="W908" s="43" t="n">
        <x:f>--AND(N908=1,OR(O908="SUPPORTED",O908="HALLUCINATION"))</x:f>
        <x:v>0</x:v>
      </x:c>
      <x:c r="X908" s="43" t="n">
        <x:f>--AND(W908=1,O908="HALLUCINATION")</x:f>
        <x:v>0</x:v>
      </x:c>
      <x:c r="Y908" s="43" t="n">
        <x:f>--AND(Q908=1,O908="HALLUCINATION")</x:f>
        <x:v>0</x:v>
      </x:c>
      <x:c r="Z908" s="43" t="n">
        <x:f>--AND(Y908=1,R908=1,S908=1)</x:f>
        <x:v>0</x:v>
      </x:c>
      <x:c r="AC908" t="str">
        <x:f>IF(OR(AA908="",AB908=""),"",--(AA908&lt;&gt;AB908))</x:f>
      </x:c>
      <x:c r="AE908" t="str">
        <x:f>IF(OR(AA908="",AB908=""),"PENDING_HUMAN",IF(AA908=AB908,AA908,IF(AD908&lt;&gt;"",AD908,"PENDING_HUMAN")))</x:f>
        <x:v>PENDING_HUMAN</x:v>
      </x:c>
      <x:c r="AF908" t="n">
        <x:f>--AND(A908&lt;&gt;"",AA908&lt;&gt;"",AB908&lt;&gt;"",OR(AA908=AB908,AD908&lt;&gt;""),IF(AE908="HALLUCINATION",U908&lt;&gt;"",TRUE))</x:f>
        <x:v>0</x:v>
      </x:c>
      <x:c r="AG908" t="n">
        <x:f>--AND(N908=1,AF908=1,OR(AE908="SUPPORTED",AE908="HALLUCINATION"))</x:f>
        <x:v>0</x:v>
      </x:c>
      <x:c r="AH908" t="n">
        <x:f>--AND(AG908=1,AE908="HALLUCINATION")</x:f>
        <x:v>0</x:v>
      </x:c>
      <x:c r="AI908" t="n">
        <x:f>--AND(Q908=1,AF908=1,AE908="HALLUCINATION")</x:f>
        <x:v>0</x:v>
      </x:c>
      <x:c r="AJ908" t="n">
        <x:f>--AND(AI908=1,R908=1,S908=1)</x:f>
        <x:v>0</x:v>
      </x:c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8"/>
      <x:c r="P909" s="28"/>
      <x:c r="Q909" s="28"/>
      <x:c r="R909" s="28"/>
      <x:c r="S909" s="28"/>
      <x:c r="T909" s="28"/>
      <x:c r="U909" s="28"/>
      <x:c r="V909" s="28"/>
      <x:c r="W909" s="43" t="n">
        <x:f>--AND(N909=1,OR(O909="SUPPORTED",O909="HALLUCINATION"))</x:f>
        <x:v>0</x:v>
      </x:c>
      <x:c r="X909" s="43" t="n">
        <x:f>--AND(W909=1,O909="HALLUCINATION")</x:f>
        <x:v>0</x:v>
      </x:c>
      <x:c r="Y909" s="43" t="n">
        <x:f>--AND(Q909=1,O909="HALLUCINATION")</x:f>
        <x:v>0</x:v>
      </x:c>
      <x:c r="Z909" s="43" t="n">
        <x:f>--AND(Y909=1,R909=1,S909=1)</x:f>
        <x:v>0</x:v>
      </x:c>
      <x:c r="AC909" t="str">
        <x:f>IF(OR(AA909="",AB909=""),"",--(AA909&lt;&gt;AB909))</x:f>
      </x:c>
      <x:c r="AE909" t="str">
        <x:f>IF(OR(AA909="",AB909=""),"PENDING_HUMAN",IF(AA909=AB909,AA909,IF(AD909&lt;&gt;"",AD909,"PENDING_HUMAN")))</x:f>
        <x:v>PENDING_HUMAN</x:v>
      </x:c>
      <x:c r="AF909" t="n">
        <x:f>--AND(A909&lt;&gt;"",AA909&lt;&gt;"",AB909&lt;&gt;"",OR(AA909=AB909,AD909&lt;&gt;""),IF(AE909="HALLUCINATION",U909&lt;&gt;"",TRUE))</x:f>
        <x:v>0</x:v>
      </x:c>
      <x:c r="AG909" t="n">
        <x:f>--AND(N909=1,AF909=1,OR(AE909="SUPPORTED",AE909="HALLUCINATION"))</x:f>
        <x:v>0</x:v>
      </x:c>
      <x:c r="AH909" t="n">
        <x:f>--AND(AG909=1,AE909="HALLUCINATION")</x:f>
        <x:v>0</x:v>
      </x:c>
      <x:c r="AI909" t="n">
        <x:f>--AND(Q909=1,AF909=1,AE909="HALLUCINATION")</x:f>
        <x:v>0</x:v>
      </x:c>
      <x:c r="AJ909" t="n">
        <x:f>--AND(AI909=1,R909=1,S909=1)</x:f>
        <x:v>0</x:v>
      </x:c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8"/>
      <x:c r="P910" s="28"/>
      <x:c r="Q910" s="28"/>
      <x:c r="R910" s="28"/>
      <x:c r="S910" s="28"/>
      <x:c r="T910" s="28"/>
      <x:c r="U910" s="28"/>
      <x:c r="V910" s="28"/>
      <x:c r="W910" s="43" t="n">
        <x:f>--AND(N910=1,OR(O910="SUPPORTED",O910="HALLUCINATION"))</x:f>
        <x:v>0</x:v>
      </x:c>
      <x:c r="X910" s="43" t="n">
        <x:f>--AND(W910=1,O910="HALLUCINATION")</x:f>
        <x:v>0</x:v>
      </x:c>
      <x:c r="Y910" s="43" t="n">
        <x:f>--AND(Q910=1,O910="HALLUCINATION")</x:f>
        <x:v>0</x:v>
      </x:c>
      <x:c r="Z910" s="43" t="n">
        <x:f>--AND(Y910=1,R910=1,S910=1)</x:f>
        <x:v>0</x:v>
      </x:c>
      <x:c r="AC910" t="str">
        <x:f>IF(OR(AA910="",AB910=""),"",--(AA910&lt;&gt;AB910))</x:f>
      </x:c>
      <x:c r="AE910" t="str">
        <x:f>IF(OR(AA910="",AB910=""),"PENDING_HUMAN",IF(AA910=AB910,AA910,IF(AD910&lt;&gt;"",AD910,"PENDING_HUMAN")))</x:f>
        <x:v>PENDING_HUMAN</x:v>
      </x:c>
      <x:c r="AF910" t="n">
        <x:f>--AND(A910&lt;&gt;"",AA910&lt;&gt;"",AB910&lt;&gt;"",OR(AA910=AB910,AD910&lt;&gt;""),IF(AE910="HALLUCINATION",U910&lt;&gt;"",TRUE))</x:f>
        <x:v>0</x:v>
      </x:c>
      <x:c r="AG910" t="n">
        <x:f>--AND(N910=1,AF910=1,OR(AE910="SUPPORTED",AE910="HALLUCINATION"))</x:f>
        <x:v>0</x:v>
      </x:c>
      <x:c r="AH910" t="n">
        <x:f>--AND(AG910=1,AE910="HALLUCINATION")</x:f>
        <x:v>0</x:v>
      </x:c>
      <x:c r="AI910" t="n">
        <x:f>--AND(Q910=1,AF910=1,AE910="HALLUCINATION")</x:f>
        <x:v>0</x:v>
      </x:c>
      <x:c r="AJ910" t="n">
        <x:f>--AND(AI910=1,R910=1,S910=1)</x:f>
        <x:v>0</x:v>
      </x:c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8"/>
      <x:c r="P911" s="28"/>
      <x:c r="Q911" s="28"/>
      <x:c r="R911" s="28"/>
      <x:c r="S911" s="28"/>
      <x:c r="T911" s="28"/>
      <x:c r="U911" s="28"/>
      <x:c r="V911" s="28"/>
      <x:c r="W911" s="43" t="n">
        <x:f>--AND(N911=1,OR(O911="SUPPORTED",O911="HALLUCINATION"))</x:f>
        <x:v>0</x:v>
      </x:c>
      <x:c r="X911" s="43" t="n">
        <x:f>--AND(W911=1,O911="HALLUCINATION")</x:f>
        <x:v>0</x:v>
      </x:c>
      <x:c r="Y911" s="43" t="n">
        <x:f>--AND(Q911=1,O911="HALLUCINATION")</x:f>
        <x:v>0</x:v>
      </x:c>
      <x:c r="Z911" s="43" t="n">
        <x:f>--AND(Y911=1,R911=1,S911=1)</x:f>
        <x:v>0</x:v>
      </x:c>
      <x:c r="AC911" t="str">
        <x:f>IF(OR(AA911="",AB911=""),"",--(AA911&lt;&gt;AB911))</x:f>
      </x:c>
      <x:c r="AE911" t="str">
        <x:f>IF(OR(AA911="",AB911=""),"PENDING_HUMAN",IF(AA911=AB911,AA911,IF(AD911&lt;&gt;"",AD911,"PENDING_HUMAN")))</x:f>
        <x:v>PENDING_HUMAN</x:v>
      </x:c>
      <x:c r="AF911" t="n">
        <x:f>--AND(A911&lt;&gt;"",AA911&lt;&gt;"",AB911&lt;&gt;"",OR(AA911=AB911,AD911&lt;&gt;""),IF(AE911="HALLUCINATION",U911&lt;&gt;"",TRUE))</x:f>
        <x:v>0</x:v>
      </x:c>
      <x:c r="AG911" t="n">
        <x:f>--AND(N911=1,AF911=1,OR(AE911="SUPPORTED",AE911="HALLUCINATION"))</x:f>
        <x:v>0</x:v>
      </x:c>
      <x:c r="AH911" t="n">
        <x:f>--AND(AG911=1,AE911="HALLUCINATION")</x:f>
        <x:v>0</x:v>
      </x:c>
      <x:c r="AI911" t="n">
        <x:f>--AND(Q911=1,AF911=1,AE911="HALLUCINATION")</x:f>
        <x:v>0</x:v>
      </x:c>
      <x:c r="AJ911" t="n">
        <x:f>--AND(AI911=1,R911=1,S911=1)</x:f>
        <x:v>0</x:v>
      </x:c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8"/>
      <x:c r="P912" s="28"/>
      <x:c r="Q912" s="28"/>
      <x:c r="R912" s="28"/>
      <x:c r="S912" s="28"/>
      <x:c r="T912" s="28"/>
      <x:c r="U912" s="28"/>
      <x:c r="V912" s="28"/>
      <x:c r="W912" s="43" t="n">
        <x:f>--AND(N912=1,OR(O912="SUPPORTED",O912="HALLUCINATION"))</x:f>
        <x:v>0</x:v>
      </x:c>
      <x:c r="X912" s="43" t="n">
        <x:f>--AND(W912=1,O912="HALLUCINATION")</x:f>
        <x:v>0</x:v>
      </x:c>
      <x:c r="Y912" s="43" t="n">
        <x:f>--AND(Q912=1,O912="HALLUCINATION")</x:f>
        <x:v>0</x:v>
      </x:c>
      <x:c r="Z912" s="43" t="n">
        <x:f>--AND(Y912=1,R912=1,S912=1)</x:f>
        <x:v>0</x:v>
      </x:c>
      <x:c r="AC912" t="str">
        <x:f>IF(OR(AA912="",AB912=""),"",--(AA912&lt;&gt;AB912))</x:f>
      </x:c>
      <x:c r="AE912" t="str">
        <x:f>IF(OR(AA912="",AB912=""),"PENDING_HUMAN",IF(AA912=AB912,AA912,IF(AD912&lt;&gt;"",AD912,"PENDING_HUMAN")))</x:f>
        <x:v>PENDING_HUMAN</x:v>
      </x:c>
      <x:c r="AF912" t="n">
        <x:f>--AND(A912&lt;&gt;"",AA912&lt;&gt;"",AB912&lt;&gt;"",OR(AA912=AB912,AD912&lt;&gt;""),IF(AE912="HALLUCINATION",U912&lt;&gt;"",TRUE))</x:f>
        <x:v>0</x:v>
      </x:c>
      <x:c r="AG912" t="n">
        <x:f>--AND(N912=1,AF912=1,OR(AE912="SUPPORTED",AE912="HALLUCINATION"))</x:f>
        <x:v>0</x:v>
      </x:c>
      <x:c r="AH912" t="n">
        <x:f>--AND(AG912=1,AE912="HALLUCINATION")</x:f>
        <x:v>0</x:v>
      </x:c>
      <x:c r="AI912" t="n">
        <x:f>--AND(Q912=1,AF912=1,AE912="HALLUCINATION")</x:f>
        <x:v>0</x:v>
      </x:c>
      <x:c r="AJ912" t="n">
        <x:f>--AND(AI912=1,R912=1,S912=1)</x:f>
        <x:v>0</x:v>
      </x:c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8"/>
      <x:c r="P913" s="28"/>
      <x:c r="Q913" s="28"/>
      <x:c r="R913" s="28"/>
      <x:c r="S913" s="28"/>
      <x:c r="T913" s="28"/>
      <x:c r="U913" s="28"/>
      <x:c r="V913" s="28"/>
      <x:c r="W913" s="43" t="n">
        <x:f>--AND(N913=1,OR(O913="SUPPORTED",O913="HALLUCINATION"))</x:f>
        <x:v>0</x:v>
      </x:c>
      <x:c r="X913" s="43" t="n">
        <x:f>--AND(W913=1,O913="HALLUCINATION")</x:f>
        <x:v>0</x:v>
      </x:c>
      <x:c r="Y913" s="43" t="n">
        <x:f>--AND(Q913=1,O913="HALLUCINATION")</x:f>
        <x:v>0</x:v>
      </x:c>
      <x:c r="Z913" s="43" t="n">
        <x:f>--AND(Y913=1,R913=1,S913=1)</x:f>
        <x:v>0</x:v>
      </x:c>
      <x:c r="AC913" t="str">
        <x:f>IF(OR(AA913="",AB913=""),"",--(AA913&lt;&gt;AB913))</x:f>
      </x:c>
      <x:c r="AE913" t="str">
        <x:f>IF(OR(AA913="",AB913=""),"PENDING_HUMAN",IF(AA913=AB913,AA913,IF(AD913&lt;&gt;"",AD913,"PENDING_HUMAN")))</x:f>
        <x:v>PENDING_HUMAN</x:v>
      </x:c>
      <x:c r="AF913" t="n">
        <x:f>--AND(A913&lt;&gt;"",AA913&lt;&gt;"",AB913&lt;&gt;"",OR(AA913=AB913,AD913&lt;&gt;""),IF(AE913="HALLUCINATION",U913&lt;&gt;"",TRUE))</x:f>
        <x:v>0</x:v>
      </x:c>
      <x:c r="AG913" t="n">
        <x:f>--AND(N913=1,AF913=1,OR(AE913="SUPPORTED",AE913="HALLUCINATION"))</x:f>
        <x:v>0</x:v>
      </x:c>
      <x:c r="AH913" t="n">
        <x:f>--AND(AG913=1,AE913="HALLUCINATION")</x:f>
        <x:v>0</x:v>
      </x:c>
      <x:c r="AI913" t="n">
        <x:f>--AND(Q913=1,AF913=1,AE913="HALLUCINATION")</x:f>
        <x:v>0</x:v>
      </x:c>
      <x:c r="AJ913" t="n">
        <x:f>--AND(AI913=1,R913=1,S913=1)</x:f>
        <x:v>0</x:v>
      </x:c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8"/>
      <x:c r="P914" s="28"/>
      <x:c r="Q914" s="28"/>
      <x:c r="R914" s="28"/>
      <x:c r="S914" s="28"/>
      <x:c r="T914" s="28"/>
      <x:c r="U914" s="28"/>
      <x:c r="V914" s="28"/>
      <x:c r="W914" s="43" t="n">
        <x:f>--AND(N914=1,OR(O914="SUPPORTED",O914="HALLUCINATION"))</x:f>
        <x:v>0</x:v>
      </x:c>
      <x:c r="X914" s="43" t="n">
        <x:f>--AND(W914=1,O914="HALLUCINATION")</x:f>
        <x:v>0</x:v>
      </x:c>
      <x:c r="Y914" s="43" t="n">
        <x:f>--AND(Q914=1,O914="HALLUCINATION")</x:f>
        <x:v>0</x:v>
      </x:c>
      <x:c r="Z914" s="43" t="n">
        <x:f>--AND(Y914=1,R914=1,S914=1)</x:f>
        <x:v>0</x:v>
      </x:c>
      <x:c r="AC914" t="str">
        <x:f>IF(OR(AA914="",AB914=""),"",--(AA914&lt;&gt;AB914))</x:f>
      </x:c>
      <x:c r="AE914" t="str">
        <x:f>IF(OR(AA914="",AB914=""),"PENDING_HUMAN",IF(AA914=AB914,AA914,IF(AD914&lt;&gt;"",AD914,"PENDING_HUMAN")))</x:f>
        <x:v>PENDING_HUMAN</x:v>
      </x:c>
      <x:c r="AF914" t="n">
        <x:f>--AND(A914&lt;&gt;"",AA914&lt;&gt;"",AB914&lt;&gt;"",OR(AA914=AB914,AD914&lt;&gt;""),IF(AE914="HALLUCINATION",U914&lt;&gt;"",TRUE))</x:f>
        <x:v>0</x:v>
      </x:c>
      <x:c r="AG914" t="n">
        <x:f>--AND(N914=1,AF914=1,OR(AE914="SUPPORTED",AE914="HALLUCINATION"))</x:f>
        <x:v>0</x:v>
      </x:c>
      <x:c r="AH914" t="n">
        <x:f>--AND(AG914=1,AE914="HALLUCINATION")</x:f>
        <x:v>0</x:v>
      </x:c>
      <x:c r="AI914" t="n">
        <x:f>--AND(Q914=1,AF914=1,AE914="HALLUCINATION")</x:f>
        <x:v>0</x:v>
      </x:c>
      <x:c r="AJ914" t="n">
        <x:f>--AND(AI914=1,R914=1,S914=1)</x:f>
        <x:v>0</x:v>
      </x:c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8"/>
      <x:c r="P915" s="28"/>
      <x:c r="Q915" s="28"/>
      <x:c r="R915" s="28"/>
      <x:c r="S915" s="28"/>
      <x:c r="T915" s="28"/>
      <x:c r="U915" s="28"/>
      <x:c r="V915" s="28"/>
      <x:c r="W915" s="43" t="n">
        <x:f>--AND(N915=1,OR(O915="SUPPORTED",O915="HALLUCINATION"))</x:f>
        <x:v>0</x:v>
      </x:c>
      <x:c r="X915" s="43" t="n">
        <x:f>--AND(W915=1,O915="HALLUCINATION")</x:f>
        <x:v>0</x:v>
      </x:c>
      <x:c r="Y915" s="43" t="n">
        <x:f>--AND(Q915=1,O915="HALLUCINATION")</x:f>
        <x:v>0</x:v>
      </x:c>
      <x:c r="Z915" s="43" t="n">
        <x:f>--AND(Y915=1,R915=1,S915=1)</x:f>
        <x:v>0</x:v>
      </x:c>
      <x:c r="AC915" t="str">
        <x:f>IF(OR(AA915="",AB915=""),"",--(AA915&lt;&gt;AB915))</x:f>
      </x:c>
      <x:c r="AE915" t="str">
        <x:f>IF(OR(AA915="",AB915=""),"PENDING_HUMAN",IF(AA915=AB915,AA915,IF(AD915&lt;&gt;"",AD915,"PENDING_HUMAN")))</x:f>
        <x:v>PENDING_HUMAN</x:v>
      </x:c>
      <x:c r="AF915" t="n">
        <x:f>--AND(A915&lt;&gt;"",AA915&lt;&gt;"",AB915&lt;&gt;"",OR(AA915=AB915,AD915&lt;&gt;""),IF(AE915="HALLUCINATION",U915&lt;&gt;"",TRUE))</x:f>
        <x:v>0</x:v>
      </x:c>
      <x:c r="AG915" t="n">
        <x:f>--AND(N915=1,AF915=1,OR(AE915="SUPPORTED",AE915="HALLUCINATION"))</x:f>
        <x:v>0</x:v>
      </x:c>
      <x:c r="AH915" t="n">
        <x:f>--AND(AG915=1,AE915="HALLUCINATION")</x:f>
        <x:v>0</x:v>
      </x:c>
      <x:c r="AI915" t="n">
        <x:f>--AND(Q915=1,AF915=1,AE915="HALLUCINATION")</x:f>
        <x:v>0</x:v>
      </x:c>
      <x:c r="AJ915" t="n">
        <x:f>--AND(AI915=1,R915=1,S915=1)</x:f>
        <x:v>0</x:v>
      </x:c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8"/>
      <x:c r="P916" s="28"/>
      <x:c r="Q916" s="28"/>
      <x:c r="R916" s="28"/>
      <x:c r="S916" s="28"/>
      <x:c r="T916" s="28"/>
      <x:c r="U916" s="28"/>
      <x:c r="V916" s="28"/>
      <x:c r="W916" s="43" t="n">
        <x:f>--AND(N916=1,OR(O916="SUPPORTED",O916="HALLUCINATION"))</x:f>
        <x:v>0</x:v>
      </x:c>
      <x:c r="X916" s="43" t="n">
        <x:f>--AND(W916=1,O916="HALLUCINATION")</x:f>
        <x:v>0</x:v>
      </x:c>
      <x:c r="Y916" s="43" t="n">
        <x:f>--AND(Q916=1,O916="HALLUCINATION")</x:f>
        <x:v>0</x:v>
      </x:c>
      <x:c r="Z916" s="43" t="n">
        <x:f>--AND(Y916=1,R916=1,S916=1)</x:f>
        <x:v>0</x:v>
      </x:c>
      <x:c r="AC916" t="str">
        <x:f>IF(OR(AA916="",AB916=""),"",--(AA916&lt;&gt;AB916))</x:f>
      </x:c>
      <x:c r="AE916" t="str">
        <x:f>IF(OR(AA916="",AB916=""),"PENDING_HUMAN",IF(AA916=AB916,AA916,IF(AD916&lt;&gt;"",AD916,"PENDING_HUMAN")))</x:f>
        <x:v>PENDING_HUMAN</x:v>
      </x:c>
      <x:c r="AF916" t="n">
        <x:f>--AND(A916&lt;&gt;"",AA916&lt;&gt;"",AB916&lt;&gt;"",OR(AA916=AB916,AD916&lt;&gt;""),IF(AE916="HALLUCINATION",U916&lt;&gt;"",TRUE))</x:f>
        <x:v>0</x:v>
      </x:c>
      <x:c r="AG916" t="n">
        <x:f>--AND(N916=1,AF916=1,OR(AE916="SUPPORTED",AE916="HALLUCINATION"))</x:f>
        <x:v>0</x:v>
      </x:c>
      <x:c r="AH916" t="n">
        <x:f>--AND(AG916=1,AE916="HALLUCINATION")</x:f>
        <x:v>0</x:v>
      </x:c>
      <x:c r="AI916" t="n">
        <x:f>--AND(Q916=1,AF916=1,AE916="HALLUCINATION")</x:f>
        <x:v>0</x:v>
      </x:c>
      <x:c r="AJ916" t="n">
        <x:f>--AND(AI916=1,R916=1,S916=1)</x:f>
        <x:v>0</x:v>
      </x:c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8"/>
      <x:c r="P917" s="28"/>
      <x:c r="Q917" s="28"/>
      <x:c r="R917" s="28"/>
      <x:c r="S917" s="28"/>
      <x:c r="T917" s="28"/>
      <x:c r="U917" s="28"/>
      <x:c r="V917" s="28"/>
      <x:c r="W917" s="43" t="n">
        <x:f>--AND(N917=1,OR(O917="SUPPORTED",O917="HALLUCINATION"))</x:f>
        <x:v>0</x:v>
      </x:c>
      <x:c r="X917" s="43" t="n">
        <x:f>--AND(W917=1,O917="HALLUCINATION")</x:f>
        <x:v>0</x:v>
      </x:c>
      <x:c r="Y917" s="43" t="n">
        <x:f>--AND(Q917=1,O917="HALLUCINATION")</x:f>
        <x:v>0</x:v>
      </x:c>
      <x:c r="Z917" s="43" t="n">
        <x:f>--AND(Y917=1,R917=1,S917=1)</x:f>
        <x:v>0</x:v>
      </x:c>
      <x:c r="AC917" t="str">
        <x:f>IF(OR(AA917="",AB917=""),"",--(AA917&lt;&gt;AB917))</x:f>
      </x:c>
      <x:c r="AE917" t="str">
        <x:f>IF(OR(AA917="",AB917=""),"PENDING_HUMAN",IF(AA917=AB917,AA917,IF(AD917&lt;&gt;"",AD917,"PENDING_HUMAN")))</x:f>
        <x:v>PENDING_HUMAN</x:v>
      </x:c>
      <x:c r="AF917" t="n">
        <x:f>--AND(A917&lt;&gt;"",AA917&lt;&gt;"",AB917&lt;&gt;"",OR(AA917=AB917,AD917&lt;&gt;""),IF(AE917="HALLUCINATION",U917&lt;&gt;"",TRUE))</x:f>
        <x:v>0</x:v>
      </x:c>
      <x:c r="AG917" t="n">
        <x:f>--AND(N917=1,AF917=1,OR(AE917="SUPPORTED",AE917="HALLUCINATION"))</x:f>
        <x:v>0</x:v>
      </x:c>
      <x:c r="AH917" t="n">
        <x:f>--AND(AG917=1,AE917="HALLUCINATION")</x:f>
        <x:v>0</x:v>
      </x:c>
      <x:c r="AI917" t="n">
        <x:f>--AND(Q917=1,AF917=1,AE917="HALLUCINATION")</x:f>
        <x:v>0</x:v>
      </x:c>
      <x:c r="AJ917" t="n">
        <x:f>--AND(AI917=1,R917=1,S917=1)</x:f>
        <x:v>0</x:v>
      </x:c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8"/>
      <x:c r="P918" s="28"/>
      <x:c r="Q918" s="28"/>
      <x:c r="R918" s="28"/>
      <x:c r="S918" s="28"/>
      <x:c r="T918" s="28"/>
      <x:c r="U918" s="28"/>
      <x:c r="V918" s="28"/>
      <x:c r="W918" s="43" t="n">
        <x:f>--AND(N918=1,OR(O918="SUPPORTED",O918="HALLUCINATION"))</x:f>
        <x:v>0</x:v>
      </x:c>
      <x:c r="X918" s="43" t="n">
        <x:f>--AND(W918=1,O918="HALLUCINATION")</x:f>
        <x:v>0</x:v>
      </x:c>
      <x:c r="Y918" s="43" t="n">
        <x:f>--AND(Q918=1,O918="HALLUCINATION")</x:f>
        <x:v>0</x:v>
      </x:c>
      <x:c r="Z918" s="43" t="n">
        <x:f>--AND(Y918=1,R918=1,S918=1)</x:f>
        <x:v>0</x:v>
      </x:c>
      <x:c r="AC918" t="str">
        <x:f>IF(OR(AA918="",AB918=""),"",--(AA918&lt;&gt;AB918))</x:f>
      </x:c>
      <x:c r="AE918" t="str">
        <x:f>IF(OR(AA918="",AB918=""),"PENDING_HUMAN",IF(AA918=AB918,AA918,IF(AD918&lt;&gt;"",AD918,"PENDING_HUMAN")))</x:f>
        <x:v>PENDING_HUMAN</x:v>
      </x:c>
      <x:c r="AF918" t="n">
        <x:f>--AND(A918&lt;&gt;"",AA918&lt;&gt;"",AB918&lt;&gt;"",OR(AA918=AB918,AD918&lt;&gt;""),IF(AE918="HALLUCINATION",U918&lt;&gt;"",TRUE))</x:f>
        <x:v>0</x:v>
      </x:c>
      <x:c r="AG918" t="n">
        <x:f>--AND(N918=1,AF918=1,OR(AE918="SUPPORTED",AE918="HALLUCINATION"))</x:f>
        <x:v>0</x:v>
      </x:c>
      <x:c r="AH918" t="n">
        <x:f>--AND(AG918=1,AE918="HALLUCINATION")</x:f>
        <x:v>0</x:v>
      </x:c>
      <x:c r="AI918" t="n">
        <x:f>--AND(Q918=1,AF918=1,AE918="HALLUCINATION")</x:f>
        <x:v>0</x:v>
      </x:c>
      <x:c r="AJ918" t="n">
        <x:f>--AND(AI918=1,R918=1,S918=1)</x:f>
        <x:v>0</x:v>
      </x:c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8"/>
      <x:c r="P919" s="28"/>
      <x:c r="Q919" s="28"/>
      <x:c r="R919" s="28"/>
      <x:c r="S919" s="28"/>
      <x:c r="T919" s="28"/>
      <x:c r="U919" s="28"/>
      <x:c r="V919" s="28"/>
      <x:c r="W919" s="43" t="n">
        <x:f>--AND(N919=1,OR(O919="SUPPORTED",O919="HALLUCINATION"))</x:f>
        <x:v>0</x:v>
      </x:c>
      <x:c r="X919" s="43" t="n">
        <x:f>--AND(W919=1,O919="HALLUCINATION")</x:f>
        <x:v>0</x:v>
      </x:c>
      <x:c r="Y919" s="43" t="n">
        <x:f>--AND(Q919=1,O919="HALLUCINATION")</x:f>
        <x:v>0</x:v>
      </x:c>
      <x:c r="Z919" s="43" t="n">
        <x:f>--AND(Y919=1,R919=1,S919=1)</x:f>
        <x:v>0</x:v>
      </x:c>
      <x:c r="AC919" t="str">
        <x:f>IF(OR(AA919="",AB919=""),"",--(AA919&lt;&gt;AB919))</x:f>
      </x:c>
      <x:c r="AE919" t="str">
        <x:f>IF(OR(AA919="",AB919=""),"PENDING_HUMAN",IF(AA919=AB919,AA919,IF(AD919&lt;&gt;"",AD919,"PENDING_HUMAN")))</x:f>
        <x:v>PENDING_HUMAN</x:v>
      </x:c>
      <x:c r="AF919" t="n">
        <x:f>--AND(A919&lt;&gt;"",AA919&lt;&gt;"",AB919&lt;&gt;"",OR(AA919=AB919,AD919&lt;&gt;""),IF(AE919="HALLUCINATION",U919&lt;&gt;"",TRUE))</x:f>
        <x:v>0</x:v>
      </x:c>
      <x:c r="AG919" t="n">
        <x:f>--AND(N919=1,AF919=1,OR(AE919="SUPPORTED",AE919="HALLUCINATION"))</x:f>
        <x:v>0</x:v>
      </x:c>
      <x:c r="AH919" t="n">
        <x:f>--AND(AG919=1,AE919="HALLUCINATION")</x:f>
        <x:v>0</x:v>
      </x:c>
      <x:c r="AI919" t="n">
        <x:f>--AND(Q919=1,AF919=1,AE919="HALLUCINATION")</x:f>
        <x:v>0</x:v>
      </x:c>
      <x:c r="AJ919" t="n">
        <x:f>--AND(AI919=1,R919=1,S919=1)</x:f>
        <x:v>0</x:v>
      </x:c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8"/>
      <x:c r="P920" s="28"/>
      <x:c r="Q920" s="28"/>
      <x:c r="R920" s="28"/>
      <x:c r="S920" s="28"/>
      <x:c r="T920" s="28"/>
      <x:c r="U920" s="28"/>
      <x:c r="V920" s="28"/>
      <x:c r="W920" s="43" t="n">
        <x:f>--AND(N920=1,OR(O920="SUPPORTED",O920="HALLUCINATION"))</x:f>
        <x:v>0</x:v>
      </x:c>
      <x:c r="X920" s="43" t="n">
        <x:f>--AND(W920=1,O920="HALLUCINATION")</x:f>
        <x:v>0</x:v>
      </x:c>
      <x:c r="Y920" s="43" t="n">
        <x:f>--AND(Q920=1,O920="HALLUCINATION")</x:f>
        <x:v>0</x:v>
      </x:c>
      <x:c r="Z920" s="43" t="n">
        <x:f>--AND(Y920=1,R920=1,S920=1)</x:f>
        <x:v>0</x:v>
      </x:c>
      <x:c r="AC920" t="str">
        <x:f>IF(OR(AA920="",AB920=""),"",--(AA920&lt;&gt;AB920))</x:f>
      </x:c>
      <x:c r="AE920" t="str">
        <x:f>IF(OR(AA920="",AB920=""),"PENDING_HUMAN",IF(AA920=AB920,AA920,IF(AD920&lt;&gt;"",AD920,"PENDING_HUMAN")))</x:f>
        <x:v>PENDING_HUMAN</x:v>
      </x:c>
      <x:c r="AF920" t="n">
        <x:f>--AND(A920&lt;&gt;"",AA920&lt;&gt;"",AB920&lt;&gt;"",OR(AA920=AB920,AD920&lt;&gt;""),IF(AE920="HALLUCINATION",U920&lt;&gt;"",TRUE))</x:f>
        <x:v>0</x:v>
      </x:c>
      <x:c r="AG920" t="n">
        <x:f>--AND(N920=1,AF920=1,OR(AE920="SUPPORTED",AE920="HALLUCINATION"))</x:f>
        <x:v>0</x:v>
      </x:c>
      <x:c r="AH920" t="n">
        <x:f>--AND(AG920=1,AE920="HALLUCINATION")</x:f>
        <x:v>0</x:v>
      </x:c>
      <x:c r="AI920" t="n">
        <x:f>--AND(Q920=1,AF920=1,AE920="HALLUCINATION")</x:f>
        <x:v>0</x:v>
      </x:c>
      <x:c r="AJ920" t="n">
        <x:f>--AND(AI920=1,R920=1,S920=1)</x:f>
        <x:v>0</x:v>
      </x:c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8"/>
      <x:c r="P921" s="28"/>
      <x:c r="Q921" s="28"/>
      <x:c r="R921" s="28"/>
      <x:c r="S921" s="28"/>
      <x:c r="T921" s="28"/>
      <x:c r="U921" s="28"/>
      <x:c r="V921" s="28"/>
      <x:c r="W921" s="43" t="n">
        <x:f>--AND(N921=1,OR(O921="SUPPORTED",O921="HALLUCINATION"))</x:f>
        <x:v>0</x:v>
      </x:c>
      <x:c r="X921" s="43" t="n">
        <x:f>--AND(W921=1,O921="HALLUCINATION")</x:f>
        <x:v>0</x:v>
      </x:c>
      <x:c r="Y921" s="43" t="n">
        <x:f>--AND(Q921=1,O921="HALLUCINATION")</x:f>
        <x:v>0</x:v>
      </x:c>
      <x:c r="Z921" s="43" t="n">
        <x:f>--AND(Y921=1,R921=1,S921=1)</x:f>
        <x:v>0</x:v>
      </x:c>
      <x:c r="AC921" t="str">
        <x:f>IF(OR(AA921="",AB921=""),"",--(AA921&lt;&gt;AB921))</x:f>
      </x:c>
      <x:c r="AE921" t="str">
        <x:f>IF(OR(AA921="",AB921=""),"PENDING_HUMAN",IF(AA921=AB921,AA921,IF(AD921&lt;&gt;"",AD921,"PENDING_HUMAN")))</x:f>
        <x:v>PENDING_HUMAN</x:v>
      </x:c>
      <x:c r="AF921" t="n">
        <x:f>--AND(A921&lt;&gt;"",AA921&lt;&gt;"",AB921&lt;&gt;"",OR(AA921=AB921,AD921&lt;&gt;""),IF(AE921="HALLUCINATION",U921&lt;&gt;"",TRUE))</x:f>
        <x:v>0</x:v>
      </x:c>
      <x:c r="AG921" t="n">
        <x:f>--AND(N921=1,AF921=1,OR(AE921="SUPPORTED",AE921="HALLUCINATION"))</x:f>
        <x:v>0</x:v>
      </x:c>
      <x:c r="AH921" t="n">
        <x:f>--AND(AG921=1,AE921="HALLUCINATION")</x:f>
        <x:v>0</x:v>
      </x:c>
      <x:c r="AI921" t="n">
        <x:f>--AND(Q921=1,AF921=1,AE921="HALLUCINATION")</x:f>
        <x:v>0</x:v>
      </x:c>
      <x:c r="AJ921" t="n">
        <x:f>--AND(AI921=1,R921=1,S921=1)</x:f>
        <x:v>0</x:v>
      </x:c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8"/>
      <x:c r="P922" s="28"/>
      <x:c r="Q922" s="28"/>
      <x:c r="R922" s="28"/>
      <x:c r="S922" s="28"/>
      <x:c r="T922" s="28"/>
      <x:c r="U922" s="28"/>
      <x:c r="V922" s="28"/>
      <x:c r="W922" s="43" t="n">
        <x:f>--AND(N922=1,OR(O922="SUPPORTED",O922="HALLUCINATION"))</x:f>
        <x:v>0</x:v>
      </x:c>
      <x:c r="X922" s="43" t="n">
        <x:f>--AND(W922=1,O922="HALLUCINATION")</x:f>
        <x:v>0</x:v>
      </x:c>
      <x:c r="Y922" s="43" t="n">
        <x:f>--AND(Q922=1,O922="HALLUCINATION")</x:f>
        <x:v>0</x:v>
      </x:c>
      <x:c r="Z922" s="43" t="n">
        <x:f>--AND(Y922=1,R922=1,S922=1)</x:f>
        <x:v>0</x:v>
      </x:c>
      <x:c r="AC922" t="str">
        <x:f>IF(OR(AA922="",AB922=""),"",--(AA922&lt;&gt;AB922))</x:f>
      </x:c>
      <x:c r="AE922" t="str">
        <x:f>IF(OR(AA922="",AB922=""),"PENDING_HUMAN",IF(AA922=AB922,AA922,IF(AD922&lt;&gt;"",AD922,"PENDING_HUMAN")))</x:f>
        <x:v>PENDING_HUMAN</x:v>
      </x:c>
      <x:c r="AF922" t="n">
        <x:f>--AND(A922&lt;&gt;"",AA922&lt;&gt;"",AB922&lt;&gt;"",OR(AA922=AB922,AD922&lt;&gt;""),IF(AE922="HALLUCINATION",U922&lt;&gt;"",TRUE))</x:f>
        <x:v>0</x:v>
      </x:c>
      <x:c r="AG922" t="n">
        <x:f>--AND(N922=1,AF922=1,OR(AE922="SUPPORTED",AE922="HALLUCINATION"))</x:f>
        <x:v>0</x:v>
      </x:c>
      <x:c r="AH922" t="n">
        <x:f>--AND(AG922=1,AE922="HALLUCINATION")</x:f>
        <x:v>0</x:v>
      </x:c>
      <x:c r="AI922" t="n">
        <x:f>--AND(Q922=1,AF922=1,AE922="HALLUCINATION")</x:f>
        <x:v>0</x:v>
      </x:c>
      <x:c r="AJ922" t="n">
        <x:f>--AND(AI922=1,R922=1,S922=1)</x:f>
        <x:v>0</x:v>
      </x:c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8"/>
      <x:c r="P923" s="28"/>
      <x:c r="Q923" s="28"/>
      <x:c r="R923" s="28"/>
      <x:c r="S923" s="28"/>
      <x:c r="T923" s="28"/>
      <x:c r="U923" s="28"/>
      <x:c r="V923" s="28"/>
      <x:c r="W923" s="43" t="n">
        <x:f>--AND(N923=1,OR(O923="SUPPORTED",O923="HALLUCINATION"))</x:f>
        <x:v>0</x:v>
      </x:c>
      <x:c r="X923" s="43" t="n">
        <x:f>--AND(W923=1,O923="HALLUCINATION")</x:f>
        <x:v>0</x:v>
      </x:c>
      <x:c r="Y923" s="43" t="n">
        <x:f>--AND(Q923=1,O923="HALLUCINATION")</x:f>
        <x:v>0</x:v>
      </x:c>
      <x:c r="Z923" s="43" t="n">
        <x:f>--AND(Y923=1,R923=1,S923=1)</x:f>
        <x:v>0</x:v>
      </x:c>
      <x:c r="AC923" t="str">
        <x:f>IF(OR(AA923="",AB923=""),"",--(AA923&lt;&gt;AB923))</x:f>
      </x:c>
      <x:c r="AE923" t="str">
        <x:f>IF(OR(AA923="",AB923=""),"PENDING_HUMAN",IF(AA923=AB923,AA923,IF(AD923&lt;&gt;"",AD923,"PENDING_HUMAN")))</x:f>
        <x:v>PENDING_HUMAN</x:v>
      </x:c>
      <x:c r="AF923" t="n">
        <x:f>--AND(A923&lt;&gt;"",AA923&lt;&gt;"",AB923&lt;&gt;"",OR(AA923=AB923,AD923&lt;&gt;""),IF(AE923="HALLUCINATION",U923&lt;&gt;"",TRUE))</x:f>
        <x:v>0</x:v>
      </x:c>
      <x:c r="AG923" t="n">
        <x:f>--AND(N923=1,AF923=1,OR(AE923="SUPPORTED",AE923="HALLUCINATION"))</x:f>
        <x:v>0</x:v>
      </x:c>
      <x:c r="AH923" t="n">
        <x:f>--AND(AG923=1,AE923="HALLUCINATION")</x:f>
        <x:v>0</x:v>
      </x:c>
      <x:c r="AI923" t="n">
        <x:f>--AND(Q923=1,AF923=1,AE923="HALLUCINATION")</x:f>
        <x:v>0</x:v>
      </x:c>
      <x:c r="AJ923" t="n">
        <x:f>--AND(AI923=1,R923=1,S923=1)</x:f>
        <x:v>0</x:v>
      </x:c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8"/>
      <x:c r="P924" s="28"/>
      <x:c r="Q924" s="28"/>
      <x:c r="R924" s="28"/>
      <x:c r="S924" s="28"/>
      <x:c r="T924" s="28"/>
      <x:c r="U924" s="28"/>
      <x:c r="V924" s="28"/>
      <x:c r="W924" s="43" t="n">
        <x:f>--AND(N924=1,OR(O924="SUPPORTED",O924="HALLUCINATION"))</x:f>
        <x:v>0</x:v>
      </x:c>
      <x:c r="X924" s="43" t="n">
        <x:f>--AND(W924=1,O924="HALLUCINATION")</x:f>
        <x:v>0</x:v>
      </x:c>
      <x:c r="Y924" s="43" t="n">
        <x:f>--AND(Q924=1,O924="HALLUCINATION")</x:f>
        <x:v>0</x:v>
      </x:c>
      <x:c r="Z924" s="43" t="n">
        <x:f>--AND(Y924=1,R924=1,S924=1)</x:f>
        <x:v>0</x:v>
      </x:c>
      <x:c r="AC924" t="str">
        <x:f>IF(OR(AA924="",AB924=""),"",--(AA924&lt;&gt;AB924))</x:f>
      </x:c>
      <x:c r="AE924" t="str">
        <x:f>IF(OR(AA924="",AB924=""),"PENDING_HUMAN",IF(AA924=AB924,AA924,IF(AD924&lt;&gt;"",AD924,"PENDING_HUMAN")))</x:f>
        <x:v>PENDING_HUMAN</x:v>
      </x:c>
      <x:c r="AF924" t="n">
        <x:f>--AND(A924&lt;&gt;"",AA924&lt;&gt;"",AB924&lt;&gt;"",OR(AA924=AB924,AD924&lt;&gt;""),IF(AE924="HALLUCINATION",U924&lt;&gt;"",TRUE))</x:f>
        <x:v>0</x:v>
      </x:c>
      <x:c r="AG924" t="n">
        <x:f>--AND(N924=1,AF924=1,OR(AE924="SUPPORTED",AE924="HALLUCINATION"))</x:f>
        <x:v>0</x:v>
      </x:c>
      <x:c r="AH924" t="n">
        <x:f>--AND(AG924=1,AE924="HALLUCINATION")</x:f>
        <x:v>0</x:v>
      </x:c>
      <x:c r="AI924" t="n">
        <x:f>--AND(Q924=1,AF924=1,AE924="HALLUCINATION")</x:f>
        <x:v>0</x:v>
      </x:c>
      <x:c r="AJ924" t="n">
        <x:f>--AND(AI924=1,R924=1,S924=1)</x:f>
        <x:v>0</x:v>
      </x:c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8"/>
      <x:c r="P925" s="28"/>
      <x:c r="Q925" s="28"/>
      <x:c r="R925" s="28"/>
      <x:c r="S925" s="28"/>
      <x:c r="T925" s="28"/>
      <x:c r="U925" s="28"/>
      <x:c r="V925" s="28"/>
      <x:c r="W925" s="43" t="n">
        <x:f>--AND(N925=1,OR(O925="SUPPORTED",O925="HALLUCINATION"))</x:f>
        <x:v>0</x:v>
      </x:c>
      <x:c r="X925" s="43" t="n">
        <x:f>--AND(W925=1,O925="HALLUCINATION")</x:f>
        <x:v>0</x:v>
      </x:c>
      <x:c r="Y925" s="43" t="n">
        <x:f>--AND(Q925=1,O925="HALLUCINATION")</x:f>
        <x:v>0</x:v>
      </x:c>
      <x:c r="Z925" s="43" t="n">
        <x:f>--AND(Y925=1,R925=1,S925=1)</x:f>
        <x:v>0</x:v>
      </x:c>
      <x:c r="AC925" t="str">
        <x:f>IF(OR(AA925="",AB925=""),"",--(AA925&lt;&gt;AB925))</x:f>
      </x:c>
      <x:c r="AE925" t="str">
        <x:f>IF(OR(AA925="",AB925=""),"PENDING_HUMAN",IF(AA925=AB925,AA925,IF(AD925&lt;&gt;"",AD925,"PENDING_HUMAN")))</x:f>
        <x:v>PENDING_HUMAN</x:v>
      </x:c>
      <x:c r="AF925" t="n">
        <x:f>--AND(A925&lt;&gt;"",AA925&lt;&gt;"",AB925&lt;&gt;"",OR(AA925=AB925,AD925&lt;&gt;""),IF(AE925="HALLUCINATION",U925&lt;&gt;"",TRUE))</x:f>
        <x:v>0</x:v>
      </x:c>
      <x:c r="AG925" t="n">
        <x:f>--AND(N925=1,AF925=1,OR(AE925="SUPPORTED",AE925="HALLUCINATION"))</x:f>
        <x:v>0</x:v>
      </x:c>
      <x:c r="AH925" t="n">
        <x:f>--AND(AG925=1,AE925="HALLUCINATION")</x:f>
        <x:v>0</x:v>
      </x:c>
      <x:c r="AI925" t="n">
        <x:f>--AND(Q925=1,AF925=1,AE925="HALLUCINATION")</x:f>
        <x:v>0</x:v>
      </x:c>
      <x:c r="AJ925" t="n">
        <x:f>--AND(AI925=1,R925=1,S925=1)</x:f>
        <x:v>0</x:v>
      </x:c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8"/>
      <x:c r="P926" s="28"/>
      <x:c r="Q926" s="28"/>
      <x:c r="R926" s="28"/>
      <x:c r="S926" s="28"/>
      <x:c r="T926" s="28"/>
      <x:c r="U926" s="28"/>
      <x:c r="V926" s="28"/>
      <x:c r="W926" s="43" t="n">
        <x:f>--AND(N926=1,OR(O926="SUPPORTED",O926="HALLUCINATION"))</x:f>
        <x:v>0</x:v>
      </x:c>
      <x:c r="X926" s="43" t="n">
        <x:f>--AND(W926=1,O926="HALLUCINATION")</x:f>
        <x:v>0</x:v>
      </x:c>
      <x:c r="Y926" s="43" t="n">
        <x:f>--AND(Q926=1,O926="HALLUCINATION")</x:f>
        <x:v>0</x:v>
      </x:c>
      <x:c r="Z926" s="43" t="n">
        <x:f>--AND(Y926=1,R926=1,S926=1)</x:f>
        <x:v>0</x:v>
      </x:c>
      <x:c r="AC926" t="str">
        <x:f>IF(OR(AA926="",AB926=""),"",--(AA926&lt;&gt;AB926))</x:f>
      </x:c>
      <x:c r="AE926" t="str">
        <x:f>IF(OR(AA926="",AB926=""),"PENDING_HUMAN",IF(AA926=AB926,AA926,IF(AD926&lt;&gt;"",AD926,"PENDING_HUMAN")))</x:f>
        <x:v>PENDING_HUMAN</x:v>
      </x:c>
      <x:c r="AF926" t="n">
        <x:f>--AND(A926&lt;&gt;"",AA926&lt;&gt;"",AB926&lt;&gt;"",OR(AA926=AB926,AD926&lt;&gt;""),IF(AE926="HALLUCINATION",U926&lt;&gt;"",TRUE))</x:f>
        <x:v>0</x:v>
      </x:c>
      <x:c r="AG926" t="n">
        <x:f>--AND(N926=1,AF926=1,OR(AE926="SUPPORTED",AE926="HALLUCINATION"))</x:f>
        <x:v>0</x:v>
      </x:c>
      <x:c r="AH926" t="n">
        <x:f>--AND(AG926=1,AE926="HALLUCINATION")</x:f>
        <x:v>0</x:v>
      </x:c>
      <x:c r="AI926" t="n">
        <x:f>--AND(Q926=1,AF926=1,AE926="HALLUCINATION")</x:f>
        <x:v>0</x:v>
      </x:c>
      <x:c r="AJ926" t="n">
        <x:f>--AND(AI926=1,R926=1,S926=1)</x:f>
        <x:v>0</x:v>
      </x:c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8"/>
      <x:c r="P927" s="28"/>
      <x:c r="Q927" s="28"/>
      <x:c r="R927" s="28"/>
      <x:c r="S927" s="28"/>
      <x:c r="T927" s="28"/>
      <x:c r="U927" s="28"/>
      <x:c r="V927" s="28"/>
      <x:c r="W927" s="43" t="n">
        <x:f>--AND(N927=1,OR(O927="SUPPORTED",O927="HALLUCINATION"))</x:f>
        <x:v>0</x:v>
      </x:c>
      <x:c r="X927" s="43" t="n">
        <x:f>--AND(W927=1,O927="HALLUCINATION")</x:f>
        <x:v>0</x:v>
      </x:c>
      <x:c r="Y927" s="43" t="n">
        <x:f>--AND(Q927=1,O927="HALLUCINATION")</x:f>
        <x:v>0</x:v>
      </x:c>
      <x:c r="Z927" s="43" t="n">
        <x:f>--AND(Y927=1,R927=1,S927=1)</x:f>
        <x:v>0</x:v>
      </x:c>
      <x:c r="AC927" t="str">
        <x:f>IF(OR(AA927="",AB927=""),"",--(AA927&lt;&gt;AB927))</x:f>
      </x:c>
      <x:c r="AE927" t="str">
        <x:f>IF(OR(AA927="",AB927=""),"PENDING_HUMAN",IF(AA927=AB927,AA927,IF(AD927&lt;&gt;"",AD927,"PENDING_HUMAN")))</x:f>
        <x:v>PENDING_HUMAN</x:v>
      </x:c>
      <x:c r="AF927" t="n">
        <x:f>--AND(A927&lt;&gt;"",AA927&lt;&gt;"",AB927&lt;&gt;"",OR(AA927=AB927,AD927&lt;&gt;""),IF(AE927="HALLUCINATION",U927&lt;&gt;"",TRUE))</x:f>
        <x:v>0</x:v>
      </x:c>
      <x:c r="AG927" t="n">
        <x:f>--AND(N927=1,AF927=1,OR(AE927="SUPPORTED",AE927="HALLUCINATION"))</x:f>
        <x:v>0</x:v>
      </x:c>
      <x:c r="AH927" t="n">
        <x:f>--AND(AG927=1,AE927="HALLUCINATION")</x:f>
        <x:v>0</x:v>
      </x:c>
      <x:c r="AI927" t="n">
        <x:f>--AND(Q927=1,AF927=1,AE927="HALLUCINATION")</x:f>
        <x:v>0</x:v>
      </x:c>
      <x:c r="AJ927" t="n">
        <x:f>--AND(AI927=1,R927=1,S927=1)</x:f>
        <x:v>0</x:v>
      </x:c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8"/>
      <x:c r="P928" s="28"/>
      <x:c r="Q928" s="28"/>
      <x:c r="R928" s="28"/>
      <x:c r="S928" s="28"/>
      <x:c r="T928" s="28"/>
      <x:c r="U928" s="28"/>
      <x:c r="V928" s="28"/>
      <x:c r="W928" s="43" t="n">
        <x:f>--AND(N928=1,OR(O928="SUPPORTED",O928="HALLUCINATION"))</x:f>
        <x:v>0</x:v>
      </x:c>
      <x:c r="X928" s="43" t="n">
        <x:f>--AND(W928=1,O928="HALLUCINATION")</x:f>
        <x:v>0</x:v>
      </x:c>
      <x:c r="Y928" s="43" t="n">
        <x:f>--AND(Q928=1,O928="HALLUCINATION")</x:f>
        <x:v>0</x:v>
      </x:c>
      <x:c r="Z928" s="43" t="n">
        <x:f>--AND(Y928=1,R928=1,S928=1)</x:f>
        <x:v>0</x:v>
      </x:c>
      <x:c r="AC928" t="str">
        <x:f>IF(OR(AA928="",AB928=""),"",--(AA928&lt;&gt;AB928))</x:f>
      </x:c>
      <x:c r="AE928" t="str">
        <x:f>IF(OR(AA928="",AB928=""),"PENDING_HUMAN",IF(AA928=AB928,AA928,IF(AD928&lt;&gt;"",AD928,"PENDING_HUMAN")))</x:f>
        <x:v>PENDING_HUMAN</x:v>
      </x:c>
      <x:c r="AF928" t="n">
        <x:f>--AND(A928&lt;&gt;"",AA928&lt;&gt;"",AB928&lt;&gt;"",OR(AA928=AB928,AD928&lt;&gt;""),IF(AE928="HALLUCINATION",U928&lt;&gt;"",TRUE))</x:f>
        <x:v>0</x:v>
      </x:c>
      <x:c r="AG928" t="n">
        <x:f>--AND(N928=1,AF928=1,OR(AE928="SUPPORTED",AE928="HALLUCINATION"))</x:f>
        <x:v>0</x:v>
      </x:c>
      <x:c r="AH928" t="n">
        <x:f>--AND(AG928=1,AE928="HALLUCINATION")</x:f>
        <x:v>0</x:v>
      </x:c>
      <x:c r="AI928" t="n">
        <x:f>--AND(Q928=1,AF928=1,AE928="HALLUCINATION")</x:f>
        <x:v>0</x:v>
      </x:c>
      <x:c r="AJ928" t="n">
        <x:f>--AND(AI928=1,R928=1,S928=1)</x:f>
        <x:v>0</x:v>
      </x:c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8"/>
      <x:c r="P929" s="28"/>
      <x:c r="Q929" s="28"/>
      <x:c r="R929" s="28"/>
      <x:c r="S929" s="28"/>
      <x:c r="T929" s="28"/>
      <x:c r="U929" s="28"/>
      <x:c r="V929" s="28"/>
      <x:c r="W929" s="43" t="n">
        <x:f>--AND(N929=1,OR(O929="SUPPORTED",O929="HALLUCINATION"))</x:f>
        <x:v>0</x:v>
      </x:c>
      <x:c r="X929" s="43" t="n">
        <x:f>--AND(W929=1,O929="HALLUCINATION")</x:f>
        <x:v>0</x:v>
      </x:c>
      <x:c r="Y929" s="43" t="n">
        <x:f>--AND(Q929=1,O929="HALLUCINATION")</x:f>
        <x:v>0</x:v>
      </x:c>
      <x:c r="Z929" s="43" t="n">
        <x:f>--AND(Y929=1,R929=1,S929=1)</x:f>
        <x:v>0</x:v>
      </x:c>
      <x:c r="AC929" t="str">
        <x:f>IF(OR(AA929="",AB929=""),"",--(AA929&lt;&gt;AB929))</x:f>
      </x:c>
      <x:c r="AE929" t="str">
        <x:f>IF(OR(AA929="",AB929=""),"PENDING_HUMAN",IF(AA929=AB929,AA929,IF(AD929&lt;&gt;"",AD929,"PENDING_HUMAN")))</x:f>
        <x:v>PENDING_HUMAN</x:v>
      </x:c>
      <x:c r="AF929" t="n">
        <x:f>--AND(A929&lt;&gt;"",AA929&lt;&gt;"",AB929&lt;&gt;"",OR(AA929=AB929,AD929&lt;&gt;""),IF(AE929="HALLUCINATION",U929&lt;&gt;"",TRUE))</x:f>
        <x:v>0</x:v>
      </x:c>
      <x:c r="AG929" t="n">
        <x:f>--AND(N929=1,AF929=1,OR(AE929="SUPPORTED",AE929="HALLUCINATION"))</x:f>
        <x:v>0</x:v>
      </x:c>
      <x:c r="AH929" t="n">
        <x:f>--AND(AG929=1,AE929="HALLUCINATION")</x:f>
        <x:v>0</x:v>
      </x:c>
      <x:c r="AI929" t="n">
        <x:f>--AND(Q929=1,AF929=1,AE929="HALLUCINATION")</x:f>
        <x:v>0</x:v>
      </x:c>
      <x:c r="AJ929" t="n">
        <x:f>--AND(AI929=1,R929=1,S929=1)</x:f>
        <x:v>0</x:v>
      </x:c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8"/>
      <x:c r="P930" s="28"/>
      <x:c r="Q930" s="28"/>
      <x:c r="R930" s="28"/>
      <x:c r="S930" s="28"/>
      <x:c r="T930" s="28"/>
      <x:c r="U930" s="28"/>
      <x:c r="V930" s="28"/>
      <x:c r="W930" s="43" t="n">
        <x:f>--AND(N930=1,OR(O930="SUPPORTED",O930="HALLUCINATION"))</x:f>
        <x:v>0</x:v>
      </x:c>
      <x:c r="X930" s="43" t="n">
        <x:f>--AND(W930=1,O930="HALLUCINATION")</x:f>
        <x:v>0</x:v>
      </x:c>
      <x:c r="Y930" s="43" t="n">
        <x:f>--AND(Q930=1,O930="HALLUCINATION")</x:f>
        <x:v>0</x:v>
      </x:c>
      <x:c r="Z930" s="43" t="n">
        <x:f>--AND(Y930=1,R930=1,S930=1)</x:f>
        <x:v>0</x:v>
      </x:c>
      <x:c r="AC930" t="str">
        <x:f>IF(OR(AA930="",AB930=""),"",--(AA930&lt;&gt;AB930))</x:f>
      </x:c>
      <x:c r="AE930" t="str">
        <x:f>IF(OR(AA930="",AB930=""),"PENDING_HUMAN",IF(AA930=AB930,AA930,IF(AD930&lt;&gt;"",AD930,"PENDING_HUMAN")))</x:f>
        <x:v>PENDING_HUMAN</x:v>
      </x:c>
      <x:c r="AF930" t="n">
        <x:f>--AND(A930&lt;&gt;"",AA930&lt;&gt;"",AB930&lt;&gt;"",OR(AA930=AB930,AD930&lt;&gt;""),IF(AE930="HALLUCINATION",U930&lt;&gt;"",TRUE))</x:f>
        <x:v>0</x:v>
      </x:c>
      <x:c r="AG930" t="n">
        <x:f>--AND(N930=1,AF930=1,OR(AE930="SUPPORTED",AE930="HALLUCINATION"))</x:f>
        <x:v>0</x:v>
      </x:c>
      <x:c r="AH930" t="n">
        <x:f>--AND(AG930=1,AE930="HALLUCINATION")</x:f>
        <x:v>0</x:v>
      </x:c>
      <x:c r="AI930" t="n">
        <x:f>--AND(Q930=1,AF930=1,AE930="HALLUCINATION")</x:f>
        <x:v>0</x:v>
      </x:c>
      <x:c r="AJ930" t="n">
        <x:f>--AND(AI930=1,R930=1,S930=1)</x:f>
        <x:v>0</x:v>
      </x:c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8"/>
      <x:c r="P931" s="28"/>
      <x:c r="Q931" s="28"/>
      <x:c r="R931" s="28"/>
      <x:c r="S931" s="28"/>
      <x:c r="T931" s="28"/>
      <x:c r="U931" s="28"/>
      <x:c r="V931" s="28"/>
      <x:c r="W931" s="43" t="n">
        <x:f>--AND(N931=1,OR(O931="SUPPORTED",O931="HALLUCINATION"))</x:f>
        <x:v>0</x:v>
      </x:c>
      <x:c r="X931" s="43" t="n">
        <x:f>--AND(W931=1,O931="HALLUCINATION")</x:f>
        <x:v>0</x:v>
      </x:c>
      <x:c r="Y931" s="43" t="n">
        <x:f>--AND(Q931=1,O931="HALLUCINATION")</x:f>
        <x:v>0</x:v>
      </x:c>
      <x:c r="Z931" s="43" t="n">
        <x:f>--AND(Y931=1,R931=1,S931=1)</x:f>
        <x:v>0</x:v>
      </x:c>
      <x:c r="AC931" t="str">
        <x:f>IF(OR(AA931="",AB931=""),"",--(AA931&lt;&gt;AB931))</x:f>
      </x:c>
      <x:c r="AE931" t="str">
        <x:f>IF(OR(AA931="",AB931=""),"PENDING_HUMAN",IF(AA931=AB931,AA931,IF(AD931&lt;&gt;"",AD931,"PENDING_HUMAN")))</x:f>
        <x:v>PENDING_HUMAN</x:v>
      </x:c>
      <x:c r="AF931" t="n">
        <x:f>--AND(A931&lt;&gt;"",AA931&lt;&gt;"",AB931&lt;&gt;"",OR(AA931=AB931,AD931&lt;&gt;""),IF(AE931="HALLUCINATION",U931&lt;&gt;"",TRUE))</x:f>
        <x:v>0</x:v>
      </x:c>
      <x:c r="AG931" t="n">
        <x:f>--AND(N931=1,AF931=1,OR(AE931="SUPPORTED",AE931="HALLUCINATION"))</x:f>
        <x:v>0</x:v>
      </x:c>
      <x:c r="AH931" t="n">
        <x:f>--AND(AG931=1,AE931="HALLUCINATION")</x:f>
        <x:v>0</x:v>
      </x:c>
      <x:c r="AI931" t="n">
        <x:f>--AND(Q931=1,AF931=1,AE931="HALLUCINATION")</x:f>
        <x:v>0</x:v>
      </x:c>
      <x:c r="AJ931" t="n">
        <x:f>--AND(AI931=1,R931=1,S931=1)</x:f>
        <x:v>0</x:v>
      </x:c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8"/>
      <x:c r="P932" s="28"/>
      <x:c r="Q932" s="28"/>
      <x:c r="R932" s="28"/>
      <x:c r="S932" s="28"/>
      <x:c r="T932" s="28"/>
      <x:c r="U932" s="28"/>
      <x:c r="V932" s="28"/>
      <x:c r="W932" s="43" t="n">
        <x:f>--AND(N932=1,OR(O932="SUPPORTED",O932="HALLUCINATION"))</x:f>
        <x:v>0</x:v>
      </x:c>
      <x:c r="X932" s="43" t="n">
        <x:f>--AND(W932=1,O932="HALLUCINATION")</x:f>
        <x:v>0</x:v>
      </x:c>
      <x:c r="Y932" s="43" t="n">
        <x:f>--AND(Q932=1,O932="HALLUCINATION")</x:f>
        <x:v>0</x:v>
      </x:c>
      <x:c r="Z932" s="43" t="n">
        <x:f>--AND(Y932=1,R932=1,S932=1)</x:f>
        <x:v>0</x:v>
      </x:c>
      <x:c r="AC932" t="str">
        <x:f>IF(OR(AA932="",AB932=""),"",--(AA932&lt;&gt;AB932))</x:f>
      </x:c>
      <x:c r="AE932" t="str">
        <x:f>IF(OR(AA932="",AB932=""),"PENDING_HUMAN",IF(AA932=AB932,AA932,IF(AD932&lt;&gt;"",AD932,"PENDING_HUMAN")))</x:f>
        <x:v>PENDING_HUMAN</x:v>
      </x:c>
      <x:c r="AF932" t="n">
        <x:f>--AND(A932&lt;&gt;"",AA932&lt;&gt;"",AB932&lt;&gt;"",OR(AA932=AB932,AD932&lt;&gt;""),IF(AE932="HALLUCINATION",U932&lt;&gt;"",TRUE))</x:f>
        <x:v>0</x:v>
      </x:c>
      <x:c r="AG932" t="n">
        <x:f>--AND(N932=1,AF932=1,OR(AE932="SUPPORTED",AE932="HALLUCINATION"))</x:f>
        <x:v>0</x:v>
      </x:c>
      <x:c r="AH932" t="n">
        <x:f>--AND(AG932=1,AE932="HALLUCINATION")</x:f>
        <x:v>0</x:v>
      </x:c>
      <x:c r="AI932" t="n">
        <x:f>--AND(Q932=1,AF932=1,AE932="HALLUCINATION")</x:f>
        <x:v>0</x:v>
      </x:c>
      <x:c r="AJ932" t="n">
        <x:f>--AND(AI932=1,R932=1,S932=1)</x:f>
        <x:v>0</x:v>
      </x:c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8"/>
      <x:c r="P933" s="28"/>
      <x:c r="Q933" s="28"/>
      <x:c r="R933" s="28"/>
      <x:c r="S933" s="28"/>
      <x:c r="T933" s="28"/>
      <x:c r="U933" s="28"/>
      <x:c r="V933" s="28"/>
      <x:c r="W933" s="43" t="n">
        <x:f>--AND(N933=1,OR(O933="SUPPORTED",O933="HALLUCINATION"))</x:f>
        <x:v>0</x:v>
      </x:c>
      <x:c r="X933" s="43" t="n">
        <x:f>--AND(W933=1,O933="HALLUCINATION")</x:f>
        <x:v>0</x:v>
      </x:c>
      <x:c r="Y933" s="43" t="n">
        <x:f>--AND(Q933=1,O933="HALLUCINATION")</x:f>
        <x:v>0</x:v>
      </x:c>
      <x:c r="Z933" s="43" t="n">
        <x:f>--AND(Y933=1,R933=1,S933=1)</x:f>
        <x:v>0</x:v>
      </x:c>
      <x:c r="AC933" t="str">
        <x:f>IF(OR(AA933="",AB933=""),"",--(AA933&lt;&gt;AB933))</x:f>
      </x:c>
      <x:c r="AE933" t="str">
        <x:f>IF(OR(AA933="",AB933=""),"PENDING_HUMAN",IF(AA933=AB933,AA933,IF(AD933&lt;&gt;"",AD933,"PENDING_HUMAN")))</x:f>
        <x:v>PENDING_HUMAN</x:v>
      </x:c>
      <x:c r="AF933" t="n">
        <x:f>--AND(A933&lt;&gt;"",AA933&lt;&gt;"",AB933&lt;&gt;"",OR(AA933=AB933,AD933&lt;&gt;""),IF(AE933="HALLUCINATION",U933&lt;&gt;"",TRUE))</x:f>
        <x:v>0</x:v>
      </x:c>
      <x:c r="AG933" t="n">
        <x:f>--AND(N933=1,AF933=1,OR(AE933="SUPPORTED",AE933="HALLUCINATION"))</x:f>
        <x:v>0</x:v>
      </x:c>
      <x:c r="AH933" t="n">
        <x:f>--AND(AG933=1,AE933="HALLUCINATION")</x:f>
        <x:v>0</x:v>
      </x:c>
      <x:c r="AI933" t="n">
        <x:f>--AND(Q933=1,AF933=1,AE933="HALLUCINATION")</x:f>
        <x:v>0</x:v>
      </x:c>
      <x:c r="AJ933" t="n">
        <x:f>--AND(AI933=1,R933=1,S933=1)</x:f>
        <x:v>0</x:v>
      </x:c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8"/>
      <x:c r="P934" s="28"/>
      <x:c r="Q934" s="28"/>
      <x:c r="R934" s="28"/>
      <x:c r="S934" s="28"/>
      <x:c r="T934" s="28"/>
      <x:c r="U934" s="28"/>
      <x:c r="V934" s="28"/>
      <x:c r="W934" s="43" t="n">
        <x:f>--AND(N934=1,OR(O934="SUPPORTED",O934="HALLUCINATION"))</x:f>
        <x:v>0</x:v>
      </x:c>
      <x:c r="X934" s="43" t="n">
        <x:f>--AND(W934=1,O934="HALLUCINATION")</x:f>
        <x:v>0</x:v>
      </x:c>
      <x:c r="Y934" s="43" t="n">
        <x:f>--AND(Q934=1,O934="HALLUCINATION")</x:f>
        <x:v>0</x:v>
      </x:c>
      <x:c r="Z934" s="43" t="n">
        <x:f>--AND(Y934=1,R934=1,S934=1)</x:f>
        <x:v>0</x:v>
      </x:c>
      <x:c r="AC934" t="str">
        <x:f>IF(OR(AA934="",AB934=""),"",--(AA934&lt;&gt;AB934))</x:f>
      </x:c>
      <x:c r="AE934" t="str">
        <x:f>IF(OR(AA934="",AB934=""),"PENDING_HUMAN",IF(AA934=AB934,AA934,IF(AD934&lt;&gt;"",AD934,"PENDING_HUMAN")))</x:f>
        <x:v>PENDING_HUMAN</x:v>
      </x:c>
      <x:c r="AF934" t="n">
        <x:f>--AND(A934&lt;&gt;"",AA934&lt;&gt;"",AB934&lt;&gt;"",OR(AA934=AB934,AD934&lt;&gt;""),IF(AE934="HALLUCINATION",U934&lt;&gt;"",TRUE))</x:f>
        <x:v>0</x:v>
      </x:c>
      <x:c r="AG934" t="n">
        <x:f>--AND(N934=1,AF934=1,OR(AE934="SUPPORTED",AE934="HALLUCINATION"))</x:f>
        <x:v>0</x:v>
      </x:c>
      <x:c r="AH934" t="n">
        <x:f>--AND(AG934=1,AE934="HALLUCINATION")</x:f>
        <x:v>0</x:v>
      </x:c>
      <x:c r="AI934" t="n">
        <x:f>--AND(Q934=1,AF934=1,AE934="HALLUCINATION")</x:f>
        <x:v>0</x:v>
      </x:c>
      <x:c r="AJ934" t="n">
        <x:f>--AND(AI934=1,R934=1,S934=1)</x:f>
        <x:v>0</x:v>
      </x:c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8"/>
      <x:c r="P935" s="28"/>
      <x:c r="Q935" s="28"/>
      <x:c r="R935" s="28"/>
      <x:c r="S935" s="28"/>
      <x:c r="T935" s="28"/>
      <x:c r="U935" s="28"/>
      <x:c r="V935" s="28"/>
      <x:c r="W935" s="43" t="n">
        <x:f>--AND(N935=1,OR(O935="SUPPORTED",O935="HALLUCINATION"))</x:f>
        <x:v>0</x:v>
      </x:c>
      <x:c r="X935" s="43" t="n">
        <x:f>--AND(W935=1,O935="HALLUCINATION")</x:f>
        <x:v>0</x:v>
      </x:c>
      <x:c r="Y935" s="43" t="n">
        <x:f>--AND(Q935=1,O935="HALLUCINATION")</x:f>
        <x:v>0</x:v>
      </x:c>
      <x:c r="Z935" s="43" t="n">
        <x:f>--AND(Y935=1,R935=1,S935=1)</x:f>
        <x:v>0</x:v>
      </x:c>
      <x:c r="AC935" t="str">
        <x:f>IF(OR(AA935="",AB935=""),"",--(AA935&lt;&gt;AB935))</x:f>
      </x:c>
      <x:c r="AE935" t="str">
        <x:f>IF(OR(AA935="",AB935=""),"PENDING_HUMAN",IF(AA935=AB935,AA935,IF(AD935&lt;&gt;"",AD935,"PENDING_HUMAN")))</x:f>
        <x:v>PENDING_HUMAN</x:v>
      </x:c>
      <x:c r="AF935" t="n">
        <x:f>--AND(A935&lt;&gt;"",AA935&lt;&gt;"",AB935&lt;&gt;"",OR(AA935=AB935,AD935&lt;&gt;""),IF(AE935="HALLUCINATION",U935&lt;&gt;"",TRUE))</x:f>
        <x:v>0</x:v>
      </x:c>
      <x:c r="AG935" t="n">
        <x:f>--AND(N935=1,AF935=1,OR(AE935="SUPPORTED",AE935="HALLUCINATION"))</x:f>
        <x:v>0</x:v>
      </x:c>
      <x:c r="AH935" t="n">
        <x:f>--AND(AG935=1,AE935="HALLUCINATION")</x:f>
        <x:v>0</x:v>
      </x:c>
      <x:c r="AI935" t="n">
        <x:f>--AND(Q935=1,AF935=1,AE935="HALLUCINATION")</x:f>
        <x:v>0</x:v>
      </x:c>
      <x:c r="AJ935" t="n">
        <x:f>--AND(AI935=1,R935=1,S935=1)</x:f>
        <x:v>0</x:v>
      </x:c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8"/>
      <x:c r="P936" s="28"/>
      <x:c r="Q936" s="28"/>
      <x:c r="R936" s="28"/>
      <x:c r="S936" s="28"/>
      <x:c r="T936" s="28"/>
      <x:c r="U936" s="28"/>
      <x:c r="V936" s="28"/>
      <x:c r="W936" s="43" t="n">
        <x:f>--AND(N936=1,OR(O936="SUPPORTED",O936="HALLUCINATION"))</x:f>
        <x:v>0</x:v>
      </x:c>
      <x:c r="X936" s="43" t="n">
        <x:f>--AND(W936=1,O936="HALLUCINATION")</x:f>
        <x:v>0</x:v>
      </x:c>
      <x:c r="Y936" s="43" t="n">
        <x:f>--AND(Q936=1,O936="HALLUCINATION")</x:f>
        <x:v>0</x:v>
      </x:c>
      <x:c r="Z936" s="43" t="n">
        <x:f>--AND(Y936=1,R936=1,S936=1)</x:f>
        <x:v>0</x:v>
      </x:c>
      <x:c r="AC936" t="str">
        <x:f>IF(OR(AA936="",AB936=""),"",--(AA936&lt;&gt;AB936))</x:f>
      </x:c>
      <x:c r="AE936" t="str">
        <x:f>IF(OR(AA936="",AB936=""),"PENDING_HUMAN",IF(AA936=AB936,AA936,IF(AD936&lt;&gt;"",AD936,"PENDING_HUMAN")))</x:f>
        <x:v>PENDING_HUMAN</x:v>
      </x:c>
      <x:c r="AF936" t="n">
        <x:f>--AND(A936&lt;&gt;"",AA936&lt;&gt;"",AB936&lt;&gt;"",OR(AA936=AB936,AD936&lt;&gt;""),IF(AE936="HALLUCINATION",U936&lt;&gt;"",TRUE))</x:f>
        <x:v>0</x:v>
      </x:c>
      <x:c r="AG936" t="n">
        <x:f>--AND(N936=1,AF936=1,OR(AE936="SUPPORTED",AE936="HALLUCINATION"))</x:f>
        <x:v>0</x:v>
      </x:c>
      <x:c r="AH936" t="n">
        <x:f>--AND(AG936=1,AE936="HALLUCINATION")</x:f>
        <x:v>0</x:v>
      </x:c>
      <x:c r="AI936" t="n">
        <x:f>--AND(Q936=1,AF936=1,AE936="HALLUCINATION")</x:f>
        <x:v>0</x:v>
      </x:c>
      <x:c r="AJ936" t="n">
        <x:f>--AND(AI936=1,R936=1,S936=1)</x:f>
        <x:v>0</x:v>
      </x:c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8"/>
      <x:c r="P937" s="28"/>
      <x:c r="Q937" s="28"/>
      <x:c r="R937" s="28"/>
      <x:c r="S937" s="28"/>
      <x:c r="T937" s="28"/>
      <x:c r="U937" s="28"/>
      <x:c r="V937" s="28"/>
      <x:c r="W937" s="43" t="n">
        <x:f>--AND(N937=1,OR(O937="SUPPORTED",O937="HALLUCINATION"))</x:f>
        <x:v>0</x:v>
      </x:c>
      <x:c r="X937" s="43" t="n">
        <x:f>--AND(W937=1,O937="HALLUCINATION")</x:f>
        <x:v>0</x:v>
      </x:c>
      <x:c r="Y937" s="43" t="n">
        <x:f>--AND(Q937=1,O937="HALLUCINATION")</x:f>
        <x:v>0</x:v>
      </x:c>
      <x:c r="Z937" s="43" t="n">
        <x:f>--AND(Y937=1,R937=1,S937=1)</x:f>
        <x:v>0</x:v>
      </x:c>
      <x:c r="AC937" t="str">
        <x:f>IF(OR(AA937="",AB937=""),"",--(AA937&lt;&gt;AB937))</x:f>
      </x:c>
      <x:c r="AE937" t="str">
        <x:f>IF(OR(AA937="",AB937=""),"PENDING_HUMAN",IF(AA937=AB937,AA937,IF(AD937&lt;&gt;"",AD937,"PENDING_HUMAN")))</x:f>
        <x:v>PENDING_HUMAN</x:v>
      </x:c>
      <x:c r="AF937" t="n">
        <x:f>--AND(A937&lt;&gt;"",AA937&lt;&gt;"",AB937&lt;&gt;"",OR(AA937=AB937,AD937&lt;&gt;""),IF(AE937="HALLUCINATION",U937&lt;&gt;"",TRUE))</x:f>
        <x:v>0</x:v>
      </x:c>
      <x:c r="AG937" t="n">
        <x:f>--AND(N937=1,AF937=1,OR(AE937="SUPPORTED",AE937="HALLUCINATION"))</x:f>
        <x:v>0</x:v>
      </x:c>
      <x:c r="AH937" t="n">
        <x:f>--AND(AG937=1,AE937="HALLUCINATION")</x:f>
        <x:v>0</x:v>
      </x:c>
      <x:c r="AI937" t="n">
        <x:f>--AND(Q937=1,AF937=1,AE937="HALLUCINATION")</x:f>
        <x:v>0</x:v>
      </x:c>
      <x:c r="AJ937" t="n">
        <x:f>--AND(AI937=1,R937=1,S937=1)</x:f>
        <x:v>0</x:v>
      </x:c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8"/>
      <x:c r="P938" s="28"/>
      <x:c r="Q938" s="28"/>
      <x:c r="R938" s="28"/>
      <x:c r="S938" s="28"/>
      <x:c r="T938" s="28"/>
      <x:c r="U938" s="28"/>
      <x:c r="V938" s="28"/>
      <x:c r="W938" s="43" t="n">
        <x:f>--AND(N938=1,OR(O938="SUPPORTED",O938="HALLUCINATION"))</x:f>
        <x:v>0</x:v>
      </x:c>
      <x:c r="X938" s="43" t="n">
        <x:f>--AND(W938=1,O938="HALLUCINATION")</x:f>
        <x:v>0</x:v>
      </x:c>
      <x:c r="Y938" s="43" t="n">
        <x:f>--AND(Q938=1,O938="HALLUCINATION")</x:f>
        <x:v>0</x:v>
      </x:c>
      <x:c r="Z938" s="43" t="n">
        <x:f>--AND(Y938=1,R938=1,S938=1)</x:f>
        <x:v>0</x:v>
      </x:c>
      <x:c r="AC938" t="str">
        <x:f>IF(OR(AA938="",AB938=""),"",--(AA938&lt;&gt;AB938))</x:f>
      </x:c>
      <x:c r="AE938" t="str">
        <x:f>IF(OR(AA938="",AB938=""),"PENDING_HUMAN",IF(AA938=AB938,AA938,IF(AD938&lt;&gt;"",AD938,"PENDING_HUMAN")))</x:f>
        <x:v>PENDING_HUMAN</x:v>
      </x:c>
      <x:c r="AF938" t="n">
        <x:f>--AND(A938&lt;&gt;"",AA938&lt;&gt;"",AB938&lt;&gt;"",OR(AA938=AB938,AD938&lt;&gt;""),IF(AE938="HALLUCINATION",U938&lt;&gt;"",TRUE))</x:f>
        <x:v>0</x:v>
      </x:c>
      <x:c r="AG938" t="n">
        <x:f>--AND(N938=1,AF938=1,OR(AE938="SUPPORTED",AE938="HALLUCINATION"))</x:f>
        <x:v>0</x:v>
      </x:c>
      <x:c r="AH938" t="n">
        <x:f>--AND(AG938=1,AE938="HALLUCINATION")</x:f>
        <x:v>0</x:v>
      </x:c>
      <x:c r="AI938" t="n">
        <x:f>--AND(Q938=1,AF938=1,AE938="HALLUCINATION")</x:f>
        <x:v>0</x:v>
      </x:c>
      <x:c r="AJ938" t="n">
        <x:f>--AND(AI938=1,R938=1,S938=1)</x:f>
        <x:v>0</x:v>
      </x:c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8"/>
      <x:c r="P939" s="28"/>
      <x:c r="Q939" s="28"/>
      <x:c r="R939" s="28"/>
      <x:c r="S939" s="28"/>
      <x:c r="T939" s="28"/>
      <x:c r="U939" s="28"/>
      <x:c r="V939" s="28"/>
      <x:c r="W939" s="43" t="n">
        <x:f>--AND(N939=1,OR(O939="SUPPORTED",O939="HALLUCINATION"))</x:f>
        <x:v>0</x:v>
      </x:c>
      <x:c r="X939" s="43" t="n">
        <x:f>--AND(W939=1,O939="HALLUCINATION")</x:f>
        <x:v>0</x:v>
      </x:c>
      <x:c r="Y939" s="43" t="n">
        <x:f>--AND(Q939=1,O939="HALLUCINATION")</x:f>
        <x:v>0</x:v>
      </x:c>
      <x:c r="Z939" s="43" t="n">
        <x:f>--AND(Y939=1,R939=1,S939=1)</x:f>
        <x:v>0</x:v>
      </x:c>
      <x:c r="AC939" t="str">
        <x:f>IF(OR(AA939="",AB939=""),"",--(AA939&lt;&gt;AB939))</x:f>
      </x:c>
      <x:c r="AE939" t="str">
        <x:f>IF(OR(AA939="",AB939=""),"PENDING_HUMAN",IF(AA939=AB939,AA939,IF(AD939&lt;&gt;"",AD939,"PENDING_HUMAN")))</x:f>
        <x:v>PENDING_HUMAN</x:v>
      </x:c>
      <x:c r="AF939" t="n">
        <x:f>--AND(A939&lt;&gt;"",AA939&lt;&gt;"",AB939&lt;&gt;"",OR(AA939=AB939,AD939&lt;&gt;""),IF(AE939="HALLUCINATION",U939&lt;&gt;"",TRUE))</x:f>
        <x:v>0</x:v>
      </x:c>
      <x:c r="AG939" t="n">
        <x:f>--AND(N939=1,AF939=1,OR(AE939="SUPPORTED",AE939="HALLUCINATION"))</x:f>
        <x:v>0</x:v>
      </x:c>
      <x:c r="AH939" t="n">
        <x:f>--AND(AG939=1,AE939="HALLUCINATION")</x:f>
        <x:v>0</x:v>
      </x:c>
      <x:c r="AI939" t="n">
        <x:f>--AND(Q939=1,AF939=1,AE939="HALLUCINATION")</x:f>
        <x:v>0</x:v>
      </x:c>
      <x:c r="AJ939" t="n">
        <x:f>--AND(AI939=1,R939=1,S939=1)</x:f>
        <x:v>0</x:v>
      </x:c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8"/>
      <x:c r="P940" s="28"/>
      <x:c r="Q940" s="28"/>
      <x:c r="R940" s="28"/>
      <x:c r="S940" s="28"/>
      <x:c r="T940" s="28"/>
      <x:c r="U940" s="28"/>
      <x:c r="V940" s="28"/>
      <x:c r="W940" s="43" t="n">
        <x:f>--AND(N940=1,OR(O940="SUPPORTED",O940="HALLUCINATION"))</x:f>
        <x:v>0</x:v>
      </x:c>
      <x:c r="X940" s="43" t="n">
        <x:f>--AND(W940=1,O940="HALLUCINATION")</x:f>
        <x:v>0</x:v>
      </x:c>
      <x:c r="Y940" s="43" t="n">
        <x:f>--AND(Q940=1,O940="HALLUCINATION")</x:f>
        <x:v>0</x:v>
      </x:c>
      <x:c r="Z940" s="43" t="n">
        <x:f>--AND(Y940=1,R940=1,S940=1)</x:f>
        <x:v>0</x:v>
      </x:c>
      <x:c r="AC940" t="str">
        <x:f>IF(OR(AA940="",AB940=""),"",--(AA940&lt;&gt;AB940))</x:f>
      </x:c>
      <x:c r="AE940" t="str">
        <x:f>IF(OR(AA940="",AB940=""),"PENDING_HUMAN",IF(AA940=AB940,AA940,IF(AD940&lt;&gt;"",AD940,"PENDING_HUMAN")))</x:f>
        <x:v>PENDING_HUMAN</x:v>
      </x:c>
      <x:c r="AF940" t="n">
        <x:f>--AND(A940&lt;&gt;"",AA940&lt;&gt;"",AB940&lt;&gt;"",OR(AA940=AB940,AD940&lt;&gt;""),IF(AE940="HALLUCINATION",U940&lt;&gt;"",TRUE))</x:f>
        <x:v>0</x:v>
      </x:c>
      <x:c r="AG940" t="n">
        <x:f>--AND(N940=1,AF940=1,OR(AE940="SUPPORTED",AE940="HALLUCINATION"))</x:f>
        <x:v>0</x:v>
      </x:c>
      <x:c r="AH940" t="n">
        <x:f>--AND(AG940=1,AE940="HALLUCINATION")</x:f>
        <x:v>0</x:v>
      </x:c>
      <x:c r="AI940" t="n">
        <x:f>--AND(Q940=1,AF940=1,AE940="HALLUCINATION")</x:f>
        <x:v>0</x:v>
      </x:c>
      <x:c r="AJ940" t="n">
        <x:f>--AND(AI940=1,R940=1,S940=1)</x:f>
        <x:v>0</x:v>
      </x:c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8"/>
      <x:c r="P941" s="28"/>
      <x:c r="Q941" s="28"/>
      <x:c r="R941" s="28"/>
      <x:c r="S941" s="28"/>
      <x:c r="T941" s="28"/>
      <x:c r="U941" s="28"/>
      <x:c r="V941" s="28"/>
      <x:c r="W941" s="43" t="n">
        <x:f>--AND(N941=1,OR(O941="SUPPORTED",O941="HALLUCINATION"))</x:f>
        <x:v>0</x:v>
      </x:c>
      <x:c r="X941" s="43" t="n">
        <x:f>--AND(W941=1,O941="HALLUCINATION")</x:f>
        <x:v>0</x:v>
      </x:c>
      <x:c r="Y941" s="43" t="n">
        <x:f>--AND(Q941=1,O941="HALLUCINATION")</x:f>
        <x:v>0</x:v>
      </x:c>
      <x:c r="Z941" s="43" t="n">
        <x:f>--AND(Y941=1,R941=1,S941=1)</x:f>
        <x:v>0</x:v>
      </x:c>
      <x:c r="AC941" t="str">
        <x:f>IF(OR(AA941="",AB941=""),"",--(AA941&lt;&gt;AB941))</x:f>
      </x:c>
      <x:c r="AE941" t="str">
        <x:f>IF(OR(AA941="",AB941=""),"PENDING_HUMAN",IF(AA941=AB941,AA941,IF(AD941&lt;&gt;"",AD941,"PENDING_HUMAN")))</x:f>
        <x:v>PENDING_HUMAN</x:v>
      </x:c>
      <x:c r="AF941" t="n">
        <x:f>--AND(A941&lt;&gt;"",AA941&lt;&gt;"",AB941&lt;&gt;"",OR(AA941=AB941,AD941&lt;&gt;""),IF(AE941="HALLUCINATION",U941&lt;&gt;"",TRUE))</x:f>
        <x:v>0</x:v>
      </x:c>
      <x:c r="AG941" t="n">
        <x:f>--AND(N941=1,AF941=1,OR(AE941="SUPPORTED",AE941="HALLUCINATION"))</x:f>
        <x:v>0</x:v>
      </x:c>
      <x:c r="AH941" t="n">
        <x:f>--AND(AG941=1,AE941="HALLUCINATION")</x:f>
        <x:v>0</x:v>
      </x:c>
      <x:c r="AI941" t="n">
        <x:f>--AND(Q941=1,AF941=1,AE941="HALLUCINATION")</x:f>
        <x:v>0</x:v>
      </x:c>
      <x:c r="AJ941" t="n">
        <x:f>--AND(AI941=1,R941=1,S941=1)</x:f>
        <x:v>0</x:v>
      </x:c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8"/>
      <x:c r="P942" s="28"/>
      <x:c r="Q942" s="28"/>
      <x:c r="R942" s="28"/>
      <x:c r="S942" s="28"/>
      <x:c r="T942" s="28"/>
      <x:c r="U942" s="28"/>
      <x:c r="V942" s="28"/>
      <x:c r="W942" s="43" t="n">
        <x:f>--AND(N942=1,OR(O942="SUPPORTED",O942="HALLUCINATION"))</x:f>
        <x:v>0</x:v>
      </x:c>
      <x:c r="X942" s="43" t="n">
        <x:f>--AND(W942=1,O942="HALLUCINATION")</x:f>
        <x:v>0</x:v>
      </x:c>
      <x:c r="Y942" s="43" t="n">
        <x:f>--AND(Q942=1,O942="HALLUCINATION")</x:f>
        <x:v>0</x:v>
      </x:c>
      <x:c r="Z942" s="43" t="n">
        <x:f>--AND(Y942=1,R942=1,S942=1)</x:f>
        <x:v>0</x:v>
      </x:c>
      <x:c r="AC942" t="str">
        <x:f>IF(OR(AA942="",AB942=""),"",--(AA942&lt;&gt;AB942))</x:f>
      </x:c>
      <x:c r="AE942" t="str">
        <x:f>IF(OR(AA942="",AB942=""),"PENDING_HUMAN",IF(AA942=AB942,AA942,IF(AD942&lt;&gt;"",AD942,"PENDING_HUMAN")))</x:f>
        <x:v>PENDING_HUMAN</x:v>
      </x:c>
      <x:c r="AF942" t="n">
        <x:f>--AND(A942&lt;&gt;"",AA942&lt;&gt;"",AB942&lt;&gt;"",OR(AA942=AB942,AD942&lt;&gt;""),IF(AE942="HALLUCINATION",U942&lt;&gt;"",TRUE))</x:f>
        <x:v>0</x:v>
      </x:c>
      <x:c r="AG942" t="n">
        <x:f>--AND(N942=1,AF942=1,OR(AE942="SUPPORTED",AE942="HALLUCINATION"))</x:f>
        <x:v>0</x:v>
      </x:c>
      <x:c r="AH942" t="n">
        <x:f>--AND(AG942=1,AE942="HALLUCINATION")</x:f>
        <x:v>0</x:v>
      </x:c>
      <x:c r="AI942" t="n">
        <x:f>--AND(Q942=1,AF942=1,AE942="HALLUCINATION")</x:f>
        <x:v>0</x:v>
      </x:c>
      <x:c r="AJ942" t="n">
        <x:f>--AND(AI942=1,R942=1,S942=1)</x:f>
        <x:v>0</x:v>
      </x:c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8"/>
      <x:c r="P943" s="28"/>
      <x:c r="Q943" s="28"/>
      <x:c r="R943" s="28"/>
      <x:c r="S943" s="28"/>
      <x:c r="T943" s="28"/>
      <x:c r="U943" s="28"/>
      <x:c r="V943" s="28"/>
      <x:c r="W943" s="43" t="n">
        <x:f>--AND(N943=1,OR(O943="SUPPORTED",O943="HALLUCINATION"))</x:f>
        <x:v>0</x:v>
      </x:c>
      <x:c r="X943" s="43" t="n">
        <x:f>--AND(W943=1,O943="HALLUCINATION")</x:f>
        <x:v>0</x:v>
      </x:c>
      <x:c r="Y943" s="43" t="n">
        <x:f>--AND(Q943=1,O943="HALLUCINATION")</x:f>
        <x:v>0</x:v>
      </x:c>
      <x:c r="Z943" s="43" t="n">
        <x:f>--AND(Y943=1,R943=1,S943=1)</x:f>
        <x:v>0</x:v>
      </x:c>
      <x:c r="AC943" t="str">
        <x:f>IF(OR(AA943="",AB943=""),"",--(AA943&lt;&gt;AB943))</x:f>
      </x:c>
      <x:c r="AE943" t="str">
        <x:f>IF(OR(AA943="",AB943=""),"PENDING_HUMAN",IF(AA943=AB943,AA943,IF(AD943&lt;&gt;"",AD943,"PENDING_HUMAN")))</x:f>
        <x:v>PENDING_HUMAN</x:v>
      </x:c>
      <x:c r="AF943" t="n">
        <x:f>--AND(A943&lt;&gt;"",AA943&lt;&gt;"",AB943&lt;&gt;"",OR(AA943=AB943,AD943&lt;&gt;""),IF(AE943="HALLUCINATION",U943&lt;&gt;"",TRUE))</x:f>
        <x:v>0</x:v>
      </x:c>
      <x:c r="AG943" t="n">
        <x:f>--AND(N943=1,AF943=1,OR(AE943="SUPPORTED",AE943="HALLUCINATION"))</x:f>
        <x:v>0</x:v>
      </x:c>
      <x:c r="AH943" t="n">
        <x:f>--AND(AG943=1,AE943="HALLUCINATION")</x:f>
        <x:v>0</x:v>
      </x:c>
      <x:c r="AI943" t="n">
        <x:f>--AND(Q943=1,AF943=1,AE943="HALLUCINATION")</x:f>
        <x:v>0</x:v>
      </x:c>
      <x:c r="AJ943" t="n">
        <x:f>--AND(AI943=1,R943=1,S943=1)</x:f>
        <x:v>0</x:v>
      </x:c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8"/>
      <x:c r="P944" s="28"/>
      <x:c r="Q944" s="28"/>
      <x:c r="R944" s="28"/>
      <x:c r="S944" s="28"/>
      <x:c r="T944" s="28"/>
      <x:c r="U944" s="28"/>
      <x:c r="V944" s="28"/>
      <x:c r="W944" s="43" t="n">
        <x:f>--AND(N944=1,OR(O944="SUPPORTED",O944="HALLUCINATION"))</x:f>
        <x:v>0</x:v>
      </x:c>
      <x:c r="X944" s="43" t="n">
        <x:f>--AND(W944=1,O944="HALLUCINATION")</x:f>
        <x:v>0</x:v>
      </x:c>
      <x:c r="Y944" s="43" t="n">
        <x:f>--AND(Q944=1,O944="HALLUCINATION")</x:f>
        <x:v>0</x:v>
      </x:c>
      <x:c r="Z944" s="43" t="n">
        <x:f>--AND(Y944=1,R944=1,S944=1)</x:f>
        <x:v>0</x:v>
      </x:c>
      <x:c r="AC944" t="str">
        <x:f>IF(OR(AA944="",AB944=""),"",--(AA944&lt;&gt;AB944))</x:f>
      </x:c>
      <x:c r="AE944" t="str">
        <x:f>IF(OR(AA944="",AB944=""),"PENDING_HUMAN",IF(AA944=AB944,AA944,IF(AD944&lt;&gt;"",AD944,"PENDING_HUMAN")))</x:f>
        <x:v>PENDING_HUMAN</x:v>
      </x:c>
      <x:c r="AF944" t="n">
        <x:f>--AND(A944&lt;&gt;"",AA944&lt;&gt;"",AB944&lt;&gt;"",OR(AA944=AB944,AD944&lt;&gt;""),IF(AE944="HALLUCINATION",U944&lt;&gt;"",TRUE))</x:f>
        <x:v>0</x:v>
      </x:c>
      <x:c r="AG944" t="n">
        <x:f>--AND(N944=1,AF944=1,OR(AE944="SUPPORTED",AE944="HALLUCINATION"))</x:f>
        <x:v>0</x:v>
      </x:c>
      <x:c r="AH944" t="n">
        <x:f>--AND(AG944=1,AE944="HALLUCINATION")</x:f>
        <x:v>0</x:v>
      </x:c>
      <x:c r="AI944" t="n">
        <x:f>--AND(Q944=1,AF944=1,AE944="HALLUCINATION")</x:f>
        <x:v>0</x:v>
      </x:c>
      <x:c r="AJ944" t="n">
        <x:f>--AND(AI944=1,R944=1,S944=1)</x:f>
        <x:v>0</x:v>
      </x:c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8"/>
      <x:c r="P945" s="28"/>
      <x:c r="Q945" s="28"/>
      <x:c r="R945" s="28"/>
      <x:c r="S945" s="28"/>
      <x:c r="T945" s="28"/>
      <x:c r="U945" s="28"/>
      <x:c r="V945" s="28"/>
      <x:c r="W945" s="43" t="n">
        <x:f>--AND(N945=1,OR(O945="SUPPORTED",O945="HALLUCINATION"))</x:f>
        <x:v>0</x:v>
      </x:c>
      <x:c r="X945" s="43" t="n">
        <x:f>--AND(W945=1,O945="HALLUCINATION")</x:f>
        <x:v>0</x:v>
      </x:c>
      <x:c r="Y945" s="43" t="n">
        <x:f>--AND(Q945=1,O945="HALLUCINATION")</x:f>
        <x:v>0</x:v>
      </x:c>
      <x:c r="Z945" s="43" t="n">
        <x:f>--AND(Y945=1,R945=1,S945=1)</x:f>
        <x:v>0</x:v>
      </x:c>
      <x:c r="AC945" t="str">
        <x:f>IF(OR(AA945="",AB945=""),"",--(AA945&lt;&gt;AB945))</x:f>
      </x:c>
      <x:c r="AE945" t="str">
        <x:f>IF(OR(AA945="",AB945=""),"PENDING_HUMAN",IF(AA945=AB945,AA945,IF(AD945&lt;&gt;"",AD945,"PENDING_HUMAN")))</x:f>
        <x:v>PENDING_HUMAN</x:v>
      </x:c>
      <x:c r="AF945" t="n">
        <x:f>--AND(A945&lt;&gt;"",AA945&lt;&gt;"",AB945&lt;&gt;"",OR(AA945=AB945,AD945&lt;&gt;""),IF(AE945="HALLUCINATION",U945&lt;&gt;"",TRUE))</x:f>
        <x:v>0</x:v>
      </x:c>
      <x:c r="AG945" t="n">
        <x:f>--AND(N945=1,AF945=1,OR(AE945="SUPPORTED",AE945="HALLUCINATION"))</x:f>
        <x:v>0</x:v>
      </x:c>
      <x:c r="AH945" t="n">
        <x:f>--AND(AG945=1,AE945="HALLUCINATION")</x:f>
        <x:v>0</x:v>
      </x:c>
      <x:c r="AI945" t="n">
        <x:f>--AND(Q945=1,AF945=1,AE945="HALLUCINATION")</x:f>
        <x:v>0</x:v>
      </x:c>
      <x:c r="AJ945" t="n">
        <x:f>--AND(AI945=1,R945=1,S945=1)</x:f>
        <x:v>0</x:v>
      </x:c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8"/>
      <x:c r="P946" s="28"/>
      <x:c r="Q946" s="28"/>
      <x:c r="R946" s="28"/>
      <x:c r="S946" s="28"/>
      <x:c r="T946" s="28"/>
      <x:c r="U946" s="28"/>
      <x:c r="V946" s="28"/>
      <x:c r="W946" s="43" t="n">
        <x:f>--AND(N946=1,OR(O946="SUPPORTED",O946="HALLUCINATION"))</x:f>
        <x:v>0</x:v>
      </x:c>
      <x:c r="X946" s="43" t="n">
        <x:f>--AND(W946=1,O946="HALLUCINATION")</x:f>
        <x:v>0</x:v>
      </x:c>
      <x:c r="Y946" s="43" t="n">
        <x:f>--AND(Q946=1,O946="HALLUCINATION")</x:f>
        <x:v>0</x:v>
      </x:c>
      <x:c r="Z946" s="43" t="n">
        <x:f>--AND(Y946=1,R946=1,S946=1)</x:f>
        <x:v>0</x:v>
      </x:c>
      <x:c r="AC946" t="str">
        <x:f>IF(OR(AA946="",AB946=""),"",--(AA946&lt;&gt;AB946))</x:f>
      </x:c>
      <x:c r="AE946" t="str">
        <x:f>IF(OR(AA946="",AB946=""),"PENDING_HUMAN",IF(AA946=AB946,AA946,IF(AD946&lt;&gt;"",AD946,"PENDING_HUMAN")))</x:f>
        <x:v>PENDING_HUMAN</x:v>
      </x:c>
      <x:c r="AF946" t="n">
        <x:f>--AND(A946&lt;&gt;"",AA946&lt;&gt;"",AB946&lt;&gt;"",OR(AA946=AB946,AD946&lt;&gt;""),IF(AE946="HALLUCINATION",U946&lt;&gt;"",TRUE))</x:f>
        <x:v>0</x:v>
      </x:c>
      <x:c r="AG946" t="n">
        <x:f>--AND(N946=1,AF946=1,OR(AE946="SUPPORTED",AE946="HALLUCINATION"))</x:f>
        <x:v>0</x:v>
      </x:c>
      <x:c r="AH946" t="n">
        <x:f>--AND(AG946=1,AE946="HALLUCINATION")</x:f>
        <x:v>0</x:v>
      </x:c>
      <x:c r="AI946" t="n">
        <x:f>--AND(Q946=1,AF946=1,AE946="HALLUCINATION")</x:f>
        <x:v>0</x:v>
      </x:c>
      <x:c r="AJ946" t="n">
        <x:f>--AND(AI946=1,R946=1,S946=1)</x:f>
        <x:v>0</x:v>
      </x:c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8"/>
      <x:c r="P947" s="28"/>
      <x:c r="Q947" s="28"/>
      <x:c r="R947" s="28"/>
      <x:c r="S947" s="28"/>
      <x:c r="T947" s="28"/>
      <x:c r="U947" s="28"/>
      <x:c r="V947" s="28"/>
      <x:c r="W947" s="43" t="n">
        <x:f>--AND(N947=1,OR(O947="SUPPORTED",O947="HALLUCINATION"))</x:f>
        <x:v>0</x:v>
      </x:c>
      <x:c r="X947" s="43" t="n">
        <x:f>--AND(W947=1,O947="HALLUCINATION")</x:f>
        <x:v>0</x:v>
      </x:c>
      <x:c r="Y947" s="43" t="n">
        <x:f>--AND(Q947=1,O947="HALLUCINATION")</x:f>
        <x:v>0</x:v>
      </x:c>
      <x:c r="Z947" s="43" t="n">
        <x:f>--AND(Y947=1,R947=1,S947=1)</x:f>
        <x:v>0</x:v>
      </x:c>
      <x:c r="AC947" t="str">
        <x:f>IF(OR(AA947="",AB947=""),"",--(AA947&lt;&gt;AB947))</x:f>
      </x:c>
      <x:c r="AE947" t="str">
        <x:f>IF(OR(AA947="",AB947=""),"PENDING_HUMAN",IF(AA947=AB947,AA947,IF(AD947&lt;&gt;"",AD947,"PENDING_HUMAN")))</x:f>
        <x:v>PENDING_HUMAN</x:v>
      </x:c>
      <x:c r="AF947" t="n">
        <x:f>--AND(A947&lt;&gt;"",AA947&lt;&gt;"",AB947&lt;&gt;"",OR(AA947=AB947,AD947&lt;&gt;""),IF(AE947="HALLUCINATION",U947&lt;&gt;"",TRUE))</x:f>
        <x:v>0</x:v>
      </x:c>
      <x:c r="AG947" t="n">
        <x:f>--AND(N947=1,AF947=1,OR(AE947="SUPPORTED",AE947="HALLUCINATION"))</x:f>
        <x:v>0</x:v>
      </x:c>
      <x:c r="AH947" t="n">
        <x:f>--AND(AG947=1,AE947="HALLUCINATION")</x:f>
        <x:v>0</x:v>
      </x:c>
      <x:c r="AI947" t="n">
        <x:f>--AND(Q947=1,AF947=1,AE947="HALLUCINATION")</x:f>
        <x:v>0</x:v>
      </x:c>
      <x:c r="AJ947" t="n">
        <x:f>--AND(AI947=1,R947=1,S947=1)</x:f>
        <x:v>0</x:v>
      </x:c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8"/>
      <x:c r="P948" s="28"/>
      <x:c r="Q948" s="28"/>
      <x:c r="R948" s="28"/>
      <x:c r="S948" s="28"/>
      <x:c r="T948" s="28"/>
      <x:c r="U948" s="28"/>
      <x:c r="V948" s="28"/>
      <x:c r="W948" s="43" t="n">
        <x:f>--AND(N948=1,OR(O948="SUPPORTED",O948="HALLUCINATION"))</x:f>
        <x:v>0</x:v>
      </x:c>
      <x:c r="X948" s="43" t="n">
        <x:f>--AND(W948=1,O948="HALLUCINATION")</x:f>
        <x:v>0</x:v>
      </x:c>
      <x:c r="Y948" s="43" t="n">
        <x:f>--AND(Q948=1,O948="HALLUCINATION")</x:f>
        <x:v>0</x:v>
      </x:c>
      <x:c r="Z948" s="43" t="n">
        <x:f>--AND(Y948=1,R948=1,S948=1)</x:f>
        <x:v>0</x:v>
      </x:c>
      <x:c r="AC948" t="str">
        <x:f>IF(OR(AA948="",AB948=""),"",--(AA948&lt;&gt;AB948))</x:f>
      </x:c>
      <x:c r="AE948" t="str">
        <x:f>IF(OR(AA948="",AB948=""),"PENDING_HUMAN",IF(AA948=AB948,AA948,IF(AD948&lt;&gt;"",AD948,"PENDING_HUMAN")))</x:f>
        <x:v>PENDING_HUMAN</x:v>
      </x:c>
      <x:c r="AF948" t="n">
        <x:f>--AND(A948&lt;&gt;"",AA948&lt;&gt;"",AB948&lt;&gt;"",OR(AA948=AB948,AD948&lt;&gt;""),IF(AE948="HALLUCINATION",U948&lt;&gt;"",TRUE))</x:f>
        <x:v>0</x:v>
      </x:c>
      <x:c r="AG948" t="n">
        <x:f>--AND(N948=1,AF948=1,OR(AE948="SUPPORTED",AE948="HALLUCINATION"))</x:f>
        <x:v>0</x:v>
      </x:c>
      <x:c r="AH948" t="n">
        <x:f>--AND(AG948=1,AE948="HALLUCINATION")</x:f>
        <x:v>0</x:v>
      </x:c>
      <x:c r="AI948" t="n">
        <x:f>--AND(Q948=1,AF948=1,AE948="HALLUCINATION")</x:f>
        <x:v>0</x:v>
      </x:c>
      <x:c r="AJ948" t="n">
        <x:f>--AND(AI948=1,R948=1,S948=1)</x:f>
        <x:v>0</x:v>
      </x:c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8"/>
      <x:c r="P949" s="28"/>
      <x:c r="Q949" s="28"/>
      <x:c r="R949" s="28"/>
      <x:c r="S949" s="28"/>
      <x:c r="T949" s="28"/>
      <x:c r="U949" s="28"/>
      <x:c r="V949" s="28"/>
      <x:c r="W949" s="43" t="n">
        <x:f>--AND(N949=1,OR(O949="SUPPORTED",O949="HALLUCINATION"))</x:f>
        <x:v>0</x:v>
      </x:c>
      <x:c r="X949" s="43" t="n">
        <x:f>--AND(W949=1,O949="HALLUCINATION")</x:f>
        <x:v>0</x:v>
      </x:c>
      <x:c r="Y949" s="43" t="n">
        <x:f>--AND(Q949=1,O949="HALLUCINATION")</x:f>
        <x:v>0</x:v>
      </x:c>
      <x:c r="Z949" s="43" t="n">
        <x:f>--AND(Y949=1,R949=1,S949=1)</x:f>
        <x:v>0</x:v>
      </x:c>
      <x:c r="AC949" t="str">
        <x:f>IF(OR(AA949="",AB949=""),"",--(AA949&lt;&gt;AB949))</x:f>
      </x:c>
      <x:c r="AE949" t="str">
        <x:f>IF(OR(AA949="",AB949=""),"PENDING_HUMAN",IF(AA949=AB949,AA949,IF(AD949&lt;&gt;"",AD949,"PENDING_HUMAN")))</x:f>
        <x:v>PENDING_HUMAN</x:v>
      </x:c>
      <x:c r="AF949" t="n">
        <x:f>--AND(A949&lt;&gt;"",AA949&lt;&gt;"",AB949&lt;&gt;"",OR(AA949=AB949,AD949&lt;&gt;""),IF(AE949="HALLUCINATION",U949&lt;&gt;"",TRUE))</x:f>
        <x:v>0</x:v>
      </x:c>
      <x:c r="AG949" t="n">
        <x:f>--AND(N949=1,AF949=1,OR(AE949="SUPPORTED",AE949="HALLUCINATION"))</x:f>
        <x:v>0</x:v>
      </x:c>
      <x:c r="AH949" t="n">
        <x:f>--AND(AG949=1,AE949="HALLUCINATION")</x:f>
        <x:v>0</x:v>
      </x:c>
      <x:c r="AI949" t="n">
        <x:f>--AND(Q949=1,AF949=1,AE949="HALLUCINATION")</x:f>
        <x:v>0</x:v>
      </x:c>
      <x:c r="AJ949" t="n">
        <x:f>--AND(AI949=1,R949=1,S949=1)</x:f>
        <x:v>0</x:v>
      </x:c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8"/>
      <x:c r="P950" s="28"/>
      <x:c r="Q950" s="28"/>
      <x:c r="R950" s="28"/>
      <x:c r="S950" s="28"/>
      <x:c r="T950" s="28"/>
      <x:c r="U950" s="28"/>
      <x:c r="V950" s="28"/>
      <x:c r="W950" s="43" t="n">
        <x:f>--AND(N950=1,OR(O950="SUPPORTED",O950="HALLUCINATION"))</x:f>
        <x:v>0</x:v>
      </x:c>
      <x:c r="X950" s="43" t="n">
        <x:f>--AND(W950=1,O950="HALLUCINATION")</x:f>
        <x:v>0</x:v>
      </x:c>
      <x:c r="Y950" s="43" t="n">
        <x:f>--AND(Q950=1,O950="HALLUCINATION")</x:f>
        <x:v>0</x:v>
      </x:c>
      <x:c r="Z950" s="43" t="n">
        <x:f>--AND(Y950=1,R950=1,S950=1)</x:f>
        <x:v>0</x:v>
      </x:c>
      <x:c r="AC950" t="str">
        <x:f>IF(OR(AA950="",AB950=""),"",--(AA950&lt;&gt;AB950))</x:f>
      </x:c>
      <x:c r="AE950" t="str">
        <x:f>IF(OR(AA950="",AB950=""),"PENDING_HUMAN",IF(AA950=AB950,AA950,IF(AD950&lt;&gt;"",AD950,"PENDING_HUMAN")))</x:f>
        <x:v>PENDING_HUMAN</x:v>
      </x:c>
      <x:c r="AF950" t="n">
        <x:f>--AND(A950&lt;&gt;"",AA950&lt;&gt;"",AB950&lt;&gt;"",OR(AA950=AB950,AD950&lt;&gt;""),IF(AE950="HALLUCINATION",U950&lt;&gt;"",TRUE))</x:f>
        <x:v>0</x:v>
      </x:c>
      <x:c r="AG950" t="n">
        <x:f>--AND(N950=1,AF950=1,OR(AE950="SUPPORTED",AE950="HALLUCINATION"))</x:f>
        <x:v>0</x:v>
      </x:c>
      <x:c r="AH950" t="n">
        <x:f>--AND(AG950=1,AE950="HALLUCINATION")</x:f>
        <x:v>0</x:v>
      </x:c>
      <x:c r="AI950" t="n">
        <x:f>--AND(Q950=1,AF950=1,AE950="HALLUCINATION")</x:f>
        <x:v>0</x:v>
      </x:c>
      <x:c r="AJ950" t="n">
        <x:f>--AND(AI950=1,R950=1,S950=1)</x:f>
        <x:v>0</x:v>
      </x:c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8"/>
      <x:c r="P951" s="28"/>
      <x:c r="Q951" s="28"/>
      <x:c r="R951" s="28"/>
      <x:c r="S951" s="28"/>
      <x:c r="T951" s="28"/>
      <x:c r="U951" s="28"/>
      <x:c r="V951" s="28"/>
      <x:c r="W951" s="43" t="n">
        <x:f>--AND(N951=1,OR(O951="SUPPORTED",O951="HALLUCINATION"))</x:f>
        <x:v>0</x:v>
      </x:c>
      <x:c r="X951" s="43" t="n">
        <x:f>--AND(W951=1,O951="HALLUCINATION")</x:f>
        <x:v>0</x:v>
      </x:c>
      <x:c r="Y951" s="43" t="n">
        <x:f>--AND(Q951=1,O951="HALLUCINATION")</x:f>
        <x:v>0</x:v>
      </x:c>
      <x:c r="Z951" s="43" t="n">
        <x:f>--AND(Y951=1,R951=1,S951=1)</x:f>
        <x:v>0</x:v>
      </x:c>
      <x:c r="AC951" t="str">
        <x:f>IF(OR(AA951="",AB951=""),"",--(AA951&lt;&gt;AB951))</x:f>
      </x:c>
      <x:c r="AE951" t="str">
        <x:f>IF(OR(AA951="",AB951=""),"PENDING_HUMAN",IF(AA951=AB951,AA951,IF(AD951&lt;&gt;"",AD951,"PENDING_HUMAN")))</x:f>
        <x:v>PENDING_HUMAN</x:v>
      </x:c>
      <x:c r="AF951" t="n">
        <x:f>--AND(A951&lt;&gt;"",AA951&lt;&gt;"",AB951&lt;&gt;"",OR(AA951=AB951,AD951&lt;&gt;""),IF(AE951="HALLUCINATION",U951&lt;&gt;"",TRUE))</x:f>
        <x:v>0</x:v>
      </x:c>
      <x:c r="AG951" t="n">
        <x:f>--AND(N951=1,AF951=1,OR(AE951="SUPPORTED",AE951="HALLUCINATION"))</x:f>
        <x:v>0</x:v>
      </x:c>
      <x:c r="AH951" t="n">
        <x:f>--AND(AG951=1,AE951="HALLUCINATION")</x:f>
        <x:v>0</x:v>
      </x:c>
      <x:c r="AI951" t="n">
        <x:f>--AND(Q951=1,AF951=1,AE951="HALLUCINATION")</x:f>
        <x:v>0</x:v>
      </x:c>
      <x:c r="AJ951" t="n">
        <x:f>--AND(AI951=1,R951=1,S951=1)</x:f>
        <x:v>0</x:v>
      </x:c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8"/>
      <x:c r="P952" s="28"/>
      <x:c r="Q952" s="28"/>
      <x:c r="R952" s="28"/>
      <x:c r="S952" s="28"/>
      <x:c r="T952" s="28"/>
      <x:c r="U952" s="28"/>
      <x:c r="V952" s="28"/>
      <x:c r="W952" s="43" t="n">
        <x:f>--AND(N952=1,OR(O952="SUPPORTED",O952="HALLUCINATION"))</x:f>
        <x:v>0</x:v>
      </x:c>
      <x:c r="X952" s="43" t="n">
        <x:f>--AND(W952=1,O952="HALLUCINATION")</x:f>
        <x:v>0</x:v>
      </x:c>
      <x:c r="Y952" s="43" t="n">
        <x:f>--AND(Q952=1,O952="HALLUCINATION")</x:f>
        <x:v>0</x:v>
      </x:c>
      <x:c r="Z952" s="43" t="n">
        <x:f>--AND(Y952=1,R952=1,S952=1)</x:f>
        <x:v>0</x:v>
      </x:c>
      <x:c r="AC952" t="str">
        <x:f>IF(OR(AA952="",AB952=""),"",--(AA952&lt;&gt;AB952))</x:f>
      </x:c>
      <x:c r="AE952" t="str">
        <x:f>IF(OR(AA952="",AB952=""),"PENDING_HUMAN",IF(AA952=AB952,AA952,IF(AD952&lt;&gt;"",AD952,"PENDING_HUMAN")))</x:f>
        <x:v>PENDING_HUMAN</x:v>
      </x:c>
      <x:c r="AF952" t="n">
        <x:f>--AND(A952&lt;&gt;"",AA952&lt;&gt;"",AB952&lt;&gt;"",OR(AA952=AB952,AD952&lt;&gt;""),IF(AE952="HALLUCINATION",U952&lt;&gt;"",TRUE))</x:f>
        <x:v>0</x:v>
      </x:c>
      <x:c r="AG952" t="n">
        <x:f>--AND(N952=1,AF952=1,OR(AE952="SUPPORTED",AE952="HALLUCINATION"))</x:f>
        <x:v>0</x:v>
      </x:c>
      <x:c r="AH952" t="n">
        <x:f>--AND(AG952=1,AE952="HALLUCINATION")</x:f>
        <x:v>0</x:v>
      </x:c>
      <x:c r="AI952" t="n">
        <x:f>--AND(Q952=1,AF952=1,AE952="HALLUCINATION")</x:f>
        <x:v>0</x:v>
      </x:c>
      <x:c r="AJ952" t="n">
        <x:f>--AND(AI952=1,R952=1,S952=1)</x:f>
        <x:v>0</x:v>
      </x:c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8"/>
      <x:c r="P953" s="28"/>
      <x:c r="Q953" s="28"/>
      <x:c r="R953" s="28"/>
      <x:c r="S953" s="28"/>
      <x:c r="T953" s="28"/>
      <x:c r="U953" s="28"/>
      <x:c r="V953" s="28"/>
      <x:c r="W953" s="43" t="n">
        <x:f>--AND(N953=1,OR(O953="SUPPORTED",O953="HALLUCINATION"))</x:f>
        <x:v>0</x:v>
      </x:c>
      <x:c r="X953" s="43" t="n">
        <x:f>--AND(W953=1,O953="HALLUCINATION")</x:f>
        <x:v>0</x:v>
      </x:c>
      <x:c r="Y953" s="43" t="n">
        <x:f>--AND(Q953=1,O953="HALLUCINATION")</x:f>
        <x:v>0</x:v>
      </x:c>
      <x:c r="Z953" s="43" t="n">
        <x:f>--AND(Y953=1,R953=1,S953=1)</x:f>
        <x:v>0</x:v>
      </x:c>
      <x:c r="AC953" t="str">
        <x:f>IF(OR(AA953="",AB953=""),"",--(AA953&lt;&gt;AB953))</x:f>
      </x:c>
      <x:c r="AE953" t="str">
        <x:f>IF(OR(AA953="",AB953=""),"PENDING_HUMAN",IF(AA953=AB953,AA953,IF(AD953&lt;&gt;"",AD953,"PENDING_HUMAN")))</x:f>
        <x:v>PENDING_HUMAN</x:v>
      </x:c>
      <x:c r="AF953" t="n">
        <x:f>--AND(A953&lt;&gt;"",AA953&lt;&gt;"",AB953&lt;&gt;"",OR(AA953=AB953,AD953&lt;&gt;""),IF(AE953="HALLUCINATION",U953&lt;&gt;"",TRUE))</x:f>
        <x:v>0</x:v>
      </x:c>
      <x:c r="AG953" t="n">
        <x:f>--AND(N953=1,AF953=1,OR(AE953="SUPPORTED",AE953="HALLUCINATION"))</x:f>
        <x:v>0</x:v>
      </x:c>
      <x:c r="AH953" t="n">
        <x:f>--AND(AG953=1,AE953="HALLUCINATION")</x:f>
        <x:v>0</x:v>
      </x:c>
      <x:c r="AI953" t="n">
        <x:f>--AND(Q953=1,AF953=1,AE953="HALLUCINATION")</x:f>
        <x:v>0</x:v>
      </x:c>
      <x:c r="AJ953" t="n">
        <x:f>--AND(AI953=1,R953=1,S953=1)</x:f>
        <x:v>0</x:v>
      </x:c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8"/>
      <x:c r="P954" s="28"/>
      <x:c r="Q954" s="28"/>
      <x:c r="R954" s="28"/>
      <x:c r="S954" s="28"/>
      <x:c r="T954" s="28"/>
      <x:c r="U954" s="28"/>
      <x:c r="V954" s="28"/>
      <x:c r="W954" s="43" t="n">
        <x:f>--AND(N954=1,OR(O954="SUPPORTED",O954="HALLUCINATION"))</x:f>
        <x:v>0</x:v>
      </x:c>
      <x:c r="X954" s="43" t="n">
        <x:f>--AND(W954=1,O954="HALLUCINATION")</x:f>
        <x:v>0</x:v>
      </x:c>
      <x:c r="Y954" s="43" t="n">
        <x:f>--AND(Q954=1,O954="HALLUCINATION")</x:f>
        <x:v>0</x:v>
      </x:c>
      <x:c r="Z954" s="43" t="n">
        <x:f>--AND(Y954=1,R954=1,S954=1)</x:f>
        <x:v>0</x:v>
      </x:c>
      <x:c r="AC954" t="str">
        <x:f>IF(OR(AA954="",AB954=""),"",--(AA954&lt;&gt;AB954))</x:f>
      </x:c>
      <x:c r="AE954" t="str">
        <x:f>IF(OR(AA954="",AB954=""),"PENDING_HUMAN",IF(AA954=AB954,AA954,IF(AD954&lt;&gt;"",AD954,"PENDING_HUMAN")))</x:f>
        <x:v>PENDING_HUMAN</x:v>
      </x:c>
      <x:c r="AF954" t="n">
        <x:f>--AND(A954&lt;&gt;"",AA954&lt;&gt;"",AB954&lt;&gt;"",OR(AA954=AB954,AD954&lt;&gt;""),IF(AE954="HALLUCINATION",U954&lt;&gt;"",TRUE))</x:f>
        <x:v>0</x:v>
      </x:c>
      <x:c r="AG954" t="n">
        <x:f>--AND(N954=1,AF954=1,OR(AE954="SUPPORTED",AE954="HALLUCINATION"))</x:f>
        <x:v>0</x:v>
      </x:c>
      <x:c r="AH954" t="n">
        <x:f>--AND(AG954=1,AE954="HALLUCINATION")</x:f>
        <x:v>0</x:v>
      </x:c>
      <x:c r="AI954" t="n">
        <x:f>--AND(Q954=1,AF954=1,AE954="HALLUCINATION")</x:f>
        <x:v>0</x:v>
      </x:c>
      <x:c r="AJ954" t="n">
        <x:f>--AND(AI954=1,R954=1,S954=1)</x:f>
        <x:v>0</x:v>
      </x:c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8"/>
      <x:c r="P955" s="28"/>
      <x:c r="Q955" s="28"/>
      <x:c r="R955" s="28"/>
      <x:c r="S955" s="28"/>
      <x:c r="T955" s="28"/>
      <x:c r="U955" s="28"/>
      <x:c r="V955" s="28"/>
      <x:c r="W955" s="43" t="n">
        <x:f>--AND(N955=1,OR(O955="SUPPORTED",O955="HALLUCINATION"))</x:f>
        <x:v>0</x:v>
      </x:c>
      <x:c r="X955" s="43" t="n">
        <x:f>--AND(W955=1,O955="HALLUCINATION")</x:f>
        <x:v>0</x:v>
      </x:c>
      <x:c r="Y955" s="43" t="n">
        <x:f>--AND(Q955=1,O955="HALLUCINATION")</x:f>
        <x:v>0</x:v>
      </x:c>
      <x:c r="Z955" s="43" t="n">
        <x:f>--AND(Y955=1,R955=1,S955=1)</x:f>
        <x:v>0</x:v>
      </x:c>
      <x:c r="AC955" t="str">
        <x:f>IF(OR(AA955="",AB955=""),"",--(AA955&lt;&gt;AB955))</x:f>
      </x:c>
      <x:c r="AE955" t="str">
        <x:f>IF(OR(AA955="",AB955=""),"PENDING_HUMAN",IF(AA955=AB955,AA955,IF(AD955&lt;&gt;"",AD955,"PENDING_HUMAN")))</x:f>
        <x:v>PENDING_HUMAN</x:v>
      </x:c>
      <x:c r="AF955" t="n">
        <x:f>--AND(A955&lt;&gt;"",AA955&lt;&gt;"",AB955&lt;&gt;"",OR(AA955=AB955,AD955&lt;&gt;""),IF(AE955="HALLUCINATION",U955&lt;&gt;"",TRUE))</x:f>
        <x:v>0</x:v>
      </x:c>
      <x:c r="AG955" t="n">
        <x:f>--AND(N955=1,AF955=1,OR(AE955="SUPPORTED",AE955="HALLUCINATION"))</x:f>
        <x:v>0</x:v>
      </x:c>
      <x:c r="AH955" t="n">
        <x:f>--AND(AG955=1,AE955="HALLUCINATION")</x:f>
        <x:v>0</x:v>
      </x:c>
      <x:c r="AI955" t="n">
        <x:f>--AND(Q955=1,AF955=1,AE955="HALLUCINATION")</x:f>
        <x:v>0</x:v>
      </x:c>
      <x:c r="AJ955" t="n">
        <x:f>--AND(AI955=1,R955=1,S955=1)</x:f>
        <x:v>0</x:v>
      </x:c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8"/>
      <x:c r="P956" s="28"/>
      <x:c r="Q956" s="28"/>
      <x:c r="R956" s="28"/>
      <x:c r="S956" s="28"/>
      <x:c r="T956" s="28"/>
      <x:c r="U956" s="28"/>
      <x:c r="V956" s="28"/>
      <x:c r="W956" s="43" t="n">
        <x:f>--AND(N956=1,OR(O956="SUPPORTED",O956="HALLUCINATION"))</x:f>
        <x:v>0</x:v>
      </x:c>
      <x:c r="X956" s="43" t="n">
        <x:f>--AND(W956=1,O956="HALLUCINATION")</x:f>
        <x:v>0</x:v>
      </x:c>
      <x:c r="Y956" s="43" t="n">
        <x:f>--AND(Q956=1,O956="HALLUCINATION")</x:f>
        <x:v>0</x:v>
      </x:c>
      <x:c r="Z956" s="43" t="n">
        <x:f>--AND(Y956=1,R956=1,S956=1)</x:f>
        <x:v>0</x:v>
      </x:c>
      <x:c r="AC956" t="str">
        <x:f>IF(OR(AA956="",AB956=""),"",--(AA956&lt;&gt;AB956))</x:f>
      </x:c>
      <x:c r="AE956" t="str">
        <x:f>IF(OR(AA956="",AB956=""),"PENDING_HUMAN",IF(AA956=AB956,AA956,IF(AD956&lt;&gt;"",AD956,"PENDING_HUMAN")))</x:f>
        <x:v>PENDING_HUMAN</x:v>
      </x:c>
      <x:c r="AF956" t="n">
        <x:f>--AND(A956&lt;&gt;"",AA956&lt;&gt;"",AB956&lt;&gt;"",OR(AA956=AB956,AD956&lt;&gt;""),IF(AE956="HALLUCINATION",U956&lt;&gt;"",TRUE))</x:f>
        <x:v>0</x:v>
      </x:c>
      <x:c r="AG956" t="n">
        <x:f>--AND(N956=1,AF956=1,OR(AE956="SUPPORTED",AE956="HALLUCINATION"))</x:f>
        <x:v>0</x:v>
      </x:c>
      <x:c r="AH956" t="n">
        <x:f>--AND(AG956=1,AE956="HALLUCINATION")</x:f>
        <x:v>0</x:v>
      </x:c>
      <x:c r="AI956" t="n">
        <x:f>--AND(Q956=1,AF956=1,AE956="HALLUCINATION")</x:f>
        <x:v>0</x:v>
      </x:c>
      <x:c r="AJ956" t="n">
        <x:f>--AND(AI956=1,R956=1,S956=1)</x:f>
        <x:v>0</x:v>
      </x:c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8"/>
      <x:c r="P957" s="28"/>
      <x:c r="Q957" s="28"/>
      <x:c r="R957" s="28"/>
      <x:c r="S957" s="28"/>
      <x:c r="T957" s="28"/>
      <x:c r="U957" s="28"/>
      <x:c r="V957" s="28"/>
      <x:c r="W957" s="43" t="n">
        <x:f>--AND(N957=1,OR(O957="SUPPORTED",O957="HALLUCINATION"))</x:f>
        <x:v>0</x:v>
      </x:c>
      <x:c r="X957" s="43" t="n">
        <x:f>--AND(W957=1,O957="HALLUCINATION")</x:f>
        <x:v>0</x:v>
      </x:c>
      <x:c r="Y957" s="43" t="n">
        <x:f>--AND(Q957=1,O957="HALLUCINATION")</x:f>
        <x:v>0</x:v>
      </x:c>
      <x:c r="Z957" s="43" t="n">
        <x:f>--AND(Y957=1,R957=1,S957=1)</x:f>
        <x:v>0</x:v>
      </x:c>
      <x:c r="AC957" t="str">
        <x:f>IF(OR(AA957="",AB957=""),"",--(AA957&lt;&gt;AB957))</x:f>
      </x:c>
      <x:c r="AE957" t="str">
        <x:f>IF(OR(AA957="",AB957=""),"PENDING_HUMAN",IF(AA957=AB957,AA957,IF(AD957&lt;&gt;"",AD957,"PENDING_HUMAN")))</x:f>
        <x:v>PENDING_HUMAN</x:v>
      </x:c>
      <x:c r="AF957" t="n">
        <x:f>--AND(A957&lt;&gt;"",AA957&lt;&gt;"",AB957&lt;&gt;"",OR(AA957=AB957,AD957&lt;&gt;""),IF(AE957="HALLUCINATION",U957&lt;&gt;"",TRUE))</x:f>
        <x:v>0</x:v>
      </x:c>
      <x:c r="AG957" t="n">
        <x:f>--AND(N957=1,AF957=1,OR(AE957="SUPPORTED",AE957="HALLUCINATION"))</x:f>
        <x:v>0</x:v>
      </x:c>
      <x:c r="AH957" t="n">
        <x:f>--AND(AG957=1,AE957="HALLUCINATION")</x:f>
        <x:v>0</x:v>
      </x:c>
      <x:c r="AI957" t="n">
        <x:f>--AND(Q957=1,AF957=1,AE957="HALLUCINATION")</x:f>
        <x:v>0</x:v>
      </x:c>
      <x:c r="AJ957" t="n">
        <x:f>--AND(AI957=1,R957=1,S957=1)</x:f>
        <x:v>0</x:v>
      </x:c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8"/>
      <x:c r="P958" s="28"/>
      <x:c r="Q958" s="28"/>
      <x:c r="R958" s="28"/>
      <x:c r="S958" s="28"/>
      <x:c r="T958" s="28"/>
      <x:c r="U958" s="28"/>
      <x:c r="V958" s="28"/>
      <x:c r="W958" s="43" t="n">
        <x:f>--AND(N958=1,OR(O958="SUPPORTED",O958="HALLUCINATION"))</x:f>
        <x:v>0</x:v>
      </x:c>
      <x:c r="X958" s="43" t="n">
        <x:f>--AND(W958=1,O958="HALLUCINATION")</x:f>
        <x:v>0</x:v>
      </x:c>
      <x:c r="Y958" s="43" t="n">
        <x:f>--AND(Q958=1,O958="HALLUCINATION")</x:f>
        <x:v>0</x:v>
      </x:c>
      <x:c r="Z958" s="43" t="n">
        <x:f>--AND(Y958=1,R958=1,S958=1)</x:f>
        <x:v>0</x:v>
      </x:c>
      <x:c r="AC958" t="str">
        <x:f>IF(OR(AA958="",AB958=""),"",--(AA958&lt;&gt;AB958))</x:f>
      </x:c>
      <x:c r="AE958" t="str">
        <x:f>IF(OR(AA958="",AB958=""),"PENDING_HUMAN",IF(AA958=AB958,AA958,IF(AD958&lt;&gt;"",AD958,"PENDING_HUMAN")))</x:f>
        <x:v>PENDING_HUMAN</x:v>
      </x:c>
      <x:c r="AF958" t="n">
        <x:f>--AND(A958&lt;&gt;"",AA958&lt;&gt;"",AB958&lt;&gt;"",OR(AA958=AB958,AD958&lt;&gt;""),IF(AE958="HALLUCINATION",U958&lt;&gt;"",TRUE))</x:f>
        <x:v>0</x:v>
      </x:c>
      <x:c r="AG958" t="n">
        <x:f>--AND(N958=1,AF958=1,OR(AE958="SUPPORTED",AE958="HALLUCINATION"))</x:f>
        <x:v>0</x:v>
      </x:c>
      <x:c r="AH958" t="n">
        <x:f>--AND(AG958=1,AE958="HALLUCINATION")</x:f>
        <x:v>0</x:v>
      </x:c>
      <x:c r="AI958" t="n">
        <x:f>--AND(Q958=1,AF958=1,AE958="HALLUCINATION")</x:f>
        <x:v>0</x:v>
      </x:c>
      <x:c r="AJ958" t="n">
        <x:f>--AND(AI958=1,R958=1,S958=1)</x:f>
        <x:v>0</x:v>
      </x:c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8"/>
      <x:c r="P959" s="28"/>
      <x:c r="Q959" s="28"/>
      <x:c r="R959" s="28"/>
      <x:c r="S959" s="28"/>
      <x:c r="T959" s="28"/>
      <x:c r="U959" s="28"/>
      <x:c r="V959" s="28"/>
      <x:c r="W959" s="43" t="n">
        <x:f>--AND(N959=1,OR(O959="SUPPORTED",O959="HALLUCINATION"))</x:f>
        <x:v>0</x:v>
      </x:c>
      <x:c r="X959" s="43" t="n">
        <x:f>--AND(W959=1,O959="HALLUCINATION")</x:f>
        <x:v>0</x:v>
      </x:c>
      <x:c r="Y959" s="43" t="n">
        <x:f>--AND(Q959=1,O959="HALLUCINATION")</x:f>
        <x:v>0</x:v>
      </x:c>
      <x:c r="Z959" s="43" t="n">
        <x:f>--AND(Y959=1,R959=1,S959=1)</x:f>
        <x:v>0</x:v>
      </x:c>
      <x:c r="AC959" t="str">
        <x:f>IF(OR(AA959="",AB959=""),"",--(AA959&lt;&gt;AB959))</x:f>
      </x:c>
      <x:c r="AE959" t="str">
        <x:f>IF(OR(AA959="",AB959=""),"PENDING_HUMAN",IF(AA959=AB959,AA959,IF(AD959&lt;&gt;"",AD959,"PENDING_HUMAN")))</x:f>
        <x:v>PENDING_HUMAN</x:v>
      </x:c>
      <x:c r="AF959" t="n">
        <x:f>--AND(A959&lt;&gt;"",AA959&lt;&gt;"",AB959&lt;&gt;"",OR(AA959=AB959,AD959&lt;&gt;""),IF(AE959="HALLUCINATION",U959&lt;&gt;"",TRUE))</x:f>
        <x:v>0</x:v>
      </x:c>
      <x:c r="AG959" t="n">
        <x:f>--AND(N959=1,AF959=1,OR(AE959="SUPPORTED",AE959="HALLUCINATION"))</x:f>
        <x:v>0</x:v>
      </x:c>
      <x:c r="AH959" t="n">
        <x:f>--AND(AG959=1,AE959="HALLUCINATION")</x:f>
        <x:v>0</x:v>
      </x:c>
      <x:c r="AI959" t="n">
        <x:f>--AND(Q959=1,AF959=1,AE959="HALLUCINATION")</x:f>
        <x:v>0</x:v>
      </x:c>
      <x:c r="AJ959" t="n">
        <x:f>--AND(AI959=1,R959=1,S959=1)</x:f>
        <x:v>0</x:v>
      </x:c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8"/>
      <x:c r="P960" s="28"/>
      <x:c r="Q960" s="28"/>
      <x:c r="R960" s="28"/>
      <x:c r="S960" s="28"/>
      <x:c r="T960" s="28"/>
      <x:c r="U960" s="28"/>
      <x:c r="V960" s="28"/>
      <x:c r="W960" s="43" t="n">
        <x:f>--AND(N960=1,OR(O960="SUPPORTED",O960="HALLUCINATION"))</x:f>
        <x:v>0</x:v>
      </x:c>
      <x:c r="X960" s="43" t="n">
        <x:f>--AND(W960=1,O960="HALLUCINATION")</x:f>
        <x:v>0</x:v>
      </x:c>
      <x:c r="Y960" s="43" t="n">
        <x:f>--AND(Q960=1,O960="HALLUCINATION")</x:f>
        <x:v>0</x:v>
      </x:c>
      <x:c r="Z960" s="43" t="n">
        <x:f>--AND(Y960=1,R960=1,S960=1)</x:f>
        <x:v>0</x:v>
      </x:c>
      <x:c r="AC960" t="str">
        <x:f>IF(OR(AA960="",AB960=""),"",--(AA960&lt;&gt;AB960))</x:f>
      </x:c>
      <x:c r="AE960" t="str">
        <x:f>IF(OR(AA960="",AB960=""),"PENDING_HUMAN",IF(AA960=AB960,AA960,IF(AD960&lt;&gt;"",AD960,"PENDING_HUMAN")))</x:f>
        <x:v>PENDING_HUMAN</x:v>
      </x:c>
      <x:c r="AF960" t="n">
        <x:f>--AND(A960&lt;&gt;"",AA960&lt;&gt;"",AB960&lt;&gt;"",OR(AA960=AB960,AD960&lt;&gt;""),IF(AE960="HALLUCINATION",U960&lt;&gt;"",TRUE))</x:f>
        <x:v>0</x:v>
      </x:c>
      <x:c r="AG960" t="n">
        <x:f>--AND(N960=1,AF960=1,OR(AE960="SUPPORTED",AE960="HALLUCINATION"))</x:f>
        <x:v>0</x:v>
      </x:c>
      <x:c r="AH960" t="n">
        <x:f>--AND(AG960=1,AE960="HALLUCINATION")</x:f>
        <x:v>0</x:v>
      </x:c>
      <x:c r="AI960" t="n">
        <x:f>--AND(Q960=1,AF960=1,AE960="HALLUCINATION")</x:f>
        <x:v>0</x:v>
      </x:c>
      <x:c r="AJ960" t="n">
        <x:f>--AND(AI960=1,R960=1,S960=1)</x:f>
        <x:v>0</x:v>
      </x:c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8"/>
      <x:c r="P961" s="28"/>
      <x:c r="Q961" s="28"/>
      <x:c r="R961" s="28"/>
      <x:c r="S961" s="28"/>
      <x:c r="T961" s="28"/>
      <x:c r="U961" s="28"/>
      <x:c r="V961" s="28"/>
      <x:c r="W961" s="43" t="n">
        <x:f>--AND(N961=1,OR(O961="SUPPORTED",O961="HALLUCINATION"))</x:f>
        <x:v>0</x:v>
      </x:c>
      <x:c r="X961" s="43" t="n">
        <x:f>--AND(W961=1,O961="HALLUCINATION")</x:f>
        <x:v>0</x:v>
      </x:c>
      <x:c r="Y961" s="43" t="n">
        <x:f>--AND(Q961=1,O961="HALLUCINATION")</x:f>
        <x:v>0</x:v>
      </x:c>
      <x:c r="Z961" s="43" t="n">
        <x:f>--AND(Y961=1,R961=1,S961=1)</x:f>
        <x:v>0</x:v>
      </x:c>
      <x:c r="AC961" t="str">
        <x:f>IF(OR(AA961="",AB961=""),"",--(AA961&lt;&gt;AB961))</x:f>
      </x:c>
      <x:c r="AE961" t="str">
        <x:f>IF(OR(AA961="",AB961=""),"PENDING_HUMAN",IF(AA961=AB961,AA961,IF(AD961&lt;&gt;"",AD961,"PENDING_HUMAN")))</x:f>
        <x:v>PENDING_HUMAN</x:v>
      </x:c>
      <x:c r="AF961" t="n">
        <x:f>--AND(A961&lt;&gt;"",AA961&lt;&gt;"",AB961&lt;&gt;"",OR(AA961=AB961,AD961&lt;&gt;""),IF(AE961="HALLUCINATION",U961&lt;&gt;"",TRUE))</x:f>
        <x:v>0</x:v>
      </x:c>
      <x:c r="AG961" t="n">
        <x:f>--AND(N961=1,AF961=1,OR(AE961="SUPPORTED",AE961="HALLUCINATION"))</x:f>
        <x:v>0</x:v>
      </x:c>
      <x:c r="AH961" t="n">
        <x:f>--AND(AG961=1,AE961="HALLUCINATION")</x:f>
        <x:v>0</x:v>
      </x:c>
      <x:c r="AI961" t="n">
        <x:f>--AND(Q961=1,AF961=1,AE961="HALLUCINATION")</x:f>
        <x:v>0</x:v>
      </x:c>
      <x:c r="AJ961" t="n">
        <x:f>--AND(AI961=1,R961=1,S961=1)</x:f>
        <x:v>0</x:v>
      </x:c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8"/>
      <x:c r="P962" s="28"/>
      <x:c r="Q962" s="28"/>
      <x:c r="R962" s="28"/>
      <x:c r="S962" s="28"/>
      <x:c r="T962" s="28"/>
      <x:c r="U962" s="28"/>
      <x:c r="V962" s="28"/>
      <x:c r="W962" s="43" t="n">
        <x:f>--AND(N962=1,OR(O962="SUPPORTED",O962="HALLUCINATION"))</x:f>
        <x:v>0</x:v>
      </x:c>
      <x:c r="X962" s="43" t="n">
        <x:f>--AND(W962=1,O962="HALLUCINATION")</x:f>
        <x:v>0</x:v>
      </x:c>
      <x:c r="Y962" s="43" t="n">
        <x:f>--AND(Q962=1,O962="HALLUCINATION")</x:f>
        <x:v>0</x:v>
      </x:c>
      <x:c r="Z962" s="43" t="n">
        <x:f>--AND(Y962=1,R962=1,S962=1)</x:f>
        <x:v>0</x:v>
      </x:c>
      <x:c r="AC962" t="str">
        <x:f>IF(OR(AA962="",AB962=""),"",--(AA962&lt;&gt;AB962))</x:f>
      </x:c>
      <x:c r="AE962" t="str">
        <x:f>IF(OR(AA962="",AB962=""),"PENDING_HUMAN",IF(AA962=AB962,AA962,IF(AD962&lt;&gt;"",AD962,"PENDING_HUMAN")))</x:f>
        <x:v>PENDING_HUMAN</x:v>
      </x:c>
      <x:c r="AF962" t="n">
        <x:f>--AND(A962&lt;&gt;"",AA962&lt;&gt;"",AB962&lt;&gt;"",OR(AA962=AB962,AD962&lt;&gt;""),IF(AE962="HALLUCINATION",U962&lt;&gt;"",TRUE))</x:f>
        <x:v>0</x:v>
      </x:c>
      <x:c r="AG962" t="n">
        <x:f>--AND(N962=1,AF962=1,OR(AE962="SUPPORTED",AE962="HALLUCINATION"))</x:f>
        <x:v>0</x:v>
      </x:c>
      <x:c r="AH962" t="n">
        <x:f>--AND(AG962=1,AE962="HALLUCINATION")</x:f>
        <x:v>0</x:v>
      </x:c>
      <x:c r="AI962" t="n">
        <x:f>--AND(Q962=1,AF962=1,AE962="HALLUCINATION")</x:f>
        <x:v>0</x:v>
      </x:c>
      <x:c r="AJ962" t="n">
        <x:f>--AND(AI962=1,R962=1,S962=1)</x:f>
        <x:v>0</x:v>
      </x:c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8"/>
      <x:c r="P963" s="28"/>
      <x:c r="Q963" s="28"/>
      <x:c r="R963" s="28"/>
      <x:c r="S963" s="28"/>
      <x:c r="T963" s="28"/>
      <x:c r="U963" s="28"/>
      <x:c r="V963" s="28"/>
      <x:c r="W963" s="43" t="n">
        <x:f>--AND(N963=1,OR(O963="SUPPORTED",O963="HALLUCINATION"))</x:f>
        <x:v>0</x:v>
      </x:c>
      <x:c r="X963" s="43" t="n">
        <x:f>--AND(W963=1,O963="HALLUCINATION")</x:f>
        <x:v>0</x:v>
      </x:c>
      <x:c r="Y963" s="43" t="n">
        <x:f>--AND(Q963=1,O963="HALLUCINATION")</x:f>
        <x:v>0</x:v>
      </x:c>
      <x:c r="Z963" s="43" t="n">
        <x:f>--AND(Y963=1,R963=1,S963=1)</x:f>
        <x:v>0</x:v>
      </x:c>
      <x:c r="AC963" t="str">
        <x:f>IF(OR(AA963="",AB963=""),"",--(AA963&lt;&gt;AB963))</x:f>
      </x:c>
      <x:c r="AE963" t="str">
        <x:f>IF(OR(AA963="",AB963=""),"PENDING_HUMAN",IF(AA963=AB963,AA963,IF(AD963&lt;&gt;"",AD963,"PENDING_HUMAN")))</x:f>
        <x:v>PENDING_HUMAN</x:v>
      </x:c>
      <x:c r="AF963" t="n">
        <x:f>--AND(A963&lt;&gt;"",AA963&lt;&gt;"",AB963&lt;&gt;"",OR(AA963=AB963,AD963&lt;&gt;""),IF(AE963="HALLUCINATION",U963&lt;&gt;"",TRUE))</x:f>
        <x:v>0</x:v>
      </x:c>
      <x:c r="AG963" t="n">
        <x:f>--AND(N963=1,AF963=1,OR(AE963="SUPPORTED",AE963="HALLUCINATION"))</x:f>
        <x:v>0</x:v>
      </x:c>
      <x:c r="AH963" t="n">
        <x:f>--AND(AG963=1,AE963="HALLUCINATION")</x:f>
        <x:v>0</x:v>
      </x:c>
      <x:c r="AI963" t="n">
        <x:f>--AND(Q963=1,AF963=1,AE963="HALLUCINATION")</x:f>
        <x:v>0</x:v>
      </x:c>
      <x:c r="AJ963" t="n">
        <x:f>--AND(AI963=1,R963=1,S963=1)</x:f>
        <x:v>0</x:v>
      </x:c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8"/>
      <x:c r="P964" s="28"/>
      <x:c r="Q964" s="28"/>
      <x:c r="R964" s="28"/>
      <x:c r="S964" s="28"/>
      <x:c r="T964" s="28"/>
      <x:c r="U964" s="28"/>
      <x:c r="V964" s="28"/>
      <x:c r="W964" s="43" t="n">
        <x:f>--AND(N964=1,OR(O964="SUPPORTED",O964="HALLUCINATION"))</x:f>
        <x:v>0</x:v>
      </x:c>
      <x:c r="X964" s="43" t="n">
        <x:f>--AND(W964=1,O964="HALLUCINATION")</x:f>
        <x:v>0</x:v>
      </x:c>
      <x:c r="Y964" s="43" t="n">
        <x:f>--AND(Q964=1,O964="HALLUCINATION")</x:f>
        <x:v>0</x:v>
      </x:c>
      <x:c r="Z964" s="43" t="n">
        <x:f>--AND(Y964=1,R964=1,S964=1)</x:f>
        <x:v>0</x:v>
      </x:c>
      <x:c r="AC964" t="str">
        <x:f>IF(OR(AA964="",AB964=""),"",--(AA964&lt;&gt;AB964))</x:f>
      </x:c>
      <x:c r="AE964" t="str">
        <x:f>IF(OR(AA964="",AB964=""),"PENDING_HUMAN",IF(AA964=AB964,AA964,IF(AD964&lt;&gt;"",AD964,"PENDING_HUMAN")))</x:f>
        <x:v>PENDING_HUMAN</x:v>
      </x:c>
      <x:c r="AF964" t="n">
        <x:f>--AND(A964&lt;&gt;"",AA964&lt;&gt;"",AB964&lt;&gt;"",OR(AA964=AB964,AD964&lt;&gt;""),IF(AE964="HALLUCINATION",U964&lt;&gt;"",TRUE))</x:f>
        <x:v>0</x:v>
      </x:c>
      <x:c r="AG964" t="n">
        <x:f>--AND(N964=1,AF964=1,OR(AE964="SUPPORTED",AE964="HALLUCINATION"))</x:f>
        <x:v>0</x:v>
      </x:c>
      <x:c r="AH964" t="n">
        <x:f>--AND(AG964=1,AE964="HALLUCINATION")</x:f>
        <x:v>0</x:v>
      </x:c>
      <x:c r="AI964" t="n">
        <x:f>--AND(Q964=1,AF964=1,AE964="HALLUCINATION")</x:f>
        <x:v>0</x:v>
      </x:c>
      <x:c r="AJ964" t="n">
        <x:f>--AND(AI964=1,R964=1,S964=1)</x:f>
        <x:v>0</x:v>
      </x:c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8"/>
      <x:c r="P965" s="28"/>
      <x:c r="Q965" s="28"/>
      <x:c r="R965" s="28"/>
      <x:c r="S965" s="28"/>
      <x:c r="T965" s="28"/>
      <x:c r="U965" s="28"/>
      <x:c r="V965" s="28"/>
      <x:c r="W965" s="43" t="n">
        <x:f>--AND(N965=1,OR(O965="SUPPORTED",O965="HALLUCINATION"))</x:f>
        <x:v>0</x:v>
      </x:c>
      <x:c r="X965" s="43" t="n">
        <x:f>--AND(W965=1,O965="HALLUCINATION")</x:f>
        <x:v>0</x:v>
      </x:c>
      <x:c r="Y965" s="43" t="n">
        <x:f>--AND(Q965=1,O965="HALLUCINATION")</x:f>
        <x:v>0</x:v>
      </x:c>
      <x:c r="Z965" s="43" t="n">
        <x:f>--AND(Y965=1,R965=1,S965=1)</x:f>
        <x:v>0</x:v>
      </x:c>
      <x:c r="AC965" t="str">
        <x:f>IF(OR(AA965="",AB965=""),"",--(AA965&lt;&gt;AB965))</x:f>
      </x:c>
      <x:c r="AE965" t="str">
        <x:f>IF(OR(AA965="",AB965=""),"PENDING_HUMAN",IF(AA965=AB965,AA965,IF(AD965&lt;&gt;"",AD965,"PENDING_HUMAN")))</x:f>
        <x:v>PENDING_HUMAN</x:v>
      </x:c>
      <x:c r="AF965" t="n">
        <x:f>--AND(A965&lt;&gt;"",AA965&lt;&gt;"",AB965&lt;&gt;"",OR(AA965=AB965,AD965&lt;&gt;""),IF(AE965="HALLUCINATION",U965&lt;&gt;"",TRUE))</x:f>
        <x:v>0</x:v>
      </x:c>
      <x:c r="AG965" t="n">
        <x:f>--AND(N965=1,AF965=1,OR(AE965="SUPPORTED",AE965="HALLUCINATION"))</x:f>
        <x:v>0</x:v>
      </x:c>
      <x:c r="AH965" t="n">
        <x:f>--AND(AG965=1,AE965="HALLUCINATION")</x:f>
        <x:v>0</x:v>
      </x:c>
      <x:c r="AI965" t="n">
        <x:f>--AND(Q965=1,AF965=1,AE965="HALLUCINATION")</x:f>
        <x:v>0</x:v>
      </x:c>
      <x:c r="AJ965" t="n">
        <x:f>--AND(AI965=1,R965=1,S965=1)</x:f>
        <x:v>0</x:v>
      </x:c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8"/>
      <x:c r="P966" s="28"/>
      <x:c r="Q966" s="28"/>
      <x:c r="R966" s="28"/>
      <x:c r="S966" s="28"/>
      <x:c r="T966" s="28"/>
      <x:c r="U966" s="28"/>
      <x:c r="V966" s="28"/>
      <x:c r="W966" s="43" t="n">
        <x:f>--AND(N966=1,OR(O966="SUPPORTED",O966="HALLUCINATION"))</x:f>
        <x:v>0</x:v>
      </x:c>
      <x:c r="X966" s="43" t="n">
        <x:f>--AND(W966=1,O966="HALLUCINATION")</x:f>
        <x:v>0</x:v>
      </x:c>
      <x:c r="Y966" s="43" t="n">
        <x:f>--AND(Q966=1,O966="HALLUCINATION")</x:f>
        <x:v>0</x:v>
      </x:c>
      <x:c r="Z966" s="43" t="n">
        <x:f>--AND(Y966=1,R966=1,S966=1)</x:f>
        <x:v>0</x:v>
      </x:c>
      <x:c r="AC966" t="str">
        <x:f>IF(OR(AA966="",AB966=""),"",--(AA966&lt;&gt;AB966))</x:f>
      </x:c>
      <x:c r="AE966" t="str">
        <x:f>IF(OR(AA966="",AB966=""),"PENDING_HUMAN",IF(AA966=AB966,AA966,IF(AD966&lt;&gt;"",AD966,"PENDING_HUMAN")))</x:f>
        <x:v>PENDING_HUMAN</x:v>
      </x:c>
      <x:c r="AF966" t="n">
        <x:f>--AND(A966&lt;&gt;"",AA966&lt;&gt;"",AB966&lt;&gt;"",OR(AA966=AB966,AD966&lt;&gt;""),IF(AE966="HALLUCINATION",U966&lt;&gt;"",TRUE))</x:f>
        <x:v>0</x:v>
      </x:c>
      <x:c r="AG966" t="n">
        <x:f>--AND(N966=1,AF966=1,OR(AE966="SUPPORTED",AE966="HALLUCINATION"))</x:f>
        <x:v>0</x:v>
      </x:c>
      <x:c r="AH966" t="n">
        <x:f>--AND(AG966=1,AE966="HALLUCINATION")</x:f>
        <x:v>0</x:v>
      </x:c>
      <x:c r="AI966" t="n">
        <x:f>--AND(Q966=1,AF966=1,AE966="HALLUCINATION")</x:f>
        <x:v>0</x:v>
      </x:c>
      <x:c r="AJ966" t="n">
        <x:f>--AND(AI966=1,R966=1,S966=1)</x:f>
        <x:v>0</x:v>
      </x:c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8"/>
      <x:c r="P967" s="28"/>
      <x:c r="Q967" s="28"/>
      <x:c r="R967" s="28"/>
      <x:c r="S967" s="28"/>
      <x:c r="T967" s="28"/>
      <x:c r="U967" s="28"/>
      <x:c r="V967" s="28"/>
      <x:c r="W967" s="43" t="n">
        <x:f>--AND(N967=1,OR(O967="SUPPORTED",O967="HALLUCINATION"))</x:f>
        <x:v>0</x:v>
      </x:c>
      <x:c r="X967" s="43" t="n">
        <x:f>--AND(W967=1,O967="HALLUCINATION")</x:f>
        <x:v>0</x:v>
      </x:c>
      <x:c r="Y967" s="43" t="n">
        <x:f>--AND(Q967=1,O967="HALLUCINATION")</x:f>
        <x:v>0</x:v>
      </x:c>
      <x:c r="Z967" s="43" t="n">
        <x:f>--AND(Y967=1,R967=1,S967=1)</x:f>
        <x:v>0</x:v>
      </x:c>
      <x:c r="AC967" t="str">
        <x:f>IF(OR(AA967="",AB967=""),"",--(AA967&lt;&gt;AB967))</x:f>
      </x:c>
      <x:c r="AE967" t="str">
        <x:f>IF(OR(AA967="",AB967=""),"PENDING_HUMAN",IF(AA967=AB967,AA967,IF(AD967&lt;&gt;"",AD967,"PENDING_HUMAN")))</x:f>
        <x:v>PENDING_HUMAN</x:v>
      </x:c>
      <x:c r="AF967" t="n">
        <x:f>--AND(A967&lt;&gt;"",AA967&lt;&gt;"",AB967&lt;&gt;"",OR(AA967=AB967,AD967&lt;&gt;""),IF(AE967="HALLUCINATION",U967&lt;&gt;"",TRUE))</x:f>
        <x:v>0</x:v>
      </x:c>
      <x:c r="AG967" t="n">
        <x:f>--AND(N967=1,AF967=1,OR(AE967="SUPPORTED",AE967="HALLUCINATION"))</x:f>
        <x:v>0</x:v>
      </x:c>
      <x:c r="AH967" t="n">
        <x:f>--AND(AG967=1,AE967="HALLUCINATION")</x:f>
        <x:v>0</x:v>
      </x:c>
      <x:c r="AI967" t="n">
        <x:f>--AND(Q967=1,AF967=1,AE967="HALLUCINATION")</x:f>
        <x:v>0</x:v>
      </x:c>
      <x:c r="AJ967" t="n">
        <x:f>--AND(AI967=1,R967=1,S967=1)</x:f>
        <x:v>0</x:v>
      </x:c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8"/>
      <x:c r="P968" s="28"/>
      <x:c r="Q968" s="28"/>
      <x:c r="R968" s="28"/>
      <x:c r="S968" s="28"/>
      <x:c r="T968" s="28"/>
      <x:c r="U968" s="28"/>
      <x:c r="V968" s="28"/>
      <x:c r="W968" s="43" t="n">
        <x:f>--AND(N968=1,OR(O968="SUPPORTED",O968="HALLUCINATION"))</x:f>
        <x:v>0</x:v>
      </x:c>
      <x:c r="X968" s="43" t="n">
        <x:f>--AND(W968=1,O968="HALLUCINATION")</x:f>
        <x:v>0</x:v>
      </x:c>
      <x:c r="Y968" s="43" t="n">
        <x:f>--AND(Q968=1,O968="HALLUCINATION")</x:f>
        <x:v>0</x:v>
      </x:c>
      <x:c r="Z968" s="43" t="n">
        <x:f>--AND(Y968=1,R968=1,S968=1)</x:f>
        <x:v>0</x:v>
      </x:c>
      <x:c r="AC968" t="str">
        <x:f>IF(OR(AA968="",AB968=""),"",--(AA968&lt;&gt;AB968))</x:f>
      </x:c>
      <x:c r="AE968" t="str">
        <x:f>IF(OR(AA968="",AB968=""),"PENDING_HUMAN",IF(AA968=AB968,AA968,IF(AD968&lt;&gt;"",AD968,"PENDING_HUMAN")))</x:f>
        <x:v>PENDING_HUMAN</x:v>
      </x:c>
      <x:c r="AF968" t="n">
        <x:f>--AND(A968&lt;&gt;"",AA968&lt;&gt;"",AB968&lt;&gt;"",OR(AA968=AB968,AD968&lt;&gt;""),IF(AE968="HALLUCINATION",U968&lt;&gt;"",TRUE))</x:f>
        <x:v>0</x:v>
      </x:c>
      <x:c r="AG968" t="n">
        <x:f>--AND(N968=1,AF968=1,OR(AE968="SUPPORTED",AE968="HALLUCINATION"))</x:f>
        <x:v>0</x:v>
      </x:c>
      <x:c r="AH968" t="n">
        <x:f>--AND(AG968=1,AE968="HALLUCINATION")</x:f>
        <x:v>0</x:v>
      </x:c>
      <x:c r="AI968" t="n">
        <x:f>--AND(Q968=1,AF968=1,AE968="HALLUCINATION")</x:f>
        <x:v>0</x:v>
      </x:c>
      <x:c r="AJ968" t="n">
        <x:f>--AND(AI968=1,R968=1,S968=1)</x:f>
        <x:v>0</x:v>
      </x:c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8"/>
      <x:c r="P969" s="28"/>
      <x:c r="Q969" s="28"/>
      <x:c r="R969" s="28"/>
      <x:c r="S969" s="28"/>
      <x:c r="T969" s="28"/>
      <x:c r="U969" s="28"/>
      <x:c r="V969" s="28"/>
      <x:c r="W969" s="43" t="n">
        <x:f>--AND(N969=1,OR(O969="SUPPORTED",O969="HALLUCINATION"))</x:f>
        <x:v>0</x:v>
      </x:c>
      <x:c r="X969" s="43" t="n">
        <x:f>--AND(W969=1,O969="HALLUCINATION")</x:f>
        <x:v>0</x:v>
      </x:c>
      <x:c r="Y969" s="43" t="n">
        <x:f>--AND(Q969=1,O969="HALLUCINATION")</x:f>
        <x:v>0</x:v>
      </x:c>
      <x:c r="Z969" s="43" t="n">
        <x:f>--AND(Y969=1,R969=1,S969=1)</x:f>
        <x:v>0</x:v>
      </x:c>
      <x:c r="AC969" t="str">
        <x:f>IF(OR(AA969="",AB969=""),"",--(AA969&lt;&gt;AB969))</x:f>
      </x:c>
      <x:c r="AE969" t="str">
        <x:f>IF(OR(AA969="",AB969=""),"PENDING_HUMAN",IF(AA969=AB969,AA969,IF(AD969&lt;&gt;"",AD969,"PENDING_HUMAN")))</x:f>
        <x:v>PENDING_HUMAN</x:v>
      </x:c>
      <x:c r="AF969" t="n">
        <x:f>--AND(A969&lt;&gt;"",AA969&lt;&gt;"",AB969&lt;&gt;"",OR(AA969=AB969,AD969&lt;&gt;""),IF(AE969="HALLUCINATION",U969&lt;&gt;"",TRUE))</x:f>
        <x:v>0</x:v>
      </x:c>
      <x:c r="AG969" t="n">
        <x:f>--AND(N969=1,AF969=1,OR(AE969="SUPPORTED",AE969="HALLUCINATION"))</x:f>
        <x:v>0</x:v>
      </x:c>
      <x:c r="AH969" t="n">
        <x:f>--AND(AG969=1,AE969="HALLUCINATION")</x:f>
        <x:v>0</x:v>
      </x:c>
      <x:c r="AI969" t="n">
        <x:f>--AND(Q969=1,AF969=1,AE969="HALLUCINATION")</x:f>
        <x:v>0</x:v>
      </x:c>
      <x:c r="AJ969" t="n">
        <x:f>--AND(AI969=1,R969=1,S969=1)</x:f>
        <x:v>0</x:v>
      </x:c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8"/>
      <x:c r="P970" s="28"/>
      <x:c r="Q970" s="28"/>
      <x:c r="R970" s="28"/>
      <x:c r="S970" s="28"/>
      <x:c r="T970" s="28"/>
      <x:c r="U970" s="28"/>
      <x:c r="V970" s="28"/>
      <x:c r="W970" s="43" t="n">
        <x:f>--AND(N970=1,OR(O970="SUPPORTED",O970="HALLUCINATION"))</x:f>
        <x:v>0</x:v>
      </x:c>
      <x:c r="X970" s="43" t="n">
        <x:f>--AND(W970=1,O970="HALLUCINATION")</x:f>
        <x:v>0</x:v>
      </x:c>
      <x:c r="Y970" s="43" t="n">
        <x:f>--AND(Q970=1,O970="HALLUCINATION")</x:f>
        <x:v>0</x:v>
      </x:c>
      <x:c r="Z970" s="43" t="n">
        <x:f>--AND(Y970=1,R970=1,S970=1)</x:f>
        <x:v>0</x:v>
      </x:c>
      <x:c r="AC970" t="str">
        <x:f>IF(OR(AA970="",AB970=""),"",--(AA970&lt;&gt;AB970))</x:f>
      </x:c>
      <x:c r="AE970" t="str">
        <x:f>IF(OR(AA970="",AB970=""),"PENDING_HUMAN",IF(AA970=AB970,AA970,IF(AD970&lt;&gt;"",AD970,"PENDING_HUMAN")))</x:f>
        <x:v>PENDING_HUMAN</x:v>
      </x:c>
      <x:c r="AF970" t="n">
        <x:f>--AND(A970&lt;&gt;"",AA970&lt;&gt;"",AB970&lt;&gt;"",OR(AA970=AB970,AD970&lt;&gt;""),IF(AE970="HALLUCINATION",U970&lt;&gt;"",TRUE))</x:f>
        <x:v>0</x:v>
      </x:c>
      <x:c r="AG970" t="n">
        <x:f>--AND(N970=1,AF970=1,OR(AE970="SUPPORTED",AE970="HALLUCINATION"))</x:f>
        <x:v>0</x:v>
      </x:c>
      <x:c r="AH970" t="n">
        <x:f>--AND(AG970=1,AE970="HALLUCINATION")</x:f>
        <x:v>0</x:v>
      </x:c>
      <x:c r="AI970" t="n">
        <x:f>--AND(Q970=1,AF970=1,AE970="HALLUCINATION")</x:f>
        <x:v>0</x:v>
      </x:c>
      <x:c r="AJ970" t="n">
        <x:f>--AND(AI970=1,R970=1,S970=1)</x:f>
        <x:v>0</x:v>
      </x:c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8"/>
      <x:c r="P971" s="28"/>
      <x:c r="Q971" s="28"/>
      <x:c r="R971" s="28"/>
      <x:c r="S971" s="28"/>
      <x:c r="T971" s="28"/>
      <x:c r="U971" s="28"/>
      <x:c r="V971" s="28"/>
      <x:c r="W971" s="43" t="n">
        <x:f>--AND(N971=1,OR(O971="SUPPORTED",O971="HALLUCINATION"))</x:f>
        <x:v>0</x:v>
      </x:c>
      <x:c r="X971" s="43" t="n">
        <x:f>--AND(W971=1,O971="HALLUCINATION")</x:f>
        <x:v>0</x:v>
      </x:c>
      <x:c r="Y971" s="43" t="n">
        <x:f>--AND(Q971=1,O971="HALLUCINATION")</x:f>
        <x:v>0</x:v>
      </x:c>
      <x:c r="Z971" s="43" t="n">
        <x:f>--AND(Y971=1,R971=1,S971=1)</x:f>
        <x:v>0</x:v>
      </x:c>
      <x:c r="AC971" t="str">
        <x:f>IF(OR(AA971="",AB971=""),"",--(AA971&lt;&gt;AB971))</x:f>
      </x:c>
      <x:c r="AE971" t="str">
        <x:f>IF(OR(AA971="",AB971=""),"PENDING_HUMAN",IF(AA971=AB971,AA971,IF(AD971&lt;&gt;"",AD971,"PENDING_HUMAN")))</x:f>
        <x:v>PENDING_HUMAN</x:v>
      </x:c>
      <x:c r="AF971" t="n">
        <x:f>--AND(A971&lt;&gt;"",AA971&lt;&gt;"",AB971&lt;&gt;"",OR(AA971=AB971,AD971&lt;&gt;""),IF(AE971="HALLUCINATION",U971&lt;&gt;"",TRUE))</x:f>
        <x:v>0</x:v>
      </x:c>
      <x:c r="AG971" t="n">
        <x:f>--AND(N971=1,AF971=1,OR(AE971="SUPPORTED",AE971="HALLUCINATION"))</x:f>
        <x:v>0</x:v>
      </x:c>
      <x:c r="AH971" t="n">
        <x:f>--AND(AG971=1,AE971="HALLUCINATION")</x:f>
        <x:v>0</x:v>
      </x:c>
      <x:c r="AI971" t="n">
        <x:f>--AND(Q971=1,AF971=1,AE971="HALLUCINATION")</x:f>
        <x:v>0</x:v>
      </x:c>
      <x:c r="AJ971" t="n">
        <x:f>--AND(AI971=1,R971=1,S971=1)</x:f>
        <x:v>0</x:v>
      </x:c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8"/>
      <x:c r="P972" s="28"/>
      <x:c r="Q972" s="28"/>
      <x:c r="R972" s="28"/>
      <x:c r="S972" s="28"/>
      <x:c r="T972" s="28"/>
      <x:c r="U972" s="28"/>
      <x:c r="V972" s="28"/>
      <x:c r="W972" s="43" t="n">
        <x:f>--AND(N972=1,OR(O972="SUPPORTED",O972="HALLUCINATION"))</x:f>
        <x:v>0</x:v>
      </x:c>
      <x:c r="X972" s="43" t="n">
        <x:f>--AND(W972=1,O972="HALLUCINATION")</x:f>
        <x:v>0</x:v>
      </x:c>
      <x:c r="Y972" s="43" t="n">
        <x:f>--AND(Q972=1,O972="HALLUCINATION")</x:f>
        <x:v>0</x:v>
      </x:c>
      <x:c r="Z972" s="43" t="n">
        <x:f>--AND(Y972=1,R972=1,S972=1)</x:f>
        <x:v>0</x:v>
      </x:c>
      <x:c r="AC972" t="str">
        <x:f>IF(OR(AA972="",AB972=""),"",--(AA972&lt;&gt;AB972))</x:f>
      </x:c>
      <x:c r="AE972" t="str">
        <x:f>IF(OR(AA972="",AB972=""),"PENDING_HUMAN",IF(AA972=AB972,AA972,IF(AD972&lt;&gt;"",AD972,"PENDING_HUMAN")))</x:f>
        <x:v>PENDING_HUMAN</x:v>
      </x:c>
      <x:c r="AF972" t="n">
        <x:f>--AND(A972&lt;&gt;"",AA972&lt;&gt;"",AB972&lt;&gt;"",OR(AA972=AB972,AD972&lt;&gt;""),IF(AE972="HALLUCINATION",U972&lt;&gt;"",TRUE))</x:f>
        <x:v>0</x:v>
      </x:c>
      <x:c r="AG972" t="n">
        <x:f>--AND(N972=1,AF972=1,OR(AE972="SUPPORTED",AE972="HALLUCINATION"))</x:f>
        <x:v>0</x:v>
      </x:c>
      <x:c r="AH972" t="n">
        <x:f>--AND(AG972=1,AE972="HALLUCINATION")</x:f>
        <x:v>0</x:v>
      </x:c>
      <x:c r="AI972" t="n">
        <x:f>--AND(Q972=1,AF972=1,AE972="HALLUCINATION")</x:f>
        <x:v>0</x:v>
      </x:c>
      <x:c r="AJ972" t="n">
        <x:f>--AND(AI972=1,R972=1,S972=1)</x:f>
        <x:v>0</x:v>
      </x:c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8"/>
      <x:c r="P973" s="28"/>
      <x:c r="Q973" s="28"/>
      <x:c r="R973" s="28"/>
      <x:c r="S973" s="28"/>
      <x:c r="T973" s="28"/>
      <x:c r="U973" s="28"/>
      <x:c r="V973" s="28"/>
      <x:c r="W973" s="43" t="n">
        <x:f>--AND(N973=1,OR(O973="SUPPORTED",O973="HALLUCINATION"))</x:f>
        <x:v>0</x:v>
      </x:c>
      <x:c r="X973" s="43" t="n">
        <x:f>--AND(W973=1,O973="HALLUCINATION")</x:f>
        <x:v>0</x:v>
      </x:c>
      <x:c r="Y973" s="43" t="n">
        <x:f>--AND(Q973=1,O973="HALLUCINATION")</x:f>
        <x:v>0</x:v>
      </x:c>
      <x:c r="Z973" s="43" t="n">
        <x:f>--AND(Y973=1,R973=1,S973=1)</x:f>
        <x:v>0</x:v>
      </x:c>
      <x:c r="AC973" t="str">
        <x:f>IF(OR(AA973="",AB973=""),"",--(AA973&lt;&gt;AB973))</x:f>
      </x:c>
      <x:c r="AE973" t="str">
        <x:f>IF(OR(AA973="",AB973=""),"PENDING_HUMAN",IF(AA973=AB973,AA973,IF(AD973&lt;&gt;"",AD973,"PENDING_HUMAN")))</x:f>
        <x:v>PENDING_HUMAN</x:v>
      </x:c>
      <x:c r="AF973" t="n">
        <x:f>--AND(A973&lt;&gt;"",AA973&lt;&gt;"",AB973&lt;&gt;"",OR(AA973=AB973,AD973&lt;&gt;""),IF(AE973="HALLUCINATION",U973&lt;&gt;"",TRUE))</x:f>
        <x:v>0</x:v>
      </x:c>
      <x:c r="AG973" t="n">
        <x:f>--AND(N973=1,AF973=1,OR(AE973="SUPPORTED",AE973="HALLUCINATION"))</x:f>
        <x:v>0</x:v>
      </x:c>
      <x:c r="AH973" t="n">
        <x:f>--AND(AG973=1,AE973="HALLUCINATION")</x:f>
        <x:v>0</x:v>
      </x:c>
      <x:c r="AI973" t="n">
        <x:f>--AND(Q973=1,AF973=1,AE973="HALLUCINATION")</x:f>
        <x:v>0</x:v>
      </x:c>
      <x:c r="AJ973" t="n">
        <x:f>--AND(AI973=1,R973=1,S973=1)</x:f>
        <x:v>0</x:v>
      </x:c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8"/>
      <x:c r="P974" s="28"/>
      <x:c r="Q974" s="28"/>
      <x:c r="R974" s="28"/>
      <x:c r="S974" s="28"/>
      <x:c r="T974" s="28"/>
      <x:c r="U974" s="28"/>
      <x:c r="V974" s="28"/>
      <x:c r="W974" s="43" t="n">
        <x:f>--AND(N974=1,OR(O974="SUPPORTED",O974="HALLUCINATION"))</x:f>
        <x:v>0</x:v>
      </x:c>
      <x:c r="X974" s="43" t="n">
        <x:f>--AND(W974=1,O974="HALLUCINATION")</x:f>
        <x:v>0</x:v>
      </x:c>
      <x:c r="Y974" s="43" t="n">
        <x:f>--AND(Q974=1,O974="HALLUCINATION")</x:f>
        <x:v>0</x:v>
      </x:c>
      <x:c r="Z974" s="43" t="n">
        <x:f>--AND(Y974=1,R974=1,S974=1)</x:f>
        <x:v>0</x:v>
      </x:c>
      <x:c r="AC974" t="str">
        <x:f>IF(OR(AA974="",AB974=""),"",--(AA974&lt;&gt;AB974))</x:f>
      </x:c>
      <x:c r="AE974" t="str">
        <x:f>IF(OR(AA974="",AB974=""),"PENDING_HUMAN",IF(AA974=AB974,AA974,IF(AD974&lt;&gt;"",AD974,"PENDING_HUMAN")))</x:f>
        <x:v>PENDING_HUMAN</x:v>
      </x:c>
      <x:c r="AF974" t="n">
        <x:f>--AND(A974&lt;&gt;"",AA974&lt;&gt;"",AB974&lt;&gt;"",OR(AA974=AB974,AD974&lt;&gt;""),IF(AE974="HALLUCINATION",U974&lt;&gt;"",TRUE))</x:f>
        <x:v>0</x:v>
      </x:c>
      <x:c r="AG974" t="n">
        <x:f>--AND(N974=1,AF974=1,OR(AE974="SUPPORTED",AE974="HALLUCINATION"))</x:f>
        <x:v>0</x:v>
      </x:c>
      <x:c r="AH974" t="n">
        <x:f>--AND(AG974=1,AE974="HALLUCINATION")</x:f>
        <x:v>0</x:v>
      </x:c>
      <x:c r="AI974" t="n">
        <x:f>--AND(Q974=1,AF974=1,AE974="HALLUCINATION")</x:f>
        <x:v>0</x:v>
      </x:c>
      <x:c r="AJ974" t="n">
        <x:f>--AND(AI974=1,R974=1,S974=1)</x:f>
        <x:v>0</x:v>
      </x:c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8"/>
      <x:c r="P975" s="28"/>
      <x:c r="Q975" s="28"/>
      <x:c r="R975" s="28"/>
      <x:c r="S975" s="28"/>
      <x:c r="T975" s="28"/>
      <x:c r="U975" s="28"/>
      <x:c r="V975" s="28"/>
      <x:c r="W975" s="43" t="n">
        <x:f>--AND(N975=1,OR(O975="SUPPORTED",O975="HALLUCINATION"))</x:f>
        <x:v>0</x:v>
      </x:c>
      <x:c r="X975" s="43" t="n">
        <x:f>--AND(W975=1,O975="HALLUCINATION")</x:f>
        <x:v>0</x:v>
      </x:c>
      <x:c r="Y975" s="43" t="n">
        <x:f>--AND(Q975=1,O975="HALLUCINATION")</x:f>
        <x:v>0</x:v>
      </x:c>
      <x:c r="Z975" s="43" t="n">
        <x:f>--AND(Y975=1,R975=1,S975=1)</x:f>
        <x:v>0</x:v>
      </x:c>
      <x:c r="AC975" t="str">
        <x:f>IF(OR(AA975="",AB975=""),"",--(AA975&lt;&gt;AB975))</x:f>
      </x:c>
      <x:c r="AE975" t="str">
        <x:f>IF(OR(AA975="",AB975=""),"PENDING_HUMAN",IF(AA975=AB975,AA975,IF(AD975&lt;&gt;"",AD975,"PENDING_HUMAN")))</x:f>
        <x:v>PENDING_HUMAN</x:v>
      </x:c>
      <x:c r="AF975" t="n">
        <x:f>--AND(A975&lt;&gt;"",AA975&lt;&gt;"",AB975&lt;&gt;"",OR(AA975=AB975,AD975&lt;&gt;""),IF(AE975="HALLUCINATION",U975&lt;&gt;"",TRUE))</x:f>
        <x:v>0</x:v>
      </x:c>
      <x:c r="AG975" t="n">
        <x:f>--AND(N975=1,AF975=1,OR(AE975="SUPPORTED",AE975="HALLUCINATION"))</x:f>
        <x:v>0</x:v>
      </x:c>
      <x:c r="AH975" t="n">
        <x:f>--AND(AG975=1,AE975="HALLUCINATION")</x:f>
        <x:v>0</x:v>
      </x:c>
      <x:c r="AI975" t="n">
        <x:f>--AND(Q975=1,AF975=1,AE975="HALLUCINATION")</x:f>
        <x:v>0</x:v>
      </x:c>
      <x:c r="AJ975" t="n">
        <x:f>--AND(AI975=1,R975=1,S975=1)</x:f>
        <x:v>0</x:v>
      </x:c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8"/>
      <x:c r="P976" s="28"/>
      <x:c r="Q976" s="28"/>
      <x:c r="R976" s="28"/>
      <x:c r="S976" s="28"/>
      <x:c r="T976" s="28"/>
      <x:c r="U976" s="28"/>
      <x:c r="V976" s="28"/>
      <x:c r="W976" s="43" t="n">
        <x:f>--AND(N976=1,OR(O976="SUPPORTED",O976="HALLUCINATION"))</x:f>
        <x:v>0</x:v>
      </x:c>
      <x:c r="X976" s="43" t="n">
        <x:f>--AND(W976=1,O976="HALLUCINATION")</x:f>
        <x:v>0</x:v>
      </x:c>
      <x:c r="Y976" s="43" t="n">
        <x:f>--AND(Q976=1,O976="HALLUCINATION")</x:f>
        <x:v>0</x:v>
      </x:c>
      <x:c r="Z976" s="43" t="n">
        <x:f>--AND(Y976=1,R976=1,S976=1)</x:f>
        <x:v>0</x:v>
      </x:c>
      <x:c r="AC976" t="str">
        <x:f>IF(OR(AA976="",AB976=""),"",--(AA976&lt;&gt;AB976))</x:f>
      </x:c>
      <x:c r="AE976" t="str">
        <x:f>IF(OR(AA976="",AB976=""),"PENDING_HUMAN",IF(AA976=AB976,AA976,IF(AD976&lt;&gt;"",AD976,"PENDING_HUMAN")))</x:f>
        <x:v>PENDING_HUMAN</x:v>
      </x:c>
      <x:c r="AF976" t="n">
        <x:f>--AND(A976&lt;&gt;"",AA976&lt;&gt;"",AB976&lt;&gt;"",OR(AA976=AB976,AD976&lt;&gt;""),IF(AE976="HALLUCINATION",U976&lt;&gt;"",TRUE))</x:f>
        <x:v>0</x:v>
      </x:c>
      <x:c r="AG976" t="n">
        <x:f>--AND(N976=1,AF976=1,OR(AE976="SUPPORTED",AE976="HALLUCINATION"))</x:f>
        <x:v>0</x:v>
      </x:c>
      <x:c r="AH976" t="n">
        <x:f>--AND(AG976=1,AE976="HALLUCINATION")</x:f>
        <x:v>0</x:v>
      </x:c>
      <x:c r="AI976" t="n">
        <x:f>--AND(Q976=1,AF976=1,AE976="HALLUCINATION")</x:f>
        <x:v>0</x:v>
      </x:c>
      <x:c r="AJ976" t="n">
        <x:f>--AND(AI976=1,R976=1,S976=1)</x:f>
        <x:v>0</x:v>
      </x:c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8"/>
      <x:c r="P977" s="28"/>
      <x:c r="Q977" s="28"/>
      <x:c r="R977" s="28"/>
      <x:c r="S977" s="28"/>
      <x:c r="T977" s="28"/>
      <x:c r="U977" s="28"/>
      <x:c r="V977" s="28"/>
      <x:c r="W977" s="43" t="n">
        <x:f>--AND(N977=1,OR(O977="SUPPORTED",O977="HALLUCINATION"))</x:f>
        <x:v>0</x:v>
      </x:c>
      <x:c r="X977" s="43" t="n">
        <x:f>--AND(W977=1,O977="HALLUCINATION")</x:f>
        <x:v>0</x:v>
      </x:c>
      <x:c r="Y977" s="43" t="n">
        <x:f>--AND(Q977=1,O977="HALLUCINATION")</x:f>
        <x:v>0</x:v>
      </x:c>
      <x:c r="Z977" s="43" t="n">
        <x:f>--AND(Y977=1,R977=1,S977=1)</x:f>
        <x:v>0</x:v>
      </x:c>
      <x:c r="AC977" t="str">
        <x:f>IF(OR(AA977="",AB977=""),"",--(AA977&lt;&gt;AB977))</x:f>
      </x:c>
      <x:c r="AE977" t="str">
        <x:f>IF(OR(AA977="",AB977=""),"PENDING_HUMAN",IF(AA977=AB977,AA977,IF(AD977&lt;&gt;"",AD977,"PENDING_HUMAN")))</x:f>
        <x:v>PENDING_HUMAN</x:v>
      </x:c>
      <x:c r="AF977" t="n">
        <x:f>--AND(A977&lt;&gt;"",AA977&lt;&gt;"",AB977&lt;&gt;"",OR(AA977=AB977,AD977&lt;&gt;""),IF(AE977="HALLUCINATION",U977&lt;&gt;"",TRUE))</x:f>
        <x:v>0</x:v>
      </x:c>
      <x:c r="AG977" t="n">
        <x:f>--AND(N977=1,AF977=1,OR(AE977="SUPPORTED",AE977="HALLUCINATION"))</x:f>
        <x:v>0</x:v>
      </x:c>
      <x:c r="AH977" t="n">
        <x:f>--AND(AG977=1,AE977="HALLUCINATION")</x:f>
        <x:v>0</x:v>
      </x:c>
      <x:c r="AI977" t="n">
        <x:f>--AND(Q977=1,AF977=1,AE977="HALLUCINATION")</x:f>
        <x:v>0</x:v>
      </x:c>
      <x:c r="AJ977" t="n">
        <x:f>--AND(AI977=1,R977=1,S977=1)</x:f>
        <x:v>0</x:v>
      </x:c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8"/>
      <x:c r="P978" s="28"/>
      <x:c r="Q978" s="28"/>
      <x:c r="R978" s="28"/>
      <x:c r="S978" s="28"/>
      <x:c r="T978" s="28"/>
      <x:c r="U978" s="28"/>
      <x:c r="V978" s="28"/>
      <x:c r="W978" s="43" t="n">
        <x:f>--AND(N978=1,OR(O978="SUPPORTED",O978="HALLUCINATION"))</x:f>
        <x:v>0</x:v>
      </x:c>
      <x:c r="X978" s="43" t="n">
        <x:f>--AND(W978=1,O978="HALLUCINATION")</x:f>
        <x:v>0</x:v>
      </x:c>
      <x:c r="Y978" s="43" t="n">
        <x:f>--AND(Q978=1,O978="HALLUCINATION")</x:f>
        <x:v>0</x:v>
      </x:c>
      <x:c r="Z978" s="43" t="n">
        <x:f>--AND(Y978=1,R978=1,S978=1)</x:f>
        <x:v>0</x:v>
      </x:c>
      <x:c r="AC978" t="str">
        <x:f>IF(OR(AA978="",AB978=""),"",--(AA978&lt;&gt;AB978))</x:f>
      </x:c>
      <x:c r="AE978" t="str">
        <x:f>IF(OR(AA978="",AB978=""),"PENDING_HUMAN",IF(AA978=AB978,AA978,IF(AD978&lt;&gt;"",AD978,"PENDING_HUMAN")))</x:f>
        <x:v>PENDING_HUMAN</x:v>
      </x:c>
      <x:c r="AF978" t="n">
        <x:f>--AND(A978&lt;&gt;"",AA978&lt;&gt;"",AB978&lt;&gt;"",OR(AA978=AB978,AD978&lt;&gt;""),IF(AE978="HALLUCINATION",U978&lt;&gt;"",TRUE))</x:f>
        <x:v>0</x:v>
      </x:c>
      <x:c r="AG978" t="n">
        <x:f>--AND(N978=1,AF978=1,OR(AE978="SUPPORTED",AE978="HALLUCINATION"))</x:f>
        <x:v>0</x:v>
      </x:c>
      <x:c r="AH978" t="n">
        <x:f>--AND(AG978=1,AE978="HALLUCINATION")</x:f>
        <x:v>0</x:v>
      </x:c>
      <x:c r="AI978" t="n">
        <x:f>--AND(Q978=1,AF978=1,AE978="HALLUCINATION")</x:f>
        <x:v>0</x:v>
      </x:c>
      <x:c r="AJ978" t="n">
        <x:f>--AND(AI978=1,R978=1,S978=1)</x:f>
        <x:v>0</x:v>
      </x:c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8"/>
      <x:c r="P979" s="28"/>
      <x:c r="Q979" s="28"/>
      <x:c r="R979" s="28"/>
      <x:c r="S979" s="28"/>
      <x:c r="T979" s="28"/>
      <x:c r="U979" s="28"/>
      <x:c r="V979" s="28"/>
      <x:c r="W979" s="43" t="n">
        <x:f>--AND(N979=1,OR(O979="SUPPORTED",O979="HALLUCINATION"))</x:f>
        <x:v>0</x:v>
      </x:c>
      <x:c r="X979" s="43" t="n">
        <x:f>--AND(W979=1,O979="HALLUCINATION")</x:f>
        <x:v>0</x:v>
      </x:c>
      <x:c r="Y979" s="43" t="n">
        <x:f>--AND(Q979=1,O979="HALLUCINATION")</x:f>
        <x:v>0</x:v>
      </x:c>
      <x:c r="Z979" s="43" t="n">
        <x:f>--AND(Y979=1,R979=1,S979=1)</x:f>
        <x:v>0</x:v>
      </x:c>
      <x:c r="AC979" t="str">
        <x:f>IF(OR(AA979="",AB979=""),"",--(AA979&lt;&gt;AB979))</x:f>
      </x:c>
      <x:c r="AE979" t="str">
        <x:f>IF(OR(AA979="",AB979=""),"PENDING_HUMAN",IF(AA979=AB979,AA979,IF(AD979&lt;&gt;"",AD979,"PENDING_HUMAN")))</x:f>
        <x:v>PENDING_HUMAN</x:v>
      </x:c>
      <x:c r="AF979" t="n">
        <x:f>--AND(A979&lt;&gt;"",AA979&lt;&gt;"",AB979&lt;&gt;"",OR(AA979=AB979,AD979&lt;&gt;""),IF(AE979="HALLUCINATION",U979&lt;&gt;"",TRUE))</x:f>
        <x:v>0</x:v>
      </x:c>
      <x:c r="AG979" t="n">
        <x:f>--AND(N979=1,AF979=1,OR(AE979="SUPPORTED",AE979="HALLUCINATION"))</x:f>
        <x:v>0</x:v>
      </x:c>
      <x:c r="AH979" t="n">
        <x:f>--AND(AG979=1,AE979="HALLUCINATION")</x:f>
        <x:v>0</x:v>
      </x:c>
      <x:c r="AI979" t="n">
        <x:f>--AND(Q979=1,AF979=1,AE979="HALLUCINATION")</x:f>
        <x:v>0</x:v>
      </x:c>
      <x:c r="AJ979" t="n">
        <x:f>--AND(AI979=1,R979=1,S979=1)</x:f>
        <x:v>0</x:v>
      </x:c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8"/>
      <x:c r="P980" s="28"/>
      <x:c r="Q980" s="28"/>
      <x:c r="R980" s="28"/>
      <x:c r="S980" s="28"/>
      <x:c r="T980" s="28"/>
      <x:c r="U980" s="28"/>
      <x:c r="V980" s="28"/>
      <x:c r="W980" s="43" t="n">
        <x:f>--AND(N980=1,OR(O980="SUPPORTED",O980="HALLUCINATION"))</x:f>
        <x:v>0</x:v>
      </x:c>
      <x:c r="X980" s="43" t="n">
        <x:f>--AND(W980=1,O980="HALLUCINATION")</x:f>
        <x:v>0</x:v>
      </x:c>
      <x:c r="Y980" s="43" t="n">
        <x:f>--AND(Q980=1,O980="HALLUCINATION")</x:f>
        <x:v>0</x:v>
      </x:c>
      <x:c r="Z980" s="43" t="n">
        <x:f>--AND(Y980=1,R980=1,S980=1)</x:f>
        <x:v>0</x:v>
      </x:c>
      <x:c r="AC980" t="str">
        <x:f>IF(OR(AA980="",AB980=""),"",--(AA980&lt;&gt;AB980))</x:f>
      </x:c>
      <x:c r="AE980" t="str">
        <x:f>IF(OR(AA980="",AB980=""),"PENDING_HUMAN",IF(AA980=AB980,AA980,IF(AD980&lt;&gt;"",AD980,"PENDING_HUMAN")))</x:f>
        <x:v>PENDING_HUMAN</x:v>
      </x:c>
      <x:c r="AF980" t="n">
        <x:f>--AND(A980&lt;&gt;"",AA980&lt;&gt;"",AB980&lt;&gt;"",OR(AA980=AB980,AD980&lt;&gt;""),IF(AE980="HALLUCINATION",U980&lt;&gt;"",TRUE))</x:f>
        <x:v>0</x:v>
      </x:c>
      <x:c r="AG980" t="n">
        <x:f>--AND(N980=1,AF980=1,OR(AE980="SUPPORTED",AE980="HALLUCINATION"))</x:f>
        <x:v>0</x:v>
      </x:c>
      <x:c r="AH980" t="n">
        <x:f>--AND(AG980=1,AE980="HALLUCINATION")</x:f>
        <x:v>0</x:v>
      </x:c>
      <x:c r="AI980" t="n">
        <x:f>--AND(Q980=1,AF980=1,AE980="HALLUCINATION")</x:f>
        <x:v>0</x:v>
      </x:c>
      <x:c r="AJ980" t="n">
        <x:f>--AND(AI980=1,R980=1,S980=1)</x:f>
        <x:v>0</x:v>
      </x:c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8"/>
      <x:c r="P981" s="28"/>
      <x:c r="Q981" s="28"/>
      <x:c r="R981" s="28"/>
      <x:c r="S981" s="28"/>
      <x:c r="T981" s="28"/>
      <x:c r="U981" s="28"/>
      <x:c r="V981" s="28"/>
      <x:c r="W981" s="43" t="n">
        <x:f>--AND(N981=1,OR(O981="SUPPORTED",O981="HALLUCINATION"))</x:f>
        <x:v>0</x:v>
      </x:c>
      <x:c r="X981" s="43" t="n">
        <x:f>--AND(W981=1,O981="HALLUCINATION")</x:f>
        <x:v>0</x:v>
      </x:c>
      <x:c r="Y981" s="43" t="n">
        <x:f>--AND(Q981=1,O981="HALLUCINATION")</x:f>
        <x:v>0</x:v>
      </x:c>
      <x:c r="Z981" s="43" t="n">
        <x:f>--AND(Y981=1,R981=1,S981=1)</x:f>
        <x:v>0</x:v>
      </x:c>
      <x:c r="AC981" t="str">
        <x:f>IF(OR(AA981="",AB981=""),"",--(AA981&lt;&gt;AB981))</x:f>
      </x:c>
      <x:c r="AE981" t="str">
        <x:f>IF(OR(AA981="",AB981=""),"PENDING_HUMAN",IF(AA981=AB981,AA981,IF(AD981&lt;&gt;"",AD981,"PENDING_HUMAN")))</x:f>
        <x:v>PENDING_HUMAN</x:v>
      </x:c>
      <x:c r="AF981" t="n">
        <x:f>--AND(A981&lt;&gt;"",AA981&lt;&gt;"",AB981&lt;&gt;"",OR(AA981=AB981,AD981&lt;&gt;""),IF(AE981="HALLUCINATION",U981&lt;&gt;"",TRUE))</x:f>
        <x:v>0</x:v>
      </x:c>
      <x:c r="AG981" t="n">
        <x:f>--AND(N981=1,AF981=1,OR(AE981="SUPPORTED",AE981="HALLUCINATION"))</x:f>
        <x:v>0</x:v>
      </x:c>
      <x:c r="AH981" t="n">
        <x:f>--AND(AG981=1,AE981="HALLUCINATION")</x:f>
        <x:v>0</x:v>
      </x:c>
      <x:c r="AI981" t="n">
        <x:f>--AND(Q981=1,AF981=1,AE981="HALLUCINATION")</x:f>
        <x:v>0</x:v>
      </x:c>
      <x:c r="AJ981" t="n">
        <x:f>--AND(AI981=1,R981=1,S981=1)</x:f>
        <x:v>0</x:v>
      </x:c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8"/>
      <x:c r="P982" s="28"/>
      <x:c r="Q982" s="28"/>
      <x:c r="R982" s="28"/>
      <x:c r="S982" s="28"/>
      <x:c r="T982" s="28"/>
      <x:c r="U982" s="28"/>
      <x:c r="V982" s="28"/>
      <x:c r="W982" s="43" t="n">
        <x:f>--AND(N982=1,OR(O982="SUPPORTED",O982="HALLUCINATION"))</x:f>
        <x:v>0</x:v>
      </x:c>
      <x:c r="X982" s="43" t="n">
        <x:f>--AND(W982=1,O982="HALLUCINATION")</x:f>
        <x:v>0</x:v>
      </x:c>
      <x:c r="Y982" s="43" t="n">
        <x:f>--AND(Q982=1,O982="HALLUCINATION")</x:f>
        <x:v>0</x:v>
      </x:c>
      <x:c r="Z982" s="43" t="n">
        <x:f>--AND(Y982=1,R982=1,S982=1)</x:f>
        <x:v>0</x:v>
      </x:c>
      <x:c r="AC982" t="str">
        <x:f>IF(OR(AA982="",AB982=""),"",--(AA982&lt;&gt;AB982))</x:f>
      </x:c>
      <x:c r="AE982" t="str">
        <x:f>IF(OR(AA982="",AB982=""),"PENDING_HUMAN",IF(AA982=AB982,AA982,IF(AD982&lt;&gt;"",AD982,"PENDING_HUMAN")))</x:f>
        <x:v>PENDING_HUMAN</x:v>
      </x:c>
      <x:c r="AF982" t="n">
        <x:f>--AND(A982&lt;&gt;"",AA982&lt;&gt;"",AB982&lt;&gt;"",OR(AA982=AB982,AD982&lt;&gt;""),IF(AE982="HALLUCINATION",U982&lt;&gt;"",TRUE))</x:f>
        <x:v>0</x:v>
      </x:c>
      <x:c r="AG982" t="n">
        <x:f>--AND(N982=1,AF982=1,OR(AE982="SUPPORTED",AE982="HALLUCINATION"))</x:f>
        <x:v>0</x:v>
      </x:c>
      <x:c r="AH982" t="n">
        <x:f>--AND(AG982=1,AE982="HALLUCINATION")</x:f>
        <x:v>0</x:v>
      </x:c>
      <x:c r="AI982" t="n">
        <x:f>--AND(Q982=1,AF982=1,AE982="HALLUCINATION")</x:f>
        <x:v>0</x:v>
      </x:c>
      <x:c r="AJ982" t="n">
        <x:f>--AND(AI982=1,R982=1,S982=1)</x:f>
        <x:v>0</x:v>
      </x:c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8"/>
      <x:c r="P983" s="28"/>
      <x:c r="Q983" s="28"/>
      <x:c r="R983" s="28"/>
      <x:c r="S983" s="28"/>
      <x:c r="T983" s="28"/>
      <x:c r="U983" s="28"/>
      <x:c r="V983" s="28"/>
      <x:c r="W983" s="43" t="n">
        <x:f>--AND(N983=1,OR(O983="SUPPORTED",O983="HALLUCINATION"))</x:f>
        <x:v>0</x:v>
      </x:c>
      <x:c r="X983" s="43" t="n">
        <x:f>--AND(W983=1,O983="HALLUCINATION")</x:f>
        <x:v>0</x:v>
      </x:c>
      <x:c r="Y983" s="43" t="n">
        <x:f>--AND(Q983=1,O983="HALLUCINATION")</x:f>
        <x:v>0</x:v>
      </x:c>
      <x:c r="Z983" s="43" t="n">
        <x:f>--AND(Y983=1,R983=1,S983=1)</x:f>
        <x:v>0</x:v>
      </x:c>
      <x:c r="AC983" t="str">
        <x:f>IF(OR(AA983="",AB983=""),"",--(AA983&lt;&gt;AB983))</x:f>
      </x:c>
      <x:c r="AE983" t="str">
        <x:f>IF(OR(AA983="",AB983=""),"PENDING_HUMAN",IF(AA983=AB983,AA983,IF(AD983&lt;&gt;"",AD983,"PENDING_HUMAN")))</x:f>
        <x:v>PENDING_HUMAN</x:v>
      </x:c>
      <x:c r="AF983" t="n">
        <x:f>--AND(A983&lt;&gt;"",AA983&lt;&gt;"",AB983&lt;&gt;"",OR(AA983=AB983,AD983&lt;&gt;""),IF(AE983="HALLUCINATION",U983&lt;&gt;"",TRUE))</x:f>
        <x:v>0</x:v>
      </x:c>
      <x:c r="AG983" t="n">
        <x:f>--AND(N983=1,AF983=1,OR(AE983="SUPPORTED",AE983="HALLUCINATION"))</x:f>
        <x:v>0</x:v>
      </x:c>
      <x:c r="AH983" t="n">
        <x:f>--AND(AG983=1,AE983="HALLUCINATION")</x:f>
        <x:v>0</x:v>
      </x:c>
      <x:c r="AI983" t="n">
        <x:f>--AND(Q983=1,AF983=1,AE983="HALLUCINATION")</x:f>
        <x:v>0</x:v>
      </x:c>
      <x:c r="AJ983" t="n">
        <x:f>--AND(AI983=1,R983=1,S983=1)</x:f>
        <x:v>0</x:v>
      </x:c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8"/>
      <x:c r="P984" s="28"/>
      <x:c r="Q984" s="28"/>
      <x:c r="R984" s="28"/>
      <x:c r="S984" s="28"/>
      <x:c r="T984" s="28"/>
      <x:c r="U984" s="28"/>
      <x:c r="V984" s="28"/>
      <x:c r="W984" s="43" t="n">
        <x:f>--AND(N984=1,OR(O984="SUPPORTED",O984="HALLUCINATION"))</x:f>
        <x:v>0</x:v>
      </x:c>
      <x:c r="X984" s="43" t="n">
        <x:f>--AND(W984=1,O984="HALLUCINATION")</x:f>
        <x:v>0</x:v>
      </x:c>
      <x:c r="Y984" s="43" t="n">
        <x:f>--AND(Q984=1,O984="HALLUCINATION")</x:f>
        <x:v>0</x:v>
      </x:c>
      <x:c r="Z984" s="43" t="n">
        <x:f>--AND(Y984=1,R984=1,S984=1)</x:f>
        <x:v>0</x:v>
      </x:c>
      <x:c r="AC984" t="str">
        <x:f>IF(OR(AA984="",AB984=""),"",--(AA984&lt;&gt;AB984))</x:f>
      </x:c>
      <x:c r="AE984" t="str">
        <x:f>IF(OR(AA984="",AB984=""),"PENDING_HUMAN",IF(AA984=AB984,AA984,IF(AD984&lt;&gt;"",AD984,"PENDING_HUMAN")))</x:f>
        <x:v>PENDING_HUMAN</x:v>
      </x:c>
      <x:c r="AF984" t="n">
        <x:f>--AND(A984&lt;&gt;"",AA984&lt;&gt;"",AB984&lt;&gt;"",OR(AA984=AB984,AD984&lt;&gt;""),IF(AE984="HALLUCINATION",U984&lt;&gt;"",TRUE))</x:f>
        <x:v>0</x:v>
      </x:c>
      <x:c r="AG984" t="n">
        <x:f>--AND(N984=1,AF984=1,OR(AE984="SUPPORTED",AE984="HALLUCINATION"))</x:f>
        <x:v>0</x:v>
      </x:c>
      <x:c r="AH984" t="n">
        <x:f>--AND(AG984=1,AE984="HALLUCINATION")</x:f>
        <x:v>0</x:v>
      </x:c>
      <x:c r="AI984" t="n">
        <x:f>--AND(Q984=1,AF984=1,AE984="HALLUCINATION")</x:f>
        <x:v>0</x:v>
      </x:c>
      <x:c r="AJ984" t="n">
        <x:f>--AND(AI984=1,R984=1,S984=1)</x:f>
        <x:v>0</x:v>
      </x:c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8"/>
      <x:c r="P985" s="28"/>
      <x:c r="Q985" s="28"/>
      <x:c r="R985" s="28"/>
      <x:c r="S985" s="28"/>
      <x:c r="T985" s="28"/>
      <x:c r="U985" s="28"/>
      <x:c r="V985" s="28"/>
      <x:c r="W985" s="43" t="n">
        <x:f>--AND(N985=1,OR(O985="SUPPORTED",O985="HALLUCINATION"))</x:f>
        <x:v>0</x:v>
      </x:c>
      <x:c r="X985" s="43" t="n">
        <x:f>--AND(W985=1,O985="HALLUCINATION")</x:f>
        <x:v>0</x:v>
      </x:c>
      <x:c r="Y985" s="43" t="n">
        <x:f>--AND(Q985=1,O985="HALLUCINATION")</x:f>
        <x:v>0</x:v>
      </x:c>
      <x:c r="Z985" s="43" t="n">
        <x:f>--AND(Y985=1,R985=1,S985=1)</x:f>
        <x:v>0</x:v>
      </x:c>
      <x:c r="AC985" t="str">
        <x:f>IF(OR(AA985="",AB985=""),"",--(AA985&lt;&gt;AB985))</x:f>
      </x:c>
      <x:c r="AE985" t="str">
        <x:f>IF(OR(AA985="",AB985=""),"PENDING_HUMAN",IF(AA985=AB985,AA985,IF(AD985&lt;&gt;"",AD985,"PENDING_HUMAN")))</x:f>
        <x:v>PENDING_HUMAN</x:v>
      </x:c>
      <x:c r="AF985" t="n">
        <x:f>--AND(A985&lt;&gt;"",AA985&lt;&gt;"",AB985&lt;&gt;"",OR(AA985=AB985,AD985&lt;&gt;""),IF(AE985="HALLUCINATION",U985&lt;&gt;"",TRUE))</x:f>
        <x:v>0</x:v>
      </x:c>
      <x:c r="AG985" t="n">
        <x:f>--AND(N985=1,AF985=1,OR(AE985="SUPPORTED",AE985="HALLUCINATION"))</x:f>
        <x:v>0</x:v>
      </x:c>
      <x:c r="AH985" t="n">
        <x:f>--AND(AG985=1,AE985="HALLUCINATION")</x:f>
        <x:v>0</x:v>
      </x:c>
      <x:c r="AI985" t="n">
        <x:f>--AND(Q985=1,AF985=1,AE985="HALLUCINATION")</x:f>
        <x:v>0</x:v>
      </x:c>
      <x:c r="AJ985" t="n">
        <x:f>--AND(AI985=1,R985=1,S985=1)</x:f>
        <x:v>0</x:v>
      </x:c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8"/>
      <x:c r="P986" s="28"/>
      <x:c r="Q986" s="28"/>
      <x:c r="R986" s="28"/>
      <x:c r="S986" s="28"/>
      <x:c r="T986" s="28"/>
      <x:c r="U986" s="28"/>
      <x:c r="V986" s="28"/>
      <x:c r="W986" s="43" t="n">
        <x:f>--AND(N986=1,OR(O986="SUPPORTED",O986="HALLUCINATION"))</x:f>
        <x:v>0</x:v>
      </x:c>
      <x:c r="X986" s="43" t="n">
        <x:f>--AND(W986=1,O986="HALLUCINATION")</x:f>
        <x:v>0</x:v>
      </x:c>
      <x:c r="Y986" s="43" t="n">
        <x:f>--AND(Q986=1,O986="HALLUCINATION")</x:f>
        <x:v>0</x:v>
      </x:c>
      <x:c r="Z986" s="43" t="n">
        <x:f>--AND(Y986=1,R986=1,S986=1)</x:f>
        <x:v>0</x:v>
      </x:c>
      <x:c r="AC986" t="str">
        <x:f>IF(OR(AA986="",AB986=""),"",--(AA986&lt;&gt;AB986))</x:f>
      </x:c>
      <x:c r="AE986" t="str">
        <x:f>IF(OR(AA986="",AB986=""),"PENDING_HUMAN",IF(AA986=AB986,AA986,IF(AD986&lt;&gt;"",AD986,"PENDING_HUMAN")))</x:f>
        <x:v>PENDING_HUMAN</x:v>
      </x:c>
      <x:c r="AF986" t="n">
        <x:f>--AND(A986&lt;&gt;"",AA986&lt;&gt;"",AB986&lt;&gt;"",OR(AA986=AB986,AD986&lt;&gt;""),IF(AE986="HALLUCINATION",U986&lt;&gt;"",TRUE))</x:f>
        <x:v>0</x:v>
      </x:c>
      <x:c r="AG986" t="n">
        <x:f>--AND(N986=1,AF986=1,OR(AE986="SUPPORTED",AE986="HALLUCINATION"))</x:f>
        <x:v>0</x:v>
      </x:c>
      <x:c r="AH986" t="n">
        <x:f>--AND(AG986=1,AE986="HALLUCINATION")</x:f>
        <x:v>0</x:v>
      </x:c>
      <x:c r="AI986" t="n">
        <x:f>--AND(Q986=1,AF986=1,AE986="HALLUCINATION")</x:f>
        <x:v>0</x:v>
      </x:c>
      <x:c r="AJ986" t="n">
        <x:f>--AND(AI986=1,R986=1,S986=1)</x:f>
        <x:v>0</x:v>
      </x:c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8"/>
      <x:c r="P987" s="28"/>
      <x:c r="Q987" s="28"/>
      <x:c r="R987" s="28"/>
      <x:c r="S987" s="28"/>
      <x:c r="T987" s="28"/>
      <x:c r="U987" s="28"/>
      <x:c r="V987" s="28"/>
      <x:c r="W987" s="43" t="n">
        <x:f>--AND(N987=1,OR(O987="SUPPORTED",O987="HALLUCINATION"))</x:f>
        <x:v>0</x:v>
      </x:c>
      <x:c r="X987" s="43" t="n">
        <x:f>--AND(W987=1,O987="HALLUCINATION")</x:f>
        <x:v>0</x:v>
      </x:c>
      <x:c r="Y987" s="43" t="n">
        <x:f>--AND(Q987=1,O987="HALLUCINATION")</x:f>
        <x:v>0</x:v>
      </x:c>
      <x:c r="Z987" s="43" t="n">
        <x:f>--AND(Y987=1,R987=1,S987=1)</x:f>
        <x:v>0</x:v>
      </x:c>
      <x:c r="AC987" t="str">
        <x:f>IF(OR(AA987="",AB987=""),"",--(AA987&lt;&gt;AB987))</x:f>
      </x:c>
      <x:c r="AE987" t="str">
        <x:f>IF(OR(AA987="",AB987=""),"PENDING_HUMAN",IF(AA987=AB987,AA987,IF(AD987&lt;&gt;"",AD987,"PENDING_HUMAN")))</x:f>
        <x:v>PENDING_HUMAN</x:v>
      </x:c>
      <x:c r="AF987" t="n">
        <x:f>--AND(A987&lt;&gt;"",AA987&lt;&gt;"",AB987&lt;&gt;"",OR(AA987=AB987,AD987&lt;&gt;""),IF(AE987="HALLUCINATION",U987&lt;&gt;"",TRUE))</x:f>
        <x:v>0</x:v>
      </x:c>
      <x:c r="AG987" t="n">
        <x:f>--AND(N987=1,AF987=1,OR(AE987="SUPPORTED",AE987="HALLUCINATION"))</x:f>
        <x:v>0</x:v>
      </x:c>
      <x:c r="AH987" t="n">
        <x:f>--AND(AG987=1,AE987="HALLUCINATION")</x:f>
        <x:v>0</x:v>
      </x:c>
      <x:c r="AI987" t="n">
        <x:f>--AND(Q987=1,AF987=1,AE987="HALLUCINATION")</x:f>
        <x:v>0</x:v>
      </x:c>
      <x:c r="AJ987" t="n">
        <x:f>--AND(AI987=1,R987=1,S987=1)</x:f>
        <x:v>0</x:v>
      </x:c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8"/>
      <x:c r="P988" s="28"/>
      <x:c r="Q988" s="28"/>
      <x:c r="R988" s="28"/>
      <x:c r="S988" s="28"/>
      <x:c r="T988" s="28"/>
      <x:c r="U988" s="28"/>
      <x:c r="V988" s="28"/>
      <x:c r="W988" s="43" t="n">
        <x:f>--AND(N988=1,OR(O988="SUPPORTED",O988="HALLUCINATION"))</x:f>
        <x:v>0</x:v>
      </x:c>
      <x:c r="X988" s="43" t="n">
        <x:f>--AND(W988=1,O988="HALLUCINATION")</x:f>
        <x:v>0</x:v>
      </x:c>
      <x:c r="Y988" s="43" t="n">
        <x:f>--AND(Q988=1,O988="HALLUCINATION")</x:f>
        <x:v>0</x:v>
      </x:c>
      <x:c r="Z988" s="43" t="n">
        <x:f>--AND(Y988=1,R988=1,S988=1)</x:f>
        <x:v>0</x:v>
      </x:c>
      <x:c r="AC988" t="str">
        <x:f>IF(OR(AA988="",AB988=""),"",--(AA988&lt;&gt;AB988))</x:f>
      </x:c>
      <x:c r="AE988" t="str">
        <x:f>IF(OR(AA988="",AB988=""),"PENDING_HUMAN",IF(AA988=AB988,AA988,IF(AD988&lt;&gt;"",AD988,"PENDING_HUMAN")))</x:f>
        <x:v>PENDING_HUMAN</x:v>
      </x:c>
      <x:c r="AF988" t="n">
        <x:f>--AND(A988&lt;&gt;"",AA988&lt;&gt;"",AB988&lt;&gt;"",OR(AA988=AB988,AD988&lt;&gt;""),IF(AE988="HALLUCINATION",U988&lt;&gt;"",TRUE))</x:f>
        <x:v>0</x:v>
      </x:c>
      <x:c r="AG988" t="n">
        <x:f>--AND(N988=1,AF988=1,OR(AE988="SUPPORTED",AE988="HALLUCINATION"))</x:f>
        <x:v>0</x:v>
      </x:c>
      <x:c r="AH988" t="n">
        <x:f>--AND(AG988=1,AE988="HALLUCINATION")</x:f>
        <x:v>0</x:v>
      </x:c>
      <x:c r="AI988" t="n">
        <x:f>--AND(Q988=1,AF988=1,AE988="HALLUCINATION")</x:f>
        <x:v>0</x:v>
      </x:c>
      <x:c r="AJ988" t="n">
        <x:f>--AND(AI988=1,R988=1,S988=1)</x:f>
        <x:v>0</x:v>
      </x:c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8"/>
      <x:c r="P989" s="28"/>
      <x:c r="Q989" s="28"/>
      <x:c r="R989" s="28"/>
      <x:c r="S989" s="28"/>
      <x:c r="T989" s="28"/>
      <x:c r="U989" s="28"/>
      <x:c r="V989" s="28"/>
      <x:c r="W989" s="43" t="n">
        <x:f>--AND(N989=1,OR(O989="SUPPORTED",O989="HALLUCINATION"))</x:f>
        <x:v>0</x:v>
      </x:c>
      <x:c r="X989" s="43" t="n">
        <x:f>--AND(W989=1,O989="HALLUCINATION")</x:f>
        <x:v>0</x:v>
      </x:c>
      <x:c r="Y989" s="43" t="n">
        <x:f>--AND(Q989=1,O989="HALLUCINATION")</x:f>
        <x:v>0</x:v>
      </x:c>
      <x:c r="Z989" s="43" t="n">
        <x:f>--AND(Y989=1,R989=1,S989=1)</x:f>
        <x:v>0</x:v>
      </x:c>
      <x:c r="AC989" t="str">
        <x:f>IF(OR(AA989="",AB989=""),"",--(AA989&lt;&gt;AB989))</x:f>
      </x:c>
      <x:c r="AE989" t="str">
        <x:f>IF(OR(AA989="",AB989=""),"PENDING_HUMAN",IF(AA989=AB989,AA989,IF(AD989&lt;&gt;"",AD989,"PENDING_HUMAN")))</x:f>
        <x:v>PENDING_HUMAN</x:v>
      </x:c>
      <x:c r="AF989" t="n">
        <x:f>--AND(A989&lt;&gt;"",AA989&lt;&gt;"",AB989&lt;&gt;"",OR(AA989=AB989,AD989&lt;&gt;""),IF(AE989="HALLUCINATION",U989&lt;&gt;"",TRUE))</x:f>
        <x:v>0</x:v>
      </x:c>
      <x:c r="AG989" t="n">
        <x:f>--AND(N989=1,AF989=1,OR(AE989="SUPPORTED",AE989="HALLUCINATION"))</x:f>
        <x:v>0</x:v>
      </x:c>
      <x:c r="AH989" t="n">
        <x:f>--AND(AG989=1,AE989="HALLUCINATION")</x:f>
        <x:v>0</x:v>
      </x:c>
      <x:c r="AI989" t="n">
        <x:f>--AND(Q989=1,AF989=1,AE989="HALLUCINATION")</x:f>
        <x:v>0</x:v>
      </x:c>
      <x:c r="AJ989" t="n">
        <x:f>--AND(AI989=1,R989=1,S989=1)</x:f>
        <x:v>0</x:v>
      </x:c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8"/>
      <x:c r="P990" s="28"/>
      <x:c r="Q990" s="28"/>
      <x:c r="R990" s="28"/>
      <x:c r="S990" s="28"/>
      <x:c r="T990" s="28"/>
      <x:c r="U990" s="28"/>
      <x:c r="V990" s="28"/>
      <x:c r="W990" s="43" t="n">
        <x:f>--AND(N990=1,OR(O990="SUPPORTED",O990="HALLUCINATION"))</x:f>
        <x:v>0</x:v>
      </x:c>
      <x:c r="X990" s="43" t="n">
        <x:f>--AND(W990=1,O990="HALLUCINATION")</x:f>
        <x:v>0</x:v>
      </x:c>
      <x:c r="Y990" s="43" t="n">
        <x:f>--AND(Q990=1,O990="HALLUCINATION")</x:f>
        <x:v>0</x:v>
      </x:c>
      <x:c r="Z990" s="43" t="n">
        <x:f>--AND(Y990=1,R990=1,S990=1)</x:f>
        <x:v>0</x:v>
      </x:c>
      <x:c r="AC990" t="str">
        <x:f>IF(OR(AA990="",AB990=""),"",--(AA990&lt;&gt;AB990))</x:f>
      </x:c>
      <x:c r="AE990" t="str">
        <x:f>IF(OR(AA990="",AB990=""),"PENDING_HUMAN",IF(AA990=AB990,AA990,IF(AD990&lt;&gt;"",AD990,"PENDING_HUMAN")))</x:f>
        <x:v>PENDING_HUMAN</x:v>
      </x:c>
      <x:c r="AF990" t="n">
        <x:f>--AND(A990&lt;&gt;"",AA990&lt;&gt;"",AB990&lt;&gt;"",OR(AA990=AB990,AD990&lt;&gt;""),IF(AE990="HALLUCINATION",U990&lt;&gt;"",TRUE))</x:f>
        <x:v>0</x:v>
      </x:c>
      <x:c r="AG990" t="n">
        <x:f>--AND(N990=1,AF990=1,OR(AE990="SUPPORTED",AE990="HALLUCINATION"))</x:f>
        <x:v>0</x:v>
      </x:c>
      <x:c r="AH990" t="n">
        <x:f>--AND(AG990=1,AE990="HALLUCINATION")</x:f>
        <x:v>0</x:v>
      </x:c>
      <x:c r="AI990" t="n">
        <x:f>--AND(Q990=1,AF990=1,AE990="HALLUCINATION")</x:f>
        <x:v>0</x:v>
      </x:c>
      <x:c r="AJ990" t="n">
        <x:f>--AND(AI990=1,R990=1,S990=1)</x:f>
        <x:v>0</x:v>
      </x:c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8"/>
      <x:c r="P991" s="28"/>
      <x:c r="Q991" s="28"/>
      <x:c r="R991" s="28"/>
      <x:c r="S991" s="28"/>
      <x:c r="T991" s="28"/>
      <x:c r="U991" s="28"/>
      <x:c r="V991" s="28"/>
      <x:c r="W991" s="43" t="n">
        <x:f>--AND(N991=1,OR(O991="SUPPORTED",O991="HALLUCINATION"))</x:f>
        <x:v>0</x:v>
      </x:c>
      <x:c r="X991" s="43" t="n">
        <x:f>--AND(W991=1,O991="HALLUCINATION")</x:f>
        <x:v>0</x:v>
      </x:c>
      <x:c r="Y991" s="43" t="n">
        <x:f>--AND(Q991=1,O991="HALLUCINATION")</x:f>
        <x:v>0</x:v>
      </x:c>
      <x:c r="Z991" s="43" t="n">
        <x:f>--AND(Y991=1,R991=1,S991=1)</x:f>
        <x:v>0</x:v>
      </x:c>
      <x:c r="AC991" t="str">
        <x:f>IF(OR(AA991="",AB991=""),"",--(AA991&lt;&gt;AB991))</x:f>
      </x:c>
      <x:c r="AE991" t="str">
        <x:f>IF(OR(AA991="",AB991=""),"PENDING_HUMAN",IF(AA991=AB991,AA991,IF(AD991&lt;&gt;"",AD991,"PENDING_HUMAN")))</x:f>
        <x:v>PENDING_HUMAN</x:v>
      </x:c>
      <x:c r="AF991" t="n">
        <x:f>--AND(A991&lt;&gt;"",AA991&lt;&gt;"",AB991&lt;&gt;"",OR(AA991=AB991,AD991&lt;&gt;""),IF(AE991="HALLUCINATION",U991&lt;&gt;"",TRUE))</x:f>
        <x:v>0</x:v>
      </x:c>
      <x:c r="AG991" t="n">
        <x:f>--AND(N991=1,AF991=1,OR(AE991="SUPPORTED",AE991="HALLUCINATION"))</x:f>
        <x:v>0</x:v>
      </x:c>
      <x:c r="AH991" t="n">
        <x:f>--AND(AG991=1,AE991="HALLUCINATION")</x:f>
        <x:v>0</x:v>
      </x:c>
      <x:c r="AI991" t="n">
        <x:f>--AND(Q991=1,AF991=1,AE991="HALLUCINATION")</x:f>
        <x:v>0</x:v>
      </x:c>
      <x:c r="AJ991" t="n">
        <x:f>--AND(AI991=1,R991=1,S991=1)</x:f>
        <x:v>0</x:v>
      </x:c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8"/>
      <x:c r="P992" s="28"/>
      <x:c r="Q992" s="28"/>
      <x:c r="R992" s="28"/>
      <x:c r="S992" s="28"/>
      <x:c r="T992" s="28"/>
      <x:c r="U992" s="28"/>
      <x:c r="V992" s="28"/>
      <x:c r="W992" s="43" t="n">
        <x:f>--AND(N992=1,OR(O992="SUPPORTED",O992="HALLUCINATION"))</x:f>
        <x:v>0</x:v>
      </x:c>
      <x:c r="X992" s="43" t="n">
        <x:f>--AND(W992=1,O992="HALLUCINATION")</x:f>
        <x:v>0</x:v>
      </x:c>
      <x:c r="Y992" s="43" t="n">
        <x:f>--AND(Q992=1,O992="HALLUCINATION")</x:f>
        <x:v>0</x:v>
      </x:c>
      <x:c r="Z992" s="43" t="n">
        <x:f>--AND(Y992=1,R992=1,S992=1)</x:f>
        <x:v>0</x:v>
      </x:c>
      <x:c r="AC992" t="str">
        <x:f>IF(OR(AA992="",AB992=""),"",--(AA992&lt;&gt;AB992))</x:f>
      </x:c>
      <x:c r="AE992" t="str">
        <x:f>IF(OR(AA992="",AB992=""),"PENDING_HUMAN",IF(AA992=AB992,AA992,IF(AD992&lt;&gt;"",AD992,"PENDING_HUMAN")))</x:f>
        <x:v>PENDING_HUMAN</x:v>
      </x:c>
      <x:c r="AF992" t="n">
        <x:f>--AND(A992&lt;&gt;"",AA992&lt;&gt;"",AB992&lt;&gt;"",OR(AA992=AB992,AD992&lt;&gt;""),IF(AE992="HALLUCINATION",U992&lt;&gt;"",TRUE))</x:f>
        <x:v>0</x:v>
      </x:c>
      <x:c r="AG992" t="n">
        <x:f>--AND(N992=1,AF992=1,OR(AE992="SUPPORTED",AE992="HALLUCINATION"))</x:f>
        <x:v>0</x:v>
      </x:c>
      <x:c r="AH992" t="n">
        <x:f>--AND(AG992=1,AE992="HALLUCINATION")</x:f>
        <x:v>0</x:v>
      </x:c>
      <x:c r="AI992" t="n">
        <x:f>--AND(Q992=1,AF992=1,AE992="HALLUCINATION")</x:f>
        <x:v>0</x:v>
      </x:c>
      <x:c r="AJ992" t="n">
        <x:f>--AND(AI992=1,R992=1,S992=1)</x:f>
        <x:v>0</x:v>
      </x:c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8"/>
      <x:c r="P993" s="28"/>
      <x:c r="Q993" s="28"/>
      <x:c r="R993" s="28"/>
      <x:c r="S993" s="28"/>
      <x:c r="T993" s="28"/>
      <x:c r="U993" s="28"/>
      <x:c r="V993" s="28"/>
      <x:c r="W993" s="43" t="n">
        <x:f>--AND(N993=1,OR(O993="SUPPORTED",O993="HALLUCINATION"))</x:f>
        <x:v>0</x:v>
      </x:c>
      <x:c r="X993" s="43" t="n">
        <x:f>--AND(W993=1,O993="HALLUCINATION")</x:f>
        <x:v>0</x:v>
      </x:c>
      <x:c r="Y993" s="43" t="n">
        <x:f>--AND(Q993=1,O993="HALLUCINATION")</x:f>
        <x:v>0</x:v>
      </x:c>
      <x:c r="Z993" s="43" t="n">
        <x:f>--AND(Y993=1,R993=1,S993=1)</x:f>
        <x:v>0</x:v>
      </x:c>
      <x:c r="AC993" t="str">
        <x:f>IF(OR(AA993="",AB993=""),"",--(AA993&lt;&gt;AB993))</x:f>
      </x:c>
      <x:c r="AE993" t="str">
        <x:f>IF(OR(AA993="",AB993=""),"PENDING_HUMAN",IF(AA993=AB993,AA993,IF(AD993&lt;&gt;"",AD993,"PENDING_HUMAN")))</x:f>
        <x:v>PENDING_HUMAN</x:v>
      </x:c>
      <x:c r="AF993" t="n">
        <x:f>--AND(A993&lt;&gt;"",AA993&lt;&gt;"",AB993&lt;&gt;"",OR(AA993=AB993,AD993&lt;&gt;""),IF(AE993="HALLUCINATION",U993&lt;&gt;"",TRUE))</x:f>
        <x:v>0</x:v>
      </x:c>
      <x:c r="AG993" t="n">
        <x:f>--AND(N993=1,AF993=1,OR(AE993="SUPPORTED",AE993="HALLUCINATION"))</x:f>
        <x:v>0</x:v>
      </x:c>
      <x:c r="AH993" t="n">
        <x:f>--AND(AG993=1,AE993="HALLUCINATION")</x:f>
        <x:v>0</x:v>
      </x:c>
      <x:c r="AI993" t="n">
        <x:f>--AND(Q993=1,AF993=1,AE993="HALLUCINATION")</x:f>
        <x:v>0</x:v>
      </x:c>
      <x:c r="AJ993" t="n">
        <x:f>--AND(AI993=1,R993=1,S993=1)</x:f>
        <x:v>0</x:v>
      </x:c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8"/>
      <x:c r="P994" s="28"/>
      <x:c r="Q994" s="28"/>
      <x:c r="R994" s="28"/>
      <x:c r="S994" s="28"/>
      <x:c r="T994" s="28"/>
      <x:c r="U994" s="28"/>
      <x:c r="V994" s="28"/>
      <x:c r="W994" s="43" t="n">
        <x:f>--AND(N994=1,OR(O994="SUPPORTED",O994="HALLUCINATION"))</x:f>
        <x:v>0</x:v>
      </x:c>
      <x:c r="X994" s="43" t="n">
        <x:f>--AND(W994=1,O994="HALLUCINATION")</x:f>
        <x:v>0</x:v>
      </x:c>
      <x:c r="Y994" s="43" t="n">
        <x:f>--AND(Q994=1,O994="HALLUCINATION")</x:f>
        <x:v>0</x:v>
      </x:c>
      <x:c r="Z994" s="43" t="n">
        <x:f>--AND(Y994=1,R994=1,S994=1)</x:f>
        <x:v>0</x:v>
      </x:c>
      <x:c r="AC994" t="str">
        <x:f>IF(OR(AA994="",AB994=""),"",--(AA994&lt;&gt;AB994))</x:f>
      </x:c>
      <x:c r="AE994" t="str">
        <x:f>IF(OR(AA994="",AB994=""),"PENDING_HUMAN",IF(AA994=AB994,AA994,IF(AD994&lt;&gt;"",AD994,"PENDING_HUMAN")))</x:f>
        <x:v>PENDING_HUMAN</x:v>
      </x:c>
      <x:c r="AF994" t="n">
        <x:f>--AND(A994&lt;&gt;"",AA994&lt;&gt;"",AB994&lt;&gt;"",OR(AA994=AB994,AD994&lt;&gt;""),IF(AE994="HALLUCINATION",U994&lt;&gt;"",TRUE))</x:f>
        <x:v>0</x:v>
      </x:c>
      <x:c r="AG994" t="n">
        <x:f>--AND(N994=1,AF994=1,OR(AE994="SUPPORTED",AE994="HALLUCINATION"))</x:f>
        <x:v>0</x:v>
      </x:c>
      <x:c r="AH994" t="n">
        <x:f>--AND(AG994=1,AE994="HALLUCINATION")</x:f>
        <x:v>0</x:v>
      </x:c>
      <x:c r="AI994" t="n">
        <x:f>--AND(Q994=1,AF994=1,AE994="HALLUCINATION")</x:f>
        <x:v>0</x:v>
      </x:c>
      <x:c r="AJ994" t="n">
        <x:f>--AND(AI994=1,R994=1,S994=1)</x:f>
        <x:v>0</x:v>
      </x:c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8"/>
      <x:c r="P995" s="28"/>
      <x:c r="Q995" s="28"/>
      <x:c r="R995" s="28"/>
      <x:c r="S995" s="28"/>
      <x:c r="T995" s="28"/>
      <x:c r="U995" s="28"/>
      <x:c r="V995" s="28"/>
      <x:c r="W995" s="43" t="n">
        <x:f>--AND(N995=1,OR(O995="SUPPORTED",O995="HALLUCINATION"))</x:f>
        <x:v>0</x:v>
      </x:c>
      <x:c r="X995" s="43" t="n">
        <x:f>--AND(W995=1,O995="HALLUCINATION")</x:f>
        <x:v>0</x:v>
      </x:c>
      <x:c r="Y995" s="43" t="n">
        <x:f>--AND(Q995=1,O995="HALLUCINATION")</x:f>
        <x:v>0</x:v>
      </x:c>
      <x:c r="Z995" s="43" t="n">
        <x:f>--AND(Y995=1,R995=1,S995=1)</x:f>
        <x:v>0</x:v>
      </x:c>
      <x:c r="AC995" t="str">
        <x:f>IF(OR(AA995="",AB995=""),"",--(AA995&lt;&gt;AB995))</x:f>
      </x:c>
      <x:c r="AE995" t="str">
        <x:f>IF(OR(AA995="",AB995=""),"PENDING_HUMAN",IF(AA995=AB995,AA995,IF(AD995&lt;&gt;"",AD995,"PENDING_HUMAN")))</x:f>
        <x:v>PENDING_HUMAN</x:v>
      </x:c>
      <x:c r="AF995" t="n">
        <x:f>--AND(A995&lt;&gt;"",AA995&lt;&gt;"",AB995&lt;&gt;"",OR(AA995=AB995,AD995&lt;&gt;""),IF(AE995="HALLUCINATION",U995&lt;&gt;"",TRUE))</x:f>
        <x:v>0</x:v>
      </x:c>
      <x:c r="AG995" t="n">
        <x:f>--AND(N995=1,AF995=1,OR(AE995="SUPPORTED",AE995="HALLUCINATION"))</x:f>
        <x:v>0</x:v>
      </x:c>
      <x:c r="AH995" t="n">
        <x:f>--AND(AG995=1,AE995="HALLUCINATION")</x:f>
        <x:v>0</x:v>
      </x:c>
      <x:c r="AI995" t="n">
        <x:f>--AND(Q995=1,AF995=1,AE995="HALLUCINATION")</x:f>
        <x:v>0</x:v>
      </x:c>
      <x:c r="AJ995" t="n">
        <x:f>--AND(AI995=1,R995=1,S995=1)</x:f>
        <x:v>0</x:v>
      </x:c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8"/>
      <x:c r="P996" s="28"/>
      <x:c r="Q996" s="28"/>
      <x:c r="R996" s="28"/>
      <x:c r="S996" s="28"/>
      <x:c r="T996" s="28"/>
      <x:c r="U996" s="28"/>
      <x:c r="V996" s="28"/>
      <x:c r="W996" s="43" t="n">
        <x:f>--AND(N996=1,OR(O996="SUPPORTED",O996="HALLUCINATION"))</x:f>
        <x:v>0</x:v>
      </x:c>
      <x:c r="X996" s="43" t="n">
        <x:f>--AND(W996=1,O996="HALLUCINATION")</x:f>
        <x:v>0</x:v>
      </x:c>
      <x:c r="Y996" s="43" t="n">
        <x:f>--AND(Q996=1,O996="HALLUCINATION")</x:f>
        <x:v>0</x:v>
      </x:c>
      <x:c r="Z996" s="43" t="n">
        <x:f>--AND(Y996=1,R996=1,S996=1)</x:f>
        <x:v>0</x:v>
      </x:c>
      <x:c r="AC996" t="str">
        <x:f>IF(OR(AA996="",AB996=""),"",--(AA996&lt;&gt;AB996))</x:f>
      </x:c>
      <x:c r="AE996" t="str">
        <x:f>IF(OR(AA996="",AB996=""),"PENDING_HUMAN",IF(AA996=AB996,AA996,IF(AD996&lt;&gt;"",AD996,"PENDING_HUMAN")))</x:f>
        <x:v>PENDING_HUMAN</x:v>
      </x:c>
      <x:c r="AF996" t="n">
        <x:f>--AND(A996&lt;&gt;"",AA996&lt;&gt;"",AB996&lt;&gt;"",OR(AA996=AB996,AD996&lt;&gt;""),IF(AE996="HALLUCINATION",U996&lt;&gt;"",TRUE))</x:f>
        <x:v>0</x:v>
      </x:c>
      <x:c r="AG996" t="n">
        <x:f>--AND(N996=1,AF996=1,OR(AE996="SUPPORTED",AE996="HALLUCINATION"))</x:f>
        <x:v>0</x:v>
      </x:c>
      <x:c r="AH996" t="n">
        <x:f>--AND(AG996=1,AE996="HALLUCINATION")</x:f>
        <x:v>0</x:v>
      </x:c>
      <x:c r="AI996" t="n">
        <x:f>--AND(Q996=1,AF996=1,AE996="HALLUCINATION")</x:f>
        <x:v>0</x:v>
      </x:c>
      <x:c r="AJ996" t="n">
        <x:f>--AND(AI996=1,R996=1,S996=1)</x:f>
        <x:v>0</x:v>
      </x:c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8"/>
      <x:c r="P997" s="28"/>
      <x:c r="Q997" s="28"/>
      <x:c r="R997" s="28"/>
      <x:c r="S997" s="28"/>
      <x:c r="T997" s="28"/>
      <x:c r="U997" s="28"/>
      <x:c r="V997" s="28"/>
      <x:c r="W997" s="43" t="n">
        <x:f>--AND(N997=1,OR(O997="SUPPORTED",O997="HALLUCINATION"))</x:f>
        <x:v>0</x:v>
      </x:c>
      <x:c r="X997" s="43" t="n">
        <x:f>--AND(W997=1,O997="HALLUCINATION")</x:f>
        <x:v>0</x:v>
      </x:c>
      <x:c r="Y997" s="43" t="n">
        <x:f>--AND(Q997=1,O997="HALLUCINATION")</x:f>
        <x:v>0</x:v>
      </x:c>
      <x:c r="Z997" s="43" t="n">
        <x:f>--AND(Y997=1,R997=1,S997=1)</x:f>
        <x:v>0</x:v>
      </x:c>
      <x:c r="AC997" t="str">
        <x:f>IF(OR(AA997="",AB997=""),"",--(AA997&lt;&gt;AB997))</x:f>
      </x:c>
      <x:c r="AE997" t="str">
        <x:f>IF(OR(AA997="",AB997=""),"PENDING_HUMAN",IF(AA997=AB997,AA997,IF(AD997&lt;&gt;"",AD997,"PENDING_HUMAN")))</x:f>
        <x:v>PENDING_HUMAN</x:v>
      </x:c>
      <x:c r="AF997" t="n">
        <x:f>--AND(A997&lt;&gt;"",AA997&lt;&gt;"",AB997&lt;&gt;"",OR(AA997=AB997,AD997&lt;&gt;""),IF(AE997="HALLUCINATION",U997&lt;&gt;"",TRUE))</x:f>
        <x:v>0</x:v>
      </x:c>
      <x:c r="AG997" t="n">
        <x:f>--AND(N997=1,AF997=1,OR(AE997="SUPPORTED",AE997="HALLUCINATION"))</x:f>
        <x:v>0</x:v>
      </x:c>
      <x:c r="AH997" t="n">
        <x:f>--AND(AG997=1,AE997="HALLUCINATION")</x:f>
        <x:v>0</x:v>
      </x:c>
      <x:c r="AI997" t="n">
        <x:f>--AND(Q997=1,AF997=1,AE997="HALLUCINATION")</x:f>
        <x:v>0</x:v>
      </x:c>
      <x:c r="AJ997" t="n">
        <x:f>--AND(AI997=1,R997=1,S997=1)</x:f>
        <x:v>0</x:v>
      </x:c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8"/>
      <x:c r="P998" s="28"/>
      <x:c r="Q998" s="28"/>
      <x:c r="R998" s="28"/>
      <x:c r="S998" s="28"/>
      <x:c r="T998" s="28"/>
      <x:c r="U998" s="28"/>
      <x:c r="V998" s="28"/>
      <x:c r="W998" s="43" t="n">
        <x:f>--AND(N998=1,OR(O998="SUPPORTED",O998="HALLUCINATION"))</x:f>
        <x:v>0</x:v>
      </x:c>
      <x:c r="X998" s="43" t="n">
        <x:f>--AND(W998=1,O998="HALLUCINATION")</x:f>
        <x:v>0</x:v>
      </x:c>
      <x:c r="Y998" s="43" t="n">
        <x:f>--AND(Q998=1,O998="HALLUCINATION")</x:f>
        <x:v>0</x:v>
      </x:c>
      <x:c r="Z998" s="43" t="n">
        <x:f>--AND(Y998=1,R998=1,S998=1)</x:f>
        <x:v>0</x:v>
      </x:c>
      <x:c r="AC998" t="str">
        <x:f>IF(OR(AA998="",AB998=""),"",--(AA998&lt;&gt;AB998))</x:f>
      </x:c>
      <x:c r="AE998" t="str">
        <x:f>IF(OR(AA998="",AB998=""),"PENDING_HUMAN",IF(AA998=AB998,AA998,IF(AD998&lt;&gt;"",AD998,"PENDING_HUMAN")))</x:f>
        <x:v>PENDING_HUMAN</x:v>
      </x:c>
      <x:c r="AF998" t="n">
        <x:f>--AND(A998&lt;&gt;"",AA998&lt;&gt;"",AB998&lt;&gt;"",OR(AA998=AB998,AD998&lt;&gt;""),IF(AE998="HALLUCINATION",U998&lt;&gt;"",TRUE))</x:f>
        <x:v>0</x:v>
      </x:c>
      <x:c r="AG998" t="n">
        <x:f>--AND(N998=1,AF998=1,OR(AE998="SUPPORTED",AE998="HALLUCINATION"))</x:f>
        <x:v>0</x:v>
      </x:c>
      <x:c r="AH998" t="n">
        <x:f>--AND(AG998=1,AE998="HALLUCINATION")</x:f>
        <x:v>0</x:v>
      </x:c>
      <x:c r="AI998" t="n">
        <x:f>--AND(Q998=1,AF998=1,AE998="HALLUCINATION")</x:f>
        <x:v>0</x:v>
      </x:c>
      <x:c r="AJ998" t="n">
        <x:f>--AND(AI998=1,R998=1,S998=1)</x:f>
        <x:v>0</x:v>
      </x:c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8"/>
      <x:c r="P999" s="28"/>
      <x:c r="Q999" s="28"/>
      <x:c r="R999" s="28"/>
      <x:c r="S999" s="28"/>
      <x:c r="T999" s="28"/>
      <x:c r="U999" s="28"/>
      <x:c r="V999" s="28"/>
      <x:c r="W999" s="43" t="n">
        <x:f>--AND(N999=1,OR(O999="SUPPORTED",O999="HALLUCINATION"))</x:f>
        <x:v>0</x:v>
      </x:c>
      <x:c r="X999" s="43" t="n">
        <x:f>--AND(W999=1,O999="HALLUCINATION")</x:f>
        <x:v>0</x:v>
      </x:c>
      <x:c r="Y999" s="43" t="n">
        <x:f>--AND(Q999=1,O999="HALLUCINATION")</x:f>
        <x:v>0</x:v>
      </x:c>
      <x:c r="Z999" s="43" t="n">
        <x:f>--AND(Y999=1,R999=1,S999=1)</x:f>
        <x:v>0</x:v>
      </x:c>
      <x:c r="AC999" t="str">
        <x:f>IF(OR(AA999="",AB999=""),"",--(AA999&lt;&gt;AB999))</x:f>
      </x:c>
      <x:c r="AE999" t="str">
        <x:f>IF(OR(AA999="",AB999=""),"PENDING_HUMAN",IF(AA999=AB999,AA999,IF(AD999&lt;&gt;"",AD999,"PENDING_HUMAN")))</x:f>
        <x:v>PENDING_HUMAN</x:v>
      </x:c>
      <x:c r="AF999" t="n">
        <x:f>--AND(A999&lt;&gt;"",AA999&lt;&gt;"",AB999&lt;&gt;"",OR(AA999=AB999,AD999&lt;&gt;""),IF(AE999="HALLUCINATION",U999&lt;&gt;"",TRUE))</x:f>
        <x:v>0</x:v>
      </x:c>
      <x:c r="AG999" t="n">
        <x:f>--AND(N999=1,AF999=1,OR(AE999="SUPPORTED",AE999="HALLUCINATION"))</x:f>
        <x:v>0</x:v>
      </x:c>
      <x:c r="AH999" t="n">
        <x:f>--AND(AG999=1,AE999="HALLUCINATION")</x:f>
        <x:v>0</x:v>
      </x:c>
      <x:c r="AI999" t="n">
        <x:f>--AND(Q999=1,AF999=1,AE999="HALLUCINATION")</x:f>
        <x:v>0</x:v>
      </x:c>
      <x:c r="AJ999" t="n">
        <x:f>--AND(AI999=1,R999=1,S999=1)</x:f>
        <x:v>0</x:v>
      </x:c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8"/>
      <x:c r="P1000" s="28"/>
      <x:c r="Q1000" s="28"/>
      <x:c r="R1000" s="28"/>
      <x:c r="S1000" s="28"/>
      <x:c r="T1000" s="28"/>
      <x:c r="U1000" s="28"/>
      <x:c r="V1000" s="28"/>
      <x:c r="W1000" s="43" t="n">
        <x:f>--AND(N1000=1,OR(O1000="SUPPORTED",O1000="HALLUCINATION"))</x:f>
        <x:v>0</x:v>
      </x:c>
      <x:c r="X1000" s="43" t="n">
        <x:f>--AND(W1000=1,O1000="HALLUCINATION")</x:f>
        <x:v>0</x:v>
      </x:c>
      <x:c r="Y1000" s="43" t="n">
        <x:f>--AND(Q1000=1,O1000="HALLUCINATION")</x:f>
        <x:v>0</x:v>
      </x:c>
      <x:c r="Z1000" s="43" t="n">
        <x:f>--AND(Y1000=1,R1000=1,S1000=1)</x:f>
        <x:v>0</x:v>
      </x:c>
      <x:c r="AC1000" t="str">
        <x:f>IF(OR(AA1000="",AB1000=""),"",--(AA1000&lt;&gt;AB1000))</x:f>
      </x:c>
      <x:c r="AE1000" t="str">
        <x:f>IF(OR(AA1000="",AB1000=""),"PENDING_HUMAN",IF(AA1000=AB1000,AA1000,IF(AD1000&lt;&gt;"",AD1000,"PENDING_HUMAN")))</x:f>
        <x:v>PENDING_HUMAN</x:v>
      </x:c>
      <x:c r="AF1000" t="n">
        <x:f>--AND(A1000&lt;&gt;"",AA1000&lt;&gt;"",AB1000&lt;&gt;"",OR(AA1000=AB1000,AD1000&lt;&gt;""),IF(AE1000="HALLUCINATION",U1000&lt;&gt;"",TRUE))</x:f>
        <x:v>0</x:v>
      </x:c>
      <x:c r="AG1000" t="n">
        <x:f>--AND(N1000=1,AF1000=1,OR(AE1000="SUPPORTED",AE1000="HALLUCINATION"))</x:f>
        <x:v>0</x:v>
      </x:c>
      <x:c r="AH1000" t="n">
        <x:f>--AND(AG1000=1,AE1000="HALLUCINATION")</x:f>
        <x:v>0</x:v>
      </x:c>
      <x:c r="AI1000" t="n">
        <x:f>--AND(Q1000=1,AF1000=1,AE1000="HALLUCINATION")</x:f>
        <x:v>0</x:v>
      </x:c>
      <x:c r="AJ1000" t="n">
        <x:f>--AND(AI1000=1,R1000=1,S1000=1)</x:f>
        <x:v>0</x:v>
      </x:c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8"/>
      <x:c r="P1001" s="28"/>
      <x:c r="Q1001" s="28"/>
      <x:c r="R1001" s="28"/>
      <x:c r="S1001" s="28"/>
      <x:c r="T1001" s="28"/>
      <x:c r="U1001" s="28"/>
      <x:c r="V1001" s="28"/>
      <x:c r="W1001" s="43" t="n">
        <x:f>--AND(N1001=1,OR(O1001="SUPPORTED",O1001="HALLUCINATION"))</x:f>
        <x:v>0</x:v>
      </x:c>
      <x:c r="X1001" s="43" t="n">
        <x:f>--AND(W1001=1,O1001="HALLUCINATION")</x:f>
        <x:v>0</x:v>
      </x:c>
      <x:c r="Y1001" s="43" t="n">
        <x:f>--AND(Q1001=1,O1001="HALLUCINATION")</x:f>
        <x:v>0</x:v>
      </x:c>
      <x:c r="Z1001" s="43" t="n">
        <x:f>--AND(Y1001=1,R1001=1,S1001=1)</x:f>
        <x:v>0</x:v>
      </x:c>
      <x:c r="AC1001" t="str">
        <x:f>IF(OR(AA1001="",AB1001=""),"",--(AA1001&lt;&gt;AB1001))</x:f>
      </x:c>
      <x:c r="AE1001" t="str">
        <x:f>IF(OR(AA1001="",AB1001=""),"PENDING_HUMAN",IF(AA1001=AB1001,AA1001,IF(AD1001&lt;&gt;"",AD1001,"PENDING_HUMAN")))</x:f>
        <x:v>PENDING_HUMAN</x:v>
      </x:c>
      <x:c r="AF1001" t="n">
        <x:f>--AND(A1001&lt;&gt;"",AA1001&lt;&gt;"",AB1001&lt;&gt;"",OR(AA1001=AB1001,AD1001&lt;&gt;""),IF(AE1001="HALLUCINATION",U1001&lt;&gt;"",TRUE))</x:f>
        <x:v>0</x:v>
      </x:c>
      <x:c r="AG1001" t="n">
        <x:f>--AND(N1001=1,AF1001=1,OR(AE1001="SUPPORTED",AE1001="HALLUCINATION"))</x:f>
        <x:v>0</x:v>
      </x:c>
      <x:c r="AH1001" t="n">
        <x:f>--AND(AG1001=1,AE1001="HALLUCINATION")</x:f>
        <x:v>0</x:v>
      </x:c>
      <x:c r="AI1001" t="n">
        <x:f>--AND(Q1001=1,AF1001=1,AE1001="HALLUCINATION")</x:f>
        <x:v>0</x:v>
      </x:c>
      <x:c r="AJ1001" t="n">
        <x:f>--AND(AI1001=1,R1001=1,S1001=1)</x:f>
        <x:v>0</x:v>
      </x:c>
    </x:row>
    <x:row r="1002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8"/>
      <x:c r="P1002" s="28"/>
      <x:c r="Q1002" s="28"/>
      <x:c r="R1002" s="28"/>
      <x:c r="S1002" s="28"/>
      <x:c r="T1002" s="28"/>
      <x:c r="U1002" s="28"/>
      <x:c r="V1002" s="28"/>
      <x:c r="W1002" s="43" t="n">
        <x:f>--AND(N1002=1,OR(O1002="SUPPORTED",O1002="HALLUCINATION"))</x:f>
        <x:v>0</x:v>
      </x:c>
      <x:c r="X1002" s="43" t="n">
        <x:f>--AND(W1002=1,O1002="HALLUCINATION")</x:f>
        <x:v>0</x:v>
      </x:c>
      <x:c r="Y1002" s="43" t="n">
        <x:f>--AND(Q1002=1,O1002="HALLUCINATION")</x:f>
        <x:v>0</x:v>
      </x:c>
      <x:c r="Z1002" s="43" t="n">
        <x:f>--AND(Y1002=1,R1002=1,S1002=1)</x:f>
        <x:v>0</x:v>
      </x:c>
      <x:c r="AC1002" t="str">
        <x:f>IF(OR(AA1002="",AB1002=""),"",--(AA1002&lt;&gt;AB1002))</x:f>
      </x:c>
      <x:c r="AE1002" t="str">
        <x:f>IF(OR(AA1002="",AB1002=""),"PENDING_HUMAN",IF(AA1002=AB1002,AA1002,IF(AD1002&lt;&gt;"",AD1002,"PENDING_HUMAN")))</x:f>
        <x:v>PENDING_HUMAN</x:v>
      </x:c>
      <x:c r="AF1002" t="n">
        <x:f>--AND(A1002&lt;&gt;"",AA1002&lt;&gt;"",AB1002&lt;&gt;"",OR(AA1002=AB1002,AD1002&lt;&gt;""),IF(AE1002="HALLUCINATION",U1002&lt;&gt;"",TRUE))</x:f>
        <x:v>0</x:v>
      </x:c>
      <x:c r="AG1002" t="n">
        <x:f>--AND(N1002=1,AF1002=1,OR(AE1002="SUPPORTED",AE1002="HALLUCINATION"))</x:f>
        <x:v>0</x:v>
      </x:c>
      <x:c r="AH1002" t="n">
        <x:f>--AND(AG1002=1,AE1002="HALLUCINATION")</x:f>
        <x:v>0</x:v>
      </x:c>
      <x:c r="AI1002" t="n">
        <x:f>--AND(Q1002=1,AF1002=1,AE1002="HALLUCINATION")</x:f>
        <x:v>0</x:v>
      </x:c>
      <x:c r="AJ1002" t="n">
        <x:f>--AND(AI1002=1,R1002=1,S1002=1)</x:f>
        <x:v>0</x:v>
      </x:c>
    </x:row>
    <x:row r="1003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8"/>
      <x:c r="P1003" s="28"/>
      <x:c r="Q1003" s="28"/>
      <x:c r="R1003" s="28"/>
      <x:c r="S1003" s="28"/>
      <x:c r="T1003" s="28"/>
      <x:c r="U1003" s="28"/>
      <x:c r="V1003" s="28"/>
      <x:c r="W1003" s="43" t="n">
        <x:f>--AND(N1003=1,OR(O1003="SUPPORTED",O1003="HALLUCINATION"))</x:f>
        <x:v>0</x:v>
      </x:c>
      <x:c r="X1003" s="43" t="n">
        <x:f>--AND(W1003=1,O1003="HALLUCINATION")</x:f>
        <x:v>0</x:v>
      </x:c>
      <x:c r="Y1003" s="43" t="n">
        <x:f>--AND(Q1003=1,O1003="HALLUCINATION")</x:f>
        <x:v>0</x:v>
      </x:c>
      <x:c r="Z1003" s="43" t="n">
        <x:f>--AND(Y1003=1,R1003=1,S1003=1)</x:f>
        <x:v>0</x:v>
      </x:c>
      <x:c r="AC1003" t="str">
        <x:f>IF(OR(AA1003="",AB1003=""),"",--(AA1003&lt;&gt;AB1003))</x:f>
      </x:c>
      <x:c r="AE1003" t="str">
        <x:f>IF(OR(AA1003="",AB1003=""),"PENDING_HUMAN",IF(AA1003=AB1003,AA1003,IF(AD1003&lt;&gt;"",AD1003,"PENDING_HUMAN")))</x:f>
        <x:v>PENDING_HUMAN</x:v>
      </x:c>
      <x:c r="AF1003" t="n">
        <x:f>--AND(A1003&lt;&gt;"",AA1003&lt;&gt;"",AB1003&lt;&gt;"",OR(AA1003=AB1003,AD1003&lt;&gt;""),IF(AE1003="HALLUCINATION",U1003&lt;&gt;"",TRUE))</x:f>
        <x:v>0</x:v>
      </x:c>
      <x:c r="AG1003" t="n">
        <x:f>--AND(N1003=1,AF1003=1,OR(AE1003="SUPPORTED",AE1003="HALLUCINATION"))</x:f>
        <x:v>0</x:v>
      </x:c>
      <x:c r="AH1003" t="n">
        <x:f>--AND(AG1003=1,AE1003="HALLUCINATION")</x:f>
        <x:v>0</x:v>
      </x:c>
      <x:c r="AI1003" t="n">
        <x:f>--AND(Q1003=1,AF1003=1,AE1003="HALLUCINATION")</x:f>
        <x:v>0</x:v>
      </x:c>
      <x:c r="AJ1003" t="n">
        <x:f>--AND(AI1003=1,R1003=1,S1003=1)</x:f>
        <x:v>0</x:v>
      </x:c>
    </x:row>
    <x:row r="1004">
      <x:c r="A1004" s="28"/>
      <x:c r="B1004" s="28"/>
      <x:c r="C1004" s="28"/>
      <x:c r="D1004" s="28"/>
      <x:c r="E1004" s="28"/>
      <x:c r="F1004" s="28"/>
      <x:c r="G1004" s="28"/>
      <x:c r="H1004" s="28"/>
      <x:c r="I1004" s="28"/>
      <x:c r="J1004" s="28"/>
      <x:c r="K1004" s="28"/>
      <x:c r="L1004" s="28"/>
      <x:c r="M1004" s="28"/>
      <x:c r="N1004" s="28"/>
      <x:c r="O1004" s="28"/>
      <x:c r="P1004" s="28"/>
      <x:c r="Q1004" s="28"/>
      <x:c r="R1004" s="28"/>
      <x:c r="S1004" s="28"/>
      <x:c r="T1004" s="28"/>
      <x:c r="U1004" s="28"/>
      <x:c r="V1004" s="28"/>
      <x:c r="W1004" s="43" t="n">
        <x:f>--AND(N1004=1,OR(O1004="SUPPORTED",O1004="HALLUCINATION"))</x:f>
        <x:v>0</x:v>
      </x:c>
      <x:c r="X1004" s="43" t="n">
        <x:f>--AND(W1004=1,O1004="HALLUCINATION")</x:f>
        <x:v>0</x:v>
      </x:c>
      <x:c r="Y1004" s="43" t="n">
        <x:f>--AND(Q1004=1,O1004="HALLUCINATION")</x:f>
        <x:v>0</x:v>
      </x:c>
      <x:c r="Z1004" s="43" t="n">
        <x:f>--AND(Y1004=1,R1004=1,S1004=1)</x:f>
        <x:v>0</x:v>
      </x:c>
      <x:c r="AC1004" t="str">
        <x:f>IF(OR(AA1004="",AB1004=""),"",--(AA1004&lt;&gt;AB1004))</x:f>
      </x:c>
      <x:c r="AE1004" t="str">
        <x:f>IF(OR(AA1004="",AB1004=""),"PENDING_HUMAN",IF(AA1004=AB1004,AA1004,IF(AD1004&lt;&gt;"",AD1004,"PENDING_HUMAN")))</x:f>
        <x:v>PENDING_HUMAN</x:v>
      </x:c>
      <x:c r="AF1004" t="n">
        <x:f>--AND(A1004&lt;&gt;"",AA1004&lt;&gt;"",AB1004&lt;&gt;"",OR(AA1004=AB1004,AD1004&lt;&gt;""),IF(AE1004="HALLUCINATION",U1004&lt;&gt;"",TRUE))</x:f>
        <x:v>0</x:v>
      </x:c>
      <x:c r="AG1004" t="n">
        <x:f>--AND(N1004=1,AF1004=1,OR(AE1004="SUPPORTED",AE1004="HALLUCINATION"))</x:f>
        <x:v>0</x:v>
      </x:c>
      <x:c r="AH1004" t="n">
        <x:f>--AND(AG1004=1,AE1004="HALLUCINATION")</x:f>
        <x:v>0</x:v>
      </x:c>
      <x:c r="AI1004" t="n">
        <x:f>--AND(Q1004=1,AF1004=1,AE1004="HALLUCINATION")</x:f>
        <x:v>0</x:v>
      </x:c>
      <x:c r="AJ1004" t="n">
        <x:f>--AND(AI1004=1,R1004=1,S1004=1)</x:f>
        <x:v>0</x:v>
      </x:c>
    </x:row>
    <x:row r="1005">
      <x:c r="A1005" s="28"/>
      <x:c r="B1005" s="28"/>
      <x:c r="C1005" s="28"/>
      <x:c r="D1005" s="28"/>
      <x:c r="E1005" s="28"/>
      <x:c r="F1005" s="28"/>
      <x:c r="G1005" s="28"/>
      <x:c r="H1005" s="28"/>
      <x:c r="I1005" s="28"/>
      <x:c r="J1005" s="28"/>
      <x:c r="K1005" s="28"/>
      <x:c r="L1005" s="28"/>
      <x:c r="M1005" s="28"/>
      <x:c r="N1005" s="28"/>
      <x:c r="O1005" s="28"/>
      <x:c r="P1005" s="28"/>
      <x:c r="Q1005" s="28"/>
      <x:c r="R1005" s="28"/>
      <x:c r="S1005" s="28"/>
      <x:c r="T1005" s="28"/>
      <x:c r="U1005" s="28"/>
      <x:c r="V1005" s="28"/>
      <x:c r="W1005" s="43" t="n">
        <x:f>--AND(N1005=1,OR(O1005="SUPPORTED",O1005="HALLUCINATION"))</x:f>
        <x:v>0</x:v>
      </x:c>
      <x:c r="X1005" s="43" t="n">
        <x:f>--AND(W1005=1,O1005="HALLUCINATION")</x:f>
        <x:v>0</x:v>
      </x:c>
      <x:c r="Y1005" s="43" t="n">
        <x:f>--AND(Q1005=1,O1005="HALLUCINATION")</x:f>
        <x:v>0</x:v>
      </x:c>
      <x:c r="Z1005" s="43" t="n">
        <x:f>--AND(Y1005=1,R1005=1,S1005=1)</x:f>
        <x:v>0</x:v>
      </x:c>
      <x:c r="AC1005" t="str">
        <x:f>IF(OR(AA1005="",AB1005=""),"",--(AA1005&lt;&gt;AB1005))</x:f>
      </x:c>
      <x:c r="AE1005" t="str">
        <x:f>IF(OR(AA1005="",AB1005=""),"PENDING_HUMAN",IF(AA1005=AB1005,AA1005,IF(AD1005&lt;&gt;"",AD1005,"PENDING_HUMAN")))</x:f>
        <x:v>PENDING_HUMAN</x:v>
      </x:c>
      <x:c r="AF1005" t="n">
        <x:f>--AND(A1005&lt;&gt;"",AA1005&lt;&gt;"",AB1005&lt;&gt;"",OR(AA1005=AB1005,AD1005&lt;&gt;""),IF(AE1005="HALLUCINATION",U1005&lt;&gt;"",TRUE))</x:f>
        <x:v>0</x:v>
      </x:c>
      <x:c r="AG1005" t="n">
        <x:f>--AND(N1005=1,AF1005=1,OR(AE1005="SUPPORTED",AE1005="HALLUCINATION"))</x:f>
        <x:v>0</x:v>
      </x:c>
      <x:c r="AH1005" t="n">
        <x:f>--AND(AG1005=1,AE1005="HALLUCINATION")</x:f>
        <x:v>0</x:v>
      </x:c>
      <x:c r="AI1005" t="n">
        <x:f>--AND(Q1005=1,AF1005=1,AE1005="HALLUCINATION")</x:f>
        <x:v>0</x:v>
      </x:c>
      <x:c r="AJ1005" t="n">
        <x:f>--AND(AI1005=1,R1005=1,S1005=1)</x:f>
        <x:v>0</x:v>
      </x:c>
    </x:row>
    <x:row r="1006">
      <x:c r="A1006" s="28"/>
      <x:c r="B1006" s="28"/>
      <x:c r="C1006" s="28"/>
      <x:c r="D1006" s="28"/>
      <x:c r="E1006" s="28"/>
      <x:c r="F1006" s="28"/>
      <x:c r="G1006" s="28"/>
      <x:c r="H1006" s="28"/>
      <x:c r="I1006" s="28"/>
      <x:c r="J1006" s="28"/>
      <x:c r="K1006" s="28"/>
      <x:c r="L1006" s="28"/>
      <x:c r="M1006" s="28"/>
      <x:c r="N1006" s="28"/>
      <x:c r="O1006" s="28"/>
      <x:c r="P1006" s="28"/>
      <x:c r="Q1006" s="28"/>
      <x:c r="R1006" s="28"/>
      <x:c r="S1006" s="28"/>
      <x:c r="T1006" s="28"/>
      <x:c r="U1006" s="28"/>
      <x:c r="V1006" s="28"/>
      <x:c r="W1006" s="43" t="n">
        <x:f>--AND(N1006=1,OR(O1006="SUPPORTED",O1006="HALLUCINATION"))</x:f>
        <x:v>0</x:v>
      </x:c>
      <x:c r="X1006" s="43" t="n">
        <x:f>--AND(W1006=1,O1006="HALLUCINATION")</x:f>
        <x:v>0</x:v>
      </x:c>
      <x:c r="Y1006" s="43" t="n">
        <x:f>--AND(Q1006=1,O1006="HALLUCINATION")</x:f>
        <x:v>0</x:v>
      </x:c>
      <x:c r="Z1006" s="43" t="n">
        <x:f>--AND(Y1006=1,R1006=1,S1006=1)</x:f>
        <x:v>0</x:v>
      </x:c>
      <x:c r="AC1006" t="str">
        <x:f>IF(OR(AA1006="",AB1006=""),"",--(AA1006&lt;&gt;AB1006))</x:f>
      </x:c>
      <x:c r="AE1006" t="str">
        <x:f>IF(OR(AA1006="",AB1006=""),"PENDING_HUMAN",IF(AA1006=AB1006,AA1006,IF(AD1006&lt;&gt;"",AD1006,"PENDING_HUMAN")))</x:f>
        <x:v>PENDING_HUMAN</x:v>
      </x:c>
      <x:c r="AF1006" t="n">
        <x:f>--AND(A1006&lt;&gt;"",AA1006&lt;&gt;"",AB1006&lt;&gt;"",OR(AA1006=AB1006,AD1006&lt;&gt;""),IF(AE1006="HALLUCINATION",U1006&lt;&gt;"",TRUE))</x:f>
        <x:v>0</x:v>
      </x:c>
      <x:c r="AG1006" t="n">
        <x:f>--AND(N1006=1,AF1006=1,OR(AE1006="SUPPORTED",AE1006="HALLUCINATION"))</x:f>
        <x:v>0</x:v>
      </x:c>
      <x:c r="AH1006" t="n">
        <x:f>--AND(AG1006=1,AE1006="HALLUCINATION")</x:f>
        <x:v>0</x:v>
      </x:c>
      <x:c r="AI1006" t="n">
        <x:f>--AND(Q1006=1,AF1006=1,AE1006="HALLUCINATION")</x:f>
        <x:v>0</x:v>
      </x:c>
      <x:c r="AJ1006" t="n">
        <x:f>--AND(AI1006=1,R1006=1,S1006=1)</x:f>
        <x:v>0</x:v>
      </x:c>
    </x:row>
    <x:row r="1007">
      <x:c r="A1007" s="28"/>
      <x:c r="B1007" s="28"/>
      <x:c r="C1007" s="28"/>
      <x:c r="D1007" s="28"/>
      <x:c r="E1007" s="28"/>
      <x:c r="F1007" s="28"/>
      <x:c r="G1007" s="28"/>
      <x:c r="H1007" s="28"/>
      <x:c r="I1007" s="28"/>
      <x:c r="J1007" s="28"/>
      <x:c r="K1007" s="28"/>
      <x:c r="L1007" s="28"/>
      <x:c r="M1007" s="28"/>
      <x:c r="N1007" s="28"/>
      <x:c r="O1007" s="28"/>
      <x:c r="P1007" s="28"/>
      <x:c r="Q1007" s="28"/>
      <x:c r="R1007" s="28"/>
      <x:c r="S1007" s="28"/>
      <x:c r="T1007" s="28"/>
      <x:c r="U1007" s="28"/>
      <x:c r="V1007" s="28"/>
      <x:c r="W1007" s="43" t="n">
        <x:f>--AND(N1007=1,OR(O1007="SUPPORTED",O1007="HALLUCINATION"))</x:f>
        <x:v>0</x:v>
      </x:c>
      <x:c r="X1007" s="43" t="n">
        <x:f>--AND(W1007=1,O1007="HALLUCINATION")</x:f>
        <x:v>0</x:v>
      </x:c>
      <x:c r="Y1007" s="43" t="n">
        <x:f>--AND(Q1007=1,O1007="HALLUCINATION")</x:f>
        <x:v>0</x:v>
      </x:c>
      <x:c r="Z1007" s="43" t="n">
        <x:f>--AND(Y1007=1,R1007=1,S1007=1)</x:f>
        <x:v>0</x:v>
      </x:c>
      <x:c r="AC1007" t="str">
        <x:f>IF(OR(AA1007="",AB1007=""),"",--(AA1007&lt;&gt;AB1007))</x:f>
      </x:c>
      <x:c r="AE1007" t="str">
        <x:f>IF(OR(AA1007="",AB1007=""),"PENDING_HUMAN",IF(AA1007=AB1007,AA1007,IF(AD1007&lt;&gt;"",AD1007,"PENDING_HUMAN")))</x:f>
        <x:v>PENDING_HUMAN</x:v>
      </x:c>
      <x:c r="AF1007" t="n">
        <x:f>--AND(A1007&lt;&gt;"",AA1007&lt;&gt;"",AB1007&lt;&gt;"",OR(AA1007=AB1007,AD1007&lt;&gt;""),IF(AE1007="HALLUCINATION",U1007&lt;&gt;"",TRUE))</x:f>
        <x:v>0</x:v>
      </x:c>
      <x:c r="AG1007" t="n">
        <x:f>--AND(N1007=1,AF1007=1,OR(AE1007="SUPPORTED",AE1007="HALLUCINATION"))</x:f>
        <x:v>0</x:v>
      </x:c>
      <x:c r="AH1007" t="n">
        <x:f>--AND(AG1007=1,AE1007="HALLUCINATION")</x:f>
        <x:v>0</x:v>
      </x:c>
      <x:c r="AI1007" t="n">
        <x:f>--AND(Q1007=1,AF1007=1,AE1007="HALLUCINATION")</x:f>
        <x:v>0</x:v>
      </x:c>
      <x:c r="AJ1007" t="n">
        <x:f>--AND(AI1007=1,R1007=1,S1007=1)</x:f>
        <x:v>0</x:v>
      </x:c>
    </x:row>
    <x:row r="1008">
      <x:c r="A1008" s="28"/>
      <x:c r="B1008" s="28"/>
      <x:c r="C1008" s="28"/>
      <x:c r="D1008" s="28"/>
      <x:c r="E1008" s="28"/>
      <x:c r="F1008" s="28"/>
      <x:c r="G1008" s="28"/>
      <x:c r="H1008" s="28"/>
      <x:c r="I1008" s="28"/>
      <x:c r="J1008" s="28"/>
      <x:c r="K1008" s="28"/>
      <x:c r="L1008" s="28"/>
      <x:c r="M1008" s="28"/>
      <x:c r="N1008" s="28"/>
      <x:c r="O1008" s="28"/>
      <x:c r="P1008" s="28"/>
      <x:c r="Q1008" s="28"/>
      <x:c r="R1008" s="28"/>
      <x:c r="S1008" s="28"/>
      <x:c r="T1008" s="28"/>
      <x:c r="U1008" s="28"/>
      <x:c r="V1008" s="28"/>
      <x:c r="W1008" s="43" t="n">
        <x:f>--AND(N1008=1,OR(O1008="SUPPORTED",O1008="HALLUCINATION"))</x:f>
        <x:v>0</x:v>
      </x:c>
      <x:c r="X1008" s="43" t="n">
        <x:f>--AND(W1008=1,O1008="HALLUCINATION")</x:f>
        <x:v>0</x:v>
      </x:c>
      <x:c r="Y1008" s="43" t="n">
        <x:f>--AND(Q1008=1,O1008="HALLUCINATION")</x:f>
        <x:v>0</x:v>
      </x:c>
      <x:c r="Z1008" s="43" t="n">
        <x:f>--AND(Y1008=1,R1008=1,S1008=1)</x:f>
        <x:v>0</x:v>
      </x:c>
      <x:c r="AC1008" t="str">
        <x:f>IF(OR(AA1008="",AB1008=""),"",--(AA1008&lt;&gt;AB1008))</x:f>
      </x:c>
      <x:c r="AE1008" t="str">
        <x:f>IF(OR(AA1008="",AB1008=""),"PENDING_HUMAN",IF(AA1008=AB1008,AA1008,IF(AD1008&lt;&gt;"",AD1008,"PENDING_HUMAN")))</x:f>
        <x:v>PENDING_HUMAN</x:v>
      </x:c>
      <x:c r="AF1008" t="n">
        <x:f>--AND(A1008&lt;&gt;"",AA1008&lt;&gt;"",AB1008&lt;&gt;"",OR(AA1008=AB1008,AD1008&lt;&gt;""),IF(AE1008="HALLUCINATION",U1008&lt;&gt;"",TRUE))</x:f>
        <x:v>0</x:v>
      </x:c>
      <x:c r="AG1008" t="n">
        <x:f>--AND(N1008=1,AF1008=1,OR(AE1008="SUPPORTED",AE1008="HALLUCINATION"))</x:f>
        <x:v>0</x:v>
      </x:c>
      <x:c r="AH1008" t="n">
        <x:f>--AND(AG1008=1,AE1008="HALLUCINATION")</x:f>
        <x:v>0</x:v>
      </x:c>
      <x:c r="AI1008" t="n">
        <x:f>--AND(Q1008=1,AF1008=1,AE1008="HALLUCINATION")</x:f>
        <x:v>0</x:v>
      </x:c>
      <x:c r="AJ1008" t="n">
        <x:f>--AND(AI1008=1,R1008=1,S1008=1)</x:f>
        <x:v>0</x:v>
      </x:c>
    </x:row>
    <x:row r="1009">
      <x:c r="A1009" s="28"/>
      <x:c r="B1009" s="28"/>
      <x:c r="C1009" s="28"/>
      <x:c r="D1009" s="28"/>
      <x:c r="E1009" s="28"/>
      <x:c r="F1009" s="28"/>
      <x:c r="G1009" s="28"/>
      <x:c r="H1009" s="28"/>
      <x:c r="I1009" s="28"/>
      <x:c r="J1009" s="28"/>
      <x:c r="K1009" s="28"/>
      <x:c r="L1009" s="28"/>
      <x:c r="M1009" s="28"/>
      <x:c r="N1009" s="28"/>
      <x:c r="O1009" s="28"/>
      <x:c r="P1009" s="28"/>
      <x:c r="Q1009" s="28"/>
      <x:c r="R1009" s="28"/>
      <x:c r="S1009" s="28"/>
      <x:c r="T1009" s="28"/>
      <x:c r="U1009" s="28"/>
      <x:c r="V1009" s="28"/>
      <x:c r="W1009" s="43" t="n">
        <x:f>--AND(N1009=1,OR(O1009="SUPPORTED",O1009="HALLUCINATION"))</x:f>
        <x:v>0</x:v>
      </x:c>
      <x:c r="X1009" s="43" t="n">
        <x:f>--AND(W1009=1,O1009="HALLUCINATION")</x:f>
        <x:v>0</x:v>
      </x:c>
      <x:c r="Y1009" s="43" t="n">
        <x:f>--AND(Q1009=1,O1009="HALLUCINATION")</x:f>
        <x:v>0</x:v>
      </x:c>
      <x:c r="Z1009" s="43" t="n">
        <x:f>--AND(Y1009=1,R1009=1,S1009=1)</x:f>
        <x:v>0</x:v>
      </x:c>
      <x:c r="AC1009" t="str">
        <x:f>IF(OR(AA1009="",AB1009=""),"",--(AA1009&lt;&gt;AB1009))</x:f>
      </x:c>
      <x:c r="AE1009" t="str">
        <x:f>IF(OR(AA1009="",AB1009=""),"PENDING_HUMAN",IF(AA1009=AB1009,AA1009,IF(AD1009&lt;&gt;"",AD1009,"PENDING_HUMAN")))</x:f>
        <x:v>PENDING_HUMAN</x:v>
      </x:c>
      <x:c r="AF1009" t="n">
        <x:f>--AND(A1009&lt;&gt;"",AA1009&lt;&gt;"",AB1009&lt;&gt;"",OR(AA1009=AB1009,AD1009&lt;&gt;""),IF(AE1009="HALLUCINATION",U1009&lt;&gt;"",TRUE))</x:f>
        <x:v>0</x:v>
      </x:c>
      <x:c r="AG1009" t="n">
        <x:f>--AND(N1009=1,AF1009=1,OR(AE1009="SUPPORTED",AE1009="HALLUCINATION"))</x:f>
        <x:v>0</x:v>
      </x:c>
      <x:c r="AH1009" t="n">
        <x:f>--AND(AG1009=1,AE1009="HALLUCINATION")</x:f>
        <x:v>0</x:v>
      </x:c>
      <x:c r="AI1009" t="n">
        <x:f>--AND(Q1009=1,AF1009=1,AE1009="HALLUCINATION")</x:f>
        <x:v>0</x:v>
      </x:c>
      <x:c r="AJ1009" t="n">
        <x:f>--AND(AI1009=1,R1009=1,S1009=1)</x:f>
        <x:v>0</x:v>
      </x:c>
    </x:row>
    <x:row r="1010">
      <x:c r="A1010" s="28"/>
      <x:c r="B1010" s="28"/>
      <x:c r="C1010" s="28"/>
      <x:c r="D1010" s="28"/>
      <x:c r="E1010" s="28"/>
      <x:c r="F1010" s="28"/>
      <x:c r="G1010" s="28"/>
      <x:c r="H1010" s="28"/>
      <x:c r="I1010" s="28"/>
      <x:c r="J1010" s="28"/>
      <x:c r="K1010" s="28"/>
      <x:c r="L1010" s="28"/>
      <x:c r="M1010" s="28"/>
      <x:c r="N1010" s="28"/>
      <x:c r="O1010" s="28"/>
      <x:c r="P1010" s="28"/>
      <x:c r="Q1010" s="28"/>
      <x:c r="R1010" s="28"/>
      <x:c r="S1010" s="28"/>
      <x:c r="T1010" s="28"/>
      <x:c r="U1010" s="28"/>
      <x:c r="V1010" s="28"/>
      <x:c r="W1010" s="43" t="n">
        <x:f>--AND(N1010=1,OR(O1010="SUPPORTED",O1010="HALLUCINATION"))</x:f>
        <x:v>0</x:v>
      </x:c>
      <x:c r="X1010" s="43" t="n">
        <x:f>--AND(W1010=1,O1010="HALLUCINATION")</x:f>
        <x:v>0</x:v>
      </x:c>
      <x:c r="Y1010" s="43" t="n">
        <x:f>--AND(Q1010=1,O1010="HALLUCINATION")</x:f>
        <x:v>0</x:v>
      </x:c>
      <x:c r="Z1010" s="43" t="n">
        <x:f>--AND(Y1010=1,R1010=1,S1010=1)</x:f>
        <x:v>0</x:v>
      </x:c>
      <x:c r="AC1010" t="str">
        <x:f>IF(OR(AA1010="",AB1010=""),"",--(AA1010&lt;&gt;AB1010))</x:f>
      </x:c>
      <x:c r="AE1010" t="str">
        <x:f>IF(OR(AA1010="",AB1010=""),"PENDING_HUMAN",IF(AA1010=AB1010,AA1010,IF(AD1010&lt;&gt;"",AD1010,"PENDING_HUMAN")))</x:f>
        <x:v>PENDING_HUMAN</x:v>
      </x:c>
      <x:c r="AF1010" t="n">
        <x:f>--AND(A1010&lt;&gt;"",AA1010&lt;&gt;"",AB1010&lt;&gt;"",OR(AA1010=AB1010,AD1010&lt;&gt;""),IF(AE1010="HALLUCINATION",U1010&lt;&gt;"",TRUE))</x:f>
        <x:v>0</x:v>
      </x:c>
      <x:c r="AG1010" t="n">
        <x:f>--AND(N1010=1,AF1010=1,OR(AE1010="SUPPORTED",AE1010="HALLUCINATION"))</x:f>
        <x:v>0</x:v>
      </x:c>
      <x:c r="AH1010" t="n">
        <x:f>--AND(AG1010=1,AE1010="HALLUCINATION")</x:f>
        <x:v>0</x:v>
      </x:c>
      <x:c r="AI1010" t="n">
        <x:f>--AND(Q1010=1,AF1010=1,AE1010="HALLUCINATION")</x:f>
        <x:v>0</x:v>
      </x:c>
      <x:c r="AJ1010" t="n">
        <x:f>--AND(AI1010=1,R1010=1,S1010=1)</x:f>
        <x:v>0</x:v>
      </x:c>
    </x:row>
    <x:row r="1011">
      <x:c r="A1011" s="28"/>
      <x:c r="B1011" s="28"/>
      <x:c r="C1011" s="28"/>
      <x:c r="D1011" s="28"/>
      <x:c r="E1011" s="28"/>
      <x:c r="F1011" s="28"/>
      <x:c r="G1011" s="28"/>
      <x:c r="H1011" s="28"/>
      <x:c r="I1011" s="28"/>
      <x:c r="J1011" s="28"/>
      <x:c r="K1011" s="28"/>
      <x:c r="L1011" s="28"/>
      <x:c r="M1011" s="28"/>
      <x:c r="N1011" s="28"/>
      <x:c r="O1011" s="28"/>
      <x:c r="P1011" s="28"/>
      <x:c r="Q1011" s="28"/>
      <x:c r="R1011" s="28"/>
      <x:c r="S1011" s="28"/>
      <x:c r="T1011" s="28"/>
      <x:c r="U1011" s="28"/>
      <x:c r="V1011" s="28"/>
      <x:c r="W1011" s="43" t="n">
        <x:f>--AND(N1011=1,OR(O1011="SUPPORTED",O1011="HALLUCINATION"))</x:f>
        <x:v>0</x:v>
      </x:c>
      <x:c r="X1011" s="43" t="n">
        <x:f>--AND(W1011=1,O1011="HALLUCINATION")</x:f>
        <x:v>0</x:v>
      </x:c>
      <x:c r="Y1011" s="43" t="n">
        <x:f>--AND(Q1011=1,O1011="HALLUCINATION")</x:f>
        <x:v>0</x:v>
      </x:c>
      <x:c r="Z1011" s="43" t="n">
        <x:f>--AND(Y1011=1,R1011=1,S1011=1)</x:f>
        <x:v>0</x:v>
      </x:c>
      <x:c r="AC1011" t="str">
        <x:f>IF(OR(AA1011="",AB1011=""),"",--(AA1011&lt;&gt;AB1011))</x:f>
      </x:c>
      <x:c r="AE1011" t="str">
        <x:f>IF(OR(AA1011="",AB1011=""),"PENDING_HUMAN",IF(AA1011=AB1011,AA1011,IF(AD1011&lt;&gt;"",AD1011,"PENDING_HUMAN")))</x:f>
        <x:v>PENDING_HUMAN</x:v>
      </x:c>
      <x:c r="AF1011" t="n">
        <x:f>--AND(A1011&lt;&gt;"",AA1011&lt;&gt;"",AB1011&lt;&gt;"",OR(AA1011=AB1011,AD1011&lt;&gt;""),IF(AE1011="HALLUCINATION",U1011&lt;&gt;"",TRUE))</x:f>
        <x:v>0</x:v>
      </x:c>
      <x:c r="AG1011" t="n">
        <x:f>--AND(N1011=1,AF1011=1,OR(AE1011="SUPPORTED",AE1011="HALLUCINATION"))</x:f>
        <x:v>0</x:v>
      </x:c>
      <x:c r="AH1011" t="n">
        <x:f>--AND(AG1011=1,AE1011="HALLUCINATION")</x:f>
        <x:v>0</x:v>
      </x:c>
      <x:c r="AI1011" t="n">
        <x:f>--AND(Q1011=1,AF1011=1,AE1011="HALLUCINATION")</x:f>
        <x:v>0</x:v>
      </x:c>
      <x:c r="AJ1011" t="n">
        <x:f>--AND(AI1011=1,R1011=1,S1011=1)</x:f>
        <x:v>0</x:v>
      </x:c>
    </x:row>
    <x:row r="1012">
      <x:c r="A1012" s="28"/>
      <x:c r="B1012" s="28"/>
      <x:c r="C1012" s="28"/>
      <x:c r="D1012" s="28"/>
      <x:c r="E1012" s="28"/>
      <x:c r="F1012" s="28"/>
      <x:c r="G1012" s="28"/>
      <x:c r="H1012" s="28"/>
      <x:c r="I1012" s="28"/>
      <x:c r="J1012" s="28"/>
      <x:c r="K1012" s="28"/>
      <x:c r="L1012" s="28"/>
      <x:c r="M1012" s="28"/>
      <x:c r="N1012" s="28"/>
      <x:c r="O1012" s="28"/>
      <x:c r="P1012" s="28"/>
      <x:c r="Q1012" s="28"/>
      <x:c r="R1012" s="28"/>
      <x:c r="S1012" s="28"/>
      <x:c r="T1012" s="28"/>
      <x:c r="U1012" s="28"/>
      <x:c r="V1012" s="28"/>
      <x:c r="W1012" s="43" t="n">
        <x:f>--AND(N1012=1,OR(O1012="SUPPORTED",O1012="HALLUCINATION"))</x:f>
        <x:v>0</x:v>
      </x:c>
      <x:c r="X1012" s="43" t="n">
        <x:f>--AND(W1012=1,O1012="HALLUCINATION")</x:f>
        <x:v>0</x:v>
      </x:c>
      <x:c r="Y1012" s="43" t="n">
        <x:f>--AND(Q1012=1,O1012="HALLUCINATION")</x:f>
        <x:v>0</x:v>
      </x:c>
      <x:c r="Z1012" s="43" t="n">
        <x:f>--AND(Y1012=1,R1012=1,S1012=1)</x:f>
        <x:v>0</x:v>
      </x:c>
      <x:c r="AC1012" t="str">
        <x:f>IF(OR(AA1012="",AB1012=""),"",--(AA1012&lt;&gt;AB1012))</x:f>
      </x:c>
      <x:c r="AE1012" t="str">
        <x:f>IF(OR(AA1012="",AB1012=""),"PENDING_HUMAN",IF(AA1012=AB1012,AA1012,IF(AD1012&lt;&gt;"",AD1012,"PENDING_HUMAN")))</x:f>
        <x:v>PENDING_HUMAN</x:v>
      </x:c>
      <x:c r="AF1012" t="n">
        <x:f>--AND(A1012&lt;&gt;"",AA1012&lt;&gt;"",AB1012&lt;&gt;"",OR(AA1012=AB1012,AD1012&lt;&gt;""),IF(AE1012="HALLUCINATION",U1012&lt;&gt;"",TRUE))</x:f>
        <x:v>0</x:v>
      </x:c>
      <x:c r="AG1012" t="n">
        <x:f>--AND(N1012=1,AF1012=1,OR(AE1012="SUPPORTED",AE1012="HALLUCINATION"))</x:f>
        <x:v>0</x:v>
      </x:c>
      <x:c r="AH1012" t="n">
        <x:f>--AND(AG1012=1,AE1012="HALLUCINATION")</x:f>
        <x:v>0</x:v>
      </x:c>
      <x:c r="AI1012" t="n">
        <x:f>--AND(Q1012=1,AF1012=1,AE1012="HALLUCINATION")</x:f>
        <x:v>0</x:v>
      </x:c>
      <x:c r="AJ1012" t="n">
        <x:f>--AND(AI1012=1,R1012=1,S1012=1)</x:f>
        <x:v>0</x:v>
      </x:c>
    </x:row>
    <x:row r="1013">
      <x:c r="A1013" s="28"/>
      <x:c r="B1013" s="28"/>
      <x:c r="C1013" s="28"/>
      <x:c r="D1013" s="28"/>
      <x:c r="E1013" s="28"/>
      <x:c r="F1013" s="28"/>
      <x:c r="G1013" s="28"/>
      <x:c r="H1013" s="28"/>
      <x:c r="I1013" s="28"/>
      <x:c r="J1013" s="28"/>
      <x:c r="K1013" s="28"/>
      <x:c r="L1013" s="28"/>
      <x:c r="M1013" s="28"/>
      <x:c r="N1013" s="28"/>
      <x:c r="O1013" s="28"/>
      <x:c r="P1013" s="28"/>
      <x:c r="Q1013" s="28"/>
      <x:c r="R1013" s="28"/>
      <x:c r="S1013" s="28"/>
      <x:c r="T1013" s="28"/>
      <x:c r="U1013" s="28"/>
      <x:c r="V1013" s="28"/>
      <x:c r="W1013" s="43" t="n">
        <x:f>--AND(N1013=1,OR(O1013="SUPPORTED",O1013="HALLUCINATION"))</x:f>
        <x:v>0</x:v>
      </x:c>
      <x:c r="X1013" s="43" t="n">
        <x:f>--AND(W1013=1,O1013="HALLUCINATION")</x:f>
        <x:v>0</x:v>
      </x:c>
      <x:c r="Y1013" s="43" t="n">
        <x:f>--AND(Q1013=1,O1013="HALLUCINATION")</x:f>
        <x:v>0</x:v>
      </x:c>
      <x:c r="Z1013" s="43" t="n">
        <x:f>--AND(Y1013=1,R1013=1,S1013=1)</x:f>
        <x:v>0</x:v>
      </x:c>
      <x:c r="AC1013" t="str">
        <x:f>IF(OR(AA1013="",AB1013=""),"",--(AA1013&lt;&gt;AB1013))</x:f>
      </x:c>
      <x:c r="AE1013" t="str">
        <x:f>IF(OR(AA1013="",AB1013=""),"PENDING_HUMAN",IF(AA1013=AB1013,AA1013,IF(AD1013&lt;&gt;"",AD1013,"PENDING_HUMAN")))</x:f>
        <x:v>PENDING_HUMAN</x:v>
      </x:c>
      <x:c r="AF1013" t="n">
        <x:f>--AND(A1013&lt;&gt;"",AA1013&lt;&gt;"",AB1013&lt;&gt;"",OR(AA1013=AB1013,AD1013&lt;&gt;""),IF(AE1013="HALLUCINATION",U1013&lt;&gt;"",TRUE))</x:f>
        <x:v>0</x:v>
      </x:c>
      <x:c r="AG1013" t="n">
        <x:f>--AND(N1013=1,AF1013=1,OR(AE1013="SUPPORTED",AE1013="HALLUCINATION"))</x:f>
        <x:v>0</x:v>
      </x:c>
      <x:c r="AH1013" t="n">
        <x:f>--AND(AG1013=1,AE1013="HALLUCINATION")</x:f>
        <x:v>0</x:v>
      </x:c>
      <x:c r="AI1013" t="n">
        <x:f>--AND(Q1013=1,AF1013=1,AE1013="HALLUCINATION")</x:f>
        <x:v>0</x:v>
      </x:c>
      <x:c r="AJ1013" t="n">
        <x:f>--AND(AI1013=1,R1013=1,S1013=1)</x:f>
        <x:v>0</x:v>
      </x:c>
    </x:row>
    <x:row r="1014">
      <x:c r="A1014" s="28"/>
      <x:c r="B1014" s="28"/>
      <x:c r="C1014" s="28"/>
      <x:c r="D1014" s="28"/>
      <x:c r="E1014" s="28"/>
      <x:c r="F1014" s="28"/>
      <x:c r="G1014" s="28"/>
      <x:c r="H1014" s="28"/>
      <x:c r="I1014" s="28"/>
      <x:c r="J1014" s="28"/>
      <x:c r="K1014" s="28"/>
      <x:c r="L1014" s="28"/>
      <x:c r="M1014" s="28"/>
      <x:c r="N1014" s="28"/>
      <x:c r="O1014" s="28"/>
      <x:c r="P1014" s="28"/>
      <x:c r="Q1014" s="28"/>
      <x:c r="R1014" s="28"/>
      <x:c r="S1014" s="28"/>
      <x:c r="T1014" s="28"/>
      <x:c r="U1014" s="28"/>
      <x:c r="V1014" s="28"/>
      <x:c r="W1014" s="43" t="n">
        <x:f>--AND(N1014=1,OR(O1014="SUPPORTED",O1014="HALLUCINATION"))</x:f>
        <x:v>0</x:v>
      </x:c>
      <x:c r="X1014" s="43" t="n">
        <x:f>--AND(W1014=1,O1014="HALLUCINATION")</x:f>
        <x:v>0</x:v>
      </x:c>
      <x:c r="Y1014" s="43" t="n">
        <x:f>--AND(Q1014=1,O1014="HALLUCINATION")</x:f>
        <x:v>0</x:v>
      </x:c>
      <x:c r="Z1014" s="43" t="n">
        <x:f>--AND(Y1014=1,R1014=1,S1014=1)</x:f>
        <x:v>0</x:v>
      </x:c>
      <x:c r="AC1014" t="str">
        <x:f>IF(OR(AA1014="",AB1014=""),"",--(AA1014&lt;&gt;AB1014))</x:f>
      </x:c>
      <x:c r="AE1014" t="str">
        <x:f>IF(OR(AA1014="",AB1014=""),"PENDING_HUMAN",IF(AA1014=AB1014,AA1014,IF(AD1014&lt;&gt;"",AD1014,"PENDING_HUMAN")))</x:f>
        <x:v>PENDING_HUMAN</x:v>
      </x:c>
      <x:c r="AF1014" t="n">
        <x:f>--AND(A1014&lt;&gt;"",AA1014&lt;&gt;"",AB1014&lt;&gt;"",OR(AA1014=AB1014,AD1014&lt;&gt;""),IF(AE1014="HALLUCINATION",U1014&lt;&gt;"",TRUE))</x:f>
        <x:v>0</x:v>
      </x:c>
      <x:c r="AG1014" t="n">
        <x:f>--AND(N1014=1,AF1014=1,OR(AE1014="SUPPORTED",AE1014="HALLUCINATION"))</x:f>
        <x:v>0</x:v>
      </x:c>
      <x:c r="AH1014" t="n">
        <x:f>--AND(AG1014=1,AE1014="HALLUCINATION")</x:f>
        <x:v>0</x:v>
      </x:c>
      <x:c r="AI1014" t="n">
        <x:f>--AND(Q1014=1,AF1014=1,AE1014="HALLUCINATION")</x:f>
        <x:v>0</x:v>
      </x:c>
      <x:c r="AJ1014" t="n">
        <x:f>--AND(AI1014=1,R1014=1,S1014=1)</x:f>
        <x:v>0</x:v>
      </x:c>
    </x:row>
    <x:row r="1015">
      <x:c r="A1015" s="28"/>
      <x:c r="B1015" s="28"/>
      <x:c r="C1015" s="28"/>
      <x:c r="D1015" s="28"/>
      <x:c r="E1015" s="28"/>
      <x:c r="F1015" s="28"/>
      <x:c r="G1015" s="28"/>
      <x:c r="H1015" s="28"/>
      <x:c r="I1015" s="28"/>
      <x:c r="J1015" s="28"/>
      <x:c r="K1015" s="28"/>
      <x:c r="L1015" s="28"/>
      <x:c r="M1015" s="28"/>
      <x:c r="N1015" s="28"/>
      <x:c r="O1015" s="28"/>
      <x:c r="P1015" s="28"/>
      <x:c r="Q1015" s="28"/>
      <x:c r="R1015" s="28"/>
      <x:c r="S1015" s="28"/>
      <x:c r="T1015" s="28"/>
      <x:c r="U1015" s="28"/>
      <x:c r="V1015" s="28"/>
      <x:c r="W1015" s="43" t="n">
        <x:f>--AND(N1015=1,OR(O1015="SUPPORTED",O1015="HALLUCINATION"))</x:f>
        <x:v>0</x:v>
      </x:c>
      <x:c r="X1015" s="43" t="n">
        <x:f>--AND(W1015=1,O1015="HALLUCINATION")</x:f>
        <x:v>0</x:v>
      </x:c>
      <x:c r="Y1015" s="43" t="n">
        <x:f>--AND(Q1015=1,O1015="HALLUCINATION")</x:f>
        <x:v>0</x:v>
      </x:c>
      <x:c r="Z1015" s="43" t="n">
        <x:f>--AND(Y1015=1,R1015=1,S1015=1)</x:f>
        <x:v>0</x:v>
      </x:c>
      <x:c r="AC1015" t="str">
        <x:f>IF(OR(AA1015="",AB1015=""),"",--(AA1015&lt;&gt;AB1015))</x:f>
      </x:c>
      <x:c r="AE1015" t="str">
        <x:f>IF(OR(AA1015="",AB1015=""),"PENDING_HUMAN",IF(AA1015=AB1015,AA1015,IF(AD1015&lt;&gt;"",AD1015,"PENDING_HUMAN")))</x:f>
        <x:v>PENDING_HUMAN</x:v>
      </x:c>
      <x:c r="AF1015" t="n">
        <x:f>--AND(A1015&lt;&gt;"",AA1015&lt;&gt;"",AB1015&lt;&gt;"",OR(AA1015=AB1015,AD1015&lt;&gt;""),IF(AE1015="HALLUCINATION",U1015&lt;&gt;"",TRUE))</x:f>
        <x:v>0</x:v>
      </x:c>
      <x:c r="AG1015" t="n">
        <x:f>--AND(N1015=1,AF1015=1,OR(AE1015="SUPPORTED",AE1015="HALLUCINATION"))</x:f>
        <x:v>0</x:v>
      </x:c>
      <x:c r="AH1015" t="n">
        <x:f>--AND(AG1015=1,AE1015="HALLUCINATION")</x:f>
        <x:v>0</x:v>
      </x:c>
      <x:c r="AI1015" t="n">
        <x:f>--AND(Q1015=1,AF1015=1,AE1015="HALLUCINATION")</x:f>
        <x:v>0</x:v>
      </x:c>
      <x:c r="AJ1015" t="n">
        <x:f>--AND(AI1015=1,R1015=1,S1015=1)</x:f>
        <x:v>0</x:v>
      </x:c>
    </x:row>
    <x:row r="1016">
      <x:c r="A1016" s="28"/>
      <x:c r="B1016" s="28"/>
      <x:c r="C1016" s="28"/>
      <x:c r="D1016" s="28"/>
      <x:c r="E1016" s="28"/>
      <x:c r="F1016" s="28"/>
      <x:c r="G1016" s="28"/>
      <x:c r="H1016" s="28"/>
      <x:c r="I1016" s="28"/>
      <x:c r="J1016" s="28"/>
      <x:c r="K1016" s="28"/>
      <x:c r="L1016" s="28"/>
      <x:c r="M1016" s="28"/>
      <x:c r="N1016" s="28"/>
      <x:c r="O1016" s="28"/>
      <x:c r="P1016" s="28"/>
      <x:c r="Q1016" s="28"/>
      <x:c r="R1016" s="28"/>
      <x:c r="S1016" s="28"/>
      <x:c r="T1016" s="28"/>
      <x:c r="U1016" s="28"/>
      <x:c r="V1016" s="28"/>
      <x:c r="W1016" s="43" t="n">
        <x:f>--AND(N1016=1,OR(O1016="SUPPORTED",O1016="HALLUCINATION"))</x:f>
        <x:v>0</x:v>
      </x:c>
      <x:c r="X1016" s="43" t="n">
        <x:f>--AND(W1016=1,O1016="HALLUCINATION")</x:f>
        <x:v>0</x:v>
      </x:c>
      <x:c r="Y1016" s="43" t="n">
        <x:f>--AND(Q1016=1,O1016="HALLUCINATION")</x:f>
        <x:v>0</x:v>
      </x:c>
      <x:c r="Z1016" s="43" t="n">
        <x:f>--AND(Y1016=1,R1016=1,S1016=1)</x:f>
        <x:v>0</x:v>
      </x:c>
      <x:c r="AC1016" t="str">
        <x:f>IF(OR(AA1016="",AB1016=""),"",--(AA1016&lt;&gt;AB1016))</x:f>
      </x:c>
      <x:c r="AE1016" t="str">
        <x:f>IF(OR(AA1016="",AB1016=""),"PENDING_HUMAN",IF(AA1016=AB1016,AA1016,IF(AD1016&lt;&gt;"",AD1016,"PENDING_HUMAN")))</x:f>
        <x:v>PENDING_HUMAN</x:v>
      </x:c>
      <x:c r="AF1016" t="n">
        <x:f>--AND(A1016&lt;&gt;"",AA1016&lt;&gt;"",AB1016&lt;&gt;"",OR(AA1016=AB1016,AD1016&lt;&gt;""),IF(AE1016="HALLUCINATION",U1016&lt;&gt;"",TRUE))</x:f>
        <x:v>0</x:v>
      </x:c>
      <x:c r="AG1016" t="n">
        <x:f>--AND(N1016=1,AF1016=1,OR(AE1016="SUPPORTED",AE1016="HALLUCINATION"))</x:f>
        <x:v>0</x:v>
      </x:c>
      <x:c r="AH1016" t="n">
        <x:f>--AND(AG1016=1,AE1016="HALLUCINATION")</x:f>
        <x:v>0</x:v>
      </x:c>
      <x:c r="AI1016" t="n">
        <x:f>--AND(Q1016=1,AF1016=1,AE1016="HALLUCINATION")</x:f>
        <x:v>0</x:v>
      </x:c>
      <x:c r="AJ1016" t="n">
        <x:f>--AND(AI1016=1,R1016=1,S1016=1)</x:f>
        <x:v>0</x:v>
      </x:c>
    </x:row>
    <x:row r="1017">
      <x:c r="A1017" s="28"/>
      <x:c r="B1017" s="28"/>
      <x:c r="C1017" s="28"/>
      <x:c r="D1017" s="28"/>
      <x:c r="E1017" s="28"/>
      <x:c r="F1017" s="28"/>
      <x:c r="G1017" s="28"/>
      <x:c r="H1017" s="28"/>
      <x:c r="I1017" s="28"/>
      <x:c r="J1017" s="28"/>
      <x:c r="K1017" s="28"/>
      <x:c r="L1017" s="28"/>
      <x:c r="M1017" s="28"/>
      <x:c r="N1017" s="28"/>
      <x:c r="O1017" s="28"/>
      <x:c r="P1017" s="28"/>
      <x:c r="Q1017" s="28"/>
      <x:c r="R1017" s="28"/>
      <x:c r="S1017" s="28"/>
      <x:c r="T1017" s="28"/>
      <x:c r="U1017" s="28"/>
      <x:c r="V1017" s="28"/>
      <x:c r="W1017" s="43" t="n">
        <x:f>--AND(N1017=1,OR(O1017="SUPPORTED",O1017="HALLUCINATION"))</x:f>
        <x:v>0</x:v>
      </x:c>
      <x:c r="X1017" s="43" t="n">
        <x:f>--AND(W1017=1,O1017="HALLUCINATION")</x:f>
        <x:v>0</x:v>
      </x:c>
      <x:c r="Y1017" s="43" t="n">
        <x:f>--AND(Q1017=1,O1017="HALLUCINATION")</x:f>
        <x:v>0</x:v>
      </x:c>
      <x:c r="Z1017" s="43" t="n">
        <x:f>--AND(Y1017=1,R1017=1,S1017=1)</x:f>
        <x:v>0</x:v>
      </x:c>
      <x:c r="AC1017" t="str">
        <x:f>IF(OR(AA1017="",AB1017=""),"",--(AA1017&lt;&gt;AB1017))</x:f>
      </x:c>
      <x:c r="AE1017" t="str">
        <x:f>IF(OR(AA1017="",AB1017=""),"PENDING_HUMAN",IF(AA1017=AB1017,AA1017,IF(AD1017&lt;&gt;"",AD1017,"PENDING_HUMAN")))</x:f>
        <x:v>PENDING_HUMAN</x:v>
      </x:c>
      <x:c r="AF1017" t="n">
        <x:f>--AND(A1017&lt;&gt;"",AA1017&lt;&gt;"",AB1017&lt;&gt;"",OR(AA1017=AB1017,AD1017&lt;&gt;""),IF(AE1017="HALLUCINATION",U1017&lt;&gt;"",TRUE))</x:f>
        <x:v>0</x:v>
      </x:c>
      <x:c r="AG1017" t="n">
        <x:f>--AND(N1017=1,AF1017=1,OR(AE1017="SUPPORTED",AE1017="HALLUCINATION"))</x:f>
        <x:v>0</x:v>
      </x:c>
      <x:c r="AH1017" t="n">
        <x:f>--AND(AG1017=1,AE1017="HALLUCINATION")</x:f>
        <x:v>0</x:v>
      </x:c>
      <x:c r="AI1017" t="n">
        <x:f>--AND(Q1017=1,AF1017=1,AE1017="HALLUCINATION")</x:f>
        <x:v>0</x:v>
      </x:c>
      <x:c r="AJ1017" t="n">
        <x:f>--AND(AI1017=1,R1017=1,S1017=1)</x:f>
        <x:v>0</x:v>
      </x:c>
    </x:row>
    <x:row r="1018">
      <x:c r="A1018" s="28"/>
      <x:c r="B1018" s="28"/>
      <x:c r="C1018" s="28"/>
      <x:c r="D1018" s="28"/>
      <x:c r="E1018" s="28"/>
      <x:c r="F1018" s="28"/>
      <x:c r="G1018" s="28"/>
      <x:c r="H1018" s="28"/>
      <x:c r="I1018" s="28"/>
      <x:c r="J1018" s="28"/>
      <x:c r="K1018" s="28"/>
      <x:c r="L1018" s="28"/>
      <x:c r="M1018" s="28"/>
      <x:c r="N1018" s="28"/>
      <x:c r="O1018" s="28"/>
      <x:c r="P1018" s="28"/>
      <x:c r="Q1018" s="28"/>
      <x:c r="R1018" s="28"/>
      <x:c r="S1018" s="28"/>
      <x:c r="T1018" s="28"/>
      <x:c r="U1018" s="28"/>
      <x:c r="V1018" s="28"/>
      <x:c r="W1018" s="43" t="n">
        <x:f>--AND(N1018=1,OR(O1018="SUPPORTED",O1018="HALLUCINATION"))</x:f>
        <x:v>0</x:v>
      </x:c>
      <x:c r="X1018" s="43" t="n">
        <x:f>--AND(W1018=1,O1018="HALLUCINATION")</x:f>
        <x:v>0</x:v>
      </x:c>
      <x:c r="Y1018" s="43" t="n">
        <x:f>--AND(Q1018=1,O1018="HALLUCINATION")</x:f>
        <x:v>0</x:v>
      </x:c>
      <x:c r="Z1018" s="43" t="n">
        <x:f>--AND(Y1018=1,R1018=1,S1018=1)</x:f>
        <x:v>0</x:v>
      </x:c>
      <x:c r="AC1018" t="str">
        <x:f>IF(OR(AA1018="",AB1018=""),"",--(AA1018&lt;&gt;AB1018))</x:f>
      </x:c>
      <x:c r="AE1018" t="str">
        <x:f>IF(OR(AA1018="",AB1018=""),"PENDING_HUMAN",IF(AA1018=AB1018,AA1018,IF(AD1018&lt;&gt;"",AD1018,"PENDING_HUMAN")))</x:f>
        <x:v>PENDING_HUMAN</x:v>
      </x:c>
      <x:c r="AF1018" t="n">
        <x:f>--AND(A1018&lt;&gt;"",AA1018&lt;&gt;"",AB1018&lt;&gt;"",OR(AA1018=AB1018,AD1018&lt;&gt;""),IF(AE1018="HALLUCINATION",U1018&lt;&gt;"",TRUE))</x:f>
        <x:v>0</x:v>
      </x:c>
      <x:c r="AG1018" t="n">
        <x:f>--AND(N1018=1,AF1018=1,OR(AE1018="SUPPORTED",AE1018="HALLUCINATION"))</x:f>
        <x:v>0</x:v>
      </x:c>
      <x:c r="AH1018" t="n">
        <x:f>--AND(AG1018=1,AE1018="HALLUCINATION")</x:f>
        <x:v>0</x:v>
      </x:c>
      <x:c r="AI1018" t="n">
        <x:f>--AND(Q1018=1,AF1018=1,AE1018="HALLUCINATION")</x:f>
        <x:v>0</x:v>
      </x:c>
      <x:c r="AJ1018" t="n">
        <x:f>--AND(AI1018=1,R1018=1,S1018=1)</x:f>
        <x:v>0</x:v>
      </x:c>
    </x:row>
    <x:row r="1019">
      <x:c r="A1019" s="28"/>
      <x:c r="B1019" s="28"/>
      <x:c r="C1019" s="28"/>
      <x:c r="D1019" s="28"/>
      <x:c r="E1019" s="28"/>
      <x:c r="F1019" s="28"/>
      <x:c r="G1019" s="28"/>
      <x:c r="H1019" s="28"/>
      <x:c r="I1019" s="28"/>
      <x:c r="J1019" s="28"/>
      <x:c r="K1019" s="28"/>
      <x:c r="L1019" s="28"/>
      <x:c r="M1019" s="28"/>
      <x:c r="N1019" s="28"/>
      <x:c r="O1019" s="28"/>
      <x:c r="P1019" s="28"/>
      <x:c r="Q1019" s="28"/>
      <x:c r="R1019" s="28"/>
      <x:c r="S1019" s="28"/>
      <x:c r="T1019" s="28"/>
      <x:c r="U1019" s="28"/>
      <x:c r="V1019" s="28"/>
      <x:c r="W1019" s="43" t="n">
        <x:f>--AND(N1019=1,OR(O1019="SUPPORTED",O1019="HALLUCINATION"))</x:f>
        <x:v>0</x:v>
      </x:c>
      <x:c r="X1019" s="43" t="n">
        <x:f>--AND(W1019=1,O1019="HALLUCINATION")</x:f>
        <x:v>0</x:v>
      </x:c>
      <x:c r="Y1019" s="43" t="n">
        <x:f>--AND(Q1019=1,O1019="HALLUCINATION")</x:f>
        <x:v>0</x:v>
      </x:c>
      <x:c r="Z1019" s="43" t="n">
        <x:f>--AND(Y1019=1,R1019=1,S1019=1)</x:f>
        <x:v>0</x:v>
      </x:c>
      <x:c r="AC1019" t="str">
        <x:f>IF(OR(AA1019="",AB1019=""),"",--(AA1019&lt;&gt;AB1019))</x:f>
      </x:c>
      <x:c r="AE1019" t="str">
        <x:f>IF(OR(AA1019="",AB1019=""),"PENDING_HUMAN",IF(AA1019=AB1019,AA1019,IF(AD1019&lt;&gt;"",AD1019,"PENDING_HUMAN")))</x:f>
        <x:v>PENDING_HUMAN</x:v>
      </x:c>
      <x:c r="AF1019" t="n">
        <x:f>--AND(A1019&lt;&gt;"",AA1019&lt;&gt;"",AB1019&lt;&gt;"",OR(AA1019=AB1019,AD1019&lt;&gt;""),IF(AE1019="HALLUCINATION",U1019&lt;&gt;"",TRUE))</x:f>
        <x:v>0</x:v>
      </x:c>
      <x:c r="AG1019" t="n">
        <x:f>--AND(N1019=1,AF1019=1,OR(AE1019="SUPPORTED",AE1019="HALLUCINATION"))</x:f>
        <x:v>0</x:v>
      </x:c>
      <x:c r="AH1019" t="n">
        <x:f>--AND(AG1019=1,AE1019="HALLUCINATION")</x:f>
        <x:v>0</x:v>
      </x:c>
      <x:c r="AI1019" t="n">
        <x:f>--AND(Q1019=1,AF1019=1,AE1019="HALLUCINATION")</x:f>
        <x:v>0</x:v>
      </x:c>
      <x:c r="AJ1019" t="n">
        <x:f>--AND(AI1019=1,R1019=1,S1019=1)</x:f>
        <x:v>0</x:v>
      </x:c>
    </x:row>
    <x:row r="1020">
      <x:c r="A1020" s="28"/>
      <x:c r="B1020" s="28"/>
      <x:c r="C1020" s="28"/>
      <x:c r="D1020" s="28"/>
      <x:c r="E1020" s="28"/>
      <x:c r="F1020" s="28"/>
      <x:c r="G1020" s="28"/>
      <x:c r="H1020" s="28"/>
      <x:c r="I1020" s="28"/>
      <x:c r="J1020" s="28"/>
      <x:c r="K1020" s="28"/>
      <x:c r="L1020" s="28"/>
      <x:c r="M1020" s="28"/>
      <x:c r="N1020" s="28"/>
      <x:c r="O1020" s="28"/>
      <x:c r="P1020" s="28"/>
      <x:c r="Q1020" s="28"/>
      <x:c r="R1020" s="28"/>
      <x:c r="S1020" s="28"/>
      <x:c r="T1020" s="28"/>
      <x:c r="U1020" s="28"/>
      <x:c r="V1020" s="28"/>
      <x:c r="W1020" s="43" t="n">
        <x:f>--AND(N1020=1,OR(O1020="SUPPORTED",O1020="HALLUCINATION"))</x:f>
        <x:v>0</x:v>
      </x:c>
      <x:c r="X1020" s="43" t="n">
        <x:f>--AND(W1020=1,O1020="HALLUCINATION")</x:f>
        <x:v>0</x:v>
      </x:c>
      <x:c r="Y1020" s="43" t="n">
        <x:f>--AND(Q1020=1,O1020="HALLUCINATION")</x:f>
        <x:v>0</x:v>
      </x:c>
      <x:c r="Z1020" s="43" t="n">
        <x:f>--AND(Y1020=1,R1020=1,S1020=1)</x:f>
        <x:v>0</x:v>
      </x:c>
      <x:c r="AC1020" t="str">
        <x:f>IF(OR(AA1020="",AB1020=""),"",--(AA1020&lt;&gt;AB1020))</x:f>
      </x:c>
      <x:c r="AE1020" t="str">
        <x:f>IF(OR(AA1020="",AB1020=""),"PENDING_HUMAN",IF(AA1020=AB1020,AA1020,IF(AD1020&lt;&gt;"",AD1020,"PENDING_HUMAN")))</x:f>
        <x:v>PENDING_HUMAN</x:v>
      </x:c>
      <x:c r="AF1020" t="n">
        <x:f>--AND(A1020&lt;&gt;"",AA1020&lt;&gt;"",AB1020&lt;&gt;"",OR(AA1020=AB1020,AD1020&lt;&gt;""),IF(AE1020="HALLUCINATION",U1020&lt;&gt;"",TRUE))</x:f>
        <x:v>0</x:v>
      </x:c>
      <x:c r="AG1020" t="n">
        <x:f>--AND(N1020=1,AF1020=1,OR(AE1020="SUPPORTED",AE1020="HALLUCINATION"))</x:f>
        <x:v>0</x:v>
      </x:c>
      <x:c r="AH1020" t="n">
        <x:f>--AND(AG1020=1,AE1020="HALLUCINATION")</x:f>
        <x:v>0</x:v>
      </x:c>
      <x:c r="AI1020" t="n">
        <x:f>--AND(Q1020=1,AF1020=1,AE1020="HALLUCINATION")</x:f>
        <x:v>0</x:v>
      </x:c>
      <x:c r="AJ1020" t="n">
        <x:f>--AND(AI1020=1,R1020=1,S1020=1)</x:f>
        <x:v>0</x:v>
      </x:c>
    </x:row>
    <x:row r="1021">
      <x:c r="A1021" s="28"/>
      <x:c r="B1021" s="28"/>
      <x:c r="C1021" s="28"/>
      <x:c r="D1021" s="28"/>
      <x:c r="E1021" s="28"/>
      <x:c r="F1021" s="28"/>
      <x:c r="G1021" s="28"/>
      <x:c r="H1021" s="28"/>
      <x:c r="I1021" s="28"/>
      <x:c r="J1021" s="28"/>
      <x:c r="K1021" s="28"/>
      <x:c r="L1021" s="28"/>
      <x:c r="M1021" s="28"/>
      <x:c r="N1021" s="28"/>
      <x:c r="O1021" s="28"/>
      <x:c r="P1021" s="28"/>
      <x:c r="Q1021" s="28"/>
      <x:c r="R1021" s="28"/>
      <x:c r="S1021" s="28"/>
      <x:c r="T1021" s="28"/>
      <x:c r="U1021" s="28"/>
      <x:c r="V1021" s="28"/>
      <x:c r="W1021" s="43" t="n">
        <x:f>--AND(N1021=1,OR(O1021="SUPPORTED",O1021="HALLUCINATION"))</x:f>
        <x:v>0</x:v>
      </x:c>
      <x:c r="X1021" s="43" t="n">
        <x:f>--AND(W1021=1,O1021="HALLUCINATION")</x:f>
        <x:v>0</x:v>
      </x:c>
      <x:c r="Y1021" s="43" t="n">
        <x:f>--AND(Q1021=1,O1021="HALLUCINATION")</x:f>
        <x:v>0</x:v>
      </x:c>
      <x:c r="Z1021" s="43" t="n">
        <x:f>--AND(Y1021=1,R1021=1,S1021=1)</x:f>
        <x:v>0</x:v>
      </x:c>
      <x:c r="AC1021" t="str">
        <x:f>IF(OR(AA1021="",AB1021=""),"",--(AA1021&lt;&gt;AB1021))</x:f>
      </x:c>
      <x:c r="AE1021" t="str">
        <x:f>IF(OR(AA1021="",AB1021=""),"PENDING_HUMAN",IF(AA1021=AB1021,AA1021,IF(AD1021&lt;&gt;"",AD1021,"PENDING_HUMAN")))</x:f>
        <x:v>PENDING_HUMAN</x:v>
      </x:c>
      <x:c r="AF1021" t="n">
        <x:f>--AND(A1021&lt;&gt;"",AA1021&lt;&gt;"",AB1021&lt;&gt;"",OR(AA1021=AB1021,AD1021&lt;&gt;""),IF(AE1021="HALLUCINATION",U1021&lt;&gt;"",TRUE))</x:f>
        <x:v>0</x:v>
      </x:c>
      <x:c r="AG1021" t="n">
        <x:f>--AND(N1021=1,AF1021=1,OR(AE1021="SUPPORTED",AE1021="HALLUCINATION"))</x:f>
        <x:v>0</x:v>
      </x:c>
      <x:c r="AH1021" t="n">
        <x:f>--AND(AG1021=1,AE1021="HALLUCINATION")</x:f>
        <x:v>0</x:v>
      </x:c>
      <x:c r="AI1021" t="n">
        <x:f>--AND(Q1021=1,AF1021=1,AE1021="HALLUCINATION")</x:f>
        <x:v>0</x:v>
      </x:c>
      <x:c r="AJ1021" t="n">
        <x:f>--AND(AI1021=1,R1021=1,S1021=1)</x:f>
        <x:v>0</x:v>
      </x:c>
    </x:row>
    <x:row r="1022">
      <x:c r="A1022" s="28"/>
      <x:c r="B1022" s="28"/>
      <x:c r="C1022" s="28"/>
      <x:c r="D1022" s="28"/>
      <x:c r="E1022" s="28"/>
      <x:c r="F1022" s="28"/>
      <x:c r="G1022" s="28"/>
      <x:c r="H1022" s="28"/>
      <x:c r="I1022" s="28"/>
      <x:c r="J1022" s="28"/>
      <x:c r="K1022" s="28"/>
      <x:c r="L1022" s="28"/>
      <x:c r="M1022" s="28"/>
      <x:c r="N1022" s="28"/>
      <x:c r="O1022" s="28"/>
      <x:c r="P1022" s="28"/>
      <x:c r="Q1022" s="28"/>
      <x:c r="R1022" s="28"/>
      <x:c r="S1022" s="28"/>
      <x:c r="T1022" s="28"/>
      <x:c r="U1022" s="28"/>
      <x:c r="V1022" s="28"/>
      <x:c r="W1022" s="43" t="n">
        <x:f>--AND(N1022=1,OR(O1022="SUPPORTED",O1022="HALLUCINATION"))</x:f>
        <x:v>0</x:v>
      </x:c>
      <x:c r="X1022" s="43" t="n">
        <x:f>--AND(W1022=1,O1022="HALLUCINATION")</x:f>
        <x:v>0</x:v>
      </x:c>
      <x:c r="Y1022" s="43" t="n">
        <x:f>--AND(Q1022=1,O1022="HALLUCINATION")</x:f>
        <x:v>0</x:v>
      </x:c>
      <x:c r="Z1022" s="43" t="n">
        <x:f>--AND(Y1022=1,R1022=1,S1022=1)</x:f>
        <x:v>0</x:v>
      </x:c>
      <x:c r="AC1022" t="str">
        <x:f>IF(OR(AA1022="",AB1022=""),"",--(AA1022&lt;&gt;AB1022))</x:f>
      </x:c>
      <x:c r="AE1022" t="str">
        <x:f>IF(OR(AA1022="",AB1022=""),"PENDING_HUMAN",IF(AA1022=AB1022,AA1022,IF(AD1022&lt;&gt;"",AD1022,"PENDING_HUMAN")))</x:f>
        <x:v>PENDING_HUMAN</x:v>
      </x:c>
      <x:c r="AF1022" t="n">
        <x:f>--AND(A1022&lt;&gt;"",AA1022&lt;&gt;"",AB1022&lt;&gt;"",OR(AA1022=AB1022,AD1022&lt;&gt;""),IF(AE1022="HALLUCINATION",U1022&lt;&gt;"",TRUE))</x:f>
        <x:v>0</x:v>
      </x:c>
      <x:c r="AG1022" t="n">
        <x:f>--AND(N1022=1,AF1022=1,OR(AE1022="SUPPORTED",AE1022="HALLUCINATION"))</x:f>
        <x:v>0</x:v>
      </x:c>
      <x:c r="AH1022" t="n">
        <x:f>--AND(AG1022=1,AE1022="HALLUCINATION")</x:f>
        <x:v>0</x:v>
      </x:c>
      <x:c r="AI1022" t="n">
        <x:f>--AND(Q1022=1,AF1022=1,AE1022="HALLUCINATION")</x:f>
        <x:v>0</x:v>
      </x:c>
      <x:c r="AJ1022" t="n">
        <x:f>--AND(AI1022=1,R1022=1,S1022=1)</x:f>
        <x:v>0</x:v>
      </x:c>
    </x:row>
    <x:row r="1023">
      <x:c r="A1023" s="28"/>
      <x:c r="B1023" s="28"/>
      <x:c r="C1023" s="28"/>
      <x:c r="D1023" s="28"/>
      <x:c r="E1023" s="28"/>
      <x:c r="F1023" s="28"/>
      <x:c r="G1023" s="28"/>
      <x:c r="H1023" s="28"/>
      <x:c r="I1023" s="28"/>
      <x:c r="J1023" s="28"/>
      <x:c r="K1023" s="28"/>
      <x:c r="L1023" s="28"/>
      <x:c r="M1023" s="28"/>
      <x:c r="N1023" s="28"/>
      <x:c r="O1023" s="28"/>
      <x:c r="P1023" s="28"/>
      <x:c r="Q1023" s="28"/>
      <x:c r="R1023" s="28"/>
      <x:c r="S1023" s="28"/>
      <x:c r="T1023" s="28"/>
      <x:c r="U1023" s="28"/>
      <x:c r="V1023" s="28"/>
      <x:c r="W1023" s="43" t="n">
        <x:f>--AND(N1023=1,OR(O1023="SUPPORTED",O1023="HALLUCINATION"))</x:f>
        <x:v>0</x:v>
      </x:c>
      <x:c r="X1023" s="43" t="n">
        <x:f>--AND(W1023=1,O1023="HALLUCINATION")</x:f>
        <x:v>0</x:v>
      </x:c>
      <x:c r="Y1023" s="43" t="n">
        <x:f>--AND(Q1023=1,O1023="HALLUCINATION")</x:f>
        <x:v>0</x:v>
      </x:c>
      <x:c r="Z1023" s="43" t="n">
        <x:f>--AND(Y1023=1,R1023=1,S1023=1)</x:f>
        <x:v>0</x:v>
      </x:c>
      <x:c r="AC1023" t="str">
        <x:f>IF(OR(AA1023="",AB1023=""),"",--(AA1023&lt;&gt;AB1023))</x:f>
      </x:c>
      <x:c r="AE1023" t="str">
        <x:f>IF(OR(AA1023="",AB1023=""),"PENDING_HUMAN",IF(AA1023=AB1023,AA1023,IF(AD1023&lt;&gt;"",AD1023,"PENDING_HUMAN")))</x:f>
        <x:v>PENDING_HUMAN</x:v>
      </x:c>
      <x:c r="AF1023" t="n">
        <x:f>--AND(A1023&lt;&gt;"",AA1023&lt;&gt;"",AB1023&lt;&gt;"",OR(AA1023=AB1023,AD1023&lt;&gt;""),IF(AE1023="HALLUCINATION",U1023&lt;&gt;"",TRUE))</x:f>
        <x:v>0</x:v>
      </x:c>
      <x:c r="AG1023" t="n">
        <x:f>--AND(N1023=1,AF1023=1,OR(AE1023="SUPPORTED",AE1023="HALLUCINATION"))</x:f>
        <x:v>0</x:v>
      </x:c>
      <x:c r="AH1023" t="n">
        <x:f>--AND(AG1023=1,AE1023="HALLUCINATION")</x:f>
        <x:v>0</x:v>
      </x:c>
      <x:c r="AI1023" t="n">
        <x:f>--AND(Q1023=1,AF1023=1,AE1023="HALLUCINATION")</x:f>
        <x:v>0</x:v>
      </x:c>
      <x:c r="AJ1023" t="n">
        <x:f>--AND(AI1023=1,R1023=1,S1023=1)</x:f>
        <x:v>0</x:v>
      </x:c>
    </x:row>
    <x:row r="1024">
      <x:c r="A1024" s="28"/>
      <x:c r="B1024" s="28"/>
      <x:c r="C1024" s="28"/>
      <x:c r="D1024" s="28"/>
      <x:c r="E1024" s="28"/>
      <x:c r="F1024" s="28"/>
      <x:c r="G1024" s="28"/>
      <x:c r="H1024" s="28"/>
      <x:c r="I1024" s="28"/>
      <x:c r="J1024" s="28"/>
      <x:c r="K1024" s="28"/>
      <x:c r="L1024" s="28"/>
      <x:c r="M1024" s="28"/>
      <x:c r="N1024" s="28"/>
      <x:c r="O1024" s="28"/>
      <x:c r="P1024" s="28"/>
      <x:c r="Q1024" s="28"/>
      <x:c r="R1024" s="28"/>
      <x:c r="S1024" s="28"/>
      <x:c r="T1024" s="28"/>
      <x:c r="U1024" s="28"/>
      <x:c r="V1024" s="28"/>
      <x:c r="W1024" s="43" t="n">
        <x:f>--AND(N1024=1,OR(O1024="SUPPORTED",O1024="HALLUCINATION"))</x:f>
        <x:v>0</x:v>
      </x:c>
      <x:c r="X1024" s="43" t="n">
        <x:f>--AND(W1024=1,O1024="HALLUCINATION")</x:f>
        <x:v>0</x:v>
      </x:c>
      <x:c r="Y1024" s="43" t="n">
        <x:f>--AND(Q1024=1,O1024="HALLUCINATION")</x:f>
        <x:v>0</x:v>
      </x:c>
      <x:c r="Z1024" s="43" t="n">
        <x:f>--AND(Y1024=1,R1024=1,S1024=1)</x:f>
        <x:v>0</x:v>
      </x:c>
      <x:c r="AC1024" t="str">
        <x:f>IF(OR(AA1024="",AB1024=""),"",--(AA1024&lt;&gt;AB1024))</x:f>
      </x:c>
      <x:c r="AE1024" t="str">
        <x:f>IF(OR(AA1024="",AB1024=""),"PENDING_HUMAN",IF(AA1024=AB1024,AA1024,IF(AD1024&lt;&gt;"",AD1024,"PENDING_HUMAN")))</x:f>
        <x:v>PENDING_HUMAN</x:v>
      </x:c>
      <x:c r="AF1024" t="n">
        <x:f>--AND(A1024&lt;&gt;"",AA1024&lt;&gt;"",AB1024&lt;&gt;"",OR(AA1024=AB1024,AD1024&lt;&gt;""),IF(AE1024="HALLUCINATION",U1024&lt;&gt;"",TRUE))</x:f>
        <x:v>0</x:v>
      </x:c>
      <x:c r="AG1024" t="n">
        <x:f>--AND(N1024=1,AF1024=1,OR(AE1024="SUPPORTED",AE1024="HALLUCINATION"))</x:f>
        <x:v>0</x:v>
      </x:c>
      <x:c r="AH1024" t="n">
        <x:f>--AND(AG1024=1,AE1024="HALLUCINATION")</x:f>
        <x:v>0</x:v>
      </x:c>
      <x:c r="AI1024" t="n">
        <x:f>--AND(Q1024=1,AF1024=1,AE1024="HALLUCINATION")</x:f>
        <x:v>0</x:v>
      </x:c>
      <x:c r="AJ1024" t="n">
        <x:f>--AND(AI1024=1,R1024=1,S1024=1)</x:f>
        <x:v>0</x:v>
      </x:c>
    </x:row>
    <x:row r="1025">
      <x:c r="A1025" s="28"/>
      <x:c r="B1025" s="28"/>
      <x:c r="C1025" s="28"/>
      <x:c r="D1025" s="28"/>
      <x:c r="E1025" s="28"/>
      <x:c r="F1025" s="28"/>
      <x:c r="G1025" s="28"/>
      <x:c r="H1025" s="28"/>
      <x:c r="I1025" s="28"/>
      <x:c r="J1025" s="28"/>
      <x:c r="K1025" s="28"/>
      <x:c r="L1025" s="28"/>
      <x:c r="M1025" s="28"/>
      <x:c r="N1025" s="28"/>
      <x:c r="O1025" s="28"/>
      <x:c r="P1025" s="28"/>
      <x:c r="Q1025" s="28"/>
      <x:c r="R1025" s="28"/>
      <x:c r="S1025" s="28"/>
      <x:c r="T1025" s="28"/>
      <x:c r="U1025" s="28"/>
      <x:c r="V1025" s="28"/>
      <x:c r="W1025" s="43" t="n">
        <x:f>--AND(N1025=1,OR(O1025="SUPPORTED",O1025="HALLUCINATION"))</x:f>
        <x:v>0</x:v>
      </x:c>
      <x:c r="X1025" s="43" t="n">
        <x:f>--AND(W1025=1,O1025="HALLUCINATION")</x:f>
        <x:v>0</x:v>
      </x:c>
      <x:c r="Y1025" s="43" t="n">
        <x:f>--AND(Q1025=1,O1025="HALLUCINATION")</x:f>
        <x:v>0</x:v>
      </x:c>
      <x:c r="Z1025" s="43" t="n">
        <x:f>--AND(Y1025=1,R1025=1,S1025=1)</x:f>
        <x:v>0</x:v>
      </x:c>
      <x:c r="AC1025" t="str">
        <x:f>IF(OR(AA1025="",AB1025=""),"",--(AA1025&lt;&gt;AB1025))</x:f>
      </x:c>
      <x:c r="AE1025" t="str">
        <x:f>IF(OR(AA1025="",AB1025=""),"PENDING_HUMAN",IF(AA1025=AB1025,AA1025,IF(AD1025&lt;&gt;"",AD1025,"PENDING_HUMAN")))</x:f>
        <x:v>PENDING_HUMAN</x:v>
      </x:c>
      <x:c r="AF1025" t="n">
        <x:f>--AND(A1025&lt;&gt;"",AA1025&lt;&gt;"",AB1025&lt;&gt;"",OR(AA1025=AB1025,AD1025&lt;&gt;""),IF(AE1025="HALLUCINATION",U1025&lt;&gt;"",TRUE))</x:f>
        <x:v>0</x:v>
      </x:c>
      <x:c r="AG1025" t="n">
        <x:f>--AND(N1025=1,AF1025=1,OR(AE1025="SUPPORTED",AE1025="HALLUCINATION"))</x:f>
        <x:v>0</x:v>
      </x:c>
      <x:c r="AH1025" t="n">
        <x:f>--AND(AG1025=1,AE1025="HALLUCINATION")</x:f>
        <x:v>0</x:v>
      </x:c>
      <x:c r="AI1025" t="n">
        <x:f>--AND(Q1025=1,AF1025=1,AE1025="HALLUCINATION")</x:f>
        <x:v>0</x:v>
      </x:c>
      <x:c r="AJ1025" t="n">
        <x:f>--AND(AI1025=1,R1025=1,S1025=1)</x:f>
        <x:v>0</x:v>
      </x:c>
    </x:row>
    <x:row r="1026">
      <x:c r="A1026" s="28"/>
      <x:c r="B1026" s="28"/>
      <x:c r="C1026" s="28"/>
      <x:c r="D1026" s="28"/>
      <x:c r="E1026" s="28"/>
      <x:c r="F1026" s="28"/>
      <x:c r="G1026" s="28"/>
      <x:c r="H1026" s="28"/>
      <x:c r="I1026" s="28"/>
      <x:c r="J1026" s="28"/>
      <x:c r="K1026" s="28"/>
      <x:c r="L1026" s="28"/>
      <x:c r="M1026" s="28"/>
      <x:c r="N1026" s="28"/>
      <x:c r="O1026" s="28"/>
      <x:c r="P1026" s="28"/>
      <x:c r="Q1026" s="28"/>
      <x:c r="R1026" s="28"/>
      <x:c r="S1026" s="28"/>
      <x:c r="T1026" s="28"/>
      <x:c r="U1026" s="28"/>
      <x:c r="V1026" s="28"/>
      <x:c r="W1026" s="43" t="n">
        <x:f>--AND(N1026=1,OR(O1026="SUPPORTED",O1026="HALLUCINATION"))</x:f>
        <x:v>0</x:v>
      </x:c>
      <x:c r="X1026" s="43" t="n">
        <x:f>--AND(W1026=1,O1026="HALLUCINATION")</x:f>
        <x:v>0</x:v>
      </x:c>
      <x:c r="Y1026" s="43" t="n">
        <x:f>--AND(Q1026=1,O1026="HALLUCINATION")</x:f>
        <x:v>0</x:v>
      </x:c>
      <x:c r="Z1026" s="43" t="n">
        <x:f>--AND(Y1026=1,R1026=1,S1026=1)</x:f>
        <x:v>0</x:v>
      </x:c>
      <x:c r="AC1026" t="str">
        <x:f>IF(OR(AA1026="",AB1026=""),"",--(AA1026&lt;&gt;AB1026))</x:f>
      </x:c>
      <x:c r="AE1026" t="str">
        <x:f>IF(OR(AA1026="",AB1026=""),"PENDING_HUMAN",IF(AA1026=AB1026,AA1026,IF(AD1026&lt;&gt;"",AD1026,"PENDING_HUMAN")))</x:f>
        <x:v>PENDING_HUMAN</x:v>
      </x:c>
      <x:c r="AF1026" t="n">
        <x:f>--AND(A1026&lt;&gt;"",AA1026&lt;&gt;"",AB1026&lt;&gt;"",OR(AA1026=AB1026,AD1026&lt;&gt;""),IF(AE1026="HALLUCINATION",U1026&lt;&gt;"",TRUE))</x:f>
        <x:v>0</x:v>
      </x:c>
      <x:c r="AG1026" t="n">
        <x:f>--AND(N1026=1,AF1026=1,OR(AE1026="SUPPORTED",AE1026="HALLUCINATION"))</x:f>
        <x:v>0</x:v>
      </x:c>
      <x:c r="AH1026" t="n">
        <x:f>--AND(AG1026=1,AE1026="HALLUCINATION")</x:f>
        <x:v>0</x:v>
      </x:c>
      <x:c r="AI1026" t="n">
        <x:f>--AND(Q1026=1,AF1026=1,AE1026="HALLUCINATION")</x:f>
        <x:v>0</x:v>
      </x:c>
      <x:c r="AJ1026" t="n">
        <x:f>--AND(AI1026=1,R1026=1,S1026=1)</x:f>
        <x:v>0</x:v>
      </x:c>
    </x:row>
    <x:row r="1027">
      <x:c r="A1027" s="28"/>
      <x:c r="B1027" s="28"/>
      <x:c r="C1027" s="28"/>
      <x:c r="D1027" s="28"/>
      <x:c r="E1027" s="28"/>
      <x:c r="F1027" s="28"/>
      <x:c r="G1027" s="28"/>
      <x:c r="H1027" s="28"/>
      <x:c r="I1027" s="28"/>
      <x:c r="J1027" s="28"/>
      <x:c r="K1027" s="28"/>
      <x:c r="L1027" s="28"/>
      <x:c r="M1027" s="28"/>
      <x:c r="N1027" s="28"/>
      <x:c r="O1027" s="28"/>
      <x:c r="P1027" s="28"/>
      <x:c r="Q1027" s="28"/>
      <x:c r="R1027" s="28"/>
      <x:c r="S1027" s="28"/>
      <x:c r="T1027" s="28"/>
      <x:c r="U1027" s="28"/>
      <x:c r="V1027" s="28"/>
      <x:c r="W1027" s="43" t="n">
        <x:f>--AND(N1027=1,OR(O1027="SUPPORTED",O1027="HALLUCINATION"))</x:f>
        <x:v>0</x:v>
      </x:c>
      <x:c r="X1027" s="43" t="n">
        <x:f>--AND(W1027=1,O1027="HALLUCINATION")</x:f>
        <x:v>0</x:v>
      </x:c>
      <x:c r="Y1027" s="43" t="n">
        <x:f>--AND(Q1027=1,O1027="HALLUCINATION")</x:f>
        <x:v>0</x:v>
      </x:c>
      <x:c r="Z1027" s="43" t="n">
        <x:f>--AND(Y1027=1,R1027=1,S1027=1)</x:f>
        <x:v>0</x:v>
      </x:c>
      <x:c r="AC1027" t="str">
        <x:f>IF(OR(AA1027="",AB1027=""),"",--(AA1027&lt;&gt;AB1027))</x:f>
      </x:c>
      <x:c r="AE1027" t="str">
        <x:f>IF(OR(AA1027="",AB1027=""),"PENDING_HUMAN",IF(AA1027=AB1027,AA1027,IF(AD1027&lt;&gt;"",AD1027,"PENDING_HUMAN")))</x:f>
        <x:v>PENDING_HUMAN</x:v>
      </x:c>
      <x:c r="AF1027" t="n">
        <x:f>--AND(A1027&lt;&gt;"",AA1027&lt;&gt;"",AB1027&lt;&gt;"",OR(AA1027=AB1027,AD1027&lt;&gt;""),IF(AE1027="HALLUCINATION",U1027&lt;&gt;"",TRUE))</x:f>
        <x:v>0</x:v>
      </x:c>
      <x:c r="AG1027" t="n">
        <x:f>--AND(N1027=1,AF1027=1,OR(AE1027="SUPPORTED",AE1027="HALLUCINATION"))</x:f>
        <x:v>0</x:v>
      </x:c>
      <x:c r="AH1027" t="n">
        <x:f>--AND(AG1027=1,AE1027="HALLUCINATION")</x:f>
        <x:v>0</x:v>
      </x:c>
      <x:c r="AI1027" t="n">
        <x:f>--AND(Q1027=1,AF1027=1,AE1027="HALLUCINATION")</x:f>
        <x:v>0</x:v>
      </x:c>
      <x:c r="AJ1027" t="n">
        <x:f>--AND(AI1027=1,R1027=1,S1027=1)</x:f>
        <x:v>0</x:v>
      </x:c>
    </x:row>
    <x:row r="1028">
      <x:c r="A1028" s="28"/>
      <x:c r="B1028" s="28"/>
      <x:c r="C1028" s="28"/>
      <x:c r="D1028" s="28"/>
      <x:c r="E1028" s="28"/>
      <x:c r="F1028" s="28"/>
      <x:c r="G1028" s="28"/>
      <x:c r="H1028" s="28"/>
      <x:c r="I1028" s="28"/>
      <x:c r="J1028" s="28"/>
      <x:c r="K1028" s="28"/>
      <x:c r="L1028" s="28"/>
      <x:c r="M1028" s="28"/>
      <x:c r="N1028" s="28"/>
      <x:c r="O1028" s="28"/>
      <x:c r="P1028" s="28"/>
      <x:c r="Q1028" s="28"/>
      <x:c r="R1028" s="28"/>
      <x:c r="S1028" s="28"/>
      <x:c r="T1028" s="28"/>
      <x:c r="U1028" s="28"/>
      <x:c r="V1028" s="28"/>
      <x:c r="W1028" s="43" t="n">
        <x:f>--AND(N1028=1,OR(O1028="SUPPORTED",O1028="HALLUCINATION"))</x:f>
        <x:v>0</x:v>
      </x:c>
      <x:c r="X1028" s="43" t="n">
        <x:f>--AND(W1028=1,O1028="HALLUCINATION")</x:f>
        <x:v>0</x:v>
      </x:c>
      <x:c r="Y1028" s="43" t="n">
        <x:f>--AND(Q1028=1,O1028="HALLUCINATION")</x:f>
        <x:v>0</x:v>
      </x:c>
      <x:c r="Z1028" s="43" t="n">
        <x:f>--AND(Y1028=1,R1028=1,S1028=1)</x:f>
        <x:v>0</x:v>
      </x:c>
      <x:c r="AC1028" t="str">
        <x:f>IF(OR(AA1028="",AB1028=""),"",--(AA1028&lt;&gt;AB1028))</x:f>
      </x:c>
      <x:c r="AE1028" t="str">
        <x:f>IF(OR(AA1028="",AB1028=""),"PENDING_HUMAN",IF(AA1028=AB1028,AA1028,IF(AD1028&lt;&gt;"",AD1028,"PENDING_HUMAN")))</x:f>
        <x:v>PENDING_HUMAN</x:v>
      </x:c>
      <x:c r="AF1028" t="n">
        <x:f>--AND(A1028&lt;&gt;"",AA1028&lt;&gt;"",AB1028&lt;&gt;"",OR(AA1028=AB1028,AD1028&lt;&gt;""),IF(AE1028="HALLUCINATION",U1028&lt;&gt;"",TRUE))</x:f>
        <x:v>0</x:v>
      </x:c>
      <x:c r="AG1028" t="n">
        <x:f>--AND(N1028=1,AF1028=1,OR(AE1028="SUPPORTED",AE1028="HALLUCINATION"))</x:f>
        <x:v>0</x:v>
      </x:c>
      <x:c r="AH1028" t="n">
        <x:f>--AND(AG1028=1,AE1028="HALLUCINATION")</x:f>
        <x:v>0</x:v>
      </x:c>
      <x:c r="AI1028" t="n">
        <x:f>--AND(Q1028=1,AF1028=1,AE1028="HALLUCINATION")</x:f>
        <x:v>0</x:v>
      </x:c>
      <x:c r="AJ1028" t="n">
        <x:f>--AND(AI1028=1,R1028=1,S1028=1)</x:f>
        <x:v>0</x:v>
      </x:c>
    </x:row>
    <x:row r="1029">
      <x:c r="A1029" s="28"/>
      <x:c r="B1029" s="28"/>
      <x:c r="C1029" s="28"/>
      <x:c r="D1029" s="28"/>
      <x:c r="E1029" s="28"/>
      <x:c r="F1029" s="28"/>
      <x:c r="G1029" s="28"/>
      <x:c r="H1029" s="28"/>
      <x:c r="I1029" s="28"/>
      <x:c r="J1029" s="28"/>
      <x:c r="K1029" s="28"/>
      <x:c r="L1029" s="28"/>
      <x:c r="M1029" s="28"/>
      <x:c r="N1029" s="28"/>
      <x:c r="O1029" s="28"/>
      <x:c r="P1029" s="28"/>
      <x:c r="Q1029" s="28"/>
      <x:c r="R1029" s="28"/>
      <x:c r="S1029" s="28"/>
      <x:c r="T1029" s="28"/>
      <x:c r="U1029" s="28"/>
      <x:c r="V1029" s="28"/>
      <x:c r="W1029" s="43" t="n">
        <x:f>--AND(N1029=1,OR(O1029="SUPPORTED",O1029="HALLUCINATION"))</x:f>
        <x:v>0</x:v>
      </x:c>
      <x:c r="X1029" s="43" t="n">
        <x:f>--AND(W1029=1,O1029="HALLUCINATION")</x:f>
        <x:v>0</x:v>
      </x:c>
      <x:c r="Y1029" s="43" t="n">
        <x:f>--AND(Q1029=1,O1029="HALLUCINATION")</x:f>
        <x:v>0</x:v>
      </x:c>
      <x:c r="Z1029" s="43" t="n">
        <x:f>--AND(Y1029=1,R1029=1,S1029=1)</x:f>
        <x:v>0</x:v>
      </x:c>
      <x:c r="AC1029" t="str">
        <x:f>IF(OR(AA1029="",AB1029=""),"",--(AA1029&lt;&gt;AB1029))</x:f>
      </x:c>
      <x:c r="AE1029" t="str">
        <x:f>IF(OR(AA1029="",AB1029=""),"PENDING_HUMAN",IF(AA1029=AB1029,AA1029,IF(AD1029&lt;&gt;"",AD1029,"PENDING_HUMAN")))</x:f>
        <x:v>PENDING_HUMAN</x:v>
      </x:c>
      <x:c r="AF1029" t="n">
        <x:f>--AND(A1029&lt;&gt;"",AA1029&lt;&gt;"",AB1029&lt;&gt;"",OR(AA1029=AB1029,AD1029&lt;&gt;""),IF(AE1029="HALLUCINATION",U1029&lt;&gt;"",TRUE))</x:f>
        <x:v>0</x:v>
      </x:c>
      <x:c r="AG1029" t="n">
        <x:f>--AND(N1029=1,AF1029=1,OR(AE1029="SUPPORTED",AE1029="HALLUCINATION"))</x:f>
        <x:v>0</x:v>
      </x:c>
      <x:c r="AH1029" t="n">
        <x:f>--AND(AG1029=1,AE1029="HALLUCINATION")</x:f>
        <x:v>0</x:v>
      </x:c>
      <x:c r="AI1029" t="n">
        <x:f>--AND(Q1029=1,AF1029=1,AE1029="HALLUCINATION")</x:f>
        <x:v>0</x:v>
      </x:c>
      <x:c r="AJ1029" t="n">
        <x:f>--AND(AI1029=1,R1029=1,S1029=1)</x:f>
        <x:v>0</x:v>
      </x:c>
    </x:row>
    <x:row r="1030">
      <x:c r="A1030" s="28"/>
      <x:c r="B1030" s="28"/>
      <x:c r="C1030" s="28"/>
      <x:c r="D1030" s="28"/>
      <x:c r="E1030" s="28"/>
      <x:c r="F1030" s="28"/>
      <x:c r="G1030" s="28"/>
      <x:c r="H1030" s="28"/>
      <x:c r="I1030" s="28"/>
      <x:c r="J1030" s="28"/>
      <x:c r="K1030" s="28"/>
      <x:c r="L1030" s="28"/>
      <x:c r="M1030" s="28"/>
      <x:c r="N1030" s="28"/>
      <x:c r="O1030" s="28"/>
      <x:c r="P1030" s="28"/>
      <x:c r="Q1030" s="28"/>
      <x:c r="R1030" s="28"/>
      <x:c r="S1030" s="28"/>
      <x:c r="T1030" s="28"/>
      <x:c r="U1030" s="28"/>
      <x:c r="V1030" s="28"/>
      <x:c r="W1030" s="43" t="n">
        <x:f>--AND(N1030=1,OR(O1030="SUPPORTED",O1030="HALLUCINATION"))</x:f>
        <x:v>0</x:v>
      </x:c>
      <x:c r="X1030" s="43" t="n">
        <x:f>--AND(W1030=1,O1030="HALLUCINATION")</x:f>
        <x:v>0</x:v>
      </x:c>
      <x:c r="Y1030" s="43" t="n">
        <x:f>--AND(Q1030=1,O1030="HALLUCINATION")</x:f>
        <x:v>0</x:v>
      </x:c>
      <x:c r="Z1030" s="43" t="n">
        <x:f>--AND(Y1030=1,R1030=1,S1030=1)</x:f>
        <x:v>0</x:v>
      </x:c>
      <x:c r="AC1030" t="str">
        <x:f>IF(OR(AA1030="",AB1030=""),"",--(AA1030&lt;&gt;AB1030))</x:f>
      </x:c>
      <x:c r="AE1030" t="str">
        <x:f>IF(OR(AA1030="",AB1030=""),"PENDING_HUMAN",IF(AA1030=AB1030,AA1030,IF(AD1030&lt;&gt;"",AD1030,"PENDING_HUMAN")))</x:f>
        <x:v>PENDING_HUMAN</x:v>
      </x:c>
      <x:c r="AF1030" t="n">
        <x:f>--AND(A1030&lt;&gt;"",AA1030&lt;&gt;"",AB1030&lt;&gt;"",OR(AA1030=AB1030,AD1030&lt;&gt;""),IF(AE1030="HALLUCINATION",U1030&lt;&gt;"",TRUE))</x:f>
        <x:v>0</x:v>
      </x:c>
      <x:c r="AG1030" t="n">
        <x:f>--AND(N1030=1,AF1030=1,OR(AE1030="SUPPORTED",AE1030="HALLUCINATION"))</x:f>
        <x:v>0</x:v>
      </x:c>
      <x:c r="AH1030" t="n">
        <x:f>--AND(AG1030=1,AE1030="HALLUCINATION")</x:f>
        <x:v>0</x:v>
      </x:c>
      <x:c r="AI1030" t="n">
        <x:f>--AND(Q1030=1,AF1030=1,AE1030="HALLUCINATION")</x:f>
        <x:v>0</x:v>
      </x:c>
      <x:c r="AJ1030" t="n">
        <x:f>--AND(AI1030=1,R1030=1,S1030=1)</x:f>
        <x:v>0</x:v>
      </x:c>
    </x:row>
    <x:row r="1031">
      <x:c r="A1031" s="28"/>
      <x:c r="B1031" s="28"/>
      <x:c r="C1031" s="28"/>
      <x:c r="D1031" s="28"/>
      <x:c r="E1031" s="28"/>
      <x:c r="F1031" s="28"/>
      <x:c r="G1031" s="28"/>
      <x:c r="H1031" s="28"/>
      <x:c r="I1031" s="28"/>
      <x:c r="J1031" s="28"/>
      <x:c r="K1031" s="28"/>
      <x:c r="L1031" s="28"/>
      <x:c r="M1031" s="28"/>
      <x:c r="N1031" s="28"/>
      <x:c r="O1031" s="28"/>
      <x:c r="P1031" s="28"/>
      <x:c r="Q1031" s="28"/>
      <x:c r="R1031" s="28"/>
      <x:c r="S1031" s="28"/>
      <x:c r="T1031" s="28"/>
      <x:c r="U1031" s="28"/>
      <x:c r="V1031" s="28"/>
      <x:c r="W1031" s="43" t="n">
        <x:f>--AND(N1031=1,OR(O1031="SUPPORTED",O1031="HALLUCINATION"))</x:f>
        <x:v>0</x:v>
      </x:c>
      <x:c r="X1031" s="43" t="n">
        <x:f>--AND(W1031=1,O1031="HALLUCINATION")</x:f>
        <x:v>0</x:v>
      </x:c>
      <x:c r="Y1031" s="43" t="n">
        <x:f>--AND(Q1031=1,O1031="HALLUCINATION")</x:f>
        <x:v>0</x:v>
      </x:c>
      <x:c r="Z1031" s="43" t="n">
        <x:f>--AND(Y1031=1,R1031=1,S1031=1)</x:f>
        <x:v>0</x:v>
      </x:c>
      <x:c r="AC1031" t="str">
        <x:f>IF(OR(AA1031="",AB1031=""),"",--(AA1031&lt;&gt;AB1031))</x:f>
      </x:c>
      <x:c r="AE1031" t="str">
        <x:f>IF(OR(AA1031="",AB1031=""),"PENDING_HUMAN",IF(AA1031=AB1031,AA1031,IF(AD1031&lt;&gt;"",AD1031,"PENDING_HUMAN")))</x:f>
        <x:v>PENDING_HUMAN</x:v>
      </x:c>
      <x:c r="AF1031" t="n">
        <x:f>--AND(A1031&lt;&gt;"",AA1031&lt;&gt;"",AB1031&lt;&gt;"",OR(AA1031=AB1031,AD1031&lt;&gt;""),IF(AE1031="HALLUCINATION",U1031&lt;&gt;"",TRUE))</x:f>
        <x:v>0</x:v>
      </x:c>
      <x:c r="AG1031" t="n">
        <x:f>--AND(N1031=1,AF1031=1,OR(AE1031="SUPPORTED",AE1031="HALLUCINATION"))</x:f>
        <x:v>0</x:v>
      </x:c>
      <x:c r="AH1031" t="n">
        <x:f>--AND(AG1031=1,AE1031="HALLUCINATION")</x:f>
        <x:v>0</x:v>
      </x:c>
      <x:c r="AI1031" t="n">
        <x:f>--AND(Q1031=1,AF1031=1,AE1031="HALLUCINATION")</x:f>
        <x:v>0</x:v>
      </x:c>
      <x:c r="AJ1031" t="n">
        <x:f>--AND(AI1031=1,R1031=1,S1031=1)</x:f>
        <x:v>0</x:v>
      </x:c>
    </x:row>
    <x:row r="1032">
      <x:c r="A1032" s="28"/>
      <x:c r="B1032" s="28"/>
      <x:c r="C1032" s="28"/>
      <x:c r="D1032" s="28"/>
      <x:c r="E1032" s="28"/>
      <x:c r="F1032" s="28"/>
      <x:c r="G1032" s="28"/>
      <x:c r="H1032" s="28"/>
      <x:c r="I1032" s="28"/>
      <x:c r="J1032" s="28"/>
      <x:c r="K1032" s="28"/>
      <x:c r="L1032" s="28"/>
      <x:c r="M1032" s="28"/>
      <x:c r="N1032" s="28"/>
      <x:c r="O1032" s="28"/>
      <x:c r="P1032" s="28"/>
      <x:c r="Q1032" s="28"/>
      <x:c r="R1032" s="28"/>
      <x:c r="S1032" s="28"/>
      <x:c r="T1032" s="28"/>
      <x:c r="U1032" s="28"/>
      <x:c r="V1032" s="28"/>
      <x:c r="W1032" s="43" t="n">
        <x:f>--AND(N1032=1,OR(O1032="SUPPORTED",O1032="HALLUCINATION"))</x:f>
        <x:v>0</x:v>
      </x:c>
      <x:c r="X1032" s="43" t="n">
        <x:f>--AND(W1032=1,O1032="HALLUCINATION")</x:f>
        <x:v>0</x:v>
      </x:c>
      <x:c r="Y1032" s="43" t="n">
        <x:f>--AND(Q1032=1,O1032="HALLUCINATION")</x:f>
        <x:v>0</x:v>
      </x:c>
      <x:c r="Z1032" s="43" t="n">
        <x:f>--AND(Y1032=1,R1032=1,S1032=1)</x:f>
        <x:v>0</x:v>
      </x:c>
      <x:c r="AC1032" t="str">
        <x:f>IF(OR(AA1032="",AB1032=""),"",--(AA1032&lt;&gt;AB1032))</x:f>
      </x:c>
      <x:c r="AE1032" t="str">
        <x:f>IF(OR(AA1032="",AB1032=""),"PENDING_HUMAN",IF(AA1032=AB1032,AA1032,IF(AD1032&lt;&gt;"",AD1032,"PENDING_HUMAN")))</x:f>
        <x:v>PENDING_HUMAN</x:v>
      </x:c>
      <x:c r="AF1032" t="n">
        <x:f>--AND(A1032&lt;&gt;"",AA1032&lt;&gt;"",AB1032&lt;&gt;"",OR(AA1032=AB1032,AD1032&lt;&gt;""),IF(AE1032="HALLUCINATION",U1032&lt;&gt;"",TRUE))</x:f>
        <x:v>0</x:v>
      </x:c>
      <x:c r="AG1032" t="n">
        <x:f>--AND(N1032=1,AF1032=1,OR(AE1032="SUPPORTED",AE1032="HALLUCINATION"))</x:f>
        <x:v>0</x:v>
      </x:c>
      <x:c r="AH1032" t="n">
        <x:f>--AND(AG1032=1,AE1032="HALLUCINATION")</x:f>
        <x:v>0</x:v>
      </x:c>
      <x:c r="AI1032" t="n">
        <x:f>--AND(Q1032=1,AF1032=1,AE1032="HALLUCINATION")</x:f>
        <x:v>0</x:v>
      </x:c>
      <x:c r="AJ1032" t="n">
        <x:f>--AND(AI1032=1,R1032=1,S1032=1)</x:f>
        <x:v>0</x:v>
      </x:c>
    </x:row>
    <x:row r="1033">
      <x:c r="A1033" s="28"/>
      <x:c r="B1033" s="28"/>
      <x:c r="C1033" s="28"/>
      <x:c r="D1033" s="28"/>
      <x:c r="E1033" s="28"/>
      <x:c r="F1033" s="28"/>
      <x:c r="G1033" s="28"/>
      <x:c r="H1033" s="28"/>
      <x:c r="I1033" s="28"/>
      <x:c r="J1033" s="28"/>
      <x:c r="K1033" s="28"/>
      <x:c r="L1033" s="28"/>
      <x:c r="M1033" s="28"/>
      <x:c r="N1033" s="28"/>
      <x:c r="O1033" s="28"/>
      <x:c r="P1033" s="28"/>
      <x:c r="Q1033" s="28"/>
      <x:c r="R1033" s="28"/>
      <x:c r="S1033" s="28"/>
      <x:c r="T1033" s="28"/>
      <x:c r="U1033" s="28"/>
      <x:c r="V1033" s="28"/>
      <x:c r="W1033" s="43" t="n">
        <x:f>--AND(N1033=1,OR(O1033="SUPPORTED",O1033="HALLUCINATION"))</x:f>
        <x:v>0</x:v>
      </x:c>
      <x:c r="X1033" s="43" t="n">
        <x:f>--AND(W1033=1,O1033="HALLUCINATION")</x:f>
        <x:v>0</x:v>
      </x:c>
      <x:c r="Y1033" s="43" t="n">
        <x:f>--AND(Q1033=1,O1033="HALLUCINATION")</x:f>
        <x:v>0</x:v>
      </x:c>
      <x:c r="Z1033" s="43" t="n">
        <x:f>--AND(Y1033=1,R1033=1,S1033=1)</x:f>
        <x:v>0</x:v>
      </x:c>
      <x:c r="AC1033" t="str">
        <x:f>IF(OR(AA1033="",AB1033=""),"",--(AA1033&lt;&gt;AB1033))</x:f>
      </x:c>
      <x:c r="AE1033" t="str">
        <x:f>IF(OR(AA1033="",AB1033=""),"PENDING_HUMAN",IF(AA1033=AB1033,AA1033,IF(AD1033&lt;&gt;"",AD1033,"PENDING_HUMAN")))</x:f>
        <x:v>PENDING_HUMAN</x:v>
      </x:c>
      <x:c r="AF1033" t="n">
        <x:f>--AND(A1033&lt;&gt;"",AA1033&lt;&gt;"",AB1033&lt;&gt;"",OR(AA1033=AB1033,AD1033&lt;&gt;""),IF(AE1033="HALLUCINATION",U1033&lt;&gt;"",TRUE))</x:f>
        <x:v>0</x:v>
      </x:c>
      <x:c r="AG1033" t="n">
        <x:f>--AND(N1033=1,AF1033=1,OR(AE1033="SUPPORTED",AE1033="HALLUCINATION"))</x:f>
        <x:v>0</x:v>
      </x:c>
      <x:c r="AH1033" t="n">
        <x:f>--AND(AG1033=1,AE1033="HALLUCINATION")</x:f>
        <x:v>0</x:v>
      </x:c>
      <x:c r="AI1033" t="n">
        <x:f>--AND(Q1033=1,AF1033=1,AE1033="HALLUCINATION")</x:f>
        <x:v>0</x:v>
      </x:c>
      <x:c r="AJ1033" t="n">
        <x:f>--AND(AI1033=1,R1033=1,S1033=1)</x:f>
        <x:v>0</x:v>
      </x:c>
    </x:row>
    <x:row r="1034">
      <x:c r="A1034" s="28"/>
      <x:c r="B1034" s="28"/>
      <x:c r="C1034" s="28"/>
      <x:c r="D1034" s="28"/>
      <x:c r="E1034" s="28"/>
      <x:c r="F1034" s="28"/>
      <x:c r="G1034" s="28"/>
      <x:c r="H1034" s="28"/>
      <x:c r="I1034" s="28"/>
      <x:c r="J1034" s="28"/>
      <x:c r="K1034" s="28"/>
      <x:c r="L1034" s="28"/>
      <x:c r="M1034" s="28"/>
      <x:c r="N1034" s="28"/>
      <x:c r="O1034" s="28"/>
      <x:c r="P1034" s="28"/>
      <x:c r="Q1034" s="28"/>
      <x:c r="R1034" s="28"/>
      <x:c r="S1034" s="28"/>
      <x:c r="T1034" s="28"/>
      <x:c r="U1034" s="28"/>
      <x:c r="V1034" s="28"/>
      <x:c r="W1034" s="43" t="n">
        <x:f>--AND(N1034=1,OR(O1034="SUPPORTED",O1034="HALLUCINATION"))</x:f>
        <x:v>0</x:v>
      </x:c>
      <x:c r="X1034" s="43" t="n">
        <x:f>--AND(W1034=1,O1034="HALLUCINATION")</x:f>
        <x:v>0</x:v>
      </x:c>
      <x:c r="Y1034" s="43" t="n">
        <x:f>--AND(Q1034=1,O1034="HALLUCINATION")</x:f>
        <x:v>0</x:v>
      </x:c>
      <x:c r="Z1034" s="43" t="n">
        <x:f>--AND(Y1034=1,R1034=1,S1034=1)</x:f>
        <x:v>0</x:v>
      </x:c>
      <x:c r="AC1034" t="str">
        <x:f>IF(OR(AA1034="",AB1034=""),"",--(AA1034&lt;&gt;AB1034))</x:f>
      </x:c>
      <x:c r="AE1034" t="str">
        <x:f>IF(OR(AA1034="",AB1034=""),"PENDING_HUMAN",IF(AA1034=AB1034,AA1034,IF(AD1034&lt;&gt;"",AD1034,"PENDING_HUMAN")))</x:f>
        <x:v>PENDING_HUMAN</x:v>
      </x:c>
      <x:c r="AF1034" t="n">
        <x:f>--AND(A1034&lt;&gt;"",AA1034&lt;&gt;"",AB1034&lt;&gt;"",OR(AA1034=AB1034,AD1034&lt;&gt;""),IF(AE1034="HALLUCINATION",U1034&lt;&gt;"",TRUE))</x:f>
        <x:v>0</x:v>
      </x:c>
      <x:c r="AG1034" t="n">
        <x:f>--AND(N1034=1,AF1034=1,OR(AE1034="SUPPORTED",AE1034="HALLUCINATION"))</x:f>
        <x:v>0</x:v>
      </x:c>
      <x:c r="AH1034" t="n">
        <x:f>--AND(AG1034=1,AE1034="HALLUCINATION")</x:f>
        <x:v>0</x:v>
      </x:c>
      <x:c r="AI1034" t="n">
        <x:f>--AND(Q1034=1,AF1034=1,AE1034="HALLUCINATION")</x:f>
        <x:v>0</x:v>
      </x:c>
      <x:c r="AJ1034" t="n">
        <x:f>--AND(AI1034=1,R1034=1,S1034=1)</x:f>
        <x:v>0</x:v>
      </x:c>
    </x:row>
    <x:row r="1035">
      <x:c r="A1035" s="28"/>
      <x:c r="B1035" s="28"/>
      <x:c r="C1035" s="28"/>
      <x:c r="D1035" s="28"/>
      <x:c r="E1035" s="28"/>
      <x:c r="F1035" s="28"/>
      <x:c r="G1035" s="28"/>
      <x:c r="H1035" s="28"/>
      <x:c r="I1035" s="28"/>
      <x:c r="J1035" s="28"/>
      <x:c r="K1035" s="28"/>
      <x:c r="L1035" s="28"/>
      <x:c r="M1035" s="28"/>
      <x:c r="N1035" s="28"/>
      <x:c r="O1035" s="28"/>
      <x:c r="P1035" s="28"/>
      <x:c r="Q1035" s="28"/>
      <x:c r="R1035" s="28"/>
      <x:c r="S1035" s="28"/>
      <x:c r="T1035" s="28"/>
      <x:c r="U1035" s="28"/>
      <x:c r="V1035" s="28"/>
      <x:c r="W1035" s="43" t="n">
        <x:f>--AND(N1035=1,OR(O1035="SUPPORTED",O1035="HALLUCINATION"))</x:f>
        <x:v>0</x:v>
      </x:c>
      <x:c r="X1035" s="43" t="n">
        <x:f>--AND(W1035=1,O1035="HALLUCINATION")</x:f>
        <x:v>0</x:v>
      </x:c>
      <x:c r="Y1035" s="43" t="n">
        <x:f>--AND(Q1035=1,O1035="HALLUCINATION")</x:f>
        <x:v>0</x:v>
      </x:c>
      <x:c r="Z1035" s="43" t="n">
        <x:f>--AND(Y1035=1,R1035=1,S1035=1)</x:f>
        <x:v>0</x:v>
      </x:c>
      <x:c r="AC1035" t="str">
        <x:f>IF(OR(AA1035="",AB1035=""),"",--(AA1035&lt;&gt;AB1035))</x:f>
      </x:c>
      <x:c r="AE1035" t="str">
        <x:f>IF(OR(AA1035="",AB1035=""),"PENDING_HUMAN",IF(AA1035=AB1035,AA1035,IF(AD1035&lt;&gt;"",AD1035,"PENDING_HUMAN")))</x:f>
        <x:v>PENDING_HUMAN</x:v>
      </x:c>
      <x:c r="AF1035" t="n">
        <x:f>--AND(A1035&lt;&gt;"",AA1035&lt;&gt;"",AB1035&lt;&gt;"",OR(AA1035=AB1035,AD1035&lt;&gt;""),IF(AE1035="HALLUCINATION",U1035&lt;&gt;"",TRUE))</x:f>
        <x:v>0</x:v>
      </x:c>
      <x:c r="AG1035" t="n">
        <x:f>--AND(N1035=1,AF1035=1,OR(AE1035="SUPPORTED",AE1035="HALLUCINATION"))</x:f>
        <x:v>0</x:v>
      </x:c>
      <x:c r="AH1035" t="n">
        <x:f>--AND(AG1035=1,AE1035="HALLUCINATION")</x:f>
        <x:v>0</x:v>
      </x:c>
      <x:c r="AI1035" t="n">
        <x:f>--AND(Q1035=1,AF1035=1,AE1035="HALLUCINATION")</x:f>
        <x:v>0</x:v>
      </x:c>
      <x:c r="AJ1035" t="n">
        <x:f>--AND(AI1035=1,R1035=1,S1035=1)</x:f>
        <x:v>0</x:v>
      </x:c>
    </x:row>
    <x:row r="1036">
      <x:c r="A1036" s="28"/>
      <x:c r="B1036" s="28"/>
      <x:c r="C1036" s="28"/>
      <x:c r="D1036" s="28"/>
      <x:c r="E1036" s="28"/>
      <x:c r="F1036" s="28"/>
      <x:c r="G1036" s="28"/>
      <x:c r="H1036" s="28"/>
      <x:c r="I1036" s="28"/>
      <x:c r="J1036" s="28"/>
      <x:c r="K1036" s="28"/>
      <x:c r="L1036" s="28"/>
      <x:c r="M1036" s="28"/>
      <x:c r="N1036" s="28"/>
      <x:c r="O1036" s="28"/>
      <x:c r="P1036" s="28"/>
      <x:c r="Q1036" s="28"/>
      <x:c r="R1036" s="28"/>
      <x:c r="S1036" s="28"/>
      <x:c r="T1036" s="28"/>
      <x:c r="U1036" s="28"/>
      <x:c r="V1036" s="28"/>
      <x:c r="W1036" s="43" t="n">
        <x:f>--AND(N1036=1,OR(O1036="SUPPORTED",O1036="HALLUCINATION"))</x:f>
        <x:v>0</x:v>
      </x:c>
      <x:c r="X1036" s="43" t="n">
        <x:f>--AND(W1036=1,O1036="HALLUCINATION")</x:f>
        <x:v>0</x:v>
      </x:c>
      <x:c r="Y1036" s="43" t="n">
        <x:f>--AND(Q1036=1,O1036="HALLUCINATION")</x:f>
        <x:v>0</x:v>
      </x:c>
      <x:c r="Z1036" s="43" t="n">
        <x:f>--AND(Y1036=1,R1036=1,S1036=1)</x:f>
        <x:v>0</x:v>
      </x:c>
      <x:c r="AC1036" t="str">
        <x:f>IF(OR(AA1036="",AB1036=""),"",--(AA1036&lt;&gt;AB1036))</x:f>
      </x:c>
      <x:c r="AE1036" t="str">
        <x:f>IF(OR(AA1036="",AB1036=""),"PENDING_HUMAN",IF(AA1036=AB1036,AA1036,IF(AD1036&lt;&gt;"",AD1036,"PENDING_HUMAN")))</x:f>
        <x:v>PENDING_HUMAN</x:v>
      </x:c>
      <x:c r="AF1036" t="n">
        <x:f>--AND(A1036&lt;&gt;"",AA1036&lt;&gt;"",AB1036&lt;&gt;"",OR(AA1036=AB1036,AD1036&lt;&gt;""),IF(AE1036="HALLUCINATION",U1036&lt;&gt;"",TRUE))</x:f>
        <x:v>0</x:v>
      </x:c>
      <x:c r="AG1036" t="n">
        <x:f>--AND(N1036=1,AF1036=1,OR(AE1036="SUPPORTED",AE1036="HALLUCINATION"))</x:f>
        <x:v>0</x:v>
      </x:c>
      <x:c r="AH1036" t="n">
        <x:f>--AND(AG1036=1,AE1036="HALLUCINATION")</x:f>
        <x:v>0</x:v>
      </x:c>
      <x:c r="AI1036" t="n">
        <x:f>--AND(Q1036=1,AF1036=1,AE1036="HALLUCINATION")</x:f>
        <x:v>0</x:v>
      </x:c>
      <x:c r="AJ1036" t="n">
        <x:f>--AND(AI1036=1,R1036=1,S1036=1)</x:f>
        <x:v>0</x:v>
      </x:c>
    </x:row>
    <x:row r="1037">
      <x:c r="A1037" s="28"/>
      <x:c r="B1037" s="28"/>
      <x:c r="C1037" s="28"/>
      <x:c r="D1037" s="28"/>
      <x:c r="E1037" s="28"/>
      <x:c r="F1037" s="28"/>
      <x:c r="G1037" s="28"/>
      <x:c r="H1037" s="28"/>
      <x:c r="I1037" s="28"/>
      <x:c r="J1037" s="28"/>
      <x:c r="K1037" s="28"/>
      <x:c r="L1037" s="28"/>
      <x:c r="M1037" s="28"/>
      <x:c r="N1037" s="28"/>
      <x:c r="O1037" s="28"/>
      <x:c r="P1037" s="28"/>
      <x:c r="Q1037" s="28"/>
      <x:c r="R1037" s="28"/>
      <x:c r="S1037" s="28"/>
      <x:c r="T1037" s="28"/>
      <x:c r="U1037" s="28"/>
      <x:c r="V1037" s="28"/>
      <x:c r="W1037" s="43" t="n">
        <x:f>--AND(N1037=1,OR(O1037="SUPPORTED",O1037="HALLUCINATION"))</x:f>
        <x:v>0</x:v>
      </x:c>
      <x:c r="X1037" s="43" t="n">
        <x:f>--AND(W1037=1,O1037="HALLUCINATION")</x:f>
        <x:v>0</x:v>
      </x:c>
      <x:c r="Y1037" s="43" t="n">
        <x:f>--AND(Q1037=1,O1037="HALLUCINATION")</x:f>
        <x:v>0</x:v>
      </x:c>
      <x:c r="Z1037" s="43" t="n">
        <x:f>--AND(Y1037=1,R1037=1,S1037=1)</x:f>
        <x:v>0</x:v>
      </x:c>
      <x:c r="AC1037" t="str">
        <x:f>IF(OR(AA1037="",AB1037=""),"",--(AA1037&lt;&gt;AB1037))</x:f>
      </x:c>
      <x:c r="AE1037" t="str">
        <x:f>IF(OR(AA1037="",AB1037=""),"PENDING_HUMAN",IF(AA1037=AB1037,AA1037,IF(AD1037&lt;&gt;"",AD1037,"PENDING_HUMAN")))</x:f>
        <x:v>PENDING_HUMAN</x:v>
      </x:c>
      <x:c r="AF1037" t="n">
        <x:f>--AND(A1037&lt;&gt;"",AA1037&lt;&gt;"",AB1037&lt;&gt;"",OR(AA1037=AB1037,AD1037&lt;&gt;""),IF(AE1037="HALLUCINATION",U1037&lt;&gt;"",TRUE))</x:f>
        <x:v>0</x:v>
      </x:c>
      <x:c r="AG1037" t="n">
        <x:f>--AND(N1037=1,AF1037=1,OR(AE1037="SUPPORTED",AE1037="HALLUCINATION"))</x:f>
        <x:v>0</x:v>
      </x:c>
      <x:c r="AH1037" t="n">
        <x:f>--AND(AG1037=1,AE1037="HALLUCINATION")</x:f>
        <x:v>0</x:v>
      </x:c>
      <x:c r="AI1037" t="n">
        <x:f>--AND(Q1037=1,AF1037=1,AE1037="HALLUCINATION")</x:f>
        <x:v>0</x:v>
      </x:c>
      <x:c r="AJ1037" t="n">
        <x:f>--AND(AI1037=1,R1037=1,S1037=1)</x:f>
        <x:v>0</x:v>
      </x:c>
    </x:row>
    <x:row r="1038">
      <x:c r="A1038" s="28"/>
      <x:c r="B1038" s="28"/>
      <x:c r="C1038" s="28"/>
      <x:c r="D1038" s="28"/>
      <x:c r="E1038" s="28"/>
      <x:c r="F1038" s="28"/>
      <x:c r="G1038" s="28"/>
      <x:c r="H1038" s="28"/>
      <x:c r="I1038" s="28"/>
      <x:c r="J1038" s="28"/>
      <x:c r="K1038" s="28"/>
      <x:c r="L1038" s="28"/>
      <x:c r="M1038" s="28"/>
      <x:c r="N1038" s="28"/>
      <x:c r="O1038" s="28"/>
      <x:c r="P1038" s="28"/>
      <x:c r="Q1038" s="28"/>
      <x:c r="R1038" s="28"/>
      <x:c r="S1038" s="28"/>
      <x:c r="T1038" s="28"/>
      <x:c r="U1038" s="28"/>
      <x:c r="V1038" s="28"/>
      <x:c r="W1038" s="43" t="n">
        <x:f>--AND(N1038=1,OR(O1038="SUPPORTED",O1038="HALLUCINATION"))</x:f>
        <x:v>0</x:v>
      </x:c>
      <x:c r="X1038" s="43" t="n">
        <x:f>--AND(W1038=1,O1038="HALLUCINATION")</x:f>
        <x:v>0</x:v>
      </x:c>
      <x:c r="Y1038" s="43" t="n">
        <x:f>--AND(Q1038=1,O1038="HALLUCINATION")</x:f>
        <x:v>0</x:v>
      </x:c>
      <x:c r="Z1038" s="43" t="n">
        <x:f>--AND(Y1038=1,R1038=1,S1038=1)</x:f>
        <x:v>0</x:v>
      </x:c>
      <x:c r="AC1038" t="str">
        <x:f>IF(OR(AA1038="",AB1038=""),"",--(AA1038&lt;&gt;AB1038))</x:f>
      </x:c>
      <x:c r="AE1038" t="str">
        <x:f>IF(OR(AA1038="",AB1038=""),"PENDING_HUMAN",IF(AA1038=AB1038,AA1038,IF(AD1038&lt;&gt;"",AD1038,"PENDING_HUMAN")))</x:f>
        <x:v>PENDING_HUMAN</x:v>
      </x:c>
      <x:c r="AF1038" t="n">
        <x:f>--AND(A1038&lt;&gt;"",AA1038&lt;&gt;"",AB1038&lt;&gt;"",OR(AA1038=AB1038,AD1038&lt;&gt;""),IF(AE1038="HALLUCINATION",U1038&lt;&gt;"",TRUE))</x:f>
        <x:v>0</x:v>
      </x:c>
      <x:c r="AG1038" t="n">
        <x:f>--AND(N1038=1,AF1038=1,OR(AE1038="SUPPORTED",AE1038="HALLUCINATION"))</x:f>
        <x:v>0</x:v>
      </x:c>
      <x:c r="AH1038" t="n">
        <x:f>--AND(AG1038=1,AE1038="HALLUCINATION")</x:f>
        <x:v>0</x:v>
      </x:c>
      <x:c r="AI1038" t="n">
        <x:f>--AND(Q1038=1,AF1038=1,AE1038="HALLUCINATION")</x:f>
        <x:v>0</x:v>
      </x:c>
      <x:c r="AJ1038" t="n">
        <x:f>--AND(AI1038=1,R1038=1,S1038=1)</x:f>
        <x:v>0</x:v>
      </x:c>
    </x:row>
    <x:row r="1039">
      <x:c r="A1039" s="28"/>
      <x:c r="B1039" s="28"/>
      <x:c r="C1039" s="28"/>
      <x:c r="D1039" s="28"/>
      <x:c r="E1039" s="28"/>
      <x:c r="F1039" s="28"/>
      <x:c r="G1039" s="28"/>
      <x:c r="H1039" s="28"/>
      <x:c r="I1039" s="28"/>
      <x:c r="J1039" s="28"/>
      <x:c r="K1039" s="28"/>
      <x:c r="L1039" s="28"/>
      <x:c r="M1039" s="28"/>
      <x:c r="N1039" s="28"/>
      <x:c r="O1039" s="28"/>
      <x:c r="P1039" s="28"/>
      <x:c r="Q1039" s="28"/>
      <x:c r="R1039" s="28"/>
      <x:c r="S1039" s="28"/>
      <x:c r="T1039" s="28"/>
      <x:c r="U1039" s="28"/>
      <x:c r="V1039" s="28"/>
      <x:c r="W1039" s="43" t="n">
        <x:f>--AND(N1039=1,OR(O1039="SUPPORTED",O1039="HALLUCINATION"))</x:f>
        <x:v>0</x:v>
      </x:c>
      <x:c r="X1039" s="43" t="n">
        <x:f>--AND(W1039=1,O1039="HALLUCINATION")</x:f>
        <x:v>0</x:v>
      </x:c>
      <x:c r="Y1039" s="43" t="n">
        <x:f>--AND(Q1039=1,O1039="HALLUCINATION")</x:f>
        <x:v>0</x:v>
      </x:c>
      <x:c r="Z1039" s="43" t="n">
        <x:f>--AND(Y1039=1,R1039=1,S1039=1)</x:f>
        <x:v>0</x:v>
      </x:c>
      <x:c r="AC1039" t="str">
        <x:f>IF(OR(AA1039="",AB1039=""),"",--(AA1039&lt;&gt;AB1039))</x:f>
      </x:c>
      <x:c r="AE1039" t="str">
        <x:f>IF(OR(AA1039="",AB1039=""),"PENDING_HUMAN",IF(AA1039=AB1039,AA1039,IF(AD1039&lt;&gt;"",AD1039,"PENDING_HUMAN")))</x:f>
        <x:v>PENDING_HUMAN</x:v>
      </x:c>
      <x:c r="AF1039" t="n">
        <x:f>--AND(A1039&lt;&gt;"",AA1039&lt;&gt;"",AB1039&lt;&gt;"",OR(AA1039=AB1039,AD1039&lt;&gt;""),IF(AE1039="HALLUCINATION",U1039&lt;&gt;"",TRUE))</x:f>
        <x:v>0</x:v>
      </x:c>
      <x:c r="AG1039" t="n">
        <x:f>--AND(N1039=1,AF1039=1,OR(AE1039="SUPPORTED",AE1039="HALLUCINATION"))</x:f>
        <x:v>0</x:v>
      </x:c>
      <x:c r="AH1039" t="n">
        <x:f>--AND(AG1039=1,AE1039="HALLUCINATION")</x:f>
        <x:v>0</x:v>
      </x:c>
      <x:c r="AI1039" t="n">
        <x:f>--AND(Q1039=1,AF1039=1,AE1039="HALLUCINATION")</x:f>
        <x:v>0</x:v>
      </x:c>
      <x:c r="AJ1039" t="n">
        <x:f>--AND(AI1039=1,R1039=1,S1039=1)</x:f>
        <x:v>0</x:v>
      </x:c>
    </x:row>
    <x:row r="1040">
      <x:c r="A1040" s="28"/>
      <x:c r="B1040" s="28"/>
      <x:c r="C1040" s="28"/>
      <x:c r="D1040" s="28"/>
      <x:c r="E1040" s="28"/>
      <x:c r="F1040" s="28"/>
      <x:c r="G1040" s="28"/>
      <x:c r="H1040" s="28"/>
      <x:c r="I1040" s="28"/>
      <x:c r="J1040" s="28"/>
      <x:c r="K1040" s="28"/>
      <x:c r="L1040" s="28"/>
      <x:c r="M1040" s="28"/>
      <x:c r="N1040" s="28"/>
      <x:c r="O1040" s="28"/>
      <x:c r="P1040" s="28"/>
      <x:c r="Q1040" s="28"/>
      <x:c r="R1040" s="28"/>
      <x:c r="S1040" s="28"/>
      <x:c r="T1040" s="28"/>
      <x:c r="U1040" s="28"/>
      <x:c r="V1040" s="28"/>
      <x:c r="W1040" s="43" t="n">
        <x:f>--AND(N1040=1,OR(O1040="SUPPORTED",O1040="HALLUCINATION"))</x:f>
        <x:v>0</x:v>
      </x:c>
      <x:c r="X1040" s="43" t="n">
        <x:f>--AND(W1040=1,O1040="HALLUCINATION")</x:f>
        <x:v>0</x:v>
      </x:c>
      <x:c r="Y1040" s="43" t="n">
        <x:f>--AND(Q1040=1,O1040="HALLUCINATION")</x:f>
        <x:v>0</x:v>
      </x:c>
      <x:c r="Z1040" s="43" t="n">
        <x:f>--AND(Y1040=1,R1040=1,S1040=1)</x:f>
        <x:v>0</x:v>
      </x:c>
      <x:c r="AC1040" t="str">
        <x:f>IF(OR(AA1040="",AB1040=""),"",--(AA1040&lt;&gt;AB1040))</x:f>
      </x:c>
      <x:c r="AE1040" t="str">
        <x:f>IF(OR(AA1040="",AB1040=""),"PENDING_HUMAN",IF(AA1040=AB1040,AA1040,IF(AD1040&lt;&gt;"",AD1040,"PENDING_HUMAN")))</x:f>
        <x:v>PENDING_HUMAN</x:v>
      </x:c>
      <x:c r="AF1040" t="n">
        <x:f>--AND(A1040&lt;&gt;"",AA1040&lt;&gt;"",AB1040&lt;&gt;"",OR(AA1040=AB1040,AD1040&lt;&gt;""),IF(AE1040="HALLUCINATION",U1040&lt;&gt;"",TRUE))</x:f>
        <x:v>0</x:v>
      </x:c>
      <x:c r="AG1040" t="n">
        <x:f>--AND(N1040=1,AF1040=1,OR(AE1040="SUPPORTED",AE1040="HALLUCINATION"))</x:f>
        <x:v>0</x:v>
      </x:c>
      <x:c r="AH1040" t="n">
        <x:f>--AND(AG1040=1,AE1040="HALLUCINATION")</x:f>
        <x:v>0</x:v>
      </x:c>
      <x:c r="AI1040" t="n">
        <x:f>--AND(Q1040=1,AF1040=1,AE1040="HALLUCINATION")</x:f>
        <x:v>0</x:v>
      </x:c>
      <x:c r="AJ1040" t="n">
        <x:f>--AND(AI1040=1,R1040=1,S1040=1)</x:f>
        <x:v>0</x:v>
      </x:c>
    </x:row>
    <x:row r="1041">
      <x:c r="A1041" s="28"/>
      <x:c r="B1041" s="28"/>
      <x:c r="C1041" s="28"/>
      <x:c r="D1041" s="28"/>
      <x:c r="E1041" s="28"/>
      <x:c r="F1041" s="28"/>
      <x:c r="G1041" s="28"/>
      <x:c r="H1041" s="28"/>
      <x:c r="I1041" s="28"/>
      <x:c r="J1041" s="28"/>
      <x:c r="K1041" s="28"/>
      <x:c r="L1041" s="28"/>
      <x:c r="M1041" s="28"/>
      <x:c r="N1041" s="28"/>
      <x:c r="O1041" s="28"/>
      <x:c r="P1041" s="28"/>
      <x:c r="Q1041" s="28"/>
      <x:c r="R1041" s="28"/>
      <x:c r="S1041" s="28"/>
      <x:c r="T1041" s="28"/>
      <x:c r="U1041" s="28"/>
      <x:c r="V1041" s="28"/>
      <x:c r="W1041" s="43" t="n">
        <x:f>--AND(N1041=1,OR(O1041="SUPPORTED",O1041="HALLUCINATION"))</x:f>
        <x:v>0</x:v>
      </x:c>
      <x:c r="X1041" s="43" t="n">
        <x:f>--AND(W1041=1,O1041="HALLUCINATION")</x:f>
        <x:v>0</x:v>
      </x:c>
      <x:c r="Y1041" s="43" t="n">
        <x:f>--AND(Q1041=1,O1041="HALLUCINATION")</x:f>
        <x:v>0</x:v>
      </x:c>
      <x:c r="Z1041" s="43" t="n">
        <x:f>--AND(Y1041=1,R1041=1,S1041=1)</x:f>
        <x:v>0</x:v>
      </x:c>
      <x:c r="AC1041" t="str">
        <x:f>IF(OR(AA1041="",AB1041=""),"",--(AA1041&lt;&gt;AB1041))</x:f>
      </x:c>
      <x:c r="AE1041" t="str">
        <x:f>IF(OR(AA1041="",AB1041=""),"PENDING_HUMAN",IF(AA1041=AB1041,AA1041,IF(AD1041&lt;&gt;"",AD1041,"PENDING_HUMAN")))</x:f>
        <x:v>PENDING_HUMAN</x:v>
      </x:c>
      <x:c r="AF1041" t="n">
        <x:f>--AND(A1041&lt;&gt;"",AA1041&lt;&gt;"",AB1041&lt;&gt;"",OR(AA1041=AB1041,AD1041&lt;&gt;""),IF(AE1041="HALLUCINATION",U1041&lt;&gt;"",TRUE))</x:f>
        <x:v>0</x:v>
      </x:c>
      <x:c r="AG1041" t="n">
        <x:f>--AND(N1041=1,AF1041=1,OR(AE1041="SUPPORTED",AE1041="HALLUCINATION"))</x:f>
        <x:v>0</x:v>
      </x:c>
      <x:c r="AH1041" t="n">
        <x:f>--AND(AG1041=1,AE1041="HALLUCINATION")</x:f>
        <x:v>0</x:v>
      </x:c>
      <x:c r="AI1041" t="n">
        <x:f>--AND(Q1041=1,AF1041=1,AE1041="HALLUCINATION")</x:f>
        <x:v>0</x:v>
      </x:c>
      <x:c r="AJ1041" t="n">
        <x:f>--AND(AI1041=1,R1041=1,S1041=1)</x:f>
        <x:v>0</x:v>
      </x:c>
    </x:row>
    <x:row r="1042">
      <x:c r="A1042" s="28"/>
      <x:c r="B1042" s="28"/>
      <x:c r="C1042" s="28"/>
      <x:c r="D1042" s="28"/>
      <x:c r="E1042" s="28"/>
      <x:c r="F1042" s="28"/>
      <x:c r="G1042" s="28"/>
      <x:c r="H1042" s="28"/>
      <x:c r="I1042" s="28"/>
      <x:c r="J1042" s="28"/>
      <x:c r="K1042" s="28"/>
      <x:c r="L1042" s="28"/>
      <x:c r="M1042" s="28"/>
      <x:c r="N1042" s="28"/>
      <x:c r="O1042" s="28"/>
      <x:c r="P1042" s="28"/>
      <x:c r="Q1042" s="28"/>
      <x:c r="R1042" s="28"/>
      <x:c r="S1042" s="28"/>
      <x:c r="T1042" s="28"/>
      <x:c r="U1042" s="28"/>
      <x:c r="V1042" s="28"/>
      <x:c r="W1042" s="43" t="n">
        <x:f>--AND(N1042=1,OR(O1042="SUPPORTED",O1042="HALLUCINATION"))</x:f>
        <x:v>0</x:v>
      </x:c>
      <x:c r="X1042" s="43" t="n">
        <x:f>--AND(W1042=1,O1042="HALLUCINATION")</x:f>
        <x:v>0</x:v>
      </x:c>
      <x:c r="Y1042" s="43" t="n">
        <x:f>--AND(Q1042=1,O1042="HALLUCINATION")</x:f>
        <x:v>0</x:v>
      </x:c>
      <x:c r="Z1042" s="43" t="n">
        <x:f>--AND(Y1042=1,R1042=1,S1042=1)</x:f>
        <x:v>0</x:v>
      </x:c>
      <x:c r="AC1042" t="str">
        <x:f>IF(OR(AA1042="",AB1042=""),"",--(AA1042&lt;&gt;AB1042))</x:f>
      </x:c>
      <x:c r="AE1042" t="str">
        <x:f>IF(OR(AA1042="",AB1042=""),"PENDING_HUMAN",IF(AA1042=AB1042,AA1042,IF(AD1042&lt;&gt;"",AD1042,"PENDING_HUMAN")))</x:f>
        <x:v>PENDING_HUMAN</x:v>
      </x:c>
      <x:c r="AF1042" t="n">
        <x:f>--AND(A1042&lt;&gt;"",AA1042&lt;&gt;"",AB1042&lt;&gt;"",OR(AA1042=AB1042,AD1042&lt;&gt;""),IF(AE1042="HALLUCINATION",U1042&lt;&gt;"",TRUE))</x:f>
        <x:v>0</x:v>
      </x:c>
      <x:c r="AG1042" t="n">
        <x:f>--AND(N1042=1,AF1042=1,OR(AE1042="SUPPORTED",AE1042="HALLUCINATION"))</x:f>
        <x:v>0</x:v>
      </x:c>
      <x:c r="AH1042" t="n">
        <x:f>--AND(AG1042=1,AE1042="HALLUCINATION")</x:f>
        <x:v>0</x:v>
      </x:c>
      <x:c r="AI1042" t="n">
        <x:f>--AND(Q1042=1,AF1042=1,AE1042="HALLUCINATION")</x:f>
        <x:v>0</x:v>
      </x:c>
      <x:c r="AJ1042" t="n">
        <x:f>--AND(AI1042=1,R1042=1,S1042=1)</x:f>
        <x:v>0</x:v>
      </x:c>
    </x:row>
    <x:row r="1043">
      <x:c r="A1043" s="28"/>
      <x:c r="B1043" s="28"/>
      <x:c r="C1043" s="28"/>
      <x:c r="D1043" s="28"/>
      <x:c r="E1043" s="28"/>
      <x:c r="F1043" s="28"/>
      <x:c r="G1043" s="28"/>
      <x:c r="H1043" s="28"/>
      <x:c r="I1043" s="28"/>
      <x:c r="J1043" s="28"/>
      <x:c r="K1043" s="28"/>
      <x:c r="L1043" s="28"/>
      <x:c r="M1043" s="28"/>
      <x:c r="N1043" s="28"/>
      <x:c r="O1043" s="28"/>
      <x:c r="P1043" s="28"/>
      <x:c r="Q1043" s="28"/>
      <x:c r="R1043" s="28"/>
      <x:c r="S1043" s="28"/>
      <x:c r="T1043" s="28"/>
      <x:c r="U1043" s="28"/>
      <x:c r="V1043" s="28"/>
      <x:c r="W1043" s="43" t="n">
        <x:f>--AND(N1043=1,OR(O1043="SUPPORTED",O1043="HALLUCINATION"))</x:f>
        <x:v>0</x:v>
      </x:c>
      <x:c r="X1043" s="43" t="n">
        <x:f>--AND(W1043=1,O1043="HALLUCINATION")</x:f>
        <x:v>0</x:v>
      </x:c>
      <x:c r="Y1043" s="43" t="n">
        <x:f>--AND(Q1043=1,O1043="HALLUCINATION")</x:f>
        <x:v>0</x:v>
      </x:c>
      <x:c r="Z1043" s="43" t="n">
        <x:f>--AND(Y1043=1,R1043=1,S1043=1)</x:f>
        <x:v>0</x:v>
      </x:c>
      <x:c r="AC1043" t="str">
        <x:f>IF(OR(AA1043="",AB1043=""),"",--(AA1043&lt;&gt;AB1043))</x:f>
      </x:c>
      <x:c r="AE1043" t="str">
        <x:f>IF(OR(AA1043="",AB1043=""),"PENDING_HUMAN",IF(AA1043=AB1043,AA1043,IF(AD1043&lt;&gt;"",AD1043,"PENDING_HUMAN")))</x:f>
        <x:v>PENDING_HUMAN</x:v>
      </x:c>
      <x:c r="AF1043" t="n">
        <x:f>--AND(A1043&lt;&gt;"",AA1043&lt;&gt;"",AB1043&lt;&gt;"",OR(AA1043=AB1043,AD1043&lt;&gt;""),IF(AE1043="HALLUCINATION",U1043&lt;&gt;"",TRUE))</x:f>
        <x:v>0</x:v>
      </x:c>
      <x:c r="AG1043" t="n">
        <x:f>--AND(N1043=1,AF1043=1,OR(AE1043="SUPPORTED",AE1043="HALLUCINATION"))</x:f>
        <x:v>0</x:v>
      </x:c>
      <x:c r="AH1043" t="n">
        <x:f>--AND(AG1043=1,AE1043="HALLUCINATION")</x:f>
        <x:v>0</x:v>
      </x:c>
      <x:c r="AI1043" t="n">
        <x:f>--AND(Q1043=1,AF1043=1,AE1043="HALLUCINATION")</x:f>
        <x:v>0</x:v>
      </x:c>
      <x:c r="AJ1043" t="n">
        <x:f>--AND(AI1043=1,R1043=1,S1043=1)</x:f>
        <x:v>0</x:v>
      </x:c>
    </x:row>
    <x:row r="1044">
      <x:c r="A1044" s="28"/>
      <x:c r="B1044" s="28"/>
      <x:c r="C1044" s="28"/>
      <x:c r="D1044" s="28"/>
      <x:c r="E1044" s="28"/>
      <x:c r="F1044" s="28"/>
      <x:c r="G1044" s="28"/>
      <x:c r="H1044" s="28"/>
      <x:c r="I1044" s="28"/>
      <x:c r="J1044" s="28"/>
      <x:c r="K1044" s="28"/>
      <x:c r="L1044" s="28"/>
      <x:c r="M1044" s="28"/>
      <x:c r="N1044" s="28"/>
      <x:c r="O1044" s="28"/>
      <x:c r="P1044" s="28"/>
      <x:c r="Q1044" s="28"/>
      <x:c r="R1044" s="28"/>
      <x:c r="S1044" s="28"/>
      <x:c r="T1044" s="28"/>
      <x:c r="U1044" s="28"/>
      <x:c r="V1044" s="28"/>
      <x:c r="W1044" s="43" t="n">
        <x:f>--AND(N1044=1,OR(O1044="SUPPORTED",O1044="HALLUCINATION"))</x:f>
        <x:v>0</x:v>
      </x:c>
      <x:c r="X1044" s="43" t="n">
        <x:f>--AND(W1044=1,O1044="HALLUCINATION")</x:f>
        <x:v>0</x:v>
      </x:c>
      <x:c r="Y1044" s="43" t="n">
        <x:f>--AND(Q1044=1,O1044="HALLUCINATION")</x:f>
        <x:v>0</x:v>
      </x:c>
      <x:c r="Z1044" s="43" t="n">
        <x:f>--AND(Y1044=1,R1044=1,S1044=1)</x:f>
        <x:v>0</x:v>
      </x:c>
      <x:c r="AC1044" t="str">
        <x:f>IF(OR(AA1044="",AB1044=""),"",--(AA1044&lt;&gt;AB1044))</x:f>
      </x:c>
      <x:c r="AE1044" t="str">
        <x:f>IF(OR(AA1044="",AB1044=""),"PENDING_HUMAN",IF(AA1044=AB1044,AA1044,IF(AD1044&lt;&gt;"",AD1044,"PENDING_HUMAN")))</x:f>
        <x:v>PENDING_HUMAN</x:v>
      </x:c>
      <x:c r="AF1044" t="n">
        <x:f>--AND(A1044&lt;&gt;"",AA1044&lt;&gt;"",AB1044&lt;&gt;"",OR(AA1044=AB1044,AD1044&lt;&gt;""),IF(AE1044="HALLUCINATION",U1044&lt;&gt;"",TRUE))</x:f>
        <x:v>0</x:v>
      </x:c>
      <x:c r="AG1044" t="n">
        <x:f>--AND(N1044=1,AF1044=1,OR(AE1044="SUPPORTED",AE1044="HALLUCINATION"))</x:f>
        <x:v>0</x:v>
      </x:c>
      <x:c r="AH1044" t="n">
        <x:f>--AND(AG1044=1,AE1044="HALLUCINATION")</x:f>
        <x:v>0</x:v>
      </x:c>
      <x:c r="AI1044" t="n">
        <x:f>--AND(Q1044=1,AF1044=1,AE1044="HALLUCINATION")</x:f>
        <x:v>0</x:v>
      </x:c>
      <x:c r="AJ1044" t="n">
        <x:f>--AND(AI1044=1,R1044=1,S1044=1)</x:f>
        <x:v>0</x:v>
      </x:c>
    </x:row>
    <x:row r="1045">
      <x:c r="A1045" s="28"/>
      <x:c r="B1045" s="28"/>
      <x:c r="C1045" s="28"/>
      <x:c r="D1045" s="28"/>
      <x:c r="E1045" s="28"/>
      <x:c r="F1045" s="28"/>
      <x:c r="G1045" s="28"/>
      <x:c r="H1045" s="28"/>
      <x:c r="I1045" s="28"/>
      <x:c r="J1045" s="28"/>
      <x:c r="K1045" s="28"/>
      <x:c r="L1045" s="28"/>
      <x:c r="M1045" s="28"/>
      <x:c r="N1045" s="28"/>
      <x:c r="O1045" s="28"/>
      <x:c r="P1045" s="28"/>
      <x:c r="Q1045" s="28"/>
      <x:c r="R1045" s="28"/>
      <x:c r="S1045" s="28"/>
      <x:c r="T1045" s="28"/>
      <x:c r="U1045" s="28"/>
      <x:c r="V1045" s="28"/>
      <x:c r="W1045" s="43" t="n">
        <x:f>--AND(N1045=1,OR(O1045="SUPPORTED",O1045="HALLUCINATION"))</x:f>
        <x:v>0</x:v>
      </x:c>
      <x:c r="X1045" s="43" t="n">
        <x:f>--AND(W1045=1,O1045="HALLUCINATION")</x:f>
        <x:v>0</x:v>
      </x:c>
      <x:c r="Y1045" s="43" t="n">
        <x:f>--AND(Q1045=1,O1045="HALLUCINATION")</x:f>
        <x:v>0</x:v>
      </x:c>
      <x:c r="Z1045" s="43" t="n">
        <x:f>--AND(Y1045=1,R1045=1,S1045=1)</x:f>
        <x:v>0</x:v>
      </x:c>
      <x:c r="AC1045" t="str">
        <x:f>IF(OR(AA1045="",AB1045=""),"",--(AA1045&lt;&gt;AB1045))</x:f>
      </x:c>
      <x:c r="AE1045" t="str">
        <x:f>IF(OR(AA1045="",AB1045=""),"PENDING_HUMAN",IF(AA1045=AB1045,AA1045,IF(AD1045&lt;&gt;"",AD1045,"PENDING_HUMAN")))</x:f>
        <x:v>PENDING_HUMAN</x:v>
      </x:c>
      <x:c r="AF1045" t="n">
        <x:f>--AND(A1045&lt;&gt;"",AA1045&lt;&gt;"",AB1045&lt;&gt;"",OR(AA1045=AB1045,AD1045&lt;&gt;""),IF(AE1045="HALLUCINATION",U1045&lt;&gt;"",TRUE))</x:f>
        <x:v>0</x:v>
      </x:c>
      <x:c r="AG1045" t="n">
        <x:f>--AND(N1045=1,AF1045=1,OR(AE1045="SUPPORTED",AE1045="HALLUCINATION"))</x:f>
        <x:v>0</x:v>
      </x:c>
      <x:c r="AH1045" t="n">
        <x:f>--AND(AG1045=1,AE1045="HALLUCINATION")</x:f>
        <x:v>0</x:v>
      </x:c>
      <x:c r="AI1045" t="n">
        <x:f>--AND(Q1045=1,AF1045=1,AE1045="HALLUCINATION")</x:f>
        <x:v>0</x:v>
      </x:c>
      <x:c r="AJ1045" t="n">
        <x:f>--AND(AI1045=1,R1045=1,S1045=1)</x:f>
        <x:v>0</x:v>
      </x:c>
    </x:row>
    <x:row r="1046">
      <x:c r="A1046" s="28"/>
      <x:c r="B1046" s="28"/>
      <x:c r="C1046" s="28"/>
      <x:c r="D1046" s="28"/>
      <x:c r="E1046" s="28"/>
      <x:c r="F1046" s="28"/>
      <x:c r="G1046" s="28"/>
      <x:c r="H1046" s="28"/>
      <x:c r="I1046" s="28"/>
      <x:c r="J1046" s="28"/>
      <x:c r="K1046" s="28"/>
      <x:c r="L1046" s="28"/>
      <x:c r="M1046" s="28"/>
      <x:c r="N1046" s="28"/>
      <x:c r="O1046" s="28"/>
      <x:c r="P1046" s="28"/>
      <x:c r="Q1046" s="28"/>
      <x:c r="R1046" s="28"/>
      <x:c r="S1046" s="28"/>
      <x:c r="T1046" s="28"/>
      <x:c r="U1046" s="28"/>
      <x:c r="V1046" s="28"/>
      <x:c r="W1046" s="43" t="n">
        <x:f>--AND(N1046=1,OR(O1046="SUPPORTED",O1046="HALLUCINATION"))</x:f>
        <x:v>0</x:v>
      </x:c>
      <x:c r="X1046" s="43" t="n">
        <x:f>--AND(W1046=1,O1046="HALLUCINATION")</x:f>
        <x:v>0</x:v>
      </x:c>
      <x:c r="Y1046" s="43" t="n">
        <x:f>--AND(Q1046=1,O1046="HALLUCINATION")</x:f>
        <x:v>0</x:v>
      </x:c>
      <x:c r="Z1046" s="43" t="n">
        <x:f>--AND(Y1046=1,R1046=1,S1046=1)</x:f>
        <x:v>0</x:v>
      </x:c>
      <x:c r="AC1046" t="str">
        <x:f>IF(OR(AA1046="",AB1046=""),"",--(AA1046&lt;&gt;AB1046))</x:f>
      </x:c>
      <x:c r="AE1046" t="str">
        <x:f>IF(OR(AA1046="",AB1046=""),"PENDING_HUMAN",IF(AA1046=AB1046,AA1046,IF(AD1046&lt;&gt;"",AD1046,"PENDING_HUMAN")))</x:f>
        <x:v>PENDING_HUMAN</x:v>
      </x:c>
      <x:c r="AF1046" t="n">
        <x:f>--AND(A1046&lt;&gt;"",AA1046&lt;&gt;"",AB1046&lt;&gt;"",OR(AA1046=AB1046,AD1046&lt;&gt;""),IF(AE1046="HALLUCINATION",U1046&lt;&gt;"",TRUE))</x:f>
        <x:v>0</x:v>
      </x:c>
      <x:c r="AG1046" t="n">
        <x:f>--AND(N1046=1,AF1046=1,OR(AE1046="SUPPORTED",AE1046="HALLUCINATION"))</x:f>
        <x:v>0</x:v>
      </x:c>
      <x:c r="AH1046" t="n">
        <x:f>--AND(AG1046=1,AE1046="HALLUCINATION")</x:f>
        <x:v>0</x:v>
      </x:c>
      <x:c r="AI1046" t="n">
        <x:f>--AND(Q1046=1,AF1046=1,AE1046="HALLUCINATION")</x:f>
        <x:v>0</x:v>
      </x:c>
      <x:c r="AJ1046" t="n">
        <x:f>--AND(AI1046=1,R1046=1,S1046=1)</x:f>
        <x:v>0</x:v>
      </x:c>
    </x:row>
    <x:row r="1047">
      <x:c r="A1047" s="28"/>
      <x:c r="B1047" s="28"/>
      <x:c r="C1047" s="28"/>
      <x:c r="D1047" s="28"/>
      <x:c r="E1047" s="28"/>
      <x:c r="F1047" s="28"/>
      <x:c r="G1047" s="28"/>
      <x:c r="H1047" s="28"/>
      <x:c r="I1047" s="28"/>
      <x:c r="J1047" s="28"/>
      <x:c r="K1047" s="28"/>
      <x:c r="L1047" s="28"/>
      <x:c r="M1047" s="28"/>
      <x:c r="N1047" s="28"/>
      <x:c r="O1047" s="28"/>
      <x:c r="P1047" s="28"/>
      <x:c r="Q1047" s="28"/>
      <x:c r="R1047" s="28"/>
      <x:c r="S1047" s="28"/>
      <x:c r="T1047" s="28"/>
      <x:c r="U1047" s="28"/>
      <x:c r="V1047" s="28"/>
      <x:c r="W1047" s="43" t="n">
        <x:f>--AND(N1047=1,OR(O1047="SUPPORTED",O1047="HALLUCINATION"))</x:f>
        <x:v>0</x:v>
      </x:c>
      <x:c r="X1047" s="43" t="n">
        <x:f>--AND(W1047=1,O1047="HALLUCINATION")</x:f>
        <x:v>0</x:v>
      </x:c>
      <x:c r="Y1047" s="43" t="n">
        <x:f>--AND(Q1047=1,O1047="HALLUCINATION")</x:f>
        <x:v>0</x:v>
      </x:c>
      <x:c r="Z1047" s="43" t="n">
        <x:f>--AND(Y1047=1,R1047=1,S1047=1)</x:f>
        <x:v>0</x:v>
      </x:c>
      <x:c r="AC1047" t="str">
        <x:f>IF(OR(AA1047="",AB1047=""),"",--(AA1047&lt;&gt;AB1047))</x:f>
      </x:c>
      <x:c r="AE1047" t="str">
        <x:f>IF(OR(AA1047="",AB1047=""),"PENDING_HUMAN",IF(AA1047=AB1047,AA1047,IF(AD1047&lt;&gt;"",AD1047,"PENDING_HUMAN")))</x:f>
        <x:v>PENDING_HUMAN</x:v>
      </x:c>
      <x:c r="AF1047" t="n">
        <x:f>--AND(A1047&lt;&gt;"",AA1047&lt;&gt;"",AB1047&lt;&gt;"",OR(AA1047=AB1047,AD1047&lt;&gt;""),IF(AE1047="HALLUCINATION",U1047&lt;&gt;"",TRUE))</x:f>
        <x:v>0</x:v>
      </x:c>
      <x:c r="AG1047" t="n">
        <x:f>--AND(N1047=1,AF1047=1,OR(AE1047="SUPPORTED",AE1047="HALLUCINATION"))</x:f>
        <x:v>0</x:v>
      </x:c>
      <x:c r="AH1047" t="n">
        <x:f>--AND(AG1047=1,AE1047="HALLUCINATION")</x:f>
        <x:v>0</x:v>
      </x:c>
      <x:c r="AI1047" t="n">
        <x:f>--AND(Q1047=1,AF1047=1,AE1047="HALLUCINATION")</x:f>
        <x:v>0</x:v>
      </x:c>
      <x:c r="AJ1047" t="n">
        <x:f>--AND(AI1047=1,R1047=1,S1047=1)</x:f>
        <x:v>0</x:v>
      </x:c>
    </x:row>
    <x:row r="1048">
      <x:c r="A1048" s="28"/>
      <x:c r="B1048" s="28"/>
      <x:c r="C1048" s="28"/>
      <x:c r="D1048" s="28"/>
      <x:c r="E1048" s="28"/>
      <x:c r="F1048" s="28"/>
      <x:c r="G1048" s="28"/>
      <x:c r="H1048" s="28"/>
      <x:c r="I1048" s="28"/>
      <x:c r="J1048" s="28"/>
      <x:c r="K1048" s="28"/>
      <x:c r="L1048" s="28"/>
      <x:c r="M1048" s="28"/>
      <x:c r="N1048" s="28"/>
      <x:c r="O1048" s="28"/>
      <x:c r="P1048" s="28"/>
      <x:c r="Q1048" s="28"/>
      <x:c r="R1048" s="28"/>
      <x:c r="S1048" s="28"/>
      <x:c r="T1048" s="28"/>
      <x:c r="U1048" s="28"/>
      <x:c r="V1048" s="28"/>
      <x:c r="W1048" s="43" t="n">
        <x:f>--AND(N1048=1,OR(O1048="SUPPORTED",O1048="HALLUCINATION"))</x:f>
        <x:v>0</x:v>
      </x:c>
      <x:c r="X1048" s="43" t="n">
        <x:f>--AND(W1048=1,O1048="HALLUCINATION")</x:f>
        <x:v>0</x:v>
      </x:c>
      <x:c r="Y1048" s="43" t="n">
        <x:f>--AND(Q1048=1,O1048="HALLUCINATION")</x:f>
        <x:v>0</x:v>
      </x:c>
      <x:c r="Z1048" s="43" t="n">
        <x:f>--AND(Y1048=1,R1048=1,S1048=1)</x:f>
        <x:v>0</x:v>
      </x:c>
      <x:c r="AC1048" t="str">
        <x:f>IF(OR(AA1048="",AB1048=""),"",--(AA1048&lt;&gt;AB1048))</x:f>
      </x:c>
      <x:c r="AE1048" t="str">
        <x:f>IF(OR(AA1048="",AB1048=""),"PENDING_HUMAN",IF(AA1048=AB1048,AA1048,IF(AD1048&lt;&gt;"",AD1048,"PENDING_HUMAN")))</x:f>
        <x:v>PENDING_HUMAN</x:v>
      </x:c>
      <x:c r="AF1048" t="n">
        <x:f>--AND(A1048&lt;&gt;"",AA1048&lt;&gt;"",AB1048&lt;&gt;"",OR(AA1048=AB1048,AD1048&lt;&gt;""),IF(AE1048="HALLUCINATION",U1048&lt;&gt;"",TRUE))</x:f>
        <x:v>0</x:v>
      </x:c>
      <x:c r="AG1048" t="n">
        <x:f>--AND(N1048=1,AF1048=1,OR(AE1048="SUPPORTED",AE1048="HALLUCINATION"))</x:f>
        <x:v>0</x:v>
      </x:c>
      <x:c r="AH1048" t="n">
        <x:f>--AND(AG1048=1,AE1048="HALLUCINATION")</x:f>
        <x:v>0</x:v>
      </x:c>
      <x:c r="AI1048" t="n">
        <x:f>--AND(Q1048=1,AF1048=1,AE1048="HALLUCINATION")</x:f>
        <x:v>0</x:v>
      </x:c>
      <x:c r="AJ1048" t="n">
        <x:f>--AND(AI1048=1,R1048=1,S1048=1)</x:f>
        <x:v>0</x:v>
      </x:c>
    </x:row>
    <x:row r="1049">
      <x:c r="A1049" s="28"/>
      <x:c r="B1049" s="28"/>
      <x:c r="C1049" s="28"/>
      <x:c r="D1049" s="28"/>
      <x:c r="E1049" s="28"/>
      <x:c r="F1049" s="28"/>
      <x:c r="G1049" s="28"/>
      <x:c r="H1049" s="28"/>
      <x:c r="I1049" s="28"/>
      <x:c r="J1049" s="28"/>
      <x:c r="K1049" s="28"/>
      <x:c r="L1049" s="28"/>
      <x:c r="M1049" s="28"/>
      <x:c r="N1049" s="28"/>
      <x:c r="O1049" s="28"/>
      <x:c r="P1049" s="28"/>
      <x:c r="Q1049" s="28"/>
      <x:c r="R1049" s="28"/>
      <x:c r="S1049" s="28"/>
      <x:c r="T1049" s="28"/>
      <x:c r="U1049" s="28"/>
      <x:c r="V1049" s="28"/>
      <x:c r="W1049" s="43" t="n">
        <x:f>--AND(N1049=1,OR(O1049="SUPPORTED",O1049="HALLUCINATION"))</x:f>
        <x:v>0</x:v>
      </x:c>
      <x:c r="X1049" s="43" t="n">
        <x:f>--AND(W1049=1,O1049="HALLUCINATION")</x:f>
        <x:v>0</x:v>
      </x:c>
      <x:c r="Y1049" s="43" t="n">
        <x:f>--AND(Q1049=1,O1049="HALLUCINATION")</x:f>
        <x:v>0</x:v>
      </x:c>
      <x:c r="Z1049" s="43" t="n">
        <x:f>--AND(Y1049=1,R1049=1,S1049=1)</x:f>
        <x:v>0</x:v>
      </x:c>
      <x:c r="AC1049" t="str">
        <x:f>IF(OR(AA1049="",AB1049=""),"",--(AA1049&lt;&gt;AB1049))</x:f>
      </x:c>
      <x:c r="AE1049" t="str">
        <x:f>IF(OR(AA1049="",AB1049=""),"PENDING_HUMAN",IF(AA1049=AB1049,AA1049,IF(AD1049&lt;&gt;"",AD1049,"PENDING_HUMAN")))</x:f>
        <x:v>PENDING_HUMAN</x:v>
      </x:c>
      <x:c r="AF1049" t="n">
        <x:f>--AND(A1049&lt;&gt;"",AA1049&lt;&gt;"",AB1049&lt;&gt;"",OR(AA1049=AB1049,AD1049&lt;&gt;""),IF(AE1049="HALLUCINATION",U1049&lt;&gt;"",TRUE))</x:f>
        <x:v>0</x:v>
      </x:c>
      <x:c r="AG1049" t="n">
        <x:f>--AND(N1049=1,AF1049=1,OR(AE1049="SUPPORTED",AE1049="HALLUCINATION"))</x:f>
        <x:v>0</x:v>
      </x:c>
      <x:c r="AH1049" t="n">
        <x:f>--AND(AG1049=1,AE1049="HALLUCINATION")</x:f>
        <x:v>0</x:v>
      </x:c>
      <x:c r="AI1049" t="n">
        <x:f>--AND(Q1049=1,AF1049=1,AE1049="HALLUCINATION")</x:f>
        <x:v>0</x:v>
      </x:c>
      <x:c r="AJ1049" t="n">
        <x:f>--AND(AI1049=1,R1049=1,S1049=1)</x:f>
        <x:v>0</x:v>
      </x:c>
    </x:row>
    <x:row r="1050">
      <x:c r="A1050" s="28"/>
      <x:c r="B1050" s="28"/>
      <x:c r="C1050" s="28"/>
      <x:c r="D1050" s="28"/>
      <x:c r="E1050" s="28"/>
      <x:c r="F1050" s="28"/>
      <x:c r="G1050" s="28"/>
      <x:c r="H1050" s="28"/>
      <x:c r="I1050" s="28"/>
      <x:c r="J1050" s="28"/>
      <x:c r="K1050" s="28"/>
      <x:c r="L1050" s="28"/>
      <x:c r="M1050" s="28"/>
      <x:c r="N1050" s="28"/>
      <x:c r="O1050" s="28"/>
      <x:c r="P1050" s="28"/>
      <x:c r="Q1050" s="28"/>
      <x:c r="R1050" s="28"/>
      <x:c r="S1050" s="28"/>
      <x:c r="T1050" s="28"/>
      <x:c r="U1050" s="28"/>
      <x:c r="V1050" s="28"/>
      <x:c r="W1050" s="43" t="n">
        <x:f>--AND(N1050=1,OR(O1050="SUPPORTED",O1050="HALLUCINATION"))</x:f>
        <x:v>0</x:v>
      </x:c>
      <x:c r="X1050" s="43" t="n">
        <x:f>--AND(W1050=1,O1050="HALLUCINATION")</x:f>
        <x:v>0</x:v>
      </x:c>
      <x:c r="Y1050" s="43" t="n">
        <x:f>--AND(Q1050=1,O1050="HALLUCINATION")</x:f>
        <x:v>0</x:v>
      </x:c>
      <x:c r="Z1050" s="43" t="n">
        <x:f>--AND(Y1050=1,R1050=1,S1050=1)</x:f>
        <x:v>0</x:v>
      </x:c>
      <x:c r="AC1050" t="str">
        <x:f>IF(OR(AA1050="",AB1050=""),"",--(AA1050&lt;&gt;AB1050))</x:f>
      </x:c>
      <x:c r="AE1050" t="str">
        <x:f>IF(OR(AA1050="",AB1050=""),"PENDING_HUMAN",IF(AA1050=AB1050,AA1050,IF(AD1050&lt;&gt;"",AD1050,"PENDING_HUMAN")))</x:f>
        <x:v>PENDING_HUMAN</x:v>
      </x:c>
      <x:c r="AF1050" t="n">
        <x:f>--AND(A1050&lt;&gt;"",AA1050&lt;&gt;"",AB1050&lt;&gt;"",OR(AA1050=AB1050,AD1050&lt;&gt;""),IF(AE1050="HALLUCINATION",U1050&lt;&gt;"",TRUE))</x:f>
        <x:v>0</x:v>
      </x:c>
      <x:c r="AG1050" t="n">
        <x:f>--AND(N1050=1,AF1050=1,OR(AE1050="SUPPORTED",AE1050="HALLUCINATION"))</x:f>
        <x:v>0</x:v>
      </x:c>
      <x:c r="AH1050" t="n">
        <x:f>--AND(AG1050=1,AE1050="HALLUCINATION")</x:f>
        <x:v>0</x:v>
      </x:c>
      <x:c r="AI1050" t="n">
        <x:f>--AND(Q1050=1,AF1050=1,AE1050="HALLUCINATION")</x:f>
        <x:v>0</x:v>
      </x:c>
      <x:c r="AJ1050" t="n">
        <x:f>--AND(AI1050=1,R1050=1,S1050=1)</x:f>
        <x:v>0</x:v>
      </x:c>
    </x:row>
    <x:row r="1051">
      <x:c r="A1051" s="28"/>
      <x:c r="B1051" s="28"/>
      <x:c r="C1051" s="28"/>
      <x:c r="D1051" s="28"/>
      <x:c r="E1051" s="28"/>
      <x:c r="F1051" s="28"/>
      <x:c r="G1051" s="28"/>
      <x:c r="H1051" s="28"/>
      <x:c r="I1051" s="28"/>
      <x:c r="J1051" s="28"/>
      <x:c r="K1051" s="28"/>
      <x:c r="L1051" s="28"/>
      <x:c r="M1051" s="28"/>
      <x:c r="N1051" s="28"/>
      <x:c r="O1051" s="28"/>
      <x:c r="P1051" s="28"/>
      <x:c r="Q1051" s="28"/>
      <x:c r="R1051" s="28"/>
      <x:c r="S1051" s="28"/>
      <x:c r="T1051" s="28"/>
      <x:c r="U1051" s="28"/>
      <x:c r="V1051" s="28"/>
      <x:c r="W1051" s="43" t="n">
        <x:f>--AND(N1051=1,OR(O1051="SUPPORTED",O1051="HALLUCINATION"))</x:f>
        <x:v>0</x:v>
      </x:c>
      <x:c r="X1051" s="43" t="n">
        <x:f>--AND(W1051=1,O1051="HALLUCINATION")</x:f>
        <x:v>0</x:v>
      </x:c>
      <x:c r="Y1051" s="43" t="n">
        <x:f>--AND(Q1051=1,O1051="HALLUCINATION")</x:f>
        <x:v>0</x:v>
      </x:c>
      <x:c r="Z1051" s="43" t="n">
        <x:f>--AND(Y1051=1,R1051=1,S1051=1)</x:f>
        <x:v>0</x:v>
      </x:c>
      <x:c r="AC1051" t="str">
        <x:f>IF(OR(AA1051="",AB1051=""),"",--(AA1051&lt;&gt;AB1051))</x:f>
      </x:c>
      <x:c r="AE1051" t="str">
        <x:f>IF(OR(AA1051="",AB1051=""),"PENDING_HUMAN",IF(AA1051=AB1051,AA1051,IF(AD1051&lt;&gt;"",AD1051,"PENDING_HUMAN")))</x:f>
        <x:v>PENDING_HUMAN</x:v>
      </x:c>
      <x:c r="AF1051" t="n">
        <x:f>--AND(A1051&lt;&gt;"",AA1051&lt;&gt;"",AB1051&lt;&gt;"",OR(AA1051=AB1051,AD1051&lt;&gt;""),IF(AE1051="HALLUCINATION",U1051&lt;&gt;"",TRUE))</x:f>
        <x:v>0</x:v>
      </x:c>
      <x:c r="AG1051" t="n">
        <x:f>--AND(N1051=1,AF1051=1,OR(AE1051="SUPPORTED",AE1051="HALLUCINATION"))</x:f>
        <x:v>0</x:v>
      </x:c>
      <x:c r="AH1051" t="n">
        <x:f>--AND(AG1051=1,AE1051="HALLUCINATION")</x:f>
        <x:v>0</x:v>
      </x:c>
      <x:c r="AI1051" t="n">
        <x:f>--AND(Q1051=1,AF1051=1,AE1051="HALLUCINATION")</x:f>
        <x:v>0</x:v>
      </x:c>
      <x:c r="AJ1051" t="n">
        <x:f>--AND(AI1051=1,R1051=1,S1051=1)</x:f>
        <x:v>0</x:v>
      </x:c>
    </x:row>
    <x:row r="1052">
      <x:c r="A1052" s="28"/>
      <x:c r="B1052" s="28"/>
      <x:c r="C1052" s="28"/>
      <x:c r="D1052" s="28"/>
      <x:c r="E1052" s="28"/>
      <x:c r="F1052" s="28"/>
      <x:c r="G1052" s="28"/>
      <x:c r="H1052" s="28"/>
      <x:c r="I1052" s="28"/>
      <x:c r="J1052" s="28"/>
      <x:c r="K1052" s="28"/>
      <x:c r="L1052" s="28"/>
      <x:c r="M1052" s="28"/>
      <x:c r="N1052" s="28"/>
      <x:c r="O1052" s="28"/>
      <x:c r="P1052" s="28"/>
      <x:c r="Q1052" s="28"/>
      <x:c r="R1052" s="28"/>
      <x:c r="S1052" s="28"/>
      <x:c r="T1052" s="28"/>
      <x:c r="U1052" s="28"/>
      <x:c r="V1052" s="28"/>
      <x:c r="W1052" s="43" t="n">
        <x:f>--AND(N1052=1,OR(O1052="SUPPORTED",O1052="HALLUCINATION"))</x:f>
        <x:v>0</x:v>
      </x:c>
      <x:c r="X1052" s="43" t="n">
        <x:f>--AND(W1052=1,O1052="HALLUCINATION")</x:f>
        <x:v>0</x:v>
      </x:c>
      <x:c r="Y1052" s="43" t="n">
        <x:f>--AND(Q1052=1,O1052="HALLUCINATION")</x:f>
        <x:v>0</x:v>
      </x:c>
      <x:c r="Z1052" s="43" t="n">
        <x:f>--AND(Y1052=1,R1052=1,S1052=1)</x:f>
        <x:v>0</x:v>
      </x:c>
      <x:c r="AC1052" t="str">
        <x:f>IF(OR(AA1052="",AB1052=""),"",--(AA1052&lt;&gt;AB1052))</x:f>
      </x:c>
      <x:c r="AE1052" t="str">
        <x:f>IF(OR(AA1052="",AB1052=""),"PENDING_HUMAN",IF(AA1052=AB1052,AA1052,IF(AD1052&lt;&gt;"",AD1052,"PENDING_HUMAN")))</x:f>
        <x:v>PENDING_HUMAN</x:v>
      </x:c>
      <x:c r="AF1052" t="n">
        <x:f>--AND(A1052&lt;&gt;"",AA1052&lt;&gt;"",AB1052&lt;&gt;"",OR(AA1052=AB1052,AD1052&lt;&gt;""),IF(AE1052="HALLUCINATION",U1052&lt;&gt;"",TRUE))</x:f>
        <x:v>0</x:v>
      </x:c>
      <x:c r="AG1052" t="n">
        <x:f>--AND(N1052=1,AF1052=1,OR(AE1052="SUPPORTED",AE1052="HALLUCINATION"))</x:f>
        <x:v>0</x:v>
      </x:c>
      <x:c r="AH1052" t="n">
        <x:f>--AND(AG1052=1,AE1052="HALLUCINATION")</x:f>
        <x:v>0</x:v>
      </x:c>
      <x:c r="AI1052" t="n">
        <x:f>--AND(Q1052=1,AF1052=1,AE1052="HALLUCINATION")</x:f>
        <x:v>0</x:v>
      </x:c>
      <x:c r="AJ1052" t="n">
        <x:f>--AND(AI1052=1,R1052=1,S1052=1)</x:f>
        <x:v>0</x:v>
      </x:c>
    </x:row>
    <x:row r="1053">
      <x:c r="A1053" s="28"/>
      <x:c r="B1053" s="28"/>
      <x:c r="C1053" s="28"/>
      <x:c r="D1053" s="28"/>
      <x:c r="E1053" s="28"/>
      <x:c r="F1053" s="28"/>
      <x:c r="G1053" s="28"/>
      <x:c r="H1053" s="28"/>
      <x:c r="I1053" s="28"/>
      <x:c r="J1053" s="28"/>
      <x:c r="K1053" s="28"/>
      <x:c r="L1053" s="28"/>
      <x:c r="M1053" s="28"/>
      <x:c r="N1053" s="28"/>
      <x:c r="O1053" s="28"/>
      <x:c r="P1053" s="28"/>
      <x:c r="Q1053" s="28"/>
      <x:c r="R1053" s="28"/>
      <x:c r="S1053" s="28"/>
      <x:c r="T1053" s="28"/>
      <x:c r="U1053" s="28"/>
      <x:c r="V1053" s="28"/>
      <x:c r="W1053" s="43" t="n">
        <x:f>--AND(N1053=1,OR(O1053="SUPPORTED",O1053="HALLUCINATION"))</x:f>
        <x:v>0</x:v>
      </x:c>
      <x:c r="X1053" s="43" t="n">
        <x:f>--AND(W1053=1,O1053="HALLUCINATION")</x:f>
        <x:v>0</x:v>
      </x:c>
      <x:c r="Y1053" s="43" t="n">
        <x:f>--AND(Q1053=1,O1053="HALLUCINATION")</x:f>
        <x:v>0</x:v>
      </x:c>
      <x:c r="Z1053" s="43" t="n">
        <x:f>--AND(Y1053=1,R1053=1,S1053=1)</x:f>
        <x:v>0</x:v>
      </x:c>
      <x:c r="AC1053" t="str">
        <x:f>IF(OR(AA1053="",AB1053=""),"",--(AA1053&lt;&gt;AB1053))</x:f>
      </x:c>
      <x:c r="AE1053" t="str">
        <x:f>IF(OR(AA1053="",AB1053=""),"PENDING_HUMAN",IF(AA1053=AB1053,AA1053,IF(AD1053&lt;&gt;"",AD1053,"PENDING_HUMAN")))</x:f>
        <x:v>PENDING_HUMAN</x:v>
      </x:c>
      <x:c r="AF1053" t="n">
        <x:f>--AND(A1053&lt;&gt;"",AA1053&lt;&gt;"",AB1053&lt;&gt;"",OR(AA1053=AB1053,AD1053&lt;&gt;""),IF(AE1053="HALLUCINATION",U1053&lt;&gt;"",TRUE))</x:f>
        <x:v>0</x:v>
      </x:c>
      <x:c r="AG1053" t="n">
        <x:f>--AND(N1053=1,AF1053=1,OR(AE1053="SUPPORTED",AE1053="HALLUCINATION"))</x:f>
        <x:v>0</x:v>
      </x:c>
      <x:c r="AH1053" t="n">
        <x:f>--AND(AG1053=1,AE1053="HALLUCINATION")</x:f>
        <x:v>0</x:v>
      </x:c>
      <x:c r="AI1053" t="n">
        <x:f>--AND(Q1053=1,AF1053=1,AE1053="HALLUCINATION")</x:f>
        <x:v>0</x:v>
      </x:c>
      <x:c r="AJ1053" t="n">
        <x:f>--AND(AI1053=1,R1053=1,S1053=1)</x:f>
        <x:v>0</x:v>
      </x:c>
    </x:row>
    <x:row r="1054">
      <x:c r="A1054" s="28"/>
      <x:c r="B1054" s="28"/>
      <x:c r="C1054" s="28"/>
      <x:c r="D1054" s="28"/>
      <x:c r="E1054" s="28"/>
      <x:c r="F1054" s="28"/>
      <x:c r="G1054" s="28"/>
      <x:c r="H1054" s="28"/>
      <x:c r="I1054" s="28"/>
      <x:c r="J1054" s="28"/>
      <x:c r="K1054" s="28"/>
      <x:c r="L1054" s="28"/>
      <x:c r="M1054" s="28"/>
      <x:c r="N1054" s="28"/>
      <x:c r="O1054" s="28"/>
      <x:c r="P1054" s="28"/>
      <x:c r="Q1054" s="28"/>
      <x:c r="R1054" s="28"/>
      <x:c r="S1054" s="28"/>
      <x:c r="T1054" s="28"/>
      <x:c r="U1054" s="28"/>
      <x:c r="V1054" s="28"/>
      <x:c r="W1054" s="43" t="n">
        <x:f>--AND(N1054=1,OR(O1054="SUPPORTED",O1054="HALLUCINATION"))</x:f>
        <x:v>0</x:v>
      </x:c>
      <x:c r="X1054" s="43" t="n">
        <x:f>--AND(W1054=1,O1054="HALLUCINATION")</x:f>
        <x:v>0</x:v>
      </x:c>
      <x:c r="Y1054" s="43" t="n">
        <x:f>--AND(Q1054=1,O1054="HALLUCINATION")</x:f>
        <x:v>0</x:v>
      </x:c>
      <x:c r="Z1054" s="43" t="n">
        <x:f>--AND(Y1054=1,R1054=1,S1054=1)</x:f>
        <x:v>0</x:v>
      </x:c>
      <x:c r="AC1054" t="str">
        <x:f>IF(OR(AA1054="",AB1054=""),"",--(AA1054&lt;&gt;AB1054))</x:f>
      </x:c>
      <x:c r="AE1054" t="str">
        <x:f>IF(OR(AA1054="",AB1054=""),"PENDING_HUMAN",IF(AA1054=AB1054,AA1054,IF(AD1054&lt;&gt;"",AD1054,"PENDING_HUMAN")))</x:f>
        <x:v>PENDING_HUMAN</x:v>
      </x:c>
      <x:c r="AF1054" t="n">
        <x:f>--AND(A1054&lt;&gt;"",AA1054&lt;&gt;"",AB1054&lt;&gt;"",OR(AA1054=AB1054,AD1054&lt;&gt;""),IF(AE1054="HALLUCINATION",U1054&lt;&gt;"",TRUE))</x:f>
        <x:v>0</x:v>
      </x:c>
      <x:c r="AG1054" t="n">
        <x:f>--AND(N1054=1,AF1054=1,OR(AE1054="SUPPORTED",AE1054="HALLUCINATION"))</x:f>
        <x:v>0</x:v>
      </x:c>
      <x:c r="AH1054" t="n">
        <x:f>--AND(AG1054=1,AE1054="HALLUCINATION")</x:f>
        <x:v>0</x:v>
      </x:c>
      <x:c r="AI1054" t="n">
        <x:f>--AND(Q1054=1,AF1054=1,AE1054="HALLUCINATION")</x:f>
        <x:v>0</x:v>
      </x:c>
      <x:c r="AJ1054" t="n">
        <x:f>--AND(AI1054=1,R1054=1,S1054=1)</x:f>
        <x:v>0</x:v>
      </x:c>
    </x:row>
    <x:row r="1055">
      <x:c r="A1055" s="28"/>
      <x:c r="B1055" s="28"/>
      <x:c r="C1055" s="28"/>
      <x:c r="D1055" s="28"/>
      <x:c r="E1055" s="28"/>
      <x:c r="F1055" s="28"/>
      <x:c r="G1055" s="28"/>
      <x:c r="H1055" s="28"/>
      <x:c r="I1055" s="28"/>
      <x:c r="J1055" s="28"/>
      <x:c r="K1055" s="28"/>
      <x:c r="L1055" s="28"/>
      <x:c r="M1055" s="28"/>
      <x:c r="N1055" s="28"/>
      <x:c r="O1055" s="28"/>
      <x:c r="P1055" s="28"/>
      <x:c r="Q1055" s="28"/>
      <x:c r="R1055" s="28"/>
      <x:c r="S1055" s="28"/>
      <x:c r="T1055" s="28"/>
      <x:c r="U1055" s="28"/>
      <x:c r="V1055" s="28"/>
      <x:c r="W1055" s="43" t="n">
        <x:f>--AND(N1055=1,OR(O1055="SUPPORTED",O1055="HALLUCINATION"))</x:f>
        <x:v>0</x:v>
      </x:c>
      <x:c r="X1055" s="43" t="n">
        <x:f>--AND(W1055=1,O1055="HALLUCINATION")</x:f>
        <x:v>0</x:v>
      </x:c>
      <x:c r="Y1055" s="43" t="n">
        <x:f>--AND(Q1055=1,O1055="HALLUCINATION")</x:f>
        <x:v>0</x:v>
      </x:c>
      <x:c r="Z1055" s="43" t="n">
        <x:f>--AND(Y1055=1,R1055=1,S1055=1)</x:f>
        <x:v>0</x:v>
      </x:c>
      <x:c r="AC1055" t="str">
        <x:f>IF(OR(AA1055="",AB1055=""),"",--(AA1055&lt;&gt;AB1055))</x:f>
      </x:c>
      <x:c r="AE1055" t="str">
        <x:f>IF(OR(AA1055="",AB1055=""),"PENDING_HUMAN",IF(AA1055=AB1055,AA1055,IF(AD1055&lt;&gt;"",AD1055,"PENDING_HUMAN")))</x:f>
        <x:v>PENDING_HUMAN</x:v>
      </x:c>
      <x:c r="AF1055" t="n">
        <x:f>--AND(A1055&lt;&gt;"",AA1055&lt;&gt;"",AB1055&lt;&gt;"",OR(AA1055=AB1055,AD1055&lt;&gt;""),IF(AE1055="HALLUCINATION",U1055&lt;&gt;"",TRUE))</x:f>
        <x:v>0</x:v>
      </x:c>
      <x:c r="AG1055" t="n">
        <x:f>--AND(N1055=1,AF1055=1,OR(AE1055="SUPPORTED",AE1055="HALLUCINATION"))</x:f>
        <x:v>0</x:v>
      </x:c>
      <x:c r="AH1055" t="n">
        <x:f>--AND(AG1055=1,AE1055="HALLUCINATION")</x:f>
        <x:v>0</x:v>
      </x:c>
      <x:c r="AI1055" t="n">
        <x:f>--AND(Q1055=1,AF1055=1,AE1055="HALLUCINATION")</x:f>
        <x:v>0</x:v>
      </x:c>
      <x:c r="AJ1055" t="n">
        <x:f>--AND(AI1055=1,R1055=1,S1055=1)</x:f>
        <x:v>0</x:v>
      </x:c>
    </x:row>
    <x:row r="1056">
      <x:c r="A1056" s="28"/>
      <x:c r="B1056" s="28"/>
      <x:c r="C1056" s="28"/>
      <x:c r="D1056" s="28"/>
      <x:c r="E1056" s="28"/>
      <x:c r="F1056" s="28"/>
      <x:c r="G1056" s="28"/>
      <x:c r="H1056" s="28"/>
      <x:c r="I1056" s="28"/>
      <x:c r="J1056" s="28"/>
      <x:c r="K1056" s="28"/>
      <x:c r="L1056" s="28"/>
      <x:c r="M1056" s="28"/>
      <x:c r="N1056" s="28"/>
      <x:c r="O1056" s="28"/>
      <x:c r="P1056" s="28"/>
      <x:c r="Q1056" s="28"/>
      <x:c r="R1056" s="28"/>
      <x:c r="S1056" s="28"/>
      <x:c r="T1056" s="28"/>
      <x:c r="U1056" s="28"/>
      <x:c r="V1056" s="28"/>
      <x:c r="W1056" s="43" t="n">
        <x:f>--AND(N1056=1,OR(O1056="SUPPORTED",O1056="HALLUCINATION"))</x:f>
        <x:v>0</x:v>
      </x:c>
      <x:c r="X1056" s="43" t="n">
        <x:f>--AND(W1056=1,O1056="HALLUCINATION")</x:f>
        <x:v>0</x:v>
      </x:c>
      <x:c r="Y1056" s="43" t="n">
        <x:f>--AND(Q1056=1,O1056="HALLUCINATION")</x:f>
        <x:v>0</x:v>
      </x:c>
      <x:c r="Z1056" s="43" t="n">
        <x:f>--AND(Y1056=1,R1056=1,S1056=1)</x:f>
        <x:v>0</x:v>
      </x:c>
      <x:c r="AC1056" t="str">
        <x:f>IF(OR(AA1056="",AB1056=""),"",--(AA1056&lt;&gt;AB1056))</x:f>
      </x:c>
      <x:c r="AE1056" t="str">
        <x:f>IF(OR(AA1056="",AB1056=""),"PENDING_HUMAN",IF(AA1056=AB1056,AA1056,IF(AD1056&lt;&gt;"",AD1056,"PENDING_HUMAN")))</x:f>
        <x:v>PENDING_HUMAN</x:v>
      </x:c>
      <x:c r="AF1056" t="n">
        <x:f>--AND(A1056&lt;&gt;"",AA1056&lt;&gt;"",AB1056&lt;&gt;"",OR(AA1056=AB1056,AD1056&lt;&gt;""),IF(AE1056="HALLUCINATION",U1056&lt;&gt;"",TRUE))</x:f>
        <x:v>0</x:v>
      </x:c>
      <x:c r="AG1056" t="n">
        <x:f>--AND(N1056=1,AF1056=1,OR(AE1056="SUPPORTED",AE1056="HALLUCINATION"))</x:f>
        <x:v>0</x:v>
      </x:c>
      <x:c r="AH1056" t="n">
        <x:f>--AND(AG1056=1,AE1056="HALLUCINATION")</x:f>
        <x:v>0</x:v>
      </x:c>
      <x:c r="AI1056" t="n">
        <x:f>--AND(Q1056=1,AF1056=1,AE1056="HALLUCINATION")</x:f>
        <x:v>0</x:v>
      </x:c>
      <x:c r="AJ1056" t="n">
        <x:f>--AND(AI1056=1,R1056=1,S1056=1)</x:f>
        <x:v>0</x:v>
      </x:c>
    </x:row>
    <x:row r="1057">
      <x:c r="A1057" s="28"/>
      <x:c r="B1057" s="28"/>
      <x:c r="C1057" s="28"/>
      <x:c r="D1057" s="28"/>
      <x:c r="E1057" s="28"/>
      <x:c r="F1057" s="28"/>
      <x:c r="G1057" s="28"/>
      <x:c r="H1057" s="28"/>
      <x:c r="I1057" s="28"/>
      <x:c r="J1057" s="28"/>
      <x:c r="K1057" s="28"/>
      <x:c r="L1057" s="28"/>
      <x:c r="M1057" s="28"/>
      <x:c r="N1057" s="28"/>
      <x:c r="O1057" s="28"/>
      <x:c r="P1057" s="28"/>
      <x:c r="Q1057" s="28"/>
      <x:c r="R1057" s="28"/>
      <x:c r="S1057" s="28"/>
      <x:c r="T1057" s="28"/>
      <x:c r="U1057" s="28"/>
      <x:c r="V1057" s="28"/>
      <x:c r="W1057" s="43" t="n">
        <x:f>--AND(N1057=1,OR(O1057="SUPPORTED",O1057="HALLUCINATION"))</x:f>
        <x:v>0</x:v>
      </x:c>
      <x:c r="X1057" s="43" t="n">
        <x:f>--AND(W1057=1,O1057="HALLUCINATION")</x:f>
        <x:v>0</x:v>
      </x:c>
      <x:c r="Y1057" s="43" t="n">
        <x:f>--AND(Q1057=1,O1057="HALLUCINATION")</x:f>
        <x:v>0</x:v>
      </x:c>
      <x:c r="Z1057" s="43" t="n">
        <x:f>--AND(Y1057=1,R1057=1,S1057=1)</x:f>
        <x:v>0</x:v>
      </x:c>
      <x:c r="AC1057" t="str">
        <x:f>IF(OR(AA1057="",AB1057=""),"",--(AA1057&lt;&gt;AB1057))</x:f>
      </x:c>
      <x:c r="AE1057" t="str">
        <x:f>IF(OR(AA1057="",AB1057=""),"PENDING_HUMAN",IF(AA1057=AB1057,AA1057,IF(AD1057&lt;&gt;"",AD1057,"PENDING_HUMAN")))</x:f>
        <x:v>PENDING_HUMAN</x:v>
      </x:c>
      <x:c r="AF1057" t="n">
        <x:f>--AND(A1057&lt;&gt;"",AA1057&lt;&gt;"",AB1057&lt;&gt;"",OR(AA1057=AB1057,AD1057&lt;&gt;""),IF(AE1057="HALLUCINATION",U1057&lt;&gt;"",TRUE))</x:f>
        <x:v>0</x:v>
      </x:c>
      <x:c r="AG1057" t="n">
        <x:f>--AND(N1057=1,AF1057=1,OR(AE1057="SUPPORTED",AE1057="HALLUCINATION"))</x:f>
        <x:v>0</x:v>
      </x:c>
      <x:c r="AH1057" t="n">
        <x:f>--AND(AG1057=1,AE1057="HALLUCINATION")</x:f>
        <x:v>0</x:v>
      </x:c>
      <x:c r="AI1057" t="n">
        <x:f>--AND(Q1057=1,AF1057=1,AE1057="HALLUCINATION")</x:f>
        <x:v>0</x:v>
      </x:c>
      <x:c r="AJ1057" t="n">
        <x:f>--AND(AI1057=1,R1057=1,S1057=1)</x:f>
        <x:v>0</x:v>
      </x:c>
    </x:row>
    <x:row r="1058">
      <x:c r="A1058" s="28"/>
      <x:c r="B1058" s="28"/>
      <x:c r="C1058" s="28"/>
      <x:c r="D1058" s="28"/>
      <x:c r="E1058" s="28"/>
      <x:c r="F1058" s="28"/>
      <x:c r="G1058" s="28"/>
      <x:c r="H1058" s="28"/>
      <x:c r="I1058" s="28"/>
      <x:c r="J1058" s="28"/>
      <x:c r="K1058" s="28"/>
      <x:c r="L1058" s="28"/>
      <x:c r="M1058" s="28"/>
      <x:c r="N1058" s="28"/>
      <x:c r="O1058" s="28"/>
      <x:c r="P1058" s="28"/>
      <x:c r="Q1058" s="28"/>
      <x:c r="R1058" s="28"/>
      <x:c r="S1058" s="28"/>
      <x:c r="T1058" s="28"/>
      <x:c r="U1058" s="28"/>
      <x:c r="V1058" s="28"/>
      <x:c r="W1058" s="43" t="n">
        <x:f>--AND(N1058=1,OR(O1058="SUPPORTED",O1058="HALLUCINATION"))</x:f>
        <x:v>0</x:v>
      </x:c>
      <x:c r="X1058" s="43" t="n">
        <x:f>--AND(W1058=1,O1058="HALLUCINATION")</x:f>
        <x:v>0</x:v>
      </x:c>
      <x:c r="Y1058" s="43" t="n">
        <x:f>--AND(Q1058=1,O1058="HALLUCINATION")</x:f>
        <x:v>0</x:v>
      </x:c>
      <x:c r="Z1058" s="43" t="n">
        <x:f>--AND(Y1058=1,R1058=1,S1058=1)</x:f>
        <x:v>0</x:v>
      </x:c>
      <x:c r="AC1058" t="str">
        <x:f>IF(OR(AA1058="",AB1058=""),"",--(AA1058&lt;&gt;AB1058))</x:f>
      </x:c>
      <x:c r="AE1058" t="str">
        <x:f>IF(OR(AA1058="",AB1058=""),"PENDING_HUMAN",IF(AA1058=AB1058,AA1058,IF(AD1058&lt;&gt;"",AD1058,"PENDING_HUMAN")))</x:f>
        <x:v>PENDING_HUMAN</x:v>
      </x:c>
      <x:c r="AF1058" t="n">
        <x:f>--AND(A1058&lt;&gt;"",AA1058&lt;&gt;"",AB1058&lt;&gt;"",OR(AA1058=AB1058,AD1058&lt;&gt;""),IF(AE1058="HALLUCINATION",U1058&lt;&gt;"",TRUE))</x:f>
        <x:v>0</x:v>
      </x:c>
      <x:c r="AG1058" t="n">
        <x:f>--AND(N1058=1,AF1058=1,OR(AE1058="SUPPORTED",AE1058="HALLUCINATION"))</x:f>
        <x:v>0</x:v>
      </x:c>
      <x:c r="AH1058" t="n">
        <x:f>--AND(AG1058=1,AE1058="HALLUCINATION")</x:f>
        <x:v>0</x:v>
      </x:c>
      <x:c r="AI1058" t="n">
        <x:f>--AND(Q1058=1,AF1058=1,AE1058="HALLUCINATION")</x:f>
        <x:v>0</x:v>
      </x:c>
      <x:c r="AJ1058" t="n">
        <x:f>--AND(AI1058=1,R1058=1,S1058=1)</x:f>
        <x:v>0</x:v>
      </x:c>
    </x:row>
    <x:row r="1059">
      <x:c r="A1059" s="28"/>
      <x:c r="B1059" s="28"/>
      <x:c r="C1059" s="28"/>
      <x:c r="D1059" s="28"/>
      <x:c r="E1059" s="28"/>
      <x:c r="F1059" s="28"/>
      <x:c r="G1059" s="28"/>
      <x:c r="H1059" s="28"/>
      <x:c r="I1059" s="28"/>
      <x:c r="J1059" s="28"/>
      <x:c r="K1059" s="28"/>
      <x:c r="L1059" s="28"/>
      <x:c r="M1059" s="28"/>
      <x:c r="N1059" s="28"/>
      <x:c r="O1059" s="28"/>
      <x:c r="P1059" s="28"/>
      <x:c r="Q1059" s="28"/>
      <x:c r="R1059" s="28"/>
      <x:c r="S1059" s="28"/>
      <x:c r="T1059" s="28"/>
      <x:c r="U1059" s="28"/>
      <x:c r="V1059" s="28"/>
      <x:c r="W1059" s="43" t="n">
        <x:f>--AND(N1059=1,OR(O1059="SUPPORTED",O1059="HALLUCINATION"))</x:f>
        <x:v>0</x:v>
      </x:c>
      <x:c r="X1059" s="43" t="n">
        <x:f>--AND(W1059=1,O1059="HALLUCINATION")</x:f>
        <x:v>0</x:v>
      </x:c>
      <x:c r="Y1059" s="43" t="n">
        <x:f>--AND(Q1059=1,O1059="HALLUCINATION")</x:f>
        <x:v>0</x:v>
      </x:c>
      <x:c r="Z1059" s="43" t="n">
        <x:f>--AND(Y1059=1,R1059=1,S1059=1)</x:f>
        <x:v>0</x:v>
      </x:c>
      <x:c r="AC1059" t="str">
        <x:f>IF(OR(AA1059="",AB1059=""),"",--(AA1059&lt;&gt;AB1059))</x:f>
      </x:c>
      <x:c r="AE1059" t="str">
        <x:f>IF(OR(AA1059="",AB1059=""),"PENDING_HUMAN",IF(AA1059=AB1059,AA1059,IF(AD1059&lt;&gt;"",AD1059,"PENDING_HUMAN")))</x:f>
        <x:v>PENDING_HUMAN</x:v>
      </x:c>
      <x:c r="AF1059" t="n">
        <x:f>--AND(A1059&lt;&gt;"",AA1059&lt;&gt;"",AB1059&lt;&gt;"",OR(AA1059=AB1059,AD1059&lt;&gt;""),IF(AE1059="HALLUCINATION",U1059&lt;&gt;"",TRUE))</x:f>
        <x:v>0</x:v>
      </x:c>
      <x:c r="AG1059" t="n">
        <x:f>--AND(N1059=1,AF1059=1,OR(AE1059="SUPPORTED",AE1059="HALLUCINATION"))</x:f>
        <x:v>0</x:v>
      </x:c>
      <x:c r="AH1059" t="n">
        <x:f>--AND(AG1059=1,AE1059="HALLUCINATION")</x:f>
        <x:v>0</x:v>
      </x:c>
      <x:c r="AI1059" t="n">
        <x:f>--AND(Q1059=1,AF1059=1,AE1059="HALLUCINATION")</x:f>
        <x:v>0</x:v>
      </x:c>
      <x:c r="AJ1059" t="n">
        <x:f>--AND(AI1059=1,R1059=1,S1059=1)</x:f>
        <x:v>0</x:v>
      </x:c>
    </x:row>
    <x:row r="1060">
      <x:c r="A1060" s="28"/>
      <x:c r="B1060" s="28"/>
      <x:c r="C1060" s="28"/>
      <x:c r="D1060" s="28"/>
      <x:c r="E1060" s="28"/>
      <x:c r="F1060" s="28"/>
      <x:c r="G1060" s="28"/>
      <x:c r="H1060" s="28"/>
      <x:c r="I1060" s="28"/>
      <x:c r="J1060" s="28"/>
      <x:c r="K1060" s="28"/>
      <x:c r="L1060" s="28"/>
      <x:c r="M1060" s="28"/>
      <x:c r="N1060" s="28"/>
      <x:c r="O1060" s="28"/>
      <x:c r="P1060" s="28"/>
      <x:c r="Q1060" s="28"/>
      <x:c r="R1060" s="28"/>
      <x:c r="S1060" s="28"/>
      <x:c r="T1060" s="28"/>
      <x:c r="U1060" s="28"/>
      <x:c r="V1060" s="28"/>
      <x:c r="W1060" s="43" t="n">
        <x:f>--AND(N1060=1,OR(O1060="SUPPORTED",O1060="HALLUCINATION"))</x:f>
        <x:v>0</x:v>
      </x:c>
      <x:c r="X1060" s="43" t="n">
        <x:f>--AND(W1060=1,O1060="HALLUCINATION")</x:f>
        <x:v>0</x:v>
      </x:c>
      <x:c r="Y1060" s="43" t="n">
        <x:f>--AND(Q1060=1,O1060="HALLUCINATION")</x:f>
        <x:v>0</x:v>
      </x:c>
      <x:c r="Z1060" s="43" t="n">
        <x:f>--AND(Y1060=1,R1060=1,S1060=1)</x:f>
        <x:v>0</x:v>
      </x:c>
      <x:c r="AC1060" t="str">
        <x:f>IF(OR(AA1060="",AB1060=""),"",--(AA1060&lt;&gt;AB1060))</x:f>
      </x:c>
      <x:c r="AE1060" t="str">
        <x:f>IF(OR(AA1060="",AB1060=""),"PENDING_HUMAN",IF(AA1060=AB1060,AA1060,IF(AD1060&lt;&gt;"",AD1060,"PENDING_HUMAN")))</x:f>
        <x:v>PENDING_HUMAN</x:v>
      </x:c>
      <x:c r="AF1060" t="n">
        <x:f>--AND(A1060&lt;&gt;"",AA1060&lt;&gt;"",AB1060&lt;&gt;"",OR(AA1060=AB1060,AD1060&lt;&gt;""),IF(AE1060="HALLUCINATION",U1060&lt;&gt;"",TRUE))</x:f>
        <x:v>0</x:v>
      </x:c>
      <x:c r="AG1060" t="n">
        <x:f>--AND(N1060=1,AF1060=1,OR(AE1060="SUPPORTED",AE1060="HALLUCINATION"))</x:f>
        <x:v>0</x:v>
      </x:c>
      <x:c r="AH1060" t="n">
        <x:f>--AND(AG1060=1,AE1060="HALLUCINATION")</x:f>
        <x:v>0</x:v>
      </x:c>
      <x:c r="AI1060" t="n">
        <x:f>--AND(Q1060=1,AF1060=1,AE1060="HALLUCINATION")</x:f>
        <x:v>0</x:v>
      </x:c>
      <x:c r="AJ1060" t="n">
        <x:f>--AND(AI1060=1,R1060=1,S1060=1)</x:f>
        <x:v>0</x:v>
      </x:c>
    </x:row>
    <x:row r="1061">
      <x:c r="A1061" s="28"/>
      <x:c r="B1061" s="28"/>
      <x:c r="C1061" s="28"/>
      <x:c r="D1061" s="28"/>
      <x:c r="E1061" s="28"/>
      <x:c r="F1061" s="28"/>
      <x:c r="G1061" s="28"/>
      <x:c r="H1061" s="28"/>
      <x:c r="I1061" s="28"/>
      <x:c r="J1061" s="28"/>
      <x:c r="K1061" s="28"/>
      <x:c r="L1061" s="28"/>
      <x:c r="M1061" s="28"/>
      <x:c r="N1061" s="28"/>
      <x:c r="O1061" s="28"/>
      <x:c r="P1061" s="28"/>
      <x:c r="Q1061" s="28"/>
      <x:c r="R1061" s="28"/>
      <x:c r="S1061" s="28"/>
      <x:c r="T1061" s="28"/>
      <x:c r="U1061" s="28"/>
      <x:c r="V1061" s="28"/>
      <x:c r="W1061" s="43" t="n">
        <x:f>--AND(N1061=1,OR(O1061="SUPPORTED",O1061="HALLUCINATION"))</x:f>
        <x:v>0</x:v>
      </x:c>
      <x:c r="X1061" s="43" t="n">
        <x:f>--AND(W1061=1,O1061="HALLUCINATION")</x:f>
        <x:v>0</x:v>
      </x:c>
      <x:c r="Y1061" s="43" t="n">
        <x:f>--AND(Q1061=1,O1061="HALLUCINATION")</x:f>
        <x:v>0</x:v>
      </x:c>
      <x:c r="Z1061" s="43" t="n">
        <x:f>--AND(Y1061=1,R1061=1,S1061=1)</x:f>
        <x:v>0</x:v>
      </x:c>
      <x:c r="AC1061" t="str">
        <x:f>IF(OR(AA1061="",AB1061=""),"",--(AA1061&lt;&gt;AB1061))</x:f>
      </x:c>
      <x:c r="AE1061" t="str">
        <x:f>IF(OR(AA1061="",AB1061=""),"PENDING_HUMAN",IF(AA1061=AB1061,AA1061,IF(AD1061&lt;&gt;"",AD1061,"PENDING_HUMAN")))</x:f>
        <x:v>PENDING_HUMAN</x:v>
      </x:c>
      <x:c r="AF1061" t="n">
        <x:f>--AND(A1061&lt;&gt;"",AA1061&lt;&gt;"",AB1061&lt;&gt;"",OR(AA1061=AB1061,AD1061&lt;&gt;""),IF(AE1061="HALLUCINATION",U1061&lt;&gt;"",TRUE))</x:f>
        <x:v>0</x:v>
      </x:c>
      <x:c r="AG1061" t="n">
        <x:f>--AND(N1061=1,AF1061=1,OR(AE1061="SUPPORTED",AE1061="HALLUCINATION"))</x:f>
        <x:v>0</x:v>
      </x:c>
      <x:c r="AH1061" t="n">
        <x:f>--AND(AG1061=1,AE1061="HALLUCINATION")</x:f>
        <x:v>0</x:v>
      </x:c>
      <x:c r="AI1061" t="n">
        <x:f>--AND(Q1061=1,AF1061=1,AE1061="HALLUCINATION")</x:f>
        <x:v>0</x:v>
      </x:c>
      <x:c r="AJ1061" t="n">
        <x:f>--AND(AI1061=1,R1061=1,S1061=1)</x:f>
        <x:v>0</x:v>
      </x:c>
    </x:row>
    <x:row r="1062">
      <x:c r="A1062" s="28"/>
      <x:c r="B1062" s="28"/>
      <x:c r="C1062" s="28"/>
      <x:c r="D1062" s="28"/>
      <x:c r="E1062" s="28"/>
      <x:c r="F1062" s="28"/>
      <x:c r="G1062" s="28"/>
      <x:c r="H1062" s="28"/>
      <x:c r="I1062" s="28"/>
      <x:c r="J1062" s="28"/>
      <x:c r="K1062" s="28"/>
      <x:c r="L1062" s="28"/>
      <x:c r="M1062" s="28"/>
      <x:c r="N1062" s="28"/>
      <x:c r="O1062" s="28"/>
      <x:c r="P1062" s="28"/>
      <x:c r="Q1062" s="28"/>
      <x:c r="R1062" s="28"/>
      <x:c r="S1062" s="28"/>
      <x:c r="T1062" s="28"/>
      <x:c r="U1062" s="28"/>
      <x:c r="V1062" s="28"/>
      <x:c r="W1062" s="43" t="n">
        <x:f>--AND(N1062=1,OR(O1062="SUPPORTED",O1062="HALLUCINATION"))</x:f>
        <x:v>0</x:v>
      </x:c>
      <x:c r="X1062" s="43" t="n">
        <x:f>--AND(W1062=1,O1062="HALLUCINATION")</x:f>
        <x:v>0</x:v>
      </x:c>
      <x:c r="Y1062" s="43" t="n">
        <x:f>--AND(Q1062=1,O1062="HALLUCINATION")</x:f>
        <x:v>0</x:v>
      </x:c>
      <x:c r="Z1062" s="43" t="n">
        <x:f>--AND(Y1062=1,R1062=1,S1062=1)</x:f>
        <x:v>0</x:v>
      </x:c>
      <x:c r="AC1062" t="str">
        <x:f>IF(OR(AA1062="",AB1062=""),"",--(AA1062&lt;&gt;AB1062))</x:f>
      </x:c>
      <x:c r="AE1062" t="str">
        <x:f>IF(OR(AA1062="",AB1062=""),"PENDING_HUMAN",IF(AA1062=AB1062,AA1062,IF(AD1062&lt;&gt;"",AD1062,"PENDING_HUMAN")))</x:f>
        <x:v>PENDING_HUMAN</x:v>
      </x:c>
      <x:c r="AF1062" t="n">
        <x:f>--AND(A1062&lt;&gt;"",AA1062&lt;&gt;"",AB1062&lt;&gt;"",OR(AA1062=AB1062,AD1062&lt;&gt;""),IF(AE1062="HALLUCINATION",U1062&lt;&gt;"",TRUE))</x:f>
        <x:v>0</x:v>
      </x:c>
      <x:c r="AG1062" t="n">
        <x:f>--AND(N1062=1,AF1062=1,OR(AE1062="SUPPORTED",AE1062="HALLUCINATION"))</x:f>
        <x:v>0</x:v>
      </x:c>
      <x:c r="AH1062" t="n">
        <x:f>--AND(AG1062=1,AE1062="HALLUCINATION")</x:f>
        <x:v>0</x:v>
      </x:c>
      <x:c r="AI1062" t="n">
        <x:f>--AND(Q1062=1,AF1062=1,AE1062="HALLUCINATION")</x:f>
        <x:v>0</x:v>
      </x:c>
      <x:c r="AJ1062" t="n">
        <x:f>--AND(AI1062=1,R1062=1,S1062=1)</x:f>
        <x:v>0</x:v>
      </x:c>
    </x:row>
    <x:row r="1063">
      <x:c r="A1063" s="28"/>
      <x:c r="B1063" s="28"/>
      <x:c r="C1063" s="28"/>
      <x:c r="D1063" s="28"/>
      <x:c r="E1063" s="28"/>
      <x:c r="F1063" s="28"/>
      <x:c r="G1063" s="28"/>
      <x:c r="H1063" s="28"/>
      <x:c r="I1063" s="28"/>
      <x:c r="J1063" s="28"/>
      <x:c r="K1063" s="28"/>
      <x:c r="L1063" s="28"/>
      <x:c r="M1063" s="28"/>
      <x:c r="N1063" s="28"/>
      <x:c r="O1063" s="28"/>
      <x:c r="P1063" s="28"/>
      <x:c r="Q1063" s="28"/>
      <x:c r="R1063" s="28"/>
      <x:c r="S1063" s="28"/>
      <x:c r="T1063" s="28"/>
      <x:c r="U1063" s="28"/>
      <x:c r="V1063" s="28"/>
      <x:c r="W1063" s="43" t="n">
        <x:f>--AND(N1063=1,OR(O1063="SUPPORTED",O1063="HALLUCINATION"))</x:f>
        <x:v>0</x:v>
      </x:c>
      <x:c r="X1063" s="43" t="n">
        <x:f>--AND(W1063=1,O1063="HALLUCINATION")</x:f>
        <x:v>0</x:v>
      </x:c>
      <x:c r="Y1063" s="43" t="n">
        <x:f>--AND(Q1063=1,O1063="HALLUCINATION")</x:f>
        <x:v>0</x:v>
      </x:c>
      <x:c r="Z1063" s="43" t="n">
        <x:f>--AND(Y1063=1,R1063=1,S1063=1)</x:f>
        <x:v>0</x:v>
      </x:c>
      <x:c r="AC1063" t="str">
        <x:f>IF(OR(AA1063="",AB1063=""),"",--(AA1063&lt;&gt;AB1063))</x:f>
      </x:c>
      <x:c r="AE1063" t="str">
        <x:f>IF(OR(AA1063="",AB1063=""),"PENDING_HUMAN",IF(AA1063=AB1063,AA1063,IF(AD1063&lt;&gt;"",AD1063,"PENDING_HUMAN")))</x:f>
        <x:v>PENDING_HUMAN</x:v>
      </x:c>
      <x:c r="AF1063" t="n">
        <x:f>--AND(A1063&lt;&gt;"",AA1063&lt;&gt;"",AB1063&lt;&gt;"",OR(AA1063=AB1063,AD1063&lt;&gt;""),IF(AE1063="HALLUCINATION",U1063&lt;&gt;"",TRUE))</x:f>
        <x:v>0</x:v>
      </x:c>
      <x:c r="AG1063" t="n">
        <x:f>--AND(N1063=1,AF1063=1,OR(AE1063="SUPPORTED",AE1063="HALLUCINATION"))</x:f>
        <x:v>0</x:v>
      </x:c>
      <x:c r="AH1063" t="n">
        <x:f>--AND(AG1063=1,AE1063="HALLUCINATION")</x:f>
        <x:v>0</x:v>
      </x:c>
      <x:c r="AI1063" t="n">
        <x:f>--AND(Q1063=1,AF1063=1,AE1063="HALLUCINATION")</x:f>
        <x:v>0</x:v>
      </x:c>
      <x:c r="AJ1063" t="n">
        <x:f>--AND(AI1063=1,R1063=1,S1063=1)</x:f>
        <x:v>0</x:v>
      </x:c>
    </x:row>
    <x:row r="1064">
      <x:c r="A1064" s="28"/>
      <x:c r="B1064" s="28"/>
      <x:c r="C1064" s="28"/>
      <x:c r="D1064" s="28"/>
      <x:c r="E1064" s="28"/>
      <x:c r="F1064" s="28"/>
      <x:c r="G1064" s="28"/>
      <x:c r="H1064" s="28"/>
      <x:c r="I1064" s="28"/>
      <x:c r="J1064" s="28"/>
      <x:c r="K1064" s="28"/>
      <x:c r="L1064" s="28"/>
      <x:c r="M1064" s="28"/>
      <x:c r="N1064" s="28"/>
      <x:c r="O1064" s="28"/>
      <x:c r="P1064" s="28"/>
      <x:c r="Q1064" s="28"/>
      <x:c r="R1064" s="28"/>
      <x:c r="S1064" s="28"/>
      <x:c r="T1064" s="28"/>
      <x:c r="U1064" s="28"/>
      <x:c r="V1064" s="28"/>
      <x:c r="W1064" s="43" t="n">
        <x:f>--AND(N1064=1,OR(O1064="SUPPORTED",O1064="HALLUCINATION"))</x:f>
        <x:v>0</x:v>
      </x:c>
      <x:c r="X1064" s="43" t="n">
        <x:f>--AND(W1064=1,O1064="HALLUCINATION")</x:f>
        <x:v>0</x:v>
      </x:c>
      <x:c r="Y1064" s="43" t="n">
        <x:f>--AND(Q1064=1,O1064="HALLUCINATION")</x:f>
        <x:v>0</x:v>
      </x:c>
      <x:c r="Z1064" s="43" t="n">
        <x:f>--AND(Y1064=1,R1064=1,S1064=1)</x:f>
        <x:v>0</x:v>
      </x:c>
      <x:c r="AC1064" t="str">
        <x:f>IF(OR(AA1064="",AB1064=""),"",--(AA1064&lt;&gt;AB1064))</x:f>
      </x:c>
      <x:c r="AE1064" t="str">
        <x:f>IF(OR(AA1064="",AB1064=""),"PENDING_HUMAN",IF(AA1064=AB1064,AA1064,IF(AD1064&lt;&gt;"",AD1064,"PENDING_HUMAN")))</x:f>
        <x:v>PENDING_HUMAN</x:v>
      </x:c>
      <x:c r="AF1064" t="n">
        <x:f>--AND(A1064&lt;&gt;"",AA1064&lt;&gt;"",AB1064&lt;&gt;"",OR(AA1064=AB1064,AD1064&lt;&gt;""),IF(AE1064="HALLUCINATION",U1064&lt;&gt;"",TRUE))</x:f>
        <x:v>0</x:v>
      </x:c>
      <x:c r="AG1064" t="n">
        <x:f>--AND(N1064=1,AF1064=1,OR(AE1064="SUPPORTED",AE1064="HALLUCINATION"))</x:f>
        <x:v>0</x:v>
      </x:c>
      <x:c r="AH1064" t="n">
        <x:f>--AND(AG1064=1,AE1064="HALLUCINATION")</x:f>
        <x:v>0</x:v>
      </x:c>
      <x:c r="AI1064" t="n">
        <x:f>--AND(Q1064=1,AF1064=1,AE1064="HALLUCINATION")</x:f>
        <x:v>0</x:v>
      </x:c>
      <x:c r="AJ1064" t="n">
        <x:f>--AND(AI1064=1,R1064=1,S1064=1)</x:f>
        <x:v>0</x:v>
      </x:c>
    </x:row>
    <x:row r="1065">
      <x:c r="A1065" s="28"/>
      <x:c r="B1065" s="28"/>
      <x:c r="C1065" s="28"/>
      <x:c r="D1065" s="28"/>
      <x:c r="E1065" s="28"/>
      <x:c r="F1065" s="28"/>
      <x:c r="G1065" s="28"/>
      <x:c r="H1065" s="28"/>
      <x:c r="I1065" s="28"/>
      <x:c r="J1065" s="28"/>
      <x:c r="K1065" s="28"/>
      <x:c r="L1065" s="28"/>
      <x:c r="M1065" s="28"/>
      <x:c r="N1065" s="28"/>
      <x:c r="O1065" s="28"/>
      <x:c r="P1065" s="28"/>
      <x:c r="Q1065" s="28"/>
      <x:c r="R1065" s="28"/>
      <x:c r="S1065" s="28"/>
      <x:c r="T1065" s="28"/>
      <x:c r="U1065" s="28"/>
      <x:c r="V1065" s="28"/>
      <x:c r="W1065" s="43" t="n">
        <x:f>--AND(N1065=1,OR(O1065="SUPPORTED",O1065="HALLUCINATION"))</x:f>
        <x:v>0</x:v>
      </x:c>
      <x:c r="X1065" s="43" t="n">
        <x:f>--AND(W1065=1,O1065="HALLUCINATION")</x:f>
        <x:v>0</x:v>
      </x:c>
      <x:c r="Y1065" s="43" t="n">
        <x:f>--AND(Q1065=1,O1065="HALLUCINATION")</x:f>
        <x:v>0</x:v>
      </x:c>
      <x:c r="Z1065" s="43" t="n">
        <x:f>--AND(Y1065=1,R1065=1,S1065=1)</x:f>
        <x:v>0</x:v>
      </x:c>
      <x:c r="AC1065" t="str">
        <x:f>IF(OR(AA1065="",AB1065=""),"",--(AA1065&lt;&gt;AB1065))</x:f>
      </x:c>
      <x:c r="AE1065" t="str">
        <x:f>IF(OR(AA1065="",AB1065=""),"PENDING_HUMAN",IF(AA1065=AB1065,AA1065,IF(AD1065&lt;&gt;"",AD1065,"PENDING_HUMAN")))</x:f>
        <x:v>PENDING_HUMAN</x:v>
      </x:c>
      <x:c r="AF1065" t="n">
        <x:f>--AND(A1065&lt;&gt;"",AA1065&lt;&gt;"",AB1065&lt;&gt;"",OR(AA1065=AB1065,AD1065&lt;&gt;""),IF(AE1065="HALLUCINATION",U1065&lt;&gt;"",TRUE))</x:f>
        <x:v>0</x:v>
      </x:c>
      <x:c r="AG1065" t="n">
        <x:f>--AND(N1065=1,AF1065=1,OR(AE1065="SUPPORTED",AE1065="HALLUCINATION"))</x:f>
        <x:v>0</x:v>
      </x:c>
      <x:c r="AH1065" t="n">
        <x:f>--AND(AG1065=1,AE1065="HALLUCINATION")</x:f>
        <x:v>0</x:v>
      </x:c>
      <x:c r="AI1065" t="n">
        <x:f>--AND(Q1065=1,AF1065=1,AE1065="HALLUCINATION")</x:f>
        <x:v>0</x:v>
      </x:c>
      <x:c r="AJ1065" t="n">
        <x:f>--AND(AI1065=1,R1065=1,S1065=1)</x:f>
        <x:v>0</x:v>
      </x:c>
    </x:row>
    <x:row r="1066">
      <x:c r="A1066" s="28"/>
      <x:c r="B1066" s="28"/>
      <x:c r="C1066" s="28"/>
      <x:c r="D1066" s="28"/>
      <x:c r="E1066" s="28"/>
      <x:c r="F1066" s="28"/>
      <x:c r="G1066" s="28"/>
      <x:c r="H1066" s="28"/>
      <x:c r="I1066" s="28"/>
      <x:c r="J1066" s="28"/>
      <x:c r="K1066" s="28"/>
      <x:c r="L1066" s="28"/>
      <x:c r="M1066" s="28"/>
      <x:c r="N1066" s="28"/>
      <x:c r="O1066" s="28"/>
      <x:c r="P1066" s="28"/>
      <x:c r="Q1066" s="28"/>
      <x:c r="R1066" s="28"/>
      <x:c r="S1066" s="28"/>
      <x:c r="T1066" s="28"/>
      <x:c r="U1066" s="28"/>
      <x:c r="V1066" s="28"/>
      <x:c r="W1066" s="43" t="n">
        <x:f>--AND(N1066=1,OR(O1066="SUPPORTED",O1066="HALLUCINATION"))</x:f>
        <x:v>0</x:v>
      </x:c>
      <x:c r="X1066" s="43" t="n">
        <x:f>--AND(W1066=1,O1066="HALLUCINATION")</x:f>
        <x:v>0</x:v>
      </x:c>
      <x:c r="Y1066" s="43" t="n">
        <x:f>--AND(Q1066=1,O1066="HALLUCINATION")</x:f>
        <x:v>0</x:v>
      </x:c>
      <x:c r="Z1066" s="43" t="n">
        <x:f>--AND(Y1066=1,R1066=1,S1066=1)</x:f>
        <x:v>0</x:v>
      </x:c>
      <x:c r="AC1066" t="str">
        <x:f>IF(OR(AA1066="",AB1066=""),"",--(AA1066&lt;&gt;AB1066))</x:f>
      </x:c>
      <x:c r="AE1066" t="str">
        <x:f>IF(OR(AA1066="",AB1066=""),"PENDING_HUMAN",IF(AA1066=AB1066,AA1066,IF(AD1066&lt;&gt;"",AD1066,"PENDING_HUMAN")))</x:f>
        <x:v>PENDING_HUMAN</x:v>
      </x:c>
      <x:c r="AF1066" t="n">
        <x:f>--AND(A1066&lt;&gt;"",AA1066&lt;&gt;"",AB1066&lt;&gt;"",OR(AA1066=AB1066,AD1066&lt;&gt;""),IF(AE1066="HALLUCINATION",U1066&lt;&gt;"",TRUE))</x:f>
        <x:v>0</x:v>
      </x:c>
      <x:c r="AG1066" t="n">
        <x:f>--AND(N1066=1,AF1066=1,OR(AE1066="SUPPORTED",AE1066="HALLUCINATION"))</x:f>
        <x:v>0</x:v>
      </x:c>
      <x:c r="AH1066" t="n">
        <x:f>--AND(AG1066=1,AE1066="HALLUCINATION")</x:f>
        <x:v>0</x:v>
      </x:c>
      <x:c r="AI1066" t="n">
        <x:f>--AND(Q1066=1,AF1066=1,AE1066="HALLUCINATION")</x:f>
        <x:v>0</x:v>
      </x:c>
      <x:c r="AJ1066" t="n">
        <x:f>--AND(AI1066=1,R1066=1,S1066=1)</x:f>
        <x:v>0</x:v>
      </x:c>
    </x:row>
    <x:row r="1067">
      <x:c r="A1067" s="28"/>
      <x:c r="B1067" s="28"/>
      <x:c r="C1067" s="28"/>
      <x:c r="D1067" s="28"/>
      <x:c r="E1067" s="28"/>
      <x:c r="F1067" s="28"/>
      <x:c r="G1067" s="28"/>
      <x:c r="H1067" s="28"/>
      <x:c r="I1067" s="28"/>
      <x:c r="J1067" s="28"/>
      <x:c r="K1067" s="28"/>
      <x:c r="L1067" s="28"/>
      <x:c r="M1067" s="28"/>
      <x:c r="N1067" s="28"/>
      <x:c r="O1067" s="28"/>
      <x:c r="P1067" s="28"/>
      <x:c r="Q1067" s="28"/>
      <x:c r="R1067" s="28"/>
      <x:c r="S1067" s="28"/>
      <x:c r="T1067" s="28"/>
      <x:c r="U1067" s="28"/>
      <x:c r="V1067" s="28"/>
      <x:c r="W1067" s="43" t="n">
        <x:f>--AND(N1067=1,OR(O1067="SUPPORTED",O1067="HALLUCINATION"))</x:f>
        <x:v>0</x:v>
      </x:c>
      <x:c r="X1067" s="43" t="n">
        <x:f>--AND(W1067=1,O1067="HALLUCINATION")</x:f>
        <x:v>0</x:v>
      </x:c>
      <x:c r="Y1067" s="43" t="n">
        <x:f>--AND(Q1067=1,O1067="HALLUCINATION")</x:f>
        <x:v>0</x:v>
      </x:c>
      <x:c r="Z1067" s="43" t="n">
        <x:f>--AND(Y1067=1,R1067=1,S1067=1)</x:f>
        <x:v>0</x:v>
      </x:c>
      <x:c r="AC1067" t="str">
        <x:f>IF(OR(AA1067="",AB1067=""),"",--(AA1067&lt;&gt;AB1067))</x:f>
      </x:c>
      <x:c r="AE1067" t="str">
        <x:f>IF(OR(AA1067="",AB1067=""),"PENDING_HUMAN",IF(AA1067=AB1067,AA1067,IF(AD1067&lt;&gt;"",AD1067,"PENDING_HUMAN")))</x:f>
        <x:v>PENDING_HUMAN</x:v>
      </x:c>
      <x:c r="AF1067" t="n">
        <x:f>--AND(A1067&lt;&gt;"",AA1067&lt;&gt;"",AB1067&lt;&gt;"",OR(AA1067=AB1067,AD1067&lt;&gt;""),IF(AE1067="HALLUCINATION",U1067&lt;&gt;"",TRUE))</x:f>
        <x:v>0</x:v>
      </x:c>
      <x:c r="AG1067" t="n">
        <x:f>--AND(N1067=1,AF1067=1,OR(AE1067="SUPPORTED",AE1067="HALLUCINATION"))</x:f>
        <x:v>0</x:v>
      </x:c>
      <x:c r="AH1067" t="n">
        <x:f>--AND(AG1067=1,AE1067="HALLUCINATION")</x:f>
        <x:v>0</x:v>
      </x:c>
      <x:c r="AI1067" t="n">
        <x:f>--AND(Q1067=1,AF1067=1,AE1067="HALLUCINATION")</x:f>
        <x:v>0</x:v>
      </x:c>
      <x:c r="AJ1067" t="n">
        <x:f>--AND(AI1067=1,R1067=1,S1067=1)</x:f>
        <x:v>0</x:v>
      </x:c>
    </x:row>
    <x:row r="1068">
      <x:c r="A1068" s="28"/>
      <x:c r="B1068" s="28"/>
      <x:c r="C1068" s="28"/>
      <x:c r="D1068" s="28"/>
      <x:c r="E1068" s="28"/>
      <x:c r="F1068" s="28"/>
      <x:c r="G1068" s="28"/>
      <x:c r="H1068" s="28"/>
      <x:c r="I1068" s="28"/>
      <x:c r="J1068" s="28"/>
      <x:c r="K1068" s="28"/>
      <x:c r="L1068" s="28"/>
      <x:c r="M1068" s="28"/>
      <x:c r="N1068" s="28"/>
      <x:c r="O1068" s="28"/>
      <x:c r="P1068" s="28"/>
      <x:c r="Q1068" s="28"/>
      <x:c r="R1068" s="28"/>
      <x:c r="S1068" s="28"/>
      <x:c r="T1068" s="28"/>
      <x:c r="U1068" s="28"/>
      <x:c r="V1068" s="28"/>
      <x:c r="W1068" s="43" t="n">
        <x:f>--AND(N1068=1,OR(O1068="SUPPORTED",O1068="HALLUCINATION"))</x:f>
        <x:v>0</x:v>
      </x:c>
      <x:c r="X1068" s="43" t="n">
        <x:f>--AND(W1068=1,O1068="HALLUCINATION")</x:f>
        <x:v>0</x:v>
      </x:c>
      <x:c r="Y1068" s="43" t="n">
        <x:f>--AND(Q1068=1,O1068="HALLUCINATION")</x:f>
        <x:v>0</x:v>
      </x:c>
      <x:c r="Z1068" s="43" t="n">
        <x:f>--AND(Y1068=1,R1068=1,S1068=1)</x:f>
        <x:v>0</x:v>
      </x:c>
      <x:c r="AC1068" t="str">
        <x:f>IF(OR(AA1068="",AB1068=""),"",--(AA1068&lt;&gt;AB1068))</x:f>
      </x:c>
      <x:c r="AE1068" t="str">
        <x:f>IF(OR(AA1068="",AB1068=""),"PENDING_HUMAN",IF(AA1068=AB1068,AA1068,IF(AD1068&lt;&gt;"",AD1068,"PENDING_HUMAN")))</x:f>
        <x:v>PENDING_HUMAN</x:v>
      </x:c>
      <x:c r="AF1068" t="n">
        <x:f>--AND(A1068&lt;&gt;"",AA1068&lt;&gt;"",AB1068&lt;&gt;"",OR(AA1068=AB1068,AD1068&lt;&gt;""),IF(AE1068="HALLUCINATION",U1068&lt;&gt;"",TRUE))</x:f>
        <x:v>0</x:v>
      </x:c>
      <x:c r="AG1068" t="n">
        <x:f>--AND(N1068=1,AF1068=1,OR(AE1068="SUPPORTED",AE1068="HALLUCINATION"))</x:f>
        <x:v>0</x:v>
      </x:c>
      <x:c r="AH1068" t="n">
        <x:f>--AND(AG1068=1,AE1068="HALLUCINATION")</x:f>
        <x:v>0</x:v>
      </x:c>
      <x:c r="AI1068" t="n">
        <x:f>--AND(Q1068=1,AF1068=1,AE1068="HALLUCINATION")</x:f>
        <x:v>0</x:v>
      </x:c>
      <x:c r="AJ1068" t="n">
        <x:f>--AND(AI1068=1,R1068=1,S1068=1)</x:f>
        <x:v>0</x:v>
      </x:c>
    </x:row>
    <x:row r="1069">
      <x:c r="A1069" s="28"/>
      <x:c r="B1069" s="28"/>
      <x:c r="C1069" s="28"/>
      <x:c r="D1069" s="28"/>
      <x:c r="E1069" s="28"/>
      <x:c r="F1069" s="28"/>
      <x:c r="G1069" s="28"/>
      <x:c r="H1069" s="28"/>
      <x:c r="I1069" s="28"/>
      <x:c r="J1069" s="28"/>
      <x:c r="K1069" s="28"/>
      <x:c r="L1069" s="28"/>
      <x:c r="M1069" s="28"/>
      <x:c r="N1069" s="28"/>
      <x:c r="O1069" s="28"/>
      <x:c r="P1069" s="28"/>
      <x:c r="Q1069" s="28"/>
      <x:c r="R1069" s="28"/>
      <x:c r="S1069" s="28"/>
      <x:c r="T1069" s="28"/>
      <x:c r="U1069" s="28"/>
      <x:c r="V1069" s="28"/>
      <x:c r="W1069" s="43" t="n">
        <x:f>--AND(N1069=1,OR(O1069="SUPPORTED",O1069="HALLUCINATION"))</x:f>
        <x:v>0</x:v>
      </x:c>
      <x:c r="X1069" s="43" t="n">
        <x:f>--AND(W1069=1,O1069="HALLUCINATION")</x:f>
        <x:v>0</x:v>
      </x:c>
      <x:c r="Y1069" s="43" t="n">
        <x:f>--AND(Q1069=1,O1069="HALLUCINATION")</x:f>
        <x:v>0</x:v>
      </x:c>
      <x:c r="Z1069" s="43" t="n">
        <x:f>--AND(Y1069=1,R1069=1,S1069=1)</x:f>
        <x:v>0</x:v>
      </x:c>
      <x:c r="AC1069" t="str">
        <x:f>IF(OR(AA1069="",AB1069=""),"",--(AA1069&lt;&gt;AB1069))</x:f>
      </x:c>
      <x:c r="AE1069" t="str">
        <x:f>IF(OR(AA1069="",AB1069=""),"PENDING_HUMAN",IF(AA1069=AB1069,AA1069,IF(AD1069&lt;&gt;"",AD1069,"PENDING_HUMAN")))</x:f>
        <x:v>PENDING_HUMAN</x:v>
      </x:c>
      <x:c r="AF1069" t="n">
        <x:f>--AND(A1069&lt;&gt;"",AA1069&lt;&gt;"",AB1069&lt;&gt;"",OR(AA1069=AB1069,AD1069&lt;&gt;""),IF(AE1069="HALLUCINATION",U1069&lt;&gt;"",TRUE))</x:f>
        <x:v>0</x:v>
      </x:c>
      <x:c r="AG1069" t="n">
        <x:f>--AND(N1069=1,AF1069=1,OR(AE1069="SUPPORTED",AE1069="HALLUCINATION"))</x:f>
        <x:v>0</x:v>
      </x:c>
      <x:c r="AH1069" t="n">
        <x:f>--AND(AG1069=1,AE1069="HALLUCINATION")</x:f>
        <x:v>0</x:v>
      </x:c>
      <x:c r="AI1069" t="n">
        <x:f>--AND(Q1069=1,AF1069=1,AE1069="HALLUCINATION")</x:f>
        <x:v>0</x:v>
      </x:c>
      <x:c r="AJ1069" t="n">
        <x:f>--AND(AI1069=1,R1069=1,S1069=1)</x:f>
        <x:v>0</x:v>
      </x:c>
    </x:row>
    <x:row r="1070">
      <x:c r="A1070" s="28"/>
      <x:c r="B1070" s="28"/>
      <x:c r="C1070" s="28"/>
      <x:c r="D1070" s="28"/>
      <x:c r="E1070" s="28"/>
      <x:c r="F1070" s="28"/>
      <x:c r="G1070" s="28"/>
      <x:c r="H1070" s="28"/>
      <x:c r="I1070" s="28"/>
      <x:c r="J1070" s="28"/>
      <x:c r="K1070" s="28"/>
      <x:c r="L1070" s="28"/>
      <x:c r="M1070" s="28"/>
      <x:c r="N1070" s="28"/>
      <x:c r="O1070" s="28"/>
      <x:c r="P1070" s="28"/>
      <x:c r="Q1070" s="28"/>
      <x:c r="R1070" s="28"/>
      <x:c r="S1070" s="28"/>
      <x:c r="T1070" s="28"/>
      <x:c r="U1070" s="28"/>
      <x:c r="V1070" s="28"/>
      <x:c r="W1070" s="43" t="n">
        <x:f>--AND(N1070=1,OR(O1070="SUPPORTED",O1070="HALLUCINATION"))</x:f>
        <x:v>0</x:v>
      </x:c>
      <x:c r="X1070" s="43" t="n">
        <x:f>--AND(W1070=1,O1070="HALLUCINATION")</x:f>
        <x:v>0</x:v>
      </x:c>
      <x:c r="Y1070" s="43" t="n">
        <x:f>--AND(Q1070=1,O1070="HALLUCINATION")</x:f>
        <x:v>0</x:v>
      </x:c>
      <x:c r="Z1070" s="43" t="n">
        <x:f>--AND(Y1070=1,R1070=1,S1070=1)</x:f>
        <x:v>0</x:v>
      </x:c>
      <x:c r="AC1070" t="str">
        <x:f>IF(OR(AA1070="",AB1070=""),"",--(AA1070&lt;&gt;AB1070))</x:f>
      </x:c>
      <x:c r="AE1070" t="str">
        <x:f>IF(OR(AA1070="",AB1070=""),"PENDING_HUMAN",IF(AA1070=AB1070,AA1070,IF(AD1070&lt;&gt;"",AD1070,"PENDING_HUMAN")))</x:f>
        <x:v>PENDING_HUMAN</x:v>
      </x:c>
      <x:c r="AF1070" t="n">
        <x:f>--AND(A1070&lt;&gt;"",AA1070&lt;&gt;"",AB1070&lt;&gt;"",OR(AA1070=AB1070,AD1070&lt;&gt;""),IF(AE1070="HALLUCINATION",U1070&lt;&gt;"",TRUE))</x:f>
        <x:v>0</x:v>
      </x:c>
      <x:c r="AG1070" t="n">
        <x:f>--AND(N1070=1,AF1070=1,OR(AE1070="SUPPORTED",AE1070="HALLUCINATION"))</x:f>
        <x:v>0</x:v>
      </x:c>
      <x:c r="AH1070" t="n">
        <x:f>--AND(AG1070=1,AE1070="HALLUCINATION")</x:f>
        <x:v>0</x:v>
      </x:c>
      <x:c r="AI1070" t="n">
        <x:f>--AND(Q1070=1,AF1070=1,AE1070="HALLUCINATION")</x:f>
        <x:v>0</x:v>
      </x:c>
      <x:c r="AJ1070" t="n">
        <x:f>--AND(AI1070=1,R1070=1,S1070=1)</x:f>
        <x:v>0</x:v>
      </x:c>
    </x:row>
    <x:row r="1071">
      <x:c r="A1071" s="28"/>
      <x:c r="B1071" s="28"/>
      <x:c r="C1071" s="28"/>
      <x:c r="D1071" s="28"/>
      <x:c r="E1071" s="28"/>
      <x:c r="F1071" s="28"/>
      <x:c r="G1071" s="28"/>
      <x:c r="H1071" s="28"/>
      <x:c r="I1071" s="28"/>
      <x:c r="J1071" s="28"/>
      <x:c r="K1071" s="28"/>
      <x:c r="L1071" s="28"/>
      <x:c r="M1071" s="28"/>
      <x:c r="N1071" s="28"/>
      <x:c r="O1071" s="28"/>
      <x:c r="P1071" s="28"/>
      <x:c r="Q1071" s="28"/>
      <x:c r="R1071" s="28"/>
      <x:c r="S1071" s="28"/>
      <x:c r="T1071" s="28"/>
      <x:c r="U1071" s="28"/>
      <x:c r="V1071" s="28"/>
      <x:c r="W1071" s="43" t="n">
        <x:f>--AND(N1071=1,OR(O1071="SUPPORTED",O1071="HALLUCINATION"))</x:f>
        <x:v>0</x:v>
      </x:c>
      <x:c r="X1071" s="43" t="n">
        <x:f>--AND(W1071=1,O1071="HALLUCINATION")</x:f>
        <x:v>0</x:v>
      </x:c>
      <x:c r="Y1071" s="43" t="n">
        <x:f>--AND(Q1071=1,O1071="HALLUCINATION")</x:f>
        <x:v>0</x:v>
      </x:c>
      <x:c r="Z1071" s="43" t="n">
        <x:f>--AND(Y1071=1,R1071=1,S1071=1)</x:f>
        <x:v>0</x:v>
      </x:c>
      <x:c r="AC1071" t="str">
        <x:f>IF(OR(AA1071="",AB1071=""),"",--(AA1071&lt;&gt;AB1071))</x:f>
      </x:c>
      <x:c r="AE1071" t="str">
        <x:f>IF(OR(AA1071="",AB1071=""),"PENDING_HUMAN",IF(AA1071=AB1071,AA1071,IF(AD1071&lt;&gt;"",AD1071,"PENDING_HUMAN")))</x:f>
        <x:v>PENDING_HUMAN</x:v>
      </x:c>
      <x:c r="AF1071" t="n">
        <x:f>--AND(A1071&lt;&gt;"",AA1071&lt;&gt;"",AB1071&lt;&gt;"",OR(AA1071=AB1071,AD1071&lt;&gt;""),IF(AE1071="HALLUCINATION",U1071&lt;&gt;"",TRUE))</x:f>
        <x:v>0</x:v>
      </x:c>
      <x:c r="AG1071" t="n">
        <x:f>--AND(N1071=1,AF1071=1,OR(AE1071="SUPPORTED",AE1071="HALLUCINATION"))</x:f>
        <x:v>0</x:v>
      </x:c>
      <x:c r="AH1071" t="n">
        <x:f>--AND(AG1071=1,AE1071="HALLUCINATION")</x:f>
        <x:v>0</x:v>
      </x:c>
      <x:c r="AI1071" t="n">
        <x:f>--AND(Q1071=1,AF1071=1,AE1071="HALLUCINATION")</x:f>
        <x:v>0</x:v>
      </x:c>
      <x:c r="AJ1071" t="n">
        <x:f>--AND(AI1071=1,R1071=1,S1071=1)</x:f>
        <x:v>0</x:v>
      </x:c>
    </x:row>
    <x:row r="1072">
      <x:c r="A1072" s="28"/>
      <x:c r="B1072" s="28"/>
      <x:c r="C1072" s="28"/>
      <x:c r="D1072" s="28"/>
      <x:c r="E1072" s="28"/>
      <x:c r="F1072" s="28"/>
      <x:c r="G1072" s="28"/>
      <x:c r="H1072" s="28"/>
      <x:c r="I1072" s="28"/>
      <x:c r="J1072" s="28"/>
      <x:c r="K1072" s="28"/>
      <x:c r="L1072" s="28"/>
      <x:c r="M1072" s="28"/>
      <x:c r="N1072" s="28"/>
      <x:c r="O1072" s="28"/>
      <x:c r="P1072" s="28"/>
      <x:c r="Q1072" s="28"/>
      <x:c r="R1072" s="28"/>
      <x:c r="S1072" s="28"/>
      <x:c r="T1072" s="28"/>
      <x:c r="U1072" s="28"/>
      <x:c r="V1072" s="28"/>
      <x:c r="W1072" s="43" t="n">
        <x:f>--AND(N1072=1,OR(O1072="SUPPORTED",O1072="HALLUCINATION"))</x:f>
        <x:v>0</x:v>
      </x:c>
      <x:c r="X1072" s="43" t="n">
        <x:f>--AND(W1072=1,O1072="HALLUCINATION")</x:f>
        <x:v>0</x:v>
      </x:c>
      <x:c r="Y1072" s="43" t="n">
        <x:f>--AND(Q1072=1,O1072="HALLUCINATION")</x:f>
        <x:v>0</x:v>
      </x:c>
      <x:c r="Z1072" s="43" t="n">
        <x:f>--AND(Y1072=1,R1072=1,S1072=1)</x:f>
        <x:v>0</x:v>
      </x:c>
      <x:c r="AC1072" t="str">
        <x:f>IF(OR(AA1072="",AB1072=""),"",--(AA1072&lt;&gt;AB1072))</x:f>
      </x:c>
      <x:c r="AE1072" t="str">
        <x:f>IF(OR(AA1072="",AB1072=""),"PENDING_HUMAN",IF(AA1072=AB1072,AA1072,IF(AD1072&lt;&gt;"",AD1072,"PENDING_HUMAN")))</x:f>
        <x:v>PENDING_HUMAN</x:v>
      </x:c>
      <x:c r="AF1072" t="n">
        <x:f>--AND(A1072&lt;&gt;"",AA1072&lt;&gt;"",AB1072&lt;&gt;"",OR(AA1072=AB1072,AD1072&lt;&gt;""),IF(AE1072="HALLUCINATION",U1072&lt;&gt;"",TRUE))</x:f>
        <x:v>0</x:v>
      </x:c>
      <x:c r="AG1072" t="n">
        <x:f>--AND(N1072=1,AF1072=1,OR(AE1072="SUPPORTED",AE1072="HALLUCINATION"))</x:f>
        <x:v>0</x:v>
      </x:c>
      <x:c r="AH1072" t="n">
        <x:f>--AND(AG1072=1,AE1072="HALLUCINATION")</x:f>
        <x:v>0</x:v>
      </x:c>
      <x:c r="AI1072" t="n">
        <x:f>--AND(Q1072=1,AF1072=1,AE1072="HALLUCINATION")</x:f>
        <x:v>0</x:v>
      </x:c>
      <x:c r="AJ1072" t="n">
        <x:f>--AND(AI1072=1,R1072=1,S1072=1)</x:f>
        <x:v>0</x:v>
      </x:c>
    </x:row>
    <x:row r="1073">
      <x:c r="A1073" s="28"/>
      <x:c r="B1073" s="28"/>
      <x:c r="C1073" s="28"/>
      <x:c r="D1073" s="28"/>
      <x:c r="E1073" s="28"/>
      <x:c r="F1073" s="28"/>
      <x:c r="G1073" s="28"/>
      <x:c r="H1073" s="28"/>
      <x:c r="I1073" s="28"/>
      <x:c r="J1073" s="28"/>
      <x:c r="K1073" s="28"/>
      <x:c r="L1073" s="28"/>
      <x:c r="M1073" s="28"/>
      <x:c r="N1073" s="28"/>
      <x:c r="O1073" s="28"/>
      <x:c r="P1073" s="28"/>
      <x:c r="Q1073" s="28"/>
      <x:c r="R1073" s="28"/>
      <x:c r="S1073" s="28"/>
      <x:c r="T1073" s="28"/>
      <x:c r="U1073" s="28"/>
      <x:c r="V1073" s="28"/>
      <x:c r="W1073" s="43" t="n">
        <x:f>--AND(N1073=1,OR(O1073="SUPPORTED",O1073="HALLUCINATION"))</x:f>
        <x:v>0</x:v>
      </x:c>
      <x:c r="X1073" s="43" t="n">
        <x:f>--AND(W1073=1,O1073="HALLUCINATION")</x:f>
        <x:v>0</x:v>
      </x:c>
      <x:c r="Y1073" s="43" t="n">
        <x:f>--AND(Q1073=1,O1073="HALLUCINATION")</x:f>
        <x:v>0</x:v>
      </x:c>
      <x:c r="Z1073" s="43" t="n">
        <x:f>--AND(Y1073=1,R1073=1,S1073=1)</x:f>
        <x:v>0</x:v>
      </x:c>
      <x:c r="AC1073" t="str">
        <x:f>IF(OR(AA1073="",AB1073=""),"",--(AA1073&lt;&gt;AB1073))</x:f>
      </x:c>
      <x:c r="AE1073" t="str">
        <x:f>IF(OR(AA1073="",AB1073=""),"PENDING_HUMAN",IF(AA1073=AB1073,AA1073,IF(AD1073&lt;&gt;"",AD1073,"PENDING_HUMAN")))</x:f>
        <x:v>PENDING_HUMAN</x:v>
      </x:c>
      <x:c r="AF1073" t="n">
        <x:f>--AND(A1073&lt;&gt;"",AA1073&lt;&gt;"",AB1073&lt;&gt;"",OR(AA1073=AB1073,AD1073&lt;&gt;""),IF(AE1073="HALLUCINATION",U1073&lt;&gt;"",TRUE))</x:f>
        <x:v>0</x:v>
      </x:c>
      <x:c r="AG1073" t="n">
        <x:f>--AND(N1073=1,AF1073=1,OR(AE1073="SUPPORTED",AE1073="HALLUCINATION"))</x:f>
        <x:v>0</x:v>
      </x:c>
      <x:c r="AH1073" t="n">
        <x:f>--AND(AG1073=1,AE1073="HALLUCINATION")</x:f>
        <x:v>0</x:v>
      </x:c>
      <x:c r="AI1073" t="n">
        <x:f>--AND(Q1073=1,AF1073=1,AE1073="HALLUCINATION")</x:f>
        <x:v>0</x:v>
      </x:c>
      <x:c r="AJ1073" t="n">
        <x:f>--AND(AI1073=1,R1073=1,S1073=1)</x:f>
        <x:v>0</x:v>
      </x:c>
    </x:row>
    <x:row r="1074">
      <x:c r="A1074" s="28"/>
      <x:c r="B1074" s="28"/>
      <x:c r="C1074" s="28"/>
      <x:c r="D1074" s="28"/>
      <x:c r="E1074" s="28"/>
      <x:c r="F1074" s="28"/>
      <x:c r="G1074" s="28"/>
      <x:c r="H1074" s="28"/>
      <x:c r="I1074" s="28"/>
      <x:c r="J1074" s="28"/>
      <x:c r="K1074" s="28"/>
      <x:c r="L1074" s="28"/>
      <x:c r="M1074" s="28"/>
      <x:c r="N1074" s="28"/>
      <x:c r="O1074" s="28"/>
      <x:c r="P1074" s="28"/>
      <x:c r="Q1074" s="28"/>
      <x:c r="R1074" s="28"/>
      <x:c r="S1074" s="28"/>
      <x:c r="T1074" s="28"/>
      <x:c r="U1074" s="28"/>
      <x:c r="V1074" s="28"/>
      <x:c r="W1074" s="43" t="n">
        <x:f>--AND(N1074=1,OR(O1074="SUPPORTED",O1074="HALLUCINATION"))</x:f>
        <x:v>0</x:v>
      </x:c>
      <x:c r="X1074" s="43" t="n">
        <x:f>--AND(W1074=1,O1074="HALLUCINATION")</x:f>
        <x:v>0</x:v>
      </x:c>
      <x:c r="Y1074" s="43" t="n">
        <x:f>--AND(Q1074=1,O1074="HALLUCINATION")</x:f>
        <x:v>0</x:v>
      </x:c>
      <x:c r="Z1074" s="43" t="n">
        <x:f>--AND(Y1074=1,R1074=1,S1074=1)</x:f>
        <x:v>0</x:v>
      </x:c>
      <x:c r="AC1074" t="str">
        <x:f>IF(OR(AA1074="",AB1074=""),"",--(AA1074&lt;&gt;AB1074))</x:f>
      </x:c>
      <x:c r="AE1074" t="str">
        <x:f>IF(OR(AA1074="",AB1074=""),"PENDING_HUMAN",IF(AA1074=AB1074,AA1074,IF(AD1074&lt;&gt;"",AD1074,"PENDING_HUMAN")))</x:f>
        <x:v>PENDING_HUMAN</x:v>
      </x:c>
      <x:c r="AF1074" t="n">
        <x:f>--AND(A1074&lt;&gt;"",AA1074&lt;&gt;"",AB1074&lt;&gt;"",OR(AA1074=AB1074,AD1074&lt;&gt;""),IF(AE1074="HALLUCINATION",U1074&lt;&gt;"",TRUE))</x:f>
        <x:v>0</x:v>
      </x:c>
      <x:c r="AG1074" t="n">
        <x:f>--AND(N1074=1,AF1074=1,OR(AE1074="SUPPORTED",AE1074="HALLUCINATION"))</x:f>
        <x:v>0</x:v>
      </x:c>
      <x:c r="AH1074" t="n">
        <x:f>--AND(AG1074=1,AE1074="HALLUCINATION")</x:f>
        <x:v>0</x:v>
      </x:c>
      <x:c r="AI1074" t="n">
        <x:f>--AND(Q1074=1,AF1074=1,AE1074="HALLUCINATION")</x:f>
        <x:v>0</x:v>
      </x:c>
      <x:c r="AJ1074" t="n">
        <x:f>--AND(AI1074=1,R1074=1,S1074=1)</x:f>
        <x:v>0</x:v>
      </x:c>
    </x:row>
    <x:row r="1075">
      <x:c r="A1075" s="28"/>
      <x:c r="B1075" s="28"/>
      <x:c r="C1075" s="28"/>
      <x:c r="D1075" s="28"/>
      <x:c r="E1075" s="28"/>
      <x:c r="F1075" s="28"/>
      <x:c r="G1075" s="28"/>
      <x:c r="H1075" s="28"/>
      <x:c r="I1075" s="28"/>
      <x:c r="J1075" s="28"/>
      <x:c r="K1075" s="28"/>
      <x:c r="L1075" s="28"/>
      <x:c r="M1075" s="28"/>
      <x:c r="N1075" s="28"/>
      <x:c r="O1075" s="28"/>
      <x:c r="P1075" s="28"/>
      <x:c r="Q1075" s="28"/>
      <x:c r="R1075" s="28"/>
      <x:c r="S1075" s="28"/>
      <x:c r="T1075" s="28"/>
      <x:c r="U1075" s="28"/>
      <x:c r="V1075" s="28"/>
      <x:c r="W1075" s="43" t="n">
        <x:f>--AND(N1075=1,OR(O1075="SUPPORTED",O1075="HALLUCINATION"))</x:f>
        <x:v>0</x:v>
      </x:c>
      <x:c r="X1075" s="43" t="n">
        <x:f>--AND(W1075=1,O1075="HALLUCINATION")</x:f>
        <x:v>0</x:v>
      </x:c>
      <x:c r="Y1075" s="43" t="n">
        <x:f>--AND(Q1075=1,O1075="HALLUCINATION")</x:f>
        <x:v>0</x:v>
      </x:c>
      <x:c r="Z1075" s="43" t="n">
        <x:f>--AND(Y1075=1,R1075=1,S1075=1)</x:f>
        <x:v>0</x:v>
      </x:c>
      <x:c r="AC1075" t="str">
        <x:f>IF(OR(AA1075="",AB1075=""),"",--(AA1075&lt;&gt;AB1075))</x:f>
      </x:c>
      <x:c r="AE1075" t="str">
        <x:f>IF(OR(AA1075="",AB1075=""),"PENDING_HUMAN",IF(AA1075=AB1075,AA1075,IF(AD1075&lt;&gt;"",AD1075,"PENDING_HUMAN")))</x:f>
        <x:v>PENDING_HUMAN</x:v>
      </x:c>
      <x:c r="AF1075" t="n">
        <x:f>--AND(A1075&lt;&gt;"",AA1075&lt;&gt;"",AB1075&lt;&gt;"",OR(AA1075=AB1075,AD1075&lt;&gt;""),IF(AE1075="HALLUCINATION",U1075&lt;&gt;"",TRUE))</x:f>
        <x:v>0</x:v>
      </x:c>
      <x:c r="AG1075" t="n">
        <x:f>--AND(N1075=1,AF1075=1,OR(AE1075="SUPPORTED",AE1075="HALLUCINATION"))</x:f>
        <x:v>0</x:v>
      </x:c>
      <x:c r="AH1075" t="n">
        <x:f>--AND(AG1075=1,AE1075="HALLUCINATION")</x:f>
        <x:v>0</x:v>
      </x:c>
      <x:c r="AI1075" t="n">
        <x:f>--AND(Q1075=1,AF1075=1,AE1075="HALLUCINATION")</x:f>
        <x:v>0</x:v>
      </x:c>
      <x:c r="AJ1075" t="n">
        <x:f>--AND(AI1075=1,R1075=1,S1075=1)</x:f>
        <x:v>0</x:v>
      </x:c>
    </x:row>
    <x:row r="1076">
      <x:c r="A1076" s="28"/>
      <x:c r="B1076" s="28"/>
      <x:c r="C1076" s="28"/>
      <x:c r="D1076" s="28"/>
      <x:c r="E1076" s="28"/>
      <x:c r="F1076" s="28"/>
      <x:c r="G1076" s="28"/>
      <x:c r="H1076" s="28"/>
      <x:c r="I1076" s="28"/>
      <x:c r="J1076" s="28"/>
      <x:c r="K1076" s="28"/>
      <x:c r="L1076" s="28"/>
      <x:c r="M1076" s="28"/>
      <x:c r="N1076" s="28"/>
      <x:c r="O1076" s="28"/>
      <x:c r="P1076" s="28"/>
      <x:c r="Q1076" s="28"/>
      <x:c r="R1076" s="28"/>
      <x:c r="S1076" s="28"/>
      <x:c r="T1076" s="28"/>
      <x:c r="U1076" s="28"/>
      <x:c r="V1076" s="28"/>
      <x:c r="W1076" s="43" t="n">
        <x:f>--AND(N1076=1,OR(O1076="SUPPORTED",O1076="HALLUCINATION"))</x:f>
        <x:v>0</x:v>
      </x:c>
      <x:c r="X1076" s="43" t="n">
        <x:f>--AND(W1076=1,O1076="HALLUCINATION")</x:f>
        <x:v>0</x:v>
      </x:c>
      <x:c r="Y1076" s="43" t="n">
        <x:f>--AND(Q1076=1,O1076="HALLUCINATION")</x:f>
        <x:v>0</x:v>
      </x:c>
      <x:c r="Z1076" s="43" t="n">
        <x:f>--AND(Y1076=1,R1076=1,S1076=1)</x:f>
        <x:v>0</x:v>
      </x:c>
      <x:c r="AC1076" t="str">
        <x:f>IF(OR(AA1076="",AB1076=""),"",--(AA1076&lt;&gt;AB1076))</x:f>
      </x:c>
      <x:c r="AE1076" t="str">
        <x:f>IF(OR(AA1076="",AB1076=""),"PENDING_HUMAN",IF(AA1076=AB1076,AA1076,IF(AD1076&lt;&gt;"",AD1076,"PENDING_HUMAN")))</x:f>
        <x:v>PENDING_HUMAN</x:v>
      </x:c>
      <x:c r="AF1076" t="n">
        <x:f>--AND(A1076&lt;&gt;"",AA1076&lt;&gt;"",AB1076&lt;&gt;"",OR(AA1076=AB1076,AD1076&lt;&gt;""),IF(AE1076="HALLUCINATION",U1076&lt;&gt;"",TRUE))</x:f>
        <x:v>0</x:v>
      </x:c>
      <x:c r="AG1076" t="n">
        <x:f>--AND(N1076=1,AF1076=1,OR(AE1076="SUPPORTED",AE1076="HALLUCINATION"))</x:f>
        <x:v>0</x:v>
      </x:c>
      <x:c r="AH1076" t="n">
        <x:f>--AND(AG1076=1,AE1076="HALLUCINATION")</x:f>
        <x:v>0</x:v>
      </x:c>
      <x:c r="AI1076" t="n">
        <x:f>--AND(Q1076=1,AF1076=1,AE1076="HALLUCINATION")</x:f>
        <x:v>0</x:v>
      </x:c>
      <x:c r="AJ1076" t="n">
        <x:f>--AND(AI1076=1,R1076=1,S1076=1)</x:f>
        <x:v>0</x:v>
      </x:c>
    </x:row>
    <x:row r="1077">
      <x:c r="A1077" s="28"/>
      <x:c r="B1077" s="28"/>
      <x:c r="C1077" s="28"/>
      <x:c r="D1077" s="28"/>
      <x:c r="E1077" s="28"/>
      <x:c r="F1077" s="28"/>
      <x:c r="G1077" s="28"/>
      <x:c r="H1077" s="28"/>
      <x:c r="I1077" s="28"/>
      <x:c r="J1077" s="28"/>
      <x:c r="K1077" s="28"/>
      <x:c r="L1077" s="28"/>
      <x:c r="M1077" s="28"/>
      <x:c r="N1077" s="28"/>
      <x:c r="O1077" s="28"/>
      <x:c r="P1077" s="28"/>
      <x:c r="Q1077" s="28"/>
      <x:c r="R1077" s="28"/>
      <x:c r="S1077" s="28"/>
      <x:c r="T1077" s="28"/>
      <x:c r="U1077" s="28"/>
      <x:c r="V1077" s="28"/>
      <x:c r="W1077" s="43" t="n">
        <x:f>--AND(N1077=1,OR(O1077="SUPPORTED",O1077="HALLUCINATION"))</x:f>
        <x:v>0</x:v>
      </x:c>
      <x:c r="X1077" s="43" t="n">
        <x:f>--AND(W1077=1,O1077="HALLUCINATION")</x:f>
        <x:v>0</x:v>
      </x:c>
      <x:c r="Y1077" s="43" t="n">
        <x:f>--AND(Q1077=1,O1077="HALLUCINATION")</x:f>
        <x:v>0</x:v>
      </x:c>
      <x:c r="Z1077" s="43" t="n">
        <x:f>--AND(Y1077=1,R1077=1,S1077=1)</x:f>
        <x:v>0</x:v>
      </x:c>
      <x:c r="AC1077" t="str">
        <x:f>IF(OR(AA1077="",AB1077=""),"",--(AA1077&lt;&gt;AB1077))</x:f>
      </x:c>
      <x:c r="AE1077" t="str">
        <x:f>IF(OR(AA1077="",AB1077=""),"PENDING_HUMAN",IF(AA1077=AB1077,AA1077,IF(AD1077&lt;&gt;"",AD1077,"PENDING_HUMAN")))</x:f>
        <x:v>PENDING_HUMAN</x:v>
      </x:c>
      <x:c r="AF1077" t="n">
        <x:f>--AND(A1077&lt;&gt;"",AA1077&lt;&gt;"",AB1077&lt;&gt;"",OR(AA1077=AB1077,AD1077&lt;&gt;""),IF(AE1077="HALLUCINATION",U1077&lt;&gt;"",TRUE))</x:f>
        <x:v>0</x:v>
      </x:c>
      <x:c r="AG1077" t="n">
        <x:f>--AND(N1077=1,AF1077=1,OR(AE1077="SUPPORTED",AE1077="HALLUCINATION"))</x:f>
        <x:v>0</x:v>
      </x:c>
      <x:c r="AH1077" t="n">
        <x:f>--AND(AG1077=1,AE1077="HALLUCINATION")</x:f>
        <x:v>0</x:v>
      </x:c>
      <x:c r="AI1077" t="n">
        <x:f>--AND(Q1077=1,AF1077=1,AE1077="HALLUCINATION")</x:f>
        <x:v>0</x:v>
      </x:c>
      <x:c r="AJ1077" t="n">
        <x:f>--AND(AI1077=1,R1077=1,S1077=1)</x:f>
        <x:v>0</x:v>
      </x:c>
    </x:row>
    <x:row r="1078">
      <x:c r="A1078" s="28"/>
      <x:c r="B1078" s="28"/>
      <x:c r="C1078" s="28"/>
      <x:c r="D1078" s="28"/>
      <x:c r="E1078" s="28"/>
      <x:c r="F1078" s="28"/>
      <x:c r="G1078" s="28"/>
      <x:c r="H1078" s="28"/>
      <x:c r="I1078" s="28"/>
      <x:c r="J1078" s="28"/>
      <x:c r="K1078" s="28"/>
      <x:c r="L1078" s="28"/>
      <x:c r="M1078" s="28"/>
      <x:c r="N1078" s="28"/>
      <x:c r="O1078" s="28"/>
      <x:c r="P1078" s="28"/>
      <x:c r="Q1078" s="28"/>
      <x:c r="R1078" s="28"/>
      <x:c r="S1078" s="28"/>
      <x:c r="T1078" s="28"/>
      <x:c r="U1078" s="28"/>
      <x:c r="V1078" s="28"/>
      <x:c r="W1078" s="43" t="n">
        <x:f>--AND(N1078=1,OR(O1078="SUPPORTED",O1078="HALLUCINATION"))</x:f>
        <x:v>0</x:v>
      </x:c>
      <x:c r="X1078" s="43" t="n">
        <x:f>--AND(W1078=1,O1078="HALLUCINATION")</x:f>
        <x:v>0</x:v>
      </x:c>
      <x:c r="Y1078" s="43" t="n">
        <x:f>--AND(Q1078=1,O1078="HALLUCINATION")</x:f>
        <x:v>0</x:v>
      </x:c>
      <x:c r="Z1078" s="43" t="n">
        <x:f>--AND(Y1078=1,R1078=1,S1078=1)</x:f>
        <x:v>0</x:v>
      </x:c>
      <x:c r="AC1078" t="str">
        <x:f>IF(OR(AA1078="",AB1078=""),"",--(AA1078&lt;&gt;AB1078))</x:f>
      </x:c>
      <x:c r="AE1078" t="str">
        <x:f>IF(OR(AA1078="",AB1078=""),"PENDING_HUMAN",IF(AA1078=AB1078,AA1078,IF(AD1078&lt;&gt;"",AD1078,"PENDING_HUMAN")))</x:f>
        <x:v>PENDING_HUMAN</x:v>
      </x:c>
      <x:c r="AF1078" t="n">
        <x:f>--AND(A1078&lt;&gt;"",AA1078&lt;&gt;"",AB1078&lt;&gt;"",OR(AA1078=AB1078,AD1078&lt;&gt;""),IF(AE1078="HALLUCINATION",U1078&lt;&gt;"",TRUE))</x:f>
        <x:v>0</x:v>
      </x:c>
      <x:c r="AG1078" t="n">
        <x:f>--AND(N1078=1,AF1078=1,OR(AE1078="SUPPORTED",AE1078="HALLUCINATION"))</x:f>
        <x:v>0</x:v>
      </x:c>
      <x:c r="AH1078" t="n">
        <x:f>--AND(AG1078=1,AE1078="HALLUCINATION")</x:f>
        <x:v>0</x:v>
      </x:c>
      <x:c r="AI1078" t="n">
        <x:f>--AND(Q1078=1,AF1078=1,AE1078="HALLUCINATION")</x:f>
        <x:v>0</x:v>
      </x:c>
      <x:c r="AJ1078" t="n">
        <x:f>--AND(AI1078=1,R1078=1,S1078=1)</x:f>
        <x:v>0</x:v>
      </x:c>
    </x:row>
    <x:row r="1079">
      <x:c r="A1079" s="28"/>
      <x:c r="B1079" s="28"/>
      <x:c r="C1079" s="28"/>
      <x:c r="D1079" s="28"/>
      <x:c r="E1079" s="28"/>
      <x:c r="F1079" s="28"/>
      <x:c r="G1079" s="28"/>
      <x:c r="H1079" s="28"/>
      <x:c r="I1079" s="28"/>
      <x:c r="J1079" s="28"/>
      <x:c r="K1079" s="28"/>
      <x:c r="L1079" s="28"/>
      <x:c r="M1079" s="28"/>
      <x:c r="N1079" s="28"/>
      <x:c r="O1079" s="28"/>
      <x:c r="P1079" s="28"/>
      <x:c r="Q1079" s="28"/>
      <x:c r="R1079" s="28"/>
      <x:c r="S1079" s="28"/>
      <x:c r="T1079" s="28"/>
      <x:c r="U1079" s="28"/>
      <x:c r="V1079" s="28"/>
      <x:c r="W1079" s="43" t="n">
        <x:f>--AND(N1079=1,OR(O1079="SUPPORTED",O1079="HALLUCINATION"))</x:f>
        <x:v>0</x:v>
      </x:c>
      <x:c r="X1079" s="43" t="n">
        <x:f>--AND(W1079=1,O1079="HALLUCINATION")</x:f>
        <x:v>0</x:v>
      </x:c>
      <x:c r="Y1079" s="43" t="n">
        <x:f>--AND(Q1079=1,O1079="HALLUCINATION")</x:f>
        <x:v>0</x:v>
      </x:c>
      <x:c r="Z1079" s="43" t="n">
        <x:f>--AND(Y1079=1,R1079=1,S1079=1)</x:f>
        <x:v>0</x:v>
      </x:c>
      <x:c r="AC1079" t="str">
        <x:f>IF(OR(AA1079="",AB1079=""),"",--(AA1079&lt;&gt;AB1079))</x:f>
      </x:c>
      <x:c r="AE1079" t="str">
        <x:f>IF(OR(AA1079="",AB1079=""),"PENDING_HUMAN",IF(AA1079=AB1079,AA1079,IF(AD1079&lt;&gt;"",AD1079,"PENDING_HUMAN")))</x:f>
        <x:v>PENDING_HUMAN</x:v>
      </x:c>
      <x:c r="AF1079" t="n">
        <x:f>--AND(A1079&lt;&gt;"",AA1079&lt;&gt;"",AB1079&lt;&gt;"",OR(AA1079=AB1079,AD1079&lt;&gt;""),IF(AE1079="HALLUCINATION",U1079&lt;&gt;"",TRUE))</x:f>
        <x:v>0</x:v>
      </x:c>
      <x:c r="AG1079" t="n">
        <x:f>--AND(N1079=1,AF1079=1,OR(AE1079="SUPPORTED",AE1079="HALLUCINATION"))</x:f>
        <x:v>0</x:v>
      </x:c>
      <x:c r="AH1079" t="n">
        <x:f>--AND(AG1079=1,AE1079="HALLUCINATION")</x:f>
        <x:v>0</x:v>
      </x:c>
      <x:c r="AI1079" t="n">
        <x:f>--AND(Q1079=1,AF1079=1,AE1079="HALLUCINATION")</x:f>
        <x:v>0</x:v>
      </x:c>
      <x:c r="AJ1079" t="n">
        <x:f>--AND(AI1079=1,R1079=1,S1079=1)</x:f>
        <x:v>0</x:v>
      </x:c>
    </x:row>
    <x:row r="1080">
      <x:c r="A1080" s="28"/>
      <x:c r="B1080" s="28"/>
      <x:c r="C1080" s="28"/>
      <x:c r="D1080" s="28"/>
      <x:c r="E1080" s="28"/>
      <x:c r="F1080" s="28"/>
      <x:c r="G1080" s="28"/>
      <x:c r="H1080" s="28"/>
      <x:c r="I1080" s="28"/>
      <x:c r="J1080" s="28"/>
      <x:c r="K1080" s="28"/>
      <x:c r="L1080" s="28"/>
      <x:c r="M1080" s="28"/>
      <x:c r="N1080" s="28"/>
      <x:c r="O1080" s="28"/>
      <x:c r="P1080" s="28"/>
      <x:c r="Q1080" s="28"/>
      <x:c r="R1080" s="28"/>
      <x:c r="S1080" s="28"/>
      <x:c r="T1080" s="28"/>
      <x:c r="U1080" s="28"/>
      <x:c r="V1080" s="28"/>
      <x:c r="W1080" s="43" t="n">
        <x:f>--AND(N1080=1,OR(O1080="SUPPORTED",O1080="HALLUCINATION"))</x:f>
        <x:v>0</x:v>
      </x:c>
      <x:c r="X1080" s="43" t="n">
        <x:f>--AND(W1080=1,O1080="HALLUCINATION")</x:f>
        <x:v>0</x:v>
      </x:c>
      <x:c r="Y1080" s="43" t="n">
        <x:f>--AND(Q1080=1,O1080="HALLUCINATION")</x:f>
        <x:v>0</x:v>
      </x:c>
      <x:c r="Z1080" s="43" t="n">
        <x:f>--AND(Y1080=1,R1080=1,S1080=1)</x:f>
        <x:v>0</x:v>
      </x:c>
      <x:c r="AC1080" t="str">
        <x:f>IF(OR(AA1080="",AB1080=""),"",--(AA1080&lt;&gt;AB1080))</x:f>
      </x:c>
      <x:c r="AE1080" t="str">
        <x:f>IF(OR(AA1080="",AB1080=""),"PENDING_HUMAN",IF(AA1080=AB1080,AA1080,IF(AD1080&lt;&gt;"",AD1080,"PENDING_HUMAN")))</x:f>
        <x:v>PENDING_HUMAN</x:v>
      </x:c>
      <x:c r="AF1080" t="n">
        <x:f>--AND(A1080&lt;&gt;"",AA1080&lt;&gt;"",AB1080&lt;&gt;"",OR(AA1080=AB1080,AD1080&lt;&gt;""),IF(AE1080="HALLUCINATION",U1080&lt;&gt;"",TRUE))</x:f>
        <x:v>0</x:v>
      </x:c>
      <x:c r="AG1080" t="n">
        <x:f>--AND(N1080=1,AF1080=1,OR(AE1080="SUPPORTED",AE1080="HALLUCINATION"))</x:f>
        <x:v>0</x:v>
      </x:c>
      <x:c r="AH1080" t="n">
        <x:f>--AND(AG1080=1,AE1080="HALLUCINATION")</x:f>
        <x:v>0</x:v>
      </x:c>
      <x:c r="AI1080" t="n">
        <x:f>--AND(Q1080=1,AF1080=1,AE1080="HALLUCINATION")</x:f>
        <x:v>0</x:v>
      </x:c>
      <x:c r="AJ1080" t="n">
        <x:f>--AND(AI1080=1,R1080=1,S1080=1)</x:f>
        <x:v>0</x:v>
      </x:c>
    </x:row>
    <x:row r="1081">
      <x:c r="A1081" s="28"/>
      <x:c r="B1081" s="28"/>
      <x:c r="C1081" s="28"/>
      <x:c r="D1081" s="28"/>
      <x:c r="E1081" s="28"/>
      <x:c r="F1081" s="28"/>
      <x:c r="G1081" s="28"/>
      <x:c r="H1081" s="28"/>
      <x:c r="I1081" s="28"/>
      <x:c r="J1081" s="28"/>
      <x:c r="K1081" s="28"/>
      <x:c r="L1081" s="28"/>
      <x:c r="M1081" s="28"/>
      <x:c r="N1081" s="28"/>
      <x:c r="O1081" s="28"/>
      <x:c r="P1081" s="28"/>
      <x:c r="Q1081" s="28"/>
      <x:c r="R1081" s="28"/>
      <x:c r="S1081" s="28"/>
      <x:c r="T1081" s="28"/>
      <x:c r="U1081" s="28"/>
      <x:c r="V1081" s="28"/>
      <x:c r="W1081" s="43" t="n">
        <x:f>--AND(N1081=1,OR(O1081="SUPPORTED",O1081="HALLUCINATION"))</x:f>
        <x:v>0</x:v>
      </x:c>
      <x:c r="X1081" s="43" t="n">
        <x:f>--AND(W1081=1,O1081="HALLUCINATION")</x:f>
        <x:v>0</x:v>
      </x:c>
      <x:c r="Y1081" s="43" t="n">
        <x:f>--AND(Q1081=1,O1081="HALLUCINATION")</x:f>
        <x:v>0</x:v>
      </x:c>
      <x:c r="Z1081" s="43" t="n">
        <x:f>--AND(Y1081=1,R1081=1,S1081=1)</x:f>
        <x:v>0</x:v>
      </x:c>
      <x:c r="AC1081" t="str">
        <x:f>IF(OR(AA1081="",AB1081=""),"",--(AA1081&lt;&gt;AB1081))</x:f>
      </x:c>
      <x:c r="AE1081" t="str">
        <x:f>IF(OR(AA1081="",AB1081=""),"PENDING_HUMAN",IF(AA1081=AB1081,AA1081,IF(AD1081&lt;&gt;"",AD1081,"PENDING_HUMAN")))</x:f>
        <x:v>PENDING_HUMAN</x:v>
      </x:c>
      <x:c r="AF1081" t="n">
        <x:f>--AND(A1081&lt;&gt;"",AA1081&lt;&gt;"",AB1081&lt;&gt;"",OR(AA1081=AB1081,AD1081&lt;&gt;""),IF(AE1081="HALLUCINATION",U1081&lt;&gt;"",TRUE))</x:f>
        <x:v>0</x:v>
      </x:c>
      <x:c r="AG1081" t="n">
        <x:f>--AND(N1081=1,AF1081=1,OR(AE1081="SUPPORTED",AE1081="HALLUCINATION"))</x:f>
        <x:v>0</x:v>
      </x:c>
      <x:c r="AH1081" t="n">
        <x:f>--AND(AG1081=1,AE1081="HALLUCINATION")</x:f>
        <x:v>0</x:v>
      </x:c>
      <x:c r="AI1081" t="n">
        <x:f>--AND(Q1081=1,AF1081=1,AE1081="HALLUCINATION")</x:f>
        <x:v>0</x:v>
      </x:c>
      <x:c r="AJ1081" t="n">
        <x:f>--AND(AI1081=1,R1081=1,S1081=1)</x:f>
        <x:v>0</x:v>
      </x:c>
    </x:row>
    <x:row r="1082">
      <x:c r="A1082" s="28"/>
      <x:c r="B1082" s="28"/>
      <x:c r="C1082" s="28"/>
      <x:c r="D1082" s="28"/>
      <x:c r="E1082" s="28"/>
      <x:c r="F1082" s="28"/>
      <x:c r="G1082" s="28"/>
      <x:c r="H1082" s="28"/>
      <x:c r="I1082" s="28"/>
      <x:c r="J1082" s="28"/>
      <x:c r="K1082" s="28"/>
      <x:c r="L1082" s="28"/>
      <x:c r="M1082" s="28"/>
      <x:c r="N1082" s="28"/>
      <x:c r="O1082" s="28"/>
      <x:c r="P1082" s="28"/>
      <x:c r="Q1082" s="28"/>
      <x:c r="R1082" s="28"/>
      <x:c r="S1082" s="28"/>
      <x:c r="T1082" s="28"/>
      <x:c r="U1082" s="28"/>
      <x:c r="V1082" s="28"/>
      <x:c r="W1082" s="43" t="n">
        <x:f>--AND(N1082=1,OR(O1082="SUPPORTED",O1082="HALLUCINATION"))</x:f>
        <x:v>0</x:v>
      </x:c>
      <x:c r="X1082" s="43" t="n">
        <x:f>--AND(W1082=1,O1082="HALLUCINATION")</x:f>
        <x:v>0</x:v>
      </x:c>
      <x:c r="Y1082" s="43" t="n">
        <x:f>--AND(Q1082=1,O1082="HALLUCINATION")</x:f>
        <x:v>0</x:v>
      </x:c>
      <x:c r="Z1082" s="43" t="n">
        <x:f>--AND(Y1082=1,R1082=1,S1082=1)</x:f>
        <x:v>0</x:v>
      </x:c>
      <x:c r="AC1082" t="str">
        <x:f>IF(OR(AA1082="",AB1082=""),"",--(AA1082&lt;&gt;AB1082))</x:f>
      </x:c>
      <x:c r="AE1082" t="str">
        <x:f>IF(OR(AA1082="",AB1082=""),"PENDING_HUMAN",IF(AA1082=AB1082,AA1082,IF(AD1082&lt;&gt;"",AD1082,"PENDING_HUMAN")))</x:f>
        <x:v>PENDING_HUMAN</x:v>
      </x:c>
      <x:c r="AF1082" t="n">
        <x:f>--AND(A1082&lt;&gt;"",AA1082&lt;&gt;"",AB1082&lt;&gt;"",OR(AA1082=AB1082,AD1082&lt;&gt;""),IF(AE1082="HALLUCINATION",U1082&lt;&gt;"",TRUE))</x:f>
        <x:v>0</x:v>
      </x:c>
      <x:c r="AG1082" t="n">
        <x:f>--AND(N1082=1,AF1082=1,OR(AE1082="SUPPORTED",AE1082="HALLUCINATION"))</x:f>
        <x:v>0</x:v>
      </x:c>
      <x:c r="AH1082" t="n">
        <x:f>--AND(AG1082=1,AE1082="HALLUCINATION")</x:f>
        <x:v>0</x:v>
      </x:c>
      <x:c r="AI1082" t="n">
        <x:f>--AND(Q1082=1,AF1082=1,AE1082="HALLUCINATION")</x:f>
        <x:v>0</x:v>
      </x:c>
      <x:c r="AJ1082" t="n">
        <x:f>--AND(AI1082=1,R1082=1,S1082=1)</x:f>
        <x:v>0</x:v>
      </x:c>
    </x:row>
    <x:row r="1083">
      <x:c r="A1083" s="28"/>
      <x:c r="B1083" s="28"/>
      <x:c r="C1083" s="28"/>
      <x:c r="D1083" s="28"/>
      <x:c r="E1083" s="28"/>
      <x:c r="F1083" s="28"/>
      <x:c r="G1083" s="28"/>
      <x:c r="H1083" s="28"/>
      <x:c r="I1083" s="28"/>
      <x:c r="J1083" s="28"/>
      <x:c r="K1083" s="28"/>
      <x:c r="L1083" s="28"/>
      <x:c r="M1083" s="28"/>
      <x:c r="N1083" s="28"/>
      <x:c r="O1083" s="28"/>
      <x:c r="P1083" s="28"/>
      <x:c r="Q1083" s="28"/>
      <x:c r="R1083" s="28"/>
      <x:c r="S1083" s="28"/>
      <x:c r="T1083" s="28"/>
      <x:c r="U1083" s="28"/>
      <x:c r="V1083" s="28"/>
      <x:c r="W1083" s="43" t="n">
        <x:f>--AND(N1083=1,OR(O1083="SUPPORTED",O1083="HALLUCINATION"))</x:f>
        <x:v>0</x:v>
      </x:c>
      <x:c r="X1083" s="43" t="n">
        <x:f>--AND(W1083=1,O1083="HALLUCINATION")</x:f>
        <x:v>0</x:v>
      </x:c>
      <x:c r="Y1083" s="43" t="n">
        <x:f>--AND(Q1083=1,O1083="HALLUCINATION")</x:f>
        <x:v>0</x:v>
      </x:c>
      <x:c r="Z1083" s="43" t="n">
        <x:f>--AND(Y1083=1,R1083=1,S1083=1)</x:f>
        <x:v>0</x:v>
      </x:c>
      <x:c r="AC1083" t="str">
        <x:f>IF(OR(AA1083="",AB1083=""),"",--(AA1083&lt;&gt;AB1083))</x:f>
      </x:c>
      <x:c r="AE1083" t="str">
        <x:f>IF(OR(AA1083="",AB1083=""),"PENDING_HUMAN",IF(AA1083=AB1083,AA1083,IF(AD1083&lt;&gt;"",AD1083,"PENDING_HUMAN")))</x:f>
        <x:v>PENDING_HUMAN</x:v>
      </x:c>
      <x:c r="AF1083" t="n">
        <x:f>--AND(A1083&lt;&gt;"",AA1083&lt;&gt;"",AB1083&lt;&gt;"",OR(AA1083=AB1083,AD1083&lt;&gt;""),IF(AE1083="HALLUCINATION",U1083&lt;&gt;"",TRUE))</x:f>
        <x:v>0</x:v>
      </x:c>
      <x:c r="AG1083" t="n">
        <x:f>--AND(N1083=1,AF1083=1,OR(AE1083="SUPPORTED",AE1083="HALLUCINATION"))</x:f>
        <x:v>0</x:v>
      </x:c>
      <x:c r="AH1083" t="n">
        <x:f>--AND(AG1083=1,AE1083="HALLUCINATION")</x:f>
        <x:v>0</x:v>
      </x:c>
      <x:c r="AI1083" t="n">
        <x:f>--AND(Q1083=1,AF1083=1,AE1083="HALLUCINATION")</x:f>
        <x:v>0</x:v>
      </x:c>
      <x:c r="AJ1083" t="n">
        <x:f>--AND(AI1083=1,R1083=1,S1083=1)</x:f>
        <x:v>0</x:v>
      </x:c>
    </x:row>
    <x:row r="1084">
      <x:c r="A1084" s="28"/>
      <x:c r="B1084" s="28"/>
      <x:c r="C1084" s="28"/>
      <x:c r="D1084" s="28"/>
      <x:c r="E1084" s="28"/>
      <x:c r="F1084" s="28"/>
      <x:c r="G1084" s="28"/>
      <x:c r="H1084" s="28"/>
      <x:c r="I1084" s="28"/>
      <x:c r="J1084" s="28"/>
      <x:c r="K1084" s="28"/>
      <x:c r="L1084" s="28"/>
      <x:c r="M1084" s="28"/>
      <x:c r="N1084" s="28"/>
      <x:c r="O1084" s="28"/>
      <x:c r="P1084" s="28"/>
      <x:c r="Q1084" s="28"/>
      <x:c r="R1084" s="28"/>
      <x:c r="S1084" s="28"/>
      <x:c r="T1084" s="28"/>
      <x:c r="U1084" s="28"/>
      <x:c r="V1084" s="28"/>
      <x:c r="W1084" s="43" t="n">
        <x:f>--AND(N1084=1,OR(O1084="SUPPORTED",O1084="HALLUCINATION"))</x:f>
        <x:v>0</x:v>
      </x:c>
      <x:c r="X1084" s="43" t="n">
        <x:f>--AND(W1084=1,O1084="HALLUCINATION")</x:f>
        <x:v>0</x:v>
      </x:c>
      <x:c r="Y1084" s="43" t="n">
        <x:f>--AND(Q1084=1,O1084="HALLUCINATION")</x:f>
        <x:v>0</x:v>
      </x:c>
      <x:c r="Z1084" s="43" t="n">
        <x:f>--AND(Y1084=1,R1084=1,S1084=1)</x:f>
        <x:v>0</x:v>
      </x:c>
      <x:c r="AC1084" t="str">
        <x:f>IF(OR(AA1084="",AB1084=""),"",--(AA1084&lt;&gt;AB1084))</x:f>
      </x:c>
      <x:c r="AE1084" t="str">
        <x:f>IF(OR(AA1084="",AB1084=""),"PENDING_HUMAN",IF(AA1084=AB1084,AA1084,IF(AD1084&lt;&gt;"",AD1084,"PENDING_HUMAN")))</x:f>
        <x:v>PENDING_HUMAN</x:v>
      </x:c>
      <x:c r="AF1084" t="n">
        <x:f>--AND(A1084&lt;&gt;"",AA1084&lt;&gt;"",AB1084&lt;&gt;"",OR(AA1084=AB1084,AD1084&lt;&gt;""),IF(AE1084="HALLUCINATION",U1084&lt;&gt;"",TRUE))</x:f>
        <x:v>0</x:v>
      </x:c>
      <x:c r="AG1084" t="n">
        <x:f>--AND(N1084=1,AF1084=1,OR(AE1084="SUPPORTED",AE1084="HALLUCINATION"))</x:f>
        <x:v>0</x:v>
      </x:c>
      <x:c r="AH1084" t="n">
        <x:f>--AND(AG1084=1,AE1084="HALLUCINATION")</x:f>
        <x:v>0</x:v>
      </x:c>
      <x:c r="AI1084" t="n">
        <x:f>--AND(Q1084=1,AF1084=1,AE1084="HALLUCINATION")</x:f>
        <x:v>0</x:v>
      </x:c>
      <x:c r="AJ1084" t="n">
        <x:f>--AND(AI1084=1,R1084=1,S1084=1)</x:f>
        <x:v>0</x:v>
      </x:c>
    </x:row>
    <x:row r="1085">
      <x:c r="A1085" s="28"/>
      <x:c r="B1085" s="28"/>
      <x:c r="C1085" s="28"/>
      <x:c r="D1085" s="28"/>
      <x:c r="E1085" s="28"/>
      <x:c r="F1085" s="28"/>
      <x:c r="G1085" s="28"/>
      <x:c r="H1085" s="28"/>
      <x:c r="I1085" s="28"/>
      <x:c r="J1085" s="28"/>
      <x:c r="K1085" s="28"/>
      <x:c r="L1085" s="28"/>
      <x:c r="M1085" s="28"/>
      <x:c r="N1085" s="28"/>
      <x:c r="O1085" s="28"/>
      <x:c r="P1085" s="28"/>
      <x:c r="Q1085" s="28"/>
      <x:c r="R1085" s="28"/>
      <x:c r="S1085" s="28"/>
      <x:c r="T1085" s="28"/>
      <x:c r="U1085" s="28"/>
      <x:c r="V1085" s="28"/>
      <x:c r="W1085" s="43" t="n">
        <x:f>--AND(N1085=1,OR(O1085="SUPPORTED",O1085="HALLUCINATION"))</x:f>
        <x:v>0</x:v>
      </x:c>
      <x:c r="X1085" s="43" t="n">
        <x:f>--AND(W1085=1,O1085="HALLUCINATION")</x:f>
        <x:v>0</x:v>
      </x:c>
      <x:c r="Y1085" s="43" t="n">
        <x:f>--AND(Q1085=1,O1085="HALLUCINATION")</x:f>
        <x:v>0</x:v>
      </x:c>
      <x:c r="Z1085" s="43" t="n">
        <x:f>--AND(Y1085=1,R1085=1,S1085=1)</x:f>
        <x:v>0</x:v>
      </x:c>
      <x:c r="AC1085" t="str">
        <x:f>IF(OR(AA1085="",AB1085=""),"",--(AA1085&lt;&gt;AB1085))</x:f>
      </x:c>
      <x:c r="AE1085" t="str">
        <x:f>IF(OR(AA1085="",AB1085=""),"PENDING_HUMAN",IF(AA1085=AB1085,AA1085,IF(AD1085&lt;&gt;"",AD1085,"PENDING_HUMAN")))</x:f>
        <x:v>PENDING_HUMAN</x:v>
      </x:c>
      <x:c r="AF1085" t="n">
        <x:f>--AND(A1085&lt;&gt;"",AA1085&lt;&gt;"",AB1085&lt;&gt;"",OR(AA1085=AB1085,AD1085&lt;&gt;""),IF(AE1085="HALLUCINATION",U1085&lt;&gt;"",TRUE))</x:f>
        <x:v>0</x:v>
      </x:c>
      <x:c r="AG1085" t="n">
        <x:f>--AND(N1085=1,AF1085=1,OR(AE1085="SUPPORTED",AE1085="HALLUCINATION"))</x:f>
        <x:v>0</x:v>
      </x:c>
      <x:c r="AH1085" t="n">
        <x:f>--AND(AG1085=1,AE1085="HALLUCINATION")</x:f>
        <x:v>0</x:v>
      </x:c>
      <x:c r="AI1085" t="n">
        <x:f>--AND(Q1085=1,AF1085=1,AE1085="HALLUCINATION")</x:f>
        <x:v>0</x:v>
      </x:c>
      <x:c r="AJ1085" t="n">
        <x:f>--AND(AI1085=1,R1085=1,S1085=1)</x:f>
        <x:v>0</x:v>
      </x:c>
    </x:row>
    <x:row r="1086">
      <x:c r="A1086" s="28"/>
      <x:c r="B1086" s="28"/>
      <x:c r="C1086" s="28"/>
      <x:c r="D1086" s="28"/>
      <x:c r="E1086" s="28"/>
      <x:c r="F1086" s="28"/>
      <x:c r="G1086" s="28"/>
      <x:c r="H1086" s="28"/>
      <x:c r="I1086" s="28"/>
      <x:c r="J1086" s="28"/>
      <x:c r="K1086" s="28"/>
      <x:c r="L1086" s="28"/>
      <x:c r="M1086" s="28"/>
      <x:c r="N1086" s="28"/>
      <x:c r="O1086" s="28"/>
      <x:c r="P1086" s="28"/>
      <x:c r="Q1086" s="28"/>
      <x:c r="R1086" s="28"/>
      <x:c r="S1086" s="28"/>
      <x:c r="T1086" s="28"/>
      <x:c r="U1086" s="28"/>
      <x:c r="V1086" s="28"/>
      <x:c r="W1086" s="43" t="n">
        <x:f>--AND(N1086=1,OR(O1086="SUPPORTED",O1086="HALLUCINATION"))</x:f>
        <x:v>0</x:v>
      </x:c>
      <x:c r="X1086" s="43" t="n">
        <x:f>--AND(W1086=1,O1086="HALLUCINATION")</x:f>
        <x:v>0</x:v>
      </x:c>
      <x:c r="Y1086" s="43" t="n">
        <x:f>--AND(Q1086=1,O1086="HALLUCINATION")</x:f>
        <x:v>0</x:v>
      </x:c>
      <x:c r="Z1086" s="43" t="n">
        <x:f>--AND(Y1086=1,R1086=1,S1086=1)</x:f>
        <x:v>0</x:v>
      </x:c>
      <x:c r="AC1086" t="str">
        <x:f>IF(OR(AA1086="",AB1086=""),"",--(AA1086&lt;&gt;AB1086))</x:f>
      </x:c>
      <x:c r="AE1086" t="str">
        <x:f>IF(OR(AA1086="",AB1086=""),"PENDING_HUMAN",IF(AA1086=AB1086,AA1086,IF(AD1086&lt;&gt;"",AD1086,"PENDING_HUMAN")))</x:f>
        <x:v>PENDING_HUMAN</x:v>
      </x:c>
      <x:c r="AF1086" t="n">
        <x:f>--AND(A1086&lt;&gt;"",AA1086&lt;&gt;"",AB1086&lt;&gt;"",OR(AA1086=AB1086,AD1086&lt;&gt;""),IF(AE1086="HALLUCINATION",U1086&lt;&gt;"",TRUE))</x:f>
        <x:v>0</x:v>
      </x:c>
      <x:c r="AG1086" t="n">
        <x:f>--AND(N1086=1,AF1086=1,OR(AE1086="SUPPORTED",AE1086="HALLUCINATION"))</x:f>
        <x:v>0</x:v>
      </x:c>
      <x:c r="AH1086" t="n">
        <x:f>--AND(AG1086=1,AE1086="HALLUCINATION")</x:f>
        <x:v>0</x:v>
      </x:c>
      <x:c r="AI1086" t="n">
        <x:f>--AND(Q1086=1,AF1086=1,AE1086="HALLUCINATION")</x:f>
        <x:v>0</x:v>
      </x:c>
      <x:c r="AJ1086" t="n">
        <x:f>--AND(AI1086=1,R1086=1,S1086=1)</x:f>
        <x:v>0</x:v>
      </x:c>
    </x:row>
    <x:row r="1087">
      <x:c r="A1087" s="28"/>
      <x:c r="B1087" s="28"/>
      <x:c r="C1087" s="28"/>
      <x:c r="D1087" s="28"/>
      <x:c r="E1087" s="28"/>
      <x:c r="F1087" s="28"/>
      <x:c r="G1087" s="28"/>
      <x:c r="H1087" s="28"/>
      <x:c r="I1087" s="28"/>
      <x:c r="J1087" s="28"/>
      <x:c r="K1087" s="28"/>
      <x:c r="L1087" s="28"/>
      <x:c r="M1087" s="28"/>
      <x:c r="N1087" s="28"/>
      <x:c r="O1087" s="28"/>
      <x:c r="P1087" s="28"/>
      <x:c r="Q1087" s="28"/>
      <x:c r="R1087" s="28"/>
      <x:c r="S1087" s="28"/>
      <x:c r="T1087" s="28"/>
      <x:c r="U1087" s="28"/>
      <x:c r="V1087" s="28"/>
      <x:c r="W1087" s="43" t="n">
        <x:f>--AND(N1087=1,OR(O1087="SUPPORTED",O1087="HALLUCINATION"))</x:f>
        <x:v>0</x:v>
      </x:c>
      <x:c r="X1087" s="43" t="n">
        <x:f>--AND(W1087=1,O1087="HALLUCINATION")</x:f>
        <x:v>0</x:v>
      </x:c>
      <x:c r="Y1087" s="43" t="n">
        <x:f>--AND(Q1087=1,O1087="HALLUCINATION")</x:f>
        <x:v>0</x:v>
      </x:c>
      <x:c r="Z1087" s="43" t="n">
        <x:f>--AND(Y1087=1,R1087=1,S1087=1)</x:f>
        <x:v>0</x:v>
      </x:c>
      <x:c r="AC1087" t="str">
        <x:f>IF(OR(AA1087="",AB1087=""),"",--(AA1087&lt;&gt;AB1087))</x:f>
      </x:c>
      <x:c r="AE1087" t="str">
        <x:f>IF(OR(AA1087="",AB1087=""),"PENDING_HUMAN",IF(AA1087=AB1087,AA1087,IF(AD1087&lt;&gt;"",AD1087,"PENDING_HUMAN")))</x:f>
        <x:v>PENDING_HUMAN</x:v>
      </x:c>
      <x:c r="AF1087" t="n">
        <x:f>--AND(A1087&lt;&gt;"",AA1087&lt;&gt;"",AB1087&lt;&gt;"",OR(AA1087=AB1087,AD1087&lt;&gt;""),IF(AE1087="HALLUCINATION",U1087&lt;&gt;"",TRUE))</x:f>
        <x:v>0</x:v>
      </x:c>
      <x:c r="AG1087" t="n">
        <x:f>--AND(N1087=1,AF1087=1,OR(AE1087="SUPPORTED",AE1087="HALLUCINATION"))</x:f>
        <x:v>0</x:v>
      </x:c>
      <x:c r="AH1087" t="n">
        <x:f>--AND(AG1087=1,AE1087="HALLUCINATION")</x:f>
        <x:v>0</x:v>
      </x:c>
      <x:c r="AI1087" t="n">
        <x:f>--AND(Q1087=1,AF1087=1,AE1087="HALLUCINATION")</x:f>
        <x:v>0</x:v>
      </x:c>
      <x:c r="AJ1087" t="n">
        <x:f>--AND(AI1087=1,R1087=1,S1087=1)</x:f>
        <x:v>0</x:v>
      </x:c>
    </x:row>
    <x:row r="1088">
      <x:c r="A1088" s="28"/>
      <x:c r="B1088" s="28"/>
      <x:c r="C1088" s="28"/>
      <x:c r="D1088" s="28"/>
      <x:c r="E1088" s="28"/>
      <x:c r="F1088" s="28"/>
      <x:c r="G1088" s="28"/>
      <x:c r="H1088" s="28"/>
      <x:c r="I1088" s="28"/>
      <x:c r="J1088" s="28"/>
      <x:c r="K1088" s="28"/>
      <x:c r="L1088" s="28"/>
      <x:c r="M1088" s="28"/>
      <x:c r="N1088" s="28"/>
      <x:c r="O1088" s="28"/>
      <x:c r="P1088" s="28"/>
      <x:c r="Q1088" s="28"/>
      <x:c r="R1088" s="28"/>
      <x:c r="S1088" s="28"/>
      <x:c r="T1088" s="28"/>
      <x:c r="U1088" s="28"/>
      <x:c r="V1088" s="28"/>
      <x:c r="W1088" s="43" t="n">
        <x:f>--AND(N1088=1,OR(O1088="SUPPORTED",O1088="HALLUCINATION"))</x:f>
        <x:v>0</x:v>
      </x:c>
      <x:c r="X1088" s="43" t="n">
        <x:f>--AND(W1088=1,O1088="HALLUCINATION")</x:f>
        <x:v>0</x:v>
      </x:c>
      <x:c r="Y1088" s="43" t="n">
        <x:f>--AND(Q1088=1,O1088="HALLUCINATION")</x:f>
        <x:v>0</x:v>
      </x:c>
      <x:c r="Z1088" s="43" t="n">
        <x:f>--AND(Y1088=1,R1088=1,S1088=1)</x:f>
        <x:v>0</x:v>
      </x:c>
      <x:c r="AC1088" t="str">
        <x:f>IF(OR(AA1088="",AB1088=""),"",--(AA1088&lt;&gt;AB1088))</x:f>
      </x:c>
      <x:c r="AE1088" t="str">
        <x:f>IF(OR(AA1088="",AB1088=""),"PENDING_HUMAN",IF(AA1088=AB1088,AA1088,IF(AD1088&lt;&gt;"",AD1088,"PENDING_HUMAN")))</x:f>
        <x:v>PENDING_HUMAN</x:v>
      </x:c>
      <x:c r="AF1088" t="n">
        <x:f>--AND(A1088&lt;&gt;"",AA1088&lt;&gt;"",AB1088&lt;&gt;"",OR(AA1088=AB1088,AD1088&lt;&gt;""),IF(AE1088="HALLUCINATION",U1088&lt;&gt;"",TRUE))</x:f>
        <x:v>0</x:v>
      </x:c>
      <x:c r="AG1088" t="n">
        <x:f>--AND(N1088=1,AF1088=1,OR(AE1088="SUPPORTED",AE1088="HALLUCINATION"))</x:f>
        <x:v>0</x:v>
      </x:c>
      <x:c r="AH1088" t="n">
        <x:f>--AND(AG1088=1,AE1088="HALLUCINATION")</x:f>
        <x:v>0</x:v>
      </x:c>
      <x:c r="AI1088" t="n">
        <x:f>--AND(Q1088=1,AF1088=1,AE1088="HALLUCINATION")</x:f>
        <x:v>0</x:v>
      </x:c>
      <x:c r="AJ1088" t="n">
        <x:f>--AND(AI1088=1,R1088=1,S1088=1)</x:f>
        <x:v>0</x:v>
      </x:c>
    </x:row>
    <x:row r="1089">
      <x:c r="A1089" s="28"/>
      <x:c r="B1089" s="28"/>
      <x:c r="C1089" s="28"/>
      <x:c r="D1089" s="28"/>
      <x:c r="E1089" s="28"/>
      <x:c r="F1089" s="28"/>
      <x:c r="G1089" s="28"/>
      <x:c r="H1089" s="28"/>
      <x:c r="I1089" s="28"/>
      <x:c r="J1089" s="28"/>
      <x:c r="K1089" s="28"/>
      <x:c r="L1089" s="28"/>
      <x:c r="M1089" s="28"/>
      <x:c r="N1089" s="28"/>
      <x:c r="O1089" s="28"/>
      <x:c r="P1089" s="28"/>
      <x:c r="Q1089" s="28"/>
      <x:c r="R1089" s="28"/>
      <x:c r="S1089" s="28"/>
      <x:c r="T1089" s="28"/>
      <x:c r="U1089" s="28"/>
      <x:c r="V1089" s="28"/>
      <x:c r="W1089" s="43" t="n">
        <x:f>--AND(N1089=1,OR(O1089="SUPPORTED",O1089="HALLUCINATION"))</x:f>
        <x:v>0</x:v>
      </x:c>
      <x:c r="X1089" s="43" t="n">
        <x:f>--AND(W1089=1,O1089="HALLUCINATION")</x:f>
        <x:v>0</x:v>
      </x:c>
      <x:c r="Y1089" s="43" t="n">
        <x:f>--AND(Q1089=1,O1089="HALLUCINATION")</x:f>
        <x:v>0</x:v>
      </x:c>
      <x:c r="Z1089" s="43" t="n">
        <x:f>--AND(Y1089=1,R1089=1,S1089=1)</x:f>
        <x:v>0</x:v>
      </x:c>
      <x:c r="AC1089" t="str">
        <x:f>IF(OR(AA1089="",AB1089=""),"",--(AA1089&lt;&gt;AB1089))</x:f>
      </x:c>
      <x:c r="AE1089" t="str">
        <x:f>IF(OR(AA1089="",AB1089=""),"PENDING_HUMAN",IF(AA1089=AB1089,AA1089,IF(AD1089&lt;&gt;"",AD1089,"PENDING_HUMAN")))</x:f>
        <x:v>PENDING_HUMAN</x:v>
      </x:c>
      <x:c r="AF1089" t="n">
        <x:f>--AND(A1089&lt;&gt;"",AA1089&lt;&gt;"",AB1089&lt;&gt;"",OR(AA1089=AB1089,AD1089&lt;&gt;""),IF(AE1089="HALLUCINATION",U1089&lt;&gt;"",TRUE))</x:f>
        <x:v>0</x:v>
      </x:c>
      <x:c r="AG1089" t="n">
        <x:f>--AND(N1089=1,AF1089=1,OR(AE1089="SUPPORTED",AE1089="HALLUCINATION"))</x:f>
        <x:v>0</x:v>
      </x:c>
      <x:c r="AH1089" t="n">
        <x:f>--AND(AG1089=1,AE1089="HALLUCINATION")</x:f>
        <x:v>0</x:v>
      </x:c>
      <x:c r="AI1089" t="n">
        <x:f>--AND(Q1089=1,AF1089=1,AE1089="HALLUCINATION")</x:f>
        <x:v>0</x:v>
      </x:c>
      <x:c r="AJ1089" t="n">
        <x:f>--AND(AI1089=1,R1089=1,S1089=1)</x:f>
        <x:v>0</x:v>
      </x:c>
    </x:row>
    <x:row r="1090">
      <x:c r="A1090" s="28"/>
      <x:c r="B1090" s="28"/>
      <x:c r="C1090" s="28"/>
      <x:c r="D1090" s="28"/>
      <x:c r="E1090" s="28"/>
      <x:c r="F1090" s="28"/>
      <x:c r="G1090" s="28"/>
      <x:c r="H1090" s="28"/>
      <x:c r="I1090" s="28"/>
      <x:c r="J1090" s="28"/>
      <x:c r="K1090" s="28"/>
      <x:c r="L1090" s="28"/>
      <x:c r="M1090" s="28"/>
      <x:c r="N1090" s="28"/>
      <x:c r="O1090" s="28"/>
      <x:c r="P1090" s="28"/>
      <x:c r="Q1090" s="28"/>
      <x:c r="R1090" s="28"/>
      <x:c r="S1090" s="28"/>
      <x:c r="T1090" s="28"/>
      <x:c r="U1090" s="28"/>
      <x:c r="V1090" s="28"/>
      <x:c r="W1090" s="43" t="n">
        <x:f>--AND(N1090=1,OR(O1090="SUPPORTED",O1090="HALLUCINATION"))</x:f>
        <x:v>0</x:v>
      </x:c>
      <x:c r="X1090" s="43" t="n">
        <x:f>--AND(W1090=1,O1090="HALLUCINATION")</x:f>
        <x:v>0</x:v>
      </x:c>
      <x:c r="Y1090" s="43" t="n">
        <x:f>--AND(Q1090=1,O1090="HALLUCINATION")</x:f>
        <x:v>0</x:v>
      </x:c>
      <x:c r="Z1090" s="43" t="n">
        <x:f>--AND(Y1090=1,R1090=1,S1090=1)</x:f>
        <x:v>0</x:v>
      </x:c>
      <x:c r="AC1090" t="str">
        <x:f>IF(OR(AA1090="",AB1090=""),"",--(AA1090&lt;&gt;AB1090))</x:f>
      </x:c>
      <x:c r="AE1090" t="str">
        <x:f>IF(OR(AA1090="",AB1090=""),"PENDING_HUMAN",IF(AA1090=AB1090,AA1090,IF(AD1090&lt;&gt;"",AD1090,"PENDING_HUMAN")))</x:f>
        <x:v>PENDING_HUMAN</x:v>
      </x:c>
      <x:c r="AF1090" t="n">
        <x:f>--AND(A1090&lt;&gt;"",AA1090&lt;&gt;"",AB1090&lt;&gt;"",OR(AA1090=AB1090,AD1090&lt;&gt;""),IF(AE1090="HALLUCINATION",U1090&lt;&gt;"",TRUE))</x:f>
        <x:v>0</x:v>
      </x:c>
      <x:c r="AG1090" t="n">
        <x:f>--AND(N1090=1,AF1090=1,OR(AE1090="SUPPORTED",AE1090="HALLUCINATION"))</x:f>
        <x:v>0</x:v>
      </x:c>
      <x:c r="AH1090" t="n">
        <x:f>--AND(AG1090=1,AE1090="HALLUCINATION")</x:f>
        <x:v>0</x:v>
      </x:c>
      <x:c r="AI1090" t="n">
        <x:f>--AND(Q1090=1,AF1090=1,AE1090="HALLUCINATION")</x:f>
        <x:v>0</x:v>
      </x:c>
      <x:c r="AJ1090" t="n">
        <x:f>--AND(AI1090=1,R1090=1,S1090=1)</x:f>
        <x:v>0</x:v>
      </x:c>
    </x:row>
    <x:row r="1091">
      <x:c r="A1091" s="28"/>
      <x:c r="B1091" s="28"/>
      <x:c r="C1091" s="28"/>
      <x:c r="D1091" s="28"/>
      <x:c r="E1091" s="28"/>
      <x:c r="F1091" s="28"/>
      <x:c r="G1091" s="28"/>
      <x:c r="H1091" s="28"/>
      <x:c r="I1091" s="28"/>
      <x:c r="J1091" s="28"/>
      <x:c r="K1091" s="28"/>
      <x:c r="L1091" s="28"/>
      <x:c r="M1091" s="28"/>
      <x:c r="N1091" s="28"/>
      <x:c r="O1091" s="28"/>
      <x:c r="P1091" s="28"/>
      <x:c r="Q1091" s="28"/>
      <x:c r="R1091" s="28"/>
      <x:c r="S1091" s="28"/>
      <x:c r="T1091" s="28"/>
      <x:c r="U1091" s="28"/>
      <x:c r="V1091" s="28"/>
      <x:c r="W1091" s="43" t="n">
        <x:f>--AND(N1091=1,OR(O1091="SUPPORTED",O1091="HALLUCINATION"))</x:f>
        <x:v>0</x:v>
      </x:c>
      <x:c r="X1091" s="43" t="n">
        <x:f>--AND(W1091=1,O1091="HALLUCINATION")</x:f>
        <x:v>0</x:v>
      </x:c>
      <x:c r="Y1091" s="43" t="n">
        <x:f>--AND(Q1091=1,O1091="HALLUCINATION")</x:f>
        <x:v>0</x:v>
      </x:c>
      <x:c r="Z1091" s="43" t="n">
        <x:f>--AND(Y1091=1,R1091=1,S1091=1)</x:f>
        <x:v>0</x:v>
      </x:c>
      <x:c r="AC1091" t="str">
        <x:f>IF(OR(AA1091="",AB1091=""),"",--(AA1091&lt;&gt;AB1091))</x:f>
      </x:c>
      <x:c r="AE1091" t="str">
        <x:f>IF(OR(AA1091="",AB1091=""),"PENDING_HUMAN",IF(AA1091=AB1091,AA1091,IF(AD1091&lt;&gt;"",AD1091,"PENDING_HUMAN")))</x:f>
        <x:v>PENDING_HUMAN</x:v>
      </x:c>
      <x:c r="AF1091" t="n">
        <x:f>--AND(A1091&lt;&gt;"",AA1091&lt;&gt;"",AB1091&lt;&gt;"",OR(AA1091=AB1091,AD1091&lt;&gt;""),IF(AE1091="HALLUCINATION",U1091&lt;&gt;"",TRUE))</x:f>
        <x:v>0</x:v>
      </x:c>
      <x:c r="AG1091" t="n">
        <x:f>--AND(N1091=1,AF1091=1,OR(AE1091="SUPPORTED",AE1091="HALLUCINATION"))</x:f>
        <x:v>0</x:v>
      </x:c>
      <x:c r="AH1091" t="n">
        <x:f>--AND(AG1091=1,AE1091="HALLUCINATION")</x:f>
        <x:v>0</x:v>
      </x:c>
      <x:c r="AI1091" t="n">
        <x:f>--AND(Q1091=1,AF1091=1,AE1091="HALLUCINATION")</x:f>
        <x:v>0</x:v>
      </x:c>
      <x:c r="AJ1091" t="n">
        <x:f>--AND(AI1091=1,R1091=1,S1091=1)</x:f>
        <x:v>0</x:v>
      </x:c>
    </x:row>
    <x:row r="1092">
      <x:c r="A1092" s="28"/>
      <x:c r="B1092" s="28"/>
      <x:c r="C1092" s="28"/>
      <x:c r="D1092" s="28"/>
      <x:c r="E1092" s="28"/>
      <x:c r="F1092" s="28"/>
      <x:c r="G1092" s="28"/>
      <x:c r="H1092" s="28"/>
      <x:c r="I1092" s="28"/>
      <x:c r="J1092" s="28"/>
      <x:c r="K1092" s="28"/>
      <x:c r="L1092" s="28"/>
      <x:c r="M1092" s="28"/>
      <x:c r="N1092" s="28"/>
      <x:c r="O1092" s="28"/>
      <x:c r="P1092" s="28"/>
      <x:c r="Q1092" s="28"/>
      <x:c r="R1092" s="28"/>
      <x:c r="S1092" s="28"/>
      <x:c r="T1092" s="28"/>
      <x:c r="U1092" s="28"/>
      <x:c r="V1092" s="28"/>
      <x:c r="W1092" s="43" t="n">
        <x:f>--AND(N1092=1,OR(O1092="SUPPORTED",O1092="HALLUCINATION"))</x:f>
        <x:v>0</x:v>
      </x:c>
      <x:c r="X1092" s="43" t="n">
        <x:f>--AND(W1092=1,O1092="HALLUCINATION")</x:f>
        <x:v>0</x:v>
      </x:c>
      <x:c r="Y1092" s="43" t="n">
        <x:f>--AND(Q1092=1,O1092="HALLUCINATION")</x:f>
        <x:v>0</x:v>
      </x:c>
      <x:c r="Z1092" s="43" t="n">
        <x:f>--AND(Y1092=1,R1092=1,S1092=1)</x:f>
        <x:v>0</x:v>
      </x:c>
      <x:c r="AC1092" t="str">
        <x:f>IF(OR(AA1092="",AB1092=""),"",--(AA1092&lt;&gt;AB1092))</x:f>
      </x:c>
      <x:c r="AE1092" t="str">
        <x:f>IF(OR(AA1092="",AB1092=""),"PENDING_HUMAN",IF(AA1092=AB1092,AA1092,IF(AD1092&lt;&gt;"",AD1092,"PENDING_HUMAN")))</x:f>
        <x:v>PENDING_HUMAN</x:v>
      </x:c>
      <x:c r="AF1092" t="n">
        <x:f>--AND(A1092&lt;&gt;"",AA1092&lt;&gt;"",AB1092&lt;&gt;"",OR(AA1092=AB1092,AD1092&lt;&gt;""),IF(AE1092="HALLUCINATION",U1092&lt;&gt;"",TRUE))</x:f>
        <x:v>0</x:v>
      </x:c>
      <x:c r="AG1092" t="n">
        <x:f>--AND(N1092=1,AF1092=1,OR(AE1092="SUPPORTED",AE1092="HALLUCINATION"))</x:f>
        <x:v>0</x:v>
      </x:c>
      <x:c r="AH1092" t="n">
        <x:f>--AND(AG1092=1,AE1092="HALLUCINATION")</x:f>
        <x:v>0</x:v>
      </x:c>
      <x:c r="AI1092" t="n">
        <x:f>--AND(Q1092=1,AF1092=1,AE1092="HALLUCINATION")</x:f>
        <x:v>0</x:v>
      </x:c>
      <x:c r="AJ1092" t="n">
        <x:f>--AND(AI1092=1,R1092=1,S1092=1)</x:f>
        <x:v>0</x:v>
      </x:c>
    </x:row>
    <x:row r="1093">
      <x:c r="A1093" s="28"/>
      <x:c r="B1093" s="28"/>
      <x:c r="C1093" s="28"/>
      <x:c r="D1093" s="28"/>
      <x:c r="E1093" s="28"/>
      <x:c r="F1093" s="28"/>
      <x:c r="G1093" s="28"/>
      <x:c r="H1093" s="28"/>
      <x:c r="I1093" s="28"/>
      <x:c r="J1093" s="28"/>
      <x:c r="K1093" s="28"/>
      <x:c r="L1093" s="28"/>
      <x:c r="M1093" s="28"/>
      <x:c r="N1093" s="28"/>
      <x:c r="O1093" s="28"/>
      <x:c r="P1093" s="28"/>
      <x:c r="Q1093" s="28"/>
      <x:c r="R1093" s="28"/>
      <x:c r="S1093" s="28"/>
      <x:c r="T1093" s="28"/>
      <x:c r="U1093" s="28"/>
      <x:c r="V1093" s="28"/>
      <x:c r="W1093" s="43" t="n">
        <x:f>--AND(N1093=1,OR(O1093="SUPPORTED",O1093="HALLUCINATION"))</x:f>
        <x:v>0</x:v>
      </x:c>
      <x:c r="X1093" s="43" t="n">
        <x:f>--AND(W1093=1,O1093="HALLUCINATION")</x:f>
        <x:v>0</x:v>
      </x:c>
      <x:c r="Y1093" s="43" t="n">
        <x:f>--AND(Q1093=1,O1093="HALLUCINATION")</x:f>
        <x:v>0</x:v>
      </x:c>
      <x:c r="Z1093" s="43" t="n">
        <x:f>--AND(Y1093=1,R1093=1,S1093=1)</x:f>
        <x:v>0</x:v>
      </x:c>
      <x:c r="AC1093" t="str">
        <x:f>IF(OR(AA1093="",AB1093=""),"",--(AA1093&lt;&gt;AB1093))</x:f>
      </x:c>
      <x:c r="AE1093" t="str">
        <x:f>IF(OR(AA1093="",AB1093=""),"PENDING_HUMAN",IF(AA1093=AB1093,AA1093,IF(AD1093&lt;&gt;"",AD1093,"PENDING_HUMAN")))</x:f>
        <x:v>PENDING_HUMAN</x:v>
      </x:c>
      <x:c r="AF1093" t="n">
        <x:f>--AND(A1093&lt;&gt;"",AA1093&lt;&gt;"",AB1093&lt;&gt;"",OR(AA1093=AB1093,AD1093&lt;&gt;""),IF(AE1093="HALLUCINATION",U1093&lt;&gt;"",TRUE))</x:f>
        <x:v>0</x:v>
      </x:c>
      <x:c r="AG1093" t="n">
        <x:f>--AND(N1093=1,AF1093=1,OR(AE1093="SUPPORTED",AE1093="HALLUCINATION"))</x:f>
        <x:v>0</x:v>
      </x:c>
      <x:c r="AH1093" t="n">
        <x:f>--AND(AG1093=1,AE1093="HALLUCINATION")</x:f>
        <x:v>0</x:v>
      </x:c>
      <x:c r="AI1093" t="n">
        <x:f>--AND(Q1093=1,AF1093=1,AE1093="HALLUCINATION")</x:f>
        <x:v>0</x:v>
      </x:c>
      <x:c r="AJ1093" t="n">
        <x:f>--AND(AI1093=1,R1093=1,S1093=1)</x:f>
        <x:v>0</x:v>
      </x:c>
    </x:row>
    <x:row r="1094">
      <x:c r="A1094" s="28"/>
      <x:c r="B1094" s="28"/>
      <x:c r="C1094" s="28"/>
      <x:c r="D1094" s="28"/>
      <x:c r="E1094" s="28"/>
      <x:c r="F1094" s="28"/>
      <x:c r="G1094" s="28"/>
      <x:c r="H1094" s="28"/>
      <x:c r="I1094" s="28"/>
      <x:c r="J1094" s="28"/>
      <x:c r="K1094" s="28"/>
      <x:c r="L1094" s="28"/>
      <x:c r="M1094" s="28"/>
      <x:c r="N1094" s="28"/>
      <x:c r="O1094" s="28"/>
      <x:c r="P1094" s="28"/>
      <x:c r="Q1094" s="28"/>
      <x:c r="R1094" s="28"/>
      <x:c r="S1094" s="28"/>
      <x:c r="T1094" s="28"/>
      <x:c r="U1094" s="28"/>
      <x:c r="V1094" s="28"/>
      <x:c r="W1094" s="43" t="n">
        <x:f>--AND(N1094=1,OR(O1094="SUPPORTED",O1094="HALLUCINATION"))</x:f>
        <x:v>0</x:v>
      </x:c>
      <x:c r="X1094" s="43" t="n">
        <x:f>--AND(W1094=1,O1094="HALLUCINATION")</x:f>
        <x:v>0</x:v>
      </x:c>
      <x:c r="Y1094" s="43" t="n">
        <x:f>--AND(Q1094=1,O1094="HALLUCINATION")</x:f>
        <x:v>0</x:v>
      </x:c>
      <x:c r="Z1094" s="43" t="n">
        <x:f>--AND(Y1094=1,R1094=1,S1094=1)</x:f>
        <x:v>0</x:v>
      </x:c>
      <x:c r="AC1094" t="str">
        <x:f>IF(OR(AA1094="",AB1094=""),"",--(AA1094&lt;&gt;AB1094))</x:f>
      </x:c>
      <x:c r="AE1094" t="str">
        <x:f>IF(OR(AA1094="",AB1094=""),"PENDING_HUMAN",IF(AA1094=AB1094,AA1094,IF(AD1094&lt;&gt;"",AD1094,"PENDING_HUMAN")))</x:f>
        <x:v>PENDING_HUMAN</x:v>
      </x:c>
      <x:c r="AF1094" t="n">
        <x:f>--AND(A1094&lt;&gt;"",AA1094&lt;&gt;"",AB1094&lt;&gt;"",OR(AA1094=AB1094,AD1094&lt;&gt;""),IF(AE1094="HALLUCINATION",U1094&lt;&gt;"",TRUE))</x:f>
        <x:v>0</x:v>
      </x:c>
      <x:c r="AG1094" t="n">
        <x:f>--AND(N1094=1,AF1094=1,OR(AE1094="SUPPORTED",AE1094="HALLUCINATION"))</x:f>
        <x:v>0</x:v>
      </x:c>
      <x:c r="AH1094" t="n">
        <x:f>--AND(AG1094=1,AE1094="HALLUCINATION")</x:f>
        <x:v>0</x:v>
      </x:c>
      <x:c r="AI1094" t="n">
        <x:f>--AND(Q1094=1,AF1094=1,AE1094="HALLUCINATION")</x:f>
        <x:v>0</x:v>
      </x:c>
      <x:c r="AJ1094" t="n">
        <x:f>--AND(AI1094=1,R1094=1,S1094=1)</x:f>
        <x:v>0</x:v>
      </x:c>
    </x:row>
    <x:row r="1095">
      <x:c r="A1095" s="28"/>
      <x:c r="B1095" s="28"/>
      <x:c r="C1095" s="28"/>
      <x:c r="D1095" s="28"/>
      <x:c r="E1095" s="28"/>
      <x:c r="F1095" s="28"/>
      <x:c r="G1095" s="28"/>
      <x:c r="H1095" s="28"/>
      <x:c r="I1095" s="28"/>
      <x:c r="J1095" s="28"/>
      <x:c r="K1095" s="28"/>
      <x:c r="L1095" s="28"/>
      <x:c r="M1095" s="28"/>
      <x:c r="N1095" s="28"/>
      <x:c r="O1095" s="28"/>
      <x:c r="P1095" s="28"/>
      <x:c r="Q1095" s="28"/>
      <x:c r="R1095" s="28"/>
      <x:c r="S1095" s="28"/>
      <x:c r="T1095" s="28"/>
      <x:c r="U1095" s="28"/>
      <x:c r="V1095" s="28"/>
      <x:c r="W1095" s="43" t="n">
        <x:f>--AND(N1095=1,OR(O1095="SUPPORTED",O1095="HALLUCINATION"))</x:f>
        <x:v>0</x:v>
      </x:c>
      <x:c r="X1095" s="43" t="n">
        <x:f>--AND(W1095=1,O1095="HALLUCINATION")</x:f>
        <x:v>0</x:v>
      </x:c>
      <x:c r="Y1095" s="43" t="n">
        <x:f>--AND(Q1095=1,O1095="HALLUCINATION")</x:f>
        <x:v>0</x:v>
      </x:c>
      <x:c r="Z1095" s="43" t="n">
        <x:f>--AND(Y1095=1,R1095=1,S1095=1)</x:f>
        <x:v>0</x:v>
      </x:c>
      <x:c r="AC1095" t="str">
        <x:f>IF(OR(AA1095="",AB1095=""),"",--(AA1095&lt;&gt;AB1095))</x:f>
      </x:c>
      <x:c r="AE1095" t="str">
        <x:f>IF(OR(AA1095="",AB1095=""),"PENDING_HUMAN",IF(AA1095=AB1095,AA1095,IF(AD1095&lt;&gt;"",AD1095,"PENDING_HUMAN")))</x:f>
        <x:v>PENDING_HUMAN</x:v>
      </x:c>
      <x:c r="AF1095" t="n">
        <x:f>--AND(A1095&lt;&gt;"",AA1095&lt;&gt;"",AB1095&lt;&gt;"",OR(AA1095=AB1095,AD1095&lt;&gt;""),IF(AE1095="HALLUCINATION",U1095&lt;&gt;"",TRUE))</x:f>
        <x:v>0</x:v>
      </x:c>
      <x:c r="AG1095" t="n">
        <x:f>--AND(N1095=1,AF1095=1,OR(AE1095="SUPPORTED",AE1095="HALLUCINATION"))</x:f>
        <x:v>0</x:v>
      </x:c>
      <x:c r="AH1095" t="n">
        <x:f>--AND(AG1095=1,AE1095="HALLUCINATION")</x:f>
        <x:v>0</x:v>
      </x:c>
      <x:c r="AI1095" t="n">
        <x:f>--AND(Q1095=1,AF1095=1,AE1095="HALLUCINATION")</x:f>
        <x:v>0</x:v>
      </x:c>
      <x:c r="AJ1095" t="n">
        <x:f>--AND(AI1095=1,R1095=1,S1095=1)</x:f>
        <x:v>0</x:v>
      </x:c>
    </x:row>
    <x:row r="1096">
      <x:c r="A1096" s="28"/>
      <x:c r="B1096" s="28"/>
      <x:c r="C1096" s="28"/>
      <x:c r="D1096" s="28"/>
      <x:c r="E1096" s="28"/>
      <x:c r="F1096" s="28"/>
      <x:c r="G1096" s="28"/>
      <x:c r="H1096" s="28"/>
      <x:c r="I1096" s="28"/>
      <x:c r="J1096" s="28"/>
      <x:c r="K1096" s="28"/>
      <x:c r="L1096" s="28"/>
      <x:c r="M1096" s="28"/>
      <x:c r="N1096" s="28"/>
      <x:c r="O1096" s="28"/>
      <x:c r="P1096" s="28"/>
      <x:c r="Q1096" s="28"/>
      <x:c r="R1096" s="28"/>
      <x:c r="S1096" s="28"/>
      <x:c r="T1096" s="28"/>
      <x:c r="U1096" s="28"/>
      <x:c r="V1096" s="28"/>
      <x:c r="W1096" s="43" t="n">
        <x:f>--AND(N1096=1,OR(O1096="SUPPORTED",O1096="HALLUCINATION"))</x:f>
        <x:v>0</x:v>
      </x:c>
      <x:c r="X1096" s="43" t="n">
        <x:f>--AND(W1096=1,O1096="HALLUCINATION")</x:f>
        <x:v>0</x:v>
      </x:c>
      <x:c r="Y1096" s="43" t="n">
        <x:f>--AND(Q1096=1,O1096="HALLUCINATION")</x:f>
        <x:v>0</x:v>
      </x:c>
      <x:c r="Z1096" s="43" t="n">
        <x:f>--AND(Y1096=1,R1096=1,S1096=1)</x:f>
        <x:v>0</x:v>
      </x:c>
      <x:c r="AC1096" t="str">
        <x:f>IF(OR(AA1096="",AB1096=""),"",--(AA1096&lt;&gt;AB1096))</x:f>
      </x:c>
      <x:c r="AE1096" t="str">
        <x:f>IF(OR(AA1096="",AB1096=""),"PENDING_HUMAN",IF(AA1096=AB1096,AA1096,IF(AD1096&lt;&gt;"",AD1096,"PENDING_HUMAN")))</x:f>
        <x:v>PENDING_HUMAN</x:v>
      </x:c>
      <x:c r="AF1096" t="n">
        <x:f>--AND(A1096&lt;&gt;"",AA1096&lt;&gt;"",AB1096&lt;&gt;"",OR(AA1096=AB1096,AD1096&lt;&gt;""),IF(AE1096="HALLUCINATION",U1096&lt;&gt;"",TRUE))</x:f>
        <x:v>0</x:v>
      </x:c>
      <x:c r="AG1096" t="n">
        <x:f>--AND(N1096=1,AF1096=1,OR(AE1096="SUPPORTED",AE1096="HALLUCINATION"))</x:f>
        <x:v>0</x:v>
      </x:c>
      <x:c r="AH1096" t="n">
        <x:f>--AND(AG1096=1,AE1096="HALLUCINATION")</x:f>
        <x:v>0</x:v>
      </x:c>
      <x:c r="AI1096" t="n">
        <x:f>--AND(Q1096=1,AF1096=1,AE1096="HALLUCINATION")</x:f>
        <x:v>0</x:v>
      </x:c>
      <x:c r="AJ1096" t="n">
        <x:f>--AND(AI1096=1,R1096=1,S1096=1)</x:f>
        <x:v>0</x:v>
      </x:c>
    </x:row>
    <x:row r="1097">
      <x:c r="A1097" s="28"/>
      <x:c r="B1097" s="28"/>
      <x:c r="C1097" s="28"/>
      <x:c r="D1097" s="28"/>
      <x:c r="E1097" s="28"/>
      <x:c r="F1097" s="28"/>
      <x:c r="G1097" s="28"/>
      <x:c r="H1097" s="28"/>
      <x:c r="I1097" s="28"/>
      <x:c r="J1097" s="28"/>
      <x:c r="K1097" s="28"/>
      <x:c r="L1097" s="28"/>
      <x:c r="M1097" s="28"/>
      <x:c r="N1097" s="28"/>
      <x:c r="O1097" s="28"/>
      <x:c r="P1097" s="28"/>
      <x:c r="Q1097" s="28"/>
      <x:c r="R1097" s="28"/>
      <x:c r="S1097" s="28"/>
      <x:c r="T1097" s="28"/>
      <x:c r="U1097" s="28"/>
      <x:c r="V1097" s="28"/>
      <x:c r="W1097" s="43" t="n">
        <x:f>--AND(N1097=1,OR(O1097="SUPPORTED",O1097="HALLUCINATION"))</x:f>
        <x:v>0</x:v>
      </x:c>
      <x:c r="X1097" s="43" t="n">
        <x:f>--AND(W1097=1,O1097="HALLUCINATION")</x:f>
        <x:v>0</x:v>
      </x:c>
      <x:c r="Y1097" s="43" t="n">
        <x:f>--AND(Q1097=1,O1097="HALLUCINATION")</x:f>
        <x:v>0</x:v>
      </x:c>
      <x:c r="Z1097" s="43" t="n">
        <x:f>--AND(Y1097=1,R1097=1,S1097=1)</x:f>
        <x:v>0</x:v>
      </x:c>
      <x:c r="AC1097" t="str">
        <x:f>IF(OR(AA1097="",AB1097=""),"",--(AA1097&lt;&gt;AB1097))</x:f>
      </x:c>
      <x:c r="AE1097" t="str">
        <x:f>IF(OR(AA1097="",AB1097=""),"PENDING_HUMAN",IF(AA1097=AB1097,AA1097,IF(AD1097&lt;&gt;"",AD1097,"PENDING_HUMAN")))</x:f>
        <x:v>PENDING_HUMAN</x:v>
      </x:c>
      <x:c r="AF1097" t="n">
        <x:f>--AND(A1097&lt;&gt;"",AA1097&lt;&gt;"",AB1097&lt;&gt;"",OR(AA1097=AB1097,AD1097&lt;&gt;""),IF(AE1097="HALLUCINATION",U1097&lt;&gt;"",TRUE))</x:f>
        <x:v>0</x:v>
      </x:c>
      <x:c r="AG1097" t="n">
        <x:f>--AND(N1097=1,AF1097=1,OR(AE1097="SUPPORTED",AE1097="HALLUCINATION"))</x:f>
        <x:v>0</x:v>
      </x:c>
      <x:c r="AH1097" t="n">
        <x:f>--AND(AG1097=1,AE1097="HALLUCINATION")</x:f>
        <x:v>0</x:v>
      </x:c>
      <x:c r="AI1097" t="n">
        <x:f>--AND(Q1097=1,AF1097=1,AE1097="HALLUCINATION")</x:f>
        <x:v>0</x:v>
      </x:c>
      <x:c r="AJ1097" t="n">
        <x:f>--AND(AI1097=1,R1097=1,S1097=1)</x:f>
        <x:v>0</x:v>
      </x:c>
    </x:row>
    <x:row r="1098">
      <x:c r="A1098" s="28"/>
      <x:c r="B1098" s="28"/>
      <x:c r="C1098" s="28"/>
      <x:c r="D1098" s="28"/>
      <x:c r="E1098" s="28"/>
      <x:c r="F1098" s="28"/>
      <x:c r="G1098" s="28"/>
      <x:c r="H1098" s="28"/>
      <x:c r="I1098" s="28"/>
      <x:c r="J1098" s="28"/>
      <x:c r="K1098" s="28"/>
      <x:c r="L1098" s="28"/>
      <x:c r="M1098" s="28"/>
      <x:c r="N1098" s="28"/>
      <x:c r="O1098" s="28"/>
      <x:c r="P1098" s="28"/>
      <x:c r="Q1098" s="28"/>
      <x:c r="R1098" s="28"/>
      <x:c r="S1098" s="28"/>
      <x:c r="T1098" s="28"/>
      <x:c r="U1098" s="28"/>
      <x:c r="V1098" s="28"/>
      <x:c r="W1098" s="43" t="n">
        <x:f>--AND(N1098=1,OR(O1098="SUPPORTED",O1098="HALLUCINATION"))</x:f>
        <x:v>0</x:v>
      </x:c>
      <x:c r="X1098" s="43" t="n">
        <x:f>--AND(W1098=1,O1098="HALLUCINATION")</x:f>
        <x:v>0</x:v>
      </x:c>
      <x:c r="Y1098" s="43" t="n">
        <x:f>--AND(Q1098=1,O1098="HALLUCINATION")</x:f>
        <x:v>0</x:v>
      </x:c>
      <x:c r="Z1098" s="43" t="n">
        <x:f>--AND(Y1098=1,R1098=1,S1098=1)</x:f>
        <x:v>0</x:v>
      </x:c>
      <x:c r="AC1098" t="str">
        <x:f>IF(OR(AA1098="",AB1098=""),"",--(AA1098&lt;&gt;AB1098))</x:f>
      </x:c>
      <x:c r="AE1098" t="str">
        <x:f>IF(OR(AA1098="",AB1098=""),"PENDING_HUMAN",IF(AA1098=AB1098,AA1098,IF(AD1098&lt;&gt;"",AD1098,"PENDING_HUMAN")))</x:f>
        <x:v>PENDING_HUMAN</x:v>
      </x:c>
      <x:c r="AF1098" t="n">
        <x:f>--AND(A1098&lt;&gt;"",AA1098&lt;&gt;"",AB1098&lt;&gt;"",OR(AA1098=AB1098,AD1098&lt;&gt;""),IF(AE1098="HALLUCINATION",U1098&lt;&gt;"",TRUE))</x:f>
        <x:v>0</x:v>
      </x:c>
      <x:c r="AG1098" t="n">
        <x:f>--AND(N1098=1,AF1098=1,OR(AE1098="SUPPORTED",AE1098="HALLUCINATION"))</x:f>
        <x:v>0</x:v>
      </x:c>
      <x:c r="AH1098" t="n">
        <x:f>--AND(AG1098=1,AE1098="HALLUCINATION")</x:f>
        <x:v>0</x:v>
      </x:c>
      <x:c r="AI1098" t="n">
        <x:f>--AND(Q1098=1,AF1098=1,AE1098="HALLUCINATION")</x:f>
        <x:v>0</x:v>
      </x:c>
      <x:c r="AJ1098" t="n">
        <x:f>--AND(AI1098=1,R1098=1,S1098=1)</x:f>
        <x:v>0</x:v>
      </x:c>
    </x:row>
    <x:row r="1099">
      <x:c r="A1099" s="28"/>
      <x:c r="B1099" s="28"/>
      <x:c r="C1099" s="28"/>
      <x:c r="D1099" s="28"/>
      <x:c r="E1099" s="28"/>
      <x:c r="F1099" s="28"/>
      <x:c r="G1099" s="28"/>
      <x:c r="H1099" s="28"/>
      <x:c r="I1099" s="28"/>
      <x:c r="J1099" s="28"/>
      <x:c r="K1099" s="28"/>
      <x:c r="L1099" s="28"/>
      <x:c r="M1099" s="28"/>
      <x:c r="N1099" s="28"/>
      <x:c r="O1099" s="28"/>
      <x:c r="P1099" s="28"/>
      <x:c r="Q1099" s="28"/>
      <x:c r="R1099" s="28"/>
      <x:c r="S1099" s="28"/>
      <x:c r="T1099" s="28"/>
      <x:c r="U1099" s="28"/>
      <x:c r="V1099" s="28"/>
      <x:c r="W1099" s="43" t="n">
        <x:f>--AND(N1099=1,OR(O1099="SUPPORTED",O1099="HALLUCINATION"))</x:f>
        <x:v>0</x:v>
      </x:c>
      <x:c r="X1099" s="43" t="n">
        <x:f>--AND(W1099=1,O1099="HALLUCINATION")</x:f>
        <x:v>0</x:v>
      </x:c>
      <x:c r="Y1099" s="43" t="n">
        <x:f>--AND(Q1099=1,O1099="HALLUCINATION")</x:f>
        <x:v>0</x:v>
      </x:c>
      <x:c r="Z1099" s="43" t="n">
        <x:f>--AND(Y1099=1,R1099=1,S1099=1)</x:f>
        <x:v>0</x:v>
      </x:c>
      <x:c r="AC1099" t="str">
        <x:f>IF(OR(AA1099="",AB1099=""),"",--(AA1099&lt;&gt;AB1099))</x:f>
      </x:c>
      <x:c r="AE1099" t="str">
        <x:f>IF(OR(AA1099="",AB1099=""),"PENDING_HUMAN",IF(AA1099=AB1099,AA1099,IF(AD1099&lt;&gt;"",AD1099,"PENDING_HUMAN")))</x:f>
        <x:v>PENDING_HUMAN</x:v>
      </x:c>
      <x:c r="AF1099" t="n">
        <x:f>--AND(A1099&lt;&gt;"",AA1099&lt;&gt;"",AB1099&lt;&gt;"",OR(AA1099=AB1099,AD1099&lt;&gt;""),IF(AE1099="HALLUCINATION",U1099&lt;&gt;"",TRUE))</x:f>
        <x:v>0</x:v>
      </x:c>
      <x:c r="AG1099" t="n">
        <x:f>--AND(N1099=1,AF1099=1,OR(AE1099="SUPPORTED",AE1099="HALLUCINATION"))</x:f>
        <x:v>0</x:v>
      </x:c>
      <x:c r="AH1099" t="n">
        <x:f>--AND(AG1099=1,AE1099="HALLUCINATION")</x:f>
        <x:v>0</x:v>
      </x:c>
      <x:c r="AI1099" t="n">
        <x:f>--AND(Q1099=1,AF1099=1,AE1099="HALLUCINATION")</x:f>
        <x:v>0</x:v>
      </x:c>
      <x:c r="AJ1099" t="n">
        <x:f>--AND(AI1099=1,R1099=1,S1099=1)</x:f>
        <x:v>0</x:v>
      </x:c>
    </x:row>
    <x:row r="1100">
      <x:c r="A1100" s="28"/>
      <x:c r="B1100" s="28"/>
      <x:c r="C1100" s="28"/>
      <x:c r="D1100" s="28"/>
      <x:c r="E1100" s="28"/>
      <x:c r="F1100" s="28"/>
      <x:c r="G1100" s="28"/>
      <x:c r="H1100" s="28"/>
      <x:c r="I1100" s="28"/>
      <x:c r="J1100" s="28"/>
      <x:c r="K1100" s="28"/>
      <x:c r="L1100" s="28"/>
      <x:c r="M1100" s="28"/>
      <x:c r="N1100" s="28"/>
      <x:c r="O1100" s="28"/>
      <x:c r="P1100" s="28"/>
      <x:c r="Q1100" s="28"/>
      <x:c r="R1100" s="28"/>
      <x:c r="S1100" s="28"/>
      <x:c r="T1100" s="28"/>
      <x:c r="U1100" s="28"/>
      <x:c r="V1100" s="28"/>
      <x:c r="W1100" s="43" t="n">
        <x:f>--AND(N1100=1,OR(O1100="SUPPORTED",O1100="HALLUCINATION"))</x:f>
        <x:v>0</x:v>
      </x:c>
      <x:c r="X1100" s="43" t="n">
        <x:f>--AND(W1100=1,O1100="HALLUCINATION")</x:f>
        <x:v>0</x:v>
      </x:c>
      <x:c r="Y1100" s="43" t="n">
        <x:f>--AND(Q1100=1,O1100="HALLUCINATION")</x:f>
        <x:v>0</x:v>
      </x:c>
      <x:c r="Z1100" s="43" t="n">
        <x:f>--AND(Y1100=1,R1100=1,S1100=1)</x:f>
        <x:v>0</x:v>
      </x:c>
      <x:c r="AC1100" t="str">
        <x:f>IF(OR(AA1100="",AB1100=""),"",--(AA1100&lt;&gt;AB1100))</x:f>
      </x:c>
      <x:c r="AE1100" t="str">
        <x:f>IF(OR(AA1100="",AB1100=""),"PENDING_HUMAN",IF(AA1100=AB1100,AA1100,IF(AD1100&lt;&gt;"",AD1100,"PENDING_HUMAN")))</x:f>
        <x:v>PENDING_HUMAN</x:v>
      </x:c>
      <x:c r="AF1100" t="n">
        <x:f>--AND(A1100&lt;&gt;"",AA1100&lt;&gt;"",AB1100&lt;&gt;"",OR(AA1100=AB1100,AD1100&lt;&gt;""),IF(AE1100="HALLUCINATION",U1100&lt;&gt;"",TRUE))</x:f>
        <x:v>0</x:v>
      </x:c>
      <x:c r="AG1100" t="n">
        <x:f>--AND(N1100=1,AF1100=1,OR(AE1100="SUPPORTED",AE1100="HALLUCINATION"))</x:f>
        <x:v>0</x:v>
      </x:c>
      <x:c r="AH1100" t="n">
        <x:f>--AND(AG1100=1,AE1100="HALLUCINATION")</x:f>
        <x:v>0</x:v>
      </x:c>
      <x:c r="AI1100" t="n">
        <x:f>--AND(Q1100=1,AF1100=1,AE1100="HALLUCINATION")</x:f>
        <x:v>0</x:v>
      </x:c>
      <x:c r="AJ1100" t="n">
        <x:f>--AND(AI1100=1,R1100=1,S1100=1)</x:f>
        <x:v>0</x:v>
      </x:c>
    </x:row>
    <x:row r="1101">
      <x:c r="A1101" s="28"/>
      <x:c r="B1101" s="28"/>
      <x:c r="C1101" s="28"/>
      <x:c r="D1101" s="28"/>
      <x:c r="E1101" s="28"/>
      <x:c r="F1101" s="28"/>
      <x:c r="G1101" s="28"/>
      <x:c r="H1101" s="28"/>
      <x:c r="I1101" s="28"/>
      <x:c r="J1101" s="28"/>
      <x:c r="K1101" s="28"/>
      <x:c r="L1101" s="28"/>
      <x:c r="M1101" s="28"/>
      <x:c r="N1101" s="28"/>
      <x:c r="O1101" s="28"/>
      <x:c r="P1101" s="28"/>
      <x:c r="Q1101" s="28"/>
      <x:c r="R1101" s="28"/>
      <x:c r="S1101" s="28"/>
      <x:c r="T1101" s="28"/>
      <x:c r="U1101" s="28"/>
      <x:c r="V1101" s="28"/>
      <x:c r="W1101" s="43" t="n">
        <x:f>--AND(N1101=1,OR(O1101="SUPPORTED",O1101="HALLUCINATION"))</x:f>
        <x:v>0</x:v>
      </x:c>
      <x:c r="X1101" s="43" t="n">
        <x:f>--AND(W1101=1,O1101="HALLUCINATION")</x:f>
        <x:v>0</x:v>
      </x:c>
      <x:c r="Y1101" s="43" t="n">
        <x:f>--AND(Q1101=1,O1101="HALLUCINATION")</x:f>
        <x:v>0</x:v>
      </x:c>
      <x:c r="Z1101" s="43" t="n">
        <x:f>--AND(Y1101=1,R1101=1,S1101=1)</x:f>
        <x:v>0</x:v>
      </x:c>
      <x:c r="AC1101" t="str">
        <x:f>IF(OR(AA1101="",AB1101=""),"",--(AA1101&lt;&gt;AB1101))</x:f>
      </x:c>
      <x:c r="AE1101" t="str">
        <x:f>IF(OR(AA1101="",AB1101=""),"PENDING_HUMAN",IF(AA1101=AB1101,AA1101,IF(AD1101&lt;&gt;"",AD1101,"PENDING_HUMAN")))</x:f>
        <x:v>PENDING_HUMAN</x:v>
      </x:c>
      <x:c r="AF1101" t="n">
        <x:f>--AND(A1101&lt;&gt;"",AA1101&lt;&gt;"",AB1101&lt;&gt;"",OR(AA1101=AB1101,AD1101&lt;&gt;""),IF(AE1101="HALLUCINATION",U1101&lt;&gt;"",TRUE))</x:f>
        <x:v>0</x:v>
      </x:c>
      <x:c r="AG1101" t="n">
        <x:f>--AND(N1101=1,AF1101=1,OR(AE1101="SUPPORTED",AE1101="HALLUCINATION"))</x:f>
        <x:v>0</x:v>
      </x:c>
      <x:c r="AH1101" t="n">
        <x:f>--AND(AG1101=1,AE1101="HALLUCINATION")</x:f>
        <x:v>0</x:v>
      </x:c>
      <x:c r="AI1101" t="n">
        <x:f>--AND(Q1101=1,AF1101=1,AE1101="HALLUCINATION")</x:f>
        <x:v>0</x:v>
      </x:c>
      <x:c r="AJ1101" t="n">
        <x:f>--AND(AI1101=1,R1101=1,S1101=1)</x:f>
        <x:v>0</x:v>
      </x:c>
    </x:row>
    <x:row r="1102">
      <x:c r="A1102" s="28"/>
      <x:c r="B1102" s="28"/>
      <x:c r="C1102" s="28"/>
      <x:c r="D1102" s="28"/>
      <x:c r="E1102" s="28"/>
      <x:c r="F1102" s="28"/>
      <x:c r="G1102" s="28"/>
      <x:c r="H1102" s="28"/>
      <x:c r="I1102" s="28"/>
      <x:c r="J1102" s="28"/>
      <x:c r="K1102" s="28"/>
      <x:c r="L1102" s="28"/>
      <x:c r="M1102" s="28"/>
      <x:c r="N1102" s="28"/>
      <x:c r="O1102" s="28"/>
      <x:c r="P1102" s="28"/>
      <x:c r="Q1102" s="28"/>
      <x:c r="R1102" s="28"/>
      <x:c r="S1102" s="28"/>
      <x:c r="T1102" s="28"/>
      <x:c r="U1102" s="28"/>
      <x:c r="V1102" s="28"/>
      <x:c r="W1102" s="43" t="n">
        <x:f>--AND(N1102=1,OR(O1102="SUPPORTED",O1102="HALLUCINATION"))</x:f>
        <x:v>0</x:v>
      </x:c>
      <x:c r="X1102" s="43" t="n">
        <x:f>--AND(W1102=1,O1102="HALLUCINATION")</x:f>
        <x:v>0</x:v>
      </x:c>
      <x:c r="Y1102" s="43" t="n">
        <x:f>--AND(Q1102=1,O1102="HALLUCINATION")</x:f>
        <x:v>0</x:v>
      </x:c>
      <x:c r="Z1102" s="43" t="n">
        <x:f>--AND(Y1102=1,R1102=1,S1102=1)</x:f>
        <x:v>0</x:v>
      </x:c>
      <x:c r="AC1102" t="str">
        <x:f>IF(OR(AA1102="",AB1102=""),"",--(AA1102&lt;&gt;AB1102))</x:f>
      </x:c>
      <x:c r="AE1102" t="str">
        <x:f>IF(OR(AA1102="",AB1102=""),"PENDING_HUMAN",IF(AA1102=AB1102,AA1102,IF(AD1102&lt;&gt;"",AD1102,"PENDING_HUMAN")))</x:f>
        <x:v>PENDING_HUMAN</x:v>
      </x:c>
      <x:c r="AF1102" t="n">
        <x:f>--AND(A1102&lt;&gt;"",AA1102&lt;&gt;"",AB1102&lt;&gt;"",OR(AA1102=AB1102,AD1102&lt;&gt;""),IF(AE1102="HALLUCINATION",U1102&lt;&gt;"",TRUE))</x:f>
        <x:v>0</x:v>
      </x:c>
      <x:c r="AG1102" t="n">
        <x:f>--AND(N1102=1,AF1102=1,OR(AE1102="SUPPORTED",AE1102="HALLUCINATION"))</x:f>
        <x:v>0</x:v>
      </x:c>
      <x:c r="AH1102" t="n">
        <x:f>--AND(AG1102=1,AE1102="HALLUCINATION")</x:f>
        <x:v>0</x:v>
      </x:c>
      <x:c r="AI1102" t="n">
        <x:f>--AND(Q1102=1,AF1102=1,AE1102="HALLUCINATION")</x:f>
        <x:v>0</x:v>
      </x:c>
      <x:c r="AJ1102" t="n">
        <x:f>--AND(AI1102=1,R1102=1,S1102=1)</x:f>
        <x:v>0</x:v>
      </x:c>
    </x:row>
    <x:row r="1103">
      <x:c r="A1103" s="28"/>
      <x:c r="B1103" s="28"/>
      <x:c r="C1103" s="28"/>
      <x:c r="D1103" s="28"/>
      <x:c r="E1103" s="28"/>
      <x:c r="F1103" s="28"/>
      <x:c r="G1103" s="28"/>
      <x:c r="H1103" s="28"/>
      <x:c r="I1103" s="28"/>
      <x:c r="J1103" s="28"/>
      <x:c r="K1103" s="28"/>
      <x:c r="L1103" s="28"/>
      <x:c r="M1103" s="28"/>
      <x:c r="N1103" s="28"/>
      <x:c r="O1103" s="28"/>
      <x:c r="P1103" s="28"/>
      <x:c r="Q1103" s="28"/>
      <x:c r="R1103" s="28"/>
      <x:c r="S1103" s="28"/>
      <x:c r="T1103" s="28"/>
      <x:c r="U1103" s="28"/>
      <x:c r="V1103" s="28"/>
      <x:c r="W1103" s="43" t="n">
        <x:f>--AND(N1103=1,OR(O1103="SUPPORTED",O1103="HALLUCINATION"))</x:f>
        <x:v>0</x:v>
      </x:c>
      <x:c r="X1103" s="43" t="n">
        <x:f>--AND(W1103=1,O1103="HALLUCINATION")</x:f>
        <x:v>0</x:v>
      </x:c>
      <x:c r="Y1103" s="43" t="n">
        <x:f>--AND(Q1103=1,O1103="HALLUCINATION")</x:f>
        <x:v>0</x:v>
      </x:c>
      <x:c r="Z1103" s="43" t="n">
        <x:f>--AND(Y1103=1,R1103=1,S1103=1)</x:f>
        <x:v>0</x:v>
      </x:c>
      <x:c r="AC1103" t="str">
        <x:f>IF(OR(AA1103="",AB1103=""),"",--(AA1103&lt;&gt;AB1103))</x:f>
      </x:c>
      <x:c r="AE1103" t="str">
        <x:f>IF(OR(AA1103="",AB1103=""),"PENDING_HUMAN",IF(AA1103=AB1103,AA1103,IF(AD1103&lt;&gt;"",AD1103,"PENDING_HUMAN")))</x:f>
        <x:v>PENDING_HUMAN</x:v>
      </x:c>
      <x:c r="AF1103" t="n">
        <x:f>--AND(A1103&lt;&gt;"",AA1103&lt;&gt;"",AB1103&lt;&gt;"",OR(AA1103=AB1103,AD1103&lt;&gt;""),IF(AE1103="HALLUCINATION",U1103&lt;&gt;"",TRUE))</x:f>
        <x:v>0</x:v>
      </x:c>
      <x:c r="AG1103" t="n">
        <x:f>--AND(N1103=1,AF1103=1,OR(AE1103="SUPPORTED",AE1103="HALLUCINATION"))</x:f>
        <x:v>0</x:v>
      </x:c>
      <x:c r="AH1103" t="n">
        <x:f>--AND(AG1103=1,AE1103="HALLUCINATION")</x:f>
        <x:v>0</x:v>
      </x:c>
      <x:c r="AI1103" t="n">
        <x:f>--AND(Q1103=1,AF1103=1,AE1103="HALLUCINATION")</x:f>
        <x:v>0</x:v>
      </x:c>
      <x:c r="AJ1103" t="n">
        <x:f>--AND(AI1103=1,R1103=1,S1103=1)</x:f>
        <x:v>0</x:v>
      </x:c>
    </x:row>
    <x:row r="1104">
      <x:c r="A1104" s="28"/>
      <x:c r="B1104" s="28"/>
      <x:c r="C1104" s="28"/>
      <x:c r="D1104" s="28"/>
      <x:c r="E1104" s="28"/>
      <x:c r="F1104" s="28"/>
      <x:c r="G1104" s="28"/>
      <x:c r="H1104" s="28"/>
      <x:c r="I1104" s="28"/>
      <x:c r="J1104" s="28"/>
      <x:c r="K1104" s="28"/>
      <x:c r="L1104" s="28"/>
      <x:c r="M1104" s="28"/>
      <x:c r="N1104" s="28"/>
      <x:c r="O1104" s="28"/>
      <x:c r="P1104" s="28"/>
      <x:c r="Q1104" s="28"/>
      <x:c r="R1104" s="28"/>
      <x:c r="S1104" s="28"/>
      <x:c r="T1104" s="28"/>
      <x:c r="U1104" s="28"/>
      <x:c r="V1104" s="28"/>
      <x:c r="W1104" s="43" t="n">
        <x:f>--AND(N1104=1,OR(O1104="SUPPORTED",O1104="HALLUCINATION"))</x:f>
        <x:v>0</x:v>
      </x:c>
      <x:c r="X1104" s="43" t="n">
        <x:f>--AND(W1104=1,O1104="HALLUCINATION")</x:f>
        <x:v>0</x:v>
      </x:c>
      <x:c r="Y1104" s="43" t="n">
        <x:f>--AND(Q1104=1,O1104="HALLUCINATION")</x:f>
        <x:v>0</x:v>
      </x:c>
      <x:c r="Z1104" s="43" t="n">
        <x:f>--AND(Y1104=1,R1104=1,S1104=1)</x:f>
        <x:v>0</x:v>
      </x:c>
      <x:c r="AC1104" t="str">
        <x:f>IF(OR(AA1104="",AB1104=""),"",--(AA1104&lt;&gt;AB1104))</x:f>
      </x:c>
      <x:c r="AE1104" t="str">
        <x:f>IF(OR(AA1104="",AB1104=""),"PENDING_HUMAN",IF(AA1104=AB1104,AA1104,IF(AD1104&lt;&gt;"",AD1104,"PENDING_HUMAN")))</x:f>
        <x:v>PENDING_HUMAN</x:v>
      </x:c>
      <x:c r="AF1104" t="n">
        <x:f>--AND(A1104&lt;&gt;"",AA1104&lt;&gt;"",AB1104&lt;&gt;"",OR(AA1104=AB1104,AD1104&lt;&gt;""),IF(AE1104="HALLUCINATION",U1104&lt;&gt;"",TRUE))</x:f>
        <x:v>0</x:v>
      </x:c>
      <x:c r="AG1104" t="n">
        <x:f>--AND(N1104=1,AF1104=1,OR(AE1104="SUPPORTED",AE1104="HALLUCINATION"))</x:f>
        <x:v>0</x:v>
      </x:c>
      <x:c r="AH1104" t="n">
        <x:f>--AND(AG1104=1,AE1104="HALLUCINATION")</x:f>
        <x:v>0</x:v>
      </x:c>
      <x:c r="AI1104" t="n">
        <x:f>--AND(Q1104=1,AF1104=1,AE1104="HALLUCINATION")</x:f>
        <x:v>0</x:v>
      </x:c>
      <x:c r="AJ1104" t="n">
        <x:f>--AND(AI1104=1,R1104=1,S1104=1)</x:f>
        <x:v>0</x:v>
      </x:c>
    </x:row>
    <x:row r="1105">
      <x:c r="A1105" s="28"/>
      <x:c r="B1105" s="28"/>
      <x:c r="C1105" s="28"/>
      <x:c r="D1105" s="28"/>
      <x:c r="E1105" s="28"/>
      <x:c r="F1105" s="28"/>
      <x:c r="G1105" s="28"/>
      <x:c r="H1105" s="28"/>
      <x:c r="I1105" s="28"/>
      <x:c r="J1105" s="28"/>
      <x:c r="K1105" s="28"/>
      <x:c r="L1105" s="28"/>
      <x:c r="M1105" s="28"/>
      <x:c r="N1105" s="28"/>
      <x:c r="O1105" s="28"/>
      <x:c r="P1105" s="28"/>
      <x:c r="Q1105" s="28"/>
      <x:c r="R1105" s="28"/>
      <x:c r="S1105" s="28"/>
      <x:c r="T1105" s="28"/>
      <x:c r="U1105" s="28"/>
      <x:c r="V1105" s="28"/>
      <x:c r="W1105" s="43" t="n">
        <x:f>--AND(N1105=1,OR(O1105="SUPPORTED",O1105="HALLUCINATION"))</x:f>
        <x:v>0</x:v>
      </x:c>
      <x:c r="X1105" s="43" t="n">
        <x:f>--AND(W1105=1,O1105="HALLUCINATION")</x:f>
        <x:v>0</x:v>
      </x:c>
      <x:c r="Y1105" s="43" t="n">
        <x:f>--AND(Q1105=1,O1105="HALLUCINATION")</x:f>
        <x:v>0</x:v>
      </x:c>
      <x:c r="Z1105" s="43" t="n">
        <x:f>--AND(Y1105=1,R1105=1,S1105=1)</x:f>
        <x:v>0</x:v>
      </x:c>
      <x:c r="AC1105" t="str">
        <x:f>IF(OR(AA1105="",AB1105=""),"",--(AA1105&lt;&gt;AB1105))</x:f>
      </x:c>
      <x:c r="AE1105" t="str">
        <x:f>IF(OR(AA1105="",AB1105=""),"PENDING_HUMAN",IF(AA1105=AB1105,AA1105,IF(AD1105&lt;&gt;"",AD1105,"PENDING_HUMAN")))</x:f>
        <x:v>PENDING_HUMAN</x:v>
      </x:c>
      <x:c r="AF1105" t="n">
        <x:f>--AND(A1105&lt;&gt;"",AA1105&lt;&gt;"",AB1105&lt;&gt;"",OR(AA1105=AB1105,AD1105&lt;&gt;""),IF(AE1105="HALLUCINATION",U1105&lt;&gt;"",TRUE))</x:f>
        <x:v>0</x:v>
      </x:c>
      <x:c r="AG1105" t="n">
        <x:f>--AND(N1105=1,AF1105=1,OR(AE1105="SUPPORTED",AE1105="HALLUCINATION"))</x:f>
        <x:v>0</x:v>
      </x:c>
      <x:c r="AH1105" t="n">
        <x:f>--AND(AG1105=1,AE1105="HALLUCINATION")</x:f>
        <x:v>0</x:v>
      </x:c>
      <x:c r="AI1105" t="n">
        <x:f>--AND(Q1105=1,AF1105=1,AE1105="HALLUCINATION")</x:f>
        <x:v>0</x:v>
      </x:c>
      <x:c r="AJ1105" t="n">
        <x:f>--AND(AI1105=1,R1105=1,S1105=1)</x:f>
        <x:v>0</x:v>
      </x:c>
    </x:row>
    <x:row r="1106">
      <x:c r="A1106" s="28"/>
      <x:c r="B1106" s="28"/>
      <x:c r="C1106" s="28"/>
      <x:c r="D1106" s="28"/>
      <x:c r="E1106" s="28"/>
      <x:c r="F1106" s="28"/>
      <x:c r="G1106" s="28"/>
      <x:c r="H1106" s="28"/>
      <x:c r="I1106" s="28"/>
      <x:c r="J1106" s="28"/>
      <x:c r="K1106" s="28"/>
      <x:c r="L1106" s="28"/>
      <x:c r="M1106" s="28"/>
      <x:c r="N1106" s="28"/>
      <x:c r="O1106" s="28"/>
      <x:c r="P1106" s="28"/>
      <x:c r="Q1106" s="28"/>
      <x:c r="R1106" s="28"/>
      <x:c r="S1106" s="28"/>
      <x:c r="T1106" s="28"/>
      <x:c r="U1106" s="28"/>
      <x:c r="V1106" s="28"/>
      <x:c r="W1106" s="43" t="n">
        <x:f>--AND(N1106=1,OR(O1106="SUPPORTED",O1106="HALLUCINATION"))</x:f>
        <x:v>0</x:v>
      </x:c>
      <x:c r="X1106" s="43" t="n">
        <x:f>--AND(W1106=1,O1106="HALLUCINATION")</x:f>
        <x:v>0</x:v>
      </x:c>
      <x:c r="Y1106" s="43" t="n">
        <x:f>--AND(Q1106=1,O1106="HALLUCINATION")</x:f>
        <x:v>0</x:v>
      </x:c>
      <x:c r="Z1106" s="43" t="n">
        <x:f>--AND(Y1106=1,R1106=1,S1106=1)</x:f>
        <x:v>0</x:v>
      </x:c>
      <x:c r="AC1106" t="str">
        <x:f>IF(OR(AA1106="",AB1106=""),"",--(AA1106&lt;&gt;AB1106))</x:f>
      </x:c>
      <x:c r="AE1106" t="str">
        <x:f>IF(OR(AA1106="",AB1106=""),"PENDING_HUMAN",IF(AA1106=AB1106,AA1106,IF(AD1106&lt;&gt;"",AD1106,"PENDING_HUMAN")))</x:f>
        <x:v>PENDING_HUMAN</x:v>
      </x:c>
      <x:c r="AF1106" t="n">
        <x:f>--AND(A1106&lt;&gt;"",AA1106&lt;&gt;"",AB1106&lt;&gt;"",OR(AA1106=AB1106,AD1106&lt;&gt;""),IF(AE1106="HALLUCINATION",U1106&lt;&gt;"",TRUE))</x:f>
        <x:v>0</x:v>
      </x:c>
      <x:c r="AG1106" t="n">
        <x:f>--AND(N1106=1,AF1106=1,OR(AE1106="SUPPORTED",AE1106="HALLUCINATION"))</x:f>
        <x:v>0</x:v>
      </x:c>
      <x:c r="AH1106" t="n">
        <x:f>--AND(AG1106=1,AE1106="HALLUCINATION")</x:f>
        <x:v>0</x:v>
      </x:c>
      <x:c r="AI1106" t="n">
        <x:f>--AND(Q1106=1,AF1106=1,AE1106="HALLUCINATION")</x:f>
        <x:v>0</x:v>
      </x:c>
      <x:c r="AJ1106" t="n">
        <x:f>--AND(AI1106=1,R1106=1,S1106=1)</x:f>
        <x:v>0</x:v>
      </x:c>
    </x:row>
    <x:row r="1107">
      <x:c r="A1107" s="28"/>
      <x:c r="B1107" s="28"/>
      <x:c r="C1107" s="28"/>
      <x:c r="D1107" s="28"/>
      <x:c r="E1107" s="28"/>
      <x:c r="F1107" s="28"/>
      <x:c r="G1107" s="28"/>
      <x:c r="H1107" s="28"/>
      <x:c r="I1107" s="28"/>
      <x:c r="J1107" s="28"/>
      <x:c r="K1107" s="28"/>
      <x:c r="L1107" s="28"/>
      <x:c r="M1107" s="28"/>
      <x:c r="N1107" s="28"/>
      <x:c r="O1107" s="28"/>
      <x:c r="P1107" s="28"/>
      <x:c r="Q1107" s="28"/>
      <x:c r="R1107" s="28"/>
      <x:c r="S1107" s="28"/>
      <x:c r="T1107" s="28"/>
      <x:c r="U1107" s="28"/>
      <x:c r="V1107" s="28"/>
      <x:c r="W1107" s="43" t="n">
        <x:f>--AND(N1107=1,OR(O1107="SUPPORTED",O1107="HALLUCINATION"))</x:f>
        <x:v>0</x:v>
      </x:c>
      <x:c r="X1107" s="43" t="n">
        <x:f>--AND(W1107=1,O1107="HALLUCINATION")</x:f>
        <x:v>0</x:v>
      </x:c>
      <x:c r="Y1107" s="43" t="n">
        <x:f>--AND(Q1107=1,O1107="HALLUCINATION")</x:f>
        <x:v>0</x:v>
      </x:c>
      <x:c r="Z1107" s="43" t="n">
        <x:f>--AND(Y1107=1,R1107=1,S1107=1)</x:f>
        <x:v>0</x:v>
      </x:c>
      <x:c r="AC1107" t="str">
        <x:f>IF(OR(AA1107="",AB1107=""),"",--(AA1107&lt;&gt;AB1107))</x:f>
      </x:c>
      <x:c r="AE1107" t="str">
        <x:f>IF(OR(AA1107="",AB1107=""),"PENDING_HUMAN",IF(AA1107=AB1107,AA1107,IF(AD1107&lt;&gt;"",AD1107,"PENDING_HUMAN")))</x:f>
        <x:v>PENDING_HUMAN</x:v>
      </x:c>
      <x:c r="AF1107" t="n">
        <x:f>--AND(A1107&lt;&gt;"",AA1107&lt;&gt;"",AB1107&lt;&gt;"",OR(AA1107=AB1107,AD1107&lt;&gt;""),IF(AE1107="HALLUCINATION",U1107&lt;&gt;"",TRUE))</x:f>
        <x:v>0</x:v>
      </x:c>
      <x:c r="AG1107" t="n">
        <x:f>--AND(N1107=1,AF1107=1,OR(AE1107="SUPPORTED",AE1107="HALLUCINATION"))</x:f>
        <x:v>0</x:v>
      </x:c>
      <x:c r="AH1107" t="n">
        <x:f>--AND(AG1107=1,AE1107="HALLUCINATION")</x:f>
        <x:v>0</x:v>
      </x:c>
      <x:c r="AI1107" t="n">
        <x:f>--AND(Q1107=1,AF1107=1,AE1107="HALLUCINATION")</x:f>
        <x:v>0</x:v>
      </x:c>
      <x:c r="AJ1107" t="n">
        <x:f>--AND(AI1107=1,R1107=1,S1107=1)</x:f>
        <x:v>0</x:v>
      </x:c>
    </x:row>
    <x:row r="1108">
      <x:c r="A1108" s="28"/>
      <x:c r="B1108" s="28"/>
      <x:c r="C1108" s="28"/>
      <x:c r="D1108" s="28"/>
      <x:c r="E1108" s="28"/>
      <x:c r="F1108" s="28"/>
      <x:c r="G1108" s="28"/>
      <x:c r="H1108" s="28"/>
      <x:c r="I1108" s="28"/>
      <x:c r="J1108" s="28"/>
      <x:c r="K1108" s="28"/>
      <x:c r="L1108" s="28"/>
      <x:c r="M1108" s="28"/>
      <x:c r="N1108" s="28"/>
      <x:c r="O1108" s="28"/>
      <x:c r="P1108" s="28"/>
      <x:c r="Q1108" s="28"/>
      <x:c r="R1108" s="28"/>
      <x:c r="S1108" s="28"/>
      <x:c r="T1108" s="28"/>
      <x:c r="U1108" s="28"/>
      <x:c r="V1108" s="28"/>
      <x:c r="W1108" s="43" t="n">
        <x:f>--AND(N1108=1,OR(O1108="SUPPORTED",O1108="HALLUCINATION"))</x:f>
        <x:v>0</x:v>
      </x:c>
      <x:c r="X1108" s="43" t="n">
        <x:f>--AND(W1108=1,O1108="HALLUCINATION")</x:f>
        <x:v>0</x:v>
      </x:c>
      <x:c r="Y1108" s="43" t="n">
        <x:f>--AND(Q1108=1,O1108="HALLUCINATION")</x:f>
        <x:v>0</x:v>
      </x:c>
      <x:c r="Z1108" s="43" t="n">
        <x:f>--AND(Y1108=1,R1108=1,S1108=1)</x:f>
        <x:v>0</x:v>
      </x:c>
      <x:c r="AC1108" t="str">
        <x:f>IF(OR(AA1108="",AB1108=""),"",--(AA1108&lt;&gt;AB1108))</x:f>
      </x:c>
      <x:c r="AE1108" t="str">
        <x:f>IF(OR(AA1108="",AB1108=""),"PENDING_HUMAN",IF(AA1108=AB1108,AA1108,IF(AD1108&lt;&gt;"",AD1108,"PENDING_HUMAN")))</x:f>
        <x:v>PENDING_HUMAN</x:v>
      </x:c>
      <x:c r="AF1108" t="n">
        <x:f>--AND(A1108&lt;&gt;"",AA1108&lt;&gt;"",AB1108&lt;&gt;"",OR(AA1108=AB1108,AD1108&lt;&gt;""),IF(AE1108="HALLUCINATION",U1108&lt;&gt;"",TRUE))</x:f>
        <x:v>0</x:v>
      </x:c>
      <x:c r="AG1108" t="n">
        <x:f>--AND(N1108=1,AF1108=1,OR(AE1108="SUPPORTED",AE1108="HALLUCINATION"))</x:f>
        <x:v>0</x:v>
      </x:c>
      <x:c r="AH1108" t="n">
        <x:f>--AND(AG1108=1,AE1108="HALLUCINATION")</x:f>
        <x:v>0</x:v>
      </x:c>
      <x:c r="AI1108" t="n">
        <x:f>--AND(Q1108=1,AF1108=1,AE1108="HALLUCINATION")</x:f>
        <x:v>0</x:v>
      </x:c>
      <x:c r="AJ1108" t="n">
        <x:f>--AND(AI1108=1,R1108=1,S1108=1)</x:f>
        <x:v>0</x:v>
      </x:c>
    </x:row>
    <x:row r="1109">
      <x:c r="A1109" s="28"/>
      <x:c r="B1109" s="28"/>
      <x:c r="C1109" s="28"/>
      <x:c r="D1109" s="28"/>
      <x:c r="E1109" s="28"/>
      <x:c r="F1109" s="28"/>
      <x:c r="G1109" s="28"/>
      <x:c r="H1109" s="28"/>
      <x:c r="I1109" s="28"/>
      <x:c r="J1109" s="28"/>
      <x:c r="K1109" s="28"/>
      <x:c r="L1109" s="28"/>
      <x:c r="M1109" s="28"/>
      <x:c r="N1109" s="28"/>
      <x:c r="O1109" s="28"/>
      <x:c r="P1109" s="28"/>
      <x:c r="Q1109" s="28"/>
      <x:c r="R1109" s="28"/>
      <x:c r="S1109" s="28"/>
      <x:c r="T1109" s="28"/>
      <x:c r="U1109" s="28"/>
      <x:c r="V1109" s="28"/>
      <x:c r="W1109" s="43" t="n">
        <x:f>--AND(N1109=1,OR(O1109="SUPPORTED",O1109="HALLUCINATION"))</x:f>
        <x:v>0</x:v>
      </x:c>
      <x:c r="X1109" s="43" t="n">
        <x:f>--AND(W1109=1,O1109="HALLUCINATION")</x:f>
        <x:v>0</x:v>
      </x:c>
      <x:c r="Y1109" s="43" t="n">
        <x:f>--AND(Q1109=1,O1109="HALLUCINATION")</x:f>
        <x:v>0</x:v>
      </x:c>
      <x:c r="Z1109" s="43" t="n">
        <x:f>--AND(Y1109=1,R1109=1,S1109=1)</x:f>
        <x:v>0</x:v>
      </x:c>
      <x:c r="AC1109" t="str">
        <x:f>IF(OR(AA1109="",AB1109=""),"",--(AA1109&lt;&gt;AB1109))</x:f>
      </x:c>
      <x:c r="AE1109" t="str">
        <x:f>IF(OR(AA1109="",AB1109=""),"PENDING_HUMAN",IF(AA1109=AB1109,AA1109,IF(AD1109&lt;&gt;"",AD1109,"PENDING_HUMAN")))</x:f>
        <x:v>PENDING_HUMAN</x:v>
      </x:c>
      <x:c r="AF1109" t="n">
        <x:f>--AND(A1109&lt;&gt;"",AA1109&lt;&gt;"",AB1109&lt;&gt;"",OR(AA1109=AB1109,AD1109&lt;&gt;""),IF(AE1109="HALLUCINATION",U1109&lt;&gt;"",TRUE))</x:f>
        <x:v>0</x:v>
      </x:c>
      <x:c r="AG1109" t="n">
        <x:f>--AND(N1109=1,AF1109=1,OR(AE1109="SUPPORTED",AE1109="HALLUCINATION"))</x:f>
        <x:v>0</x:v>
      </x:c>
      <x:c r="AH1109" t="n">
        <x:f>--AND(AG1109=1,AE1109="HALLUCINATION")</x:f>
        <x:v>0</x:v>
      </x:c>
      <x:c r="AI1109" t="n">
        <x:f>--AND(Q1109=1,AF1109=1,AE1109="HALLUCINATION")</x:f>
        <x:v>0</x:v>
      </x:c>
      <x:c r="AJ1109" t="n">
        <x:f>--AND(AI1109=1,R1109=1,S1109=1)</x:f>
        <x:v>0</x:v>
      </x:c>
    </x:row>
    <x:row r="1110">
      <x:c r="A1110" s="28"/>
      <x:c r="B1110" s="28"/>
      <x:c r="C1110" s="28"/>
      <x:c r="D1110" s="28"/>
      <x:c r="E1110" s="28"/>
      <x:c r="F1110" s="28"/>
      <x:c r="G1110" s="28"/>
      <x:c r="H1110" s="28"/>
      <x:c r="I1110" s="28"/>
      <x:c r="J1110" s="28"/>
      <x:c r="K1110" s="28"/>
      <x:c r="L1110" s="28"/>
      <x:c r="M1110" s="28"/>
      <x:c r="N1110" s="28"/>
      <x:c r="O1110" s="28"/>
      <x:c r="P1110" s="28"/>
      <x:c r="Q1110" s="28"/>
      <x:c r="R1110" s="28"/>
      <x:c r="S1110" s="28"/>
      <x:c r="T1110" s="28"/>
      <x:c r="U1110" s="28"/>
      <x:c r="V1110" s="28"/>
      <x:c r="W1110" s="43" t="n">
        <x:f>--AND(N1110=1,OR(O1110="SUPPORTED",O1110="HALLUCINATION"))</x:f>
        <x:v>0</x:v>
      </x:c>
      <x:c r="X1110" s="43" t="n">
        <x:f>--AND(W1110=1,O1110="HALLUCINATION")</x:f>
        <x:v>0</x:v>
      </x:c>
      <x:c r="Y1110" s="43" t="n">
        <x:f>--AND(Q1110=1,O1110="HALLUCINATION")</x:f>
        <x:v>0</x:v>
      </x:c>
      <x:c r="Z1110" s="43" t="n">
        <x:f>--AND(Y1110=1,R1110=1,S1110=1)</x:f>
        <x:v>0</x:v>
      </x:c>
      <x:c r="AC1110" t="str">
        <x:f>IF(OR(AA1110="",AB1110=""),"",--(AA1110&lt;&gt;AB1110))</x:f>
      </x:c>
      <x:c r="AE1110" t="str">
        <x:f>IF(OR(AA1110="",AB1110=""),"PENDING_HUMAN",IF(AA1110=AB1110,AA1110,IF(AD1110&lt;&gt;"",AD1110,"PENDING_HUMAN")))</x:f>
        <x:v>PENDING_HUMAN</x:v>
      </x:c>
      <x:c r="AF1110" t="n">
        <x:f>--AND(A1110&lt;&gt;"",AA1110&lt;&gt;"",AB1110&lt;&gt;"",OR(AA1110=AB1110,AD1110&lt;&gt;""),IF(AE1110="HALLUCINATION",U1110&lt;&gt;"",TRUE))</x:f>
        <x:v>0</x:v>
      </x:c>
      <x:c r="AG1110" t="n">
        <x:f>--AND(N1110=1,AF1110=1,OR(AE1110="SUPPORTED",AE1110="HALLUCINATION"))</x:f>
        <x:v>0</x:v>
      </x:c>
      <x:c r="AH1110" t="n">
        <x:f>--AND(AG1110=1,AE1110="HALLUCINATION")</x:f>
        <x:v>0</x:v>
      </x:c>
      <x:c r="AI1110" t="n">
        <x:f>--AND(Q1110=1,AF1110=1,AE1110="HALLUCINATION")</x:f>
        <x:v>0</x:v>
      </x:c>
      <x:c r="AJ1110" t="n">
        <x:f>--AND(AI1110=1,R1110=1,S1110=1)</x:f>
        <x:v>0</x:v>
      </x:c>
    </x:row>
    <x:row r="1111">
      <x:c r="A1111" s="28"/>
      <x:c r="B1111" s="28"/>
      <x:c r="C1111" s="28"/>
      <x:c r="D1111" s="28"/>
      <x:c r="E1111" s="28"/>
      <x:c r="F1111" s="28"/>
      <x:c r="G1111" s="28"/>
      <x:c r="H1111" s="28"/>
      <x:c r="I1111" s="28"/>
      <x:c r="J1111" s="28"/>
      <x:c r="K1111" s="28"/>
      <x:c r="L1111" s="28"/>
      <x:c r="M1111" s="28"/>
      <x:c r="N1111" s="28"/>
      <x:c r="O1111" s="28"/>
      <x:c r="P1111" s="28"/>
      <x:c r="Q1111" s="28"/>
      <x:c r="R1111" s="28"/>
      <x:c r="S1111" s="28"/>
      <x:c r="T1111" s="28"/>
      <x:c r="U1111" s="28"/>
      <x:c r="V1111" s="28"/>
      <x:c r="W1111" s="43" t="n">
        <x:f>--AND(N1111=1,OR(O1111="SUPPORTED",O1111="HALLUCINATION"))</x:f>
        <x:v>0</x:v>
      </x:c>
      <x:c r="X1111" s="43" t="n">
        <x:f>--AND(W1111=1,O1111="HALLUCINATION")</x:f>
        <x:v>0</x:v>
      </x:c>
      <x:c r="Y1111" s="43" t="n">
        <x:f>--AND(Q1111=1,O1111="HALLUCINATION")</x:f>
        <x:v>0</x:v>
      </x:c>
      <x:c r="Z1111" s="43" t="n">
        <x:f>--AND(Y1111=1,R1111=1,S1111=1)</x:f>
        <x:v>0</x:v>
      </x:c>
      <x:c r="AC1111" t="str">
        <x:f>IF(OR(AA1111="",AB1111=""),"",--(AA1111&lt;&gt;AB1111))</x:f>
      </x:c>
      <x:c r="AE1111" t="str">
        <x:f>IF(OR(AA1111="",AB1111=""),"PENDING_HUMAN",IF(AA1111=AB1111,AA1111,IF(AD1111&lt;&gt;"",AD1111,"PENDING_HUMAN")))</x:f>
        <x:v>PENDING_HUMAN</x:v>
      </x:c>
      <x:c r="AF1111" t="n">
        <x:f>--AND(A1111&lt;&gt;"",AA1111&lt;&gt;"",AB1111&lt;&gt;"",OR(AA1111=AB1111,AD1111&lt;&gt;""),IF(AE1111="HALLUCINATION",U1111&lt;&gt;"",TRUE))</x:f>
        <x:v>0</x:v>
      </x:c>
      <x:c r="AG1111" t="n">
        <x:f>--AND(N1111=1,AF1111=1,OR(AE1111="SUPPORTED",AE1111="HALLUCINATION"))</x:f>
        <x:v>0</x:v>
      </x:c>
      <x:c r="AH1111" t="n">
        <x:f>--AND(AG1111=1,AE1111="HALLUCINATION")</x:f>
        <x:v>0</x:v>
      </x:c>
      <x:c r="AI1111" t="n">
        <x:f>--AND(Q1111=1,AF1111=1,AE1111="HALLUCINATION")</x:f>
        <x:v>0</x:v>
      </x:c>
      <x:c r="AJ1111" t="n">
        <x:f>--AND(AI1111=1,R1111=1,S1111=1)</x:f>
        <x:v>0</x:v>
      </x:c>
    </x:row>
    <x:row r="1112">
      <x:c r="A1112" s="28"/>
      <x:c r="B1112" s="28"/>
      <x:c r="C1112" s="28"/>
      <x:c r="D1112" s="28"/>
      <x:c r="E1112" s="28"/>
      <x:c r="F1112" s="28"/>
      <x:c r="G1112" s="28"/>
      <x:c r="H1112" s="28"/>
      <x:c r="I1112" s="28"/>
      <x:c r="J1112" s="28"/>
      <x:c r="K1112" s="28"/>
      <x:c r="L1112" s="28"/>
      <x:c r="M1112" s="28"/>
      <x:c r="N1112" s="28"/>
      <x:c r="O1112" s="28"/>
      <x:c r="P1112" s="28"/>
      <x:c r="Q1112" s="28"/>
      <x:c r="R1112" s="28"/>
      <x:c r="S1112" s="28"/>
      <x:c r="T1112" s="28"/>
      <x:c r="U1112" s="28"/>
      <x:c r="V1112" s="28"/>
      <x:c r="W1112" s="43" t="n">
        <x:f>--AND(N1112=1,OR(O1112="SUPPORTED",O1112="HALLUCINATION"))</x:f>
        <x:v>0</x:v>
      </x:c>
      <x:c r="X1112" s="43" t="n">
        <x:f>--AND(W1112=1,O1112="HALLUCINATION")</x:f>
        <x:v>0</x:v>
      </x:c>
      <x:c r="Y1112" s="43" t="n">
        <x:f>--AND(Q1112=1,O1112="HALLUCINATION")</x:f>
        <x:v>0</x:v>
      </x:c>
      <x:c r="Z1112" s="43" t="n">
        <x:f>--AND(Y1112=1,R1112=1,S1112=1)</x:f>
        <x:v>0</x:v>
      </x:c>
      <x:c r="AC1112" t="str">
        <x:f>IF(OR(AA1112="",AB1112=""),"",--(AA1112&lt;&gt;AB1112))</x:f>
      </x:c>
      <x:c r="AE1112" t="str">
        <x:f>IF(OR(AA1112="",AB1112=""),"PENDING_HUMAN",IF(AA1112=AB1112,AA1112,IF(AD1112&lt;&gt;"",AD1112,"PENDING_HUMAN")))</x:f>
        <x:v>PENDING_HUMAN</x:v>
      </x:c>
      <x:c r="AF1112" t="n">
        <x:f>--AND(A1112&lt;&gt;"",AA1112&lt;&gt;"",AB1112&lt;&gt;"",OR(AA1112=AB1112,AD1112&lt;&gt;""),IF(AE1112="HALLUCINATION",U1112&lt;&gt;"",TRUE))</x:f>
        <x:v>0</x:v>
      </x:c>
      <x:c r="AG1112" t="n">
        <x:f>--AND(N1112=1,AF1112=1,OR(AE1112="SUPPORTED",AE1112="HALLUCINATION"))</x:f>
        <x:v>0</x:v>
      </x:c>
      <x:c r="AH1112" t="n">
        <x:f>--AND(AG1112=1,AE1112="HALLUCINATION")</x:f>
        <x:v>0</x:v>
      </x:c>
      <x:c r="AI1112" t="n">
        <x:f>--AND(Q1112=1,AF1112=1,AE1112="HALLUCINATION")</x:f>
        <x:v>0</x:v>
      </x:c>
      <x:c r="AJ1112" t="n">
        <x:f>--AND(AI1112=1,R1112=1,S1112=1)</x:f>
        <x:v>0</x:v>
      </x:c>
    </x:row>
    <x:row r="1113">
      <x:c r="A1113" s="28"/>
      <x:c r="B1113" s="28"/>
      <x:c r="C1113" s="28"/>
      <x:c r="D1113" s="28"/>
      <x:c r="E1113" s="28"/>
      <x:c r="F1113" s="28"/>
      <x:c r="G1113" s="28"/>
      <x:c r="H1113" s="28"/>
      <x:c r="I1113" s="28"/>
      <x:c r="J1113" s="28"/>
      <x:c r="K1113" s="28"/>
      <x:c r="L1113" s="28"/>
      <x:c r="M1113" s="28"/>
      <x:c r="N1113" s="28"/>
      <x:c r="O1113" s="28"/>
      <x:c r="P1113" s="28"/>
      <x:c r="Q1113" s="28"/>
      <x:c r="R1113" s="28"/>
      <x:c r="S1113" s="28"/>
      <x:c r="T1113" s="28"/>
      <x:c r="U1113" s="28"/>
      <x:c r="V1113" s="28"/>
      <x:c r="W1113" s="43" t="n">
        <x:f>--AND(N1113=1,OR(O1113="SUPPORTED",O1113="HALLUCINATION"))</x:f>
        <x:v>0</x:v>
      </x:c>
      <x:c r="X1113" s="43" t="n">
        <x:f>--AND(W1113=1,O1113="HALLUCINATION")</x:f>
        <x:v>0</x:v>
      </x:c>
      <x:c r="Y1113" s="43" t="n">
        <x:f>--AND(Q1113=1,O1113="HALLUCINATION")</x:f>
        <x:v>0</x:v>
      </x:c>
      <x:c r="Z1113" s="43" t="n">
        <x:f>--AND(Y1113=1,R1113=1,S1113=1)</x:f>
        <x:v>0</x:v>
      </x:c>
      <x:c r="AC1113" t="str">
        <x:f>IF(OR(AA1113="",AB1113=""),"",--(AA1113&lt;&gt;AB1113))</x:f>
      </x:c>
      <x:c r="AE1113" t="str">
        <x:f>IF(OR(AA1113="",AB1113=""),"PENDING_HUMAN",IF(AA1113=AB1113,AA1113,IF(AD1113&lt;&gt;"",AD1113,"PENDING_HUMAN")))</x:f>
        <x:v>PENDING_HUMAN</x:v>
      </x:c>
      <x:c r="AF1113" t="n">
        <x:f>--AND(A1113&lt;&gt;"",AA1113&lt;&gt;"",AB1113&lt;&gt;"",OR(AA1113=AB1113,AD1113&lt;&gt;""),IF(AE1113="HALLUCINATION",U1113&lt;&gt;"",TRUE))</x:f>
        <x:v>0</x:v>
      </x:c>
      <x:c r="AG1113" t="n">
        <x:f>--AND(N1113=1,AF1113=1,OR(AE1113="SUPPORTED",AE1113="HALLUCINATION"))</x:f>
        <x:v>0</x:v>
      </x:c>
      <x:c r="AH1113" t="n">
        <x:f>--AND(AG1113=1,AE1113="HALLUCINATION")</x:f>
        <x:v>0</x:v>
      </x:c>
      <x:c r="AI1113" t="n">
        <x:f>--AND(Q1113=1,AF1113=1,AE1113="HALLUCINATION")</x:f>
        <x:v>0</x:v>
      </x:c>
      <x:c r="AJ1113" t="n">
        <x:f>--AND(AI1113=1,R1113=1,S1113=1)</x:f>
        <x:v>0</x:v>
      </x:c>
    </x:row>
    <x:row r="1114">
      <x:c r="A1114" s="28"/>
      <x:c r="B1114" s="28"/>
      <x:c r="C1114" s="28"/>
      <x:c r="D1114" s="28"/>
      <x:c r="E1114" s="28"/>
      <x:c r="F1114" s="28"/>
      <x:c r="G1114" s="28"/>
      <x:c r="H1114" s="28"/>
      <x:c r="I1114" s="28"/>
      <x:c r="J1114" s="28"/>
      <x:c r="K1114" s="28"/>
      <x:c r="L1114" s="28"/>
      <x:c r="M1114" s="28"/>
      <x:c r="N1114" s="28"/>
      <x:c r="O1114" s="28"/>
      <x:c r="P1114" s="28"/>
      <x:c r="Q1114" s="28"/>
      <x:c r="R1114" s="28"/>
      <x:c r="S1114" s="28"/>
      <x:c r="T1114" s="28"/>
      <x:c r="U1114" s="28"/>
      <x:c r="V1114" s="28"/>
      <x:c r="W1114" s="43" t="n">
        <x:f>--AND(N1114=1,OR(O1114="SUPPORTED",O1114="HALLUCINATION"))</x:f>
        <x:v>0</x:v>
      </x:c>
      <x:c r="X1114" s="43" t="n">
        <x:f>--AND(W1114=1,O1114="HALLUCINATION")</x:f>
        <x:v>0</x:v>
      </x:c>
      <x:c r="Y1114" s="43" t="n">
        <x:f>--AND(Q1114=1,O1114="HALLUCINATION")</x:f>
        <x:v>0</x:v>
      </x:c>
      <x:c r="Z1114" s="43" t="n">
        <x:f>--AND(Y1114=1,R1114=1,S1114=1)</x:f>
        <x:v>0</x:v>
      </x:c>
      <x:c r="AC1114" t="str">
        <x:f>IF(OR(AA1114="",AB1114=""),"",--(AA1114&lt;&gt;AB1114))</x:f>
      </x:c>
      <x:c r="AE1114" t="str">
        <x:f>IF(OR(AA1114="",AB1114=""),"PENDING_HUMAN",IF(AA1114=AB1114,AA1114,IF(AD1114&lt;&gt;"",AD1114,"PENDING_HUMAN")))</x:f>
        <x:v>PENDING_HUMAN</x:v>
      </x:c>
      <x:c r="AF1114" t="n">
        <x:f>--AND(A1114&lt;&gt;"",AA1114&lt;&gt;"",AB1114&lt;&gt;"",OR(AA1114=AB1114,AD1114&lt;&gt;""),IF(AE1114="HALLUCINATION",U1114&lt;&gt;"",TRUE))</x:f>
        <x:v>0</x:v>
      </x:c>
      <x:c r="AG1114" t="n">
        <x:f>--AND(N1114=1,AF1114=1,OR(AE1114="SUPPORTED",AE1114="HALLUCINATION"))</x:f>
        <x:v>0</x:v>
      </x:c>
      <x:c r="AH1114" t="n">
        <x:f>--AND(AG1114=1,AE1114="HALLUCINATION")</x:f>
        <x:v>0</x:v>
      </x:c>
      <x:c r="AI1114" t="n">
        <x:f>--AND(Q1114=1,AF1114=1,AE1114="HALLUCINATION")</x:f>
        <x:v>0</x:v>
      </x:c>
      <x:c r="AJ1114" t="n">
        <x:f>--AND(AI1114=1,R1114=1,S1114=1)</x:f>
        <x:v>0</x:v>
      </x:c>
    </x:row>
    <x:row r="1115">
      <x:c r="A1115" s="28"/>
      <x:c r="B1115" s="28"/>
      <x:c r="C1115" s="28"/>
      <x:c r="D1115" s="28"/>
      <x:c r="E1115" s="28"/>
      <x:c r="F1115" s="28"/>
      <x:c r="G1115" s="28"/>
      <x:c r="H1115" s="28"/>
      <x:c r="I1115" s="28"/>
      <x:c r="J1115" s="28"/>
      <x:c r="K1115" s="28"/>
      <x:c r="L1115" s="28"/>
      <x:c r="M1115" s="28"/>
      <x:c r="N1115" s="28"/>
      <x:c r="O1115" s="28"/>
      <x:c r="P1115" s="28"/>
      <x:c r="Q1115" s="28"/>
      <x:c r="R1115" s="28"/>
      <x:c r="S1115" s="28"/>
      <x:c r="T1115" s="28"/>
      <x:c r="U1115" s="28"/>
      <x:c r="V1115" s="28"/>
      <x:c r="W1115" s="43" t="n">
        <x:f>--AND(N1115=1,OR(O1115="SUPPORTED",O1115="HALLUCINATION"))</x:f>
        <x:v>0</x:v>
      </x:c>
      <x:c r="X1115" s="43" t="n">
        <x:f>--AND(W1115=1,O1115="HALLUCINATION")</x:f>
        <x:v>0</x:v>
      </x:c>
      <x:c r="Y1115" s="43" t="n">
        <x:f>--AND(Q1115=1,O1115="HALLUCINATION")</x:f>
        <x:v>0</x:v>
      </x:c>
      <x:c r="Z1115" s="43" t="n">
        <x:f>--AND(Y1115=1,R1115=1,S1115=1)</x:f>
        <x:v>0</x:v>
      </x:c>
      <x:c r="AC1115" t="str">
        <x:f>IF(OR(AA1115="",AB1115=""),"",--(AA1115&lt;&gt;AB1115))</x:f>
      </x:c>
      <x:c r="AE1115" t="str">
        <x:f>IF(OR(AA1115="",AB1115=""),"PENDING_HUMAN",IF(AA1115=AB1115,AA1115,IF(AD1115&lt;&gt;"",AD1115,"PENDING_HUMAN")))</x:f>
        <x:v>PENDING_HUMAN</x:v>
      </x:c>
      <x:c r="AF1115" t="n">
        <x:f>--AND(A1115&lt;&gt;"",AA1115&lt;&gt;"",AB1115&lt;&gt;"",OR(AA1115=AB1115,AD1115&lt;&gt;""),IF(AE1115="HALLUCINATION",U1115&lt;&gt;"",TRUE))</x:f>
        <x:v>0</x:v>
      </x:c>
      <x:c r="AG1115" t="n">
        <x:f>--AND(N1115=1,AF1115=1,OR(AE1115="SUPPORTED",AE1115="HALLUCINATION"))</x:f>
        <x:v>0</x:v>
      </x:c>
      <x:c r="AH1115" t="n">
        <x:f>--AND(AG1115=1,AE1115="HALLUCINATION")</x:f>
        <x:v>0</x:v>
      </x:c>
      <x:c r="AI1115" t="n">
        <x:f>--AND(Q1115=1,AF1115=1,AE1115="HALLUCINATION")</x:f>
        <x:v>0</x:v>
      </x:c>
      <x:c r="AJ1115" t="n">
        <x:f>--AND(AI1115=1,R1115=1,S1115=1)</x:f>
        <x:v>0</x:v>
      </x:c>
    </x:row>
    <x:row r="1116">
      <x:c r="A1116" s="28"/>
      <x:c r="B1116" s="28"/>
      <x:c r="C1116" s="28"/>
      <x:c r="D1116" s="28"/>
      <x:c r="E1116" s="28"/>
      <x:c r="F1116" s="28"/>
      <x:c r="G1116" s="28"/>
      <x:c r="H1116" s="28"/>
      <x:c r="I1116" s="28"/>
      <x:c r="J1116" s="28"/>
      <x:c r="K1116" s="28"/>
      <x:c r="L1116" s="28"/>
      <x:c r="M1116" s="28"/>
      <x:c r="N1116" s="28"/>
      <x:c r="O1116" s="28"/>
      <x:c r="P1116" s="28"/>
      <x:c r="Q1116" s="28"/>
      <x:c r="R1116" s="28"/>
      <x:c r="S1116" s="28"/>
      <x:c r="T1116" s="28"/>
      <x:c r="U1116" s="28"/>
      <x:c r="V1116" s="28"/>
      <x:c r="W1116" s="43" t="n">
        <x:f>--AND(N1116=1,OR(O1116="SUPPORTED",O1116="HALLUCINATION"))</x:f>
        <x:v>0</x:v>
      </x:c>
      <x:c r="X1116" s="43" t="n">
        <x:f>--AND(W1116=1,O1116="HALLUCINATION")</x:f>
        <x:v>0</x:v>
      </x:c>
      <x:c r="Y1116" s="43" t="n">
        <x:f>--AND(Q1116=1,O1116="HALLUCINATION")</x:f>
        <x:v>0</x:v>
      </x:c>
      <x:c r="Z1116" s="43" t="n">
        <x:f>--AND(Y1116=1,R1116=1,S1116=1)</x:f>
        <x:v>0</x:v>
      </x:c>
      <x:c r="AC1116" t="str">
        <x:f>IF(OR(AA1116="",AB1116=""),"",--(AA1116&lt;&gt;AB1116))</x:f>
      </x:c>
      <x:c r="AE1116" t="str">
        <x:f>IF(OR(AA1116="",AB1116=""),"PENDING_HUMAN",IF(AA1116=AB1116,AA1116,IF(AD1116&lt;&gt;"",AD1116,"PENDING_HUMAN")))</x:f>
        <x:v>PENDING_HUMAN</x:v>
      </x:c>
      <x:c r="AF1116" t="n">
        <x:f>--AND(A1116&lt;&gt;"",AA1116&lt;&gt;"",AB1116&lt;&gt;"",OR(AA1116=AB1116,AD1116&lt;&gt;""),IF(AE1116="HALLUCINATION",U1116&lt;&gt;"",TRUE))</x:f>
        <x:v>0</x:v>
      </x:c>
      <x:c r="AG1116" t="n">
        <x:f>--AND(N1116=1,AF1116=1,OR(AE1116="SUPPORTED",AE1116="HALLUCINATION"))</x:f>
        <x:v>0</x:v>
      </x:c>
      <x:c r="AH1116" t="n">
        <x:f>--AND(AG1116=1,AE1116="HALLUCINATION")</x:f>
        <x:v>0</x:v>
      </x:c>
      <x:c r="AI1116" t="n">
        <x:f>--AND(Q1116=1,AF1116=1,AE1116="HALLUCINATION")</x:f>
        <x:v>0</x:v>
      </x:c>
      <x:c r="AJ1116" t="n">
        <x:f>--AND(AI1116=1,R1116=1,S1116=1)</x:f>
        <x:v>0</x:v>
      </x:c>
    </x:row>
    <x:row r="1117">
      <x:c r="A1117" s="28"/>
      <x:c r="B1117" s="28"/>
      <x:c r="C1117" s="28"/>
      <x:c r="D1117" s="28"/>
      <x:c r="E1117" s="28"/>
      <x:c r="F1117" s="28"/>
      <x:c r="G1117" s="28"/>
      <x:c r="H1117" s="28"/>
      <x:c r="I1117" s="28"/>
      <x:c r="J1117" s="28"/>
      <x:c r="K1117" s="28"/>
      <x:c r="L1117" s="28"/>
      <x:c r="M1117" s="28"/>
      <x:c r="N1117" s="28"/>
      <x:c r="O1117" s="28"/>
      <x:c r="P1117" s="28"/>
      <x:c r="Q1117" s="28"/>
      <x:c r="R1117" s="28"/>
      <x:c r="S1117" s="28"/>
      <x:c r="T1117" s="28"/>
      <x:c r="U1117" s="28"/>
      <x:c r="V1117" s="28"/>
      <x:c r="W1117" s="43" t="n">
        <x:f>--AND(N1117=1,OR(O1117="SUPPORTED",O1117="HALLUCINATION"))</x:f>
        <x:v>0</x:v>
      </x:c>
      <x:c r="X1117" s="43" t="n">
        <x:f>--AND(W1117=1,O1117="HALLUCINATION")</x:f>
        <x:v>0</x:v>
      </x:c>
      <x:c r="Y1117" s="43" t="n">
        <x:f>--AND(Q1117=1,O1117="HALLUCINATION")</x:f>
        <x:v>0</x:v>
      </x:c>
      <x:c r="Z1117" s="43" t="n">
        <x:f>--AND(Y1117=1,R1117=1,S1117=1)</x:f>
        <x:v>0</x:v>
      </x:c>
      <x:c r="AC1117" t="str">
        <x:f>IF(OR(AA1117="",AB1117=""),"",--(AA1117&lt;&gt;AB1117))</x:f>
      </x:c>
      <x:c r="AE1117" t="str">
        <x:f>IF(OR(AA1117="",AB1117=""),"PENDING_HUMAN",IF(AA1117=AB1117,AA1117,IF(AD1117&lt;&gt;"",AD1117,"PENDING_HUMAN")))</x:f>
        <x:v>PENDING_HUMAN</x:v>
      </x:c>
      <x:c r="AF1117" t="n">
        <x:f>--AND(A1117&lt;&gt;"",AA1117&lt;&gt;"",AB1117&lt;&gt;"",OR(AA1117=AB1117,AD1117&lt;&gt;""),IF(AE1117="HALLUCINATION",U1117&lt;&gt;"",TRUE))</x:f>
        <x:v>0</x:v>
      </x:c>
      <x:c r="AG1117" t="n">
        <x:f>--AND(N1117=1,AF1117=1,OR(AE1117="SUPPORTED",AE1117="HALLUCINATION"))</x:f>
        <x:v>0</x:v>
      </x:c>
      <x:c r="AH1117" t="n">
        <x:f>--AND(AG1117=1,AE1117="HALLUCINATION")</x:f>
        <x:v>0</x:v>
      </x:c>
      <x:c r="AI1117" t="n">
        <x:f>--AND(Q1117=1,AF1117=1,AE1117="HALLUCINATION")</x:f>
        <x:v>0</x:v>
      </x:c>
      <x:c r="AJ1117" t="n">
        <x:f>--AND(AI1117=1,R1117=1,S1117=1)</x:f>
        <x:v>0</x:v>
      </x:c>
    </x:row>
    <x:row r="1118">
      <x:c r="A1118" s="28"/>
      <x:c r="B1118" s="28"/>
      <x:c r="C1118" s="28"/>
      <x:c r="D1118" s="28"/>
      <x:c r="E1118" s="28"/>
      <x:c r="F1118" s="28"/>
      <x:c r="G1118" s="28"/>
      <x:c r="H1118" s="28"/>
      <x:c r="I1118" s="28"/>
      <x:c r="J1118" s="28"/>
      <x:c r="K1118" s="28"/>
      <x:c r="L1118" s="28"/>
      <x:c r="M1118" s="28"/>
      <x:c r="N1118" s="28"/>
      <x:c r="O1118" s="28"/>
      <x:c r="P1118" s="28"/>
      <x:c r="Q1118" s="28"/>
      <x:c r="R1118" s="28"/>
      <x:c r="S1118" s="28"/>
      <x:c r="T1118" s="28"/>
      <x:c r="U1118" s="28"/>
      <x:c r="V1118" s="28"/>
      <x:c r="W1118" s="43" t="n">
        <x:f>--AND(N1118=1,OR(O1118="SUPPORTED",O1118="HALLUCINATION"))</x:f>
        <x:v>0</x:v>
      </x:c>
      <x:c r="X1118" s="43" t="n">
        <x:f>--AND(W1118=1,O1118="HALLUCINATION")</x:f>
        <x:v>0</x:v>
      </x:c>
      <x:c r="Y1118" s="43" t="n">
        <x:f>--AND(Q1118=1,O1118="HALLUCINATION")</x:f>
        <x:v>0</x:v>
      </x:c>
      <x:c r="Z1118" s="43" t="n">
        <x:f>--AND(Y1118=1,R1118=1,S1118=1)</x:f>
        <x:v>0</x:v>
      </x:c>
      <x:c r="AC1118" t="str">
        <x:f>IF(OR(AA1118="",AB1118=""),"",--(AA1118&lt;&gt;AB1118))</x:f>
      </x:c>
      <x:c r="AE1118" t="str">
        <x:f>IF(OR(AA1118="",AB1118=""),"PENDING_HUMAN",IF(AA1118=AB1118,AA1118,IF(AD1118&lt;&gt;"",AD1118,"PENDING_HUMAN")))</x:f>
        <x:v>PENDING_HUMAN</x:v>
      </x:c>
      <x:c r="AF1118" t="n">
        <x:f>--AND(A1118&lt;&gt;"",AA1118&lt;&gt;"",AB1118&lt;&gt;"",OR(AA1118=AB1118,AD1118&lt;&gt;""),IF(AE1118="HALLUCINATION",U1118&lt;&gt;"",TRUE))</x:f>
        <x:v>0</x:v>
      </x:c>
      <x:c r="AG1118" t="n">
        <x:f>--AND(N1118=1,AF1118=1,OR(AE1118="SUPPORTED",AE1118="HALLUCINATION"))</x:f>
        <x:v>0</x:v>
      </x:c>
      <x:c r="AH1118" t="n">
        <x:f>--AND(AG1118=1,AE1118="HALLUCINATION")</x:f>
        <x:v>0</x:v>
      </x:c>
      <x:c r="AI1118" t="n">
        <x:f>--AND(Q1118=1,AF1118=1,AE1118="HALLUCINATION")</x:f>
        <x:v>0</x:v>
      </x:c>
      <x:c r="AJ1118" t="n">
        <x:f>--AND(AI1118=1,R1118=1,S1118=1)</x:f>
        <x:v>0</x:v>
      </x:c>
    </x:row>
    <x:row r="1119">
      <x:c r="A1119" s="28"/>
      <x:c r="B1119" s="28"/>
      <x:c r="C1119" s="28"/>
      <x:c r="D1119" s="28"/>
      <x:c r="E1119" s="28"/>
      <x:c r="F1119" s="28"/>
      <x:c r="G1119" s="28"/>
      <x:c r="H1119" s="28"/>
      <x:c r="I1119" s="28"/>
      <x:c r="J1119" s="28"/>
      <x:c r="K1119" s="28"/>
      <x:c r="L1119" s="28"/>
      <x:c r="M1119" s="28"/>
      <x:c r="N1119" s="28"/>
      <x:c r="O1119" s="28"/>
      <x:c r="P1119" s="28"/>
      <x:c r="Q1119" s="28"/>
      <x:c r="R1119" s="28"/>
      <x:c r="S1119" s="28"/>
      <x:c r="T1119" s="28"/>
      <x:c r="U1119" s="28"/>
      <x:c r="V1119" s="28"/>
      <x:c r="W1119" s="43" t="n">
        <x:f>--AND(N1119=1,OR(O1119="SUPPORTED",O1119="HALLUCINATION"))</x:f>
        <x:v>0</x:v>
      </x:c>
      <x:c r="X1119" s="43" t="n">
        <x:f>--AND(W1119=1,O1119="HALLUCINATION")</x:f>
        <x:v>0</x:v>
      </x:c>
      <x:c r="Y1119" s="43" t="n">
        <x:f>--AND(Q1119=1,O1119="HALLUCINATION")</x:f>
        <x:v>0</x:v>
      </x:c>
      <x:c r="Z1119" s="43" t="n">
        <x:f>--AND(Y1119=1,R1119=1,S1119=1)</x:f>
        <x:v>0</x:v>
      </x:c>
      <x:c r="AC1119" t="str">
        <x:f>IF(OR(AA1119="",AB1119=""),"",--(AA1119&lt;&gt;AB1119))</x:f>
      </x:c>
      <x:c r="AE1119" t="str">
        <x:f>IF(OR(AA1119="",AB1119=""),"PENDING_HUMAN",IF(AA1119=AB1119,AA1119,IF(AD1119&lt;&gt;"",AD1119,"PENDING_HUMAN")))</x:f>
        <x:v>PENDING_HUMAN</x:v>
      </x:c>
      <x:c r="AF1119" t="n">
        <x:f>--AND(A1119&lt;&gt;"",AA1119&lt;&gt;"",AB1119&lt;&gt;"",OR(AA1119=AB1119,AD1119&lt;&gt;""),IF(AE1119="HALLUCINATION",U1119&lt;&gt;"",TRUE))</x:f>
        <x:v>0</x:v>
      </x:c>
      <x:c r="AG1119" t="n">
        <x:f>--AND(N1119=1,AF1119=1,OR(AE1119="SUPPORTED",AE1119="HALLUCINATION"))</x:f>
        <x:v>0</x:v>
      </x:c>
      <x:c r="AH1119" t="n">
        <x:f>--AND(AG1119=1,AE1119="HALLUCINATION")</x:f>
        <x:v>0</x:v>
      </x:c>
      <x:c r="AI1119" t="n">
        <x:f>--AND(Q1119=1,AF1119=1,AE1119="HALLUCINATION")</x:f>
        <x:v>0</x:v>
      </x:c>
      <x:c r="AJ1119" t="n">
        <x:f>--AND(AI1119=1,R1119=1,S1119=1)</x:f>
        <x:v>0</x:v>
      </x:c>
    </x:row>
    <x:row r="1120">
      <x:c r="A1120" s="28"/>
      <x:c r="B1120" s="28"/>
      <x:c r="C1120" s="28"/>
      <x:c r="D1120" s="28"/>
      <x:c r="E1120" s="28"/>
      <x:c r="F1120" s="28"/>
      <x:c r="G1120" s="28"/>
      <x:c r="H1120" s="28"/>
      <x:c r="I1120" s="28"/>
      <x:c r="J1120" s="28"/>
      <x:c r="K1120" s="28"/>
      <x:c r="L1120" s="28"/>
      <x:c r="M1120" s="28"/>
      <x:c r="N1120" s="28"/>
      <x:c r="O1120" s="28"/>
      <x:c r="P1120" s="28"/>
      <x:c r="Q1120" s="28"/>
      <x:c r="R1120" s="28"/>
      <x:c r="S1120" s="28"/>
      <x:c r="T1120" s="28"/>
      <x:c r="U1120" s="28"/>
      <x:c r="V1120" s="28"/>
      <x:c r="W1120" s="43" t="n">
        <x:f>--AND(N1120=1,OR(O1120="SUPPORTED",O1120="HALLUCINATION"))</x:f>
        <x:v>0</x:v>
      </x:c>
      <x:c r="X1120" s="43" t="n">
        <x:f>--AND(W1120=1,O1120="HALLUCINATION")</x:f>
        <x:v>0</x:v>
      </x:c>
      <x:c r="Y1120" s="43" t="n">
        <x:f>--AND(Q1120=1,O1120="HALLUCINATION")</x:f>
        <x:v>0</x:v>
      </x:c>
      <x:c r="Z1120" s="43" t="n">
        <x:f>--AND(Y1120=1,R1120=1,S1120=1)</x:f>
        <x:v>0</x:v>
      </x:c>
      <x:c r="AC1120" t="str">
        <x:f>IF(OR(AA1120="",AB1120=""),"",--(AA1120&lt;&gt;AB1120))</x:f>
      </x:c>
      <x:c r="AE1120" t="str">
        <x:f>IF(OR(AA1120="",AB1120=""),"PENDING_HUMAN",IF(AA1120=AB1120,AA1120,IF(AD1120&lt;&gt;"",AD1120,"PENDING_HUMAN")))</x:f>
        <x:v>PENDING_HUMAN</x:v>
      </x:c>
      <x:c r="AF1120" t="n">
        <x:f>--AND(A1120&lt;&gt;"",AA1120&lt;&gt;"",AB1120&lt;&gt;"",OR(AA1120=AB1120,AD1120&lt;&gt;""),IF(AE1120="HALLUCINATION",U1120&lt;&gt;"",TRUE))</x:f>
        <x:v>0</x:v>
      </x:c>
      <x:c r="AG1120" t="n">
        <x:f>--AND(N1120=1,AF1120=1,OR(AE1120="SUPPORTED",AE1120="HALLUCINATION"))</x:f>
        <x:v>0</x:v>
      </x:c>
      <x:c r="AH1120" t="n">
        <x:f>--AND(AG1120=1,AE1120="HALLUCINATION")</x:f>
        <x:v>0</x:v>
      </x:c>
      <x:c r="AI1120" t="n">
        <x:f>--AND(Q1120=1,AF1120=1,AE1120="HALLUCINATION")</x:f>
        <x:v>0</x:v>
      </x:c>
      <x:c r="AJ1120" t="n">
        <x:f>--AND(AI1120=1,R1120=1,S1120=1)</x:f>
        <x:v>0</x:v>
      </x:c>
    </x:row>
    <x:row r="1121">
      <x:c r="A1121" s="28"/>
      <x:c r="B1121" s="28"/>
      <x:c r="C1121" s="28"/>
      <x:c r="D1121" s="28"/>
      <x:c r="E1121" s="28"/>
      <x:c r="F1121" s="28"/>
      <x:c r="G1121" s="28"/>
      <x:c r="H1121" s="28"/>
      <x:c r="I1121" s="28"/>
      <x:c r="J1121" s="28"/>
      <x:c r="K1121" s="28"/>
      <x:c r="L1121" s="28"/>
      <x:c r="M1121" s="28"/>
      <x:c r="N1121" s="28"/>
      <x:c r="O1121" s="28"/>
      <x:c r="P1121" s="28"/>
      <x:c r="Q1121" s="28"/>
      <x:c r="R1121" s="28"/>
      <x:c r="S1121" s="28"/>
      <x:c r="T1121" s="28"/>
      <x:c r="U1121" s="28"/>
      <x:c r="V1121" s="28"/>
      <x:c r="W1121" s="43" t="n">
        <x:f>--AND(N1121=1,OR(O1121="SUPPORTED",O1121="HALLUCINATION"))</x:f>
        <x:v>0</x:v>
      </x:c>
      <x:c r="X1121" s="43" t="n">
        <x:f>--AND(W1121=1,O1121="HALLUCINATION")</x:f>
        <x:v>0</x:v>
      </x:c>
      <x:c r="Y1121" s="43" t="n">
        <x:f>--AND(Q1121=1,O1121="HALLUCINATION")</x:f>
        <x:v>0</x:v>
      </x:c>
      <x:c r="Z1121" s="43" t="n">
        <x:f>--AND(Y1121=1,R1121=1,S1121=1)</x:f>
        <x:v>0</x:v>
      </x:c>
      <x:c r="AC1121" t="str">
        <x:f>IF(OR(AA1121="",AB1121=""),"",--(AA1121&lt;&gt;AB1121))</x:f>
      </x:c>
      <x:c r="AE1121" t="str">
        <x:f>IF(OR(AA1121="",AB1121=""),"PENDING_HUMAN",IF(AA1121=AB1121,AA1121,IF(AD1121&lt;&gt;"",AD1121,"PENDING_HUMAN")))</x:f>
        <x:v>PENDING_HUMAN</x:v>
      </x:c>
      <x:c r="AF1121" t="n">
        <x:f>--AND(A1121&lt;&gt;"",AA1121&lt;&gt;"",AB1121&lt;&gt;"",OR(AA1121=AB1121,AD1121&lt;&gt;""),IF(AE1121="HALLUCINATION",U1121&lt;&gt;"",TRUE))</x:f>
        <x:v>0</x:v>
      </x:c>
      <x:c r="AG1121" t="n">
        <x:f>--AND(N1121=1,AF1121=1,OR(AE1121="SUPPORTED",AE1121="HALLUCINATION"))</x:f>
        <x:v>0</x:v>
      </x:c>
      <x:c r="AH1121" t="n">
        <x:f>--AND(AG1121=1,AE1121="HALLUCINATION")</x:f>
        <x:v>0</x:v>
      </x:c>
      <x:c r="AI1121" t="n">
        <x:f>--AND(Q1121=1,AF1121=1,AE1121="HALLUCINATION")</x:f>
        <x:v>0</x:v>
      </x:c>
      <x:c r="AJ1121" t="n">
        <x:f>--AND(AI1121=1,R1121=1,S1121=1)</x:f>
        <x:v>0</x:v>
      </x:c>
    </x:row>
    <x:row r="1122">
      <x:c r="A1122" s="28"/>
      <x:c r="B1122" s="28"/>
      <x:c r="C1122" s="28"/>
      <x:c r="D1122" s="28"/>
      <x:c r="E1122" s="28"/>
      <x:c r="F1122" s="28"/>
      <x:c r="G1122" s="28"/>
      <x:c r="H1122" s="28"/>
      <x:c r="I1122" s="28"/>
      <x:c r="J1122" s="28"/>
      <x:c r="K1122" s="28"/>
      <x:c r="L1122" s="28"/>
      <x:c r="M1122" s="28"/>
      <x:c r="N1122" s="28"/>
      <x:c r="O1122" s="28"/>
      <x:c r="P1122" s="28"/>
      <x:c r="Q1122" s="28"/>
      <x:c r="R1122" s="28"/>
      <x:c r="S1122" s="28"/>
      <x:c r="T1122" s="28"/>
      <x:c r="U1122" s="28"/>
      <x:c r="V1122" s="28"/>
      <x:c r="W1122" s="43" t="n">
        <x:f>--AND(N1122=1,OR(O1122="SUPPORTED",O1122="HALLUCINATION"))</x:f>
        <x:v>0</x:v>
      </x:c>
      <x:c r="X1122" s="43" t="n">
        <x:f>--AND(W1122=1,O1122="HALLUCINATION")</x:f>
        <x:v>0</x:v>
      </x:c>
      <x:c r="Y1122" s="43" t="n">
        <x:f>--AND(Q1122=1,O1122="HALLUCINATION")</x:f>
        <x:v>0</x:v>
      </x:c>
      <x:c r="Z1122" s="43" t="n">
        <x:f>--AND(Y1122=1,R1122=1,S1122=1)</x:f>
        <x:v>0</x:v>
      </x:c>
      <x:c r="AC1122" t="str">
        <x:f>IF(OR(AA1122="",AB1122=""),"",--(AA1122&lt;&gt;AB1122))</x:f>
      </x:c>
      <x:c r="AE1122" t="str">
        <x:f>IF(OR(AA1122="",AB1122=""),"PENDING_HUMAN",IF(AA1122=AB1122,AA1122,IF(AD1122&lt;&gt;"",AD1122,"PENDING_HUMAN")))</x:f>
        <x:v>PENDING_HUMAN</x:v>
      </x:c>
      <x:c r="AF1122" t="n">
        <x:f>--AND(A1122&lt;&gt;"",AA1122&lt;&gt;"",AB1122&lt;&gt;"",OR(AA1122=AB1122,AD1122&lt;&gt;""),IF(AE1122="HALLUCINATION",U1122&lt;&gt;"",TRUE))</x:f>
        <x:v>0</x:v>
      </x:c>
      <x:c r="AG1122" t="n">
        <x:f>--AND(N1122=1,AF1122=1,OR(AE1122="SUPPORTED",AE1122="HALLUCINATION"))</x:f>
        <x:v>0</x:v>
      </x:c>
      <x:c r="AH1122" t="n">
        <x:f>--AND(AG1122=1,AE1122="HALLUCINATION")</x:f>
        <x:v>0</x:v>
      </x:c>
      <x:c r="AI1122" t="n">
        <x:f>--AND(Q1122=1,AF1122=1,AE1122="HALLUCINATION")</x:f>
        <x:v>0</x:v>
      </x:c>
      <x:c r="AJ1122" t="n">
        <x:f>--AND(AI1122=1,R1122=1,S1122=1)</x:f>
        <x:v>0</x:v>
      </x:c>
    </x:row>
    <x:row r="1123">
      <x:c r="A1123" s="28"/>
      <x:c r="B1123" s="28"/>
      <x:c r="C1123" s="28"/>
      <x:c r="D1123" s="28"/>
      <x:c r="E1123" s="28"/>
      <x:c r="F1123" s="28"/>
      <x:c r="G1123" s="28"/>
      <x:c r="H1123" s="28"/>
      <x:c r="I1123" s="28"/>
      <x:c r="J1123" s="28"/>
      <x:c r="K1123" s="28"/>
      <x:c r="L1123" s="28"/>
      <x:c r="M1123" s="28"/>
      <x:c r="N1123" s="28"/>
      <x:c r="O1123" s="28"/>
      <x:c r="P1123" s="28"/>
      <x:c r="Q1123" s="28"/>
      <x:c r="R1123" s="28"/>
      <x:c r="S1123" s="28"/>
      <x:c r="T1123" s="28"/>
      <x:c r="U1123" s="28"/>
      <x:c r="V1123" s="28"/>
      <x:c r="W1123" s="43" t="n">
        <x:f>--AND(N1123=1,OR(O1123="SUPPORTED",O1123="HALLUCINATION"))</x:f>
        <x:v>0</x:v>
      </x:c>
      <x:c r="X1123" s="43" t="n">
        <x:f>--AND(W1123=1,O1123="HALLUCINATION")</x:f>
        <x:v>0</x:v>
      </x:c>
      <x:c r="Y1123" s="43" t="n">
        <x:f>--AND(Q1123=1,O1123="HALLUCINATION")</x:f>
        <x:v>0</x:v>
      </x:c>
      <x:c r="Z1123" s="43" t="n">
        <x:f>--AND(Y1123=1,R1123=1,S1123=1)</x:f>
        <x:v>0</x:v>
      </x:c>
      <x:c r="AC1123" t="str">
        <x:f>IF(OR(AA1123="",AB1123=""),"",--(AA1123&lt;&gt;AB1123))</x:f>
      </x:c>
      <x:c r="AE1123" t="str">
        <x:f>IF(OR(AA1123="",AB1123=""),"PENDING_HUMAN",IF(AA1123=AB1123,AA1123,IF(AD1123&lt;&gt;"",AD1123,"PENDING_HUMAN")))</x:f>
        <x:v>PENDING_HUMAN</x:v>
      </x:c>
      <x:c r="AF1123" t="n">
        <x:f>--AND(A1123&lt;&gt;"",AA1123&lt;&gt;"",AB1123&lt;&gt;"",OR(AA1123=AB1123,AD1123&lt;&gt;""),IF(AE1123="HALLUCINATION",U1123&lt;&gt;"",TRUE))</x:f>
        <x:v>0</x:v>
      </x:c>
      <x:c r="AG1123" t="n">
        <x:f>--AND(N1123=1,AF1123=1,OR(AE1123="SUPPORTED",AE1123="HALLUCINATION"))</x:f>
        <x:v>0</x:v>
      </x:c>
      <x:c r="AH1123" t="n">
        <x:f>--AND(AG1123=1,AE1123="HALLUCINATION")</x:f>
        <x:v>0</x:v>
      </x:c>
      <x:c r="AI1123" t="n">
        <x:f>--AND(Q1123=1,AF1123=1,AE1123="HALLUCINATION")</x:f>
        <x:v>0</x:v>
      </x:c>
      <x:c r="AJ1123" t="n">
        <x:f>--AND(AI1123=1,R1123=1,S1123=1)</x:f>
        <x:v>0</x:v>
      </x:c>
    </x:row>
    <x:row r="1124">
      <x:c r="A1124" s="28"/>
      <x:c r="B1124" s="28"/>
      <x:c r="C1124" s="28"/>
      <x:c r="D1124" s="28"/>
      <x:c r="E1124" s="28"/>
      <x:c r="F1124" s="28"/>
      <x:c r="G1124" s="28"/>
      <x:c r="H1124" s="28"/>
      <x:c r="I1124" s="28"/>
      <x:c r="J1124" s="28"/>
      <x:c r="K1124" s="28"/>
      <x:c r="L1124" s="28"/>
      <x:c r="M1124" s="28"/>
      <x:c r="N1124" s="28"/>
      <x:c r="O1124" s="28"/>
      <x:c r="P1124" s="28"/>
      <x:c r="Q1124" s="28"/>
      <x:c r="R1124" s="28"/>
      <x:c r="S1124" s="28"/>
      <x:c r="T1124" s="28"/>
      <x:c r="U1124" s="28"/>
      <x:c r="V1124" s="28"/>
      <x:c r="W1124" s="43" t="n">
        <x:f>--AND(N1124=1,OR(O1124="SUPPORTED",O1124="HALLUCINATION"))</x:f>
        <x:v>0</x:v>
      </x:c>
      <x:c r="X1124" s="43" t="n">
        <x:f>--AND(W1124=1,O1124="HALLUCINATION")</x:f>
        <x:v>0</x:v>
      </x:c>
      <x:c r="Y1124" s="43" t="n">
        <x:f>--AND(Q1124=1,O1124="HALLUCINATION")</x:f>
        <x:v>0</x:v>
      </x:c>
      <x:c r="Z1124" s="43" t="n">
        <x:f>--AND(Y1124=1,R1124=1,S1124=1)</x:f>
        <x:v>0</x:v>
      </x:c>
      <x:c r="AC1124" t="str">
        <x:f>IF(OR(AA1124="",AB1124=""),"",--(AA1124&lt;&gt;AB1124))</x:f>
      </x:c>
      <x:c r="AE1124" t="str">
        <x:f>IF(OR(AA1124="",AB1124=""),"PENDING_HUMAN",IF(AA1124=AB1124,AA1124,IF(AD1124&lt;&gt;"",AD1124,"PENDING_HUMAN")))</x:f>
        <x:v>PENDING_HUMAN</x:v>
      </x:c>
      <x:c r="AF1124" t="n">
        <x:f>--AND(A1124&lt;&gt;"",AA1124&lt;&gt;"",AB1124&lt;&gt;"",OR(AA1124=AB1124,AD1124&lt;&gt;""),IF(AE1124="HALLUCINATION",U1124&lt;&gt;"",TRUE))</x:f>
        <x:v>0</x:v>
      </x:c>
      <x:c r="AG1124" t="n">
        <x:f>--AND(N1124=1,AF1124=1,OR(AE1124="SUPPORTED",AE1124="HALLUCINATION"))</x:f>
        <x:v>0</x:v>
      </x:c>
      <x:c r="AH1124" t="n">
        <x:f>--AND(AG1124=1,AE1124="HALLUCINATION")</x:f>
        <x:v>0</x:v>
      </x:c>
      <x:c r="AI1124" t="n">
        <x:f>--AND(Q1124=1,AF1124=1,AE1124="HALLUCINATION")</x:f>
        <x:v>0</x:v>
      </x:c>
      <x:c r="AJ1124" t="n">
        <x:f>--AND(AI1124=1,R1124=1,S1124=1)</x:f>
        <x:v>0</x:v>
      </x:c>
    </x:row>
    <x:row r="1125">
      <x:c r="A1125" s="28"/>
      <x:c r="B1125" s="28"/>
      <x:c r="C1125" s="28"/>
      <x:c r="D1125" s="28"/>
      <x:c r="E1125" s="28"/>
      <x:c r="F1125" s="28"/>
      <x:c r="G1125" s="28"/>
      <x:c r="H1125" s="28"/>
      <x:c r="I1125" s="28"/>
      <x:c r="J1125" s="28"/>
      <x:c r="K1125" s="28"/>
      <x:c r="L1125" s="28"/>
      <x:c r="M1125" s="28"/>
      <x:c r="N1125" s="28"/>
      <x:c r="O1125" s="28"/>
      <x:c r="P1125" s="28"/>
      <x:c r="Q1125" s="28"/>
      <x:c r="R1125" s="28"/>
      <x:c r="S1125" s="28"/>
      <x:c r="T1125" s="28"/>
      <x:c r="U1125" s="28"/>
      <x:c r="V1125" s="28"/>
      <x:c r="W1125" s="43" t="n">
        <x:f>--AND(N1125=1,OR(O1125="SUPPORTED",O1125="HALLUCINATION"))</x:f>
        <x:v>0</x:v>
      </x:c>
      <x:c r="X1125" s="43" t="n">
        <x:f>--AND(W1125=1,O1125="HALLUCINATION")</x:f>
        <x:v>0</x:v>
      </x:c>
      <x:c r="Y1125" s="43" t="n">
        <x:f>--AND(Q1125=1,O1125="HALLUCINATION")</x:f>
        <x:v>0</x:v>
      </x:c>
      <x:c r="Z1125" s="43" t="n">
        <x:f>--AND(Y1125=1,R1125=1,S1125=1)</x:f>
        <x:v>0</x:v>
      </x:c>
      <x:c r="AC1125" t="str">
        <x:f>IF(OR(AA1125="",AB1125=""),"",--(AA1125&lt;&gt;AB1125))</x:f>
      </x:c>
      <x:c r="AE1125" t="str">
        <x:f>IF(OR(AA1125="",AB1125=""),"PENDING_HUMAN",IF(AA1125=AB1125,AA1125,IF(AD1125&lt;&gt;"",AD1125,"PENDING_HUMAN")))</x:f>
        <x:v>PENDING_HUMAN</x:v>
      </x:c>
      <x:c r="AF1125" t="n">
        <x:f>--AND(A1125&lt;&gt;"",AA1125&lt;&gt;"",AB1125&lt;&gt;"",OR(AA1125=AB1125,AD1125&lt;&gt;""),IF(AE1125="HALLUCINATION",U1125&lt;&gt;"",TRUE))</x:f>
        <x:v>0</x:v>
      </x:c>
      <x:c r="AG1125" t="n">
        <x:f>--AND(N1125=1,AF1125=1,OR(AE1125="SUPPORTED",AE1125="HALLUCINATION"))</x:f>
        <x:v>0</x:v>
      </x:c>
      <x:c r="AH1125" t="n">
        <x:f>--AND(AG1125=1,AE1125="HALLUCINATION")</x:f>
        <x:v>0</x:v>
      </x:c>
      <x:c r="AI1125" t="n">
        <x:f>--AND(Q1125=1,AF1125=1,AE1125="HALLUCINATION")</x:f>
        <x:v>0</x:v>
      </x:c>
      <x:c r="AJ1125" t="n">
        <x:f>--AND(AI1125=1,R1125=1,S1125=1)</x:f>
        <x:v>0</x:v>
      </x:c>
    </x:row>
    <x:row r="1126">
      <x:c r="A1126" s="28"/>
      <x:c r="B1126" s="28"/>
      <x:c r="C1126" s="28"/>
      <x:c r="D1126" s="28"/>
      <x:c r="E1126" s="28"/>
      <x:c r="F1126" s="28"/>
      <x:c r="G1126" s="28"/>
      <x:c r="H1126" s="28"/>
      <x:c r="I1126" s="28"/>
      <x:c r="J1126" s="28"/>
      <x:c r="K1126" s="28"/>
      <x:c r="L1126" s="28"/>
      <x:c r="M1126" s="28"/>
      <x:c r="N1126" s="28"/>
      <x:c r="O1126" s="28"/>
      <x:c r="P1126" s="28"/>
      <x:c r="Q1126" s="28"/>
      <x:c r="R1126" s="28"/>
      <x:c r="S1126" s="28"/>
      <x:c r="T1126" s="28"/>
      <x:c r="U1126" s="28"/>
      <x:c r="V1126" s="28"/>
      <x:c r="W1126" s="43" t="n">
        <x:f>--AND(N1126=1,OR(O1126="SUPPORTED",O1126="HALLUCINATION"))</x:f>
        <x:v>0</x:v>
      </x:c>
      <x:c r="X1126" s="43" t="n">
        <x:f>--AND(W1126=1,O1126="HALLUCINATION")</x:f>
        <x:v>0</x:v>
      </x:c>
      <x:c r="Y1126" s="43" t="n">
        <x:f>--AND(Q1126=1,O1126="HALLUCINATION")</x:f>
        <x:v>0</x:v>
      </x:c>
      <x:c r="Z1126" s="43" t="n">
        <x:f>--AND(Y1126=1,R1126=1,S1126=1)</x:f>
        <x:v>0</x:v>
      </x:c>
      <x:c r="AC1126" t="str">
        <x:f>IF(OR(AA1126="",AB1126=""),"",--(AA1126&lt;&gt;AB1126))</x:f>
      </x:c>
      <x:c r="AE1126" t="str">
        <x:f>IF(OR(AA1126="",AB1126=""),"PENDING_HUMAN",IF(AA1126=AB1126,AA1126,IF(AD1126&lt;&gt;"",AD1126,"PENDING_HUMAN")))</x:f>
        <x:v>PENDING_HUMAN</x:v>
      </x:c>
      <x:c r="AF1126" t="n">
        <x:f>--AND(A1126&lt;&gt;"",AA1126&lt;&gt;"",AB1126&lt;&gt;"",OR(AA1126=AB1126,AD1126&lt;&gt;""),IF(AE1126="HALLUCINATION",U1126&lt;&gt;"",TRUE))</x:f>
        <x:v>0</x:v>
      </x:c>
      <x:c r="AG1126" t="n">
        <x:f>--AND(N1126=1,AF1126=1,OR(AE1126="SUPPORTED",AE1126="HALLUCINATION"))</x:f>
        <x:v>0</x:v>
      </x:c>
      <x:c r="AH1126" t="n">
        <x:f>--AND(AG1126=1,AE1126="HALLUCINATION")</x:f>
        <x:v>0</x:v>
      </x:c>
      <x:c r="AI1126" t="n">
        <x:f>--AND(Q1126=1,AF1126=1,AE1126="HALLUCINATION")</x:f>
        <x:v>0</x:v>
      </x:c>
      <x:c r="AJ1126" t="n">
        <x:f>--AND(AI1126=1,R1126=1,S1126=1)</x:f>
        <x:v>0</x:v>
      </x:c>
    </x:row>
    <x:row r="1127">
      <x:c r="A1127" s="28"/>
      <x:c r="B1127" s="28"/>
      <x:c r="C1127" s="28"/>
      <x:c r="D1127" s="28"/>
      <x:c r="E1127" s="28"/>
      <x:c r="F1127" s="28"/>
      <x:c r="G1127" s="28"/>
      <x:c r="H1127" s="28"/>
      <x:c r="I1127" s="28"/>
      <x:c r="J1127" s="28"/>
      <x:c r="K1127" s="28"/>
      <x:c r="L1127" s="28"/>
      <x:c r="M1127" s="28"/>
      <x:c r="N1127" s="28"/>
      <x:c r="O1127" s="28"/>
      <x:c r="P1127" s="28"/>
      <x:c r="Q1127" s="28"/>
      <x:c r="R1127" s="28"/>
      <x:c r="S1127" s="28"/>
      <x:c r="T1127" s="28"/>
      <x:c r="U1127" s="28"/>
      <x:c r="V1127" s="28"/>
      <x:c r="W1127" s="43" t="n">
        <x:f>--AND(N1127=1,OR(O1127="SUPPORTED",O1127="HALLUCINATION"))</x:f>
        <x:v>0</x:v>
      </x:c>
      <x:c r="X1127" s="43" t="n">
        <x:f>--AND(W1127=1,O1127="HALLUCINATION")</x:f>
        <x:v>0</x:v>
      </x:c>
      <x:c r="Y1127" s="43" t="n">
        <x:f>--AND(Q1127=1,O1127="HALLUCINATION")</x:f>
        <x:v>0</x:v>
      </x:c>
      <x:c r="Z1127" s="43" t="n">
        <x:f>--AND(Y1127=1,R1127=1,S1127=1)</x:f>
        <x:v>0</x:v>
      </x:c>
      <x:c r="AC1127" t="str">
        <x:f>IF(OR(AA1127="",AB1127=""),"",--(AA1127&lt;&gt;AB1127))</x:f>
      </x:c>
      <x:c r="AE1127" t="str">
        <x:f>IF(OR(AA1127="",AB1127=""),"PENDING_HUMAN",IF(AA1127=AB1127,AA1127,IF(AD1127&lt;&gt;"",AD1127,"PENDING_HUMAN")))</x:f>
        <x:v>PENDING_HUMAN</x:v>
      </x:c>
      <x:c r="AF1127" t="n">
        <x:f>--AND(A1127&lt;&gt;"",AA1127&lt;&gt;"",AB1127&lt;&gt;"",OR(AA1127=AB1127,AD1127&lt;&gt;""),IF(AE1127="HALLUCINATION",U1127&lt;&gt;"",TRUE))</x:f>
        <x:v>0</x:v>
      </x:c>
      <x:c r="AG1127" t="n">
        <x:f>--AND(N1127=1,AF1127=1,OR(AE1127="SUPPORTED",AE1127="HALLUCINATION"))</x:f>
        <x:v>0</x:v>
      </x:c>
      <x:c r="AH1127" t="n">
        <x:f>--AND(AG1127=1,AE1127="HALLUCINATION")</x:f>
        <x:v>0</x:v>
      </x:c>
      <x:c r="AI1127" t="n">
        <x:f>--AND(Q1127=1,AF1127=1,AE1127="HALLUCINATION")</x:f>
        <x:v>0</x:v>
      </x:c>
      <x:c r="AJ1127" t="n">
        <x:f>--AND(AI1127=1,R1127=1,S1127=1)</x:f>
        <x:v>0</x:v>
      </x:c>
    </x:row>
    <x:row r="1128">
      <x:c r="A1128" s="28"/>
      <x:c r="B1128" s="28"/>
      <x:c r="C1128" s="28"/>
      <x:c r="D1128" s="28"/>
      <x:c r="E1128" s="28"/>
      <x:c r="F1128" s="28"/>
      <x:c r="G1128" s="28"/>
      <x:c r="H1128" s="28"/>
      <x:c r="I1128" s="28"/>
      <x:c r="J1128" s="28"/>
      <x:c r="K1128" s="28"/>
      <x:c r="L1128" s="28"/>
      <x:c r="M1128" s="28"/>
      <x:c r="N1128" s="28"/>
      <x:c r="O1128" s="28"/>
      <x:c r="P1128" s="28"/>
      <x:c r="Q1128" s="28"/>
      <x:c r="R1128" s="28"/>
      <x:c r="S1128" s="28"/>
      <x:c r="T1128" s="28"/>
      <x:c r="U1128" s="28"/>
      <x:c r="V1128" s="28"/>
      <x:c r="W1128" s="43" t="n">
        <x:f>--AND(N1128=1,OR(O1128="SUPPORTED",O1128="HALLUCINATION"))</x:f>
        <x:v>0</x:v>
      </x:c>
      <x:c r="X1128" s="43" t="n">
        <x:f>--AND(W1128=1,O1128="HALLUCINATION")</x:f>
        <x:v>0</x:v>
      </x:c>
      <x:c r="Y1128" s="43" t="n">
        <x:f>--AND(Q1128=1,O1128="HALLUCINATION")</x:f>
        <x:v>0</x:v>
      </x:c>
      <x:c r="Z1128" s="43" t="n">
        <x:f>--AND(Y1128=1,R1128=1,S1128=1)</x:f>
        <x:v>0</x:v>
      </x:c>
      <x:c r="AC1128" t="str">
        <x:f>IF(OR(AA1128="",AB1128=""),"",--(AA1128&lt;&gt;AB1128))</x:f>
      </x:c>
      <x:c r="AE1128" t="str">
        <x:f>IF(OR(AA1128="",AB1128=""),"PENDING_HUMAN",IF(AA1128=AB1128,AA1128,IF(AD1128&lt;&gt;"",AD1128,"PENDING_HUMAN")))</x:f>
        <x:v>PENDING_HUMAN</x:v>
      </x:c>
      <x:c r="AF1128" t="n">
        <x:f>--AND(A1128&lt;&gt;"",AA1128&lt;&gt;"",AB1128&lt;&gt;"",OR(AA1128=AB1128,AD1128&lt;&gt;""),IF(AE1128="HALLUCINATION",U1128&lt;&gt;"",TRUE))</x:f>
        <x:v>0</x:v>
      </x:c>
      <x:c r="AG1128" t="n">
        <x:f>--AND(N1128=1,AF1128=1,OR(AE1128="SUPPORTED",AE1128="HALLUCINATION"))</x:f>
        <x:v>0</x:v>
      </x:c>
      <x:c r="AH1128" t="n">
        <x:f>--AND(AG1128=1,AE1128="HALLUCINATION")</x:f>
        <x:v>0</x:v>
      </x:c>
      <x:c r="AI1128" t="n">
        <x:f>--AND(Q1128=1,AF1128=1,AE1128="HALLUCINATION")</x:f>
        <x:v>0</x:v>
      </x:c>
      <x:c r="AJ1128" t="n">
        <x:f>--AND(AI1128=1,R1128=1,S1128=1)</x:f>
        <x:v>0</x:v>
      </x:c>
    </x:row>
    <x:row r="1129">
      <x:c r="A1129" s="28"/>
      <x:c r="B1129" s="28"/>
      <x:c r="C1129" s="28"/>
      <x:c r="D1129" s="28"/>
      <x:c r="E1129" s="28"/>
      <x:c r="F1129" s="28"/>
      <x:c r="G1129" s="28"/>
      <x:c r="H1129" s="28"/>
      <x:c r="I1129" s="28"/>
      <x:c r="J1129" s="28"/>
      <x:c r="K1129" s="28"/>
      <x:c r="L1129" s="28"/>
      <x:c r="M1129" s="28"/>
      <x:c r="N1129" s="28"/>
      <x:c r="O1129" s="28"/>
      <x:c r="P1129" s="28"/>
      <x:c r="Q1129" s="28"/>
      <x:c r="R1129" s="28"/>
      <x:c r="S1129" s="28"/>
      <x:c r="T1129" s="28"/>
      <x:c r="U1129" s="28"/>
      <x:c r="V1129" s="28"/>
      <x:c r="W1129" s="43" t="n">
        <x:f>--AND(N1129=1,OR(O1129="SUPPORTED",O1129="HALLUCINATION"))</x:f>
        <x:v>0</x:v>
      </x:c>
      <x:c r="X1129" s="43" t="n">
        <x:f>--AND(W1129=1,O1129="HALLUCINATION")</x:f>
        <x:v>0</x:v>
      </x:c>
      <x:c r="Y1129" s="43" t="n">
        <x:f>--AND(Q1129=1,O1129="HALLUCINATION")</x:f>
        <x:v>0</x:v>
      </x:c>
      <x:c r="Z1129" s="43" t="n">
        <x:f>--AND(Y1129=1,R1129=1,S1129=1)</x:f>
        <x:v>0</x:v>
      </x:c>
      <x:c r="AC1129" t="str">
        <x:f>IF(OR(AA1129="",AB1129=""),"",--(AA1129&lt;&gt;AB1129))</x:f>
      </x:c>
      <x:c r="AE1129" t="str">
        <x:f>IF(OR(AA1129="",AB1129=""),"PENDING_HUMAN",IF(AA1129=AB1129,AA1129,IF(AD1129&lt;&gt;"",AD1129,"PENDING_HUMAN")))</x:f>
        <x:v>PENDING_HUMAN</x:v>
      </x:c>
      <x:c r="AF1129" t="n">
        <x:f>--AND(A1129&lt;&gt;"",AA1129&lt;&gt;"",AB1129&lt;&gt;"",OR(AA1129=AB1129,AD1129&lt;&gt;""),IF(AE1129="HALLUCINATION",U1129&lt;&gt;"",TRUE))</x:f>
        <x:v>0</x:v>
      </x:c>
      <x:c r="AG1129" t="n">
        <x:f>--AND(N1129=1,AF1129=1,OR(AE1129="SUPPORTED",AE1129="HALLUCINATION"))</x:f>
        <x:v>0</x:v>
      </x:c>
      <x:c r="AH1129" t="n">
        <x:f>--AND(AG1129=1,AE1129="HALLUCINATION")</x:f>
        <x:v>0</x:v>
      </x:c>
      <x:c r="AI1129" t="n">
        <x:f>--AND(Q1129=1,AF1129=1,AE1129="HALLUCINATION")</x:f>
        <x:v>0</x:v>
      </x:c>
      <x:c r="AJ1129" t="n">
        <x:f>--AND(AI1129=1,R1129=1,S1129=1)</x:f>
        <x:v>0</x:v>
      </x:c>
    </x:row>
    <x:row r="1130">
      <x:c r="A1130" s="28"/>
      <x:c r="B1130" s="28"/>
      <x:c r="C1130" s="28"/>
      <x:c r="D1130" s="28"/>
      <x:c r="E1130" s="28"/>
      <x:c r="F1130" s="28"/>
      <x:c r="G1130" s="28"/>
      <x:c r="H1130" s="28"/>
      <x:c r="I1130" s="28"/>
      <x:c r="J1130" s="28"/>
      <x:c r="K1130" s="28"/>
      <x:c r="L1130" s="28"/>
      <x:c r="M1130" s="28"/>
      <x:c r="N1130" s="28"/>
      <x:c r="O1130" s="28"/>
      <x:c r="P1130" s="28"/>
      <x:c r="Q1130" s="28"/>
      <x:c r="R1130" s="28"/>
      <x:c r="S1130" s="28"/>
      <x:c r="T1130" s="28"/>
      <x:c r="U1130" s="28"/>
      <x:c r="V1130" s="28"/>
      <x:c r="W1130" s="43" t="n">
        <x:f>--AND(N1130=1,OR(O1130="SUPPORTED",O1130="HALLUCINATION"))</x:f>
        <x:v>0</x:v>
      </x:c>
      <x:c r="X1130" s="43" t="n">
        <x:f>--AND(W1130=1,O1130="HALLUCINATION")</x:f>
        <x:v>0</x:v>
      </x:c>
      <x:c r="Y1130" s="43" t="n">
        <x:f>--AND(Q1130=1,O1130="HALLUCINATION")</x:f>
        <x:v>0</x:v>
      </x:c>
      <x:c r="Z1130" s="43" t="n">
        <x:f>--AND(Y1130=1,R1130=1,S1130=1)</x:f>
        <x:v>0</x:v>
      </x:c>
      <x:c r="AC1130" t="str">
        <x:f>IF(OR(AA1130="",AB1130=""),"",--(AA1130&lt;&gt;AB1130))</x:f>
      </x:c>
      <x:c r="AE1130" t="str">
        <x:f>IF(OR(AA1130="",AB1130=""),"PENDING_HUMAN",IF(AA1130=AB1130,AA1130,IF(AD1130&lt;&gt;"",AD1130,"PENDING_HUMAN")))</x:f>
        <x:v>PENDING_HUMAN</x:v>
      </x:c>
      <x:c r="AF1130" t="n">
        <x:f>--AND(A1130&lt;&gt;"",AA1130&lt;&gt;"",AB1130&lt;&gt;"",OR(AA1130=AB1130,AD1130&lt;&gt;""),IF(AE1130="HALLUCINATION",U1130&lt;&gt;"",TRUE))</x:f>
        <x:v>0</x:v>
      </x:c>
      <x:c r="AG1130" t="n">
        <x:f>--AND(N1130=1,AF1130=1,OR(AE1130="SUPPORTED",AE1130="HALLUCINATION"))</x:f>
        <x:v>0</x:v>
      </x:c>
      <x:c r="AH1130" t="n">
        <x:f>--AND(AG1130=1,AE1130="HALLUCINATION")</x:f>
        <x:v>0</x:v>
      </x:c>
      <x:c r="AI1130" t="n">
        <x:f>--AND(Q1130=1,AF1130=1,AE1130="HALLUCINATION")</x:f>
        <x:v>0</x:v>
      </x:c>
      <x:c r="AJ1130" t="n">
        <x:f>--AND(AI1130=1,R1130=1,S1130=1)</x:f>
        <x:v>0</x:v>
      </x:c>
    </x:row>
    <x:row r="1131">
      <x:c r="A1131" s="28"/>
      <x:c r="B1131" s="28"/>
      <x:c r="C1131" s="28"/>
      <x:c r="D1131" s="28"/>
      <x:c r="E1131" s="28"/>
      <x:c r="F1131" s="28"/>
      <x:c r="G1131" s="28"/>
      <x:c r="H1131" s="28"/>
      <x:c r="I1131" s="28"/>
      <x:c r="J1131" s="28"/>
      <x:c r="K1131" s="28"/>
      <x:c r="L1131" s="28"/>
      <x:c r="M1131" s="28"/>
      <x:c r="N1131" s="28"/>
      <x:c r="O1131" s="28"/>
      <x:c r="P1131" s="28"/>
      <x:c r="Q1131" s="28"/>
      <x:c r="R1131" s="28"/>
      <x:c r="S1131" s="28"/>
      <x:c r="T1131" s="28"/>
      <x:c r="U1131" s="28"/>
      <x:c r="V1131" s="28"/>
      <x:c r="W1131" s="43" t="n">
        <x:f>--AND(N1131=1,OR(O1131="SUPPORTED",O1131="HALLUCINATION"))</x:f>
        <x:v>0</x:v>
      </x:c>
      <x:c r="X1131" s="43" t="n">
        <x:f>--AND(W1131=1,O1131="HALLUCINATION")</x:f>
        <x:v>0</x:v>
      </x:c>
      <x:c r="Y1131" s="43" t="n">
        <x:f>--AND(Q1131=1,O1131="HALLUCINATION")</x:f>
        <x:v>0</x:v>
      </x:c>
      <x:c r="Z1131" s="43" t="n">
        <x:f>--AND(Y1131=1,R1131=1,S1131=1)</x:f>
        <x:v>0</x:v>
      </x:c>
      <x:c r="AC1131" t="str">
        <x:f>IF(OR(AA1131="",AB1131=""),"",--(AA1131&lt;&gt;AB1131))</x:f>
      </x:c>
      <x:c r="AE1131" t="str">
        <x:f>IF(OR(AA1131="",AB1131=""),"PENDING_HUMAN",IF(AA1131=AB1131,AA1131,IF(AD1131&lt;&gt;"",AD1131,"PENDING_HUMAN")))</x:f>
        <x:v>PENDING_HUMAN</x:v>
      </x:c>
      <x:c r="AF1131" t="n">
        <x:f>--AND(A1131&lt;&gt;"",AA1131&lt;&gt;"",AB1131&lt;&gt;"",OR(AA1131=AB1131,AD1131&lt;&gt;""),IF(AE1131="HALLUCINATION",U1131&lt;&gt;"",TRUE))</x:f>
        <x:v>0</x:v>
      </x:c>
      <x:c r="AG1131" t="n">
        <x:f>--AND(N1131=1,AF1131=1,OR(AE1131="SUPPORTED",AE1131="HALLUCINATION"))</x:f>
        <x:v>0</x:v>
      </x:c>
      <x:c r="AH1131" t="n">
        <x:f>--AND(AG1131=1,AE1131="HALLUCINATION")</x:f>
        <x:v>0</x:v>
      </x:c>
      <x:c r="AI1131" t="n">
        <x:f>--AND(Q1131=1,AF1131=1,AE1131="HALLUCINATION")</x:f>
        <x:v>0</x:v>
      </x:c>
      <x:c r="AJ1131" t="n">
        <x:f>--AND(AI1131=1,R1131=1,S1131=1)</x:f>
        <x:v>0</x:v>
      </x:c>
    </x:row>
    <x:row r="1132">
      <x:c r="A1132" s="28"/>
      <x:c r="B1132" s="28"/>
      <x:c r="C1132" s="28"/>
      <x:c r="D1132" s="28"/>
      <x:c r="E1132" s="28"/>
      <x:c r="F1132" s="28"/>
      <x:c r="G1132" s="28"/>
      <x:c r="H1132" s="28"/>
      <x:c r="I1132" s="28"/>
      <x:c r="J1132" s="28"/>
      <x:c r="K1132" s="28"/>
      <x:c r="L1132" s="28"/>
      <x:c r="M1132" s="28"/>
      <x:c r="N1132" s="28"/>
      <x:c r="O1132" s="28"/>
      <x:c r="P1132" s="28"/>
      <x:c r="Q1132" s="28"/>
      <x:c r="R1132" s="28"/>
      <x:c r="S1132" s="28"/>
      <x:c r="T1132" s="28"/>
      <x:c r="U1132" s="28"/>
      <x:c r="V1132" s="28"/>
      <x:c r="W1132" s="43" t="n">
        <x:f>--AND(N1132=1,OR(O1132="SUPPORTED",O1132="HALLUCINATION"))</x:f>
        <x:v>0</x:v>
      </x:c>
      <x:c r="X1132" s="43" t="n">
        <x:f>--AND(W1132=1,O1132="HALLUCINATION")</x:f>
        <x:v>0</x:v>
      </x:c>
      <x:c r="Y1132" s="43" t="n">
        <x:f>--AND(Q1132=1,O1132="HALLUCINATION")</x:f>
        <x:v>0</x:v>
      </x:c>
      <x:c r="Z1132" s="43" t="n">
        <x:f>--AND(Y1132=1,R1132=1,S1132=1)</x:f>
        <x:v>0</x:v>
      </x:c>
      <x:c r="AC1132" t="str">
        <x:f>IF(OR(AA1132="",AB1132=""),"",--(AA1132&lt;&gt;AB1132))</x:f>
      </x:c>
      <x:c r="AE1132" t="str">
        <x:f>IF(OR(AA1132="",AB1132=""),"PENDING_HUMAN",IF(AA1132=AB1132,AA1132,IF(AD1132&lt;&gt;"",AD1132,"PENDING_HUMAN")))</x:f>
        <x:v>PENDING_HUMAN</x:v>
      </x:c>
      <x:c r="AF1132" t="n">
        <x:f>--AND(A1132&lt;&gt;"",AA1132&lt;&gt;"",AB1132&lt;&gt;"",OR(AA1132=AB1132,AD1132&lt;&gt;""),IF(AE1132="HALLUCINATION",U1132&lt;&gt;"",TRUE))</x:f>
        <x:v>0</x:v>
      </x:c>
      <x:c r="AG1132" t="n">
        <x:f>--AND(N1132=1,AF1132=1,OR(AE1132="SUPPORTED",AE1132="HALLUCINATION"))</x:f>
        <x:v>0</x:v>
      </x:c>
      <x:c r="AH1132" t="n">
        <x:f>--AND(AG1132=1,AE1132="HALLUCINATION")</x:f>
        <x:v>0</x:v>
      </x:c>
      <x:c r="AI1132" t="n">
        <x:f>--AND(Q1132=1,AF1132=1,AE1132="HALLUCINATION")</x:f>
        <x:v>0</x:v>
      </x:c>
      <x:c r="AJ1132" t="n">
        <x:f>--AND(AI1132=1,R1132=1,S1132=1)</x:f>
        <x:v>0</x:v>
      </x:c>
    </x:row>
    <x:row r="1133">
      <x:c r="A1133" s="28"/>
      <x:c r="B1133" s="28"/>
      <x:c r="C1133" s="28"/>
      <x:c r="D1133" s="28"/>
      <x:c r="E1133" s="28"/>
      <x:c r="F1133" s="28"/>
      <x:c r="G1133" s="28"/>
      <x:c r="H1133" s="28"/>
      <x:c r="I1133" s="28"/>
      <x:c r="J1133" s="28"/>
      <x:c r="K1133" s="28"/>
      <x:c r="L1133" s="28"/>
      <x:c r="M1133" s="28"/>
      <x:c r="N1133" s="28"/>
      <x:c r="O1133" s="28"/>
      <x:c r="P1133" s="28"/>
      <x:c r="Q1133" s="28"/>
      <x:c r="R1133" s="28"/>
      <x:c r="S1133" s="28"/>
      <x:c r="T1133" s="28"/>
      <x:c r="U1133" s="28"/>
      <x:c r="V1133" s="28"/>
      <x:c r="W1133" s="43" t="n">
        <x:f>--AND(N1133=1,OR(O1133="SUPPORTED",O1133="HALLUCINATION"))</x:f>
        <x:v>0</x:v>
      </x:c>
      <x:c r="X1133" s="43" t="n">
        <x:f>--AND(W1133=1,O1133="HALLUCINATION")</x:f>
        <x:v>0</x:v>
      </x:c>
      <x:c r="Y1133" s="43" t="n">
        <x:f>--AND(Q1133=1,O1133="HALLUCINATION")</x:f>
        <x:v>0</x:v>
      </x:c>
      <x:c r="Z1133" s="43" t="n">
        <x:f>--AND(Y1133=1,R1133=1,S1133=1)</x:f>
        <x:v>0</x:v>
      </x:c>
      <x:c r="AC1133" t="str">
        <x:f>IF(OR(AA1133="",AB1133=""),"",--(AA1133&lt;&gt;AB1133))</x:f>
      </x:c>
      <x:c r="AE1133" t="str">
        <x:f>IF(OR(AA1133="",AB1133=""),"PENDING_HUMAN",IF(AA1133=AB1133,AA1133,IF(AD1133&lt;&gt;"",AD1133,"PENDING_HUMAN")))</x:f>
        <x:v>PENDING_HUMAN</x:v>
      </x:c>
      <x:c r="AF1133" t="n">
        <x:f>--AND(A1133&lt;&gt;"",AA1133&lt;&gt;"",AB1133&lt;&gt;"",OR(AA1133=AB1133,AD1133&lt;&gt;""),IF(AE1133="HALLUCINATION",U1133&lt;&gt;"",TRUE))</x:f>
        <x:v>0</x:v>
      </x:c>
      <x:c r="AG1133" t="n">
        <x:f>--AND(N1133=1,AF1133=1,OR(AE1133="SUPPORTED",AE1133="HALLUCINATION"))</x:f>
        <x:v>0</x:v>
      </x:c>
      <x:c r="AH1133" t="n">
        <x:f>--AND(AG1133=1,AE1133="HALLUCINATION")</x:f>
        <x:v>0</x:v>
      </x:c>
      <x:c r="AI1133" t="n">
        <x:f>--AND(Q1133=1,AF1133=1,AE1133="HALLUCINATION")</x:f>
        <x:v>0</x:v>
      </x:c>
      <x:c r="AJ1133" t="n">
        <x:f>--AND(AI1133=1,R1133=1,S1133=1)</x:f>
        <x:v>0</x:v>
      </x:c>
    </x:row>
    <x:row r="1134">
      <x:c r="A1134" s="28"/>
      <x:c r="B1134" s="28"/>
      <x:c r="C1134" s="28"/>
      <x:c r="D1134" s="28"/>
      <x:c r="E1134" s="28"/>
      <x:c r="F1134" s="28"/>
      <x:c r="G1134" s="28"/>
      <x:c r="H1134" s="28"/>
      <x:c r="I1134" s="28"/>
      <x:c r="J1134" s="28"/>
      <x:c r="K1134" s="28"/>
      <x:c r="L1134" s="28"/>
      <x:c r="M1134" s="28"/>
      <x:c r="N1134" s="28"/>
      <x:c r="O1134" s="28"/>
      <x:c r="P1134" s="28"/>
      <x:c r="Q1134" s="28"/>
      <x:c r="R1134" s="28"/>
      <x:c r="S1134" s="28"/>
      <x:c r="T1134" s="28"/>
      <x:c r="U1134" s="28"/>
      <x:c r="V1134" s="28"/>
      <x:c r="W1134" s="43" t="n">
        <x:f>--AND(N1134=1,OR(O1134="SUPPORTED",O1134="HALLUCINATION"))</x:f>
        <x:v>0</x:v>
      </x:c>
      <x:c r="X1134" s="43" t="n">
        <x:f>--AND(W1134=1,O1134="HALLUCINATION")</x:f>
        <x:v>0</x:v>
      </x:c>
      <x:c r="Y1134" s="43" t="n">
        <x:f>--AND(Q1134=1,O1134="HALLUCINATION")</x:f>
        <x:v>0</x:v>
      </x:c>
      <x:c r="Z1134" s="43" t="n">
        <x:f>--AND(Y1134=1,R1134=1,S1134=1)</x:f>
        <x:v>0</x:v>
      </x:c>
      <x:c r="AC1134" t="str">
        <x:f>IF(OR(AA1134="",AB1134=""),"",--(AA1134&lt;&gt;AB1134))</x:f>
      </x:c>
      <x:c r="AE1134" t="str">
        <x:f>IF(OR(AA1134="",AB1134=""),"PENDING_HUMAN",IF(AA1134=AB1134,AA1134,IF(AD1134&lt;&gt;"",AD1134,"PENDING_HUMAN")))</x:f>
        <x:v>PENDING_HUMAN</x:v>
      </x:c>
      <x:c r="AF1134" t="n">
        <x:f>--AND(A1134&lt;&gt;"",AA1134&lt;&gt;"",AB1134&lt;&gt;"",OR(AA1134=AB1134,AD1134&lt;&gt;""),IF(AE1134="HALLUCINATION",U1134&lt;&gt;"",TRUE))</x:f>
        <x:v>0</x:v>
      </x:c>
      <x:c r="AG1134" t="n">
        <x:f>--AND(N1134=1,AF1134=1,OR(AE1134="SUPPORTED",AE1134="HALLUCINATION"))</x:f>
        <x:v>0</x:v>
      </x:c>
      <x:c r="AH1134" t="n">
        <x:f>--AND(AG1134=1,AE1134="HALLUCINATION")</x:f>
        <x:v>0</x:v>
      </x:c>
      <x:c r="AI1134" t="n">
        <x:f>--AND(Q1134=1,AF1134=1,AE1134="HALLUCINATION")</x:f>
        <x:v>0</x:v>
      </x:c>
      <x:c r="AJ1134" t="n">
        <x:f>--AND(AI1134=1,R1134=1,S1134=1)</x:f>
        <x:v>0</x:v>
      </x:c>
    </x:row>
    <x:row r="1135">
      <x:c r="A1135" s="28"/>
      <x:c r="B1135" s="28"/>
      <x:c r="C1135" s="28"/>
      <x:c r="D1135" s="28"/>
      <x:c r="E1135" s="28"/>
      <x:c r="F1135" s="28"/>
      <x:c r="G1135" s="28"/>
      <x:c r="H1135" s="28"/>
      <x:c r="I1135" s="28"/>
      <x:c r="J1135" s="28"/>
      <x:c r="K1135" s="28"/>
      <x:c r="L1135" s="28"/>
      <x:c r="M1135" s="28"/>
      <x:c r="N1135" s="28"/>
      <x:c r="O1135" s="28"/>
      <x:c r="P1135" s="28"/>
      <x:c r="Q1135" s="28"/>
      <x:c r="R1135" s="28"/>
      <x:c r="S1135" s="28"/>
      <x:c r="T1135" s="28"/>
      <x:c r="U1135" s="28"/>
      <x:c r="V1135" s="28"/>
      <x:c r="W1135" s="43" t="n">
        <x:f>--AND(N1135=1,OR(O1135="SUPPORTED",O1135="HALLUCINATION"))</x:f>
        <x:v>0</x:v>
      </x:c>
      <x:c r="X1135" s="43" t="n">
        <x:f>--AND(W1135=1,O1135="HALLUCINATION")</x:f>
        <x:v>0</x:v>
      </x:c>
      <x:c r="Y1135" s="43" t="n">
        <x:f>--AND(Q1135=1,O1135="HALLUCINATION")</x:f>
        <x:v>0</x:v>
      </x:c>
      <x:c r="Z1135" s="43" t="n">
        <x:f>--AND(Y1135=1,R1135=1,S1135=1)</x:f>
        <x:v>0</x:v>
      </x:c>
      <x:c r="AC1135" t="str">
        <x:f>IF(OR(AA1135="",AB1135=""),"",--(AA1135&lt;&gt;AB1135))</x:f>
      </x:c>
      <x:c r="AE1135" t="str">
        <x:f>IF(OR(AA1135="",AB1135=""),"PENDING_HUMAN",IF(AA1135=AB1135,AA1135,IF(AD1135&lt;&gt;"",AD1135,"PENDING_HUMAN")))</x:f>
        <x:v>PENDING_HUMAN</x:v>
      </x:c>
      <x:c r="AF1135" t="n">
        <x:f>--AND(A1135&lt;&gt;"",AA1135&lt;&gt;"",AB1135&lt;&gt;"",OR(AA1135=AB1135,AD1135&lt;&gt;""),IF(AE1135="HALLUCINATION",U1135&lt;&gt;"",TRUE))</x:f>
        <x:v>0</x:v>
      </x:c>
      <x:c r="AG1135" t="n">
        <x:f>--AND(N1135=1,AF1135=1,OR(AE1135="SUPPORTED",AE1135="HALLUCINATION"))</x:f>
        <x:v>0</x:v>
      </x:c>
      <x:c r="AH1135" t="n">
        <x:f>--AND(AG1135=1,AE1135="HALLUCINATION")</x:f>
        <x:v>0</x:v>
      </x:c>
      <x:c r="AI1135" t="n">
        <x:f>--AND(Q1135=1,AF1135=1,AE1135="HALLUCINATION")</x:f>
        <x:v>0</x:v>
      </x:c>
      <x:c r="AJ1135" t="n">
        <x:f>--AND(AI1135=1,R1135=1,S1135=1)</x:f>
        <x:v>0</x:v>
      </x:c>
    </x:row>
    <x:row r="1136">
      <x:c r="A1136" s="28"/>
      <x:c r="B1136" s="28"/>
      <x:c r="C1136" s="28"/>
      <x:c r="D1136" s="28"/>
      <x:c r="E1136" s="28"/>
      <x:c r="F1136" s="28"/>
      <x:c r="G1136" s="28"/>
      <x:c r="H1136" s="28"/>
      <x:c r="I1136" s="28"/>
      <x:c r="J1136" s="28"/>
      <x:c r="K1136" s="28"/>
      <x:c r="L1136" s="28"/>
      <x:c r="M1136" s="28"/>
      <x:c r="N1136" s="28"/>
      <x:c r="O1136" s="28"/>
      <x:c r="P1136" s="28"/>
      <x:c r="Q1136" s="28"/>
      <x:c r="R1136" s="28"/>
      <x:c r="S1136" s="28"/>
      <x:c r="T1136" s="28"/>
      <x:c r="U1136" s="28"/>
      <x:c r="V1136" s="28"/>
      <x:c r="W1136" s="43" t="n">
        <x:f>--AND(N1136=1,OR(O1136="SUPPORTED",O1136="HALLUCINATION"))</x:f>
        <x:v>0</x:v>
      </x:c>
      <x:c r="X1136" s="43" t="n">
        <x:f>--AND(W1136=1,O1136="HALLUCINATION")</x:f>
        <x:v>0</x:v>
      </x:c>
      <x:c r="Y1136" s="43" t="n">
        <x:f>--AND(Q1136=1,O1136="HALLUCINATION")</x:f>
        <x:v>0</x:v>
      </x:c>
      <x:c r="Z1136" s="43" t="n">
        <x:f>--AND(Y1136=1,R1136=1,S1136=1)</x:f>
        <x:v>0</x:v>
      </x:c>
      <x:c r="AC1136" t="str">
        <x:f>IF(OR(AA1136="",AB1136=""),"",--(AA1136&lt;&gt;AB1136))</x:f>
      </x:c>
      <x:c r="AE1136" t="str">
        <x:f>IF(OR(AA1136="",AB1136=""),"PENDING_HUMAN",IF(AA1136=AB1136,AA1136,IF(AD1136&lt;&gt;"",AD1136,"PENDING_HUMAN")))</x:f>
        <x:v>PENDING_HUMAN</x:v>
      </x:c>
      <x:c r="AF1136" t="n">
        <x:f>--AND(A1136&lt;&gt;"",AA1136&lt;&gt;"",AB1136&lt;&gt;"",OR(AA1136=AB1136,AD1136&lt;&gt;""),IF(AE1136="HALLUCINATION",U1136&lt;&gt;"",TRUE))</x:f>
        <x:v>0</x:v>
      </x:c>
      <x:c r="AG1136" t="n">
        <x:f>--AND(N1136=1,AF1136=1,OR(AE1136="SUPPORTED",AE1136="HALLUCINATION"))</x:f>
        <x:v>0</x:v>
      </x:c>
      <x:c r="AH1136" t="n">
        <x:f>--AND(AG1136=1,AE1136="HALLUCINATION")</x:f>
        <x:v>0</x:v>
      </x:c>
      <x:c r="AI1136" t="n">
        <x:f>--AND(Q1136=1,AF1136=1,AE1136="HALLUCINATION")</x:f>
        <x:v>0</x:v>
      </x:c>
      <x:c r="AJ1136" t="n">
        <x:f>--AND(AI1136=1,R1136=1,S1136=1)</x:f>
        <x:v>0</x:v>
      </x:c>
    </x:row>
    <x:row r="1137">
      <x:c r="A1137" s="28"/>
      <x:c r="B1137" s="28"/>
      <x:c r="C1137" s="28"/>
      <x:c r="D1137" s="28"/>
      <x:c r="E1137" s="28"/>
      <x:c r="F1137" s="28"/>
      <x:c r="G1137" s="28"/>
      <x:c r="H1137" s="28"/>
      <x:c r="I1137" s="28"/>
      <x:c r="J1137" s="28"/>
      <x:c r="K1137" s="28"/>
      <x:c r="L1137" s="28"/>
      <x:c r="M1137" s="28"/>
      <x:c r="N1137" s="28"/>
      <x:c r="O1137" s="28"/>
      <x:c r="P1137" s="28"/>
      <x:c r="Q1137" s="28"/>
      <x:c r="R1137" s="28"/>
      <x:c r="S1137" s="28"/>
      <x:c r="T1137" s="28"/>
      <x:c r="U1137" s="28"/>
      <x:c r="V1137" s="28"/>
      <x:c r="W1137" s="43" t="n">
        <x:f>--AND(N1137=1,OR(O1137="SUPPORTED",O1137="HALLUCINATION"))</x:f>
        <x:v>0</x:v>
      </x:c>
      <x:c r="X1137" s="43" t="n">
        <x:f>--AND(W1137=1,O1137="HALLUCINATION")</x:f>
        <x:v>0</x:v>
      </x:c>
      <x:c r="Y1137" s="43" t="n">
        <x:f>--AND(Q1137=1,O1137="HALLUCINATION")</x:f>
        <x:v>0</x:v>
      </x:c>
      <x:c r="Z1137" s="43" t="n">
        <x:f>--AND(Y1137=1,R1137=1,S1137=1)</x:f>
        <x:v>0</x:v>
      </x:c>
      <x:c r="AC1137" t="str">
        <x:f>IF(OR(AA1137="",AB1137=""),"",--(AA1137&lt;&gt;AB1137))</x:f>
      </x:c>
      <x:c r="AE1137" t="str">
        <x:f>IF(OR(AA1137="",AB1137=""),"PENDING_HUMAN",IF(AA1137=AB1137,AA1137,IF(AD1137&lt;&gt;"",AD1137,"PENDING_HUMAN")))</x:f>
        <x:v>PENDING_HUMAN</x:v>
      </x:c>
      <x:c r="AF1137" t="n">
        <x:f>--AND(A1137&lt;&gt;"",AA1137&lt;&gt;"",AB1137&lt;&gt;"",OR(AA1137=AB1137,AD1137&lt;&gt;""),IF(AE1137="HALLUCINATION",U1137&lt;&gt;"",TRUE))</x:f>
        <x:v>0</x:v>
      </x:c>
      <x:c r="AG1137" t="n">
        <x:f>--AND(N1137=1,AF1137=1,OR(AE1137="SUPPORTED",AE1137="HALLUCINATION"))</x:f>
        <x:v>0</x:v>
      </x:c>
      <x:c r="AH1137" t="n">
        <x:f>--AND(AG1137=1,AE1137="HALLUCINATION")</x:f>
        <x:v>0</x:v>
      </x:c>
      <x:c r="AI1137" t="n">
        <x:f>--AND(Q1137=1,AF1137=1,AE1137="HALLUCINATION")</x:f>
        <x:v>0</x:v>
      </x:c>
      <x:c r="AJ1137" t="n">
        <x:f>--AND(AI1137=1,R1137=1,S1137=1)</x:f>
        <x:v>0</x:v>
      </x:c>
    </x:row>
    <x:row r="1138">
      <x:c r="A1138" s="28"/>
      <x:c r="B1138" s="28"/>
      <x:c r="C1138" s="28"/>
      <x:c r="D1138" s="28"/>
      <x:c r="E1138" s="28"/>
      <x:c r="F1138" s="28"/>
      <x:c r="G1138" s="28"/>
      <x:c r="H1138" s="28"/>
      <x:c r="I1138" s="28"/>
      <x:c r="J1138" s="28"/>
      <x:c r="K1138" s="28"/>
      <x:c r="L1138" s="28"/>
      <x:c r="M1138" s="28"/>
      <x:c r="N1138" s="28"/>
      <x:c r="O1138" s="28"/>
      <x:c r="P1138" s="28"/>
      <x:c r="Q1138" s="28"/>
      <x:c r="R1138" s="28"/>
      <x:c r="S1138" s="28"/>
      <x:c r="T1138" s="28"/>
      <x:c r="U1138" s="28"/>
      <x:c r="V1138" s="28"/>
      <x:c r="W1138" s="43" t="n">
        <x:f>--AND(N1138=1,OR(O1138="SUPPORTED",O1138="HALLUCINATION"))</x:f>
        <x:v>0</x:v>
      </x:c>
      <x:c r="X1138" s="43" t="n">
        <x:f>--AND(W1138=1,O1138="HALLUCINATION")</x:f>
        <x:v>0</x:v>
      </x:c>
      <x:c r="Y1138" s="43" t="n">
        <x:f>--AND(Q1138=1,O1138="HALLUCINATION")</x:f>
        <x:v>0</x:v>
      </x:c>
      <x:c r="Z1138" s="43" t="n">
        <x:f>--AND(Y1138=1,R1138=1,S1138=1)</x:f>
        <x:v>0</x:v>
      </x:c>
      <x:c r="AC1138" t="str">
        <x:f>IF(OR(AA1138="",AB1138=""),"",--(AA1138&lt;&gt;AB1138))</x:f>
      </x:c>
      <x:c r="AE1138" t="str">
        <x:f>IF(OR(AA1138="",AB1138=""),"PENDING_HUMAN",IF(AA1138=AB1138,AA1138,IF(AD1138&lt;&gt;"",AD1138,"PENDING_HUMAN")))</x:f>
        <x:v>PENDING_HUMAN</x:v>
      </x:c>
      <x:c r="AF1138" t="n">
        <x:f>--AND(A1138&lt;&gt;"",AA1138&lt;&gt;"",AB1138&lt;&gt;"",OR(AA1138=AB1138,AD1138&lt;&gt;""),IF(AE1138="HALLUCINATION",U1138&lt;&gt;"",TRUE))</x:f>
        <x:v>0</x:v>
      </x:c>
      <x:c r="AG1138" t="n">
        <x:f>--AND(N1138=1,AF1138=1,OR(AE1138="SUPPORTED",AE1138="HALLUCINATION"))</x:f>
        <x:v>0</x:v>
      </x:c>
      <x:c r="AH1138" t="n">
        <x:f>--AND(AG1138=1,AE1138="HALLUCINATION")</x:f>
        <x:v>0</x:v>
      </x:c>
      <x:c r="AI1138" t="n">
        <x:f>--AND(Q1138=1,AF1138=1,AE1138="HALLUCINATION")</x:f>
        <x:v>0</x:v>
      </x:c>
      <x:c r="AJ1138" t="n">
        <x:f>--AND(AI1138=1,R1138=1,S1138=1)</x:f>
        <x:v>0</x:v>
      </x:c>
    </x:row>
    <x:row r="1139">
      <x:c r="A1139" s="28"/>
      <x:c r="B1139" s="28"/>
      <x:c r="C1139" s="28"/>
      <x:c r="D1139" s="28"/>
      <x:c r="E1139" s="28"/>
      <x:c r="F1139" s="28"/>
      <x:c r="G1139" s="28"/>
      <x:c r="H1139" s="28"/>
      <x:c r="I1139" s="28"/>
      <x:c r="J1139" s="28"/>
      <x:c r="K1139" s="28"/>
      <x:c r="L1139" s="28"/>
      <x:c r="M1139" s="28"/>
      <x:c r="N1139" s="28"/>
      <x:c r="O1139" s="28"/>
      <x:c r="P1139" s="28"/>
      <x:c r="Q1139" s="28"/>
      <x:c r="R1139" s="28"/>
      <x:c r="S1139" s="28"/>
      <x:c r="T1139" s="28"/>
      <x:c r="U1139" s="28"/>
      <x:c r="V1139" s="28"/>
      <x:c r="W1139" s="43" t="n">
        <x:f>--AND(N1139=1,OR(O1139="SUPPORTED",O1139="HALLUCINATION"))</x:f>
        <x:v>0</x:v>
      </x:c>
      <x:c r="X1139" s="43" t="n">
        <x:f>--AND(W1139=1,O1139="HALLUCINATION")</x:f>
        <x:v>0</x:v>
      </x:c>
      <x:c r="Y1139" s="43" t="n">
        <x:f>--AND(Q1139=1,O1139="HALLUCINATION")</x:f>
        <x:v>0</x:v>
      </x:c>
      <x:c r="Z1139" s="43" t="n">
        <x:f>--AND(Y1139=1,R1139=1,S1139=1)</x:f>
        <x:v>0</x:v>
      </x:c>
      <x:c r="AC1139" t="str">
        <x:f>IF(OR(AA1139="",AB1139=""),"",--(AA1139&lt;&gt;AB1139))</x:f>
      </x:c>
      <x:c r="AE1139" t="str">
        <x:f>IF(OR(AA1139="",AB1139=""),"PENDING_HUMAN",IF(AA1139=AB1139,AA1139,IF(AD1139&lt;&gt;"",AD1139,"PENDING_HUMAN")))</x:f>
        <x:v>PENDING_HUMAN</x:v>
      </x:c>
      <x:c r="AF1139" t="n">
        <x:f>--AND(A1139&lt;&gt;"",AA1139&lt;&gt;"",AB1139&lt;&gt;"",OR(AA1139=AB1139,AD1139&lt;&gt;""),IF(AE1139="HALLUCINATION",U1139&lt;&gt;"",TRUE))</x:f>
        <x:v>0</x:v>
      </x:c>
      <x:c r="AG1139" t="n">
        <x:f>--AND(N1139=1,AF1139=1,OR(AE1139="SUPPORTED",AE1139="HALLUCINATION"))</x:f>
        <x:v>0</x:v>
      </x:c>
      <x:c r="AH1139" t="n">
        <x:f>--AND(AG1139=1,AE1139="HALLUCINATION")</x:f>
        <x:v>0</x:v>
      </x:c>
      <x:c r="AI1139" t="n">
        <x:f>--AND(Q1139=1,AF1139=1,AE1139="HALLUCINATION")</x:f>
        <x:v>0</x:v>
      </x:c>
      <x:c r="AJ1139" t="n">
        <x:f>--AND(AI1139=1,R1139=1,S1139=1)</x:f>
        <x:v>0</x:v>
      </x:c>
    </x:row>
    <x:row r="1140">
      <x:c r="A1140" s="28"/>
      <x:c r="B1140" s="28"/>
      <x:c r="C1140" s="28"/>
      <x:c r="D1140" s="28"/>
      <x:c r="E1140" s="28"/>
      <x:c r="F1140" s="28"/>
      <x:c r="G1140" s="28"/>
      <x:c r="H1140" s="28"/>
      <x:c r="I1140" s="28"/>
      <x:c r="J1140" s="28"/>
      <x:c r="K1140" s="28"/>
      <x:c r="L1140" s="28"/>
      <x:c r="M1140" s="28"/>
      <x:c r="N1140" s="28"/>
      <x:c r="O1140" s="28"/>
      <x:c r="P1140" s="28"/>
      <x:c r="Q1140" s="28"/>
      <x:c r="R1140" s="28"/>
      <x:c r="S1140" s="28"/>
      <x:c r="T1140" s="28"/>
      <x:c r="U1140" s="28"/>
      <x:c r="V1140" s="28"/>
      <x:c r="W1140" s="43" t="n">
        <x:f>--AND(N1140=1,OR(O1140="SUPPORTED",O1140="HALLUCINATION"))</x:f>
        <x:v>0</x:v>
      </x:c>
      <x:c r="X1140" s="43" t="n">
        <x:f>--AND(W1140=1,O1140="HALLUCINATION")</x:f>
        <x:v>0</x:v>
      </x:c>
      <x:c r="Y1140" s="43" t="n">
        <x:f>--AND(Q1140=1,O1140="HALLUCINATION")</x:f>
        <x:v>0</x:v>
      </x:c>
      <x:c r="Z1140" s="43" t="n">
        <x:f>--AND(Y1140=1,R1140=1,S1140=1)</x:f>
        <x:v>0</x:v>
      </x:c>
      <x:c r="AC1140" t="str">
        <x:f>IF(OR(AA1140="",AB1140=""),"",--(AA1140&lt;&gt;AB1140))</x:f>
      </x:c>
      <x:c r="AE1140" t="str">
        <x:f>IF(OR(AA1140="",AB1140=""),"PENDING_HUMAN",IF(AA1140=AB1140,AA1140,IF(AD1140&lt;&gt;"",AD1140,"PENDING_HUMAN")))</x:f>
        <x:v>PENDING_HUMAN</x:v>
      </x:c>
      <x:c r="AF1140" t="n">
        <x:f>--AND(A1140&lt;&gt;"",AA1140&lt;&gt;"",AB1140&lt;&gt;"",OR(AA1140=AB1140,AD1140&lt;&gt;""),IF(AE1140="HALLUCINATION",U1140&lt;&gt;"",TRUE))</x:f>
        <x:v>0</x:v>
      </x:c>
      <x:c r="AG1140" t="n">
        <x:f>--AND(N1140=1,AF1140=1,OR(AE1140="SUPPORTED",AE1140="HALLUCINATION"))</x:f>
        <x:v>0</x:v>
      </x:c>
      <x:c r="AH1140" t="n">
        <x:f>--AND(AG1140=1,AE1140="HALLUCINATION")</x:f>
        <x:v>0</x:v>
      </x:c>
      <x:c r="AI1140" t="n">
        <x:f>--AND(Q1140=1,AF1140=1,AE1140="HALLUCINATION")</x:f>
        <x:v>0</x:v>
      </x:c>
      <x:c r="AJ1140" t="n">
        <x:f>--AND(AI1140=1,R1140=1,S1140=1)</x:f>
        <x:v>0</x:v>
      </x:c>
    </x:row>
    <x:row r="1141">
      <x:c r="A1141" s="28"/>
      <x:c r="B1141" s="28"/>
      <x:c r="C1141" s="28"/>
      <x:c r="D1141" s="28"/>
      <x:c r="E1141" s="28"/>
      <x:c r="F1141" s="28"/>
      <x:c r="G1141" s="28"/>
      <x:c r="H1141" s="28"/>
      <x:c r="I1141" s="28"/>
      <x:c r="J1141" s="28"/>
      <x:c r="K1141" s="28"/>
      <x:c r="L1141" s="28"/>
      <x:c r="M1141" s="28"/>
      <x:c r="N1141" s="28"/>
      <x:c r="O1141" s="28"/>
      <x:c r="P1141" s="28"/>
      <x:c r="Q1141" s="28"/>
      <x:c r="R1141" s="28"/>
      <x:c r="S1141" s="28"/>
      <x:c r="T1141" s="28"/>
      <x:c r="U1141" s="28"/>
      <x:c r="V1141" s="28"/>
      <x:c r="W1141" s="43" t="n">
        <x:f>--AND(N1141=1,OR(O1141="SUPPORTED",O1141="HALLUCINATION"))</x:f>
        <x:v>0</x:v>
      </x:c>
      <x:c r="X1141" s="43" t="n">
        <x:f>--AND(W1141=1,O1141="HALLUCINATION")</x:f>
        <x:v>0</x:v>
      </x:c>
      <x:c r="Y1141" s="43" t="n">
        <x:f>--AND(Q1141=1,O1141="HALLUCINATION")</x:f>
        <x:v>0</x:v>
      </x:c>
      <x:c r="Z1141" s="43" t="n">
        <x:f>--AND(Y1141=1,R1141=1,S1141=1)</x:f>
        <x:v>0</x:v>
      </x:c>
      <x:c r="AC1141" t="str">
        <x:f>IF(OR(AA1141="",AB1141=""),"",--(AA1141&lt;&gt;AB1141))</x:f>
      </x:c>
      <x:c r="AE1141" t="str">
        <x:f>IF(OR(AA1141="",AB1141=""),"PENDING_HUMAN",IF(AA1141=AB1141,AA1141,IF(AD1141&lt;&gt;"",AD1141,"PENDING_HUMAN")))</x:f>
        <x:v>PENDING_HUMAN</x:v>
      </x:c>
      <x:c r="AF1141" t="n">
        <x:f>--AND(A1141&lt;&gt;"",AA1141&lt;&gt;"",AB1141&lt;&gt;"",OR(AA1141=AB1141,AD1141&lt;&gt;""),IF(AE1141="HALLUCINATION",U1141&lt;&gt;"",TRUE))</x:f>
        <x:v>0</x:v>
      </x:c>
      <x:c r="AG1141" t="n">
        <x:f>--AND(N1141=1,AF1141=1,OR(AE1141="SUPPORTED",AE1141="HALLUCINATION"))</x:f>
        <x:v>0</x:v>
      </x:c>
      <x:c r="AH1141" t="n">
        <x:f>--AND(AG1141=1,AE1141="HALLUCINATION")</x:f>
        <x:v>0</x:v>
      </x:c>
      <x:c r="AI1141" t="n">
        <x:f>--AND(Q1141=1,AF1141=1,AE1141="HALLUCINATION")</x:f>
        <x:v>0</x:v>
      </x:c>
      <x:c r="AJ1141" t="n">
        <x:f>--AND(AI1141=1,R1141=1,S1141=1)</x:f>
        <x:v>0</x:v>
      </x:c>
    </x:row>
    <x:row r="1142">
      <x:c r="A1142" s="28"/>
      <x:c r="B1142" s="28"/>
      <x:c r="C1142" s="28"/>
      <x:c r="D1142" s="28"/>
      <x:c r="E1142" s="28"/>
      <x:c r="F1142" s="28"/>
      <x:c r="G1142" s="28"/>
      <x:c r="H1142" s="28"/>
      <x:c r="I1142" s="28"/>
      <x:c r="J1142" s="28"/>
      <x:c r="K1142" s="28"/>
      <x:c r="L1142" s="28"/>
      <x:c r="M1142" s="28"/>
      <x:c r="N1142" s="28"/>
      <x:c r="O1142" s="28"/>
      <x:c r="P1142" s="28"/>
      <x:c r="Q1142" s="28"/>
      <x:c r="R1142" s="28"/>
      <x:c r="S1142" s="28"/>
      <x:c r="T1142" s="28"/>
      <x:c r="U1142" s="28"/>
      <x:c r="V1142" s="28"/>
      <x:c r="W1142" s="43" t="n">
        <x:f>--AND(N1142=1,OR(O1142="SUPPORTED",O1142="HALLUCINATION"))</x:f>
        <x:v>0</x:v>
      </x:c>
      <x:c r="X1142" s="43" t="n">
        <x:f>--AND(W1142=1,O1142="HALLUCINATION")</x:f>
        <x:v>0</x:v>
      </x:c>
      <x:c r="Y1142" s="43" t="n">
        <x:f>--AND(Q1142=1,O1142="HALLUCINATION")</x:f>
        <x:v>0</x:v>
      </x:c>
      <x:c r="Z1142" s="43" t="n">
        <x:f>--AND(Y1142=1,R1142=1,S1142=1)</x:f>
        <x:v>0</x:v>
      </x:c>
      <x:c r="AC1142" t="str">
        <x:f>IF(OR(AA1142="",AB1142=""),"",--(AA1142&lt;&gt;AB1142))</x:f>
      </x:c>
      <x:c r="AE1142" t="str">
        <x:f>IF(OR(AA1142="",AB1142=""),"PENDING_HUMAN",IF(AA1142=AB1142,AA1142,IF(AD1142&lt;&gt;"",AD1142,"PENDING_HUMAN")))</x:f>
        <x:v>PENDING_HUMAN</x:v>
      </x:c>
      <x:c r="AF1142" t="n">
        <x:f>--AND(A1142&lt;&gt;"",AA1142&lt;&gt;"",AB1142&lt;&gt;"",OR(AA1142=AB1142,AD1142&lt;&gt;""),IF(AE1142="HALLUCINATION",U1142&lt;&gt;"",TRUE))</x:f>
        <x:v>0</x:v>
      </x:c>
      <x:c r="AG1142" t="n">
        <x:f>--AND(N1142=1,AF1142=1,OR(AE1142="SUPPORTED",AE1142="HALLUCINATION"))</x:f>
        <x:v>0</x:v>
      </x:c>
      <x:c r="AH1142" t="n">
        <x:f>--AND(AG1142=1,AE1142="HALLUCINATION")</x:f>
        <x:v>0</x:v>
      </x:c>
      <x:c r="AI1142" t="n">
        <x:f>--AND(Q1142=1,AF1142=1,AE1142="HALLUCINATION")</x:f>
        <x:v>0</x:v>
      </x:c>
      <x:c r="AJ1142" t="n">
        <x:f>--AND(AI1142=1,R1142=1,S1142=1)</x:f>
        <x:v>0</x:v>
      </x:c>
    </x:row>
    <x:row r="1143">
      <x:c r="A1143" s="28"/>
      <x:c r="B1143" s="28"/>
      <x:c r="C1143" s="28"/>
      <x:c r="D1143" s="28"/>
      <x:c r="E1143" s="28"/>
      <x:c r="F1143" s="28"/>
      <x:c r="G1143" s="28"/>
      <x:c r="H1143" s="28"/>
      <x:c r="I1143" s="28"/>
      <x:c r="J1143" s="28"/>
      <x:c r="K1143" s="28"/>
      <x:c r="L1143" s="28"/>
      <x:c r="M1143" s="28"/>
      <x:c r="N1143" s="28"/>
      <x:c r="O1143" s="28"/>
      <x:c r="P1143" s="28"/>
      <x:c r="Q1143" s="28"/>
      <x:c r="R1143" s="28"/>
      <x:c r="S1143" s="28"/>
      <x:c r="T1143" s="28"/>
      <x:c r="U1143" s="28"/>
      <x:c r="V1143" s="28"/>
      <x:c r="W1143" s="43" t="n">
        <x:f>--AND(N1143=1,OR(O1143="SUPPORTED",O1143="HALLUCINATION"))</x:f>
        <x:v>0</x:v>
      </x:c>
      <x:c r="X1143" s="43" t="n">
        <x:f>--AND(W1143=1,O1143="HALLUCINATION")</x:f>
        <x:v>0</x:v>
      </x:c>
      <x:c r="Y1143" s="43" t="n">
        <x:f>--AND(Q1143=1,O1143="HALLUCINATION")</x:f>
        <x:v>0</x:v>
      </x:c>
      <x:c r="Z1143" s="43" t="n">
        <x:f>--AND(Y1143=1,R1143=1,S1143=1)</x:f>
        <x:v>0</x:v>
      </x:c>
      <x:c r="AC1143" t="str">
        <x:f>IF(OR(AA1143="",AB1143=""),"",--(AA1143&lt;&gt;AB1143))</x:f>
      </x:c>
      <x:c r="AE1143" t="str">
        <x:f>IF(OR(AA1143="",AB1143=""),"PENDING_HUMAN",IF(AA1143=AB1143,AA1143,IF(AD1143&lt;&gt;"",AD1143,"PENDING_HUMAN")))</x:f>
        <x:v>PENDING_HUMAN</x:v>
      </x:c>
      <x:c r="AF1143" t="n">
        <x:f>--AND(A1143&lt;&gt;"",AA1143&lt;&gt;"",AB1143&lt;&gt;"",OR(AA1143=AB1143,AD1143&lt;&gt;""),IF(AE1143="HALLUCINATION",U1143&lt;&gt;"",TRUE))</x:f>
        <x:v>0</x:v>
      </x:c>
      <x:c r="AG1143" t="n">
        <x:f>--AND(N1143=1,AF1143=1,OR(AE1143="SUPPORTED",AE1143="HALLUCINATION"))</x:f>
        <x:v>0</x:v>
      </x:c>
      <x:c r="AH1143" t="n">
        <x:f>--AND(AG1143=1,AE1143="HALLUCINATION")</x:f>
        <x:v>0</x:v>
      </x:c>
      <x:c r="AI1143" t="n">
        <x:f>--AND(Q1143=1,AF1143=1,AE1143="HALLUCINATION")</x:f>
        <x:v>0</x:v>
      </x:c>
      <x:c r="AJ1143" t="n">
        <x:f>--AND(AI1143=1,R1143=1,S1143=1)</x:f>
        <x:v>0</x:v>
      </x:c>
    </x:row>
    <x:row r="1144">
      <x:c r="A1144" s="28"/>
      <x:c r="B1144" s="28"/>
      <x:c r="C1144" s="28"/>
      <x:c r="D1144" s="28"/>
      <x:c r="E1144" s="28"/>
      <x:c r="F1144" s="28"/>
      <x:c r="G1144" s="28"/>
      <x:c r="H1144" s="28"/>
      <x:c r="I1144" s="28"/>
      <x:c r="J1144" s="28"/>
      <x:c r="K1144" s="28"/>
      <x:c r="L1144" s="28"/>
      <x:c r="M1144" s="28"/>
      <x:c r="N1144" s="28"/>
      <x:c r="O1144" s="28"/>
      <x:c r="P1144" s="28"/>
      <x:c r="Q1144" s="28"/>
      <x:c r="R1144" s="28"/>
      <x:c r="S1144" s="28"/>
      <x:c r="T1144" s="28"/>
      <x:c r="U1144" s="28"/>
      <x:c r="V1144" s="28"/>
      <x:c r="W1144" s="43" t="n">
        <x:f>--AND(N1144=1,OR(O1144="SUPPORTED",O1144="HALLUCINATION"))</x:f>
        <x:v>0</x:v>
      </x:c>
      <x:c r="X1144" s="43" t="n">
        <x:f>--AND(W1144=1,O1144="HALLUCINATION")</x:f>
        <x:v>0</x:v>
      </x:c>
      <x:c r="Y1144" s="43" t="n">
        <x:f>--AND(Q1144=1,O1144="HALLUCINATION")</x:f>
        <x:v>0</x:v>
      </x:c>
      <x:c r="Z1144" s="43" t="n">
        <x:f>--AND(Y1144=1,R1144=1,S1144=1)</x:f>
        <x:v>0</x:v>
      </x:c>
      <x:c r="AC1144" t="str">
        <x:f>IF(OR(AA1144="",AB1144=""),"",--(AA1144&lt;&gt;AB1144))</x:f>
      </x:c>
      <x:c r="AE1144" t="str">
        <x:f>IF(OR(AA1144="",AB1144=""),"PENDING_HUMAN",IF(AA1144=AB1144,AA1144,IF(AD1144&lt;&gt;"",AD1144,"PENDING_HUMAN")))</x:f>
        <x:v>PENDING_HUMAN</x:v>
      </x:c>
      <x:c r="AF1144" t="n">
        <x:f>--AND(A1144&lt;&gt;"",AA1144&lt;&gt;"",AB1144&lt;&gt;"",OR(AA1144=AB1144,AD1144&lt;&gt;""),IF(AE1144="HALLUCINATION",U1144&lt;&gt;"",TRUE))</x:f>
        <x:v>0</x:v>
      </x:c>
      <x:c r="AG1144" t="n">
        <x:f>--AND(N1144=1,AF1144=1,OR(AE1144="SUPPORTED",AE1144="HALLUCINATION"))</x:f>
        <x:v>0</x:v>
      </x:c>
      <x:c r="AH1144" t="n">
        <x:f>--AND(AG1144=1,AE1144="HALLUCINATION")</x:f>
        <x:v>0</x:v>
      </x:c>
      <x:c r="AI1144" t="n">
        <x:f>--AND(Q1144=1,AF1144=1,AE1144="HALLUCINATION")</x:f>
        <x:v>0</x:v>
      </x:c>
      <x:c r="AJ1144" t="n">
        <x:f>--AND(AI1144=1,R1144=1,S1144=1)</x:f>
        <x:v>0</x:v>
      </x:c>
    </x:row>
    <x:row r="1145">
      <x:c r="A1145" s="28"/>
      <x:c r="B1145" s="28"/>
      <x:c r="C1145" s="28"/>
      <x:c r="D1145" s="28"/>
      <x:c r="E1145" s="28"/>
      <x:c r="F1145" s="28"/>
      <x:c r="G1145" s="28"/>
      <x:c r="H1145" s="28"/>
      <x:c r="I1145" s="28"/>
      <x:c r="J1145" s="28"/>
      <x:c r="K1145" s="28"/>
      <x:c r="L1145" s="28"/>
      <x:c r="M1145" s="28"/>
      <x:c r="N1145" s="28"/>
      <x:c r="O1145" s="28"/>
      <x:c r="P1145" s="28"/>
      <x:c r="Q1145" s="28"/>
      <x:c r="R1145" s="28"/>
      <x:c r="S1145" s="28"/>
      <x:c r="T1145" s="28"/>
      <x:c r="U1145" s="28"/>
      <x:c r="V1145" s="28"/>
      <x:c r="W1145" s="43" t="n">
        <x:f>--AND(N1145=1,OR(O1145="SUPPORTED",O1145="HALLUCINATION"))</x:f>
        <x:v>0</x:v>
      </x:c>
      <x:c r="X1145" s="43" t="n">
        <x:f>--AND(W1145=1,O1145="HALLUCINATION")</x:f>
        <x:v>0</x:v>
      </x:c>
      <x:c r="Y1145" s="43" t="n">
        <x:f>--AND(Q1145=1,O1145="HALLUCINATION")</x:f>
        <x:v>0</x:v>
      </x:c>
      <x:c r="Z1145" s="43" t="n">
        <x:f>--AND(Y1145=1,R1145=1,S1145=1)</x:f>
        <x:v>0</x:v>
      </x:c>
      <x:c r="AC1145" t="str">
        <x:f>IF(OR(AA1145="",AB1145=""),"",--(AA1145&lt;&gt;AB1145))</x:f>
      </x:c>
      <x:c r="AE1145" t="str">
        <x:f>IF(OR(AA1145="",AB1145=""),"PENDING_HUMAN",IF(AA1145=AB1145,AA1145,IF(AD1145&lt;&gt;"",AD1145,"PENDING_HUMAN")))</x:f>
        <x:v>PENDING_HUMAN</x:v>
      </x:c>
      <x:c r="AF1145" t="n">
        <x:f>--AND(A1145&lt;&gt;"",AA1145&lt;&gt;"",AB1145&lt;&gt;"",OR(AA1145=AB1145,AD1145&lt;&gt;""),IF(AE1145="HALLUCINATION",U1145&lt;&gt;"",TRUE))</x:f>
        <x:v>0</x:v>
      </x:c>
      <x:c r="AG1145" t="n">
        <x:f>--AND(N1145=1,AF1145=1,OR(AE1145="SUPPORTED",AE1145="HALLUCINATION"))</x:f>
        <x:v>0</x:v>
      </x:c>
      <x:c r="AH1145" t="n">
        <x:f>--AND(AG1145=1,AE1145="HALLUCINATION")</x:f>
        <x:v>0</x:v>
      </x:c>
      <x:c r="AI1145" t="n">
        <x:f>--AND(Q1145=1,AF1145=1,AE1145="HALLUCINATION")</x:f>
        <x:v>0</x:v>
      </x:c>
      <x:c r="AJ1145" t="n">
        <x:f>--AND(AI1145=1,R1145=1,S1145=1)</x:f>
        <x:v>0</x:v>
      </x:c>
    </x:row>
    <x:row r="1146">
      <x:c r="A1146" s="28"/>
      <x:c r="B1146" s="28"/>
      <x:c r="C1146" s="28"/>
      <x:c r="D1146" s="28"/>
      <x:c r="E1146" s="28"/>
      <x:c r="F1146" s="28"/>
      <x:c r="G1146" s="28"/>
      <x:c r="H1146" s="28"/>
      <x:c r="I1146" s="28"/>
      <x:c r="J1146" s="28"/>
      <x:c r="K1146" s="28"/>
      <x:c r="L1146" s="28"/>
      <x:c r="M1146" s="28"/>
      <x:c r="N1146" s="28"/>
      <x:c r="O1146" s="28"/>
      <x:c r="P1146" s="28"/>
      <x:c r="Q1146" s="28"/>
      <x:c r="R1146" s="28"/>
      <x:c r="S1146" s="28"/>
      <x:c r="T1146" s="28"/>
      <x:c r="U1146" s="28"/>
      <x:c r="V1146" s="28"/>
      <x:c r="W1146" s="43" t="n">
        <x:f>--AND(N1146=1,OR(O1146="SUPPORTED",O1146="HALLUCINATION"))</x:f>
        <x:v>0</x:v>
      </x:c>
      <x:c r="X1146" s="43" t="n">
        <x:f>--AND(W1146=1,O1146="HALLUCINATION")</x:f>
        <x:v>0</x:v>
      </x:c>
      <x:c r="Y1146" s="43" t="n">
        <x:f>--AND(Q1146=1,O1146="HALLUCINATION")</x:f>
        <x:v>0</x:v>
      </x:c>
      <x:c r="Z1146" s="43" t="n">
        <x:f>--AND(Y1146=1,R1146=1,S1146=1)</x:f>
        <x:v>0</x:v>
      </x:c>
      <x:c r="AC1146" t="str">
        <x:f>IF(OR(AA1146="",AB1146=""),"",--(AA1146&lt;&gt;AB1146))</x:f>
      </x:c>
      <x:c r="AE1146" t="str">
        <x:f>IF(OR(AA1146="",AB1146=""),"PENDING_HUMAN",IF(AA1146=AB1146,AA1146,IF(AD1146&lt;&gt;"",AD1146,"PENDING_HUMAN")))</x:f>
        <x:v>PENDING_HUMAN</x:v>
      </x:c>
      <x:c r="AF1146" t="n">
        <x:f>--AND(A1146&lt;&gt;"",AA1146&lt;&gt;"",AB1146&lt;&gt;"",OR(AA1146=AB1146,AD1146&lt;&gt;""),IF(AE1146="HALLUCINATION",U1146&lt;&gt;"",TRUE))</x:f>
        <x:v>0</x:v>
      </x:c>
      <x:c r="AG1146" t="n">
        <x:f>--AND(N1146=1,AF1146=1,OR(AE1146="SUPPORTED",AE1146="HALLUCINATION"))</x:f>
        <x:v>0</x:v>
      </x:c>
      <x:c r="AH1146" t="n">
        <x:f>--AND(AG1146=1,AE1146="HALLUCINATION")</x:f>
        <x:v>0</x:v>
      </x:c>
      <x:c r="AI1146" t="n">
        <x:f>--AND(Q1146=1,AF1146=1,AE1146="HALLUCINATION")</x:f>
        <x:v>0</x:v>
      </x:c>
      <x:c r="AJ1146" t="n">
        <x:f>--AND(AI1146=1,R1146=1,S1146=1)</x:f>
        <x:v>0</x:v>
      </x:c>
    </x:row>
    <x:row r="1147">
      <x:c r="A1147" s="28"/>
      <x:c r="B1147" s="28"/>
      <x:c r="C1147" s="28"/>
      <x:c r="D1147" s="28"/>
      <x:c r="E1147" s="28"/>
      <x:c r="F1147" s="28"/>
      <x:c r="G1147" s="28"/>
      <x:c r="H1147" s="28"/>
      <x:c r="I1147" s="28"/>
      <x:c r="J1147" s="28"/>
      <x:c r="K1147" s="28"/>
      <x:c r="L1147" s="28"/>
      <x:c r="M1147" s="28"/>
      <x:c r="N1147" s="28"/>
      <x:c r="O1147" s="28"/>
      <x:c r="P1147" s="28"/>
      <x:c r="Q1147" s="28"/>
      <x:c r="R1147" s="28"/>
      <x:c r="S1147" s="28"/>
      <x:c r="T1147" s="28"/>
      <x:c r="U1147" s="28"/>
      <x:c r="V1147" s="28"/>
      <x:c r="W1147" s="43" t="n">
        <x:f>--AND(N1147=1,OR(O1147="SUPPORTED",O1147="HALLUCINATION"))</x:f>
        <x:v>0</x:v>
      </x:c>
      <x:c r="X1147" s="43" t="n">
        <x:f>--AND(W1147=1,O1147="HALLUCINATION")</x:f>
        <x:v>0</x:v>
      </x:c>
      <x:c r="Y1147" s="43" t="n">
        <x:f>--AND(Q1147=1,O1147="HALLUCINATION")</x:f>
        <x:v>0</x:v>
      </x:c>
      <x:c r="Z1147" s="43" t="n">
        <x:f>--AND(Y1147=1,R1147=1,S1147=1)</x:f>
        <x:v>0</x:v>
      </x:c>
      <x:c r="AC1147" t="str">
        <x:f>IF(OR(AA1147="",AB1147=""),"",--(AA1147&lt;&gt;AB1147))</x:f>
      </x:c>
      <x:c r="AE1147" t="str">
        <x:f>IF(OR(AA1147="",AB1147=""),"PENDING_HUMAN",IF(AA1147=AB1147,AA1147,IF(AD1147&lt;&gt;"",AD1147,"PENDING_HUMAN")))</x:f>
        <x:v>PENDING_HUMAN</x:v>
      </x:c>
      <x:c r="AF1147" t="n">
        <x:f>--AND(A1147&lt;&gt;"",AA1147&lt;&gt;"",AB1147&lt;&gt;"",OR(AA1147=AB1147,AD1147&lt;&gt;""),IF(AE1147="HALLUCINATION",U1147&lt;&gt;"",TRUE))</x:f>
        <x:v>0</x:v>
      </x:c>
      <x:c r="AG1147" t="n">
        <x:f>--AND(N1147=1,AF1147=1,OR(AE1147="SUPPORTED",AE1147="HALLUCINATION"))</x:f>
        <x:v>0</x:v>
      </x:c>
      <x:c r="AH1147" t="n">
        <x:f>--AND(AG1147=1,AE1147="HALLUCINATION")</x:f>
        <x:v>0</x:v>
      </x:c>
      <x:c r="AI1147" t="n">
        <x:f>--AND(Q1147=1,AF1147=1,AE1147="HALLUCINATION")</x:f>
        <x:v>0</x:v>
      </x:c>
      <x:c r="AJ1147" t="n">
        <x:f>--AND(AI1147=1,R1147=1,S1147=1)</x:f>
        <x:v>0</x:v>
      </x:c>
    </x:row>
    <x:row r="1148">
      <x:c r="A1148" s="28"/>
      <x:c r="B1148" s="28"/>
      <x:c r="C1148" s="28"/>
      <x:c r="D1148" s="28"/>
      <x:c r="E1148" s="28"/>
      <x:c r="F1148" s="28"/>
      <x:c r="G1148" s="28"/>
      <x:c r="H1148" s="28"/>
      <x:c r="I1148" s="28"/>
      <x:c r="J1148" s="28"/>
      <x:c r="K1148" s="28"/>
      <x:c r="L1148" s="28"/>
      <x:c r="M1148" s="28"/>
      <x:c r="N1148" s="28"/>
      <x:c r="O1148" s="28"/>
      <x:c r="P1148" s="28"/>
      <x:c r="Q1148" s="28"/>
      <x:c r="R1148" s="28"/>
      <x:c r="S1148" s="28"/>
      <x:c r="T1148" s="28"/>
      <x:c r="U1148" s="28"/>
      <x:c r="V1148" s="28"/>
      <x:c r="W1148" s="43" t="n">
        <x:f>--AND(N1148=1,OR(O1148="SUPPORTED",O1148="HALLUCINATION"))</x:f>
        <x:v>0</x:v>
      </x:c>
      <x:c r="X1148" s="43" t="n">
        <x:f>--AND(W1148=1,O1148="HALLUCINATION")</x:f>
        <x:v>0</x:v>
      </x:c>
      <x:c r="Y1148" s="43" t="n">
        <x:f>--AND(Q1148=1,O1148="HALLUCINATION")</x:f>
        <x:v>0</x:v>
      </x:c>
      <x:c r="Z1148" s="43" t="n">
        <x:f>--AND(Y1148=1,R1148=1,S1148=1)</x:f>
        <x:v>0</x:v>
      </x:c>
      <x:c r="AC1148" t="str">
        <x:f>IF(OR(AA1148="",AB1148=""),"",--(AA1148&lt;&gt;AB1148))</x:f>
      </x:c>
      <x:c r="AE1148" t="str">
        <x:f>IF(OR(AA1148="",AB1148=""),"PENDING_HUMAN",IF(AA1148=AB1148,AA1148,IF(AD1148&lt;&gt;"",AD1148,"PENDING_HUMAN")))</x:f>
        <x:v>PENDING_HUMAN</x:v>
      </x:c>
      <x:c r="AF1148" t="n">
        <x:f>--AND(A1148&lt;&gt;"",AA1148&lt;&gt;"",AB1148&lt;&gt;"",OR(AA1148=AB1148,AD1148&lt;&gt;""),IF(AE1148="HALLUCINATION",U1148&lt;&gt;"",TRUE))</x:f>
        <x:v>0</x:v>
      </x:c>
      <x:c r="AG1148" t="n">
        <x:f>--AND(N1148=1,AF1148=1,OR(AE1148="SUPPORTED",AE1148="HALLUCINATION"))</x:f>
        <x:v>0</x:v>
      </x:c>
      <x:c r="AH1148" t="n">
        <x:f>--AND(AG1148=1,AE1148="HALLUCINATION")</x:f>
        <x:v>0</x:v>
      </x:c>
      <x:c r="AI1148" t="n">
        <x:f>--AND(Q1148=1,AF1148=1,AE1148="HALLUCINATION")</x:f>
        <x:v>0</x:v>
      </x:c>
      <x:c r="AJ1148" t="n">
        <x:f>--AND(AI1148=1,R1148=1,S1148=1)</x:f>
        <x:v>0</x:v>
      </x:c>
    </x:row>
    <x:row r="1149">
      <x:c r="A1149" s="28"/>
      <x:c r="B1149" s="28"/>
      <x:c r="C1149" s="28"/>
      <x:c r="D1149" s="28"/>
      <x:c r="E1149" s="28"/>
      <x:c r="F1149" s="28"/>
      <x:c r="G1149" s="28"/>
      <x:c r="H1149" s="28"/>
      <x:c r="I1149" s="28"/>
      <x:c r="J1149" s="28"/>
      <x:c r="K1149" s="28"/>
      <x:c r="L1149" s="28"/>
      <x:c r="M1149" s="28"/>
      <x:c r="N1149" s="28"/>
      <x:c r="O1149" s="28"/>
      <x:c r="P1149" s="28"/>
      <x:c r="Q1149" s="28"/>
      <x:c r="R1149" s="28"/>
      <x:c r="S1149" s="28"/>
      <x:c r="T1149" s="28"/>
      <x:c r="U1149" s="28"/>
      <x:c r="V1149" s="28"/>
      <x:c r="W1149" s="43" t="n">
        <x:f>--AND(N1149=1,OR(O1149="SUPPORTED",O1149="HALLUCINATION"))</x:f>
        <x:v>0</x:v>
      </x:c>
      <x:c r="X1149" s="43" t="n">
        <x:f>--AND(W1149=1,O1149="HALLUCINATION")</x:f>
        <x:v>0</x:v>
      </x:c>
      <x:c r="Y1149" s="43" t="n">
        <x:f>--AND(Q1149=1,O1149="HALLUCINATION")</x:f>
        <x:v>0</x:v>
      </x:c>
      <x:c r="Z1149" s="43" t="n">
        <x:f>--AND(Y1149=1,R1149=1,S1149=1)</x:f>
        <x:v>0</x:v>
      </x:c>
      <x:c r="AC1149" t="str">
        <x:f>IF(OR(AA1149="",AB1149=""),"",--(AA1149&lt;&gt;AB1149))</x:f>
      </x:c>
      <x:c r="AE1149" t="str">
        <x:f>IF(OR(AA1149="",AB1149=""),"PENDING_HUMAN",IF(AA1149=AB1149,AA1149,IF(AD1149&lt;&gt;"",AD1149,"PENDING_HUMAN")))</x:f>
        <x:v>PENDING_HUMAN</x:v>
      </x:c>
      <x:c r="AF1149" t="n">
        <x:f>--AND(A1149&lt;&gt;"",AA1149&lt;&gt;"",AB1149&lt;&gt;"",OR(AA1149=AB1149,AD1149&lt;&gt;""),IF(AE1149="HALLUCINATION",U1149&lt;&gt;"",TRUE))</x:f>
        <x:v>0</x:v>
      </x:c>
      <x:c r="AG1149" t="n">
        <x:f>--AND(N1149=1,AF1149=1,OR(AE1149="SUPPORTED",AE1149="HALLUCINATION"))</x:f>
        <x:v>0</x:v>
      </x:c>
      <x:c r="AH1149" t="n">
        <x:f>--AND(AG1149=1,AE1149="HALLUCINATION")</x:f>
        <x:v>0</x:v>
      </x:c>
      <x:c r="AI1149" t="n">
        <x:f>--AND(Q1149=1,AF1149=1,AE1149="HALLUCINATION")</x:f>
        <x:v>0</x:v>
      </x:c>
      <x:c r="AJ1149" t="n">
        <x:f>--AND(AI1149=1,R1149=1,S1149=1)</x:f>
        <x:v>0</x:v>
      </x:c>
    </x:row>
    <x:row r="1150">
      <x:c r="A1150" s="28"/>
      <x:c r="B1150" s="28"/>
      <x:c r="C1150" s="28"/>
      <x:c r="D1150" s="28"/>
      <x:c r="E1150" s="28"/>
      <x:c r="F1150" s="28"/>
      <x:c r="G1150" s="28"/>
      <x:c r="H1150" s="28"/>
      <x:c r="I1150" s="28"/>
      <x:c r="J1150" s="28"/>
      <x:c r="K1150" s="28"/>
      <x:c r="L1150" s="28"/>
      <x:c r="M1150" s="28"/>
      <x:c r="N1150" s="28"/>
      <x:c r="O1150" s="28"/>
      <x:c r="P1150" s="28"/>
      <x:c r="Q1150" s="28"/>
      <x:c r="R1150" s="28"/>
      <x:c r="S1150" s="28"/>
      <x:c r="T1150" s="28"/>
      <x:c r="U1150" s="28"/>
      <x:c r="V1150" s="28"/>
      <x:c r="W1150" s="43" t="n">
        <x:f>--AND(N1150=1,OR(O1150="SUPPORTED",O1150="HALLUCINATION"))</x:f>
        <x:v>0</x:v>
      </x:c>
      <x:c r="X1150" s="43" t="n">
        <x:f>--AND(W1150=1,O1150="HALLUCINATION")</x:f>
        <x:v>0</x:v>
      </x:c>
      <x:c r="Y1150" s="43" t="n">
        <x:f>--AND(Q1150=1,O1150="HALLUCINATION")</x:f>
        <x:v>0</x:v>
      </x:c>
      <x:c r="Z1150" s="43" t="n">
        <x:f>--AND(Y1150=1,R1150=1,S1150=1)</x:f>
        <x:v>0</x:v>
      </x:c>
      <x:c r="AC1150" t="str">
        <x:f>IF(OR(AA1150="",AB1150=""),"",--(AA1150&lt;&gt;AB1150))</x:f>
      </x:c>
      <x:c r="AE1150" t="str">
        <x:f>IF(OR(AA1150="",AB1150=""),"PENDING_HUMAN",IF(AA1150=AB1150,AA1150,IF(AD1150&lt;&gt;"",AD1150,"PENDING_HUMAN")))</x:f>
        <x:v>PENDING_HUMAN</x:v>
      </x:c>
      <x:c r="AF1150" t="n">
        <x:f>--AND(A1150&lt;&gt;"",AA1150&lt;&gt;"",AB1150&lt;&gt;"",OR(AA1150=AB1150,AD1150&lt;&gt;""),IF(AE1150="HALLUCINATION",U1150&lt;&gt;"",TRUE))</x:f>
        <x:v>0</x:v>
      </x:c>
      <x:c r="AG1150" t="n">
        <x:f>--AND(N1150=1,AF1150=1,OR(AE1150="SUPPORTED",AE1150="HALLUCINATION"))</x:f>
        <x:v>0</x:v>
      </x:c>
      <x:c r="AH1150" t="n">
        <x:f>--AND(AG1150=1,AE1150="HALLUCINATION")</x:f>
        <x:v>0</x:v>
      </x:c>
      <x:c r="AI1150" t="n">
        <x:f>--AND(Q1150=1,AF1150=1,AE1150="HALLUCINATION")</x:f>
        <x:v>0</x:v>
      </x:c>
      <x:c r="AJ1150" t="n">
        <x:f>--AND(AI1150=1,R1150=1,S1150=1)</x:f>
        <x:v>0</x:v>
      </x:c>
    </x:row>
    <x:row r="1151">
      <x:c r="A1151" s="28"/>
      <x:c r="B1151" s="28"/>
      <x:c r="C1151" s="28"/>
      <x:c r="D1151" s="28"/>
      <x:c r="E1151" s="28"/>
      <x:c r="F1151" s="28"/>
      <x:c r="G1151" s="28"/>
      <x:c r="H1151" s="28"/>
      <x:c r="I1151" s="28"/>
      <x:c r="J1151" s="28"/>
      <x:c r="K1151" s="28"/>
      <x:c r="L1151" s="28"/>
      <x:c r="M1151" s="28"/>
      <x:c r="N1151" s="28"/>
      <x:c r="O1151" s="28"/>
      <x:c r="P1151" s="28"/>
      <x:c r="Q1151" s="28"/>
      <x:c r="R1151" s="28"/>
      <x:c r="S1151" s="28"/>
      <x:c r="T1151" s="28"/>
      <x:c r="U1151" s="28"/>
      <x:c r="V1151" s="28"/>
      <x:c r="W1151" s="43" t="n">
        <x:f>--AND(N1151=1,OR(O1151="SUPPORTED",O1151="HALLUCINATION"))</x:f>
        <x:v>0</x:v>
      </x:c>
      <x:c r="X1151" s="43" t="n">
        <x:f>--AND(W1151=1,O1151="HALLUCINATION")</x:f>
        <x:v>0</x:v>
      </x:c>
      <x:c r="Y1151" s="43" t="n">
        <x:f>--AND(Q1151=1,O1151="HALLUCINATION")</x:f>
        <x:v>0</x:v>
      </x:c>
      <x:c r="Z1151" s="43" t="n">
        <x:f>--AND(Y1151=1,R1151=1,S1151=1)</x:f>
        <x:v>0</x:v>
      </x:c>
      <x:c r="AC1151" t="str">
        <x:f>IF(OR(AA1151="",AB1151=""),"",--(AA1151&lt;&gt;AB1151))</x:f>
      </x:c>
      <x:c r="AE1151" t="str">
        <x:f>IF(OR(AA1151="",AB1151=""),"PENDING_HUMAN",IF(AA1151=AB1151,AA1151,IF(AD1151&lt;&gt;"",AD1151,"PENDING_HUMAN")))</x:f>
        <x:v>PENDING_HUMAN</x:v>
      </x:c>
      <x:c r="AF1151" t="n">
        <x:f>--AND(A1151&lt;&gt;"",AA1151&lt;&gt;"",AB1151&lt;&gt;"",OR(AA1151=AB1151,AD1151&lt;&gt;""),IF(AE1151="HALLUCINATION",U1151&lt;&gt;"",TRUE))</x:f>
        <x:v>0</x:v>
      </x:c>
      <x:c r="AG1151" t="n">
        <x:f>--AND(N1151=1,AF1151=1,OR(AE1151="SUPPORTED",AE1151="HALLUCINATION"))</x:f>
        <x:v>0</x:v>
      </x:c>
      <x:c r="AH1151" t="n">
        <x:f>--AND(AG1151=1,AE1151="HALLUCINATION")</x:f>
        <x:v>0</x:v>
      </x:c>
      <x:c r="AI1151" t="n">
        <x:f>--AND(Q1151=1,AF1151=1,AE1151="HALLUCINATION")</x:f>
        <x:v>0</x:v>
      </x:c>
      <x:c r="AJ1151" t="n">
        <x:f>--AND(AI1151=1,R1151=1,S1151=1)</x:f>
        <x:v>0</x:v>
      </x:c>
    </x:row>
    <x:row r="1152">
      <x:c r="A1152" s="28"/>
      <x:c r="B1152" s="28"/>
      <x:c r="C1152" s="28"/>
      <x:c r="D1152" s="28"/>
      <x:c r="E1152" s="28"/>
      <x:c r="F1152" s="28"/>
      <x:c r="G1152" s="28"/>
      <x:c r="H1152" s="28"/>
      <x:c r="I1152" s="28"/>
      <x:c r="J1152" s="28"/>
      <x:c r="K1152" s="28"/>
      <x:c r="L1152" s="28"/>
      <x:c r="M1152" s="28"/>
      <x:c r="N1152" s="28"/>
      <x:c r="O1152" s="28"/>
      <x:c r="P1152" s="28"/>
      <x:c r="Q1152" s="28"/>
      <x:c r="R1152" s="28"/>
      <x:c r="S1152" s="28"/>
      <x:c r="T1152" s="28"/>
      <x:c r="U1152" s="28"/>
      <x:c r="V1152" s="28"/>
      <x:c r="W1152" s="43" t="n">
        <x:f>--AND(N1152=1,OR(O1152="SUPPORTED",O1152="HALLUCINATION"))</x:f>
        <x:v>0</x:v>
      </x:c>
      <x:c r="X1152" s="43" t="n">
        <x:f>--AND(W1152=1,O1152="HALLUCINATION")</x:f>
        <x:v>0</x:v>
      </x:c>
      <x:c r="Y1152" s="43" t="n">
        <x:f>--AND(Q1152=1,O1152="HALLUCINATION")</x:f>
        <x:v>0</x:v>
      </x:c>
      <x:c r="Z1152" s="43" t="n">
        <x:f>--AND(Y1152=1,R1152=1,S1152=1)</x:f>
        <x:v>0</x:v>
      </x:c>
      <x:c r="AC1152" t="str">
        <x:f>IF(OR(AA1152="",AB1152=""),"",--(AA1152&lt;&gt;AB1152))</x:f>
      </x:c>
      <x:c r="AE1152" t="str">
        <x:f>IF(OR(AA1152="",AB1152=""),"PENDING_HUMAN",IF(AA1152=AB1152,AA1152,IF(AD1152&lt;&gt;"",AD1152,"PENDING_HUMAN")))</x:f>
        <x:v>PENDING_HUMAN</x:v>
      </x:c>
      <x:c r="AF1152" t="n">
        <x:f>--AND(A1152&lt;&gt;"",AA1152&lt;&gt;"",AB1152&lt;&gt;"",OR(AA1152=AB1152,AD1152&lt;&gt;""),IF(AE1152="HALLUCINATION",U1152&lt;&gt;"",TRUE))</x:f>
        <x:v>0</x:v>
      </x:c>
      <x:c r="AG1152" t="n">
        <x:f>--AND(N1152=1,AF1152=1,OR(AE1152="SUPPORTED",AE1152="HALLUCINATION"))</x:f>
        <x:v>0</x:v>
      </x:c>
      <x:c r="AH1152" t="n">
        <x:f>--AND(AG1152=1,AE1152="HALLUCINATION")</x:f>
        <x:v>0</x:v>
      </x:c>
      <x:c r="AI1152" t="n">
        <x:f>--AND(Q1152=1,AF1152=1,AE1152="HALLUCINATION")</x:f>
        <x:v>0</x:v>
      </x:c>
      <x:c r="AJ1152" t="n">
        <x:f>--AND(AI1152=1,R1152=1,S1152=1)</x:f>
        <x:v>0</x:v>
      </x:c>
    </x:row>
    <x:row r="1153">
      <x:c r="A1153" s="28"/>
      <x:c r="B1153" s="28"/>
      <x:c r="C1153" s="28"/>
      <x:c r="D1153" s="28"/>
      <x:c r="E1153" s="28"/>
      <x:c r="F1153" s="28"/>
      <x:c r="G1153" s="28"/>
      <x:c r="H1153" s="28"/>
      <x:c r="I1153" s="28"/>
      <x:c r="J1153" s="28"/>
      <x:c r="K1153" s="28"/>
      <x:c r="L1153" s="28"/>
      <x:c r="M1153" s="28"/>
      <x:c r="N1153" s="28"/>
      <x:c r="O1153" s="28"/>
      <x:c r="P1153" s="28"/>
      <x:c r="Q1153" s="28"/>
      <x:c r="R1153" s="28"/>
      <x:c r="S1153" s="28"/>
      <x:c r="T1153" s="28"/>
      <x:c r="U1153" s="28"/>
      <x:c r="V1153" s="28"/>
      <x:c r="W1153" s="43" t="n">
        <x:f>--AND(N1153=1,OR(O1153="SUPPORTED",O1153="HALLUCINATION"))</x:f>
        <x:v>0</x:v>
      </x:c>
      <x:c r="X1153" s="43" t="n">
        <x:f>--AND(W1153=1,O1153="HALLUCINATION")</x:f>
        <x:v>0</x:v>
      </x:c>
      <x:c r="Y1153" s="43" t="n">
        <x:f>--AND(Q1153=1,O1153="HALLUCINATION")</x:f>
        <x:v>0</x:v>
      </x:c>
      <x:c r="Z1153" s="43" t="n">
        <x:f>--AND(Y1153=1,R1153=1,S1153=1)</x:f>
        <x:v>0</x:v>
      </x:c>
      <x:c r="AC1153" t="str">
        <x:f>IF(OR(AA1153="",AB1153=""),"",--(AA1153&lt;&gt;AB1153))</x:f>
      </x:c>
      <x:c r="AE1153" t="str">
        <x:f>IF(OR(AA1153="",AB1153=""),"PENDING_HUMAN",IF(AA1153=AB1153,AA1153,IF(AD1153&lt;&gt;"",AD1153,"PENDING_HUMAN")))</x:f>
        <x:v>PENDING_HUMAN</x:v>
      </x:c>
      <x:c r="AF1153" t="n">
        <x:f>--AND(A1153&lt;&gt;"",AA1153&lt;&gt;"",AB1153&lt;&gt;"",OR(AA1153=AB1153,AD1153&lt;&gt;""),IF(AE1153="HALLUCINATION",U1153&lt;&gt;"",TRUE))</x:f>
        <x:v>0</x:v>
      </x:c>
      <x:c r="AG1153" t="n">
        <x:f>--AND(N1153=1,AF1153=1,OR(AE1153="SUPPORTED",AE1153="HALLUCINATION"))</x:f>
        <x:v>0</x:v>
      </x:c>
      <x:c r="AH1153" t="n">
        <x:f>--AND(AG1153=1,AE1153="HALLUCINATION")</x:f>
        <x:v>0</x:v>
      </x:c>
      <x:c r="AI1153" t="n">
        <x:f>--AND(Q1153=1,AF1153=1,AE1153="HALLUCINATION")</x:f>
        <x:v>0</x:v>
      </x:c>
      <x:c r="AJ1153" t="n">
        <x:f>--AND(AI1153=1,R1153=1,S1153=1)</x:f>
        <x:v>0</x:v>
      </x:c>
    </x:row>
    <x:row r="1154">
      <x:c r="A1154" s="28"/>
      <x:c r="B1154" s="28"/>
      <x:c r="C1154" s="28"/>
      <x:c r="D1154" s="28"/>
      <x:c r="E1154" s="28"/>
      <x:c r="F1154" s="28"/>
      <x:c r="G1154" s="28"/>
      <x:c r="H1154" s="28"/>
      <x:c r="I1154" s="28"/>
      <x:c r="J1154" s="28"/>
      <x:c r="K1154" s="28"/>
      <x:c r="L1154" s="28"/>
      <x:c r="M1154" s="28"/>
      <x:c r="N1154" s="28"/>
      <x:c r="O1154" s="28"/>
      <x:c r="P1154" s="28"/>
      <x:c r="Q1154" s="28"/>
      <x:c r="R1154" s="28"/>
      <x:c r="S1154" s="28"/>
      <x:c r="T1154" s="28"/>
      <x:c r="U1154" s="28"/>
      <x:c r="V1154" s="28"/>
      <x:c r="W1154" s="43" t="n">
        <x:f>--AND(N1154=1,OR(O1154="SUPPORTED",O1154="HALLUCINATION"))</x:f>
        <x:v>0</x:v>
      </x:c>
      <x:c r="X1154" s="43" t="n">
        <x:f>--AND(W1154=1,O1154="HALLUCINATION")</x:f>
        <x:v>0</x:v>
      </x:c>
      <x:c r="Y1154" s="43" t="n">
        <x:f>--AND(Q1154=1,O1154="HALLUCINATION")</x:f>
        <x:v>0</x:v>
      </x:c>
      <x:c r="Z1154" s="43" t="n">
        <x:f>--AND(Y1154=1,R1154=1,S1154=1)</x:f>
        <x:v>0</x:v>
      </x:c>
      <x:c r="AC1154" t="str">
        <x:f>IF(OR(AA1154="",AB1154=""),"",--(AA1154&lt;&gt;AB1154))</x:f>
      </x:c>
      <x:c r="AE1154" t="str">
        <x:f>IF(OR(AA1154="",AB1154=""),"PENDING_HUMAN",IF(AA1154=AB1154,AA1154,IF(AD1154&lt;&gt;"",AD1154,"PENDING_HUMAN")))</x:f>
        <x:v>PENDING_HUMAN</x:v>
      </x:c>
      <x:c r="AF1154" t="n">
        <x:f>--AND(A1154&lt;&gt;"",AA1154&lt;&gt;"",AB1154&lt;&gt;"",OR(AA1154=AB1154,AD1154&lt;&gt;""),IF(AE1154="HALLUCINATION",U1154&lt;&gt;"",TRUE))</x:f>
        <x:v>0</x:v>
      </x:c>
      <x:c r="AG1154" t="n">
        <x:f>--AND(N1154=1,AF1154=1,OR(AE1154="SUPPORTED",AE1154="HALLUCINATION"))</x:f>
        <x:v>0</x:v>
      </x:c>
      <x:c r="AH1154" t="n">
        <x:f>--AND(AG1154=1,AE1154="HALLUCINATION")</x:f>
        <x:v>0</x:v>
      </x:c>
      <x:c r="AI1154" t="n">
        <x:f>--AND(Q1154=1,AF1154=1,AE1154="HALLUCINATION")</x:f>
        <x:v>0</x:v>
      </x:c>
      <x:c r="AJ1154" t="n">
        <x:f>--AND(AI1154=1,R1154=1,S1154=1)</x:f>
        <x:v>0</x:v>
      </x:c>
    </x:row>
    <x:row r="1155">
      <x:c r="A1155" s="28"/>
      <x:c r="B1155" s="28"/>
      <x:c r="C1155" s="28"/>
      <x:c r="D1155" s="28"/>
      <x:c r="E1155" s="28"/>
      <x:c r="F1155" s="28"/>
      <x:c r="G1155" s="28"/>
      <x:c r="H1155" s="28"/>
      <x:c r="I1155" s="28"/>
      <x:c r="J1155" s="28"/>
      <x:c r="K1155" s="28"/>
      <x:c r="L1155" s="28"/>
      <x:c r="M1155" s="28"/>
      <x:c r="N1155" s="28"/>
      <x:c r="O1155" s="28"/>
      <x:c r="P1155" s="28"/>
      <x:c r="Q1155" s="28"/>
      <x:c r="R1155" s="28"/>
      <x:c r="S1155" s="28"/>
      <x:c r="T1155" s="28"/>
      <x:c r="U1155" s="28"/>
      <x:c r="V1155" s="28"/>
      <x:c r="W1155" s="43" t="n">
        <x:f>--AND(N1155=1,OR(O1155="SUPPORTED",O1155="HALLUCINATION"))</x:f>
        <x:v>0</x:v>
      </x:c>
      <x:c r="X1155" s="43" t="n">
        <x:f>--AND(W1155=1,O1155="HALLUCINATION")</x:f>
        <x:v>0</x:v>
      </x:c>
      <x:c r="Y1155" s="43" t="n">
        <x:f>--AND(Q1155=1,O1155="HALLUCINATION")</x:f>
        <x:v>0</x:v>
      </x:c>
      <x:c r="Z1155" s="43" t="n">
        <x:f>--AND(Y1155=1,R1155=1,S1155=1)</x:f>
        <x:v>0</x:v>
      </x:c>
      <x:c r="AC1155" t="str">
        <x:f>IF(OR(AA1155="",AB1155=""),"",--(AA1155&lt;&gt;AB1155))</x:f>
      </x:c>
      <x:c r="AE1155" t="str">
        <x:f>IF(OR(AA1155="",AB1155=""),"PENDING_HUMAN",IF(AA1155=AB1155,AA1155,IF(AD1155&lt;&gt;"",AD1155,"PENDING_HUMAN")))</x:f>
        <x:v>PENDING_HUMAN</x:v>
      </x:c>
      <x:c r="AF1155" t="n">
        <x:f>--AND(A1155&lt;&gt;"",AA1155&lt;&gt;"",AB1155&lt;&gt;"",OR(AA1155=AB1155,AD1155&lt;&gt;""),IF(AE1155="HALLUCINATION",U1155&lt;&gt;"",TRUE))</x:f>
        <x:v>0</x:v>
      </x:c>
      <x:c r="AG1155" t="n">
        <x:f>--AND(N1155=1,AF1155=1,OR(AE1155="SUPPORTED",AE1155="HALLUCINATION"))</x:f>
        <x:v>0</x:v>
      </x:c>
      <x:c r="AH1155" t="n">
        <x:f>--AND(AG1155=1,AE1155="HALLUCINATION")</x:f>
        <x:v>0</x:v>
      </x:c>
      <x:c r="AI1155" t="n">
        <x:f>--AND(Q1155=1,AF1155=1,AE1155="HALLUCINATION")</x:f>
        <x:v>0</x:v>
      </x:c>
      <x:c r="AJ1155" t="n">
        <x:f>--AND(AI1155=1,R1155=1,S1155=1)</x:f>
        <x:v>0</x:v>
      </x:c>
    </x:row>
    <x:row r="1156">
      <x:c r="A1156" s="28"/>
      <x:c r="B1156" s="28"/>
      <x:c r="C1156" s="28"/>
      <x:c r="D1156" s="28"/>
      <x:c r="E1156" s="28"/>
      <x:c r="F1156" s="28"/>
      <x:c r="G1156" s="28"/>
      <x:c r="H1156" s="28"/>
      <x:c r="I1156" s="28"/>
      <x:c r="J1156" s="28"/>
      <x:c r="K1156" s="28"/>
      <x:c r="L1156" s="28"/>
      <x:c r="M1156" s="28"/>
      <x:c r="N1156" s="28"/>
      <x:c r="O1156" s="28"/>
      <x:c r="P1156" s="28"/>
      <x:c r="Q1156" s="28"/>
      <x:c r="R1156" s="28"/>
      <x:c r="S1156" s="28"/>
      <x:c r="T1156" s="28"/>
      <x:c r="U1156" s="28"/>
      <x:c r="V1156" s="28"/>
      <x:c r="W1156" s="43" t="n">
        <x:f>--AND(N1156=1,OR(O1156="SUPPORTED",O1156="HALLUCINATION"))</x:f>
        <x:v>0</x:v>
      </x:c>
      <x:c r="X1156" s="43" t="n">
        <x:f>--AND(W1156=1,O1156="HALLUCINATION")</x:f>
        <x:v>0</x:v>
      </x:c>
      <x:c r="Y1156" s="43" t="n">
        <x:f>--AND(Q1156=1,O1156="HALLUCINATION")</x:f>
        <x:v>0</x:v>
      </x:c>
      <x:c r="Z1156" s="43" t="n">
        <x:f>--AND(Y1156=1,R1156=1,S1156=1)</x:f>
        <x:v>0</x:v>
      </x:c>
      <x:c r="AC1156" t="str">
        <x:f>IF(OR(AA1156="",AB1156=""),"",--(AA1156&lt;&gt;AB1156))</x:f>
      </x:c>
      <x:c r="AE1156" t="str">
        <x:f>IF(OR(AA1156="",AB1156=""),"PENDING_HUMAN",IF(AA1156=AB1156,AA1156,IF(AD1156&lt;&gt;"",AD1156,"PENDING_HUMAN")))</x:f>
        <x:v>PENDING_HUMAN</x:v>
      </x:c>
      <x:c r="AF1156" t="n">
        <x:f>--AND(A1156&lt;&gt;"",AA1156&lt;&gt;"",AB1156&lt;&gt;"",OR(AA1156=AB1156,AD1156&lt;&gt;""),IF(AE1156="HALLUCINATION",U1156&lt;&gt;"",TRUE))</x:f>
        <x:v>0</x:v>
      </x:c>
      <x:c r="AG1156" t="n">
        <x:f>--AND(N1156=1,AF1156=1,OR(AE1156="SUPPORTED",AE1156="HALLUCINATION"))</x:f>
        <x:v>0</x:v>
      </x:c>
      <x:c r="AH1156" t="n">
        <x:f>--AND(AG1156=1,AE1156="HALLUCINATION")</x:f>
        <x:v>0</x:v>
      </x:c>
      <x:c r="AI1156" t="n">
        <x:f>--AND(Q1156=1,AF1156=1,AE1156="HALLUCINATION")</x:f>
        <x:v>0</x:v>
      </x:c>
      <x:c r="AJ1156" t="n">
        <x:f>--AND(AI1156=1,R1156=1,S1156=1)</x:f>
        <x:v>0</x:v>
      </x:c>
    </x:row>
    <x:row r="1157">
      <x:c r="A1157" s="28"/>
      <x:c r="B1157" s="28"/>
      <x:c r="C1157" s="28"/>
      <x:c r="D1157" s="28"/>
      <x:c r="E1157" s="28"/>
      <x:c r="F1157" s="28"/>
      <x:c r="G1157" s="28"/>
      <x:c r="H1157" s="28"/>
      <x:c r="I1157" s="28"/>
      <x:c r="J1157" s="28"/>
      <x:c r="K1157" s="28"/>
      <x:c r="L1157" s="28"/>
      <x:c r="M1157" s="28"/>
      <x:c r="N1157" s="28"/>
      <x:c r="O1157" s="28"/>
      <x:c r="P1157" s="28"/>
      <x:c r="Q1157" s="28"/>
      <x:c r="R1157" s="28"/>
      <x:c r="S1157" s="28"/>
      <x:c r="T1157" s="28"/>
      <x:c r="U1157" s="28"/>
      <x:c r="V1157" s="28"/>
      <x:c r="W1157" s="43" t="n">
        <x:f>--AND(N1157=1,OR(O1157="SUPPORTED",O1157="HALLUCINATION"))</x:f>
        <x:v>0</x:v>
      </x:c>
      <x:c r="X1157" s="43" t="n">
        <x:f>--AND(W1157=1,O1157="HALLUCINATION")</x:f>
        <x:v>0</x:v>
      </x:c>
      <x:c r="Y1157" s="43" t="n">
        <x:f>--AND(Q1157=1,O1157="HALLUCINATION")</x:f>
        <x:v>0</x:v>
      </x:c>
      <x:c r="Z1157" s="43" t="n">
        <x:f>--AND(Y1157=1,R1157=1,S1157=1)</x:f>
        <x:v>0</x:v>
      </x:c>
      <x:c r="AC1157" t="str">
        <x:f>IF(OR(AA1157="",AB1157=""),"",--(AA1157&lt;&gt;AB1157))</x:f>
      </x:c>
      <x:c r="AE1157" t="str">
        <x:f>IF(OR(AA1157="",AB1157=""),"PENDING_HUMAN",IF(AA1157=AB1157,AA1157,IF(AD1157&lt;&gt;"",AD1157,"PENDING_HUMAN")))</x:f>
        <x:v>PENDING_HUMAN</x:v>
      </x:c>
      <x:c r="AF1157" t="n">
        <x:f>--AND(A1157&lt;&gt;"",AA1157&lt;&gt;"",AB1157&lt;&gt;"",OR(AA1157=AB1157,AD1157&lt;&gt;""),IF(AE1157="HALLUCINATION",U1157&lt;&gt;"",TRUE))</x:f>
        <x:v>0</x:v>
      </x:c>
      <x:c r="AG1157" t="n">
        <x:f>--AND(N1157=1,AF1157=1,OR(AE1157="SUPPORTED",AE1157="HALLUCINATION"))</x:f>
        <x:v>0</x:v>
      </x:c>
      <x:c r="AH1157" t="n">
        <x:f>--AND(AG1157=1,AE1157="HALLUCINATION")</x:f>
        <x:v>0</x:v>
      </x:c>
      <x:c r="AI1157" t="n">
        <x:f>--AND(Q1157=1,AF1157=1,AE1157="HALLUCINATION")</x:f>
        <x:v>0</x:v>
      </x:c>
      <x:c r="AJ1157" t="n">
        <x:f>--AND(AI1157=1,R1157=1,S1157=1)</x:f>
        <x:v>0</x:v>
      </x:c>
    </x:row>
    <x:row r="1158">
      <x:c r="A1158" s="28"/>
      <x:c r="B1158" s="28"/>
      <x:c r="C1158" s="28"/>
      <x:c r="D1158" s="28"/>
      <x:c r="E1158" s="28"/>
      <x:c r="F1158" s="28"/>
      <x:c r="G1158" s="28"/>
      <x:c r="H1158" s="28"/>
      <x:c r="I1158" s="28"/>
      <x:c r="J1158" s="28"/>
      <x:c r="K1158" s="28"/>
      <x:c r="L1158" s="28"/>
      <x:c r="M1158" s="28"/>
      <x:c r="N1158" s="28"/>
      <x:c r="O1158" s="28"/>
      <x:c r="P1158" s="28"/>
      <x:c r="Q1158" s="28"/>
      <x:c r="R1158" s="28"/>
      <x:c r="S1158" s="28"/>
      <x:c r="T1158" s="28"/>
      <x:c r="U1158" s="28"/>
      <x:c r="V1158" s="28"/>
      <x:c r="W1158" s="43" t="n">
        <x:f>--AND(N1158=1,OR(O1158="SUPPORTED",O1158="HALLUCINATION"))</x:f>
        <x:v>0</x:v>
      </x:c>
      <x:c r="X1158" s="43" t="n">
        <x:f>--AND(W1158=1,O1158="HALLUCINATION")</x:f>
        <x:v>0</x:v>
      </x:c>
      <x:c r="Y1158" s="43" t="n">
        <x:f>--AND(Q1158=1,O1158="HALLUCINATION")</x:f>
        <x:v>0</x:v>
      </x:c>
      <x:c r="Z1158" s="43" t="n">
        <x:f>--AND(Y1158=1,R1158=1,S1158=1)</x:f>
        <x:v>0</x:v>
      </x:c>
      <x:c r="AC1158" t="str">
        <x:f>IF(OR(AA1158="",AB1158=""),"",--(AA1158&lt;&gt;AB1158))</x:f>
      </x:c>
      <x:c r="AE1158" t="str">
        <x:f>IF(OR(AA1158="",AB1158=""),"PENDING_HUMAN",IF(AA1158=AB1158,AA1158,IF(AD1158&lt;&gt;"",AD1158,"PENDING_HUMAN")))</x:f>
        <x:v>PENDING_HUMAN</x:v>
      </x:c>
      <x:c r="AF1158" t="n">
        <x:f>--AND(A1158&lt;&gt;"",AA1158&lt;&gt;"",AB1158&lt;&gt;"",OR(AA1158=AB1158,AD1158&lt;&gt;""),IF(AE1158="HALLUCINATION",U1158&lt;&gt;"",TRUE))</x:f>
        <x:v>0</x:v>
      </x:c>
      <x:c r="AG1158" t="n">
        <x:f>--AND(N1158=1,AF1158=1,OR(AE1158="SUPPORTED",AE1158="HALLUCINATION"))</x:f>
        <x:v>0</x:v>
      </x:c>
      <x:c r="AH1158" t="n">
        <x:f>--AND(AG1158=1,AE1158="HALLUCINATION")</x:f>
        <x:v>0</x:v>
      </x:c>
      <x:c r="AI1158" t="n">
        <x:f>--AND(Q1158=1,AF1158=1,AE1158="HALLUCINATION")</x:f>
        <x:v>0</x:v>
      </x:c>
      <x:c r="AJ1158" t="n">
        <x:f>--AND(AI1158=1,R1158=1,S1158=1)</x:f>
        <x:v>0</x:v>
      </x:c>
    </x:row>
    <x:row r="1159">
      <x:c r="A1159" s="28"/>
      <x:c r="B1159" s="28"/>
      <x:c r="C1159" s="28"/>
      <x:c r="D1159" s="28"/>
      <x:c r="E1159" s="28"/>
      <x:c r="F1159" s="28"/>
      <x:c r="G1159" s="28"/>
      <x:c r="H1159" s="28"/>
      <x:c r="I1159" s="28"/>
      <x:c r="J1159" s="28"/>
      <x:c r="K1159" s="28"/>
      <x:c r="L1159" s="28"/>
      <x:c r="M1159" s="28"/>
      <x:c r="N1159" s="28"/>
      <x:c r="O1159" s="28"/>
      <x:c r="P1159" s="28"/>
      <x:c r="Q1159" s="28"/>
      <x:c r="R1159" s="28"/>
      <x:c r="S1159" s="28"/>
      <x:c r="T1159" s="28"/>
      <x:c r="U1159" s="28"/>
      <x:c r="V1159" s="28"/>
      <x:c r="W1159" s="43" t="n">
        <x:f>--AND(N1159=1,OR(O1159="SUPPORTED",O1159="HALLUCINATION"))</x:f>
        <x:v>0</x:v>
      </x:c>
      <x:c r="X1159" s="43" t="n">
        <x:f>--AND(W1159=1,O1159="HALLUCINATION")</x:f>
        <x:v>0</x:v>
      </x:c>
      <x:c r="Y1159" s="43" t="n">
        <x:f>--AND(Q1159=1,O1159="HALLUCINATION")</x:f>
        <x:v>0</x:v>
      </x:c>
      <x:c r="Z1159" s="43" t="n">
        <x:f>--AND(Y1159=1,R1159=1,S1159=1)</x:f>
        <x:v>0</x:v>
      </x:c>
      <x:c r="AC1159" t="str">
        <x:f>IF(OR(AA1159="",AB1159=""),"",--(AA1159&lt;&gt;AB1159))</x:f>
      </x:c>
      <x:c r="AE1159" t="str">
        <x:f>IF(OR(AA1159="",AB1159=""),"PENDING_HUMAN",IF(AA1159=AB1159,AA1159,IF(AD1159&lt;&gt;"",AD1159,"PENDING_HUMAN")))</x:f>
        <x:v>PENDING_HUMAN</x:v>
      </x:c>
      <x:c r="AF1159" t="n">
        <x:f>--AND(A1159&lt;&gt;"",AA1159&lt;&gt;"",AB1159&lt;&gt;"",OR(AA1159=AB1159,AD1159&lt;&gt;""),IF(AE1159="HALLUCINATION",U1159&lt;&gt;"",TRUE))</x:f>
        <x:v>0</x:v>
      </x:c>
      <x:c r="AG1159" t="n">
        <x:f>--AND(N1159=1,AF1159=1,OR(AE1159="SUPPORTED",AE1159="HALLUCINATION"))</x:f>
        <x:v>0</x:v>
      </x:c>
      <x:c r="AH1159" t="n">
        <x:f>--AND(AG1159=1,AE1159="HALLUCINATION")</x:f>
        <x:v>0</x:v>
      </x:c>
      <x:c r="AI1159" t="n">
        <x:f>--AND(Q1159=1,AF1159=1,AE1159="HALLUCINATION")</x:f>
        <x:v>0</x:v>
      </x:c>
      <x:c r="AJ1159" t="n">
        <x:f>--AND(AI1159=1,R1159=1,S1159=1)</x:f>
        <x:v>0</x:v>
      </x:c>
    </x:row>
    <x:row r="1160">
      <x:c r="A1160" s="28"/>
      <x:c r="B1160" s="28"/>
      <x:c r="C1160" s="28"/>
      <x:c r="D1160" s="28"/>
      <x:c r="E1160" s="28"/>
      <x:c r="F1160" s="28"/>
      <x:c r="G1160" s="28"/>
      <x:c r="H1160" s="28"/>
      <x:c r="I1160" s="28"/>
      <x:c r="J1160" s="28"/>
      <x:c r="K1160" s="28"/>
      <x:c r="L1160" s="28"/>
      <x:c r="M1160" s="28"/>
      <x:c r="N1160" s="28"/>
      <x:c r="O1160" s="28"/>
      <x:c r="P1160" s="28"/>
      <x:c r="Q1160" s="28"/>
      <x:c r="R1160" s="28"/>
      <x:c r="S1160" s="28"/>
      <x:c r="T1160" s="28"/>
      <x:c r="U1160" s="28"/>
      <x:c r="V1160" s="28"/>
      <x:c r="W1160" s="43" t="n">
        <x:f>--AND(N1160=1,OR(O1160="SUPPORTED",O1160="HALLUCINATION"))</x:f>
        <x:v>0</x:v>
      </x:c>
      <x:c r="X1160" s="43" t="n">
        <x:f>--AND(W1160=1,O1160="HALLUCINATION")</x:f>
        <x:v>0</x:v>
      </x:c>
      <x:c r="Y1160" s="43" t="n">
        <x:f>--AND(Q1160=1,O1160="HALLUCINATION")</x:f>
        <x:v>0</x:v>
      </x:c>
      <x:c r="Z1160" s="43" t="n">
        <x:f>--AND(Y1160=1,R1160=1,S1160=1)</x:f>
        <x:v>0</x:v>
      </x:c>
      <x:c r="AC1160" t="str">
        <x:f>IF(OR(AA1160="",AB1160=""),"",--(AA1160&lt;&gt;AB1160))</x:f>
      </x:c>
      <x:c r="AE1160" t="str">
        <x:f>IF(OR(AA1160="",AB1160=""),"PENDING_HUMAN",IF(AA1160=AB1160,AA1160,IF(AD1160&lt;&gt;"",AD1160,"PENDING_HUMAN")))</x:f>
        <x:v>PENDING_HUMAN</x:v>
      </x:c>
      <x:c r="AF1160" t="n">
        <x:f>--AND(A1160&lt;&gt;"",AA1160&lt;&gt;"",AB1160&lt;&gt;"",OR(AA1160=AB1160,AD1160&lt;&gt;""),IF(AE1160="HALLUCINATION",U1160&lt;&gt;"",TRUE))</x:f>
        <x:v>0</x:v>
      </x:c>
      <x:c r="AG1160" t="n">
        <x:f>--AND(N1160=1,AF1160=1,OR(AE1160="SUPPORTED",AE1160="HALLUCINATION"))</x:f>
        <x:v>0</x:v>
      </x:c>
      <x:c r="AH1160" t="n">
        <x:f>--AND(AG1160=1,AE1160="HALLUCINATION")</x:f>
        <x:v>0</x:v>
      </x:c>
      <x:c r="AI1160" t="n">
        <x:f>--AND(Q1160=1,AF1160=1,AE1160="HALLUCINATION")</x:f>
        <x:v>0</x:v>
      </x:c>
      <x:c r="AJ1160" t="n">
        <x:f>--AND(AI1160=1,R1160=1,S1160=1)</x:f>
        <x:v>0</x:v>
      </x:c>
    </x:row>
    <x:row r="1161">
      <x:c r="A1161" s="28"/>
      <x:c r="B1161" s="28"/>
      <x:c r="C1161" s="28"/>
      <x:c r="D1161" s="28"/>
      <x:c r="E1161" s="28"/>
      <x:c r="F1161" s="28"/>
      <x:c r="G1161" s="28"/>
      <x:c r="H1161" s="28"/>
      <x:c r="I1161" s="28"/>
      <x:c r="J1161" s="28"/>
      <x:c r="K1161" s="28"/>
      <x:c r="L1161" s="28"/>
      <x:c r="M1161" s="28"/>
      <x:c r="N1161" s="28"/>
      <x:c r="O1161" s="28"/>
      <x:c r="P1161" s="28"/>
      <x:c r="Q1161" s="28"/>
      <x:c r="R1161" s="28"/>
      <x:c r="S1161" s="28"/>
      <x:c r="T1161" s="28"/>
      <x:c r="U1161" s="28"/>
      <x:c r="V1161" s="28"/>
      <x:c r="W1161" s="43" t="n">
        <x:f>--AND(N1161=1,OR(O1161="SUPPORTED",O1161="HALLUCINATION"))</x:f>
        <x:v>0</x:v>
      </x:c>
      <x:c r="X1161" s="43" t="n">
        <x:f>--AND(W1161=1,O1161="HALLUCINATION")</x:f>
        <x:v>0</x:v>
      </x:c>
      <x:c r="Y1161" s="43" t="n">
        <x:f>--AND(Q1161=1,O1161="HALLUCINATION")</x:f>
        <x:v>0</x:v>
      </x:c>
      <x:c r="Z1161" s="43" t="n">
        <x:f>--AND(Y1161=1,R1161=1,S1161=1)</x:f>
        <x:v>0</x:v>
      </x:c>
      <x:c r="AC1161" t="str">
        <x:f>IF(OR(AA1161="",AB1161=""),"",--(AA1161&lt;&gt;AB1161))</x:f>
      </x:c>
      <x:c r="AE1161" t="str">
        <x:f>IF(OR(AA1161="",AB1161=""),"PENDING_HUMAN",IF(AA1161=AB1161,AA1161,IF(AD1161&lt;&gt;"",AD1161,"PENDING_HUMAN")))</x:f>
        <x:v>PENDING_HUMAN</x:v>
      </x:c>
      <x:c r="AF1161" t="n">
        <x:f>--AND(A1161&lt;&gt;"",AA1161&lt;&gt;"",AB1161&lt;&gt;"",OR(AA1161=AB1161,AD1161&lt;&gt;""),IF(AE1161="HALLUCINATION",U1161&lt;&gt;"",TRUE))</x:f>
        <x:v>0</x:v>
      </x:c>
      <x:c r="AG1161" t="n">
        <x:f>--AND(N1161=1,AF1161=1,OR(AE1161="SUPPORTED",AE1161="HALLUCINATION"))</x:f>
        <x:v>0</x:v>
      </x:c>
      <x:c r="AH1161" t="n">
        <x:f>--AND(AG1161=1,AE1161="HALLUCINATION")</x:f>
        <x:v>0</x:v>
      </x:c>
      <x:c r="AI1161" t="n">
        <x:f>--AND(Q1161=1,AF1161=1,AE1161="HALLUCINATION")</x:f>
        <x:v>0</x:v>
      </x:c>
      <x:c r="AJ1161" t="n">
        <x:f>--AND(AI1161=1,R1161=1,S1161=1)</x:f>
        <x:v>0</x:v>
      </x:c>
    </x:row>
    <x:row r="1162">
      <x:c r="A1162" s="28"/>
      <x:c r="B1162" s="28"/>
      <x:c r="C1162" s="28"/>
      <x:c r="D1162" s="28"/>
      <x:c r="E1162" s="28"/>
      <x:c r="F1162" s="28"/>
      <x:c r="G1162" s="28"/>
      <x:c r="H1162" s="28"/>
      <x:c r="I1162" s="28"/>
      <x:c r="J1162" s="28"/>
      <x:c r="K1162" s="28"/>
      <x:c r="L1162" s="28"/>
      <x:c r="M1162" s="28"/>
      <x:c r="N1162" s="28"/>
      <x:c r="O1162" s="28"/>
      <x:c r="P1162" s="28"/>
      <x:c r="Q1162" s="28"/>
      <x:c r="R1162" s="28"/>
      <x:c r="S1162" s="28"/>
      <x:c r="T1162" s="28"/>
      <x:c r="U1162" s="28"/>
      <x:c r="V1162" s="28"/>
      <x:c r="W1162" s="43" t="n">
        <x:f>--AND(N1162=1,OR(O1162="SUPPORTED",O1162="HALLUCINATION"))</x:f>
        <x:v>0</x:v>
      </x:c>
      <x:c r="X1162" s="43" t="n">
        <x:f>--AND(W1162=1,O1162="HALLUCINATION")</x:f>
        <x:v>0</x:v>
      </x:c>
      <x:c r="Y1162" s="43" t="n">
        <x:f>--AND(Q1162=1,O1162="HALLUCINATION")</x:f>
        <x:v>0</x:v>
      </x:c>
      <x:c r="Z1162" s="43" t="n">
        <x:f>--AND(Y1162=1,R1162=1,S1162=1)</x:f>
        <x:v>0</x:v>
      </x:c>
      <x:c r="AC1162" t="str">
        <x:f>IF(OR(AA1162="",AB1162=""),"",--(AA1162&lt;&gt;AB1162))</x:f>
      </x:c>
      <x:c r="AE1162" t="str">
        <x:f>IF(OR(AA1162="",AB1162=""),"PENDING_HUMAN",IF(AA1162=AB1162,AA1162,IF(AD1162&lt;&gt;"",AD1162,"PENDING_HUMAN")))</x:f>
        <x:v>PENDING_HUMAN</x:v>
      </x:c>
      <x:c r="AF1162" t="n">
        <x:f>--AND(A1162&lt;&gt;"",AA1162&lt;&gt;"",AB1162&lt;&gt;"",OR(AA1162=AB1162,AD1162&lt;&gt;""),IF(AE1162="HALLUCINATION",U1162&lt;&gt;"",TRUE))</x:f>
        <x:v>0</x:v>
      </x:c>
      <x:c r="AG1162" t="n">
        <x:f>--AND(N1162=1,AF1162=1,OR(AE1162="SUPPORTED",AE1162="HALLUCINATION"))</x:f>
        <x:v>0</x:v>
      </x:c>
      <x:c r="AH1162" t="n">
        <x:f>--AND(AG1162=1,AE1162="HALLUCINATION")</x:f>
        <x:v>0</x:v>
      </x:c>
      <x:c r="AI1162" t="n">
        <x:f>--AND(Q1162=1,AF1162=1,AE1162="HALLUCINATION")</x:f>
        <x:v>0</x:v>
      </x:c>
      <x:c r="AJ1162" t="n">
        <x:f>--AND(AI1162=1,R1162=1,S1162=1)</x:f>
        <x:v>0</x:v>
      </x:c>
    </x:row>
    <x:row r="1163">
      <x:c r="A1163" s="28"/>
      <x:c r="B1163" s="28"/>
      <x:c r="C1163" s="28"/>
      <x:c r="D1163" s="28"/>
      <x:c r="E1163" s="28"/>
      <x:c r="F1163" s="28"/>
      <x:c r="G1163" s="28"/>
      <x:c r="H1163" s="28"/>
      <x:c r="I1163" s="28"/>
      <x:c r="J1163" s="28"/>
      <x:c r="K1163" s="28"/>
      <x:c r="L1163" s="28"/>
      <x:c r="M1163" s="28"/>
      <x:c r="N1163" s="28"/>
      <x:c r="O1163" s="28"/>
      <x:c r="P1163" s="28"/>
      <x:c r="Q1163" s="28"/>
      <x:c r="R1163" s="28"/>
      <x:c r="S1163" s="28"/>
      <x:c r="T1163" s="28"/>
      <x:c r="U1163" s="28"/>
      <x:c r="V1163" s="28"/>
      <x:c r="W1163" s="43" t="n">
        <x:f>--AND(N1163=1,OR(O1163="SUPPORTED",O1163="HALLUCINATION"))</x:f>
        <x:v>0</x:v>
      </x:c>
      <x:c r="X1163" s="43" t="n">
        <x:f>--AND(W1163=1,O1163="HALLUCINATION")</x:f>
        <x:v>0</x:v>
      </x:c>
      <x:c r="Y1163" s="43" t="n">
        <x:f>--AND(Q1163=1,O1163="HALLUCINATION")</x:f>
        <x:v>0</x:v>
      </x:c>
      <x:c r="Z1163" s="43" t="n">
        <x:f>--AND(Y1163=1,R1163=1,S1163=1)</x:f>
        <x:v>0</x:v>
      </x:c>
      <x:c r="AC1163" t="str">
        <x:f>IF(OR(AA1163="",AB1163=""),"",--(AA1163&lt;&gt;AB1163))</x:f>
      </x:c>
      <x:c r="AE1163" t="str">
        <x:f>IF(OR(AA1163="",AB1163=""),"PENDING_HUMAN",IF(AA1163=AB1163,AA1163,IF(AD1163&lt;&gt;"",AD1163,"PENDING_HUMAN")))</x:f>
        <x:v>PENDING_HUMAN</x:v>
      </x:c>
      <x:c r="AF1163" t="n">
        <x:f>--AND(A1163&lt;&gt;"",AA1163&lt;&gt;"",AB1163&lt;&gt;"",OR(AA1163=AB1163,AD1163&lt;&gt;""),IF(AE1163="HALLUCINATION",U1163&lt;&gt;"",TRUE))</x:f>
        <x:v>0</x:v>
      </x:c>
      <x:c r="AG1163" t="n">
        <x:f>--AND(N1163=1,AF1163=1,OR(AE1163="SUPPORTED",AE1163="HALLUCINATION"))</x:f>
        <x:v>0</x:v>
      </x:c>
      <x:c r="AH1163" t="n">
        <x:f>--AND(AG1163=1,AE1163="HALLUCINATION")</x:f>
        <x:v>0</x:v>
      </x:c>
      <x:c r="AI1163" t="n">
        <x:f>--AND(Q1163=1,AF1163=1,AE1163="HALLUCINATION")</x:f>
        <x:v>0</x:v>
      </x:c>
      <x:c r="AJ1163" t="n">
        <x:f>--AND(AI1163=1,R1163=1,S1163=1)</x:f>
        <x:v>0</x:v>
      </x:c>
    </x:row>
    <x:row r="1164">
      <x:c r="A1164" s="28"/>
      <x:c r="B1164" s="28"/>
      <x:c r="C1164" s="28"/>
      <x:c r="D1164" s="28"/>
      <x:c r="E1164" s="28"/>
      <x:c r="F1164" s="28"/>
      <x:c r="G1164" s="28"/>
      <x:c r="H1164" s="28"/>
      <x:c r="I1164" s="28"/>
      <x:c r="J1164" s="28"/>
      <x:c r="K1164" s="28"/>
      <x:c r="L1164" s="28"/>
      <x:c r="M1164" s="28"/>
      <x:c r="N1164" s="28"/>
      <x:c r="O1164" s="28"/>
      <x:c r="P1164" s="28"/>
      <x:c r="Q1164" s="28"/>
      <x:c r="R1164" s="28"/>
      <x:c r="S1164" s="28"/>
      <x:c r="T1164" s="28"/>
      <x:c r="U1164" s="28"/>
      <x:c r="V1164" s="28"/>
      <x:c r="W1164" s="43" t="n">
        <x:f>--AND(N1164=1,OR(O1164="SUPPORTED",O1164="HALLUCINATION"))</x:f>
        <x:v>0</x:v>
      </x:c>
      <x:c r="X1164" s="43" t="n">
        <x:f>--AND(W1164=1,O1164="HALLUCINATION")</x:f>
        <x:v>0</x:v>
      </x:c>
      <x:c r="Y1164" s="43" t="n">
        <x:f>--AND(Q1164=1,O1164="HALLUCINATION")</x:f>
        <x:v>0</x:v>
      </x:c>
      <x:c r="Z1164" s="43" t="n">
        <x:f>--AND(Y1164=1,R1164=1,S1164=1)</x:f>
        <x:v>0</x:v>
      </x:c>
      <x:c r="AC1164" t="str">
        <x:f>IF(OR(AA1164="",AB1164=""),"",--(AA1164&lt;&gt;AB1164))</x:f>
      </x:c>
      <x:c r="AE1164" t="str">
        <x:f>IF(OR(AA1164="",AB1164=""),"PENDING_HUMAN",IF(AA1164=AB1164,AA1164,IF(AD1164&lt;&gt;"",AD1164,"PENDING_HUMAN")))</x:f>
        <x:v>PENDING_HUMAN</x:v>
      </x:c>
      <x:c r="AF1164" t="n">
        <x:f>--AND(A1164&lt;&gt;"",AA1164&lt;&gt;"",AB1164&lt;&gt;"",OR(AA1164=AB1164,AD1164&lt;&gt;""),IF(AE1164="HALLUCINATION",U1164&lt;&gt;"",TRUE))</x:f>
        <x:v>0</x:v>
      </x:c>
      <x:c r="AG1164" t="n">
        <x:f>--AND(N1164=1,AF1164=1,OR(AE1164="SUPPORTED",AE1164="HALLUCINATION"))</x:f>
        <x:v>0</x:v>
      </x:c>
      <x:c r="AH1164" t="n">
        <x:f>--AND(AG1164=1,AE1164="HALLUCINATION")</x:f>
        <x:v>0</x:v>
      </x:c>
      <x:c r="AI1164" t="n">
        <x:f>--AND(Q1164=1,AF1164=1,AE1164="HALLUCINATION")</x:f>
        <x:v>0</x:v>
      </x:c>
      <x:c r="AJ1164" t="n">
        <x:f>--AND(AI1164=1,R1164=1,S1164=1)</x:f>
        <x:v>0</x:v>
      </x:c>
    </x:row>
    <x:row r="1165">
      <x:c r="A1165" s="28"/>
      <x:c r="B1165" s="28"/>
      <x:c r="C1165" s="28"/>
      <x:c r="D1165" s="28"/>
      <x:c r="E1165" s="28"/>
      <x:c r="F1165" s="28"/>
      <x:c r="G1165" s="28"/>
      <x:c r="H1165" s="28"/>
      <x:c r="I1165" s="28"/>
      <x:c r="J1165" s="28"/>
      <x:c r="K1165" s="28"/>
      <x:c r="L1165" s="28"/>
      <x:c r="M1165" s="28"/>
      <x:c r="N1165" s="28"/>
      <x:c r="O1165" s="28"/>
      <x:c r="P1165" s="28"/>
      <x:c r="Q1165" s="28"/>
      <x:c r="R1165" s="28"/>
      <x:c r="S1165" s="28"/>
      <x:c r="T1165" s="28"/>
      <x:c r="U1165" s="28"/>
      <x:c r="V1165" s="28"/>
      <x:c r="W1165" s="43" t="n">
        <x:f>--AND(N1165=1,OR(O1165="SUPPORTED",O1165="HALLUCINATION"))</x:f>
        <x:v>0</x:v>
      </x:c>
      <x:c r="X1165" s="43" t="n">
        <x:f>--AND(W1165=1,O1165="HALLUCINATION")</x:f>
        <x:v>0</x:v>
      </x:c>
      <x:c r="Y1165" s="43" t="n">
        <x:f>--AND(Q1165=1,O1165="HALLUCINATION")</x:f>
        <x:v>0</x:v>
      </x:c>
      <x:c r="Z1165" s="43" t="n">
        <x:f>--AND(Y1165=1,R1165=1,S1165=1)</x:f>
        <x:v>0</x:v>
      </x:c>
      <x:c r="AC1165" t="str">
        <x:f>IF(OR(AA1165="",AB1165=""),"",--(AA1165&lt;&gt;AB1165))</x:f>
      </x:c>
      <x:c r="AE1165" t="str">
        <x:f>IF(OR(AA1165="",AB1165=""),"PENDING_HUMAN",IF(AA1165=AB1165,AA1165,IF(AD1165&lt;&gt;"",AD1165,"PENDING_HUMAN")))</x:f>
        <x:v>PENDING_HUMAN</x:v>
      </x:c>
      <x:c r="AF1165" t="n">
        <x:f>--AND(A1165&lt;&gt;"",AA1165&lt;&gt;"",AB1165&lt;&gt;"",OR(AA1165=AB1165,AD1165&lt;&gt;""),IF(AE1165="HALLUCINATION",U1165&lt;&gt;"",TRUE))</x:f>
        <x:v>0</x:v>
      </x:c>
      <x:c r="AG1165" t="n">
        <x:f>--AND(N1165=1,AF1165=1,OR(AE1165="SUPPORTED",AE1165="HALLUCINATION"))</x:f>
        <x:v>0</x:v>
      </x:c>
      <x:c r="AH1165" t="n">
        <x:f>--AND(AG1165=1,AE1165="HALLUCINATION")</x:f>
        <x:v>0</x:v>
      </x:c>
      <x:c r="AI1165" t="n">
        <x:f>--AND(Q1165=1,AF1165=1,AE1165="HALLUCINATION")</x:f>
        <x:v>0</x:v>
      </x:c>
      <x:c r="AJ1165" t="n">
        <x:f>--AND(AI1165=1,R1165=1,S1165=1)</x:f>
        <x:v>0</x:v>
      </x:c>
    </x:row>
    <x:row r="1166">
      <x:c r="A1166" s="28"/>
      <x:c r="B1166" s="28"/>
      <x:c r="C1166" s="28"/>
      <x:c r="D1166" s="28"/>
      <x:c r="E1166" s="28"/>
      <x:c r="F1166" s="28"/>
      <x:c r="G1166" s="28"/>
      <x:c r="H1166" s="28"/>
      <x:c r="I1166" s="28"/>
      <x:c r="J1166" s="28"/>
      <x:c r="K1166" s="28"/>
      <x:c r="L1166" s="28"/>
      <x:c r="M1166" s="28"/>
      <x:c r="N1166" s="28"/>
      <x:c r="O1166" s="28"/>
      <x:c r="P1166" s="28"/>
      <x:c r="Q1166" s="28"/>
      <x:c r="R1166" s="28"/>
      <x:c r="S1166" s="28"/>
      <x:c r="T1166" s="28"/>
      <x:c r="U1166" s="28"/>
      <x:c r="V1166" s="28"/>
      <x:c r="W1166" s="43" t="n">
        <x:f>--AND(N1166=1,OR(O1166="SUPPORTED",O1166="HALLUCINATION"))</x:f>
        <x:v>0</x:v>
      </x:c>
      <x:c r="X1166" s="43" t="n">
        <x:f>--AND(W1166=1,O1166="HALLUCINATION")</x:f>
        <x:v>0</x:v>
      </x:c>
      <x:c r="Y1166" s="43" t="n">
        <x:f>--AND(Q1166=1,O1166="HALLUCINATION")</x:f>
        <x:v>0</x:v>
      </x:c>
      <x:c r="Z1166" s="43" t="n">
        <x:f>--AND(Y1166=1,R1166=1,S1166=1)</x:f>
        <x:v>0</x:v>
      </x:c>
      <x:c r="AC1166" t="str">
        <x:f>IF(OR(AA1166="",AB1166=""),"",--(AA1166&lt;&gt;AB1166))</x:f>
      </x:c>
      <x:c r="AE1166" t="str">
        <x:f>IF(OR(AA1166="",AB1166=""),"PENDING_HUMAN",IF(AA1166=AB1166,AA1166,IF(AD1166&lt;&gt;"",AD1166,"PENDING_HUMAN")))</x:f>
        <x:v>PENDING_HUMAN</x:v>
      </x:c>
      <x:c r="AF1166" t="n">
        <x:f>--AND(A1166&lt;&gt;"",AA1166&lt;&gt;"",AB1166&lt;&gt;"",OR(AA1166=AB1166,AD1166&lt;&gt;""),IF(AE1166="HALLUCINATION",U1166&lt;&gt;"",TRUE))</x:f>
        <x:v>0</x:v>
      </x:c>
      <x:c r="AG1166" t="n">
        <x:f>--AND(N1166=1,AF1166=1,OR(AE1166="SUPPORTED",AE1166="HALLUCINATION"))</x:f>
        <x:v>0</x:v>
      </x:c>
      <x:c r="AH1166" t="n">
        <x:f>--AND(AG1166=1,AE1166="HALLUCINATION")</x:f>
        <x:v>0</x:v>
      </x:c>
      <x:c r="AI1166" t="n">
        <x:f>--AND(Q1166=1,AF1166=1,AE1166="HALLUCINATION")</x:f>
        <x:v>0</x:v>
      </x:c>
      <x:c r="AJ1166" t="n">
        <x:f>--AND(AI1166=1,R1166=1,S1166=1)</x:f>
        <x:v>0</x:v>
      </x:c>
    </x:row>
    <x:row r="1167">
      <x:c r="A1167" s="28"/>
      <x:c r="B1167" s="28"/>
      <x:c r="C1167" s="28"/>
      <x:c r="D1167" s="28"/>
      <x:c r="E1167" s="28"/>
      <x:c r="F1167" s="28"/>
      <x:c r="G1167" s="28"/>
      <x:c r="H1167" s="28"/>
      <x:c r="I1167" s="28"/>
      <x:c r="J1167" s="28"/>
      <x:c r="K1167" s="28"/>
      <x:c r="L1167" s="28"/>
      <x:c r="M1167" s="28"/>
      <x:c r="N1167" s="28"/>
      <x:c r="O1167" s="28"/>
      <x:c r="P1167" s="28"/>
      <x:c r="Q1167" s="28"/>
      <x:c r="R1167" s="28"/>
      <x:c r="S1167" s="28"/>
      <x:c r="T1167" s="28"/>
      <x:c r="U1167" s="28"/>
      <x:c r="V1167" s="28"/>
      <x:c r="W1167" s="43" t="n">
        <x:f>--AND(N1167=1,OR(O1167="SUPPORTED",O1167="HALLUCINATION"))</x:f>
        <x:v>0</x:v>
      </x:c>
      <x:c r="X1167" s="43" t="n">
        <x:f>--AND(W1167=1,O1167="HALLUCINATION")</x:f>
        <x:v>0</x:v>
      </x:c>
      <x:c r="Y1167" s="43" t="n">
        <x:f>--AND(Q1167=1,O1167="HALLUCINATION")</x:f>
        <x:v>0</x:v>
      </x:c>
      <x:c r="Z1167" s="43" t="n">
        <x:f>--AND(Y1167=1,R1167=1,S1167=1)</x:f>
        <x:v>0</x:v>
      </x:c>
      <x:c r="AC1167" t="str">
        <x:f>IF(OR(AA1167="",AB1167=""),"",--(AA1167&lt;&gt;AB1167))</x:f>
      </x:c>
      <x:c r="AE1167" t="str">
        <x:f>IF(OR(AA1167="",AB1167=""),"PENDING_HUMAN",IF(AA1167=AB1167,AA1167,IF(AD1167&lt;&gt;"",AD1167,"PENDING_HUMAN")))</x:f>
        <x:v>PENDING_HUMAN</x:v>
      </x:c>
      <x:c r="AF1167" t="n">
        <x:f>--AND(A1167&lt;&gt;"",AA1167&lt;&gt;"",AB1167&lt;&gt;"",OR(AA1167=AB1167,AD1167&lt;&gt;""),IF(AE1167="HALLUCINATION",U1167&lt;&gt;"",TRUE))</x:f>
        <x:v>0</x:v>
      </x:c>
      <x:c r="AG1167" t="n">
        <x:f>--AND(N1167=1,AF1167=1,OR(AE1167="SUPPORTED",AE1167="HALLUCINATION"))</x:f>
        <x:v>0</x:v>
      </x:c>
      <x:c r="AH1167" t="n">
        <x:f>--AND(AG1167=1,AE1167="HALLUCINATION")</x:f>
        <x:v>0</x:v>
      </x:c>
      <x:c r="AI1167" t="n">
        <x:f>--AND(Q1167=1,AF1167=1,AE1167="HALLUCINATION")</x:f>
        <x:v>0</x:v>
      </x:c>
      <x:c r="AJ1167" t="n">
        <x:f>--AND(AI1167=1,R1167=1,S1167=1)</x:f>
        <x:v>0</x:v>
      </x:c>
    </x:row>
    <x:row r="1168">
      <x:c r="A1168" s="28"/>
      <x:c r="B1168" s="28"/>
      <x:c r="C1168" s="28"/>
      <x:c r="D1168" s="28"/>
      <x:c r="E1168" s="28"/>
      <x:c r="F1168" s="28"/>
      <x:c r="G1168" s="28"/>
      <x:c r="H1168" s="28"/>
      <x:c r="I1168" s="28"/>
      <x:c r="J1168" s="28"/>
      <x:c r="K1168" s="28"/>
      <x:c r="L1168" s="28"/>
      <x:c r="M1168" s="28"/>
      <x:c r="N1168" s="28"/>
      <x:c r="O1168" s="28"/>
      <x:c r="P1168" s="28"/>
      <x:c r="Q1168" s="28"/>
      <x:c r="R1168" s="28"/>
      <x:c r="S1168" s="28"/>
      <x:c r="T1168" s="28"/>
      <x:c r="U1168" s="28"/>
      <x:c r="V1168" s="28"/>
      <x:c r="W1168" s="43" t="n">
        <x:f>--AND(N1168=1,OR(O1168="SUPPORTED",O1168="HALLUCINATION"))</x:f>
        <x:v>0</x:v>
      </x:c>
      <x:c r="X1168" s="43" t="n">
        <x:f>--AND(W1168=1,O1168="HALLUCINATION")</x:f>
        <x:v>0</x:v>
      </x:c>
      <x:c r="Y1168" s="43" t="n">
        <x:f>--AND(Q1168=1,O1168="HALLUCINATION")</x:f>
        <x:v>0</x:v>
      </x:c>
      <x:c r="Z1168" s="43" t="n">
        <x:f>--AND(Y1168=1,R1168=1,S1168=1)</x:f>
        <x:v>0</x:v>
      </x:c>
      <x:c r="AC1168" t="str">
        <x:f>IF(OR(AA1168="",AB1168=""),"",--(AA1168&lt;&gt;AB1168))</x:f>
      </x:c>
      <x:c r="AE1168" t="str">
        <x:f>IF(OR(AA1168="",AB1168=""),"PENDING_HUMAN",IF(AA1168=AB1168,AA1168,IF(AD1168&lt;&gt;"",AD1168,"PENDING_HUMAN")))</x:f>
        <x:v>PENDING_HUMAN</x:v>
      </x:c>
      <x:c r="AF1168" t="n">
        <x:f>--AND(A1168&lt;&gt;"",AA1168&lt;&gt;"",AB1168&lt;&gt;"",OR(AA1168=AB1168,AD1168&lt;&gt;""),IF(AE1168="HALLUCINATION",U1168&lt;&gt;"",TRUE))</x:f>
        <x:v>0</x:v>
      </x:c>
      <x:c r="AG1168" t="n">
        <x:f>--AND(N1168=1,AF1168=1,OR(AE1168="SUPPORTED",AE1168="HALLUCINATION"))</x:f>
        <x:v>0</x:v>
      </x:c>
      <x:c r="AH1168" t="n">
        <x:f>--AND(AG1168=1,AE1168="HALLUCINATION")</x:f>
        <x:v>0</x:v>
      </x:c>
      <x:c r="AI1168" t="n">
        <x:f>--AND(Q1168=1,AF1168=1,AE1168="HALLUCINATION")</x:f>
        <x:v>0</x:v>
      </x:c>
      <x:c r="AJ1168" t="n">
        <x:f>--AND(AI1168=1,R1168=1,S1168=1)</x:f>
        <x:v>0</x:v>
      </x:c>
    </x:row>
    <x:row r="1169">
      <x:c r="A1169" s="28"/>
      <x:c r="B1169" s="28"/>
      <x:c r="C1169" s="28"/>
      <x:c r="D1169" s="28"/>
      <x:c r="E1169" s="28"/>
      <x:c r="F1169" s="28"/>
      <x:c r="G1169" s="28"/>
      <x:c r="H1169" s="28"/>
      <x:c r="I1169" s="28"/>
      <x:c r="J1169" s="28"/>
      <x:c r="K1169" s="28"/>
      <x:c r="L1169" s="28"/>
      <x:c r="M1169" s="28"/>
      <x:c r="N1169" s="28"/>
      <x:c r="O1169" s="28"/>
      <x:c r="P1169" s="28"/>
      <x:c r="Q1169" s="28"/>
      <x:c r="R1169" s="28"/>
      <x:c r="S1169" s="28"/>
      <x:c r="T1169" s="28"/>
      <x:c r="U1169" s="28"/>
      <x:c r="V1169" s="28"/>
      <x:c r="W1169" s="43" t="n">
        <x:f>--AND(N1169=1,OR(O1169="SUPPORTED",O1169="HALLUCINATION"))</x:f>
        <x:v>0</x:v>
      </x:c>
      <x:c r="X1169" s="43" t="n">
        <x:f>--AND(W1169=1,O1169="HALLUCINATION")</x:f>
        <x:v>0</x:v>
      </x:c>
      <x:c r="Y1169" s="43" t="n">
        <x:f>--AND(Q1169=1,O1169="HALLUCINATION")</x:f>
        <x:v>0</x:v>
      </x:c>
      <x:c r="Z1169" s="43" t="n">
        <x:f>--AND(Y1169=1,R1169=1,S1169=1)</x:f>
        <x:v>0</x:v>
      </x:c>
      <x:c r="AC1169" t="str">
        <x:f>IF(OR(AA1169="",AB1169=""),"",--(AA1169&lt;&gt;AB1169))</x:f>
      </x:c>
      <x:c r="AE1169" t="str">
        <x:f>IF(OR(AA1169="",AB1169=""),"PENDING_HUMAN",IF(AA1169=AB1169,AA1169,IF(AD1169&lt;&gt;"",AD1169,"PENDING_HUMAN")))</x:f>
        <x:v>PENDING_HUMAN</x:v>
      </x:c>
      <x:c r="AF1169" t="n">
        <x:f>--AND(A1169&lt;&gt;"",AA1169&lt;&gt;"",AB1169&lt;&gt;"",OR(AA1169=AB1169,AD1169&lt;&gt;""),IF(AE1169="HALLUCINATION",U1169&lt;&gt;"",TRUE))</x:f>
        <x:v>0</x:v>
      </x:c>
      <x:c r="AG1169" t="n">
        <x:f>--AND(N1169=1,AF1169=1,OR(AE1169="SUPPORTED",AE1169="HALLUCINATION"))</x:f>
        <x:v>0</x:v>
      </x:c>
      <x:c r="AH1169" t="n">
        <x:f>--AND(AG1169=1,AE1169="HALLUCINATION")</x:f>
        <x:v>0</x:v>
      </x:c>
      <x:c r="AI1169" t="n">
        <x:f>--AND(Q1169=1,AF1169=1,AE1169="HALLUCINATION")</x:f>
        <x:v>0</x:v>
      </x:c>
      <x:c r="AJ1169" t="n">
        <x:f>--AND(AI1169=1,R1169=1,S1169=1)</x:f>
        <x:v>0</x:v>
      </x:c>
    </x:row>
    <x:row r="1170">
      <x:c r="A1170" s="28"/>
      <x:c r="B1170" s="28"/>
      <x:c r="C1170" s="28"/>
      <x:c r="D1170" s="28"/>
      <x:c r="E1170" s="28"/>
      <x:c r="F1170" s="28"/>
      <x:c r="G1170" s="28"/>
      <x:c r="H1170" s="28"/>
      <x:c r="I1170" s="28"/>
      <x:c r="J1170" s="28"/>
      <x:c r="K1170" s="28"/>
      <x:c r="L1170" s="28"/>
      <x:c r="M1170" s="28"/>
      <x:c r="N1170" s="28"/>
      <x:c r="O1170" s="28"/>
      <x:c r="P1170" s="28"/>
      <x:c r="Q1170" s="28"/>
      <x:c r="R1170" s="28"/>
      <x:c r="S1170" s="28"/>
      <x:c r="T1170" s="28"/>
      <x:c r="U1170" s="28"/>
      <x:c r="V1170" s="28"/>
      <x:c r="W1170" s="43" t="n">
        <x:f>--AND(N1170=1,OR(O1170="SUPPORTED",O1170="HALLUCINATION"))</x:f>
        <x:v>0</x:v>
      </x:c>
      <x:c r="X1170" s="43" t="n">
        <x:f>--AND(W1170=1,O1170="HALLUCINATION")</x:f>
        <x:v>0</x:v>
      </x:c>
      <x:c r="Y1170" s="43" t="n">
        <x:f>--AND(Q1170=1,O1170="HALLUCINATION")</x:f>
        <x:v>0</x:v>
      </x:c>
      <x:c r="Z1170" s="43" t="n">
        <x:f>--AND(Y1170=1,R1170=1,S1170=1)</x:f>
        <x:v>0</x:v>
      </x:c>
      <x:c r="AC1170" t="str">
        <x:f>IF(OR(AA1170="",AB1170=""),"",--(AA1170&lt;&gt;AB1170))</x:f>
      </x:c>
      <x:c r="AE1170" t="str">
        <x:f>IF(OR(AA1170="",AB1170=""),"PENDING_HUMAN",IF(AA1170=AB1170,AA1170,IF(AD1170&lt;&gt;"",AD1170,"PENDING_HUMAN")))</x:f>
        <x:v>PENDING_HUMAN</x:v>
      </x:c>
      <x:c r="AF1170" t="n">
        <x:f>--AND(A1170&lt;&gt;"",AA1170&lt;&gt;"",AB1170&lt;&gt;"",OR(AA1170=AB1170,AD1170&lt;&gt;""),IF(AE1170="HALLUCINATION",U1170&lt;&gt;"",TRUE))</x:f>
        <x:v>0</x:v>
      </x:c>
      <x:c r="AG1170" t="n">
        <x:f>--AND(N1170=1,AF1170=1,OR(AE1170="SUPPORTED",AE1170="HALLUCINATION"))</x:f>
        <x:v>0</x:v>
      </x:c>
      <x:c r="AH1170" t="n">
        <x:f>--AND(AG1170=1,AE1170="HALLUCINATION")</x:f>
        <x:v>0</x:v>
      </x:c>
      <x:c r="AI1170" t="n">
        <x:f>--AND(Q1170=1,AF1170=1,AE1170="HALLUCINATION")</x:f>
        <x:v>0</x:v>
      </x:c>
      <x:c r="AJ1170" t="n">
        <x:f>--AND(AI1170=1,R1170=1,S1170=1)</x:f>
        <x:v>0</x:v>
      </x:c>
    </x:row>
    <x:row r="1171">
      <x:c r="A1171" s="28"/>
      <x:c r="B1171" s="28"/>
      <x:c r="C1171" s="28"/>
      <x:c r="D1171" s="28"/>
      <x:c r="E1171" s="28"/>
      <x:c r="F1171" s="28"/>
      <x:c r="G1171" s="28"/>
      <x:c r="H1171" s="28"/>
      <x:c r="I1171" s="28"/>
      <x:c r="J1171" s="28"/>
      <x:c r="K1171" s="28"/>
      <x:c r="L1171" s="28"/>
      <x:c r="M1171" s="28"/>
      <x:c r="N1171" s="28"/>
      <x:c r="O1171" s="28"/>
      <x:c r="P1171" s="28"/>
      <x:c r="Q1171" s="28"/>
      <x:c r="R1171" s="28"/>
      <x:c r="S1171" s="28"/>
      <x:c r="T1171" s="28"/>
      <x:c r="U1171" s="28"/>
      <x:c r="V1171" s="28"/>
      <x:c r="W1171" s="43" t="n">
        <x:f>--AND(N1171=1,OR(O1171="SUPPORTED",O1171="HALLUCINATION"))</x:f>
        <x:v>0</x:v>
      </x:c>
      <x:c r="X1171" s="43" t="n">
        <x:f>--AND(W1171=1,O1171="HALLUCINATION")</x:f>
        <x:v>0</x:v>
      </x:c>
      <x:c r="Y1171" s="43" t="n">
        <x:f>--AND(Q1171=1,O1171="HALLUCINATION")</x:f>
        <x:v>0</x:v>
      </x:c>
      <x:c r="Z1171" s="43" t="n">
        <x:f>--AND(Y1171=1,R1171=1,S1171=1)</x:f>
        <x:v>0</x:v>
      </x:c>
      <x:c r="AC1171" t="str">
        <x:f>IF(OR(AA1171="",AB1171=""),"",--(AA1171&lt;&gt;AB1171))</x:f>
      </x:c>
      <x:c r="AE1171" t="str">
        <x:f>IF(OR(AA1171="",AB1171=""),"PENDING_HUMAN",IF(AA1171=AB1171,AA1171,IF(AD1171&lt;&gt;"",AD1171,"PENDING_HUMAN")))</x:f>
        <x:v>PENDING_HUMAN</x:v>
      </x:c>
      <x:c r="AF1171" t="n">
        <x:f>--AND(A1171&lt;&gt;"",AA1171&lt;&gt;"",AB1171&lt;&gt;"",OR(AA1171=AB1171,AD1171&lt;&gt;""),IF(AE1171="HALLUCINATION",U1171&lt;&gt;"",TRUE))</x:f>
        <x:v>0</x:v>
      </x:c>
      <x:c r="AG1171" t="n">
        <x:f>--AND(N1171=1,AF1171=1,OR(AE1171="SUPPORTED",AE1171="HALLUCINATION"))</x:f>
        <x:v>0</x:v>
      </x:c>
      <x:c r="AH1171" t="n">
        <x:f>--AND(AG1171=1,AE1171="HALLUCINATION")</x:f>
        <x:v>0</x:v>
      </x:c>
      <x:c r="AI1171" t="n">
        <x:f>--AND(Q1171=1,AF1171=1,AE1171="HALLUCINATION")</x:f>
        <x:v>0</x:v>
      </x:c>
      <x:c r="AJ1171" t="n">
        <x:f>--AND(AI1171=1,R1171=1,S1171=1)</x:f>
        <x:v>0</x:v>
      </x:c>
    </x:row>
    <x:row r="1172">
      <x:c r="A1172" s="28"/>
      <x:c r="B1172" s="28"/>
      <x:c r="C1172" s="28"/>
      <x:c r="D1172" s="28"/>
      <x:c r="E1172" s="28"/>
      <x:c r="F1172" s="28"/>
      <x:c r="G1172" s="28"/>
      <x:c r="H1172" s="28"/>
      <x:c r="I1172" s="28"/>
      <x:c r="J1172" s="28"/>
      <x:c r="K1172" s="28"/>
      <x:c r="L1172" s="28"/>
      <x:c r="M1172" s="28"/>
      <x:c r="N1172" s="28"/>
      <x:c r="O1172" s="28"/>
      <x:c r="P1172" s="28"/>
      <x:c r="Q1172" s="28"/>
      <x:c r="R1172" s="28"/>
      <x:c r="S1172" s="28"/>
      <x:c r="T1172" s="28"/>
      <x:c r="U1172" s="28"/>
      <x:c r="V1172" s="28"/>
      <x:c r="W1172" s="43" t="n">
        <x:f>--AND(N1172=1,OR(O1172="SUPPORTED",O1172="HALLUCINATION"))</x:f>
        <x:v>0</x:v>
      </x:c>
      <x:c r="X1172" s="43" t="n">
        <x:f>--AND(W1172=1,O1172="HALLUCINATION")</x:f>
        <x:v>0</x:v>
      </x:c>
      <x:c r="Y1172" s="43" t="n">
        <x:f>--AND(Q1172=1,O1172="HALLUCINATION")</x:f>
        <x:v>0</x:v>
      </x:c>
      <x:c r="Z1172" s="43" t="n">
        <x:f>--AND(Y1172=1,R1172=1,S1172=1)</x:f>
        <x:v>0</x:v>
      </x:c>
      <x:c r="AC1172" t="str">
        <x:f>IF(OR(AA1172="",AB1172=""),"",--(AA1172&lt;&gt;AB1172))</x:f>
      </x:c>
      <x:c r="AE1172" t="str">
        <x:f>IF(OR(AA1172="",AB1172=""),"PENDING_HUMAN",IF(AA1172=AB1172,AA1172,IF(AD1172&lt;&gt;"",AD1172,"PENDING_HUMAN")))</x:f>
        <x:v>PENDING_HUMAN</x:v>
      </x:c>
      <x:c r="AF1172" t="n">
        <x:f>--AND(A1172&lt;&gt;"",AA1172&lt;&gt;"",AB1172&lt;&gt;"",OR(AA1172=AB1172,AD1172&lt;&gt;""),IF(AE1172="HALLUCINATION",U1172&lt;&gt;"",TRUE))</x:f>
        <x:v>0</x:v>
      </x:c>
      <x:c r="AG1172" t="n">
        <x:f>--AND(N1172=1,AF1172=1,OR(AE1172="SUPPORTED",AE1172="HALLUCINATION"))</x:f>
        <x:v>0</x:v>
      </x:c>
      <x:c r="AH1172" t="n">
        <x:f>--AND(AG1172=1,AE1172="HALLUCINATION")</x:f>
        <x:v>0</x:v>
      </x:c>
      <x:c r="AI1172" t="n">
        <x:f>--AND(Q1172=1,AF1172=1,AE1172="HALLUCINATION")</x:f>
        <x:v>0</x:v>
      </x:c>
      <x:c r="AJ1172" t="n">
        <x:f>--AND(AI1172=1,R1172=1,S1172=1)</x:f>
        <x:v>0</x:v>
      </x:c>
    </x:row>
    <x:row r="1173">
      <x:c r="A1173" s="28"/>
      <x:c r="B1173" s="28"/>
      <x:c r="C1173" s="28"/>
      <x:c r="D1173" s="28"/>
      <x:c r="E1173" s="28"/>
      <x:c r="F1173" s="28"/>
      <x:c r="G1173" s="28"/>
      <x:c r="H1173" s="28"/>
      <x:c r="I1173" s="28"/>
      <x:c r="J1173" s="28"/>
      <x:c r="K1173" s="28"/>
      <x:c r="L1173" s="28"/>
      <x:c r="M1173" s="28"/>
      <x:c r="N1173" s="28"/>
      <x:c r="O1173" s="28"/>
      <x:c r="P1173" s="28"/>
      <x:c r="Q1173" s="28"/>
      <x:c r="R1173" s="28"/>
      <x:c r="S1173" s="28"/>
      <x:c r="T1173" s="28"/>
      <x:c r="U1173" s="28"/>
      <x:c r="V1173" s="28"/>
      <x:c r="W1173" s="43" t="n">
        <x:f>--AND(N1173=1,OR(O1173="SUPPORTED",O1173="HALLUCINATION"))</x:f>
        <x:v>0</x:v>
      </x:c>
      <x:c r="X1173" s="43" t="n">
        <x:f>--AND(W1173=1,O1173="HALLUCINATION")</x:f>
        <x:v>0</x:v>
      </x:c>
      <x:c r="Y1173" s="43" t="n">
        <x:f>--AND(Q1173=1,O1173="HALLUCINATION")</x:f>
        <x:v>0</x:v>
      </x:c>
      <x:c r="Z1173" s="43" t="n">
        <x:f>--AND(Y1173=1,R1173=1,S1173=1)</x:f>
        <x:v>0</x:v>
      </x:c>
      <x:c r="AC1173" t="str">
        <x:f>IF(OR(AA1173="",AB1173=""),"",--(AA1173&lt;&gt;AB1173))</x:f>
      </x:c>
      <x:c r="AE1173" t="str">
        <x:f>IF(OR(AA1173="",AB1173=""),"PENDING_HUMAN",IF(AA1173=AB1173,AA1173,IF(AD1173&lt;&gt;"",AD1173,"PENDING_HUMAN")))</x:f>
        <x:v>PENDING_HUMAN</x:v>
      </x:c>
      <x:c r="AF1173" t="n">
        <x:f>--AND(A1173&lt;&gt;"",AA1173&lt;&gt;"",AB1173&lt;&gt;"",OR(AA1173=AB1173,AD1173&lt;&gt;""),IF(AE1173="HALLUCINATION",U1173&lt;&gt;"",TRUE))</x:f>
        <x:v>0</x:v>
      </x:c>
      <x:c r="AG1173" t="n">
        <x:f>--AND(N1173=1,AF1173=1,OR(AE1173="SUPPORTED",AE1173="HALLUCINATION"))</x:f>
        <x:v>0</x:v>
      </x:c>
      <x:c r="AH1173" t="n">
        <x:f>--AND(AG1173=1,AE1173="HALLUCINATION")</x:f>
        <x:v>0</x:v>
      </x:c>
      <x:c r="AI1173" t="n">
        <x:f>--AND(Q1173=1,AF1173=1,AE1173="HALLUCINATION")</x:f>
        <x:v>0</x:v>
      </x:c>
      <x:c r="AJ1173" t="n">
        <x:f>--AND(AI1173=1,R1173=1,S1173=1)</x:f>
        <x:v>0</x:v>
      </x:c>
    </x:row>
    <x:row r="1174">
      <x:c r="A1174" s="28"/>
      <x:c r="B1174" s="28"/>
      <x:c r="C1174" s="28"/>
      <x:c r="D1174" s="28"/>
      <x:c r="E1174" s="28"/>
      <x:c r="F1174" s="28"/>
      <x:c r="G1174" s="28"/>
      <x:c r="H1174" s="28"/>
      <x:c r="I1174" s="28"/>
      <x:c r="J1174" s="28"/>
      <x:c r="K1174" s="28"/>
      <x:c r="L1174" s="28"/>
      <x:c r="M1174" s="28"/>
      <x:c r="N1174" s="28"/>
      <x:c r="O1174" s="28"/>
      <x:c r="P1174" s="28"/>
      <x:c r="Q1174" s="28"/>
      <x:c r="R1174" s="28"/>
      <x:c r="S1174" s="28"/>
      <x:c r="T1174" s="28"/>
      <x:c r="U1174" s="28"/>
      <x:c r="V1174" s="28"/>
      <x:c r="W1174" s="43" t="n">
        <x:f>--AND(N1174=1,OR(O1174="SUPPORTED",O1174="HALLUCINATION"))</x:f>
        <x:v>0</x:v>
      </x:c>
      <x:c r="X1174" s="43" t="n">
        <x:f>--AND(W1174=1,O1174="HALLUCINATION")</x:f>
        <x:v>0</x:v>
      </x:c>
      <x:c r="Y1174" s="43" t="n">
        <x:f>--AND(Q1174=1,O1174="HALLUCINATION")</x:f>
        <x:v>0</x:v>
      </x:c>
      <x:c r="Z1174" s="43" t="n">
        <x:f>--AND(Y1174=1,R1174=1,S1174=1)</x:f>
        <x:v>0</x:v>
      </x:c>
      <x:c r="AC1174" t="str">
        <x:f>IF(OR(AA1174="",AB1174=""),"",--(AA1174&lt;&gt;AB1174))</x:f>
      </x:c>
      <x:c r="AE1174" t="str">
        <x:f>IF(OR(AA1174="",AB1174=""),"PENDING_HUMAN",IF(AA1174=AB1174,AA1174,IF(AD1174&lt;&gt;"",AD1174,"PENDING_HUMAN")))</x:f>
        <x:v>PENDING_HUMAN</x:v>
      </x:c>
      <x:c r="AF1174" t="n">
        <x:f>--AND(A1174&lt;&gt;"",AA1174&lt;&gt;"",AB1174&lt;&gt;"",OR(AA1174=AB1174,AD1174&lt;&gt;""),IF(AE1174="HALLUCINATION",U1174&lt;&gt;"",TRUE))</x:f>
        <x:v>0</x:v>
      </x:c>
      <x:c r="AG1174" t="n">
        <x:f>--AND(N1174=1,AF1174=1,OR(AE1174="SUPPORTED",AE1174="HALLUCINATION"))</x:f>
        <x:v>0</x:v>
      </x:c>
      <x:c r="AH1174" t="n">
        <x:f>--AND(AG1174=1,AE1174="HALLUCINATION")</x:f>
        <x:v>0</x:v>
      </x:c>
      <x:c r="AI1174" t="n">
        <x:f>--AND(Q1174=1,AF1174=1,AE1174="HALLUCINATION")</x:f>
        <x:v>0</x:v>
      </x:c>
      <x:c r="AJ1174" t="n">
        <x:f>--AND(AI1174=1,R1174=1,S1174=1)</x:f>
        <x:v>0</x:v>
      </x:c>
    </x:row>
    <x:row r="1175">
      <x:c r="A1175" s="28"/>
      <x:c r="B1175" s="28"/>
      <x:c r="C1175" s="28"/>
      <x:c r="D1175" s="28"/>
      <x:c r="E1175" s="28"/>
      <x:c r="F1175" s="28"/>
      <x:c r="G1175" s="28"/>
      <x:c r="H1175" s="28"/>
      <x:c r="I1175" s="28"/>
      <x:c r="J1175" s="28"/>
      <x:c r="K1175" s="28"/>
      <x:c r="L1175" s="28"/>
      <x:c r="M1175" s="28"/>
      <x:c r="N1175" s="28"/>
      <x:c r="O1175" s="28"/>
      <x:c r="P1175" s="28"/>
      <x:c r="Q1175" s="28"/>
      <x:c r="R1175" s="28"/>
      <x:c r="S1175" s="28"/>
      <x:c r="T1175" s="28"/>
      <x:c r="U1175" s="28"/>
      <x:c r="V1175" s="28"/>
      <x:c r="W1175" s="43" t="n">
        <x:f>--AND(N1175=1,OR(O1175="SUPPORTED",O1175="HALLUCINATION"))</x:f>
        <x:v>0</x:v>
      </x:c>
      <x:c r="X1175" s="43" t="n">
        <x:f>--AND(W1175=1,O1175="HALLUCINATION")</x:f>
        <x:v>0</x:v>
      </x:c>
      <x:c r="Y1175" s="43" t="n">
        <x:f>--AND(Q1175=1,O1175="HALLUCINATION")</x:f>
        <x:v>0</x:v>
      </x:c>
      <x:c r="Z1175" s="43" t="n">
        <x:f>--AND(Y1175=1,R1175=1,S1175=1)</x:f>
        <x:v>0</x:v>
      </x:c>
      <x:c r="AC1175" t="str">
        <x:f>IF(OR(AA1175="",AB1175=""),"",--(AA1175&lt;&gt;AB1175))</x:f>
      </x:c>
      <x:c r="AE1175" t="str">
        <x:f>IF(OR(AA1175="",AB1175=""),"PENDING_HUMAN",IF(AA1175=AB1175,AA1175,IF(AD1175&lt;&gt;"",AD1175,"PENDING_HUMAN")))</x:f>
        <x:v>PENDING_HUMAN</x:v>
      </x:c>
      <x:c r="AF1175" t="n">
        <x:f>--AND(A1175&lt;&gt;"",AA1175&lt;&gt;"",AB1175&lt;&gt;"",OR(AA1175=AB1175,AD1175&lt;&gt;""),IF(AE1175="HALLUCINATION",U1175&lt;&gt;"",TRUE))</x:f>
        <x:v>0</x:v>
      </x:c>
      <x:c r="AG1175" t="n">
        <x:f>--AND(N1175=1,AF1175=1,OR(AE1175="SUPPORTED",AE1175="HALLUCINATION"))</x:f>
        <x:v>0</x:v>
      </x:c>
      <x:c r="AH1175" t="n">
        <x:f>--AND(AG1175=1,AE1175="HALLUCINATION")</x:f>
        <x:v>0</x:v>
      </x:c>
      <x:c r="AI1175" t="n">
        <x:f>--AND(Q1175=1,AF1175=1,AE1175="HALLUCINATION")</x:f>
        <x:v>0</x:v>
      </x:c>
      <x:c r="AJ1175" t="n">
        <x:f>--AND(AI1175=1,R1175=1,S1175=1)</x:f>
        <x:v>0</x:v>
      </x:c>
    </x:row>
    <x:row r="1176">
      <x:c r="A1176" s="28"/>
      <x:c r="B1176" s="28"/>
      <x:c r="C1176" s="28"/>
      <x:c r="D1176" s="28"/>
      <x:c r="E1176" s="28"/>
      <x:c r="F1176" s="28"/>
      <x:c r="G1176" s="28"/>
      <x:c r="H1176" s="28"/>
      <x:c r="I1176" s="28"/>
      <x:c r="J1176" s="28"/>
      <x:c r="K1176" s="28"/>
      <x:c r="L1176" s="28"/>
      <x:c r="M1176" s="28"/>
      <x:c r="N1176" s="28"/>
      <x:c r="O1176" s="28"/>
      <x:c r="P1176" s="28"/>
      <x:c r="Q1176" s="28"/>
      <x:c r="R1176" s="28"/>
      <x:c r="S1176" s="28"/>
      <x:c r="T1176" s="28"/>
      <x:c r="U1176" s="28"/>
      <x:c r="V1176" s="28"/>
      <x:c r="W1176" s="43" t="n">
        <x:f>--AND(N1176=1,OR(O1176="SUPPORTED",O1176="HALLUCINATION"))</x:f>
        <x:v>0</x:v>
      </x:c>
      <x:c r="X1176" s="43" t="n">
        <x:f>--AND(W1176=1,O1176="HALLUCINATION")</x:f>
        <x:v>0</x:v>
      </x:c>
      <x:c r="Y1176" s="43" t="n">
        <x:f>--AND(Q1176=1,O1176="HALLUCINATION")</x:f>
        <x:v>0</x:v>
      </x:c>
      <x:c r="Z1176" s="43" t="n">
        <x:f>--AND(Y1176=1,R1176=1,S1176=1)</x:f>
        <x:v>0</x:v>
      </x:c>
      <x:c r="AC1176" t="str">
        <x:f>IF(OR(AA1176="",AB1176=""),"",--(AA1176&lt;&gt;AB1176))</x:f>
      </x:c>
      <x:c r="AE1176" t="str">
        <x:f>IF(OR(AA1176="",AB1176=""),"PENDING_HUMAN",IF(AA1176=AB1176,AA1176,IF(AD1176&lt;&gt;"",AD1176,"PENDING_HUMAN")))</x:f>
        <x:v>PENDING_HUMAN</x:v>
      </x:c>
      <x:c r="AF1176" t="n">
        <x:f>--AND(A1176&lt;&gt;"",AA1176&lt;&gt;"",AB1176&lt;&gt;"",OR(AA1176=AB1176,AD1176&lt;&gt;""),IF(AE1176="HALLUCINATION",U1176&lt;&gt;"",TRUE))</x:f>
        <x:v>0</x:v>
      </x:c>
      <x:c r="AG1176" t="n">
        <x:f>--AND(N1176=1,AF1176=1,OR(AE1176="SUPPORTED",AE1176="HALLUCINATION"))</x:f>
        <x:v>0</x:v>
      </x:c>
      <x:c r="AH1176" t="n">
        <x:f>--AND(AG1176=1,AE1176="HALLUCINATION")</x:f>
        <x:v>0</x:v>
      </x:c>
      <x:c r="AI1176" t="n">
        <x:f>--AND(Q1176=1,AF1176=1,AE1176="HALLUCINATION")</x:f>
        <x:v>0</x:v>
      </x:c>
      <x:c r="AJ1176" t="n">
        <x:f>--AND(AI1176=1,R1176=1,S1176=1)</x:f>
        <x:v>0</x:v>
      </x:c>
    </x:row>
    <x:row r="1177">
      <x:c r="A1177" s="28"/>
      <x:c r="B1177" s="28"/>
      <x:c r="C1177" s="28"/>
      <x:c r="D1177" s="28"/>
      <x:c r="E1177" s="28"/>
      <x:c r="F1177" s="28"/>
      <x:c r="G1177" s="28"/>
      <x:c r="H1177" s="28"/>
      <x:c r="I1177" s="28"/>
      <x:c r="J1177" s="28"/>
      <x:c r="K1177" s="28"/>
      <x:c r="L1177" s="28"/>
      <x:c r="M1177" s="28"/>
      <x:c r="N1177" s="28"/>
      <x:c r="O1177" s="28"/>
      <x:c r="P1177" s="28"/>
      <x:c r="Q1177" s="28"/>
      <x:c r="R1177" s="28"/>
      <x:c r="S1177" s="28"/>
      <x:c r="T1177" s="28"/>
      <x:c r="U1177" s="28"/>
      <x:c r="V1177" s="28"/>
      <x:c r="W1177" s="43" t="n">
        <x:f>--AND(N1177=1,OR(O1177="SUPPORTED",O1177="HALLUCINATION"))</x:f>
        <x:v>0</x:v>
      </x:c>
      <x:c r="X1177" s="43" t="n">
        <x:f>--AND(W1177=1,O1177="HALLUCINATION")</x:f>
        <x:v>0</x:v>
      </x:c>
      <x:c r="Y1177" s="43" t="n">
        <x:f>--AND(Q1177=1,O1177="HALLUCINATION")</x:f>
        <x:v>0</x:v>
      </x:c>
      <x:c r="Z1177" s="43" t="n">
        <x:f>--AND(Y1177=1,R1177=1,S1177=1)</x:f>
        <x:v>0</x:v>
      </x:c>
      <x:c r="AC1177" t="str">
        <x:f>IF(OR(AA1177="",AB1177=""),"",--(AA1177&lt;&gt;AB1177))</x:f>
      </x:c>
      <x:c r="AE1177" t="str">
        <x:f>IF(OR(AA1177="",AB1177=""),"PENDING_HUMAN",IF(AA1177=AB1177,AA1177,IF(AD1177&lt;&gt;"",AD1177,"PENDING_HUMAN")))</x:f>
        <x:v>PENDING_HUMAN</x:v>
      </x:c>
      <x:c r="AF1177" t="n">
        <x:f>--AND(A1177&lt;&gt;"",AA1177&lt;&gt;"",AB1177&lt;&gt;"",OR(AA1177=AB1177,AD1177&lt;&gt;""),IF(AE1177="HALLUCINATION",U1177&lt;&gt;"",TRUE))</x:f>
        <x:v>0</x:v>
      </x:c>
      <x:c r="AG1177" t="n">
        <x:f>--AND(N1177=1,AF1177=1,OR(AE1177="SUPPORTED",AE1177="HALLUCINATION"))</x:f>
        <x:v>0</x:v>
      </x:c>
      <x:c r="AH1177" t="n">
        <x:f>--AND(AG1177=1,AE1177="HALLUCINATION")</x:f>
        <x:v>0</x:v>
      </x:c>
      <x:c r="AI1177" t="n">
        <x:f>--AND(Q1177=1,AF1177=1,AE1177="HALLUCINATION")</x:f>
        <x:v>0</x:v>
      </x:c>
      <x:c r="AJ1177" t="n">
        <x:f>--AND(AI1177=1,R1177=1,S1177=1)</x:f>
        <x:v>0</x:v>
      </x:c>
    </x:row>
    <x:row r="1178">
      <x:c r="A1178" s="28"/>
      <x:c r="B1178" s="28"/>
      <x:c r="C1178" s="28"/>
      <x:c r="D1178" s="28"/>
      <x:c r="E1178" s="28"/>
      <x:c r="F1178" s="28"/>
      <x:c r="G1178" s="28"/>
      <x:c r="H1178" s="28"/>
      <x:c r="I1178" s="28"/>
      <x:c r="J1178" s="28"/>
      <x:c r="K1178" s="28"/>
      <x:c r="L1178" s="28"/>
      <x:c r="M1178" s="28"/>
      <x:c r="N1178" s="28"/>
      <x:c r="O1178" s="28"/>
      <x:c r="P1178" s="28"/>
      <x:c r="Q1178" s="28"/>
      <x:c r="R1178" s="28"/>
      <x:c r="S1178" s="28"/>
      <x:c r="T1178" s="28"/>
      <x:c r="U1178" s="28"/>
      <x:c r="V1178" s="28"/>
      <x:c r="W1178" s="43" t="n">
        <x:f>--AND(N1178=1,OR(O1178="SUPPORTED",O1178="HALLUCINATION"))</x:f>
        <x:v>0</x:v>
      </x:c>
      <x:c r="X1178" s="43" t="n">
        <x:f>--AND(W1178=1,O1178="HALLUCINATION")</x:f>
        <x:v>0</x:v>
      </x:c>
      <x:c r="Y1178" s="43" t="n">
        <x:f>--AND(Q1178=1,O1178="HALLUCINATION")</x:f>
        <x:v>0</x:v>
      </x:c>
      <x:c r="Z1178" s="43" t="n">
        <x:f>--AND(Y1178=1,R1178=1,S1178=1)</x:f>
        <x:v>0</x:v>
      </x:c>
      <x:c r="AC1178" t="str">
        <x:f>IF(OR(AA1178="",AB1178=""),"",--(AA1178&lt;&gt;AB1178))</x:f>
      </x:c>
      <x:c r="AE1178" t="str">
        <x:f>IF(OR(AA1178="",AB1178=""),"PENDING_HUMAN",IF(AA1178=AB1178,AA1178,IF(AD1178&lt;&gt;"",AD1178,"PENDING_HUMAN")))</x:f>
        <x:v>PENDING_HUMAN</x:v>
      </x:c>
      <x:c r="AF1178" t="n">
        <x:f>--AND(A1178&lt;&gt;"",AA1178&lt;&gt;"",AB1178&lt;&gt;"",OR(AA1178=AB1178,AD1178&lt;&gt;""),IF(AE1178="HALLUCINATION",U1178&lt;&gt;"",TRUE))</x:f>
        <x:v>0</x:v>
      </x:c>
      <x:c r="AG1178" t="n">
        <x:f>--AND(N1178=1,AF1178=1,OR(AE1178="SUPPORTED",AE1178="HALLUCINATION"))</x:f>
        <x:v>0</x:v>
      </x:c>
      <x:c r="AH1178" t="n">
        <x:f>--AND(AG1178=1,AE1178="HALLUCINATION")</x:f>
        <x:v>0</x:v>
      </x:c>
      <x:c r="AI1178" t="n">
        <x:f>--AND(Q1178=1,AF1178=1,AE1178="HALLUCINATION")</x:f>
        <x:v>0</x:v>
      </x:c>
      <x:c r="AJ1178" t="n">
        <x:f>--AND(AI1178=1,R1178=1,S1178=1)</x:f>
        <x:v>0</x:v>
      </x:c>
    </x:row>
    <x:row r="1179">
      <x:c r="A1179" s="28"/>
      <x:c r="B1179" s="28"/>
      <x:c r="C1179" s="28"/>
      <x:c r="D1179" s="28"/>
      <x:c r="E1179" s="28"/>
      <x:c r="F1179" s="28"/>
      <x:c r="G1179" s="28"/>
      <x:c r="H1179" s="28"/>
      <x:c r="I1179" s="28"/>
      <x:c r="J1179" s="28"/>
      <x:c r="K1179" s="28"/>
      <x:c r="L1179" s="28"/>
      <x:c r="M1179" s="28"/>
      <x:c r="N1179" s="28"/>
      <x:c r="O1179" s="28"/>
      <x:c r="P1179" s="28"/>
      <x:c r="Q1179" s="28"/>
      <x:c r="R1179" s="28"/>
      <x:c r="S1179" s="28"/>
      <x:c r="T1179" s="28"/>
      <x:c r="U1179" s="28"/>
      <x:c r="V1179" s="28"/>
      <x:c r="W1179" s="43" t="n">
        <x:f>--AND(N1179=1,OR(O1179="SUPPORTED",O1179="HALLUCINATION"))</x:f>
        <x:v>0</x:v>
      </x:c>
      <x:c r="X1179" s="43" t="n">
        <x:f>--AND(W1179=1,O1179="HALLUCINATION")</x:f>
        <x:v>0</x:v>
      </x:c>
      <x:c r="Y1179" s="43" t="n">
        <x:f>--AND(Q1179=1,O1179="HALLUCINATION")</x:f>
        <x:v>0</x:v>
      </x:c>
      <x:c r="Z1179" s="43" t="n">
        <x:f>--AND(Y1179=1,R1179=1,S1179=1)</x:f>
        <x:v>0</x:v>
      </x:c>
      <x:c r="AC1179" t="str">
        <x:f>IF(OR(AA1179="",AB1179=""),"",--(AA1179&lt;&gt;AB1179))</x:f>
      </x:c>
      <x:c r="AE1179" t="str">
        <x:f>IF(OR(AA1179="",AB1179=""),"PENDING_HUMAN",IF(AA1179=AB1179,AA1179,IF(AD1179&lt;&gt;"",AD1179,"PENDING_HUMAN")))</x:f>
        <x:v>PENDING_HUMAN</x:v>
      </x:c>
      <x:c r="AF1179" t="n">
        <x:f>--AND(A1179&lt;&gt;"",AA1179&lt;&gt;"",AB1179&lt;&gt;"",OR(AA1179=AB1179,AD1179&lt;&gt;""),IF(AE1179="HALLUCINATION",U1179&lt;&gt;"",TRUE))</x:f>
        <x:v>0</x:v>
      </x:c>
      <x:c r="AG1179" t="n">
        <x:f>--AND(N1179=1,AF1179=1,OR(AE1179="SUPPORTED",AE1179="HALLUCINATION"))</x:f>
        <x:v>0</x:v>
      </x:c>
      <x:c r="AH1179" t="n">
        <x:f>--AND(AG1179=1,AE1179="HALLUCINATION")</x:f>
        <x:v>0</x:v>
      </x:c>
      <x:c r="AI1179" t="n">
        <x:f>--AND(Q1179=1,AF1179=1,AE1179="HALLUCINATION")</x:f>
        <x:v>0</x:v>
      </x:c>
      <x:c r="AJ1179" t="n">
        <x:f>--AND(AI1179=1,R1179=1,S1179=1)</x:f>
        <x:v>0</x:v>
      </x:c>
    </x:row>
    <x:row r="1180">
      <x:c r="A1180" s="28"/>
      <x:c r="B1180" s="28"/>
      <x:c r="C1180" s="28"/>
      <x:c r="D1180" s="28"/>
      <x:c r="E1180" s="28"/>
      <x:c r="F1180" s="28"/>
      <x:c r="G1180" s="28"/>
      <x:c r="H1180" s="28"/>
      <x:c r="I1180" s="28"/>
      <x:c r="J1180" s="28"/>
      <x:c r="K1180" s="28"/>
      <x:c r="L1180" s="28"/>
      <x:c r="M1180" s="28"/>
      <x:c r="N1180" s="28"/>
      <x:c r="O1180" s="28"/>
      <x:c r="P1180" s="28"/>
      <x:c r="Q1180" s="28"/>
      <x:c r="R1180" s="28"/>
      <x:c r="S1180" s="28"/>
      <x:c r="T1180" s="28"/>
      <x:c r="U1180" s="28"/>
      <x:c r="V1180" s="28"/>
      <x:c r="W1180" s="43" t="n">
        <x:f>--AND(N1180=1,OR(O1180="SUPPORTED",O1180="HALLUCINATION"))</x:f>
        <x:v>0</x:v>
      </x:c>
      <x:c r="X1180" s="43" t="n">
        <x:f>--AND(W1180=1,O1180="HALLUCINATION")</x:f>
        <x:v>0</x:v>
      </x:c>
      <x:c r="Y1180" s="43" t="n">
        <x:f>--AND(Q1180=1,O1180="HALLUCINATION")</x:f>
        <x:v>0</x:v>
      </x:c>
      <x:c r="Z1180" s="43" t="n">
        <x:f>--AND(Y1180=1,R1180=1,S1180=1)</x:f>
        <x:v>0</x:v>
      </x:c>
      <x:c r="AC1180" t="str">
        <x:f>IF(OR(AA1180="",AB1180=""),"",--(AA1180&lt;&gt;AB1180))</x:f>
      </x:c>
      <x:c r="AE1180" t="str">
        <x:f>IF(OR(AA1180="",AB1180=""),"PENDING_HUMAN",IF(AA1180=AB1180,AA1180,IF(AD1180&lt;&gt;"",AD1180,"PENDING_HUMAN")))</x:f>
        <x:v>PENDING_HUMAN</x:v>
      </x:c>
      <x:c r="AF1180" t="n">
        <x:f>--AND(A1180&lt;&gt;"",AA1180&lt;&gt;"",AB1180&lt;&gt;"",OR(AA1180=AB1180,AD1180&lt;&gt;""),IF(AE1180="HALLUCINATION",U1180&lt;&gt;"",TRUE))</x:f>
        <x:v>0</x:v>
      </x:c>
      <x:c r="AG1180" t="n">
        <x:f>--AND(N1180=1,AF1180=1,OR(AE1180="SUPPORTED",AE1180="HALLUCINATION"))</x:f>
        <x:v>0</x:v>
      </x:c>
      <x:c r="AH1180" t="n">
        <x:f>--AND(AG1180=1,AE1180="HALLUCINATION")</x:f>
        <x:v>0</x:v>
      </x:c>
      <x:c r="AI1180" t="n">
        <x:f>--AND(Q1180=1,AF1180=1,AE1180="HALLUCINATION")</x:f>
        <x:v>0</x:v>
      </x:c>
      <x:c r="AJ1180" t="n">
        <x:f>--AND(AI1180=1,R1180=1,S1180=1)</x:f>
        <x:v>0</x:v>
      </x:c>
    </x:row>
    <x:row r="1181">
      <x:c r="A1181" s="28"/>
      <x:c r="B1181" s="28"/>
      <x:c r="C1181" s="28"/>
      <x:c r="D1181" s="28"/>
      <x:c r="E1181" s="28"/>
      <x:c r="F1181" s="28"/>
      <x:c r="G1181" s="28"/>
      <x:c r="H1181" s="28"/>
      <x:c r="I1181" s="28"/>
      <x:c r="J1181" s="28"/>
      <x:c r="K1181" s="28"/>
      <x:c r="L1181" s="28"/>
      <x:c r="M1181" s="28"/>
      <x:c r="N1181" s="28"/>
      <x:c r="O1181" s="28"/>
      <x:c r="P1181" s="28"/>
      <x:c r="Q1181" s="28"/>
      <x:c r="R1181" s="28"/>
      <x:c r="S1181" s="28"/>
      <x:c r="T1181" s="28"/>
      <x:c r="U1181" s="28"/>
      <x:c r="V1181" s="28"/>
      <x:c r="W1181" s="43" t="n">
        <x:f>--AND(N1181=1,OR(O1181="SUPPORTED",O1181="HALLUCINATION"))</x:f>
        <x:v>0</x:v>
      </x:c>
      <x:c r="X1181" s="43" t="n">
        <x:f>--AND(W1181=1,O1181="HALLUCINATION")</x:f>
        <x:v>0</x:v>
      </x:c>
      <x:c r="Y1181" s="43" t="n">
        <x:f>--AND(Q1181=1,O1181="HALLUCINATION")</x:f>
        <x:v>0</x:v>
      </x:c>
      <x:c r="Z1181" s="43" t="n">
        <x:f>--AND(Y1181=1,R1181=1,S1181=1)</x:f>
        <x:v>0</x:v>
      </x:c>
      <x:c r="AC1181" t="str">
        <x:f>IF(OR(AA1181="",AB1181=""),"",--(AA1181&lt;&gt;AB1181))</x:f>
      </x:c>
      <x:c r="AE1181" t="str">
        <x:f>IF(OR(AA1181="",AB1181=""),"PENDING_HUMAN",IF(AA1181=AB1181,AA1181,IF(AD1181&lt;&gt;"",AD1181,"PENDING_HUMAN")))</x:f>
        <x:v>PENDING_HUMAN</x:v>
      </x:c>
      <x:c r="AF1181" t="n">
        <x:f>--AND(A1181&lt;&gt;"",AA1181&lt;&gt;"",AB1181&lt;&gt;"",OR(AA1181=AB1181,AD1181&lt;&gt;""),IF(AE1181="HALLUCINATION",U1181&lt;&gt;"",TRUE))</x:f>
        <x:v>0</x:v>
      </x:c>
      <x:c r="AG1181" t="n">
        <x:f>--AND(N1181=1,AF1181=1,OR(AE1181="SUPPORTED",AE1181="HALLUCINATION"))</x:f>
        <x:v>0</x:v>
      </x:c>
      <x:c r="AH1181" t="n">
        <x:f>--AND(AG1181=1,AE1181="HALLUCINATION")</x:f>
        <x:v>0</x:v>
      </x:c>
      <x:c r="AI1181" t="n">
        <x:f>--AND(Q1181=1,AF1181=1,AE1181="HALLUCINATION")</x:f>
        <x:v>0</x:v>
      </x:c>
      <x:c r="AJ1181" t="n">
        <x:f>--AND(AI1181=1,R1181=1,S1181=1)</x:f>
        <x:v>0</x:v>
      </x:c>
    </x:row>
    <x:row r="1182">
      <x:c r="A1182" s="28"/>
      <x:c r="B1182" s="28"/>
      <x:c r="C1182" s="28"/>
      <x:c r="D1182" s="28"/>
      <x:c r="E1182" s="28"/>
      <x:c r="F1182" s="28"/>
      <x:c r="G1182" s="28"/>
      <x:c r="H1182" s="28"/>
      <x:c r="I1182" s="28"/>
      <x:c r="J1182" s="28"/>
      <x:c r="K1182" s="28"/>
      <x:c r="L1182" s="28"/>
      <x:c r="M1182" s="28"/>
      <x:c r="N1182" s="28"/>
      <x:c r="O1182" s="28"/>
      <x:c r="P1182" s="28"/>
      <x:c r="Q1182" s="28"/>
      <x:c r="R1182" s="28"/>
      <x:c r="S1182" s="28"/>
      <x:c r="T1182" s="28"/>
      <x:c r="U1182" s="28"/>
      <x:c r="V1182" s="28"/>
      <x:c r="W1182" s="43" t="n">
        <x:f>--AND(N1182=1,OR(O1182="SUPPORTED",O1182="HALLUCINATION"))</x:f>
        <x:v>0</x:v>
      </x:c>
      <x:c r="X1182" s="43" t="n">
        <x:f>--AND(W1182=1,O1182="HALLUCINATION")</x:f>
        <x:v>0</x:v>
      </x:c>
      <x:c r="Y1182" s="43" t="n">
        <x:f>--AND(Q1182=1,O1182="HALLUCINATION")</x:f>
        <x:v>0</x:v>
      </x:c>
      <x:c r="Z1182" s="43" t="n">
        <x:f>--AND(Y1182=1,R1182=1,S1182=1)</x:f>
        <x:v>0</x:v>
      </x:c>
      <x:c r="AC1182" t="str">
        <x:f>IF(OR(AA1182="",AB1182=""),"",--(AA1182&lt;&gt;AB1182))</x:f>
      </x:c>
      <x:c r="AE1182" t="str">
        <x:f>IF(OR(AA1182="",AB1182=""),"PENDING_HUMAN",IF(AA1182=AB1182,AA1182,IF(AD1182&lt;&gt;"",AD1182,"PENDING_HUMAN")))</x:f>
        <x:v>PENDING_HUMAN</x:v>
      </x:c>
      <x:c r="AF1182" t="n">
        <x:f>--AND(A1182&lt;&gt;"",AA1182&lt;&gt;"",AB1182&lt;&gt;"",OR(AA1182=AB1182,AD1182&lt;&gt;""),IF(AE1182="HALLUCINATION",U1182&lt;&gt;"",TRUE))</x:f>
        <x:v>0</x:v>
      </x:c>
      <x:c r="AG1182" t="n">
        <x:f>--AND(N1182=1,AF1182=1,OR(AE1182="SUPPORTED",AE1182="HALLUCINATION"))</x:f>
        <x:v>0</x:v>
      </x:c>
      <x:c r="AH1182" t="n">
        <x:f>--AND(AG1182=1,AE1182="HALLUCINATION")</x:f>
        <x:v>0</x:v>
      </x:c>
      <x:c r="AI1182" t="n">
        <x:f>--AND(Q1182=1,AF1182=1,AE1182="HALLUCINATION")</x:f>
        <x:v>0</x:v>
      </x:c>
      <x:c r="AJ1182" t="n">
        <x:f>--AND(AI1182=1,R1182=1,S1182=1)</x:f>
        <x:v>0</x:v>
      </x:c>
    </x:row>
    <x:row r="1183">
      <x:c r="A1183" s="28"/>
      <x:c r="B1183" s="28"/>
      <x:c r="C1183" s="28"/>
      <x:c r="D1183" s="28"/>
      <x:c r="E1183" s="28"/>
      <x:c r="F1183" s="28"/>
      <x:c r="G1183" s="28"/>
      <x:c r="H1183" s="28"/>
      <x:c r="I1183" s="28"/>
      <x:c r="J1183" s="28"/>
      <x:c r="K1183" s="28"/>
      <x:c r="L1183" s="28"/>
      <x:c r="M1183" s="28"/>
      <x:c r="N1183" s="28"/>
      <x:c r="O1183" s="28"/>
      <x:c r="P1183" s="28"/>
      <x:c r="Q1183" s="28"/>
      <x:c r="R1183" s="28"/>
      <x:c r="S1183" s="28"/>
      <x:c r="T1183" s="28"/>
      <x:c r="U1183" s="28"/>
      <x:c r="V1183" s="28"/>
      <x:c r="W1183" s="43" t="n">
        <x:f>--AND(N1183=1,OR(O1183="SUPPORTED",O1183="HALLUCINATION"))</x:f>
        <x:v>0</x:v>
      </x:c>
      <x:c r="X1183" s="43" t="n">
        <x:f>--AND(W1183=1,O1183="HALLUCINATION")</x:f>
        <x:v>0</x:v>
      </x:c>
      <x:c r="Y1183" s="43" t="n">
        <x:f>--AND(Q1183=1,O1183="HALLUCINATION")</x:f>
        <x:v>0</x:v>
      </x:c>
      <x:c r="Z1183" s="43" t="n">
        <x:f>--AND(Y1183=1,R1183=1,S1183=1)</x:f>
        <x:v>0</x:v>
      </x:c>
      <x:c r="AC1183" t="str">
        <x:f>IF(OR(AA1183="",AB1183=""),"",--(AA1183&lt;&gt;AB1183))</x:f>
      </x:c>
      <x:c r="AE1183" t="str">
        <x:f>IF(OR(AA1183="",AB1183=""),"PENDING_HUMAN",IF(AA1183=AB1183,AA1183,IF(AD1183&lt;&gt;"",AD1183,"PENDING_HUMAN")))</x:f>
        <x:v>PENDING_HUMAN</x:v>
      </x:c>
      <x:c r="AF1183" t="n">
        <x:f>--AND(A1183&lt;&gt;"",AA1183&lt;&gt;"",AB1183&lt;&gt;"",OR(AA1183=AB1183,AD1183&lt;&gt;""),IF(AE1183="HALLUCINATION",U1183&lt;&gt;"",TRUE))</x:f>
        <x:v>0</x:v>
      </x:c>
      <x:c r="AG1183" t="n">
        <x:f>--AND(N1183=1,AF1183=1,OR(AE1183="SUPPORTED",AE1183="HALLUCINATION"))</x:f>
        <x:v>0</x:v>
      </x:c>
      <x:c r="AH1183" t="n">
        <x:f>--AND(AG1183=1,AE1183="HALLUCINATION")</x:f>
        <x:v>0</x:v>
      </x:c>
      <x:c r="AI1183" t="n">
        <x:f>--AND(Q1183=1,AF1183=1,AE1183="HALLUCINATION")</x:f>
        <x:v>0</x:v>
      </x:c>
      <x:c r="AJ1183" t="n">
        <x:f>--AND(AI1183=1,R1183=1,S1183=1)</x:f>
        <x:v>0</x:v>
      </x:c>
    </x:row>
    <x:row r="1184">
      <x:c r="A1184" s="28"/>
      <x:c r="B1184" s="28"/>
      <x:c r="C1184" s="28"/>
      <x:c r="D1184" s="28"/>
      <x:c r="E1184" s="28"/>
      <x:c r="F1184" s="28"/>
      <x:c r="G1184" s="28"/>
      <x:c r="H1184" s="28"/>
      <x:c r="I1184" s="28"/>
      <x:c r="J1184" s="28"/>
      <x:c r="K1184" s="28"/>
      <x:c r="L1184" s="28"/>
      <x:c r="M1184" s="28"/>
      <x:c r="N1184" s="28"/>
      <x:c r="O1184" s="28"/>
      <x:c r="P1184" s="28"/>
      <x:c r="Q1184" s="28"/>
      <x:c r="R1184" s="28"/>
      <x:c r="S1184" s="28"/>
      <x:c r="T1184" s="28"/>
      <x:c r="U1184" s="28"/>
      <x:c r="V1184" s="28"/>
      <x:c r="W1184" s="43" t="n">
        <x:f>--AND(N1184=1,OR(O1184="SUPPORTED",O1184="HALLUCINATION"))</x:f>
        <x:v>0</x:v>
      </x:c>
      <x:c r="X1184" s="43" t="n">
        <x:f>--AND(W1184=1,O1184="HALLUCINATION")</x:f>
        <x:v>0</x:v>
      </x:c>
      <x:c r="Y1184" s="43" t="n">
        <x:f>--AND(Q1184=1,O1184="HALLUCINATION")</x:f>
        <x:v>0</x:v>
      </x:c>
      <x:c r="Z1184" s="43" t="n">
        <x:f>--AND(Y1184=1,R1184=1,S1184=1)</x:f>
        <x:v>0</x:v>
      </x:c>
      <x:c r="AC1184" t="str">
        <x:f>IF(OR(AA1184="",AB1184=""),"",--(AA1184&lt;&gt;AB1184))</x:f>
      </x:c>
      <x:c r="AE1184" t="str">
        <x:f>IF(OR(AA1184="",AB1184=""),"PENDING_HUMAN",IF(AA1184=AB1184,AA1184,IF(AD1184&lt;&gt;"",AD1184,"PENDING_HUMAN")))</x:f>
        <x:v>PENDING_HUMAN</x:v>
      </x:c>
      <x:c r="AF1184" t="n">
        <x:f>--AND(A1184&lt;&gt;"",AA1184&lt;&gt;"",AB1184&lt;&gt;"",OR(AA1184=AB1184,AD1184&lt;&gt;""),IF(AE1184="HALLUCINATION",U1184&lt;&gt;"",TRUE))</x:f>
        <x:v>0</x:v>
      </x:c>
      <x:c r="AG1184" t="n">
        <x:f>--AND(N1184=1,AF1184=1,OR(AE1184="SUPPORTED",AE1184="HALLUCINATION"))</x:f>
        <x:v>0</x:v>
      </x:c>
      <x:c r="AH1184" t="n">
        <x:f>--AND(AG1184=1,AE1184="HALLUCINATION")</x:f>
        <x:v>0</x:v>
      </x:c>
      <x:c r="AI1184" t="n">
        <x:f>--AND(Q1184=1,AF1184=1,AE1184="HALLUCINATION")</x:f>
        <x:v>0</x:v>
      </x:c>
      <x:c r="AJ1184" t="n">
        <x:f>--AND(AI1184=1,R1184=1,S1184=1)</x:f>
        <x:v>0</x:v>
      </x:c>
    </x:row>
    <x:row r="1185">
      <x:c r="A1185" s="28"/>
      <x:c r="B1185" s="28"/>
      <x:c r="C1185" s="28"/>
      <x:c r="D1185" s="28"/>
      <x:c r="E1185" s="28"/>
      <x:c r="F1185" s="28"/>
      <x:c r="G1185" s="28"/>
      <x:c r="H1185" s="28"/>
      <x:c r="I1185" s="28"/>
      <x:c r="J1185" s="28"/>
      <x:c r="K1185" s="28"/>
      <x:c r="L1185" s="28"/>
      <x:c r="M1185" s="28"/>
      <x:c r="N1185" s="28"/>
      <x:c r="O1185" s="28"/>
      <x:c r="P1185" s="28"/>
      <x:c r="Q1185" s="28"/>
      <x:c r="R1185" s="28"/>
      <x:c r="S1185" s="28"/>
      <x:c r="T1185" s="28"/>
      <x:c r="U1185" s="28"/>
      <x:c r="V1185" s="28"/>
      <x:c r="W1185" s="43" t="n">
        <x:f>--AND(N1185=1,OR(O1185="SUPPORTED",O1185="HALLUCINATION"))</x:f>
        <x:v>0</x:v>
      </x:c>
      <x:c r="X1185" s="43" t="n">
        <x:f>--AND(W1185=1,O1185="HALLUCINATION")</x:f>
        <x:v>0</x:v>
      </x:c>
      <x:c r="Y1185" s="43" t="n">
        <x:f>--AND(Q1185=1,O1185="HALLUCINATION")</x:f>
        <x:v>0</x:v>
      </x:c>
      <x:c r="Z1185" s="43" t="n">
        <x:f>--AND(Y1185=1,R1185=1,S1185=1)</x:f>
        <x:v>0</x:v>
      </x:c>
      <x:c r="AC1185" t="str">
        <x:f>IF(OR(AA1185="",AB1185=""),"",--(AA1185&lt;&gt;AB1185))</x:f>
      </x:c>
      <x:c r="AE1185" t="str">
        <x:f>IF(OR(AA1185="",AB1185=""),"PENDING_HUMAN",IF(AA1185=AB1185,AA1185,IF(AD1185&lt;&gt;"",AD1185,"PENDING_HUMAN")))</x:f>
        <x:v>PENDING_HUMAN</x:v>
      </x:c>
      <x:c r="AF1185" t="n">
        <x:f>--AND(A1185&lt;&gt;"",AA1185&lt;&gt;"",AB1185&lt;&gt;"",OR(AA1185=AB1185,AD1185&lt;&gt;""),IF(AE1185="HALLUCINATION",U1185&lt;&gt;"",TRUE))</x:f>
        <x:v>0</x:v>
      </x:c>
      <x:c r="AG1185" t="n">
        <x:f>--AND(N1185=1,AF1185=1,OR(AE1185="SUPPORTED",AE1185="HALLUCINATION"))</x:f>
        <x:v>0</x:v>
      </x:c>
      <x:c r="AH1185" t="n">
        <x:f>--AND(AG1185=1,AE1185="HALLUCINATION")</x:f>
        <x:v>0</x:v>
      </x:c>
      <x:c r="AI1185" t="n">
        <x:f>--AND(Q1185=1,AF1185=1,AE1185="HALLUCINATION")</x:f>
        <x:v>0</x:v>
      </x:c>
      <x:c r="AJ1185" t="n">
        <x:f>--AND(AI1185=1,R1185=1,S1185=1)</x:f>
        <x:v>0</x:v>
      </x:c>
    </x:row>
    <x:row r="1186">
      <x:c r="A1186" s="28"/>
      <x:c r="B1186" s="28"/>
      <x:c r="C1186" s="28"/>
      <x:c r="D1186" s="28"/>
      <x:c r="E1186" s="28"/>
      <x:c r="F1186" s="28"/>
      <x:c r="G1186" s="28"/>
      <x:c r="H1186" s="28"/>
      <x:c r="I1186" s="28"/>
      <x:c r="J1186" s="28"/>
      <x:c r="K1186" s="28"/>
      <x:c r="L1186" s="28"/>
      <x:c r="M1186" s="28"/>
      <x:c r="N1186" s="28"/>
      <x:c r="O1186" s="28"/>
      <x:c r="P1186" s="28"/>
      <x:c r="Q1186" s="28"/>
      <x:c r="R1186" s="28"/>
      <x:c r="S1186" s="28"/>
      <x:c r="T1186" s="28"/>
      <x:c r="U1186" s="28"/>
      <x:c r="V1186" s="28"/>
      <x:c r="W1186" s="43" t="n">
        <x:f>--AND(N1186=1,OR(O1186="SUPPORTED",O1186="HALLUCINATION"))</x:f>
        <x:v>0</x:v>
      </x:c>
      <x:c r="X1186" s="43" t="n">
        <x:f>--AND(W1186=1,O1186="HALLUCINATION")</x:f>
        <x:v>0</x:v>
      </x:c>
      <x:c r="Y1186" s="43" t="n">
        <x:f>--AND(Q1186=1,O1186="HALLUCINATION")</x:f>
        <x:v>0</x:v>
      </x:c>
      <x:c r="Z1186" s="43" t="n">
        <x:f>--AND(Y1186=1,R1186=1,S1186=1)</x:f>
        <x:v>0</x:v>
      </x:c>
      <x:c r="AC1186" t="str">
        <x:f>IF(OR(AA1186="",AB1186=""),"",--(AA1186&lt;&gt;AB1186))</x:f>
      </x:c>
      <x:c r="AE1186" t="str">
        <x:f>IF(OR(AA1186="",AB1186=""),"PENDING_HUMAN",IF(AA1186=AB1186,AA1186,IF(AD1186&lt;&gt;"",AD1186,"PENDING_HUMAN")))</x:f>
        <x:v>PENDING_HUMAN</x:v>
      </x:c>
      <x:c r="AF1186" t="n">
        <x:f>--AND(A1186&lt;&gt;"",AA1186&lt;&gt;"",AB1186&lt;&gt;"",OR(AA1186=AB1186,AD1186&lt;&gt;""),IF(AE1186="HALLUCINATION",U1186&lt;&gt;"",TRUE))</x:f>
        <x:v>0</x:v>
      </x:c>
      <x:c r="AG1186" t="n">
        <x:f>--AND(N1186=1,AF1186=1,OR(AE1186="SUPPORTED",AE1186="HALLUCINATION"))</x:f>
        <x:v>0</x:v>
      </x:c>
      <x:c r="AH1186" t="n">
        <x:f>--AND(AG1186=1,AE1186="HALLUCINATION")</x:f>
        <x:v>0</x:v>
      </x:c>
      <x:c r="AI1186" t="n">
        <x:f>--AND(Q1186=1,AF1186=1,AE1186="HALLUCINATION")</x:f>
        <x:v>0</x:v>
      </x:c>
      <x:c r="AJ1186" t="n">
        <x:f>--AND(AI1186=1,R1186=1,S1186=1)</x:f>
        <x:v>0</x:v>
      </x:c>
    </x:row>
    <x:row r="1187">
      <x:c r="A1187" s="28"/>
      <x:c r="B1187" s="28"/>
      <x:c r="C1187" s="28"/>
      <x:c r="D1187" s="28"/>
      <x:c r="E1187" s="28"/>
      <x:c r="F1187" s="28"/>
      <x:c r="G1187" s="28"/>
      <x:c r="H1187" s="28"/>
      <x:c r="I1187" s="28"/>
      <x:c r="J1187" s="28"/>
      <x:c r="K1187" s="28"/>
      <x:c r="L1187" s="28"/>
      <x:c r="M1187" s="28"/>
      <x:c r="N1187" s="28"/>
      <x:c r="O1187" s="28"/>
      <x:c r="P1187" s="28"/>
      <x:c r="Q1187" s="28"/>
      <x:c r="R1187" s="28"/>
      <x:c r="S1187" s="28"/>
      <x:c r="T1187" s="28"/>
      <x:c r="U1187" s="28"/>
      <x:c r="V1187" s="28"/>
      <x:c r="W1187" s="43" t="n">
        <x:f>--AND(N1187=1,OR(O1187="SUPPORTED",O1187="HALLUCINATION"))</x:f>
        <x:v>0</x:v>
      </x:c>
      <x:c r="X1187" s="43" t="n">
        <x:f>--AND(W1187=1,O1187="HALLUCINATION")</x:f>
        <x:v>0</x:v>
      </x:c>
      <x:c r="Y1187" s="43" t="n">
        <x:f>--AND(Q1187=1,O1187="HALLUCINATION")</x:f>
        <x:v>0</x:v>
      </x:c>
      <x:c r="Z1187" s="43" t="n">
        <x:f>--AND(Y1187=1,R1187=1,S1187=1)</x:f>
        <x:v>0</x:v>
      </x:c>
      <x:c r="AC1187" t="str">
        <x:f>IF(OR(AA1187="",AB1187=""),"",--(AA1187&lt;&gt;AB1187))</x:f>
      </x:c>
      <x:c r="AE1187" t="str">
        <x:f>IF(OR(AA1187="",AB1187=""),"PENDING_HUMAN",IF(AA1187=AB1187,AA1187,IF(AD1187&lt;&gt;"",AD1187,"PENDING_HUMAN")))</x:f>
        <x:v>PENDING_HUMAN</x:v>
      </x:c>
      <x:c r="AF1187" t="n">
        <x:f>--AND(A1187&lt;&gt;"",AA1187&lt;&gt;"",AB1187&lt;&gt;"",OR(AA1187=AB1187,AD1187&lt;&gt;""),IF(AE1187="HALLUCINATION",U1187&lt;&gt;"",TRUE))</x:f>
        <x:v>0</x:v>
      </x:c>
      <x:c r="AG1187" t="n">
        <x:f>--AND(N1187=1,AF1187=1,OR(AE1187="SUPPORTED",AE1187="HALLUCINATION"))</x:f>
        <x:v>0</x:v>
      </x:c>
      <x:c r="AH1187" t="n">
        <x:f>--AND(AG1187=1,AE1187="HALLUCINATION")</x:f>
        <x:v>0</x:v>
      </x:c>
      <x:c r="AI1187" t="n">
        <x:f>--AND(Q1187=1,AF1187=1,AE1187="HALLUCINATION")</x:f>
        <x:v>0</x:v>
      </x:c>
      <x:c r="AJ1187" t="n">
        <x:f>--AND(AI1187=1,R1187=1,S1187=1)</x:f>
        <x:v>0</x:v>
      </x:c>
    </x:row>
    <x:row r="1188">
      <x:c r="A1188" s="28"/>
      <x:c r="B1188" s="28"/>
      <x:c r="C1188" s="28"/>
      <x:c r="D1188" s="28"/>
      <x:c r="E1188" s="28"/>
      <x:c r="F1188" s="28"/>
      <x:c r="G1188" s="28"/>
      <x:c r="H1188" s="28"/>
      <x:c r="I1188" s="28"/>
      <x:c r="J1188" s="28"/>
      <x:c r="K1188" s="28"/>
      <x:c r="L1188" s="28"/>
      <x:c r="M1188" s="28"/>
      <x:c r="N1188" s="28"/>
      <x:c r="O1188" s="28"/>
      <x:c r="P1188" s="28"/>
      <x:c r="Q1188" s="28"/>
      <x:c r="R1188" s="28"/>
      <x:c r="S1188" s="28"/>
      <x:c r="T1188" s="28"/>
      <x:c r="U1188" s="28"/>
      <x:c r="V1188" s="28"/>
      <x:c r="W1188" s="43" t="n">
        <x:f>--AND(N1188=1,OR(O1188="SUPPORTED",O1188="HALLUCINATION"))</x:f>
        <x:v>0</x:v>
      </x:c>
      <x:c r="X1188" s="43" t="n">
        <x:f>--AND(W1188=1,O1188="HALLUCINATION")</x:f>
        <x:v>0</x:v>
      </x:c>
      <x:c r="Y1188" s="43" t="n">
        <x:f>--AND(Q1188=1,O1188="HALLUCINATION")</x:f>
        <x:v>0</x:v>
      </x:c>
      <x:c r="Z1188" s="43" t="n">
        <x:f>--AND(Y1188=1,R1188=1,S1188=1)</x:f>
        <x:v>0</x:v>
      </x:c>
      <x:c r="AC1188" t="str">
        <x:f>IF(OR(AA1188="",AB1188=""),"",--(AA1188&lt;&gt;AB1188))</x:f>
      </x:c>
      <x:c r="AE1188" t="str">
        <x:f>IF(OR(AA1188="",AB1188=""),"PENDING_HUMAN",IF(AA1188=AB1188,AA1188,IF(AD1188&lt;&gt;"",AD1188,"PENDING_HUMAN")))</x:f>
        <x:v>PENDING_HUMAN</x:v>
      </x:c>
      <x:c r="AF1188" t="n">
        <x:f>--AND(A1188&lt;&gt;"",AA1188&lt;&gt;"",AB1188&lt;&gt;"",OR(AA1188=AB1188,AD1188&lt;&gt;""),IF(AE1188="HALLUCINATION",U1188&lt;&gt;"",TRUE))</x:f>
        <x:v>0</x:v>
      </x:c>
      <x:c r="AG1188" t="n">
        <x:f>--AND(N1188=1,AF1188=1,OR(AE1188="SUPPORTED",AE1188="HALLUCINATION"))</x:f>
        <x:v>0</x:v>
      </x:c>
      <x:c r="AH1188" t="n">
        <x:f>--AND(AG1188=1,AE1188="HALLUCINATION")</x:f>
        <x:v>0</x:v>
      </x:c>
      <x:c r="AI1188" t="n">
        <x:f>--AND(Q1188=1,AF1188=1,AE1188="HALLUCINATION")</x:f>
        <x:v>0</x:v>
      </x:c>
      <x:c r="AJ1188" t="n">
        <x:f>--AND(AI1188=1,R1188=1,S1188=1)</x:f>
        <x:v>0</x:v>
      </x:c>
    </x:row>
    <x:row r="1189">
      <x:c r="A1189" s="28"/>
      <x:c r="B1189" s="28"/>
      <x:c r="C1189" s="28"/>
      <x:c r="D1189" s="28"/>
      <x:c r="E1189" s="28"/>
      <x:c r="F1189" s="28"/>
      <x:c r="G1189" s="28"/>
      <x:c r="H1189" s="28"/>
      <x:c r="I1189" s="28"/>
      <x:c r="J1189" s="28"/>
      <x:c r="K1189" s="28"/>
      <x:c r="L1189" s="28"/>
      <x:c r="M1189" s="28"/>
      <x:c r="N1189" s="28"/>
      <x:c r="O1189" s="28"/>
      <x:c r="P1189" s="28"/>
      <x:c r="Q1189" s="28"/>
      <x:c r="R1189" s="28"/>
      <x:c r="S1189" s="28"/>
      <x:c r="T1189" s="28"/>
      <x:c r="U1189" s="28"/>
      <x:c r="V1189" s="28"/>
      <x:c r="W1189" s="43" t="n">
        <x:f>--AND(N1189=1,OR(O1189="SUPPORTED",O1189="HALLUCINATION"))</x:f>
        <x:v>0</x:v>
      </x:c>
      <x:c r="X1189" s="43" t="n">
        <x:f>--AND(W1189=1,O1189="HALLUCINATION")</x:f>
        <x:v>0</x:v>
      </x:c>
      <x:c r="Y1189" s="43" t="n">
        <x:f>--AND(Q1189=1,O1189="HALLUCINATION")</x:f>
        <x:v>0</x:v>
      </x:c>
      <x:c r="Z1189" s="43" t="n">
        <x:f>--AND(Y1189=1,R1189=1,S1189=1)</x:f>
        <x:v>0</x:v>
      </x:c>
      <x:c r="AC1189" t="str">
        <x:f>IF(OR(AA1189="",AB1189=""),"",--(AA1189&lt;&gt;AB1189))</x:f>
      </x:c>
      <x:c r="AE1189" t="str">
        <x:f>IF(OR(AA1189="",AB1189=""),"PENDING_HUMAN",IF(AA1189=AB1189,AA1189,IF(AD1189&lt;&gt;"",AD1189,"PENDING_HUMAN")))</x:f>
        <x:v>PENDING_HUMAN</x:v>
      </x:c>
      <x:c r="AF1189" t="n">
        <x:f>--AND(A1189&lt;&gt;"",AA1189&lt;&gt;"",AB1189&lt;&gt;"",OR(AA1189=AB1189,AD1189&lt;&gt;""),IF(AE1189="HALLUCINATION",U1189&lt;&gt;"",TRUE))</x:f>
        <x:v>0</x:v>
      </x:c>
      <x:c r="AG1189" t="n">
        <x:f>--AND(N1189=1,AF1189=1,OR(AE1189="SUPPORTED",AE1189="HALLUCINATION"))</x:f>
        <x:v>0</x:v>
      </x:c>
      <x:c r="AH1189" t="n">
        <x:f>--AND(AG1189=1,AE1189="HALLUCINATION")</x:f>
        <x:v>0</x:v>
      </x:c>
      <x:c r="AI1189" t="n">
        <x:f>--AND(Q1189=1,AF1189=1,AE1189="HALLUCINATION")</x:f>
        <x:v>0</x:v>
      </x:c>
      <x:c r="AJ1189" t="n">
        <x:f>--AND(AI1189=1,R1189=1,S1189=1)</x:f>
        <x:v>0</x:v>
      </x:c>
    </x:row>
    <x:row r="1190">
      <x:c r="A1190" s="28"/>
      <x:c r="B1190" s="28"/>
      <x:c r="C1190" s="28"/>
      <x:c r="D1190" s="28"/>
      <x:c r="E1190" s="28"/>
      <x:c r="F1190" s="28"/>
      <x:c r="G1190" s="28"/>
      <x:c r="H1190" s="28"/>
      <x:c r="I1190" s="28"/>
      <x:c r="J1190" s="28"/>
      <x:c r="K1190" s="28"/>
      <x:c r="L1190" s="28"/>
      <x:c r="M1190" s="28"/>
      <x:c r="N1190" s="28"/>
      <x:c r="O1190" s="28"/>
      <x:c r="P1190" s="28"/>
      <x:c r="Q1190" s="28"/>
      <x:c r="R1190" s="28"/>
      <x:c r="S1190" s="28"/>
      <x:c r="T1190" s="28"/>
      <x:c r="U1190" s="28"/>
      <x:c r="V1190" s="28"/>
      <x:c r="W1190" s="43" t="n">
        <x:f>--AND(N1190=1,OR(O1190="SUPPORTED",O1190="HALLUCINATION"))</x:f>
        <x:v>0</x:v>
      </x:c>
      <x:c r="X1190" s="43" t="n">
        <x:f>--AND(W1190=1,O1190="HALLUCINATION")</x:f>
        <x:v>0</x:v>
      </x:c>
      <x:c r="Y1190" s="43" t="n">
        <x:f>--AND(Q1190=1,O1190="HALLUCINATION")</x:f>
        <x:v>0</x:v>
      </x:c>
      <x:c r="Z1190" s="43" t="n">
        <x:f>--AND(Y1190=1,R1190=1,S1190=1)</x:f>
        <x:v>0</x:v>
      </x:c>
      <x:c r="AC1190" t="str">
        <x:f>IF(OR(AA1190="",AB1190=""),"",--(AA1190&lt;&gt;AB1190))</x:f>
      </x:c>
      <x:c r="AE1190" t="str">
        <x:f>IF(OR(AA1190="",AB1190=""),"PENDING_HUMAN",IF(AA1190=AB1190,AA1190,IF(AD1190&lt;&gt;"",AD1190,"PENDING_HUMAN")))</x:f>
        <x:v>PENDING_HUMAN</x:v>
      </x:c>
      <x:c r="AF1190" t="n">
        <x:f>--AND(A1190&lt;&gt;"",AA1190&lt;&gt;"",AB1190&lt;&gt;"",OR(AA1190=AB1190,AD1190&lt;&gt;""),IF(AE1190="HALLUCINATION",U1190&lt;&gt;"",TRUE))</x:f>
        <x:v>0</x:v>
      </x:c>
      <x:c r="AG1190" t="n">
        <x:f>--AND(N1190=1,AF1190=1,OR(AE1190="SUPPORTED",AE1190="HALLUCINATION"))</x:f>
        <x:v>0</x:v>
      </x:c>
      <x:c r="AH1190" t="n">
        <x:f>--AND(AG1190=1,AE1190="HALLUCINATION")</x:f>
        <x:v>0</x:v>
      </x:c>
      <x:c r="AI1190" t="n">
        <x:f>--AND(Q1190=1,AF1190=1,AE1190="HALLUCINATION")</x:f>
        <x:v>0</x:v>
      </x:c>
      <x:c r="AJ1190" t="n">
        <x:f>--AND(AI1190=1,R1190=1,S1190=1)</x:f>
        <x:v>0</x:v>
      </x:c>
    </x:row>
    <x:row r="1191">
      <x:c r="A1191" s="28"/>
      <x:c r="B1191" s="28"/>
      <x:c r="C1191" s="28"/>
      <x:c r="D1191" s="28"/>
      <x:c r="E1191" s="28"/>
      <x:c r="F1191" s="28"/>
      <x:c r="G1191" s="28"/>
      <x:c r="H1191" s="28"/>
      <x:c r="I1191" s="28"/>
      <x:c r="J1191" s="28"/>
      <x:c r="K1191" s="28"/>
      <x:c r="L1191" s="28"/>
      <x:c r="M1191" s="28"/>
      <x:c r="N1191" s="28"/>
      <x:c r="O1191" s="28"/>
      <x:c r="P1191" s="28"/>
      <x:c r="Q1191" s="28"/>
      <x:c r="R1191" s="28"/>
      <x:c r="S1191" s="28"/>
      <x:c r="T1191" s="28"/>
      <x:c r="U1191" s="28"/>
      <x:c r="V1191" s="28"/>
      <x:c r="W1191" s="43" t="n">
        <x:f>--AND(N1191=1,OR(O1191="SUPPORTED",O1191="HALLUCINATION"))</x:f>
        <x:v>0</x:v>
      </x:c>
      <x:c r="X1191" s="43" t="n">
        <x:f>--AND(W1191=1,O1191="HALLUCINATION")</x:f>
        <x:v>0</x:v>
      </x:c>
      <x:c r="Y1191" s="43" t="n">
        <x:f>--AND(Q1191=1,O1191="HALLUCINATION")</x:f>
        <x:v>0</x:v>
      </x:c>
      <x:c r="Z1191" s="43" t="n">
        <x:f>--AND(Y1191=1,R1191=1,S1191=1)</x:f>
        <x:v>0</x:v>
      </x:c>
      <x:c r="AC1191" t="str">
        <x:f>IF(OR(AA1191="",AB1191=""),"",--(AA1191&lt;&gt;AB1191))</x:f>
      </x:c>
      <x:c r="AE1191" t="str">
        <x:f>IF(OR(AA1191="",AB1191=""),"PENDING_HUMAN",IF(AA1191=AB1191,AA1191,IF(AD1191&lt;&gt;"",AD1191,"PENDING_HUMAN")))</x:f>
        <x:v>PENDING_HUMAN</x:v>
      </x:c>
      <x:c r="AF1191" t="n">
        <x:f>--AND(A1191&lt;&gt;"",AA1191&lt;&gt;"",AB1191&lt;&gt;"",OR(AA1191=AB1191,AD1191&lt;&gt;""),IF(AE1191="HALLUCINATION",U1191&lt;&gt;"",TRUE))</x:f>
        <x:v>0</x:v>
      </x:c>
      <x:c r="AG1191" t="n">
        <x:f>--AND(N1191=1,AF1191=1,OR(AE1191="SUPPORTED",AE1191="HALLUCINATION"))</x:f>
        <x:v>0</x:v>
      </x:c>
      <x:c r="AH1191" t="n">
        <x:f>--AND(AG1191=1,AE1191="HALLUCINATION")</x:f>
        <x:v>0</x:v>
      </x:c>
      <x:c r="AI1191" t="n">
        <x:f>--AND(Q1191=1,AF1191=1,AE1191="HALLUCINATION")</x:f>
        <x:v>0</x:v>
      </x:c>
      <x:c r="AJ1191" t="n">
        <x:f>--AND(AI1191=1,R1191=1,S1191=1)</x:f>
        <x:v>0</x:v>
      </x:c>
    </x:row>
    <x:row r="1192">
      <x:c r="A1192" s="28"/>
      <x:c r="B1192" s="28"/>
      <x:c r="C1192" s="28"/>
      <x:c r="D1192" s="28"/>
      <x:c r="E1192" s="28"/>
      <x:c r="F1192" s="28"/>
      <x:c r="G1192" s="28"/>
      <x:c r="H1192" s="28"/>
      <x:c r="I1192" s="28"/>
      <x:c r="J1192" s="28"/>
      <x:c r="K1192" s="28"/>
      <x:c r="L1192" s="28"/>
      <x:c r="M1192" s="28"/>
      <x:c r="N1192" s="28"/>
      <x:c r="O1192" s="28"/>
      <x:c r="P1192" s="28"/>
      <x:c r="Q1192" s="28"/>
      <x:c r="R1192" s="28"/>
      <x:c r="S1192" s="28"/>
      <x:c r="T1192" s="28"/>
      <x:c r="U1192" s="28"/>
      <x:c r="V1192" s="28"/>
      <x:c r="W1192" s="43" t="n">
        <x:f>--AND(N1192=1,OR(O1192="SUPPORTED",O1192="HALLUCINATION"))</x:f>
        <x:v>0</x:v>
      </x:c>
      <x:c r="X1192" s="43" t="n">
        <x:f>--AND(W1192=1,O1192="HALLUCINATION")</x:f>
        <x:v>0</x:v>
      </x:c>
      <x:c r="Y1192" s="43" t="n">
        <x:f>--AND(Q1192=1,O1192="HALLUCINATION")</x:f>
        <x:v>0</x:v>
      </x:c>
      <x:c r="Z1192" s="43" t="n">
        <x:f>--AND(Y1192=1,R1192=1,S1192=1)</x:f>
        <x:v>0</x:v>
      </x:c>
      <x:c r="AC1192" t="str">
        <x:f>IF(OR(AA1192="",AB1192=""),"",--(AA1192&lt;&gt;AB1192))</x:f>
      </x:c>
      <x:c r="AE1192" t="str">
        <x:f>IF(OR(AA1192="",AB1192=""),"PENDING_HUMAN",IF(AA1192=AB1192,AA1192,IF(AD1192&lt;&gt;"",AD1192,"PENDING_HUMAN")))</x:f>
        <x:v>PENDING_HUMAN</x:v>
      </x:c>
      <x:c r="AF1192" t="n">
        <x:f>--AND(A1192&lt;&gt;"",AA1192&lt;&gt;"",AB1192&lt;&gt;"",OR(AA1192=AB1192,AD1192&lt;&gt;""),IF(AE1192="HALLUCINATION",U1192&lt;&gt;"",TRUE))</x:f>
        <x:v>0</x:v>
      </x:c>
      <x:c r="AG1192" t="n">
        <x:f>--AND(N1192=1,AF1192=1,OR(AE1192="SUPPORTED",AE1192="HALLUCINATION"))</x:f>
        <x:v>0</x:v>
      </x:c>
      <x:c r="AH1192" t="n">
        <x:f>--AND(AG1192=1,AE1192="HALLUCINATION")</x:f>
        <x:v>0</x:v>
      </x:c>
      <x:c r="AI1192" t="n">
        <x:f>--AND(Q1192=1,AF1192=1,AE1192="HALLUCINATION")</x:f>
        <x:v>0</x:v>
      </x:c>
      <x:c r="AJ1192" t="n">
        <x:f>--AND(AI1192=1,R1192=1,S1192=1)</x:f>
        <x:v>0</x:v>
      </x:c>
    </x:row>
    <x:row r="1193">
      <x:c r="A1193" s="28"/>
      <x:c r="B1193" s="28"/>
      <x:c r="C1193" s="28"/>
      <x:c r="D1193" s="28"/>
      <x:c r="E1193" s="28"/>
      <x:c r="F1193" s="28"/>
      <x:c r="G1193" s="28"/>
      <x:c r="H1193" s="28"/>
      <x:c r="I1193" s="28"/>
      <x:c r="J1193" s="28"/>
      <x:c r="K1193" s="28"/>
      <x:c r="L1193" s="28"/>
      <x:c r="M1193" s="28"/>
      <x:c r="N1193" s="28"/>
      <x:c r="O1193" s="28"/>
      <x:c r="P1193" s="28"/>
      <x:c r="Q1193" s="28"/>
      <x:c r="R1193" s="28"/>
      <x:c r="S1193" s="28"/>
      <x:c r="T1193" s="28"/>
      <x:c r="U1193" s="28"/>
      <x:c r="V1193" s="28"/>
      <x:c r="W1193" s="43" t="n">
        <x:f>--AND(N1193=1,OR(O1193="SUPPORTED",O1193="HALLUCINATION"))</x:f>
        <x:v>0</x:v>
      </x:c>
      <x:c r="X1193" s="43" t="n">
        <x:f>--AND(W1193=1,O1193="HALLUCINATION")</x:f>
        <x:v>0</x:v>
      </x:c>
      <x:c r="Y1193" s="43" t="n">
        <x:f>--AND(Q1193=1,O1193="HALLUCINATION")</x:f>
        <x:v>0</x:v>
      </x:c>
      <x:c r="Z1193" s="43" t="n">
        <x:f>--AND(Y1193=1,R1193=1,S1193=1)</x:f>
        <x:v>0</x:v>
      </x:c>
      <x:c r="AC1193" t="str">
        <x:f>IF(OR(AA1193="",AB1193=""),"",--(AA1193&lt;&gt;AB1193))</x:f>
      </x:c>
      <x:c r="AE1193" t="str">
        <x:f>IF(OR(AA1193="",AB1193=""),"PENDING_HUMAN",IF(AA1193=AB1193,AA1193,IF(AD1193&lt;&gt;"",AD1193,"PENDING_HUMAN")))</x:f>
        <x:v>PENDING_HUMAN</x:v>
      </x:c>
      <x:c r="AF1193" t="n">
        <x:f>--AND(A1193&lt;&gt;"",AA1193&lt;&gt;"",AB1193&lt;&gt;"",OR(AA1193=AB1193,AD1193&lt;&gt;""),IF(AE1193="HALLUCINATION",U1193&lt;&gt;"",TRUE))</x:f>
        <x:v>0</x:v>
      </x:c>
      <x:c r="AG1193" t="n">
        <x:f>--AND(N1193=1,AF1193=1,OR(AE1193="SUPPORTED",AE1193="HALLUCINATION"))</x:f>
        <x:v>0</x:v>
      </x:c>
      <x:c r="AH1193" t="n">
        <x:f>--AND(AG1193=1,AE1193="HALLUCINATION")</x:f>
        <x:v>0</x:v>
      </x:c>
      <x:c r="AI1193" t="n">
        <x:f>--AND(Q1193=1,AF1193=1,AE1193="HALLUCINATION")</x:f>
        <x:v>0</x:v>
      </x:c>
      <x:c r="AJ1193" t="n">
        <x:f>--AND(AI1193=1,R1193=1,S1193=1)</x:f>
        <x:v>0</x:v>
      </x:c>
    </x:row>
    <x:row r="1194">
      <x:c r="A1194" s="28"/>
      <x:c r="B1194" s="28"/>
      <x:c r="C1194" s="28"/>
      <x:c r="D1194" s="28"/>
      <x:c r="E1194" s="28"/>
      <x:c r="F1194" s="28"/>
      <x:c r="G1194" s="28"/>
      <x:c r="H1194" s="28"/>
      <x:c r="I1194" s="28"/>
      <x:c r="J1194" s="28"/>
      <x:c r="K1194" s="28"/>
      <x:c r="L1194" s="28"/>
      <x:c r="M1194" s="28"/>
      <x:c r="N1194" s="28"/>
      <x:c r="O1194" s="28"/>
      <x:c r="P1194" s="28"/>
      <x:c r="Q1194" s="28"/>
      <x:c r="R1194" s="28"/>
      <x:c r="S1194" s="28"/>
      <x:c r="T1194" s="28"/>
      <x:c r="U1194" s="28"/>
      <x:c r="V1194" s="28"/>
      <x:c r="W1194" s="43" t="n">
        <x:f>--AND(N1194=1,OR(O1194="SUPPORTED",O1194="HALLUCINATION"))</x:f>
        <x:v>0</x:v>
      </x:c>
      <x:c r="X1194" s="43" t="n">
        <x:f>--AND(W1194=1,O1194="HALLUCINATION")</x:f>
        <x:v>0</x:v>
      </x:c>
      <x:c r="Y1194" s="43" t="n">
        <x:f>--AND(Q1194=1,O1194="HALLUCINATION")</x:f>
        <x:v>0</x:v>
      </x:c>
      <x:c r="Z1194" s="43" t="n">
        <x:f>--AND(Y1194=1,R1194=1,S1194=1)</x:f>
        <x:v>0</x:v>
      </x:c>
      <x:c r="AC1194" t="str">
        <x:f>IF(OR(AA1194="",AB1194=""),"",--(AA1194&lt;&gt;AB1194))</x:f>
      </x:c>
      <x:c r="AE1194" t="str">
        <x:f>IF(OR(AA1194="",AB1194=""),"PENDING_HUMAN",IF(AA1194=AB1194,AA1194,IF(AD1194&lt;&gt;"",AD1194,"PENDING_HUMAN")))</x:f>
        <x:v>PENDING_HUMAN</x:v>
      </x:c>
      <x:c r="AF1194" t="n">
        <x:f>--AND(A1194&lt;&gt;"",AA1194&lt;&gt;"",AB1194&lt;&gt;"",OR(AA1194=AB1194,AD1194&lt;&gt;""),IF(AE1194="HALLUCINATION",U1194&lt;&gt;"",TRUE))</x:f>
        <x:v>0</x:v>
      </x:c>
      <x:c r="AG1194" t="n">
        <x:f>--AND(N1194=1,AF1194=1,OR(AE1194="SUPPORTED",AE1194="HALLUCINATION"))</x:f>
        <x:v>0</x:v>
      </x:c>
      <x:c r="AH1194" t="n">
        <x:f>--AND(AG1194=1,AE1194="HALLUCINATION")</x:f>
        <x:v>0</x:v>
      </x:c>
      <x:c r="AI1194" t="n">
        <x:f>--AND(Q1194=1,AF1194=1,AE1194="HALLUCINATION")</x:f>
        <x:v>0</x:v>
      </x:c>
      <x:c r="AJ1194" t="n">
        <x:f>--AND(AI1194=1,R1194=1,S1194=1)</x:f>
        <x:v>0</x:v>
      </x:c>
    </x:row>
    <x:row r="1195">
      <x:c r="A1195" s="28"/>
      <x:c r="B1195" s="28"/>
      <x:c r="C1195" s="28"/>
      <x:c r="D1195" s="28"/>
      <x:c r="E1195" s="28"/>
      <x:c r="F1195" s="28"/>
      <x:c r="G1195" s="28"/>
      <x:c r="H1195" s="28"/>
      <x:c r="I1195" s="28"/>
      <x:c r="J1195" s="28"/>
      <x:c r="K1195" s="28"/>
      <x:c r="L1195" s="28"/>
      <x:c r="M1195" s="28"/>
      <x:c r="N1195" s="28"/>
      <x:c r="O1195" s="28"/>
      <x:c r="P1195" s="28"/>
      <x:c r="Q1195" s="28"/>
      <x:c r="R1195" s="28"/>
      <x:c r="S1195" s="28"/>
      <x:c r="T1195" s="28"/>
      <x:c r="U1195" s="28"/>
      <x:c r="V1195" s="28"/>
      <x:c r="W1195" s="43" t="n">
        <x:f>--AND(N1195=1,OR(O1195="SUPPORTED",O1195="HALLUCINATION"))</x:f>
        <x:v>0</x:v>
      </x:c>
      <x:c r="X1195" s="43" t="n">
        <x:f>--AND(W1195=1,O1195="HALLUCINATION")</x:f>
        <x:v>0</x:v>
      </x:c>
      <x:c r="Y1195" s="43" t="n">
        <x:f>--AND(Q1195=1,O1195="HALLUCINATION")</x:f>
        <x:v>0</x:v>
      </x:c>
      <x:c r="Z1195" s="43" t="n">
        <x:f>--AND(Y1195=1,R1195=1,S1195=1)</x:f>
        <x:v>0</x:v>
      </x:c>
      <x:c r="AC1195" t="str">
        <x:f>IF(OR(AA1195="",AB1195=""),"",--(AA1195&lt;&gt;AB1195))</x:f>
      </x:c>
      <x:c r="AE1195" t="str">
        <x:f>IF(OR(AA1195="",AB1195=""),"PENDING_HUMAN",IF(AA1195=AB1195,AA1195,IF(AD1195&lt;&gt;"",AD1195,"PENDING_HUMAN")))</x:f>
        <x:v>PENDING_HUMAN</x:v>
      </x:c>
      <x:c r="AF1195" t="n">
        <x:f>--AND(A1195&lt;&gt;"",AA1195&lt;&gt;"",AB1195&lt;&gt;"",OR(AA1195=AB1195,AD1195&lt;&gt;""),IF(AE1195="HALLUCINATION",U1195&lt;&gt;"",TRUE))</x:f>
        <x:v>0</x:v>
      </x:c>
      <x:c r="AG1195" t="n">
        <x:f>--AND(N1195=1,AF1195=1,OR(AE1195="SUPPORTED",AE1195="HALLUCINATION"))</x:f>
        <x:v>0</x:v>
      </x:c>
      <x:c r="AH1195" t="n">
        <x:f>--AND(AG1195=1,AE1195="HALLUCINATION")</x:f>
        <x:v>0</x:v>
      </x:c>
      <x:c r="AI1195" t="n">
        <x:f>--AND(Q1195=1,AF1195=1,AE1195="HALLUCINATION")</x:f>
        <x:v>0</x:v>
      </x:c>
      <x:c r="AJ1195" t="n">
        <x:f>--AND(AI1195=1,R1195=1,S1195=1)</x:f>
        <x:v>0</x:v>
      </x:c>
    </x:row>
    <x:row r="1196">
      <x:c r="A1196" s="28"/>
      <x:c r="B1196" s="28"/>
      <x:c r="C1196" s="28"/>
      <x:c r="D1196" s="28"/>
      <x:c r="E1196" s="28"/>
      <x:c r="F1196" s="28"/>
      <x:c r="G1196" s="28"/>
      <x:c r="H1196" s="28"/>
      <x:c r="I1196" s="28"/>
      <x:c r="J1196" s="28"/>
      <x:c r="K1196" s="28"/>
      <x:c r="L1196" s="28"/>
      <x:c r="M1196" s="28"/>
      <x:c r="N1196" s="28"/>
      <x:c r="O1196" s="28"/>
      <x:c r="P1196" s="28"/>
      <x:c r="Q1196" s="28"/>
      <x:c r="R1196" s="28"/>
      <x:c r="S1196" s="28"/>
      <x:c r="T1196" s="28"/>
      <x:c r="U1196" s="28"/>
      <x:c r="V1196" s="28"/>
      <x:c r="W1196" s="43" t="n">
        <x:f>--AND(N1196=1,OR(O1196="SUPPORTED",O1196="HALLUCINATION"))</x:f>
        <x:v>0</x:v>
      </x:c>
      <x:c r="X1196" s="43" t="n">
        <x:f>--AND(W1196=1,O1196="HALLUCINATION")</x:f>
        <x:v>0</x:v>
      </x:c>
      <x:c r="Y1196" s="43" t="n">
        <x:f>--AND(Q1196=1,O1196="HALLUCINATION")</x:f>
        <x:v>0</x:v>
      </x:c>
      <x:c r="Z1196" s="43" t="n">
        <x:f>--AND(Y1196=1,R1196=1,S1196=1)</x:f>
        <x:v>0</x:v>
      </x:c>
      <x:c r="AC1196" t="str">
        <x:f>IF(OR(AA1196="",AB1196=""),"",--(AA1196&lt;&gt;AB1196))</x:f>
      </x:c>
      <x:c r="AE1196" t="str">
        <x:f>IF(OR(AA1196="",AB1196=""),"PENDING_HUMAN",IF(AA1196=AB1196,AA1196,IF(AD1196&lt;&gt;"",AD1196,"PENDING_HUMAN")))</x:f>
        <x:v>PENDING_HUMAN</x:v>
      </x:c>
      <x:c r="AF1196" t="n">
        <x:f>--AND(A1196&lt;&gt;"",AA1196&lt;&gt;"",AB1196&lt;&gt;"",OR(AA1196=AB1196,AD1196&lt;&gt;""),IF(AE1196="HALLUCINATION",U1196&lt;&gt;"",TRUE))</x:f>
        <x:v>0</x:v>
      </x:c>
      <x:c r="AG1196" t="n">
        <x:f>--AND(N1196=1,AF1196=1,OR(AE1196="SUPPORTED",AE1196="HALLUCINATION"))</x:f>
        <x:v>0</x:v>
      </x:c>
      <x:c r="AH1196" t="n">
        <x:f>--AND(AG1196=1,AE1196="HALLUCINATION")</x:f>
        <x:v>0</x:v>
      </x:c>
      <x:c r="AI1196" t="n">
        <x:f>--AND(Q1196=1,AF1196=1,AE1196="HALLUCINATION")</x:f>
        <x:v>0</x:v>
      </x:c>
      <x:c r="AJ1196" t="n">
        <x:f>--AND(AI1196=1,R1196=1,S1196=1)</x:f>
        <x:v>0</x:v>
      </x:c>
    </x:row>
    <x:row r="1197">
      <x:c r="A1197" s="28"/>
      <x:c r="B1197" s="28"/>
      <x:c r="C1197" s="28"/>
      <x:c r="D1197" s="28"/>
      <x:c r="E1197" s="28"/>
      <x:c r="F1197" s="28"/>
      <x:c r="G1197" s="28"/>
      <x:c r="H1197" s="28"/>
      <x:c r="I1197" s="28"/>
      <x:c r="J1197" s="28"/>
      <x:c r="K1197" s="28"/>
      <x:c r="L1197" s="28"/>
      <x:c r="M1197" s="28"/>
      <x:c r="N1197" s="28"/>
      <x:c r="O1197" s="28"/>
      <x:c r="P1197" s="28"/>
      <x:c r="Q1197" s="28"/>
      <x:c r="R1197" s="28"/>
      <x:c r="S1197" s="28"/>
      <x:c r="T1197" s="28"/>
      <x:c r="U1197" s="28"/>
      <x:c r="V1197" s="28"/>
      <x:c r="W1197" s="43" t="n">
        <x:f>--AND(N1197=1,OR(O1197="SUPPORTED",O1197="HALLUCINATION"))</x:f>
        <x:v>0</x:v>
      </x:c>
      <x:c r="X1197" s="43" t="n">
        <x:f>--AND(W1197=1,O1197="HALLUCINATION")</x:f>
        <x:v>0</x:v>
      </x:c>
      <x:c r="Y1197" s="43" t="n">
        <x:f>--AND(Q1197=1,O1197="HALLUCINATION")</x:f>
        <x:v>0</x:v>
      </x:c>
      <x:c r="Z1197" s="43" t="n">
        <x:f>--AND(Y1197=1,R1197=1,S1197=1)</x:f>
        <x:v>0</x:v>
      </x:c>
      <x:c r="AC1197" t="str">
        <x:f>IF(OR(AA1197="",AB1197=""),"",--(AA1197&lt;&gt;AB1197))</x:f>
      </x:c>
      <x:c r="AE1197" t="str">
        <x:f>IF(OR(AA1197="",AB1197=""),"PENDING_HUMAN",IF(AA1197=AB1197,AA1197,IF(AD1197&lt;&gt;"",AD1197,"PENDING_HUMAN")))</x:f>
        <x:v>PENDING_HUMAN</x:v>
      </x:c>
      <x:c r="AF1197" t="n">
        <x:f>--AND(A1197&lt;&gt;"",AA1197&lt;&gt;"",AB1197&lt;&gt;"",OR(AA1197=AB1197,AD1197&lt;&gt;""),IF(AE1197="HALLUCINATION",U1197&lt;&gt;"",TRUE))</x:f>
        <x:v>0</x:v>
      </x:c>
      <x:c r="AG1197" t="n">
        <x:f>--AND(N1197=1,AF1197=1,OR(AE1197="SUPPORTED",AE1197="HALLUCINATION"))</x:f>
        <x:v>0</x:v>
      </x:c>
      <x:c r="AH1197" t="n">
        <x:f>--AND(AG1197=1,AE1197="HALLUCINATION")</x:f>
        <x:v>0</x:v>
      </x:c>
      <x:c r="AI1197" t="n">
        <x:f>--AND(Q1197=1,AF1197=1,AE1197="HALLUCINATION")</x:f>
        <x:v>0</x:v>
      </x:c>
      <x:c r="AJ1197" t="n">
        <x:f>--AND(AI1197=1,R1197=1,S1197=1)</x:f>
        <x:v>0</x:v>
      </x:c>
    </x:row>
    <x:row r="1198">
      <x:c r="A1198" s="28"/>
      <x:c r="B1198" s="28"/>
      <x:c r="C1198" s="28"/>
      <x:c r="D1198" s="28"/>
      <x:c r="E1198" s="28"/>
      <x:c r="F1198" s="28"/>
      <x:c r="G1198" s="28"/>
      <x:c r="H1198" s="28"/>
      <x:c r="I1198" s="28"/>
      <x:c r="J1198" s="28"/>
      <x:c r="K1198" s="28"/>
      <x:c r="L1198" s="28"/>
      <x:c r="M1198" s="28"/>
      <x:c r="N1198" s="28"/>
      <x:c r="O1198" s="28"/>
      <x:c r="P1198" s="28"/>
      <x:c r="Q1198" s="28"/>
      <x:c r="R1198" s="28"/>
      <x:c r="S1198" s="28"/>
      <x:c r="T1198" s="28"/>
      <x:c r="U1198" s="28"/>
      <x:c r="V1198" s="28"/>
      <x:c r="W1198" s="43" t="n">
        <x:f>--AND(N1198=1,OR(O1198="SUPPORTED",O1198="HALLUCINATION"))</x:f>
        <x:v>0</x:v>
      </x:c>
      <x:c r="X1198" s="43" t="n">
        <x:f>--AND(W1198=1,O1198="HALLUCINATION")</x:f>
        <x:v>0</x:v>
      </x:c>
      <x:c r="Y1198" s="43" t="n">
        <x:f>--AND(Q1198=1,O1198="HALLUCINATION")</x:f>
        <x:v>0</x:v>
      </x:c>
      <x:c r="Z1198" s="43" t="n">
        <x:f>--AND(Y1198=1,R1198=1,S1198=1)</x:f>
        <x:v>0</x:v>
      </x:c>
      <x:c r="AC1198" t="str">
        <x:f>IF(OR(AA1198="",AB1198=""),"",--(AA1198&lt;&gt;AB1198))</x:f>
      </x:c>
      <x:c r="AE1198" t="str">
        <x:f>IF(OR(AA1198="",AB1198=""),"PENDING_HUMAN",IF(AA1198=AB1198,AA1198,IF(AD1198&lt;&gt;"",AD1198,"PENDING_HUMAN")))</x:f>
        <x:v>PENDING_HUMAN</x:v>
      </x:c>
      <x:c r="AF1198" t="n">
        <x:f>--AND(A1198&lt;&gt;"",AA1198&lt;&gt;"",AB1198&lt;&gt;"",OR(AA1198=AB1198,AD1198&lt;&gt;""),IF(AE1198="HALLUCINATION",U1198&lt;&gt;"",TRUE))</x:f>
        <x:v>0</x:v>
      </x:c>
      <x:c r="AG1198" t="n">
        <x:f>--AND(N1198=1,AF1198=1,OR(AE1198="SUPPORTED",AE1198="HALLUCINATION"))</x:f>
        <x:v>0</x:v>
      </x:c>
      <x:c r="AH1198" t="n">
        <x:f>--AND(AG1198=1,AE1198="HALLUCINATION")</x:f>
        <x:v>0</x:v>
      </x:c>
      <x:c r="AI1198" t="n">
        <x:f>--AND(Q1198=1,AF1198=1,AE1198="HALLUCINATION")</x:f>
        <x:v>0</x:v>
      </x:c>
      <x:c r="AJ1198" t="n">
        <x:f>--AND(AI1198=1,R1198=1,S1198=1)</x:f>
        <x:v>0</x:v>
      </x:c>
    </x:row>
    <x:row r="1199">
      <x:c r="A1199" s="28"/>
      <x:c r="B1199" s="28"/>
      <x:c r="C1199" s="28"/>
      <x:c r="D1199" s="28"/>
      <x:c r="E1199" s="28"/>
      <x:c r="F1199" s="28"/>
      <x:c r="G1199" s="28"/>
      <x:c r="H1199" s="28"/>
      <x:c r="I1199" s="28"/>
      <x:c r="J1199" s="28"/>
      <x:c r="K1199" s="28"/>
      <x:c r="L1199" s="28"/>
      <x:c r="M1199" s="28"/>
      <x:c r="N1199" s="28"/>
      <x:c r="O1199" s="28"/>
      <x:c r="P1199" s="28"/>
      <x:c r="Q1199" s="28"/>
      <x:c r="R1199" s="28"/>
      <x:c r="S1199" s="28"/>
      <x:c r="T1199" s="28"/>
      <x:c r="U1199" s="28"/>
      <x:c r="V1199" s="28"/>
      <x:c r="W1199" s="43" t="n">
        <x:f>--AND(N1199=1,OR(O1199="SUPPORTED",O1199="HALLUCINATION"))</x:f>
        <x:v>0</x:v>
      </x:c>
      <x:c r="X1199" s="43" t="n">
        <x:f>--AND(W1199=1,O1199="HALLUCINATION")</x:f>
        <x:v>0</x:v>
      </x:c>
      <x:c r="Y1199" s="43" t="n">
        <x:f>--AND(Q1199=1,O1199="HALLUCINATION")</x:f>
        <x:v>0</x:v>
      </x:c>
      <x:c r="Z1199" s="43" t="n">
        <x:f>--AND(Y1199=1,R1199=1,S1199=1)</x:f>
        <x:v>0</x:v>
      </x:c>
      <x:c r="AC1199" t="str">
        <x:f>IF(OR(AA1199="",AB1199=""),"",--(AA1199&lt;&gt;AB1199))</x:f>
      </x:c>
      <x:c r="AE1199" t="str">
        <x:f>IF(OR(AA1199="",AB1199=""),"PENDING_HUMAN",IF(AA1199=AB1199,AA1199,IF(AD1199&lt;&gt;"",AD1199,"PENDING_HUMAN")))</x:f>
        <x:v>PENDING_HUMAN</x:v>
      </x:c>
      <x:c r="AF1199" t="n">
        <x:f>--AND(A1199&lt;&gt;"",AA1199&lt;&gt;"",AB1199&lt;&gt;"",OR(AA1199=AB1199,AD1199&lt;&gt;""),IF(AE1199="HALLUCINATION",U1199&lt;&gt;"",TRUE))</x:f>
        <x:v>0</x:v>
      </x:c>
      <x:c r="AG1199" t="n">
        <x:f>--AND(N1199=1,AF1199=1,OR(AE1199="SUPPORTED",AE1199="HALLUCINATION"))</x:f>
        <x:v>0</x:v>
      </x:c>
      <x:c r="AH1199" t="n">
        <x:f>--AND(AG1199=1,AE1199="HALLUCINATION")</x:f>
        <x:v>0</x:v>
      </x:c>
      <x:c r="AI1199" t="n">
        <x:f>--AND(Q1199=1,AF1199=1,AE1199="HALLUCINATION")</x:f>
        <x:v>0</x:v>
      </x:c>
      <x:c r="AJ1199" t="n">
        <x:f>--AND(AI1199=1,R1199=1,S1199=1)</x:f>
        <x:v>0</x:v>
      </x:c>
    </x:row>
    <x:row r="1200">
      <x:c r="A1200" s="28"/>
      <x:c r="B1200" s="28"/>
      <x:c r="C1200" s="28"/>
      <x:c r="D1200" s="28"/>
      <x:c r="E1200" s="28"/>
      <x:c r="F1200" s="28"/>
      <x:c r="G1200" s="28"/>
      <x:c r="H1200" s="28"/>
      <x:c r="I1200" s="28"/>
      <x:c r="J1200" s="28"/>
      <x:c r="K1200" s="28"/>
      <x:c r="L1200" s="28"/>
      <x:c r="M1200" s="28"/>
      <x:c r="N1200" s="28"/>
      <x:c r="O1200" s="28"/>
      <x:c r="P1200" s="28"/>
      <x:c r="Q1200" s="28"/>
      <x:c r="R1200" s="28"/>
      <x:c r="S1200" s="28"/>
      <x:c r="T1200" s="28"/>
      <x:c r="U1200" s="28"/>
      <x:c r="V1200" s="28"/>
      <x:c r="W1200" s="43" t="n">
        <x:f>--AND(N1200=1,OR(O1200="SUPPORTED",O1200="HALLUCINATION"))</x:f>
        <x:v>0</x:v>
      </x:c>
      <x:c r="X1200" s="43" t="n">
        <x:f>--AND(W1200=1,O1200="HALLUCINATION")</x:f>
        <x:v>0</x:v>
      </x:c>
      <x:c r="Y1200" s="43" t="n">
        <x:f>--AND(Q1200=1,O1200="HALLUCINATION")</x:f>
        <x:v>0</x:v>
      </x:c>
      <x:c r="Z1200" s="43" t="n">
        <x:f>--AND(Y1200=1,R1200=1,S1200=1)</x:f>
        <x:v>0</x:v>
      </x:c>
      <x:c r="AC1200" t="str">
        <x:f>IF(OR(AA1200="",AB1200=""),"",--(AA1200&lt;&gt;AB1200))</x:f>
      </x:c>
      <x:c r="AE1200" t="str">
        <x:f>IF(OR(AA1200="",AB1200=""),"PENDING_HUMAN",IF(AA1200=AB1200,AA1200,IF(AD1200&lt;&gt;"",AD1200,"PENDING_HUMAN")))</x:f>
        <x:v>PENDING_HUMAN</x:v>
      </x:c>
      <x:c r="AF1200" t="n">
        <x:f>--AND(A1200&lt;&gt;"",AA1200&lt;&gt;"",AB1200&lt;&gt;"",OR(AA1200=AB1200,AD1200&lt;&gt;""),IF(AE1200="HALLUCINATION",U1200&lt;&gt;"",TRUE))</x:f>
        <x:v>0</x:v>
      </x:c>
      <x:c r="AG1200" t="n">
        <x:f>--AND(N1200=1,AF1200=1,OR(AE1200="SUPPORTED",AE1200="HALLUCINATION"))</x:f>
        <x:v>0</x:v>
      </x:c>
      <x:c r="AH1200" t="n">
        <x:f>--AND(AG1200=1,AE1200="HALLUCINATION")</x:f>
        <x:v>0</x:v>
      </x:c>
      <x:c r="AI1200" t="n">
        <x:f>--AND(Q1200=1,AF1200=1,AE1200="HALLUCINATION")</x:f>
        <x:v>0</x:v>
      </x:c>
      <x:c r="AJ1200" t="n">
        <x:f>--AND(AI1200=1,R1200=1,S1200=1)</x:f>
        <x:v>0</x:v>
      </x:c>
    </x:row>
    <x:row r="1201">
      <x:c r="A1201" s="28"/>
      <x:c r="B1201" s="28"/>
      <x:c r="C1201" s="28"/>
      <x:c r="D1201" s="28"/>
      <x:c r="E1201" s="28"/>
      <x:c r="F1201" s="28"/>
      <x:c r="G1201" s="28"/>
      <x:c r="H1201" s="28"/>
      <x:c r="I1201" s="28"/>
      <x:c r="J1201" s="28"/>
      <x:c r="K1201" s="28"/>
      <x:c r="L1201" s="28"/>
      <x:c r="M1201" s="28"/>
      <x:c r="N1201" s="28"/>
      <x:c r="O1201" s="28"/>
      <x:c r="P1201" s="28"/>
      <x:c r="Q1201" s="28"/>
      <x:c r="R1201" s="28"/>
      <x:c r="S1201" s="28"/>
      <x:c r="T1201" s="28"/>
      <x:c r="U1201" s="28"/>
      <x:c r="V1201" s="28"/>
      <x:c r="W1201" s="43" t="n">
        <x:f>--AND(N1201=1,OR(O1201="SUPPORTED",O1201="HALLUCINATION"))</x:f>
        <x:v>0</x:v>
      </x:c>
      <x:c r="X1201" s="43" t="n">
        <x:f>--AND(W1201=1,O1201="HALLUCINATION")</x:f>
        <x:v>0</x:v>
      </x:c>
      <x:c r="Y1201" s="43" t="n">
        <x:f>--AND(Q1201=1,O1201="HALLUCINATION")</x:f>
        <x:v>0</x:v>
      </x:c>
      <x:c r="Z1201" s="43" t="n">
        <x:f>--AND(Y1201=1,R1201=1,S1201=1)</x:f>
        <x:v>0</x:v>
      </x:c>
      <x:c r="AC1201" t="str">
        <x:f>IF(OR(AA1201="",AB1201=""),"",--(AA1201&lt;&gt;AB1201))</x:f>
      </x:c>
      <x:c r="AE1201" t="str">
        <x:f>IF(OR(AA1201="",AB1201=""),"PENDING_HUMAN",IF(AA1201=AB1201,AA1201,IF(AD1201&lt;&gt;"",AD1201,"PENDING_HUMAN")))</x:f>
        <x:v>PENDING_HUMAN</x:v>
      </x:c>
      <x:c r="AF1201" t="n">
        <x:f>--AND(A1201&lt;&gt;"",AA1201&lt;&gt;"",AB1201&lt;&gt;"",OR(AA1201=AB1201,AD1201&lt;&gt;""),IF(AE1201="HALLUCINATION",U1201&lt;&gt;"",TRUE))</x:f>
        <x:v>0</x:v>
      </x:c>
      <x:c r="AG1201" t="n">
        <x:f>--AND(N1201=1,AF1201=1,OR(AE1201="SUPPORTED",AE1201="HALLUCINATION"))</x:f>
        <x:v>0</x:v>
      </x:c>
      <x:c r="AH1201" t="n">
        <x:f>--AND(AG1201=1,AE1201="HALLUCINATION")</x:f>
        <x:v>0</x:v>
      </x:c>
      <x:c r="AI1201" t="n">
        <x:f>--AND(Q1201=1,AF1201=1,AE1201="HALLUCINATION")</x:f>
        <x:v>0</x:v>
      </x:c>
      <x:c r="AJ1201" t="n">
        <x:f>--AND(AI1201=1,R1201=1,S1201=1)</x:f>
        <x:v>0</x:v>
      </x:c>
    </x:row>
    <x:row r="1202">
      <x:c r="A1202" s="28"/>
      <x:c r="B1202" s="28"/>
      <x:c r="C1202" s="28"/>
      <x:c r="D1202" s="28"/>
      <x:c r="E1202" s="28"/>
      <x:c r="F1202" s="28"/>
      <x:c r="G1202" s="28"/>
      <x:c r="H1202" s="28"/>
      <x:c r="I1202" s="28"/>
      <x:c r="J1202" s="28"/>
      <x:c r="K1202" s="28"/>
      <x:c r="L1202" s="28"/>
      <x:c r="M1202" s="28"/>
      <x:c r="N1202" s="28"/>
      <x:c r="O1202" s="28"/>
      <x:c r="P1202" s="28"/>
      <x:c r="Q1202" s="28"/>
      <x:c r="R1202" s="28"/>
      <x:c r="S1202" s="28"/>
      <x:c r="T1202" s="28"/>
      <x:c r="U1202" s="28"/>
      <x:c r="V1202" s="28"/>
      <x:c r="W1202" s="43" t="n">
        <x:f>--AND(N1202=1,OR(O1202="SUPPORTED",O1202="HALLUCINATION"))</x:f>
        <x:v>0</x:v>
      </x:c>
      <x:c r="X1202" s="43" t="n">
        <x:f>--AND(W1202=1,O1202="HALLUCINATION")</x:f>
        <x:v>0</x:v>
      </x:c>
      <x:c r="Y1202" s="43" t="n">
        <x:f>--AND(Q1202=1,O1202="HALLUCINATION")</x:f>
        <x:v>0</x:v>
      </x:c>
      <x:c r="Z1202" s="43" t="n">
        <x:f>--AND(Y1202=1,R1202=1,S1202=1)</x:f>
        <x:v>0</x:v>
      </x:c>
      <x:c r="AC1202" t="str">
        <x:f>IF(OR(AA1202="",AB1202=""),"",--(AA1202&lt;&gt;AB1202))</x:f>
      </x:c>
      <x:c r="AE1202" t="str">
        <x:f>IF(OR(AA1202="",AB1202=""),"PENDING_HUMAN",IF(AA1202=AB1202,AA1202,IF(AD1202&lt;&gt;"",AD1202,"PENDING_HUMAN")))</x:f>
        <x:v>PENDING_HUMAN</x:v>
      </x:c>
      <x:c r="AF1202" t="n">
        <x:f>--AND(A1202&lt;&gt;"",AA1202&lt;&gt;"",AB1202&lt;&gt;"",OR(AA1202=AB1202,AD1202&lt;&gt;""),IF(AE1202="HALLUCINATION",U1202&lt;&gt;"",TRUE))</x:f>
        <x:v>0</x:v>
      </x:c>
      <x:c r="AG1202" t="n">
        <x:f>--AND(N1202=1,AF1202=1,OR(AE1202="SUPPORTED",AE1202="HALLUCINATION"))</x:f>
        <x:v>0</x:v>
      </x:c>
      <x:c r="AH1202" t="n">
        <x:f>--AND(AG1202=1,AE1202="HALLUCINATION")</x:f>
        <x:v>0</x:v>
      </x:c>
      <x:c r="AI1202" t="n">
        <x:f>--AND(Q1202=1,AF1202=1,AE1202="HALLUCINATION")</x:f>
        <x:v>0</x:v>
      </x:c>
      <x:c r="AJ1202" t="n">
        <x:f>--AND(AI1202=1,R1202=1,S1202=1)</x:f>
        <x:v>0</x:v>
      </x:c>
    </x:row>
    <x:row r="1203">
      <x:c r="A1203" s="28"/>
      <x:c r="B1203" s="28"/>
      <x:c r="C1203" s="28"/>
      <x:c r="D1203" s="28"/>
      <x:c r="E1203" s="28"/>
      <x:c r="F1203" s="28"/>
      <x:c r="G1203" s="28"/>
      <x:c r="H1203" s="28"/>
      <x:c r="I1203" s="28"/>
      <x:c r="J1203" s="28"/>
      <x:c r="K1203" s="28"/>
      <x:c r="L1203" s="28"/>
      <x:c r="M1203" s="28"/>
      <x:c r="N1203" s="28"/>
      <x:c r="O1203" s="28"/>
      <x:c r="P1203" s="28"/>
      <x:c r="Q1203" s="28"/>
      <x:c r="R1203" s="28"/>
      <x:c r="S1203" s="28"/>
      <x:c r="T1203" s="28"/>
      <x:c r="U1203" s="28"/>
      <x:c r="V1203" s="28"/>
      <x:c r="W1203" s="43" t="n">
        <x:f>--AND(N1203=1,OR(O1203="SUPPORTED",O1203="HALLUCINATION"))</x:f>
        <x:v>0</x:v>
      </x:c>
      <x:c r="X1203" s="43" t="n">
        <x:f>--AND(W1203=1,O1203="HALLUCINATION")</x:f>
        <x:v>0</x:v>
      </x:c>
      <x:c r="Y1203" s="43" t="n">
        <x:f>--AND(Q1203=1,O1203="HALLUCINATION")</x:f>
        <x:v>0</x:v>
      </x:c>
      <x:c r="Z1203" s="43" t="n">
        <x:f>--AND(Y1203=1,R1203=1,S1203=1)</x:f>
        <x:v>0</x:v>
      </x:c>
      <x:c r="AC1203" t="str">
        <x:f>IF(OR(AA1203="",AB1203=""),"",--(AA1203&lt;&gt;AB1203))</x:f>
      </x:c>
      <x:c r="AE1203" t="str">
        <x:f>IF(OR(AA1203="",AB1203=""),"PENDING_HUMAN",IF(AA1203=AB1203,AA1203,IF(AD1203&lt;&gt;"",AD1203,"PENDING_HUMAN")))</x:f>
        <x:v>PENDING_HUMAN</x:v>
      </x:c>
      <x:c r="AF1203" t="n">
        <x:f>--AND(A1203&lt;&gt;"",AA1203&lt;&gt;"",AB1203&lt;&gt;"",OR(AA1203=AB1203,AD1203&lt;&gt;""),IF(AE1203="HALLUCINATION",U1203&lt;&gt;"",TRUE))</x:f>
        <x:v>0</x:v>
      </x:c>
      <x:c r="AG1203" t="n">
        <x:f>--AND(N1203=1,AF1203=1,OR(AE1203="SUPPORTED",AE1203="HALLUCINATION"))</x:f>
        <x:v>0</x:v>
      </x:c>
      <x:c r="AH1203" t="n">
        <x:f>--AND(AG1203=1,AE1203="HALLUCINATION")</x:f>
        <x:v>0</x:v>
      </x:c>
      <x:c r="AI1203" t="n">
        <x:f>--AND(Q1203=1,AF1203=1,AE1203="HALLUCINATION")</x:f>
        <x:v>0</x:v>
      </x:c>
      <x:c r="AJ1203" t="n">
        <x:f>--AND(AI1203=1,R1203=1,S1203=1)</x:f>
        <x:v>0</x:v>
      </x:c>
    </x:row>
    <x:row r="1204">
      <x:c r="A1204" s="28"/>
      <x:c r="B1204" s="28"/>
      <x:c r="C1204" s="28"/>
      <x:c r="D1204" s="28"/>
      <x:c r="E1204" s="28"/>
      <x:c r="F1204" s="28"/>
      <x:c r="G1204" s="28"/>
      <x:c r="H1204" s="28"/>
      <x:c r="I1204" s="28"/>
      <x:c r="J1204" s="28"/>
      <x:c r="K1204" s="28"/>
      <x:c r="L1204" s="28"/>
      <x:c r="M1204" s="28"/>
      <x:c r="N1204" s="28"/>
      <x:c r="O1204" s="28"/>
      <x:c r="P1204" s="28"/>
      <x:c r="Q1204" s="28"/>
      <x:c r="R1204" s="28"/>
      <x:c r="S1204" s="28"/>
      <x:c r="T1204" s="28"/>
      <x:c r="U1204" s="28"/>
      <x:c r="V1204" s="28"/>
      <x:c r="W1204" s="43" t="n">
        <x:f>--AND(N1204=1,OR(O1204="SUPPORTED",O1204="HALLUCINATION"))</x:f>
        <x:v>0</x:v>
      </x:c>
      <x:c r="X1204" s="43" t="n">
        <x:f>--AND(W1204=1,O1204="HALLUCINATION")</x:f>
        <x:v>0</x:v>
      </x:c>
      <x:c r="Y1204" s="43" t="n">
        <x:f>--AND(Q1204=1,O1204="HALLUCINATION")</x:f>
        <x:v>0</x:v>
      </x:c>
      <x:c r="Z1204" s="43" t="n">
        <x:f>--AND(Y1204=1,R1204=1,S1204=1)</x:f>
        <x:v>0</x:v>
      </x:c>
      <x:c r="AC1204" t="str">
        <x:f>IF(OR(AA1204="",AB1204=""),"",--(AA1204&lt;&gt;AB1204))</x:f>
      </x:c>
      <x:c r="AE1204" t="str">
        <x:f>IF(OR(AA1204="",AB1204=""),"PENDING_HUMAN",IF(AA1204=AB1204,AA1204,IF(AD1204&lt;&gt;"",AD1204,"PENDING_HUMAN")))</x:f>
        <x:v>PENDING_HUMAN</x:v>
      </x:c>
      <x:c r="AF1204" t="n">
        <x:f>--AND(A1204&lt;&gt;"",AA1204&lt;&gt;"",AB1204&lt;&gt;"",OR(AA1204=AB1204,AD1204&lt;&gt;""),IF(AE1204="HALLUCINATION",U1204&lt;&gt;"",TRUE))</x:f>
        <x:v>0</x:v>
      </x:c>
      <x:c r="AG1204" t="n">
        <x:f>--AND(N1204=1,AF1204=1,OR(AE1204="SUPPORTED",AE1204="HALLUCINATION"))</x:f>
        <x:v>0</x:v>
      </x:c>
      <x:c r="AH1204" t="n">
        <x:f>--AND(AG1204=1,AE1204="HALLUCINATION")</x:f>
        <x:v>0</x:v>
      </x:c>
      <x:c r="AI1204" t="n">
        <x:f>--AND(Q1204=1,AF1204=1,AE1204="HALLUCINATION")</x:f>
        <x:v>0</x:v>
      </x:c>
      <x:c r="AJ1204" t="n">
        <x:f>--AND(AI1204=1,R1204=1,S1204=1)</x:f>
        <x:v>0</x:v>
      </x:c>
    </x:row>
    <x:row r="1205">
      <x:c r="A1205" s="28"/>
      <x:c r="B1205" s="28"/>
      <x:c r="C1205" s="28"/>
      <x:c r="D1205" s="28"/>
      <x:c r="E1205" s="28"/>
      <x:c r="F1205" s="28"/>
      <x:c r="G1205" s="28"/>
      <x:c r="H1205" s="28"/>
      <x:c r="I1205" s="28"/>
      <x:c r="J1205" s="28"/>
      <x:c r="K1205" s="28"/>
      <x:c r="L1205" s="28"/>
      <x:c r="M1205" s="28"/>
      <x:c r="N1205" s="28"/>
      <x:c r="O1205" s="28"/>
      <x:c r="P1205" s="28"/>
      <x:c r="Q1205" s="28"/>
      <x:c r="R1205" s="28"/>
      <x:c r="S1205" s="28"/>
      <x:c r="T1205" s="28"/>
      <x:c r="U1205" s="28"/>
      <x:c r="V1205" s="28"/>
      <x:c r="W1205" s="43" t="n">
        <x:f>--AND(N1205=1,OR(O1205="SUPPORTED",O1205="HALLUCINATION"))</x:f>
        <x:v>0</x:v>
      </x:c>
      <x:c r="X1205" s="43" t="n">
        <x:f>--AND(W1205=1,O1205="HALLUCINATION")</x:f>
        <x:v>0</x:v>
      </x:c>
      <x:c r="Y1205" s="43" t="n">
        <x:f>--AND(Q1205=1,O1205="HALLUCINATION")</x:f>
        <x:v>0</x:v>
      </x:c>
      <x:c r="Z1205" s="43" t="n">
        <x:f>--AND(Y1205=1,R1205=1,S1205=1)</x:f>
        <x:v>0</x:v>
      </x:c>
      <x:c r="AC1205" t="str">
        <x:f>IF(OR(AA1205="",AB1205=""),"",--(AA1205&lt;&gt;AB1205))</x:f>
      </x:c>
      <x:c r="AE1205" t="str">
        <x:f>IF(OR(AA1205="",AB1205=""),"PENDING_HUMAN",IF(AA1205=AB1205,AA1205,IF(AD1205&lt;&gt;"",AD1205,"PENDING_HUMAN")))</x:f>
        <x:v>PENDING_HUMAN</x:v>
      </x:c>
      <x:c r="AF1205" t="n">
        <x:f>--AND(A1205&lt;&gt;"",AA1205&lt;&gt;"",AB1205&lt;&gt;"",OR(AA1205=AB1205,AD1205&lt;&gt;""),IF(AE1205="HALLUCINATION",U1205&lt;&gt;"",TRUE))</x:f>
        <x:v>0</x:v>
      </x:c>
      <x:c r="AG1205" t="n">
        <x:f>--AND(N1205=1,AF1205=1,OR(AE1205="SUPPORTED",AE1205="HALLUCINATION"))</x:f>
        <x:v>0</x:v>
      </x:c>
      <x:c r="AH1205" t="n">
        <x:f>--AND(AG1205=1,AE1205="HALLUCINATION")</x:f>
        <x:v>0</x:v>
      </x:c>
      <x:c r="AI1205" t="n">
        <x:f>--AND(Q1205=1,AF1205=1,AE1205="HALLUCINATION")</x:f>
        <x:v>0</x:v>
      </x:c>
      <x:c r="AJ1205" t="n">
        <x:f>--AND(AI1205=1,R1205=1,S1205=1)</x:f>
        <x:v>0</x:v>
      </x:c>
    </x:row>
    <x:row r="1206">
      <x:c r="A1206" s="28"/>
      <x:c r="B1206" s="28"/>
      <x:c r="C1206" s="28"/>
      <x:c r="D1206" s="28"/>
      <x:c r="E1206" s="28"/>
      <x:c r="F1206" s="28"/>
      <x:c r="G1206" s="28"/>
      <x:c r="H1206" s="28"/>
      <x:c r="I1206" s="28"/>
      <x:c r="J1206" s="28"/>
      <x:c r="K1206" s="28"/>
      <x:c r="L1206" s="28"/>
      <x:c r="M1206" s="28"/>
      <x:c r="N1206" s="28"/>
      <x:c r="O1206" s="28"/>
      <x:c r="P1206" s="28"/>
      <x:c r="Q1206" s="28"/>
      <x:c r="R1206" s="28"/>
      <x:c r="S1206" s="28"/>
      <x:c r="T1206" s="28"/>
      <x:c r="U1206" s="28"/>
      <x:c r="V1206" s="28"/>
      <x:c r="W1206" s="43" t="n">
        <x:f>--AND(N1206=1,OR(O1206="SUPPORTED",O1206="HALLUCINATION"))</x:f>
        <x:v>0</x:v>
      </x:c>
      <x:c r="X1206" s="43" t="n">
        <x:f>--AND(W1206=1,O1206="HALLUCINATION")</x:f>
        <x:v>0</x:v>
      </x:c>
      <x:c r="Y1206" s="43" t="n">
        <x:f>--AND(Q1206=1,O1206="HALLUCINATION")</x:f>
        <x:v>0</x:v>
      </x:c>
      <x:c r="Z1206" s="43" t="n">
        <x:f>--AND(Y1206=1,R1206=1,S1206=1)</x:f>
        <x:v>0</x:v>
      </x:c>
      <x:c r="AC1206" t="str">
        <x:f>IF(OR(AA1206="",AB1206=""),"",--(AA1206&lt;&gt;AB1206))</x:f>
      </x:c>
      <x:c r="AE1206" t="str">
        <x:f>IF(OR(AA1206="",AB1206=""),"PENDING_HUMAN",IF(AA1206=AB1206,AA1206,IF(AD1206&lt;&gt;"",AD1206,"PENDING_HUMAN")))</x:f>
        <x:v>PENDING_HUMAN</x:v>
      </x:c>
      <x:c r="AF1206" t="n">
        <x:f>--AND(A1206&lt;&gt;"",AA1206&lt;&gt;"",AB1206&lt;&gt;"",OR(AA1206=AB1206,AD1206&lt;&gt;""),IF(AE1206="HALLUCINATION",U1206&lt;&gt;"",TRUE))</x:f>
        <x:v>0</x:v>
      </x:c>
      <x:c r="AG1206" t="n">
        <x:f>--AND(N1206=1,AF1206=1,OR(AE1206="SUPPORTED",AE1206="HALLUCINATION"))</x:f>
        <x:v>0</x:v>
      </x:c>
      <x:c r="AH1206" t="n">
        <x:f>--AND(AG1206=1,AE1206="HALLUCINATION")</x:f>
        <x:v>0</x:v>
      </x:c>
      <x:c r="AI1206" t="n">
        <x:f>--AND(Q1206=1,AF1206=1,AE1206="HALLUCINATION")</x:f>
        <x:v>0</x:v>
      </x:c>
      <x:c r="AJ1206" t="n">
        <x:f>--AND(AI1206=1,R1206=1,S1206=1)</x:f>
        <x:v>0</x:v>
      </x:c>
    </x:row>
    <x:row r="1207">
      <x:c r="A1207" s="28"/>
      <x:c r="B1207" s="28"/>
      <x:c r="C1207" s="28"/>
      <x:c r="D1207" s="28"/>
      <x:c r="E1207" s="28"/>
      <x:c r="F1207" s="28"/>
      <x:c r="G1207" s="28"/>
      <x:c r="H1207" s="28"/>
      <x:c r="I1207" s="28"/>
      <x:c r="J1207" s="28"/>
      <x:c r="K1207" s="28"/>
      <x:c r="L1207" s="28"/>
      <x:c r="M1207" s="28"/>
      <x:c r="N1207" s="28"/>
      <x:c r="O1207" s="28"/>
      <x:c r="P1207" s="28"/>
      <x:c r="Q1207" s="28"/>
      <x:c r="R1207" s="28"/>
      <x:c r="S1207" s="28"/>
      <x:c r="T1207" s="28"/>
      <x:c r="U1207" s="28"/>
      <x:c r="V1207" s="28"/>
      <x:c r="W1207" s="43" t="n">
        <x:f>--AND(N1207=1,OR(O1207="SUPPORTED",O1207="HALLUCINATION"))</x:f>
        <x:v>0</x:v>
      </x:c>
      <x:c r="X1207" s="43" t="n">
        <x:f>--AND(W1207=1,O1207="HALLUCINATION")</x:f>
        <x:v>0</x:v>
      </x:c>
      <x:c r="Y1207" s="43" t="n">
        <x:f>--AND(Q1207=1,O1207="HALLUCINATION")</x:f>
        <x:v>0</x:v>
      </x:c>
      <x:c r="Z1207" s="43" t="n">
        <x:f>--AND(Y1207=1,R1207=1,S1207=1)</x:f>
        <x:v>0</x:v>
      </x:c>
      <x:c r="AC1207" t="str">
        <x:f>IF(OR(AA1207="",AB1207=""),"",--(AA1207&lt;&gt;AB1207))</x:f>
      </x:c>
      <x:c r="AE1207" t="str">
        <x:f>IF(OR(AA1207="",AB1207=""),"PENDING_HUMAN",IF(AA1207=AB1207,AA1207,IF(AD1207&lt;&gt;"",AD1207,"PENDING_HUMAN")))</x:f>
        <x:v>PENDING_HUMAN</x:v>
      </x:c>
      <x:c r="AF1207" t="n">
        <x:f>--AND(A1207&lt;&gt;"",AA1207&lt;&gt;"",AB1207&lt;&gt;"",OR(AA1207=AB1207,AD1207&lt;&gt;""),IF(AE1207="HALLUCINATION",U1207&lt;&gt;"",TRUE))</x:f>
        <x:v>0</x:v>
      </x:c>
      <x:c r="AG1207" t="n">
        <x:f>--AND(N1207=1,AF1207=1,OR(AE1207="SUPPORTED",AE1207="HALLUCINATION"))</x:f>
        <x:v>0</x:v>
      </x:c>
      <x:c r="AH1207" t="n">
        <x:f>--AND(AG1207=1,AE1207="HALLUCINATION")</x:f>
        <x:v>0</x:v>
      </x:c>
      <x:c r="AI1207" t="n">
        <x:f>--AND(Q1207=1,AF1207=1,AE1207="HALLUCINATION")</x:f>
        <x:v>0</x:v>
      </x:c>
      <x:c r="AJ1207" t="n">
        <x:f>--AND(AI1207=1,R1207=1,S1207=1)</x:f>
        <x:v>0</x:v>
      </x:c>
    </x:row>
    <x:row r="1208">
      <x:c r="A1208" s="28"/>
      <x:c r="B1208" s="28"/>
      <x:c r="C1208" s="28"/>
      <x:c r="D1208" s="28"/>
      <x:c r="E1208" s="28"/>
      <x:c r="F1208" s="28"/>
      <x:c r="G1208" s="28"/>
      <x:c r="H1208" s="28"/>
      <x:c r="I1208" s="28"/>
      <x:c r="J1208" s="28"/>
      <x:c r="K1208" s="28"/>
      <x:c r="L1208" s="28"/>
      <x:c r="M1208" s="28"/>
      <x:c r="N1208" s="28"/>
      <x:c r="O1208" s="28"/>
      <x:c r="P1208" s="28"/>
      <x:c r="Q1208" s="28"/>
      <x:c r="R1208" s="28"/>
      <x:c r="S1208" s="28"/>
      <x:c r="T1208" s="28"/>
      <x:c r="U1208" s="28"/>
      <x:c r="V1208" s="28"/>
      <x:c r="W1208" s="43" t="n">
        <x:f>--AND(N1208=1,OR(O1208="SUPPORTED",O1208="HALLUCINATION"))</x:f>
        <x:v>0</x:v>
      </x:c>
      <x:c r="X1208" s="43" t="n">
        <x:f>--AND(W1208=1,O1208="HALLUCINATION")</x:f>
        <x:v>0</x:v>
      </x:c>
      <x:c r="Y1208" s="43" t="n">
        <x:f>--AND(Q1208=1,O1208="HALLUCINATION")</x:f>
        <x:v>0</x:v>
      </x:c>
      <x:c r="Z1208" s="43" t="n">
        <x:f>--AND(Y1208=1,R1208=1,S1208=1)</x:f>
        <x:v>0</x:v>
      </x:c>
      <x:c r="AC1208" t="str">
        <x:f>IF(OR(AA1208="",AB1208=""),"",--(AA1208&lt;&gt;AB1208))</x:f>
      </x:c>
      <x:c r="AE1208" t="str">
        <x:f>IF(OR(AA1208="",AB1208=""),"PENDING_HUMAN",IF(AA1208=AB1208,AA1208,IF(AD1208&lt;&gt;"",AD1208,"PENDING_HUMAN")))</x:f>
        <x:v>PENDING_HUMAN</x:v>
      </x:c>
      <x:c r="AF1208" t="n">
        <x:f>--AND(A1208&lt;&gt;"",AA1208&lt;&gt;"",AB1208&lt;&gt;"",OR(AA1208=AB1208,AD1208&lt;&gt;""),IF(AE1208="HALLUCINATION",U1208&lt;&gt;"",TRUE))</x:f>
        <x:v>0</x:v>
      </x:c>
      <x:c r="AG1208" t="n">
        <x:f>--AND(N1208=1,AF1208=1,OR(AE1208="SUPPORTED",AE1208="HALLUCINATION"))</x:f>
        <x:v>0</x:v>
      </x:c>
      <x:c r="AH1208" t="n">
        <x:f>--AND(AG1208=1,AE1208="HALLUCINATION")</x:f>
        <x:v>0</x:v>
      </x:c>
      <x:c r="AI1208" t="n">
        <x:f>--AND(Q1208=1,AF1208=1,AE1208="HALLUCINATION")</x:f>
        <x:v>0</x:v>
      </x:c>
      <x:c r="AJ1208" t="n">
        <x:f>--AND(AI1208=1,R1208=1,S1208=1)</x:f>
        <x:v>0</x:v>
      </x:c>
    </x:row>
    <x:row r="1209">
      <x:c r="A1209" s="28"/>
      <x:c r="B1209" s="28"/>
      <x:c r="C1209" s="28"/>
      <x:c r="D1209" s="28"/>
      <x:c r="E1209" s="28"/>
      <x:c r="F1209" s="28"/>
      <x:c r="G1209" s="28"/>
      <x:c r="H1209" s="28"/>
      <x:c r="I1209" s="28"/>
      <x:c r="J1209" s="28"/>
      <x:c r="K1209" s="28"/>
      <x:c r="L1209" s="28"/>
      <x:c r="M1209" s="28"/>
      <x:c r="N1209" s="28"/>
      <x:c r="O1209" s="28"/>
      <x:c r="P1209" s="28"/>
      <x:c r="Q1209" s="28"/>
      <x:c r="R1209" s="28"/>
      <x:c r="S1209" s="28"/>
      <x:c r="T1209" s="28"/>
      <x:c r="U1209" s="28"/>
      <x:c r="V1209" s="28"/>
      <x:c r="W1209" s="43" t="n">
        <x:f>--AND(N1209=1,OR(O1209="SUPPORTED",O1209="HALLUCINATION"))</x:f>
        <x:v>0</x:v>
      </x:c>
      <x:c r="X1209" s="43" t="n">
        <x:f>--AND(W1209=1,O1209="HALLUCINATION")</x:f>
        <x:v>0</x:v>
      </x:c>
      <x:c r="Y1209" s="43" t="n">
        <x:f>--AND(Q1209=1,O1209="HALLUCINATION")</x:f>
        <x:v>0</x:v>
      </x:c>
      <x:c r="Z1209" s="43" t="n">
        <x:f>--AND(Y1209=1,R1209=1,S1209=1)</x:f>
        <x:v>0</x:v>
      </x:c>
      <x:c r="AC1209" t="str">
        <x:f>IF(OR(AA1209="",AB1209=""),"",--(AA1209&lt;&gt;AB1209))</x:f>
      </x:c>
      <x:c r="AE1209" t="str">
        <x:f>IF(OR(AA1209="",AB1209=""),"PENDING_HUMAN",IF(AA1209=AB1209,AA1209,IF(AD1209&lt;&gt;"",AD1209,"PENDING_HUMAN")))</x:f>
        <x:v>PENDING_HUMAN</x:v>
      </x:c>
      <x:c r="AF1209" t="n">
        <x:f>--AND(A1209&lt;&gt;"",AA1209&lt;&gt;"",AB1209&lt;&gt;"",OR(AA1209=AB1209,AD1209&lt;&gt;""),IF(AE1209="HALLUCINATION",U1209&lt;&gt;"",TRUE))</x:f>
        <x:v>0</x:v>
      </x:c>
      <x:c r="AG1209" t="n">
        <x:f>--AND(N1209=1,AF1209=1,OR(AE1209="SUPPORTED",AE1209="HALLUCINATION"))</x:f>
        <x:v>0</x:v>
      </x:c>
      <x:c r="AH1209" t="n">
        <x:f>--AND(AG1209=1,AE1209="HALLUCINATION")</x:f>
        <x:v>0</x:v>
      </x:c>
      <x:c r="AI1209" t="n">
        <x:f>--AND(Q1209=1,AF1209=1,AE1209="HALLUCINATION")</x:f>
        <x:v>0</x:v>
      </x:c>
      <x:c r="AJ1209" t="n">
        <x:f>--AND(AI1209=1,R1209=1,S1209=1)</x:f>
        <x:v>0</x:v>
      </x:c>
    </x:row>
    <x:row r="1210">
      <x:c r="A1210" s="28"/>
      <x:c r="B1210" s="28"/>
      <x:c r="C1210" s="28"/>
      <x:c r="D1210" s="28"/>
      <x:c r="E1210" s="28"/>
      <x:c r="F1210" s="28"/>
      <x:c r="G1210" s="28"/>
      <x:c r="H1210" s="28"/>
      <x:c r="I1210" s="28"/>
      <x:c r="J1210" s="28"/>
      <x:c r="K1210" s="28"/>
      <x:c r="L1210" s="28"/>
      <x:c r="M1210" s="28"/>
      <x:c r="N1210" s="28"/>
      <x:c r="O1210" s="28"/>
      <x:c r="P1210" s="28"/>
      <x:c r="Q1210" s="28"/>
      <x:c r="R1210" s="28"/>
      <x:c r="S1210" s="28"/>
      <x:c r="T1210" s="28"/>
      <x:c r="U1210" s="28"/>
      <x:c r="V1210" s="28"/>
      <x:c r="W1210" s="43" t="n">
        <x:f>--AND(N1210=1,OR(O1210="SUPPORTED",O1210="HALLUCINATION"))</x:f>
        <x:v>0</x:v>
      </x:c>
      <x:c r="X1210" s="43" t="n">
        <x:f>--AND(W1210=1,O1210="HALLUCINATION")</x:f>
        <x:v>0</x:v>
      </x:c>
      <x:c r="Y1210" s="43" t="n">
        <x:f>--AND(Q1210=1,O1210="HALLUCINATION")</x:f>
        <x:v>0</x:v>
      </x:c>
      <x:c r="Z1210" s="43" t="n">
        <x:f>--AND(Y1210=1,R1210=1,S1210=1)</x:f>
        <x:v>0</x:v>
      </x:c>
      <x:c r="AC1210" t="str">
        <x:f>IF(OR(AA1210="",AB1210=""),"",--(AA1210&lt;&gt;AB1210))</x:f>
      </x:c>
      <x:c r="AE1210" t="str">
        <x:f>IF(OR(AA1210="",AB1210=""),"PENDING_HUMAN",IF(AA1210=AB1210,AA1210,IF(AD1210&lt;&gt;"",AD1210,"PENDING_HUMAN")))</x:f>
        <x:v>PENDING_HUMAN</x:v>
      </x:c>
      <x:c r="AF1210" t="n">
        <x:f>--AND(A1210&lt;&gt;"",AA1210&lt;&gt;"",AB1210&lt;&gt;"",OR(AA1210=AB1210,AD1210&lt;&gt;""),IF(AE1210="HALLUCINATION",U1210&lt;&gt;"",TRUE))</x:f>
        <x:v>0</x:v>
      </x:c>
      <x:c r="AG1210" t="n">
        <x:f>--AND(N1210=1,AF1210=1,OR(AE1210="SUPPORTED",AE1210="HALLUCINATION"))</x:f>
        <x:v>0</x:v>
      </x:c>
      <x:c r="AH1210" t="n">
        <x:f>--AND(AG1210=1,AE1210="HALLUCINATION")</x:f>
        <x:v>0</x:v>
      </x:c>
      <x:c r="AI1210" t="n">
        <x:f>--AND(Q1210=1,AF1210=1,AE1210="HALLUCINATION")</x:f>
        <x:v>0</x:v>
      </x:c>
      <x:c r="AJ1210" t="n">
        <x:f>--AND(AI1210=1,R1210=1,S1210=1)</x:f>
        <x:v>0</x:v>
      </x:c>
    </x:row>
    <x:row r="1211">
      <x:c r="A1211" s="28"/>
      <x:c r="B1211" s="28"/>
      <x:c r="C1211" s="28"/>
      <x:c r="D1211" s="28"/>
      <x:c r="E1211" s="28"/>
      <x:c r="F1211" s="28"/>
      <x:c r="G1211" s="28"/>
      <x:c r="H1211" s="28"/>
      <x:c r="I1211" s="28"/>
      <x:c r="J1211" s="28"/>
      <x:c r="K1211" s="28"/>
      <x:c r="L1211" s="28"/>
      <x:c r="M1211" s="28"/>
      <x:c r="N1211" s="28"/>
      <x:c r="O1211" s="28"/>
      <x:c r="P1211" s="28"/>
      <x:c r="Q1211" s="28"/>
      <x:c r="R1211" s="28"/>
      <x:c r="S1211" s="28"/>
      <x:c r="T1211" s="28"/>
      <x:c r="U1211" s="28"/>
      <x:c r="V1211" s="28"/>
      <x:c r="W1211" s="43" t="n">
        <x:f>--AND(N1211=1,OR(O1211="SUPPORTED",O1211="HALLUCINATION"))</x:f>
        <x:v>0</x:v>
      </x:c>
      <x:c r="X1211" s="43" t="n">
        <x:f>--AND(W1211=1,O1211="HALLUCINATION")</x:f>
        <x:v>0</x:v>
      </x:c>
      <x:c r="Y1211" s="43" t="n">
        <x:f>--AND(Q1211=1,O1211="HALLUCINATION")</x:f>
        <x:v>0</x:v>
      </x:c>
      <x:c r="Z1211" s="43" t="n">
        <x:f>--AND(Y1211=1,R1211=1,S1211=1)</x:f>
        <x:v>0</x:v>
      </x:c>
      <x:c r="AC1211" t="str">
        <x:f>IF(OR(AA1211="",AB1211=""),"",--(AA1211&lt;&gt;AB1211))</x:f>
      </x:c>
      <x:c r="AE1211" t="str">
        <x:f>IF(OR(AA1211="",AB1211=""),"PENDING_HUMAN",IF(AA1211=AB1211,AA1211,IF(AD1211&lt;&gt;"",AD1211,"PENDING_HUMAN")))</x:f>
        <x:v>PENDING_HUMAN</x:v>
      </x:c>
      <x:c r="AF1211" t="n">
        <x:f>--AND(A1211&lt;&gt;"",AA1211&lt;&gt;"",AB1211&lt;&gt;"",OR(AA1211=AB1211,AD1211&lt;&gt;""),IF(AE1211="HALLUCINATION",U1211&lt;&gt;"",TRUE))</x:f>
        <x:v>0</x:v>
      </x:c>
      <x:c r="AG1211" t="n">
        <x:f>--AND(N1211=1,AF1211=1,OR(AE1211="SUPPORTED",AE1211="HALLUCINATION"))</x:f>
        <x:v>0</x:v>
      </x:c>
      <x:c r="AH1211" t="n">
        <x:f>--AND(AG1211=1,AE1211="HALLUCINATION")</x:f>
        <x:v>0</x:v>
      </x:c>
      <x:c r="AI1211" t="n">
        <x:f>--AND(Q1211=1,AF1211=1,AE1211="HALLUCINATION")</x:f>
        <x:v>0</x:v>
      </x:c>
      <x:c r="AJ1211" t="n">
        <x:f>--AND(AI1211=1,R1211=1,S1211=1)</x:f>
        <x:v>0</x:v>
      </x:c>
    </x:row>
    <x:row r="1212">
      <x:c r="A1212" s="28"/>
      <x:c r="B1212" s="28"/>
      <x:c r="C1212" s="28"/>
      <x:c r="D1212" s="28"/>
      <x:c r="E1212" s="28"/>
      <x:c r="F1212" s="28"/>
      <x:c r="G1212" s="28"/>
      <x:c r="H1212" s="28"/>
      <x:c r="I1212" s="28"/>
      <x:c r="J1212" s="28"/>
      <x:c r="K1212" s="28"/>
      <x:c r="L1212" s="28"/>
      <x:c r="M1212" s="28"/>
      <x:c r="N1212" s="28"/>
      <x:c r="O1212" s="28"/>
      <x:c r="P1212" s="28"/>
      <x:c r="Q1212" s="28"/>
      <x:c r="R1212" s="28"/>
      <x:c r="S1212" s="28"/>
      <x:c r="T1212" s="28"/>
      <x:c r="U1212" s="28"/>
      <x:c r="V1212" s="28"/>
      <x:c r="W1212" s="43" t="n">
        <x:f>--AND(N1212=1,OR(O1212="SUPPORTED",O1212="HALLUCINATION"))</x:f>
        <x:v>0</x:v>
      </x:c>
      <x:c r="X1212" s="43" t="n">
        <x:f>--AND(W1212=1,O1212="HALLUCINATION")</x:f>
        <x:v>0</x:v>
      </x:c>
      <x:c r="Y1212" s="43" t="n">
        <x:f>--AND(Q1212=1,O1212="HALLUCINATION")</x:f>
        <x:v>0</x:v>
      </x:c>
      <x:c r="Z1212" s="43" t="n">
        <x:f>--AND(Y1212=1,R1212=1,S1212=1)</x:f>
        <x:v>0</x:v>
      </x:c>
      <x:c r="AC1212" t="str">
        <x:f>IF(OR(AA1212="",AB1212=""),"",--(AA1212&lt;&gt;AB1212))</x:f>
      </x:c>
      <x:c r="AE1212" t="str">
        <x:f>IF(OR(AA1212="",AB1212=""),"PENDING_HUMAN",IF(AA1212=AB1212,AA1212,IF(AD1212&lt;&gt;"",AD1212,"PENDING_HUMAN")))</x:f>
        <x:v>PENDING_HUMAN</x:v>
      </x:c>
      <x:c r="AF1212" t="n">
        <x:f>--AND(A1212&lt;&gt;"",AA1212&lt;&gt;"",AB1212&lt;&gt;"",OR(AA1212=AB1212,AD1212&lt;&gt;""),IF(AE1212="HALLUCINATION",U1212&lt;&gt;"",TRUE))</x:f>
        <x:v>0</x:v>
      </x:c>
      <x:c r="AG1212" t="n">
        <x:f>--AND(N1212=1,AF1212=1,OR(AE1212="SUPPORTED",AE1212="HALLUCINATION"))</x:f>
        <x:v>0</x:v>
      </x:c>
      <x:c r="AH1212" t="n">
        <x:f>--AND(AG1212=1,AE1212="HALLUCINATION")</x:f>
        <x:v>0</x:v>
      </x:c>
      <x:c r="AI1212" t="n">
        <x:f>--AND(Q1212=1,AF1212=1,AE1212="HALLUCINATION")</x:f>
        <x:v>0</x:v>
      </x:c>
      <x:c r="AJ1212" t="n">
        <x:f>--AND(AI1212=1,R1212=1,S1212=1)</x:f>
        <x:v>0</x:v>
      </x:c>
    </x:row>
    <x:row r="1213">
      <x:c r="A1213" s="28"/>
      <x:c r="B1213" s="28"/>
      <x:c r="C1213" s="28"/>
      <x:c r="D1213" s="28"/>
      <x:c r="E1213" s="28"/>
      <x:c r="F1213" s="28"/>
      <x:c r="G1213" s="28"/>
      <x:c r="H1213" s="28"/>
      <x:c r="I1213" s="28"/>
      <x:c r="J1213" s="28"/>
      <x:c r="K1213" s="28"/>
      <x:c r="L1213" s="28"/>
      <x:c r="M1213" s="28"/>
      <x:c r="N1213" s="28"/>
      <x:c r="O1213" s="28"/>
      <x:c r="P1213" s="28"/>
      <x:c r="Q1213" s="28"/>
      <x:c r="R1213" s="28"/>
      <x:c r="S1213" s="28"/>
      <x:c r="T1213" s="28"/>
      <x:c r="U1213" s="28"/>
      <x:c r="V1213" s="28"/>
      <x:c r="W1213" s="43" t="n">
        <x:f>--AND(N1213=1,OR(O1213="SUPPORTED",O1213="HALLUCINATION"))</x:f>
        <x:v>0</x:v>
      </x:c>
      <x:c r="X1213" s="43" t="n">
        <x:f>--AND(W1213=1,O1213="HALLUCINATION")</x:f>
        <x:v>0</x:v>
      </x:c>
      <x:c r="Y1213" s="43" t="n">
        <x:f>--AND(Q1213=1,O1213="HALLUCINATION")</x:f>
        <x:v>0</x:v>
      </x:c>
      <x:c r="Z1213" s="43" t="n">
        <x:f>--AND(Y1213=1,R1213=1,S1213=1)</x:f>
        <x:v>0</x:v>
      </x:c>
      <x:c r="AC1213" t="str">
        <x:f>IF(OR(AA1213="",AB1213=""),"",--(AA1213&lt;&gt;AB1213))</x:f>
      </x:c>
      <x:c r="AE1213" t="str">
        <x:f>IF(OR(AA1213="",AB1213=""),"PENDING_HUMAN",IF(AA1213=AB1213,AA1213,IF(AD1213&lt;&gt;"",AD1213,"PENDING_HUMAN")))</x:f>
        <x:v>PENDING_HUMAN</x:v>
      </x:c>
      <x:c r="AF1213" t="n">
        <x:f>--AND(A1213&lt;&gt;"",AA1213&lt;&gt;"",AB1213&lt;&gt;"",OR(AA1213=AB1213,AD1213&lt;&gt;""),IF(AE1213="HALLUCINATION",U1213&lt;&gt;"",TRUE))</x:f>
        <x:v>0</x:v>
      </x:c>
      <x:c r="AG1213" t="n">
        <x:f>--AND(N1213=1,AF1213=1,OR(AE1213="SUPPORTED",AE1213="HALLUCINATION"))</x:f>
        <x:v>0</x:v>
      </x:c>
      <x:c r="AH1213" t="n">
        <x:f>--AND(AG1213=1,AE1213="HALLUCINATION")</x:f>
        <x:v>0</x:v>
      </x:c>
      <x:c r="AI1213" t="n">
        <x:f>--AND(Q1213=1,AF1213=1,AE1213="HALLUCINATION")</x:f>
        <x:v>0</x:v>
      </x:c>
      <x:c r="AJ1213" t="n">
        <x:f>--AND(AI1213=1,R1213=1,S1213=1)</x:f>
        <x:v>0</x:v>
      </x:c>
    </x:row>
    <x:row r="1214">
      <x:c r="A1214" s="28"/>
      <x:c r="B1214" s="28"/>
      <x:c r="C1214" s="28"/>
      <x:c r="D1214" s="28"/>
      <x:c r="E1214" s="28"/>
      <x:c r="F1214" s="28"/>
      <x:c r="G1214" s="28"/>
      <x:c r="H1214" s="28"/>
      <x:c r="I1214" s="28"/>
      <x:c r="J1214" s="28"/>
      <x:c r="K1214" s="28"/>
      <x:c r="L1214" s="28"/>
      <x:c r="M1214" s="28"/>
      <x:c r="N1214" s="28"/>
      <x:c r="O1214" s="28"/>
      <x:c r="P1214" s="28"/>
      <x:c r="Q1214" s="28"/>
      <x:c r="R1214" s="28"/>
      <x:c r="S1214" s="28"/>
      <x:c r="T1214" s="28"/>
      <x:c r="U1214" s="28"/>
      <x:c r="V1214" s="28"/>
      <x:c r="W1214" s="43" t="n">
        <x:f>--AND(N1214=1,OR(O1214="SUPPORTED",O1214="HALLUCINATION"))</x:f>
        <x:v>0</x:v>
      </x:c>
      <x:c r="X1214" s="43" t="n">
        <x:f>--AND(W1214=1,O1214="HALLUCINATION")</x:f>
        <x:v>0</x:v>
      </x:c>
      <x:c r="Y1214" s="43" t="n">
        <x:f>--AND(Q1214=1,O1214="HALLUCINATION")</x:f>
        <x:v>0</x:v>
      </x:c>
      <x:c r="Z1214" s="43" t="n">
        <x:f>--AND(Y1214=1,R1214=1,S1214=1)</x:f>
        <x:v>0</x:v>
      </x:c>
      <x:c r="AC1214" t="str">
        <x:f>IF(OR(AA1214="",AB1214=""),"",--(AA1214&lt;&gt;AB1214))</x:f>
      </x:c>
      <x:c r="AE1214" t="str">
        <x:f>IF(OR(AA1214="",AB1214=""),"PENDING_HUMAN",IF(AA1214=AB1214,AA1214,IF(AD1214&lt;&gt;"",AD1214,"PENDING_HUMAN")))</x:f>
        <x:v>PENDING_HUMAN</x:v>
      </x:c>
      <x:c r="AF1214" t="n">
        <x:f>--AND(A1214&lt;&gt;"",AA1214&lt;&gt;"",AB1214&lt;&gt;"",OR(AA1214=AB1214,AD1214&lt;&gt;""),IF(AE1214="HALLUCINATION",U1214&lt;&gt;"",TRUE))</x:f>
        <x:v>0</x:v>
      </x:c>
      <x:c r="AG1214" t="n">
        <x:f>--AND(N1214=1,AF1214=1,OR(AE1214="SUPPORTED",AE1214="HALLUCINATION"))</x:f>
        <x:v>0</x:v>
      </x:c>
      <x:c r="AH1214" t="n">
        <x:f>--AND(AG1214=1,AE1214="HALLUCINATION")</x:f>
        <x:v>0</x:v>
      </x:c>
      <x:c r="AI1214" t="n">
        <x:f>--AND(Q1214=1,AF1214=1,AE1214="HALLUCINATION")</x:f>
        <x:v>0</x:v>
      </x:c>
      <x:c r="AJ1214" t="n">
        <x:f>--AND(AI1214=1,R1214=1,S1214=1)</x:f>
        <x:v>0</x:v>
      </x:c>
    </x:row>
    <x:row r="1215">
      <x:c r="A1215" s="28"/>
      <x:c r="B1215" s="28"/>
      <x:c r="C1215" s="28"/>
      <x:c r="D1215" s="28"/>
      <x:c r="E1215" s="28"/>
      <x:c r="F1215" s="28"/>
      <x:c r="G1215" s="28"/>
      <x:c r="H1215" s="28"/>
      <x:c r="I1215" s="28"/>
      <x:c r="J1215" s="28"/>
      <x:c r="K1215" s="28"/>
      <x:c r="L1215" s="28"/>
      <x:c r="M1215" s="28"/>
      <x:c r="N1215" s="28"/>
      <x:c r="O1215" s="28"/>
      <x:c r="P1215" s="28"/>
      <x:c r="Q1215" s="28"/>
      <x:c r="R1215" s="28"/>
      <x:c r="S1215" s="28"/>
      <x:c r="T1215" s="28"/>
      <x:c r="U1215" s="28"/>
      <x:c r="V1215" s="28"/>
      <x:c r="W1215" s="43" t="n">
        <x:f>--AND(N1215=1,OR(O1215="SUPPORTED",O1215="HALLUCINATION"))</x:f>
        <x:v>0</x:v>
      </x:c>
      <x:c r="X1215" s="43" t="n">
        <x:f>--AND(W1215=1,O1215="HALLUCINATION")</x:f>
        <x:v>0</x:v>
      </x:c>
      <x:c r="Y1215" s="43" t="n">
        <x:f>--AND(Q1215=1,O1215="HALLUCINATION")</x:f>
        <x:v>0</x:v>
      </x:c>
      <x:c r="Z1215" s="43" t="n">
        <x:f>--AND(Y1215=1,R1215=1,S1215=1)</x:f>
        <x:v>0</x:v>
      </x:c>
      <x:c r="AC1215" t="str">
        <x:f>IF(OR(AA1215="",AB1215=""),"",--(AA1215&lt;&gt;AB1215))</x:f>
      </x:c>
      <x:c r="AE1215" t="str">
        <x:f>IF(OR(AA1215="",AB1215=""),"PENDING_HUMAN",IF(AA1215=AB1215,AA1215,IF(AD1215&lt;&gt;"",AD1215,"PENDING_HUMAN")))</x:f>
        <x:v>PENDING_HUMAN</x:v>
      </x:c>
      <x:c r="AF1215" t="n">
        <x:f>--AND(A1215&lt;&gt;"",AA1215&lt;&gt;"",AB1215&lt;&gt;"",OR(AA1215=AB1215,AD1215&lt;&gt;""),IF(AE1215="HALLUCINATION",U1215&lt;&gt;"",TRUE))</x:f>
        <x:v>0</x:v>
      </x:c>
      <x:c r="AG1215" t="n">
        <x:f>--AND(N1215=1,AF1215=1,OR(AE1215="SUPPORTED",AE1215="HALLUCINATION"))</x:f>
        <x:v>0</x:v>
      </x:c>
      <x:c r="AH1215" t="n">
        <x:f>--AND(AG1215=1,AE1215="HALLUCINATION")</x:f>
        <x:v>0</x:v>
      </x:c>
      <x:c r="AI1215" t="n">
        <x:f>--AND(Q1215=1,AF1215=1,AE1215="HALLUCINATION")</x:f>
        <x:v>0</x:v>
      </x:c>
      <x:c r="AJ1215" t="n">
        <x:f>--AND(AI1215=1,R1215=1,S1215=1)</x:f>
        <x:v>0</x:v>
      </x:c>
    </x:row>
    <x:row r="1216">
      <x:c r="A1216" s="28"/>
      <x:c r="B1216" s="28"/>
      <x:c r="C1216" s="28"/>
      <x:c r="D1216" s="28"/>
      <x:c r="E1216" s="28"/>
      <x:c r="F1216" s="28"/>
      <x:c r="G1216" s="28"/>
      <x:c r="H1216" s="28"/>
      <x:c r="I1216" s="28"/>
      <x:c r="J1216" s="28"/>
      <x:c r="K1216" s="28"/>
      <x:c r="L1216" s="28"/>
      <x:c r="M1216" s="28"/>
      <x:c r="N1216" s="28"/>
      <x:c r="O1216" s="28"/>
      <x:c r="P1216" s="28"/>
      <x:c r="Q1216" s="28"/>
      <x:c r="R1216" s="28"/>
      <x:c r="S1216" s="28"/>
      <x:c r="T1216" s="28"/>
      <x:c r="U1216" s="28"/>
      <x:c r="V1216" s="28"/>
      <x:c r="W1216" s="43" t="n">
        <x:f>--AND(N1216=1,OR(O1216="SUPPORTED",O1216="HALLUCINATION"))</x:f>
        <x:v>0</x:v>
      </x:c>
      <x:c r="X1216" s="43" t="n">
        <x:f>--AND(W1216=1,O1216="HALLUCINATION")</x:f>
        <x:v>0</x:v>
      </x:c>
      <x:c r="Y1216" s="43" t="n">
        <x:f>--AND(Q1216=1,O1216="HALLUCINATION")</x:f>
        <x:v>0</x:v>
      </x:c>
      <x:c r="Z1216" s="43" t="n">
        <x:f>--AND(Y1216=1,R1216=1,S1216=1)</x:f>
        <x:v>0</x:v>
      </x:c>
      <x:c r="AC1216" t="str">
        <x:f>IF(OR(AA1216="",AB1216=""),"",--(AA1216&lt;&gt;AB1216))</x:f>
      </x:c>
      <x:c r="AE1216" t="str">
        <x:f>IF(OR(AA1216="",AB1216=""),"PENDING_HUMAN",IF(AA1216=AB1216,AA1216,IF(AD1216&lt;&gt;"",AD1216,"PENDING_HUMAN")))</x:f>
        <x:v>PENDING_HUMAN</x:v>
      </x:c>
      <x:c r="AF1216" t="n">
        <x:f>--AND(A1216&lt;&gt;"",AA1216&lt;&gt;"",AB1216&lt;&gt;"",OR(AA1216=AB1216,AD1216&lt;&gt;""),IF(AE1216="HALLUCINATION",U1216&lt;&gt;"",TRUE))</x:f>
        <x:v>0</x:v>
      </x:c>
      <x:c r="AG1216" t="n">
        <x:f>--AND(N1216=1,AF1216=1,OR(AE1216="SUPPORTED",AE1216="HALLUCINATION"))</x:f>
        <x:v>0</x:v>
      </x:c>
      <x:c r="AH1216" t="n">
        <x:f>--AND(AG1216=1,AE1216="HALLUCINATION")</x:f>
        <x:v>0</x:v>
      </x:c>
      <x:c r="AI1216" t="n">
        <x:f>--AND(Q1216=1,AF1216=1,AE1216="HALLUCINATION")</x:f>
        <x:v>0</x:v>
      </x:c>
      <x:c r="AJ1216" t="n">
        <x:f>--AND(AI1216=1,R1216=1,S1216=1)</x:f>
        <x:v>0</x:v>
      </x:c>
    </x:row>
    <x:row r="1217">
      <x:c r="A1217" s="28"/>
      <x:c r="B1217" s="28"/>
      <x:c r="C1217" s="28"/>
      <x:c r="D1217" s="28"/>
      <x:c r="E1217" s="28"/>
      <x:c r="F1217" s="28"/>
      <x:c r="G1217" s="28"/>
      <x:c r="H1217" s="28"/>
      <x:c r="I1217" s="28"/>
      <x:c r="J1217" s="28"/>
      <x:c r="K1217" s="28"/>
      <x:c r="L1217" s="28"/>
      <x:c r="M1217" s="28"/>
      <x:c r="N1217" s="28"/>
      <x:c r="O1217" s="28"/>
      <x:c r="P1217" s="28"/>
      <x:c r="Q1217" s="28"/>
      <x:c r="R1217" s="28"/>
      <x:c r="S1217" s="28"/>
      <x:c r="T1217" s="28"/>
      <x:c r="U1217" s="28"/>
      <x:c r="V1217" s="28"/>
      <x:c r="W1217" s="43" t="n">
        <x:f>--AND(N1217=1,OR(O1217="SUPPORTED",O1217="HALLUCINATION"))</x:f>
        <x:v>0</x:v>
      </x:c>
      <x:c r="X1217" s="43" t="n">
        <x:f>--AND(W1217=1,O1217="HALLUCINATION")</x:f>
        <x:v>0</x:v>
      </x:c>
      <x:c r="Y1217" s="43" t="n">
        <x:f>--AND(Q1217=1,O1217="HALLUCINATION")</x:f>
        <x:v>0</x:v>
      </x:c>
      <x:c r="Z1217" s="43" t="n">
        <x:f>--AND(Y1217=1,R1217=1,S1217=1)</x:f>
        <x:v>0</x:v>
      </x:c>
      <x:c r="AC1217" t="str">
        <x:f>IF(OR(AA1217="",AB1217=""),"",--(AA1217&lt;&gt;AB1217))</x:f>
      </x:c>
      <x:c r="AE1217" t="str">
        <x:f>IF(OR(AA1217="",AB1217=""),"PENDING_HUMAN",IF(AA1217=AB1217,AA1217,IF(AD1217&lt;&gt;"",AD1217,"PENDING_HUMAN")))</x:f>
        <x:v>PENDING_HUMAN</x:v>
      </x:c>
      <x:c r="AF1217" t="n">
        <x:f>--AND(A1217&lt;&gt;"",AA1217&lt;&gt;"",AB1217&lt;&gt;"",OR(AA1217=AB1217,AD1217&lt;&gt;""),IF(AE1217="HALLUCINATION",U1217&lt;&gt;"",TRUE))</x:f>
        <x:v>0</x:v>
      </x:c>
      <x:c r="AG1217" t="n">
        <x:f>--AND(N1217=1,AF1217=1,OR(AE1217="SUPPORTED",AE1217="HALLUCINATION"))</x:f>
        <x:v>0</x:v>
      </x:c>
      <x:c r="AH1217" t="n">
        <x:f>--AND(AG1217=1,AE1217="HALLUCINATION")</x:f>
        <x:v>0</x:v>
      </x:c>
      <x:c r="AI1217" t="n">
        <x:f>--AND(Q1217=1,AF1217=1,AE1217="HALLUCINATION")</x:f>
        <x:v>0</x:v>
      </x:c>
      <x:c r="AJ1217" t="n">
        <x:f>--AND(AI1217=1,R1217=1,S1217=1)</x:f>
        <x:v>0</x:v>
      </x:c>
    </x:row>
    <x:row r="1218">
      <x:c r="A1218" s="28"/>
      <x:c r="B1218" s="28"/>
      <x:c r="C1218" s="28"/>
      <x:c r="D1218" s="28"/>
      <x:c r="E1218" s="28"/>
      <x:c r="F1218" s="28"/>
      <x:c r="G1218" s="28"/>
      <x:c r="H1218" s="28"/>
      <x:c r="I1218" s="28"/>
      <x:c r="J1218" s="28"/>
      <x:c r="K1218" s="28"/>
      <x:c r="L1218" s="28"/>
      <x:c r="M1218" s="28"/>
      <x:c r="N1218" s="28"/>
      <x:c r="O1218" s="28"/>
      <x:c r="P1218" s="28"/>
      <x:c r="Q1218" s="28"/>
      <x:c r="R1218" s="28"/>
      <x:c r="S1218" s="28"/>
      <x:c r="T1218" s="28"/>
      <x:c r="U1218" s="28"/>
      <x:c r="V1218" s="28"/>
      <x:c r="W1218" s="43" t="n">
        <x:f>--AND(N1218=1,OR(O1218="SUPPORTED",O1218="HALLUCINATION"))</x:f>
        <x:v>0</x:v>
      </x:c>
      <x:c r="X1218" s="43" t="n">
        <x:f>--AND(W1218=1,O1218="HALLUCINATION")</x:f>
        <x:v>0</x:v>
      </x:c>
      <x:c r="Y1218" s="43" t="n">
        <x:f>--AND(Q1218=1,O1218="HALLUCINATION")</x:f>
        <x:v>0</x:v>
      </x:c>
      <x:c r="Z1218" s="43" t="n">
        <x:f>--AND(Y1218=1,R1218=1,S1218=1)</x:f>
        <x:v>0</x:v>
      </x:c>
      <x:c r="AC1218" t="str">
        <x:f>IF(OR(AA1218="",AB1218=""),"",--(AA1218&lt;&gt;AB1218))</x:f>
      </x:c>
      <x:c r="AE1218" t="str">
        <x:f>IF(OR(AA1218="",AB1218=""),"PENDING_HUMAN",IF(AA1218=AB1218,AA1218,IF(AD1218&lt;&gt;"",AD1218,"PENDING_HUMAN")))</x:f>
        <x:v>PENDING_HUMAN</x:v>
      </x:c>
      <x:c r="AF1218" t="n">
        <x:f>--AND(A1218&lt;&gt;"",AA1218&lt;&gt;"",AB1218&lt;&gt;"",OR(AA1218=AB1218,AD1218&lt;&gt;""),IF(AE1218="HALLUCINATION",U1218&lt;&gt;"",TRUE))</x:f>
        <x:v>0</x:v>
      </x:c>
      <x:c r="AG1218" t="n">
        <x:f>--AND(N1218=1,AF1218=1,OR(AE1218="SUPPORTED",AE1218="HALLUCINATION"))</x:f>
        <x:v>0</x:v>
      </x:c>
      <x:c r="AH1218" t="n">
        <x:f>--AND(AG1218=1,AE1218="HALLUCINATION")</x:f>
        <x:v>0</x:v>
      </x:c>
      <x:c r="AI1218" t="n">
        <x:f>--AND(Q1218=1,AF1218=1,AE1218="HALLUCINATION")</x:f>
        <x:v>0</x:v>
      </x:c>
      <x:c r="AJ1218" t="n">
        <x:f>--AND(AI1218=1,R1218=1,S1218=1)</x:f>
        <x:v>0</x:v>
      </x:c>
    </x:row>
    <x:row r="1219">
      <x:c r="A1219" s="28"/>
      <x:c r="B1219" s="28"/>
      <x:c r="C1219" s="28"/>
      <x:c r="D1219" s="28"/>
      <x:c r="E1219" s="28"/>
      <x:c r="F1219" s="28"/>
      <x:c r="G1219" s="28"/>
      <x:c r="H1219" s="28"/>
      <x:c r="I1219" s="28"/>
      <x:c r="J1219" s="28"/>
      <x:c r="K1219" s="28"/>
      <x:c r="L1219" s="28"/>
      <x:c r="M1219" s="28"/>
      <x:c r="N1219" s="28"/>
      <x:c r="O1219" s="28"/>
      <x:c r="P1219" s="28"/>
      <x:c r="Q1219" s="28"/>
      <x:c r="R1219" s="28"/>
      <x:c r="S1219" s="28"/>
      <x:c r="T1219" s="28"/>
      <x:c r="U1219" s="28"/>
      <x:c r="V1219" s="28"/>
      <x:c r="W1219" s="43" t="n">
        <x:f>--AND(N1219=1,OR(O1219="SUPPORTED",O1219="HALLUCINATION"))</x:f>
        <x:v>0</x:v>
      </x:c>
      <x:c r="X1219" s="43" t="n">
        <x:f>--AND(W1219=1,O1219="HALLUCINATION")</x:f>
        <x:v>0</x:v>
      </x:c>
      <x:c r="Y1219" s="43" t="n">
        <x:f>--AND(Q1219=1,O1219="HALLUCINATION")</x:f>
        <x:v>0</x:v>
      </x:c>
      <x:c r="Z1219" s="43" t="n">
        <x:f>--AND(Y1219=1,R1219=1,S1219=1)</x:f>
        <x:v>0</x:v>
      </x:c>
      <x:c r="AC1219" t="str">
        <x:f>IF(OR(AA1219="",AB1219=""),"",--(AA1219&lt;&gt;AB1219))</x:f>
      </x:c>
      <x:c r="AE1219" t="str">
        <x:f>IF(OR(AA1219="",AB1219=""),"PENDING_HUMAN",IF(AA1219=AB1219,AA1219,IF(AD1219&lt;&gt;"",AD1219,"PENDING_HUMAN")))</x:f>
        <x:v>PENDING_HUMAN</x:v>
      </x:c>
      <x:c r="AF1219" t="n">
        <x:f>--AND(A1219&lt;&gt;"",AA1219&lt;&gt;"",AB1219&lt;&gt;"",OR(AA1219=AB1219,AD1219&lt;&gt;""),IF(AE1219="HALLUCINATION",U1219&lt;&gt;"",TRUE))</x:f>
        <x:v>0</x:v>
      </x:c>
      <x:c r="AG1219" t="n">
        <x:f>--AND(N1219=1,AF1219=1,OR(AE1219="SUPPORTED",AE1219="HALLUCINATION"))</x:f>
        <x:v>0</x:v>
      </x:c>
      <x:c r="AH1219" t="n">
        <x:f>--AND(AG1219=1,AE1219="HALLUCINATION")</x:f>
        <x:v>0</x:v>
      </x:c>
      <x:c r="AI1219" t="n">
        <x:f>--AND(Q1219=1,AF1219=1,AE1219="HALLUCINATION")</x:f>
        <x:v>0</x:v>
      </x:c>
      <x:c r="AJ1219" t="n">
        <x:f>--AND(AI1219=1,R1219=1,S1219=1)</x:f>
        <x:v>0</x:v>
      </x:c>
    </x:row>
    <x:row r="1220">
      <x:c r="A1220" s="28"/>
      <x:c r="B1220" s="28"/>
      <x:c r="C1220" s="28"/>
      <x:c r="D1220" s="28"/>
      <x:c r="E1220" s="28"/>
      <x:c r="F1220" s="28"/>
      <x:c r="G1220" s="28"/>
      <x:c r="H1220" s="28"/>
      <x:c r="I1220" s="28"/>
      <x:c r="J1220" s="28"/>
      <x:c r="K1220" s="28"/>
      <x:c r="L1220" s="28"/>
      <x:c r="M1220" s="28"/>
      <x:c r="N1220" s="28"/>
      <x:c r="O1220" s="28"/>
      <x:c r="P1220" s="28"/>
      <x:c r="Q1220" s="28"/>
      <x:c r="R1220" s="28"/>
      <x:c r="S1220" s="28"/>
      <x:c r="T1220" s="28"/>
      <x:c r="U1220" s="28"/>
      <x:c r="V1220" s="28"/>
      <x:c r="W1220" s="43" t="n">
        <x:f>--AND(N1220=1,OR(O1220="SUPPORTED",O1220="HALLUCINATION"))</x:f>
        <x:v>0</x:v>
      </x:c>
      <x:c r="X1220" s="43" t="n">
        <x:f>--AND(W1220=1,O1220="HALLUCINATION")</x:f>
        <x:v>0</x:v>
      </x:c>
      <x:c r="Y1220" s="43" t="n">
        <x:f>--AND(Q1220=1,O1220="HALLUCINATION")</x:f>
        <x:v>0</x:v>
      </x:c>
      <x:c r="Z1220" s="43" t="n">
        <x:f>--AND(Y1220=1,R1220=1,S1220=1)</x:f>
        <x:v>0</x:v>
      </x:c>
      <x:c r="AC1220" t="str">
        <x:f>IF(OR(AA1220="",AB1220=""),"",--(AA1220&lt;&gt;AB1220))</x:f>
      </x:c>
      <x:c r="AE1220" t="str">
        <x:f>IF(OR(AA1220="",AB1220=""),"PENDING_HUMAN",IF(AA1220=AB1220,AA1220,IF(AD1220&lt;&gt;"",AD1220,"PENDING_HUMAN")))</x:f>
        <x:v>PENDING_HUMAN</x:v>
      </x:c>
      <x:c r="AF1220" t="n">
        <x:f>--AND(A1220&lt;&gt;"",AA1220&lt;&gt;"",AB1220&lt;&gt;"",OR(AA1220=AB1220,AD1220&lt;&gt;""),IF(AE1220="HALLUCINATION",U1220&lt;&gt;"",TRUE))</x:f>
        <x:v>0</x:v>
      </x:c>
      <x:c r="AG1220" t="n">
        <x:f>--AND(N1220=1,AF1220=1,OR(AE1220="SUPPORTED",AE1220="HALLUCINATION"))</x:f>
        <x:v>0</x:v>
      </x:c>
      <x:c r="AH1220" t="n">
        <x:f>--AND(AG1220=1,AE1220="HALLUCINATION")</x:f>
        <x:v>0</x:v>
      </x:c>
      <x:c r="AI1220" t="n">
        <x:f>--AND(Q1220=1,AF1220=1,AE1220="HALLUCINATION")</x:f>
        <x:v>0</x:v>
      </x:c>
      <x:c r="AJ1220" t="n">
        <x:f>--AND(AI1220=1,R1220=1,S1220=1)</x:f>
        <x:v>0</x:v>
      </x:c>
    </x:row>
    <x:row r="1221">
      <x:c r="A1221" s="28"/>
      <x:c r="B1221" s="28"/>
      <x:c r="C1221" s="28"/>
      <x:c r="D1221" s="28"/>
      <x:c r="E1221" s="28"/>
      <x:c r="F1221" s="28"/>
      <x:c r="G1221" s="28"/>
      <x:c r="H1221" s="28"/>
      <x:c r="I1221" s="28"/>
      <x:c r="J1221" s="28"/>
      <x:c r="K1221" s="28"/>
      <x:c r="L1221" s="28"/>
      <x:c r="M1221" s="28"/>
      <x:c r="N1221" s="28"/>
      <x:c r="O1221" s="28"/>
      <x:c r="P1221" s="28"/>
      <x:c r="Q1221" s="28"/>
      <x:c r="R1221" s="28"/>
      <x:c r="S1221" s="28"/>
      <x:c r="T1221" s="28"/>
      <x:c r="U1221" s="28"/>
      <x:c r="V1221" s="28"/>
      <x:c r="W1221" s="43" t="n">
        <x:f>--AND(N1221=1,OR(O1221="SUPPORTED",O1221="HALLUCINATION"))</x:f>
        <x:v>0</x:v>
      </x:c>
      <x:c r="X1221" s="43" t="n">
        <x:f>--AND(W1221=1,O1221="HALLUCINATION")</x:f>
        <x:v>0</x:v>
      </x:c>
      <x:c r="Y1221" s="43" t="n">
        <x:f>--AND(Q1221=1,O1221="HALLUCINATION")</x:f>
        <x:v>0</x:v>
      </x:c>
      <x:c r="Z1221" s="43" t="n">
        <x:f>--AND(Y1221=1,R1221=1,S1221=1)</x:f>
        <x:v>0</x:v>
      </x:c>
      <x:c r="AC1221" t="str">
        <x:f>IF(OR(AA1221="",AB1221=""),"",--(AA1221&lt;&gt;AB1221))</x:f>
      </x:c>
      <x:c r="AE1221" t="str">
        <x:f>IF(OR(AA1221="",AB1221=""),"PENDING_HUMAN",IF(AA1221=AB1221,AA1221,IF(AD1221&lt;&gt;"",AD1221,"PENDING_HUMAN")))</x:f>
        <x:v>PENDING_HUMAN</x:v>
      </x:c>
      <x:c r="AF1221" t="n">
        <x:f>--AND(A1221&lt;&gt;"",AA1221&lt;&gt;"",AB1221&lt;&gt;"",OR(AA1221=AB1221,AD1221&lt;&gt;""),IF(AE1221="HALLUCINATION",U1221&lt;&gt;"",TRUE))</x:f>
        <x:v>0</x:v>
      </x:c>
      <x:c r="AG1221" t="n">
        <x:f>--AND(N1221=1,AF1221=1,OR(AE1221="SUPPORTED",AE1221="HALLUCINATION"))</x:f>
        <x:v>0</x:v>
      </x:c>
      <x:c r="AH1221" t="n">
        <x:f>--AND(AG1221=1,AE1221="HALLUCINATION")</x:f>
        <x:v>0</x:v>
      </x:c>
      <x:c r="AI1221" t="n">
        <x:f>--AND(Q1221=1,AF1221=1,AE1221="HALLUCINATION")</x:f>
        <x:v>0</x:v>
      </x:c>
      <x:c r="AJ1221" t="n">
        <x:f>--AND(AI1221=1,R1221=1,S1221=1)</x:f>
        <x:v>0</x:v>
      </x:c>
    </x:row>
    <x:row r="1222">
      <x:c r="A1222" s="28"/>
      <x:c r="B1222" s="28"/>
      <x:c r="C1222" s="28"/>
      <x:c r="D1222" s="28"/>
      <x:c r="E1222" s="28"/>
      <x:c r="F1222" s="28"/>
      <x:c r="G1222" s="28"/>
      <x:c r="H1222" s="28"/>
      <x:c r="I1222" s="28"/>
      <x:c r="J1222" s="28"/>
      <x:c r="K1222" s="28"/>
      <x:c r="L1222" s="28"/>
      <x:c r="M1222" s="28"/>
      <x:c r="N1222" s="28"/>
      <x:c r="O1222" s="28"/>
      <x:c r="P1222" s="28"/>
      <x:c r="Q1222" s="28"/>
      <x:c r="R1222" s="28"/>
      <x:c r="S1222" s="28"/>
      <x:c r="T1222" s="28"/>
      <x:c r="U1222" s="28"/>
      <x:c r="V1222" s="28"/>
      <x:c r="W1222" s="43" t="n">
        <x:f>--AND(N1222=1,OR(O1222="SUPPORTED",O1222="HALLUCINATION"))</x:f>
        <x:v>0</x:v>
      </x:c>
      <x:c r="X1222" s="43" t="n">
        <x:f>--AND(W1222=1,O1222="HALLUCINATION")</x:f>
        <x:v>0</x:v>
      </x:c>
      <x:c r="Y1222" s="43" t="n">
        <x:f>--AND(Q1222=1,O1222="HALLUCINATION")</x:f>
        <x:v>0</x:v>
      </x:c>
      <x:c r="Z1222" s="43" t="n">
        <x:f>--AND(Y1222=1,R1222=1,S1222=1)</x:f>
        <x:v>0</x:v>
      </x:c>
      <x:c r="AC1222" t="str">
        <x:f>IF(OR(AA1222="",AB1222=""),"",--(AA1222&lt;&gt;AB1222))</x:f>
      </x:c>
      <x:c r="AE1222" t="str">
        <x:f>IF(OR(AA1222="",AB1222=""),"PENDING_HUMAN",IF(AA1222=AB1222,AA1222,IF(AD1222&lt;&gt;"",AD1222,"PENDING_HUMAN")))</x:f>
        <x:v>PENDING_HUMAN</x:v>
      </x:c>
      <x:c r="AF1222" t="n">
        <x:f>--AND(A1222&lt;&gt;"",AA1222&lt;&gt;"",AB1222&lt;&gt;"",OR(AA1222=AB1222,AD1222&lt;&gt;""),IF(AE1222="HALLUCINATION",U1222&lt;&gt;"",TRUE))</x:f>
        <x:v>0</x:v>
      </x:c>
      <x:c r="AG1222" t="n">
        <x:f>--AND(N1222=1,AF1222=1,OR(AE1222="SUPPORTED",AE1222="HALLUCINATION"))</x:f>
        <x:v>0</x:v>
      </x:c>
      <x:c r="AH1222" t="n">
        <x:f>--AND(AG1222=1,AE1222="HALLUCINATION")</x:f>
        <x:v>0</x:v>
      </x:c>
      <x:c r="AI1222" t="n">
        <x:f>--AND(Q1222=1,AF1222=1,AE1222="HALLUCINATION")</x:f>
        <x:v>0</x:v>
      </x:c>
      <x:c r="AJ1222" t="n">
        <x:f>--AND(AI1222=1,R1222=1,S1222=1)</x:f>
        <x:v>0</x:v>
      </x:c>
    </x:row>
    <x:row r="1223">
      <x:c r="A1223" s="28"/>
      <x:c r="B1223" s="28"/>
      <x:c r="C1223" s="28"/>
      <x:c r="D1223" s="28"/>
      <x:c r="E1223" s="28"/>
      <x:c r="F1223" s="28"/>
      <x:c r="G1223" s="28"/>
      <x:c r="H1223" s="28"/>
      <x:c r="I1223" s="28"/>
      <x:c r="J1223" s="28"/>
      <x:c r="K1223" s="28"/>
      <x:c r="L1223" s="28"/>
      <x:c r="M1223" s="28"/>
      <x:c r="N1223" s="28"/>
      <x:c r="O1223" s="28"/>
      <x:c r="P1223" s="28"/>
      <x:c r="Q1223" s="28"/>
      <x:c r="R1223" s="28"/>
      <x:c r="S1223" s="28"/>
      <x:c r="T1223" s="28"/>
      <x:c r="U1223" s="28"/>
      <x:c r="V1223" s="28"/>
      <x:c r="W1223" s="43" t="n">
        <x:f>--AND(N1223=1,OR(O1223="SUPPORTED",O1223="HALLUCINATION"))</x:f>
        <x:v>0</x:v>
      </x:c>
      <x:c r="X1223" s="43" t="n">
        <x:f>--AND(W1223=1,O1223="HALLUCINATION")</x:f>
        <x:v>0</x:v>
      </x:c>
      <x:c r="Y1223" s="43" t="n">
        <x:f>--AND(Q1223=1,O1223="HALLUCINATION")</x:f>
        <x:v>0</x:v>
      </x:c>
      <x:c r="Z1223" s="43" t="n">
        <x:f>--AND(Y1223=1,R1223=1,S1223=1)</x:f>
        <x:v>0</x:v>
      </x:c>
      <x:c r="AC1223" t="str">
        <x:f>IF(OR(AA1223="",AB1223=""),"",--(AA1223&lt;&gt;AB1223))</x:f>
      </x:c>
      <x:c r="AE1223" t="str">
        <x:f>IF(OR(AA1223="",AB1223=""),"PENDING_HUMAN",IF(AA1223=AB1223,AA1223,IF(AD1223&lt;&gt;"",AD1223,"PENDING_HUMAN")))</x:f>
        <x:v>PENDING_HUMAN</x:v>
      </x:c>
      <x:c r="AF1223" t="n">
        <x:f>--AND(A1223&lt;&gt;"",AA1223&lt;&gt;"",AB1223&lt;&gt;"",OR(AA1223=AB1223,AD1223&lt;&gt;""),IF(AE1223="HALLUCINATION",U1223&lt;&gt;"",TRUE))</x:f>
        <x:v>0</x:v>
      </x:c>
      <x:c r="AG1223" t="n">
        <x:f>--AND(N1223=1,AF1223=1,OR(AE1223="SUPPORTED",AE1223="HALLUCINATION"))</x:f>
        <x:v>0</x:v>
      </x:c>
      <x:c r="AH1223" t="n">
        <x:f>--AND(AG1223=1,AE1223="HALLUCINATION")</x:f>
        <x:v>0</x:v>
      </x:c>
      <x:c r="AI1223" t="n">
        <x:f>--AND(Q1223=1,AF1223=1,AE1223="HALLUCINATION")</x:f>
        <x:v>0</x:v>
      </x:c>
      <x:c r="AJ1223" t="n">
        <x:f>--AND(AI1223=1,R1223=1,S1223=1)</x:f>
        <x:v>0</x:v>
      </x:c>
    </x:row>
    <x:row r="1224">
      <x:c r="A1224" s="28"/>
      <x:c r="B1224" s="28"/>
      <x:c r="C1224" s="28"/>
      <x:c r="D1224" s="28"/>
      <x:c r="E1224" s="28"/>
      <x:c r="F1224" s="28"/>
      <x:c r="G1224" s="28"/>
      <x:c r="H1224" s="28"/>
      <x:c r="I1224" s="28"/>
      <x:c r="J1224" s="28"/>
      <x:c r="K1224" s="28"/>
      <x:c r="L1224" s="28"/>
      <x:c r="M1224" s="28"/>
      <x:c r="N1224" s="28"/>
      <x:c r="O1224" s="28"/>
      <x:c r="P1224" s="28"/>
      <x:c r="Q1224" s="28"/>
      <x:c r="R1224" s="28"/>
      <x:c r="S1224" s="28"/>
      <x:c r="T1224" s="28"/>
      <x:c r="U1224" s="28"/>
      <x:c r="V1224" s="28"/>
      <x:c r="W1224" s="43" t="n">
        <x:f>--AND(N1224=1,OR(O1224="SUPPORTED",O1224="HALLUCINATION"))</x:f>
        <x:v>0</x:v>
      </x:c>
      <x:c r="X1224" s="43" t="n">
        <x:f>--AND(W1224=1,O1224="HALLUCINATION")</x:f>
        <x:v>0</x:v>
      </x:c>
      <x:c r="Y1224" s="43" t="n">
        <x:f>--AND(Q1224=1,O1224="HALLUCINATION")</x:f>
        <x:v>0</x:v>
      </x:c>
      <x:c r="Z1224" s="43" t="n">
        <x:f>--AND(Y1224=1,R1224=1,S1224=1)</x:f>
        <x:v>0</x:v>
      </x:c>
      <x:c r="AC1224" t="str">
        <x:f>IF(OR(AA1224="",AB1224=""),"",--(AA1224&lt;&gt;AB1224))</x:f>
      </x:c>
      <x:c r="AE1224" t="str">
        <x:f>IF(OR(AA1224="",AB1224=""),"PENDING_HUMAN",IF(AA1224=AB1224,AA1224,IF(AD1224&lt;&gt;"",AD1224,"PENDING_HUMAN")))</x:f>
        <x:v>PENDING_HUMAN</x:v>
      </x:c>
      <x:c r="AF1224" t="n">
        <x:f>--AND(A1224&lt;&gt;"",AA1224&lt;&gt;"",AB1224&lt;&gt;"",OR(AA1224=AB1224,AD1224&lt;&gt;""),IF(AE1224="HALLUCINATION",U1224&lt;&gt;"",TRUE))</x:f>
        <x:v>0</x:v>
      </x:c>
      <x:c r="AG1224" t="n">
        <x:f>--AND(N1224=1,AF1224=1,OR(AE1224="SUPPORTED",AE1224="HALLUCINATION"))</x:f>
        <x:v>0</x:v>
      </x:c>
      <x:c r="AH1224" t="n">
        <x:f>--AND(AG1224=1,AE1224="HALLUCINATION")</x:f>
        <x:v>0</x:v>
      </x:c>
      <x:c r="AI1224" t="n">
        <x:f>--AND(Q1224=1,AF1224=1,AE1224="HALLUCINATION")</x:f>
        <x:v>0</x:v>
      </x:c>
      <x:c r="AJ1224" t="n">
        <x:f>--AND(AI1224=1,R1224=1,S1224=1)</x:f>
        <x:v>0</x:v>
      </x:c>
    </x:row>
    <x:row r="1225">
      <x:c r="A1225" s="28"/>
      <x:c r="B1225" s="28"/>
      <x:c r="C1225" s="28"/>
      <x:c r="D1225" s="28"/>
      <x:c r="E1225" s="28"/>
      <x:c r="F1225" s="28"/>
      <x:c r="G1225" s="28"/>
      <x:c r="H1225" s="28"/>
      <x:c r="I1225" s="28"/>
      <x:c r="J1225" s="28"/>
      <x:c r="K1225" s="28"/>
      <x:c r="L1225" s="28"/>
      <x:c r="M1225" s="28"/>
      <x:c r="N1225" s="28"/>
      <x:c r="O1225" s="28"/>
      <x:c r="P1225" s="28"/>
      <x:c r="Q1225" s="28"/>
      <x:c r="R1225" s="28"/>
      <x:c r="S1225" s="28"/>
      <x:c r="T1225" s="28"/>
      <x:c r="U1225" s="28"/>
      <x:c r="V1225" s="28"/>
      <x:c r="W1225" s="43" t="n">
        <x:f>--AND(N1225=1,OR(O1225="SUPPORTED",O1225="HALLUCINATION"))</x:f>
        <x:v>0</x:v>
      </x:c>
      <x:c r="X1225" s="43" t="n">
        <x:f>--AND(W1225=1,O1225="HALLUCINATION")</x:f>
        <x:v>0</x:v>
      </x:c>
      <x:c r="Y1225" s="43" t="n">
        <x:f>--AND(Q1225=1,O1225="HALLUCINATION")</x:f>
        <x:v>0</x:v>
      </x:c>
      <x:c r="Z1225" s="43" t="n">
        <x:f>--AND(Y1225=1,R1225=1,S1225=1)</x:f>
        <x:v>0</x:v>
      </x:c>
      <x:c r="AC1225" t="str">
        <x:f>IF(OR(AA1225="",AB1225=""),"",--(AA1225&lt;&gt;AB1225))</x:f>
      </x:c>
      <x:c r="AE1225" t="str">
        <x:f>IF(OR(AA1225="",AB1225=""),"PENDING_HUMAN",IF(AA1225=AB1225,AA1225,IF(AD1225&lt;&gt;"",AD1225,"PENDING_HUMAN")))</x:f>
        <x:v>PENDING_HUMAN</x:v>
      </x:c>
      <x:c r="AF1225" t="n">
        <x:f>--AND(A1225&lt;&gt;"",AA1225&lt;&gt;"",AB1225&lt;&gt;"",OR(AA1225=AB1225,AD1225&lt;&gt;""),IF(AE1225="HALLUCINATION",U1225&lt;&gt;"",TRUE))</x:f>
        <x:v>0</x:v>
      </x:c>
      <x:c r="AG1225" t="n">
        <x:f>--AND(N1225=1,AF1225=1,OR(AE1225="SUPPORTED",AE1225="HALLUCINATION"))</x:f>
        <x:v>0</x:v>
      </x:c>
      <x:c r="AH1225" t="n">
        <x:f>--AND(AG1225=1,AE1225="HALLUCINATION")</x:f>
        <x:v>0</x:v>
      </x:c>
      <x:c r="AI1225" t="n">
        <x:f>--AND(Q1225=1,AF1225=1,AE1225="HALLUCINATION")</x:f>
        <x:v>0</x:v>
      </x:c>
      <x:c r="AJ1225" t="n">
        <x:f>--AND(AI1225=1,R1225=1,S1225=1)</x:f>
        <x:v>0</x:v>
      </x:c>
    </x:row>
    <x:row r="1226">
      <x:c r="A1226" s="28"/>
      <x:c r="B1226" s="28"/>
      <x:c r="C1226" s="28"/>
      <x:c r="D1226" s="28"/>
      <x:c r="E1226" s="28"/>
      <x:c r="F1226" s="28"/>
      <x:c r="G1226" s="28"/>
      <x:c r="H1226" s="28"/>
      <x:c r="I1226" s="28"/>
      <x:c r="J1226" s="28"/>
      <x:c r="K1226" s="28"/>
      <x:c r="L1226" s="28"/>
      <x:c r="M1226" s="28"/>
      <x:c r="N1226" s="28"/>
      <x:c r="O1226" s="28"/>
      <x:c r="P1226" s="28"/>
      <x:c r="Q1226" s="28"/>
      <x:c r="R1226" s="28"/>
      <x:c r="S1226" s="28"/>
      <x:c r="T1226" s="28"/>
      <x:c r="U1226" s="28"/>
      <x:c r="V1226" s="28"/>
      <x:c r="W1226" s="43" t="n">
        <x:f>--AND(N1226=1,OR(O1226="SUPPORTED",O1226="HALLUCINATION"))</x:f>
        <x:v>0</x:v>
      </x:c>
      <x:c r="X1226" s="43" t="n">
        <x:f>--AND(W1226=1,O1226="HALLUCINATION")</x:f>
        <x:v>0</x:v>
      </x:c>
      <x:c r="Y1226" s="43" t="n">
        <x:f>--AND(Q1226=1,O1226="HALLUCINATION")</x:f>
        <x:v>0</x:v>
      </x:c>
      <x:c r="Z1226" s="43" t="n">
        <x:f>--AND(Y1226=1,R1226=1,S1226=1)</x:f>
        <x:v>0</x:v>
      </x:c>
      <x:c r="AC1226" t="str">
        <x:f>IF(OR(AA1226="",AB1226=""),"",--(AA1226&lt;&gt;AB1226))</x:f>
      </x:c>
      <x:c r="AE1226" t="str">
        <x:f>IF(OR(AA1226="",AB1226=""),"PENDING_HUMAN",IF(AA1226=AB1226,AA1226,IF(AD1226&lt;&gt;"",AD1226,"PENDING_HUMAN")))</x:f>
        <x:v>PENDING_HUMAN</x:v>
      </x:c>
      <x:c r="AF1226" t="n">
        <x:f>--AND(A1226&lt;&gt;"",AA1226&lt;&gt;"",AB1226&lt;&gt;"",OR(AA1226=AB1226,AD1226&lt;&gt;""),IF(AE1226="HALLUCINATION",U1226&lt;&gt;"",TRUE))</x:f>
        <x:v>0</x:v>
      </x:c>
      <x:c r="AG1226" t="n">
        <x:f>--AND(N1226=1,AF1226=1,OR(AE1226="SUPPORTED",AE1226="HALLUCINATION"))</x:f>
        <x:v>0</x:v>
      </x:c>
      <x:c r="AH1226" t="n">
        <x:f>--AND(AG1226=1,AE1226="HALLUCINATION")</x:f>
        <x:v>0</x:v>
      </x:c>
      <x:c r="AI1226" t="n">
        <x:f>--AND(Q1226=1,AF1226=1,AE1226="HALLUCINATION")</x:f>
        <x:v>0</x:v>
      </x:c>
      <x:c r="AJ1226" t="n">
        <x:f>--AND(AI1226=1,R1226=1,S1226=1)</x:f>
        <x:v>0</x:v>
      </x:c>
    </x:row>
    <x:row r="1227">
      <x:c r="A1227" s="28"/>
      <x:c r="B1227" s="28"/>
      <x:c r="C1227" s="28"/>
      <x:c r="D1227" s="28"/>
      <x:c r="E1227" s="28"/>
      <x:c r="F1227" s="28"/>
      <x:c r="G1227" s="28"/>
      <x:c r="H1227" s="28"/>
      <x:c r="I1227" s="28"/>
      <x:c r="J1227" s="28"/>
      <x:c r="K1227" s="28"/>
      <x:c r="L1227" s="28"/>
      <x:c r="M1227" s="28"/>
      <x:c r="N1227" s="28"/>
      <x:c r="O1227" s="28"/>
      <x:c r="P1227" s="28"/>
      <x:c r="Q1227" s="28"/>
      <x:c r="R1227" s="28"/>
      <x:c r="S1227" s="28"/>
      <x:c r="T1227" s="28"/>
      <x:c r="U1227" s="28"/>
      <x:c r="V1227" s="28"/>
      <x:c r="W1227" s="43" t="n">
        <x:f>--AND(N1227=1,OR(O1227="SUPPORTED",O1227="HALLUCINATION"))</x:f>
        <x:v>0</x:v>
      </x:c>
      <x:c r="X1227" s="43" t="n">
        <x:f>--AND(W1227=1,O1227="HALLUCINATION")</x:f>
        <x:v>0</x:v>
      </x:c>
      <x:c r="Y1227" s="43" t="n">
        <x:f>--AND(Q1227=1,O1227="HALLUCINATION")</x:f>
        <x:v>0</x:v>
      </x:c>
      <x:c r="Z1227" s="43" t="n">
        <x:f>--AND(Y1227=1,R1227=1,S1227=1)</x:f>
        <x:v>0</x:v>
      </x:c>
      <x:c r="AC1227" t="str">
        <x:f>IF(OR(AA1227="",AB1227=""),"",--(AA1227&lt;&gt;AB1227))</x:f>
      </x:c>
      <x:c r="AE1227" t="str">
        <x:f>IF(OR(AA1227="",AB1227=""),"PENDING_HUMAN",IF(AA1227=AB1227,AA1227,IF(AD1227&lt;&gt;"",AD1227,"PENDING_HUMAN")))</x:f>
        <x:v>PENDING_HUMAN</x:v>
      </x:c>
      <x:c r="AF1227" t="n">
        <x:f>--AND(A1227&lt;&gt;"",AA1227&lt;&gt;"",AB1227&lt;&gt;"",OR(AA1227=AB1227,AD1227&lt;&gt;""),IF(AE1227="HALLUCINATION",U1227&lt;&gt;"",TRUE))</x:f>
        <x:v>0</x:v>
      </x:c>
      <x:c r="AG1227" t="n">
        <x:f>--AND(N1227=1,AF1227=1,OR(AE1227="SUPPORTED",AE1227="HALLUCINATION"))</x:f>
        <x:v>0</x:v>
      </x:c>
      <x:c r="AH1227" t="n">
        <x:f>--AND(AG1227=1,AE1227="HALLUCINATION")</x:f>
        <x:v>0</x:v>
      </x:c>
      <x:c r="AI1227" t="n">
        <x:f>--AND(Q1227=1,AF1227=1,AE1227="HALLUCINATION")</x:f>
        <x:v>0</x:v>
      </x:c>
      <x:c r="AJ1227" t="n">
        <x:f>--AND(AI1227=1,R1227=1,S1227=1)</x:f>
        <x:v>0</x:v>
      </x:c>
    </x:row>
    <x:row r="1228">
      <x:c r="A1228" s="28"/>
      <x:c r="B1228" s="28"/>
      <x:c r="C1228" s="28"/>
      <x:c r="D1228" s="28"/>
      <x:c r="E1228" s="28"/>
      <x:c r="F1228" s="28"/>
      <x:c r="G1228" s="28"/>
      <x:c r="H1228" s="28"/>
      <x:c r="I1228" s="28"/>
      <x:c r="J1228" s="28"/>
      <x:c r="K1228" s="28"/>
      <x:c r="L1228" s="28"/>
      <x:c r="M1228" s="28"/>
      <x:c r="N1228" s="28"/>
      <x:c r="O1228" s="28"/>
      <x:c r="P1228" s="28"/>
      <x:c r="Q1228" s="28"/>
      <x:c r="R1228" s="28"/>
      <x:c r="S1228" s="28"/>
      <x:c r="T1228" s="28"/>
      <x:c r="U1228" s="28"/>
      <x:c r="V1228" s="28"/>
      <x:c r="W1228" s="43" t="n">
        <x:f>--AND(N1228=1,OR(O1228="SUPPORTED",O1228="HALLUCINATION"))</x:f>
        <x:v>0</x:v>
      </x:c>
      <x:c r="X1228" s="43" t="n">
        <x:f>--AND(W1228=1,O1228="HALLUCINATION")</x:f>
        <x:v>0</x:v>
      </x:c>
      <x:c r="Y1228" s="43" t="n">
        <x:f>--AND(Q1228=1,O1228="HALLUCINATION")</x:f>
        <x:v>0</x:v>
      </x:c>
      <x:c r="Z1228" s="43" t="n">
        <x:f>--AND(Y1228=1,R1228=1,S1228=1)</x:f>
        <x:v>0</x:v>
      </x:c>
      <x:c r="AC1228" t="str">
        <x:f>IF(OR(AA1228="",AB1228=""),"",--(AA1228&lt;&gt;AB1228))</x:f>
      </x:c>
      <x:c r="AE1228" t="str">
        <x:f>IF(OR(AA1228="",AB1228=""),"PENDING_HUMAN",IF(AA1228=AB1228,AA1228,IF(AD1228&lt;&gt;"",AD1228,"PENDING_HUMAN")))</x:f>
        <x:v>PENDING_HUMAN</x:v>
      </x:c>
      <x:c r="AF1228" t="n">
        <x:f>--AND(A1228&lt;&gt;"",AA1228&lt;&gt;"",AB1228&lt;&gt;"",OR(AA1228=AB1228,AD1228&lt;&gt;""),IF(AE1228="HALLUCINATION",U1228&lt;&gt;"",TRUE))</x:f>
        <x:v>0</x:v>
      </x:c>
      <x:c r="AG1228" t="n">
        <x:f>--AND(N1228=1,AF1228=1,OR(AE1228="SUPPORTED",AE1228="HALLUCINATION"))</x:f>
        <x:v>0</x:v>
      </x:c>
      <x:c r="AH1228" t="n">
        <x:f>--AND(AG1228=1,AE1228="HALLUCINATION")</x:f>
        <x:v>0</x:v>
      </x:c>
      <x:c r="AI1228" t="n">
        <x:f>--AND(Q1228=1,AF1228=1,AE1228="HALLUCINATION")</x:f>
        <x:v>0</x:v>
      </x:c>
      <x:c r="AJ1228" t="n">
        <x:f>--AND(AI1228=1,R1228=1,S1228=1)</x:f>
        <x:v>0</x:v>
      </x:c>
    </x:row>
    <x:row r="1229">
      <x:c r="A1229" s="28"/>
      <x:c r="B1229" s="28"/>
      <x:c r="C1229" s="28"/>
      <x:c r="D1229" s="28"/>
      <x:c r="E1229" s="28"/>
      <x:c r="F1229" s="28"/>
      <x:c r="G1229" s="28"/>
      <x:c r="H1229" s="28"/>
      <x:c r="I1229" s="28"/>
      <x:c r="J1229" s="28"/>
      <x:c r="K1229" s="28"/>
      <x:c r="L1229" s="28"/>
      <x:c r="M1229" s="28"/>
      <x:c r="N1229" s="28"/>
      <x:c r="O1229" s="28"/>
      <x:c r="P1229" s="28"/>
      <x:c r="Q1229" s="28"/>
      <x:c r="R1229" s="28"/>
      <x:c r="S1229" s="28"/>
      <x:c r="T1229" s="28"/>
      <x:c r="U1229" s="28"/>
      <x:c r="V1229" s="28"/>
      <x:c r="W1229" s="43" t="n">
        <x:f>--AND(N1229=1,OR(O1229="SUPPORTED",O1229="HALLUCINATION"))</x:f>
        <x:v>0</x:v>
      </x:c>
      <x:c r="X1229" s="43" t="n">
        <x:f>--AND(W1229=1,O1229="HALLUCINATION")</x:f>
        <x:v>0</x:v>
      </x:c>
      <x:c r="Y1229" s="43" t="n">
        <x:f>--AND(Q1229=1,O1229="HALLUCINATION")</x:f>
        <x:v>0</x:v>
      </x:c>
      <x:c r="Z1229" s="43" t="n">
        <x:f>--AND(Y1229=1,R1229=1,S1229=1)</x:f>
        <x:v>0</x:v>
      </x:c>
      <x:c r="AC1229" t="str">
        <x:f>IF(OR(AA1229="",AB1229=""),"",--(AA1229&lt;&gt;AB1229))</x:f>
      </x:c>
      <x:c r="AE1229" t="str">
        <x:f>IF(OR(AA1229="",AB1229=""),"PENDING_HUMAN",IF(AA1229=AB1229,AA1229,IF(AD1229&lt;&gt;"",AD1229,"PENDING_HUMAN")))</x:f>
        <x:v>PENDING_HUMAN</x:v>
      </x:c>
      <x:c r="AF1229" t="n">
        <x:f>--AND(A1229&lt;&gt;"",AA1229&lt;&gt;"",AB1229&lt;&gt;"",OR(AA1229=AB1229,AD1229&lt;&gt;""),IF(AE1229="HALLUCINATION",U1229&lt;&gt;"",TRUE))</x:f>
        <x:v>0</x:v>
      </x:c>
      <x:c r="AG1229" t="n">
        <x:f>--AND(N1229=1,AF1229=1,OR(AE1229="SUPPORTED",AE1229="HALLUCINATION"))</x:f>
        <x:v>0</x:v>
      </x:c>
      <x:c r="AH1229" t="n">
        <x:f>--AND(AG1229=1,AE1229="HALLUCINATION")</x:f>
        <x:v>0</x:v>
      </x:c>
      <x:c r="AI1229" t="n">
        <x:f>--AND(Q1229=1,AF1229=1,AE1229="HALLUCINATION")</x:f>
        <x:v>0</x:v>
      </x:c>
      <x:c r="AJ1229" t="n">
        <x:f>--AND(AI1229=1,R1229=1,S1229=1)</x:f>
        <x:v>0</x:v>
      </x:c>
    </x:row>
    <x:row r="1230">
      <x:c r="A1230" s="28"/>
      <x:c r="B1230" s="28"/>
      <x:c r="C1230" s="28"/>
      <x:c r="D1230" s="28"/>
      <x:c r="E1230" s="28"/>
      <x:c r="F1230" s="28"/>
      <x:c r="G1230" s="28"/>
      <x:c r="H1230" s="28"/>
      <x:c r="I1230" s="28"/>
      <x:c r="J1230" s="28"/>
      <x:c r="K1230" s="28"/>
      <x:c r="L1230" s="28"/>
      <x:c r="M1230" s="28"/>
      <x:c r="N1230" s="28"/>
      <x:c r="O1230" s="28"/>
      <x:c r="P1230" s="28"/>
      <x:c r="Q1230" s="28"/>
      <x:c r="R1230" s="28"/>
      <x:c r="S1230" s="28"/>
      <x:c r="T1230" s="28"/>
      <x:c r="U1230" s="28"/>
      <x:c r="V1230" s="28"/>
      <x:c r="W1230" s="43" t="n">
        <x:f>--AND(N1230=1,OR(O1230="SUPPORTED",O1230="HALLUCINATION"))</x:f>
        <x:v>0</x:v>
      </x:c>
      <x:c r="X1230" s="43" t="n">
        <x:f>--AND(W1230=1,O1230="HALLUCINATION")</x:f>
        <x:v>0</x:v>
      </x:c>
      <x:c r="Y1230" s="43" t="n">
        <x:f>--AND(Q1230=1,O1230="HALLUCINATION")</x:f>
        <x:v>0</x:v>
      </x:c>
      <x:c r="Z1230" s="43" t="n">
        <x:f>--AND(Y1230=1,R1230=1,S1230=1)</x:f>
        <x:v>0</x:v>
      </x:c>
      <x:c r="AC1230" t="str">
        <x:f>IF(OR(AA1230="",AB1230=""),"",--(AA1230&lt;&gt;AB1230))</x:f>
      </x:c>
      <x:c r="AE1230" t="str">
        <x:f>IF(OR(AA1230="",AB1230=""),"PENDING_HUMAN",IF(AA1230=AB1230,AA1230,IF(AD1230&lt;&gt;"",AD1230,"PENDING_HUMAN")))</x:f>
        <x:v>PENDING_HUMAN</x:v>
      </x:c>
      <x:c r="AF1230" t="n">
        <x:f>--AND(A1230&lt;&gt;"",AA1230&lt;&gt;"",AB1230&lt;&gt;"",OR(AA1230=AB1230,AD1230&lt;&gt;""),IF(AE1230="HALLUCINATION",U1230&lt;&gt;"",TRUE))</x:f>
        <x:v>0</x:v>
      </x:c>
      <x:c r="AG1230" t="n">
        <x:f>--AND(N1230=1,AF1230=1,OR(AE1230="SUPPORTED",AE1230="HALLUCINATION"))</x:f>
        <x:v>0</x:v>
      </x:c>
      <x:c r="AH1230" t="n">
        <x:f>--AND(AG1230=1,AE1230="HALLUCINATION")</x:f>
        <x:v>0</x:v>
      </x:c>
      <x:c r="AI1230" t="n">
        <x:f>--AND(Q1230=1,AF1230=1,AE1230="HALLUCINATION")</x:f>
        <x:v>0</x:v>
      </x:c>
      <x:c r="AJ1230" t="n">
        <x:f>--AND(AI1230=1,R1230=1,S1230=1)</x:f>
        <x:v>0</x:v>
      </x:c>
    </x:row>
    <x:row r="1231">
      <x:c r="A1231" s="28"/>
      <x:c r="B1231" s="28"/>
      <x:c r="C1231" s="28"/>
      <x:c r="D1231" s="28"/>
      <x:c r="E1231" s="28"/>
      <x:c r="F1231" s="28"/>
      <x:c r="G1231" s="28"/>
      <x:c r="H1231" s="28"/>
      <x:c r="I1231" s="28"/>
      <x:c r="J1231" s="28"/>
      <x:c r="K1231" s="28"/>
      <x:c r="L1231" s="28"/>
      <x:c r="M1231" s="28"/>
      <x:c r="N1231" s="28"/>
      <x:c r="O1231" s="28"/>
      <x:c r="P1231" s="28"/>
      <x:c r="Q1231" s="28"/>
      <x:c r="R1231" s="28"/>
      <x:c r="S1231" s="28"/>
      <x:c r="T1231" s="28"/>
      <x:c r="U1231" s="28"/>
      <x:c r="V1231" s="28"/>
      <x:c r="W1231" s="43" t="n">
        <x:f>--AND(N1231=1,OR(O1231="SUPPORTED",O1231="HALLUCINATION"))</x:f>
        <x:v>0</x:v>
      </x:c>
      <x:c r="X1231" s="43" t="n">
        <x:f>--AND(W1231=1,O1231="HALLUCINATION")</x:f>
        <x:v>0</x:v>
      </x:c>
      <x:c r="Y1231" s="43" t="n">
        <x:f>--AND(Q1231=1,O1231="HALLUCINATION")</x:f>
        <x:v>0</x:v>
      </x:c>
      <x:c r="Z1231" s="43" t="n">
        <x:f>--AND(Y1231=1,R1231=1,S1231=1)</x:f>
        <x:v>0</x:v>
      </x:c>
      <x:c r="AC1231" t="str">
        <x:f>IF(OR(AA1231="",AB1231=""),"",--(AA1231&lt;&gt;AB1231))</x:f>
      </x:c>
      <x:c r="AE1231" t="str">
        <x:f>IF(OR(AA1231="",AB1231=""),"PENDING_HUMAN",IF(AA1231=AB1231,AA1231,IF(AD1231&lt;&gt;"",AD1231,"PENDING_HUMAN")))</x:f>
        <x:v>PENDING_HUMAN</x:v>
      </x:c>
      <x:c r="AF1231" t="n">
        <x:f>--AND(A1231&lt;&gt;"",AA1231&lt;&gt;"",AB1231&lt;&gt;"",OR(AA1231=AB1231,AD1231&lt;&gt;""),IF(AE1231="HALLUCINATION",U1231&lt;&gt;"",TRUE))</x:f>
        <x:v>0</x:v>
      </x:c>
      <x:c r="AG1231" t="n">
        <x:f>--AND(N1231=1,AF1231=1,OR(AE1231="SUPPORTED",AE1231="HALLUCINATION"))</x:f>
        <x:v>0</x:v>
      </x:c>
      <x:c r="AH1231" t="n">
        <x:f>--AND(AG1231=1,AE1231="HALLUCINATION")</x:f>
        <x:v>0</x:v>
      </x:c>
      <x:c r="AI1231" t="n">
        <x:f>--AND(Q1231=1,AF1231=1,AE1231="HALLUCINATION")</x:f>
        <x:v>0</x:v>
      </x:c>
      <x:c r="AJ1231" t="n">
        <x:f>--AND(AI1231=1,R1231=1,S1231=1)</x:f>
        <x:v>0</x:v>
      </x:c>
    </x:row>
    <x:row r="1232">
      <x:c r="A1232" s="28"/>
      <x:c r="B1232" s="28"/>
      <x:c r="C1232" s="28"/>
      <x:c r="D1232" s="28"/>
      <x:c r="E1232" s="28"/>
      <x:c r="F1232" s="28"/>
      <x:c r="G1232" s="28"/>
      <x:c r="H1232" s="28"/>
      <x:c r="I1232" s="28"/>
      <x:c r="J1232" s="28"/>
      <x:c r="K1232" s="28"/>
      <x:c r="L1232" s="28"/>
      <x:c r="M1232" s="28"/>
      <x:c r="N1232" s="28"/>
      <x:c r="O1232" s="28"/>
      <x:c r="P1232" s="28"/>
      <x:c r="Q1232" s="28"/>
      <x:c r="R1232" s="28"/>
      <x:c r="S1232" s="28"/>
      <x:c r="T1232" s="28"/>
      <x:c r="U1232" s="28"/>
      <x:c r="V1232" s="28"/>
      <x:c r="W1232" s="43" t="n">
        <x:f>--AND(N1232=1,OR(O1232="SUPPORTED",O1232="HALLUCINATION"))</x:f>
        <x:v>0</x:v>
      </x:c>
      <x:c r="X1232" s="43" t="n">
        <x:f>--AND(W1232=1,O1232="HALLUCINATION")</x:f>
        <x:v>0</x:v>
      </x:c>
      <x:c r="Y1232" s="43" t="n">
        <x:f>--AND(Q1232=1,O1232="HALLUCINATION")</x:f>
        <x:v>0</x:v>
      </x:c>
      <x:c r="Z1232" s="43" t="n">
        <x:f>--AND(Y1232=1,R1232=1,S1232=1)</x:f>
        <x:v>0</x:v>
      </x:c>
      <x:c r="AC1232" t="str">
        <x:f>IF(OR(AA1232="",AB1232=""),"",--(AA1232&lt;&gt;AB1232))</x:f>
      </x:c>
      <x:c r="AE1232" t="str">
        <x:f>IF(OR(AA1232="",AB1232=""),"PENDING_HUMAN",IF(AA1232=AB1232,AA1232,IF(AD1232&lt;&gt;"",AD1232,"PENDING_HUMAN")))</x:f>
        <x:v>PENDING_HUMAN</x:v>
      </x:c>
      <x:c r="AF1232" t="n">
        <x:f>--AND(A1232&lt;&gt;"",AA1232&lt;&gt;"",AB1232&lt;&gt;"",OR(AA1232=AB1232,AD1232&lt;&gt;""),IF(AE1232="HALLUCINATION",U1232&lt;&gt;"",TRUE))</x:f>
        <x:v>0</x:v>
      </x:c>
      <x:c r="AG1232" t="n">
        <x:f>--AND(N1232=1,AF1232=1,OR(AE1232="SUPPORTED",AE1232="HALLUCINATION"))</x:f>
        <x:v>0</x:v>
      </x:c>
      <x:c r="AH1232" t="n">
        <x:f>--AND(AG1232=1,AE1232="HALLUCINATION")</x:f>
        <x:v>0</x:v>
      </x:c>
      <x:c r="AI1232" t="n">
        <x:f>--AND(Q1232=1,AF1232=1,AE1232="HALLUCINATION")</x:f>
        <x:v>0</x:v>
      </x:c>
      <x:c r="AJ1232" t="n">
        <x:f>--AND(AI1232=1,R1232=1,S1232=1)</x:f>
        <x:v>0</x:v>
      </x:c>
    </x:row>
    <x:row r="1233">
      <x:c r="A1233" s="28"/>
      <x:c r="B1233" s="28"/>
      <x:c r="C1233" s="28"/>
      <x:c r="D1233" s="28"/>
      <x:c r="E1233" s="28"/>
      <x:c r="F1233" s="28"/>
      <x:c r="G1233" s="28"/>
      <x:c r="H1233" s="28"/>
      <x:c r="I1233" s="28"/>
      <x:c r="J1233" s="28"/>
      <x:c r="K1233" s="28"/>
      <x:c r="L1233" s="28"/>
      <x:c r="M1233" s="28"/>
      <x:c r="N1233" s="28"/>
      <x:c r="O1233" s="28"/>
      <x:c r="P1233" s="28"/>
      <x:c r="Q1233" s="28"/>
      <x:c r="R1233" s="28"/>
      <x:c r="S1233" s="28"/>
      <x:c r="T1233" s="28"/>
      <x:c r="U1233" s="28"/>
      <x:c r="V1233" s="28"/>
      <x:c r="W1233" s="43" t="n">
        <x:f>--AND(N1233=1,OR(O1233="SUPPORTED",O1233="HALLUCINATION"))</x:f>
        <x:v>0</x:v>
      </x:c>
      <x:c r="X1233" s="43" t="n">
        <x:f>--AND(W1233=1,O1233="HALLUCINATION")</x:f>
        <x:v>0</x:v>
      </x:c>
      <x:c r="Y1233" s="43" t="n">
        <x:f>--AND(Q1233=1,O1233="HALLUCINATION")</x:f>
        <x:v>0</x:v>
      </x:c>
      <x:c r="Z1233" s="43" t="n">
        <x:f>--AND(Y1233=1,R1233=1,S1233=1)</x:f>
        <x:v>0</x:v>
      </x:c>
      <x:c r="AC1233" t="str">
        <x:f>IF(OR(AA1233="",AB1233=""),"",--(AA1233&lt;&gt;AB1233))</x:f>
      </x:c>
      <x:c r="AE1233" t="str">
        <x:f>IF(OR(AA1233="",AB1233=""),"PENDING_HUMAN",IF(AA1233=AB1233,AA1233,IF(AD1233&lt;&gt;"",AD1233,"PENDING_HUMAN")))</x:f>
        <x:v>PENDING_HUMAN</x:v>
      </x:c>
      <x:c r="AF1233" t="n">
        <x:f>--AND(A1233&lt;&gt;"",AA1233&lt;&gt;"",AB1233&lt;&gt;"",OR(AA1233=AB1233,AD1233&lt;&gt;""),IF(AE1233="HALLUCINATION",U1233&lt;&gt;"",TRUE))</x:f>
        <x:v>0</x:v>
      </x:c>
      <x:c r="AG1233" t="n">
        <x:f>--AND(N1233=1,AF1233=1,OR(AE1233="SUPPORTED",AE1233="HALLUCINATION"))</x:f>
        <x:v>0</x:v>
      </x:c>
      <x:c r="AH1233" t="n">
        <x:f>--AND(AG1233=1,AE1233="HALLUCINATION")</x:f>
        <x:v>0</x:v>
      </x:c>
      <x:c r="AI1233" t="n">
        <x:f>--AND(Q1233=1,AF1233=1,AE1233="HALLUCINATION")</x:f>
        <x:v>0</x:v>
      </x:c>
      <x:c r="AJ1233" t="n">
        <x:f>--AND(AI1233=1,R1233=1,S1233=1)</x:f>
        <x:v>0</x:v>
      </x:c>
    </x:row>
    <x:row r="1234">
      <x:c r="A1234" s="28"/>
      <x:c r="B1234" s="28"/>
      <x:c r="C1234" s="28"/>
      <x:c r="D1234" s="28"/>
      <x:c r="E1234" s="28"/>
      <x:c r="F1234" s="28"/>
      <x:c r="G1234" s="28"/>
      <x:c r="H1234" s="28"/>
      <x:c r="I1234" s="28"/>
      <x:c r="J1234" s="28"/>
      <x:c r="K1234" s="28"/>
      <x:c r="L1234" s="28"/>
      <x:c r="M1234" s="28"/>
      <x:c r="N1234" s="28"/>
      <x:c r="O1234" s="28"/>
      <x:c r="P1234" s="28"/>
      <x:c r="Q1234" s="28"/>
      <x:c r="R1234" s="28"/>
      <x:c r="S1234" s="28"/>
      <x:c r="T1234" s="28"/>
      <x:c r="U1234" s="28"/>
      <x:c r="V1234" s="28"/>
      <x:c r="W1234" s="43" t="n">
        <x:f>--AND(N1234=1,OR(O1234="SUPPORTED",O1234="HALLUCINATION"))</x:f>
        <x:v>0</x:v>
      </x:c>
      <x:c r="X1234" s="43" t="n">
        <x:f>--AND(W1234=1,O1234="HALLUCINATION")</x:f>
        <x:v>0</x:v>
      </x:c>
      <x:c r="Y1234" s="43" t="n">
        <x:f>--AND(Q1234=1,O1234="HALLUCINATION")</x:f>
        <x:v>0</x:v>
      </x:c>
      <x:c r="Z1234" s="43" t="n">
        <x:f>--AND(Y1234=1,R1234=1,S1234=1)</x:f>
        <x:v>0</x:v>
      </x:c>
      <x:c r="AC1234" t="str">
        <x:f>IF(OR(AA1234="",AB1234=""),"",--(AA1234&lt;&gt;AB1234))</x:f>
      </x:c>
      <x:c r="AE1234" t="str">
        <x:f>IF(OR(AA1234="",AB1234=""),"PENDING_HUMAN",IF(AA1234=AB1234,AA1234,IF(AD1234&lt;&gt;"",AD1234,"PENDING_HUMAN")))</x:f>
        <x:v>PENDING_HUMAN</x:v>
      </x:c>
      <x:c r="AF1234" t="n">
        <x:f>--AND(A1234&lt;&gt;"",AA1234&lt;&gt;"",AB1234&lt;&gt;"",OR(AA1234=AB1234,AD1234&lt;&gt;""),IF(AE1234="HALLUCINATION",U1234&lt;&gt;"",TRUE))</x:f>
        <x:v>0</x:v>
      </x:c>
      <x:c r="AG1234" t="n">
        <x:f>--AND(N1234=1,AF1234=1,OR(AE1234="SUPPORTED",AE1234="HALLUCINATION"))</x:f>
        <x:v>0</x:v>
      </x:c>
      <x:c r="AH1234" t="n">
        <x:f>--AND(AG1234=1,AE1234="HALLUCINATION")</x:f>
        <x:v>0</x:v>
      </x:c>
      <x:c r="AI1234" t="n">
        <x:f>--AND(Q1234=1,AF1234=1,AE1234="HALLUCINATION")</x:f>
        <x:v>0</x:v>
      </x:c>
      <x:c r="AJ1234" t="n">
        <x:f>--AND(AI1234=1,R1234=1,S1234=1)</x:f>
        <x:v>0</x:v>
      </x:c>
    </x:row>
    <x:row r="1235">
      <x:c r="A1235" s="28"/>
      <x:c r="B1235" s="28"/>
      <x:c r="C1235" s="28"/>
      <x:c r="D1235" s="28"/>
      <x:c r="E1235" s="28"/>
      <x:c r="F1235" s="28"/>
      <x:c r="G1235" s="28"/>
      <x:c r="H1235" s="28"/>
      <x:c r="I1235" s="28"/>
      <x:c r="J1235" s="28"/>
      <x:c r="K1235" s="28"/>
      <x:c r="L1235" s="28"/>
      <x:c r="M1235" s="28"/>
      <x:c r="N1235" s="28"/>
      <x:c r="O1235" s="28"/>
      <x:c r="P1235" s="28"/>
      <x:c r="Q1235" s="28"/>
      <x:c r="R1235" s="28"/>
      <x:c r="S1235" s="28"/>
      <x:c r="T1235" s="28"/>
      <x:c r="U1235" s="28"/>
      <x:c r="V1235" s="28"/>
      <x:c r="W1235" s="43" t="n">
        <x:f>--AND(N1235=1,OR(O1235="SUPPORTED",O1235="HALLUCINATION"))</x:f>
        <x:v>0</x:v>
      </x:c>
      <x:c r="X1235" s="43" t="n">
        <x:f>--AND(W1235=1,O1235="HALLUCINATION")</x:f>
        <x:v>0</x:v>
      </x:c>
      <x:c r="Y1235" s="43" t="n">
        <x:f>--AND(Q1235=1,O1235="HALLUCINATION")</x:f>
        <x:v>0</x:v>
      </x:c>
      <x:c r="Z1235" s="43" t="n">
        <x:f>--AND(Y1235=1,R1235=1,S1235=1)</x:f>
        <x:v>0</x:v>
      </x:c>
      <x:c r="AC1235" t="str">
        <x:f>IF(OR(AA1235="",AB1235=""),"",--(AA1235&lt;&gt;AB1235))</x:f>
      </x:c>
      <x:c r="AE1235" t="str">
        <x:f>IF(OR(AA1235="",AB1235=""),"PENDING_HUMAN",IF(AA1235=AB1235,AA1235,IF(AD1235&lt;&gt;"",AD1235,"PENDING_HUMAN")))</x:f>
        <x:v>PENDING_HUMAN</x:v>
      </x:c>
      <x:c r="AF1235" t="n">
        <x:f>--AND(A1235&lt;&gt;"",AA1235&lt;&gt;"",AB1235&lt;&gt;"",OR(AA1235=AB1235,AD1235&lt;&gt;""),IF(AE1235="HALLUCINATION",U1235&lt;&gt;"",TRUE))</x:f>
        <x:v>0</x:v>
      </x:c>
      <x:c r="AG1235" t="n">
        <x:f>--AND(N1235=1,AF1235=1,OR(AE1235="SUPPORTED",AE1235="HALLUCINATION"))</x:f>
        <x:v>0</x:v>
      </x:c>
      <x:c r="AH1235" t="n">
        <x:f>--AND(AG1235=1,AE1235="HALLUCINATION")</x:f>
        <x:v>0</x:v>
      </x:c>
      <x:c r="AI1235" t="n">
        <x:f>--AND(Q1235=1,AF1235=1,AE1235="HALLUCINATION")</x:f>
        <x:v>0</x:v>
      </x:c>
      <x:c r="AJ1235" t="n">
        <x:f>--AND(AI1235=1,R1235=1,S1235=1)</x:f>
        <x:v>0</x:v>
      </x:c>
    </x:row>
    <x:row r="1236">
      <x:c r="A1236" s="28"/>
      <x:c r="B1236" s="28"/>
      <x:c r="C1236" s="28"/>
      <x:c r="D1236" s="28"/>
      <x:c r="E1236" s="28"/>
      <x:c r="F1236" s="28"/>
      <x:c r="G1236" s="28"/>
      <x:c r="H1236" s="28"/>
      <x:c r="I1236" s="28"/>
      <x:c r="J1236" s="28"/>
      <x:c r="K1236" s="28"/>
      <x:c r="L1236" s="28"/>
      <x:c r="M1236" s="28"/>
      <x:c r="N1236" s="28"/>
      <x:c r="O1236" s="28"/>
      <x:c r="P1236" s="28"/>
      <x:c r="Q1236" s="28"/>
      <x:c r="R1236" s="28"/>
      <x:c r="S1236" s="28"/>
      <x:c r="T1236" s="28"/>
      <x:c r="U1236" s="28"/>
      <x:c r="V1236" s="28"/>
      <x:c r="W1236" s="43" t="n">
        <x:f>--AND(N1236=1,OR(O1236="SUPPORTED",O1236="HALLUCINATION"))</x:f>
        <x:v>0</x:v>
      </x:c>
      <x:c r="X1236" s="43" t="n">
        <x:f>--AND(W1236=1,O1236="HALLUCINATION")</x:f>
        <x:v>0</x:v>
      </x:c>
      <x:c r="Y1236" s="43" t="n">
        <x:f>--AND(Q1236=1,O1236="HALLUCINATION")</x:f>
        <x:v>0</x:v>
      </x:c>
      <x:c r="Z1236" s="43" t="n">
        <x:f>--AND(Y1236=1,R1236=1,S1236=1)</x:f>
        <x:v>0</x:v>
      </x:c>
      <x:c r="AC1236" t="str">
        <x:f>IF(OR(AA1236="",AB1236=""),"",--(AA1236&lt;&gt;AB1236))</x:f>
      </x:c>
      <x:c r="AE1236" t="str">
        <x:f>IF(OR(AA1236="",AB1236=""),"PENDING_HUMAN",IF(AA1236=AB1236,AA1236,IF(AD1236&lt;&gt;"",AD1236,"PENDING_HUMAN")))</x:f>
        <x:v>PENDING_HUMAN</x:v>
      </x:c>
      <x:c r="AF1236" t="n">
        <x:f>--AND(A1236&lt;&gt;"",AA1236&lt;&gt;"",AB1236&lt;&gt;"",OR(AA1236=AB1236,AD1236&lt;&gt;""),IF(AE1236="HALLUCINATION",U1236&lt;&gt;"",TRUE))</x:f>
        <x:v>0</x:v>
      </x:c>
      <x:c r="AG1236" t="n">
        <x:f>--AND(N1236=1,AF1236=1,OR(AE1236="SUPPORTED",AE1236="HALLUCINATION"))</x:f>
        <x:v>0</x:v>
      </x:c>
      <x:c r="AH1236" t="n">
        <x:f>--AND(AG1236=1,AE1236="HALLUCINATION")</x:f>
        <x:v>0</x:v>
      </x:c>
      <x:c r="AI1236" t="n">
        <x:f>--AND(Q1236=1,AF1236=1,AE1236="HALLUCINATION")</x:f>
        <x:v>0</x:v>
      </x:c>
      <x:c r="AJ1236" t="n">
        <x:f>--AND(AI1236=1,R1236=1,S1236=1)</x:f>
        <x:v>0</x:v>
      </x:c>
    </x:row>
    <x:row r="1237">
      <x:c r="A1237" s="28"/>
      <x:c r="B1237" s="28"/>
      <x:c r="C1237" s="28"/>
      <x:c r="D1237" s="28"/>
      <x:c r="E1237" s="28"/>
      <x:c r="F1237" s="28"/>
      <x:c r="G1237" s="28"/>
      <x:c r="H1237" s="28"/>
      <x:c r="I1237" s="28"/>
      <x:c r="J1237" s="28"/>
      <x:c r="K1237" s="28"/>
      <x:c r="L1237" s="28"/>
      <x:c r="M1237" s="28"/>
      <x:c r="N1237" s="28"/>
      <x:c r="O1237" s="28"/>
      <x:c r="P1237" s="28"/>
      <x:c r="Q1237" s="28"/>
      <x:c r="R1237" s="28"/>
      <x:c r="S1237" s="28"/>
      <x:c r="T1237" s="28"/>
      <x:c r="U1237" s="28"/>
      <x:c r="V1237" s="28"/>
      <x:c r="W1237" s="43" t="n">
        <x:f>--AND(N1237=1,OR(O1237="SUPPORTED",O1237="HALLUCINATION"))</x:f>
        <x:v>0</x:v>
      </x:c>
      <x:c r="X1237" s="43" t="n">
        <x:f>--AND(W1237=1,O1237="HALLUCINATION")</x:f>
        <x:v>0</x:v>
      </x:c>
      <x:c r="Y1237" s="43" t="n">
        <x:f>--AND(Q1237=1,O1237="HALLUCINATION")</x:f>
        <x:v>0</x:v>
      </x:c>
      <x:c r="Z1237" s="43" t="n">
        <x:f>--AND(Y1237=1,R1237=1,S1237=1)</x:f>
        <x:v>0</x:v>
      </x:c>
      <x:c r="AC1237" t="str">
        <x:f>IF(OR(AA1237="",AB1237=""),"",--(AA1237&lt;&gt;AB1237))</x:f>
      </x:c>
      <x:c r="AE1237" t="str">
        <x:f>IF(OR(AA1237="",AB1237=""),"PENDING_HUMAN",IF(AA1237=AB1237,AA1237,IF(AD1237&lt;&gt;"",AD1237,"PENDING_HUMAN")))</x:f>
        <x:v>PENDING_HUMAN</x:v>
      </x:c>
      <x:c r="AF1237" t="n">
        <x:f>--AND(A1237&lt;&gt;"",AA1237&lt;&gt;"",AB1237&lt;&gt;"",OR(AA1237=AB1237,AD1237&lt;&gt;""),IF(AE1237="HALLUCINATION",U1237&lt;&gt;"",TRUE))</x:f>
        <x:v>0</x:v>
      </x:c>
      <x:c r="AG1237" t="n">
        <x:f>--AND(N1237=1,AF1237=1,OR(AE1237="SUPPORTED",AE1237="HALLUCINATION"))</x:f>
        <x:v>0</x:v>
      </x:c>
      <x:c r="AH1237" t="n">
        <x:f>--AND(AG1237=1,AE1237="HALLUCINATION")</x:f>
        <x:v>0</x:v>
      </x:c>
      <x:c r="AI1237" t="n">
        <x:f>--AND(Q1237=1,AF1237=1,AE1237="HALLUCINATION")</x:f>
        <x:v>0</x:v>
      </x:c>
      <x:c r="AJ1237" t="n">
        <x:f>--AND(AI1237=1,R1237=1,S1237=1)</x:f>
        <x:v>0</x:v>
      </x:c>
    </x:row>
    <x:row r="1238">
      <x:c r="A1238" s="28"/>
      <x:c r="B1238" s="28"/>
      <x:c r="C1238" s="28"/>
      <x:c r="D1238" s="28"/>
      <x:c r="E1238" s="28"/>
      <x:c r="F1238" s="28"/>
      <x:c r="G1238" s="28"/>
      <x:c r="H1238" s="28"/>
      <x:c r="I1238" s="28"/>
      <x:c r="J1238" s="28"/>
      <x:c r="K1238" s="28"/>
      <x:c r="L1238" s="28"/>
      <x:c r="M1238" s="28"/>
      <x:c r="N1238" s="28"/>
      <x:c r="O1238" s="28"/>
      <x:c r="P1238" s="28"/>
      <x:c r="Q1238" s="28"/>
      <x:c r="R1238" s="28"/>
      <x:c r="S1238" s="28"/>
      <x:c r="T1238" s="28"/>
      <x:c r="U1238" s="28"/>
      <x:c r="V1238" s="28"/>
      <x:c r="W1238" s="43" t="n">
        <x:f>--AND(N1238=1,OR(O1238="SUPPORTED",O1238="HALLUCINATION"))</x:f>
        <x:v>0</x:v>
      </x:c>
      <x:c r="X1238" s="43" t="n">
        <x:f>--AND(W1238=1,O1238="HALLUCINATION")</x:f>
        <x:v>0</x:v>
      </x:c>
      <x:c r="Y1238" s="43" t="n">
        <x:f>--AND(Q1238=1,O1238="HALLUCINATION")</x:f>
        <x:v>0</x:v>
      </x:c>
      <x:c r="Z1238" s="43" t="n">
        <x:f>--AND(Y1238=1,R1238=1,S1238=1)</x:f>
        <x:v>0</x:v>
      </x:c>
      <x:c r="AC1238" t="str">
        <x:f>IF(OR(AA1238="",AB1238=""),"",--(AA1238&lt;&gt;AB1238))</x:f>
      </x:c>
      <x:c r="AE1238" t="str">
        <x:f>IF(OR(AA1238="",AB1238=""),"PENDING_HUMAN",IF(AA1238=AB1238,AA1238,IF(AD1238&lt;&gt;"",AD1238,"PENDING_HUMAN")))</x:f>
        <x:v>PENDING_HUMAN</x:v>
      </x:c>
      <x:c r="AF1238" t="n">
        <x:f>--AND(A1238&lt;&gt;"",AA1238&lt;&gt;"",AB1238&lt;&gt;"",OR(AA1238=AB1238,AD1238&lt;&gt;""),IF(AE1238="HALLUCINATION",U1238&lt;&gt;"",TRUE))</x:f>
        <x:v>0</x:v>
      </x:c>
      <x:c r="AG1238" t="n">
        <x:f>--AND(N1238=1,AF1238=1,OR(AE1238="SUPPORTED",AE1238="HALLUCINATION"))</x:f>
        <x:v>0</x:v>
      </x:c>
      <x:c r="AH1238" t="n">
        <x:f>--AND(AG1238=1,AE1238="HALLUCINATION")</x:f>
        <x:v>0</x:v>
      </x:c>
      <x:c r="AI1238" t="n">
        <x:f>--AND(Q1238=1,AF1238=1,AE1238="HALLUCINATION")</x:f>
        <x:v>0</x:v>
      </x:c>
      <x:c r="AJ1238" t="n">
        <x:f>--AND(AI1238=1,R1238=1,S1238=1)</x:f>
        <x:v>0</x:v>
      </x:c>
    </x:row>
    <x:row r="1239">
      <x:c r="A1239" s="28"/>
      <x:c r="B1239" s="28"/>
      <x:c r="C1239" s="28"/>
      <x:c r="D1239" s="28"/>
      <x:c r="E1239" s="28"/>
      <x:c r="F1239" s="28"/>
      <x:c r="G1239" s="28"/>
      <x:c r="H1239" s="28"/>
      <x:c r="I1239" s="28"/>
      <x:c r="J1239" s="28"/>
      <x:c r="K1239" s="28"/>
      <x:c r="L1239" s="28"/>
      <x:c r="M1239" s="28"/>
      <x:c r="N1239" s="28"/>
      <x:c r="O1239" s="28"/>
      <x:c r="P1239" s="28"/>
      <x:c r="Q1239" s="28"/>
      <x:c r="R1239" s="28"/>
      <x:c r="S1239" s="28"/>
      <x:c r="T1239" s="28"/>
      <x:c r="U1239" s="28"/>
      <x:c r="V1239" s="28"/>
      <x:c r="W1239" s="43" t="n">
        <x:f>--AND(N1239=1,OR(O1239="SUPPORTED",O1239="HALLUCINATION"))</x:f>
        <x:v>0</x:v>
      </x:c>
      <x:c r="X1239" s="43" t="n">
        <x:f>--AND(W1239=1,O1239="HALLUCINATION")</x:f>
        <x:v>0</x:v>
      </x:c>
      <x:c r="Y1239" s="43" t="n">
        <x:f>--AND(Q1239=1,O1239="HALLUCINATION")</x:f>
        <x:v>0</x:v>
      </x:c>
      <x:c r="Z1239" s="43" t="n">
        <x:f>--AND(Y1239=1,R1239=1,S1239=1)</x:f>
        <x:v>0</x:v>
      </x:c>
      <x:c r="AC1239" t="str">
        <x:f>IF(OR(AA1239="",AB1239=""),"",--(AA1239&lt;&gt;AB1239))</x:f>
      </x:c>
      <x:c r="AE1239" t="str">
        <x:f>IF(OR(AA1239="",AB1239=""),"PENDING_HUMAN",IF(AA1239=AB1239,AA1239,IF(AD1239&lt;&gt;"",AD1239,"PENDING_HUMAN")))</x:f>
        <x:v>PENDING_HUMAN</x:v>
      </x:c>
      <x:c r="AF1239" t="n">
        <x:f>--AND(A1239&lt;&gt;"",AA1239&lt;&gt;"",AB1239&lt;&gt;"",OR(AA1239=AB1239,AD1239&lt;&gt;""),IF(AE1239="HALLUCINATION",U1239&lt;&gt;"",TRUE))</x:f>
        <x:v>0</x:v>
      </x:c>
      <x:c r="AG1239" t="n">
        <x:f>--AND(N1239=1,AF1239=1,OR(AE1239="SUPPORTED",AE1239="HALLUCINATION"))</x:f>
        <x:v>0</x:v>
      </x:c>
      <x:c r="AH1239" t="n">
        <x:f>--AND(AG1239=1,AE1239="HALLUCINATION")</x:f>
        <x:v>0</x:v>
      </x:c>
      <x:c r="AI1239" t="n">
        <x:f>--AND(Q1239=1,AF1239=1,AE1239="HALLUCINATION")</x:f>
        <x:v>0</x:v>
      </x:c>
      <x:c r="AJ1239" t="n">
        <x:f>--AND(AI1239=1,R1239=1,S1239=1)</x:f>
        <x:v>0</x:v>
      </x:c>
    </x:row>
    <x:row r="1240">
      <x:c r="A1240" s="28"/>
      <x:c r="B1240" s="28"/>
      <x:c r="C1240" s="28"/>
      <x:c r="D1240" s="28"/>
      <x:c r="E1240" s="28"/>
      <x:c r="F1240" s="28"/>
      <x:c r="G1240" s="28"/>
      <x:c r="H1240" s="28"/>
      <x:c r="I1240" s="28"/>
      <x:c r="J1240" s="28"/>
      <x:c r="K1240" s="28"/>
      <x:c r="L1240" s="28"/>
      <x:c r="M1240" s="28"/>
      <x:c r="N1240" s="28"/>
      <x:c r="O1240" s="28"/>
      <x:c r="P1240" s="28"/>
      <x:c r="Q1240" s="28"/>
      <x:c r="R1240" s="28"/>
      <x:c r="S1240" s="28"/>
      <x:c r="T1240" s="28"/>
      <x:c r="U1240" s="28"/>
      <x:c r="V1240" s="28"/>
      <x:c r="W1240" s="43" t="n">
        <x:f>--AND(N1240=1,OR(O1240="SUPPORTED",O1240="HALLUCINATION"))</x:f>
        <x:v>0</x:v>
      </x:c>
      <x:c r="X1240" s="43" t="n">
        <x:f>--AND(W1240=1,O1240="HALLUCINATION")</x:f>
        <x:v>0</x:v>
      </x:c>
      <x:c r="Y1240" s="43" t="n">
        <x:f>--AND(Q1240=1,O1240="HALLUCINATION")</x:f>
        <x:v>0</x:v>
      </x:c>
      <x:c r="Z1240" s="43" t="n">
        <x:f>--AND(Y1240=1,R1240=1,S1240=1)</x:f>
        <x:v>0</x:v>
      </x:c>
      <x:c r="AC1240" t="str">
        <x:f>IF(OR(AA1240="",AB1240=""),"",--(AA1240&lt;&gt;AB1240))</x:f>
      </x:c>
      <x:c r="AE1240" t="str">
        <x:f>IF(OR(AA1240="",AB1240=""),"PENDING_HUMAN",IF(AA1240=AB1240,AA1240,IF(AD1240&lt;&gt;"",AD1240,"PENDING_HUMAN")))</x:f>
        <x:v>PENDING_HUMAN</x:v>
      </x:c>
      <x:c r="AF1240" t="n">
        <x:f>--AND(A1240&lt;&gt;"",AA1240&lt;&gt;"",AB1240&lt;&gt;"",OR(AA1240=AB1240,AD1240&lt;&gt;""),IF(AE1240="HALLUCINATION",U1240&lt;&gt;"",TRUE))</x:f>
        <x:v>0</x:v>
      </x:c>
      <x:c r="AG1240" t="n">
        <x:f>--AND(N1240=1,AF1240=1,OR(AE1240="SUPPORTED",AE1240="HALLUCINATION"))</x:f>
        <x:v>0</x:v>
      </x:c>
      <x:c r="AH1240" t="n">
        <x:f>--AND(AG1240=1,AE1240="HALLUCINATION")</x:f>
        <x:v>0</x:v>
      </x:c>
      <x:c r="AI1240" t="n">
        <x:f>--AND(Q1240=1,AF1240=1,AE1240="HALLUCINATION")</x:f>
        <x:v>0</x:v>
      </x:c>
      <x:c r="AJ1240" t="n">
        <x:f>--AND(AI1240=1,R1240=1,S1240=1)</x:f>
        <x:v>0</x:v>
      </x:c>
    </x:row>
    <x:row r="1241">
      <x:c r="A1241" s="28"/>
      <x:c r="B1241" s="28"/>
      <x:c r="C1241" s="28"/>
      <x:c r="D1241" s="28"/>
      <x:c r="E1241" s="28"/>
      <x:c r="F1241" s="28"/>
      <x:c r="G1241" s="28"/>
      <x:c r="H1241" s="28"/>
      <x:c r="I1241" s="28"/>
      <x:c r="J1241" s="28"/>
      <x:c r="K1241" s="28"/>
      <x:c r="L1241" s="28"/>
      <x:c r="M1241" s="28"/>
      <x:c r="N1241" s="28"/>
      <x:c r="O1241" s="28"/>
      <x:c r="P1241" s="28"/>
      <x:c r="Q1241" s="28"/>
      <x:c r="R1241" s="28"/>
      <x:c r="S1241" s="28"/>
      <x:c r="T1241" s="28"/>
      <x:c r="U1241" s="28"/>
      <x:c r="V1241" s="28"/>
      <x:c r="W1241" s="43" t="n">
        <x:f>--AND(N1241=1,OR(O1241="SUPPORTED",O1241="HALLUCINATION"))</x:f>
        <x:v>0</x:v>
      </x:c>
      <x:c r="X1241" s="43" t="n">
        <x:f>--AND(W1241=1,O1241="HALLUCINATION")</x:f>
        <x:v>0</x:v>
      </x:c>
      <x:c r="Y1241" s="43" t="n">
        <x:f>--AND(Q1241=1,O1241="HALLUCINATION")</x:f>
        <x:v>0</x:v>
      </x:c>
      <x:c r="Z1241" s="43" t="n">
        <x:f>--AND(Y1241=1,R1241=1,S1241=1)</x:f>
        <x:v>0</x:v>
      </x:c>
      <x:c r="AC1241" t="str">
        <x:f>IF(OR(AA1241="",AB1241=""),"",--(AA1241&lt;&gt;AB1241))</x:f>
      </x:c>
      <x:c r="AE1241" t="str">
        <x:f>IF(OR(AA1241="",AB1241=""),"PENDING_HUMAN",IF(AA1241=AB1241,AA1241,IF(AD1241&lt;&gt;"",AD1241,"PENDING_HUMAN")))</x:f>
        <x:v>PENDING_HUMAN</x:v>
      </x:c>
      <x:c r="AF1241" t="n">
        <x:f>--AND(A1241&lt;&gt;"",AA1241&lt;&gt;"",AB1241&lt;&gt;"",OR(AA1241=AB1241,AD1241&lt;&gt;""),IF(AE1241="HALLUCINATION",U1241&lt;&gt;"",TRUE))</x:f>
        <x:v>0</x:v>
      </x:c>
      <x:c r="AG1241" t="n">
        <x:f>--AND(N1241=1,AF1241=1,OR(AE1241="SUPPORTED",AE1241="HALLUCINATION"))</x:f>
        <x:v>0</x:v>
      </x:c>
      <x:c r="AH1241" t="n">
        <x:f>--AND(AG1241=1,AE1241="HALLUCINATION")</x:f>
        <x:v>0</x:v>
      </x:c>
      <x:c r="AI1241" t="n">
        <x:f>--AND(Q1241=1,AF1241=1,AE1241="HALLUCINATION")</x:f>
        <x:v>0</x:v>
      </x:c>
      <x:c r="AJ1241" t="n">
        <x:f>--AND(AI1241=1,R1241=1,S1241=1)</x:f>
        <x:v>0</x:v>
      </x:c>
    </x:row>
    <x:row r="1242">
      <x:c r="A1242" s="28"/>
      <x:c r="B1242" s="28"/>
      <x:c r="C1242" s="28"/>
      <x:c r="D1242" s="28"/>
      <x:c r="E1242" s="28"/>
      <x:c r="F1242" s="28"/>
      <x:c r="G1242" s="28"/>
      <x:c r="H1242" s="28"/>
      <x:c r="I1242" s="28"/>
      <x:c r="J1242" s="28"/>
      <x:c r="K1242" s="28"/>
      <x:c r="L1242" s="28"/>
      <x:c r="M1242" s="28"/>
      <x:c r="N1242" s="28"/>
      <x:c r="O1242" s="28"/>
      <x:c r="P1242" s="28"/>
      <x:c r="Q1242" s="28"/>
      <x:c r="R1242" s="28"/>
      <x:c r="S1242" s="28"/>
      <x:c r="T1242" s="28"/>
      <x:c r="U1242" s="28"/>
      <x:c r="V1242" s="28"/>
      <x:c r="W1242" s="43" t="n">
        <x:f>--AND(N1242=1,OR(O1242="SUPPORTED",O1242="HALLUCINATION"))</x:f>
        <x:v>0</x:v>
      </x:c>
      <x:c r="X1242" s="43" t="n">
        <x:f>--AND(W1242=1,O1242="HALLUCINATION")</x:f>
        <x:v>0</x:v>
      </x:c>
      <x:c r="Y1242" s="43" t="n">
        <x:f>--AND(Q1242=1,O1242="HALLUCINATION")</x:f>
        <x:v>0</x:v>
      </x:c>
      <x:c r="Z1242" s="43" t="n">
        <x:f>--AND(Y1242=1,R1242=1,S1242=1)</x:f>
        <x:v>0</x:v>
      </x:c>
      <x:c r="AC1242" t="str">
        <x:f>IF(OR(AA1242="",AB1242=""),"",--(AA1242&lt;&gt;AB1242))</x:f>
      </x:c>
      <x:c r="AE1242" t="str">
        <x:f>IF(OR(AA1242="",AB1242=""),"PENDING_HUMAN",IF(AA1242=AB1242,AA1242,IF(AD1242&lt;&gt;"",AD1242,"PENDING_HUMAN")))</x:f>
        <x:v>PENDING_HUMAN</x:v>
      </x:c>
      <x:c r="AF1242" t="n">
        <x:f>--AND(A1242&lt;&gt;"",AA1242&lt;&gt;"",AB1242&lt;&gt;"",OR(AA1242=AB1242,AD1242&lt;&gt;""),IF(AE1242="HALLUCINATION",U1242&lt;&gt;"",TRUE))</x:f>
        <x:v>0</x:v>
      </x:c>
      <x:c r="AG1242" t="n">
        <x:f>--AND(N1242=1,AF1242=1,OR(AE1242="SUPPORTED",AE1242="HALLUCINATION"))</x:f>
        <x:v>0</x:v>
      </x:c>
      <x:c r="AH1242" t="n">
        <x:f>--AND(AG1242=1,AE1242="HALLUCINATION")</x:f>
        <x:v>0</x:v>
      </x:c>
      <x:c r="AI1242" t="n">
        <x:f>--AND(Q1242=1,AF1242=1,AE1242="HALLUCINATION")</x:f>
        <x:v>0</x:v>
      </x:c>
      <x:c r="AJ1242" t="n">
        <x:f>--AND(AI1242=1,R1242=1,S1242=1)</x:f>
        <x:v>0</x:v>
      </x:c>
    </x:row>
    <x:row r="1243">
      <x:c r="A1243" s="28"/>
      <x:c r="B1243" s="28"/>
      <x:c r="C1243" s="28"/>
      <x:c r="D1243" s="28"/>
      <x:c r="E1243" s="28"/>
      <x:c r="F1243" s="28"/>
      <x:c r="G1243" s="28"/>
      <x:c r="H1243" s="28"/>
      <x:c r="I1243" s="28"/>
      <x:c r="J1243" s="28"/>
      <x:c r="K1243" s="28"/>
      <x:c r="L1243" s="28"/>
      <x:c r="M1243" s="28"/>
      <x:c r="N1243" s="28"/>
      <x:c r="O1243" s="28"/>
      <x:c r="P1243" s="28"/>
      <x:c r="Q1243" s="28"/>
      <x:c r="R1243" s="28"/>
      <x:c r="S1243" s="28"/>
      <x:c r="T1243" s="28"/>
      <x:c r="U1243" s="28"/>
      <x:c r="V1243" s="28"/>
      <x:c r="W1243" s="43" t="n">
        <x:f>--AND(N1243=1,OR(O1243="SUPPORTED",O1243="HALLUCINATION"))</x:f>
        <x:v>0</x:v>
      </x:c>
      <x:c r="X1243" s="43" t="n">
        <x:f>--AND(W1243=1,O1243="HALLUCINATION")</x:f>
        <x:v>0</x:v>
      </x:c>
      <x:c r="Y1243" s="43" t="n">
        <x:f>--AND(Q1243=1,O1243="HALLUCINATION")</x:f>
        <x:v>0</x:v>
      </x:c>
      <x:c r="Z1243" s="43" t="n">
        <x:f>--AND(Y1243=1,R1243=1,S1243=1)</x:f>
        <x:v>0</x:v>
      </x:c>
      <x:c r="AC1243" t="str">
        <x:f>IF(OR(AA1243="",AB1243=""),"",--(AA1243&lt;&gt;AB1243))</x:f>
      </x:c>
      <x:c r="AE1243" t="str">
        <x:f>IF(OR(AA1243="",AB1243=""),"PENDING_HUMAN",IF(AA1243=AB1243,AA1243,IF(AD1243&lt;&gt;"",AD1243,"PENDING_HUMAN")))</x:f>
        <x:v>PENDING_HUMAN</x:v>
      </x:c>
      <x:c r="AF1243" t="n">
        <x:f>--AND(A1243&lt;&gt;"",AA1243&lt;&gt;"",AB1243&lt;&gt;"",OR(AA1243=AB1243,AD1243&lt;&gt;""),IF(AE1243="HALLUCINATION",U1243&lt;&gt;"",TRUE))</x:f>
        <x:v>0</x:v>
      </x:c>
      <x:c r="AG1243" t="n">
        <x:f>--AND(N1243=1,AF1243=1,OR(AE1243="SUPPORTED",AE1243="HALLUCINATION"))</x:f>
        <x:v>0</x:v>
      </x:c>
      <x:c r="AH1243" t="n">
        <x:f>--AND(AG1243=1,AE1243="HALLUCINATION")</x:f>
        <x:v>0</x:v>
      </x:c>
      <x:c r="AI1243" t="n">
        <x:f>--AND(Q1243=1,AF1243=1,AE1243="HALLUCINATION")</x:f>
        <x:v>0</x:v>
      </x:c>
      <x:c r="AJ1243" t="n">
        <x:f>--AND(AI1243=1,R1243=1,S1243=1)</x:f>
        <x:v>0</x:v>
      </x:c>
    </x:row>
    <x:row r="1244">
      <x:c r="A1244" s="28"/>
      <x:c r="B1244" s="28"/>
      <x:c r="C1244" s="28"/>
      <x:c r="D1244" s="28"/>
      <x:c r="E1244" s="28"/>
      <x:c r="F1244" s="28"/>
      <x:c r="G1244" s="28"/>
      <x:c r="H1244" s="28"/>
      <x:c r="I1244" s="28"/>
      <x:c r="J1244" s="28"/>
      <x:c r="K1244" s="28"/>
      <x:c r="L1244" s="28"/>
      <x:c r="M1244" s="28"/>
      <x:c r="N1244" s="28"/>
      <x:c r="O1244" s="28"/>
      <x:c r="P1244" s="28"/>
      <x:c r="Q1244" s="28"/>
      <x:c r="R1244" s="28"/>
      <x:c r="S1244" s="28"/>
      <x:c r="T1244" s="28"/>
      <x:c r="U1244" s="28"/>
      <x:c r="V1244" s="28"/>
      <x:c r="W1244" s="43" t="n">
        <x:f>--AND(N1244=1,OR(O1244="SUPPORTED",O1244="HALLUCINATION"))</x:f>
        <x:v>0</x:v>
      </x:c>
      <x:c r="X1244" s="43" t="n">
        <x:f>--AND(W1244=1,O1244="HALLUCINATION")</x:f>
        <x:v>0</x:v>
      </x:c>
      <x:c r="Y1244" s="43" t="n">
        <x:f>--AND(Q1244=1,O1244="HALLUCINATION")</x:f>
        <x:v>0</x:v>
      </x:c>
      <x:c r="Z1244" s="43" t="n">
        <x:f>--AND(Y1244=1,R1244=1,S1244=1)</x:f>
        <x:v>0</x:v>
      </x:c>
      <x:c r="AC1244" t="str">
        <x:f>IF(OR(AA1244="",AB1244=""),"",--(AA1244&lt;&gt;AB1244))</x:f>
      </x:c>
      <x:c r="AE1244" t="str">
        <x:f>IF(OR(AA1244="",AB1244=""),"PENDING_HUMAN",IF(AA1244=AB1244,AA1244,IF(AD1244&lt;&gt;"",AD1244,"PENDING_HUMAN")))</x:f>
        <x:v>PENDING_HUMAN</x:v>
      </x:c>
      <x:c r="AF1244" t="n">
        <x:f>--AND(A1244&lt;&gt;"",AA1244&lt;&gt;"",AB1244&lt;&gt;"",OR(AA1244=AB1244,AD1244&lt;&gt;""),IF(AE1244="HALLUCINATION",U1244&lt;&gt;"",TRUE))</x:f>
        <x:v>0</x:v>
      </x:c>
      <x:c r="AG1244" t="n">
        <x:f>--AND(N1244=1,AF1244=1,OR(AE1244="SUPPORTED",AE1244="HALLUCINATION"))</x:f>
        <x:v>0</x:v>
      </x:c>
      <x:c r="AH1244" t="n">
        <x:f>--AND(AG1244=1,AE1244="HALLUCINATION")</x:f>
        <x:v>0</x:v>
      </x:c>
      <x:c r="AI1244" t="n">
        <x:f>--AND(Q1244=1,AF1244=1,AE1244="HALLUCINATION")</x:f>
        <x:v>0</x:v>
      </x:c>
      <x:c r="AJ1244" t="n">
        <x:f>--AND(AI1244=1,R1244=1,S1244=1)</x:f>
        <x:v>0</x:v>
      </x:c>
    </x:row>
    <x:row r="1245">
      <x:c r="A1245" s="28"/>
      <x:c r="B1245" s="28"/>
      <x:c r="C1245" s="28"/>
      <x:c r="D1245" s="28"/>
      <x:c r="E1245" s="28"/>
      <x:c r="F1245" s="28"/>
      <x:c r="G1245" s="28"/>
      <x:c r="H1245" s="28"/>
      <x:c r="I1245" s="28"/>
      <x:c r="J1245" s="28"/>
      <x:c r="K1245" s="28"/>
      <x:c r="L1245" s="28"/>
      <x:c r="M1245" s="28"/>
      <x:c r="N1245" s="28"/>
      <x:c r="O1245" s="28"/>
      <x:c r="P1245" s="28"/>
      <x:c r="Q1245" s="28"/>
      <x:c r="R1245" s="28"/>
      <x:c r="S1245" s="28"/>
      <x:c r="T1245" s="28"/>
      <x:c r="U1245" s="28"/>
      <x:c r="V1245" s="28"/>
      <x:c r="W1245" s="43" t="n">
        <x:f>--AND(N1245=1,OR(O1245="SUPPORTED",O1245="HALLUCINATION"))</x:f>
        <x:v>0</x:v>
      </x:c>
      <x:c r="X1245" s="43" t="n">
        <x:f>--AND(W1245=1,O1245="HALLUCINATION")</x:f>
        <x:v>0</x:v>
      </x:c>
      <x:c r="Y1245" s="43" t="n">
        <x:f>--AND(Q1245=1,O1245="HALLUCINATION")</x:f>
        <x:v>0</x:v>
      </x:c>
      <x:c r="Z1245" s="43" t="n">
        <x:f>--AND(Y1245=1,R1245=1,S1245=1)</x:f>
        <x:v>0</x:v>
      </x:c>
      <x:c r="AC1245" t="str">
        <x:f>IF(OR(AA1245="",AB1245=""),"",--(AA1245&lt;&gt;AB1245))</x:f>
      </x:c>
      <x:c r="AE1245" t="str">
        <x:f>IF(OR(AA1245="",AB1245=""),"PENDING_HUMAN",IF(AA1245=AB1245,AA1245,IF(AD1245&lt;&gt;"",AD1245,"PENDING_HUMAN")))</x:f>
        <x:v>PENDING_HUMAN</x:v>
      </x:c>
      <x:c r="AF1245" t="n">
        <x:f>--AND(A1245&lt;&gt;"",AA1245&lt;&gt;"",AB1245&lt;&gt;"",OR(AA1245=AB1245,AD1245&lt;&gt;""),IF(AE1245="HALLUCINATION",U1245&lt;&gt;"",TRUE))</x:f>
        <x:v>0</x:v>
      </x:c>
      <x:c r="AG1245" t="n">
        <x:f>--AND(N1245=1,AF1245=1,OR(AE1245="SUPPORTED",AE1245="HALLUCINATION"))</x:f>
        <x:v>0</x:v>
      </x:c>
      <x:c r="AH1245" t="n">
        <x:f>--AND(AG1245=1,AE1245="HALLUCINATION")</x:f>
        <x:v>0</x:v>
      </x:c>
      <x:c r="AI1245" t="n">
        <x:f>--AND(Q1245=1,AF1245=1,AE1245="HALLUCINATION")</x:f>
        <x:v>0</x:v>
      </x:c>
      <x:c r="AJ1245" t="n">
        <x:f>--AND(AI1245=1,R1245=1,S1245=1)</x:f>
        <x:v>0</x:v>
      </x:c>
    </x:row>
    <x:row r="1246">
      <x:c r="A1246" s="28"/>
      <x:c r="B1246" s="28"/>
      <x:c r="C1246" s="28"/>
      <x:c r="D1246" s="28"/>
      <x:c r="E1246" s="28"/>
      <x:c r="F1246" s="28"/>
      <x:c r="G1246" s="28"/>
      <x:c r="H1246" s="28"/>
      <x:c r="I1246" s="28"/>
      <x:c r="J1246" s="28"/>
      <x:c r="K1246" s="28"/>
      <x:c r="L1246" s="28"/>
      <x:c r="M1246" s="28"/>
      <x:c r="N1246" s="28"/>
      <x:c r="O1246" s="28"/>
      <x:c r="P1246" s="28"/>
      <x:c r="Q1246" s="28"/>
      <x:c r="R1246" s="28"/>
      <x:c r="S1246" s="28"/>
      <x:c r="T1246" s="28"/>
      <x:c r="U1246" s="28"/>
      <x:c r="V1246" s="28"/>
      <x:c r="W1246" s="43" t="n">
        <x:f>--AND(N1246=1,OR(O1246="SUPPORTED",O1246="HALLUCINATION"))</x:f>
        <x:v>0</x:v>
      </x:c>
      <x:c r="X1246" s="43" t="n">
        <x:f>--AND(W1246=1,O1246="HALLUCINATION")</x:f>
        <x:v>0</x:v>
      </x:c>
      <x:c r="Y1246" s="43" t="n">
        <x:f>--AND(Q1246=1,O1246="HALLUCINATION")</x:f>
        <x:v>0</x:v>
      </x:c>
      <x:c r="Z1246" s="43" t="n">
        <x:f>--AND(Y1246=1,R1246=1,S1246=1)</x:f>
        <x:v>0</x:v>
      </x:c>
      <x:c r="AC1246" t="str">
        <x:f>IF(OR(AA1246="",AB1246=""),"",--(AA1246&lt;&gt;AB1246))</x:f>
      </x:c>
      <x:c r="AE1246" t="str">
        <x:f>IF(OR(AA1246="",AB1246=""),"PENDING_HUMAN",IF(AA1246=AB1246,AA1246,IF(AD1246&lt;&gt;"",AD1246,"PENDING_HUMAN")))</x:f>
        <x:v>PENDING_HUMAN</x:v>
      </x:c>
      <x:c r="AF1246" t="n">
        <x:f>--AND(A1246&lt;&gt;"",AA1246&lt;&gt;"",AB1246&lt;&gt;"",OR(AA1246=AB1246,AD1246&lt;&gt;""),IF(AE1246="HALLUCINATION",U1246&lt;&gt;"",TRUE))</x:f>
        <x:v>0</x:v>
      </x:c>
      <x:c r="AG1246" t="n">
        <x:f>--AND(N1246=1,AF1246=1,OR(AE1246="SUPPORTED",AE1246="HALLUCINATION"))</x:f>
        <x:v>0</x:v>
      </x:c>
      <x:c r="AH1246" t="n">
        <x:f>--AND(AG1246=1,AE1246="HALLUCINATION")</x:f>
        <x:v>0</x:v>
      </x:c>
      <x:c r="AI1246" t="n">
        <x:f>--AND(Q1246=1,AF1246=1,AE1246="HALLUCINATION")</x:f>
        <x:v>0</x:v>
      </x:c>
      <x:c r="AJ1246" t="n">
        <x:f>--AND(AI1246=1,R1246=1,S1246=1)</x:f>
        <x:v>0</x:v>
      </x:c>
    </x:row>
    <x:row r="1247">
      <x:c r="A1247" s="28"/>
      <x:c r="B1247" s="28"/>
      <x:c r="C1247" s="28"/>
      <x:c r="D1247" s="28"/>
      <x:c r="E1247" s="28"/>
      <x:c r="F1247" s="28"/>
      <x:c r="G1247" s="28"/>
      <x:c r="H1247" s="28"/>
      <x:c r="I1247" s="28"/>
      <x:c r="J1247" s="28"/>
      <x:c r="K1247" s="28"/>
      <x:c r="L1247" s="28"/>
      <x:c r="M1247" s="28"/>
      <x:c r="N1247" s="28"/>
      <x:c r="O1247" s="28"/>
      <x:c r="P1247" s="28"/>
      <x:c r="Q1247" s="28"/>
      <x:c r="R1247" s="28"/>
      <x:c r="S1247" s="28"/>
      <x:c r="T1247" s="28"/>
      <x:c r="U1247" s="28"/>
      <x:c r="V1247" s="28"/>
      <x:c r="W1247" s="43" t="n">
        <x:f>--AND(N1247=1,OR(O1247="SUPPORTED",O1247="HALLUCINATION"))</x:f>
        <x:v>0</x:v>
      </x:c>
      <x:c r="X1247" s="43" t="n">
        <x:f>--AND(W1247=1,O1247="HALLUCINATION")</x:f>
        <x:v>0</x:v>
      </x:c>
      <x:c r="Y1247" s="43" t="n">
        <x:f>--AND(Q1247=1,O1247="HALLUCINATION")</x:f>
        <x:v>0</x:v>
      </x:c>
      <x:c r="Z1247" s="43" t="n">
        <x:f>--AND(Y1247=1,R1247=1,S1247=1)</x:f>
        <x:v>0</x:v>
      </x:c>
      <x:c r="AC1247" t="str">
        <x:f>IF(OR(AA1247="",AB1247=""),"",--(AA1247&lt;&gt;AB1247))</x:f>
      </x:c>
      <x:c r="AE1247" t="str">
        <x:f>IF(OR(AA1247="",AB1247=""),"PENDING_HUMAN",IF(AA1247=AB1247,AA1247,IF(AD1247&lt;&gt;"",AD1247,"PENDING_HUMAN")))</x:f>
        <x:v>PENDING_HUMAN</x:v>
      </x:c>
      <x:c r="AF1247" t="n">
        <x:f>--AND(A1247&lt;&gt;"",AA1247&lt;&gt;"",AB1247&lt;&gt;"",OR(AA1247=AB1247,AD1247&lt;&gt;""),IF(AE1247="HALLUCINATION",U1247&lt;&gt;"",TRUE))</x:f>
        <x:v>0</x:v>
      </x:c>
      <x:c r="AG1247" t="n">
        <x:f>--AND(N1247=1,AF1247=1,OR(AE1247="SUPPORTED",AE1247="HALLUCINATION"))</x:f>
        <x:v>0</x:v>
      </x:c>
      <x:c r="AH1247" t="n">
        <x:f>--AND(AG1247=1,AE1247="HALLUCINATION")</x:f>
        <x:v>0</x:v>
      </x:c>
      <x:c r="AI1247" t="n">
        <x:f>--AND(Q1247=1,AF1247=1,AE1247="HALLUCINATION")</x:f>
        <x:v>0</x:v>
      </x:c>
      <x:c r="AJ1247" t="n">
        <x:f>--AND(AI1247=1,R1247=1,S1247=1)</x:f>
        <x:v>0</x:v>
      </x:c>
    </x:row>
    <x:row r="1248">
      <x:c r="A1248" s="28"/>
      <x:c r="B1248" s="28"/>
      <x:c r="C1248" s="28"/>
      <x:c r="D1248" s="28"/>
      <x:c r="E1248" s="28"/>
      <x:c r="F1248" s="28"/>
      <x:c r="G1248" s="28"/>
      <x:c r="H1248" s="28"/>
      <x:c r="I1248" s="28"/>
      <x:c r="J1248" s="28"/>
      <x:c r="K1248" s="28"/>
      <x:c r="L1248" s="28"/>
      <x:c r="M1248" s="28"/>
      <x:c r="N1248" s="28"/>
      <x:c r="O1248" s="28"/>
      <x:c r="P1248" s="28"/>
      <x:c r="Q1248" s="28"/>
      <x:c r="R1248" s="28"/>
      <x:c r="S1248" s="28"/>
      <x:c r="T1248" s="28"/>
      <x:c r="U1248" s="28"/>
      <x:c r="V1248" s="28"/>
      <x:c r="W1248" s="43" t="n">
        <x:f>--AND(N1248=1,OR(O1248="SUPPORTED",O1248="HALLUCINATION"))</x:f>
        <x:v>0</x:v>
      </x:c>
      <x:c r="X1248" s="43" t="n">
        <x:f>--AND(W1248=1,O1248="HALLUCINATION")</x:f>
        <x:v>0</x:v>
      </x:c>
      <x:c r="Y1248" s="43" t="n">
        <x:f>--AND(Q1248=1,O1248="HALLUCINATION")</x:f>
        <x:v>0</x:v>
      </x:c>
      <x:c r="Z1248" s="43" t="n">
        <x:f>--AND(Y1248=1,R1248=1,S1248=1)</x:f>
        <x:v>0</x:v>
      </x:c>
      <x:c r="AC1248" t="str">
        <x:f>IF(OR(AA1248="",AB1248=""),"",--(AA1248&lt;&gt;AB1248))</x:f>
      </x:c>
      <x:c r="AE1248" t="str">
        <x:f>IF(OR(AA1248="",AB1248=""),"PENDING_HUMAN",IF(AA1248=AB1248,AA1248,IF(AD1248&lt;&gt;"",AD1248,"PENDING_HUMAN")))</x:f>
        <x:v>PENDING_HUMAN</x:v>
      </x:c>
      <x:c r="AF1248" t="n">
        <x:f>--AND(A1248&lt;&gt;"",AA1248&lt;&gt;"",AB1248&lt;&gt;"",OR(AA1248=AB1248,AD1248&lt;&gt;""),IF(AE1248="HALLUCINATION",U1248&lt;&gt;"",TRUE))</x:f>
        <x:v>0</x:v>
      </x:c>
      <x:c r="AG1248" t="n">
        <x:f>--AND(N1248=1,AF1248=1,OR(AE1248="SUPPORTED",AE1248="HALLUCINATION"))</x:f>
        <x:v>0</x:v>
      </x:c>
      <x:c r="AH1248" t="n">
        <x:f>--AND(AG1248=1,AE1248="HALLUCINATION")</x:f>
        <x:v>0</x:v>
      </x:c>
      <x:c r="AI1248" t="n">
        <x:f>--AND(Q1248=1,AF1248=1,AE1248="HALLUCINATION")</x:f>
        <x:v>0</x:v>
      </x:c>
      <x:c r="AJ1248" t="n">
        <x:f>--AND(AI1248=1,R1248=1,S1248=1)</x:f>
        <x:v>0</x:v>
      </x:c>
    </x:row>
    <x:row r="1249">
      <x:c r="A1249" s="28"/>
      <x:c r="B1249" s="28"/>
      <x:c r="C1249" s="28"/>
      <x:c r="D1249" s="28"/>
      <x:c r="E1249" s="28"/>
      <x:c r="F1249" s="28"/>
      <x:c r="G1249" s="28"/>
      <x:c r="H1249" s="28"/>
      <x:c r="I1249" s="28"/>
      <x:c r="J1249" s="28"/>
      <x:c r="K1249" s="28"/>
      <x:c r="L1249" s="28"/>
      <x:c r="M1249" s="28"/>
      <x:c r="N1249" s="28"/>
      <x:c r="O1249" s="28"/>
      <x:c r="P1249" s="28"/>
      <x:c r="Q1249" s="28"/>
      <x:c r="R1249" s="28"/>
      <x:c r="S1249" s="28"/>
      <x:c r="T1249" s="28"/>
      <x:c r="U1249" s="28"/>
      <x:c r="V1249" s="28"/>
      <x:c r="W1249" s="43" t="n">
        <x:f>--AND(N1249=1,OR(O1249="SUPPORTED",O1249="HALLUCINATION"))</x:f>
        <x:v>0</x:v>
      </x:c>
      <x:c r="X1249" s="43" t="n">
        <x:f>--AND(W1249=1,O1249="HALLUCINATION")</x:f>
        <x:v>0</x:v>
      </x:c>
      <x:c r="Y1249" s="43" t="n">
        <x:f>--AND(Q1249=1,O1249="HALLUCINATION")</x:f>
        <x:v>0</x:v>
      </x:c>
      <x:c r="Z1249" s="43" t="n">
        <x:f>--AND(Y1249=1,R1249=1,S1249=1)</x:f>
        <x:v>0</x:v>
      </x:c>
      <x:c r="AC1249" t="str">
        <x:f>IF(OR(AA1249="",AB1249=""),"",--(AA1249&lt;&gt;AB1249))</x:f>
      </x:c>
      <x:c r="AE1249" t="str">
        <x:f>IF(OR(AA1249="",AB1249=""),"PENDING_HUMAN",IF(AA1249=AB1249,AA1249,IF(AD1249&lt;&gt;"",AD1249,"PENDING_HUMAN")))</x:f>
        <x:v>PENDING_HUMAN</x:v>
      </x:c>
      <x:c r="AF1249" t="n">
        <x:f>--AND(A1249&lt;&gt;"",AA1249&lt;&gt;"",AB1249&lt;&gt;"",OR(AA1249=AB1249,AD1249&lt;&gt;""),IF(AE1249="HALLUCINATION",U1249&lt;&gt;"",TRUE))</x:f>
        <x:v>0</x:v>
      </x:c>
      <x:c r="AG1249" t="n">
        <x:f>--AND(N1249=1,AF1249=1,OR(AE1249="SUPPORTED",AE1249="HALLUCINATION"))</x:f>
        <x:v>0</x:v>
      </x:c>
      <x:c r="AH1249" t="n">
        <x:f>--AND(AG1249=1,AE1249="HALLUCINATION")</x:f>
        <x:v>0</x:v>
      </x:c>
      <x:c r="AI1249" t="n">
        <x:f>--AND(Q1249=1,AF1249=1,AE1249="HALLUCINATION")</x:f>
        <x:v>0</x:v>
      </x:c>
      <x:c r="AJ1249" t="n">
        <x:f>--AND(AI1249=1,R1249=1,S1249=1)</x:f>
        <x:v>0</x:v>
      </x:c>
    </x:row>
    <x:row r="1250">
      <x:c r="A1250" s="28"/>
      <x:c r="B1250" s="28"/>
      <x:c r="C1250" s="28"/>
      <x:c r="D1250" s="28"/>
      <x:c r="E1250" s="28"/>
      <x:c r="F1250" s="28"/>
      <x:c r="G1250" s="28"/>
      <x:c r="H1250" s="28"/>
      <x:c r="I1250" s="28"/>
      <x:c r="J1250" s="28"/>
      <x:c r="K1250" s="28"/>
      <x:c r="L1250" s="28"/>
      <x:c r="M1250" s="28"/>
      <x:c r="N1250" s="28"/>
      <x:c r="O1250" s="28"/>
      <x:c r="P1250" s="28"/>
      <x:c r="Q1250" s="28"/>
      <x:c r="R1250" s="28"/>
      <x:c r="S1250" s="28"/>
      <x:c r="T1250" s="28"/>
      <x:c r="U1250" s="28"/>
      <x:c r="V1250" s="28"/>
      <x:c r="W1250" s="43" t="n">
        <x:f>--AND(N1250=1,OR(O1250="SUPPORTED",O1250="HALLUCINATION"))</x:f>
        <x:v>0</x:v>
      </x:c>
      <x:c r="X1250" s="43" t="n">
        <x:f>--AND(W1250=1,O1250="HALLUCINATION")</x:f>
        <x:v>0</x:v>
      </x:c>
      <x:c r="Y1250" s="43" t="n">
        <x:f>--AND(Q1250=1,O1250="HALLUCINATION")</x:f>
        <x:v>0</x:v>
      </x:c>
      <x:c r="Z1250" s="43" t="n">
        <x:f>--AND(Y1250=1,R1250=1,S1250=1)</x:f>
        <x:v>0</x:v>
      </x:c>
      <x:c r="AC1250" t="str">
        <x:f>IF(OR(AA1250="",AB1250=""),"",--(AA1250&lt;&gt;AB1250))</x:f>
      </x:c>
      <x:c r="AE1250" t="str">
        <x:f>IF(OR(AA1250="",AB1250=""),"PENDING_HUMAN",IF(AA1250=AB1250,AA1250,IF(AD1250&lt;&gt;"",AD1250,"PENDING_HUMAN")))</x:f>
        <x:v>PENDING_HUMAN</x:v>
      </x:c>
      <x:c r="AF1250" t="n">
        <x:f>--AND(A1250&lt;&gt;"",AA1250&lt;&gt;"",AB1250&lt;&gt;"",OR(AA1250=AB1250,AD1250&lt;&gt;""),IF(AE1250="HALLUCINATION",U1250&lt;&gt;"",TRUE))</x:f>
        <x:v>0</x:v>
      </x:c>
      <x:c r="AG1250" t="n">
        <x:f>--AND(N1250=1,AF1250=1,OR(AE1250="SUPPORTED",AE1250="HALLUCINATION"))</x:f>
        <x:v>0</x:v>
      </x:c>
      <x:c r="AH1250" t="n">
        <x:f>--AND(AG1250=1,AE1250="HALLUCINATION")</x:f>
        <x:v>0</x:v>
      </x:c>
      <x:c r="AI1250" t="n">
        <x:f>--AND(Q1250=1,AF1250=1,AE1250="HALLUCINATION")</x:f>
        <x:v>0</x:v>
      </x:c>
      <x:c r="AJ1250" t="n">
        <x:f>--AND(AI1250=1,R1250=1,S1250=1)</x:f>
        <x:v>0</x:v>
      </x:c>
    </x:row>
    <x:row r="1251">
      <x:c r="A1251" s="28"/>
      <x:c r="B1251" s="28"/>
      <x:c r="C1251" s="28"/>
      <x:c r="D1251" s="28"/>
      <x:c r="E1251" s="28"/>
      <x:c r="F1251" s="28"/>
      <x:c r="G1251" s="28"/>
      <x:c r="H1251" s="28"/>
      <x:c r="I1251" s="28"/>
      <x:c r="J1251" s="28"/>
      <x:c r="K1251" s="28"/>
      <x:c r="L1251" s="28"/>
      <x:c r="M1251" s="28"/>
      <x:c r="N1251" s="28"/>
      <x:c r="O1251" s="28"/>
      <x:c r="P1251" s="28"/>
      <x:c r="Q1251" s="28"/>
      <x:c r="R1251" s="28"/>
      <x:c r="S1251" s="28"/>
      <x:c r="T1251" s="28"/>
      <x:c r="U1251" s="28"/>
      <x:c r="V1251" s="28"/>
      <x:c r="W1251" s="43" t="n">
        <x:f>--AND(N1251=1,OR(O1251="SUPPORTED",O1251="HALLUCINATION"))</x:f>
        <x:v>0</x:v>
      </x:c>
      <x:c r="X1251" s="43" t="n">
        <x:f>--AND(W1251=1,O1251="HALLUCINATION")</x:f>
        <x:v>0</x:v>
      </x:c>
      <x:c r="Y1251" s="43" t="n">
        <x:f>--AND(Q1251=1,O1251="HALLUCINATION")</x:f>
        <x:v>0</x:v>
      </x:c>
      <x:c r="Z1251" s="43" t="n">
        <x:f>--AND(Y1251=1,R1251=1,S1251=1)</x:f>
        <x:v>0</x:v>
      </x:c>
      <x:c r="AC1251" t="str">
        <x:f>IF(OR(AA1251="",AB1251=""),"",--(AA1251&lt;&gt;AB1251))</x:f>
      </x:c>
      <x:c r="AE1251" t="str">
        <x:f>IF(OR(AA1251="",AB1251=""),"PENDING_HUMAN",IF(AA1251=AB1251,AA1251,IF(AD1251&lt;&gt;"",AD1251,"PENDING_HUMAN")))</x:f>
        <x:v>PENDING_HUMAN</x:v>
      </x:c>
      <x:c r="AF1251" t="n">
        <x:f>--AND(A1251&lt;&gt;"",AA1251&lt;&gt;"",AB1251&lt;&gt;"",OR(AA1251=AB1251,AD1251&lt;&gt;""),IF(AE1251="HALLUCINATION",U1251&lt;&gt;"",TRUE))</x:f>
        <x:v>0</x:v>
      </x:c>
      <x:c r="AG1251" t="n">
        <x:f>--AND(N1251=1,AF1251=1,OR(AE1251="SUPPORTED",AE1251="HALLUCINATION"))</x:f>
        <x:v>0</x:v>
      </x:c>
      <x:c r="AH1251" t="n">
        <x:f>--AND(AG1251=1,AE1251="HALLUCINATION")</x:f>
        <x:v>0</x:v>
      </x:c>
      <x:c r="AI1251" t="n">
        <x:f>--AND(Q1251=1,AF1251=1,AE1251="HALLUCINATION")</x:f>
        <x:v>0</x:v>
      </x:c>
      <x:c r="AJ1251" t="n">
        <x:f>--AND(AI1251=1,R1251=1,S1251=1)</x:f>
        <x:v>0</x:v>
      </x:c>
    </x:row>
    <x:row r="1252">
      <x:c r="A1252" s="28"/>
      <x:c r="B1252" s="28"/>
      <x:c r="C1252" s="28"/>
      <x:c r="D1252" s="28"/>
      <x:c r="E1252" s="28"/>
      <x:c r="F1252" s="28"/>
      <x:c r="G1252" s="28"/>
      <x:c r="H1252" s="28"/>
      <x:c r="I1252" s="28"/>
      <x:c r="J1252" s="28"/>
      <x:c r="K1252" s="28"/>
      <x:c r="L1252" s="28"/>
      <x:c r="M1252" s="28"/>
      <x:c r="N1252" s="28"/>
      <x:c r="O1252" s="28"/>
      <x:c r="P1252" s="28"/>
      <x:c r="Q1252" s="28"/>
      <x:c r="R1252" s="28"/>
      <x:c r="S1252" s="28"/>
      <x:c r="T1252" s="28"/>
      <x:c r="U1252" s="28"/>
      <x:c r="V1252" s="28"/>
      <x:c r="W1252" s="43" t="n">
        <x:f>--AND(N1252=1,OR(O1252="SUPPORTED",O1252="HALLUCINATION"))</x:f>
        <x:v>0</x:v>
      </x:c>
      <x:c r="X1252" s="43" t="n">
        <x:f>--AND(W1252=1,O1252="HALLUCINATION")</x:f>
        <x:v>0</x:v>
      </x:c>
      <x:c r="Y1252" s="43" t="n">
        <x:f>--AND(Q1252=1,O1252="HALLUCINATION")</x:f>
        <x:v>0</x:v>
      </x:c>
      <x:c r="Z1252" s="43" t="n">
        <x:f>--AND(Y1252=1,R1252=1,S1252=1)</x:f>
        <x:v>0</x:v>
      </x:c>
      <x:c r="AC1252" t="str">
        <x:f>IF(OR(AA1252="",AB1252=""),"",--(AA1252&lt;&gt;AB1252))</x:f>
      </x:c>
      <x:c r="AE1252" t="str">
        <x:f>IF(OR(AA1252="",AB1252=""),"PENDING_HUMAN",IF(AA1252=AB1252,AA1252,IF(AD1252&lt;&gt;"",AD1252,"PENDING_HUMAN")))</x:f>
        <x:v>PENDING_HUMAN</x:v>
      </x:c>
      <x:c r="AF1252" t="n">
        <x:f>--AND(A1252&lt;&gt;"",AA1252&lt;&gt;"",AB1252&lt;&gt;"",OR(AA1252=AB1252,AD1252&lt;&gt;""),IF(AE1252="HALLUCINATION",U1252&lt;&gt;"",TRUE))</x:f>
        <x:v>0</x:v>
      </x:c>
      <x:c r="AG1252" t="n">
        <x:f>--AND(N1252=1,AF1252=1,OR(AE1252="SUPPORTED",AE1252="HALLUCINATION"))</x:f>
        <x:v>0</x:v>
      </x:c>
      <x:c r="AH1252" t="n">
        <x:f>--AND(AG1252=1,AE1252="HALLUCINATION")</x:f>
        <x:v>0</x:v>
      </x:c>
      <x:c r="AI1252" t="n">
        <x:f>--AND(Q1252=1,AF1252=1,AE1252="HALLUCINATION")</x:f>
        <x:v>0</x:v>
      </x:c>
      <x:c r="AJ1252" t="n">
        <x:f>--AND(AI1252=1,R1252=1,S1252=1)</x:f>
        <x:v>0</x:v>
      </x:c>
    </x:row>
    <x:row r="1253">
      <x:c r="A1253" s="28"/>
      <x:c r="B1253" s="28"/>
      <x:c r="C1253" s="28"/>
      <x:c r="D1253" s="28"/>
      <x:c r="E1253" s="28"/>
      <x:c r="F1253" s="28"/>
      <x:c r="G1253" s="28"/>
      <x:c r="H1253" s="28"/>
      <x:c r="I1253" s="28"/>
      <x:c r="J1253" s="28"/>
      <x:c r="K1253" s="28"/>
      <x:c r="L1253" s="28"/>
      <x:c r="M1253" s="28"/>
      <x:c r="N1253" s="28"/>
      <x:c r="O1253" s="28"/>
      <x:c r="P1253" s="28"/>
      <x:c r="Q1253" s="28"/>
      <x:c r="R1253" s="28"/>
      <x:c r="S1253" s="28"/>
      <x:c r="T1253" s="28"/>
      <x:c r="U1253" s="28"/>
      <x:c r="V1253" s="28"/>
      <x:c r="W1253" s="43" t="n">
        <x:f>--AND(N1253=1,OR(O1253="SUPPORTED",O1253="HALLUCINATION"))</x:f>
        <x:v>0</x:v>
      </x:c>
      <x:c r="X1253" s="43" t="n">
        <x:f>--AND(W1253=1,O1253="HALLUCINATION")</x:f>
        <x:v>0</x:v>
      </x:c>
      <x:c r="Y1253" s="43" t="n">
        <x:f>--AND(Q1253=1,O1253="HALLUCINATION")</x:f>
        <x:v>0</x:v>
      </x:c>
      <x:c r="Z1253" s="43" t="n">
        <x:f>--AND(Y1253=1,R1253=1,S1253=1)</x:f>
        <x:v>0</x:v>
      </x:c>
      <x:c r="AC1253" t="str">
        <x:f>IF(OR(AA1253="",AB1253=""),"",--(AA1253&lt;&gt;AB1253))</x:f>
      </x:c>
      <x:c r="AE1253" t="str">
        <x:f>IF(OR(AA1253="",AB1253=""),"PENDING_HUMAN",IF(AA1253=AB1253,AA1253,IF(AD1253&lt;&gt;"",AD1253,"PENDING_HUMAN")))</x:f>
        <x:v>PENDING_HUMAN</x:v>
      </x:c>
      <x:c r="AF1253" t="n">
        <x:f>--AND(A1253&lt;&gt;"",AA1253&lt;&gt;"",AB1253&lt;&gt;"",OR(AA1253=AB1253,AD1253&lt;&gt;""),IF(AE1253="HALLUCINATION",U1253&lt;&gt;"",TRUE))</x:f>
        <x:v>0</x:v>
      </x:c>
      <x:c r="AG1253" t="n">
        <x:f>--AND(N1253=1,AF1253=1,OR(AE1253="SUPPORTED",AE1253="HALLUCINATION"))</x:f>
        <x:v>0</x:v>
      </x:c>
      <x:c r="AH1253" t="n">
        <x:f>--AND(AG1253=1,AE1253="HALLUCINATION")</x:f>
        <x:v>0</x:v>
      </x:c>
      <x:c r="AI1253" t="n">
        <x:f>--AND(Q1253=1,AF1253=1,AE1253="HALLUCINATION")</x:f>
        <x:v>0</x:v>
      </x:c>
      <x:c r="AJ1253" t="n">
        <x:f>--AND(AI1253=1,R1253=1,S1253=1)</x:f>
        <x:v>0</x:v>
      </x:c>
    </x:row>
    <x:row r="1254">
      <x:c r="A1254" s="28"/>
      <x:c r="B1254" s="28"/>
      <x:c r="C1254" s="28"/>
      <x:c r="D1254" s="28"/>
      <x:c r="E1254" s="28"/>
      <x:c r="F1254" s="28"/>
      <x:c r="G1254" s="28"/>
      <x:c r="H1254" s="28"/>
      <x:c r="I1254" s="28"/>
      <x:c r="J1254" s="28"/>
      <x:c r="K1254" s="28"/>
      <x:c r="L1254" s="28"/>
      <x:c r="M1254" s="28"/>
      <x:c r="N1254" s="28"/>
      <x:c r="O1254" s="28"/>
      <x:c r="P1254" s="28"/>
      <x:c r="Q1254" s="28"/>
      <x:c r="R1254" s="28"/>
      <x:c r="S1254" s="28"/>
      <x:c r="T1254" s="28"/>
      <x:c r="U1254" s="28"/>
      <x:c r="V1254" s="28"/>
      <x:c r="W1254" s="43" t="n">
        <x:f>--AND(N1254=1,OR(O1254="SUPPORTED",O1254="HALLUCINATION"))</x:f>
        <x:v>0</x:v>
      </x:c>
      <x:c r="X1254" s="43" t="n">
        <x:f>--AND(W1254=1,O1254="HALLUCINATION")</x:f>
        <x:v>0</x:v>
      </x:c>
      <x:c r="Y1254" s="43" t="n">
        <x:f>--AND(Q1254=1,O1254="HALLUCINATION")</x:f>
        <x:v>0</x:v>
      </x:c>
      <x:c r="Z1254" s="43" t="n">
        <x:f>--AND(Y1254=1,R1254=1,S1254=1)</x:f>
        <x:v>0</x:v>
      </x:c>
      <x:c r="AC1254" t="str">
        <x:f>IF(OR(AA1254="",AB1254=""),"",--(AA1254&lt;&gt;AB1254))</x:f>
      </x:c>
      <x:c r="AE1254" t="str">
        <x:f>IF(OR(AA1254="",AB1254=""),"PENDING_HUMAN",IF(AA1254=AB1254,AA1254,IF(AD1254&lt;&gt;"",AD1254,"PENDING_HUMAN")))</x:f>
        <x:v>PENDING_HUMAN</x:v>
      </x:c>
      <x:c r="AF1254" t="n">
        <x:f>--AND(A1254&lt;&gt;"",AA1254&lt;&gt;"",AB1254&lt;&gt;"",OR(AA1254=AB1254,AD1254&lt;&gt;""),IF(AE1254="HALLUCINATION",U1254&lt;&gt;"",TRUE))</x:f>
        <x:v>0</x:v>
      </x:c>
      <x:c r="AG1254" t="n">
        <x:f>--AND(N1254=1,AF1254=1,OR(AE1254="SUPPORTED",AE1254="HALLUCINATION"))</x:f>
        <x:v>0</x:v>
      </x:c>
      <x:c r="AH1254" t="n">
        <x:f>--AND(AG1254=1,AE1254="HALLUCINATION")</x:f>
        <x:v>0</x:v>
      </x:c>
      <x:c r="AI1254" t="n">
        <x:f>--AND(Q1254=1,AF1254=1,AE1254="HALLUCINATION")</x:f>
        <x:v>0</x:v>
      </x:c>
      <x:c r="AJ1254" t="n">
        <x:f>--AND(AI1254=1,R1254=1,S1254=1)</x:f>
        <x:v>0</x:v>
      </x:c>
    </x:row>
    <x:row r="1255">
      <x:c r="A1255" s="28"/>
      <x:c r="B1255" s="28"/>
      <x:c r="C1255" s="28"/>
      <x:c r="D1255" s="28"/>
      <x:c r="E1255" s="28"/>
      <x:c r="F1255" s="28"/>
      <x:c r="G1255" s="28"/>
      <x:c r="H1255" s="28"/>
      <x:c r="I1255" s="28"/>
      <x:c r="J1255" s="28"/>
      <x:c r="K1255" s="28"/>
      <x:c r="L1255" s="28"/>
      <x:c r="M1255" s="28"/>
      <x:c r="N1255" s="28"/>
      <x:c r="O1255" s="28"/>
      <x:c r="P1255" s="28"/>
      <x:c r="Q1255" s="28"/>
      <x:c r="R1255" s="28"/>
      <x:c r="S1255" s="28"/>
      <x:c r="T1255" s="28"/>
      <x:c r="U1255" s="28"/>
      <x:c r="V1255" s="28"/>
      <x:c r="W1255" s="43" t="n">
        <x:f>--AND(N1255=1,OR(O1255="SUPPORTED",O1255="HALLUCINATION"))</x:f>
        <x:v>0</x:v>
      </x:c>
      <x:c r="X1255" s="43" t="n">
        <x:f>--AND(W1255=1,O1255="HALLUCINATION")</x:f>
        <x:v>0</x:v>
      </x:c>
      <x:c r="Y1255" s="43" t="n">
        <x:f>--AND(Q1255=1,O1255="HALLUCINATION")</x:f>
        <x:v>0</x:v>
      </x:c>
      <x:c r="Z1255" s="43" t="n">
        <x:f>--AND(Y1255=1,R1255=1,S1255=1)</x:f>
        <x:v>0</x:v>
      </x:c>
      <x:c r="AC1255" t="str">
        <x:f>IF(OR(AA1255="",AB1255=""),"",--(AA1255&lt;&gt;AB1255))</x:f>
      </x:c>
      <x:c r="AE1255" t="str">
        <x:f>IF(OR(AA1255="",AB1255=""),"PENDING_HUMAN",IF(AA1255=AB1255,AA1255,IF(AD1255&lt;&gt;"",AD1255,"PENDING_HUMAN")))</x:f>
        <x:v>PENDING_HUMAN</x:v>
      </x:c>
      <x:c r="AF1255" t="n">
        <x:f>--AND(A1255&lt;&gt;"",AA1255&lt;&gt;"",AB1255&lt;&gt;"",OR(AA1255=AB1255,AD1255&lt;&gt;""),IF(AE1255="HALLUCINATION",U1255&lt;&gt;"",TRUE))</x:f>
        <x:v>0</x:v>
      </x:c>
      <x:c r="AG1255" t="n">
        <x:f>--AND(N1255=1,AF1255=1,OR(AE1255="SUPPORTED",AE1255="HALLUCINATION"))</x:f>
        <x:v>0</x:v>
      </x:c>
      <x:c r="AH1255" t="n">
        <x:f>--AND(AG1255=1,AE1255="HALLUCINATION")</x:f>
        <x:v>0</x:v>
      </x:c>
      <x:c r="AI1255" t="n">
        <x:f>--AND(Q1255=1,AF1255=1,AE1255="HALLUCINATION")</x:f>
        <x:v>0</x:v>
      </x:c>
      <x:c r="AJ1255" t="n">
        <x:f>--AND(AI1255=1,R1255=1,S1255=1)</x:f>
        <x:v>0</x:v>
      </x:c>
    </x:row>
    <x:row r="1256">
      <x:c r="A1256" s="28"/>
      <x:c r="B1256" s="28"/>
      <x:c r="C1256" s="28"/>
      <x:c r="D1256" s="28"/>
      <x:c r="E1256" s="28"/>
      <x:c r="F1256" s="28"/>
      <x:c r="G1256" s="28"/>
      <x:c r="H1256" s="28"/>
      <x:c r="I1256" s="28"/>
      <x:c r="J1256" s="28"/>
      <x:c r="K1256" s="28"/>
      <x:c r="L1256" s="28"/>
      <x:c r="M1256" s="28"/>
      <x:c r="N1256" s="28"/>
      <x:c r="O1256" s="28"/>
      <x:c r="P1256" s="28"/>
      <x:c r="Q1256" s="28"/>
      <x:c r="R1256" s="28"/>
      <x:c r="S1256" s="28"/>
      <x:c r="T1256" s="28"/>
      <x:c r="U1256" s="28"/>
      <x:c r="V1256" s="28"/>
      <x:c r="W1256" s="43" t="n">
        <x:f>--AND(N1256=1,OR(O1256="SUPPORTED",O1256="HALLUCINATION"))</x:f>
        <x:v>0</x:v>
      </x:c>
      <x:c r="X1256" s="43" t="n">
        <x:f>--AND(W1256=1,O1256="HALLUCINATION")</x:f>
        <x:v>0</x:v>
      </x:c>
      <x:c r="Y1256" s="43" t="n">
        <x:f>--AND(Q1256=1,O1256="HALLUCINATION")</x:f>
        <x:v>0</x:v>
      </x:c>
      <x:c r="Z1256" s="43" t="n">
        <x:f>--AND(Y1256=1,R1256=1,S1256=1)</x:f>
        <x:v>0</x:v>
      </x:c>
      <x:c r="AC1256" t="str">
        <x:f>IF(OR(AA1256="",AB1256=""),"",--(AA1256&lt;&gt;AB1256))</x:f>
      </x:c>
      <x:c r="AE1256" t="str">
        <x:f>IF(OR(AA1256="",AB1256=""),"PENDING_HUMAN",IF(AA1256=AB1256,AA1256,IF(AD1256&lt;&gt;"",AD1256,"PENDING_HUMAN")))</x:f>
        <x:v>PENDING_HUMAN</x:v>
      </x:c>
      <x:c r="AF1256" t="n">
        <x:f>--AND(A1256&lt;&gt;"",AA1256&lt;&gt;"",AB1256&lt;&gt;"",OR(AA1256=AB1256,AD1256&lt;&gt;""),IF(AE1256="HALLUCINATION",U1256&lt;&gt;"",TRUE))</x:f>
        <x:v>0</x:v>
      </x:c>
      <x:c r="AG1256" t="n">
        <x:f>--AND(N1256=1,AF1256=1,OR(AE1256="SUPPORTED",AE1256="HALLUCINATION"))</x:f>
        <x:v>0</x:v>
      </x:c>
      <x:c r="AH1256" t="n">
        <x:f>--AND(AG1256=1,AE1256="HALLUCINATION")</x:f>
        <x:v>0</x:v>
      </x:c>
      <x:c r="AI1256" t="n">
        <x:f>--AND(Q1256=1,AF1256=1,AE1256="HALLUCINATION")</x:f>
        <x:v>0</x:v>
      </x:c>
      <x:c r="AJ1256" t="n">
        <x:f>--AND(AI1256=1,R1256=1,S1256=1)</x:f>
        <x:v>0</x:v>
      </x:c>
    </x:row>
    <x:row r="1257">
      <x:c r="A1257" s="28"/>
      <x:c r="B1257" s="28"/>
      <x:c r="C1257" s="28"/>
      <x:c r="D1257" s="28"/>
      <x:c r="E1257" s="28"/>
      <x:c r="F1257" s="28"/>
      <x:c r="G1257" s="28"/>
      <x:c r="H1257" s="28"/>
      <x:c r="I1257" s="28"/>
      <x:c r="J1257" s="28"/>
      <x:c r="K1257" s="28"/>
      <x:c r="L1257" s="28"/>
      <x:c r="M1257" s="28"/>
      <x:c r="N1257" s="28"/>
      <x:c r="O1257" s="28"/>
      <x:c r="P1257" s="28"/>
      <x:c r="Q1257" s="28"/>
      <x:c r="R1257" s="28"/>
      <x:c r="S1257" s="28"/>
      <x:c r="T1257" s="28"/>
      <x:c r="U1257" s="28"/>
      <x:c r="V1257" s="28"/>
      <x:c r="W1257" s="43" t="n">
        <x:f>--AND(N1257=1,OR(O1257="SUPPORTED",O1257="HALLUCINATION"))</x:f>
        <x:v>0</x:v>
      </x:c>
      <x:c r="X1257" s="43" t="n">
        <x:f>--AND(W1257=1,O1257="HALLUCINATION")</x:f>
        <x:v>0</x:v>
      </x:c>
      <x:c r="Y1257" s="43" t="n">
        <x:f>--AND(Q1257=1,O1257="HALLUCINATION")</x:f>
        <x:v>0</x:v>
      </x:c>
      <x:c r="Z1257" s="43" t="n">
        <x:f>--AND(Y1257=1,R1257=1,S1257=1)</x:f>
        <x:v>0</x:v>
      </x:c>
      <x:c r="AC1257" t="str">
        <x:f>IF(OR(AA1257="",AB1257=""),"",--(AA1257&lt;&gt;AB1257))</x:f>
      </x:c>
      <x:c r="AE1257" t="str">
        <x:f>IF(OR(AA1257="",AB1257=""),"PENDING_HUMAN",IF(AA1257=AB1257,AA1257,IF(AD1257&lt;&gt;"",AD1257,"PENDING_HUMAN")))</x:f>
        <x:v>PENDING_HUMAN</x:v>
      </x:c>
      <x:c r="AF1257" t="n">
        <x:f>--AND(A1257&lt;&gt;"",AA1257&lt;&gt;"",AB1257&lt;&gt;"",OR(AA1257=AB1257,AD1257&lt;&gt;""),IF(AE1257="HALLUCINATION",U1257&lt;&gt;"",TRUE))</x:f>
        <x:v>0</x:v>
      </x:c>
      <x:c r="AG1257" t="n">
        <x:f>--AND(N1257=1,AF1257=1,OR(AE1257="SUPPORTED",AE1257="HALLUCINATION"))</x:f>
        <x:v>0</x:v>
      </x:c>
      <x:c r="AH1257" t="n">
        <x:f>--AND(AG1257=1,AE1257="HALLUCINATION")</x:f>
        <x:v>0</x:v>
      </x:c>
      <x:c r="AI1257" t="n">
        <x:f>--AND(Q1257=1,AF1257=1,AE1257="HALLUCINATION")</x:f>
        <x:v>0</x:v>
      </x:c>
      <x:c r="AJ1257" t="n">
        <x:f>--AND(AI1257=1,R1257=1,S1257=1)</x:f>
        <x:v>0</x:v>
      </x:c>
    </x:row>
    <x:row r="1258">
      <x:c r="A1258" s="28"/>
      <x:c r="B1258" s="28"/>
      <x:c r="C1258" s="28"/>
      <x:c r="D1258" s="28"/>
      <x:c r="E1258" s="28"/>
      <x:c r="F1258" s="28"/>
      <x:c r="G1258" s="28"/>
      <x:c r="H1258" s="28"/>
      <x:c r="I1258" s="28"/>
      <x:c r="J1258" s="28"/>
      <x:c r="K1258" s="28"/>
      <x:c r="L1258" s="28"/>
      <x:c r="M1258" s="28"/>
      <x:c r="N1258" s="28"/>
      <x:c r="O1258" s="28"/>
      <x:c r="P1258" s="28"/>
      <x:c r="Q1258" s="28"/>
      <x:c r="R1258" s="28"/>
      <x:c r="S1258" s="28"/>
      <x:c r="T1258" s="28"/>
      <x:c r="U1258" s="28"/>
      <x:c r="V1258" s="28"/>
      <x:c r="W1258" s="43" t="n">
        <x:f>--AND(N1258=1,OR(O1258="SUPPORTED",O1258="HALLUCINATION"))</x:f>
        <x:v>0</x:v>
      </x:c>
      <x:c r="X1258" s="43" t="n">
        <x:f>--AND(W1258=1,O1258="HALLUCINATION")</x:f>
        <x:v>0</x:v>
      </x:c>
      <x:c r="Y1258" s="43" t="n">
        <x:f>--AND(Q1258=1,O1258="HALLUCINATION")</x:f>
        <x:v>0</x:v>
      </x:c>
      <x:c r="Z1258" s="43" t="n">
        <x:f>--AND(Y1258=1,R1258=1,S1258=1)</x:f>
        <x:v>0</x:v>
      </x:c>
      <x:c r="AC1258" t="str">
        <x:f>IF(OR(AA1258="",AB1258=""),"",--(AA1258&lt;&gt;AB1258))</x:f>
      </x:c>
      <x:c r="AE1258" t="str">
        <x:f>IF(OR(AA1258="",AB1258=""),"PENDING_HUMAN",IF(AA1258=AB1258,AA1258,IF(AD1258&lt;&gt;"",AD1258,"PENDING_HUMAN")))</x:f>
        <x:v>PENDING_HUMAN</x:v>
      </x:c>
      <x:c r="AF1258" t="n">
        <x:f>--AND(A1258&lt;&gt;"",AA1258&lt;&gt;"",AB1258&lt;&gt;"",OR(AA1258=AB1258,AD1258&lt;&gt;""),IF(AE1258="HALLUCINATION",U1258&lt;&gt;"",TRUE))</x:f>
        <x:v>0</x:v>
      </x:c>
      <x:c r="AG1258" t="n">
        <x:f>--AND(N1258=1,AF1258=1,OR(AE1258="SUPPORTED",AE1258="HALLUCINATION"))</x:f>
        <x:v>0</x:v>
      </x:c>
      <x:c r="AH1258" t="n">
        <x:f>--AND(AG1258=1,AE1258="HALLUCINATION")</x:f>
        <x:v>0</x:v>
      </x:c>
      <x:c r="AI1258" t="n">
        <x:f>--AND(Q1258=1,AF1258=1,AE1258="HALLUCINATION")</x:f>
        <x:v>0</x:v>
      </x:c>
      <x:c r="AJ1258" t="n">
        <x:f>--AND(AI1258=1,R1258=1,S1258=1)</x:f>
        <x:v>0</x:v>
      </x:c>
    </x:row>
    <x:row r="1259">
      <x:c r="A1259" s="28"/>
      <x:c r="B1259" s="28"/>
      <x:c r="C1259" s="28"/>
      <x:c r="D1259" s="28"/>
      <x:c r="E1259" s="28"/>
      <x:c r="F1259" s="28"/>
      <x:c r="G1259" s="28"/>
      <x:c r="H1259" s="28"/>
      <x:c r="I1259" s="28"/>
      <x:c r="J1259" s="28"/>
      <x:c r="K1259" s="28"/>
      <x:c r="L1259" s="28"/>
      <x:c r="M1259" s="28"/>
      <x:c r="N1259" s="28"/>
      <x:c r="O1259" s="28"/>
      <x:c r="P1259" s="28"/>
      <x:c r="Q1259" s="28"/>
      <x:c r="R1259" s="28"/>
      <x:c r="S1259" s="28"/>
      <x:c r="T1259" s="28"/>
      <x:c r="U1259" s="28"/>
      <x:c r="V1259" s="28"/>
      <x:c r="W1259" s="43" t="n">
        <x:f>--AND(N1259=1,OR(O1259="SUPPORTED",O1259="HALLUCINATION"))</x:f>
        <x:v>0</x:v>
      </x:c>
      <x:c r="X1259" s="43" t="n">
        <x:f>--AND(W1259=1,O1259="HALLUCINATION")</x:f>
        <x:v>0</x:v>
      </x:c>
      <x:c r="Y1259" s="43" t="n">
        <x:f>--AND(Q1259=1,O1259="HALLUCINATION")</x:f>
        <x:v>0</x:v>
      </x:c>
      <x:c r="Z1259" s="43" t="n">
        <x:f>--AND(Y1259=1,R1259=1,S1259=1)</x:f>
        <x:v>0</x:v>
      </x:c>
      <x:c r="AC1259" t="str">
        <x:f>IF(OR(AA1259="",AB1259=""),"",--(AA1259&lt;&gt;AB1259))</x:f>
      </x:c>
      <x:c r="AE1259" t="str">
        <x:f>IF(OR(AA1259="",AB1259=""),"PENDING_HUMAN",IF(AA1259=AB1259,AA1259,IF(AD1259&lt;&gt;"",AD1259,"PENDING_HUMAN")))</x:f>
        <x:v>PENDING_HUMAN</x:v>
      </x:c>
      <x:c r="AF1259" t="n">
        <x:f>--AND(A1259&lt;&gt;"",AA1259&lt;&gt;"",AB1259&lt;&gt;"",OR(AA1259=AB1259,AD1259&lt;&gt;""),IF(AE1259="HALLUCINATION",U1259&lt;&gt;"",TRUE))</x:f>
        <x:v>0</x:v>
      </x:c>
      <x:c r="AG1259" t="n">
        <x:f>--AND(N1259=1,AF1259=1,OR(AE1259="SUPPORTED",AE1259="HALLUCINATION"))</x:f>
        <x:v>0</x:v>
      </x:c>
      <x:c r="AH1259" t="n">
        <x:f>--AND(AG1259=1,AE1259="HALLUCINATION")</x:f>
        <x:v>0</x:v>
      </x:c>
      <x:c r="AI1259" t="n">
        <x:f>--AND(Q1259=1,AF1259=1,AE1259="HALLUCINATION")</x:f>
        <x:v>0</x:v>
      </x:c>
      <x:c r="AJ1259" t="n">
        <x:f>--AND(AI1259=1,R1259=1,S1259=1)</x:f>
        <x:v>0</x:v>
      </x:c>
    </x:row>
    <x:row r="1260">
      <x:c r="A1260" s="28"/>
      <x:c r="B1260" s="28"/>
      <x:c r="C1260" s="28"/>
      <x:c r="D1260" s="28"/>
      <x:c r="E1260" s="28"/>
      <x:c r="F1260" s="28"/>
      <x:c r="G1260" s="28"/>
      <x:c r="H1260" s="28"/>
      <x:c r="I1260" s="28"/>
      <x:c r="J1260" s="28"/>
      <x:c r="K1260" s="28"/>
      <x:c r="L1260" s="28"/>
      <x:c r="M1260" s="28"/>
      <x:c r="N1260" s="28"/>
      <x:c r="O1260" s="28"/>
      <x:c r="P1260" s="28"/>
      <x:c r="Q1260" s="28"/>
      <x:c r="R1260" s="28"/>
      <x:c r="S1260" s="28"/>
      <x:c r="T1260" s="28"/>
      <x:c r="U1260" s="28"/>
      <x:c r="V1260" s="28"/>
      <x:c r="W1260" s="43" t="n">
        <x:f>--AND(N1260=1,OR(O1260="SUPPORTED",O1260="HALLUCINATION"))</x:f>
        <x:v>0</x:v>
      </x:c>
      <x:c r="X1260" s="43" t="n">
        <x:f>--AND(W1260=1,O1260="HALLUCINATION")</x:f>
        <x:v>0</x:v>
      </x:c>
      <x:c r="Y1260" s="43" t="n">
        <x:f>--AND(Q1260=1,O1260="HALLUCINATION")</x:f>
        <x:v>0</x:v>
      </x:c>
      <x:c r="Z1260" s="43" t="n">
        <x:f>--AND(Y1260=1,R1260=1,S1260=1)</x:f>
        <x:v>0</x:v>
      </x:c>
      <x:c r="AC1260" t="str">
        <x:f>IF(OR(AA1260="",AB1260=""),"",--(AA1260&lt;&gt;AB1260))</x:f>
      </x:c>
      <x:c r="AE1260" t="str">
        <x:f>IF(OR(AA1260="",AB1260=""),"PENDING_HUMAN",IF(AA1260=AB1260,AA1260,IF(AD1260&lt;&gt;"",AD1260,"PENDING_HUMAN")))</x:f>
        <x:v>PENDING_HUMAN</x:v>
      </x:c>
      <x:c r="AF1260" t="n">
        <x:f>--AND(A1260&lt;&gt;"",AA1260&lt;&gt;"",AB1260&lt;&gt;"",OR(AA1260=AB1260,AD1260&lt;&gt;""),IF(AE1260="HALLUCINATION",U1260&lt;&gt;"",TRUE))</x:f>
        <x:v>0</x:v>
      </x:c>
      <x:c r="AG1260" t="n">
        <x:f>--AND(N1260=1,AF1260=1,OR(AE1260="SUPPORTED",AE1260="HALLUCINATION"))</x:f>
        <x:v>0</x:v>
      </x:c>
      <x:c r="AH1260" t="n">
        <x:f>--AND(AG1260=1,AE1260="HALLUCINATION")</x:f>
        <x:v>0</x:v>
      </x:c>
      <x:c r="AI1260" t="n">
        <x:f>--AND(Q1260=1,AF1260=1,AE1260="HALLUCINATION")</x:f>
        <x:v>0</x:v>
      </x:c>
      <x:c r="AJ1260" t="n">
        <x:f>--AND(AI1260=1,R1260=1,S1260=1)</x:f>
        <x:v>0</x:v>
      </x:c>
    </x:row>
    <x:row r="1261">
      <x:c r="A1261" s="28"/>
      <x:c r="B1261" s="28"/>
      <x:c r="C1261" s="28"/>
      <x:c r="D1261" s="28"/>
      <x:c r="E1261" s="28"/>
      <x:c r="F1261" s="28"/>
      <x:c r="G1261" s="28"/>
      <x:c r="H1261" s="28"/>
      <x:c r="I1261" s="28"/>
      <x:c r="J1261" s="28"/>
      <x:c r="K1261" s="28"/>
      <x:c r="L1261" s="28"/>
      <x:c r="M1261" s="28"/>
      <x:c r="N1261" s="28"/>
      <x:c r="O1261" s="28"/>
      <x:c r="P1261" s="28"/>
      <x:c r="Q1261" s="28"/>
      <x:c r="R1261" s="28"/>
      <x:c r="S1261" s="28"/>
      <x:c r="T1261" s="28"/>
      <x:c r="U1261" s="28"/>
      <x:c r="V1261" s="28"/>
      <x:c r="W1261" s="43" t="n">
        <x:f>--AND(N1261=1,OR(O1261="SUPPORTED",O1261="HALLUCINATION"))</x:f>
        <x:v>0</x:v>
      </x:c>
      <x:c r="X1261" s="43" t="n">
        <x:f>--AND(W1261=1,O1261="HALLUCINATION")</x:f>
        <x:v>0</x:v>
      </x:c>
      <x:c r="Y1261" s="43" t="n">
        <x:f>--AND(Q1261=1,O1261="HALLUCINATION")</x:f>
        <x:v>0</x:v>
      </x:c>
      <x:c r="Z1261" s="43" t="n">
        <x:f>--AND(Y1261=1,R1261=1,S1261=1)</x:f>
        <x:v>0</x:v>
      </x:c>
      <x:c r="AC1261" t="str">
        <x:f>IF(OR(AA1261="",AB1261=""),"",--(AA1261&lt;&gt;AB1261))</x:f>
      </x:c>
      <x:c r="AE1261" t="str">
        <x:f>IF(OR(AA1261="",AB1261=""),"PENDING_HUMAN",IF(AA1261=AB1261,AA1261,IF(AD1261&lt;&gt;"",AD1261,"PENDING_HUMAN")))</x:f>
        <x:v>PENDING_HUMAN</x:v>
      </x:c>
      <x:c r="AF1261" t="n">
        <x:f>--AND(A1261&lt;&gt;"",AA1261&lt;&gt;"",AB1261&lt;&gt;"",OR(AA1261=AB1261,AD1261&lt;&gt;""),IF(AE1261="HALLUCINATION",U1261&lt;&gt;"",TRUE))</x:f>
        <x:v>0</x:v>
      </x:c>
      <x:c r="AG1261" t="n">
        <x:f>--AND(N1261=1,AF1261=1,OR(AE1261="SUPPORTED",AE1261="HALLUCINATION"))</x:f>
        <x:v>0</x:v>
      </x:c>
      <x:c r="AH1261" t="n">
        <x:f>--AND(AG1261=1,AE1261="HALLUCINATION")</x:f>
        <x:v>0</x:v>
      </x:c>
      <x:c r="AI1261" t="n">
        <x:f>--AND(Q1261=1,AF1261=1,AE1261="HALLUCINATION")</x:f>
        <x:v>0</x:v>
      </x:c>
      <x:c r="AJ1261" t="n">
        <x:f>--AND(AI1261=1,R1261=1,S1261=1)</x:f>
        <x:v>0</x:v>
      </x:c>
    </x:row>
    <x:row r="1262">
      <x:c r="A1262" s="28"/>
      <x:c r="B1262" s="28"/>
      <x:c r="C1262" s="28"/>
      <x:c r="D1262" s="28"/>
      <x:c r="E1262" s="28"/>
      <x:c r="F1262" s="28"/>
      <x:c r="G1262" s="28"/>
      <x:c r="H1262" s="28"/>
      <x:c r="I1262" s="28"/>
      <x:c r="J1262" s="28"/>
      <x:c r="K1262" s="28"/>
      <x:c r="L1262" s="28"/>
      <x:c r="M1262" s="28"/>
      <x:c r="N1262" s="28"/>
      <x:c r="O1262" s="28"/>
      <x:c r="P1262" s="28"/>
      <x:c r="Q1262" s="28"/>
      <x:c r="R1262" s="28"/>
      <x:c r="S1262" s="28"/>
      <x:c r="T1262" s="28"/>
      <x:c r="U1262" s="28"/>
      <x:c r="V1262" s="28"/>
      <x:c r="W1262" s="43" t="n">
        <x:f>--AND(N1262=1,OR(O1262="SUPPORTED",O1262="HALLUCINATION"))</x:f>
        <x:v>0</x:v>
      </x:c>
      <x:c r="X1262" s="43" t="n">
        <x:f>--AND(W1262=1,O1262="HALLUCINATION")</x:f>
        <x:v>0</x:v>
      </x:c>
      <x:c r="Y1262" s="43" t="n">
        <x:f>--AND(Q1262=1,O1262="HALLUCINATION")</x:f>
        <x:v>0</x:v>
      </x:c>
      <x:c r="Z1262" s="43" t="n">
        <x:f>--AND(Y1262=1,R1262=1,S1262=1)</x:f>
        <x:v>0</x:v>
      </x:c>
      <x:c r="AC1262" t="str">
        <x:f>IF(OR(AA1262="",AB1262=""),"",--(AA1262&lt;&gt;AB1262))</x:f>
      </x:c>
      <x:c r="AE1262" t="str">
        <x:f>IF(OR(AA1262="",AB1262=""),"PENDING_HUMAN",IF(AA1262=AB1262,AA1262,IF(AD1262&lt;&gt;"",AD1262,"PENDING_HUMAN")))</x:f>
        <x:v>PENDING_HUMAN</x:v>
      </x:c>
      <x:c r="AF1262" t="n">
        <x:f>--AND(A1262&lt;&gt;"",AA1262&lt;&gt;"",AB1262&lt;&gt;"",OR(AA1262=AB1262,AD1262&lt;&gt;""),IF(AE1262="HALLUCINATION",U1262&lt;&gt;"",TRUE))</x:f>
        <x:v>0</x:v>
      </x:c>
      <x:c r="AG1262" t="n">
        <x:f>--AND(N1262=1,AF1262=1,OR(AE1262="SUPPORTED",AE1262="HALLUCINATION"))</x:f>
        <x:v>0</x:v>
      </x:c>
      <x:c r="AH1262" t="n">
        <x:f>--AND(AG1262=1,AE1262="HALLUCINATION")</x:f>
        <x:v>0</x:v>
      </x:c>
      <x:c r="AI1262" t="n">
        <x:f>--AND(Q1262=1,AF1262=1,AE1262="HALLUCINATION")</x:f>
        <x:v>0</x:v>
      </x:c>
      <x:c r="AJ1262" t="n">
        <x:f>--AND(AI1262=1,R1262=1,S1262=1)</x:f>
        <x:v>0</x:v>
      </x:c>
    </x:row>
    <x:row r="1263">
      <x:c r="A1263" s="28"/>
      <x:c r="B1263" s="28"/>
      <x:c r="C1263" s="28"/>
      <x:c r="D1263" s="28"/>
      <x:c r="E1263" s="28"/>
      <x:c r="F1263" s="28"/>
      <x:c r="G1263" s="28"/>
      <x:c r="H1263" s="28"/>
      <x:c r="I1263" s="28"/>
      <x:c r="J1263" s="28"/>
      <x:c r="K1263" s="28"/>
      <x:c r="L1263" s="28"/>
      <x:c r="M1263" s="28"/>
      <x:c r="N1263" s="28"/>
      <x:c r="O1263" s="28"/>
      <x:c r="P1263" s="28"/>
      <x:c r="Q1263" s="28"/>
      <x:c r="R1263" s="28"/>
      <x:c r="S1263" s="28"/>
      <x:c r="T1263" s="28"/>
      <x:c r="U1263" s="28"/>
      <x:c r="V1263" s="28"/>
      <x:c r="W1263" s="43" t="n">
        <x:f>--AND(N1263=1,OR(O1263="SUPPORTED",O1263="HALLUCINATION"))</x:f>
        <x:v>0</x:v>
      </x:c>
      <x:c r="X1263" s="43" t="n">
        <x:f>--AND(W1263=1,O1263="HALLUCINATION")</x:f>
        <x:v>0</x:v>
      </x:c>
      <x:c r="Y1263" s="43" t="n">
        <x:f>--AND(Q1263=1,O1263="HALLUCINATION")</x:f>
        <x:v>0</x:v>
      </x:c>
      <x:c r="Z1263" s="43" t="n">
        <x:f>--AND(Y1263=1,R1263=1,S1263=1)</x:f>
        <x:v>0</x:v>
      </x:c>
      <x:c r="AC1263" t="str">
        <x:f>IF(OR(AA1263="",AB1263=""),"",--(AA1263&lt;&gt;AB1263))</x:f>
      </x:c>
      <x:c r="AE1263" t="str">
        <x:f>IF(OR(AA1263="",AB1263=""),"PENDING_HUMAN",IF(AA1263=AB1263,AA1263,IF(AD1263&lt;&gt;"",AD1263,"PENDING_HUMAN")))</x:f>
        <x:v>PENDING_HUMAN</x:v>
      </x:c>
      <x:c r="AF1263" t="n">
        <x:f>--AND(A1263&lt;&gt;"",AA1263&lt;&gt;"",AB1263&lt;&gt;"",OR(AA1263=AB1263,AD1263&lt;&gt;""),IF(AE1263="HALLUCINATION",U1263&lt;&gt;"",TRUE))</x:f>
        <x:v>0</x:v>
      </x:c>
      <x:c r="AG1263" t="n">
        <x:f>--AND(N1263=1,AF1263=1,OR(AE1263="SUPPORTED",AE1263="HALLUCINATION"))</x:f>
        <x:v>0</x:v>
      </x:c>
      <x:c r="AH1263" t="n">
        <x:f>--AND(AG1263=1,AE1263="HALLUCINATION")</x:f>
        <x:v>0</x:v>
      </x:c>
      <x:c r="AI1263" t="n">
        <x:f>--AND(Q1263=1,AF1263=1,AE1263="HALLUCINATION")</x:f>
        <x:v>0</x:v>
      </x:c>
      <x:c r="AJ1263" t="n">
        <x:f>--AND(AI1263=1,R1263=1,S1263=1)</x:f>
        <x:v>0</x:v>
      </x:c>
    </x:row>
    <x:row r="1264">
      <x:c r="A1264" s="28"/>
      <x:c r="B1264" s="28"/>
      <x:c r="C1264" s="28"/>
      <x:c r="D1264" s="28"/>
      <x:c r="E1264" s="28"/>
      <x:c r="F1264" s="28"/>
      <x:c r="G1264" s="28"/>
      <x:c r="H1264" s="28"/>
      <x:c r="I1264" s="28"/>
      <x:c r="J1264" s="28"/>
      <x:c r="K1264" s="28"/>
      <x:c r="L1264" s="28"/>
      <x:c r="M1264" s="28"/>
      <x:c r="N1264" s="28"/>
      <x:c r="O1264" s="28"/>
      <x:c r="P1264" s="28"/>
      <x:c r="Q1264" s="28"/>
      <x:c r="R1264" s="28"/>
      <x:c r="S1264" s="28"/>
      <x:c r="T1264" s="28"/>
      <x:c r="U1264" s="28"/>
      <x:c r="V1264" s="28"/>
      <x:c r="W1264" s="43" t="n">
        <x:f>--AND(N1264=1,OR(O1264="SUPPORTED",O1264="HALLUCINATION"))</x:f>
        <x:v>0</x:v>
      </x:c>
      <x:c r="X1264" s="43" t="n">
        <x:f>--AND(W1264=1,O1264="HALLUCINATION")</x:f>
        <x:v>0</x:v>
      </x:c>
      <x:c r="Y1264" s="43" t="n">
        <x:f>--AND(Q1264=1,O1264="HALLUCINATION")</x:f>
        <x:v>0</x:v>
      </x:c>
      <x:c r="Z1264" s="43" t="n">
        <x:f>--AND(Y1264=1,R1264=1,S1264=1)</x:f>
        <x:v>0</x:v>
      </x:c>
      <x:c r="AC1264" t="str">
        <x:f>IF(OR(AA1264="",AB1264=""),"",--(AA1264&lt;&gt;AB1264))</x:f>
      </x:c>
      <x:c r="AE1264" t="str">
        <x:f>IF(OR(AA1264="",AB1264=""),"PENDING_HUMAN",IF(AA1264=AB1264,AA1264,IF(AD1264&lt;&gt;"",AD1264,"PENDING_HUMAN")))</x:f>
        <x:v>PENDING_HUMAN</x:v>
      </x:c>
      <x:c r="AF1264" t="n">
        <x:f>--AND(A1264&lt;&gt;"",AA1264&lt;&gt;"",AB1264&lt;&gt;"",OR(AA1264=AB1264,AD1264&lt;&gt;""),IF(AE1264="HALLUCINATION",U1264&lt;&gt;"",TRUE))</x:f>
        <x:v>0</x:v>
      </x:c>
      <x:c r="AG1264" t="n">
        <x:f>--AND(N1264=1,AF1264=1,OR(AE1264="SUPPORTED",AE1264="HALLUCINATION"))</x:f>
        <x:v>0</x:v>
      </x:c>
      <x:c r="AH1264" t="n">
        <x:f>--AND(AG1264=1,AE1264="HALLUCINATION")</x:f>
        <x:v>0</x:v>
      </x:c>
      <x:c r="AI1264" t="n">
        <x:f>--AND(Q1264=1,AF1264=1,AE1264="HALLUCINATION")</x:f>
        <x:v>0</x:v>
      </x:c>
      <x:c r="AJ1264" t="n">
        <x:f>--AND(AI1264=1,R1264=1,S1264=1)</x:f>
        <x:v>0</x:v>
      </x:c>
    </x:row>
    <x:row r="1265">
      <x:c r="A1265" s="28"/>
      <x:c r="B1265" s="28"/>
      <x:c r="C1265" s="28"/>
      <x:c r="D1265" s="28"/>
      <x:c r="E1265" s="28"/>
      <x:c r="F1265" s="28"/>
      <x:c r="G1265" s="28"/>
      <x:c r="H1265" s="28"/>
      <x:c r="I1265" s="28"/>
      <x:c r="J1265" s="28"/>
      <x:c r="K1265" s="28"/>
      <x:c r="L1265" s="28"/>
      <x:c r="M1265" s="28"/>
      <x:c r="N1265" s="28"/>
      <x:c r="O1265" s="28"/>
      <x:c r="P1265" s="28"/>
      <x:c r="Q1265" s="28"/>
      <x:c r="R1265" s="28"/>
      <x:c r="S1265" s="28"/>
      <x:c r="T1265" s="28"/>
      <x:c r="U1265" s="28"/>
      <x:c r="V1265" s="28"/>
      <x:c r="W1265" s="43" t="n">
        <x:f>--AND(N1265=1,OR(O1265="SUPPORTED",O1265="HALLUCINATION"))</x:f>
        <x:v>0</x:v>
      </x:c>
      <x:c r="X1265" s="43" t="n">
        <x:f>--AND(W1265=1,O1265="HALLUCINATION")</x:f>
        <x:v>0</x:v>
      </x:c>
      <x:c r="Y1265" s="43" t="n">
        <x:f>--AND(Q1265=1,O1265="HALLUCINATION")</x:f>
        <x:v>0</x:v>
      </x:c>
      <x:c r="Z1265" s="43" t="n">
        <x:f>--AND(Y1265=1,R1265=1,S1265=1)</x:f>
        <x:v>0</x:v>
      </x:c>
      <x:c r="AC1265" t="str">
        <x:f>IF(OR(AA1265="",AB1265=""),"",--(AA1265&lt;&gt;AB1265))</x:f>
      </x:c>
      <x:c r="AE1265" t="str">
        <x:f>IF(OR(AA1265="",AB1265=""),"PENDING_HUMAN",IF(AA1265=AB1265,AA1265,IF(AD1265&lt;&gt;"",AD1265,"PENDING_HUMAN")))</x:f>
        <x:v>PENDING_HUMAN</x:v>
      </x:c>
      <x:c r="AF1265" t="n">
        <x:f>--AND(A1265&lt;&gt;"",AA1265&lt;&gt;"",AB1265&lt;&gt;"",OR(AA1265=AB1265,AD1265&lt;&gt;""),IF(AE1265="HALLUCINATION",U1265&lt;&gt;"",TRUE))</x:f>
        <x:v>0</x:v>
      </x:c>
      <x:c r="AG1265" t="n">
        <x:f>--AND(N1265=1,AF1265=1,OR(AE1265="SUPPORTED",AE1265="HALLUCINATION"))</x:f>
        <x:v>0</x:v>
      </x:c>
      <x:c r="AH1265" t="n">
        <x:f>--AND(AG1265=1,AE1265="HALLUCINATION")</x:f>
        <x:v>0</x:v>
      </x:c>
      <x:c r="AI1265" t="n">
        <x:f>--AND(Q1265=1,AF1265=1,AE1265="HALLUCINATION")</x:f>
        <x:v>0</x:v>
      </x:c>
      <x:c r="AJ1265" t="n">
        <x:f>--AND(AI1265=1,R1265=1,S1265=1)</x:f>
        <x:v>0</x:v>
      </x:c>
    </x:row>
    <x:row r="1266">
      <x:c r="A1266" s="28"/>
      <x:c r="B1266" s="28"/>
      <x:c r="C1266" s="28"/>
      <x:c r="D1266" s="28"/>
      <x:c r="E1266" s="28"/>
      <x:c r="F1266" s="28"/>
      <x:c r="G1266" s="28"/>
      <x:c r="H1266" s="28"/>
      <x:c r="I1266" s="28"/>
      <x:c r="J1266" s="28"/>
      <x:c r="K1266" s="28"/>
      <x:c r="L1266" s="28"/>
      <x:c r="M1266" s="28"/>
      <x:c r="N1266" s="28"/>
      <x:c r="O1266" s="28"/>
      <x:c r="P1266" s="28"/>
      <x:c r="Q1266" s="28"/>
      <x:c r="R1266" s="28"/>
      <x:c r="S1266" s="28"/>
      <x:c r="T1266" s="28"/>
      <x:c r="U1266" s="28"/>
      <x:c r="V1266" s="28"/>
      <x:c r="W1266" s="43" t="n">
        <x:f>--AND(N1266=1,OR(O1266="SUPPORTED",O1266="HALLUCINATION"))</x:f>
        <x:v>0</x:v>
      </x:c>
      <x:c r="X1266" s="43" t="n">
        <x:f>--AND(W1266=1,O1266="HALLUCINATION")</x:f>
        <x:v>0</x:v>
      </x:c>
      <x:c r="Y1266" s="43" t="n">
        <x:f>--AND(Q1266=1,O1266="HALLUCINATION")</x:f>
        <x:v>0</x:v>
      </x:c>
      <x:c r="Z1266" s="43" t="n">
        <x:f>--AND(Y1266=1,R1266=1,S1266=1)</x:f>
        <x:v>0</x:v>
      </x:c>
      <x:c r="AC1266" t="str">
        <x:f>IF(OR(AA1266="",AB1266=""),"",--(AA1266&lt;&gt;AB1266))</x:f>
      </x:c>
      <x:c r="AE1266" t="str">
        <x:f>IF(OR(AA1266="",AB1266=""),"PENDING_HUMAN",IF(AA1266=AB1266,AA1266,IF(AD1266&lt;&gt;"",AD1266,"PENDING_HUMAN")))</x:f>
        <x:v>PENDING_HUMAN</x:v>
      </x:c>
      <x:c r="AF1266" t="n">
        <x:f>--AND(A1266&lt;&gt;"",AA1266&lt;&gt;"",AB1266&lt;&gt;"",OR(AA1266=AB1266,AD1266&lt;&gt;""),IF(AE1266="HALLUCINATION",U1266&lt;&gt;"",TRUE))</x:f>
        <x:v>0</x:v>
      </x:c>
      <x:c r="AG1266" t="n">
        <x:f>--AND(N1266=1,AF1266=1,OR(AE1266="SUPPORTED",AE1266="HALLUCINATION"))</x:f>
        <x:v>0</x:v>
      </x:c>
      <x:c r="AH1266" t="n">
        <x:f>--AND(AG1266=1,AE1266="HALLUCINATION")</x:f>
        <x:v>0</x:v>
      </x:c>
      <x:c r="AI1266" t="n">
        <x:f>--AND(Q1266=1,AF1266=1,AE1266="HALLUCINATION")</x:f>
        <x:v>0</x:v>
      </x:c>
      <x:c r="AJ1266" t="n">
        <x:f>--AND(AI1266=1,R1266=1,S1266=1)</x:f>
        <x:v>0</x:v>
      </x:c>
    </x:row>
    <x:row r="1267">
      <x:c r="A1267" s="28"/>
      <x:c r="B1267" s="28"/>
      <x:c r="C1267" s="28"/>
      <x:c r="D1267" s="28"/>
      <x:c r="E1267" s="28"/>
      <x:c r="F1267" s="28"/>
      <x:c r="G1267" s="28"/>
      <x:c r="H1267" s="28"/>
      <x:c r="I1267" s="28"/>
      <x:c r="J1267" s="28"/>
      <x:c r="K1267" s="28"/>
      <x:c r="L1267" s="28"/>
      <x:c r="M1267" s="28"/>
      <x:c r="N1267" s="28"/>
      <x:c r="O1267" s="28"/>
      <x:c r="P1267" s="28"/>
      <x:c r="Q1267" s="28"/>
      <x:c r="R1267" s="28"/>
      <x:c r="S1267" s="28"/>
      <x:c r="T1267" s="28"/>
      <x:c r="U1267" s="28"/>
      <x:c r="V1267" s="28"/>
      <x:c r="W1267" s="43" t="n">
        <x:f>--AND(N1267=1,OR(O1267="SUPPORTED",O1267="HALLUCINATION"))</x:f>
        <x:v>0</x:v>
      </x:c>
      <x:c r="X1267" s="43" t="n">
        <x:f>--AND(W1267=1,O1267="HALLUCINATION")</x:f>
        <x:v>0</x:v>
      </x:c>
      <x:c r="Y1267" s="43" t="n">
        <x:f>--AND(Q1267=1,O1267="HALLUCINATION")</x:f>
        <x:v>0</x:v>
      </x:c>
      <x:c r="Z1267" s="43" t="n">
        <x:f>--AND(Y1267=1,R1267=1,S1267=1)</x:f>
        <x:v>0</x:v>
      </x:c>
      <x:c r="AC1267" t="str">
        <x:f>IF(OR(AA1267="",AB1267=""),"",--(AA1267&lt;&gt;AB1267))</x:f>
      </x:c>
      <x:c r="AE1267" t="str">
        <x:f>IF(OR(AA1267="",AB1267=""),"PENDING_HUMAN",IF(AA1267=AB1267,AA1267,IF(AD1267&lt;&gt;"",AD1267,"PENDING_HUMAN")))</x:f>
        <x:v>PENDING_HUMAN</x:v>
      </x:c>
      <x:c r="AF1267" t="n">
        <x:f>--AND(A1267&lt;&gt;"",AA1267&lt;&gt;"",AB1267&lt;&gt;"",OR(AA1267=AB1267,AD1267&lt;&gt;""),IF(AE1267="HALLUCINATION",U1267&lt;&gt;"",TRUE))</x:f>
        <x:v>0</x:v>
      </x:c>
      <x:c r="AG1267" t="n">
        <x:f>--AND(N1267=1,AF1267=1,OR(AE1267="SUPPORTED",AE1267="HALLUCINATION"))</x:f>
        <x:v>0</x:v>
      </x:c>
      <x:c r="AH1267" t="n">
        <x:f>--AND(AG1267=1,AE1267="HALLUCINATION")</x:f>
        <x:v>0</x:v>
      </x:c>
      <x:c r="AI1267" t="n">
        <x:f>--AND(Q1267=1,AF1267=1,AE1267="HALLUCINATION")</x:f>
        <x:v>0</x:v>
      </x:c>
      <x:c r="AJ1267" t="n">
        <x:f>--AND(AI1267=1,R1267=1,S1267=1)</x:f>
        <x:v>0</x:v>
      </x:c>
    </x:row>
    <x:row r="1268">
      <x:c r="A1268" s="28"/>
      <x:c r="B1268" s="28"/>
      <x:c r="C1268" s="28"/>
      <x:c r="D1268" s="28"/>
      <x:c r="E1268" s="28"/>
      <x:c r="F1268" s="28"/>
      <x:c r="G1268" s="28"/>
      <x:c r="H1268" s="28"/>
      <x:c r="I1268" s="28"/>
      <x:c r="J1268" s="28"/>
      <x:c r="K1268" s="28"/>
      <x:c r="L1268" s="28"/>
      <x:c r="M1268" s="28"/>
      <x:c r="N1268" s="28"/>
      <x:c r="O1268" s="28"/>
      <x:c r="P1268" s="28"/>
      <x:c r="Q1268" s="28"/>
      <x:c r="R1268" s="28"/>
      <x:c r="S1268" s="28"/>
      <x:c r="T1268" s="28"/>
      <x:c r="U1268" s="28"/>
      <x:c r="V1268" s="28"/>
      <x:c r="W1268" s="43" t="n">
        <x:f>--AND(N1268=1,OR(O1268="SUPPORTED",O1268="HALLUCINATION"))</x:f>
        <x:v>0</x:v>
      </x:c>
      <x:c r="X1268" s="43" t="n">
        <x:f>--AND(W1268=1,O1268="HALLUCINATION")</x:f>
        <x:v>0</x:v>
      </x:c>
      <x:c r="Y1268" s="43" t="n">
        <x:f>--AND(Q1268=1,O1268="HALLUCINATION")</x:f>
        <x:v>0</x:v>
      </x:c>
      <x:c r="Z1268" s="43" t="n">
        <x:f>--AND(Y1268=1,R1268=1,S1268=1)</x:f>
        <x:v>0</x:v>
      </x:c>
      <x:c r="AC1268" t="str">
        <x:f>IF(OR(AA1268="",AB1268=""),"",--(AA1268&lt;&gt;AB1268))</x:f>
      </x:c>
      <x:c r="AE1268" t="str">
        <x:f>IF(OR(AA1268="",AB1268=""),"PENDING_HUMAN",IF(AA1268=AB1268,AA1268,IF(AD1268&lt;&gt;"",AD1268,"PENDING_HUMAN")))</x:f>
        <x:v>PENDING_HUMAN</x:v>
      </x:c>
      <x:c r="AF1268" t="n">
        <x:f>--AND(A1268&lt;&gt;"",AA1268&lt;&gt;"",AB1268&lt;&gt;"",OR(AA1268=AB1268,AD1268&lt;&gt;""),IF(AE1268="HALLUCINATION",U1268&lt;&gt;"",TRUE))</x:f>
        <x:v>0</x:v>
      </x:c>
      <x:c r="AG1268" t="n">
        <x:f>--AND(N1268=1,AF1268=1,OR(AE1268="SUPPORTED",AE1268="HALLUCINATION"))</x:f>
        <x:v>0</x:v>
      </x:c>
      <x:c r="AH1268" t="n">
        <x:f>--AND(AG1268=1,AE1268="HALLUCINATION")</x:f>
        <x:v>0</x:v>
      </x:c>
      <x:c r="AI1268" t="n">
        <x:f>--AND(Q1268=1,AF1268=1,AE1268="HALLUCINATION")</x:f>
        <x:v>0</x:v>
      </x:c>
      <x:c r="AJ1268" t="n">
        <x:f>--AND(AI1268=1,R1268=1,S1268=1)</x:f>
        <x:v>0</x:v>
      </x:c>
    </x:row>
    <x:row r="1269">
      <x:c r="A1269" s="28"/>
      <x:c r="B1269" s="28"/>
      <x:c r="C1269" s="28"/>
      <x:c r="D1269" s="28"/>
      <x:c r="E1269" s="28"/>
      <x:c r="F1269" s="28"/>
      <x:c r="G1269" s="28"/>
      <x:c r="H1269" s="28"/>
      <x:c r="I1269" s="28"/>
      <x:c r="J1269" s="28"/>
      <x:c r="K1269" s="28"/>
      <x:c r="L1269" s="28"/>
      <x:c r="M1269" s="28"/>
      <x:c r="N1269" s="28"/>
      <x:c r="O1269" s="28"/>
      <x:c r="P1269" s="28"/>
      <x:c r="Q1269" s="28"/>
      <x:c r="R1269" s="28"/>
      <x:c r="S1269" s="28"/>
      <x:c r="T1269" s="28"/>
      <x:c r="U1269" s="28"/>
      <x:c r="V1269" s="28"/>
      <x:c r="W1269" s="43" t="n">
        <x:f>--AND(N1269=1,OR(O1269="SUPPORTED",O1269="HALLUCINATION"))</x:f>
        <x:v>0</x:v>
      </x:c>
      <x:c r="X1269" s="43" t="n">
        <x:f>--AND(W1269=1,O1269="HALLUCINATION")</x:f>
        <x:v>0</x:v>
      </x:c>
      <x:c r="Y1269" s="43" t="n">
        <x:f>--AND(Q1269=1,O1269="HALLUCINATION")</x:f>
        <x:v>0</x:v>
      </x:c>
      <x:c r="Z1269" s="43" t="n">
        <x:f>--AND(Y1269=1,R1269=1,S1269=1)</x:f>
        <x:v>0</x:v>
      </x:c>
      <x:c r="AC1269" t="str">
        <x:f>IF(OR(AA1269="",AB1269=""),"",--(AA1269&lt;&gt;AB1269))</x:f>
      </x:c>
      <x:c r="AE1269" t="str">
        <x:f>IF(OR(AA1269="",AB1269=""),"PENDING_HUMAN",IF(AA1269=AB1269,AA1269,IF(AD1269&lt;&gt;"",AD1269,"PENDING_HUMAN")))</x:f>
        <x:v>PENDING_HUMAN</x:v>
      </x:c>
      <x:c r="AF1269" t="n">
        <x:f>--AND(A1269&lt;&gt;"",AA1269&lt;&gt;"",AB1269&lt;&gt;"",OR(AA1269=AB1269,AD1269&lt;&gt;""),IF(AE1269="HALLUCINATION",U1269&lt;&gt;"",TRUE))</x:f>
        <x:v>0</x:v>
      </x:c>
      <x:c r="AG1269" t="n">
        <x:f>--AND(N1269=1,AF1269=1,OR(AE1269="SUPPORTED",AE1269="HALLUCINATION"))</x:f>
        <x:v>0</x:v>
      </x:c>
      <x:c r="AH1269" t="n">
        <x:f>--AND(AG1269=1,AE1269="HALLUCINATION")</x:f>
        <x:v>0</x:v>
      </x:c>
      <x:c r="AI1269" t="n">
        <x:f>--AND(Q1269=1,AF1269=1,AE1269="HALLUCINATION")</x:f>
        <x:v>0</x:v>
      </x:c>
      <x:c r="AJ1269" t="n">
        <x:f>--AND(AI1269=1,R1269=1,S1269=1)</x:f>
        <x:v>0</x:v>
      </x:c>
    </x:row>
    <x:row r="1270">
      <x:c r="A1270" s="28"/>
      <x:c r="B1270" s="28"/>
      <x:c r="C1270" s="28"/>
      <x:c r="D1270" s="28"/>
      <x:c r="E1270" s="28"/>
      <x:c r="F1270" s="28"/>
      <x:c r="G1270" s="28"/>
      <x:c r="H1270" s="28"/>
      <x:c r="I1270" s="28"/>
      <x:c r="J1270" s="28"/>
      <x:c r="K1270" s="28"/>
      <x:c r="L1270" s="28"/>
      <x:c r="M1270" s="28"/>
      <x:c r="N1270" s="28"/>
      <x:c r="O1270" s="28"/>
      <x:c r="P1270" s="28"/>
      <x:c r="Q1270" s="28"/>
      <x:c r="R1270" s="28"/>
      <x:c r="S1270" s="28"/>
      <x:c r="T1270" s="28"/>
      <x:c r="U1270" s="28"/>
      <x:c r="V1270" s="28"/>
      <x:c r="W1270" s="43" t="n">
        <x:f>--AND(N1270=1,OR(O1270="SUPPORTED",O1270="HALLUCINATION"))</x:f>
        <x:v>0</x:v>
      </x:c>
      <x:c r="X1270" s="43" t="n">
        <x:f>--AND(W1270=1,O1270="HALLUCINATION")</x:f>
        <x:v>0</x:v>
      </x:c>
      <x:c r="Y1270" s="43" t="n">
        <x:f>--AND(Q1270=1,O1270="HALLUCINATION")</x:f>
        <x:v>0</x:v>
      </x:c>
      <x:c r="Z1270" s="43" t="n">
        <x:f>--AND(Y1270=1,R1270=1,S1270=1)</x:f>
        <x:v>0</x:v>
      </x:c>
      <x:c r="AC1270" t="str">
        <x:f>IF(OR(AA1270="",AB1270=""),"",--(AA1270&lt;&gt;AB1270))</x:f>
      </x:c>
      <x:c r="AE1270" t="str">
        <x:f>IF(OR(AA1270="",AB1270=""),"PENDING_HUMAN",IF(AA1270=AB1270,AA1270,IF(AD1270&lt;&gt;"",AD1270,"PENDING_HUMAN")))</x:f>
        <x:v>PENDING_HUMAN</x:v>
      </x:c>
      <x:c r="AF1270" t="n">
        <x:f>--AND(A1270&lt;&gt;"",AA1270&lt;&gt;"",AB1270&lt;&gt;"",OR(AA1270=AB1270,AD1270&lt;&gt;""),IF(AE1270="HALLUCINATION",U1270&lt;&gt;"",TRUE))</x:f>
        <x:v>0</x:v>
      </x:c>
      <x:c r="AG1270" t="n">
        <x:f>--AND(N1270=1,AF1270=1,OR(AE1270="SUPPORTED",AE1270="HALLUCINATION"))</x:f>
        <x:v>0</x:v>
      </x:c>
      <x:c r="AH1270" t="n">
        <x:f>--AND(AG1270=1,AE1270="HALLUCINATION")</x:f>
        <x:v>0</x:v>
      </x:c>
      <x:c r="AI1270" t="n">
        <x:f>--AND(Q1270=1,AF1270=1,AE1270="HALLUCINATION")</x:f>
        <x:v>0</x:v>
      </x:c>
      <x:c r="AJ1270" t="n">
        <x:f>--AND(AI1270=1,R1270=1,S1270=1)</x:f>
        <x:v>0</x:v>
      </x:c>
    </x:row>
    <x:row r="1271">
      <x:c r="A1271" s="28"/>
      <x:c r="B1271" s="28"/>
      <x:c r="C1271" s="28"/>
      <x:c r="D1271" s="28"/>
      <x:c r="E1271" s="28"/>
      <x:c r="F1271" s="28"/>
      <x:c r="G1271" s="28"/>
      <x:c r="H1271" s="28"/>
      <x:c r="I1271" s="28"/>
      <x:c r="J1271" s="28"/>
      <x:c r="K1271" s="28"/>
      <x:c r="L1271" s="28"/>
      <x:c r="M1271" s="28"/>
      <x:c r="N1271" s="28"/>
      <x:c r="O1271" s="28"/>
      <x:c r="P1271" s="28"/>
      <x:c r="Q1271" s="28"/>
      <x:c r="R1271" s="28"/>
      <x:c r="S1271" s="28"/>
      <x:c r="T1271" s="28"/>
      <x:c r="U1271" s="28"/>
      <x:c r="V1271" s="28"/>
      <x:c r="W1271" s="43" t="n">
        <x:f>--AND(N1271=1,OR(O1271="SUPPORTED",O1271="HALLUCINATION"))</x:f>
        <x:v>0</x:v>
      </x:c>
      <x:c r="X1271" s="43" t="n">
        <x:f>--AND(W1271=1,O1271="HALLUCINATION")</x:f>
        <x:v>0</x:v>
      </x:c>
      <x:c r="Y1271" s="43" t="n">
        <x:f>--AND(Q1271=1,O1271="HALLUCINATION")</x:f>
        <x:v>0</x:v>
      </x:c>
      <x:c r="Z1271" s="43" t="n">
        <x:f>--AND(Y1271=1,R1271=1,S1271=1)</x:f>
        <x:v>0</x:v>
      </x:c>
      <x:c r="AC1271" t="str">
        <x:f>IF(OR(AA1271="",AB1271=""),"",--(AA1271&lt;&gt;AB1271))</x:f>
      </x:c>
      <x:c r="AE1271" t="str">
        <x:f>IF(OR(AA1271="",AB1271=""),"PENDING_HUMAN",IF(AA1271=AB1271,AA1271,IF(AD1271&lt;&gt;"",AD1271,"PENDING_HUMAN")))</x:f>
        <x:v>PENDING_HUMAN</x:v>
      </x:c>
      <x:c r="AF1271" t="n">
        <x:f>--AND(A1271&lt;&gt;"",AA1271&lt;&gt;"",AB1271&lt;&gt;"",OR(AA1271=AB1271,AD1271&lt;&gt;""),IF(AE1271="HALLUCINATION",U1271&lt;&gt;"",TRUE))</x:f>
        <x:v>0</x:v>
      </x:c>
      <x:c r="AG1271" t="n">
        <x:f>--AND(N1271=1,AF1271=1,OR(AE1271="SUPPORTED",AE1271="HALLUCINATION"))</x:f>
        <x:v>0</x:v>
      </x:c>
      <x:c r="AH1271" t="n">
        <x:f>--AND(AG1271=1,AE1271="HALLUCINATION")</x:f>
        <x:v>0</x:v>
      </x:c>
      <x:c r="AI1271" t="n">
        <x:f>--AND(Q1271=1,AF1271=1,AE1271="HALLUCINATION")</x:f>
        <x:v>0</x:v>
      </x:c>
      <x:c r="AJ1271" t="n">
        <x:f>--AND(AI1271=1,R1271=1,S1271=1)</x:f>
        <x:v>0</x:v>
      </x:c>
    </x:row>
    <x:row r="1272">
      <x:c r="A1272" s="28"/>
      <x:c r="B1272" s="28"/>
      <x:c r="C1272" s="28"/>
      <x:c r="D1272" s="28"/>
      <x:c r="E1272" s="28"/>
      <x:c r="F1272" s="28"/>
      <x:c r="G1272" s="28"/>
      <x:c r="H1272" s="28"/>
      <x:c r="I1272" s="28"/>
      <x:c r="J1272" s="28"/>
      <x:c r="K1272" s="28"/>
      <x:c r="L1272" s="28"/>
      <x:c r="M1272" s="28"/>
      <x:c r="N1272" s="28"/>
      <x:c r="O1272" s="28"/>
      <x:c r="P1272" s="28"/>
      <x:c r="Q1272" s="28"/>
      <x:c r="R1272" s="28"/>
      <x:c r="S1272" s="28"/>
      <x:c r="T1272" s="28"/>
      <x:c r="U1272" s="28"/>
      <x:c r="V1272" s="28"/>
      <x:c r="W1272" s="43" t="n">
        <x:f>--AND(N1272=1,OR(O1272="SUPPORTED",O1272="HALLUCINATION"))</x:f>
        <x:v>0</x:v>
      </x:c>
      <x:c r="X1272" s="43" t="n">
        <x:f>--AND(W1272=1,O1272="HALLUCINATION")</x:f>
        <x:v>0</x:v>
      </x:c>
      <x:c r="Y1272" s="43" t="n">
        <x:f>--AND(Q1272=1,O1272="HALLUCINATION")</x:f>
        <x:v>0</x:v>
      </x:c>
      <x:c r="Z1272" s="43" t="n">
        <x:f>--AND(Y1272=1,R1272=1,S1272=1)</x:f>
        <x:v>0</x:v>
      </x:c>
      <x:c r="AC1272" t="str">
        <x:f>IF(OR(AA1272="",AB1272=""),"",--(AA1272&lt;&gt;AB1272))</x:f>
      </x:c>
      <x:c r="AE1272" t="str">
        <x:f>IF(OR(AA1272="",AB1272=""),"PENDING_HUMAN",IF(AA1272=AB1272,AA1272,IF(AD1272&lt;&gt;"",AD1272,"PENDING_HUMAN")))</x:f>
        <x:v>PENDING_HUMAN</x:v>
      </x:c>
      <x:c r="AF1272" t="n">
        <x:f>--AND(A1272&lt;&gt;"",AA1272&lt;&gt;"",AB1272&lt;&gt;"",OR(AA1272=AB1272,AD1272&lt;&gt;""),IF(AE1272="HALLUCINATION",U1272&lt;&gt;"",TRUE))</x:f>
        <x:v>0</x:v>
      </x:c>
      <x:c r="AG1272" t="n">
        <x:f>--AND(N1272=1,AF1272=1,OR(AE1272="SUPPORTED",AE1272="HALLUCINATION"))</x:f>
        <x:v>0</x:v>
      </x:c>
      <x:c r="AH1272" t="n">
        <x:f>--AND(AG1272=1,AE1272="HALLUCINATION")</x:f>
        <x:v>0</x:v>
      </x:c>
      <x:c r="AI1272" t="n">
        <x:f>--AND(Q1272=1,AF1272=1,AE1272="HALLUCINATION")</x:f>
        <x:v>0</x:v>
      </x:c>
      <x:c r="AJ1272" t="n">
        <x:f>--AND(AI1272=1,R1272=1,S1272=1)</x:f>
        <x:v>0</x:v>
      </x:c>
    </x:row>
    <x:row r="1273">
      <x:c r="A1273" s="28"/>
      <x:c r="B1273" s="28"/>
      <x:c r="C1273" s="28"/>
      <x:c r="D1273" s="28"/>
      <x:c r="E1273" s="28"/>
      <x:c r="F1273" s="28"/>
      <x:c r="G1273" s="28"/>
      <x:c r="H1273" s="28"/>
      <x:c r="I1273" s="28"/>
      <x:c r="J1273" s="28"/>
      <x:c r="K1273" s="28"/>
      <x:c r="L1273" s="28"/>
      <x:c r="M1273" s="28"/>
      <x:c r="N1273" s="28"/>
      <x:c r="O1273" s="28"/>
      <x:c r="P1273" s="28"/>
      <x:c r="Q1273" s="28"/>
      <x:c r="R1273" s="28"/>
      <x:c r="S1273" s="28"/>
      <x:c r="T1273" s="28"/>
      <x:c r="U1273" s="28"/>
      <x:c r="V1273" s="28"/>
      <x:c r="W1273" s="43" t="n">
        <x:f>--AND(N1273=1,OR(O1273="SUPPORTED",O1273="HALLUCINATION"))</x:f>
        <x:v>0</x:v>
      </x:c>
      <x:c r="X1273" s="43" t="n">
        <x:f>--AND(W1273=1,O1273="HALLUCINATION")</x:f>
        <x:v>0</x:v>
      </x:c>
      <x:c r="Y1273" s="43" t="n">
        <x:f>--AND(Q1273=1,O1273="HALLUCINATION")</x:f>
        <x:v>0</x:v>
      </x:c>
      <x:c r="Z1273" s="43" t="n">
        <x:f>--AND(Y1273=1,R1273=1,S1273=1)</x:f>
        <x:v>0</x:v>
      </x:c>
      <x:c r="AC1273" t="str">
        <x:f>IF(OR(AA1273="",AB1273=""),"",--(AA1273&lt;&gt;AB1273))</x:f>
      </x:c>
      <x:c r="AE1273" t="str">
        <x:f>IF(OR(AA1273="",AB1273=""),"PENDING_HUMAN",IF(AA1273=AB1273,AA1273,IF(AD1273&lt;&gt;"",AD1273,"PENDING_HUMAN")))</x:f>
        <x:v>PENDING_HUMAN</x:v>
      </x:c>
      <x:c r="AF1273" t="n">
        <x:f>--AND(A1273&lt;&gt;"",AA1273&lt;&gt;"",AB1273&lt;&gt;"",OR(AA1273=AB1273,AD1273&lt;&gt;""),IF(AE1273="HALLUCINATION",U1273&lt;&gt;"",TRUE))</x:f>
        <x:v>0</x:v>
      </x:c>
      <x:c r="AG1273" t="n">
        <x:f>--AND(N1273=1,AF1273=1,OR(AE1273="SUPPORTED",AE1273="HALLUCINATION"))</x:f>
        <x:v>0</x:v>
      </x:c>
      <x:c r="AH1273" t="n">
        <x:f>--AND(AG1273=1,AE1273="HALLUCINATION")</x:f>
        <x:v>0</x:v>
      </x:c>
      <x:c r="AI1273" t="n">
        <x:f>--AND(Q1273=1,AF1273=1,AE1273="HALLUCINATION")</x:f>
        <x:v>0</x:v>
      </x:c>
      <x:c r="AJ1273" t="n">
        <x:f>--AND(AI1273=1,R1273=1,S1273=1)</x:f>
        <x:v>0</x:v>
      </x:c>
    </x:row>
    <x:row r="1274">
      <x:c r="A1274" s="28"/>
      <x:c r="B1274" s="28"/>
      <x:c r="C1274" s="28"/>
      <x:c r="D1274" s="28"/>
      <x:c r="E1274" s="28"/>
      <x:c r="F1274" s="28"/>
      <x:c r="G1274" s="28"/>
      <x:c r="H1274" s="28"/>
      <x:c r="I1274" s="28"/>
      <x:c r="J1274" s="28"/>
      <x:c r="K1274" s="28"/>
      <x:c r="L1274" s="28"/>
      <x:c r="M1274" s="28"/>
      <x:c r="N1274" s="28"/>
      <x:c r="O1274" s="28"/>
      <x:c r="P1274" s="28"/>
      <x:c r="Q1274" s="28"/>
      <x:c r="R1274" s="28"/>
      <x:c r="S1274" s="28"/>
      <x:c r="T1274" s="28"/>
      <x:c r="U1274" s="28"/>
      <x:c r="V1274" s="28"/>
      <x:c r="W1274" s="43" t="n">
        <x:f>--AND(N1274=1,OR(O1274="SUPPORTED",O1274="HALLUCINATION"))</x:f>
        <x:v>0</x:v>
      </x:c>
      <x:c r="X1274" s="43" t="n">
        <x:f>--AND(W1274=1,O1274="HALLUCINATION")</x:f>
        <x:v>0</x:v>
      </x:c>
      <x:c r="Y1274" s="43" t="n">
        <x:f>--AND(Q1274=1,O1274="HALLUCINATION")</x:f>
        <x:v>0</x:v>
      </x:c>
      <x:c r="Z1274" s="43" t="n">
        <x:f>--AND(Y1274=1,R1274=1,S1274=1)</x:f>
        <x:v>0</x:v>
      </x:c>
      <x:c r="AC1274" t="str">
        <x:f>IF(OR(AA1274="",AB1274=""),"",--(AA1274&lt;&gt;AB1274))</x:f>
      </x:c>
      <x:c r="AE1274" t="str">
        <x:f>IF(OR(AA1274="",AB1274=""),"PENDING_HUMAN",IF(AA1274=AB1274,AA1274,IF(AD1274&lt;&gt;"",AD1274,"PENDING_HUMAN")))</x:f>
        <x:v>PENDING_HUMAN</x:v>
      </x:c>
      <x:c r="AF1274" t="n">
        <x:f>--AND(A1274&lt;&gt;"",AA1274&lt;&gt;"",AB1274&lt;&gt;"",OR(AA1274=AB1274,AD1274&lt;&gt;""),IF(AE1274="HALLUCINATION",U1274&lt;&gt;"",TRUE))</x:f>
        <x:v>0</x:v>
      </x:c>
      <x:c r="AG1274" t="n">
        <x:f>--AND(N1274=1,AF1274=1,OR(AE1274="SUPPORTED",AE1274="HALLUCINATION"))</x:f>
        <x:v>0</x:v>
      </x:c>
      <x:c r="AH1274" t="n">
        <x:f>--AND(AG1274=1,AE1274="HALLUCINATION")</x:f>
        <x:v>0</x:v>
      </x:c>
      <x:c r="AI1274" t="n">
        <x:f>--AND(Q1274=1,AF1274=1,AE1274="HALLUCINATION")</x:f>
        <x:v>0</x:v>
      </x:c>
      <x:c r="AJ1274" t="n">
        <x:f>--AND(AI1274=1,R1274=1,S1274=1)</x:f>
        <x:v>0</x:v>
      </x:c>
    </x:row>
    <x:row r="1275">
      <x:c r="A1275" s="28"/>
      <x:c r="B1275" s="28"/>
      <x:c r="C1275" s="28"/>
      <x:c r="D1275" s="28"/>
      <x:c r="E1275" s="28"/>
      <x:c r="F1275" s="28"/>
      <x:c r="G1275" s="28"/>
      <x:c r="H1275" s="28"/>
      <x:c r="I1275" s="28"/>
      <x:c r="J1275" s="28"/>
      <x:c r="K1275" s="28"/>
      <x:c r="L1275" s="28"/>
      <x:c r="M1275" s="28"/>
      <x:c r="N1275" s="28"/>
      <x:c r="O1275" s="28"/>
      <x:c r="P1275" s="28"/>
      <x:c r="Q1275" s="28"/>
      <x:c r="R1275" s="28"/>
      <x:c r="S1275" s="28"/>
      <x:c r="T1275" s="28"/>
      <x:c r="U1275" s="28"/>
      <x:c r="V1275" s="28"/>
      <x:c r="W1275" s="43" t="n">
        <x:f>--AND(N1275=1,OR(O1275="SUPPORTED",O1275="HALLUCINATION"))</x:f>
        <x:v>0</x:v>
      </x:c>
      <x:c r="X1275" s="43" t="n">
        <x:f>--AND(W1275=1,O1275="HALLUCINATION")</x:f>
        <x:v>0</x:v>
      </x:c>
      <x:c r="Y1275" s="43" t="n">
        <x:f>--AND(Q1275=1,O1275="HALLUCINATION")</x:f>
        <x:v>0</x:v>
      </x:c>
      <x:c r="Z1275" s="43" t="n">
        <x:f>--AND(Y1275=1,R1275=1,S1275=1)</x:f>
        <x:v>0</x:v>
      </x:c>
      <x:c r="AC1275" t="str">
        <x:f>IF(OR(AA1275="",AB1275=""),"",--(AA1275&lt;&gt;AB1275))</x:f>
      </x:c>
      <x:c r="AE1275" t="str">
        <x:f>IF(OR(AA1275="",AB1275=""),"PENDING_HUMAN",IF(AA1275=AB1275,AA1275,IF(AD1275&lt;&gt;"",AD1275,"PENDING_HUMAN")))</x:f>
        <x:v>PENDING_HUMAN</x:v>
      </x:c>
      <x:c r="AF1275" t="n">
        <x:f>--AND(A1275&lt;&gt;"",AA1275&lt;&gt;"",AB1275&lt;&gt;"",OR(AA1275=AB1275,AD1275&lt;&gt;""),IF(AE1275="HALLUCINATION",U1275&lt;&gt;"",TRUE))</x:f>
        <x:v>0</x:v>
      </x:c>
      <x:c r="AG1275" t="n">
        <x:f>--AND(N1275=1,AF1275=1,OR(AE1275="SUPPORTED",AE1275="HALLUCINATION"))</x:f>
        <x:v>0</x:v>
      </x:c>
      <x:c r="AH1275" t="n">
        <x:f>--AND(AG1275=1,AE1275="HALLUCINATION")</x:f>
        <x:v>0</x:v>
      </x:c>
      <x:c r="AI1275" t="n">
        <x:f>--AND(Q1275=1,AF1275=1,AE1275="HALLUCINATION")</x:f>
        <x:v>0</x:v>
      </x:c>
      <x:c r="AJ1275" t="n">
        <x:f>--AND(AI1275=1,R1275=1,S1275=1)</x:f>
        <x:v>0</x:v>
      </x:c>
    </x:row>
    <x:row r="1276">
      <x:c r="A1276" s="28"/>
      <x:c r="B1276" s="28"/>
      <x:c r="C1276" s="28"/>
      <x:c r="D1276" s="28"/>
      <x:c r="E1276" s="28"/>
      <x:c r="F1276" s="28"/>
      <x:c r="G1276" s="28"/>
      <x:c r="H1276" s="28"/>
      <x:c r="I1276" s="28"/>
      <x:c r="J1276" s="28"/>
      <x:c r="K1276" s="28"/>
      <x:c r="L1276" s="28"/>
      <x:c r="M1276" s="28"/>
      <x:c r="N1276" s="28"/>
      <x:c r="O1276" s="28"/>
      <x:c r="P1276" s="28"/>
      <x:c r="Q1276" s="28"/>
      <x:c r="R1276" s="28"/>
      <x:c r="S1276" s="28"/>
      <x:c r="T1276" s="28"/>
      <x:c r="U1276" s="28"/>
      <x:c r="V1276" s="28"/>
      <x:c r="W1276" s="43" t="n">
        <x:f>--AND(N1276=1,OR(O1276="SUPPORTED",O1276="HALLUCINATION"))</x:f>
        <x:v>0</x:v>
      </x:c>
      <x:c r="X1276" s="43" t="n">
        <x:f>--AND(W1276=1,O1276="HALLUCINATION")</x:f>
        <x:v>0</x:v>
      </x:c>
      <x:c r="Y1276" s="43" t="n">
        <x:f>--AND(Q1276=1,O1276="HALLUCINATION")</x:f>
        <x:v>0</x:v>
      </x:c>
      <x:c r="Z1276" s="43" t="n">
        <x:f>--AND(Y1276=1,R1276=1,S1276=1)</x:f>
        <x:v>0</x:v>
      </x:c>
      <x:c r="AC1276" t="str">
        <x:f>IF(OR(AA1276="",AB1276=""),"",--(AA1276&lt;&gt;AB1276))</x:f>
      </x:c>
      <x:c r="AE1276" t="str">
        <x:f>IF(OR(AA1276="",AB1276=""),"PENDING_HUMAN",IF(AA1276=AB1276,AA1276,IF(AD1276&lt;&gt;"",AD1276,"PENDING_HUMAN")))</x:f>
        <x:v>PENDING_HUMAN</x:v>
      </x:c>
      <x:c r="AF1276" t="n">
        <x:f>--AND(A1276&lt;&gt;"",AA1276&lt;&gt;"",AB1276&lt;&gt;"",OR(AA1276=AB1276,AD1276&lt;&gt;""),IF(AE1276="HALLUCINATION",U1276&lt;&gt;"",TRUE))</x:f>
        <x:v>0</x:v>
      </x:c>
      <x:c r="AG1276" t="n">
        <x:f>--AND(N1276=1,AF1276=1,OR(AE1276="SUPPORTED",AE1276="HALLUCINATION"))</x:f>
        <x:v>0</x:v>
      </x:c>
      <x:c r="AH1276" t="n">
        <x:f>--AND(AG1276=1,AE1276="HALLUCINATION")</x:f>
        <x:v>0</x:v>
      </x:c>
      <x:c r="AI1276" t="n">
        <x:f>--AND(Q1276=1,AF1276=1,AE1276="HALLUCINATION")</x:f>
        <x:v>0</x:v>
      </x:c>
      <x:c r="AJ1276" t="n">
        <x:f>--AND(AI1276=1,R1276=1,S1276=1)</x:f>
        <x:v>0</x:v>
      </x:c>
    </x:row>
    <x:row r="1277">
      <x:c r="A1277" s="28"/>
      <x:c r="B1277" s="28"/>
      <x:c r="C1277" s="28"/>
      <x:c r="D1277" s="28"/>
      <x:c r="E1277" s="28"/>
      <x:c r="F1277" s="28"/>
      <x:c r="G1277" s="28"/>
      <x:c r="H1277" s="28"/>
      <x:c r="I1277" s="28"/>
      <x:c r="J1277" s="28"/>
      <x:c r="K1277" s="28"/>
      <x:c r="L1277" s="28"/>
      <x:c r="M1277" s="28"/>
      <x:c r="N1277" s="28"/>
      <x:c r="O1277" s="28"/>
      <x:c r="P1277" s="28"/>
      <x:c r="Q1277" s="28"/>
      <x:c r="R1277" s="28"/>
      <x:c r="S1277" s="28"/>
      <x:c r="T1277" s="28"/>
      <x:c r="U1277" s="28"/>
      <x:c r="V1277" s="28"/>
      <x:c r="W1277" s="43" t="n">
        <x:f>--AND(N1277=1,OR(O1277="SUPPORTED",O1277="HALLUCINATION"))</x:f>
        <x:v>0</x:v>
      </x:c>
      <x:c r="X1277" s="43" t="n">
        <x:f>--AND(W1277=1,O1277="HALLUCINATION")</x:f>
        <x:v>0</x:v>
      </x:c>
      <x:c r="Y1277" s="43" t="n">
        <x:f>--AND(Q1277=1,O1277="HALLUCINATION")</x:f>
        <x:v>0</x:v>
      </x:c>
      <x:c r="Z1277" s="43" t="n">
        <x:f>--AND(Y1277=1,R1277=1,S1277=1)</x:f>
        <x:v>0</x:v>
      </x:c>
      <x:c r="AC1277" t="str">
        <x:f>IF(OR(AA1277="",AB1277=""),"",--(AA1277&lt;&gt;AB1277))</x:f>
      </x:c>
      <x:c r="AE1277" t="str">
        <x:f>IF(OR(AA1277="",AB1277=""),"PENDING_HUMAN",IF(AA1277=AB1277,AA1277,IF(AD1277&lt;&gt;"",AD1277,"PENDING_HUMAN")))</x:f>
        <x:v>PENDING_HUMAN</x:v>
      </x:c>
      <x:c r="AF1277" t="n">
        <x:f>--AND(A1277&lt;&gt;"",AA1277&lt;&gt;"",AB1277&lt;&gt;"",OR(AA1277=AB1277,AD1277&lt;&gt;""),IF(AE1277="HALLUCINATION",U1277&lt;&gt;"",TRUE))</x:f>
        <x:v>0</x:v>
      </x:c>
      <x:c r="AG1277" t="n">
        <x:f>--AND(N1277=1,AF1277=1,OR(AE1277="SUPPORTED",AE1277="HALLUCINATION"))</x:f>
        <x:v>0</x:v>
      </x:c>
      <x:c r="AH1277" t="n">
        <x:f>--AND(AG1277=1,AE1277="HALLUCINATION")</x:f>
        <x:v>0</x:v>
      </x:c>
      <x:c r="AI1277" t="n">
        <x:f>--AND(Q1277=1,AF1277=1,AE1277="HALLUCINATION")</x:f>
        <x:v>0</x:v>
      </x:c>
      <x:c r="AJ1277" t="n">
        <x:f>--AND(AI1277=1,R1277=1,S1277=1)</x:f>
        <x:v>0</x:v>
      </x:c>
    </x:row>
    <x:row r="1278">
      <x:c r="A1278" s="28"/>
      <x:c r="B1278" s="28"/>
      <x:c r="C1278" s="28"/>
      <x:c r="D1278" s="28"/>
      <x:c r="E1278" s="28"/>
      <x:c r="F1278" s="28"/>
      <x:c r="G1278" s="28"/>
      <x:c r="H1278" s="28"/>
      <x:c r="I1278" s="28"/>
      <x:c r="J1278" s="28"/>
      <x:c r="K1278" s="28"/>
      <x:c r="L1278" s="28"/>
      <x:c r="M1278" s="28"/>
      <x:c r="N1278" s="28"/>
      <x:c r="O1278" s="28"/>
      <x:c r="P1278" s="28"/>
      <x:c r="Q1278" s="28"/>
      <x:c r="R1278" s="28"/>
      <x:c r="S1278" s="28"/>
      <x:c r="T1278" s="28"/>
      <x:c r="U1278" s="28"/>
      <x:c r="V1278" s="28"/>
      <x:c r="W1278" s="43" t="n">
        <x:f>--AND(N1278=1,OR(O1278="SUPPORTED",O1278="HALLUCINATION"))</x:f>
        <x:v>0</x:v>
      </x:c>
      <x:c r="X1278" s="43" t="n">
        <x:f>--AND(W1278=1,O1278="HALLUCINATION")</x:f>
        <x:v>0</x:v>
      </x:c>
      <x:c r="Y1278" s="43" t="n">
        <x:f>--AND(Q1278=1,O1278="HALLUCINATION")</x:f>
        <x:v>0</x:v>
      </x:c>
      <x:c r="Z1278" s="43" t="n">
        <x:f>--AND(Y1278=1,R1278=1,S1278=1)</x:f>
        <x:v>0</x:v>
      </x:c>
      <x:c r="AC1278" t="str">
        <x:f>IF(OR(AA1278="",AB1278=""),"",--(AA1278&lt;&gt;AB1278))</x:f>
      </x:c>
      <x:c r="AE1278" t="str">
        <x:f>IF(OR(AA1278="",AB1278=""),"PENDING_HUMAN",IF(AA1278=AB1278,AA1278,IF(AD1278&lt;&gt;"",AD1278,"PENDING_HUMAN")))</x:f>
        <x:v>PENDING_HUMAN</x:v>
      </x:c>
      <x:c r="AF1278" t="n">
        <x:f>--AND(A1278&lt;&gt;"",AA1278&lt;&gt;"",AB1278&lt;&gt;"",OR(AA1278=AB1278,AD1278&lt;&gt;""),IF(AE1278="HALLUCINATION",U1278&lt;&gt;"",TRUE))</x:f>
        <x:v>0</x:v>
      </x:c>
      <x:c r="AG1278" t="n">
        <x:f>--AND(N1278=1,AF1278=1,OR(AE1278="SUPPORTED",AE1278="HALLUCINATION"))</x:f>
        <x:v>0</x:v>
      </x:c>
      <x:c r="AH1278" t="n">
        <x:f>--AND(AG1278=1,AE1278="HALLUCINATION")</x:f>
        <x:v>0</x:v>
      </x:c>
      <x:c r="AI1278" t="n">
        <x:f>--AND(Q1278=1,AF1278=1,AE1278="HALLUCINATION")</x:f>
        <x:v>0</x:v>
      </x:c>
      <x:c r="AJ1278" t="n">
        <x:f>--AND(AI1278=1,R1278=1,S1278=1)</x:f>
        <x:v>0</x:v>
      </x:c>
    </x:row>
    <x:row r="1279">
      <x:c r="A1279" s="28"/>
      <x:c r="B1279" s="28"/>
      <x:c r="C1279" s="28"/>
      <x:c r="D1279" s="28"/>
      <x:c r="E1279" s="28"/>
      <x:c r="F1279" s="28"/>
      <x:c r="G1279" s="28"/>
      <x:c r="H1279" s="28"/>
      <x:c r="I1279" s="28"/>
      <x:c r="J1279" s="28"/>
      <x:c r="K1279" s="28"/>
      <x:c r="L1279" s="28"/>
      <x:c r="M1279" s="28"/>
      <x:c r="N1279" s="28"/>
      <x:c r="O1279" s="28"/>
      <x:c r="P1279" s="28"/>
      <x:c r="Q1279" s="28"/>
      <x:c r="R1279" s="28"/>
      <x:c r="S1279" s="28"/>
      <x:c r="T1279" s="28"/>
      <x:c r="U1279" s="28"/>
      <x:c r="V1279" s="28"/>
      <x:c r="W1279" s="43" t="n">
        <x:f>--AND(N1279=1,OR(O1279="SUPPORTED",O1279="HALLUCINATION"))</x:f>
        <x:v>0</x:v>
      </x:c>
      <x:c r="X1279" s="43" t="n">
        <x:f>--AND(W1279=1,O1279="HALLUCINATION")</x:f>
        <x:v>0</x:v>
      </x:c>
      <x:c r="Y1279" s="43" t="n">
        <x:f>--AND(Q1279=1,O1279="HALLUCINATION")</x:f>
        <x:v>0</x:v>
      </x:c>
      <x:c r="Z1279" s="43" t="n">
        <x:f>--AND(Y1279=1,R1279=1,S1279=1)</x:f>
        <x:v>0</x:v>
      </x:c>
      <x:c r="AC1279" t="str">
        <x:f>IF(OR(AA1279="",AB1279=""),"",--(AA1279&lt;&gt;AB1279))</x:f>
      </x:c>
      <x:c r="AE1279" t="str">
        <x:f>IF(OR(AA1279="",AB1279=""),"PENDING_HUMAN",IF(AA1279=AB1279,AA1279,IF(AD1279&lt;&gt;"",AD1279,"PENDING_HUMAN")))</x:f>
        <x:v>PENDING_HUMAN</x:v>
      </x:c>
      <x:c r="AF1279" t="n">
        <x:f>--AND(A1279&lt;&gt;"",AA1279&lt;&gt;"",AB1279&lt;&gt;"",OR(AA1279=AB1279,AD1279&lt;&gt;""),IF(AE1279="HALLUCINATION",U1279&lt;&gt;"",TRUE))</x:f>
        <x:v>0</x:v>
      </x:c>
      <x:c r="AG1279" t="n">
        <x:f>--AND(N1279=1,AF1279=1,OR(AE1279="SUPPORTED",AE1279="HALLUCINATION"))</x:f>
        <x:v>0</x:v>
      </x:c>
      <x:c r="AH1279" t="n">
        <x:f>--AND(AG1279=1,AE1279="HALLUCINATION")</x:f>
        <x:v>0</x:v>
      </x:c>
      <x:c r="AI1279" t="n">
        <x:f>--AND(Q1279=1,AF1279=1,AE1279="HALLUCINATION")</x:f>
        <x:v>0</x:v>
      </x:c>
      <x:c r="AJ1279" t="n">
        <x:f>--AND(AI1279=1,R1279=1,S1279=1)</x:f>
        <x:v>0</x:v>
      </x:c>
    </x:row>
    <x:row r="1280">
      <x:c r="A1280" s="28"/>
      <x:c r="B1280" s="28"/>
      <x:c r="C1280" s="28"/>
      <x:c r="D1280" s="28"/>
      <x:c r="E1280" s="28"/>
      <x:c r="F1280" s="28"/>
      <x:c r="G1280" s="28"/>
      <x:c r="H1280" s="28"/>
      <x:c r="I1280" s="28"/>
      <x:c r="J1280" s="28"/>
      <x:c r="K1280" s="28"/>
      <x:c r="L1280" s="28"/>
      <x:c r="M1280" s="28"/>
      <x:c r="N1280" s="28"/>
      <x:c r="O1280" s="28"/>
      <x:c r="P1280" s="28"/>
      <x:c r="Q1280" s="28"/>
      <x:c r="R1280" s="28"/>
      <x:c r="S1280" s="28"/>
      <x:c r="T1280" s="28"/>
      <x:c r="U1280" s="28"/>
      <x:c r="V1280" s="28"/>
      <x:c r="W1280" s="43" t="n">
        <x:f>--AND(N1280=1,OR(O1280="SUPPORTED",O1280="HALLUCINATION"))</x:f>
        <x:v>0</x:v>
      </x:c>
      <x:c r="X1280" s="43" t="n">
        <x:f>--AND(W1280=1,O1280="HALLUCINATION")</x:f>
        <x:v>0</x:v>
      </x:c>
      <x:c r="Y1280" s="43" t="n">
        <x:f>--AND(Q1280=1,O1280="HALLUCINATION")</x:f>
        <x:v>0</x:v>
      </x:c>
      <x:c r="Z1280" s="43" t="n">
        <x:f>--AND(Y1280=1,R1280=1,S1280=1)</x:f>
        <x:v>0</x:v>
      </x:c>
      <x:c r="AC1280" t="str">
        <x:f>IF(OR(AA1280="",AB1280=""),"",--(AA1280&lt;&gt;AB1280))</x:f>
      </x:c>
      <x:c r="AE1280" t="str">
        <x:f>IF(OR(AA1280="",AB1280=""),"PENDING_HUMAN",IF(AA1280=AB1280,AA1280,IF(AD1280&lt;&gt;"",AD1280,"PENDING_HUMAN")))</x:f>
        <x:v>PENDING_HUMAN</x:v>
      </x:c>
      <x:c r="AF1280" t="n">
        <x:f>--AND(A1280&lt;&gt;"",AA1280&lt;&gt;"",AB1280&lt;&gt;"",OR(AA1280=AB1280,AD1280&lt;&gt;""),IF(AE1280="HALLUCINATION",U1280&lt;&gt;"",TRUE))</x:f>
        <x:v>0</x:v>
      </x:c>
      <x:c r="AG1280" t="n">
        <x:f>--AND(N1280=1,AF1280=1,OR(AE1280="SUPPORTED",AE1280="HALLUCINATION"))</x:f>
        <x:v>0</x:v>
      </x:c>
      <x:c r="AH1280" t="n">
        <x:f>--AND(AG1280=1,AE1280="HALLUCINATION")</x:f>
        <x:v>0</x:v>
      </x:c>
      <x:c r="AI1280" t="n">
        <x:f>--AND(Q1280=1,AF1280=1,AE1280="HALLUCINATION")</x:f>
        <x:v>0</x:v>
      </x:c>
      <x:c r="AJ1280" t="n">
        <x:f>--AND(AI1280=1,R1280=1,S1280=1)</x:f>
        <x:v>0</x:v>
      </x:c>
    </x:row>
    <x:row r="1281">
      <x:c r="A1281" s="28"/>
      <x:c r="B1281" s="28"/>
      <x:c r="C1281" s="28"/>
      <x:c r="D1281" s="28"/>
      <x:c r="E1281" s="28"/>
      <x:c r="F1281" s="28"/>
      <x:c r="G1281" s="28"/>
      <x:c r="H1281" s="28"/>
      <x:c r="I1281" s="28"/>
      <x:c r="J1281" s="28"/>
      <x:c r="K1281" s="28"/>
      <x:c r="L1281" s="28"/>
      <x:c r="M1281" s="28"/>
      <x:c r="N1281" s="28"/>
      <x:c r="O1281" s="28"/>
      <x:c r="P1281" s="28"/>
      <x:c r="Q1281" s="28"/>
      <x:c r="R1281" s="28"/>
      <x:c r="S1281" s="28"/>
      <x:c r="T1281" s="28"/>
      <x:c r="U1281" s="28"/>
      <x:c r="V1281" s="28"/>
      <x:c r="W1281" s="43" t="n">
        <x:f>--AND(N1281=1,OR(O1281="SUPPORTED",O1281="HALLUCINATION"))</x:f>
        <x:v>0</x:v>
      </x:c>
      <x:c r="X1281" s="43" t="n">
        <x:f>--AND(W1281=1,O1281="HALLUCINATION")</x:f>
        <x:v>0</x:v>
      </x:c>
      <x:c r="Y1281" s="43" t="n">
        <x:f>--AND(Q1281=1,O1281="HALLUCINATION")</x:f>
        <x:v>0</x:v>
      </x:c>
      <x:c r="Z1281" s="43" t="n">
        <x:f>--AND(Y1281=1,R1281=1,S1281=1)</x:f>
        <x:v>0</x:v>
      </x:c>
      <x:c r="AC1281" t="str">
        <x:f>IF(OR(AA1281="",AB1281=""),"",--(AA1281&lt;&gt;AB1281))</x:f>
      </x:c>
      <x:c r="AE1281" t="str">
        <x:f>IF(OR(AA1281="",AB1281=""),"PENDING_HUMAN",IF(AA1281=AB1281,AA1281,IF(AD1281&lt;&gt;"",AD1281,"PENDING_HUMAN")))</x:f>
        <x:v>PENDING_HUMAN</x:v>
      </x:c>
      <x:c r="AF1281" t="n">
        <x:f>--AND(A1281&lt;&gt;"",AA1281&lt;&gt;"",AB1281&lt;&gt;"",OR(AA1281=AB1281,AD1281&lt;&gt;""),IF(AE1281="HALLUCINATION",U1281&lt;&gt;"",TRUE))</x:f>
        <x:v>0</x:v>
      </x:c>
      <x:c r="AG1281" t="n">
        <x:f>--AND(N1281=1,AF1281=1,OR(AE1281="SUPPORTED",AE1281="HALLUCINATION"))</x:f>
        <x:v>0</x:v>
      </x:c>
      <x:c r="AH1281" t="n">
        <x:f>--AND(AG1281=1,AE1281="HALLUCINATION")</x:f>
        <x:v>0</x:v>
      </x:c>
      <x:c r="AI1281" t="n">
        <x:f>--AND(Q1281=1,AF1281=1,AE1281="HALLUCINATION")</x:f>
        <x:v>0</x:v>
      </x:c>
      <x:c r="AJ1281" t="n">
        <x:f>--AND(AI1281=1,R1281=1,S1281=1)</x:f>
        <x:v>0</x:v>
      </x:c>
    </x:row>
    <x:row r="1282">
      <x:c r="A1282" s="28"/>
      <x:c r="B1282" s="28"/>
      <x:c r="C1282" s="28"/>
      <x:c r="D1282" s="28"/>
      <x:c r="E1282" s="28"/>
      <x:c r="F1282" s="28"/>
      <x:c r="G1282" s="28"/>
      <x:c r="H1282" s="28"/>
      <x:c r="I1282" s="28"/>
      <x:c r="J1282" s="28"/>
      <x:c r="K1282" s="28"/>
      <x:c r="L1282" s="28"/>
      <x:c r="M1282" s="28"/>
      <x:c r="N1282" s="28"/>
      <x:c r="O1282" s="28"/>
      <x:c r="P1282" s="28"/>
      <x:c r="Q1282" s="28"/>
      <x:c r="R1282" s="28"/>
      <x:c r="S1282" s="28"/>
      <x:c r="T1282" s="28"/>
      <x:c r="U1282" s="28"/>
      <x:c r="V1282" s="28"/>
      <x:c r="W1282" s="43" t="n">
        <x:f>--AND(N1282=1,OR(O1282="SUPPORTED",O1282="HALLUCINATION"))</x:f>
        <x:v>0</x:v>
      </x:c>
      <x:c r="X1282" s="43" t="n">
        <x:f>--AND(W1282=1,O1282="HALLUCINATION")</x:f>
        <x:v>0</x:v>
      </x:c>
      <x:c r="Y1282" s="43" t="n">
        <x:f>--AND(Q1282=1,O1282="HALLUCINATION")</x:f>
        <x:v>0</x:v>
      </x:c>
      <x:c r="Z1282" s="43" t="n">
        <x:f>--AND(Y1282=1,R1282=1,S1282=1)</x:f>
        <x:v>0</x:v>
      </x:c>
      <x:c r="AC1282" t="str">
        <x:f>IF(OR(AA1282="",AB1282=""),"",--(AA1282&lt;&gt;AB1282))</x:f>
      </x:c>
      <x:c r="AE1282" t="str">
        <x:f>IF(OR(AA1282="",AB1282=""),"PENDING_HUMAN",IF(AA1282=AB1282,AA1282,IF(AD1282&lt;&gt;"",AD1282,"PENDING_HUMAN")))</x:f>
        <x:v>PENDING_HUMAN</x:v>
      </x:c>
      <x:c r="AF1282" t="n">
        <x:f>--AND(A1282&lt;&gt;"",AA1282&lt;&gt;"",AB1282&lt;&gt;"",OR(AA1282=AB1282,AD1282&lt;&gt;""),IF(AE1282="HALLUCINATION",U1282&lt;&gt;"",TRUE))</x:f>
        <x:v>0</x:v>
      </x:c>
      <x:c r="AG1282" t="n">
        <x:f>--AND(N1282=1,AF1282=1,OR(AE1282="SUPPORTED",AE1282="HALLUCINATION"))</x:f>
        <x:v>0</x:v>
      </x:c>
      <x:c r="AH1282" t="n">
        <x:f>--AND(AG1282=1,AE1282="HALLUCINATION")</x:f>
        <x:v>0</x:v>
      </x:c>
      <x:c r="AI1282" t="n">
        <x:f>--AND(Q1282=1,AF1282=1,AE1282="HALLUCINATION")</x:f>
        <x:v>0</x:v>
      </x:c>
      <x:c r="AJ1282" t="n">
        <x:f>--AND(AI1282=1,R1282=1,S1282=1)</x:f>
        <x:v>0</x:v>
      </x:c>
    </x:row>
    <x:row r="1283">
      <x:c r="A1283" s="28"/>
      <x:c r="B1283" s="28"/>
      <x:c r="C1283" s="28"/>
      <x:c r="D1283" s="28"/>
      <x:c r="E1283" s="28"/>
      <x:c r="F1283" s="28"/>
      <x:c r="G1283" s="28"/>
      <x:c r="H1283" s="28"/>
      <x:c r="I1283" s="28"/>
      <x:c r="J1283" s="28"/>
      <x:c r="K1283" s="28"/>
      <x:c r="L1283" s="28"/>
      <x:c r="M1283" s="28"/>
      <x:c r="N1283" s="28"/>
      <x:c r="O1283" s="28"/>
      <x:c r="P1283" s="28"/>
      <x:c r="Q1283" s="28"/>
      <x:c r="R1283" s="28"/>
      <x:c r="S1283" s="28"/>
      <x:c r="T1283" s="28"/>
      <x:c r="U1283" s="28"/>
      <x:c r="V1283" s="28"/>
      <x:c r="W1283" s="43" t="n">
        <x:f>--AND(N1283=1,OR(O1283="SUPPORTED",O1283="HALLUCINATION"))</x:f>
        <x:v>0</x:v>
      </x:c>
      <x:c r="X1283" s="43" t="n">
        <x:f>--AND(W1283=1,O1283="HALLUCINATION")</x:f>
        <x:v>0</x:v>
      </x:c>
      <x:c r="Y1283" s="43" t="n">
        <x:f>--AND(Q1283=1,O1283="HALLUCINATION")</x:f>
        <x:v>0</x:v>
      </x:c>
      <x:c r="Z1283" s="43" t="n">
        <x:f>--AND(Y1283=1,R1283=1,S1283=1)</x:f>
        <x:v>0</x:v>
      </x:c>
      <x:c r="AC1283" t="str">
        <x:f>IF(OR(AA1283="",AB1283=""),"",--(AA1283&lt;&gt;AB1283))</x:f>
      </x:c>
      <x:c r="AE1283" t="str">
        <x:f>IF(OR(AA1283="",AB1283=""),"PENDING_HUMAN",IF(AA1283=AB1283,AA1283,IF(AD1283&lt;&gt;"",AD1283,"PENDING_HUMAN")))</x:f>
        <x:v>PENDING_HUMAN</x:v>
      </x:c>
      <x:c r="AF1283" t="n">
        <x:f>--AND(A1283&lt;&gt;"",AA1283&lt;&gt;"",AB1283&lt;&gt;"",OR(AA1283=AB1283,AD1283&lt;&gt;""),IF(AE1283="HALLUCINATION",U1283&lt;&gt;"",TRUE))</x:f>
        <x:v>0</x:v>
      </x:c>
      <x:c r="AG1283" t="n">
        <x:f>--AND(N1283=1,AF1283=1,OR(AE1283="SUPPORTED",AE1283="HALLUCINATION"))</x:f>
        <x:v>0</x:v>
      </x:c>
      <x:c r="AH1283" t="n">
        <x:f>--AND(AG1283=1,AE1283="HALLUCINATION")</x:f>
        <x:v>0</x:v>
      </x:c>
      <x:c r="AI1283" t="n">
        <x:f>--AND(Q1283=1,AF1283=1,AE1283="HALLUCINATION")</x:f>
        <x:v>0</x:v>
      </x:c>
      <x:c r="AJ1283" t="n">
        <x:f>--AND(AI1283=1,R1283=1,S1283=1)</x:f>
        <x:v>0</x:v>
      </x:c>
    </x:row>
    <x:row r="1284">
      <x:c r="A1284" s="28"/>
      <x:c r="B1284" s="28"/>
      <x:c r="C1284" s="28"/>
      <x:c r="D1284" s="28"/>
      <x:c r="E1284" s="28"/>
      <x:c r="F1284" s="28"/>
      <x:c r="G1284" s="28"/>
      <x:c r="H1284" s="28"/>
      <x:c r="I1284" s="28"/>
      <x:c r="J1284" s="28"/>
      <x:c r="K1284" s="28"/>
      <x:c r="L1284" s="28"/>
      <x:c r="M1284" s="28"/>
      <x:c r="N1284" s="28"/>
      <x:c r="O1284" s="28"/>
      <x:c r="P1284" s="28"/>
      <x:c r="Q1284" s="28"/>
      <x:c r="R1284" s="28"/>
      <x:c r="S1284" s="28"/>
      <x:c r="T1284" s="28"/>
      <x:c r="U1284" s="28"/>
      <x:c r="V1284" s="28"/>
      <x:c r="W1284" s="43" t="n">
        <x:f>--AND(N1284=1,OR(O1284="SUPPORTED",O1284="HALLUCINATION"))</x:f>
        <x:v>0</x:v>
      </x:c>
      <x:c r="X1284" s="43" t="n">
        <x:f>--AND(W1284=1,O1284="HALLUCINATION")</x:f>
        <x:v>0</x:v>
      </x:c>
      <x:c r="Y1284" s="43" t="n">
        <x:f>--AND(Q1284=1,O1284="HALLUCINATION")</x:f>
        <x:v>0</x:v>
      </x:c>
      <x:c r="Z1284" s="43" t="n">
        <x:f>--AND(Y1284=1,R1284=1,S1284=1)</x:f>
        <x:v>0</x:v>
      </x:c>
      <x:c r="AC1284" t="str">
        <x:f>IF(OR(AA1284="",AB1284=""),"",--(AA1284&lt;&gt;AB1284))</x:f>
      </x:c>
      <x:c r="AE1284" t="str">
        <x:f>IF(OR(AA1284="",AB1284=""),"PENDING_HUMAN",IF(AA1284=AB1284,AA1284,IF(AD1284&lt;&gt;"",AD1284,"PENDING_HUMAN")))</x:f>
        <x:v>PENDING_HUMAN</x:v>
      </x:c>
      <x:c r="AF1284" t="n">
        <x:f>--AND(A1284&lt;&gt;"",AA1284&lt;&gt;"",AB1284&lt;&gt;"",OR(AA1284=AB1284,AD1284&lt;&gt;""),IF(AE1284="HALLUCINATION",U1284&lt;&gt;"",TRUE))</x:f>
        <x:v>0</x:v>
      </x:c>
      <x:c r="AG1284" t="n">
        <x:f>--AND(N1284=1,AF1284=1,OR(AE1284="SUPPORTED",AE1284="HALLUCINATION"))</x:f>
        <x:v>0</x:v>
      </x:c>
      <x:c r="AH1284" t="n">
        <x:f>--AND(AG1284=1,AE1284="HALLUCINATION")</x:f>
        <x:v>0</x:v>
      </x:c>
      <x:c r="AI1284" t="n">
        <x:f>--AND(Q1284=1,AF1284=1,AE1284="HALLUCINATION")</x:f>
        <x:v>0</x:v>
      </x:c>
      <x:c r="AJ1284" t="n">
        <x:f>--AND(AI1284=1,R1284=1,S1284=1)</x:f>
        <x:v>0</x:v>
      </x:c>
    </x:row>
    <x:row r="1285">
      <x:c r="A1285" s="28"/>
      <x:c r="B1285" s="28"/>
      <x:c r="C1285" s="28"/>
      <x:c r="D1285" s="28"/>
      <x:c r="E1285" s="28"/>
      <x:c r="F1285" s="28"/>
      <x:c r="G1285" s="28"/>
      <x:c r="H1285" s="28"/>
      <x:c r="I1285" s="28"/>
      <x:c r="J1285" s="28"/>
      <x:c r="K1285" s="28"/>
      <x:c r="L1285" s="28"/>
      <x:c r="M1285" s="28"/>
      <x:c r="N1285" s="28"/>
      <x:c r="O1285" s="28"/>
      <x:c r="P1285" s="28"/>
      <x:c r="Q1285" s="28"/>
      <x:c r="R1285" s="28"/>
      <x:c r="S1285" s="28"/>
      <x:c r="T1285" s="28"/>
      <x:c r="U1285" s="28"/>
      <x:c r="V1285" s="28"/>
      <x:c r="W1285" s="43" t="n">
        <x:f>--AND(N1285=1,OR(O1285="SUPPORTED",O1285="HALLUCINATION"))</x:f>
        <x:v>0</x:v>
      </x:c>
      <x:c r="X1285" s="43" t="n">
        <x:f>--AND(W1285=1,O1285="HALLUCINATION")</x:f>
        <x:v>0</x:v>
      </x:c>
      <x:c r="Y1285" s="43" t="n">
        <x:f>--AND(Q1285=1,O1285="HALLUCINATION")</x:f>
        <x:v>0</x:v>
      </x:c>
      <x:c r="Z1285" s="43" t="n">
        <x:f>--AND(Y1285=1,R1285=1,S1285=1)</x:f>
        <x:v>0</x:v>
      </x:c>
      <x:c r="AC1285" t="str">
        <x:f>IF(OR(AA1285="",AB1285=""),"",--(AA1285&lt;&gt;AB1285))</x:f>
      </x:c>
      <x:c r="AE1285" t="str">
        <x:f>IF(OR(AA1285="",AB1285=""),"PENDING_HUMAN",IF(AA1285=AB1285,AA1285,IF(AD1285&lt;&gt;"",AD1285,"PENDING_HUMAN")))</x:f>
        <x:v>PENDING_HUMAN</x:v>
      </x:c>
      <x:c r="AF1285" t="n">
        <x:f>--AND(A1285&lt;&gt;"",AA1285&lt;&gt;"",AB1285&lt;&gt;"",OR(AA1285=AB1285,AD1285&lt;&gt;""),IF(AE1285="HALLUCINATION",U1285&lt;&gt;"",TRUE))</x:f>
        <x:v>0</x:v>
      </x:c>
      <x:c r="AG1285" t="n">
        <x:f>--AND(N1285=1,AF1285=1,OR(AE1285="SUPPORTED",AE1285="HALLUCINATION"))</x:f>
        <x:v>0</x:v>
      </x:c>
      <x:c r="AH1285" t="n">
        <x:f>--AND(AG1285=1,AE1285="HALLUCINATION")</x:f>
        <x:v>0</x:v>
      </x:c>
      <x:c r="AI1285" t="n">
        <x:f>--AND(Q1285=1,AF1285=1,AE1285="HALLUCINATION")</x:f>
        <x:v>0</x:v>
      </x:c>
      <x:c r="AJ1285" t="n">
        <x:f>--AND(AI1285=1,R1285=1,S1285=1)</x:f>
        <x:v>0</x:v>
      </x:c>
    </x:row>
    <x:row r="1286">
      <x:c r="A1286" s="28"/>
      <x:c r="B1286" s="28"/>
      <x:c r="C1286" s="28"/>
      <x:c r="D1286" s="28"/>
      <x:c r="E1286" s="28"/>
      <x:c r="F1286" s="28"/>
      <x:c r="G1286" s="28"/>
      <x:c r="H1286" s="28"/>
      <x:c r="I1286" s="28"/>
      <x:c r="J1286" s="28"/>
      <x:c r="K1286" s="28"/>
      <x:c r="L1286" s="28"/>
      <x:c r="M1286" s="28"/>
      <x:c r="N1286" s="28"/>
      <x:c r="O1286" s="28"/>
      <x:c r="P1286" s="28"/>
      <x:c r="Q1286" s="28"/>
      <x:c r="R1286" s="28"/>
      <x:c r="S1286" s="28"/>
      <x:c r="T1286" s="28"/>
      <x:c r="U1286" s="28"/>
      <x:c r="V1286" s="28"/>
      <x:c r="W1286" s="43" t="n">
        <x:f>--AND(N1286=1,OR(O1286="SUPPORTED",O1286="HALLUCINATION"))</x:f>
        <x:v>0</x:v>
      </x:c>
      <x:c r="X1286" s="43" t="n">
        <x:f>--AND(W1286=1,O1286="HALLUCINATION")</x:f>
        <x:v>0</x:v>
      </x:c>
      <x:c r="Y1286" s="43" t="n">
        <x:f>--AND(Q1286=1,O1286="HALLUCINATION")</x:f>
        <x:v>0</x:v>
      </x:c>
      <x:c r="Z1286" s="43" t="n">
        <x:f>--AND(Y1286=1,R1286=1,S1286=1)</x:f>
        <x:v>0</x:v>
      </x:c>
      <x:c r="AC1286" t="str">
        <x:f>IF(OR(AA1286="",AB1286=""),"",--(AA1286&lt;&gt;AB1286))</x:f>
      </x:c>
      <x:c r="AE1286" t="str">
        <x:f>IF(OR(AA1286="",AB1286=""),"PENDING_HUMAN",IF(AA1286=AB1286,AA1286,IF(AD1286&lt;&gt;"",AD1286,"PENDING_HUMAN")))</x:f>
        <x:v>PENDING_HUMAN</x:v>
      </x:c>
      <x:c r="AF1286" t="n">
        <x:f>--AND(A1286&lt;&gt;"",AA1286&lt;&gt;"",AB1286&lt;&gt;"",OR(AA1286=AB1286,AD1286&lt;&gt;""),IF(AE1286="HALLUCINATION",U1286&lt;&gt;"",TRUE))</x:f>
        <x:v>0</x:v>
      </x:c>
      <x:c r="AG1286" t="n">
        <x:f>--AND(N1286=1,AF1286=1,OR(AE1286="SUPPORTED",AE1286="HALLUCINATION"))</x:f>
        <x:v>0</x:v>
      </x:c>
      <x:c r="AH1286" t="n">
        <x:f>--AND(AG1286=1,AE1286="HALLUCINATION")</x:f>
        <x:v>0</x:v>
      </x:c>
      <x:c r="AI1286" t="n">
        <x:f>--AND(Q1286=1,AF1286=1,AE1286="HALLUCINATION")</x:f>
        <x:v>0</x:v>
      </x:c>
      <x:c r="AJ1286" t="n">
        <x:f>--AND(AI1286=1,R1286=1,S1286=1)</x:f>
        <x:v>0</x:v>
      </x:c>
    </x:row>
    <x:row r="1287">
      <x:c r="A1287" s="28"/>
      <x:c r="B1287" s="28"/>
      <x:c r="C1287" s="28"/>
      <x:c r="D1287" s="28"/>
      <x:c r="E1287" s="28"/>
      <x:c r="F1287" s="28"/>
      <x:c r="G1287" s="28"/>
      <x:c r="H1287" s="28"/>
      <x:c r="I1287" s="28"/>
      <x:c r="J1287" s="28"/>
      <x:c r="K1287" s="28"/>
      <x:c r="L1287" s="28"/>
      <x:c r="M1287" s="28"/>
      <x:c r="N1287" s="28"/>
      <x:c r="O1287" s="28"/>
      <x:c r="P1287" s="28"/>
      <x:c r="Q1287" s="28"/>
      <x:c r="R1287" s="28"/>
      <x:c r="S1287" s="28"/>
      <x:c r="T1287" s="28"/>
      <x:c r="U1287" s="28"/>
      <x:c r="V1287" s="28"/>
      <x:c r="W1287" s="43" t="n">
        <x:f>--AND(N1287=1,OR(O1287="SUPPORTED",O1287="HALLUCINATION"))</x:f>
        <x:v>0</x:v>
      </x:c>
      <x:c r="X1287" s="43" t="n">
        <x:f>--AND(W1287=1,O1287="HALLUCINATION")</x:f>
        <x:v>0</x:v>
      </x:c>
      <x:c r="Y1287" s="43" t="n">
        <x:f>--AND(Q1287=1,O1287="HALLUCINATION")</x:f>
        <x:v>0</x:v>
      </x:c>
      <x:c r="Z1287" s="43" t="n">
        <x:f>--AND(Y1287=1,R1287=1,S1287=1)</x:f>
        <x:v>0</x:v>
      </x:c>
      <x:c r="AC1287" t="str">
        <x:f>IF(OR(AA1287="",AB1287=""),"",--(AA1287&lt;&gt;AB1287))</x:f>
      </x:c>
      <x:c r="AE1287" t="str">
        <x:f>IF(OR(AA1287="",AB1287=""),"PENDING_HUMAN",IF(AA1287=AB1287,AA1287,IF(AD1287&lt;&gt;"",AD1287,"PENDING_HUMAN")))</x:f>
        <x:v>PENDING_HUMAN</x:v>
      </x:c>
      <x:c r="AF1287" t="n">
        <x:f>--AND(A1287&lt;&gt;"",AA1287&lt;&gt;"",AB1287&lt;&gt;"",OR(AA1287=AB1287,AD1287&lt;&gt;""),IF(AE1287="HALLUCINATION",U1287&lt;&gt;"",TRUE))</x:f>
        <x:v>0</x:v>
      </x:c>
      <x:c r="AG1287" t="n">
        <x:f>--AND(N1287=1,AF1287=1,OR(AE1287="SUPPORTED",AE1287="HALLUCINATION"))</x:f>
        <x:v>0</x:v>
      </x:c>
      <x:c r="AH1287" t="n">
        <x:f>--AND(AG1287=1,AE1287="HALLUCINATION")</x:f>
        <x:v>0</x:v>
      </x:c>
      <x:c r="AI1287" t="n">
        <x:f>--AND(Q1287=1,AF1287=1,AE1287="HALLUCINATION")</x:f>
        <x:v>0</x:v>
      </x:c>
      <x:c r="AJ1287" t="n">
        <x:f>--AND(AI1287=1,R1287=1,S1287=1)</x:f>
        <x:v>0</x:v>
      </x:c>
    </x:row>
    <x:row r="1288">
      <x:c r="A1288" s="28"/>
      <x:c r="B1288" s="28"/>
      <x:c r="C1288" s="28"/>
      <x:c r="D1288" s="28"/>
      <x:c r="E1288" s="28"/>
      <x:c r="F1288" s="28"/>
      <x:c r="G1288" s="28"/>
      <x:c r="H1288" s="28"/>
      <x:c r="I1288" s="28"/>
      <x:c r="J1288" s="28"/>
      <x:c r="K1288" s="28"/>
      <x:c r="L1288" s="28"/>
      <x:c r="M1288" s="28"/>
      <x:c r="N1288" s="28"/>
      <x:c r="O1288" s="28"/>
      <x:c r="P1288" s="28"/>
      <x:c r="Q1288" s="28"/>
      <x:c r="R1288" s="28"/>
      <x:c r="S1288" s="28"/>
      <x:c r="T1288" s="28"/>
      <x:c r="U1288" s="28"/>
      <x:c r="V1288" s="28"/>
      <x:c r="W1288" s="43" t="n">
        <x:f>--AND(N1288=1,OR(O1288="SUPPORTED",O1288="HALLUCINATION"))</x:f>
        <x:v>0</x:v>
      </x:c>
      <x:c r="X1288" s="43" t="n">
        <x:f>--AND(W1288=1,O1288="HALLUCINATION")</x:f>
        <x:v>0</x:v>
      </x:c>
      <x:c r="Y1288" s="43" t="n">
        <x:f>--AND(Q1288=1,O1288="HALLUCINATION")</x:f>
        <x:v>0</x:v>
      </x:c>
      <x:c r="Z1288" s="43" t="n">
        <x:f>--AND(Y1288=1,R1288=1,S1288=1)</x:f>
        <x:v>0</x:v>
      </x:c>
      <x:c r="AC1288" t="str">
        <x:f>IF(OR(AA1288="",AB1288=""),"",--(AA1288&lt;&gt;AB1288))</x:f>
      </x:c>
      <x:c r="AE1288" t="str">
        <x:f>IF(OR(AA1288="",AB1288=""),"PENDING_HUMAN",IF(AA1288=AB1288,AA1288,IF(AD1288&lt;&gt;"",AD1288,"PENDING_HUMAN")))</x:f>
        <x:v>PENDING_HUMAN</x:v>
      </x:c>
      <x:c r="AF1288" t="n">
        <x:f>--AND(A1288&lt;&gt;"",AA1288&lt;&gt;"",AB1288&lt;&gt;"",OR(AA1288=AB1288,AD1288&lt;&gt;""),IF(AE1288="HALLUCINATION",U1288&lt;&gt;"",TRUE))</x:f>
        <x:v>0</x:v>
      </x:c>
      <x:c r="AG1288" t="n">
        <x:f>--AND(N1288=1,AF1288=1,OR(AE1288="SUPPORTED",AE1288="HALLUCINATION"))</x:f>
        <x:v>0</x:v>
      </x:c>
      <x:c r="AH1288" t="n">
        <x:f>--AND(AG1288=1,AE1288="HALLUCINATION")</x:f>
        <x:v>0</x:v>
      </x:c>
      <x:c r="AI1288" t="n">
        <x:f>--AND(Q1288=1,AF1288=1,AE1288="HALLUCINATION")</x:f>
        <x:v>0</x:v>
      </x:c>
      <x:c r="AJ1288" t="n">
        <x:f>--AND(AI1288=1,R1288=1,S1288=1)</x:f>
        <x:v>0</x:v>
      </x:c>
    </x:row>
    <x:row r="1289">
      <x:c r="A1289" s="28"/>
      <x:c r="B1289" s="28"/>
      <x:c r="C1289" s="28"/>
      <x:c r="D1289" s="28"/>
      <x:c r="E1289" s="28"/>
      <x:c r="F1289" s="28"/>
      <x:c r="G1289" s="28"/>
      <x:c r="H1289" s="28"/>
      <x:c r="I1289" s="28"/>
      <x:c r="J1289" s="28"/>
      <x:c r="K1289" s="28"/>
      <x:c r="L1289" s="28"/>
      <x:c r="M1289" s="28"/>
      <x:c r="N1289" s="28"/>
      <x:c r="O1289" s="28"/>
      <x:c r="P1289" s="28"/>
      <x:c r="Q1289" s="28"/>
      <x:c r="R1289" s="28"/>
      <x:c r="S1289" s="28"/>
      <x:c r="T1289" s="28"/>
      <x:c r="U1289" s="28"/>
      <x:c r="V1289" s="28"/>
      <x:c r="W1289" s="43" t="n">
        <x:f>--AND(N1289=1,OR(O1289="SUPPORTED",O1289="HALLUCINATION"))</x:f>
        <x:v>0</x:v>
      </x:c>
      <x:c r="X1289" s="43" t="n">
        <x:f>--AND(W1289=1,O1289="HALLUCINATION")</x:f>
        <x:v>0</x:v>
      </x:c>
      <x:c r="Y1289" s="43" t="n">
        <x:f>--AND(Q1289=1,O1289="HALLUCINATION")</x:f>
        <x:v>0</x:v>
      </x:c>
      <x:c r="Z1289" s="43" t="n">
        <x:f>--AND(Y1289=1,R1289=1,S1289=1)</x:f>
        <x:v>0</x:v>
      </x:c>
      <x:c r="AC1289" t="str">
        <x:f>IF(OR(AA1289="",AB1289=""),"",--(AA1289&lt;&gt;AB1289))</x:f>
      </x:c>
      <x:c r="AE1289" t="str">
        <x:f>IF(OR(AA1289="",AB1289=""),"PENDING_HUMAN",IF(AA1289=AB1289,AA1289,IF(AD1289&lt;&gt;"",AD1289,"PENDING_HUMAN")))</x:f>
        <x:v>PENDING_HUMAN</x:v>
      </x:c>
      <x:c r="AF1289" t="n">
        <x:f>--AND(A1289&lt;&gt;"",AA1289&lt;&gt;"",AB1289&lt;&gt;"",OR(AA1289=AB1289,AD1289&lt;&gt;""),IF(AE1289="HALLUCINATION",U1289&lt;&gt;"",TRUE))</x:f>
        <x:v>0</x:v>
      </x:c>
      <x:c r="AG1289" t="n">
        <x:f>--AND(N1289=1,AF1289=1,OR(AE1289="SUPPORTED",AE1289="HALLUCINATION"))</x:f>
        <x:v>0</x:v>
      </x:c>
      <x:c r="AH1289" t="n">
        <x:f>--AND(AG1289=1,AE1289="HALLUCINATION")</x:f>
        <x:v>0</x:v>
      </x:c>
      <x:c r="AI1289" t="n">
        <x:f>--AND(Q1289=1,AF1289=1,AE1289="HALLUCINATION")</x:f>
        <x:v>0</x:v>
      </x:c>
      <x:c r="AJ1289" t="n">
        <x:f>--AND(AI1289=1,R1289=1,S1289=1)</x:f>
        <x:v>0</x:v>
      </x:c>
    </x:row>
    <x:row r="1290">
      <x:c r="A1290" s="28"/>
      <x:c r="B1290" s="28"/>
      <x:c r="C1290" s="28"/>
      <x:c r="D1290" s="28"/>
      <x:c r="E1290" s="28"/>
      <x:c r="F1290" s="28"/>
      <x:c r="G1290" s="28"/>
      <x:c r="H1290" s="28"/>
      <x:c r="I1290" s="28"/>
      <x:c r="J1290" s="28"/>
      <x:c r="K1290" s="28"/>
      <x:c r="L1290" s="28"/>
      <x:c r="M1290" s="28"/>
      <x:c r="N1290" s="28"/>
      <x:c r="O1290" s="28"/>
      <x:c r="P1290" s="28"/>
      <x:c r="Q1290" s="28"/>
      <x:c r="R1290" s="28"/>
      <x:c r="S1290" s="28"/>
      <x:c r="T1290" s="28"/>
      <x:c r="U1290" s="28"/>
      <x:c r="V1290" s="28"/>
      <x:c r="W1290" s="43" t="n">
        <x:f>--AND(N1290=1,OR(O1290="SUPPORTED",O1290="HALLUCINATION"))</x:f>
        <x:v>0</x:v>
      </x:c>
      <x:c r="X1290" s="43" t="n">
        <x:f>--AND(W1290=1,O1290="HALLUCINATION")</x:f>
        <x:v>0</x:v>
      </x:c>
      <x:c r="Y1290" s="43" t="n">
        <x:f>--AND(Q1290=1,O1290="HALLUCINATION")</x:f>
        <x:v>0</x:v>
      </x:c>
      <x:c r="Z1290" s="43" t="n">
        <x:f>--AND(Y1290=1,R1290=1,S1290=1)</x:f>
        <x:v>0</x:v>
      </x:c>
      <x:c r="AC1290" t="str">
        <x:f>IF(OR(AA1290="",AB1290=""),"",--(AA1290&lt;&gt;AB1290))</x:f>
      </x:c>
      <x:c r="AE1290" t="str">
        <x:f>IF(OR(AA1290="",AB1290=""),"PENDING_HUMAN",IF(AA1290=AB1290,AA1290,IF(AD1290&lt;&gt;"",AD1290,"PENDING_HUMAN")))</x:f>
        <x:v>PENDING_HUMAN</x:v>
      </x:c>
      <x:c r="AF1290" t="n">
        <x:f>--AND(A1290&lt;&gt;"",AA1290&lt;&gt;"",AB1290&lt;&gt;"",OR(AA1290=AB1290,AD1290&lt;&gt;""),IF(AE1290="HALLUCINATION",U1290&lt;&gt;"",TRUE))</x:f>
        <x:v>0</x:v>
      </x:c>
      <x:c r="AG1290" t="n">
        <x:f>--AND(N1290=1,AF1290=1,OR(AE1290="SUPPORTED",AE1290="HALLUCINATION"))</x:f>
        <x:v>0</x:v>
      </x:c>
      <x:c r="AH1290" t="n">
        <x:f>--AND(AG1290=1,AE1290="HALLUCINATION")</x:f>
        <x:v>0</x:v>
      </x:c>
      <x:c r="AI1290" t="n">
        <x:f>--AND(Q1290=1,AF1290=1,AE1290="HALLUCINATION")</x:f>
        <x:v>0</x:v>
      </x:c>
      <x:c r="AJ1290" t="n">
        <x:f>--AND(AI1290=1,R1290=1,S1290=1)</x:f>
        <x:v>0</x:v>
      </x:c>
    </x:row>
    <x:row r="1291">
      <x:c r="A1291" s="28"/>
      <x:c r="B1291" s="28"/>
      <x:c r="C1291" s="28"/>
      <x:c r="D1291" s="28"/>
      <x:c r="E1291" s="28"/>
      <x:c r="F1291" s="28"/>
      <x:c r="G1291" s="28"/>
      <x:c r="H1291" s="28"/>
      <x:c r="I1291" s="28"/>
      <x:c r="J1291" s="28"/>
      <x:c r="K1291" s="28"/>
      <x:c r="L1291" s="28"/>
      <x:c r="M1291" s="28"/>
      <x:c r="N1291" s="28"/>
      <x:c r="O1291" s="28"/>
      <x:c r="P1291" s="28"/>
      <x:c r="Q1291" s="28"/>
      <x:c r="R1291" s="28"/>
      <x:c r="S1291" s="28"/>
      <x:c r="T1291" s="28"/>
      <x:c r="U1291" s="28"/>
      <x:c r="V1291" s="28"/>
      <x:c r="W1291" s="43" t="n">
        <x:f>--AND(N1291=1,OR(O1291="SUPPORTED",O1291="HALLUCINATION"))</x:f>
        <x:v>0</x:v>
      </x:c>
      <x:c r="X1291" s="43" t="n">
        <x:f>--AND(W1291=1,O1291="HALLUCINATION")</x:f>
        <x:v>0</x:v>
      </x:c>
      <x:c r="Y1291" s="43" t="n">
        <x:f>--AND(Q1291=1,O1291="HALLUCINATION")</x:f>
        <x:v>0</x:v>
      </x:c>
      <x:c r="Z1291" s="43" t="n">
        <x:f>--AND(Y1291=1,R1291=1,S1291=1)</x:f>
        <x:v>0</x:v>
      </x:c>
      <x:c r="AC1291" t="str">
        <x:f>IF(OR(AA1291="",AB1291=""),"",--(AA1291&lt;&gt;AB1291))</x:f>
      </x:c>
      <x:c r="AE1291" t="str">
        <x:f>IF(OR(AA1291="",AB1291=""),"PENDING_HUMAN",IF(AA1291=AB1291,AA1291,IF(AD1291&lt;&gt;"",AD1291,"PENDING_HUMAN")))</x:f>
        <x:v>PENDING_HUMAN</x:v>
      </x:c>
      <x:c r="AF1291" t="n">
        <x:f>--AND(A1291&lt;&gt;"",AA1291&lt;&gt;"",AB1291&lt;&gt;"",OR(AA1291=AB1291,AD1291&lt;&gt;""),IF(AE1291="HALLUCINATION",U1291&lt;&gt;"",TRUE))</x:f>
        <x:v>0</x:v>
      </x:c>
      <x:c r="AG1291" t="n">
        <x:f>--AND(N1291=1,AF1291=1,OR(AE1291="SUPPORTED",AE1291="HALLUCINATION"))</x:f>
        <x:v>0</x:v>
      </x:c>
      <x:c r="AH1291" t="n">
        <x:f>--AND(AG1291=1,AE1291="HALLUCINATION")</x:f>
        <x:v>0</x:v>
      </x:c>
      <x:c r="AI1291" t="n">
        <x:f>--AND(Q1291=1,AF1291=1,AE1291="HALLUCINATION")</x:f>
        <x:v>0</x:v>
      </x:c>
      <x:c r="AJ1291" t="n">
        <x:f>--AND(AI1291=1,R1291=1,S1291=1)</x:f>
        <x:v>0</x:v>
      </x:c>
    </x:row>
    <x:row r="1292">
      <x:c r="A1292" s="28"/>
      <x:c r="B1292" s="28"/>
      <x:c r="C1292" s="28"/>
      <x:c r="D1292" s="28"/>
      <x:c r="E1292" s="28"/>
      <x:c r="F1292" s="28"/>
      <x:c r="G1292" s="28"/>
      <x:c r="H1292" s="28"/>
      <x:c r="I1292" s="28"/>
      <x:c r="J1292" s="28"/>
      <x:c r="K1292" s="28"/>
      <x:c r="L1292" s="28"/>
      <x:c r="M1292" s="28"/>
      <x:c r="N1292" s="28"/>
      <x:c r="O1292" s="28"/>
      <x:c r="P1292" s="28"/>
      <x:c r="Q1292" s="28"/>
      <x:c r="R1292" s="28"/>
      <x:c r="S1292" s="28"/>
      <x:c r="T1292" s="28"/>
      <x:c r="U1292" s="28"/>
      <x:c r="V1292" s="28"/>
      <x:c r="W1292" s="43" t="n">
        <x:f>--AND(N1292=1,OR(O1292="SUPPORTED",O1292="HALLUCINATION"))</x:f>
        <x:v>0</x:v>
      </x:c>
      <x:c r="X1292" s="43" t="n">
        <x:f>--AND(W1292=1,O1292="HALLUCINATION")</x:f>
        <x:v>0</x:v>
      </x:c>
      <x:c r="Y1292" s="43" t="n">
        <x:f>--AND(Q1292=1,O1292="HALLUCINATION")</x:f>
        <x:v>0</x:v>
      </x:c>
      <x:c r="Z1292" s="43" t="n">
        <x:f>--AND(Y1292=1,R1292=1,S1292=1)</x:f>
        <x:v>0</x:v>
      </x:c>
      <x:c r="AC1292" t="str">
        <x:f>IF(OR(AA1292="",AB1292=""),"",--(AA1292&lt;&gt;AB1292))</x:f>
      </x:c>
      <x:c r="AE1292" t="str">
        <x:f>IF(OR(AA1292="",AB1292=""),"PENDING_HUMAN",IF(AA1292=AB1292,AA1292,IF(AD1292&lt;&gt;"",AD1292,"PENDING_HUMAN")))</x:f>
        <x:v>PENDING_HUMAN</x:v>
      </x:c>
      <x:c r="AF1292" t="n">
        <x:f>--AND(A1292&lt;&gt;"",AA1292&lt;&gt;"",AB1292&lt;&gt;"",OR(AA1292=AB1292,AD1292&lt;&gt;""),IF(AE1292="HALLUCINATION",U1292&lt;&gt;"",TRUE))</x:f>
        <x:v>0</x:v>
      </x:c>
      <x:c r="AG1292" t="n">
        <x:f>--AND(N1292=1,AF1292=1,OR(AE1292="SUPPORTED",AE1292="HALLUCINATION"))</x:f>
        <x:v>0</x:v>
      </x:c>
      <x:c r="AH1292" t="n">
        <x:f>--AND(AG1292=1,AE1292="HALLUCINATION")</x:f>
        <x:v>0</x:v>
      </x:c>
      <x:c r="AI1292" t="n">
        <x:f>--AND(Q1292=1,AF1292=1,AE1292="HALLUCINATION")</x:f>
        <x:v>0</x:v>
      </x:c>
      <x:c r="AJ1292" t="n">
        <x:f>--AND(AI1292=1,R1292=1,S1292=1)</x:f>
        <x:v>0</x:v>
      </x:c>
    </x:row>
    <x:row r="1293">
      <x:c r="A1293" s="28"/>
      <x:c r="B1293" s="28"/>
      <x:c r="C1293" s="28"/>
      <x:c r="D1293" s="28"/>
      <x:c r="E1293" s="28"/>
      <x:c r="F1293" s="28"/>
      <x:c r="G1293" s="28"/>
      <x:c r="H1293" s="28"/>
      <x:c r="I1293" s="28"/>
      <x:c r="J1293" s="28"/>
      <x:c r="K1293" s="28"/>
      <x:c r="L1293" s="28"/>
      <x:c r="M1293" s="28"/>
      <x:c r="N1293" s="28"/>
      <x:c r="O1293" s="28"/>
      <x:c r="P1293" s="28"/>
      <x:c r="Q1293" s="28"/>
      <x:c r="R1293" s="28"/>
      <x:c r="S1293" s="28"/>
      <x:c r="T1293" s="28"/>
      <x:c r="U1293" s="28"/>
      <x:c r="V1293" s="28"/>
      <x:c r="W1293" s="43" t="n">
        <x:f>--AND(N1293=1,OR(O1293="SUPPORTED",O1293="HALLUCINATION"))</x:f>
        <x:v>0</x:v>
      </x:c>
      <x:c r="X1293" s="43" t="n">
        <x:f>--AND(W1293=1,O1293="HALLUCINATION")</x:f>
        <x:v>0</x:v>
      </x:c>
      <x:c r="Y1293" s="43" t="n">
        <x:f>--AND(Q1293=1,O1293="HALLUCINATION")</x:f>
        <x:v>0</x:v>
      </x:c>
      <x:c r="Z1293" s="43" t="n">
        <x:f>--AND(Y1293=1,R1293=1,S1293=1)</x:f>
        <x:v>0</x:v>
      </x:c>
      <x:c r="AC1293" t="str">
        <x:f>IF(OR(AA1293="",AB1293=""),"",--(AA1293&lt;&gt;AB1293))</x:f>
      </x:c>
      <x:c r="AE1293" t="str">
        <x:f>IF(OR(AA1293="",AB1293=""),"PENDING_HUMAN",IF(AA1293=AB1293,AA1293,IF(AD1293&lt;&gt;"",AD1293,"PENDING_HUMAN")))</x:f>
        <x:v>PENDING_HUMAN</x:v>
      </x:c>
      <x:c r="AF1293" t="n">
        <x:f>--AND(A1293&lt;&gt;"",AA1293&lt;&gt;"",AB1293&lt;&gt;"",OR(AA1293=AB1293,AD1293&lt;&gt;""),IF(AE1293="HALLUCINATION",U1293&lt;&gt;"",TRUE))</x:f>
        <x:v>0</x:v>
      </x:c>
      <x:c r="AG1293" t="n">
        <x:f>--AND(N1293=1,AF1293=1,OR(AE1293="SUPPORTED",AE1293="HALLUCINATION"))</x:f>
        <x:v>0</x:v>
      </x:c>
      <x:c r="AH1293" t="n">
        <x:f>--AND(AG1293=1,AE1293="HALLUCINATION")</x:f>
        <x:v>0</x:v>
      </x:c>
      <x:c r="AI1293" t="n">
        <x:f>--AND(Q1293=1,AF1293=1,AE1293="HALLUCINATION")</x:f>
        <x:v>0</x:v>
      </x:c>
      <x:c r="AJ1293" t="n">
        <x:f>--AND(AI1293=1,R1293=1,S1293=1)</x:f>
        <x:v>0</x:v>
      </x:c>
    </x:row>
    <x:row r="1294">
      <x:c r="A1294" s="28"/>
      <x:c r="B1294" s="28"/>
      <x:c r="C1294" s="28"/>
      <x:c r="D1294" s="28"/>
      <x:c r="E1294" s="28"/>
      <x:c r="F1294" s="28"/>
      <x:c r="G1294" s="28"/>
      <x:c r="H1294" s="28"/>
      <x:c r="I1294" s="28"/>
      <x:c r="J1294" s="28"/>
      <x:c r="K1294" s="28"/>
      <x:c r="L1294" s="28"/>
      <x:c r="M1294" s="28"/>
      <x:c r="N1294" s="28"/>
      <x:c r="O1294" s="28"/>
      <x:c r="P1294" s="28"/>
      <x:c r="Q1294" s="28"/>
      <x:c r="R1294" s="28"/>
      <x:c r="S1294" s="28"/>
      <x:c r="T1294" s="28"/>
      <x:c r="U1294" s="28"/>
      <x:c r="V1294" s="28"/>
      <x:c r="W1294" s="43" t="n">
        <x:f>--AND(N1294=1,OR(O1294="SUPPORTED",O1294="HALLUCINATION"))</x:f>
        <x:v>0</x:v>
      </x:c>
      <x:c r="X1294" s="43" t="n">
        <x:f>--AND(W1294=1,O1294="HALLUCINATION")</x:f>
        <x:v>0</x:v>
      </x:c>
      <x:c r="Y1294" s="43" t="n">
        <x:f>--AND(Q1294=1,O1294="HALLUCINATION")</x:f>
        <x:v>0</x:v>
      </x:c>
      <x:c r="Z1294" s="43" t="n">
        <x:f>--AND(Y1294=1,R1294=1,S1294=1)</x:f>
        <x:v>0</x:v>
      </x:c>
      <x:c r="AC1294" t="str">
        <x:f>IF(OR(AA1294="",AB1294=""),"",--(AA1294&lt;&gt;AB1294))</x:f>
      </x:c>
      <x:c r="AE1294" t="str">
        <x:f>IF(OR(AA1294="",AB1294=""),"PENDING_HUMAN",IF(AA1294=AB1294,AA1294,IF(AD1294&lt;&gt;"",AD1294,"PENDING_HUMAN")))</x:f>
        <x:v>PENDING_HUMAN</x:v>
      </x:c>
      <x:c r="AF1294" t="n">
        <x:f>--AND(A1294&lt;&gt;"",AA1294&lt;&gt;"",AB1294&lt;&gt;"",OR(AA1294=AB1294,AD1294&lt;&gt;""),IF(AE1294="HALLUCINATION",U1294&lt;&gt;"",TRUE))</x:f>
        <x:v>0</x:v>
      </x:c>
      <x:c r="AG1294" t="n">
        <x:f>--AND(N1294=1,AF1294=1,OR(AE1294="SUPPORTED",AE1294="HALLUCINATION"))</x:f>
        <x:v>0</x:v>
      </x:c>
      <x:c r="AH1294" t="n">
        <x:f>--AND(AG1294=1,AE1294="HALLUCINATION")</x:f>
        <x:v>0</x:v>
      </x:c>
      <x:c r="AI1294" t="n">
        <x:f>--AND(Q1294=1,AF1294=1,AE1294="HALLUCINATION")</x:f>
        <x:v>0</x:v>
      </x:c>
      <x:c r="AJ1294" t="n">
        <x:f>--AND(AI1294=1,R1294=1,S1294=1)</x:f>
        <x:v>0</x:v>
      </x:c>
    </x:row>
    <x:row r="1295">
      <x:c r="A1295" s="28"/>
      <x:c r="B1295" s="28"/>
      <x:c r="C1295" s="28"/>
      <x:c r="D1295" s="28"/>
      <x:c r="E1295" s="28"/>
      <x:c r="F1295" s="28"/>
      <x:c r="G1295" s="28"/>
      <x:c r="H1295" s="28"/>
      <x:c r="I1295" s="28"/>
      <x:c r="J1295" s="28"/>
      <x:c r="K1295" s="28"/>
      <x:c r="L1295" s="28"/>
      <x:c r="M1295" s="28"/>
      <x:c r="N1295" s="28"/>
      <x:c r="O1295" s="28"/>
      <x:c r="P1295" s="28"/>
      <x:c r="Q1295" s="28"/>
      <x:c r="R1295" s="28"/>
      <x:c r="S1295" s="28"/>
      <x:c r="T1295" s="28"/>
      <x:c r="U1295" s="28"/>
      <x:c r="V1295" s="28"/>
      <x:c r="W1295" s="43" t="n">
        <x:f>--AND(N1295=1,OR(O1295="SUPPORTED",O1295="HALLUCINATION"))</x:f>
        <x:v>0</x:v>
      </x:c>
      <x:c r="X1295" s="43" t="n">
        <x:f>--AND(W1295=1,O1295="HALLUCINATION")</x:f>
        <x:v>0</x:v>
      </x:c>
      <x:c r="Y1295" s="43" t="n">
        <x:f>--AND(Q1295=1,O1295="HALLUCINATION")</x:f>
        <x:v>0</x:v>
      </x:c>
      <x:c r="Z1295" s="43" t="n">
        <x:f>--AND(Y1295=1,R1295=1,S1295=1)</x:f>
        <x:v>0</x:v>
      </x:c>
      <x:c r="AC1295" t="str">
        <x:f>IF(OR(AA1295="",AB1295=""),"",--(AA1295&lt;&gt;AB1295))</x:f>
      </x:c>
      <x:c r="AE1295" t="str">
        <x:f>IF(OR(AA1295="",AB1295=""),"PENDING_HUMAN",IF(AA1295=AB1295,AA1295,IF(AD1295&lt;&gt;"",AD1295,"PENDING_HUMAN")))</x:f>
        <x:v>PENDING_HUMAN</x:v>
      </x:c>
      <x:c r="AF1295" t="n">
        <x:f>--AND(A1295&lt;&gt;"",AA1295&lt;&gt;"",AB1295&lt;&gt;"",OR(AA1295=AB1295,AD1295&lt;&gt;""),IF(AE1295="HALLUCINATION",U1295&lt;&gt;"",TRUE))</x:f>
        <x:v>0</x:v>
      </x:c>
      <x:c r="AG1295" t="n">
        <x:f>--AND(N1295=1,AF1295=1,OR(AE1295="SUPPORTED",AE1295="HALLUCINATION"))</x:f>
        <x:v>0</x:v>
      </x:c>
      <x:c r="AH1295" t="n">
        <x:f>--AND(AG1295=1,AE1295="HALLUCINATION")</x:f>
        <x:v>0</x:v>
      </x:c>
      <x:c r="AI1295" t="n">
        <x:f>--AND(Q1295=1,AF1295=1,AE1295="HALLUCINATION")</x:f>
        <x:v>0</x:v>
      </x:c>
      <x:c r="AJ1295" t="n">
        <x:f>--AND(AI1295=1,R1295=1,S1295=1)</x:f>
        <x:v>0</x:v>
      </x:c>
    </x:row>
    <x:row r="1296">
      <x:c r="A1296" s="28"/>
      <x:c r="B1296" s="28"/>
      <x:c r="C1296" s="28"/>
      <x:c r="D1296" s="28"/>
      <x:c r="E1296" s="28"/>
      <x:c r="F1296" s="28"/>
      <x:c r="G1296" s="28"/>
      <x:c r="H1296" s="28"/>
      <x:c r="I1296" s="28"/>
      <x:c r="J1296" s="28"/>
      <x:c r="K1296" s="28"/>
      <x:c r="L1296" s="28"/>
      <x:c r="M1296" s="28"/>
      <x:c r="N1296" s="28"/>
      <x:c r="O1296" s="28"/>
      <x:c r="P1296" s="28"/>
      <x:c r="Q1296" s="28"/>
      <x:c r="R1296" s="28"/>
      <x:c r="S1296" s="28"/>
      <x:c r="T1296" s="28"/>
      <x:c r="U1296" s="28"/>
      <x:c r="V1296" s="28"/>
      <x:c r="W1296" s="43" t="n">
        <x:f>--AND(N1296=1,OR(O1296="SUPPORTED",O1296="HALLUCINATION"))</x:f>
        <x:v>0</x:v>
      </x:c>
      <x:c r="X1296" s="43" t="n">
        <x:f>--AND(W1296=1,O1296="HALLUCINATION")</x:f>
        <x:v>0</x:v>
      </x:c>
      <x:c r="Y1296" s="43" t="n">
        <x:f>--AND(Q1296=1,O1296="HALLUCINATION")</x:f>
        <x:v>0</x:v>
      </x:c>
      <x:c r="Z1296" s="43" t="n">
        <x:f>--AND(Y1296=1,R1296=1,S1296=1)</x:f>
        <x:v>0</x:v>
      </x:c>
      <x:c r="AC1296" t="str">
        <x:f>IF(OR(AA1296="",AB1296=""),"",--(AA1296&lt;&gt;AB1296))</x:f>
      </x:c>
      <x:c r="AE1296" t="str">
        <x:f>IF(OR(AA1296="",AB1296=""),"PENDING_HUMAN",IF(AA1296=AB1296,AA1296,IF(AD1296&lt;&gt;"",AD1296,"PENDING_HUMAN")))</x:f>
        <x:v>PENDING_HUMAN</x:v>
      </x:c>
      <x:c r="AF1296" t="n">
        <x:f>--AND(A1296&lt;&gt;"",AA1296&lt;&gt;"",AB1296&lt;&gt;"",OR(AA1296=AB1296,AD1296&lt;&gt;""),IF(AE1296="HALLUCINATION",U1296&lt;&gt;"",TRUE))</x:f>
        <x:v>0</x:v>
      </x:c>
      <x:c r="AG1296" t="n">
        <x:f>--AND(N1296=1,AF1296=1,OR(AE1296="SUPPORTED",AE1296="HALLUCINATION"))</x:f>
        <x:v>0</x:v>
      </x:c>
      <x:c r="AH1296" t="n">
        <x:f>--AND(AG1296=1,AE1296="HALLUCINATION")</x:f>
        <x:v>0</x:v>
      </x:c>
      <x:c r="AI1296" t="n">
        <x:f>--AND(Q1296=1,AF1296=1,AE1296="HALLUCINATION")</x:f>
        <x:v>0</x:v>
      </x:c>
      <x:c r="AJ1296" t="n">
        <x:f>--AND(AI1296=1,R1296=1,S1296=1)</x:f>
        <x:v>0</x:v>
      </x:c>
    </x:row>
    <x:row r="1297">
      <x:c r="A1297" s="28"/>
      <x:c r="B1297" s="28"/>
      <x:c r="C1297" s="28"/>
      <x:c r="D1297" s="28"/>
      <x:c r="E1297" s="28"/>
      <x:c r="F1297" s="28"/>
      <x:c r="G1297" s="28"/>
      <x:c r="H1297" s="28"/>
      <x:c r="I1297" s="28"/>
      <x:c r="J1297" s="28"/>
      <x:c r="K1297" s="28"/>
      <x:c r="L1297" s="28"/>
      <x:c r="M1297" s="28"/>
      <x:c r="N1297" s="28"/>
      <x:c r="O1297" s="28"/>
      <x:c r="P1297" s="28"/>
      <x:c r="Q1297" s="28"/>
      <x:c r="R1297" s="28"/>
      <x:c r="S1297" s="28"/>
      <x:c r="T1297" s="28"/>
      <x:c r="U1297" s="28"/>
      <x:c r="V1297" s="28"/>
      <x:c r="W1297" s="43" t="n">
        <x:f>--AND(N1297=1,OR(O1297="SUPPORTED",O1297="HALLUCINATION"))</x:f>
        <x:v>0</x:v>
      </x:c>
      <x:c r="X1297" s="43" t="n">
        <x:f>--AND(W1297=1,O1297="HALLUCINATION")</x:f>
        <x:v>0</x:v>
      </x:c>
      <x:c r="Y1297" s="43" t="n">
        <x:f>--AND(Q1297=1,O1297="HALLUCINATION")</x:f>
        <x:v>0</x:v>
      </x:c>
      <x:c r="Z1297" s="43" t="n">
        <x:f>--AND(Y1297=1,R1297=1,S1297=1)</x:f>
        <x:v>0</x:v>
      </x:c>
      <x:c r="AC1297" t="str">
        <x:f>IF(OR(AA1297="",AB1297=""),"",--(AA1297&lt;&gt;AB1297))</x:f>
      </x:c>
      <x:c r="AE1297" t="str">
        <x:f>IF(OR(AA1297="",AB1297=""),"PENDING_HUMAN",IF(AA1297=AB1297,AA1297,IF(AD1297&lt;&gt;"",AD1297,"PENDING_HUMAN")))</x:f>
        <x:v>PENDING_HUMAN</x:v>
      </x:c>
      <x:c r="AF1297" t="n">
        <x:f>--AND(A1297&lt;&gt;"",AA1297&lt;&gt;"",AB1297&lt;&gt;"",OR(AA1297=AB1297,AD1297&lt;&gt;""),IF(AE1297="HALLUCINATION",U1297&lt;&gt;"",TRUE))</x:f>
        <x:v>0</x:v>
      </x:c>
      <x:c r="AG1297" t="n">
        <x:f>--AND(N1297=1,AF1297=1,OR(AE1297="SUPPORTED",AE1297="HALLUCINATION"))</x:f>
        <x:v>0</x:v>
      </x:c>
      <x:c r="AH1297" t="n">
        <x:f>--AND(AG1297=1,AE1297="HALLUCINATION")</x:f>
        <x:v>0</x:v>
      </x:c>
      <x:c r="AI1297" t="n">
        <x:f>--AND(Q1297=1,AF1297=1,AE1297="HALLUCINATION")</x:f>
        <x:v>0</x:v>
      </x:c>
      <x:c r="AJ1297" t="n">
        <x:f>--AND(AI1297=1,R1297=1,S1297=1)</x:f>
        <x:v>0</x:v>
      </x:c>
    </x:row>
    <x:row r="1298">
      <x:c r="A1298" s="28"/>
      <x:c r="B1298" s="28"/>
      <x:c r="C1298" s="28"/>
      <x:c r="D1298" s="28"/>
      <x:c r="E1298" s="28"/>
      <x:c r="F1298" s="28"/>
      <x:c r="G1298" s="28"/>
      <x:c r="H1298" s="28"/>
      <x:c r="I1298" s="28"/>
      <x:c r="J1298" s="28"/>
      <x:c r="K1298" s="28"/>
      <x:c r="L1298" s="28"/>
      <x:c r="M1298" s="28"/>
      <x:c r="N1298" s="28"/>
      <x:c r="O1298" s="28"/>
      <x:c r="P1298" s="28"/>
      <x:c r="Q1298" s="28"/>
      <x:c r="R1298" s="28"/>
      <x:c r="S1298" s="28"/>
      <x:c r="T1298" s="28"/>
      <x:c r="U1298" s="28"/>
      <x:c r="V1298" s="28"/>
      <x:c r="W1298" s="43" t="n">
        <x:f>--AND(N1298=1,OR(O1298="SUPPORTED",O1298="HALLUCINATION"))</x:f>
        <x:v>0</x:v>
      </x:c>
      <x:c r="X1298" s="43" t="n">
        <x:f>--AND(W1298=1,O1298="HALLUCINATION")</x:f>
        <x:v>0</x:v>
      </x:c>
      <x:c r="Y1298" s="43" t="n">
        <x:f>--AND(Q1298=1,O1298="HALLUCINATION")</x:f>
        <x:v>0</x:v>
      </x:c>
      <x:c r="Z1298" s="43" t="n">
        <x:f>--AND(Y1298=1,R1298=1,S1298=1)</x:f>
        <x:v>0</x:v>
      </x:c>
      <x:c r="AC1298" t="str">
        <x:f>IF(OR(AA1298="",AB1298=""),"",--(AA1298&lt;&gt;AB1298))</x:f>
      </x:c>
      <x:c r="AE1298" t="str">
        <x:f>IF(OR(AA1298="",AB1298=""),"PENDING_HUMAN",IF(AA1298=AB1298,AA1298,IF(AD1298&lt;&gt;"",AD1298,"PENDING_HUMAN")))</x:f>
        <x:v>PENDING_HUMAN</x:v>
      </x:c>
      <x:c r="AF1298" t="n">
        <x:f>--AND(A1298&lt;&gt;"",AA1298&lt;&gt;"",AB1298&lt;&gt;"",OR(AA1298=AB1298,AD1298&lt;&gt;""),IF(AE1298="HALLUCINATION",U1298&lt;&gt;"",TRUE))</x:f>
        <x:v>0</x:v>
      </x:c>
      <x:c r="AG1298" t="n">
        <x:f>--AND(N1298=1,AF1298=1,OR(AE1298="SUPPORTED",AE1298="HALLUCINATION"))</x:f>
        <x:v>0</x:v>
      </x:c>
      <x:c r="AH1298" t="n">
        <x:f>--AND(AG1298=1,AE1298="HALLUCINATION")</x:f>
        <x:v>0</x:v>
      </x:c>
      <x:c r="AI1298" t="n">
        <x:f>--AND(Q1298=1,AF1298=1,AE1298="HALLUCINATION")</x:f>
        <x:v>0</x:v>
      </x:c>
      <x:c r="AJ1298" t="n">
        <x:f>--AND(AI1298=1,R1298=1,S1298=1)</x:f>
        <x:v>0</x:v>
      </x:c>
    </x:row>
    <x:row r="1299">
      <x:c r="A1299" s="28"/>
      <x:c r="B1299" s="28"/>
      <x:c r="C1299" s="28"/>
      <x:c r="D1299" s="28"/>
      <x:c r="E1299" s="28"/>
      <x:c r="F1299" s="28"/>
      <x:c r="G1299" s="28"/>
      <x:c r="H1299" s="28"/>
      <x:c r="I1299" s="28"/>
      <x:c r="J1299" s="28"/>
      <x:c r="K1299" s="28"/>
      <x:c r="L1299" s="28"/>
      <x:c r="M1299" s="28"/>
      <x:c r="N1299" s="28"/>
      <x:c r="O1299" s="28"/>
      <x:c r="P1299" s="28"/>
      <x:c r="Q1299" s="28"/>
      <x:c r="R1299" s="28"/>
      <x:c r="S1299" s="28"/>
      <x:c r="T1299" s="28"/>
      <x:c r="U1299" s="28"/>
      <x:c r="V1299" s="28"/>
      <x:c r="W1299" s="43" t="n">
        <x:f>--AND(N1299=1,OR(O1299="SUPPORTED",O1299="HALLUCINATION"))</x:f>
        <x:v>0</x:v>
      </x:c>
      <x:c r="X1299" s="43" t="n">
        <x:f>--AND(W1299=1,O1299="HALLUCINATION")</x:f>
        <x:v>0</x:v>
      </x:c>
      <x:c r="Y1299" s="43" t="n">
        <x:f>--AND(Q1299=1,O1299="HALLUCINATION")</x:f>
        <x:v>0</x:v>
      </x:c>
      <x:c r="Z1299" s="43" t="n">
        <x:f>--AND(Y1299=1,R1299=1,S1299=1)</x:f>
        <x:v>0</x:v>
      </x:c>
      <x:c r="AC1299" t="str">
        <x:f>IF(OR(AA1299="",AB1299=""),"",--(AA1299&lt;&gt;AB1299))</x:f>
      </x:c>
      <x:c r="AE1299" t="str">
        <x:f>IF(OR(AA1299="",AB1299=""),"PENDING_HUMAN",IF(AA1299=AB1299,AA1299,IF(AD1299&lt;&gt;"",AD1299,"PENDING_HUMAN")))</x:f>
        <x:v>PENDING_HUMAN</x:v>
      </x:c>
      <x:c r="AF1299" t="n">
        <x:f>--AND(A1299&lt;&gt;"",AA1299&lt;&gt;"",AB1299&lt;&gt;"",OR(AA1299=AB1299,AD1299&lt;&gt;""),IF(AE1299="HALLUCINATION",U1299&lt;&gt;"",TRUE))</x:f>
        <x:v>0</x:v>
      </x:c>
      <x:c r="AG1299" t="n">
        <x:f>--AND(N1299=1,AF1299=1,OR(AE1299="SUPPORTED",AE1299="HALLUCINATION"))</x:f>
        <x:v>0</x:v>
      </x:c>
      <x:c r="AH1299" t="n">
        <x:f>--AND(AG1299=1,AE1299="HALLUCINATION")</x:f>
        <x:v>0</x:v>
      </x:c>
      <x:c r="AI1299" t="n">
        <x:f>--AND(Q1299=1,AF1299=1,AE1299="HALLUCINATION")</x:f>
        <x:v>0</x:v>
      </x:c>
      <x:c r="AJ1299" t="n">
        <x:f>--AND(AI1299=1,R1299=1,S1299=1)</x:f>
        <x:v>0</x:v>
      </x:c>
    </x:row>
    <x:row r="1300">
      <x:c r="A1300" s="28"/>
      <x:c r="B1300" s="28"/>
      <x:c r="C1300" s="28"/>
      <x:c r="D1300" s="28"/>
      <x:c r="E1300" s="28"/>
      <x:c r="F1300" s="28"/>
      <x:c r="G1300" s="28"/>
      <x:c r="H1300" s="28"/>
      <x:c r="I1300" s="28"/>
      <x:c r="J1300" s="28"/>
      <x:c r="K1300" s="28"/>
      <x:c r="L1300" s="28"/>
      <x:c r="M1300" s="28"/>
      <x:c r="N1300" s="28"/>
      <x:c r="O1300" s="28"/>
      <x:c r="P1300" s="28"/>
      <x:c r="Q1300" s="28"/>
      <x:c r="R1300" s="28"/>
      <x:c r="S1300" s="28"/>
      <x:c r="T1300" s="28"/>
      <x:c r="U1300" s="28"/>
      <x:c r="V1300" s="28"/>
      <x:c r="W1300" s="43" t="n">
        <x:f>--AND(N1300=1,OR(O1300="SUPPORTED",O1300="HALLUCINATION"))</x:f>
        <x:v>0</x:v>
      </x:c>
      <x:c r="X1300" s="43" t="n">
        <x:f>--AND(W1300=1,O1300="HALLUCINATION")</x:f>
        <x:v>0</x:v>
      </x:c>
      <x:c r="Y1300" s="43" t="n">
        <x:f>--AND(Q1300=1,O1300="HALLUCINATION")</x:f>
        <x:v>0</x:v>
      </x:c>
      <x:c r="Z1300" s="43" t="n">
        <x:f>--AND(Y1300=1,R1300=1,S1300=1)</x:f>
        <x:v>0</x:v>
      </x:c>
      <x:c r="AC1300" t="str">
        <x:f>IF(OR(AA1300="",AB1300=""),"",--(AA1300&lt;&gt;AB1300))</x:f>
      </x:c>
      <x:c r="AE1300" t="str">
        <x:f>IF(OR(AA1300="",AB1300=""),"PENDING_HUMAN",IF(AA1300=AB1300,AA1300,IF(AD1300&lt;&gt;"",AD1300,"PENDING_HUMAN")))</x:f>
        <x:v>PENDING_HUMAN</x:v>
      </x:c>
      <x:c r="AF1300" t="n">
        <x:f>--AND(A1300&lt;&gt;"",AA1300&lt;&gt;"",AB1300&lt;&gt;"",OR(AA1300=AB1300,AD1300&lt;&gt;""),IF(AE1300="HALLUCINATION",U1300&lt;&gt;"",TRUE))</x:f>
        <x:v>0</x:v>
      </x:c>
      <x:c r="AG1300" t="n">
        <x:f>--AND(N1300=1,AF1300=1,OR(AE1300="SUPPORTED",AE1300="HALLUCINATION"))</x:f>
        <x:v>0</x:v>
      </x:c>
      <x:c r="AH1300" t="n">
        <x:f>--AND(AG1300=1,AE1300="HALLUCINATION")</x:f>
        <x:v>0</x:v>
      </x:c>
      <x:c r="AI1300" t="n">
        <x:f>--AND(Q1300=1,AF1300=1,AE1300="HALLUCINATION")</x:f>
        <x:v>0</x:v>
      </x:c>
      <x:c r="AJ1300" t="n">
        <x:f>--AND(AI1300=1,R1300=1,S1300=1)</x:f>
        <x:v>0</x:v>
      </x:c>
    </x:row>
    <x:row r="1301">
      <x:c r="A1301" s="28"/>
      <x:c r="B1301" s="28"/>
      <x:c r="C1301" s="28"/>
      <x:c r="D1301" s="28"/>
      <x:c r="E1301" s="28"/>
      <x:c r="F1301" s="28"/>
      <x:c r="G1301" s="28"/>
      <x:c r="H1301" s="28"/>
      <x:c r="I1301" s="28"/>
      <x:c r="J1301" s="28"/>
      <x:c r="K1301" s="28"/>
      <x:c r="L1301" s="28"/>
      <x:c r="M1301" s="28"/>
      <x:c r="N1301" s="28"/>
      <x:c r="O1301" s="28"/>
      <x:c r="P1301" s="28"/>
      <x:c r="Q1301" s="28"/>
      <x:c r="R1301" s="28"/>
      <x:c r="S1301" s="28"/>
      <x:c r="T1301" s="28"/>
      <x:c r="U1301" s="28"/>
      <x:c r="V1301" s="28"/>
      <x:c r="W1301" s="43" t="n">
        <x:f>--AND(N1301=1,OR(O1301="SUPPORTED",O1301="HALLUCINATION"))</x:f>
        <x:v>0</x:v>
      </x:c>
      <x:c r="X1301" s="43" t="n">
        <x:f>--AND(W1301=1,O1301="HALLUCINATION")</x:f>
        <x:v>0</x:v>
      </x:c>
      <x:c r="Y1301" s="43" t="n">
        <x:f>--AND(Q1301=1,O1301="HALLUCINATION")</x:f>
        <x:v>0</x:v>
      </x:c>
      <x:c r="Z1301" s="43" t="n">
        <x:f>--AND(Y1301=1,R1301=1,S1301=1)</x:f>
        <x:v>0</x:v>
      </x:c>
      <x:c r="AC1301" t="str">
        <x:f>IF(OR(AA1301="",AB1301=""),"",--(AA1301&lt;&gt;AB1301))</x:f>
      </x:c>
      <x:c r="AE1301" t="str">
        <x:f>IF(OR(AA1301="",AB1301=""),"PENDING_HUMAN",IF(AA1301=AB1301,AA1301,IF(AD1301&lt;&gt;"",AD1301,"PENDING_HUMAN")))</x:f>
        <x:v>PENDING_HUMAN</x:v>
      </x:c>
      <x:c r="AF1301" t="n">
        <x:f>--AND(A1301&lt;&gt;"",AA1301&lt;&gt;"",AB1301&lt;&gt;"",OR(AA1301=AB1301,AD1301&lt;&gt;""),IF(AE1301="HALLUCINATION",U1301&lt;&gt;"",TRUE))</x:f>
        <x:v>0</x:v>
      </x:c>
      <x:c r="AG1301" t="n">
        <x:f>--AND(N1301=1,AF1301=1,OR(AE1301="SUPPORTED",AE1301="HALLUCINATION"))</x:f>
        <x:v>0</x:v>
      </x:c>
      <x:c r="AH1301" t="n">
        <x:f>--AND(AG1301=1,AE1301="HALLUCINATION")</x:f>
        <x:v>0</x:v>
      </x:c>
      <x:c r="AI1301" t="n">
        <x:f>--AND(Q1301=1,AF1301=1,AE1301="HALLUCINATION")</x:f>
        <x:v>0</x:v>
      </x:c>
      <x:c r="AJ1301" t="n">
        <x:f>--AND(AI1301=1,R1301=1,S1301=1)</x:f>
        <x:v>0</x:v>
      </x:c>
    </x:row>
    <x:row r="1302">
      <x:c r="A1302" s="28"/>
      <x:c r="B1302" s="28"/>
      <x:c r="C1302" s="28"/>
      <x:c r="D1302" s="28"/>
      <x:c r="E1302" s="28"/>
      <x:c r="F1302" s="28"/>
      <x:c r="G1302" s="28"/>
      <x:c r="H1302" s="28"/>
      <x:c r="I1302" s="28"/>
      <x:c r="J1302" s="28"/>
      <x:c r="K1302" s="28"/>
      <x:c r="L1302" s="28"/>
      <x:c r="M1302" s="28"/>
      <x:c r="N1302" s="28"/>
      <x:c r="O1302" s="28"/>
      <x:c r="P1302" s="28"/>
      <x:c r="Q1302" s="28"/>
      <x:c r="R1302" s="28"/>
      <x:c r="S1302" s="28"/>
      <x:c r="T1302" s="28"/>
      <x:c r="U1302" s="28"/>
      <x:c r="V1302" s="28"/>
      <x:c r="W1302" s="43" t="n">
        <x:f>--AND(N1302=1,OR(O1302="SUPPORTED",O1302="HALLUCINATION"))</x:f>
        <x:v>0</x:v>
      </x:c>
      <x:c r="X1302" s="43" t="n">
        <x:f>--AND(W1302=1,O1302="HALLUCINATION")</x:f>
        <x:v>0</x:v>
      </x:c>
      <x:c r="Y1302" s="43" t="n">
        <x:f>--AND(Q1302=1,O1302="HALLUCINATION")</x:f>
        <x:v>0</x:v>
      </x:c>
      <x:c r="Z1302" s="43" t="n">
        <x:f>--AND(Y1302=1,R1302=1,S1302=1)</x:f>
        <x:v>0</x:v>
      </x:c>
      <x:c r="AC1302" t="str">
        <x:f>IF(OR(AA1302="",AB1302=""),"",--(AA1302&lt;&gt;AB1302))</x:f>
      </x:c>
      <x:c r="AE1302" t="str">
        <x:f>IF(OR(AA1302="",AB1302=""),"PENDING_HUMAN",IF(AA1302=AB1302,AA1302,IF(AD1302&lt;&gt;"",AD1302,"PENDING_HUMAN")))</x:f>
        <x:v>PENDING_HUMAN</x:v>
      </x:c>
      <x:c r="AF1302" t="n">
        <x:f>--AND(A1302&lt;&gt;"",AA1302&lt;&gt;"",AB1302&lt;&gt;"",OR(AA1302=AB1302,AD1302&lt;&gt;""),IF(AE1302="HALLUCINATION",U1302&lt;&gt;"",TRUE))</x:f>
        <x:v>0</x:v>
      </x:c>
      <x:c r="AG1302" t="n">
        <x:f>--AND(N1302=1,AF1302=1,OR(AE1302="SUPPORTED",AE1302="HALLUCINATION"))</x:f>
        <x:v>0</x:v>
      </x:c>
      <x:c r="AH1302" t="n">
        <x:f>--AND(AG1302=1,AE1302="HALLUCINATION")</x:f>
        <x:v>0</x:v>
      </x:c>
      <x:c r="AI1302" t="n">
        <x:f>--AND(Q1302=1,AF1302=1,AE1302="HALLUCINATION")</x:f>
        <x:v>0</x:v>
      </x:c>
      <x:c r="AJ1302" t="n">
        <x:f>--AND(AI1302=1,R1302=1,S1302=1)</x:f>
        <x:v>0</x:v>
      </x:c>
    </x:row>
    <x:row r="1303">
      <x:c r="A1303" s="28"/>
      <x:c r="B1303" s="28"/>
      <x:c r="C1303" s="28"/>
      <x:c r="D1303" s="28"/>
      <x:c r="E1303" s="28"/>
      <x:c r="F1303" s="28"/>
      <x:c r="G1303" s="28"/>
      <x:c r="H1303" s="28"/>
      <x:c r="I1303" s="28"/>
      <x:c r="J1303" s="28"/>
      <x:c r="K1303" s="28"/>
      <x:c r="L1303" s="28"/>
      <x:c r="M1303" s="28"/>
      <x:c r="N1303" s="28"/>
      <x:c r="O1303" s="28"/>
      <x:c r="P1303" s="28"/>
      <x:c r="Q1303" s="28"/>
      <x:c r="R1303" s="28"/>
      <x:c r="S1303" s="28"/>
      <x:c r="T1303" s="28"/>
      <x:c r="U1303" s="28"/>
      <x:c r="V1303" s="28"/>
      <x:c r="W1303" s="43" t="n">
        <x:f>--AND(N1303=1,OR(O1303="SUPPORTED",O1303="HALLUCINATION"))</x:f>
        <x:v>0</x:v>
      </x:c>
      <x:c r="X1303" s="43" t="n">
        <x:f>--AND(W1303=1,O1303="HALLUCINATION")</x:f>
        <x:v>0</x:v>
      </x:c>
      <x:c r="Y1303" s="43" t="n">
        <x:f>--AND(Q1303=1,O1303="HALLUCINATION")</x:f>
        <x:v>0</x:v>
      </x:c>
      <x:c r="Z1303" s="43" t="n">
        <x:f>--AND(Y1303=1,R1303=1,S1303=1)</x:f>
        <x:v>0</x:v>
      </x:c>
      <x:c r="AC1303" t="str">
        <x:f>IF(OR(AA1303="",AB1303=""),"",--(AA1303&lt;&gt;AB1303))</x:f>
      </x:c>
      <x:c r="AE1303" t="str">
        <x:f>IF(OR(AA1303="",AB1303=""),"PENDING_HUMAN",IF(AA1303=AB1303,AA1303,IF(AD1303&lt;&gt;"",AD1303,"PENDING_HUMAN")))</x:f>
        <x:v>PENDING_HUMAN</x:v>
      </x:c>
      <x:c r="AF1303" t="n">
        <x:f>--AND(A1303&lt;&gt;"",AA1303&lt;&gt;"",AB1303&lt;&gt;"",OR(AA1303=AB1303,AD1303&lt;&gt;""),IF(AE1303="HALLUCINATION",U1303&lt;&gt;"",TRUE))</x:f>
        <x:v>0</x:v>
      </x:c>
      <x:c r="AG1303" t="n">
        <x:f>--AND(N1303=1,AF1303=1,OR(AE1303="SUPPORTED",AE1303="HALLUCINATION"))</x:f>
        <x:v>0</x:v>
      </x:c>
      <x:c r="AH1303" t="n">
        <x:f>--AND(AG1303=1,AE1303="HALLUCINATION")</x:f>
        <x:v>0</x:v>
      </x:c>
      <x:c r="AI1303" t="n">
        <x:f>--AND(Q1303=1,AF1303=1,AE1303="HALLUCINATION")</x:f>
        <x:v>0</x:v>
      </x:c>
      <x:c r="AJ1303" t="n">
        <x:f>--AND(AI1303=1,R1303=1,S1303=1)</x:f>
        <x:v>0</x:v>
      </x:c>
    </x:row>
    <x:row r="1304">
      <x:c r="A1304" s="28"/>
      <x:c r="B1304" s="28"/>
      <x:c r="C1304" s="28"/>
      <x:c r="D1304" s="28"/>
      <x:c r="E1304" s="28"/>
      <x:c r="F1304" s="28"/>
      <x:c r="G1304" s="28"/>
      <x:c r="H1304" s="28"/>
      <x:c r="I1304" s="28"/>
      <x:c r="J1304" s="28"/>
      <x:c r="K1304" s="28"/>
      <x:c r="L1304" s="28"/>
      <x:c r="M1304" s="28"/>
      <x:c r="N1304" s="28"/>
      <x:c r="O1304" s="28"/>
      <x:c r="P1304" s="28"/>
      <x:c r="Q1304" s="28"/>
      <x:c r="R1304" s="28"/>
      <x:c r="S1304" s="28"/>
      <x:c r="T1304" s="28"/>
      <x:c r="U1304" s="28"/>
      <x:c r="V1304" s="28"/>
      <x:c r="W1304" s="43" t="n">
        <x:f>--AND(N1304=1,OR(O1304="SUPPORTED",O1304="HALLUCINATION"))</x:f>
        <x:v>0</x:v>
      </x:c>
      <x:c r="X1304" s="43" t="n">
        <x:f>--AND(W1304=1,O1304="HALLUCINATION")</x:f>
        <x:v>0</x:v>
      </x:c>
      <x:c r="Y1304" s="43" t="n">
        <x:f>--AND(Q1304=1,O1304="HALLUCINATION")</x:f>
        <x:v>0</x:v>
      </x:c>
      <x:c r="Z1304" s="43" t="n">
        <x:f>--AND(Y1304=1,R1304=1,S1304=1)</x:f>
        <x:v>0</x:v>
      </x:c>
      <x:c r="AC1304" t="str">
        <x:f>IF(OR(AA1304="",AB1304=""),"",--(AA1304&lt;&gt;AB1304))</x:f>
      </x:c>
      <x:c r="AE1304" t="str">
        <x:f>IF(OR(AA1304="",AB1304=""),"PENDING_HUMAN",IF(AA1304=AB1304,AA1304,IF(AD1304&lt;&gt;"",AD1304,"PENDING_HUMAN")))</x:f>
        <x:v>PENDING_HUMAN</x:v>
      </x:c>
      <x:c r="AF1304" t="n">
        <x:f>--AND(A1304&lt;&gt;"",AA1304&lt;&gt;"",AB1304&lt;&gt;"",OR(AA1304=AB1304,AD1304&lt;&gt;""),IF(AE1304="HALLUCINATION",U1304&lt;&gt;"",TRUE))</x:f>
        <x:v>0</x:v>
      </x:c>
      <x:c r="AG1304" t="n">
        <x:f>--AND(N1304=1,AF1304=1,OR(AE1304="SUPPORTED",AE1304="HALLUCINATION"))</x:f>
        <x:v>0</x:v>
      </x:c>
      <x:c r="AH1304" t="n">
        <x:f>--AND(AG1304=1,AE1304="HALLUCINATION")</x:f>
        <x:v>0</x:v>
      </x:c>
      <x:c r="AI1304" t="n">
        <x:f>--AND(Q1304=1,AF1304=1,AE1304="HALLUCINATION")</x:f>
        <x:v>0</x:v>
      </x:c>
      <x:c r="AJ1304" t="n">
        <x:f>--AND(AI1304=1,R1304=1,S1304=1)</x:f>
        <x:v>0</x:v>
      </x:c>
    </x:row>
    <x:row r="1305">
      <x:c r="A1305" s="28"/>
      <x:c r="B1305" s="28"/>
      <x:c r="C1305" s="28"/>
      <x:c r="D1305" s="28"/>
      <x:c r="E1305" s="28"/>
      <x:c r="F1305" s="28"/>
      <x:c r="G1305" s="28"/>
      <x:c r="H1305" s="28"/>
      <x:c r="I1305" s="28"/>
      <x:c r="J1305" s="28"/>
      <x:c r="K1305" s="28"/>
      <x:c r="L1305" s="28"/>
      <x:c r="M1305" s="28"/>
      <x:c r="N1305" s="28"/>
      <x:c r="O1305" s="28"/>
      <x:c r="P1305" s="28"/>
      <x:c r="Q1305" s="28"/>
      <x:c r="R1305" s="28"/>
      <x:c r="S1305" s="28"/>
      <x:c r="T1305" s="28"/>
      <x:c r="U1305" s="28"/>
      <x:c r="V1305" s="28"/>
      <x:c r="W1305" s="43" t="n">
        <x:f>--AND(N1305=1,OR(O1305="SUPPORTED",O1305="HALLUCINATION"))</x:f>
        <x:v>0</x:v>
      </x:c>
      <x:c r="X1305" s="43" t="n">
        <x:f>--AND(W1305=1,O1305="HALLUCINATION")</x:f>
        <x:v>0</x:v>
      </x:c>
      <x:c r="Y1305" s="43" t="n">
        <x:f>--AND(Q1305=1,O1305="HALLUCINATION")</x:f>
        <x:v>0</x:v>
      </x:c>
      <x:c r="Z1305" s="43" t="n">
        <x:f>--AND(Y1305=1,R1305=1,S1305=1)</x:f>
        <x:v>0</x:v>
      </x:c>
      <x:c r="AC1305" t="str">
        <x:f>IF(OR(AA1305="",AB1305=""),"",--(AA1305&lt;&gt;AB1305))</x:f>
      </x:c>
      <x:c r="AE1305" t="str">
        <x:f>IF(OR(AA1305="",AB1305=""),"PENDING_HUMAN",IF(AA1305=AB1305,AA1305,IF(AD1305&lt;&gt;"",AD1305,"PENDING_HUMAN")))</x:f>
        <x:v>PENDING_HUMAN</x:v>
      </x:c>
      <x:c r="AF1305" t="n">
        <x:f>--AND(A1305&lt;&gt;"",AA1305&lt;&gt;"",AB1305&lt;&gt;"",OR(AA1305=AB1305,AD1305&lt;&gt;""),IF(AE1305="HALLUCINATION",U1305&lt;&gt;"",TRUE))</x:f>
        <x:v>0</x:v>
      </x:c>
      <x:c r="AG1305" t="n">
        <x:f>--AND(N1305=1,AF1305=1,OR(AE1305="SUPPORTED",AE1305="HALLUCINATION"))</x:f>
        <x:v>0</x:v>
      </x:c>
      <x:c r="AH1305" t="n">
        <x:f>--AND(AG1305=1,AE1305="HALLUCINATION")</x:f>
        <x:v>0</x:v>
      </x:c>
      <x:c r="AI1305" t="n">
        <x:f>--AND(Q1305=1,AF1305=1,AE1305="HALLUCINATION")</x:f>
        <x:v>0</x:v>
      </x:c>
      <x:c r="AJ1305" t="n">
        <x:f>--AND(AI1305=1,R1305=1,S1305=1)</x:f>
        <x:v>0</x:v>
      </x:c>
    </x:row>
    <x:row r="1306">
      <x:c r="A1306" s="28"/>
      <x:c r="B1306" s="28"/>
      <x:c r="C1306" s="28"/>
      <x:c r="D1306" s="28"/>
      <x:c r="E1306" s="28"/>
      <x:c r="F1306" s="28"/>
      <x:c r="G1306" s="28"/>
      <x:c r="H1306" s="28"/>
      <x:c r="I1306" s="28"/>
      <x:c r="J1306" s="28"/>
      <x:c r="K1306" s="28"/>
      <x:c r="L1306" s="28"/>
      <x:c r="M1306" s="28"/>
      <x:c r="N1306" s="28"/>
      <x:c r="O1306" s="28"/>
      <x:c r="P1306" s="28"/>
      <x:c r="Q1306" s="28"/>
      <x:c r="R1306" s="28"/>
      <x:c r="S1306" s="28"/>
      <x:c r="T1306" s="28"/>
      <x:c r="U1306" s="28"/>
      <x:c r="V1306" s="28"/>
      <x:c r="W1306" s="43" t="n">
        <x:f>--AND(N1306=1,OR(O1306="SUPPORTED",O1306="HALLUCINATION"))</x:f>
        <x:v>0</x:v>
      </x:c>
      <x:c r="X1306" s="43" t="n">
        <x:f>--AND(W1306=1,O1306="HALLUCINATION")</x:f>
        <x:v>0</x:v>
      </x:c>
      <x:c r="Y1306" s="43" t="n">
        <x:f>--AND(Q1306=1,O1306="HALLUCINATION")</x:f>
        <x:v>0</x:v>
      </x:c>
      <x:c r="Z1306" s="43" t="n">
        <x:f>--AND(Y1306=1,R1306=1,S1306=1)</x:f>
        <x:v>0</x:v>
      </x:c>
      <x:c r="AC1306" t="str">
        <x:f>IF(OR(AA1306="",AB1306=""),"",--(AA1306&lt;&gt;AB1306))</x:f>
      </x:c>
      <x:c r="AE1306" t="str">
        <x:f>IF(OR(AA1306="",AB1306=""),"PENDING_HUMAN",IF(AA1306=AB1306,AA1306,IF(AD1306&lt;&gt;"",AD1306,"PENDING_HUMAN")))</x:f>
        <x:v>PENDING_HUMAN</x:v>
      </x:c>
      <x:c r="AF1306" t="n">
        <x:f>--AND(A1306&lt;&gt;"",AA1306&lt;&gt;"",AB1306&lt;&gt;"",OR(AA1306=AB1306,AD1306&lt;&gt;""),IF(AE1306="HALLUCINATION",U1306&lt;&gt;"",TRUE))</x:f>
        <x:v>0</x:v>
      </x:c>
      <x:c r="AG1306" t="n">
        <x:f>--AND(N1306=1,AF1306=1,OR(AE1306="SUPPORTED",AE1306="HALLUCINATION"))</x:f>
        <x:v>0</x:v>
      </x:c>
      <x:c r="AH1306" t="n">
        <x:f>--AND(AG1306=1,AE1306="HALLUCINATION")</x:f>
        <x:v>0</x:v>
      </x:c>
      <x:c r="AI1306" t="n">
        <x:f>--AND(Q1306=1,AF1306=1,AE1306="HALLUCINATION")</x:f>
        <x:v>0</x:v>
      </x:c>
      <x:c r="AJ1306" t="n">
        <x:f>--AND(AI1306=1,R1306=1,S1306=1)</x:f>
        <x:v>0</x:v>
      </x:c>
    </x:row>
    <x:row r="1307">
      <x:c r="A1307" s="28"/>
      <x:c r="B1307" s="28"/>
      <x:c r="C1307" s="28"/>
      <x:c r="D1307" s="28"/>
      <x:c r="E1307" s="28"/>
      <x:c r="F1307" s="28"/>
      <x:c r="G1307" s="28"/>
      <x:c r="H1307" s="28"/>
      <x:c r="I1307" s="28"/>
      <x:c r="J1307" s="28"/>
      <x:c r="K1307" s="28"/>
      <x:c r="L1307" s="28"/>
      <x:c r="M1307" s="28"/>
      <x:c r="N1307" s="28"/>
      <x:c r="O1307" s="28"/>
      <x:c r="P1307" s="28"/>
      <x:c r="Q1307" s="28"/>
      <x:c r="R1307" s="28"/>
      <x:c r="S1307" s="28"/>
      <x:c r="T1307" s="28"/>
      <x:c r="U1307" s="28"/>
      <x:c r="V1307" s="28"/>
      <x:c r="W1307" s="43" t="n">
        <x:f>--AND(N1307=1,OR(O1307="SUPPORTED",O1307="HALLUCINATION"))</x:f>
        <x:v>0</x:v>
      </x:c>
      <x:c r="X1307" s="43" t="n">
        <x:f>--AND(W1307=1,O1307="HALLUCINATION")</x:f>
        <x:v>0</x:v>
      </x:c>
      <x:c r="Y1307" s="43" t="n">
        <x:f>--AND(Q1307=1,O1307="HALLUCINATION")</x:f>
        <x:v>0</x:v>
      </x:c>
      <x:c r="Z1307" s="43" t="n">
        <x:f>--AND(Y1307=1,R1307=1,S1307=1)</x:f>
        <x:v>0</x:v>
      </x:c>
      <x:c r="AC1307" t="str">
        <x:f>IF(OR(AA1307="",AB1307=""),"",--(AA1307&lt;&gt;AB1307))</x:f>
      </x:c>
      <x:c r="AE1307" t="str">
        <x:f>IF(OR(AA1307="",AB1307=""),"PENDING_HUMAN",IF(AA1307=AB1307,AA1307,IF(AD1307&lt;&gt;"",AD1307,"PENDING_HUMAN")))</x:f>
        <x:v>PENDING_HUMAN</x:v>
      </x:c>
      <x:c r="AF1307" t="n">
        <x:f>--AND(A1307&lt;&gt;"",AA1307&lt;&gt;"",AB1307&lt;&gt;"",OR(AA1307=AB1307,AD1307&lt;&gt;""),IF(AE1307="HALLUCINATION",U1307&lt;&gt;"",TRUE))</x:f>
        <x:v>0</x:v>
      </x:c>
      <x:c r="AG1307" t="n">
        <x:f>--AND(N1307=1,AF1307=1,OR(AE1307="SUPPORTED",AE1307="HALLUCINATION"))</x:f>
        <x:v>0</x:v>
      </x:c>
      <x:c r="AH1307" t="n">
        <x:f>--AND(AG1307=1,AE1307="HALLUCINATION")</x:f>
        <x:v>0</x:v>
      </x:c>
      <x:c r="AI1307" t="n">
        <x:f>--AND(Q1307=1,AF1307=1,AE1307="HALLUCINATION")</x:f>
        <x:v>0</x:v>
      </x:c>
      <x:c r="AJ1307" t="n">
        <x:f>--AND(AI1307=1,R1307=1,S1307=1)</x:f>
        <x:v>0</x:v>
      </x:c>
    </x:row>
    <x:row r="1308">
      <x:c r="A1308" s="28"/>
      <x:c r="B1308" s="28"/>
      <x:c r="C1308" s="28"/>
      <x:c r="D1308" s="28"/>
      <x:c r="E1308" s="28"/>
      <x:c r="F1308" s="28"/>
      <x:c r="G1308" s="28"/>
      <x:c r="H1308" s="28"/>
      <x:c r="I1308" s="28"/>
      <x:c r="J1308" s="28"/>
      <x:c r="K1308" s="28"/>
      <x:c r="L1308" s="28"/>
      <x:c r="M1308" s="28"/>
      <x:c r="N1308" s="28"/>
      <x:c r="O1308" s="28"/>
      <x:c r="P1308" s="28"/>
      <x:c r="Q1308" s="28"/>
      <x:c r="R1308" s="28"/>
      <x:c r="S1308" s="28"/>
      <x:c r="T1308" s="28"/>
      <x:c r="U1308" s="28"/>
      <x:c r="V1308" s="28"/>
      <x:c r="W1308" s="43" t="n">
        <x:f>--AND(N1308=1,OR(O1308="SUPPORTED",O1308="HALLUCINATION"))</x:f>
        <x:v>0</x:v>
      </x:c>
      <x:c r="X1308" s="43" t="n">
        <x:f>--AND(W1308=1,O1308="HALLUCINATION")</x:f>
        <x:v>0</x:v>
      </x:c>
      <x:c r="Y1308" s="43" t="n">
        <x:f>--AND(Q1308=1,O1308="HALLUCINATION")</x:f>
        <x:v>0</x:v>
      </x:c>
      <x:c r="Z1308" s="43" t="n">
        <x:f>--AND(Y1308=1,R1308=1,S1308=1)</x:f>
        <x:v>0</x:v>
      </x:c>
      <x:c r="AC1308" t="str">
        <x:f>IF(OR(AA1308="",AB1308=""),"",--(AA1308&lt;&gt;AB1308))</x:f>
      </x:c>
      <x:c r="AE1308" t="str">
        <x:f>IF(OR(AA1308="",AB1308=""),"PENDING_HUMAN",IF(AA1308=AB1308,AA1308,IF(AD1308&lt;&gt;"",AD1308,"PENDING_HUMAN")))</x:f>
        <x:v>PENDING_HUMAN</x:v>
      </x:c>
      <x:c r="AF1308" t="n">
        <x:f>--AND(A1308&lt;&gt;"",AA1308&lt;&gt;"",AB1308&lt;&gt;"",OR(AA1308=AB1308,AD1308&lt;&gt;""),IF(AE1308="HALLUCINATION",U1308&lt;&gt;"",TRUE))</x:f>
        <x:v>0</x:v>
      </x:c>
      <x:c r="AG1308" t="n">
        <x:f>--AND(N1308=1,AF1308=1,OR(AE1308="SUPPORTED",AE1308="HALLUCINATION"))</x:f>
        <x:v>0</x:v>
      </x:c>
      <x:c r="AH1308" t="n">
        <x:f>--AND(AG1308=1,AE1308="HALLUCINATION")</x:f>
        <x:v>0</x:v>
      </x:c>
      <x:c r="AI1308" t="n">
        <x:f>--AND(Q1308=1,AF1308=1,AE1308="HALLUCINATION")</x:f>
        <x:v>0</x:v>
      </x:c>
      <x:c r="AJ1308" t="n">
        <x:f>--AND(AI1308=1,R1308=1,S1308=1)</x:f>
        <x:v>0</x:v>
      </x:c>
    </x:row>
    <x:row r="1309">
      <x:c r="A1309" s="28"/>
      <x:c r="B1309" s="28"/>
      <x:c r="C1309" s="28"/>
      <x:c r="D1309" s="28"/>
      <x:c r="E1309" s="28"/>
      <x:c r="F1309" s="28"/>
      <x:c r="G1309" s="28"/>
      <x:c r="H1309" s="28"/>
      <x:c r="I1309" s="28"/>
      <x:c r="J1309" s="28"/>
      <x:c r="K1309" s="28"/>
      <x:c r="L1309" s="28"/>
      <x:c r="M1309" s="28"/>
      <x:c r="N1309" s="28"/>
      <x:c r="O1309" s="28"/>
      <x:c r="P1309" s="28"/>
      <x:c r="Q1309" s="28"/>
      <x:c r="R1309" s="28"/>
      <x:c r="S1309" s="28"/>
      <x:c r="T1309" s="28"/>
      <x:c r="U1309" s="28"/>
      <x:c r="V1309" s="28"/>
      <x:c r="W1309" s="43" t="n">
        <x:f>--AND(N1309=1,OR(O1309="SUPPORTED",O1309="HALLUCINATION"))</x:f>
        <x:v>0</x:v>
      </x:c>
      <x:c r="X1309" s="43" t="n">
        <x:f>--AND(W1309=1,O1309="HALLUCINATION")</x:f>
        <x:v>0</x:v>
      </x:c>
      <x:c r="Y1309" s="43" t="n">
        <x:f>--AND(Q1309=1,O1309="HALLUCINATION")</x:f>
        <x:v>0</x:v>
      </x:c>
      <x:c r="Z1309" s="43" t="n">
        <x:f>--AND(Y1309=1,R1309=1,S1309=1)</x:f>
        <x:v>0</x:v>
      </x:c>
      <x:c r="AC1309" t="str">
        <x:f>IF(OR(AA1309="",AB1309=""),"",--(AA1309&lt;&gt;AB1309))</x:f>
      </x:c>
      <x:c r="AE1309" t="str">
        <x:f>IF(OR(AA1309="",AB1309=""),"PENDING_HUMAN",IF(AA1309=AB1309,AA1309,IF(AD1309&lt;&gt;"",AD1309,"PENDING_HUMAN")))</x:f>
        <x:v>PENDING_HUMAN</x:v>
      </x:c>
      <x:c r="AF1309" t="n">
        <x:f>--AND(A1309&lt;&gt;"",AA1309&lt;&gt;"",AB1309&lt;&gt;"",OR(AA1309=AB1309,AD1309&lt;&gt;""),IF(AE1309="HALLUCINATION",U1309&lt;&gt;"",TRUE))</x:f>
        <x:v>0</x:v>
      </x:c>
      <x:c r="AG1309" t="n">
        <x:f>--AND(N1309=1,AF1309=1,OR(AE1309="SUPPORTED",AE1309="HALLUCINATION"))</x:f>
        <x:v>0</x:v>
      </x:c>
      <x:c r="AH1309" t="n">
        <x:f>--AND(AG1309=1,AE1309="HALLUCINATION")</x:f>
        <x:v>0</x:v>
      </x:c>
      <x:c r="AI1309" t="n">
        <x:f>--AND(Q1309=1,AF1309=1,AE1309="HALLUCINATION")</x:f>
        <x:v>0</x:v>
      </x:c>
      <x:c r="AJ1309" t="n">
        <x:f>--AND(AI1309=1,R1309=1,S1309=1)</x:f>
        <x:v>0</x:v>
      </x:c>
    </x:row>
    <x:row r="1310">
      <x:c r="A1310" s="28"/>
      <x:c r="B1310" s="28"/>
      <x:c r="C1310" s="28"/>
      <x:c r="D1310" s="28"/>
      <x:c r="E1310" s="28"/>
      <x:c r="F1310" s="28"/>
      <x:c r="G1310" s="28"/>
      <x:c r="H1310" s="28"/>
      <x:c r="I1310" s="28"/>
      <x:c r="J1310" s="28"/>
      <x:c r="K1310" s="28"/>
      <x:c r="L1310" s="28"/>
      <x:c r="M1310" s="28"/>
      <x:c r="N1310" s="28"/>
      <x:c r="O1310" s="28"/>
      <x:c r="P1310" s="28"/>
      <x:c r="Q1310" s="28"/>
      <x:c r="R1310" s="28"/>
      <x:c r="S1310" s="28"/>
      <x:c r="T1310" s="28"/>
      <x:c r="U1310" s="28"/>
      <x:c r="V1310" s="28"/>
      <x:c r="W1310" s="43" t="n">
        <x:f>--AND(N1310=1,OR(O1310="SUPPORTED",O1310="HALLUCINATION"))</x:f>
        <x:v>0</x:v>
      </x:c>
      <x:c r="X1310" s="43" t="n">
        <x:f>--AND(W1310=1,O1310="HALLUCINATION")</x:f>
        <x:v>0</x:v>
      </x:c>
      <x:c r="Y1310" s="43" t="n">
        <x:f>--AND(Q1310=1,O1310="HALLUCINATION")</x:f>
        <x:v>0</x:v>
      </x:c>
      <x:c r="Z1310" s="43" t="n">
        <x:f>--AND(Y1310=1,R1310=1,S1310=1)</x:f>
        <x:v>0</x:v>
      </x:c>
      <x:c r="AC1310" t="str">
        <x:f>IF(OR(AA1310="",AB1310=""),"",--(AA1310&lt;&gt;AB1310))</x:f>
      </x:c>
      <x:c r="AE1310" t="str">
        <x:f>IF(OR(AA1310="",AB1310=""),"PENDING_HUMAN",IF(AA1310=AB1310,AA1310,IF(AD1310&lt;&gt;"",AD1310,"PENDING_HUMAN")))</x:f>
        <x:v>PENDING_HUMAN</x:v>
      </x:c>
      <x:c r="AF1310" t="n">
        <x:f>--AND(A1310&lt;&gt;"",AA1310&lt;&gt;"",AB1310&lt;&gt;"",OR(AA1310=AB1310,AD1310&lt;&gt;""),IF(AE1310="HALLUCINATION",U1310&lt;&gt;"",TRUE))</x:f>
        <x:v>0</x:v>
      </x:c>
      <x:c r="AG1310" t="n">
        <x:f>--AND(N1310=1,AF1310=1,OR(AE1310="SUPPORTED",AE1310="HALLUCINATION"))</x:f>
        <x:v>0</x:v>
      </x:c>
      <x:c r="AH1310" t="n">
        <x:f>--AND(AG1310=1,AE1310="HALLUCINATION")</x:f>
        <x:v>0</x:v>
      </x:c>
      <x:c r="AI1310" t="n">
        <x:f>--AND(Q1310=1,AF1310=1,AE1310="HALLUCINATION")</x:f>
        <x:v>0</x:v>
      </x:c>
      <x:c r="AJ1310" t="n">
        <x:f>--AND(AI1310=1,R1310=1,S1310=1)</x:f>
        <x:v>0</x:v>
      </x:c>
    </x:row>
    <x:row r="1311">
      <x:c r="A1311" s="28"/>
      <x:c r="B1311" s="28"/>
      <x:c r="C1311" s="28"/>
      <x:c r="D1311" s="28"/>
      <x:c r="E1311" s="28"/>
      <x:c r="F1311" s="28"/>
      <x:c r="G1311" s="28"/>
      <x:c r="H1311" s="28"/>
      <x:c r="I1311" s="28"/>
      <x:c r="J1311" s="28"/>
      <x:c r="K1311" s="28"/>
      <x:c r="L1311" s="28"/>
      <x:c r="M1311" s="28"/>
      <x:c r="N1311" s="28"/>
      <x:c r="O1311" s="28"/>
      <x:c r="P1311" s="28"/>
      <x:c r="Q1311" s="28"/>
      <x:c r="R1311" s="28"/>
      <x:c r="S1311" s="28"/>
      <x:c r="T1311" s="28"/>
      <x:c r="U1311" s="28"/>
      <x:c r="V1311" s="28"/>
      <x:c r="W1311" s="43" t="n">
        <x:f>--AND(N1311=1,OR(O1311="SUPPORTED",O1311="HALLUCINATION"))</x:f>
        <x:v>0</x:v>
      </x:c>
      <x:c r="X1311" s="43" t="n">
        <x:f>--AND(W1311=1,O1311="HALLUCINATION")</x:f>
        <x:v>0</x:v>
      </x:c>
      <x:c r="Y1311" s="43" t="n">
        <x:f>--AND(Q1311=1,O1311="HALLUCINATION")</x:f>
        <x:v>0</x:v>
      </x:c>
      <x:c r="Z1311" s="43" t="n">
        <x:f>--AND(Y1311=1,R1311=1,S1311=1)</x:f>
        <x:v>0</x:v>
      </x:c>
      <x:c r="AC1311" t="str">
        <x:f>IF(OR(AA1311="",AB1311=""),"",--(AA1311&lt;&gt;AB1311))</x:f>
      </x:c>
      <x:c r="AE1311" t="str">
        <x:f>IF(OR(AA1311="",AB1311=""),"PENDING_HUMAN",IF(AA1311=AB1311,AA1311,IF(AD1311&lt;&gt;"",AD1311,"PENDING_HUMAN")))</x:f>
        <x:v>PENDING_HUMAN</x:v>
      </x:c>
      <x:c r="AF1311" t="n">
        <x:f>--AND(A1311&lt;&gt;"",AA1311&lt;&gt;"",AB1311&lt;&gt;"",OR(AA1311=AB1311,AD1311&lt;&gt;""),IF(AE1311="HALLUCINATION",U1311&lt;&gt;"",TRUE))</x:f>
        <x:v>0</x:v>
      </x:c>
      <x:c r="AG1311" t="n">
        <x:f>--AND(N1311=1,AF1311=1,OR(AE1311="SUPPORTED",AE1311="HALLUCINATION"))</x:f>
        <x:v>0</x:v>
      </x:c>
      <x:c r="AH1311" t="n">
        <x:f>--AND(AG1311=1,AE1311="HALLUCINATION")</x:f>
        <x:v>0</x:v>
      </x:c>
      <x:c r="AI1311" t="n">
        <x:f>--AND(Q1311=1,AF1311=1,AE1311="HALLUCINATION")</x:f>
        <x:v>0</x:v>
      </x:c>
      <x:c r="AJ1311" t="n">
        <x:f>--AND(AI1311=1,R1311=1,S1311=1)</x:f>
        <x:v>0</x:v>
      </x:c>
    </x:row>
    <x:row r="1312">
      <x:c r="A1312" s="28"/>
      <x:c r="B1312" s="28"/>
      <x:c r="C1312" s="28"/>
      <x:c r="D1312" s="28"/>
      <x:c r="E1312" s="28"/>
      <x:c r="F1312" s="28"/>
      <x:c r="G1312" s="28"/>
      <x:c r="H1312" s="28"/>
      <x:c r="I1312" s="28"/>
      <x:c r="J1312" s="28"/>
      <x:c r="K1312" s="28"/>
      <x:c r="L1312" s="28"/>
      <x:c r="M1312" s="28"/>
      <x:c r="N1312" s="28"/>
      <x:c r="O1312" s="28"/>
      <x:c r="P1312" s="28"/>
      <x:c r="Q1312" s="28"/>
      <x:c r="R1312" s="28"/>
      <x:c r="S1312" s="28"/>
      <x:c r="T1312" s="28"/>
      <x:c r="U1312" s="28"/>
      <x:c r="V1312" s="28"/>
      <x:c r="W1312" s="43" t="n">
        <x:f>--AND(N1312=1,OR(O1312="SUPPORTED",O1312="HALLUCINATION"))</x:f>
        <x:v>0</x:v>
      </x:c>
      <x:c r="X1312" s="43" t="n">
        <x:f>--AND(W1312=1,O1312="HALLUCINATION")</x:f>
        <x:v>0</x:v>
      </x:c>
      <x:c r="Y1312" s="43" t="n">
        <x:f>--AND(Q1312=1,O1312="HALLUCINATION")</x:f>
        <x:v>0</x:v>
      </x:c>
      <x:c r="Z1312" s="43" t="n">
        <x:f>--AND(Y1312=1,R1312=1,S1312=1)</x:f>
        <x:v>0</x:v>
      </x:c>
      <x:c r="AC1312" t="str">
        <x:f>IF(OR(AA1312="",AB1312=""),"",--(AA1312&lt;&gt;AB1312))</x:f>
      </x:c>
      <x:c r="AE1312" t="str">
        <x:f>IF(OR(AA1312="",AB1312=""),"PENDING_HUMAN",IF(AA1312=AB1312,AA1312,IF(AD1312&lt;&gt;"",AD1312,"PENDING_HUMAN")))</x:f>
        <x:v>PENDING_HUMAN</x:v>
      </x:c>
      <x:c r="AF1312" t="n">
        <x:f>--AND(A1312&lt;&gt;"",AA1312&lt;&gt;"",AB1312&lt;&gt;"",OR(AA1312=AB1312,AD1312&lt;&gt;""),IF(AE1312="HALLUCINATION",U1312&lt;&gt;"",TRUE))</x:f>
        <x:v>0</x:v>
      </x:c>
      <x:c r="AG1312" t="n">
        <x:f>--AND(N1312=1,AF1312=1,OR(AE1312="SUPPORTED",AE1312="HALLUCINATION"))</x:f>
        <x:v>0</x:v>
      </x:c>
      <x:c r="AH1312" t="n">
        <x:f>--AND(AG1312=1,AE1312="HALLUCINATION")</x:f>
        <x:v>0</x:v>
      </x:c>
      <x:c r="AI1312" t="n">
        <x:f>--AND(Q1312=1,AF1312=1,AE1312="HALLUCINATION")</x:f>
        <x:v>0</x:v>
      </x:c>
      <x:c r="AJ1312" t="n">
        <x:f>--AND(AI1312=1,R1312=1,S1312=1)</x:f>
        <x:v>0</x:v>
      </x:c>
    </x:row>
    <x:row r="1313">
      <x:c r="A1313" s="28"/>
      <x:c r="B1313" s="28"/>
      <x:c r="C1313" s="28"/>
      <x:c r="D1313" s="28"/>
      <x:c r="E1313" s="28"/>
      <x:c r="F1313" s="28"/>
      <x:c r="G1313" s="28"/>
      <x:c r="H1313" s="28"/>
      <x:c r="I1313" s="28"/>
      <x:c r="J1313" s="28"/>
      <x:c r="K1313" s="28"/>
      <x:c r="L1313" s="28"/>
      <x:c r="M1313" s="28"/>
      <x:c r="N1313" s="28"/>
      <x:c r="O1313" s="28"/>
      <x:c r="P1313" s="28"/>
      <x:c r="Q1313" s="28"/>
      <x:c r="R1313" s="28"/>
      <x:c r="S1313" s="28"/>
      <x:c r="T1313" s="28"/>
      <x:c r="U1313" s="28"/>
      <x:c r="V1313" s="28"/>
      <x:c r="W1313" s="43" t="n">
        <x:f>--AND(N1313=1,OR(O1313="SUPPORTED",O1313="HALLUCINATION"))</x:f>
        <x:v>0</x:v>
      </x:c>
      <x:c r="X1313" s="43" t="n">
        <x:f>--AND(W1313=1,O1313="HALLUCINATION")</x:f>
        <x:v>0</x:v>
      </x:c>
      <x:c r="Y1313" s="43" t="n">
        <x:f>--AND(Q1313=1,O1313="HALLUCINATION")</x:f>
        <x:v>0</x:v>
      </x:c>
      <x:c r="Z1313" s="43" t="n">
        <x:f>--AND(Y1313=1,R1313=1,S1313=1)</x:f>
        <x:v>0</x:v>
      </x:c>
      <x:c r="AC1313" t="str">
        <x:f>IF(OR(AA1313="",AB1313=""),"",--(AA1313&lt;&gt;AB1313))</x:f>
      </x:c>
      <x:c r="AE1313" t="str">
        <x:f>IF(OR(AA1313="",AB1313=""),"PENDING_HUMAN",IF(AA1313=AB1313,AA1313,IF(AD1313&lt;&gt;"",AD1313,"PENDING_HUMAN")))</x:f>
        <x:v>PENDING_HUMAN</x:v>
      </x:c>
      <x:c r="AF1313" t="n">
        <x:f>--AND(A1313&lt;&gt;"",AA1313&lt;&gt;"",AB1313&lt;&gt;"",OR(AA1313=AB1313,AD1313&lt;&gt;""),IF(AE1313="HALLUCINATION",U1313&lt;&gt;"",TRUE))</x:f>
        <x:v>0</x:v>
      </x:c>
      <x:c r="AG1313" t="n">
        <x:f>--AND(N1313=1,AF1313=1,OR(AE1313="SUPPORTED",AE1313="HALLUCINATION"))</x:f>
        <x:v>0</x:v>
      </x:c>
      <x:c r="AH1313" t="n">
        <x:f>--AND(AG1313=1,AE1313="HALLUCINATION")</x:f>
        <x:v>0</x:v>
      </x:c>
      <x:c r="AI1313" t="n">
        <x:f>--AND(Q1313=1,AF1313=1,AE1313="HALLUCINATION")</x:f>
        <x:v>0</x:v>
      </x:c>
      <x:c r="AJ1313" t="n">
        <x:f>--AND(AI1313=1,R1313=1,S1313=1)</x:f>
        <x:v>0</x:v>
      </x:c>
    </x:row>
    <x:row r="1314">
      <x:c r="A1314" s="28"/>
      <x:c r="B1314" s="28"/>
      <x:c r="C1314" s="28"/>
      <x:c r="D1314" s="28"/>
      <x:c r="E1314" s="28"/>
      <x:c r="F1314" s="28"/>
      <x:c r="G1314" s="28"/>
      <x:c r="H1314" s="28"/>
      <x:c r="I1314" s="28"/>
      <x:c r="J1314" s="28"/>
      <x:c r="K1314" s="28"/>
      <x:c r="L1314" s="28"/>
      <x:c r="M1314" s="28"/>
      <x:c r="N1314" s="28"/>
      <x:c r="O1314" s="28"/>
      <x:c r="P1314" s="28"/>
      <x:c r="Q1314" s="28"/>
      <x:c r="R1314" s="28"/>
      <x:c r="S1314" s="28"/>
      <x:c r="T1314" s="28"/>
      <x:c r="U1314" s="28"/>
      <x:c r="V1314" s="28"/>
      <x:c r="W1314" s="43" t="n">
        <x:f>--AND(N1314=1,OR(O1314="SUPPORTED",O1314="HALLUCINATION"))</x:f>
        <x:v>0</x:v>
      </x:c>
      <x:c r="X1314" s="43" t="n">
        <x:f>--AND(W1314=1,O1314="HALLUCINATION")</x:f>
        <x:v>0</x:v>
      </x:c>
      <x:c r="Y1314" s="43" t="n">
        <x:f>--AND(Q1314=1,O1314="HALLUCINATION")</x:f>
        <x:v>0</x:v>
      </x:c>
      <x:c r="Z1314" s="43" t="n">
        <x:f>--AND(Y1314=1,R1314=1,S1314=1)</x:f>
        <x:v>0</x:v>
      </x:c>
      <x:c r="AC1314" t="str">
        <x:f>IF(OR(AA1314="",AB1314=""),"",--(AA1314&lt;&gt;AB1314))</x:f>
      </x:c>
      <x:c r="AE1314" t="str">
        <x:f>IF(OR(AA1314="",AB1314=""),"PENDING_HUMAN",IF(AA1314=AB1314,AA1314,IF(AD1314&lt;&gt;"",AD1314,"PENDING_HUMAN")))</x:f>
        <x:v>PENDING_HUMAN</x:v>
      </x:c>
      <x:c r="AF1314" t="n">
        <x:f>--AND(A1314&lt;&gt;"",AA1314&lt;&gt;"",AB1314&lt;&gt;"",OR(AA1314=AB1314,AD1314&lt;&gt;""),IF(AE1314="HALLUCINATION",U1314&lt;&gt;"",TRUE))</x:f>
        <x:v>0</x:v>
      </x:c>
      <x:c r="AG1314" t="n">
        <x:f>--AND(N1314=1,AF1314=1,OR(AE1314="SUPPORTED",AE1314="HALLUCINATION"))</x:f>
        <x:v>0</x:v>
      </x:c>
      <x:c r="AH1314" t="n">
        <x:f>--AND(AG1314=1,AE1314="HALLUCINATION")</x:f>
        <x:v>0</x:v>
      </x:c>
      <x:c r="AI1314" t="n">
        <x:f>--AND(Q1314=1,AF1314=1,AE1314="HALLUCINATION")</x:f>
        <x:v>0</x:v>
      </x:c>
      <x:c r="AJ1314" t="n">
        <x:f>--AND(AI1314=1,R1314=1,S1314=1)</x:f>
        <x:v>0</x:v>
      </x:c>
    </x:row>
    <x:row r="1315">
      <x:c r="A1315" s="28"/>
      <x:c r="B1315" s="28"/>
      <x:c r="C1315" s="28"/>
      <x:c r="D1315" s="28"/>
      <x:c r="E1315" s="28"/>
      <x:c r="F1315" s="28"/>
      <x:c r="G1315" s="28"/>
      <x:c r="H1315" s="28"/>
      <x:c r="I1315" s="28"/>
      <x:c r="J1315" s="28"/>
      <x:c r="K1315" s="28"/>
      <x:c r="L1315" s="28"/>
      <x:c r="M1315" s="28"/>
      <x:c r="N1315" s="28"/>
      <x:c r="O1315" s="28"/>
      <x:c r="P1315" s="28"/>
      <x:c r="Q1315" s="28"/>
      <x:c r="R1315" s="28"/>
      <x:c r="S1315" s="28"/>
      <x:c r="T1315" s="28"/>
      <x:c r="U1315" s="28"/>
      <x:c r="V1315" s="28"/>
      <x:c r="W1315" s="43" t="n">
        <x:f>--AND(N1315=1,OR(O1315="SUPPORTED",O1315="HALLUCINATION"))</x:f>
        <x:v>0</x:v>
      </x:c>
      <x:c r="X1315" s="43" t="n">
        <x:f>--AND(W1315=1,O1315="HALLUCINATION")</x:f>
        <x:v>0</x:v>
      </x:c>
      <x:c r="Y1315" s="43" t="n">
        <x:f>--AND(Q1315=1,O1315="HALLUCINATION")</x:f>
        <x:v>0</x:v>
      </x:c>
      <x:c r="Z1315" s="43" t="n">
        <x:f>--AND(Y1315=1,R1315=1,S1315=1)</x:f>
        <x:v>0</x:v>
      </x:c>
      <x:c r="AC1315" t="str">
        <x:f>IF(OR(AA1315="",AB1315=""),"",--(AA1315&lt;&gt;AB1315))</x:f>
      </x:c>
      <x:c r="AE1315" t="str">
        <x:f>IF(OR(AA1315="",AB1315=""),"PENDING_HUMAN",IF(AA1315=AB1315,AA1315,IF(AD1315&lt;&gt;"",AD1315,"PENDING_HUMAN")))</x:f>
        <x:v>PENDING_HUMAN</x:v>
      </x:c>
      <x:c r="AF1315" t="n">
        <x:f>--AND(A1315&lt;&gt;"",AA1315&lt;&gt;"",AB1315&lt;&gt;"",OR(AA1315=AB1315,AD1315&lt;&gt;""),IF(AE1315="HALLUCINATION",U1315&lt;&gt;"",TRUE))</x:f>
        <x:v>0</x:v>
      </x:c>
      <x:c r="AG1315" t="n">
        <x:f>--AND(N1315=1,AF1315=1,OR(AE1315="SUPPORTED",AE1315="HALLUCINATION"))</x:f>
        <x:v>0</x:v>
      </x:c>
      <x:c r="AH1315" t="n">
        <x:f>--AND(AG1315=1,AE1315="HALLUCINATION")</x:f>
        <x:v>0</x:v>
      </x:c>
      <x:c r="AI1315" t="n">
        <x:f>--AND(Q1315=1,AF1315=1,AE1315="HALLUCINATION")</x:f>
        <x:v>0</x:v>
      </x:c>
      <x:c r="AJ1315" t="n">
        <x:f>--AND(AI1315=1,R1315=1,S1315=1)</x:f>
        <x:v>0</x:v>
      </x:c>
    </x:row>
    <x:row r="1316">
      <x:c r="A1316" s="28"/>
      <x:c r="B1316" s="28"/>
      <x:c r="C1316" s="28"/>
      <x:c r="D1316" s="28"/>
      <x:c r="E1316" s="28"/>
      <x:c r="F1316" s="28"/>
      <x:c r="G1316" s="28"/>
      <x:c r="H1316" s="28"/>
      <x:c r="I1316" s="28"/>
      <x:c r="J1316" s="28"/>
      <x:c r="K1316" s="28"/>
      <x:c r="L1316" s="28"/>
      <x:c r="M1316" s="28"/>
      <x:c r="N1316" s="28"/>
      <x:c r="O1316" s="28"/>
      <x:c r="P1316" s="28"/>
      <x:c r="Q1316" s="28"/>
      <x:c r="R1316" s="28"/>
      <x:c r="S1316" s="28"/>
      <x:c r="T1316" s="28"/>
      <x:c r="U1316" s="28"/>
      <x:c r="V1316" s="28"/>
      <x:c r="W1316" s="43" t="n">
        <x:f>--AND(N1316=1,OR(O1316="SUPPORTED",O1316="HALLUCINATION"))</x:f>
        <x:v>0</x:v>
      </x:c>
      <x:c r="X1316" s="43" t="n">
        <x:f>--AND(W1316=1,O1316="HALLUCINATION")</x:f>
        <x:v>0</x:v>
      </x:c>
      <x:c r="Y1316" s="43" t="n">
        <x:f>--AND(Q1316=1,O1316="HALLUCINATION")</x:f>
        <x:v>0</x:v>
      </x:c>
      <x:c r="Z1316" s="43" t="n">
        <x:f>--AND(Y1316=1,R1316=1,S1316=1)</x:f>
        <x:v>0</x:v>
      </x:c>
      <x:c r="AC1316" t="str">
        <x:f>IF(OR(AA1316="",AB1316=""),"",--(AA1316&lt;&gt;AB1316))</x:f>
      </x:c>
      <x:c r="AE1316" t="str">
        <x:f>IF(OR(AA1316="",AB1316=""),"PENDING_HUMAN",IF(AA1316=AB1316,AA1316,IF(AD1316&lt;&gt;"",AD1316,"PENDING_HUMAN")))</x:f>
        <x:v>PENDING_HUMAN</x:v>
      </x:c>
      <x:c r="AF1316" t="n">
        <x:f>--AND(A1316&lt;&gt;"",AA1316&lt;&gt;"",AB1316&lt;&gt;"",OR(AA1316=AB1316,AD1316&lt;&gt;""),IF(AE1316="HALLUCINATION",U1316&lt;&gt;"",TRUE))</x:f>
        <x:v>0</x:v>
      </x:c>
      <x:c r="AG1316" t="n">
        <x:f>--AND(N1316=1,AF1316=1,OR(AE1316="SUPPORTED",AE1316="HALLUCINATION"))</x:f>
        <x:v>0</x:v>
      </x:c>
      <x:c r="AH1316" t="n">
        <x:f>--AND(AG1316=1,AE1316="HALLUCINATION")</x:f>
        <x:v>0</x:v>
      </x:c>
      <x:c r="AI1316" t="n">
        <x:f>--AND(Q1316=1,AF1316=1,AE1316="HALLUCINATION")</x:f>
        <x:v>0</x:v>
      </x:c>
      <x:c r="AJ1316" t="n">
        <x:f>--AND(AI1316=1,R1316=1,S1316=1)</x:f>
        <x:v>0</x:v>
      </x:c>
    </x:row>
    <x:row r="1317">
      <x:c r="A1317" s="28"/>
      <x:c r="B1317" s="28"/>
      <x:c r="C1317" s="28"/>
      <x:c r="D1317" s="28"/>
      <x:c r="E1317" s="28"/>
      <x:c r="F1317" s="28"/>
      <x:c r="G1317" s="28"/>
      <x:c r="H1317" s="28"/>
      <x:c r="I1317" s="28"/>
      <x:c r="J1317" s="28"/>
      <x:c r="K1317" s="28"/>
      <x:c r="L1317" s="28"/>
      <x:c r="M1317" s="28"/>
      <x:c r="N1317" s="28"/>
      <x:c r="O1317" s="28"/>
      <x:c r="P1317" s="28"/>
      <x:c r="Q1317" s="28"/>
      <x:c r="R1317" s="28"/>
      <x:c r="S1317" s="28"/>
      <x:c r="T1317" s="28"/>
      <x:c r="U1317" s="28"/>
      <x:c r="V1317" s="28"/>
      <x:c r="W1317" s="43" t="n">
        <x:f>--AND(N1317=1,OR(O1317="SUPPORTED",O1317="HALLUCINATION"))</x:f>
        <x:v>0</x:v>
      </x:c>
      <x:c r="X1317" s="43" t="n">
        <x:f>--AND(W1317=1,O1317="HALLUCINATION")</x:f>
        <x:v>0</x:v>
      </x:c>
      <x:c r="Y1317" s="43" t="n">
        <x:f>--AND(Q1317=1,O1317="HALLUCINATION")</x:f>
        <x:v>0</x:v>
      </x:c>
      <x:c r="Z1317" s="43" t="n">
        <x:f>--AND(Y1317=1,R1317=1,S1317=1)</x:f>
        <x:v>0</x:v>
      </x:c>
      <x:c r="AC1317" t="str">
        <x:f>IF(OR(AA1317="",AB1317=""),"",--(AA1317&lt;&gt;AB1317))</x:f>
      </x:c>
      <x:c r="AE1317" t="str">
        <x:f>IF(OR(AA1317="",AB1317=""),"PENDING_HUMAN",IF(AA1317=AB1317,AA1317,IF(AD1317&lt;&gt;"",AD1317,"PENDING_HUMAN")))</x:f>
        <x:v>PENDING_HUMAN</x:v>
      </x:c>
      <x:c r="AF1317" t="n">
        <x:f>--AND(A1317&lt;&gt;"",AA1317&lt;&gt;"",AB1317&lt;&gt;"",OR(AA1317=AB1317,AD1317&lt;&gt;""),IF(AE1317="HALLUCINATION",U1317&lt;&gt;"",TRUE))</x:f>
        <x:v>0</x:v>
      </x:c>
      <x:c r="AG1317" t="n">
        <x:f>--AND(N1317=1,AF1317=1,OR(AE1317="SUPPORTED",AE1317="HALLUCINATION"))</x:f>
        <x:v>0</x:v>
      </x:c>
      <x:c r="AH1317" t="n">
        <x:f>--AND(AG1317=1,AE1317="HALLUCINATION")</x:f>
        <x:v>0</x:v>
      </x:c>
      <x:c r="AI1317" t="n">
        <x:f>--AND(Q1317=1,AF1317=1,AE1317="HALLUCINATION")</x:f>
        <x:v>0</x:v>
      </x:c>
      <x:c r="AJ1317" t="n">
        <x:f>--AND(AI1317=1,R1317=1,S1317=1)</x:f>
        <x:v>0</x:v>
      </x:c>
    </x:row>
    <x:row r="1318">
      <x:c r="A1318" s="28"/>
      <x:c r="B1318" s="28"/>
      <x:c r="C1318" s="28"/>
      <x:c r="D1318" s="28"/>
      <x:c r="E1318" s="28"/>
      <x:c r="F1318" s="28"/>
      <x:c r="G1318" s="28"/>
      <x:c r="H1318" s="28"/>
      <x:c r="I1318" s="28"/>
      <x:c r="J1318" s="28"/>
      <x:c r="K1318" s="28"/>
      <x:c r="L1318" s="28"/>
      <x:c r="M1318" s="28"/>
      <x:c r="N1318" s="28"/>
      <x:c r="O1318" s="28"/>
      <x:c r="P1318" s="28"/>
      <x:c r="Q1318" s="28"/>
      <x:c r="R1318" s="28"/>
      <x:c r="S1318" s="28"/>
      <x:c r="T1318" s="28"/>
      <x:c r="U1318" s="28"/>
      <x:c r="V1318" s="28"/>
      <x:c r="W1318" s="43" t="n">
        <x:f>--AND(N1318=1,OR(O1318="SUPPORTED",O1318="HALLUCINATION"))</x:f>
        <x:v>0</x:v>
      </x:c>
      <x:c r="X1318" s="43" t="n">
        <x:f>--AND(W1318=1,O1318="HALLUCINATION")</x:f>
        <x:v>0</x:v>
      </x:c>
      <x:c r="Y1318" s="43" t="n">
        <x:f>--AND(Q1318=1,O1318="HALLUCINATION")</x:f>
        <x:v>0</x:v>
      </x:c>
      <x:c r="Z1318" s="43" t="n">
        <x:f>--AND(Y1318=1,R1318=1,S1318=1)</x:f>
        <x:v>0</x:v>
      </x:c>
      <x:c r="AC1318" t="str">
        <x:f>IF(OR(AA1318="",AB1318=""),"",--(AA1318&lt;&gt;AB1318))</x:f>
      </x:c>
      <x:c r="AE1318" t="str">
        <x:f>IF(OR(AA1318="",AB1318=""),"PENDING_HUMAN",IF(AA1318=AB1318,AA1318,IF(AD1318&lt;&gt;"",AD1318,"PENDING_HUMAN")))</x:f>
        <x:v>PENDING_HUMAN</x:v>
      </x:c>
      <x:c r="AF1318" t="n">
        <x:f>--AND(A1318&lt;&gt;"",AA1318&lt;&gt;"",AB1318&lt;&gt;"",OR(AA1318=AB1318,AD1318&lt;&gt;""),IF(AE1318="HALLUCINATION",U1318&lt;&gt;"",TRUE))</x:f>
        <x:v>0</x:v>
      </x:c>
      <x:c r="AG1318" t="n">
        <x:f>--AND(N1318=1,AF1318=1,OR(AE1318="SUPPORTED",AE1318="HALLUCINATION"))</x:f>
        <x:v>0</x:v>
      </x:c>
      <x:c r="AH1318" t="n">
        <x:f>--AND(AG1318=1,AE1318="HALLUCINATION")</x:f>
        <x:v>0</x:v>
      </x:c>
      <x:c r="AI1318" t="n">
        <x:f>--AND(Q1318=1,AF1318=1,AE1318="HALLUCINATION")</x:f>
        <x:v>0</x:v>
      </x:c>
      <x:c r="AJ1318" t="n">
        <x:f>--AND(AI1318=1,R1318=1,S1318=1)</x:f>
        <x:v>0</x:v>
      </x:c>
    </x:row>
    <x:row r="1319">
      <x:c r="A1319" s="28"/>
      <x:c r="B1319" s="28"/>
      <x:c r="C1319" s="28"/>
      <x:c r="D1319" s="28"/>
      <x:c r="E1319" s="28"/>
      <x:c r="F1319" s="28"/>
      <x:c r="G1319" s="28"/>
      <x:c r="H1319" s="28"/>
      <x:c r="I1319" s="28"/>
      <x:c r="J1319" s="28"/>
      <x:c r="K1319" s="28"/>
      <x:c r="L1319" s="28"/>
      <x:c r="M1319" s="28"/>
      <x:c r="N1319" s="28"/>
      <x:c r="O1319" s="28"/>
      <x:c r="P1319" s="28"/>
      <x:c r="Q1319" s="28"/>
      <x:c r="R1319" s="28"/>
      <x:c r="S1319" s="28"/>
      <x:c r="T1319" s="28"/>
      <x:c r="U1319" s="28"/>
      <x:c r="V1319" s="28"/>
      <x:c r="W1319" s="43" t="n">
        <x:f>--AND(N1319=1,OR(O1319="SUPPORTED",O1319="HALLUCINATION"))</x:f>
        <x:v>0</x:v>
      </x:c>
      <x:c r="X1319" s="43" t="n">
        <x:f>--AND(W1319=1,O1319="HALLUCINATION")</x:f>
        <x:v>0</x:v>
      </x:c>
      <x:c r="Y1319" s="43" t="n">
        <x:f>--AND(Q1319=1,O1319="HALLUCINATION")</x:f>
        <x:v>0</x:v>
      </x:c>
      <x:c r="Z1319" s="43" t="n">
        <x:f>--AND(Y1319=1,R1319=1,S1319=1)</x:f>
        <x:v>0</x:v>
      </x:c>
      <x:c r="AC1319" t="str">
        <x:f>IF(OR(AA1319="",AB1319=""),"",--(AA1319&lt;&gt;AB1319))</x:f>
      </x:c>
      <x:c r="AE1319" t="str">
        <x:f>IF(OR(AA1319="",AB1319=""),"PENDING_HUMAN",IF(AA1319=AB1319,AA1319,IF(AD1319&lt;&gt;"",AD1319,"PENDING_HUMAN")))</x:f>
        <x:v>PENDING_HUMAN</x:v>
      </x:c>
      <x:c r="AF1319" t="n">
        <x:f>--AND(A1319&lt;&gt;"",AA1319&lt;&gt;"",AB1319&lt;&gt;"",OR(AA1319=AB1319,AD1319&lt;&gt;""),IF(AE1319="HALLUCINATION",U1319&lt;&gt;"",TRUE))</x:f>
        <x:v>0</x:v>
      </x:c>
      <x:c r="AG1319" t="n">
        <x:f>--AND(N1319=1,AF1319=1,OR(AE1319="SUPPORTED",AE1319="HALLUCINATION"))</x:f>
        <x:v>0</x:v>
      </x:c>
      <x:c r="AH1319" t="n">
        <x:f>--AND(AG1319=1,AE1319="HALLUCINATION")</x:f>
        <x:v>0</x:v>
      </x:c>
      <x:c r="AI1319" t="n">
        <x:f>--AND(Q1319=1,AF1319=1,AE1319="HALLUCINATION")</x:f>
        <x:v>0</x:v>
      </x:c>
      <x:c r="AJ1319" t="n">
        <x:f>--AND(AI1319=1,R1319=1,S1319=1)</x:f>
        <x:v>0</x:v>
      </x:c>
    </x:row>
    <x:row r="1320">
      <x:c r="A1320" s="28"/>
      <x:c r="B1320" s="28"/>
      <x:c r="C1320" s="28"/>
      <x:c r="D1320" s="28"/>
      <x:c r="E1320" s="28"/>
      <x:c r="F1320" s="28"/>
      <x:c r="G1320" s="28"/>
      <x:c r="H1320" s="28"/>
      <x:c r="I1320" s="28"/>
      <x:c r="J1320" s="28"/>
      <x:c r="K1320" s="28"/>
      <x:c r="L1320" s="28"/>
      <x:c r="M1320" s="28"/>
      <x:c r="N1320" s="28"/>
      <x:c r="O1320" s="28"/>
      <x:c r="P1320" s="28"/>
      <x:c r="Q1320" s="28"/>
      <x:c r="R1320" s="28"/>
      <x:c r="S1320" s="28"/>
      <x:c r="T1320" s="28"/>
      <x:c r="U1320" s="28"/>
      <x:c r="V1320" s="28"/>
      <x:c r="W1320" s="43" t="n">
        <x:f>--AND(N1320=1,OR(O1320="SUPPORTED",O1320="HALLUCINATION"))</x:f>
        <x:v>0</x:v>
      </x:c>
      <x:c r="X1320" s="43" t="n">
        <x:f>--AND(W1320=1,O1320="HALLUCINATION")</x:f>
        <x:v>0</x:v>
      </x:c>
      <x:c r="Y1320" s="43" t="n">
        <x:f>--AND(Q1320=1,O1320="HALLUCINATION")</x:f>
        <x:v>0</x:v>
      </x:c>
      <x:c r="Z1320" s="43" t="n">
        <x:f>--AND(Y1320=1,R1320=1,S1320=1)</x:f>
        <x:v>0</x:v>
      </x:c>
      <x:c r="AC1320" t="str">
        <x:f>IF(OR(AA1320="",AB1320=""),"",--(AA1320&lt;&gt;AB1320))</x:f>
      </x:c>
      <x:c r="AE1320" t="str">
        <x:f>IF(OR(AA1320="",AB1320=""),"PENDING_HUMAN",IF(AA1320=AB1320,AA1320,IF(AD1320&lt;&gt;"",AD1320,"PENDING_HUMAN")))</x:f>
        <x:v>PENDING_HUMAN</x:v>
      </x:c>
      <x:c r="AF1320" t="n">
        <x:f>--AND(A1320&lt;&gt;"",AA1320&lt;&gt;"",AB1320&lt;&gt;"",OR(AA1320=AB1320,AD1320&lt;&gt;""),IF(AE1320="HALLUCINATION",U1320&lt;&gt;"",TRUE))</x:f>
        <x:v>0</x:v>
      </x:c>
      <x:c r="AG1320" t="n">
        <x:f>--AND(N1320=1,AF1320=1,OR(AE1320="SUPPORTED",AE1320="HALLUCINATION"))</x:f>
        <x:v>0</x:v>
      </x:c>
      <x:c r="AH1320" t="n">
        <x:f>--AND(AG1320=1,AE1320="HALLUCINATION")</x:f>
        <x:v>0</x:v>
      </x:c>
      <x:c r="AI1320" t="n">
        <x:f>--AND(Q1320=1,AF1320=1,AE1320="HALLUCINATION")</x:f>
        <x:v>0</x:v>
      </x:c>
      <x:c r="AJ1320" t="n">
        <x:f>--AND(AI1320=1,R1320=1,S1320=1)</x:f>
        <x:v>0</x:v>
      </x:c>
    </x:row>
    <x:row r="1321">
      <x:c r="A1321" s="28"/>
      <x:c r="B1321" s="28"/>
      <x:c r="C1321" s="28"/>
      <x:c r="D1321" s="28"/>
      <x:c r="E1321" s="28"/>
      <x:c r="F1321" s="28"/>
      <x:c r="G1321" s="28"/>
      <x:c r="H1321" s="28"/>
      <x:c r="I1321" s="28"/>
      <x:c r="J1321" s="28"/>
      <x:c r="K1321" s="28"/>
      <x:c r="L1321" s="28"/>
      <x:c r="M1321" s="28"/>
      <x:c r="N1321" s="28"/>
      <x:c r="O1321" s="28"/>
      <x:c r="P1321" s="28"/>
      <x:c r="Q1321" s="28"/>
      <x:c r="R1321" s="28"/>
      <x:c r="S1321" s="28"/>
      <x:c r="T1321" s="28"/>
      <x:c r="U1321" s="28"/>
      <x:c r="V1321" s="28"/>
      <x:c r="W1321" s="43" t="n">
        <x:f>--AND(N1321=1,OR(O1321="SUPPORTED",O1321="HALLUCINATION"))</x:f>
        <x:v>0</x:v>
      </x:c>
      <x:c r="X1321" s="43" t="n">
        <x:f>--AND(W1321=1,O1321="HALLUCINATION")</x:f>
        <x:v>0</x:v>
      </x:c>
      <x:c r="Y1321" s="43" t="n">
        <x:f>--AND(Q1321=1,O1321="HALLUCINATION")</x:f>
        <x:v>0</x:v>
      </x:c>
      <x:c r="Z1321" s="43" t="n">
        <x:f>--AND(Y1321=1,R1321=1,S1321=1)</x:f>
        <x:v>0</x:v>
      </x:c>
      <x:c r="AC1321" t="str">
        <x:f>IF(OR(AA1321="",AB1321=""),"",--(AA1321&lt;&gt;AB1321))</x:f>
      </x:c>
      <x:c r="AE1321" t="str">
        <x:f>IF(OR(AA1321="",AB1321=""),"PENDING_HUMAN",IF(AA1321=AB1321,AA1321,IF(AD1321&lt;&gt;"",AD1321,"PENDING_HUMAN")))</x:f>
        <x:v>PENDING_HUMAN</x:v>
      </x:c>
      <x:c r="AF1321" t="n">
        <x:f>--AND(A1321&lt;&gt;"",AA1321&lt;&gt;"",AB1321&lt;&gt;"",OR(AA1321=AB1321,AD1321&lt;&gt;""),IF(AE1321="HALLUCINATION",U1321&lt;&gt;"",TRUE))</x:f>
        <x:v>0</x:v>
      </x:c>
      <x:c r="AG1321" t="n">
        <x:f>--AND(N1321=1,AF1321=1,OR(AE1321="SUPPORTED",AE1321="HALLUCINATION"))</x:f>
        <x:v>0</x:v>
      </x:c>
      <x:c r="AH1321" t="n">
        <x:f>--AND(AG1321=1,AE1321="HALLUCINATION")</x:f>
        <x:v>0</x:v>
      </x:c>
      <x:c r="AI1321" t="n">
        <x:f>--AND(Q1321=1,AF1321=1,AE1321="HALLUCINATION")</x:f>
        <x:v>0</x:v>
      </x:c>
      <x:c r="AJ1321" t="n">
        <x:f>--AND(AI1321=1,R1321=1,S1321=1)</x:f>
        <x:v>0</x:v>
      </x:c>
    </x:row>
    <x:row r="1322">
      <x:c r="A1322" s="28"/>
      <x:c r="B1322" s="28"/>
      <x:c r="C1322" s="28"/>
      <x:c r="D1322" s="28"/>
      <x:c r="E1322" s="28"/>
      <x:c r="F1322" s="28"/>
      <x:c r="G1322" s="28"/>
      <x:c r="H1322" s="28"/>
      <x:c r="I1322" s="28"/>
      <x:c r="J1322" s="28"/>
      <x:c r="K1322" s="28"/>
      <x:c r="L1322" s="28"/>
      <x:c r="M1322" s="28"/>
      <x:c r="N1322" s="28"/>
      <x:c r="O1322" s="28"/>
      <x:c r="P1322" s="28"/>
      <x:c r="Q1322" s="28"/>
      <x:c r="R1322" s="28"/>
      <x:c r="S1322" s="28"/>
      <x:c r="T1322" s="28"/>
      <x:c r="U1322" s="28"/>
      <x:c r="V1322" s="28"/>
      <x:c r="W1322" s="43" t="n">
        <x:f>--AND(N1322=1,OR(O1322="SUPPORTED",O1322="HALLUCINATION"))</x:f>
        <x:v>0</x:v>
      </x:c>
      <x:c r="X1322" s="43" t="n">
        <x:f>--AND(W1322=1,O1322="HALLUCINATION")</x:f>
        <x:v>0</x:v>
      </x:c>
      <x:c r="Y1322" s="43" t="n">
        <x:f>--AND(Q1322=1,O1322="HALLUCINATION")</x:f>
        <x:v>0</x:v>
      </x:c>
      <x:c r="Z1322" s="43" t="n">
        <x:f>--AND(Y1322=1,R1322=1,S1322=1)</x:f>
        <x:v>0</x:v>
      </x:c>
      <x:c r="AC1322" t="str">
        <x:f>IF(OR(AA1322="",AB1322=""),"",--(AA1322&lt;&gt;AB1322))</x:f>
      </x:c>
      <x:c r="AE1322" t="str">
        <x:f>IF(OR(AA1322="",AB1322=""),"PENDING_HUMAN",IF(AA1322=AB1322,AA1322,IF(AD1322&lt;&gt;"",AD1322,"PENDING_HUMAN")))</x:f>
        <x:v>PENDING_HUMAN</x:v>
      </x:c>
      <x:c r="AF1322" t="n">
        <x:f>--AND(A1322&lt;&gt;"",AA1322&lt;&gt;"",AB1322&lt;&gt;"",OR(AA1322=AB1322,AD1322&lt;&gt;""),IF(AE1322="HALLUCINATION",U1322&lt;&gt;"",TRUE))</x:f>
        <x:v>0</x:v>
      </x:c>
      <x:c r="AG1322" t="n">
        <x:f>--AND(N1322=1,AF1322=1,OR(AE1322="SUPPORTED",AE1322="HALLUCINATION"))</x:f>
        <x:v>0</x:v>
      </x:c>
      <x:c r="AH1322" t="n">
        <x:f>--AND(AG1322=1,AE1322="HALLUCINATION")</x:f>
        <x:v>0</x:v>
      </x:c>
      <x:c r="AI1322" t="n">
        <x:f>--AND(Q1322=1,AF1322=1,AE1322="HALLUCINATION")</x:f>
        <x:v>0</x:v>
      </x:c>
      <x:c r="AJ1322" t="n">
        <x:f>--AND(AI1322=1,R1322=1,S1322=1)</x:f>
        <x:v>0</x:v>
      </x:c>
    </x:row>
    <x:row r="1323">
      <x:c r="A1323" s="28"/>
      <x:c r="B1323" s="28"/>
      <x:c r="C1323" s="28"/>
      <x:c r="D1323" s="28"/>
      <x:c r="E1323" s="28"/>
      <x:c r="F1323" s="28"/>
      <x:c r="G1323" s="28"/>
      <x:c r="H1323" s="28"/>
      <x:c r="I1323" s="28"/>
      <x:c r="J1323" s="28"/>
      <x:c r="K1323" s="28"/>
      <x:c r="L1323" s="28"/>
      <x:c r="M1323" s="28"/>
      <x:c r="N1323" s="28"/>
      <x:c r="O1323" s="28"/>
      <x:c r="P1323" s="28"/>
      <x:c r="Q1323" s="28"/>
      <x:c r="R1323" s="28"/>
      <x:c r="S1323" s="28"/>
      <x:c r="T1323" s="28"/>
      <x:c r="U1323" s="28"/>
      <x:c r="V1323" s="28"/>
      <x:c r="W1323" s="43" t="n">
        <x:f>--AND(N1323=1,OR(O1323="SUPPORTED",O1323="HALLUCINATION"))</x:f>
        <x:v>0</x:v>
      </x:c>
      <x:c r="X1323" s="43" t="n">
        <x:f>--AND(W1323=1,O1323="HALLUCINATION")</x:f>
        <x:v>0</x:v>
      </x:c>
      <x:c r="Y1323" s="43" t="n">
        <x:f>--AND(Q1323=1,O1323="HALLUCINATION")</x:f>
        <x:v>0</x:v>
      </x:c>
      <x:c r="Z1323" s="43" t="n">
        <x:f>--AND(Y1323=1,R1323=1,S1323=1)</x:f>
        <x:v>0</x:v>
      </x:c>
      <x:c r="AC1323" t="str">
        <x:f>IF(OR(AA1323="",AB1323=""),"",--(AA1323&lt;&gt;AB1323))</x:f>
      </x:c>
      <x:c r="AE1323" t="str">
        <x:f>IF(OR(AA1323="",AB1323=""),"PENDING_HUMAN",IF(AA1323=AB1323,AA1323,IF(AD1323&lt;&gt;"",AD1323,"PENDING_HUMAN")))</x:f>
        <x:v>PENDING_HUMAN</x:v>
      </x:c>
      <x:c r="AF1323" t="n">
        <x:f>--AND(A1323&lt;&gt;"",AA1323&lt;&gt;"",AB1323&lt;&gt;"",OR(AA1323=AB1323,AD1323&lt;&gt;""),IF(AE1323="HALLUCINATION",U1323&lt;&gt;"",TRUE))</x:f>
        <x:v>0</x:v>
      </x:c>
      <x:c r="AG1323" t="n">
        <x:f>--AND(N1323=1,AF1323=1,OR(AE1323="SUPPORTED",AE1323="HALLUCINATION"))</x:f>
        <x:v>0</x:v>
      </x:c>
      <x:c r="AH1323" t="n">
        <x:f>--AND(AG1323=1,AE1323="HALLUCINATION")</x:f>
        <x:v>0</x:v>
      </x:c>
      <x:c r="AI1323" t="n">
        <x:f>--AND(Q1323=1,AF1323=1,AE1323="HALLUCINATION")</x:f>
        <x:v>0</x:v>
      </x:c>
      <x:c r="AJ1323" t="n">
        <x:f>--AND(AI1323=1,R1323=1,S1323=1)</x:f>
        <x:v>0</x:v>
      </x:c>
    </x:row>
    <x:row r="1324">
      <x:c r="A1324" s="28"/>
      <x:c r="B1324" s="28"/>
      <x:c r="C1324" s="28"/>
      <x:c r="D1324" s="28"/>
      <x:c r="E1324" s="28"/>
      <x:c r="F1324" s="28"/>
      <x:c r="G1324" s="28"/>
      <x:c r="H1324" s="28"/>
      <x:c r="I1324" s="28"/>
      <x:c r="J1324" s="28"/>
      <x:c r="K1324" s="28"/>
      <x:c r="L1324" s="28"/>
      <x:c r="M1324" s="28"/>
      <x:c r="N1324" s="28"/>
      <x:c r="O1324" s="28"/>
      <x:c r="P1324" s="28"/>
      <x:c r="Q1324" s="28"/>
      <x:c r="R1324" s="28"/>
      <x:c r="S1324" s="28"/>
      <x:c r="T1324" s="28"/>
      <x:c r="U1324" s="28"/>
      <x:c r="V1324" s="28"/>
      <x:c r="W1324" s="43" t="n">
        <x:f>--AND(N1324=1,OR(O1324="SUPPORTED",O1324="HALLUCINATION"))</x:f>
        <x:v>0</x:v>
      </x:c>
      <x:c r="X1324" s="43" t="n">
        <x:f>--AND(W1324=1,O1324="HALLUCINATION")</x:f>
        <x:v>0</x:v>
      </x:c>
      <x:c r="Y1324" s="43" t="n">
        <x:f>--AND(Q1324=1,O1324="HALLUCINATION")</x:f>
        <x:v>0</x:v>
      </x:c>
      <x:c r="Z1324" s="43" t="n">
        <x:f>--AND(Y1324=1,R1324=1,S1324=1)</x:f>
        <x:v>0</x:v>
      </x:c>
      <x:c r="AC1324" t="str">
        <x:f>IF(OR(AA1324="",AB1324=""),"",--(AA1324&lt;&gt;AB1324))</x:f>
      </x:c>
      <x:c r="AE1324" t="str">
        <x:f>IF(OR(AA1324="",AB1324=""),"PENDING_HUMAN",IF(AA1324=AB1324,AA1324,IF(AD1324&lt;&gt;"",AD1324,"PENDING_HUMAN")))</x:f>
        <x:v>PENDING_HUMAN</x:v>
      </x:c>
      <x:c r="AF1324" t="n">
        <x:f>--AND(A1324&lt;&gt;"",AA1324&lt;&gt;"",AB1324&lt;&gt;"",OR(AA1324=AB1324,AD1324&lt;&gt;""),IF(AE1324="HALLUCINATION",U1324&lt;&gt;"",TRUE))</x:f>
        <x:v>0</x:v>
      </x:c>
      <x:c r="AG1324" t="n">
        <x:f>--AND(N1324=1,AF1324=1,OR(AE1324="SUPPORTED",AE1324="HALLUCINATION"))</x:f>
        <x:v>0</x:v>
      </x:c>
      <x:c r="AH1324" t="n">
        <x:f>--AND(AG1324=1,AE1324="HALLUCINATION")</x:f>
        <x:v>0</x:v>
      </x:c>
      <x:c r="AI1324" t="n">
        <x:f>--AND(Q1324=1,AF1324=1,AE1324="HALLUCINATION")</x:f>
        <x:v>0</x:v>
      </x:c>
      <x:c r="AJ1324" t="n">
        <x:f>--AND(AI1324=1,R1324=1,S1324=1)</x:f>
        <x:v>0</x:v>
      </x:c>
    </x:row>
    <x:row r="1325">
      <x:c r="A1325" s="28"/>
      <x:c r="B1325" s="28"/>
      <x:c r="C1325" s="28"/>
      <x:c r="D1325" s="28"/>
      <x:c r="E1325" s="28"/>
      <x:c r="F1325" s="28"/>
      <x:c r="G1325" s="28"/>
      <x:c r="H1325" s="28"/>
      <x:c r="I1325" s="28"/>
      <x:c r="J1325" s="28"/>
      <x:c r="K1325" s="28"/>
      <x:c r="L1325" s="28"/>
      <x:c r="M1325" s="28"/>
      <x:c r="N1325" s="28"/>
      <x:c r="O1325" s="28"/>
      <x:c r="P1325" s="28"/>
      <x:c r="Q1325" s="28"/>
      <x:c r="R1325" s="28"/>
      <x:c r="S1325" s="28"/>
      <x:c r="T1325" s="28"/>
      <x:c r="U1325" s="28"/>
      <x:c r="V1325" s="28"/>
      <x:c r="W1325" s="43" t="n">
        <x:f>--AND(N1325=1,OR(O1325="SUPPORTED",O1325="HALLUCINATION"))</x:f>
        <x:v>0</x:v>
      </x:c>
      <x:c r="X1325" s="43" t="n">
        <x:f>--AND(W1325=1,O1325="HALLUCINATION")</x:f>
        <x:v>0</x:v>
      </x:c>
      <x:c r="Y1325" s="43" t="n">
        <x:f>--AND(Q1325=1,O1325="HALLUCINATION")</x:f>
        <x:v>0</x:v>
      </x:c>
      <x:c r="Z1325" s="43" t="n">
        <x:f>--AND(Y1325=1,R1325=1,S1325=1)</x:f>
        <x:v>0</x:v>
      </x:c>
      <x:c r="AC1325" t="str">
        <x:f>IF(OR(AA1325="",AB1325=""),"",--(AA1325&lt;&gt;AB1325))</x:f>
      </x:c>
      <x:c r="AE1325" t="str">
        <x:f>IF(OR(AA1325="",AB1325=""),"PENDING_HUMAN",IF(AA1325=AB1325,AA1325,IF(AD1325&lt;&gt;"",AD1325,"PENDING_HUMAN")))</x:f>
        <x:v>PENDING_HUMAN</x:v>
      </x:c>
      <x:c r="AF1325" t="n">
        <x:f>--AND(A1325&lt;&gt;"",AA1325&lt;&gt;"",AB1325&lt;&gt;"",OR(AA1325=AB1325,AD1325&lt;&gt;""),IF(AE1325="HALLUCINATION",U1325&lt;&gt;"",TRUE))</x:f>
        <x:v>0</x:v>
      </x:c>
      <x:c r="AG1325" t="n">
        <x:f>--AND(N1325=1,AF1325=1,OR(AE1325="SUPPORTED",AE1325="HALLUCINATION"))</x:f>
        <x:v>0</x:v>
      </x:c>
      <x:c r="AH1325" t="n">
        <x:f>--AND(AG1325=1,AE1325="HALLUCINATION")</x:f>
        <x:v>0</x:v>
      </x:c>
      <x:c r="AI1325" t="n">
        <x:f>--AND(Q1325=1,AF1325=1,AE1325="HALLUCINATION")</x:f>
        <x:v>0</x:v>
      </x:c>
      <x:c r="AJ1325" t="n">
        <x:f>--AND(AI1325=1,R1325=1,S1325=1)</x:f>
        <x:v>0</x:v>
      </x:c>
    </x:row>
    <x:row r="1326">
      <x:c r="A1326" s="28"/>
      <x:c r="B1326" s="28"/>
      <x:c r="C1326" s="28"/>
      <x:c r="D1326" s="28"/>
      <x:c r="E1326" s="28"/>
      <x:c r="F1326" s="28"/>
      <x:c r="G1326" s="28"/>
      <x:c r="H1326" s="28"/>
      <x:c r="I1326" s="28"/>
      <x:c r="J1326" s="28"/>
      <x:c r="K1326" s="28"/>
      <x:c r="L1326" s="28"/>
      <x:c r="M1326" s="28"/>
      <x:c r="N1326" s="28"/>
      <x:c r="O1326" s="28"/>
      <x:c r="P1326" s="28"/>
      <x:c r="Q1326" s="28"/>
      <x:c r="R1326" s="28"/>
      <x:c r="S1326" s="28"/>
      <x:c r="T1326" s="28"/>
      <x:c r="U1326" s="28"/>
      <x:c r="V1326" s="28"/>
      <x:c r="W1326" s="43" t="n">
        <x:f>--AND(N1326=1,OR(O1326="SUPPORTED",O1326="HALLUCINATION"))</x:f>
        <x:v>0</x:v>
      </x:c>
      <x:c r="X1326" s="43" t="n">
        <x:f>--AND(W1326=1,O1326="HALLUCINATION")</x:f>
        <x:v>0</x:v>
      </x:c>
      <x:c r="Y1326" s="43" t="n">
        <x:f>--AND(Q1326=1,O1326="HALLUCINATION")</x:f>
        <x:v>0</x:v>
      </x:c>
      <x:c r="Z1326" s="43" t="n">
        <x:f>--AND(Y1326=1,R1326=1,S1326=1)</x:f>
        <x:v>0</x:v>
      </x:c>
      <x:c r="AC1326" t="str">
        <x:f>IF(OR(AA1326="",AB1326=""),"",--(AA1326&lt;&gt;AB1326))</x:f>
      </x:c>
      <x:c r="AE1326" t="str">
        <x:f>IF(OR(AA1326="",AB1326=""),"PENDING_HUMAN",IF(AA1326=AB1326,AA1326,IF(AD1326&lt;&gt;"",AD1326,"PENDING_HUMAN")))</x:f>
        <x:v>PENDING_HUMAN</x:v>
      </x:c>
      <x:c r="AF1326" t="n">
        <x:f>--AND(A1326&lt;&gt;"",AA1326&lt;&gt;"",AB1326&lt;&gt;"",OR(AA1326=AB1326,AD1326&lt;&gt;""),IF(AE1326="HALLUCINATION",U1326&lt;&gt;"",TRUE))</x:f>
        <x:v>0</x:v>
      </x:c>
      <x:c r="AG1326" t="n">
        <x:f>--AND(N1326=1,AF1326=1,OR(AE1326="SUPPORTED",AE1326="HALLUCINATION"))</x:f>
        <x:v>0</x:v>
      </x:c>
      <x:c r="AH1326" t="n">
        <x:f>--AND(AG1326=1,AE1326="HALLUCINATION")</x:f>
        <x:v>0</x:v>
      </x:c>
      <x:c r="AI1326" t="n">
        <x:f>--AND(Q1326=1,AF1326=1,AE1326="HALLUCINATION")</x:f>
        <x:v>0</x:v>
      </x:c>
      <x:c r="AJ1326" t="n">
        <x:f>--AND(AI1326=1,R1326=1,S1326=1)</x:f>
        <x:v>0</x:v>
      </x:c>
    </x:row>
    <x:row r="1327">
      <x:c r="A1327" s="28"/>
      <x:c r="B1327" s="28"/>
      <x:c r="C1327" s="28"/>
      <x:c r="D1327" s="28"/>
      <x:c r="E1327" s="28"/>
      <x:c r="F1327" s="28"/>
      <x:c r="G1327" s="28"/>
      <x:c r="H1327" s="28"/>
      <x:c r="I1327" s="28"/>
      <x:c r="J1327" s="28"/>
      <x:c r="K1327" s="28"/>
      <x:c r="L1327" s="28"/>
      <x:c r="M1327" s="28"/>
      <x:c r="N1327" s="28"/>
      <x:c r="O1327" s="28"/>
      <x:c r="P1327" s="28"/>
      <x:c r="Q1327" s="28"/>
      <x:c r="R1327" s="28"/>
      <x:c r="S1327" s="28"/>
      <x:c r="T1327" s="28"/>
      <x:c r="U1327" s="28"/>
      <x:c r="V1327" s="28"/>
      <x:c r="W1327" s="43" t="n">
        <x:f>--AND(N1327=1,OR(O1327="SUPPORTED",O1327="HALLUCINATION"))</x:f>
        <x:v>0</x:v>
      </x:c>
      <x:c r="X1327" s="43" t="n">
        <x:f>--AND(W1327=1,O1327="HALLUCINATION")</x:f>
        <x:v>0</x:v>
      </x:c>
      <x:c r="Y1327" s="43" t="n">
        <x:f>--AND(Q1327=1,O1327="HALLUCINATION")</x:f>
        <x:v>0</x:v>
      </x:c>
      <x:c r="Z1327" s="43" t="n">
        <x:f>--AND(Y1327=1,R1327=1,S1327=1)</x:f>
        <x:v>0</x:v>
      </x:c>
      <x:c r="AC1327" t="str">
        <x:f>IF(OR(AA1327="",AB1327=""),"",--(AA1327&lt;&gt;AB1327))</x:f>
      </x:c>
      <x:c r="AE1327" t="str">
        <x:f>IF(OR(AA1327="",AB1327=""),"PENDING_HUMAN",IF(AA1327=AB1327,AA1327,IF(AD1327&lt;&gt;"",AD1327,"PENDING_HUMAN")))</x:f>
        <x:v>PENDING_HUMAN</x:v>
      </x:c>
      <x:c r="AF1327" t="n">
        <x:f>--AND(A1327&lt;&gt;"",AA1327&lt;&gt;"",AB1327&lt;&gt;"",OR(AA1327=AB1327,AD1327&lt;&gt;""),IF(AE1327="HALLUCINATION",U1327&lt;&gt;"",TRUE))</x:f>
        <x:v>0</x:v>
      </x:c>
      <x:c r="AG1327" t="n">
        <x:f>--AND(N1327=1,AF1327=1,OR(AE1327="SUPPORTED",AE1327="HALLUCINATION"))</x:f>
        <x:v>0</x:v>
      </x:c>
      <x:c r="AH1327" t="n">
        <x:f>--AND(AG1327=1,AE1327="HALLUCINATION")</x:f>
        <x:v>0</x:v>
      </x:c>
      <x:c r="AI1327" t="n">
        <x:f>--AND(Q1327=1,AF1327=1,AE1327="HALLUCINATION")</x:f>
        <x:v>0</x:v>
      </x:c>
      <x:c r="AJ1327" t="n">
        <x:f>--AND(AI1327=1,R1327=1,S1327=1)</x:f>
        <x:v>0</x:v>
      </x:c>
    </x:row>
    <x:row r="1328">
      <x:c r="A1328" s="28"/>
      <x:c r="B1328" s="28"/>
      <x:c r="C1328" s="28"/>
      <x:c r="D1328" s="28"/>
      <x:c r="E1328" s="28"/>
      <x:c r="F1328" s="28"/>
      <x:c r="G1328" s="28"/>
      <x:c r="H1328" s="28"/>
      <x:c r="I1328" s="28"/>
      <x:c r="J1328" s="28"/>
      <x:c r="K1328" s="28"/>
      <x:c r="L1328" s="28"/>
      <x:c r="M1328" s="28"/>
      <x:c r="N1328" s="28"/>
      <x:c r="O1328" s="28"/>
      <x:c r="P1328" s="28"/>
      <x:c r="Q1328" s="28"/>
      <x:c r="R1328" s="28"/>
      <x:c r="S1328" s="28"/>
      <x:c r="T1328" s="28"/>
      <x:c r="U1328" s="28"/>
      <x:c r="V1328" s="28"/>
      <x:c r="W1328" s="43" t="n">
        <x:f>--AND(N1328=1,OR(O1328="SUPPORTED",O1328="HALLUCINATION"))</x:f>
        <x:v>0</x:v>
      </x:c>
      <x:c r="X1328" s="43" t="n">
        <x:f>--AND(W1328=1,O1328="HALLUCINATION")</x:f>
        <x:v>0</x:v>
      </x:c>
      <x:c r="Y1328" s="43" t="n">
        <x:f>--AND(Q1328=1,O1328="HALLUCINATION")</x:f>
        <x:v>0</x:v>
      </x:c>
      <x:c r="Z1328" s="43" t="n">
        <x:f>--AND(Y1328=1,R1328=1,S1328=1)</x:f>
        <x:v>0</x:v>
      </x:c>
      <x:c r="AC1328" t="str">
        <x:f>IF(OR(AA1328="",AB1328=""),"",--(AA1328&lt;&gt;AB1328))</x:f>
      </x:c>
      <x:c r="AE1328" t="str">
        <x:f>IF(OR(AA1328="",AB1328=""),"PENDING_HUMAN",IF(AA1328=AB1328,AA1328,IF(AD1328&lt;&gt;"",AD1328,"PENDING_HUMAN")))</x:f>
        <x:v>PENDING_HUMAN</x:v>
      </x:c>
      <x:c r="AF1328" t="n">
        <x:f>--AND(A1328&lt;&gt;"",AA1328&lt;&gt;"",AB1328&lt;&gt;"",OR(AA1328=AB1328,AD1328&lt;&gt;""),IF(AE1328="HALLUCINATION",U1328&lt;&gt;"",TRUE))</x:f>
        <x:v>0</x:v>
      </x:c>
      <x:c r="AG1328" t="n">
        <x:f>--AND(N1328=1,AF1328=1,OR(AE1328="SUPPORTED",AE1328="HALLUCINATION"))</x:f>
        <x:v>0</x:v>
      </x:c>
      <x:c r="AH1328" t="n">
        <x:f>--AND(AG1328=1,AE1328="HALLUCINATION")</x:f>
        <x:v>0</x:v>
      </x:c>
      <x:c r="AI1328" t="n">
        <x:f>--AND(Q1328=1,AF1328=1,AE1328="HALLUCINATION")</x:f>
        <x:v>0</x:v>
      </x:c>
      <x:c r="AJ1328" t="n">
        <x:f>--AND(AI1328=1,R1328=1,S1328=1)</x:f>
        <x:v>0</x:v>
      </x:c>
    </x:row>
    <x:row r="1329">
      <x:c r="A1329" s="28"/>
      <x:c r="B1329" s="28"/>
      <x:c r="C1329" s="28"/>
      <x:c r="D1329" s="28"/>
      <x:c r="E1329" s="28"/>
      <x:c r="F1329" s="28"/>
      <x:c r="G1329" s="28"/>
      <x:c r="H1329" s="28"/>
      <x:c r="I1329" s="28"/>
      <x:c r="J1329" s="28"/>
      <x:c r="K1329" s="28"/>
      <x:c r="L1329" s="28"/>
      <x:c r="M1329" s="28"/>
      <x:c r="N1329" s="28"/>
      <x:c r="O1329" s="28"/>
      <x:c r="P1329" s="28"/>
      <x:c r="Q1329" s="28"/>
      <x:c r="R1329" s="28"/>
      <x:c r="S1329" s="28"/>
      <x:c r="T1329" s="28"/>
      <x:c r="U1329" s="28"/>
      <x:c r="V1329" s="28"/>
      <x:c r="W1329" s="43" t="n">
        <x:f>--AND(N1329=1,OR(O1329="SUPPORTED",O1329="HALLUCINATION"))</x:f>
        <x:v>0</x:v>
      </x:c>
      <x:c r="X1329" s="43" t="n">
        <x:f>--AND(W1329=1,O1329="HALLUCINATION")</x:f>
        <x:v>0</x:v>
      </x:c>
      <x:c r="Y1329" s="43" t="n">
        <x:f>--AND(Q1329=1,O1329="HALLUCINATION")</x:f>
        <x:v>0</x:v>
      </x:c>
      <x:c r="Z1329" s="43" t="n">
        <x:f>--AND(Y1329=1,R1329=1,S1329=1)</x:f>
        <x:v>0</x:v>
      </x:c>
      <x:c r="AC1329" t="str">
        <x:f>IF(OR(AA1329="",AB1329=""),"",--(AA1329&lt;&gt;AB1329))</x:f>
      </x:c>
      <x:c r="AE1329" t="str">
        <x:f>IF(OR(AA1329="",AB1329=""),"PENDING_HUMAN",IF(AA1329=AB1329,AA1329,IF(AD1329&lt;&gt;"",AD1329,"PENDING_HUMAN")))</x:f>
        <x:v>PENDING_HUMAN</x:v>
      </x:c>
      <x:c r="AF1329" t="n">
        <x:f>--AND(A1329&lt;&gt;"",AA1329&lt;&gt;"",AB1329&lt;&gt;"",OR(AA1329=AB1329,AD1329&lt;&gt;""),IF(AE1329="HALLUCINATION",U1329&lt;&gt;"",TRUE))</x:f>
        <x:v>0</x:v>
      </x:c>
      <x:c r="AG1329" t="n">
        <x:f>--AND(N1329=1,AF1329=1,OR(AE1329="SUPPORTED",AE1329="HALLUCINATION"))</x:f>
        <x:v>0</x:v>
      </x:c>
      <x:c r="AH1329" t="n">
        <x:f>--AND(AG1329=1,AE1329="HALLUCINATION")</x:f>
        <x:v>0</x:v>
      </x:c>
      <x:c r="AI1329" t="n">
        <x:f>--AND(Q1329=1,AF1329=1,AE1329="HALLUCINATION")</x:f>
        <x:v>0</x:v>
      </x:c>
      <x:c r="AJ1329" t="n">
        <x:f>--AND(AI1329=1,R1329=1,S1329=1)</x:f>
        <x:v>0</x:v>
      </x:c>
    </x:row>
    <x:row r="1330">
      <x:c r="A1330" s="28"/>
      <x:c r="B1330" s="28"/>
      <x:c r="C1330" s="28"/>
      <x:c r="D1330" s="28"/>
      <x:c r="E1330" s="28"/>
      <x:c r="F1330" s="28"/>
      <x:c r="G1330" s="28"/>
      <x:c r="H1330" s="28"/>
      <x:c r="I1330" s="28"/>
      <x:c r="J1330" s="28"/>
      <x:c r="K1330" s="28"/>
      <x:c r="L1330" s="28"/>
      <x:c r="M1330" s="28"/>
      <x:c r="N1330" s="28"/>
      <x:c r="O1330" s="28"/>
      <x:c r="P1330" s="28"/>
      <x:c r="Q1330" s="28"/>
      <x:c r="R1330" s="28"/>
      <x:c r="S1330" s="28"/>
      <x:c r="T1330" s="28"/>
      <x:c r="U1330" s="28"/>
      <x:c r="V1330" s="28"/>
      <x:c r="W1330" s="43" t="n">
        <x:f>--AND(N1330=1,OR(O1330="SUPPORTED",O1330="HALLUCINATION"))</x:f>
        <x:v>0</x:v>
      </x:c>
      <x:c r="X1330" s="43" t="n">
        <x:f>--AND(W1330=1,O1330="HALLUCINATION")</x:f>
        <x:v>0</x:v>
      </x:c>
      <x:c r="Y1330" s="43" t="n">
        <x:f>--AND(Q1330=1,O1330="HALLUCINATION")</x:f>
        <x:v>0</x:v>
      </x:c>
      <x:c r="Z1330" s="43" t="n">
        <x:f>--AND(Y1330=1,R1330=1,S1330=1)</x:f>
        <x:v>0</x:v>
      </x:c>
      <x:c r="AC1330" t="str">
        <x:f>IF(OR(AA1330="",AB1330=""),"",--(AA1330&lt;&gt;AB1330))</x:f>
      </x:c>
      <x:c r="AE1330" t="str">
        <x:f>IF(OR(AA1330="",AB1330=""),"PENDING_HUMAN",IF(AA1330=AB1330,AA1330,IF(AD1330&lt;&gt;"",AD1330,"PENDING_HUMAN")))</x:f>
        <x:v>PENDING_HUMAN</x:v>
      </x:c>
      <x:c r="AF1330" t="n">
        <x:f>--AND(A1330&lt;&gt;"",AA1330&lt;&gt;"",AB1330&lt;&gt;"",OR(AA1330=AB1330,AD1330&lt;&gt;""),IF(AE1330="HALLUCINATION",U1330&lt;&gt;"",TRUE))</x:f>
        <x:v>0</x:v>
      </x:c>
      <x:c r="AG1330" t="n">
        <x:f>--AND(N1330=1,AF1330=1,OR(AE1330="SUPPORTED",AE1330="HALLUCINATION"))</x:f>
        <x:v>0</x:v>
      </x:c>
      <x:c r="AH1330" t="n">
        <x:f>--AND(AG1330=1,AE1330="HALLUCINATION")</x:f>
        <x:v>0</x:v>
      </x:c>
      <x:c r="AI1330" t="n">
        <x:f>--AND(Q1330=1,AF1330=1,AE1330="HALLUCINATION")</x:f>
        <x:v>0</x:v>
      </x:c>
      <x:c r="AJ1330" t="n">
        <x:f>--AND(AI1330=1,R1330=1,S1330=1)</x:f>
        <x:v>0</x:v>
      </x:c>
    </x:row>
    <x:row r="1331">
      <x:c r="A1331" s="28"/>
      <x:c r="B1331" s="28"/>
      <x:c r="C1331" s="28"/>
      <x:c r="D1331" s="28"/>
      <x:c r="E1331" s="28"/>
      <x:c r="F1331" s="28"/>
      <x:c r="G1331" s="28"/>
      <x:c r="H1331" s="28"/>
      <x:c r="I1331" s="28"/>
      <x:c r="J1331" s="28"/>
      <x:c r="K1331" s="28"/>
      <x:c r="L1331" s="28"/>
      <x:c r="M1331" s="28"/>
      <x:c r="N1331" s="28"/>
      <x:c r="O1331" s="28"/>
      <x:c r="P1331" s="28"/>
      <x:c r="Q1331" s="28"/>
      <x:c r="R1331" s="28"/>
      <x:c r="S1331" s="28"/>
      <x:c r="T1331" s="28"/>
      <x:c r="U1331" s="28"/>
      <x:c r="V1331" s="28"/>
      <x:c r="W1331" s="43" t="n">
        <x:f>--AND(N1331=1,OR(O1331="SUPPORTED",O1331="HALLUCINATION"))</x:f>
        <x:v>0</x:v>
      </x:c>
      <x:c r="X1331" s="43" t="n">
        <x:f>--AND(W1331=1,O1331="HALLUCINATION")</x:f>
        <x:v>0</x:v>
      </x:c>
      <x:c r="Y1331" s="43" t="n">
        <x:f>--AND(Q1331=1,O1331="HALLUCINATION")</x:f>
        <x:v>0</x:v>
      </x:c>
      <x:c r="Z1331" s="43" t="n">
        <x:f>--AND(Y1331=1,R1331=1,S1331=1)</x:f>
        <x:v>0</x:v>
      </x:c>
      <x:c r="AC1331" t="str">
        <x:f>IF(OR(AA1331="",AB1331=""),"",--(AA1331&lt;&gt;AB1331))</x:f>
      </x:c>
      <x:c r="AE1331" t="str">
        <x:f>IF(OR(AA1331="",AB1331=""),"PENDING_HUMAN",IF(AA1331=AB1331,AA1331,IF(AD1331&lt;&gt;"",AD1331,"PENDING_HUMAN")))</x:f>
        <x:v>PENDING_HUMAN</x:v>
      </x:c>
      <x:c r="AF1331" t="n">
        <x:f>--AND(A1331&lt;&gt;"",AA1331&lt;&gt;"",AB1331&lt;&gt;"",OR(AA1331=AB1331,AD1331&lt;&gt;""),IF(AE1331="HALLUCINATION",U1331&lt;&gt;"",TRUE))</x:f>
        <x:v>0</x:v>
      </x:c>
      <x:c r="AG1331" t="n">
        <x:f>--AND(N1331=1,AF1331=1,OR(AE1331="SUPPORTED",AE1331="HALLUCINATION"))</x:f>
        <x:v>0</x:v>
      </x:c>
      <x:c r="AH1331" t="n">
        <x:f>--AND(AG1331=1,AE1331="HALLUCINATION")</x:f>
        <x:v>0</x:v>
      </x:c>
      <x:c r="AI1331" t="n">
        <x:f>--AND(Q1331=1,AF1331=1,AE1331="HALLUCINATION")</x:f>
        <x:v>0</x:v>
      </x:c>
      <x:c r="AJ1331" t="n">
        <x:f>--AND(AI1331=1,R1331=1,S1331=1)</x:f>
        <x:v>0</x:v>
      </x:c>
    </x:row>
    <x:row r="1332">
      <x:c r="A1332" s="28"/>
      <x:c r="B1332" s="28"/>
      <x:c r="C1332" s="28"/>
      <x:c r="D1332" s="28"/>
      <x:c r="E1332" s="28"/>
      <x:c r="F1332" s="28"/>
      <x:c r="G1332" s="28"/>
      <x:c r="H1332" s="28"/>
      <x:c r="I1332" s="28"/>
      <x:c r="J1332" s="28"/>
      <x:c r="K1332" s="28"/>
      <x:c r="L1332" s="28"/>
      <x:c r="M1332" s="28"/>
      <x:c r="N1332" s="28"/>
      <x:c r="O1332" s="28"/>
      <x:c r="P1332" s="28"/>
      <x:c r="Q1332" s="28"/>
      <x:c r="R1332" s="28"/>
      <x:c r="S1332" s="28"/>
      <x:c r="T1332" s="28"/>
      <x:c r="U1332" s="28"/>
      <x:c r="V1332" s="28"/>
      <x:c r="W1332" s="43" t="n">
        <x:f>--AND(N1332=1,OR(O1332="SUPPORTED",O1332="HALLUCINATION"))</x:f>
        <x:v>0</x:v>
      </x:c>
      <x:c r="X1332" s="43" t="n">
        <x:f>--AND(W1332=1,O1332="HALLUCINATION")</x:f>
        <x:v>0</x:v>
      </x:c>
      <x:c r="Y1332" s="43" t="n">
        <x:f>--AND(Q1332=1,O1332="HALLUCINATION")</x:f>
        <x:v>0</x:v>
      </x:c>
      <x:c r="Z1332" s="43" t="n">
        <x:f>--AND(Y1332=1,R1332=1,S1332=1)</x:f>
        <x:v>0</x:v>
      </x:c>
      <x:c r="AC1332" t="str">
        <x:f>IF(OR(AA1332="",AB1332=""),"",--(AA1332&lt;&gt;AB1332))</x:f>
      </x:c>
      <x:c r="AE1332" t="str">
        <x:f>IF(OR(AA1332="",AB1332=""),"PENDING_HUMAN",IF(AA1332=AB1332,AA1332,IF(AD1332&lt;&gt;"",AD1332,"PENDING_HUMAN")))</x:f>
        <x:v>PENDING_HUMAN</x:v>
      </x:c>
      <x:c r="AF1332" t="n">
        <x:f>--AND(A1332&lt;&gt;"",AA1332&lt;&gt;"",AB1332&lt;&gt;"",OR(AA1332=AB1332,AD1332&lt;&gt;""),IF(AE1332="HALLUCINATION",U1332&lt;&gt;"",TRUE))</x:f>
        <x:v>0</x:v>
      </x:c>
      <x:c r="AG1332" t="n">
        <x:f>--AND(N1332=1,AF1332=1,OR(AE1332="SUPPORTED",AE1332="HALLUCINATION"))</x:f>
        <x:v>0</x:v>
      </x:c>
      <x:c r="AH1332" t="n">
        <x:f>--AND(AG1332=1,AE1332="HALLUCINATION")</x:f>
        <x:v>0</x:v>
      </x:c>
      <x:c r="AI1332" t="n">
        <x:f>--AND(Q1332=1,AF1332=1,AE1332="HALLUCINATION")</x:f>
        <x:v>0</x:v>
      </x:c>
      <x:c r="AJ1332" t="n">
        <x:f>--AND(AI1332=1,R1332=1,S1332=1)</x:f>
        <x:v>0</x:v>
      </x:c>
    </x:row>
    <x:row r="1333">
      <x:c r="A1333" s="28"/>
      <x:c r="B1333" s="28"/>
      <x:c r="C1333" s="28"/>
      <x:c r="D1333" s="28"/>
      <x:c r="E1333" s="28"/>
      <x:c r="F1333" s="28"/>
      <x:c r="G1333" s="28"/>
      <x:c r="H1333" s="28"/>
      <x:c r="I1333" s="28"/>
      <x:c r="J1333" s="28"/>
      <x:c r="K1333" s="28"/>
      <x:c r="L1333" s="28"/>
      <x:c r="M1333" s="28"/>
      <x:c r="N1333" s="28"/>
      <x:c r="O1333" s="28"/>
      <x:c r="P1333" s="28"/>
      <x:c r="Q1333" s="28"/>
      <x:c r="R1333" s="28"/>
      <x:c r="S1333" s="28"/>
      <x:c r="T1333" s="28"/>
      <x:c r="U1333" s="28"/>
      <x:c r="V1333" s="28"/>
      <x:c r="W1333" s="43" t="n">
        <x:f>--AND(N1333=1,OR(O1333="SUPPORTED",O1333="HALLUCINATION"))</x:f>
        <x:v>0</x:v>
      </x:c>
      <x:c r="X1333" s="43" t="n">
        <x:f>--AND(W1333=1,O1333="HALLUCINATION")</x:f>
        <x:v>0</x:v>
      </x:c>
      <x:c r="Y1333" s="43" t="n">
        <x:f>--AND(Q1333=1,O1333="HALLUCINATION")</x:f>
        <x:v>0</x:v>
      </x:c>
      <x:c r="Z1333" s="43" t="n">
        <x:f>--AND(Y1333=1,R1333=1,S1333=1)</x:f>
        <x:v>0</x:v>
      </x:c>
      <x:c r="AC1333" t="str">
        <x:f>IF(OR(AA1333="",AB1333=""),"",--(AA1333&lt;&gt;AB1333))</x:f>
      </x:c>
      <x:c r="AE1333" t="str">
        <x:f>IF(OR(AA1333="",AB1333=""),"PENDING_HUMAN",IF(AA1333=AB1333,AA1333,IF(AD1333&lt;&gt;"",AD1333,"PENDING_HUMAN")))</x:f>
        <x:v>PENDING_HUMAN</x:v>
      </x:c>
      <x:c r="AF1333" t="n">
        <x:f>--AND(A1333&lt;&gt;"",AA1333&lt;&gt;"",AB1333&lt;&gt;"",OR(AA1333=AB1333,AD1333&lt;&gt;""),IF(AE1333="HALLUCINATION",U1333&lt;&gt;"",TRUE))</x:f>
        <x:v>0</x:v>
      </x:c>
      <x:c r="AG1333" t="n">
        <x:f>--AND(N1333=1,AF1333=1,OR(AE1333="SUPPORTED",AE1333="HALLUCINATION"))</x:f>
        <x:v>0</x:v>
      </x:c>
      <x:c r="AH1333" t="n">
        <x:f>--AND(AG1333=1,AE1333="HALLUCINATION")</x:f>
        <x:v>0</x:v>
      </x:c>
      <x:c r="AI1333" t="n">
        <x:f>--AND(Q1333=1,AF1333=1,AE1333="HALLUCINATION")</x:f>
        <x:v>0</x:v>
      </x:c>
      <x:c r="AJ1333" t="n">
        <x:f>--AND(AI1333=1,R1333=1,S1333=1)</x:f>
        <x:v>0</x:v>
      </x:c>
    </x:row>
    <x:row r="1334">
      <x:c r="A1334" s="28"/>
      <x:c r="B1334" s="28"/>
      <x:c r="C1334" s="28"/>
      <x:c r="D1334" s="28"/>
      <x:c r="E1334" s="28"/>
      <x:c r="F1334" s="28"/>
      <x:c r="G1334" s="28"/>
      <x:c r="H1334" s="28"/>
      <x:c r="I1334" s="28"/>
      <x:c r="J1334" s="28"/>
      <x:c r="K1334" s="28"/>
      <x:c r="L1334" s="28"/>
      <x:c r="M1334" s="28"/>
      <x:c r="N1334" s="28"/>
      <x:c r="O1334" s="28"/>
      <x:c r="P1334" s="28"/>
      <x:c r="Q1334" s="28"/>
      <x:c r="R1334" s="28"/>
      <x:c r="S1334" s="28"/>
      <x:c r="T1334" s="28"/>
      <x:c r="U1334" s="28"/>
      <x:c r="V1334" s="28"/>
      <x:c r="W1334" s="43" t="n">
        <x:f>--AND(N1334=1,OR(O1334="SUPPORTED",O1334="HALLUCINATION"))</x:f>
        <x:v>0</x:v>
      </x:c>
      <x:c r="X1334" s="43" t="n">
        <x:f>--AND(W1334=1,O1334="HALLUCINATION")</x:f>
        <x:v>0</x:v>
      </x:c>
      <x:c r="Y1334" s="43" t="n">
        <x:f>--AND(Q1334=1,O1334="HALLUCINATION")</x:f>
        <x:v>0</x:v>
      </x:c>
      <x:c r="Z1334" s="43" t="n">
        <x:f>--AND(Y1334=1,R1334=1,S1334=1)</x:f>
        <x:v>0</x:v>
      </x:c>
      <x:c r="AC1334" t="str">
        <x:f>IF(OR(AA1334="",AB1334=""),"",--(AA1334&lt;&gt;AB1334))</x:f>
      </x:c>
      <x:c r="AE1334" t="str">
        <x:f>IF(OR(AA1334="",AB1334=""),"PENDING_HUMAN",IF(AA1334=AB1334,AA1334,IF(AD1334&lt;&gt;"",AD1334,"PENDING_HUMAN")))</x:f>
        <x:v>PENDING_HUMAN</x:v>
      </x:c>
      <x:c r="AF1334" t="n">
        <x:f>--AND(A1334&lt;&gt;"",AA1334&lt;&gt;"",AB1334&lt;&gt;"",OR(AA1334=AB1334,AD1334&lt;&gt;""),IF(AE1334="HALLUCINATION",U1334&lt;&gt;"",TRUE))</x:f>
        <x:v>0</x:v>
      </x:c>
      <x:c r="AG1334" t="n">
        <x:f>--AND(N1334=1,AF1334=1,OR(AE1334="SUPPORTED",AE1334="HALLUCINATION"))</x:f>
        <x:v>0</x:v>
      </x:c>
      <x:c r="AH1334" t="n">
        <x:f>--AND(AG1334=1,AE1334="HALLUCINATION")</x:f>
        <x:v>0</x:v>
      </x:c>
      <x:c r="AI1334" t="n">
        <x:f>--AND(Q1334=1,AF1334=1,AE1334="HALLUCINATION")</x:f>
        <x:v>0</x:v>
      </x:c>
      <x:c r="AJ1334" t="n">
        <x:f>--AND(AI1334=1,R1334=1,S1334=1)</x:f>
        <x:v>0</x:v>
      </x:c>
    </x:row>
    <x:row r="1335">
      <x:c r="A1335" s="28"/>
      <x:c r="B1335" s="28"/>
      <x:c r="C1335" s="28"/>
      <x:c r="D1335" s="28"/>
      <x:c r="E1335" s="28"/>
      <x:c r="F1335" s="28"/>
      <x:c r="G1335" s="28"/>
      <x:c r="H1335" s="28"/>
      <x:c r="I1335" s="28"/>
      <x:c r="J1335" s="28"/>
      <x:c r="K1335" s="28"/>
      <x:c r="L1335" s="28"/>
      <x:c r="M1335" s="28"/>
      <x:c r="N1335" s="28"/>
      <x:c r="O1335" s="28"/>
      <x:c r="P1335" s="28"/>
      <x:c r="Q1335" s="28"/>
      <x:c r="R1335" s="28"/>
      <x:c r="S1335" s="28"/>
      <x:c r="T1335" s="28"/>
      <x:c r="U1335" s="28"/>
      <x:c r="V1335" s="28"/>
      <x:c r="W1335" s="43" t="n">
        <x:f>--AND(N1335=1,OR(O1335="SUPPORTED",O1335="HALLUCINATION"))</x:f>
        <x:v>0</x:v>
      </x:c>
      <x:c r="X1335" s="43" t="n">
        <x:f>--AND(W1335=1,O1335="HALLUCINATION")</x:f>
        <x:v>0</x:v>
      </x:c>
      <x:c r="Y1335" s="43" t="n">
        <x:f>--AND(Q1335=1,O1335="HALLUCINATION")</x:f>
        <x:v>0</x:v>
      </x:c>
      <x:c r="Z1335" s="43" t="n">
        <x:f>--AND(Y1335=1,R1335=1,S1335=1)</x:f>
        <x:v>0</x:v>
      </x:c>
      <x:c r="AC1335" t="str">
        <x:f>IF(OR(AA1335="",AB1335=""),"",--(AA1335&lt;&gt;AB1335))</x:f>
      </x:c>
      <x:c r="AE1335" t="str">
        <x:f>IF(OR(AA1335="",AB1335=""),"PENDING_HUMAN",IF(AA1335=AB1335,AA1335,IF(AD1335&lt;&gt;"",AD1335,"PENDING_HUMAN")))</x:f>
        <x:v>PENDING_HUMAN</x:v>
      </x:c>
      <x:c r="AF1335" t="n">
        <x:f>--AND(A1335&lt;&gt;"",AA1335&lt;&gt;"",AB1335&lt;&gt;"",OR(AA1335=AB1335,AD1335&lt;&gt;""),IF(AE1335="HALLUCINATION",U1335&lt;&gt;"",TRUE))</x:f>
        <x:v>0</x:v>
      </x:c>
      <x:c r="AG1335" t="n">
        <x:f>--AND(N1335=1,AF1335=1,OR(AE1335="SUPPORTED",AE1335="HALLUCINATION"))</x:f>
        <x:v>0</x:v>
      </x:c>
      <x:c r="AH1335" t="n">
        <x:f>--AND(AG1335=1,AE1335="HALLUCINATION")</x:f>
        <x:v>0</x:v>
      </x:c>
      <x:c r="AI1335" t="n">
        <x:f>--AND(Q1335=1,AF1335=1,AE1335="HALLUCINATION")</x:f>
        <x:v>0</x:v>
      </x:c>
      <x:c r="AJ1335" t="n">
        <x:f>--AND(AI1335=1,R1335=1,S1335=1)</x:f>
        <x:v>0</x:v>
      </x:c>
    </x:row>
    <x:row r="1336">
      <x:c r="A1336" s="28"/>
      <x:c r="B1336" s="28"/>
      <x:c r="C1336" s="28"/>
      <x:c r="D1336" s="28"/>
      <x:c r="E1336" s="28"/>
      <x:c r="F1336" s="28"/>
      <x:c r="G1336" s="28"/>
      <x:c r="H1336" s="28"/>
      <x:c r="I1336" s="28"/>
      <x:c r="J1336" s="28"/>
      <x:c r="K1336" s="28"/>
      <x:c r="L1336" s="28"/>
      <x:c r="M1336" s="28"/>
      <x:c r="N1336" s="28"/>
      <x:c r="O1336" s="28"/>
      <x:c r="P1336" s="28"/>
      <x:c r="Q1336" s="28"/>
      <x:c r="R1336" s="28"/>
      <x:c r="S1336" s="28"/>
      <x:c r="T1336" s="28"/>
      <x:c r="U1336" s="28"/>
      <x:c r="V1336" s="28"/>
      <x:c r="W1336" s="43" t="n">
        <x:f>--AND(N1336=1,OR(O1336="SUPPORTED",O1336="HALLUCINATION"))</x:f>
        <x:v>0</x:v>
      </x:c>
      <x:c r="X1336" s="43" t="n">
        <x:f>--AND(W1336=1,O1336="HALLUCINATION")</x:f>
        <x:v>0</x:v>
      </x:c>
      <x:c r="Y1336" s="43" t="n">
        <x:f>--AND(Q1336=1,O1336="HALLUCINATION")</x:f>
        <x:v>0</x:v>
      </x:c>
      <x:c r="Z1336" s="43" t="n">
        <x:f>--AND(Y1336=1,R1336=1,S1336=1)</x:f>
        <x:v>0</x:v>
      </x:c>
      <x:c r="AC1336" t="str">
        <x:f>IF(OR(AA1336="",AB1336=""),"",--(AA1336&lt;&gt;AB1336))</x:f>
      </x:c>
      <x:c r="AE1336" t="str">
        <x:f>IF(OR(AA1336="",AB1336=""),"PENDING_HUMAN",IF(AA1336=AB1336,AA1336,IF(AD1336&lt;&gt;"",AD1336,"PENDING_HUMAN")))</x:f>
        <x:v>PENDING_HUMAN</x:v>
      </x:c>
      <x:c r="AF1336" t="n">
        <x:f>--AND(A1336&lt;&gt;"",AA1336&lt;&gt;"",AB1336&lt;&gt;"",OR(AA1336=AB1336,AD1336&lt;&gt;""),IF(AE1336="HALLUCINATION",U1336&lt;&gt;"",TRUE))</x:f>
        <x:v>0</x:v>
      </x:c>
      <x:c r="AG1336" t="n">
        <x:f>--AND(N1336=1,AF1336=1,OR(AE1336="SUPPORTED",AE1336="HALLUCINATION"))</x:f>
        <x:v>0</x:v>
      </x:c>
      <x:c r="AH1336" t="n">
        <x:f>--AND(AG1336=1,AE1336="HALLUCINATION")</x:f>
        <x:v>0</x:v>
      </x:c>
      <x:c r="AI1336" t="n">
        <x:f>--AND(Q1336=1,AF1336=1,AE1336="HALLUCINATION")</x:f>
        <x:v>0</x:v>
      </x:c>
      <x:c r="AJ1336" t="n">
        <x:f>--AND(AI1336=1,R1336=1,S1336=1)</x:f>
        <x:v>0</x:v>
      </x:c>
    </x:row>
    <x:row r="1337">
      <x:c r="A1337" s="28"/>
      <x:c r="B1337" s="28"/>
      <x:c r="C1337" s="28"/>
      <x:c r="D1337" s="28"/>
      <x:c r="E1337" s="28"/>
      <x:c r="F1337" s="28"/>
      <x:c r="G1337" s="28"/>
      <x:c r="H1337" s="28"/>
      <x:c r="I1337" s="28"/>
      <x:c r="J1337" s="28"/>
      <x:c r="K1337" s="28"/>
      <x:c r="L1337" s="28"/>
      <x:c r="M1337" s="28"/>
      <x:c r="N1337" s="28"/>
      <x:c r="O1337" s="28"/>
      <x:c r="P1337" s="28"/>
      <x:c r="Q1337" s="28"/>
      <x:c r="R1337" s="28"/>
      <x:c r="S1337" s="28"/>
      <x:c r="T1337" s="28"/>
      <x:c r="U1337" s="28"/>
      <x:c r="V1337" s="28"/>
      <x:c r="W1337" s="43" t="n">
        <x:f>--AND(N1337=1,OR(O1337="SUPPORTED",O1337="HALLUCINATION"))</x:f>
        <x:v>0</x:v>
      </x:c>
      <x:c r="X1337" s="43" t="n">
        <x:f>--AND(W1337=1,O1337="HALLUCINATION")</x:f>
        <x:v>0</x:v>
      </x:c>
      <x:c r="Y1337" s="43" t="n">
        <x:f>--AND(Q1337=1,O1337="HALLUCINATION")</x:f>
        <x:v>0</x:v>
      </x:c>
      <x:c r="Z1337" s="43" t="n">
        <x:f>--AND(Y1337=1,R1337=1,S1337=1)</x:f>
        <x:v>0</x:v>
      </x:c>
      <x:c r="AC1337" t="str">
        <x:f>IF(OR(AA1337="",AB1337=""),"",--(AA1337&lt;&gt;AB1337))</x:f>
      </x:c>
      <x:c r="AE1337" t="str">
        <x:f>IF(OR(AA1337="",AB1337=""),"PENDING_HUMAN",IF(AA1337=AB1337,AA1337,IF(AD1337&lt;&gt;"",AD1337,"PENDING_HUMAN")))</x:f>
        <x:v>PENDING_HUMAN</x:v>
      </x:c>
      <x:c r="AF1337" t="n">
        <x:f>--AND(A1337&lt;&gt;"",AA1337&lt;&gt;"",AB1337&lt;&gt;"",OR(AA1337=AB1337,AD1337&lt;&gt;""),IF(AE1337="HALLUCINATION",U1337&lt;&gt;"",TRUE))</x:f>
        <x:v>0</x:v>
      </x:c>
      <x:c r="AG1337" t="n">
        <x:f>--AND(N1337=1,AF1337=1,OR(AE1337="SUPPORTED",AE1337="HALLUCINATION"))</x:f>
        <x:v>0</x:v>
      </x:c>
      <x:c r="AH1337" t="n">
        <x:f>--AND(AG1337=1,AE1337="HALLUCINATION")</x:f>
        <x:v>0</x:v>
      </x:c>
      <x:c r="AI1337" t="n">
        <x:f>--AND(Q1337=1,AF1337=1,AE1337="HALLUCINATION")</x:f>
        <x:v>0</x:v>
      </x:c>
      <x:c r="AJ1337" t="n">
        <x:f>--AND(AI1337=1,R1337=1,S1337=1)</x:f>
        <x:v>0</x:v>
      </x:c>
    </x:row>
    <x:row r="1338">
      <x:c r="A1338" s="28"/>
      <x:c r="B1338" s="28"/>
      <x:c r="C1338" s="28"/>
      <x:c r="D1338" s="28"/>
      <x:c r="E1338" s="28"/>
      <x:c r="F1338" s="28"/>
      <x:c r="G1338" s="28"/>
      <x:c r="H1338" s="28"/>
      <x:c r="I1338" s="28"/>
      <x:c r="J1338" s="28"/>
      <x:c r="K1338" s="28"/>
      <x:c r="L1338" s="28"/>
      <x:c r="M1338" s="28"/>
      <x:c r="N1338" s="28"/>
      <x:c r="O1338" s="28"/>
      <x:c r="P1338" s="28"/>
      <x:c r="Q1338" s="28"/>
      <x:c r="R1338" s="28"/>
      <x:c r="S1338" s="28"/>
      <x:c r="T1338" s="28"/>
      <x:c r="U1338" s="28"/>
      <x:c r="V1338" s="28"/>
      <x:c r="W1338" s="43" t="n">
        <x:f>--AND(N1338=1,OR(O1338="SUPPORTED",O1338="HALLUCINATION"))</x:f>
        <x:v>0</x:v>
      </x:c>
      <x:c r="X1338" s="43" t="n">
        <x:f>--AND(W1338=1,O1338="HALLUCINATION")</x:f>
        <x:v>0</x:v>
      </x:c>
      <x:c r="Y1338" s="43" t="n">
        <x:f>--AND(Q1338=1,O1338="HALLUCINATION")</x:f>
        <x:v>0</x:v>
      </x:c>
      <x:c r="Z1338" s="43" t="n">
        <x:f>--AND(Y1338=1,R1338=1,S1338=1)</x:f>
        <x:v>0</x:v>
      </x:c>
      <x:c r="AC1338" t="str">
        <x:f>IF(OR(AA1338="",AB1338=""),"",--(AA1338&lt;&gt;AB1338))</x:f>
      </x:c>
      <x:c r="AE1338" t="str">
        <x:f>IF(OR(AA1338="",AB1338=""),"PENDING_HUMAN",IF(AA1338=AB1338,AA1338,IF(AD1338&lt;&gt;"",AD1338,"PENDING_HUMAN")))</x:f>
        <x:v>PENDING_HUMAN</x:v>
      </x:c>
      <x:c r="AF1338" t="n">
        <x:f>--AND(A1338&lt;&gt;"",AA1338&lt;&gt;"",AB1338&lt;&gt;"",OR(AA1338=AB1338,AD1338&lt;&gt;""),IF(AE1338="HALLUCINATION",U1338&lt;&gt;"",TRUE))</x:f>
        <x:v>0</x:v>
      </x:c>
      <x:c r="AG1338" t="n">
        <x:f>--AND(N1338=1,AF1338=1,OR(AE1338="SUPPORTED",AE1338="HALLUCINATION"))</x:f>
        <x:v>0</x:v>
      </x:c>
      <x:c r="AH1338" t="n">
        <x:f>--AND(AG1338=1,AE1338="HALLUCINATION")</x:f>
        <x:v>0</x:v>
      </x:c>
      <x:c r="AI1338" t="n">
        <x:f>--AND(Q1338=1,AF1338=1,AE1338="HALLUCINATION")</x:f>
        <x:v>0</x:v>
      </x:c>
      <x:c r="AJ1338" t="n">
        <x:f>--AND(AI1338=1,R1338=1,S1338=1)</x:f>
        <x:v>0</x:v>
      </x:c>
    </x:row>
    <x:row r="1339">
      <x:c r="A1339" s="28"/>
      <x:c r="B1339" s="28"/>
      <x:c r="C1339" s="28"/>
      <x:c r="D1339" s="28"/>
      <x:c r="E1339" s="28"/>
      <x:c r="F1339" s="28"/>
      <x:c r="G1339" s="28"/>
      <x:c r="H1339" s="28"/>
      <x:c r="I1339" s="28"/>
      <x:c r="J1339" s="28"/>
      <x:c r="K1339" s="28"/>
      <x:c r="L1339" s="28"/>
      <x:c r="M1339" s="28"/>
      <x:c r="N1339" s="28"/>
      <x:c r="O1339" s="28"/>
      <x:c r="P1339" s="28"/>
      <x:c r="Q1339" s="28"/>
      <x:c r="R1339" s="28"/>
      <x:c r="S1339" s="28"/>
      <x:c r="T1339" s="28"/>
      <x:c r="U1339" s="28"/>
      <x:c r="V1339" s="28"/>
      <x:c r="W1339" s="43" t="n">
        <x:f>--AND(N1339=1,OR(O1339="SUPPORTED",O1339="HALLUCINATION"))</x:f>
        <x:v>0</x:v>
      </x:c>
      <x:c r="X1339" s="43" t="n">
        <x:f>--AND(W1339=1,O1339="HALLUCINATION")</x:f>
        <x:v>0</x:v>
      </x:c>
      <x:c r="Y1339" s="43" t="n">
        <x:f>--AND(Q1339=1,O1339="HALLUCINATION")</x:f>
        <x:v>0</x:v>
      </x:c>
      <x:c r="Z1339" s="43" t="n">
        <x:f>--AND(Y1339=1,R1339=1,S1339=1)</x:f>
        <x:v>0</x:v>
      </x:c>
      <x:c r="AC1339" t="str">
        <x:f>IF(OR(AA1339="",AB1339=""),"",--(AA1339&lt;&gt;AB1339))</x:f>
      </x:c>
      <x:c r="AE1339" t="str">
        <x:f>IF(OR(AA1339="",AB1339=""),"PENDING_HUMAN",IF(AA1339=AB1339,AA1339,IF(AD1339&lt;&gt;"",AD1339,"PENDING_HUMAN")))</x:f>
        <x:v>PENDING_HUMAN</x:v>
      </x:c>
      <x:c r="AF1339" t="n">
        <x:f>--AND(A1339&lt;&gt;"",AA1339&lt;&gt;"",AB1339&lt;&gt;"",OR(AA1339=AB1339,AD1339&lt;&gt;""),IF(AE1339="HALLUCINATION",U1339&lt;&gt;"",TRUE))</x:f>
        <x:v>0</x:v>
      </x:c>
      <x:c r="AG1339" t="n">
        <x:f>--AND(N1339=1,AF1339=1,OR(AE1339="SUPPORTED",AE1339="HALLUCINATION"))</x:f>
        <x:v>0</x:v>
      </x:c>
      <x:c r="AH1339" t="n">
        <x:f>--AND(AG1339=1,AE1339="HALLUCINATION")</x:f>
        <x:v>0</x:v>
      </x:c>
      <x:c r="AI1339" t="n">
        <x:f>--AND(Q1339=1,AF1339=1,AE1339="HALLUCINATION")</x:f>
        <x:v>0</x:v>
      </x:c>
      <x:c r="AJ1339" t="n">
        <x:f>--AND(AI1339=1,R1339=1,S1339=1)</x:f>
        <x:v>0</x:v>
      </x:c>
    </x:row>
    <x:row r="1340">
      <x:c r="A1340" s="28"/>
      <x:c r="B1340" s="28"/>
      <x:c r="C1340" s="28"/>
      <x:c r="D1340" s="28"/>
      <x:c r="E1340" s="28"/>
      <x:c r="F1340" s="28"/>
      <x:c r="G1340" s="28"/>
      <x:c r="H1340" s="28"/>
      <x:c r="I1340" s="28"/>
      <x:c r="J1340" s="28"/>
      <x:c r="K1340" s="28"/>
      <x:c r="L1340" s="28"/>
      <x:c r="M1340" s="28"/>
      <x:c r="N1340" s="28"/>
      <x:c r="O1340" s="28"/>
      <x:c r="P1340" s="28"/>
      <x:c r="Q1340" s="28"/>
      <x:c r="R1340" s="28"/>
      <x:c r="S1340" s="28"/>
      <x:c r="T1340" s="28"/>
      <x:c r="U1340" s="28"/>
      <x:c r="V1340" s="28"/>
      <x:c r="W1340" s="43" t="n">
        <x:f>--AND(N1340=1,OR(O1340="SUPPORTED",O1340="HALLUCINATION"))</x:f>
        <x:v>0</x:v>
      </x:c>
      <x:c r="X1340" s="43" t="n">
        <x:f>--AND(W1340=1,O1340="HALLUCINATION")</x:f>
        <x:v>0</x:v>
      </x:c>
      <x:c r="Y1340" s="43" t="n">
        <x:f>--AND(Q1340=1,O1340="HALLUCINATION")</x:f>
        <x:v>0</x:v>
      </x:c>
      <x:c r="Z1340" s="43" t="n">
        <x:f>--AND(Y1340=1,R1340=1,S1340=1)</x:f>
        <x:v>0</x:v>
      </x:c>
      <x:c r="AC1340" t="str">
        <x:f>IF(OR(AA1340="",AB1340=""),"",--(AA1340&lt;&gt;AB1340))</x:f>
      </x:c>
      <x:c r="AE1340" t="str">
        <x:f>IF(OR(AA1340="",AB1340=""),"PENDING_HUMAN",IF(AA1340=AB1340,AA1340,IF(AD1340&lt;&gt;"",AD1340,"PENDING_HUMAN")))</x:f>
        <x:v>PENDING_HUMAN</x:v>
      </x:c>
      <x:c r="AF1340" t="n">
        <x:f>--AND(A1340&lt;&gt;"",AA1340&lt;&gt;"",AB1340&lt;&gt;"",OR(AA1340=AB1340,AD1340&lt;&gt;""),IF(AE1340="HALLUCINATION",U1340&lt;&gt;"",TRUE))</x:f>
        <x:v>0</x:v>
      </x:c>
      <x:c r="AG1340" t="n">
        <x:f>--AND(N1340=1,AF1340=1,OR(AE1340="SUPPORTED",AE1340="HALLUCINATION"))</x:f>
        <x:v>0</x:v>
      </x:c>
      <x:c r="AH1340" t="n">
        <x:f>--AND(AG1340=1,AE1340="HALLUCINATION")</x:f>
        <x:v>0</x:v>
      </x:c>
      <x:c r="AI1340" t="n">
        <x:f>--AND(Q1340=1,AF1340=1,AE1340="HALLUCINATION")</x:f>
        <x:v>0</x:v>
      </x:c>
      <x:c r="AJ1340" t="n">
        <x:f>--AND(AI1340=1,R1340=1,S1340=1)</x:f>
        <x:v>0</x:v>
      </x:c>
    </x:row>
    <x:row r="1341">
      <x:c r="A1341" s="28"/>
      <x:c r="B1341" s="28"/>
      <x:c r="C1341" s="28"/>
      <x:c r="D1341" s="28"/>
      <x:c r="E1341" s="28"/>
      <x:c r="F1341" s="28"/>
      <x:c r="G1341" s="28"/>
      <x:c r="H1341" s="28"/>
      <x:c r="I1341" s="28"/>
      <x:c r="J1341" s="28"/>
      <x:c r="K1341" s="28"/>
      <x:c r="L1341" s="28"/>
      <x:c r="M1341" s="28"/>
      <x:c r="N1341" s="28"/>
      <x:c r="O1341" s="28"/>
      <x:c r="P1341" s="28"/>
      <x:c r="Q1341" s="28"/>
      <x:c r="R1341" s="28"/>
      <x:c r="S1341" s="28"/>
      <x:c r="T1341" s="28"/>
      <x:c r="U1341" s="28"/>
      <x:c r="V1341" s="28"/>
      <x:c r="W1341" s="43" t="n">
        <x:f>--AND(N1341=1,OR(O1341="SUPPORTED",O1341="HALLUCINATION"))</x:f>
        <x:v>0</x:v>
      </x:c>
      <x:c r="X1341" s="43" t="n">
        <x:f>--AND(W1341=1,O1341="HALLUCINATION")</x:f>
        <x:v>0</x:v>
      </x:c>
      <x:c r="Y1341" s="43" t="n">
        <x:f>--AND(Q1341=1,O1341="HALLUCINATION")</x:f>
        <x:v>0</x:v>
      </x:c>
      <x:c r="Z1341" s="43" t="n">
        <x:f>--AND(Y1341=1,R1341=1,S1341=1)</x:f>
        <x:v>0</x:v>
      </x:c>
      <x:c r="AC1341" t="str">
        <x:f>IF(OR(AA1341="",AB1341=""),"",--(AA1341&lt;&gt;AB1341))</x:f>
      </x:c>
      <x:c r="AE1341" t="str">
        <x:f>IF(OR(AA1341="",AB1341=""),"PENDING_HUMAN",IF(AA1341=AB1341,AA1341,IF(AD1341&lt;&gt;"",AD1341,"PENDING_HUMAN")))</x:f>
        <x:v>PENDING_HUMAN</x:v>
      </x:c>
      <x:c r="AF1341" t="n">
        <x:f>--AND(A1341&lt;&gt;"",AA1341&lt;&gt;"",AB1341&lt;&gt;"",OR(AA1341=AB1341,AD1341&lt;&gt;""),IF(AE1341="HALLUCINATION",U1341&lt;&gt;"",TRUE))</x:f>
        <x:v>0</x:v>
      </x:c>
      <x:c r="AG1341" t="n">
        <x:f>--AND(N1341=1,AF1341=1,OR(AE1341="SUPPORTED",AE1341="HALLUCINATION"))</x:f>
        <x:v>0</x:v>
      </x:c>
      <x:c r="AH1341" t="n">
        <x:f>--AND(AG1341=1,AE1341="HALLUCINATION")</x:f>
        <x:v>0</x:v>
      </x:c>
      <x:c r="AI1341" t="n">
        <x:f>--AND(Q1341=1,AF1341=1,AE1341="HALLUCINATION")</x:f>
        <x:v>0</x:v>
      </x:c>
      <x:c r="AJ1341" t="n">
        <x:f>--AND(AI1341=1,R1341=1,S1341=1)</x:f>
        <x:v>0</x:v>
      </x:c>
    </x:row>
    <x:row r="1342">
      <x:c r="A1342" s="28"/>
      <x:c r="B1342" s="28"/>
      <x:c r="C1342" s="28"/>
      <x:c r="D1342" s="28"/>
      <x:c r="E1342" s="28"/>
      <x:c r="F1342" s="28"/>
      <x:c r="G1342" s="28"/>
      <x:c r="H1342" s="28"/>
      <x:c r="I1342" s="28"/>
      <x:c r="J1342" s="28"/>
      <x:c r="K1342" s="28"/>
      <x:c r="L1342" s="28"/>
      <x:c r="M1342" s="28"/>
      <x:c r="N1342" s="28"/>
      <x:c r="O1342" s="28"/>
      <x:c r="P1342" s="28"/>
      <x:c r="Q1342" s="28"/>
      <x:c r="R1342" s="28"/>
      <x:c r="S1342" s="28"/>
      <x:c r="T1342" s="28"/>
      <x:c r="U1342" s="28"/>
      <x:c r="V1342" s="28"/>
      <x:c r="W1342" s="43" t="n">
        <x:f>--AND(N1342=1,OR(O1342="SUPPORTED",O1342="HALLUCINATION"))</x:f>
        <x:v>0</x:v>
      </x:c>
      <x:c r="X1342" s="43" t="n">
        <x:f>--AND(W1342=1,O1342="HALLUCINATION")</x:f>
        <x:v>0</x:v>
      </x:c>
      <x:c r="Y1342" s="43" t="n">
        <x:f>--AND(Q1342=1,O1342="HALLUCINATION")</x:f>
        <x:v>0</x:v>
      </x:c>
      <x:c r="Z1342" s="43" t="n">
        <x:f>--AND(Y1342=1,R1342=1,S1342=1)</x:f>
        <x:v>0</x:v>
      </x:c>
      <x:c r="AC1342" t="str">
        <x:f>IF(OR(AA1342="",AB1342=""),"",--(AA1342&lt;&gt;AB1342))</x:f>
      </x:c>
      <x:c r="AE1342" t="str">
        <x:f>IF(OR(AA1342="",AB1342=""),"PENDING_HUMAN",IF(AA1342=AB1342,AA1342,IF(AD1342&lt;&gt;"",AD1342,"PENDING_HUMAN")))</x:f>
        <x:v>PENDING_HUMAN</x:v>
      </x:c>
      <x:c r="AF1342" t="n">
        <x:f>--AND(A1342&lt;&gt;"",AA1342&lt;&gt;"",AB1342&lt;&gt;"",OR(AA1342=AB1342,AD1342&lt;&gt;""),IF(AE1342="HALLUCINATION",U1342&lt;&gt;"",TRUE))</x:f>
        <x:v>0</x:v>
      </x:c>
      <x:c r="AG1342" t="n">
        <x:f>--AND(N1342=1,AF1342=1,OR(AE1342="SUPPORTED",AE1342="HALLUCINATION"))</x:f>
        <x:v>0</x:v>
      </x:c>
      <x:c r="AH1342" t="n">
        <x:f>--AND(AG1342=1,AE1342="HALLUCINATION")</x:f>
        <x:v>0</x:v>
      </x:c>
      <x:c r="AI1342" t="n">
        <x:f>--AND(Q1342=1,AF1342=1,AE1342="HALLUCINATION")</x:f>
        <x:v>0</x:v>
      </x:c>
      <x:c r="AJ1342" t="n">
        <x:f>--AND(AI1342=1,R1342=1,S1342=1)</x:f>
        <x:v>0</x:v>
      </x:c>
    </x:row>
    <x:row r="1343">
      <x:c r="A1343" s="28"/>
      <x:c r="B1343" s="28"/>
      <x:c r="C1343" s="28"/>
      <x:c r="D1343" s="28"/>
      <x:c r="E1343" s="28"/>
      <x:c r="F1343" s="28"/>
      <x:c r="G1343" s="28"/>
      <x:c r="H1343" s="28"/>
      <x:c r="I1343" s="28"/>
      <x:c r="J1343" s="28"/>
      <x:c r="K1343" s="28"/>
      <x:c r="L1343" s="28"/>
      <x:c r="M1343" s="28"/>
      <x:c r="N1343" s="28"/>
      <x:c r="O1343" s="28"/>
      <x:c r="P1343" s="28"/>
      <x:c r="Q1343" s="28"/>
      <x:c r="R1343" s="28"/>
      <x:c r="S1343" s="28"/>
      <x:c r="T1343" s="28"/>
      <x:c r="U1343" s="28"/>
      <x:c r="V1343" s="28"/>
      <x:c r="W1343" s="43" t="n">
        <x:f>--AND(N1343=1,OR(O1343="SUPPORTED",O1343="HALLUCINATION"))</x:f>
        <x:v>0</x:v>
      </x:c>
      <x:c r="X1343" s="43" t="n">
        <x:f>--AND(W1343=1,O1343="HALLUCINATION")</x:f>
        <x:v>0</x:v>
      </x:c>
      <x:c r="Y1343" s="43" t="n">
        <x:f>--AND(Q1343=1,O1343="HALLUCINATION")</x:f>
        <x:v>0</x:v>
      </x:c>
      <x:c r="Z1343" s="43" t="n">
        <x:f>--AND(Y1343=1,R1343=1,S1343=1)</x:f>
        <x:v>0</x:v>
      </x:c>
      <x:c r="AC1343" t="str">
        <x:f>IF(OR(AA1343="",AB1343=""),"",--(AA1343&lt;&gt;AB1343))</x:f>
      </x:c>
      <x:c r="AE1343" t="str">
        <x:f>IF(OR(AA1343="",AB1343=""),"PENDING_HUMAN",IF(AA1343=AB1343,AA1343,IF(AD1343&lt;&gt;"",AD1343,"PENDING_HUMAN")))</x:f>
        <x:v>PENDING_HUMAN</x:v>
      </x:c>
      <x:c r="AF1343" t="n">
        <x:f>--AND(A1343&lt;&gt;"",AA1343&lt;&gt;"",AB1343&lt;&gt;"",OR(AA1343=AB1343,AD1343&lt;&gt;""),IF(AE1343="HALLUCINATION",U1343&lt;&gt;"",TRUE))</x:f>
        <x:v>0</x:v>
      </x:c>
      <x:c r="AG1343" t="n">
        <x:f>--AND(N1343=1,AF1343=1,OR(AE1343="SUPPORTED",AE1343="HALLUCINATION"))</x:f>
        <x:v>0</x:v>
      </x:c>
      <x:c r="AH1343" t="n">
        <x:f>--AND(AG1343=1,AE1343="HALLUCINATION")</x:f>
        <x:v>0</x:v>
      </x:c>
      <x:c r="AI1343" t="n">
        <x:f>--AND(Q1343=1,AF1343=1,AE1343="HALLUCINATION")</x:f>
        <x:v>0</x:v>
      </x:c>
      <x:c r="AJ1343" t="n">
        <x:f>--AND(AI1343=1,R1343=1,S1343=1)</x:f>
        <x:v>0</x:v>
      </x:c>
    </x:row>
    <x:row r="1344">
      <x:c r="A1344" s="28"/>
      <x:c r="B1344" s="28"/>
      <x:c r="C1344" s="28"/>
      <x:c r="D1344" s="28"/>
      <x:c r="E1344" s="28"/>
      <x:c r="F1344" s="28"/>
      <x:c r="G1344" s="28"/>
      <x:c r="H1344" s="28"/>
      <x:c r="I1344" s="28"/>
      <x:c r="J1344" s="28"/>
      <x:c r="K1344" s="28"/>
      <x:c r="L1344" s="28"/>
      <x:c r="M1344" s="28"/>
      <x:c r="N1344" s="28"/>
      <x:c r="O1344" s="28"/>
      <x:c r="P1344" s="28"/>
      <x:c r="Q1344" s="28"/>
      <x:c r="R1344" s="28"/>
      <x:c r="S1344" s="28"/>
      <x:c r="T1344" s="28"/>
      <x:c r="U1344" s="28"/>
      <x:c r="V1344" s="28"/>
      <x:c r="W1344" s="43" t="n">
        <x:f>--AND(N1344=1,OR(O1344="SUPPORTED",O1344="HALLUCINATION"))</x:f>
        <x:v>0</x:v>
      </x:c>
      <x:c r="X1344" s="43" t="n">
        <x:f>--AND(W1344=1,O1344="HALLUCINATION")</x:f>
        <x:v>0</x:v>
      </x:c>
      <x:c r="Y1344" s="43" t="n">
        <x:f>--AND(Q1344=1,O1344="HALLUCINATION")</x:f>
        <x:v>0</x:v>
      </x:c>
      <x:c r="Z1344" s="43" t="n">
        <x:f>--AND(Y1344=1,R1344=1,S1344=1)</x:f>
        <x:v>0</x:v>
      </x:c>
      <x:c r="AC1344" t="str">
        <x:f>IF(OR(AA1344="",AB1344=""),"",--(AA1344&lt;&gt;AB1344))</x:f>
      </x:c>
      <x:c r="AE1344" t="str">
        <x:f>IF(OR(AA1344="",AB1344=""),"PENDING_HUMAN",IF(AA1344=AB1344,AA1344,IF(AD1344&lt;&gt;"",AD1344,"PENDING_HUMAN")))</x:f>
        <x:v>PENDING_HUMAN</x:v>
      </x:c>
      <x:c r="AF1344" t="n">
        <x:f>--AND(A1344&lt;&gt;"",AA1344&lt;&gt;"",AB1344&lt;&gt;"",OR(AA1344=AB1344,AD1344&lt;&gt;""),IF(AE1344="HALLUCINATION",U1344&lt;&gt;"",TRUE))</x:f>
        <x:v>0</x:v>
      </x:c>
      <x:c r="AG1344" t="n">
        <x:f>--AND(N1344=1,AF1344=1,OR(AE1344="SUPPORTED",AE1344="HALLUCINATION"))</x:f>
        <x:v>0</x:v>
      </x:c>
      <x:c r="AH1344" t="n">
        <x:f>--AND(AG1344=1,AE1344="HALLUCINATION")</x:f>
        <x:v>0</x:v>
      </x:c>
      <x:c r="AI1344" t="n">
        <x:f>--AND(Q1344=1,AF1344=1,AE1344="HALLUCINATION")</x:f>
        <x:v>0</x:v>
      </x:c>
      <x:c r="AJ1344" t="n">
        <x:f>--AND(AI1344=1,R1344=1,S1344=1)</x:f>
        <x:v>0</x:v>
      </x:c>
    </x:row>
    <x:row r="1345">
      <x:c r="A1345" s="28"/>
      <x:c r="B1345" s="28"/>
      <x:c r="C1345" s="28"/>
      <x:c r="D1345" s="28"/>
      <x:c r="E1345" s="28"/>
      <x:c r="F1345" s="28"/>
      <x:c r="G1345" s="28"/>
      <x:c r="H1345" s="28"/>
      <x:c r="I1345" s="28"/>
      <x:c r="J1345" s="28"/>
      <x:c r="K1345" s="28"/>
      <x:c r="L1345" s="28"/>
      <x:c r="M1345" s="28"/>
      <x:c r="N1345" s="28"/>
      <x:c r="O1345" s="28"/>
      <x:c r="P1345" s="28"/>
      <x:c r="Q1345" s="28"/>
      <x:c r="R1345" s="28"/>
      <x:c r="S1345" s="28"/>
      <x:c r="T1345" s="28"/>
      <x:c r="U1345" s="28"/>
      <x:c r="V1345" s="28"/>
      <x:c r="W1345" s="43" t="n">
        <x:f>--AND(N1345=1,OR(O1345="SUPPORTED",O1345="HALLUCINATION"))</x:f>
        <x:v>0</x:v>
      </x:c>
      <x:c r="X1345" s="43" t="n">
        <x:f>--AND(W1345=1,O1345="HALLUCINATION")</x:f>
        <x:v>0</x:v>
      </x:c>
      <x:c r="Y1345" s="43" t="n">
        <x:f>--AND(Q1345=1,O1345="HALLUCINATION")</x:f>
        <x:v>0</x:v>
      </x:c>
      <x:c r="Z1345" s="43" t="n">
        <x:f>--AND(Y1345=1,R1345=1,S1345=1)</x:f>
        <x:v>0</x:v>
      </x:c>
      <x:c r="AC1345" t="str">
        <x:f>IF(OR(AA1345="",AB1345=""),"",--(AA1345&lt;&gt;AB1345))</x:f>
      </x:c>
      <x:c r="AE1345" t="str">
        <x:f>IF(OR(AA1345="",AB1345=""),"PENDING_HUMAN",IF(AA1345=AB1345,AA1345,IF(AD1345&lt;&gt;"",AD1345,"PENDING_HUMAN")))</x:f>
        <x:v>PENDING_HUMAN</x:v>
      </x:c>
      <x:c r="AF1345" t="n">
        <x:f>--AND(A1345&lt;&gt;"",AA1345&lt;&gt;"",AB1345&lt;&gt;"",OR(AA1345=AB1345,AD1345&lt;&gt;""),IF(AE1345="HALLUCINATION",U1345&lt;&gt;"",TRUE))</x:f>
        <x:v>0</x:v>
      </x:c>
      <x:c r="AG1345" t="n">
        <x:f>--AND(N1345=1,AF1345=1,OR(AE1345="SUPPORTED",AE1345="HALLUCINATION"))</x:f>
        <x:v>0</x:v>
      </x:c>
      <x:c r="AH1345" t="n">
        <x:f>--AND(AG1345=1,AE1345="HALLUCINATION")</x:f>
        <x:v>0</x:v>
      </x:c>
      <x:c r="AI1345" t="n">
        <x:f>--AND(Q1345=1,AF1345=1,AE1345="HALLUCINATION")</x:f>
        <x:v>0</x:v>
      </x:c>
      <x:c r="AJ1345" t="n">
        <x:f>--AND(AI1345=1,R1345=1,S1345=1)</x:f>
        <x:v>0</x:v>
      </x:c>
    </x:row>
    <x:row r="1346">
      <x:c r="A1346" s="28"/>
      <x:c r="B1346" s="28"/>
      <x:c r="C1346" s="28"/>
      <x:c r="D1346" s="28"/>
      <x:c r="E1346" s="28"/>
      <x:c r="F1346" s="28"/>
      <x:c r="G1346" s="28"/>
      <x:c r="H1346" s="28"/>
      <x:c r="I1346" s="28"/>
      <x:c r="J1346" s="28"/>
      <x:c r="K1346" s="28"/>
      <x:c r="L1346" s="28"/>
      <x:c r="M1346" s="28"/>
      <x:c r="N1346" s="28"/>
      <x:c r="O1346" s="28"/>
      <x:c r="P1346" s="28"/>
      <x:c r="Q1346" s="28"/>
      <x:c r="R1346" s="28"/>
      <x:c r="S1346" s="28"/>
      <x:c r="T1346" s="28"/>
      <x:c r="U1346" s="28"/>
      <x:c r="V1346" s="28"/>
      <x:c r="W1346" s="43" t="n">
        <x:f>--AND(N1346=1,OR(O1346="SUPPORTED",O1346="HALLUCINATION"))</x:f>
        <x:v>0</x:v>
      </x:c>
      <x:c r="X1346" s="43" t="n">
        <x:f>--AND(W1346=1,O1346="HALLUCINATION")</x:f>
        <x:v>0</x:v>
      </x:c>
      <x:c r="Y1346" s="43" t="n">
        <x:f>--AND(Q1346=1,O1346="HALLUCINATION")</x:f>
        <x:v>0</x:v>
      </x:c>
      <x:c r="Z1346" s="43" t="n">
        <x:f>--AND(Y1346=1,R1346=1,S1346=1)</x:f>
        <x:v>0</x:v>
      </x:c>
      <x:c r="AC1346" t="str">
        <x:f>IF(OR(AA1346="",AB1346=""),"",--(AA1346&lt;&gt;AB1346))</x:f>
      </x:c>
      <x:c r="AE1346" t="str">
        <x:f>IF(OR(AA1346="",AB1346=""),"PENDING_HUMAN",IF(AA1346=AB1346,AA1346,IF(AD1346&lt;&gt;"",AD1346,"PENDING_HUMAN")))</x:f>
        <x:v>PENDING_HUMAN</x:v>
      </x:c>
      <x:c r="AF1346" t="n">
        <x:f>--AND(A1346&lt;&gt;"",AA1346&lt;&gt;"",AB1346&lt;&gt;"",OR(AA1346=AB1346,AD1346&lt;&gt;""),IF(AE1346="HALLUCINATION",U1346&lt;&gt;"",TRUE))</x:f>
        <x:v>0</x:v>
      </x:c>
      <x:c r="AG1346" t="n">
        <x:f>--AND(N1346=1,AF1346=1,OR(AE1346="SUPPORTED",AE1346="HALLUCINATION"))</x:f>
        <x:v>0</x:v>
      </x:c>
      <x:c r="AH1346" t="n">
        <x:f>--AND(AG1346=1,AE1346="HALLUCINATION")</x:f>
        <x:v>0</x:v>
      </x:c>
      <x:c r="AI1346" t="n">
        <x:f>--AND(Q1346=1,AF1346=1,AE1346="HALLUCINATION")</x:f>
        <x:v>0</x:v>
      </x:c>
      <x:c r="AJ1346" t="n">
        <x:f>--AND(AI1346=1,R1346=1,S1346=1)</x:f>
        <x:v>0</x:v>
      </x:c>
    </x:row>
    <x:row r="1347">
      <x:c r="A1347" s="28"/>
      <x:c r="B1347" s="28"/>
      <x:c r="C1347" s="28"/>
      <x:c r="D1347" s="28"/>
      <x:c r="E1347" s="28"/>
      <x:c r="F1347" s="28"/>
      <x:c r="G1347" s="28"/>
      <x:c r="H1347" s="28"/>
      <x:c r="I1347" s="28"/>
      <x:c r="J1347" s="28"/>
      <x:c r="K1347" s="28"/>
      <x:c r="L1347" s="28"/>
      <x:c r="M1347" s="28"/>
      <x:c r="N1347" s="28"/>
      <x:c r="O1347" s="28"/>
      <x:c r="P1347" s="28"/>
      <x:c r="Q1347" s="28"/>
      <x:c r="R1347" s="28"/>
      <x:c r="S1347" s="28"/>
      <x:c r="T1347" s="28"/>
      <x:c r="U1347" s="28"/>
      <x:c r="V1347" s="28"/>
      <x:c r="W1347" s="43" t="n">
        <x:f>--AND(N1347=1,OR(O1347="SUPPORTED",O1347="HALLUCINATION"))</x:f>
        <x:v>0</x:v>
      </x:c>
      <x:c r="X1347" s="43" t="n">
        <x:f>--AND(W1347=1,O1347="HALLUCINATION")</x:f>
        <x:v>0</x:v>
      </x:c>
      <x:c r="Y1347" s="43" t="n">
        <x:f>--AND(Q1347=1,O1347="HALLUCINATION")</x:f>
        <x:v>0</x:v>
      </x:c>
      <x:c r="Z1347" s="43" t="n">
        <x:f>--AND(Y1347=1,R1347=1,S1347=1)</x:f>
        <x:v>0</x:v>
      </x:c>
      <x:c r="AC1347" t="str">
        <x:f>IF(OR(AA1347="",AB1347=""),"",--(AA1347&lt;&gt;AB1347))</x:f>
      </x:c>
      <x:c r="AE1347" t="str">
        <x:f>IF(OR(AA1347="",AB1347=""),"PENDING_HUMAN",IF(AA1347=AB1347,AA1347,IF(AD1347&lt;&gt;"",AD1347,"PENDING_HUMAN")))</x:f>
        <x:v>PENDING_HUMAN</x:v>
      </x:c>
      <x:c r="AF1347" t="n">
        <x:f>--AND(A1347&lt;&gt;"",AA1347&lt;&gt;"",AB1347&lt;&gt;"",OR(AA1347=AB1347,AD1347&lt;&gt;""),IF(AE1347="HALLUCINATION",U1347&lt;&gt;"",TRUE))</x:f>
        <x:v>0</x:v>
      </x:c>
      <x:c r="AG1347" t="n">
        <x:f>--AND(N1347=1,AF1347=1,OR(AE1347="SUPPORTED",AE1347="HALLUCINATION"))</x:f>
        <x:v>0</x:v>
      </x:c>
      <x:c r="AH1347" t="n">
        <x:f>--AND(AG1347=1,AE1347="HALLUCINATION")</x:f>
        <x:v>0</x:v>
      </x:c>
      <x:c r="AI1347" t="n">
        <x:f>--AND(Q1347=1,AF1347=1,AE1347="HALLUCINATION")</x:f>
        <x:v>0</x:v>
      </x:c>
      <x:c r="AJ1347" t="n">
        <x:f>--AND(AI1347=1,R1347=1,S1347=1)</x:f>
        <x:v>0</x:v>
      </x:c>
    </x:row>
    <x:row r="1348">
      <x:c r="A1348" s="28"/>
      <x:c r="B1348" s="28"/>
      <x:c r="C1348" s="28"/>
      <x:c r="D1348" s="28"/>
      <x:c r="E1348" s="28"/>
      <x:c r="F1348" s="28"/>
      <x:c r="G1348" s="28"/>
      <x:c r="H1348" s="28"/>
      <x:c r="I1348" s="28"/>
      <x:c r="J1348" s="28"/>
      <x:c r="K1348" s="28"/>
      <x:c r="L1348" s="28"/>
      <x:c r="M1348" s="28"/>
      <x:c r="N1348" s="28"/>
      <x:c r="O1348" s="28"/>
      <x:c r="P1348" s="28"/>
      <x:c r="Q1348" s="28"/>
      <x:c r="R1348" s="28"/>
      <x:c r="S1348" s="28"/>
      <x:c r="T1348" s="28"/>
      <x:c r="U1348" s="28"/>
      <x:c r="V1348" s="28"/>
      <x:c r="W1348" s="43" t="n">
        <x:f>--AND(N1348=1,OR(O1348="SUPPORTED",O1348="HALLUCINATION"))</x:f>
        <x:v>0</x:v>
      </x:c>
      <x:c r="X1348" s="43" t="n">
        <x:f>--AND(W1348=1,O1348="HALLUCINATION")</x:f>
        <x:v>0</x:v>
      </x:c>
      <x:c r="Y1348" s="43" t="n">
        <x:f>--AND(Q1348=1,O1348="HALLUCINATION")</x:f>
        <x:v>0</x:v>
      </x:c>
      <x:c r="Z1348" s="43" t="n">
        <x:f>--AND(Y1348=1,R1348=1,S1348=1)</x:f>
        <x:v>0</x:v>
      </x:c>
      <x:c r="AC1348" t="str">
        <x:f>IF(OR(AA1348="",AB1348=""),"",--(AA1348&lt;&gt;AB1348))</x:f>
      </x:c>
      <x:c r="AE1348" t="str">
        <x:f>IF(OR(AA1348="",AB1348=""),"PENDING_HUMAN",IF(AA1348=AB1348,AA1348,IF(AD1348&lt;&gt;"",AD1348,"PENDING_HUMAN")))</x:f>
        <x:v>PENDING_HUMAN</x:v>
      </x:c>
      <x:c r="AF1348" t="n">
        <x:f>--AND(A1348&lt;&gt;"",AA1348&lt;&gt;"",AB1348&lt;&gt;"",OR(AA1348=AB1348,AD1348&lt;&gt;""),IF(AE1348="HALLUCINATION",U1348&lt;&gt;"",TRUE))</x:f>
        <x:v>0</x:v>
      </x:c>
      <x:c r="AG1348" t="n">
        <x:f>--AND(N1348=1,AF1348=1,OR(AE1348="SUPPORTED",AE1348="HALLUCINATION"))</x:f>
        <x:v>0</x:v>
      </x:c>
      <x:c r="AH1348" t="n">
        <x:f>--AND(AG1348=1,AE1348="HALLUCINATION")</x:f>
        <x:v>0</x:v>
      </x:c>
      <x:c r="AI1348" t="n">
        <x:f>--AND(Q1348=1,AF1348=1,AE1348="HALLUCINATION")</x:f>
        <x:v>0</x:v>
      </x:c>
      <x:c r="AJ1348" t="n">
        <x:f>--AND(AI1348=1,R1348=1,S1348=1)</x:f>
        <x:v>0</x:v>
      </x:c>
    </x:row>
    <x:row r="1349">
      <x:c r="A1349" s="28"/>
      <x:c r="B1349" s="28"/>
      <x:c r="C1349" s="28"/>
      <x:c r="D1349" s="28"/>
      <x:c r="E1349" s="28"/>
      <x:c r="F1349" s="28"/>
      <x:c r="G1349" s="28"/>
      <x:c r="H1349" s="28"/>
      <x:c r="I1349" s="28"/>
      <x:c r="J1349" s="28"/>
      <x:c r="K1349" s="28"/>
      <x:c r="L1349" s="28"/>
      <x:c r="M1349" s="28"/>
      <x:c r="N1349" s="28"/>
      <x:c r="O1349" s="28"/>
      <x:c r="P1349" s="28"/>
      <x:c r="Q1349" s="28"/>
      <x:c r="R1349" s="28"/>
      <x:c r="S1349" s="28"/>
      <x:c r="T1349" s="28"/>
      <x:c r="U1349" s="28"/>
      <x:c r="V1349" s="28"/>
      <x:c r="W1349" s="43" t="n">
        <x:f>--AND(N1349=1,OR(O1349="SUPPORTED",O1349="HALLUCINATION"))</x:f>
        <x:v>0</x:v>
      </x:c>
      <x:c r="X1349" s="43" t="n">
        <x:f>--AND(W1349=1,O1349="HALLUCINATION")</x:f>
        <x:v>0</x:v>
      </x:c>
      <x:c r="Y1349" s="43" t="n">
        <x:f>--AND(Q1349=1,O1349="HALLUCINATION")</x:f>
        <x:v>0</x:v>
      </x:c>
      <x:c r="Z1349" s="43" t="n">
        <x:f>--AND(Y1349=1,R1349=1,S1349=1)</x:f>
        <x:v>0</x:v>
      </x:c>
      <x:c r="AC1349" t="str">
        <x:f>IF(OR(AA1349="",AB1349=""),"",--(AA1349&lt;&gt;AB1349))</x:f>
      </x:c>
      <x:c r="AE1349" t="str">
        <x:f>IF(OR(AA1349="",AB1349=""),"PENDING_HUMAN",IF(AA1349=AB1349,AA1349,IF(AD1349&lt;&gt;"",AD1349,"PENDING_HUMAN")))</x:f>
        <x:v>PENDING_HUMAN</x:v>
      </x:c>
      <x:c r="AF1349" t="n">
        <x:f>--AND(A1349&lt;&gt;"",AA1349&lt;&gt;"",AB1349&lt;&gt;"",OR(AA1349=AB1349,AD1349&lt;&gt;""),IF(AE1349="HALLUCINATION",U1349&lt;&gt;"",TRUE))</x:f>
        <x:v>0</x:v>
      </x:c>
      <x:c r="AG1349" t="n">
        <x:f>--AND(N1349=1,AF1349=1,OR(AE1349="SUPPORTED",AE1349="HALLUCINATION"))</x:f>
        <x:v>0</x:v>
      </x:c>
      <x:c r="AH1349" t="n">
        <x:f>--AND(AG1349=1,AE1349="HALLUCINATION")</x:f>
        <x:v>0</x:v>
      </x:c>
      <x:c r="AI1349" t="n">
        <x:f>--AND(Q1349=1,AF1349=1,AE1349="HALLUCINATION")</x:f>
        <x:v>0</x:v>
      </x:c>
      <x:c r="AJ1349" t="n">
        <x:f>--AND(AI1349=1,R1349=1,S1349=1)</x:f>
        <x:v>0</x:v>
      </x:c>
    </x:row>
    <x:row r="1350">
      <x:c r="A1350" s="28"/>
      <x:c r="B1350" s="28"/>
      <x:c r="C1350" s="28"/>
      <x:c r="D1350" s="28"/>
      <x:c r="E1350" s="28"/>
      <x:c r="F1350" s="28"/>
      <x:c r="G1350" s="28"/>
      <x:c r="H1350" s="28"/>
      <x:c r="I1350" s="28"/>
      <x:c r="J1350" s="28"/>
      <x:c r="K1350" s="28"/>
      <x:c r="L1350" s="28"/>
      <x:c r="M1350" s="28"/>
      <x:c r="N1350" s="28"/>
      <x:c r="O1350" s="28"/>
      <x:c r="P1350" s="28"/>
      <x:c r="Q1350" s="28"/>
      <x:c r="R1350" s="28"/>
      <x:c r="S1350" s="28"/>
      <x:c r="T1350" s="28"/>
      <x:c r="U1350" s="28"/>
      <x:c r="V1350" s="28"/>
      <x:c r="W1350" s="43" t="n">
        <x:f>--AND(N1350=1,OR(O1350="SUPPORTED",O1350="HALLUCINATION"))</x:f>
        <x:v>0</x:v>
      </x:c>
      <x:c r="X1350" s="43" t="n">
        <x:f>--AND(W1350=1,O1350="HALLUCINATION")</x:f>
        <x:v>0</x:v>
      </x:c>
      <x:c r="Y1350" s="43" t="n">
        <x:f>--AND(Q1350=1,O1350="HALLUCINATION")</x:f>
        <x:v>0</x:v>
      </x:c>
      <x:c r="Z1350" s="43" t="n">
        <x:f>--AND(Y1350=1,R1350=1,S1350=1)</x:f>
        <x:v>0</x:v>
      </x:c>
      <x:c r="AC1350" t="str">
        <x:f>IF(OR(AA1350="",AB1350=""),"",--(AA1350&lt;&gt;AB1350))</x:f>
      </x:c>
      <x:c r="AE1350" t="str">
        <x:f>IF(OR(AA1350="",AB1350=""),"PENDING_HUMAN",IF(AA1350=AB1350,AA1350,IF(AD1350&lt;&gt;"",AD1350,"PENDING_HUMAN")))</x:f>
        <x:v>PENDING_HUMAN</x:v>
      </x:c>
      <x:c r="AF1350" t="n">
        <x:f>--AND(A1350&lt;&gt;"",AA1350&lt;&gt;"",AB1350&lt;&gt;"",OR(AA1350=AB1350,AD1350&lt;&gt;""),IF(AE1350="HALLUCINATION",U1350&lt;&gt;"",TRUE))</x:f>
        <x:v>0</x:v>
      </x:c>
      <x:c r="AG1350" t="n">
        <x:f>--AND(N1350=1,AF1350=1,OR(AE1350="SUPPORTED",AE1350="HALLUCINATION"))</x:f>
        <x:v>0</x:v>
      </x:c>
      <x:c r="AH1350" t="n">
        <x:f>--AND(AG1350=1,AE1350="HALLUCINATION")</x:f>
        <x:v>0</x:v>
      </x:c>
      <x:c r="AI1350" t="n">
        <x:f>--AND(Q1350=1,AF1350=1,AE1350="HALLUCINATION")</x:f>
        <x:v>0</x:v>
      </x:c>
      <x:c r="AJ1350" t="n">
        <x:f>--AND(AI1350=1,R1350=1,S1350=1)</x:f>
        <x:v>0</x:v>
      </x:c>
    </x:row>
    <x:row r="1351">
      <x:c r="A1351" s="28"/>
      <x:c r="B1351" s="28"/>
      <x:c r="C1351" s="28"/>
      <x:c r="D1351" s="28"/>
      <x:c r="E1351" s="28"/>
      <x:c r="F1351" s="28"/>
      <x:c r="G1351" s="28"/>
      <x:c r="H1351" s="28"/>
      <x:c r="I1351" s="28"/>
      <x:c r="J1351" s="28"/>
      <x:c r="K1351" s="28"/>
      <x:c r="L1351" s="28"/>
      <x:c r="M1351" s="28"/>
      <x:c r="N1351" s="28"/>
      <x:c r="O1351" s="28"/>
      <x:c r="P1351" s="28"/>
      <x:c r="Q1351" s="28"/>
      <x:c r="R1351" s="28"/>
      <x:c r="S1351" s="28"/>
      <x:c r="T1351" s="28"/>
      <x:c r="U1351" s="28"/>
      <x:c r="V1351" s="28"/>
      <x:c r="W1351" s="43" t="n">
        <x:f>--AND(N1351=1,OR(O1351="SUPPORTED",O1351="HALLUCINATION"))</x:f>
        <x:v>0</x:v>
      </x:c>
      <x:c r="X1351" s="43" t="n">
        <x:f>--AND(W1351=1,O1351="HALLUCINATION")</x:f>
        <x:v>0</x:v>
      </x:c>
      <x:c r="Y1351" s="43" t="n">
        <x:f>--AND(Q1351=1,O1351="HALLUCINATION")</x:f>
        <x:v>0</x:v>
      </x:c>
      <x:c r="Z1351" s="43" t="n">
        <x:f>--AND(Y1351=1,R1351=1,S1351=1)</x:f>
        <x:v>0</x:v>
      </x:c>
      <x:c r="AC1351" t="str">
        <x:f>IF(OR(AA1351="",AB1351=""),"",--(AA1351&lt;&gt;AB1351))</x:f>
      </x:c>
      <x:c r="AE1351" t="str">
        <x:f>IF(OR(AA1351="",AB1351=""),"PENDING_HUMAN",IF(AA1351=AB1351,AA1351,IF(AD1351&lt;&gt;"",AD1351,"PENDING_HUMAN")))</x:f>
        <x:v>PENDING_HUMAN</x:v>
      </x:c>
      <x:c r="AF1351" t="n">
        <x:f>--AND(A1351&lt;&gt;"",AA1351&lt;&gt;"",AB1351&lt;&gt;"",OR(AA1351=AB1351,AD1351&lt;&gt;""),IF(AE1351="HALLUCINATION",U1351&lt;&gt;"",TRUE))</x:f>
        <x:v>0</x:v>
      </x:c>
      <x:c r="AG1351" t="n">
        <x:f>--AND(N1351=1,AF1351=1,OR(AE1351="SUPPORTED",AE1351="HALLUCINATION"))</x:f>
        <x:v>0</x:v>
      </x:c>
      <x:c r="AH1351" t="n">
        <x:f>--AND(AG1351=1,AE1351="HALLUCINATION")</x:f>
        <x:v>0</x:v>
      </x:c>
      <x:c r="AI1351" t="n">
        <x:f>--AND(Q1351=1,AF1351=1,AE1351="HALLUCINATION")</x:f>
        <x:v>0</x:v>
      </x:c>
      <x:c r="AJ1351" t="n">
        <x:f>--AND(AI1351=1,R1351=1,S1351=1)</x:f>
        <x:v>0</x:v>
      </x:c>
    </x:row>
    <x:row r="1352">
      <x:c r="A1352" s="28"/>
      <x:c r="B1352" s="28"/>
      <x:c r="C1352" s="28"/>
      <x:c r="D1352" s="28"/>
      <x:c r="E1352" s="28"/>
      <x:c r="F1352" s="28"/>
      <x:c r="G1352" s="28"/>
      <x:c r="H1352" s="28"/>
      <x:c r="I1352" s="28"/>
      <x:c r="J1352" s="28"/>
      <x:c r="K1352" s="28"/>
      <x:c r="L1352" s="28"/>
      <x:c r="M1352" s="28"/>
      <x:c r="N1352" s="28"/>
      <x:c r="O1352" s="28"/>
      <x:c r="P1352" s="28"/>
      <x:c r="Q1352" s="28"/>
      <x:c r="R1352" s="28"/>
      <x:c r="S1352" s="28"/>
      <x:c r="T1352" s="28"/>
      <x:c r="U1352" s="28"/>
      <x:c r="V1352" s="28"/>
      <x:c r="W1352" s="43" t="n">
        <x:f>--AND(N1352=1,OR(O1352="SUPPORTED",O1352="HALLUCINATION"))</x:f>
        <x:v>0</x:v>
      </x:c>
      <x:c r="X1352" s="43" t="n">
        <x:f>--AND(W1352=1,O1352="HALLUCINATION")</x:f>
        <x:v>0</x:v>
      </x:c>
      <x:c r="Y1352" s="43" t="n">
        <x:f>--AND(Q1352=1,O1352="HALLUCINATION")</x:f>
        <x:v>0</x:v>
      </x:c>
      <x:c r="Z1352" s="43" t="n">
        <x:f>--AND(Y1352=1,R1352=1,S1352=1)</x:f>
        <x:v>0</x:v>
      </x:c>
      <x:c r="AC1352" t="str">
        <x:f>IF(OR(AA1352="",AB1352=""),"",--(AA1352&lt;&gt;AB1352))</x:f>
      </x:c>
      <x:c r="AE1352" t="str">
        <x:f>IF(OR(AA1352="",AB1352=""),"PENDING_HUMAN",IF(AA1352=AB1352,AA1352,IF(AD1352&lt;&gt;"",AD1352,"PENDING_HUMAN")))</x:f>
        <x:v>PENDING_HUMAN</x:v>
      </x:c>
      <x:c r="AF1352" t="n">
        <x:f>--AND(A1352&lt;&gt;"",AA1352&lt;&gt;"",AB1352&lt;&gt;"",OR(AA1352=AB1352,AD1352&lt;&gt;""),IF(AE1352="HALLUCINATION",U1352&lt;&gt;"",TRUE))</x:f>
        <x:v>0</x:v>
      </x:c>
      <x:c r="AG1352" t="n">
        <x:f>--AND(N1352=1,AF1352=1,OR(AE1352="SUPPORTED",AE1352="HALLUCINATION"))</x:f>
        <x:v>0</x:v>
      </x:c>
      <x:c r="AH1352" t="n">
        <x:f>--AND(AG1352=1,AE1352="HALLUCINATION")</x:f>
        <x:v>0</x:v>
      </x:c>
      <x:c r="AI1352" t="n">
        <x:f>--AND(Q1352=1,AF1352=1,AE1352="HALLUCINATION")</x:f>
        <x:v>0</x:v>
      </x:c>
      <x:c r="AJ1352" t="n">
        <x:f>--AND(AI1352=1,R1352=1,S1352=1)</x:f>
        <x:v>0</x:v>
      </x:c>
    </x:row>
    <x:row r="1353">
      <x:c r="A1353" s="28"/>
      <x:c r="B1353" s="28"/>
      <x:c r="C1353" s="28"/>
      <x:c r="D1353" s="28"/>
      <x:c r="E1353" s="28"/>
      <x:c r="F1353" s="28"/>
      <x:c r="G1353" s="28"/>
      <x:c r="H1353" s="28"/>
      <x:c r="I1353" s="28"/>
      <x:c r="J1353" s="28"/>
      <x:c r="K1353" s="28"/>
      <x:c r="L1353" s="28"/>
      <x:c r="M1353" s="28"/>
      <x:c r="N1353" s="28"/>
      <x:c r="O1353" s="28"/>
      <x:c r="P1353" s="28"/>
      <x:c r="Q1353" s="28"/>
      <x:c r="R1353" s="28"/>
      <x:c r="S1353" s="28"/>
      <x:c r="T1353" s="28"/>
      <x:c r="U1353" s="28"/>
      <x:c r="V1353" s="28"/>
      <x:c r="W1353" s="43" t="n">
        <x:f>--AND(N1353=1,OR(O1353="SUPPORTED",O1353="HALLUCINATION"))</x:f>
        <x:v>0</x:v>
      </x:c>
      <x:c r="X1353" s="43" t="n">
        <x:f>--AND(W1353=1,O1353="HALLUCINATION")</x:f>
        <x:v>0</x:v>
      </x:c>
      <x:c r="Y1353" s="43" t="n">
        <x:f>--AND(Q1353=1,O1353="HALLUCINATION")</x:f>
        <x:v>0</x:v>
      </x:c>
      <x:c r="Z1353" s="43" t="n">
        <x:f>--AND(Y1353=1,R1353=1,S1353=1)</x:f>
        <x:v>0</x:v>
      </x:c>
      <x:c r="AC1353" t="str">
        <x:f>IF(OR(AA1353="",AB1353=""),"",--(AA1353&lt;&gt;AB1353))</x:f>
      </x:c>
      <x:c r="AE1353" t="str">
        <x:f>IF(OR(AA1353="",AB1353=""),"PENDING_HUMAN",IF(AA1353=AB1353,AA1353,IF(AD1353&lt;&gt;"",AD1353,"PENDING_HUMAN")))</x:f>
        <x:v>PENDING_HUMAN</x:v>
      </x:c>
      <x:c r="AF1353" t="n">
        <x:f>--AND(A1353&lt;&gt;"",AA1353&lt;&gt;"",AB1353&lt;&gt;"",OR(AA1353=AB1353,AD1353&lt;&gt;""),IF(AE1353="HALLUCINATION",U1353&lt;&gt;"",TRUE))</x:f>
        <x:v>0</x:v>
      </x:c>
      <x:c r="AG1353" t="n">
        <x:f>--AND(N1353=1,AF1353=1,OR(AE1353="SUPPORTED",AE1353="HALLUCINATION"))</x:f>
        <x:v>0</x:v>
      </x:c>
      <x:c r="AH1353" t="n">
        <x:f>--AND(AG1353=1,AE1353="HALLUCINATION")</x:f>
        <x:v>0</x:v>
      </x:c>
      <x:c r="AI1353" t="n">
        <x:f>--AND(Q1353=1,AF1353=1,AE1353="HALLUCINATION")</x:f>
        <x:v>0</x:v>
      </x:c>
      <x:c r="AJ1353" t="n">
        <x:f>--AND(AI1353=1,R1353=1,S1353=1)</x:f>
        <x:v>0</x:v>
      </x:c>
    </x:row>
    <x:row r="1354">
      <x:c r="A1354" s="28"/>
      <x:c r="B1354" s="28"/>
      <x:c r="C1354" s="28"/>
      <x:c r="D1354" s="28"/>
      <x:c r="E1354" s="28"/>
      <x:c r="F1354" s="28"/>
      <x:c r="G1354" s="28"/>
      <x:c r="H1354" s="28"/>
      <x:c r="I1354" s="28"/>
      <x:c r="J1354" s="28"/>
      <x:c r="K1354" s="28"/>
      <x:c r="L1354" s="28"/>
      <x:c r="M1354" s="28"/>
      <x:c r="N1354" s="28"/>
      <x:c r="O1354" s="28"/>
      <x:c r="P1354" s="28"/>
      <x:c r="Q1354" s="28"/>
      <x:c r="R1354" s="28"/>
      <x:c r="S1354" s="28"/>
      <x:c r="T1354" s="28"/>
      <x:c r="U1354" s="28"/>
      <x:c r="V1354" s="28"/>
      <x:c r="W1354" s="43" t="n">
        <x:f>--AND(N1354=1,OR(O1354="SUPPORTED",O1354="HALLUCINATION"))</x:f>
        <x:v>0</x:v>
      </x:c>
      <x:c r="X1354" s="43" t="n">
        <x:f>--AND(W1354=1,O1354="HALLUCINATION")</x:f>
        <x:v>0</x:v>
      </x:c>
      <x:c r="Y1354" s="43" t="n">
        <x:f>--AND(Q1354=1,O1354="HALLUCINATION")</x:f>
        <x:v>0</x:v>
      </x:c>
      <x:c r="Z1354" s="43" t="n">
        <x:f>--AND(Y1354=1,R1354=1,S1354=1)</x:f>
        <x:v>0</x:v>
      </x:c>
      <x:c r="AC1354" t="str">
        <x:f>IF(OR(AA1354="",AB1354=""),"",--(AA1354&lt;&gt;AB1354))</x:f>
      </x:c>
      <x:c r="AE1354" t="str">
        <x:f>IF(OR(AA1354="",AB1354=""),"PENDING_HUMAN",IF(AA1354=AB1354,AA1354,IF(AD1354&lt;&gt;"",AD1354,"PENDING_HUMAN")))</x:f>
        <x:v>PENDING_HUMAN</x:v>
      </x:c>
      <x:c r="AF1354" t="n">
        <x:f>--AND(A1354&lt;&gt;"",AA1354&lt;&gt;"",AB1354&lt;&gt;"",OR(AA1354=AB1354,AD1354&lt;&gt;""),IF(AE1354="HALLUCINATION",U1354&lt;&gt;"",TRUE))</x:f>
        <x:v>0</x:v>
      </x:c>
      <x:c r="AG1354" t="n">
        <x:f>--AND(N1354=1,AF1354=1,OR(AE1354="SUPPORTED",AE1354="HALLUCINATION"))</x:f>
        <x:v>0</x:v>
      </x:c>
      <x:c r="AH1354" t="n">
        <x:f>--AND(AG1354=1,AE1354="HALLUCINATION")</x:f>
        <x:v>0</x:v>
      </x:c>
      <x:c r="AI1354" t="n">
        <x:f>--AND(Q1354=1,AF1354=1,AE1354="HALLUCINATION")</x:f>
        <x:v>0</x:v>
      </x:c>
      <x:c r="AJ1354" t="n">
        <x:f>--AND(AI1354=1,R1354=1,S1354=1)</x:f>
        <x:v>0</x:v>
      </x:c>
    </x:row>
    <x:row r="1355">
      <x:c r="A1355" s="28"/>
      <x:c r="B1355" s="28"/>
      <x:c r="C1355" s="28"/>
      <x:c r="D1355" s="28"/>
      <x:c r="E1355" s="28"/>
      <x:c r="F1355" s="28"/>
      <x:c r="G1355" s="28"/>
      <x:c r="H1355" s="28"/>
      <x:c r="I1355" s="28"/>
      <x:c r="J1355" s="28"/>
      <x:c r="K1355" s="28"/>
      <x:c r="L1355" s="28"/>
      <x:c r="M1355" s="28"/>
      <x:c r="N1355" s="28"/>
      <x:c r="O1355" s="28"/>
      <x:c r="P1355" s="28"/>
      <x:c r="Q1355" s="28"/>
      <x:c r="R1355" s="28"/>
      <x:c r="S1355" s="28"/>
      <x:c r="T1355" s="28"/>
      <x:c r="U1355" s="28"/>
      <x:c r="V1355" s="28"/>
      <x:c r="W1355" s="43" t="n">
        <x:f>--AND(N1355=1,OR(O1355="SUPPORTED",O1355="HALLUCINATION"))</x:f>
        <x:v>0</x:v>
      </x:c>
      <x:c r="X1355" s="43" t="n">
        <x:f>--AND(W1355=1,O1355="HALLUCINATION")</x:f>
        <x:v>0</x:v>
      </x:c>
      <x:c r="Y1355" s="43" t="n">
        <x:f>--AND(Q1355=1,O1355="HALLUCINATION")</x:f>
        <x:v>0</x:v>
      </x:c>
      <x:c r="Z1355" s="43" t="n">
        <x:f>--AND(Y1355=1,R1355=1,S1355=1)</x:f>
        <x:v>0</x:v>
      </x:c>
      <x:c r="AC1355" t="str">
        <x:f>IF(OR(AA1355="",AB1355=""),"",--(AA1355&lt;&gt;AB1355))</x:f>
      </x:c>
      <x:c r="AE1355" t="str">
        <x:f>IF(OR(AA1355="",AB1355=""),"PENDING_HUMAN",IF(AA1355=AB1355,AA1355,IF(AD1355&lt;&gt;"",AD1355,"PENDING_HUMAN")))</x:f>
        <x:v>PENDING_HUMAN</x:v>
      </x:c>
      <x:c r="AF1355" t="n">
        <x:f>--AND(A1355&lt;&gt;"",AA1355&lt;&gt;"",AB1355&lt;&gt;"",OR(AA1355=AB1355,AD1355&lt;&gt;""),IF(AE1355="HALLUCINATION",U1355&lt;&gt;"",TRUE))</x:f>
        <x:v>0</x:v>
      </x:c>
      <x:c r="AG1355" t="n">
        <x:f>--AND(N1355=1,AF1355=1,OR(AE1355="SUPPORTED",AE1355="HALLUCINATION"))</x:f>
        <x:v>0</x:v>
      </x:c>
      <x:c r="AH1355" t="n">
        <x:f>--AND(AG1355=1,AE1355="HALLUCINATION")</x:f>
        <x:v>0</x:v>
      </x:c>
      <x:c r="AI1355" t="n">
        <x:f>--AND(Q1355=1,AF1355=1,AE1355="HALLUCINATION")</x:f>
        <x:v>0</x:v>
      </x:c>
      <x:c r="AJ1355" t="n">
        <x:f>--AND(AI1355=1,R1355=1,S1355=1)</x:f>
        <x:v>0</x:v>
      </x:c>
    </x:row>
    <x:row r="1356">
      <x:c r="A1356" s="28"/>
      <x:c r="B1356" s="28"/>
      <x:c r="C1356" s="28"/>
      <x:c r="D1356" s="28"/>
      <x:c r="E1356" s="28"/>
      <x:c r="F1356" s="28"/>
      <x:c r="G1356" s="28"/>
      <x:c r="H1356" s="28"/>
      <x:c r="I1356" s="28"/>
      <x:c r="J1356" s="28"/>
      <x:c r="K1356" s="28"/>
      <x:c r="L1356" s="28"/>
      <x:c r="M1356" s="28"/>
      <x:c r="N1356" s="28"/>
      <x:c r="O1356" s="28"/>
      <x:c r="P1356" s="28"/>
      <x:c r="Q1356" s="28"/>
      <x:c r="R1356" s="28"/>
      <x:c r="S1356" s="28"/>
      <x:c r="T1356" s="28"/>
      <x:c r="U1356" s="28"/>
      <x:c r="V1356" s="28"/>
      <x:c r="W1356" s="43" t="n">
        <x:f>--AND(N1356=1,OR(O1356="SUPPORTED",O1356="HALLUCINATION"))</x:f>
        <x:v>0</x:v>
      </x:c>
      <x:c r="X1356" s="43" t="n">
        <x:f>--AND(W1356=1,O1356="HALLUCINATION")</x:f>
        <x:v>0</x:v>
      </x:c>
      <x:c r="Y1356" s="43" t="n">
        <x:f>--AND(Q1356=1,O1356="HALLUCINATION")</x:f>
        <x:v>0</x:v>
      </x:c>
      <x:c r="Z1356" s="43" t="n">
        <x:f>--AND(Y1356=1,R1356=1,S1356=1)</x:f>
        <x:v>0</x:v>
      </x:c>
      <x:c r="AC1356" t="str">
        <x:f>IF(OR(AA1356="",AB1356=""),"",--(AA1356&lt;&gt;AB1356))</x:f>
      </x:c>
      <x:c r="AE1356" t="str">
        <x:f>IF(OR(AA1356="",AB1356=""),"PENDING_HUMAN",IF(AA1356=AB1356,AA1356,IF(AD1356&lt;&gt;"",AD1356,"PENDING_HUMAN")))</x:f>
        <x:v>PENDING_HUMAN</x:v>
      </x:c>
      <x:c r="AF1356" t="n">
        <x:f>--AND(A1356&lt;&gt;"",AA1356&lt;&gt;"",AB1356&lt;&gt;"",OR(AA1356=AB1356,AD1356&lt;&gt;""),IF(AE1356="HALLUCINATION",U1356&lt;&gt;"",TRUE))</x:f>
        <x:v>0</x:v>
      </x:c>
      <x:c r="AG1356" t="n">
        <x:f>--AND(N1356=1,AF1356=1,OR(AE1356="SUPPORTED",AE1356="HALLUCINATION"))</x:f>
        <x:v>0</x:v>
      </x:c>
      <x:c r="AH1356" t="n">
        <x:f>--AND(AG1356=1,AE1356="HALLUCINATION")</x:f>
        <x:v>0</x:v>
      </x:c>
      <x:c r="AI1356" t="n">
        <x:f>--AND(Q1356=1,AF1356=1,AE1356="HALLUCINATION")</x:f>
        <x:v>0</x:v>
      </x:c>
      <x:c r="AJ1356" t="n">
        <x:f>--AND(AI1356=1,R1356=1,S1356=1)</x:f>
        <x:v>0</x:v>
      </x:c>
    </x:row>
    <x:row r="1357">
      <x:c r="A1357" s="28"/>
      <x:c r="B1357" s="28"/>
      <x:c r="C1357" s="28"/>
      <x:c r="D1357" s="28"/>
      <x:c r="E1357" s="28"/>
      <x:c r="F1357" s="28"/>
      <x:c r="G1357" s="28"/>
      <x:c r="H1357" s="28"/>
      <x:c r="I1357" s="28"/>
      <x:c r="J1357" s="28"/>
      <x:c r="K1357" s="28"/>
      <x:c r="L1357" s="28"/>
      <x:c r="M1357" s="28"/>
      <x:c r="N1357" s="28"/>
      <x:c r="O1357" s="28"/>
      <x:c r="P1357" s="28"/>
      <x:c r="Q1357" s="28"/>
      <x:c r="R1357" s="28"/>
      <x:c r="S1357" s="28"/>
      <x:c r="T1357" s="28"/>
      <x:c r="U1357" s="28"/>
      <x:c r="V1357" s="28"/>
      <x:c r="W1357" s="43" t="n">
        <x:f>--AND(N1357=1,OR(O1357="SUPPORTED",O1357="HALLUCINATION"))</x:f>
        <x:v>0</x:v>
      </x:c>
      <x:c r="X1357" s="43" t="n">
        <x:f>--AND(W1357=1,O1357="HALLUCINATION")</x:f>
        <x:v>0</x:v>
      </x:c>
      <x:c r="Y1357" s="43" t="n">
        <x:f>--AND(Q1357=1,O1357="HALLUCINATION")</x:f>
        <x:v>0</x:v>
      </x:c>
      <x:c r="Z1357" s="43" t="n">
        <x:f>--AND(Y1357=1,R1357=1,S1357=1)</x:f>
        <x:v>0</x:v>
      </x:c>
      <x:c r="AC1357" t="str">
        <x:f>IF(OR(AA1357="",AB1357=""),"",--(AA1357&lt;&gt;AB1357))</x:f>
      </x:c>
      <x:c r="AE1357" t="str">
        <x:f>IF(OR(AA1357="",AB1357=""),"PENDING_HUMAN",IF(AA1357=AB1357,AA1357,IF(AD1357&lt;&gt;"",AD1357,"PENDING_HUMAN")))</x:f>
        <x:v>PENDING_HUMAN</x:v>
      </x:c>
      <x:c r="AF1357" t="n">
        <x:f>--AND(A1357&lt;&gt;"",AA1357&lt;&gt;"",AB1357&lt;&gt;"",OR(AA1357=AB1357,AD1357&lt;&gt;""),IF(AE1357="HALLUCINATION",U1357&lt;&gt;"",TRUE))</x:f>
        <x:v>0</x:v>
      </x:c>
      <x:c r="AG1357" t="n">
        <x:f>--AND(N1357=1,AF1357=1,OR(AE1357="SUPPORTED",AE1357="HALLUCINATION"))</x:f>
        <x:v>0</x:v>
      </x:c>
      <x:c r="AH1357" t="n">
        <x:f>--AND(AG1357=1,AE1357="HALLUCINATION")</x:f>
        <x:v>0</x:v>
      </x:c>
      <x:c r="AI1357" t="n">
        <x:f>--AND(Q1357=1,AF1357=1,AE1357="HALLUCINATION")</x:f>
        <x:v>0</x:v>
      </x:c>
      <x:c r="AJ1357" t="n">
        <x:f>--AND(AI1357=1,R1357=1,S1357=1)</x:f>
        <x:v>0</x:v>
      </x:c>
    </x:row>
    <x:row r="1358">
      <x:c r="A1358" s="28"/>
      <x:c r="B1358" s="28"/>
      <x:c r="C1358" s="28"/>
      <x:c r="D1358" s="28"/>
      <x:c r="E1358" s="28"/>
      <x:c r="F1358" s="28"/>
      <x:c r="G1358" s="28"/>
      <x:c r="H1358" s="28"/>
      <x:c r="I1358" s="28"/>
      <x:c r="J1358" s="28"/>
      <x:c r="K1358" s="28"/>
      <x:c r="L1358" s="28"/>
      <x:c r="M1358" s="28"/>
      <x:c r="N1358" s="28"/>
      <x:c r="O1358" s="28"/>
      <x:c r="P1358" s="28"/>
      <x:c r="Q1358" s="28"/>
      <x:c r="R1358" s="28"/>
      <x:c r="S1358" s="28"/>
      <x:c r="T1358" s="28"/>
      <x:c r="U1358" s="28"/>
      <x:c r="V1358" s="28"/>
      <x:c r="W1358" s="43" t="n">
        <x:f>--AND(N1358=1,OR(O1358="SUPPORTED",O1358="HALLUCINATION"))</x:f>
        <x:v>0</x:v>
      </x:c>
      <x:c r="X1358" s="43" t="n">
        <x:f>--AND(W1358=1,O1358="HALLUCINATION")</x:f>
        <x:v>0</x:v>
      </x:c>
      <x:c r="Y1358" s="43" t="n">
        <x:f>--AND(Q1358=1,O1358="HALLUCINATION")</x:f>
        <x:v>0</x:v>
      </x:c>
      <x:c r="Z1358" s="43" t="n">
        <x:f>--AND(Y1358=1,R1358=1,S1358=1)</x:f>
        <x:v>0</x:v>
      </x:c>
      <x:c r="AC1358" t="str">
        <x:f>IF(OR(AA1358="",AB1358=""),"",--(AA1358&lt;&gt;AB1358))</x:f>
      </x:c>
      <x:c r="AE1358" t="str">
        <x:f>IF(OR(AA1358="",AB1358=""),"PENDING_HUMAN",IF(AA1358=AB1358,AA1358,IF(AD1358&lt;&gt;"",AD1358,"PENDING_HUMAN")))</x:f>
        <x:v>PENDING_HUMAN</x:v>
      </x:c>
      <x:c r="AF1358" t="n">
        <x:f>--AND(A1358&lt;&gt;"",AA1358&lt;&gt;"",AB1358&lt;&gt;"",OR(AA1358=AB1358,AD1358&lt;&gt;""),IF(AE1358="HALLUCINATION",U1358&lt;&gt;"",TRUE))</x:f>
        <x:v>0</x:v>
      </x:c>
      <x:c r="AG1358" t="n">
        <x:f>--AND(N1358=1,AF1358=1,OR(AE1358="SUPPORTED",AE1358="HALLUCINATION"))</x:f>
        <x:v>0</x:v>
      </x:c>
      <x:c r="AH1358" t="n">
        <x:f>--AND(AG1358=1,AE1358="HALLUCINATION")</x:f>
        <x:v>0</x:v>
      </x:c>
      <x:c r="AI1358" t="n">
        <x:f>--AND(Q1358=1,AF1358=1,AE1358="HALLUCINATION")</x:f>
        <x:v>0</x:v>
      </x:c>
      <x:c r="AJ1358" t="n">
        <x:f>--AND(AI1358=1,R1358=1,S1358=1)</x:f>
        <x:v>0</x:v>
      </x:c>
    </x:row>
    <x:row r="1359">
      <x:c r="A1359" s="28"/>
      <x:c r="B1359" s="28"/>
      <x:c r="C1359" s="28"/>
      <x:c r="D1359" s="28"/>
      <x:c r="E1359" s="28"/>
      <x:c r="F1359" s="28"/>
      <x:c r="G1359" s="28"/>
      <x:c r="H1359" s="28"/>
      <x:c r="I1359" s="28"/>
      <x:c r="J1359" s="28"/>
      <x:c r="K1359" s="28"/>
      <x:c r="L1359" s="28"/>
      <x:c r="M1359" s="28"/>
      <x:c r="N1359" s="28"/>
      <x:c r="O1359" s="28"/>
      <x:c r="P1359" s="28"/>
      <x:c r="Q1359" s="28"/>
      <x:c r="R1359" s="28"/>
      <x:c r="S1359" s="28"/>
      <x:c r="T1359" s="28"/>
      <x:c r="U1359" s="28"/>
      <x:c r="V1359" s="28"/>
      <x:c r="W1359" s="43" t="n">
        <x:f>--AND(N1359=1,OR(O1359="SUPPORTED",O1359="HALLUCINATION"))</x:f>
        <x:v>0</x:v>
      </x:c>
      <x:c r="X1359" s="43" t="n">
        <x:f>--AND(W1359=1,O1359="HALLUCINATION")</x:f>
        <x:v>0</x:v>
      </x:c>
      <x:c r="Y1359" s="43" t="n">
        <x:f>--AND(Q1359=1,O1359="HALLUCINATION")</x:f>
        <x:v>0</x:v>
      </x:c>
      <x:c r="Z1359" s="43" t="n">
        <x:f>--AND(Y1359=1,R1359=1,S1359=1)</x:f>
        <x:v>0</x:v>
      </x:c>
      <x:c r="AC1359" t="str">
        <x:f>IF(OR(AA1359="",AB1359=""),"",--(AA1359&lt;&gt;AB1359))</x:f>
      </x:c>
      <x:c r="AE1359" t="str">
        <x:f>IF(OR(AA1359="",AB1359=""),"PENDING_HUMAN",IF(AA1359=AB1359,AA1359,IF(AD1359&lt;&gt;"",AD1359,"PENDING_HUMAN")))</x:f>
        <x:v>PENDING_HUMAN</x:v>
      </x:c>
      <x:c r="AF1359" t="n">
        <x:f>--AND(A1359&lt;&gt;"",AA1359&lt;&gt;"",AB1359&lt;&gt;"",OR(AA1359=AB1359,AD1359&lt;&gt;""),IF(AE1359="HALLUCINATION",U1359&lt;&gt;"",TRUE))</x:f>
        <x:v>0</x:v>
      </x:c>
      <x:c r="AG1359" t="n">
        <x:f>--AND(N1359=1,AF1359=1,OR(AE1359="SUPPORTED",AE1359="HALLUCINATION"))</x:f>
        <x:v>0</x:v>
      </x:c>
      <x:c r="AH1359" t="n">
        <x:f>--AND(AG1359=1,AE1359="HALLUCINATION")</x:f>
        <x:v>0</x:v>
      </x:c>
      <x:c r="AI1359" t="n">
        <x:f>--AND(Q1359=1,AF1359=1,AE1359="HALLUCINATION")</x:f>
        <x:v>0</x:v>
      </x:c>
      <x:c r="AJ1359" t="n">
        <x:f>--AND(AI1359=1,R1359=1,S1359=1)</x:f>
        <x:v>0</x:v>
      </x:c>
    </x:row>
    <x:row r="1360">
      <x:c r="A1360" s="28"/>
      <x:c r="B1360" s="28"/>
      <x:c r="C1360" s="28"/>
      <x:c r="D1360" s="28"/>
      <x:c r="E1360" s="28"/>
      <x:c r="F1360" s="28"/>
      <x:c r="G1360" s="28"/>
      <x:c r="H1360" s="28"/>
      <x:c r="I1360" s="28"/>
      <x:c r="J1360" s="28"/>
      <x:c r="K1360" s="28"/>
      <x:c r="L1360" s="28"/>
      <x:c r="M1360" s="28"/>
      <x:c r="N1360" s="28"/>
      <x:c r="O1360" s="28"/>
      <x:c r="P1360" s="28"/>
      <x:c r="Q1360" s="28"/>
      <x:c r="R1360" s="28"/>
      <x:c r="S1360" s="28"/>
      <x:c r="T1360" s="28"/>
      <x:c r="U1360" s="28"/>
      <x:c r="V1360" s="28"/>
      <x:c r="W1360" s="43" t="n">
        <x:f>--AND(N1360=1,OR(O1360="SUPPORTED",O1360="HALLUCINATION"))</x:f>
        <x:v>0</x:v>
      </x:c>
      <x:c r="X1360" s="43" t="n">
        <x:f>--AND(W1360=1,O1360="HALLUCINATION")</x:f>
        <x:v>0</x:v>
      </x:c>
      <x:c r="Y1360" s="43" t="n">
        <x:f>--AND(Q1360=1,O1360="HALLUCINATION")</x:f>
        <x:v>0</x:v>
      </x:c>
      <x:c r="Z1360" s="43" t="n">
        <x:f>--AND(Y1360=1,R1360=1,S1360=1)</x:f>
        <x:v>0</x:v>
      </x:c>
      <x:c r="AC1360" t="str">
        <x:f>IF(OR(AA1360="",AB1360=""),"",--(AA1360&lt;&gt;AB1360))</x:f>
      </x:c>
      <x:c r="AE1360" t="str">
        <x:f>IF(OR(AA1360="",AB1360=""),"PENDING_HUMAN",IF(AA1360=AB1360,AA1360,IF(AD1360&lt;&gt;"",AD1360,"PENDING_HUMAN")))</x:f>
        <x:v>PENDING_HUMAN</x:v>
      </x:c>
      <x:c r="AF1360" t="n">
        <x:f>--AND(A1360&lt;&gt;"",AA1360&lt;&gt;"",AB1360&lt;&gt;"",OR(AA1360=AB1360,AD1360&lt;&gt;""),IF(AE1360="HALLUCINATION",U1360&lt;&gt;"",TRUE))</x:f>
        <x:v>0</x:v>
      </x:c>
      <x:c r="AG1360" t="n">
        <x:f>--AND(N1360=1,AF1360=1,OR(AE1360="SUPPORTED",AE1360="HALLUCINATION"))</x:f>
        <x:v>0</x:v>
      </x:c>
      <x:c r="AH1360" t="n">
        <x:f>--AND(AG1360=1,AE1360="HALLUCINATION")</x:f>
        <x:v>0</x:v>
      </x:c>
      <x:c r="AI1360" t="n">
        <x:f>--AND(Q1360=1,AF1360=1,AE1360="HALLUCINATION")</x:f>
        <x:v>0</x:v>
      </x:c>
      <x:c r="AJ1360" t="n">
        <x:f>--AND(AI1360=1,R1360=1,S1360=1)</x:f>
        <x:v>0</x:v>
      </x:c>
    </x:row>
    <x:row r="1361">
      <x:c r="A1361" s="28"/>
      <x:c r="B1361" s="28"/>
      <x:c r="C1361" s="28"/>
      <x:c r="D1361" s="28"/>
      <x:c r="E1361" s="28"/>
      <x:c r="F1361" s="28"/>
      <x:c r="G1361" s="28"/>
      <x:c r="H1361" s="28"/>
      <x:c r="I1361" s="28"/>
      <x:c r="J1361" s="28"/>
      <x:c r="K1361" s="28"/>
      <x:c r="L1361" s="28"/>
      <x:c r="M1361" s="28"/>
      <x:c r="N1361" s="28"/>
      <x:c r="O1361" s="28"/>
      <x:c r="P1361" s="28"/>
      <x:c r="Q1361" s="28"/>
      <x:c r="R1361" s="28"/>
      <x:c r="S1361" s="28"/>
      <x:c r="T1361" s="28"/>
      <x:c r="U1361" s="28"/>
      <x:c r="V1361" s="28"/>
      <x:c r="W1361" s="43" t="n">
        <x:f>--AND(N1361=1,OR(O1361="SUPPORTED",O1361="HALLUCINATION"))</x:f>
        <x:v>0</x:v>
      </x:c>
      <x:c r="X1361" s="43" t="n">
        <x:f>--AND(W1361=1,O1361="HALLUCINATION")</x:f>
        <x:v>0</x:v>
      </x:c>
      <x:c r="Y1361" s="43" t="n">
        <x:f>--AND(Q1361=1,O1361="HALLUCINATION")</x:f>
        <x:v>0</x:v>
      </x:c>
      <x:c r="Z1361" s="43" t="n">
        <x:f>--AND(Y1361=1,R1361=1,S1361=1)</x:f>
        <x:v>0</x:v>
      </x:c>
      <x:c r="AC1361" t="str">
        <x:f>IF(OR(AA1361="",AB1361=""),"",--(AA1361&lt;&gt;AB1361))</x:f>
      </x:c>
      <x:c r="AE1361" t="str">
        <x:f>IF(OR(AA1361="",AB1361=""),"PENDING_HUMAN",IF(AA1361=AB1361,AA1361,IF(AD1361&lt;&gt;"",AD1361,"PENDING_HUMAN")))</x:f>
        <x:v>PENDING_HUMAN</x:v>
      </x:c>
      <x:c r="AF1361" t="n">
        <x:f>--AND(A1361&lt;&gt;"",AA1361&lt;&gt;"",AB1361&lt;&gt;"",OR(AA1361=AB1361,AD1361&lt;&gt;""),IF(AE1361="HALLUCINATION",U1361&lt;&gt;"",TRUE))</x:f>
        <x:v>0</x:v>
      </x:c>
      <x:c r="AG1361" t="n">
        <x:f>--AND(N1361=1,AF1361=1,OR(AE1361="SUPPORTED",AE1361="HALLUCINATION"))</x:f>
        <x:v>0</x:v>
      </x:c>
      <x:c r="AH1361" t="n">
        <x:f>--AND(AG1361=1,AE1361="HALLUCINATION")</x:f>
        <x:v>0</x:v>
      </x:c>
      <x:c r="AI1361" t="n">
        <x:f>--AND(Q1361=1,AF1361=1,AE1361="HALLUCINATION")</x:f>
        <x:v>0</x:v>
      </x:c>
      <x:c r="AJ1361" t="n">
        <x:f>--AND(AI1361=1,R1361=1,S1361=1)</x:f>
        <x:v>0</x:v>
      </x:c>
    </x:row>
    <x:row r="1362">
      <x:c r="A1362" s="28"/>
      <x:c r="B1362" s="28"/>
      <x:c r="C1362" s="28"/>
      <x:c r="D1362" s="28"/>
      <x:c r="E1362" s="28"/>
      <x:c r="F1362" s="28"/>
      <x:c r="G1362" s="28"/>
      <x:c r="H1362" s="28"/>
      <x:c r="I1362" s="28"/>
      <x:c r="J1362" s="28"/>
      <x:c r="K1362" s="28"/>
      <x:c r="L1362" s="28"/>
      <x:c r="M1362" s="28"/>
      <x:c r="N1362" s="28"/>
      <x:c r="O1362" s="28"/>
      <x:c r="P1362" s="28"/>
      <x:c r="Q1362" s="28"/>
      <x:c r="R1362" s="28"/>
      <x:c r="S1362" s="28"/>
      <x:c r="T1362" s="28"/>
      <x:c r="U1362" s="28"/>
      <x:c r="V1362" s="28"/>
      <x:c r="W1362" s="43" t="n">
        <x:f>--AND(N1362=1,OR(O1362="SUPPORTED",O1362="HALLUCINATION"))</x:f>
        <x:v>0</x:v>
      </x:c>
      <x:c r="X1362" s="43" t="n">
        <x:f>--AND(W1362=1,O1362="HALLUCINATION")</x:f>
        <x:v>0</x:v>
      </x:c>
      <x:c r="Y1362" s="43" t="n">
        <x:f>--AND(Q1362=1,O1362="HALLUCINATION")</x:f>
        <x:v>0</x:v>
      </x:c>
      <x:c r="Z1362" s="43" t="n">
        <x:f>--AND(Y1362=1,R1362=1,S1362=1)</x:f>
        <x:v>0</x:v>
      </x:c>
      <x:c r="AC1362" t="str">
        <x:f>IF(OR(AA1362="",AB1362=""),"",--(AA1362&lt;&gt;AB1362))</x:f>
      </x:c>
      <x:c r="AE1362" t="str">
        <x:f>IF(OR(AA1362="",AB1362=""),"PENDING_HUMAN",IF(AA1362=AB1362,AA1362,IF(AD1362&lt;&gt;"",AD1362,"PENDING_HUMAN")))</x:f>
        <x:v>PENDING_HUMAN</x:v>
      </x:c>
      <x:c r="AF1362" t="n">
        <x:f>--AND(A1362&lt;&gt;"",AA1362&lt;&gt;"",AB1362&lt;&gt;"",OR(AA1362=AB1362,AD1362&lt;&gt;""),IF(AE1362="HALLUCINATION",U1362&lt;&gt;"",TRUE))</x:f>
        <x:v>0</x:v>
      </x:c>
      <x:c r="AG1362" t="n">
        <x:f>--AND(N1362=1,AF1362=1,OR(AE1362="SUPPORTED",AE1362="HALLUCINATION"))</x:f>
        <x:v>0</x:v>
      </x:c>
      <x:c r="AH1362" t="n">
        <x:f>--AND(AG1362=1,AE1362="HALLUCINATION")</x:f>
        <x:v>0</x:v>
      </x:c>
      <x:c r="AI1362" t="n">
        <x:f>--AND(Q1362=1,AF1362=1,AE1362="HALLUCINATION")</x:f>
        <x:v>0</x:v>
      </x:c>
      <x:c r="AJ1362" t="n">
        <x:f>--AND(AI1362=1,R1362=1,S1362=1)</x:f>
        <x:v>0</x:v>
      </x:c>
    </x:row>
    <x:row r="1363">
      <x:c r="A1363" s="28"/>
      <x:c r="B1363" s="28"/>
      <x:c r="C1363" s="28"/>
      <x:c r="D1363" s="28"/>
      <x:c r="E1363" s="28"/>
      <x:c r="F1363" s="28"/>
      <x:c r="G1363" s="28"/>
      <x:c r="H1363" s="28"/>
      <x:c r="I1363" s="28"/>
      <x:c r="J1363" s="28"/>
      <x:c r="K1363" s="28"/>
      <x:c r="L1363" s="28"/>
      <x:c r="M1363" s="28"/>
      <x:c r="N1363" s="28"/>
      <x:c r="O1363" s="28"/>
      <x:c r="P1363" s="28"/>
      <x:c r="Q1363" s="28"/>
      <x:c r="R1363" s="28"/>
      <x:c r="S1363" s="28"/>
      <x:c r="T1363" s="28"/>
      <x:c r="U1363" s="28"/>
      <x:c r="V1363" s="28"/>
      <x:c r="W1363" s="43" t="n">
        <x:f>--AND(N1363=1,OR(O1363="SUPPORTED",O1363="HALLUCINATION"))</x:f>
        <x:v>0</x:v>
      </x:c>
      <x:c r="X1363" s="43" t="n">
        <x:f>--AND(W1363=1,O1363="HALLUCINATION")</x:f>
        <x:v>0</x:v>
      </x:c>
      <x:c r="Y1363" s="43" t="n">
        <x:f>--AND(Q1363=1,O1363="HALLUCINATION")</x:f>
        <x:v>0</x:v>
      </x:c>
      <x:c r="Z1363" s="43" t="n">
        <x:f>--AND(Y1363=1,R1363=1,S1363=1)</x:f>
        <x:v>0</x:v>
      </x:c>
      <x:c r="AC1363" t="str">
        <x:f>IF(OR(AA1363="",AB1363=""),"",--(AA1363&lt;&gt;AB1363))</x:f>
      </x:c>
      <x:c r="AE1363" t="str">
        <x:f>IF(OR(AA1363="",AB1363=""),"PENDING_HUMAN",IF(AA1363=AB1363,AA1363,IF(AD1363&lt;&gt;"",AD1363,"PENDING_HUMAN")))</x:f>
        <x:v>PENDING_HUMAN</x:v>
      </x:c>
      <x:c r="AF1363" t="n">
        <x:f>--AND(A1363&lt;&gt;"",AA1363&lt;&gt;"",AB1363&lt;&gt;"",OR(AA1363=AB1363,AD1363&lt;&gt;""),IF(AE1363="HALLUCINATION",U1363&lt;&gt;"",TRUE))</x:f>
        <x:v>0</x:v>
      </x:c>
      <x:c r="AG1363" t="n">
        <x:f>--AND(N1363=1,AF1363=1,OR(AE1363="SUPPORTED",AE1363="HALLUCINATION"))</x:f>
        <x:v>0</x:v>
      </x:c>
      <x:c r="AH1363" t="n">
        <x:f>--AND(AG1363=1,AE1363="HALLUCINATION")</x:f>
        <x:v>0</x:v>
      </x:c>
      <x:c r="AI1363" t="n">
        <x:f>--AND(Q1363=1,AF1363=1,AE1363="HALLUCINATION")</x:f>
        <x:v>0</x:v>
      </x:c>
      <x:c r="AJ1363" t="n">
        <x:f>--AND(AI1363=1,R1363=1,S1363=1)</x:f>
        <x:v>0</x:v>
      </x:c>
    </x:row>
    <x:row r="1364">
      <x:c r="A1364" s="28"/>
      <x:c r="B1364" s="28"/>
      <x:c r="C1364" s="28"/>
      <x:c r="D1364" s="28"/>
      <x:c r="E1364" s="28"/>
      <x:c r="F1364" s="28"/>
      <x:c r="G1364" s="28"/>
      <x:c r="H1364" s="28"/>
      <x:c r="I1364" s="28"/>
      <x:c r="J1364" s="28"/>
      <x:c r="K1364" s="28"/>
      <x:c r="L1364" s="28"/>
      <x:c r="M1364" s="28"/>
      <x:c r="N1364" s="28"/>
      <x:c r="O1364" s="28"/>
      <x:c r="P1364" s="28"/>
      <x:c r="Q1364" s="28"/>
      <x:c r="R1364" s="28"/>
      <x:c r="S1364" s="28"/>
      <x:c r="T1364" s="28"/>
      <x:c r="U1364" s="28"/>
      <x:c r="V1364" s="28"/>
      <x:c r="W1364" s="43" t="n">
        <x:f>--AND(N1364=1,OR(O1364="SUPPORTED",O1364="HALLUCINATION"))</x:f>
        <x:v>0</x:v>
      </x:c>
      <x:c r="X1364" s="43" t="n">
        <x:f>--AND(W1364=1,O1364="HALLUCINATION")</x:f>
        <x:v>0</x:v>
      </x:c>
      <x:c r="Y1364" s="43" t="n">
        <x:f>--AND(Q1364=1,O1364="HALLUCINATION")</x:f>
        <x:v>0</x:v>
      </x:c>
      <x:c r="Z1364" s="43" t="n">
        <x:f>--AND(Y1364=1,R1364=1,S1364=1)</x:f>
        <x:v>0</x:v>
      </x:c>
      <x:c r="AC1364" t="str">
        <x:f>IF(OR(AA1364="",AB1364=""),"",--(AA1364&lt;&gt;AB1364))</x:f>
      </x:c>
      <x:c r="AE1364" t="str">
        <x:f>IF(OR(AA1364="",AB1364=""),"PENDING_HUMAN",IF(AA1364=AB1364,AA1364,IF(AD1364&lt;&gt;"",AD1364,"PENDING_HUMAN")))</x:f>
        <x:v>PENDING_HUMAN</x:v>
      </x:c>
      <x:c r="AF1364" t="n">
        <x:f>--AND(A1364&lt;&gt;"",AA1364&lt;&gt;"",AB1364&lt;&gt;"",OR(AA1364=AB1364,AD1364&lt;&gt;""),IF(AE1364="HALLUCINATION",U1364&lt;&gt;"",TRUE))</x:f>
        <x:v>0</x:v>
      </x:c>
      <x:c r="AG1364" t="n">
        <x:f>--AND(N1364=1,AF1364=1,OR(AE1364="SUPPORTED",AE1364="HALLUCINATION"))</x:f>
        <x:v>0</x:v>
      </x:c>
      <x:c r="AH1364" t="n">
        <x:f>--AND(AG1364=1,AE1364="HALLUCINATION")</x:f>
        <x:v>0</x:v>
      </x:c>
      <x:c r="AI1364" t="n">
        <x:f>--AND(Q1364=1,AF1364=1,AE1364="HALLUCINATION")</x:f>
        <x:v>0</x:v>
      </x:c>
      <x:c r="AJ1364" t="n">
        <x:f>--AND(AI1364=1,R1364=1,S1364=1)</x:f>
        <x:v>0</x:v>
      </x:c>
    </x:row>
    <x:row r="1365">
      <x:c r="A1365" s="28"/>
      <x:c r="B1365" s="28"/>
      <x:c r="C1365" s="28"/>
      <x:c r="D1365" s="28"/>
      <x:c r="E1365" s="28"/>
      <x:c r="F1365" s="28"/>
      <x:c r="G1365" s="28"/>
      <x:c r="H1365" s="28"/>
      <x:c r="I1365" s="28"/>
      <x:c r="J1365" s="28"/>
      <x:c r="K1365" s="28"/>
      <x:c r="L1365" s="28"/>
      <x:c r="M1365" s="28"/>
      <x:c r="N1365" s="28"/>
      <x:c r="O1365" s="28"/>
      <x:c r="P1365" s="28"/>
      <x:c r="Q1365" s="28"/>
      <x:c r="R1365" s="28"/>
      <x:c r="S1365" s="28"/>
      <x:c r="T1365" s="28"/>
      <x:c r="U1365" s="28"/>
      <x:c r="V1365" s="28"/>
      <x:c r="W1365" s="43" t="n">
        <x:f>--AND(N1365=1,OR(O1365="SUPPORTED",O1365="HALLUCINATION"))</x:f>
        <x:v>0</x:v>
      </x:c>
      <x:c r="X1365" s="43" t="n">
        <x:f>--AND(W1365=1,O1365="HALLUCINATION")</x:f>
        <x:v>0</x:v>
      </x:c>
      <x:c r="Y1365" s="43" t="n">
        <x:f>--AND(Q1365=1,O1365="HALLUCINATION")</x:f>
        <x:v>0</x:v>
      </x:c>
      <x:c r="Z1365" s="43" t="n">
        <x:f>--AND(Y1365=1,R1365=1,S1365=1)</x:f>
        <x:v>0</x:v>
      </x:c>
      <x:c r="AC1365" t="str">
        <x:f>IF(OR(AA1365="",AB1365=""),"",--(AA1365&lt;&gt;AB1365))</x:f>
      </x:c>
      <x:c r="AE1365" t="str">
        <x:f>IF(OR(AA1365="",AB1365=""),"PENDING_HUMAN",IF(AA1365=AB1365,AA1365,IF(AD1365&lt;&gt;"",AD1365,"PENDING_HUMAN")))</x:f>
        <x:v>PENDING_HUMAN</x:v>
      </x:c>
      <x:c r="AF1365" t="n">
        <x:f>--AND(A1365&lt;&gt;"",AA1365&lt;&gt;"",AB1365&lt;&gt;"",OR(AA1365=AB1365,AD1365&lt;&gt;""),IF(AE1365="HALLUCINATION",U1365&lt;&gt;"",TRUE))</x:f>
        <x:v>0</x:v>
      </x:c>
      <x:c r="AG1365" t="n">
        <x:f>--AND(N1365=1,AF1365=1,OR(AE1365="SUPPORTED",AE1365="HALLUCINATION"))</x:f>
        <x:v>0</x:v>
      </x:c>
      <x:c r="AH1365" t="n">
        <x:f>--AND(AG1365=1,AE1365="HALLUCINATION")</x:f>
        <x:v>0</x:v>
      </x:c>
      <x:c r="AI1365" t="n">
        <x:f>--AND(Q1365=1,AF1365=1,AE1365="HALLUCINATION")</x:f>
        <x:v>0</x:v>
      </x:c>
      <x:c r="AJ1365" t="n">
        <x:f>--AND(AI1365=1,R1365=1,S1365=1)</x:f>
        <x:v>0</x:v>
      </x:c>
    </x:row>
    <x:row r="1366">
      <x:c r="A1366" s="28"/>
      <x:c r="B1366" s="28"/>
      <x:c r="C1366" s="28"/>
      <x:c r="D1366" s="28"/>
      <x:c r="E1366" s="28"/>
      <x:c r="F1366" s="28"/>
      <x:c r="G1366" s="28"/>
      <x:c r="H1366" s="28"/>
      <x:c r="I1366" s="28"/>
      <x:c r="J1366" s="28"/>
      <x:c r="K1366" s="28"/>
      <x:c r="L1366" s="28"/>
      <x:c r="M1366" s="28"/>
      <x:c r="N1366" s="28"/>
      <x:c r="O1366" s="28"/>
      <x:c r="P1366" s="28"/>
      <x:c r="Q1366" s="28"/>
      <x:c r="R1366" s="28"/>
      <x:c r="S1366" s="28"/>
      <x:c r="T1366" s="28"/>
      <x:c r="U1366" s="28"/>
      <x:c r="V1366" s="28"/>
      <x:c r="W1366" s="43" t="n">
        <x:f>--AND(N1366=1,OR(O1366="SUPPORTED",O1366="HALLUCINATION"))</x:f>
        <x:v>0</x:v>
      </x:c>
      <x:c r="X1366" s="43" t="n">
        <x:f>--AND(W1366=1,O1366="HALLUCINATION")</x:f>
        <x:v>0</x:v>
      </x:c>
      <x:c r="Y1366" s="43" t="n">
        <x:f>--AND(Q1366=1,O1366="HALLUCINATION")</x:f>
        <x:v>0</x:v>
      </x:c>
      <x:c r="Z1366" s="43" t="n">
        <x:f>--AND(Y1366=1,R1366=1,S1366=1)</x:f>
        <x:v>0</x:v>
      </x:c>
      <x:c r="AC1366" t="str">
        <x:f>IF(OR(AA1366="",AB1366=""),"",--(AA1366&lt;&gt;AB1366))</x:f>
      </x:c>
      <x:c r="AE1366" t="str">
        <x:f>IF(OR(AA1366="",AB1366=""),"PENDING_HUMAN",IF(AA1366=AB1366,AA1366,IF(AD1366&lt;&gt;"",AD1366,"PENDING_HUMAN")))</x:f>
        <x:v>PENDING_HUMAN</x:v>
      </x:c>
      <x:c r="AF1366" t="n">
        <x:f>--AND(A1366&lt;&gt;"",AA1366&lt;&gt;"",AB1366&lt;&gt;"",OR(AA1366=AB1366,AD1366&lt;&gt;""),IF(AE1366="HALLUCINATION",U1366&lt;&gt;"",TRUE))</x:f>
        <x:v>0</x:v>
      </x:c>
      <x:c r="AG1366" t="n">
        <x:f>--AND(N1366=1,AF1366=1,OR(AE1366="SUPPORTED",AE1366="HALLUCINATION"))</x:f>
        <x:v>0</x:v>
      </x:c>
      <x:c r="AH1366" t="n">
        <x:f>--AND(AG1366=1,AE1366="HALLUCINATION")</x:f>
        <x:v>0</x:v>
      </x:c>
      <x:c r="AI1366" t="n">
        <x:f>--AND(Q1366=1,AF1366=1,AE1366="HALLUCINATION")</x:f>
        <x:v>0</x:v>
      </x:c>
      <x:c r="AJ1366" t="n">
        <x:f>--AND(AI1366=1,R1366=1,S1366=1)</x:f>
        <x:v>0</x:v>
      </x:c>
    </x:row>
    <x:row r="1367">
      <x:c r="A1367" s="28"/>
      <x:c r="B1367" s="28"/>
      <x:c r="C1367" s="28"/>
      <x:c r="D1367" s="28"/>
      <x:c r="E1367" s="28"/>
      <x:c r="F1367" s="28"/>
      <x:c r="G1367" s="28"/>
      <x:c r="H1367" s="28"/>
      <x:c r="I1367" s="28"/>
      <x:c r="J1367" s="28"/>
      <x:c r="K1367" s="28"/>
      <x:c r="L1367" s="28"/>
      <x:c r="M1367" s="28"/>
      <x:c r="N1367" s="28"/>
      <x:c r="O1367" s="28"/>
      <x:c r="P1367" s="28"/>
      <x:c r="Q1367" s="28"/>
      <x:c r="R1367" s="28"/>
      <x:c r="S1367" s="28"/>
      <x:c r="T1367" s="28"/>
      <x:c r="U1367" s="28"/>
      <x:c r="V1367" s="28"/>
      <x:c r="W1367" s="43" t="n">
        <x:f>--AND(N1367=1,OR(O1367="SUPPORTED",O1367="HALLUCINATION"))</x:f>
        <x:v>0</x:v>
      </x:c>
      <x:c r="X1367" s="43" t="n">
        <x:f>--AND(W1367=1,O1367="HALLUCINATION")</x:f>
        <x:v>0</x:v>
      </x:c>
      <x:c r="Y1367" s="43" t="n">
        <x:f>--AND(Q1367=1,O1367="HALLUCINATION")</x:f>
        <x:v>0</x:v>
      </x:c>
      <x:c r="Z1367" s="43" t="n">
        <x:f>--AND(Y1367=1,R1367=1,S1367=1)</x:f>
        <x:v>0</x:v>
      </x:c>
      <x:c r="AC1367" t="str">
        <x:f>IF(OR(AA1367="",AB1367=""),"",--(AA1367&lt;&gt;AB1367))</x:f>
      </x:c>
      <x:c r="AE1367" t="str">
        <x:f>IF(OR(AA1367="",AB1367=""),"PENDING_HUMAN",IF(AA1367=AB1367,AA1367,IF(AD1367&lt;&gt;"",AD1367,"PENDING_HUMAN")))</x:f>
        <x:v>PENDING_HUMAN</x:v>
      </x:c>
      <x:c r="AF1367" t="n">
        <x:f>--AND(A1367&lt;&gt;"",AA1367&lt;&gt;"",AB1367&lt;&gt;"",OR(AA1367=AB1367,AD1367&lt;&gt;""),IF(AE1367="HALLUCINATION",U1367&lt;&gt;"",TRUE))</x:f>
        <x:v>0</x:v>
      </x:c>
      <x:c r="AG1367" t="n">
        <x:f>--AND(N1367=1,AF1367=1,OR(AE1367="SUPPORTED",AE1367="HALLUCINATION"))</x:f>
        <x:v>0</x:v>
      </x:c>
      <x:c r="AH1367" t="n">
        <x:f>--AND(AG1367=1,AE1367="HALLUCINATION")</x:f>
        <x:v>0</x:v>
      </x:c>
      <x:c r="AI1367" t="n">
        <x:f>--AND(Q1367=1,AF1367=1,AE1367="HALLUCINATION")</x:f>
        <x:v>0</x:v>
      </x:c>
      <x:c r="AJ1367" t="n">
        <x:f>--AND(AI1367=1,R1367=1,S1367=1)</x:f>
        <x:v>0</x:v>
      </x:c>
    </x:row>
    <x:row r="1368">
      <x:c r="A1368" s="28"/>
      <x:c r="B1368" s="28"/>
      <x:c r="C1368" s="28"/>
      <x:c r="D1368" s="28"/>
      <x:c r="E1368" s="28"/>
      <x:c r="F1368" s="28"/>
      <x:c r="G1368" s="28"/>
      <x:c r="H1368" s="28"/>
      <x:c r="I1368" s="28"/>
      <x:c r="J1368" s="28"/>
      <x:c r="K1368" s="28"/>
      <x:c r="L1368" s="28"/>
      <x:c r="M1368" s="28"/>
      <x:c r="N1368" s="28"/>
      <x:c r="O1368" s="28"/>
      <x:c r="P1368" s="28"/>
      <x:c r="Q1368" s="28"/>
      <x:c r="R1368" s="28"/>
      <x:c r="S1368" s="28"/>
      <x:c r="T1368" s="28"/>
      <x:c r="U1368" s="28"/>
      <x:c r="V1368" s="28"/>
      <x:c r="W1368" s="43" t="n">
        <x:f>--AND(N1368=1,OR(O1368="SUPPORTED",O1368="HALLUCINATION"))</x:f>
        <x:v>0</x:v>
      </x:c>
      <x:c r="X1368" s="43" t="n">
        <x:f>--AND(W1368=1,O1368="HALLUCINATION")</x:f>
        <x:v>0</x:v>
      </x:c>
      <x:c r="Y1368" s="43" t="n">
        <x:f>--AND(Q1368=1,O1368="HALLUCINATION")</x:f>
        <x:v>0</x:v>
      </x:c>
      <x:c r="Z1368" s="43" t="n">
        <x:f>--AND(Y1368=1,R1368=1,S1368=1)</x:f>
        <x:v>0</x:v>
      </x:c>
      <x:c r="AC1368" t="str">
        <x:f>IF(OR(AA1368="",AB1368=""),"",--(AA1368&lt;&gt;AB1368))</x:f>
      </x:c>
      <x:c r="AE1368" t="str">
        <x:f>IF(OR(AA1368="",AB1368=""),"PENDING_HUMAN",IF(AA1368=AB1368,AA1368,IF(AD1368&lt;&gt;"",AD1368,"PENDING_HUMAN")))</x:f>
        <x:v>PENDING_HUMAN</x:v>
      </x:c>
      <x:c r="AF1368" t="n">
        <x:f>--AND(A1368&lt;&gt;"",AA1368&lt;&gt;"",AB1368&lt;&gt;"",OR(AA1368=AB1368,AD1368&lt;&gt;""),IF(AE1368="HALLUCINATION",U1368&lt;&gt;"",TRUE))</x:f>
        <x:v>0</x:v>
      </x:c>
      <x:c r="AG1368" t="n">
        <x:f>--AND(N1368=1,AF1368=1,OR(AE1368="SUPPORTED",AE1368="HALLUCINATION"))</x:f>
        <x:v>0</x:v>
      </x:c>
      <x:c r="AH1368" t="n">
        <x:f>--AND(AG1368=1,AE1368="HALLUCINATION")</x:f>
        <x:v>0</x:v>
      </x:c>
      <x:c r="AI1368" t="n">
        <x:f>--AND(Q1368=1,AF1368=1,AE1368="HALLUCINATION")</x:f>
        <x:v>0</x:v>
      </x:c>
      <x:c r="AJ1368" t="n">
        <x:f>--AND(AI1368=1,R1368=1,S1368=1)</x:f>
        <x:v>0</x:v>
      </x:c>
    </x:row>
    <x:row r="1369">
      <x:c r="A1369" s="28"/>
      <x:c r="B1369" s="28"/>
      <x:c r="C1369" s="28"/>
      <x:c r="D1369" s="28"/>
      <x:c r="E1369" s="28"/>
      <x:c r="F1369" s="28"/>
      <x:c r="G1369" s="28"/>
      <x:c r="H1369" s="28"/>
      <x:c r="I1369" s="28"/>
      <x:c r="J1369" s="28"/>
      <x:c r="K1369" s="28"/>
      <x:c r="L1369" s="28"/>
      <x:c r="M1369" s="28"/>
      <x:c r="N1369" s="28"/>
      <x:c r="O1369" s="28"/>
      <x:c r="P1369" s="28"/>
      <x:c r="Q1369" s="28"/>
      <x:c r="R1369" s="28"/>
      <x:c r="S1369" s="28"/>
      <x:c r="T1369" s="28"/>
      <x:c r="U1369" s="28"/>
      <x:c r="V1369" s="28"/>
      <x:c r="W1369" s="43" t="n">
        <x:f>--AND(N1369=1,OR(O1369="SUPPORTED",O1369="HALLUCINATION"))</x:f>
        <x:v>0</x:v>
      </x:c>
      <x:c r="X1369" s="43" t="n">
        <x:f>--AND(W1369=1,O1369="HALLUCINATION")</x:f>
        <x:v>0</x:v>
      </x:c>
      <x:c r="Y1369" s="43" t="n">
        <x:f>--AND(Q1369=1,O1369="HALLUCINATION")</x:f>
        <x:v>0</x:v>
      </x:c>
      <x:c r="Z1369" s="43" t="n">
        <x:f>--AND(Y1369=1,R1369=1,S1369=1)</x:f>
        <x:v>0</x:v>
      </x:c>
      <x:c r="AC1369" t="str">
        <x:f>IF(OR(AA1369="",AB1369=""),"",--(AA1369&lt;&gt;AB1369))</x:f>
      </x:c>
      <x:c r="AE1369" t="str">
        <x:f>IF(OR(AA1369="",AB1369=""),"PENDING_HUMAN",IF(AA1369=AB1369,AA1369,IF(AD1369&lt;&gt;"",AD1369,"PENDING_HUMAN")))</x:f>
        <x:v>PENDING_HUMAN</x:v>
      </x:c>
      <x:c r="AF1369" t="n">
        <x:f>--AND(A1369&lt;&gt;"",AA1369&lt;&gt;"",AB1369&lt;&gt;"",OR(AA1369=AB1369,AD1369&lt;&gt;""),IF(AE1369="HALLUCINATION",U1369&lt;&gt;"",TRUE))</x:f>
        <x:v>0</x:v>
      </x:c>
      <x:c r="AG1369" t="n">
        <x:f>--AND(N1369=1,AF1369=1,OR(AE1369="SUPPORTED",AE1369="HALLUCINATION"))</x:f>
        <x:v>0</x:v>
      </x:c>
      <x:c r="AH1369" t="n">
        <x:f>--AND(AG1369=1,AE1369="HALLUCINATION")</x:f>
        <x:v>0</x:v>
      </x:c>
      <x:c r="AI1369" t="n">
        <x:f>--AND(Q1369=1,AF1369=1,AE1369="HALLUCINATION")</x:f>
        <x:v>0</x:v>
      </x:c>
      <x:c r="AJ1369" t="n">
        <x:f>--AND(AI1369=1,R1369=1,S1369=1)</x:f>
        <x:v>0</x:v>
      </x:c>
    </x:row>
    <x:row r="1370">
      <x:c r="A1370" s="28"/>
      <x:c r="B1370" s="28"/>
      <x:c r="C1370" s="28"/>
      <x:c r="D1370" s="28"/>
      <x:c r="E1370" s="28"/>
      <x:c r="F1370" s="28"/>
      <x:c r="G1370" s="28"/>
      <x:c r="H1370" s="28"/>
      <x:c r="I1370" s="28"/>
      <x:c r="J1370" s="28"/>
      <x:c r="K1370" s="28"/>
      <x:c r="L1370" s="28"/>
      <x:c r="M1370" s="28"/>
      <x:c r="N1370" s="28"/>
      <x:c r="O1370" s="28"/>
      <x:c r="P1370" s="28"/>
      <x:c r="Q1370" s="28"/>
      <x:c r="R1370" s="28"/>
      <x:c r="S1370" s="28"/>
      <x:c r="T1370" s="28"/>
      <x:c r="U1370" s="28"/>
      <x:c r="V1370" s="28"/>
      <x:c r="W1370" s="43" t="n">
        <x:f>--AND(N1370=1,OR(O1370="SUPPORTED",O1370="HALLUCINATION"))</x:f>
        <x:v>0</x:v>
      </x:c>
      <x:c r="X1370" s="43" t="n">
        <x:f>--AND(W1370=1,O1370="HALLUCINATION")</x:f>
        <x:v>0</x:v>
      </x:c>
      <x:c r="Y1370" s="43" t="n">
        <x:f>--AND(Q1370=1,O1370="HALLUCINATION")</x:f>
        <x:v>0</x:v>
      </x:c>
      <x:c r="Z1370" s="43" t="n">
        <x:f>--AND(Y1370=1,R1370=1,S1370=1)</x:f>
        <x:v>0</x:v>
      </x:c>
      <x:c r="AC1370" t="str">
        <x:f>IF(OR(AA1370="",AB1370=""),"",--(AA1370&lt;&gt;AB1370))</x:f>
      </x:c>
      <x:c r="AE1370" t="str">
        <x:f>IF(OR(AA1370="",AB1370=""),"PENDING_HUMAN",IF(AA1370=AB1370,AA1370,IF(AD1370&lt;&gt;"",AD1370,"PENDING_HUMAN")))</x:f>
        <x:v>PENDING_HUMAN</x:v>
      </x:c>
      <x:c r="AF1370" t="n">
        <x:f>--AND(A1370&lt;&gt;"",AA1370&lt;&gt;"",AB1370&lt;&gt;"",OR(AA1370=AB1370,AD1370&lt;&gt;""),IF(AE1370="HALLUCINATION",U1370&lt;&gt;"",TRUE))</x:f>
        <x:v>0</x:v>
      </x:c>
      <x:c r="AG1370" t="n">
        <x:f>--AND(N1370=1,AF1370=1,OR(AE1370="SUPPORTED",AE1370="HALLUCINATION"))</x:f>
        <x:v>0</x:v>
      </x:c>
      <x:c r="AH1370" t="n">
        <x:f>--AND(AG1370=1,AE1370="HALLUCINATION")</x:f>
        <x:v>0</x:v>
      </x:c>
      <x:c r="AI1370" t="n">
        <x:f>--AND(Q1370=1,AF1370=1,AE1370="HALLUCINATION")</x:f>
        <x:v>0</x:v>
      </x:c>
      <x:c r="AJ1370" t="n">
        <x:f>--AND(AI1370=1,R1370=1,S1370=1)</x:f>
        <x:v>0</x:v>
      </x:c>
    </x:row>
    <x:row r="1371">
      <x:c r="A1371" s="28"/>
      <x:c r="B1371" s="28"/>
      <x:c r="C1371" s="28"/>
      <x:c r="D1371" s="28"/>
      <x:c r="E1371" s="28"/>
      <x:c r="F1371" s="28"/>
      <x:c r="G1371" s="28"/>
      <x:c r="H1371" s="28"/>
      <x:c r="I1371" s="28"/>
      <x:c r="J1371" s="28"/>
      <x:c r="K1371" s="28"/>
      <x:c r="L1371" s="28"/>
      <x:c r="M1371" s="28"/>
      <x:c r="N1371" s="28"/>
      <x:c r="O1371" s="28"/>
      <x:c r="P1371" s="28"/>
      <x:c r="Q1371" s="28"/>
      <x:c r="R1371" s="28"/>
      <x:c r="S1371" s="28"/>
      <x:c r="T1371" s="28"/>
      <x:c r="U1371" s="28"/>
      <x:c r="V1371" s="28"/>
      <x:c r="W1371" s="43" t="n">
        <x:f>--AND(N1371=1,OR(O1371="SUPPORTED",O1371="HALLUCINATION"))</x:f>
        <x:v>0</x:v>
      </x:c>
      <x:c r="X1371" s="43" t="n">
        <x:f>--AND(W1371=1,O1371="HALLUCINATION")</x:f>
        <x:v>0</x:v>
      </x:c>
      <x:c r="Y1371" s="43" t="n">
        <x:f>--AND(Q1371=1,O1371="HALLUCINATION")</x:f>
        <x:v>0</x:v>
      </x:c>
      <x:c r="Z1371" s="43" t="n">
        <x:f>--AND(Y1371=1,R1371=1,S1371=1)</x:f>
        <x:v>0</x:v>
      </x:c>
      <x:c r="AC1371" t="str">
        <x:f>IF(OR(AA1371="",AB1371=""),"",--(AA1371&lt;&gt;AB1371))</x:f>
      </x:c>
      <x:c r="AE1371" t="str">
        <x:f>IF(OR(AA1371="",AB1371=""),"PENDING_HUMAN",IF(AA1371=AB1371,AA1371,IF(AD1371&lt;&gt;"",AD1371,"PENDING_HUMAN")))</x:f>
        <x:v>PENDING_HUMAN</x:v>
      </x:c>
      <x:c r="AF1371" t="n">
        <x:f>--AND(A1371&lt;&gt;"",AA1371&lt;&gt;"",AB1371&lt;&gt;"",OR(AA1371=AB1371,AD1371&lt;&gt;""),IF(AE1371="HALLUCINATION",U1371&lt;&gt;"",TRUE))</x:f>
        <x:v>0</x:v>
      </x:c>
      <x:c r="AG1371" t="n">
        <x:f>--AND(N1371=1,AF1371=1,OR(AE1371="SUPPORTED",AE1371="HALLUCINATION"))</x:f>
        <x:v>0</x:v>
      </x:c>
      <x:c r="AH1371" t="n">
        <x:f>--AND(AG1371=1,AE1371="HALLUCINATION")</x:f>
        <x:v>0</x:v>
      </x:c>
      <x:c r="AI1371" t="n">
        <x:f>--AND(Q1371=1,AF1371=1,AE1371="HALLUCINATION")</x:f>
        <x:v>0</x:v>
      </x:c>
      <x:c r="AJ1371" t="n">
        <x:f>--AND(AI1371=1,R1371=1,S1371=1)</x:f>
        <x:v>0</x:v>
      </x:c>
    </x:row>
    <x:row r="1372">
      <x:c r="A1372" s="28"/>
      <x:c r="B1372" s="28"/>
      <x:c r="C1372" s="28"/>
      <x:c r="D1372" s="28"/>
      <x:c r="E1372" s="28"/>
      <x:c r="F1372" s="28"/>
      <x:c r="G1372" s="28"/>
      <x:c r="H1372" s="28"/>
      <x:c r="I1372" s="28"/>
      <x:c r="J1372" s="28"/>
      <x:c r="K1372" s="28"/>
      <x:c r="L1372" s="28"/>
      <x:c r="M1372" s="28"/>
      <x:c r="N1372" s="28"/>
      <x:c r="O1372" s="28"/>
      <x:c r="P1372" s="28"/>
      <x:c r="Q1372" s="28"/>
      <x:c r="R1372" s="28"/>
      <x:c r="S1372" s="28"/>
      <x:c r="T1372" s="28"/>
      <x:c r="U1372" s="28"/>
      <x:c r="V1372" s="28"/>
      <x:c r="W1372" s="43" t="n">
        <x:f>--AND(N1372=1,OR(O1372="SUPPORTED",O1372="HALLUCINATION"))</x:f>
        <x:v>0</x:v>
      </x:c>
      <x:c r="X1372" s="43" t="n">
        <x:f>--AND(W1372=1,O1372="HALLUCINATION")</x:f>
        <x:v>0</x:v>
      </x:c>
      <x:c r="Y1372" s="43" t="n">
        <x:f>--AND(Q1372=1,O1372="HALLUCINATION")</x:f>
        <x:v>0</x:v>
      </x:c>
      <x:c r="Z1372" s="43" t="n">
        <x:f>--AND(Y1372=1,R1372=1,S1372=1)</x:f>
        <x:v>0</x:v>
      </x:c>
      <x:c r="AC1372" t="str">
        <x:f>IF(OR(AA1372="",AB1372=""),"",--(AA1372&lt;&gt;AB1372))</x:f>
      </x:c>
      <x:c r="AE1372" t="str">
        <x:f>IF(OR(AA1372="",AB1372=""),"PENDING_HUMAN",IF(AA1372=AB1372,AA1372,IF(AD1372&lt;&gt;"",AD1372,"PENDING_HUMAN")))</x:f>
        <x:v>PENDING_HUMAN</x:v>
      </x:c>
      <x:c r="AF1372" t="n">
        <x:f>--AND(A1372&lt;&gt;"",AA1372&lt;&gt;"",AB1372&lt;&gt;"",OR(AA1372=AB1372,AD1372&lt;&gt;""),IF(AE1372="HALLUCINATION",U1372&lt;&gt;"",TRUE))</x:f>
        <x:v>0</x:v>
      </x:c>
      <x:c r="AG1372" t="n">
        <x:f>--AND(N1372=1,AF1372=1,OR(AE1372="SUPPORTED",AE1372="HALLUCINATION"))</x:f>
        <x:v>0</x:v>
      </x:c>
      <x:c r="AH1372" t="n">
        <x:f>--AND(AG1372=1,AE1372="HALLUCINATION")</x:f>
        <x:v>0</x:v>
      </x:c>
      <x:c r="AI1372" t="n">
        <x:f>--AND(Q1372=1,AF1372=1,AE1372="HALLUCINATION")</x:f>
        <x:v>0</x:v>
      </x:c>
      <x:c r="AJ1372" t="n">
        <x:f>--AND(AI1372=1,R1372=1,S1372=1)</x:f>
        <x:v>0</x:v>
      </x:c>
    </x:row>
    <x:row r="1373">
      <x:c r="A1373" s="28"/>
      <x:c r="B1373" s="28"/>
      <x:c r="C1373" s="28"/>
      <x:c r="D1373" s="28"/>
      <x:c r="E1373" s="28"/>
      <x:c r="F1373" s="28"/>
      <x:c r="G1373" s="28"/>
      <x:c r="H1373" s="28"/>
      <x:c r="I1373" s="28"/>
      <x:c r="J1373" s="28"/>
      <x:c r="K1373" s="28"/>
      <x:c r="L1373" s="28"/>
      <x:c r="M1373" s="28"/>
      <x:c r="N1373" s="28"/>
      <x:c r="O1373" s="28"/>
      <x:c r="P1373" s="28"/>
      <x:c r="Q1373" s="28"/>
      <x:c r="R1373" s="28"/>
      <x:c r="S1373" s="28"/>
      <x:c r="T1373" s="28"/>
      <x:c r="U1373" s="28"/>
      <x:c r="V1373" s="28"/>
      <x:c r="W1373" s="43" t="n">
        <x:f>--AND(N1373=1,OR(O1373="SUPPORTED",O1373="HALLUCINATION"))</x:f>
        <x:v>0</x:v>
      </x:c>
      <x:c r="X1373" s="43" t="n">
        <x:f>--AND(W1373=1,O1373="HALLUCINATION")</x:f>
        <x:v>0</x:v>
      </x:c>
      <x:c r="Y1373" s="43" t="n">
        <x:f>--AND(Q1373=1,O1373="HALLUCINATION")</x:f>
        <x:v>0</x:v>
      </x:c>
      <x:c r="Z1373" s="43" t="n">
        <x:f>--AND(Y1373=1,R1373=1,S1373=1)</x:f>
        <x:v>0</x:v>
      </x:c>
      <x:c r="AC1373" t="str">
        <x:f>IF(OR(AA1373="",AB1373=""),"",--(AA1373&lt;&gt;AB1373))</x:f>
      </x:c>
      <x:c r="AE1373" t="str">
        <x:f>IF(OR(AA1373="",AB1373=""),"PENDING_HUMAN",IF(AA1373=AB1373,AA1373,IF(AD1373&lt;&gt;"",AD1373,"PENDING_HUMAN")))</x:f>
        <x:v>PENDING_HUMAN</x:v>
      </x:c>
      <x:c r="AF1373" t="n">
        <x:f>--AND(A1373&lt;&gt;"",AA1373&lt;&gt;"",AB1373&lt;&gt;"",OR(AA1373=AB1373,AD1373&lt;&gt;""),IF(AE1373="HALLUCINATION",U1373&lt;&gt;"",TRUE))</x:f>
        <x:v>0</x:v>
      </x:c>
      <x:c r="AG1373" t="n">
        <x:f>--AND(N1373=1,AF1373=1,OR(AE1373="SUPPORTED",AE1373="HALLUCINATION"))</x:f>
        <x:v>0</x:v>
      </x:c>
      <x:c r="AH1373" t="n">
        <x:f>--AND(AG1373=1,AE1373="HALLUCINATION")</x:f>
        <x:v>0</x:v>
      </x:c>
      <x:c r="AI1373" t="n">
        <x:f>--AND(Q1373=1,AF1373=1,AE1373="HALLUCINATION")</x:f>
        <x:v>0</x:v>
      </x:c>
      <x:c r="AJ1373" t="n">
        <x:f>--AND(AI1373=1,R1373=1,S1373=1)</x:f>
        <x:v>0</x:v>
      </x:c>
    </x:row>
    <x:row r="1374">
      <x:c r="A1374" s="28"/>
      <x:c r="B1374" s="28"/>
      <x:c r="C1374" s="28"/>
      <x:c r="D1374" s="28"/>
      <x:c r="E1374" s="28"/>
      <x:c r="F1374" s="28"/>
      <x:c r="G1374" s="28"/>
      <x:c r="H1374" s="28"/>
      <x:c r="I1374" s="28"/>
      <x:c r="J1374" s="28"/>
      <x:c r="K1374" s="28"/>
      <x:c r="L1374" s="28"/>
      <x:c r="M1374" s="28"/>
      <x:c r="N1374" s="28"/>
      <x:c r="O1374" s="28"/>
      <x:c r="P1374" s="28"/>
      <x:c r="Q1374" s="28"/>
      <x:c r="R1374" s="28"/>
      <x:c r="S1374" s="28"/>
      <x:c r="T1374" s="28"/>
      <x:c r="U1374" s="28"/>
      <x:c r="V1374" s="28"/>
      <x:c r="W1374" s="43" t="n">
        <x:f>--AND(N1374=1,OR(O1374="SUPPORTED",O1374="HALLUCINATION"))</x:f>
        <x:v>0</x:v>
      </x:c>
      <x:c r="X1374" s="43" t="n">
        <x:f>--AND(W1374=1,O1374="HALLUCINATION")</x:f>
        <x:v>0</x:v>
      </x:c>
      <x:c r="Y1374" s="43" t="n">
        <x:f>--AND(Q1374=1,O1374="HALLUCINATION")</x:f>
        <x:v>0</x:v>
      </x:c>
      <x:c r="Z1374" s="43" t="n">
        <x:f>--AND(Y1374=1,R1374=1,S1374=1)</x:f>
        <x:v>0</x:v>
      </x:c>
      <x:c r="AC1374" t="str">
        <x:f>IF(OR(AA1374="",AB1374=""),"",--(AA1374&lt;&gt;AB1374))</x:f>
      </x:c>
      <x:c r="AE1374" t="str">
        <x:f>IF(OR(AA1374="",AB1374=""),"PENDING_HUMAN",IF(AA1374=AB1374,AA1374,IF(AD1374&lt;&gt;"",AD1374,"PENDING_HUMAN")))</x:f>
        <x:v>PENDING_HUMAN</x:v>
      </x:c>
      <x:c r="AF1374" t="n">
        <x:f>--AND(A1374&lt;&gt;"",AA1374&lt;&gt;"",AB1374&lt;&gt;"",OR(AA1374=AB1374,AD1374&lt;&gt;""),IF(AE1374="HALLUCINATION",U1374&lt;&gt;"",TRUE))</x:f>
        <x:v>0</x:v>
      </x:c>
      <x:c r="AG1374" t="n">
        <x:f>--AND(N1374=1,AF1374=1,OR(AE1374="SUPPORTED",AE1374="HALLUCINATION"))</x:f>
        <x:v>0</x:v>
      </x:c>
      <x:c r="AH1374" t="n">
        <x:f>--AND(AG1374=1,AE1374="HALLUCINATION")</x:f>
        <x:v>0</x:v>
      </x:c>
      <x:c r="AI1374" t="n">
        <x:f>--AND(Q1374=1,AF1374=1,AE1374="HALLUCINATION")</x:f>
        <x:v>0</x:v>
      </x:c>
      <x:c r="AJ1374" t="n">
        <x:f>--AND(AI1374=1,R1374=1,S1374=1)</x:f>
        <x:v>0</x:v>
      </x:c>
    </x:row>
    <x:row r="1375">
      <x:c r="A1375" s="28"/>
      <x:c r="B1375" s="28"/>
      <x:c r="C1375" s="28"/>
      <x:c r="D1375" s="28"/>
      <x:c r="E1375" s="28"/>
      <x:c r="F1375" s="28"/>
      <x:c r="G1375" s="28"/>
      <x:c r="H1375" s="28"/>
      <x:c r="I1375" s="28"/>
      <x:c r="J1375" s="28"/>
      <x:c r="K1375" s="28"/>
      <x:c r="L1375" s="28"/>
      <x:c r="M1375" s="28"/>
      <x:c r="N1375" s="28"/>
      <x:c r="O1375" s="28"/>
      <x:c r="P1375" s="28"/>
      <x:c r="Q1375" s="28"/>
      <x:c r="R1375" s="28"/>
      <x:c r="S1375" s="28"/>
      <x:c r="T1375" s="28"/>
      <x:c r="U1375" s="28"/>
      <x:c r="V1375" s="28"/>
      <x:c r="W1375" s="43" t="n">
        <x:f>--AND(N1375=1,OR(O1375="SUPPORTED",O1375="HALLUCINATION"))</x:f>
        <x:v>0</x:v>
      </x:c>
      <x:c r="X1375" s="43" t="n">
        <x:f>--AND(W1375=1,O1375="HALLUCINATION")</x:f>
        <x:v>0</x:v>
      </x:c>
      <x:c r="Y1375" s="43" t="n">
        <x:f>--AND(Q1375=1,O1375="HALLUCINATION")</x:f>
        <x:v>0</x:v>
      </x:c>
      <x:c r="Z1375" s="43" t="n">
        <x:f>--AND(Y1375=1,R1375=1,S1375=1)</x:f>
        <x:v>0</x:v>
      </x:c>
      <x:c r="AC1375" t="str">
        <x:f>IF(OR(AA1375="",AB1375=""),"",--(AA1375&lt;&gt;AB1375))</x:f>
      </x:c>
      <x:c r="AE1375" t="str">
        <x:f>IF(OR(AA1375="",AB1375=""),"PENDING_HUMAN",IF(AA1375=AB1375,AA1375,IF(AD1375&lt;&gt;"",AD1375,"PENDING_HUMAN")))</x:f>
        <x:v>PENDING_HUMAN</x:v>
      </x:c>
      <x:c r="AF1375" t="n">
        <x:f>--AND(A1375&lt;&gt;"",AA1375&lt;&gt;"",AB1375&lt;&gt;"",OR(AA1375=AB1375,AD1375&lt;&gt;""),IF(AE1375="HALLUCINATION",U1375&lt;&gt;"",TRUE))</x:f>
        <x:v>0</x:v>
      </x:c>
      <x:c r="AG1375" t="n">
        <x:f>--AND(N1375=1,AF1375=1,OR(AE1375="SUPPORTED",AE1375="HALLUCINATION"))</x:f>
        <x:v>0</x:v>
      </x:c>
      <x:c r="AH1375" t="n">
        <x:f>--AND(AG1375=1,AE1375="HALLUCINATION")</x:f>
        <x:v>0</x:v>
      </x:c>
      <x:c r="AI1375" t="n">
        <x:f>--AND(Q1375=1,AF1375=1,AE1375="HALLUCINATION")</x:f>
        <x:v>0</x:v>
      </x:c>
      <x:c r="AJ1375" t="n">
        <x:f>--AND(AI1375=1,R1375=1,S1375=1)</x:f>
        <x:v>0</x:v>
      </x:c>
    </x:row>
    <x:row r="1376">
      <x:c r="A1376" s="28"/>
      <x:c r="B1376" s="28"/>
      <x:c r="C1376" s="28"/>
      <x:c r="D1376" s="28"/>
      <x:c r="E1376" s="28"/>
      <x:c r="F1376" s="28"/>
      <x:c r="G1376" s="28"/>
      <x:c r="H1376" s="28"/>
      <x:c r="I1376" s="28"/>
      <x:c r="J1376" s="28"/>
      <x:c r="K1376" s="28"/>
      <x:c r="L1376" s="28"/>
      <x:c r="M1376" s="28"/>
      <x:c r="N1376" s="28"/>
      <x:c r="O1376" s="28"/>
      <x:c r="P1376" s="28"/>
      <x:c r="Q1376" s="28"/>
      <x:c r="R1376" s="28"/>
      <x:c r="S1376" s="28"/>
      <x:c r="T1376" s="28"/>
      <x:c r="U1376" s="28"/>
      <x:c r="V1376" s="28"/>
      <x:c r="W1376" s="43" t="n">
        <x:f>--AND(N1376=1,OR(O1376="SUPPORTED",O1376="HALLUCINATION"))</x:f>
        <x:v>0</x:v>
      </x:c>
      <x:c r="X1376" s="43" t="n">
        <x:f>--AND(W1376=1,O1376="HALLUCINATION")</x:f>
        <x:v>0</x:v>
      </x:c>
      <x:c r="Y1376" s="43" t="n">
        <x:f>--AND(Q1376=1,O1376="HALLUCINATION")</x:f>
        <x:v>0</x:v>
      </x:c>
      <x:c r="Z1376" s="43" t="n">
        <x:f>--AND(Y1376=1,R1376=1,S1376=1)</x:f>
        <x:v>0</x:v>
      </x:c>
      <x:c r="AC1376" t="str">
        <x:f>IF(OR(AA1376="",AB1376=""),"",--(AA1376&lt;&gt;AB1376))</x:f>
      </x:c>
      <x:c r="AE1376" t="str">
        <x:f>IF(OR(AA1376="",AB1376=""),"PENDING_HUMAN",IF(AA1376=AB1376,AA1376,IF(AD1376&lt;&gt;"",AD1376,"PENDING_HUMAN")))</x:f>
        <x:v>PENDING_HUMAN</x:v>
      </x:c>
      <x:c r="AF1376" t="n">
        <x:f>--AND(A1376&lt;&gt;"",AA1376&lt;&gt;"",AB1376&lt;&gt;"",OR(AA1376=AB1376,AD1376&lt;&gt;""),IF(AE1376="HALLUCINATION",U1376&lt;&gt;"",TRUE))</x:f>
        <x:v>0</x:v>
      </x:c>
      <x:c r="AG1376" t="n">
        <x:f>--AND(N1376=1,AF1376=1,OR(AE1376="SUPPORTED",AE1376="HALLUCINATION"))</x:f>
        <x:v>0</x:v>
      </x:c>
      <x:c r="AH1376" t="n">
        <x:f>--AND(AG1376=1,AE1376="HALLUCINATION")</x:f>
        <x:v>0</x:v>
      </x:c>
      <x:c r="AI1376" t="n">
        <x:f>--AND(Q1376=1,AF1376=1,AE1376="HALLUCINATION")</x:f>
        <x:v>0</x:v>
      </x:c>
      <x:c r="AJ1376" t="n">
        <x:f>--AND(AI1376=1,R1376=1,S1376=1)</x:f>
        <x:v>0</x:v>
      </x:c>
    </x:row>
    <x:row r="1377">
      <x:c r="A1377" s="28"/>
      <x:c r="B1377" s="28"/>
      <x:c r="C1377" s="28"/>
      <x:c r="D1377" s="28"/>
      <x:c r="E1377" s="28"/>
      <x:c r="F1377" s="28"/>
      <x:c r="G1377" s="28"/>
      <x:c r="H1377" s="28"/>
      <x:c r="I1377" s="28"/>
      <x:c r="J1377" s="28"/>
      <x:c r="K1377" s="28"/>
      <x:c r="L1377" s="28"/>
      <x:c r="M1377" s="28"/>
      <x:c r="N1377" s="28"/>
      <x:c r="O1377" s="28"/>
      <x:c r="P1377" s="28"/>
      <x:c r="Q1377" s="28"/>
      <x:c r="R1377" s="28"/>
      <x:c r="S1377" s="28"/>
      <x:c r="T1377" s="28"/>
      <x:c r="U1377" s="28"/>
      <x:c r="V1377" s="28"/>
      <x:c r="W1377" s="43" t="n">
        <x:f>--AND(N1377=1,OR(O1377="SUPPORTED",O1377="HALLUCINATION"))</x:f>
        <x:v>0</x:v>
      </x:c>
      <x:c r="X1377" s="43" t="n">
        <x:f>--AND(W1377=1,O1377="HALLUCINATION")</x:f>
        <x:v>0</x:v>
      </x:c>
      <x:c r="Y1377" s="43" t="n">
        <x:f>--AND(Q1377=1,O1377="HALLUCINATION")</x:f>
        <x:v>0</x:v>
      </x:c>
      <x:c r="Z1377" s="43" t="n">
        <x:f>--AND(Y1377=1,R1377=1,S1377=1)</x:f>
        <x:v>0</x:v>
      </x:c>
      <x:c r="AC1377" t="str">
        <x:f>IF(OR(AA1377="",AB1377=""),"",--(AA1377&lt;&gt;AB1377))</x:f>
      </x:c>
      <x:c r="AE1377" t="str">
        <x:f>IF(OR(AA1377="",AB1377=""),"PENDING_HUMAN",IF(AA1377=AB1377,AA1377,IF(AD1377&lt;&gt;"",AD1377,"PENDING_HUMAN")))</x:f>
        <x:v>PENDING_HUMAN</x:v>
      </x:c>
      <x:c r="AF1377" t="n">
        <x:f>--AND(A1377&lt;&gt;"",AA1377&lt;&gt;"",AB1377&lt;&gt;"",OR(AA1377=AB1377,AD1377&lt;&gt;""),IF(AE1377="HALLUCINATION",U1377&lt;&gt;"",TRUE))</x:f>
        <x:v>0</x:v>
      </x:c>
      <x:c r="AG1377" t="n">
        <x:f>--AND(N1377=1,AF1377=1,OR(AE1377="SUPPORTED",AE1377="HALLUCINATION"))</x:f>
        <x:v>0</x:v>
      </x:c>
      <x:c r="AH1377" t="n">
        <x:f>--AND(AG1377=1,AE1377="HALLUCINATION")</x:f>
        <x:v>0</x:v>
      </x:c>
      <x:c r="AI1377" t="n">
        <x:f>--AND(Q1377=1,AF1377=1,AE1377="HALLUCINATION")</x:f>
        <x:v>0</x:v>
      </x:c>
      <x:c r="AJ1377" t="n">
        <x:f>--AND(AI1377=1,R1377=1,S1377=1)</x:f>
        <x:v>0</x:v>
      </x:c>
    </x:row>
    <x:row r="1378">
      <x:c r="A1378" s="28"/>
      <x:c r="B1378" s="28"/>
      <x:c r="C1378" s="28"/>
      <x:c r="D1378" s="28"/>
      <x:c r="E1378" s="28"/>
      <x:c r="F1378" s="28"/>
      <x:c r="G1378" s="28"/>
      <x:c r="H1378" s="28"/>
      <x:c r="I1378" s="28"/>
      <x:c r="J1378" s="28"/>
      <x:c r="K1378" s="28"/>
      <x:c r="L1378" s="28"/>
      <x:c r="M1378" s="28"/>
      <x:c r="N1378" s="28"/>
      <x:c r="O1378" s="28"/>
      <x:c r="P1378" s="28"/>
      <x:c r="Q1378" s="28"/>
      <x:c r="R1378" s="28"/>
      <x:c r="S1378" s="28"/>
      <x:c r="T1378" s="28"/>
      <x:c r="U1378" s="28"/>
      <x:c r="V1378" s="28"/>
      <x:c r="W1378" s="43" t="n">
        <x:f>--AND(N1378=1,OR(O1378="SUPPORTED",O1378="HALLUCINATION"))</x:f>
        <x:v>0</x:v>
      </x:c>
      <x:c r="X1378" s="43" t="n">
        <x:f>--AND(W1378=1,O1378="HALLUCINATION")</x:f>
        <x:v>0</x:v>
      </x:c>
      <x:c r="Y1378" s="43" t="n">
        <x:f>--AND(Q1378=1,O1378="HALLUCINATION")</x:f>
        <x:v>0</x:v>
      </x:c>
      <x:c r="Z1378" s="43" t="n">
        <x:f>--AND(Y1378=1,R1378=1,S1378=1)</x:f>
        <x:v>0</x:v>
      </x:c>
      <x:c r="AC1378" t="str">
        <x:f>IF(OR(AA1378="",AB1378=""),"",--(AA1378&lt;&gt;AB1378))</x:f>
      </x:c>
      <x:c r="AE1378" t="str">
        <x:f>IF(OR(AA1378="",AB1378=""),"PENDING_HUMAN",IF(AA1378=AB1378,AA1378,IF(AD1378&lt;&gt;"",AD1378,"PENDING_HUMAN")))</x:f>
        <x:v>PENDING_HUMAN</x:v>
      </x:c>
      <x:c r="AF1378" t="n">
        <x:f>--AND(A1378&lt;&gt;"",AA1378&lt;&gt;"",AB1378&lt;&gt;"",OR(AA1378=AB1378,AD1378&lt;&gt;""),IF(AE1378="HALLUCINATION",U1378&lt;&gt;"",TRUE))</x:f>
        <x:v>0</x:v>
      </x:c>
      <x:c r="AG1378" t="n">
        <x:f>--AND(N1378=1,AF1378=1,OR(AE1378="SUPPORTED",AE1378="HALLUCINATION"))</x:f>
        <x:v>0</x:v>
      </x:c>
      <x:c r="AH1378" t="n">
        <x:f>--AND(AG1378=1,AE1378="HALLUCINATION")</x:f>
        <x:v>0</x:v>
      </x:c>
      <x:c r="AI1378" t="n">
        <x:f>--AND(Q1378=1,AF1378=1,AE1378="HALLUCINATION")</x:f>
        <x:v>0</x:v>
      </x:c>
      <x:c r="AJ1378" t="n">
        <x:f>--AND(AI1378=1,R1378=1,S1378=1)</x:f>
        <x:v>0</x:v>
      </x:c>
    </x:row>
    <x:row r="1379">
      <x:c r="A1379" s="28"/>
      <x:c r="B1379" s="28"/>
      <x:c r="C1379" s="28"/>
      <x:c r="D1379" s="28"/>
      <x:c r="E1379" s="28"/>
      <x:c r="F1379" s="28"/>
      <x:c r="G1379" s="28"/>
      <x:c r="H1379" s="28"/>
      <x:c r="I1379" s="28"/>
      <x:c r="J1379" s="28"/>
      <x:c r="K1379" s="28"/>
      <x:c r="L1379" s="28"/>
      <x:c r="M1379" s="28"/>
      <x:c r="N1379" s="28"/>
      <x:c r="O1379" s="28"/>
      <x:c r="P1379" s="28"/>
      <x:c r="Q1379" s="28"/>
      <x:c r="R1379" s="28"/>
      <x:c r="S1379" s="28"/>
      <x:c r="T1379" s="28"/>
      <x:c r="U1379" s="28"/>
      <x:c r="V1379" s="28"/>
      <x:c r="W1379" s="43" t="n">
        <x:f>--AND(N1379=1,OR(O1379="SUPPORTED",O1379="HALLUCINATION"))</x:f>
        <x:v>0</x:v>
      </x:c>
      <x:c r="X1379" s="43" t="n">
        <x:f>--AND(W1379=1,O1379="HALLUCINATION")</x:f>
        <x:v>0</x:v>
      </x:c>
      <x:c r="Y1379" s="43" t="n">
        <x:f>--AND(Q1379=1,O1379="HALLUCINATION")</x:f>
        <x:v>0</x:v>
      </x:c>
      <x:c r="Z1379" s="43" t="n">
        <x:f>--AND(Y1379=1,R1379=1,S1379=1)</x:f>
        <x:v>0</x:v>
      </x:c>
      <x:c r="AC1379" t="str">
        <x:f>IF(OR(AA1379="",AB1379=""),"",--(AA1379&lt;&gt;AB1379))</x:f>
      </x:c>
      <x:c r="AE1379" t="str">
        <x:f>IF(OR(AA1379="",AB1379=""),"PENDING_HUMAN",IF(AA1379=AB1379,AA1379,IF(AD1379&lt;&gt;"",AD1379,"PENDING_HUMAN")))</x:f>
        <x:v>PENDING_HUMAN</x:v>
      </x:c>
      <x:c r="AF1379" t="n">
        <x:f>--AND(A1379&lt;&gt;"",AA1379&lt;&gt;"",AB1379&lt;&gt;"",OR(AA1379=AB1379,AD1379&lt;&gt;""),IF(AE1379="HALLUCINATION",U1379&lt;&gt;"",TRUE))</x:f>
        <x:v>0</x:v>
      </x:c>
      <x:c r="AG1379" t="n">
        <x:f>--AND(N1379=1,AF1379=1,OR(AE1379="SUPPORTED",AE1379="HALLUCINATION"))</x:f>
        <x:v>0</x:v>
      </x:c>
      <x:c r="AH1379" t="n">
        <x:f>--AND(AG1379=1,AE1379="HALLUCINATION")</x:f>
        <x:v>0</x:v>
      </x:c>
      <x:c r="AI1379" t="n">
        <x:f>--AND(Q1379=1,AF1379=1,AE1379="HALLUCINATION")</x:f>
        <x:v>0</x:v>
      </x:c>
      <x:c r="AJ1379" t="n">
        <x:f>--AND(AI1379=1,R1379=1,S1379=1)</x:f>
        <x:v>0</x:v>
      </x:c>
    </x:row>
    <x:row r="1380">
      <x:c r="A1380" s="28"/>
      <x:c r="B1380" s="28"/>
      <x:c r="C1380" s="28"/>
      <x:c r="D1380" s="28"/>
      <x:c r="E1380" s="28"/>
      <x:c r="F1380" s="28"/>
      <x:c r="G1380" s="28"/>
      <x:c r="H1380" s="28"/>
      <x:c r="I1380" s="28"/>
      <x:c r="J1380" s="28"/>
      <x:c r="K1380" s="28"/>
      <x:c r="L1380" s="28"/>
      <x:c r="M1380" s="28"/>
      <x:c r="N1380" s="28"/>
      <x:c r="O1380" s="28"/>
      <x:c r="P1380" s="28"/>
      <x:c r="Q1380" s="28"/>
      <x:c r="R1380" s="28"/>
      <x:c r="S1380" s="28"/>
      <x:c r="T1380" s="28"/>
      <x:c r="U1380" s="28"/>
      <x:c r="V1380" s="28"/>
      <x:c r="W1380" s="43" t="n">
        <x:f>--AND(N1380=1,OR(O1380="SUPPORTED",O1380="HALLUCINATION"))</x:f>
        <x:v>0</x:v>
      </x:c>
      <x:c r="X1380" s="43" t="n">
        <x:f>--AND(W1380=1,O1380="HALLUCINATION")</x:f>
        <x:v>0</x:v>
      </x:c>
      <x:c r="Y1380" s="43" t="n">
        <x:f>--AND(Q1380=1,O1380="HALLUCINATION")</x:f>
        <x:v>0</x:v>
      </x:c>
      <x:c r="Z1380" s="43" t="n">
        <x:f>--AND(Y1380=1,R1380=1,S1380=1)</x:f>
        <x:v>0</x:v>
      </x:c>
      <x:c r="AC1380" t="str">
        <x:f>IF(OR(AA1380="",AB1380=""),"",--(AA1380&lt;&gt;AB1380))</x:f>
      </x:c>
      <x:c r="AE1380" t="str">
        <x:f>IF(OR(AA1380="",AB1380=""),"PENDING_HUMAN",IF(AA1380=AB1380,AA1380,IF(AD1380&lt;&gt;"",AD1380,"PENDING_HUMAN")))</x:f>
        <x:v>PENDING_HUMAN</x:v>
      </x:c>
      <x:c r="AF1380" t="n">
        <x:f>--AND(A1380&lt;&gt;"",AA1380&lt;&gt;"",AB1380&lt;&gt;"",OR(AA1380=AB1380,AD1380&lt;&gt;""),IF(AE1380="HALLUCINATION",U1380&lt;&gt;"",TRUE))</x:f>
        <x:v>0</x:v>
      </x:c>
      <x:c r="AG1380" t="n">
        <x:f>--AND(N1380=1,AF1380=1,OR(AE1380="SUPPORTED",AE1380="HALLUCINATION"))</x:f>
        <x:v>0</x:v>
      </x:c>
      <x:c r="AH1380" t="n">
        <x:f>--AND(AG1380=1,AE1380="HALLUCINATION")</x:f>
        <x:v>0</x:v>
      </x:c>
      <x:c r="AI1380" t="n">
        <x:f>--AND(Q1380=1,AF1380=1,AE1380="HALLUCINATION")</x:f>
        <x:v>0</x:v>
      </x:c>
      <x:c r="AJ1380" t="n">
        <x:f>--AND(AI1380=1,R1380=1,S1380=1)</x:f>
        <x:v>0</x:v>
      </x:c>
    </x:row>
    <x:row r="1381">
      <x:c r="A1381" s="28"/>
      <x:c r="B1381" s="28"/>
      <x:c r="C1381" s="28"/>
      <x:c r="D1381" s="28"/>
      <x:c r="E1381" s="28"/>
      <x:c r="F1381" s="28"/>
      <x:c r="G1381" s="28"/>
      <x:c r="H1381" s="28"/>
      <x:c r="I1381" s="28"/>
      <x:c r="J1381" s="28"/>
      <x:c r="K1381" s="28"/>
      <x:c r="L1381" s="28"/>
      <x:c r="M1381" s="28"/>
      <x:c r="N1381" s="28"/>
      <x:c r="O1381" s="28"/>
      <x:c r="P1381" s="28"/>
      <x:c r="Q1381" s="28"/>
      <x:c r="R1381" s="28"/>
      <x:c r="S1381" s="28"/>
      <x:c r="T1381" s="28"/>
      <x:c r="U1381" s="28"/>
      <x:c r="V1381" s="28"/>
      <x:c r="W1381" s="43" t="n">
        <x:f>--AND(N1381=1,OR(O1381="SUPPORTED",O1381="HALLUCINATION"))</x:f>
        <x:v>0</x:v>
      </x:c>
      <x:c r="X1381" s="43" t="n">
        <x:f>--AND(W1381=1,O1381="HALLUCINATION")</x:f>
        <x:v>0</x:v>
      </x:c>
      <x:c r="Y1381" s="43" t="n">
        <x:f>--AND(Q1381=1,O1381="HALLUCINATION")</x:f>
        <x:v>0</x:v>
      </x:c>
      <x:c r="Z1381" s="43" t="n">
        <x:f>--AND(Y1381=1,R1381=1,S1381=1)</x:f>
        <x:v>0</x:v>
      </x:c>
      <x:c r="AC1381" t="str">
        <x:f>IF(OR(AA1381="",AB1381=""),"",--(AA1381&lt;&gt;AB1381))</x:f>
      </x:c>
      <x:c r="AE1381" t="str">
        <x:f>IF(OR(AA1381="",AB1381=""),"PENDING_HUMAN",IF(AA1381=AB1381,AA1381,IF(AD1381&lt;&gt;"",AD1381,"PENDING_HUMAN")))</x:f>
        <x:v>PENDING_HUMAN</x:v>
      </x:c>
      <x:c r="AF1381" t="n">
        <x:f>--AND(A1381&lt;&gt;"",AA1381&lt;&gt;"",AB1381&lt;&gt;"",OR(AA1381=AB1381,AD1381&lt;&gt;""),IF(AE1381="HALLUCINATION",U1381&lt;&gt;"",TRUE))</x:f>
        <x:v>0</x:v>
      </x:c>
      <x:c r="AG1381" t="n">
        <x:f>--AND(N1381=1,AF1381=1,OR(AE1381="SUPPORTED",AE1381="HALLUCINATION"))</x:f>
        <x:v>0</x:v>
      </x:c>
      <x:c r="AH1381" t="n">
        <x:f>--AND(AG1381=1,AE1381="HALLUCINATION")</x:f>
        <x:v>0</x:v>
      </x:c>
      <x:c r="AI1381" t="n">
        <x:f>--AND(Q1381=1,AF1381=1,AE1381="HALLUCINATION")</x:f>
        <x:v>0</x:v>
      </x:c>
      <x:c r="AJ1381" t="n">
        <x:f>--AND(AI1381=1,R1381=1,S1381=1)</x:f>
        <x:v>0</x:v>
      </x:c>
    </x:row>
    <x:row r="1382">
      <x:c r="A1382" s="28"/>
      <x:c r="B1382" s="28"/>
      <x:c r="C1382" s="28"/>
      <x:c r="D1382" s="28"/>
      <x:c r="E1382" s="28"/>
      <x:c r="F1382" s="28"/>
      <x:c r="G1382" s="28"/>
      <x:c r="H1382" s="28"/>
      <x:c r="I1382" s="28"/>
      <x:c r="J1382" s="28"/>
      <x:c r="K1382" s="28"/>
      <x:c r="L1382" s="28"/>
      <x:c r="M1382" s="28"/>
      <x:c r="N1382" s="28"/>
      <x:c r="O1382" s="28"/>
      <x:c r="P1382" s="28"/>
      <x:c r="Q1382" s="28"/>
      <x:c r="R1382" s="28"/>
      <x:c r="S1382" s="28"/>
      <x:c r="T1382" s="28"/>
      <x:c r="U1382" s="28"/>
      <x:c r="V1382" s="28"/>
      <x:c r="W1382" s="43" t="n">
        <x:f>--AND(N1382=1,OR(O1382="SUPPORTED",O1382="HALLUCINATION"))</x:f>
        <x:v>0</x:v>
      </x:c>
      <x:c r="X1382" s="43" t="n">
        <x:f>--AND(W1382=1,O1382="HALLUCINATION")</x:f>
        <x:v>0</x:v>
      </x:c>
      <x:c r="Y1382" s="43" t="n">
        <x:f>--AND(Q1382=1,O1382="HALLUCINATION")</x:f>
        <x:v>0</x:v>
      </x:c>
      <x:c r="Z1382" s="43" t="n">
        <x:f>--AND(Y1382=1,R1382=1,S1382=1)</x:f>
        <x:v>0</x:v>
      </x:c>
      <x:c r="AC1382" t="str">
        <x:f>IF(OR(AA1382="",AB1382=""),"",--(AA1382&lt;&gt;AB1382))</x:f>
      </x:c>
      <x:c r="AE1382" t="str">
        <x:f>IF(OR(AA1382="",AB1382=""),"PENDING_HUMAN",IF(AA1382=AB1382,AA1382,IF(AD1382&lt;&gt;"",AD1382,"PENDING_HUMAN")))</x:f>
        <x:v>PENDING_HUMAN</x:v>
      </x:c>
      <x:c r="AF1382" t="n">
        <x:f>--AND(A1382&lt;&gt;"",AA1382&lt;&gt;"",AB1382&lt;&gt;"",OR(AA1382=AB1382,AD1382&lt;&gt;""),IF(AE1382="HALLUCINATION",U1382&lt;&gt;"",TRUE))</x:f>
        <x:v>0</x:v>
      </x:c>
      <x:c r="AG1382" t="n">
        <x:f>--AND(N1382=1,AF1382=1,OR(AE1382="SUPPORTED",AE1382="HALLUCINATION"))</x:f>
        <x:v>0</x:v>
      </x:c>
      <x:c r="AH1382" t="n">
        <x:f>--AND(AG1382=1,AE1382="HALLUCINATION")</x:f>
        <x:v>0</x:v>
      </x:c>
      <x:c r="AI1382" t="n">
        <x:f>--AND(Q1382=1,AF1382=1,AE1382="HALLUCINATION")</x:f>
        <x:v>0</x:v>
      </x:c>
      <x:c r="AJ1382" t="n">
        <x:f>--AND(AI1382=1,R1382=1,S1382=1)</x:f>
        <x:v>0</x:v>
      </x:c>
    </x:row>
    <x:row r="1383">
      <x:c r="A1383" s="28"/>
      <x:c r="B1383" s="28"/>
      <x:c r="C1383" s="28"/>
      <x:c r="D1383" s="28"/>
      <x:c r="E1383" s="28"/>
      <x:c r="F1383" s="28"/>
      <x:c r="G1383" s="28"/>
      <x:c r="H1383" s="28"/>
      <x:c r="I1383" s="28"/>
      <x:c r="J1383" s="28"/>
      <x:c r="K1383" s="28"/>
      <x:c r="L1383" s="28"/>
      <x:c r="M1383" s="28"/>
      <x:c r="N1383" s="28"/>
      <x:c r="O1383" s="28"/>
      <x:c r="P1383" s="28"/>
      <x:c r="Q1383" s="28"/>
      <x:c r="R1383" s="28"/>
      <x:c r="S1383" s="28"/>
      <x:c r="T1383" s="28"/>
      <x:c r="U1383" s="28"/>
      <x:c r="V1383" s="28"/>
      <x:c r="W1383" s="43" t="n">
        <x:f>--AND(N1383=1,OR(O1383="SUPPORTED",O1383="HALLUCINATION"))</x:f>
        <x:v>0</x:v>
      </x:c>
      <x:c r="X1383" s="43" t="n">
        <x:f>--AND(W1383=1,O1383="HALLUCINATION")</x:f>
        <x:v>0</x:v>
      </x:c>
      <x:c r="Y1383" s="43" t="n">
        <x:f>--AND(Q1383=1,O1383="HALLUCINATION")</x:f>
        <x:v>0</x:v>
      </x:c>
      <x:c r="Z1383" s="43" t="n">
        <x:f>--AND(Y1383=1,R1383=1,S1383=1)</x:f>
        <x:v>0</x:v>
      </x:c>
      <x:c r="AC1383" t="str">
        <x:f>IF(OR(AA1383="",AB1383=""),"",--(AA1383&lt;&gt;AB1383))</x:f>
      </x:c>
      <x:c r="AE1383" t="str">
        <x:f>IF(OR(AA1383="",AB1383=""),"PENDING_HUMAN",IF(AA1383=AB1383,AA1383,IF(AD1383&lt;&gt;"",AD1383,"PENDING_HUMAN")))</x:f>
        <x:v>PENDING_HUMAN</x:v>
      </x:c>
      <x:c r="AF1383" t="n">
        <x:f>--AND(A1383&lt;&gt;"",AA1383&lt;&gt;"",AB1383&lt;&gt;"",OR(AA1383=AB1383,AD1383&lt;&gt;""),IF(AE1383="HALLUCINATION",U1383&lt;&gt;"",TRUE))</x:f>
        <x:v>0</x:v>
      </x:c>
      <x:c r="AG1383" t="n">
        <x:f>--AND(N1383=1,AF1383=1,OR(AE1383="SUPPORTED",AE1383="HALLUCINATION"))</x:f>
        <x:v>0</x:v>
      </x:c>
      <x:c r="AH1383" t="n">
        <x:f>--AND(AG1383=1,AE1383="HALLUCINATION")</x:f>
        <x:v>0</x:v>
      </x:c>
      <x:c r="AI1383" t="n">
        <x:f>--AND(Q1383=1,AF1383=1,AE1383="HALLUCINATION")</x:f>
        <x:v>0</x:v>
      </x:c>
      <x:c r="AJ1383" t="n">
        <x:f>--AND(AI1383=1,R1383=1,S1383=1)</x:f>
        <x:v>0</x:v>
      </x:c>
    </x:row>
    <x:row r="1384">
      <x:c r="A1384" s="28"/>
      <x:c r="B1384" s="28"/>
      <x:c r="C1384" s="28"/>
      <x:c r="D1384" s="28"/>
      <x:c r="E1384" s="28"/>
      <x:c r="F1384" s="28"/>
      <x:c r="G1384" s="28"/>
      <x:c r="H1384" s="28"/>
      <x:c r="I1384" s="28"/>
      <x:c r="J1384" s="28"/>
      <x:c r="K1384" s="28"/>
      <x:c r="L1384" s="28"/>
      <x:c r="M1384" s="28"/>
      <x:c r="N1384" s="28"/>
      <x:c r="O1384" s="28"/>
      <x:c r="P1384" s="28"/>
      <x:c r="Q1384" s="28"/>
      <x:c r="R1384" s="28"/>
      <x:c r="S1384" s="28"/>
      <x:c r="T1384" s="28"/>
      <x:c r="U1384" s="28"/>
      <x:c r="V1384" s="28"/>
      <x:c r="W1384" s="43" t="n">
        <x:f>--AND(N1384=1,OR(O1384="SUPPORTED",O1384="HALLUCINATION"))</x:f>
        <x:v>0</x:v>
      </x:c>
      <x:c r="X1384" s="43" t="n">
        <x:f>--AND(W1384=1,O1384="HALLUCINATION")</x:f>
        <x:v>0</x:v>
      </x:c>
      <x:c r="Y1384" s="43" t="n">
        <x:f>--AND(Q1384=1,O1384="HALLUCINATION")</x:f>
        <x:v>0</x:v>
      </x:c>
      <x:c r="Z1384" s="43" t="n">
        <x:f>--AND(Y1384=1,R1384=1,S1384=1)</x:f>
        <x:v>0</x:v>
      </x:c>
      <x:c r="AC1384" t="str">
        <x:f>IF(OR(AA1384="",AB1384=""),"",--(AA1384&lt;&gt;AB1384))</x:f>
      </x:c>
      <x:c r="AE1384" t="str">
        <x:f>IF(OR(AA1384="",AB1384=""),"PENDING_HUMAN",IF(AA1384=AB1384,AA1384,IF(AD1384&lt;&gt;"",AD1384,"PENDING_HUMAN")))</x:f>
        <x:v>PENDING_HUMAN</x:v>
      </x:c>
      <x:c r="AF1384" t="n">
        <x:f>--AND(A1384&lt;&gt;"",AA1384&lt;&gt;"",AB1384&lt;&gt;"",OR(AA1384=AB1384,AD1384&lt;&gt;""),IF(AE1384="HALLUCINATION",U1384&lt;&gt;"",TRUE))</x:f>
        <x:v>0</x:v>
      </x:c>
      <x:c r="AG1384" t="n">
        <x:f>--AND(N1384=1,AF1384=1,OR(AE1384="SUPPORTED",AE1384="HALLUCINATION"))</x:f>
        <x:v>0</x:v>
      </x:c>
      <x:c r="AH1384" t="n">
        <x:f>--AND(AG1384=1,AE1384="HALLUCINATION")</x:f>
        <x:v>0</x:v>
      </x:c>
      <x:c r="AI1384" t="n">
        <x:f>--AND(Q1384=1,AF1384=1,AE1384="HALLUCINATION")</x:f>
        <x:v>0</x:v>
      </x:c>
      <x:c r="AJ1384" t="n">
        <x:f>--AND(AI1384=1,R1384=1,S1384=1)</x:f>
        <x:v>0</x:v>
      </x:c>
    </x:row>
    <x:row r="1385">
      <x:c r="A1385" s="28"/>
      <x:c r="B1385" s="28"/>
      <x:c r="C1385" s="28"/>
      <x:c r="D1385" s="28"/>
      <x:c r="E1385" s="28"/>
      <x:c r="F1385" s="28"/>
      <x:c r="G1385" s="28"/>
      <x:c r="H1385" s="28"/>
      <x:c r="I1385" s="28"/>
      <x:c r="J1385" s="28"/>
      <x:c r="K1385" s="28"/>
      <x:c r="L1385" s="28"/>
      <x:c r="M1385" s="28"/>
      <x:c r="N1385" s="28"/>
      <x:c r="O1385" s="28"/>
      <x:c r="P1385" s="28"/>
      <x:c r="Q1385" s="28"/>
      <x:c r="R1385" s="28"/>
      <x:c r="S1385" s="28"/>
      <x:c r="T1385" s="28"/>
      <x:c r="U1385" s="28"/>
      <x:c r="V1385" s="28"/>
      <x:c r="W1385" s="43" t="n">
        <x:f>--AND(N1385=1,OR(O1385="SUPPORTED",O1385="HALLUCINATION"))</x:f>
        <x:v>0</x:v>
      </x:c>
      <x:c r="X1385" s="43" t="n">
        <x:f>--AND(W1385=1,O1385="HALLUCINATION")</x:f>
        <x:v>0</x:v>
      </x:c>
      <x:c r="Y1385" s="43" t="n">
        <x:f>--AND(Q1385=1,O1385="HALLUCINATION")</x:f>
        <x:v>0</x:v>
      </x:c>
      <x:c r="Z1385" s="43" t="n">
        <x:f>--AND(Y1385=1,R1385=1,S1385=1)</x:f>
        <x:v>0</x:v>
      </x:c>
      <x:c r="AC1385" t="str">
        <x:f>IF(OR(AA1385="",AB1385=""),"",--(AA1385&lt;&gt;AB1385))</x:f>
      </x:c>
      <x:c r="AE1385" t="str">
        <x:f>IF(OR(AA1385="",AB1385=""),"PENDING_HUMAN",IF(AA1385=AB1385,AA1385,IF(AD1385&lt;&gt;"",AD1385,"PENDING_HUMAN")))</x:f>
        <x:v>PENDING_HUMAN</x:v>
      </x:c>
      <x:c r="AF1385" t="n">
        <x:f>--AND(A1385&lt;&gt;"",AA1385&lt;&gt;"",AB1385&lt;&gt;"",OR(AA1385=AB1385,AD1385&lt;&gt;""),IF(AE1385="HALLUCINATION",U1385&lt;&gt;"",TRUE))</x:f>
        <x:v>0</x:v>
      </x:c>
      <x:c r="AG1385" t="n">
        <x:f>--AND(N1385=1,AF1385=1,OR(AE1385="SUPPORTED",AE1385="HALLUCINATION"))</x:f>
        <x:v>0</x:v>
      </x:c>
      <x:c r="AH1385" t="n">
        <x:f>--AND(AG1385=1,AE1385="HALLUCINATION")</x:f>
        <x:v>0</x:v>
      </x:c>
      <x:c r="AI1385" t="n">
        <x:f>--AND(Q1385=1,AF1385=1,AE1385="HALLUCINATION")</x:f>
        <x:v>0</x:v>
      </x:c>
      <x:c r="AJ1385" t="n">
        <x:f>--AND(AI1385=1,R1385=1,S1385=1)</x:f>
        <x:v>0</x:v>
      </x:c>
    </x:row>
    <x:row r="1386">
      <x:c r="A1386" s="28"/>
      <x:c r="B1386" s="28"/>
      <x:c r="C1386" s="28"/>
      <x:c r="D1386" s="28"/>
      <x:c r="E1386" s="28"/>
      <x:c r="F1386" s="28"/>
      <x:c r="G1386" s="28"/>
      <x:c r="H1386" s="28"/>
      <x:c r="I1386" s="28"/>
      <x:c r="J1386" s="28"/>
      <x:c r="K1386" s="28"/>
      <x:c r="L1386" s="28"/>
      <x:c r="M1386" s="28"/>
      <x:c r="N1386" s="28"/>
      <x:c r="O1386" s="28"/>
      <x:c r="P1386" s="28"/>
      <x:c r="Q1386" s="28"/>
      <x:c r="R1386" s="28"/>
      <x:c r="S1386" s="28"/>
      <x:c r="T1386" s="28"/>
      <x:c r="U1386" s="28"/>
      <x:c r="V1386" s="28"/>
      <x:c r="W1386" s="43" t="n">
        <x:f>--AND(N1386=1,OR(O1386="SUPPORTED",O1386="HALLUCINATION"))</x:f>
        <x:v>0</x:v>
      </x:c>
      <x:c r="X1386" s="43" t="n">
        <x:f>--AND(W1386=1,O1386="HALLUCINATION")</x:f>
        <x:v>0</x:v>
      </x:c>
      <x:c r="Y1386" s="43" t="n">
        <x:f>--AND(Q1386=1,O1386="HALLUCINATION")</x:f>
        <x:v>0</x:v>
      </x:c>
      <x:c r="Z1386" s="43" t="n">
        <x:f>--AND(Y1386=1,R1386=1,S1386=1)</x:f>
        <x:v>0</x:v>
      </x:c>
      <x:c r="AC1386" t="str">
        <x:f>IF(OR(AA1386="",AB1386=""),"",--(AA1386&lt;&gt;AB1386))</x:f>
      </x:c>
      <x:c r="AE1386" t="str">
        <x:f>IF(OR(AA1386="",AB1386=""),"PENDING_HUMAN",IF(AA1386=AB1386,AA1386,IF(AD1386&lt;&gt;"",AD1386,"PENDING_HUMAN")))</x:f>
        <x:v>PENDING_HUMAN</x:v>
      </x:c>
      <x:c r="AF1386" t="n">
        <x:f>--AND(A1386&lt;&gt;"",AA1386&lt;&gt;"",AB1386&lt;&gt;"",OR(AA1386=AB1386,AD1386&lt;&gt;""),IF(AE1386="HALLUCINATION",U1386&lt;&gt;"",TRUE))</x:f>
        <x:v>0</x:v>
      </x:c>
      <x:c r="AG1386" t="n">
        <x:f>--AND(N1386=1,AF1386=1,OR(AE1386="SUPPORTED",AE1386="HALLUCINATION"))</x:f>
        <x:v>0</x:v>
      </x:c>
      <x:c r="AH1386" t="n">
        <x:f>--AND(AG1386=1,AE1386="HALLUCINATION")</x:f>
        <x:v>0</x:v>
      </x:c>
      <x:c r="AI1386" t="n">
        <x:f>--AND(Q1386=1,AF1386=1,AE1386="HALLUCINATION")</x:f>
        <x:v>0</x:v>
      </x:c>
      <x:c r="AJ1386" t="n">
        <x:f>--AND(AI1386=1,R1386=1,S1386=1)</x:f>
        <x:v>0</x:v>
      </x:c>
    </x:row>
    <x:row r="1387">
      <x:c r="A1387" s="28"/>
      <x:c r="B1387" s="28"/>
      <x:c r="C1387" s="28"/>
      <x:c r="D1387" s="28"/>
      <x:c r="E1387" s="28"/>
      <x:c r="F1387" s="28"/>
      <x:c r="G1387" s="28"/>
      <x:c r="H1387" s="28"/>
      <x:c r="I1387" s="28"/>
      <x:c r="J1387" s="28"/>
      <x:c r="K1387" s="28"/>
      <x:c r="L1387" s="28"/>
      <x:c r="M1387" s="28"/>
      <x:c r="N1387" s="28"/>
      <x:c r="O1387" s="28"/>
      <x:c r="P1387" s="28"/>
      <x:c r="Q1387" s="28"/>
      <x:c r="R1387" s="28"/>
      <x:c r="S1387" s="28"/>
      <x:c r="T1387" s="28"/>
      <x:c r="U1387" s="28"/>
      <x:c r="V1387" s="28"/>
      <x:c r="W1387" s="43" t="n">
        <x:f>--AND(N1387=1,OR(O1387="SUPPORTED",O1387="HALLUCINATION"))</x:f>
        <x:v>0</x:v>
      </x:c>
      <x:c r="X1387" s="43" t="n">
        <x:f>--AND(W1387=1,O1387="HALLUCINATION")</x:f>
        <x:v>0</x:v>
      </x:c>
      <x:c r="Y1387" s="43" t="n">
        <x:f>--AND(Q1387=1,O1387="HALLUCINATION")</x:f>
        <x:v>0</x:v>
      </x:c>
      <x:c r="Z1387" s="43" t="n">
        <x:f>--AND(Y1387=1,R1387=1,S1387=1)</x:f>
        <x:v>0</x:v>
      </x:c>
      <x:c r="AC1387" t="str">
        <x:f>IF(OR(AA1387="",AB1387=""),"",--(AA1387&lt;&gt;AB1387))</x:f>
      </x:c>
      <x:c r="AE1387" t="str">
        <x:f>IF(OR(AA1387="",AB1387=""),"PENDING_HUMAN",IF(AA1387=AB1387,AA1387,IF(AD1387&lt;&gt;"",AD1387,"PENDING_HUMAN")))</x:f>
        <x:v>PENDING_HUMAN</x:v>
      </x:c>
      <x:c r="AF1387" t="n">
        <x:f>--AND(A1387&lt;&gt;"",AA1387&lt;&gt;"",AB1387&lt;&gt;"",OR(AA1387=AB1387,AD1387&lt;&gt;""),IF(AE1387="HALLUCINATION",U1387&lt;&gt;"",TRUE))</x:f>
        <x:v>0</x:v>
      </x:c>
      <x:c r="AG1387" t="n">
        <x:f>--AND(N1387=1,AF1387=1,OR(AE1387="SUPPORTED",AE1387="HALLUCINATION"))</x:f>
        <x:v>0</x:v>
      </x:c>
      <x:c r="AH1387" t="n">
        <x:f>--AND(AG1387=1,AE1387="HALLUCINATION")</x:f>
        <x:v>0</x:v>
      </x:c>
      <x:c r="AI1387" t="n">
        <x:f>--AND(Q1387=1,AF1387=1,AE1387="HALLUCINATION")</x:f>
        <x:v>0</x:v>
      </x:c>
      <x:c r="AJ1387" t="n">
        <x:f>--AND(AI1387=1,R1387=1,S1387=1)</x:f>
        <x:v>0</x:v>
      </x:c>
    </x:row>
    <x:row r="1388">
      <x:c r="A1388" s="28"/>
      <x:c r="B1388" s="28"/>
      <x:c r="C1388" s="28"/>
      <x:c r="D1388" s="28"/>
      <x:c r="E1388" s="28"/>
      <x:c r="F1388" s="28"/>
      <x:c r="G1388" s="28"/>
      <x:c r="H1388" s="28"/>
      <x:c r="I1388" s="28"/>
      <x:c r="J1388" s="28"/>
      <x:c r="K1388" s="28"/>
      <x:c r="L1388" s="28"/>
      <x:c r="M1388" s="28"/>
      <x:c r="N1388" s="28"/>
      <x:c r="O1388" s="28"/>
      <x:c r="P1388" s="28"/>
      <x:c r="Q1388" s="28"/>
      <x:c r="R1388" s="28"/>
      <x:c r="S1388" s="28"/>
      <x:c r="T1388" s="28"/>
      <x:c r="U1388" s="28"/>
      <x:c r="V1388" s="28"/>
      <x:c r="W1388" s="43" t="n">
        <x:f>--AND(N1388=1,OR(O1388="SUPPORTED",O1388="HALLUCINATION"))</x:f>
        <x:v>0</x:v>
      </x:c>
      <x:c r="X1388" s="43" t="n">
        <x:f>--AND(W1388=1,O1388="HALLUCINATION")</x:f>
        <x:v>0</x:v>
      </x:c>
      <x:c r="Y1388" s="43" t="n">
        <x:f>--AND(Q1388=1,O1388="HALLUCINATION")</x:f>
        <x:v>0</x:v>
      </x:c>
      <x:c r="Z1388" s="43" t="n">
        <x:f>--AND(Y1388=1,R1388=1,S1388=1)</x:f>
        <x:v>0</x:v>
      </x:c>
      <x:c r="AC1388" t="str">
        <x:f>IF(OR(AA1388="",AB1388=""),"",--(AA1388&lt;&gt;AB1388))</x:f>
      </x:c>
      <x:c r="AE1388" t="str">
        <x:f>IF(OR(AA1388="",AB1388=""),"PENDING_HUMAN",IF(AA1388=AB1388,AA1388,IF(AD1388&lt;&gt;"",AD1388,"PENDING_HUMAN")))</x:f>
        <x:v>PENDING_HUMAN</x:v>
      </x:c>
      <x:c r="AF1388" t="n">
        <x:f>--AND(A1388&lt;&gt;"",AA1388&lt;&gt;"",AB1388&lt;&gt;"",OR(AA1388=AB1388,AD1388&lt;&gt;""),IF(AE1388="HALLUCINATION",U1388&lt;&gt;"",TRUE))</x:f>
        <x:v>0</x:v>
      </x:c>
      <x:c r="AG1388" t="n">
        <x:f>--AND(N1388=1,AF1388=1,OR(AE1388="SUPPORTED",AE1388="HALLUCINATION"))</x:f>
        <x:v>0</x:v>
      </x:c>
      <x:c r="AH1388" t="n">
        <x:f>--AND(AG1388=1,AE1388="HALLUCINATION")</x:f>
        <x:v>0</x:v>
      </x:c>
      <x:c r="AI1388" t="n">
        <x:f>--AND(Q1388=1,AF1388=1,AE1388="HALLUCINATION")</x:f>
        <x:v>0</x:v>
      </x:c>
      <x:c r="AJ1388" t="n">
        <x:f>--AND(AI1388=1,R1388=1,S1388=1)</x:f>
        <x:v>0</x:v>
      </x:c>
    </x:row>
    <x:row r="1389">
      <x:c r="A1389" s="28"/>
      <x:c r="B1389" s="28"/>
      <x:c r="C1389" s="28"/>
      <x:c r="D1389" s="28"/>
      <x:c r="E1389" s="28"/>
      <x:c r="F1389" s="28"/>
      <x:c r="G1389" s="28"/>
      <x:c r="H1389" s="28"/>
      <x:c r="I1389" s="28"/>
      <x:c r="J1389" s="28"/>
      <x:c r="K1389" s="28"/>
      <x:c r="L1389" s="28"/>
      <x:c r="M1389" s="28"/>
      <x:c r="N1389" s="28"/>
      <x:c r="O1389" s="28"/>
      <x:c r="P1389" s="28"/>
      <x:c r="Q1389" s="28"/>
      <x:c r="R1389" s="28"/>
      <x:c r="S1389" s="28"/>
      <x:c r="T1389" s="28"/>
      <x:c r="U1389" s="28"/>
      <x:c r="V1389" s="28"/>
      <x:c r="W1389" s="43" t="n">
        <x:f>--AND(N1389=1,OR(O1389="SUPPORTED",O1389="HALLUCINATION"))</x:f>
        <x:v>0</x:v>
      </x:c>
      <x:c r="X1389" s="43" t="n">
        <x:f>--AND(W1389=1,O1389="HALLUCINATION")</x:f>
        <x:v>0</x:v>
      </x:c>
      <x:c r="Y1389" s="43" t="n">
        <x:f>--AND(Q1389=1,O1389="HALLUCINATION")</x:f>
        <x:v>0</x:v>
      </x:c>
      <x:c r="Z1389" s="43" t="n">
        <x:f>--AND(Y1389=1,R1389=1,S1389=1)</x:f>
        <x:v>0</x:v>
      </x:c>
      <x:c r="AC1389" t="str">
        <x:f>IF(OR(AA1389="",AB1389=""),"",--(AA1389&lt;&gt;AB1389))</x:f>
      </x:c>
      <x:c r="AE1389" t="str">
        <x:f>IF(OR(AA1389="",AB1389=""),"PENDING_HUMAN",IF(AA1389=AB1389,AA1389,IF(AD1389&lt;&gt;"",AD1389,"PENDING_HUMAN")))</x:f>
        <x:v>PENDING_HUMAN</x:v>
      </x:c>
      <x:c r="AF1389" t="n">
        <x:f>--AND(A1389&lt;&gt;"",AA1389&lt;&gt;"",AB1389&lt;&gt;"",OR(AA1389=AB1389,AD1389&lt;&gt;""),IF(AE1389="HALLUCINATION",U1389&lt;&gt;"",TRUE))</x:f>
        <x:v>0</x:v>
      </x:c>
      <x:c r="AG1389" t="n">
        <x:f>--AND(N1389=1,AF1389=1,OR(AE1389="SUPPORTED",AE1389="HALLUCINATION"))</x:f>
        <x:v>0</x:v>
      </x:c>
      <x:c r="AH1389" t="n">
        <x:f>--AND(AG1389=1,AE1389="HALLUCINATION")</x:f>
        <x:v>0</x:v>
      </x:c>
      <x:c r="AI1389" t="n">
        <x:f>--AND(Q1389=1,AF1389=1,AE1389="HALLUCINATION")</x:f>
        <x:v>0</x:v>
      </x:c>
      <x:c r="AJ1389" t="n">
        <x:f>--AND(AI1389=1,R1389=1,S1389=1)</x:f>
        <x:v>0</x:v>
      </x:c>
    </x:row>
    <x:row r="1390">
      <x:c r="A1390" s="28"/>
      <x:c r="B1390" s="28"/>
      <x:c r="C1390" s="28"/>
      <x:c r="D1390" s="28"/>
      <x:c r="E1390" s="28"/>
      <x:c r="F1390" s="28"/>
      <x:c r="G1390" s="28"/>
      <x:c r="H1390" s="28"/>
      <x:c r="I1390" s="28"/>
      <x:c r="J1390" s="28"/>
      <x:c r="K1390" s="28"/>
      <x:c r="L1390" s="28"/>
      <x:c r="M1390" s="28"/>
      <x:c r="N1390" s="28"/>
      <x:c r="O1390" s="28"/>
      <x:c r="P1390" s="28"/>
      <x:c r="Q1390" s="28"/>
      <x:c r="R1390" s="28"/>
      <x:c r="S1390" s="28"/>
      <x:c r="T1390" s="28"/>
      <x:c r="U1390" s="28"/>
      <x:c r="V1390" s="28"/>
      <x:c r="W1390" s="43" t="n">
        <x:f>--AND(N1390=1,OR(O1390="SUPPORTED",O1390="HALLUCINATION"))</x:f>
        <x:v>0</x:v>
      </x:c>
      <x:c r="X1390" s="43" t="n">
        <x:f>--AND(W1390=1,O1390="HALLUCINATION")</x:f>
        <x:v>0</x:v>
      </x:c>
      <x:c r="Y1390" s="43" t="n">
        <x:f>--AND(Q1390=1,O1390="HALLUCINATION")</x:f>
        <x:v>0</x:v>
      </x:c>
      <x:c r="Z1390" s="43" t="n">
        <x:f>--AND(Y1390=1,R1390=1,S1390=1)</x:f>
        <x:v>0</x:v>
      </x:c>
      <x:c r="AC1390" t="str">
        <x:f>IF(OR(AA1390="",AB1390=""),"",--(AA1390&lt;&gt;AB1390))</x:f>
      </x:c>
      <x:c r="AE1390" t="str">
        <x:f>IF(OR(AA1390="",AB1390=""),"PENDING_HUMAN",IF(AA1390=AB1390,AA1390,IF(AD1390&lt;&gt;"",AD1390,"PENDING_HUMAN")))</x:f>
        <x:v>PENDING_HUMAN</x:v>
      </x:c>
      <x:c r="AF1390" t="n">
        <x:f>--AND(A1390&lt;&gt;"",AA1390&lt;&gt;"",AB1390&lt;&gt;"",OR(AA1390=AB1390,AD1390&lt;&gt;""),IF(AE1390="HALLUCINATION",U1390&lt;&gt;"",TRUE))</x:f>
        <x:v>0</x:v>
      </x:c>
      <x:c r="AG1390" t="n">
        <x:f>--AND(N1390=1,AF1390=1,OR(AE1390="SUPPORTED",AE1390="HALLUCINATION"))</x:f>
        <x:v>0</x:v>
      </x:c>
      <x:c r="AH1390" t="n">
        <x:f>--AND(AG1390=1,AE1390="HALLUCINATION")</x:f>
        <x:v>0</x:v>
      </x:c>
      <x:c r="AI1390" t="n">
        <x:f>--AND(Q1390=1,AF1390=1,AE1390="HALLUCINATION")</x:f>
        <x:v>0</x:v>
      </x:c>
      <x:c r="AJ1390" t="n">
        <x:f>--AND(AI1390=1,R1390=1,S1390=1)</x:f>
        <x:v>0</x:v>
      </x:c>
    </x:row>
    <x:row r="1391">
      <x:c r="A1391" s="28"/>
      <x:c r="B1391" s="28"/>
      <x:c r="C1391" s="28"/>
      <x:c r="D1391" s="28"/>
      <x:c r="E1391" s="28"/>
      <x:c r="F1391" s="28"/>
      <x:c r="G1391" s="28"/>
      <x:c r="H1391" s="28"/>
      <x:c r="I1391" s="28"/>
      <x:c r="J1391" s="28"/>
      <x:c r="K1391" s="28"/>
      <x:c r="L1391" s="28"/>
      <x:c r="M1391" s="28"/>
      <x:c r="N1391" s="28"/>
      <x:c r="O1391" s="28"/>
      <x:c r="P1391" s="28"/>
      <x:c r="Q1391" s="28"/>
      <x:c r="R1391" s="28"/>
      <x:c r="S1391" s="28"/>
      <x:c r="T1391" s="28"/>
      <x:c r="U1391" s="28"/>
      <x:c r="V1391" s="28"/>
      <x:c r="W1391" s="43" t="n">
        <x:f>--AND(N1391=1,OR(O1391="SUPPORTED",O1391="HALLUCINATION"))</x:f>
        <x:v>0</x:v>
      </x:c>
      <x:c r="X1391" s="43" t="n">
        <x:f>--AND(W1391=1,O1391="HALLUCINATION")</x:f>
        <x:v>0</x:v>
      </x:c>
      <x:c r="Y1391" s="43" t="n">
        <x:f>--AND(Q1391=1,O1391="HALLUCINATION")</x:f>
        <x:v>0</x:v>
      </x:c>
      <x:c r="Z1391" s="43" t="n">
        <x:f>--AND(Y1391=1,R1391=1,S1391=1)</x:f>
        <x:v>0</x:v>
      </x:c>
      <x:c r="AC1391" t="str">
        <x:f>IF(OR(AA1391="",AB1391=""),"",--(AA1391&lt;&gt;AB1391))</x:f>
      </x:c>
      <x:c r="AE1391" t="str">
        <x:f>IF(OR(AA1391="",AB1391=""),"PENDING_HUMAN",IF(AA1391=AB1391,AA1391,IF(AD1391&lt;&gt;"",AD1391,"PENDING_HUMAN")))</x:f>
        <x:v>PENDING_HUMAN</x:v>
      </x:c>
      <x:c r="AF1391" t="n">
        <x:f>--AND(A1391&lt;&gt;"",AA1391&lt;&gt;"",AB1391&lt;&gt;"",OR(AA1391=AB1391,AD1391&lt;&gt;""),IF(AE1391="HALLUCINATION",U1391&lt;&gt;"",TRUE))</x:f>
        <x:v>0</x:v>
      </x:c>
      <x:c r="AG1391" t="n">
        <x:f>--AND(N1391=1,AF1391=1,OR(AE1391="SUPPORTED",AE1391="HALLUCINATION"))</x:f>
        <x:v>0</x:v>
      </x:c>
      <x:c r="AH1391" t="n">
        <x:f>--AND(AG1391=1,AE1391="HALLUCINATION")</x:f>
        <x:v>0</x:v>
      </x:c>
      <x:c r="AI1391" t="n">
        <x:f>--AND(Q1391=1,AF1391=1,AE1391="HALLUCINATION")</x:f>
        <x:v>0</x:v>
      </x:c>
      <x:c r="AJ1391" t="n">
        <x:f>--AND(AI1391=1,R1391=1,S1391=1)</x:f>
        <x:v>0</x:v>
      </x:c>
    </x:row>
    <x:row r="1392">
      <x:c r="A1392" s="28"/>
      <x:c r="B1392" s="28"/>
      <x:c r="C1392" s="28"/>
      <x:c r="D1392" s="28"/>
      <x:c r="E1392" s="28"/>
      <x:c r="F1392" s="28"/>
      <x:c r="G1392" s="28"/>
      <x:c r="H1392" s="28"/>
      <x:c r="I1392" s="28"/>
      <x:c r="J1392" s="28"/>
      <x:c r="K1392" s="28"/>
      <x:c r="L1392" s="28"/>
      <x:c r="M1392" s="28"/>
      <x:c r="N1392" s="28"/>
      <x:c r="O1392" s="28"/>
      <x:c r="P1392" s="28"/>
      <x:c r="Q1392" s="28"/>
      <x:c r="R1392" s="28"/>
      <x:c r="S1392" s="28"/>
      <x:c r="T1392" s="28"/>
      <x:c r="U1392" s="28"/>
      <x:c r="V1392" s="28"/>
      <x:c r="W1392" s="43" t="n">
        <x:f>--AND(N1392=1,OR(O1392="SUPPORTED",O1392="HALLUCINATION"))</x:f>
        <x:v>0</x:v>
      </x:c>
      <x:c r="X1392" s="43" t="n">
        <x:f>--AND(W1392=1,O1392="HALLUCINATION")</x:f>
        <x:v>0</x:v>
      </x:c>
      <x:c r="Y1392" s="43" t="n">
        <x:f>--AND(Q1392=1,O1392="HALLUCINATION")</x:f>
        <x:v>0</x:v>
      </x:c>
      <x:c r="Z1392" s="43" t="n">
        <x:f>--AND(Y1392=1,R1392=1,S1392=1)</x:f>
        <x:v>0</x:v>
      </x:c>
      <x:c r="AC1392" t="str">
        <x:f>IF(OR(AA1392="",AB1392=""),"",--(AA1392&lt;&gt;AB1392))</x:f>
      </x:c>
      <x:c r="AE1392" t="str">
        <x:f>IF(OR(AA1392="",AB1392=""),"PENDING_HUMAN",IF(AA1392=AB1392,AA1392,IF(AD1392&lt;&gt;"",AD1392,"PENDING_HUMAN")))</x:f>
        <x:v>PENDING_HUMAN</x:v>
      </x:c>
      <x:c r="AF1392" t="n">
        <x:f>--AND(A1392&lt;&gt;"",AA1392&lt;&gt;"",AB1392&lt;&gt;"",OR(AA1392=AB1392,AD1392&lt;&gt;""),IF(AE1392="HALLUCINATION",U1392&lt;&gt;"",TRUE))</x:f>
        <x:v>0</x:v>
      </x:c>
      <x:c r="AG1392" t="n">
        <x:f>--AND(N1392=1,AF1392=1,OR(AE1392="SUPPORTED",AE1392="HALLUCINATION"))</x:f>
        <x:v>0</x:v>
      </x:c>
      <x:c r="AH1392" t="n">
        <x:f>--AND(AG1392=1,AE1392="HALLUCINATION")</x:f>
        <x:v>0</x:v>
      </x:c>
      <x:c r="AI1392" t="n">
        <x:f>--AND(Q1392=1,AF1392=1,AE1392="HALLUCINATION")</x:f>
        <x:v>0</x:v>
      </x:c>
      <x:c r="AJ1392" t="n">
        <x:f>--AND(AI1392=1,R1392=1,S1392=1)</x:f>
        <x:v>0</x:v>
      </x:c>
    </x:row>
    <x:row r="1393">
      <x:c r="A1393" s="28"/>
      <x:c r="B1393" s="28"/>
      <x:c r="C1393" s="28"/>
      <x:c r="D1393" s="28"/>
      <x:c r="E1393" s="28"/>
      <x:c r="F1393" s="28"/>
      <x:c r="G1393" s="28"/>
      <x:c r="H1393" s="28"/>
      <x:c r="I1393" s="28"/>
      <x:c r="J1393" s="28"/>
      <x:c r="K1393" s="28"/>
      <x:c r="L1393" s="28"/>
      <x:c r="M1393" s="28"/>
      <x:c r="N1393" s="28"/>
      <x:c r="O1393" s="28"/>
      <x:c r="P1393" s="28"/>
      <x:c r="Q1393" s="28"/>
      <x:c r="R1393" s="28"/>
      <x:c r="S1393" s="28"/>
      <x:c r="T1393" s="28"/>
      <x:c r="U1393" s="28"/>
      <x:c r="V1393" s="28"/>
      <x:c r="W1393" s="43" t="n">
        <x:f>--AND(N1393=1,OR(O1393="SUPPORTED",O1393="HALLUCINATION"))</x:f>
        <x:v>0</x:v>
      </x:c>
      <x:c r="X1393" s="43" t="n">
        <x:f>--AND(W1393=1,O1393="HALLUCINATION")</x:f>
        <x:v>0</x:v>
      </x:c>
      <x:c r="Y1393" s="43" t="n">
        <x:f>--AND(Q1393=1,O1393="HALLUCINATION")</x:f>
        <x:v>0</x:v>
      </x:c>
      <x:c r="Z1393" s="43" t="n">
        <x:f>--AND(Y1393=1,R1393=1,S1393=1)</x:f>
        <x:v>0</x:v>
      </x:c>
      <x:c r="AC1393" t="str">
        <x:f>IF(OR(AA1393="",AB1393=""),"",--(AA1393&lt;&gt;AB1393))</x:f>
      </x:c>
      <x:c r="AE1393" t="str">
        <x:f>IF(OR(AA1393="",AB1393=""),"PENDING_HUMAN",IF(AA1393=AB1393,AA1393,IF(AD1393&lt;&gt;"",AD1393,"PENDING_HUMAN")))</x:f>
        <x:v>PENDING_HUMAN</x:v>
      </x:c>
      <x:c r="AF1393" t="n">
        <x:f>--AND(A1393&lt;&gt;"",AA1393&lt;&gt;"",AB1393&lt;&gt;"",OR(AA1393=AB1393,AD1393&lt;&gt;""),IF(AE1393="HALLUCINATION",U1393&lt;&gt;"",TRUE))</x:f>
        <x:v>0</x:v>
      </x:c>
      <x:c r="AG1393" t="n">
        <x:f>--AND(N1393=1,AF1393=1,OR(AE1393="SUPPORTED",AE1393="HALLUCINATION"))</x:f>
        <x:v>0</x:v>
      </x:c>
      <x:c r="AH1393" t="n">
        <x:f>--AND(AG1393=1,AE1393="HALLUCINATION")</x:f>
        <x:v>0</x:v>
      </x:c>
      <x:c r="AI1393" t="n">
        <x:f>--AND(Q1393=1,AF1393=1,AE1393="HALLUCINATION")</x:f>
        <x:v>0</x:v>
      </x:c>
      <x:c r="AJ1393" t="n">
        <x:f>--AND(AI1393=1,R1393=1,S1393=1)</x:f>
        <x:v>0</x:v>
      </x:c>
    </x:row>
    <x:row r="1394">
      <x:c r="A1394" s="28"/>
      <x:c r="B1394" s="28"/>
      <x:c r="C1394" s="28"/>
      <x:c r="D1394" s="28"/>
      <x:c r="E1394" s="28"/>
      <x:c r="F1394" s="28"/>
      <x:c r="G1394" s="28"/>
      <x:c r="H1394" s="28"/>
      <x:c r="I1394" s="28"/>
      <x:c r="J1394" s="28"/>
      <x:c r="K1394" s="28"/>
      <x:c r="L1394" s="28"/>
      <x:c r="M1394" s="28"/>
      <x:c r="N1394" s="28"/>
      <x:c r="O1394" s="28"/>
      <x:c r="P1394" s="28"/>
      <x:c r="Q1394" s="28"/>
      <x:c r="R1394" s="28"/>
      <x:c r="S1394" s="28"/>
      <x:c r="T1394" s="28"/>
      <x:c r="U1394" s="28"/>
      <x:c r="V1394" s="28"/>
      <x:c r="W1394" s="43" t="n">
        <x:f>--AND(N1394=1,OR(O1394="SUPPORTED",O1394="HALLUCINATION"))</x:f>
        <x:v>0</x:v>
      </x:c>
      <x:c r="X1394" s="43" t="n">
        <x:f>--AND(W1394=1,O1394="HALLUCINATION")</x:f>
        <x:v>0</x:v>
      </x:c>
      <x:c r="Y1394" s="43" t="n">
        <x:f>--AND(Q1394=1,O1394="HALLUCINATION")</x:f>
        <x:v>0</x:v>
      </x:c>
      <x:c r="Z1394" s="43" t="n">
        <x:f>--AND(Y1394=1,R1394=1,S1394=1)</x:f>
        <x:v>0</x:v>
      </x:c>
      <x:c r="AC1394" t="str">
        <x:f>IF(OR(AA1394="",AB1394=""),"",--(AA1394&lt;&gt;AB1394))</x:f>
      </x:c>
      <x:c r="AE1394" t="str">
        <x:f>IF(OR(AA1394="",AB1394=""),"PENDING_HUMAN",IF(AA1394=AB1394,AA1394,IF(AD1394&lt;&gt;"",AD1394,"PENDING_HUMAN")))</x:f>
        <x:v>PENDING_HUMAN</x:v>
      </x:c>
      <x:c r="AF1394" t="n">
        <x:f>--AND(A1394&lt;&gt;"",AA1394&lt;&gt;"",AB1394&lt;&gt;"",OR(AA1394=AB1394,AD1394&lt;&gt;""),IF(AE1394="HALLUCINATION",U1394&lt;&gt;"",TRUE))</x:f>
        <x:v>0</x:v>
      </x:c>
      <x:c r="AG1394" t="n">
        <x:f>--AND(N1394=1,AF1394=1,OR(AE1394="SUPPORTED",AE1394="HALLUCINATION"))</x:f>
        <x:v>0</x:v>
      </x:c>
      <x:c r="AH1394" t="n">
        <x:f>--AND(AG1394=1,AE1394="HALLUCINATION")</x:f>
        <x:v>0</x:v>
      </x:c>
      <x:c r="AI1394" t="n">
        <x:f>--AND(Q1394=1,AF1394=1,AE1394="HALLUCINATION")</x:f>
        <x:v>0</x:v>
      </x:c>
      <x:c r="AJ1394" t="n">
        <x:f>--AND(AI1394=1,R1394=1,S1394=1)</x:f>
        <x:v>0</x:v>
      </x:c>
    </x:row>
    <x:row r="1395">
      <x:c r="A1395" s="28"/>
      <x:c r="B1395" s="28"/>
      <x:c r="C1395" s="28"/>
      <x:c r="D1395" s="28"/>
      <x:c r="E1395" s="28"/>
      <x:c r="F1395" s="28"/>
      <x:c r="G1395" s="28"/>
      <x:c r="H1395" s="28"/>
      <x:c r="I1395" s="28"/>
      <x:c r="J1395" s="28"/>
      <x:c r="K1395" s="28"/>
      <x:c r="L1395" s="28"/>
      <x:c r="M1395" s="28"/>
      <x:c r="N1395" s="28"/>
      <x:c r="O1395" s="28"/>
      <x:c r="P1395" s="28"/>
      <x:c r="Q1395" s="28"/>
      <x:c r="R1395" s="28"/>
      <x:c r="S1395" s="28"/>
      <x:c r="T1395" s="28"/>
      <x:c r="U1395" s="28"/>
      <x:c r="V1395" s="28"/>
      <x:c r="W1395" s="43" t="n">
        <x:f>--AND(N1395=1,OR(O1395="SUPPORTED",O1395="HALLUCINATION"))</x:f>
        <x:v>0</x:v>
      </x:c>
      <x:c r="X1395" s="43" t="n">
        <x:f>--AND(W1395=1,O1395="HALLUCINATION")</x:f>
        <x:v>0</x:v>
      </x:c>
      <x:c r="Y1395" s="43" t="n">
        <x:f>--AND(Q1395=1,O1395="HALLUCINATION")</x:f>
        <x:v>0</x:v>
      </x:c>
      <x:c r="Z1395" s="43" t="n">
        <x:f>--AND(Y1395=1,R1395=1,S1395=1)</x:f>
        <x:v>0</x:v>
      </x:c>
      <x:c r="AC1395" t="str">
        <x:f>IF(OR(AA1395="",AB1395=""),"",--(AA1395&lt;&gt;AB1395))</x:f>
      </x:c>
      <x:c r="AE1395" t="str">
        <x:f>IF(OR(AA1395="",AB1395=""),"PENDING_HUMAN",IF(AA1395=AB1395,AA1395,IF(AD1395&lt;&gt;"",AD1395,"PENDING_HUMAN")))</x:f>
        <x:v>PENDING_HUMAN</x:v>
      </x:c>
      <x:c r="AF1395" t="n">
        <x:f>--AND(A1395&lt;&gt;"",AA1395&lt;&gt;"",AB1395&lt;&gt;"",OR(AA1395=AB1395,AD1395&lt;&gt;""),IF(AE1395="HALLUCINATION",U1395&lt;&gt;"",TRUE))</x:f>
        <x:v>0</x:v>
      </x:c>
      <x:c r="AG1395" t="n">
        <x:f>--AND(N1395=1,AF1395=1,OR(AE1395="SUPPORTED",AE1395="HALLUCINATION"))</x:f>
        <x:v>0</x:v>
      </x:c>
      <x:c r="AH1395" t="n">
        <x:f>--AND(AG1395=1,AE1395="HALLUCINATION")</x:f>
        <x:v>0</x:v>
      </x:c>
      <x:c r="AI1395" t="n">
        <x:f>--AND(Q1395=1,AF1395=1,AE1395="HALLUCINATION")</x:f>
        <x:v>0</x:v>
      </x:c>
      <x:c r="AJ1395" t="n">
        <x:f>--AND(AI1395=1,R1395=1,S1395=1)</x:f>
        <x:v>0</x:v>
      </x:c>
    </x:row>
    <x:row r="1396">
      <x:c r="A1396" s="28"/>
      <x:c r="B1396" s="28"/>
      <x:c r="C1396" s="28"/>
      <x:c r="D1396" s="28"/>
      <x:c r="E1396" s="28"/>
      <x:c r="F1396" s="28"/>
      <x:c r="G1396" s="28"/>
      <x:c r="H1396" s="28"/>
      <x:c r="I1396" s="28"/>
      <x:c r="J1396" s="28"/>
      <x:c r="K1396" s="28"/>
      <x:c r="L1396" s="28"/>
      <x:c r="M1396" s="28"/>
      <x:c r="N1396" s="28"/>
      <x:c r="O1396" s="28"/>
      <x:c r="P1396" s="28"/>
      <x:c r="Q1396" s="28"/>
      <x:c r="R1396" s="28"/>
      <x:c r="S1396" s="28"/>
      <x:c r="T1396" s="28"/>
      <x:c r="U1396" s="28"/>
      <x:c r="V1396" s="28"/>
      <x:c r="W1396" s="43" t="n">
        <x:f>--AND(N1396=1,OR(O1396="SUPPORTED",O1396="HALLUCINATION"))</x:f>
        <x:v>0</x:v>
      </x:c>
      <x:c r="X1396" s="43" t="n">
        <x:f>--AND(W1396=1,O1396="HALLUCINATION")</x:f>
        <x:v>0</x:v>
      </x:c>
      <x:c r="Y1396" s="43" t="n">
        <x:f>--AND(Q1396=1,O1396="HALLUCINATION")</x:f>
        <x:v>0</x:v>
      </x:c>
      <x:c r="Z1396" s="43" t="n">
        <x:f>--AND(Y1396=1,R1396=1,S1396=1)</x:f>
        <x:v>0</x:v>
      </x:c>
      <x:c r="AC1396" t="str">
        <x:f>IF(OR(AA1396="",AB1396=""),"",--(AA1396&lt;&gt;AB1396))</x:f>
      </x:c>
      <x:c r="AE1396" t="str">
        <x:f>IF(OR(AA1396="",AB1396=""),"PENDING_HUMAN",IF(AA1396=AB1396,AA1396,IF(AD1396&lt;&gt;"",AD1396,"PENDING_HUMAN")))</x:f>
        <x:v>PENDING_HUMAN</x:v>
      </x:c>
      <x:c r="AF1396" t="n">
        <x:f>--AND(A1396&lt;&gt;"",AA1396&lt;&gt;"",AB1396&lt;&gt;"",OR(AA1396=AB1396,AD1396&lt;&gt;""),IF(AE1396="HALLUCINATION",U1396&lt;&gt;"",TRUE))</x:f>
        <x:v>0</x:v>
      </x:c>
      <x:c r="AG1396" t="n">
        <x:f>--AND(N1396=1,AF1396=1,OR(AE1396="SUPPORTED",AE1396="HALLUCINATION"))</x:f>
        <x:v>0</x:v>
      </x:c>
      <x:c r="AH1396" t="n">
        <x:f>--AND(AG1396=1,AE1396="HALLUCINATION")</x:f>
        <x:v>0</x:v>
      </x:c>
      <x:c r="AI1396" t="n">
        <x:f>--AND(Q1396=1,AF1396=1,AE1396="HALLUCINATION")</x:f>
        <x:v>0</x:v>
      </x:c>
      <x:c r="AJ1396" t="n">
        <x:f>--AND(AI1396=1,R1396=1,S1396=1)</x:f>
        <x:v>0</x:v>
      </x:c>
    </x:row>
    <x:row r="1397">
      <x:c r="A1397" s="28"/>
      <x:c r="B1397" s="28"/>
      <x:c r="C1397" s="28"/>
      <x:c r="D1397" s="28"/>
      <x:c r="E1397" s="28"/>
      <x:c r="F1397" s="28"/>
      <x:c r="G1397" s="28"/>
      <x:c r="H1397" s="28"/>
      <x:c r="I1397" s="28"/>
      <x:c r="J1397" s="28"/>
      <x:c r="K1397" s="28"/>
      <x:c r="L1397" s="28"/>
      <x:c r="M1397" s="28"/>
      <x:c r="N1397" s="28"/>
      <x:c r="O1397" s="28"/>
      <x:c r="P1397" s="28"/>
      <x:c r="Q1397" s="28"/>
      <x:c r="R1397" s="28"/>
      <x:c r="S1397" s="28"/>
      <x:c r="T1397" s="28"/>
      <x:c r="U1397" s="28"/>
      <x:c r="V1397" s="28"/>
      <x:c r="W1397" s="43" t="n">
        <x:f>--AND(N1397=1,OR(O1397="SUPPORTED",O1397="HALLUCINATION"))</x:f>
        <x:v>0</x:v>
      </x:c>
      <x:c r="X1397" s="43" t="n">
        <x:f>--AND(W1397=1,O1397="HALLUCINATION")</x:f>
        <x:v>0</x:v>
      </x:c>
      <x:c r="Y1397" s="43" t="n">
        <x:f>--AND(Q1397=1,O1397="HALLUCINATION")</x:f>
        <x:v>0</x:v>
      </x:c>
      <x:c r="Z1397" s="43" t="n">
        <x:f>--AND(Y1397=1,R1397=1,S1397=1)</x:f>
        <x:v>0</x:v>
      </x:c>
      <x:c r="AC1397" t="str">
        <x:f>IF(OR(AA1397="",AB1397=""),"",--(AA1397&lt;&gt;AB1397))</x:f>
      </x:c>
      <x:c r="AE1397" t="str">
        <x:f>IF(OR(AA1397="",AB1397=""),"PENDING_HUMAN",IF(AA1397=AB1397,AA1397,IF(AD1397&lt;&gt;"",AD1397,"PENDING_HUMAN")))</x:f>
        <x:v>PENDING_HUMAN</x:v>
      </x:c>
      <x:c r="AF1397" t="n">
        <x:f>--AND(A1397&lt;&gt;"",AA1397&lt;&gt;"",AB1397&lt;&gt;"",OR(AA1397=AB1397,AD1397&lt;&gt;""),IF(AE1397="HALLUCINATION",U1397&lt;&gt;"",TRUE))</x:f>
        <x:v>0</x:v>
      </x:c>
      <x:c r="AG1397" t="n">
        <x:f>--AND(N1397=1,AF1397=1,OR(AE1397="SUPPORTED",AE1397="HALLUCINATION"))</x:f>
        <x:v>0</x:v>
      </x:c>
      <x:c r="AH1397" t="n">
        <x:f>--AND(AG1397=1,AE1397="HALLUCINATION")</x:f>
        <x:v>0</x:v>
      </x:c>
      <x:c r="AI1397" t="n">
        <x:f>--AND(Q1397=1,AF1397=1,AE1397="HALLUCINATION")</x:f>
        <x:v>0</x:v>
      </x:c>
      <x:c r="AJ1397" t="n">
        <x:f>--AND(AI1397=1,R1397=1,S1397=1)</x:f>
        <x:v>0</x:v>
      </x:c>
    </x:row>
    <x:row r="1398">
      <x:c r="A1398" s="28"/>
      <x:c r="B1398" s="28"/>
      <x:c r="C1398" s="28"/>
      <x:c r="D1398" s="28"/>
      <x:c r="E1398" s="28"/>
      <x:c r="F1398" s="28"/>
      <x:c r="G1398" s="28"/>
      <x:c r="H1398" s="28"/>
      <x:c r="I1398" s="28"/>
      <x:c r="J1398" s="28"/>
      <x:c r="K1398" s="28"/>
      <x:c r="L1398" s="28"/>
      <x:c r="M1398" s="28"/>
      <x:c r="N1398" s="28"/>
      <x:c r="O1398" s="28"/>
      <x:c r="P1398" s="28"/>
      <x:c r="Q1398" s="28"/>
      <x:c r="R1398" s="28"/>
      <x:c r="S1398" s="28"/>
      <x:c r="T1398" s="28"/>
      <x:c r="U1398" s="28"/>
      <x:c r="V1398" s="28"/>
      <x:c r="W1398" s="43" t="n">
        <x:f>--AND(N1398=1,OR(O1398="SUPPORTED",O1398="HALLUCINATION"))</x:f>
        <x:v>0</x:v>
      </x:c>
      <x:c r="X1398" s="43" t="n">
        <x:f>--AND(W1398=1,O1398="HALLUCINATION")</x:f>
        <x:v>0</x:v>
      </x:c>
      <x:c r="Y1398" s="43" t="n">
        <x:f>--AND(Q1398=1,O1398="HALLUCINATION")</x:f>
        <x:v>0</x:v>
      </x:c>
      <x:c r="Z1398" s="43" t="n">
        <x:f>--AND(Y1398=1,R1398=1,S1398=1)</x:f>
        <x:v>0</x:v>
      </x:c>
      <x:c r="AC1398" t="str">
        <x:f>IF(OR(AA1398="",AB1398=""),"",--(AA1398&lt;&gt;AB1398))</x:f>
      </x:c>
      <x:c r="AE1398" t="str">
        <x:f>IF(OR(AA1398="",AB1398=""),"PENDING_HUMAN",IF(AA1398=AB1398,AA1398,IF(AD1398&lt;&gt;"",AD1398,"PENDING_HUMAN")))</x:f>
        <x:v>PENDING_HUMAN</x:v>
      </x:c>
      <x:c r="AF1398" t="n">
        <x:f>--AND(A1398&lt;&gt;"",AA1398&lt;&gt;"",AB1398&lt;&gt;"",OR(AA1398=AB1398,AD1398&lt;&gt;""),IF(AE1398="HALLUCINATION",U1398&lt;&gt;"",TRUE))</x:f>
        <x:v>0</x:v>
      </x:c>
      <x:c r="AG1398" t="n">
        <x:f>--AND(N1398=1,AF1398=1,OR(AE1398="SUPPORTED",AE1398="HALLUCINATION"))</x:f>
        <x:v>0</x:v>
      </x:c>
      <x:c r="AH1398" t="n">
        <x:f>--AND(AG1398=1,AE1398="HALLUCINATION")</x:f>
        <x:v>0</x:v>
      </x:c>
      <x:c r="AI1398" t="n">
        <x:f>--AND(Q1398=1,AF1398=1,AE1398="HALLUCINATION")</x:f>
        <x:v>0</x:v>
      </x:c>
      <x:c r="AJ1398" t="n">
        <x:f>--AND(AI1398=1,R1398=1,S1398=1)</x:f>
        <x:v>0</x:v>
      </x:c>
    </x:row>
    <x:row r="1399">
      <x:c r="A1399" s="28"/>
      <x:c r="B1399" s="28"/>
      <x:c r="C1399" s="28"/>
      <x:c r="D1399" s="28"/>
      <x:c r="E1399" s="28"/>
      <x:c r="F1399" s="28"/>
      <x:c r="G1399" s="28"/>
      <x:c r="H1399" s="28"/>
      <x:c r="I1399" s="28"/>
      <x:c r="J1399" s="28"/>
      <x:c r="K1399" s="28"/>
      <x:c r="L1399" s="28"/>
      <x:c r="M1399" s="28"/>
      <x:c r="N1399" s="28"/>
      <x:c r="O1399" s="28"/>
      <x:c r="P1399" s="28"/>
      <x:c r="Q1399" s="28"/>
      <x:c r="R1399" s="28"/>
      <x:c r="S1399" s="28"/>
      <x:c r="T1399" s="28"/>
      <x:c r="U1399" s="28"/>
      <x:c r="V1399" s="28"/>
      <x:c r="W1399" s="43" t="n">
        <x:f>--AND(N1399=1,OR(O1399="SUPPORTED",O1399="HALLUCINATION"))</x:f>
        <x:v>0</x:v>
      </x:c>
      <x:c r="X1399" s="43" t="n">
        <x:f>--AND(W1399=1,O1399="HALLUCINATION")</x:f>
        <x:v>0</x:v>
      </x:c>
      <x:c r="Y1399" s="43" t="n">
        <x:f>--AND(Q1399=1,O1399="HALLUCINATION")</x:f>
        <x:v>0</x:v>
      </x:c>
      <x:c r="Z1399" s="43" t="n">
        <x:f>--AND(Y1399=1,R1399=1,S1399=1)</x:f>
        <x:v>0</x:v>
      </x:c>
      <x:c r="AC1399" t="str">
        <x:f>IF(OR(AA1399="",AB1399=""),"",--(AA1399&lt;&gt;AB1399))</x:f>
      </x:c>
      <x:c r="AE1399" t="str">
        <x:f>IF(OR(AA1399="",AB1399=""),"PENDING_HUMAN",IF(AA1399=AB1399,AA1399,IF(AD1399&lt;&gt;"",AD1399,"PENDING_HUMAN")))</x:f>
        <x:v>PENDING_HUMAN</x:v>
      </x:c>
      <x:c r="AF1399" t="n">
        <x:f>--AND(A1399&lt;&gt;"",AA1399&lt;&gt;"",AB1399&lt;&gt;"",OR(AA1399=AB1399,AD1399&lt;&gt;""),IF(AE1399="HALLUCINATION",U1399&lt;&gt;"",TRUE))</x:f>
        <x:v>0</x:v>
      </x:c>
      <x:c r="AG1399" t="n">
        <x:f>--AND(N1399=1,AF1399=1,OR(AE1399="SUPPORTED",AE1399="HALLUCINATION"))</x:f>
        <x:v>0</x:v>
      </x:c>
      <x:c r="AH1399" t="n">
        <x:f>--AND(AG1399=1,AE1399="HALLUCINATION")</x:f>
        <x:v>0</x:v>
      </x:c>
      <x:c r="AI1399" t="n">
        <x:f>--AND(Q1399=1,AF1399=1,AE1399="HALLUCINATION")</x:f>
        <x:v>0</x:v>
      </x:c>
      <x:c r="AJ1399" t="n">
        <x:f>--AND(AI1399=1,R1399=1,S1399=1)</x:f>
        <x:v>0</x:v>
      </x:c>
    </x:row>
    <x:row r="1400">
      <x:c r="A1400" s="28"/>
      <x:c r="B1400" s="28"/>
      <x:c r="C1400" s="28"/>
      <x:c r="D1400" s="28"/>
      <x:c r="E1400" s="28"/>
      <x:c r="F1400" s="28"/>
      <x:c r="G1400" s="28"/>
      <x:c r="H1400" s="28"/>
      <x:c r="I1400" s="28"/>
      <x:c r="J1400" s="28"/>
      <x:c r="K1400" s="28"/>
      <x:c r="L1400" s="28"/>
      <x:c r="M1400" s="28"/>
      <x:c r="N1400" s="28"/>
      <x:c r="O1400" s="28"/>
      <x:c r="P1400" s="28"/>
      <x:c r="Q1400" s="28"/>
      <x:c r="R1400" s="28"/>
      <x:c r="S1400" s="28"/>
      <x:c r="T1400" s="28"/>
      <x:c r="U1400" s="28"/>
      <x:c r="V1400" s="28"/>
      <x:c r="W1400" s="43" t="n">
        <x:f>--AND(N1400=1,OR(O1400="SUPPORTED",O1400="HALLUCINATION"))</x:f>
        <x:v>0</x:v>
      </x:c>
      <x:c r="X1400" s="43" t="n">
        <x:f>--AND(W1400=1,O1400="HALLUCINATION")</x:f>
        <x:v>0</x:v>
      </x:c>
      <x:c r="Y1400" s="43" t="n">
        <x:f>--AND(Q1400=1,O1400="HALLUCINATION")</x:f>
        <x:v>0</x:v>
      </x:c>
      <x:c r="Z1400" s="43" t="n">
        <x:f>--AND(Y1400=1,R1400=1,S1400=1)</x:f>
        <x:v>0</x:v>
      </x:c>
      <x:c r="AC1400" t="str">
        <x:f>IF(OR(AA1400="",AB1400=""),"",--(AA1400&lt;&gt;AB1400))</x:f>
      </x:c>
      <x:c r="AE1400" t="str">
        <x:f>IF(OR(AA1400="",AB1400=""),"PENDING_HUMAN",IF(AA1400=AB1400,AA1400,IF(AD1400&lt;&gt;"",AD1400,"PENDING_HUMAN")))</x:f>
        <x:v>PENDING_HUMAN</x:v>
      </x:c>
      <x:c r="AF1400" t="n">
        <x:f>--AND(A1400&lt;&gt;"",AA1400&lt;&gt;"",AB1400&lt;&gt;"",OR(AA1400=AB1400,AD1400&lt;&gt;""),IF(AE1400="HALLUCINATION",U1400&lt;&gt;"",TRUE))</x:f>
        <x:v>0</x:v>
      </x:c>
      <x:c r="AG1400" t="n">
        <x:f>--AND(N1400=1,AF1400=1,OR(AE1400="SUPPORTED",AE1400="HALLUCINATION"))</x:f>
        <x:v>0</x:v>
      </x:c>
      <x:c r="AH1400" t="n">
        <x:f>--AND(AG1400=1,AE1400="HALLUCINATION")</x:f>
        <x:v>0</x:v>
      </x:c>
      <x:c r="AI1400" t="n">
        <x:f>--AND(Q1400=1,AF1400=1,AE1400="HALLUCINATION")</x:f>
        <x:v>0</x:v>
      </x:c>
      <x:c r="AJ1400" t="n">
        <x:f>--AND(AI1400=1,R1400=1,S1400=1)</x:f>
        <x:v>0</x:v>
      </x:c>
    </x:row>
    <x:row r="1401">
      <x:c r="A1401" s="28"/>
      <x:c r="B1401" s="28"/>
      <x:c r="C1401" s="28"/>
      <x:c r="D1401" s="28"/>
      <x:c r="E1401" s="28"/>
      <x:c r="F1401" s="28"/>
      <x:c r="G1401" s="28"/>
      <x:c r="H1401" s="28"/>
      <x:c r="I1401" s="28"/>
      <x:c r="J1401" s="28"/>
      <x:c r="K1401" s="28"/>
      <x:c r="L1401" s="28"/>
      <x:c r="M1401" s="28"/>
      <x:c r="N1401" s="28"/>
      <x:c r="O1401" s="28"/>
      <x:c r="P1401" s="28"/>
      <x:c r="Q1401" s="28"/>
      <x:c r="R1401" s="28"/>
      <x:c r="S1401" s="28"/>
      <x:c r="T1401" s="28"/>
      <x:c r="U1401" s="28"/>
      <x:c r="V1401" s="28"/>
      <x:c r="W1401" s="43" t="n">
        <x:f>--AND(N1401=1,OR(O1401="SUPPORTED",O1401="HALLUCINATION"))</x:f>
        <x:v>0</x:v>
      </x:c>
      <x:c r="X1401" s="43" t="n">
        <x:f>--AND(W1401=1,O1401="HALLUCINATION")</x:f>
        <x:v>0</x:v>
      </x:c>
      <x:c r="Y1401" s="43" t="n">
        <x:f>--AND(Q1401=1,O1401="HALLUCINATION")</x:f>
        <x:v>0</x:v>
      </x:c>
      <x:c r="Z1401" s="43" t="n">
        <x:f>--AND(Y1401=1,R1401=1,S1401=1)</x:f>
        <x:v>0</x:v>
      </x:c>
      <x:c r="AC1401" t="str">
        <x:f>IF(OR(AA1401="",AB1401=""),"",--(AA1401&lt;&gt;AB1401))</x:f>
      </x:c>
      <x:c r="AE1401" t="str">
        <x:f>IF(OR(AA1401="",AB1401=""),"PENDING_HUMAN",IF(AA1401=AB1401,AA1401,IF(AD1401&lt;&gt;"",AD1401,"PENDING_HUMAN")))</x:f>
        <x:v>PENDING_HUMAN</x:v>
      </x:c>
      <x:c r="AF1401" t="n">
        <x:f>--AND(A1401&lt;&gt;"",AA1401&lt;&gt;"",AB1401&lt;&gt;"",OR(AA1401=AB1401,AD1401&lt;&gt;""),IF(AE1401="HALLUCINATION",U1401&lt;&gt;"",TRUE))</x:f>
        <x:v>0</x:v>
      </x:c>
      <x:c r="AG1401" t="n">
        <x:f>--AND(N1401=1,AF1401=1,OR(AE1401="SUPPORTED",AE1401="HALLUCINATION"))</x:f>
        <x:v>0</x:v>
      </x:c>
      <x:c r="AH1401" t="n">
        <x:f>--AND(AG1401=1,AE1401="HALLUCINATION")</x:f>
        <x:v>0</x:v>
      </x:c>
      <x:c r="AI1401" t="n">
        <x:f>--AND(Q1401=1,AF1401=1,AE1401="HALLUCINATION")</x:f>
        <x:v>0</x:v>
      </x:c>
      <x:c r="AJ1401" t="n">
        <x:f>--AND(AI1401=1,R1401=1,S1401=1)</x:f>
        <x:v>0</x:v>
      </x:c>
    </x:row>
    <x:row r="1402">
      <x:c r="A1402" s="28"/>
      <x:c r="B1402" s="28"/>
      <x:c r="C1402" s="28"/>
      <x:c r="D1402" s="28"/>
      <x:c r="E1402" s="28"/>
      <x:c r="F1402" s="28"/>
      <x:c r="G1402" s="28"/>
      <x:c r="H1402" s="28"/>
      <x:c r="I1402" s="28"/>
      <x:c r="J1402" s="28"/>
      <x:c r="K1402" s="28"/>
      <x:c r="L1402" s="28"/>
      <x:c r="M1402" s="28"/>
      <x:c r="N1402" s="28"/>
      <x:c r="O1402" s="28"/>
      <x:c r="P1402" s="28"/>
      <x:c r="Q1402" s="28"/>
      <x:c r="R1402" s="28"/>
      <x:c r="S1402" s="28"/>
      <x:c r="T1402" s="28"/>
      <x:c r="U1402" s="28"/>
      <x:c r="V1402" s="28"/>
      <x:c r="W1402" s="43" t="n">
        <x:f>--AND(N1402=1,OR(O1402="SUPPORTED",O1402="HALLUCINATION"))</x:f>
        <x:v>0</x:v>
      </x:c>
      <x:c r="X1402" s="43" t="n">
        <x:f>--AND(W1402=1,O1402="HALLUCINATION")</x:f>
        <x:v>0</x:v>
      </x:c>
      <x:c r="Y1402" s="43" t="n">
        <x:f>--AND(Q1402=1,O1402="HALLUCINATION")</x:f>
        <x:v>0</x:v>
      </x:c>
      <x:c r="Z1402" s="43" t="n">
        <x:f>--AND(Y1402=1,R1402=1,S1402=1)</x:f>
        <x:v>0</x:v>
      </x:c>
      <x:c r="AC1402" t="str">
        <x:f>IF(OR(AA1402="",AB1402=""),"",--(AA1402&lt;&gt;AB1402))</x:f>
      </x:c>
      <x:c r="AE1402" t="str">
        <x:f>IF(OR(AA1402="",AB1402=""),"PENDING_HUMAN",IF(AA1402=AB1402,AA1402,IF(AD1402&lt;&gt;"",AD1402,"PENDING_HUMAN")))</x:f>
        <x:v>PENDING_HUMAN</x:v>
      </x:c>
      <x:c r="AF1402" t="n">
        <x:f>--AND(A1402&lt;&gt;"",AA1402&lt;&gt;"",AB1402&lt;&gt;"",OR(AA1402=AB1402,AD1402&lt;&gt;""),IF(AE1402="HALLUCINATION",U1402&lt;&gt;"",TRUE))</x:f>
        <x:v>0</x:v>
      </x:c>
      <x:c r="AG1402" t="n">
        <x:f>--AND(N1402=1,AF1402=1,OR(AE1402="SUPPORTED",AE1402="HALLUCINATION"))</x:f>
        <x:v>0</x:v>
      </x:c>
      <x:c r="AH1402" t="n">
        <x:f>--AND(AG1402=1,AE1402="HALLUCINATION")</x:f>
        <x:v>0</x:v>
      </x:c>
      <x:c r="AI1402" t="n">
        <x:f>--AND(Q1402=1,AF1402=1,AE1402="HALLUCINATION")</x:f>
        <x:v>0</x:v>
      </x:c>
      <x:c r="AJ1402" t="n">
        <x:f>--AND(AI1402=1,R1402=1,S1402=1)</x:f>
        <x:v>0</x:v>
      </x:c>
    </x:row>
    <x:row r="1403">
      <x:c r="A1403" s="28"/>
      <x:c r="B1403" s="28"/>
      <x:c r="C1403" s="28"/>
      <x:c r="D1403" s="28"/>
      <x:c r="E1403" s="28"/>
      <x:c r="F1403" s="28"/>
      <x:c r="G1403" s="28"/>
      <x:c r="H1403" s="28"/>
      <x:c r="I1403" s="28"/>
      <x:c r="J1403" s="28"/>
      <x:c r="K1403" s="28"/>
      <x:c r="L1403" s="28"/>
      <x:c r="M1403" s="28"/>
      <x:c r="N1403" s="28"/>
      <x:c r="O1403" s="28"/>
      <x:c r="P1403" s="28"/>
      <x:c r="Q1403" s="28"/>
      <x:c r="R1403" s="28"/>
      <x:c r="S1403" s="28"/>
      <x:c r="T1403" s="28"/>
      <x:c r="U1403" s="28"/>
      <x:c r="V1403" s="28"/>
      <x:c r="W1403" s="43" t="n">
        <x:f>--AND(N1403=1,OR(O1403="SUPPORTED",O1403="HALLUCINATION"))</x:f>
        <x:v>0</x:v>
      </x:c>
      <x:c r="X1403" s="43" t="n">
        <x:f>--AND(W1403=1,O1403="HALLUCINATION")</x:f>
        <x:v>0</x:v>
      </x:c>
      <x:c r="Y1403" s="43" t="n">
        <x:f>--AND(Q1403=1,O1403="HALLUCINATION")</x:f>
        <x:v>0</x:v>
      </x:c>
      <x:c r="Z1403" s="43" t="n">
        <x:f>--AND(Y1403=1,R1403=1,S1403=1)</x:f>
        <x:v>0</x:v>
      </x:c>
      <x:c r="AC1403" t="str">
        <x:f>IF(OR(AA1403="",AB1403=""),"",--(AA1403&lt;&gt;AB1403))</x:f>
      </x:c>
      <x:c r="AE1403" t="str">
        <x:f>IF(OR(AA1403="",AB1403=""),"PENDING_HUMAN",IF(AA1403=AB1403,AA1403,IF(AD1403&lt;&gt;"",AD1403,"PENDING_HUMAN")))</x:f>
        <x:v>PENDING_HUMAN</x:v>
      </x:c>
      <x:c r="AF1403" t="n">
        <x:f>--AND(A1403&lt;&gt;"",AA1403&lt;&gt;"",AB1403&lt;&gt;"",OR(AA1403=AB1403,AD1403&lt;&gt;""),IF(AE1403="HALLUCINATION",U1403&lt;&gt;"",TRUE))</x:f>
        <x:v>0</x:v>
      </x:c>
      <x:c r="AG1403" t="n">
        <x:f>--AND(N1403=1,AF1403=1,OR(AE1403="SUPPORTED",AE1403="HALLUCINATION"))</x:f>
        <x:v>0</x:v>
      </x:c>
      <x:c r="AH1403" t="n">
        <x:f>--AND(AG1403=1,AE1403="HALLUCINATION")</x:f>
        <x:v>0</x:v>
      </x:c>
      <x:c r="AI1403" t="n">
        <x:f>--AND(Q1403=1,AF1403=1,AE1403="HALLUCINATION")</x:f>
        <x:v>0</x:v>
      </x:c>
      <x:c r="AJ1403" t="n">
        <x:f>--AND(AI1403=1,R1403=1,S1403=1)</x:f>
        <x:v>0</x:v>
      </x:c>
    </x:row>
    <x:row r="1404">
      <x:c r="A1404" s="28"/>
      <x:c r="B1404" s="28"/>
      <x:c r="C1404" s="28"/>
      <x:c r="D1404" s="28"/>
      <x:c r="E1404" s="28"/>
      <x:c r="F1404" s="28"/>
      <x:c r="G1404" s="28"/>
      <x:c r="H1404" s="28"/>
      <x:c r="I1404" s="28"/>
      <x:c r="J1404" s="28"/>
      <x:c r="K1404" s="28"/>
      <x:c r="L1404" s="28"/>
      <x:c r="M1404" s="28"/>
      <x:c r="N1404" s="28"/>
      <x:c r="O1404" s="28"/>
      <x:c r="P1404" s="28"/>
      <x:c r="Q1404" s="28"/>
      <x:c r="R1404" s="28"/>
      <x:c r="S1404" s="28"/>
      <x:c r="T1404" s="28"/>
      <x:c r="U1404" s="28"/>
      <x:c r="V1404" s="28"/>
      <x:c r="W1404" s="43" t="n">
        <x:f>--AND(N1404=1,OR(O1404="SUPPORTED",O1404="HALLUCINATION"))</x:f>
        <x:v>0</x:v>
      </x:c>
      <x:c r="X1404" s="43" t="n">
        <x:f>--AND(W1404=1,O1404="HALLUCINATION")</x:f>
        <x:v>0</x:v>
      </x:c>
      <x:c r="Y1404" s="43" t="n">
        <x:f>--AND(Q1404=1,O1404="HALLUCINATION")</x:f>
        <x:v>0</x:v>
      </x:c>
      <x:c r="Z1404" s="43" t="n">
        <x:f>--AND(Y1404=1,R1404=1,S1404=1)</x:f>
        <x:v>0</x:v>
      </x:c>
      <x:c r="AC1404" t="str">
        <x:f>IF(OR(AA1404="",AB1404=""),"",--(AA1404&lt;&gt;AB1404))</x:f>
      </x:c>
      <x:c r="AE1404" t="str">
        <x:f>IF(OR(AA1404="",AB1404=""),"PENDING_HUMAN",IF(AA1404=AB1404,AA1404,IF(AD1404&lt;&gt;"",AD1404,"PENDING_HUMAN")))</x:f>
        <x:v>PENDING_HUMAN</x:v>
      </x:c>
      <x:c r="AF1404" t="n">
        <x:f>--AND(A1404&lt;&gt;"",AA1404&lt;&gt;"",AB1404&lt;&gt;"",OR(AA1404=AB1404,AD1404&lt;&gt;""),IF(AE1404="HALLUCINATION",U1404&lt;&gt;"",TRUE))</x:f>
        <x:v>0</x:v>
      </x:c>
      <x:c r="AG1404" t="n">
        <x:f>--AND(N1404=1,AF1404=1,OR(AE1404="SUPPORTED",AE1404="HALLUCINATION"))</x:f>
        <x:v>0</x:v>
      </x:c>
      <x:c r="AH1404" t="n">
        <x:f>--AND(AG1404=1,AE1404="HALLUCINATION")</x:f>
        <x:v>0</x:v>
      </x:c>
      <x:c r="AI1404" t="n">
        <x:f>--AND(Q1404=1,AF1404=1,AE1404="HALLUCINATION")</x:f>
        <x:v>0</x:v>
      </x:c>
      <x:c r="AJ1404" t="n">
        <x:f>--AND(AI1404=1,R1404=1,S1404=1)</x:f>
        <x:v>0</x:v>
      </x:c>
    </x:row>
    <x:row r="1405">
      <x:c r="A1405" s="28"/>
      <x:c r="B1405" s="28"/>
      <x:c r="C1405" s="28"/>
      <x:c r="D1405" s="28"/>
      <x:c r="E1405" s="28"/>
      <x:c r="F1405" s="28"/>
      <x:c r="G1405" s="28"/>
      <x:c r="H1405" s="28"/>
      <x:c r="I1405" s="28"/>
      <x:c r="J1405" s="28"/>
      <x:c r="K1405" s="28"/>
      <x:c r="L1405" s="28"/>
      <x:c r="M1405" s="28"/>
      <x:c r="N1405" s="28"/>
      <x:c r="O1405" s="28"/>
      <x:c r="P1405" s="28"/>
      <x:c r="Q1405" s="28"/>
      <x:c r="R1405" s="28"/>
      <x:c r="S1405" s="28"/>
      <x:c r="T1405" s="28"/>
      <x:c r="U1405" s="28"/>
      <x:c r="V1405" s="28"/>
      <x:c r="W1405" s="43" t="n">
        <x:f>--AND(N1405=1,OR(O1405="SUPPORTED",O1405="HALLUCINATION"))</x:f>
        <x:v>0</x:v>
      </x:c>
      <x:c r="X1405" s="43" t="n">
        <x:f>--AND(W1405=1,O1405="HALLUCINATION")</x:f>
        <x:v>0</x:v>
      </x:c>
      <x:c r="Y1405" s="43" t="n">
        <x:f>--AND(Q1405=1,O1405="HALLUCINATION")</x:f>
        <x:v>0</x:v>
      </x:c>
      <x:c r="Z1405" s="43" t="n">
        <x:f>--AND(Y1405=1,R1405=1,S1405=1)</x:f>
        <x:v>0</x:v>
      </x:c>
      <x:c r="AC1405" t="str">
        <x:f>IF(OR(AA1405="",AB1405=""),"",--(AA1405&lt;&gt;AB1405))</x:f>
      </x:c>
      <x:c r="AE1405" t="str">
        <x:f>IF(OR(AA1405="",AB1405=""),"PENDING_HUMAN",IF(AA1405=AB1405,AA1405,IF(AD1405&lt;&gt;"",AD1405,"PENDING_HUMAN")))</x:f>
        <x:v>PENDING_HUMAN</x:v>
      </x:c>
      <x:c r="AF1405" t="n">
        <x:f>--AND(A1405&lt;&gt;"",AA1405&lt;&gt;"",AB1405&lt;&gt;"",OR(AA1405=AB1405,AD1405&lt;&gt;""),IF(AE1405="HALLUCINATION",U1405&lt;&gt;"",TRUE))</x:f>
        <x:v>0</x:v>
      </x:c>
      <x:c r="AG1405" t="n">
        <x:f>--AND(N1405=1,AF1405=1,OR(AE1405="SUPPORTED",AE1405="HALLUCINATION"))</x:f>
        <x:v>0</x:v>
      </x:c>
      <x:c r="AH1405" t="n">
        <x:f>--AND(AG1405=1,AE1405="HALLUCINATION")</x:f>
        <x:v>0</x:v>
      </x:c>
      <x:c r="AI1405" t="n">
        <x:f>--AND(Q1405=1,AF1405=1,AE1405="HALLUCINATION")</x:f>
        <x:v>0</x:v>
      </x:c>
      <x:c r="AJ1405" t="n">
        <x:f>--AND(AI1405=1,R1405=1,S1405=1)</x:f>
        <x:v>0</x:v>
      </x:c>
    </x:row>
    <x:row r="1406">
      <x:c r="A1406" s="28"/>
      <x:c r="B1406" s="28"/>
      <x:c r="C1406" s="28"/>
      <x:c r="D1406" s="28"/>
      <x:c r="E1406" s="28"/>
      <x:c r="F1406" s="28"/>
      <x:c r="G1406" s="28"/>
      <x:c r="H1406" s="28"/>
      <x:c r="I1406" s="28"/>
      <x:c r="J1406" s="28"/>
      <x:c r="K1406" s="28"/>
      <x:c r="L1406" s="28"/>
      <x:c r="M1406" s="28"/>
      <x:c r="N1406" s="28"/>
      <x:c r="O1406" s="28"/>
      <x:c r="P1406" s="28"/>
      <x:c r="Q1406" s="28"/>
      <x:c r="R1406" s="28"/>
      <x:c r="S1406" s="28"/>
      <x:c r="T1406" s="28"/>
      <x:c r="U1406" s="28"/>
      <x:c r="V1406" s="28"/>
      <x:c r="W1406" s="43" t="n">
        <x:f>--AND(N1406=1,OR(O1406="SUPPORTED",O1406="HALLUCINATION"))</x:f>
        <x:v>0</x:v>
      </x:c>
      <x:c r="X1406" s="43" t="n">
        <x:f>--AND(W1406=1,O1406="HALLUCINATION")</x:f>
        <x:v>0</x:v>
      </x:c>
      <x:c r="Y1406" s="43" t="n">
        <x:f>--AND(Q1406=1,O1406="HALLUCINATION")</x:f>
        <x:v>0</x:v>
      </x:c>
      <x:c r="Z1406" s="43" t="n">
        <x:f>--AND(Y1406=1,R1406=1,S1406=1)</x:f>
        <x:v>0</x:v>
      </x:c>
      <x:c r="AC1406" t="str">
        <x:f>IF(OR(AA1406="",AB1406=""),"",--(AA1406&lt;&gt;AB1406))</x:f>
      </x:c>
      <x:c r="AE1406" t="str">
        <x:f>IF(OR(AA1406="",AB1406=""),"PENDING_HUMAN",IF(AA1406=AB1406,AA1406,IF(AD1406&lt;&gt;"",AD1406,"PENDING_HUMAN")))</x:f>
        <x:v>PENDING_HUMAN</x:v>
      </x:c>
      <x:c r="AF1406" t="n">
        <x:f>--AND(A1406&lt;&gt;"",AA1406&lt;&gt;"",AB1406&lt;&gt;"",OR(AA1406=AB1406,AD1406&lt;&gt;""),IF(AE1406="HALLUCINATION",U1406&lt;&gt;"",TRUE))</x:f>
        <x:v>0</x:v>
      </x:c>
      <x:c r="AG1406" t="n">
        <x:f>--AND(N1406=1,AF1406=1,OR(AE1406="SUPPORTED",AE1406="HALLUCINATION"))</x:f>
        <x:v>0</x:v>
      </x:c>
      <x:c r="AH1406" t="n">
        <x:f>--AND(AG1406=1,AE1406="HALLUCINATION")</x:f>
        <x:v>0</x:v>
      </x:c>
      <x:c r="AI1406" t="n">
        <x:f>--AND(Q1406=1,AF1406=1,AE1406="HALLUCINATION")</x:f>
        <x:v>0</x:v>
      </x:c>
      <x:c r="AJ1406" t="n">
        <x:f>--AND(AI1406=1,R1406=1,S1406=1)</x:f>
        <x:v>0</x:v>
      </x:c>
    </x:row>
    <x:row r="1407">
      <x:c r="A1407" s="28"/>
      <x:c r="B1407" s="28"/>
      <x:c r="C1407" s="28"/>
      <x:c r="D1407" s="28"/>
      <x:c r="E1407" s="28"/>
      <x:c r="F1407" s="28"/>
      <x:c r="G1407" s="28"/>
      <x:c r="H1407" s="28"/>
      <x:c r="I1407" s="28"/>
      <x:c r="J1407" s="28"/>
      <x:c r="K1407" s="28"/>
      <x:c r="L1407" s="28"/>
      <x:c r="M1407" s="28"/>
      <x:c r="N1407" s="28"/>
      <x:c r="O1407" s="28"/>
      <x:c r="P1407" s="28"/>
      <x:c r="Q1407" s="28"/>
      <x:c r="R1407" s="28"/>
      <x:c r="S1407" s="28"/>
      <x:c r="T1407" s="28"/>
      <x:c r="U1407" s="28"/>
      <x:c r="V1407" s="28"/>
      <x:c r="W1407" s="43" t="n">
        <x:f>--AND(N1407=1,OR(O1407="SUPPORTED",O1407="HALLUCINATION"))</x:f>
        <x:v>0</x:v>
      </x:c>
      <x:c r="X1407" s="43" t="n">
        <x:f>--AND(W1407=1,O1407="HALLUCINATION")</x:f>
        <x:v>0</x:v>
      </x:c>
      <x:c r="Y1407" s="43" t="n">
        <x:f>--AND(Q1407=1,O1407="HALLUCINATION")</x:f>
        <x:v>0</x:v>
      </x:c>
      <x:c r="Z1407" s="43" t="n">
        <x:f>--AND(Y1407=1,R1407=1,S1407=1)</x:f>
        <x:v>0</x:v>
      </x:c>
      <x:c r="AC1407" t="str">
        <x:f>IF(OR(AA1407="",AB1407=""),"",--(AA1407&lt;&gt;AB1407))</x:f>
      </x:c>
      <x:c r="AE1407" t="str">
        <x:f>IF(OR(AA1407="",AB1407=""),"PENDING_HUMAN",IF(AA1407=AB1407,AA1407,IF(AD1407&lt;&gt;"",AD1407,"PENDING_HUMAN")))</x:f>
        <x:v>PENDING_HUMAN</x:v>
      </x:c>
      <x:c r="AF1407" t="n">
        <x:f>--AND(A1407&lt;&gt;"",AA1407&lt;&gt;"",AB1407&lt;&gt;"",OR(AA1407=AB1407,AD1407&lt;&gt;""),IF(AE1407="HALLUCINATION",U1407&lt;&gt;"",TRUE))</x:f>
        <x:v>0</x:v>
      </x:c>
      <x:c r="AG1407" t="n">
        <x:f>--AND(N1407=1,AF1407=1,OR(AE1407="SUPPORTED",AE1407="HALLUCINATION"))</x:f>
        <x:v>0</x:v>
      </x:c>
      <x:c r="AH1407" t="n">
        <x:f>--AND(AG1407=1,AE1407="HALLUCINATION")</x:f>
        <x:v>0</x:v>
      </x:c>
      <x:c r="AI1407" t="n">
        <x:f>--AND(Q1407=1,AF1407=1,AE1407="HALLUCINATION")</x:f>
        <x:v>0</x:v>
      </x:c>
      <x:c r="AJ1407" t="n">
        <x:f>--AND(AI1407=1,R1407=1,S1407=1)</x:f>
        <x:v>0</x:v>
      </x:c>
    </x:row>
    <x:row r="1408">
      <x:c r="A1408" s="28"/>
      <x:c r="B1408" s="28"/>
      <x:c r="C1408" s="28"/>
      <x:c r="D1408" s="28"/>
      <x:c r="E1408" s="28"/>
      <x:c r="F1408" s="28"/>
      <x:c r="G1408" s="28"/>
      <x:c r="H1408" s="28"/>
      <x:c r="I1408" s="28"/>
      <x:c r="J1408" s="28"/>
      <x:c r="K1408" s="28"/>
      <x:c r="L1408" s="28"/>
      <x:c r="M1408" s="28"/>
      <x:c r="N1408" s="28"/>
      <x:c r="O1408" s="28"/>
      <x:c r="P1408" s="28"/>
      <x:c r="Q1408" s="28"/>
      <x:c r="R1408" s="28"/>
      <x:c r="S1408" s="28"/>
      <x:c r="T1408" s="28"/>
      <x:c r="U1408" s="28"/>
      <x:c r="V1408" s="28"/>
      <x:c r="W1408" s="43" t="n">
        <x:f>--AND(N1408=1,OR(O1408="SUPPORTED",O1408="HALLUCINATION"))</x:f>
        <x:v>0</x:v>
      </x:c>
      <x:c r="X1408" s="43" t="n">
        <x:f>--AND(W1408=1,O1408="HALLUCINATION")</x:f>
        <x:v>0</x:v>
      </x:c>
      <x:c r="Y1408" s="43" t="n">
        <x:f>--AND(Q1408=1,O1408="HALLUCINATION")</x:f>
        <x:v>0</x:v>
      </x:c>
      <x:c r="Z1408" s="43" t="n">
        <x:f>--AND(Y1408=1,R1408=1,S1408=1)</x:f>
        <x:v>0</x:v>
      </x:c>
      <x:c r="AC1408" t="str">
        <x:f>IF(OR(AA1408="",AB1408=""),"",--(AA1408&lt;&gt;AB1408))</x:f>
      </x:c>
      <x:c r="AE1408" t="str">
        <x:f>IF(OR(AA1408="",AB1408=""),"PENDING_HUMAN",IF(AA1408=AB1408,AA1408,IF(AD1408&lt;&gt;"",AD1408,"PENDING_HUMAN")))</x:f>
        <x:v>PENDING_HUMAN</x:v>
      </x:c>
      <x:c r="AF1408" t="n">
        <x:f>--AND(A1408&lt;&gt;"",AA1408&lt;&gt;"",AB1408&lt;&gt;"",OR(AA1408=AB1408,AD1408&lt;&gt;""),IF(AE1408="HALLUCINATION",U1408&lt;&gt;"",TRUE))</x:f>
        <x:v>0</x:v>
      </x:c>
      <x:c r="AG1408" t="n">
        <x:f>--AND(N1408=1,AF1408=1,OR(AE1408="SUPPORTED",AE1408="HALLUCINATION"))</x:f>
        <x:v>0</x:v>
      </x:c>
      <x:c r="AH1408" t="n">
        <x:f>--AND(AG1408=1,AE1408="HALLUCINATION")</x:f>
        <x:v>0</x:v>
      </x:c>
      <x:c r="AI1408" t="n">
        <x:f>--AND(Q1408=1,AF1408=1,AE1408="HALLUCINATION")</x:f>
        <x:v>0</x:v>
      </x:c>
      <x:c r="AJ1408" t="n">
        <x:f>--AND(AI1408=1,R1408=1,S1408=1)</x:f>
        <x:v>0</x:v>
      </x:c>
    </x:row>
    <x:row r="1409">
      <x:c r="A1409" s="28"/>
      <x:c r="B1409" s="28"/>
      <x:c r="C1409" s="28"/>
      <x:c r="D1409" s="28"/>
      <x:c r="E1409" s="28"/>
      <x:c r="F1409" s="28"/>
      <x:c r="G1409" s="28"/>
      <x:c r="H1409" s="28"/>
      <x:c r="I1409" s="28"/>
      <x:c r="J1409" s="28"/>
      <x:c r="K1409" s="28"/>
      <x:c r="L1409" s="28"/>
      <x:c r="M1409" s="28"/>
      <x:c r="N1409" s="28"/>
      <x:c r="O1409" s="28"/>
      <x:c r="P1409" s="28"/>
      <x:c r="Q1409" s="28"/>
      <x:c r="R1409" s="28"/>
      <x:c r="S1409" s="28"/>
      <x:c r="T1409" s="28"/>
      <x:c r="U1409" s="28"/>
      <x:c r="V1409" s="28"/>
      <x:c r="W1409" s="43" t="n">
        <x:f>--AND(N1409=1,OR(O1409="SUPPORTED",O1409="HALLUCINATION"))</x:f>
        <x:v>0</x:v>
      </x:c>
      <x:c r="X1409" s="43" t="n">
        <x:f>--AND(W1409=1,O1409="HALLUCINATION")</x:f>
        <x:v>0</x:v>
      </x:c>
      <x:c r="Y1409" s="43" t="n">
        <x:f>--AND(Q1409=1,O1409="HALLUCINATION")</x:f>
        <x:v>0</x:v>
      </x:c>
      <x:c r="Z1409" s="43" t="n">
        <x:f>--AND(Y1409=1,R1409=1,S1409=1)</x:f>
        <x:v>0</x:v>
      </x:c>
      <x:c r="AC1409" t="str">
        <x:f>IF(OR(AA1409="",AB1409=""),"",--(AA1409&lt;&gt;AB1409))</x:f>
      </x:c>
      <x:c r="AE1409" t="str">
        <x:f>IF(OR(AA1409="",AB1409=""),"PENDING_HUMAN",IF(AA1409=AB1409,AA1409,IF(AD1409&lt;&gt;"",AD1409,"PENDING_HUMAN")))</x:f>
        <x:v>PENDING_HUMAN</x:v>
      </x:c>
      <x:c r="AF1409" t="n">
        <x:f>--AND(A1409&lt;&gt;"",AA1409&lt;&gt;"",AB1409&lt;&gt;"",OR(AA1409=AB1409,AD1409&lt;&gt;""),IF(AE1409="HALLUCINATION",U1409&lt;&gt;"",TRUE))</x:f>
        <x:v>0</x:v>
      </x:c>
      <x:c r="AG1409" t="n">
        <x:f>--AND(N1409=1,AF1409=1,OR(AE1409="SUPPORTED",AE1409="HALLUCINATION"))</x:f>
        <x:v>0</x:v>
      </x:c>
      <x:c r="AH1409" t="n">
        <x:f>--AND(AG1409=1,AE1409="HALLUCINATION")</x:f>
        <x:v>0</x:v>
      </x:c>
      <x:c r="AI1409" t="n">
        <x:f>--AND(Q1409=1,AF1409=1,AE1409="HALLUCINATION")</x:f>
        <x:v>0</x:v>
      </x:c>
      <x:c r="AJ1409" t="n">
        <x:f>--AND(AI1409=1,R1409=1,S1409=1)</x:f>
        <x:v>0</x:v>
      </x:c>
    </x:row>
    <x:row r="1410">
      <x:c r="A1410" s="28"/>
      <x:c r="B1410" s="28"/>
      <x:c r="C1410" s="28"/>
      <x:c r="D1410" s="28"/>
      <x:c r="E1410" s="28"/>
      <x:c r="F1410" s="28"/>
      <x:c r="G1410" s="28"/>
      <x:c r="H1410" s="28"/>
      <x:c r="I1410" s="28"/>
      <x:c r="J1410" s="28"/>
      <x:c r="K1410" s="28"/>
      <x:c r="L1410" s="28"/>
      <x:c r="M1410" s="28"/>
      <x:c r="N1410" s="28"/>
      <x:c r="O1410" s="28"/>
      <x:c r="P1410" s="28"/>
      <x:c r="Q1410" s="28"/>
      <x:c r="R1410" s="28"/>
      <x:c r="S1410" s="28"/>
      <x:c r="T1410" s="28"/>
      <x:c r="U1410" s="28"/>
      <x:c r="V1410" s="28"/>
      <x:c r="W1410" s="43" t="n">
        <x:f>--AND(N1410=1,OR(O1410="SUPPORTED",O1410="HALLUCINATION"))</x:f>
        <x:v>0</x:v>
      </x:c>
      <x:c r="X1410" s="43" t="n">
        <x:f>--AND(W1410=1,O1410="HALLUCINATION")</x:f>
        <x:v>0</x:v>
      </x:c>
      <x:c r="Y1410" s="43" t="n">
        <x:f>--AND(Q1410=1,O1410="HALLUCINATION")</x:f>
        <x:v>0</x:v>
      </x:c>
      <x:c r="Z1410" s="43" t="n">
        <x:f>--AND(Y1410=1,R1410=1,S1410=1)</x:f>
        <x:v>0</x:v>
      </x:c>
      <x:c r="AC1410" t="str">
        <x:f>IF(OR(AA1410="",AB1410=""),"",--(AA1410&lt;&gt;AB1410))</x:f>
      </x:c>
      <x:c r="AE1410" t="str">
        <x:f>IF(OR(AA1410="",AB1410=""),"PENDING_HUMAN",IF(AA1410=AB1410,AA1410,IF(AD1410&lt;&gt;"",AD1410,"PENDING_HUMAN")))</x:f>
        <x:v>PENDING_HUMAN</x:v>
      </x:c>
      <x:c r="AF1410" t="n">
        <x:f>--AND(A1410&lt;&gt;"",AA1410&lt;&gt;"",AB1410&lt;&gt;"",OR(AA1410=AB1410,AD1410&lt;&gt;""),IF(AE1410="HALLUCINATION",U1410&lt;&gt;"",TRUE))</x:f>
        <x:v>0</x:v>
      </x:c>
      <x:c r="AG1410" t="n">
        <x:f>--AND(N1410=1,AF1410=1,OR(AE1410="SUPPORTED",AE1410="HALLUCINATION"))</x:f>
        <x:v>0</x:v>
      </x:c>
      <x:c r="AH1410" t="n">
        <x:f>--AND(AG1410=1,AE1410="HALLUCINATION")</x:f>
        <x:v>0</x:v>
      </x:c>
      <x:c r="AI1410" t="n">
        <x:f>--AND(Q1410=1,AF1410=1,AE1410="HALLUCINATION")</x:f>
        <x:v>0</x:v>
      </x:c>
      <x:c r="AJ1410" t="n">
        <x:f>--AND(AI1410=1,R1410=1,S1410=1)</x:f>
        <x:v>0</x:v>
      </x:c>
    </x:row>
    <x:row r="1411">
      <x:c r="A1411" s="28"/>
      <x:c r="B1411" s="28"/>
      <x:c r="C1411" s="28"/>
      <x:c r="D1411" s="28"/>
      <x:c r="E1411" s="28"/>
      <x:c r="F1411" s="28"/>
      <x:c r="G1411" s="28"/>
      <x:c r="H1411" s="28"/>
      <x:c r="I1411" s="28"/>
      <x:c r="J1411" s="28"/>
      <x:c r="K1411" s="28"/>
      <x:c r="L1411" s="28"/>
      <x:c r="M1411" s="28"/>
      <x:c r="N1411" s="28"/>
      <x:c r="O1411" s="28"/>
      <x:c r="P1411" s="28"/>
      <x:c r="Q1411" s="28"/>
      <x:c r="R1411" s="28"/>
      <x:c r="S1411" s="28"/>
      <x:c r="T1411" s="28"/>
      <x:c r="U1411" s="28"/>
      <x:c r="V1411" s="28"/>
      <x:c r="W1411" s="43" t="n">
        <x:f>--AND(N1411=1,OR(O1411="SUPPORTED",O1411="HALLUCINATION"))</x:f>
        <x:v>0</x:v>
      </x:c>
      <x:c r="X1411" s="43" t="n">
        <x:f>--AND(W1411=1,O1411="HALLUCINATION")</x:f>
        <x:v>0</x:v>
      </x:c>
      <x:c r="Y1411" s="43" t="n">
        <x:f>--AND(Q1411=1,O1411="HALLUCINATION")</x:f>
        <x:v>0</x:v>
      </x:c>
      <x:c r="Z1411" s="43" t="n">
        <x:f>--AND(Y1411=1,R1411=1,S1411=1)</x:f>
        <x:v>0</x:v>
      </x:c>
      <x:c r="AC1411" t="str">
        <x:f>IF(OR(AA1411="",AB1411=""),"",--(AA1411&lt;&gt;AB1411))</x:f>
      </x:c>
      <x:c r="AE1411" t="str">
        <x:f>IF(OR(AA1411="",AB1411=""),"PENDING_HUMAN",IF(AA1411=AB1411,AA1411,IF(AD1411&lt;&gt;"",AD1411,"PENDING_HUMAN")))</x:f>
        <x:v>PENDING_HUMAN</x:v>
      </x:c>
      <x:c r="AF1411" t="n">
        <x:f>--AND(A1411&lt;&gt;"",AA1411&lt;&gt;"",AB1411&lt;&gt;"",OR(AA1411=AB1411,AD1411&lt;&gt;""),IF(AE1411="HALLUCINATION",U1411&lt;&gt;"",TRUE))</x:f>
        <x:v>0</x:v>
      </x:c>
      <x:c r="AG1411" t="n">
        <x:f>--AND(N1411=1,AF1411=1,OR(AE1411="SUPPORTED",AE1411="HALLUCINATION"))</x:f>
        <x:v>0</x:v>
      </x:c>
      <x:c r="AH1411" t="n">
        <x:f>--AND(AG1411=1,AE1411="HALLUCINATION")</x:f>
        <x:v>0</x:v>
      </x:c>
      <x:c r="AI1411" t="n">
        <x:f>--AND(Q1411=1,AF1411=1,AE1411="HALLUCINATION")</x:f>
        <x:v>0</x:v>
      </x:c>
      <x:c r="AJ1411" t="n">
        <x:f>--AND(AI1411=1,R1411=1,S1411=1)</x:f>
        <x:v>0</x:v>
      </x:c>
    </x:row>
    <x:row r="1412">
      <x:c r="A1412" s="28"/>
      <x:c r="B1412" s="28"/>
      <x:c r="C1412" s="28"/>
      <x:c r="D1412" s="28"/>
      <x:c r="E1412" s="28"/>
      <x:c r="F1412" s="28"/>
      <x:c r="G1412" s="28"/>
      <x:c r="H1412" s="28"/>
      <x:c r="I1412" s="28"/>
      <x:c r="J1412" s="28"/>
      <x:c r="K1412" s="28"/>
      <x:c r="L1412" s="28"/>
      <x:c r="M1412" s="28"/>
      <x:c r="N1412" s="28"/>
      <x:c r="O1412" s="28"/>
      <x:c r="P1412" s="28"/>
      <x:c r="Q1412" s="28"/>
      <x:c r="R1412" s="28"/>
      <x:c r="S1412" s="28"/>
      <x:c r="T1412" s="28"/>
      <x:c r="U1412" s="28"/>
      <x:c r="V1412" s="28"/>
      <x:c r="W1412" s="43" t="n">
        <x:f>--AND(N1412=1,OR(O1412="SUPPORTED",O1412="HALLUCINATION"))</x:f>
        <x:v>0</x:v>
      </x:c>
      <x:c r="X1412" s="43" t="n">
        <x:f>--AND(W1412=1,O1412="HALLUCINATION")</x:f>
        <x:v>0</x:v>
      </x:c>
      <x:c r="Y1412" s="43" t="n">
        <x:f>--AND(Q1412=1,O1412="HALLUCINATION")</x:f>
        <x:v>0</x:v>
      </x:c>
      <x:c r="Z1412" s="43" t="n">
        <x:f>--AND(Y1412=1,R1412=1,S1412=1)</x:f>
        <x:v>0</x:v>
      </x:c>
      <x:c r="AC1412" t="str">
        <x:f>IF(OR(AA1412="",AB1412=""),"",--(AA1412&lt;&gt;AB1412))</x:f>
      </x:c>
      <x:c r="AE1412" t="str">
        <x:f>IF(OR(AA1412="",AB1412=""),"PENDING_HUMAN",IF(AA1412=AB1412,AA1412,IF(AD1412&lt;&gt;"",AD1412,"PENDING_HUMAN")))</x:f>
        <x:v>PENDING_HUMAN</x:v>
      </x:c>
      <x:c r="AF1412" t="n">
        <x:f>--AND(A1412&lt;&gt;"",AA1412&lt;&gt;"",AB1412&lt;&gt;"",OR(AA1412=AB1412,AD1412&lt;&gt;""),IF(AE1412="HALLUCINATION",U1412&lt;&gt;"",TRUE))</x:f>
        <x:v>0</x:v>
      </x:c>
      <x:c r="AG1412" t="n">
        <x:f>--AND(N1412=1,AF1412=1,OR(AE1412="SUPPORTED",AE1412="HALLUCINATION"))</x:f>
        <x:v>0</x:v>
      </x:c>
      <x:c r="AH1412" t="n">
        <x:f>--AND(AG1412=1,AE1412="HALLUCINATION")</x:f>
        <x:v>0</x:v>
      </x:c>
      <x:c r="AI1412" t="n">
        <x:f>--AND(Q1412=1,AF1412=1,AE1412="HALLUCINATION")</x:f>
        <x:v>0</x:v>
      </x:c>
      <x:c r="AJ1412" t="n">
        <x:f>--AND(AI1412=1,R1412=1,S1412=1)</x:f>
        <x:v>0</x:v>
      </x:c>
    </x:row>
    <x:row r="1413">
      <x:c r="A1413" s="28"/>
      <x:c r="B1413" s="28"/>
      <x:c r="C1413" s="28"/>
      <x:c r="D1413" s="28"/>
      <x:c r="E1413" s="28"/>
      <x:c r="F1413" s="28"/>
      <x:c r="G1413" s="28"/>
      <x:c r="H1413" s="28"/>
      <x:c r="I1413" s="28"/>
      <x:c r="J1413" s="28"/>
      <x:c r="K1413" s="28"/>
      <x:c r="L1413" s="28"/>
      <x:c r="M1413" s="28"/>
      <x:c r="N1413" s="28"/>
      <x:c r="O1413" s="28"/>
      <x:c r="P1413" s="28"/>
      <x:c r="Q1413" s="28"/>
      <x:c r="R1413" s="28"/>
      <x:c r="S1413" s="28"/>
      <x:c r="T1413" s="28"/>
      <x:c r="U1413" s="28"/>
      <x:c r="V1413" s="28"/>
      <x:c r="W1413" s="43" t="n">
        <x:f>--AND(N1413=1,OR(O1413="SUPPORTED",O1413="HALLUCINATION"))</x:f>
        <x:v>0</x:v>
      </x:c>
      <x:c r="X1413" s="43" t="n">
        <x:f>--AND(W1413=1,O1413="HALLUCINATION")</x:f>
        <x:v>0</x:v>
      </x:c>
      <x:c r="Y1413" s="43" t="n">
        <x:f>--AND(Q1413=1,O1413="HALLUCINATION")</x:f>
        <x:v>0</x:v>
      </x:c>
      <x:c r="Z1413" s="43" t="n">
        <x:f>--AND(Y1413=1,R1413=1,S1413=1)</x:f>
        <x:v>0</x:v>
      </x:c>
      <x:c r="AC1413" t="str">
        <x:f>IF(OR(AA1413="",AB1413=""),"",--(AA1413&lt;&gt;AB1413))</x:f>
      </x:c>
      <x:c r="AE1413" t="str">
        <x:f>IF(OR(AA1413="",AB1413=""),"PENDING_HUMAN",IF(AA1413=AB1413,AA1413,IF(AD1413&lt;&gt;"",AD1413,"PENDING_HUMAN")))</x:f>
        <x:v>PENDING_HUMAN</x:v>
      </x:c>
      <x:c r="AF1413" t="n">
        <x:f>--AND(A1413&lt;&gt;"",AA1413&lt;&gt;"",AB1413&lt;&gt;"",OR(AA1413=AB1413,AD1413&lt;&gt;""),IF(AE1413="HALLUCINATION",U1413&lt;&gt;"",TRUE))</x:f>
        <x:v>0</x:v>
      </x:c>
      <x:c r="AG1413" t="n">
        <x:f>--AND(N1413=1,AF1413=1,OR(AE1413="SUPPORTED",AE1413="HALLUCINATION"))</x:f>
        <x:v>0</x:v>
      </x:c>
      <x:c r="AH1413" t="n">
        <x:f>--AND(AG1413=1,AE1413="HALLUCINATION")</x:f>
        <x:v>0</x:v>
      </x:c>
      <x:c r="AI1413" t="n">
        <x:f>--AND(Q1413=1,AF1413=1,AE1413="HALLUCINATION")</x:f>
        <x:v>0</x:v>
      </x:c>
      <x:c r="AJ1413" t="n">
        <x:f>--AND(AI1413=1,R1413=1,S1413=1)</x:f>
        <x:v>0</x:v>
      </x:c>
    </x:row>
    <x:row r="1414">
      <x:c r="A1414" s="28"/>
      <x:c r="B1414" s="28"/>
      <x:c r="C1414" s="28"/>
      <x:c r="D1414" s="28"/>
      <x:c r="E1414" s="28"/>
      <x:c r="F1414" s="28"/>
      <x:c r="G1414" s="28"/>
      <x:c r="H1414" s="28"/>
      <x:c r="I1414" s="28"/>
      <x:c r="J1414" s="28"/>
      <x:c r="K1414" s="28"/>
      <x:c r="L1414" s="28"/>
      <x:c r="M1414" s="28"/>
      <x:c r="N1414" s="28"/>
      <x:c r="O1414" s="28"/>
      <x:c r="P1414" s="28"/>
      <x:c r="Q1414" s="28"/>
      <x:c r="R1414" s="28"/>
      <x:c r="S1414" s="28"/>
      <x:c r="T1414" s="28"/>
      <x:c r="U1414" s="28"/>
      <x:c r="V1414" s="28"/>
      <x:c r="W1414" s="43" t="n">
        <x:f>--AND(N1414=1,OR(O1414="SUPPORTED",O1414="HALLUCINATION"))</x:f>
        <x:v>0</x:v>
      </x:c>
      <x:c r="X1414" s="43" t="n">
        <x:f>--AND(W1414=1,O1414="HALLUCINATION")</x:f>
        <x:v>0</x:v>
      </x:c>
      <x:c r="Y1414" s="43" t="n">
        <x:f>--AND(Q1414=1,O1414="HALLUCINATION")</x:f>
        <x:v>0</x:v>
      </x:c>
      <x:c r="Z1414" s="43" t="n">
        <x:f>--AND(Y1414=1,R1414=1,S1414=1)</x:f>
        <x:v>0</x:v>
      </x:c>
      <x:c r="AC1414" t="str">
        <x:f>IF(OR(AA1414="",AB1414=""),"",--(AA1414&lt;&gt;AB1414))</x:f>
      </x:c>
      <x:c r="AE1414" t="str">
        <x:f>IF(OR(AA1414="",AB1414=""),"PENDING_HUMAN",IF(AA1414=AB1414,AA1414,IF(AD1414&lt;&gt;"",AD1414,"PENDING_HUMAN")))</x:f>
        <x:v>PENDING_HUMAN</x:v>
      </x:c>
      <x:c r="AF1414" t="n">
        <x:f>--AND(A1414&lt;&gt;"",AA1414&lt;&gt;"",AB1414&lt;&gt;"",OR(AA1414=AB1414,AD1414&lt;&gt;""),IF(AE1414="HALLUCINATION",U1414&lt;&gt;"",TRUE))</x:f>
        <x:v>0</x:v>
      </x:c>
      <x:c r="AG1414" t="n">
        <x:f>--AND(N1414=1,AF1414=1,OR(AE1414="SUPPORTED",AE1414="HALLUCINATION"))</x:f>
        <x:v>0</x:v>
      </x:c>
      <x:c r="AH1414" t="n">
        <x:f>--AND(AG1414=1,AE1414="HALLUCINATION")</x:f>
        <x:v>0</x:v>
      </x:c>
      <x:c r="AI1414" t="n">
        <x:f>--AND(Q1414=1,AF1414=1,AE1414="HALLUCINATION")</x:f>
        <x:v>0</x:v>
      </x:c>
      <x:c r="AJ1414" t="n">
        <x:f>--AND(AI1414=1,R1414=1,S1414=1)</x:f>
        <x:v>0</x:v>
      </x:c>
    </x:row>
    <x:row r="1415">
      <x:c r="A1415" s="28"/>
      <x:c r="B1415" s="28"/>
      <x:c r="C1415" s="28"/>
      <x:c r="D1415" s="28"/>
      <x:c r="E1415" s="28"/>
      <x:c r="F1415" s="28"/>
      <x:c r="G1415" s="28"/>
      <x:c r="H1415" s="28"/>
      <x:c r="I1415" s="28"/>
      <x:c r="J1415" s="28"/>
      <x:c r="K1415" s="28"/>
      <x:c r="L1415" s="28"/>
      <x:c r="M1415" s="28"/>
      <x:c r="N1415" s="28"/>
      <x:c r="O1415" s="28"/>
      <x:c r="P1415" s="28"/>
      <x:c r="Q1415" s="28"/>
      <x:c r="R1415" s="28"/>
      <x:c r="S1415" s="28"/>
      <x:c r="T1415" s="28"/>
      <x:c r="U1415" s="28"/>
      <x:c r="V1415" s="28"/>
      <x:c r="W1415" s="43" t="n">
        <x:f>--AND(N1415=1,OR(O1415="SUPPORTED",O1415="HALLUCINATION"))</x:f>
        <x:v>0</x:v>
      </x:c>
      <x:c r="X1415" s="43" t="n">
        <x:f>--AND(W1415=1,O1415="HALLUCINATION")</x:f>
        <x:v>0</x:v>
      </x:c>
      <x:c r="Y1415" s="43" t="n">
        <x:f>--AND(Q1415=1,O1415="HALLUCINATION")</x:f>
        <x:v>0</x:v>
      </x:c>
      <x:c r="Z1415" s="43" t="n">
        <x:f>--AND(Y1415=1,R1415=1,S1415=1)</x:f>
        <x:v>0</x:v>
      </x:c>
      <x:c r="AC1415" t="str">
        <x:f>IF(OR(AA1415="",AB1415=""),"",--(AA1415&lt;&gt;AB1415))</x:f>
      </x:c>
      <x:c r="AE1415" t="str">
        <x:f>IF(OR(AA1415="",AB1415=""),"PENDING_HUMAN",IF(AA1415=AB1415,AA1415,IF(AD1415&lt;&gt;"",AD1415,"PENDING_HUMAN")))</x:f>
        <x:v>PENDING_HUMAN</x:v>
      </x:c>
      <x:c r="AF1415" t="n">
        <x:f>--AND(A1415&lt;&gt;"",AA1415&lt;&gt;"",AB1415&lt;&gt;"",OR(AA1415=AB1415,AD1415&lt;&gt;""),IF(AE1415="HALLUCINATION",U1415&lt;&gt;"",TRUE))</x:f>
        <x:v>0</x:v>
      </x:c>
      <x:c r="AG1415" t="n">
        <x:f>--AND(N1415=1,AF1415=1,OR(AE1415="SUPPORTED",AE1415="HALLUCINATION"))</x:f>
        <x:v>0</x:v>
      </x:c>
      <x:c r="AH1415" t="n">
        <x:f>--AND(AG1415=1,AE1415="HALLUCINATION")</x:f>
        <x:v>0</x:v>
      </x:c>
      <x:c r="AI1415" t="n">
        <x:f>--AND(Q1415=1,AF1415=1,AE1415="HALLUCINATION")</x:f>
        <x:v>0</x:v>
      </x:c>
      <x:c r="AJ1415" t="n">
        <x:f>--AND(AI1415=1,R1415=1,S1415=1)</x:f>
        <x:v>0</x:v>
      </x:c>
    </x:row>
    <x:row r="1416">
      <x:c r="A1416" s="28"/>
      <x:c r="B1416" s="28"/>
      <x:c r="C1416" s="28"/>
      <x:c r="D1416" s="28"/>
      <x:c r="E1416" s="28"/>
      <x:c r="F1416" s="28"/>
      <x:c r="G1416" s="28"/>
      <x:c r="H1416" s="28"/>
      <x:c r="I1416" s="28"/>
      <x:c r="J1416" s="28"/>
      <x:c r="K1416" s="28"/>
      <x:c r="L1416" s="28"/>
      <x:c r="M1416" s="28"/>
      <x:c r="N1416" s="28"/>
      <x:c r="O1416" s="28"/>
      <x:c r="P1416" s="28"/>
      <x:c r="Q1416" s="28"/>
      <x:c r="R1416" s="28"/>
      <x:c r="S1416" s="28"/>
      <x:c r="T1416" s="28"/>
      <x:c r="U1416" s="28"/>
      <x:c r="V1416" s="28"/>
      <x:c r="W1416" s="43" t="n">
        <x:f>--AND(N1416=1,OR(O1416="SUPPORTED",O1416="HALLUCINATION"))</x:f>
        <x:v>0</x:v>
      </x:c>
      <x:c r="X1416" s="43" t="n">
        <x:f>--AND(W1416=1,O1416="HALLUCINATION")</x:f>
        <x:v>0</x:v>
      </x:c>
      <x:c r="Y1416" s="43" t="n">
        <x:f>--AND(Q1416=1,O1416="HALLUCINATION")</x:f>
        <x:v>0</x:v>
      </x:c>
      <x:c r="Z1416" s="43" t="n">
        <x:f>--AND(Y1416=1,R1416=1,S1416=1)</x:f>
        <x:v>0</x:v>
      </x:c>
      <x:c r="AC1416" t="str">
        <x:f>IF(OR(AA1416="",AB1416=""),"",--(AA1416&lt;&gt;AB1416))</x:f>
      </x:c>
      <x:c r="AE1416" t="str">
        <x:f>IF(OR(AA1416="",AB1416=""),"PENDING_HUMAN",IF(AA1416=AB1416,AA1416,IF(AD1416&lt;&gt;"",AD1416,"PENDING_HUMAN")))</x:f>
        <x:v>PENDING_HUMAN</x:v>
      </x:c>
      <x:c r="AF1416" t="n">
        <x:f>--AND(A1416&lt;&gt;"",AA1416&lt;&gt;"",AB1416&lt;&gt;"",OR(AA1416=AB1416,AD1416&lt;&gt;""),IF(AE1416="HALLUCINATION",U1416&lt;&gt;"",TRUE))</x:f>
        <x:v>0</x:v>
      </x:c>
      <x:c r="AG1416" t="n">
        <x:f>--AND(N1416=1,AF1416=1,OR(AE1416="SUPPORTED",AE1416="HALLUCINATION"))</x:f>
        <x:v>0</x:v>
      </x:c>
      <x:c r="AH1416" t="n">
        <x:f>--AND(AG1416=1,AE1416="HALLUCINATION")</x:f>
        <x:v>0</x:v>
      </x:c>
      <x:c r="AI1416" t="n">
        <x:f>--AND(Q1416=1,AF1416=1,AE1416="HALLUCINATION")</x:f>
        <x:v>0</x:v>
      </x:c>
      <x:c r="AJ1416" t="n">
        <x:f>--AND(AI1416=1,R1416=1,S1416=1)</x:f>
        <x:v>0</x:v>
      </x:c>
    </x:row>
    <x:row r="1417">
      <x:c r="A1417" s="28"/>
      <x:c r="B1417" s="28"/>
      <x:c r="C1417" s="28"/>
      <x:c r="D1417" s="28"/>
      <x:c r="E1417" s="28"/>
      <x:c r="F1417" s="28"/>
      <x:c r="G1417" s="28"/>
      <x:c r="H1417" s="28"/>
      <x:c r="I1417" s="28"/>
      <x:c r="J1417" s="28"/>
      <x:c r="K1417" s="28"/>
      <x:c r="L1417" s="28"/>
      <x:c r="M1417" s="28"/>
      <x:c r="N1417" s="28"/>
      <x:c r="O1417" s="28"/>
      <x:c r="P1417" s="28"/>
      <x:c r="Q1417" s="28"/>
      <x:c r="R1417" s="28"/>
      <x:c r="S1417" s="28"/>
      <x:c r="T1417" s="28"/>
      <x:c r="U1417" s="28"/>
      <x:c r="V1417" s="28"/>
      <x:c r="W1417" s="43" t="n">
        <x:f>--AND(N1417=1,OR(O1417="SUPPORTED",O1417="HALLUCINATION"))</x:f>
        <x:v>0</x:v>
      </x:c>
      <x:c r="X1417" s="43" t="n">
        <x:f>--AND(W1417=1,O1417="HALLUCINATION")</x:f>
        <x:v>0</x:v>
      </x:c>
      <x:c r="Y1417" s="43" t="n">
        <x:f>--AND(Q1417=1,O1417="HALLUCINATION")</x:f>
        <x:v>0</x:v>
      </x:c>
      <x:c r="Z1417" s="43" t="n">
        <x:f>--AND(Y1417=1,R1417=1,S1417=1)</x:f>
        <x:v>0</x:v>
      </x:c>
      <x:c r="AC1417" t="str">
        <x:f>IF(OR(AA1417="",AB1417=""),"",--(AA1417&lt;&gt;AB1417))</x:f>
      </x:c>
      <x:c r="AE1417" t="str">
        <x:f>IF(OR(AA1417="",AB1417=""),"PENDING_HUMAN",IF(AA1417=AB1417,AA1417,IF(AD1417&lt;&gt;"",AD1417,"PENDING_HUMAN")))</x:f>
        <x:v>PENDING_HUMAN</x:v>
      </x:c>
      <x:c r="AF1417" t="n">
        <x:f>--AND(A1417&lt;&gt;"",AA1417&lt;&gt;"",AB1417&lt;&gt;"",OR(AA1417=AB1417,AD1417&lt;&gt;""),IF(AE1417="HALLUCINATION",U1417&lt;&gt;"",TRUE))</x:f>
        <x:v>0</x:v>
      </x:c>
      <x:c r="AG1417" t="n">
        <x:f>--AND(N1417=1,AF1417=1,OR(AE1417="SUPPORTED",AE1417="HALLUCINATION"))</x:f>
        <x:v>0</x:v>
      </x:c>
      <x:c r="AH1417" t="n">
        <x:f>--AND(AG1417=1,AE1417="HALLUCINATION")</x:f>
        <x:v>0</x:v>
      </x:c>
      <x:c r="AI1417" t="n">
        <x:f>--AND(Q1417=1,AF1417=1,AE1417="HALLUCINATION")</x:f>
        <x:v>0</x:v>
      </x:c>
      <x:c r="AJ1417" t="n">
        <x:f>--AND(AI1417=1,R1417=1,S1417=1)</x:f>
        <x:v>0</x:v>
      </x:c>
    </x:row>
    <x:row r="1418">
      <x:c r="A1418" s="28"/>
      <x:c r="B1418" s="28"/>
      <x:c r="C1418" s="28"/>
      <x:c r="D1418" s="28"/>
      <x:c r="E1418" s="28"/>
      <x:c r="F1418" s="28"/>
      <x:c r="G1418" s="28"/>
      <x:c r="H1418" s="28"/>
      <x:c r="I1418" s="28"/>
      <x:c r="J1418" s="28"/>
      <x:c r="K1418" s="28"/>
      <x:c r="L1418" s="28"/>
      <x:c r="M1418" s="28"/>
      <x:c r="N1418" s="28"/>
      <x:c r="O1418" s="28"/>
      <x:c r="P1418" s="28"/>
      <x:c r="Q1418" s="28"/>
      <x:c r="R1418" s="28"/>
      <x:c r="S1418" s="28"/>
      <x:c r="T1418" s="28"/>
      <x:c r="U1418" s="28"/>
      <x:c r="V1418" s="28"/>
      <x:c r="W1418" s="43" t="n">
        <x:f>--AND(N1418=1,OR(O1418="SUPPORTED",O1418="HALLUCINATION"))</x:f>
        <x:v>0</x:v>
      </x:c>
      <x:c r="X1418" s="43" t="n">
        <x:f>--AND(W1418=1,O1418="HALLUCINATION")</x:f>
        <x:v>0</x:v>
      </x:c>
      <x:c r="Y1418" s="43" t="n">
        <x:f>--AND(Q1418=1,O1418="HALLUCINATION")</x:f>
        <x:v>0</x:v>
      </x:c>
      <x:c r="Z1418" s="43" t="n">
        <x:f>--AND(Y1418=1,R1418=1,S1418=1)</x:f>
        <x:v>0</x:v>
      </x:c>
      <x:c r="AC1418" t="str">
        <x:f>IF(OR(AA1418="",AB1418=""),"",--(AA1418&lt;&gt;AB1418))</x:f>
      </x:c>
      <x:c r="AE1418" t="str">
        <x:f>IF(OR(AA1418="",AB1418=""),"PENDING_HUMAN",IF(AA1418=AB1418,AA1418,IF(AD1418&lt;&gt;"",AD1418,"PENDING_HUMAN")))</x:f>
        <x:v>PENDING_HUMAN</x:v>
      </x:c>
      <x:c r="AF1418" t="n">
        <x:f>--AND(A1418&lt;&gt;"",AA1418&lt;&gt;"",AB1418&lt;&gt;"",OR(AA1418=AB1418,AD1418&lt;&gt;""),IF(AE1418="HALLUCINATION",U1418&lt;&gt;"",TRUE))</x:f>
        <x:v>0</x:v>
      </x:c>
      <x:c r="AG1418" t="n">
        <x:f>--AND(N1418=1,AF1418=1,OR(AE1418="SUPPORTED",AE1418="HALLUCINATION"))</x:f>
        <x:v>0</x:v>
      </x:c>
      <x:c r="AH1418" t="n">
        <x:f>--AND(AG1418=1,AE1418="HALLUCINATION")</x:f>
        <x:v>0</x:v>
      </x:c>
      <x:c r="AI1418" t="n">
        <x:f>--AND(Q1418=1,AF1418=1,AE1418="HALLUCINATION")</x:f>
        <x:v>0</x:v>
      </x:c>
      <x:c r="AJ1418" t="n">
        <x:f>--AND(AI1418=1,R1418=1,S1418=1)</x:f>
        <x:v>0</x:v>
      </x:c>
    </x:row>
    <x:row r="1419">
      <x:c r="A1419" s="28"/>
      <x:c r="B1419" s="28"/>
      <x:c r="C1419" s="28"/>
      <x:c r="D1419" s="28"/>
      <x:c r="E1419" s="28"/>
      <x:c r="F1419" s="28"/>
      <x:c r="G1419" s="28"/>
      <x:c r="H1419" s="28"/>
      <x:c r="I1419" s="28"/>
      <x:c r="J1419" s="28"/>
      <x:c r="K1419" s="28"/>
      <x:c r="L1419" s="28"/>
      <x:c r="M1419" s="28"/>
      <x:c r="N1419" s="28"/>
      <x:c r="O1419" s="28"/>
      <x:c r="P1419" s="28"/>
      <x:c r="Q1419" s="28"/>
      <x:c r="R1419" s="28"/>
      <x:c r="S1419" s="28"/>
      <x:c r="T1419" s="28"/>
      <x:c r="U1419" s="28"/>
      <x:c r="V1419" s="28"/>
      <x:c r="W1419" s="43" t="n">
        <x:f>--AND(N1419=1,OR(O1419="SUPPORTED",O1419="HALLUCINATION"))</x:f>
        <x:v>0</x:v>
      </x:c>
      <x:c r="X1419" s="43" t="n">
        <x:f>--AND(W1419=1,O1419="HALLUCINATION")</x:f>
        <x:v>0</x:v>
      </x:c>
      <x:c r="Y1419" s="43" t="n">
        <x:f>--AND(Q1419=1,O1419="HALLUCINATION")</x:f>
        <x:v>0</x:v>
      </x:c>
      <x:c r="Z1419" s="43" t="n">
        <x:f>--AND(Y1419=1,R1419=1,S1419=1)</x:f>
        <x:v>0</x:v>
      </x:c>
      <x:c r="AC1419" t="str">
        <x:f>IF(OR(AA1419="",AB1419=""),"",--(AA1419&lt;&gt;AB1419))</x:f>
      </x:c>
      <x:c r="AE1419" t="str">
        <x:f>IF(OR(AA1419="",AB1419=""),"PENDING_HUMAN",IF(AA1419=AB1419,AA1419,IF(AD1419&lt;&gt;"",AD1419,"PENDING_HUMAN")))</x:f>
        <x:v>PENDING_HUMAN</x:v>
      </x:c>
      <x:c r="AF1419" t="n">
        <x:f>--AND(A1419&lt;&gt;"",AA1419&lt;&gt;"",AB1419&lt;&gt;"",OR(AA1419=AB1419,AD1419&lt;&gt;""),IF(AE1419="HALLUCINATION",U1419&lt;&gt;"",TRUE))</x:f>
        <x:v>0</x:v>
      </x:c>
      <x:c r="AG1419" t="n">
        <x:f>--AND(N1419=1,AF1419=1,OR(AE1419="SUPPORTED",AE1419="HALLUCINATION"))</x:f>
        <x:v>0</x:v>
      </x:c>
      <x:c r="AH1419" t="n">
        <x:f>--AND(AG1419=1,AE1419="HALLUCINATION")</x:f>
        <x:v>0</x:v>
      </x:c>
      <x:c r="AI1419" t="n">
        <x:f>--AND(Q1419=1,AF1419=1,AE1419="HALLUCINATION")</x:f>
        <x:v>0</x:v>
      </x:c>
      <x:c r="AJ1419" t="n">
        <x:f>--AND(AI1419=1,R1419=1,S1419=1)</x:f>
        <x:v>0</x:v>
      </x:c>
    </x:row>
    <x:row r="1420">
      <x:c r="A1420" s="28"/>
      <x:c r="B1420" s="28"/>
      <x:c r="C1420" s="28"/>
      <x:c r="D1420" s="28"/>
      <x:c r="E1420" s="28"/>
      <x:c r="F1420" s="28"/>
      <x:c r="G1420" s="28"/>
      <x:c r="H1420" s="28"/>
      <x:c r="I1420" s="28"/>
      <x:c r="J1420" s="28"/>
      <x:c r="K1420" s="28"/>
      <x:c r="L1420" s="28"/>
      <x:c r="M1420" s="28"/>
      <x:c r="N1420" s="28"/>
      <x:c r="O1420" s="28"/>
      <x:c r="P1420" s="28"/>
      <x:c r="Q1420" s="28"/>
      <x:c r="R1420" s="28"/>
      <x:c r="S1420" s="28"/>
      <x:c r="T1420" s="28"/>
      <x:c r="U1420" s="28"/>
      <x:c r="V1420" s="28"/>
      <x:c r="W1420" s="43" t="n">
        <x:f>--AND(N1420=1,OR(O1420="SUPPORTED",O1420="HALLUCINATION"))</x:f>
        <x:v>0</x:v>
      </x:c>
      <x:c r="X1420" s="43" t="n">
        <x:f>--AND(W1420=1,O1420="HALLUCINATION")</x:f>
        <x:v>0</x:v>
      </x:c>
      <x:c r="Y1420" s="43" t="n">
        <x:f>--AND(Q1420=1,O1420="HALLUCINATION")</x:f>
        <x:v>0</x:v>
      </x:c>
      <x:c r="Z1420" s="43" t="n">
        <x:f>--AND(Y1420=1,R1420=1,S1420=1)</x:f>
        <x:v>0</x:v>
      </x:c>
      <x:c r="AC1420" t="str">
        <x:f>IF(OR(AA1420="",AB1420=""),"",--(AA1420&lt;&gt;AB1420))</x:f>
      </x:c>
      <x:c r="AE1420" t="str">
        <x:f>IF(OR(AA1420="",AB1420=""),"PENDING_HUMAN",IF(AA1420=AB1420,AA1420,IF(AD1420&lt;&gt;"",AD1420,"PENDING_HUMAN")))</x:f>
        <x:v>PENDING_HUMAN</x:v>
      </x:c>
      <x:c r="AF1420" t="n">
        <x:f>--AND(A1420&lt;&gt;"",AA1420&lt;&gt;"",AB1420&lt;&gt;"",OR(AA1420=AB1420,AD1420&lt;&gt;""),IF(AE1420="HALLUCINATION",U1420&lt;&gt;"",TRUE))</x:f>
        <x:v>0</x:v>
      </x:c>
      <x:c r="AG1420" t="n">
        <x:f>--AND(N1420=1,AF1420=1,OR(AE1420="SUPPORTED",AE1420="HALLUCINATION"))</x:f>
        <x:v>0</x:v>
      </x:c>
      <x:c r="AH1420" t="n">
        <x:f>--AND(AG1420=1,AE1420="HALLUCINATION")</x:f>
        <x:v>0</x:v>
      </x:c>
      <x:c r="AI1420" t="n">
        <x:f>--AND(Q1420=1,AF1420=1,AE1420="HALLUCINATION")</x:f>
        <x:v>0</x:v>
      </x:c>
      <x:c r="AJ1420" t="n">
        <x:f>--AND(AI1420=1,R1420=1,S1420=1)</x:f>
        <x:v>0</x:v>
      </x:c>
    </x:row>
    <x:row r="1421">
      <x:c r="A1421" s="28"/>
      <x:c r="B1421" s="28"/>
      <x:c r="C1421" s="28"/>
      <x:c r="D1421" s="28"/>
      <x:c r="E1421" s="28"/>
      <x:c r="F1421" s="28"/>
      <x:c r="G1421" s="28"/>
      <x:c r="H1421" s="28"/>
      <x:c r="I1421" s="28"/>
      <x:c r="J1421" s="28"/>
      <x:c r="K1421" s="28"/>
      <x:c r="L1421" s="28"/>
      <x:c r="M1421" s="28"/>
      <x:c r="N1421" s="28"/>
      <x:c r="O1421" s="28"/>
      <x:c r="P1421" s="28"/>
      <x:c r="Q1421" s="28"/>
      <x:c r="R1421" s="28"/>
      <x:c r="S1421" s="28"/>
      <x:c r="T1421" s="28"/>
      <x:c r="U1421" s="28"/>
      <x:c r="V1421" s="28"/>
      <x:c r="W1421" s="43" t="n">
        <x:f>--AND(N1421=1,OR(O1421="SUPPORTED",O1421="HALLUCINATION"))</x:f>
        <x:v>0</x:v>
      </x:c>
      <x:c r="X1421" s="43" t="n">
        <x:f>--AND(W1421=1,O1421="HALLUCINATION")</x:f>
        <x:v>0</x:v>
      </x:c>
      <x:c r="Y1421" s="43" t="n">
        <x:f>--AND(Q1421=1,O1421="HALLUCINATION")</x:f>
        <x:v>0</x:v>
      </x:c>
      <x:c r="Z1421" s="43" t="n">
        <x:f>--AND(Y1421=1,R1421=1,S1421=1)</x:f>
        <x:v>0</x:v>
      </x:c>
      <x:c r="AC1421" t="str">
        <x:f>IF(OR(AA1421="",AB1421=""),"",--(AA1421&lt;&gt;AB1421))</x:f>
      </x:c>
      <x:c r="AE1421" t="str">
        <x:f>IF(OR(AA1421="",AB1421=""),"PENDING_HUMAN",IF(AA1421=AB1421,AA1421,IF(AD1421&lt;&gt;"",AD1421,"PENDING_HUMAN")))</x:f>
        <x:v>PENDING_HUMAN</x:v>
      </x:c>
      <x:c r="AF1421" t="n">
        <x:f>--AND(A1421&lt;&gt;"",AA1421&lt;&gt;"",AB1421&lt;&gt;"",OR(AA1421=AB1421,AD1421&lt;&gt;""),IF(AE1421="HALLUCINATION",U1421&lt;&gt;"",TRUE))</x:f>
        <x:v>0</x:v>
      </x:c>
      <x:c r="AG1421" t="n">
        <x:f>--AND(N1421=1,AF1421=1,OR(AE1421="SUPPORTED",AE1421="HALLUCINATION"))</x:f>
        <x:v>0</x:v>
      </x:c>
      <x:c r="AH1421" t="n">
        <x:f>--AND(AG1421=1,AE1421="HALLUCINATION")</x:f>
        <x:v>0</x:v>
      </x:c>
      <x:c r="AI1421" t="n">
        <x:f>--AND(Q1421=1,AF1421=1,AE1421="HALLUCINATION")</x:f>
        <x:v>0</x:v>
      </x:c>
      <x:c r="AJ1421" t="n">
        <x:f>--AND(AI1421=1,R1421=1,S1421=1)</x:f>
        <x:v>0</x:v>
      </x:c>
    </x:row>
    <x:row r="1422">
      <x:c r="A1422" s="28"/>
      <x:c r="B1422" s="28"/>
      <x:c r="C1422" s="28"/>
      <x:c r="D1422" s="28"/>
      <x:c r="E1422" s="28"/>
      <x:c r="F1422" s="28"/>
      <x:c r="G1422" s="28"/>
      <x:c r="H1422" s="28"/>
      <x:c r="I1422" s="28"/>
      <x:c r="J1422" s="28"/>
      <x:c r="K1422" s="28"/>
      <x:c r="L1422" s="28"/>
      <x:c r="M1422" s="28"/>
      <x:c r="N1422" s="28"/>
      <x:c r="O1422" s="28"/>
      <x:c r="P1422" s="28"/>
      <x:c r="Q1422" s="28"/>
      <x:c r="R1422" s="28"/>
      <x:c r="S1422" s="28"/>
      <x:c r="T1422" s="28"/>
      <x:c r="U1422" s="28"/>
      <x:c r="V1422" s="28"/>
      <x:c r="W1422" s="43" t="n">
        <x:f>--AND(N1422=1,OR(O1422="SUPPORTED",O1422="HALLUCINATION"))</x:f>
        <x:v>0</x:v>
      </x:c>
      <x:c r="X1422" s="43" t="n">
        <x:f>--AND(W1422=1,O1422="HALLUCINATION")</x:f>
        <x:v>0</x:v>
      </x:c>
      <x:c r="Y1422" s="43" t="n">
        <x:f>--AND(Q1422=1,O1422="HALLUCINATION")</x:f>
        <x:v>0</x:v>
      </x:c>
      <x:c r="Z1422" s="43" t="n">
        <x:f>--AND(Y1422=1,R1422=1,S1422=1)</x:f>
        <x:v>0</x:v>
      </x:c>
      <x:c r="AC1422" t="str">
        <x:f>IF(OR(AA1422="",AB1422=""),"",--(AA1422&lt;&gt;AB1422))</x:f>
      </x:c>
      <x:c r="AE1422" t="str">
        <x:f>IF(OR(AA1422="",AB1422=""),"PENDING_HUMAN",IF(AA1422=AB1422,AA1422,IF(AD1422&lt;&gt;"",AD1422,"PENDING_HUMAN")))</x:f>
        <x:v>PENDING_HUMAN</x:v>
      </x:c>
      <x:c r="AF1422" t="n">
        <x:f>--AND(A1422&lt;&gt;"",AA1422&lt;&gt;"",AB1422&lt;&gt;"",OR(AA1422=AB1422,AD1422&lt;&gt;""),IF(AE1422="HALLUCINATION",U1422&lt;&gt;"",TRUE))</x:f>
        <x:v>0</x:v>
      </x:c>
      <x:c r="AG1422" t="n">
        <x:f>--AND(N1422=1,AF1422=1,OR(AE1422="SUPPORTED",AE1422="HALLUCINATION"))</x:f>
        <x:v>0</x:v>
      </x:c>
      <x:c r="AH1422" t="n">
        <x:f>--AND(AG1422=1,AE1422="HALLUCINATION")</x:f>
        <x:v>0</x:v>
      </x:c>
      <x:c r="AI1422" t="n">
        <x:f>--AND(Q1422=1,AF1422=1,AE1422="HALLUCINATION")</x:f>
        <x:v>0</x:v>
      </x:c>
      <x:c r="AJ1422" t="n">
        <x:f>--AND(AI1422=1,R1422=1,S1422=1)</x:f>
        <x:v>0</x:v>
      </x:c>
    </x:row>
    <x:row r="1423">
      <x:c r="A1423" s="28"/>
      <x:c r="B1423" s="28"/>
      <x:c r="C1423" s="28"/>
      <x:c r="D1423" s="28"/>
      <x:c r="E1423" s="28"/>
      <x:c r="F1423" s="28"/>
      <x:c r="G1423" s="28"/>
      <x:c r="H1423" s="28"/>
      <x:c r="I1423" s="28"/>
      <x:c r="J1423" s="28"/>
      <x:c r="K1423" s="28"/>
      <x:c r="L1423" s="28"/>
      <x:c r="M1423" s="28"/>
      <x:c r="N1423" s="28"/>
      <x:c r="O1423" s="28"/>
      <x:c r="P1423" s="28"/>
      <x:c r="Q1423" s="28"/>
      <x:c r="R1423" s="28"/>
      <x:c r="S1423" s="28"/>
      <x:c r="T1423" s="28"/>
      <x:c r="U1423" s="28"/>
      <x:c r="V1423" s="28"/>
      <x:c r="W1423" s="43" t="n">
        <x:f>--AND(N1423=1,OR(O1423="SUPPORTED",O1423="HALLUCINATION"))</x:f>
        <x:v>0</x:v>
      </x:c>
      <x:c r="X1423" s="43" t="n">
        <x:f>--AND(W1423=1,O1423="HALLUCINATION")</x:f>
        <x:v>0</x:v>
      </x:c>
      <x:c r="Y1423" s="43" t="n">
        <x:f>--AND(Q1423=1,O1423="HALLUCINATION")</x:f>
        <x:v>0</x:v>
      </x:c>
      <x:c r="Z1423" s="43" t="n">
        <x:f>--AND(Y1423=1,R1423=1,S1423=1)</x:f>
        <x:v>0</x:v>
      </x:c>
      <x:c r="AC1423" t="str">
        <x:f>IF(OR(AA1423="",AB1423=""),"",--(AA1423&lt;&gt;AB1423))</x:f>
      </x:c>
      <x:c r="AE1423" t="str">
        <x:f>IF(OR(AA1423="",AB1423=""),"PENDING_HUMAN",IF(AA1423=AB1423,AA1423,IF(AD1423&lt;&gt;"",AD1423,"PENDING_HUMAN")))</x:f>
        <x:v>PENDING_HUMAN</x:v>
      </x:c>
      <x:c r="AF1423" t="n">
        <x:f>--AND(A1423&lt;&gt;"",AA1423&lt;&gt;"",AB1423&lt;&gt;"",OR(AA1423=AB1423,AD1423&lt;&gt;""),IF(AE1423="HALLUCINATION",U1423&lt;&gt;"",TRUE))</x:f>
        <x:v>0</x:v>
      </x:c>
      <x:c r="AG1423" t="n">
        <x:f>--AND(N1423=1,AF1423=1,OR(AE1423="SUPPORTED",AE1423="HALLUCINATION"))</x:f>
        <x:v>0</x:v>
      </x:c>
      <x:c r="AH1423" t="n">
        <x:f>--AND(AG1423=1,AE1423="HALLUCINATION")</x:f>
        <x:v>0</x:v>
      </x:c>
      <x:c r="AI1423" t="n">
        <x:f>--AND(Q1423=1,AF1423=1,AE1423="HALLUCINATION")</x:f>
        <x:v>0</x:v>
      </x:c>
      <x:c r="AJ1423" t="n">
        <x:f>--AND(AI1423=1,R1423=1,S1423=1)</x:f>
        <x:v>0</x:v>
      </x:c>
    </x:row>
    <x:row r="1424">
      <x:c r="A1424" s="28"/>
      <x:c r="B1424" s="28"/>
      <x:c r="C1424" s="28"/>
      <x:c r="D1424" s="28"/>
      <x:c r="E1424" s="28"/>
      <x:c r="F1424" s="28"/>
      <x:c r="G1424" s="28"/>
      <x:c r="H1424" s="28"/>
      <x:c r="I1424" s="28"/>
      <x:c r="J1424" s="28"/>
      <x:c r="K1424" s="28"/>
      <x:c r="L1424" s="28"/>
      <x:c r="M1424" s="28"/>
      <x:c r="N1424" s="28"/>
      <x:c r="O1424" s="28"/>
      <x:c r="P1424" s="28"/>
      <x:c r="Q1424" s="28"/>
      <x:c r="R1424" s="28"/>
      <x:c r="S1424" s="28"/>
      <x:c r="T1424" s="28"/>
      <x:c r="U1424" s="28"/>
      <x:c r="V1424" s="28"/>
      <x:c r="W1424" s="43" t="n">
        <x:f>--AND(N1424=1,OR(O1424="SUPPORTED",O1424="HALLUCINATION"))</x:f>
        <x:v>0</x:v>
      </x:c>
      <x:c r="X1424" s="43" t="n">
        <x:f>--AND(W1424=1,O1424="HALLUCINATION")</x:f>
        <x:v>0</x:v>
      </x:c>
      <x:c r="Y1424" s="43" t="n">
        <x:f>--AND(Q1424=1,O1424="HALLUCINATION")</x:f>
        <x:v>0</x:v>
      </x:c>
      <x:c r="Z1424" s="43" t="n">
        <x:f>--AND(Y1424=1,R1424=1,S1424=1)</x:f>
        <x:v>0</x:v>
      </x:c>
      <x:c r="AC1424" t="str">
        <x:f>IF(OR(AA1424="",AB1424=""),"",--(AA1424&lt;&gt;AB1424))</x:f>
      </x:c>
      <x:c r="AE1424" t="str">
        <x:f>IF(OR(AA1424="",AB1424=""),"PENDING_HUMAN",IF(AA1424=AB1424,AA1424,IF(AD1424&lt;&gt;"",AD1424,"PENDING_HUMAN")))</x:f>
        <x:v>PENDING_HUMAN</x:v>
      </x:c>
      <x:c r="AF1424" t="n">
        <x:f>--AND(A1424&lt;&gt;"",AA1424&lt;&gt;"",AB1424&lt;&gt;"",OR(AA1424=AB1424,AD1424&lt;&gt;""),IF(AE1424="HALLUCINATION",U1424&lt;&gt;"",TRUE))</x:f>
        <x:v>0</x:v>
      </x:c>
      <x:c r="AG1424" t="n">
        <x:f>--AND(N1424=1,AF1424=1,OR(AE1424="SUPPORTED",AE1424="HALLUCINATION"))</x:f>
        <x:v>0</x:v>
      </x:c>
      <x:c r="AH1424" t="n">
        <x:f>--AND(AG1424=1,AE1424="HALLUCINATION")</x:f>
        <x:v>0</x:v>
      </x:c>
      <x:c r="AI1424" t="n">
        <x:f>--AND(Q1424=1,AF1424=1,AE1424="HALLUCINATION")</x:f>
        <x:v>0</x:v>
      </x:c>
      <x:c r="AJ1424" t="n">
        <x:f>--AND(AI1424=1,R1424=1,S1424=1)</x:f>
        <x:v>0</x:v>
      </x:c>
    </x:row>
    <x:row r="1425">
      <x:c r="A1425" s="28"/>
      <x:c r="B1425" s="28"/>
      <x:c r="C1425" s="28"/>
      <x:c r="D1425" s="28"/>
      <x:c r="E1425" s="28"/>
      <x:c r="F1425" s="28"/>
      <x:c r="G1425" s="28"/>
      <x:c r="H1425" s="28"/>
      <x:c r="I1425" s="28"/>
      <x:c r="J1425" s="28"/>
      <x:c r="K1425" s="28"/>
      <x:c r="L1425" s="28"/>
      <x:c r="M1425" s="28"/>
      <x:c r="N1425" s="28"/>
      <x:c r="O1425" s="28"/>
      <x:c r="P1425" s="28"/>
      <x:c r="Q1425" s="28"/>
      <x:c r="R1425" s="28"/>
      <x:c r="S1425" s="28"/>
      <x:c r="T1425" s="28"/>
      <x:c r="U1425" s="28"/>
      <x:c r="V1425" s="28"/>
      <x:c r="W1425" s="43" t="n">
        <x:f>--AND(N1425=1,OR(O1425="SUPPORTED",O1425="HALLUCINATION"))</x:f>
        <x:v>0</x:v>
      </x:c>
      <x:c r="X1425" s="43" t="n">
        <x:f>--AND(W1425=1,O1425="HALLUCINATION")</x:f>
        <x:v>0</x:v>
      </x:c>
      <x:c r="Y1425" s="43" t="n">
        <x:f>--AND(Q1425=1,O1425="HALLUCINATION")</x:f>
        <x:v>0</x:v>
      </x:c>
      <x:c r="Z1425" s="43" t="n">
        <x:f>--AND(Y1425=1,R1425=1,S1425=1)</x:f>
        <x:v>0</x:v>
      </x:c>
      <x:c r="AC1425" t="str">
        <x:f>IF(OR(AA1425="",AB1425=""),"",--(AA1425&lt;&gt;AB1425))</x:f>
      </x:c>
      <x:c r="AE1425" t="str">
        <x:f>IF(OR(AA1425="",AB1425=""),"PENDING_HUMAN",IF(AA1425=AB1425,AA1425,IF(AD1425&lt;&gt;"",AD1425,"PENDING_HUMAN")))</x:f>
        <x:v>PENDING_HUMAN</x:v>
      </x:c>
      <x:c r="AF1425" t="n">
        <x:f>--AND(A1425&lt;&gt;"",AA1425&lt;&gt;"",AB1425&lt;&gt;"",OR(AA1425=AB1425,AD1425&lt;&gt;""),IF(AE1425="HALLUCINATION",U1425&lt;&gt;"",TRUE))</x:f>
        <x:v>0</x:v>
      </x:c>
      <x:c r="AG1425" t="n">
        <x:f>--AND(N1425=1,AF1425=1,OR(AE1425="SUPPORTED",AE1425="HALLUCINATION"))</x:f>
        <x:v>0</x:v>
      </x:c>
      <x:c r="AH1425" t="n">
        <x:f>--AND(AG1425=1,AE1425="HALLUCINATION")</x:f>
        <x:v>0</x:v>
      </x:c>
      <x:c r="AI1425" t="n">
        <x:f>--AND(Q1425=1,AF1425=1,AE1425="HALLUCINATION")</x:f>
        <x:v>0</x:v>
      </x:c>
      <x:c r="AJ1425" t="n">
        <x:f>--AND(AI1425=1,R1425=1,S1425=1)</x:f>
        <x:v>0</x:v>
      </x:c>
    </x:row>
    <x:row r="1426">
      <x:c r="A1426" s="28"/>
      <x:c r="B1426" s="28"/>
      <x:c r="C1426" s="28"/>
      <x:c r="D1426" s="28"/>
      <x:c r="E1426" s="28"/>
      <x:c r="F1426" s="28"/>
      <x:c r="G1426" s="28"/>
      <x:c r="H1426" s="28"/>
      <x:c r="I1426" s="28"/>
      <x:c r="J1426" s="28"/>
      <x:c r="K1426" s="28"/>
      <x:c r="L1426" s="28"/>
      <x:c r="M1426" s="28"/>
      <x:c r="N1426" s="28"/>
      <x:c r="O1426" s="28"/>
      <x:c r="P1426" s="28"/>
      <x:c r="Q1426" s="28"/>
      <x:c r="R1426" s="28"/>
      <x:c r="S1426" s="28"/>
      <x:c r="T1426" s="28"/>
      <x:c r="U1426" s="28"/>
      <x:c r="V1426" s="28"/>
      <x:c r="W1426" s="43" t="n">
        <x:f>--AND(N1426=1,OR(O1426="SUPPORTED",O1426="HALLUCINATION"))</x:f>
        <x:v>0</x:v>
      </x:c>
      <x:c r="X1426" s="43" t="n">
        <x:f>--AND(W1426=1,O1426="HALLUCINATION")</x:f>
        <x:v>0</x:v>
      </x:c>
      <x:c r="Y1426" s="43" t="n">
        <x:f>--AND(Q1426=1,O1426="HALLUCINATION")</x:f>
        <x:v>0</x:v>
      </x:c>
      <x:c r="Z1426" s="43" t="n">
        <x:f>--AND(Y1426=1,R1426=1,S1426=1)</x:f>
        <x:v>0</x:v>
      </x:c>
      <x:c r="AC1426" t="str">
        <x:f>IF(OR(AA1426="",AB1426=""),"",--(AA1426&lt;&gt;AB1426))</x:f>
      </x:c>
      <x:c r="AE1426" t="str">
        <x:f>IF(OR(AA1426="",AB1426=""),"PENDING_HUMAN",IF(AA1426=AB1426,AA1426,IF(AD1426&lt;&gt;"",AD1426,"PENDING_HUMAN")))</x:f>
        <x:v>PENDING_HUMAN</x:v>
      </x:c>
      <x:c r="AF1426" t="n">
        <x:f>--AND(A1426&lt;&gt;"",AA1426&lt;&gt;"",AB1426&lt;&gt;"",OR(AA1426=AB1426,AD1426&lt;&gt;""),IF(AE1426="HALLUCINATION",U1426&lt;&gt;"",TRUE))</x:f>
        <x:v>0</x:v>
      </x:c>
      <x:c r="AG1426" t="n">
        <x:f>--AND(N1426=1,AF1426=1,OR(AE1426="SUPPORTED",AE1426="HALLUCINATION"))</x:f>
        <x:v>0</x:v>
      </x:c>
      <x:c r="AH1426" t="n">
        <x:f>--AND(AG1426=1,AE1426="HALLUCINATION")</x:f>
        <x:v>0</x:v>
      </x:c>
      <x:c r="AI1426" t="n">
        <x:f>--AND(Q1426=1,AF1426=1,AE1426="HALLUCINATION")</x:f>
        <x:v>0</x:v>
      </x:c>
      <x:c r="AJ1426" t="n">
        <x:f>--AND(AI1426=1,R1426=1,S1426=1)</x:f>
        <x:v>0</x:v>
      </x:c>
    </x:row>
    <x:row r="1427">
      <x:c r="A1427" s="28"/>
      <x:c r="B1427" s="28"/>
      <x:c r="C1427" s="28"/>
      <x:c r="D1427" s="28"/>
      <x:c r="E1427" s="28"/>
      <x:c r="F1427" s="28"/>
      <x:c r="G1427" s="28"/>
      <x:c r="H1427" s="28"/>
      <x:c r="I1427" s="28"/>
      <x:c r="J1427" s="28"/>
      <x:c r="K1427" s="28"/>
      <x:c r="L1427" s="28"/>
      <x:c r="M1427" s="28"/>
      <x:c r="N1427" s="28"/>
      <x:c r="O1427" s="28"/>
      <x:c r="P1427" s="28"/>
      <x:c r="Q1427" s="28"/>
      <x:c r="R1427" s="28"/>
      <x:c r="S1427" s="28"/>
      <x:c r="T1427" s="28"/>
      <x:c r="U1427" s="28"/>
      <x:c r="V1427" s="28"/>
      <x:c r="W1427" s="43" t="n">
        <x:f>--AND(N1427=1,OR(O1427="SUPPORTED",O1427="HALLUCINATION"))</x:f>
        <x:v>0</x:v>
      </x:c>
      <x:c r="X1427" s="43" t="n">
        <x:f>--AND(W1427=1,O1427="HALLUCINATION")</x:f>
        <x:v>0</x:v>
      </x:c>
      <x:c r="Y1427" s="43" t="n">
        <x:f>--AND(Q1427=1,O1427="HALLUCINATION")</x:f>
        <x:v>0</x:v>
      </x:c>
      <x:c r="Z1427" s="43" t="n">
        <x:f>--AND(Y1427=1,R1427=1,S1427=1)</x:f>
        <x:v>0</x:v>
      </x:c>
      <x:c r="AC1427" t="str">
        <x:f>IF(OR(AA1427="",AB1427=""),"",--(AA1427&lt;&gt;AB1427))</x:f>
      </x:c>
      <x:c r="AE1427" t="str">
        <x:f>IF(OR(AA1427="",AB1427=""),"PENDING_HUMAN",IF(AA1427=AB1427,AA1427,IF(AD1427&lt;&gt;"",AD1427,"PENDING_HUMAN")))</x:f>
        <x:v>PENDING_HUMAN</x:v>
      </x:c>
      <x:c r="AF1427" t="n">
        <x:f>--AND(A1427&lt;&gt;"",AA1427&lt;&gt;"",AB1427&lt;&gt;"",OR(AA1427=AB1427,AD1427&lt;&gt;""),IF(AE1427="HALLUCINATION",U1427&lt;&gt;"",TRUE))</x:f>
        <x:v>0</x:v>
      </x:c>
      <x:c r="AG1427" t="n">
        <x:f>--AND(N1427=1,AF1427=1,OR(AE1427="SUPPORTED",AE1427="HALLUCINATION"))</x:f>
        <x:v>0</x:v>
      </x:c>
      <x:c r="AH1427" t="n">
        <x:f>--AND(AG1427=1,AE1427="HALLUCINATION")</x:f>
        <x:v>0</x:v>
      </x:c>
      <x:c r="AI1427" t="n">
        <x:f>--AND(Q1427=1,AF1427=1,AE1427="HALLUCINATION")</x:f>
        <x:v>0</x:v>
      </x:c>
      <x:c r="AJ1427" t="n">
        <x:f>--AND(AI1427=1,R1427=1,S1427=1)</x:f>
        <x:v>0</x:v>
      </x:c>
    </x:row>
    <x:row r="1428">
      <x:c r="A1428" s="28"/>
      <x:c r="B1428" s="28"/>
      <x:c r="C1428" s="28"/>
      <x:c r="D1428" s="28"/>
      <x:c r="E1428" s="28"/>
      <x:c r="F1428" s="28"/>
      <x:c r="G1428" s="28"/>
      <x:c r="H1428" s="28"/>
      <x:c r="I1428" s="28"/>
      <x:c r="J1428" s="28"/>
      <x:c r="K1428" s="28"/>
      <x:c r="L1428" s="28"/>
      <x:c r="M1428" s="28"/>
      <x:c r="N1428" s="28"/>
      <x:c r="O1428" s="28"/>
      <x:c r="P1428" s="28"/>
      <x:c r="Q1428" s="28"/>
      <x:c r="R1428" s="28"/>
      <x:c r="S1428" s="28"/>
      <x:c r="T1428" s="28"/>
      <x:c r="U1428" s="28"/>
      <x:c r="V1428" s="28"/>
      <x:c r="W1428" s="43" t="n">
        <x:f>--AND(N1428=1,OR(O1428="SUPPORTED",O1428="HALLUCINATION"))</x:f>
        <x:v>0</x:v>
      </x:c>
      <x:c r="X1428" s="43" t="n">
        <x:f>--AND(W1428=1,O1428="HALLUCINATION")</x:f>
        <x:v>0</x:v>
      </x:c>
      <x:c r="Y1428" s="43" t="n">
        <x:f>--AND(Q1428=1,O1428="HALLUCINATION")</x:f>
        <x:v>0</x:v>
      </x:c>
      <x:c r="Z1428" s="43" t="n">
        <x:f>--AND(Y1428=1,R1428=1,S1428=1)</x:f>
        <x:v>0</x:v>
      </x:c>
      <x:c r="AC1428" t="str">
        <x:f>IF(OR(AA1428="",AB1428=""),"",--(AA1428&lt;&gt;AB1428))</x:f>
      </x:c>
      <x:c r="AE1428" t="str">
        <x:f>IF(OR(AA1428="",AB1428=""),"PENDING_HUMAN",IF(AA1428=AB1428,AA1428,IF(AD1428&lt;&gt;"",AD1428,"PENDING_HUMAN")))</x:f>
        <x:v>PENDING_HUMAN</x:v>
      </x:c>
      <x:c r="AF1428" t="n">
        <x:f>--AND(A1428&lt;&gt;"",AA1428&lt;&gt;"",AB1428&lt;&gt;"",OR(AA1428=AB1428,AD1428&lt;&gt;""),IF(AE1428="HALLUCINATION",U1428&lt;&gt;"",TRUE))</x:f>
        <x:v>0</x:v>
      </x:c>
      <x:c r="AG1428" t="n">
        <x:f>--AND(N1428=1,AF1428=1,OR(AE1428="SUPPORTED",AE1428="HALLUCINATION"))</x:f>
        <x:v>0</x:v>
      </x:c>
      <x:c r="AH1428" t="n">
        <x:f>--AND(AG1428=1,AE1428="HALLUCINATION")</x:f>
        <x:v>0</x:v>
      </x:c>
      <x:c r="AI1428" t="n">
        <x:f>--AND(Q1428=1,AF1428=1,AE1428="HALLUCINATION")</x:f>
        <x:v>0</x:v>
      </x:c>
      <x:c r="AJ1428" t="n">
        <x:f>--AND(AI1428=1,R1428=1,S1428=1)</x:f>
        <x:v>0</x:v>
      </x:c>
    </x:row>
    <x:row r="1429">
      <x:c r="A1429" s="28"/>
      <x:c r="B1429" s="28"/>
      <x:c r="C1429" s="28"/>
      <x:c r="D1429" s="28"/>
      <x:c r="E1429" s="28"/>
      <x:c r="F1429" s="28"/>
      <x:c r="G1429" s="28"/>
      <x:c r="H1429" s="28"/>
      <x:c r="I1429" s="28"/>
      <x:c r="J1429" s="28"/>
      <x:c r="K1429" s="28"/>
      <x:c r="L1429" s="28"/>
      <x:c r="M1429" s="28"/>
      <x:c r="N1429" s="28"/>
      <x:c r="O1429" s="28"/>
      <x:c r="P1429" s="28"/>
      <x:c r="Q1429" s="28"/>
      <x:c r="R1429" s="28"/>
      <x:c r="S1429" s="28"/>
      <x:c r="T1429" s="28"/>
      <x:c r="U1429" s="28"/>
      <x:c r="V1429" s="28"/>
      <x:c r="W1429" s="43" t="n">
        <x:f>--AND(N1429=1,OR(O1429="SUPPORTED",O1429="HALLUCINATION"))</x:f>
        <x:v>0</x:v>
      </x:c>
      <x:c r="X1429" s="43" t="n">
        <x:f>--AND(W1429=1,O1429="HALLUCINATION")</x:f>
        <x:v>0</x:v>
      </x:c>
      <x:c r="Y1429" s="43" t="n">
        <x:f>--AND(Q1429=1,O1429="HALLUCINATION")</x:f>
        <x:v>0</x:v>
      </x:c>
      <x:c r="Z1429" s="43" t="n">
        <x:f>--AND(Y1429=1,R1429=1,S1429=1)</x:f>
        <x:v>0</x:v>
      </x:c>
      <x:c r="AC1429" t="str">
        <x:f>IF(OR(AA1429="",AB1429=""),"",--(AA1429&lt;&gt;AB1429))</x:f>
      </x:c>
      <x:c r="AE1429" t="str">
        <x:f>IF(OR(AA1429="",AB1429=""),"PENDING_HUMAN",IF(AA1429=AB1429,AA1429,IF(AD1429&lt;&gt;"",AD1429,"PENDING_HUMAN")))</x:f>
        <x:v>PENDING_HUMAN</x:v>
      </x:c>
      <x:c r="AF1429" t="n">
        <x:f>--AND(A1429&lt;&gt;"",AA1429&lt;&gt;"",AB1429&lt;&gt;"",OR(AA1429=AB1429,AD1429&lt;&gt;""),IF(AE1429="HALLUCINATION",U1429&lt;&gt;"",TRUE))</x:f>
        <x:v>0</x:v>
      </x:c>
      <x:c r="AG1429" t="n">
        <x:f>--AND(N1429=1,AF1429=1,OR(AE1429="SUPPORTED",AE1429="HALLUCINATION"))</x:f>
        <x:v>0</x:v>
      </x:c>
      <x:c r="AH1429" t="n">
        <x:f>--AND(AG1429=1,AE1429="HALLUCINATION")</x:f>
        <x:v>0</x:v>
      </x:c>
      <x:c r="AI1429" t="n">
        <x:f>--AND(Q1429=1,AF1429=1,AE1429="HALLUCINATION")</x:f>
        <x:v>0</x:v>
      </x:c>
      <x:c r="AJ1429" t="n">
        <x:f>--AND(AI1429=1,R1429=1,S1429=1)</x:f>
        <x:v>0</x:v>
      </x:c>
    </x:row>
    <x:row r="1430">
      <x:c r="A1430" s="28"/>
      <x:c r="B1430" s="28"/>
      <x:c r="C1430" s="28"/>
      <x:c r="D1430" s="28"/>
      <x:c r="E1430" s="28"/>
      <x:c r="F1430" s="28"/>
      <x:c r="G1430" s="28"/>
      <x:c r="H1430" s="28"/>
      <x:c r="I1430" s="28"/>
      <x:c r="J1430" s="28"/>
      <x:c r="K1430" s="28"/>
      <x:c r="L1430" s="28"/>
      <x:c r="M1430" s="28"/>
      <x:c r="N1430" s="28"/>
      <x:c r="O1430" s="28"/>
      <x:c r="P1430" s="28"/>
      <x:c r="Q1430" s="28"/>
      <x:c r="R1430" s="28"/>
      <x:c r="S1430" s="28"/>
      <x:c r="T1430" s="28"/>
      <x:c r="U1430" s="28"/>
      <x:c r="V1430" s="28"/>
      <x:c r="W1430" s="43" t="n">
        <x:f>--AND(N1430=1,OR(O1430="SUPPORTED",O1430="HALLUCINATION"))</x:f>
        <x:v>0</x:v>
      </x:c>
      <x:c r="X1430" s="43" t="n">
        <x:f>--AND(W1430=1,O1430="HALLUCINATION")</x:f>
        <x:v>0</x:v>
      </x:c>
      <x:c r="Y1430" s="43" t="n">
        <x:f>--AND(Q1430=1,O1430="HALLUCINATION")</x:f>
        <x:v>0</x:v>
      </x:c>
      <x:c r="Z1430" s="43" t="n">
        <x:f>--AND(Y1430=1,R1430=1,S1430=1)</x:f>
        <x:v>0</x:v>
      </x:c>
      <x:c r="AC1430" t="str">
        <x:f>IF(OR(AA1430="",AB1430=""),"",--(AA1430&lt;&gt;AB1430))</x:f>
      </x:c>
      <x:c r="AE1430" t="str">
        <x:f>IF(OR(AA1430="",AB1430=""),"PENDING_HUMAN",IF(AA1430=AB1430,AA1430,IF(AD1430&lt;&gt;"",AD1430,"PENDING_HUMAN")))</x:f>
        <x:v>PENDING_HUMAN</x:v>
      </x:c>
      <x:c r="AF1430" t="n">
        <x:f>--AND(A1430&lt;&gt;"",AA1430&lt;&gt;"",AB1430&lt;&gt;"",OR(AA1430=AB1430,AD1430&lt;&gt;""),IF(AE1430="HALLUCINATION",U1430&lt;&gt;"",TRUE))</x:f>
        <x:v>0</x:v>
      </x:c>
      <x:c r="AG1430" t="n">
        <x:f>--AND(N1430=1,AF1430=1,OR(AE1430="SUPPORTED",AE1430="HALLUCINATION"))</x:f>
        <x:v>0</x:v>
      </x:c>
      <x:c r="AH1430" t="n">
        <x:f>--AND(AG1430=1,AE1430="HALLUCINATION")</x:f>
        <x:v>0</x:v>
      </x:c>
      <x:c r="AI1430" t="n">
        <x:f>--AND(Q1430=1,AF1430=1,AE1430="HALLUCINATION")</x:f>
        <x:v>0</x:v>
      </x:c>
      <x:c r="AJ1430" t="n">
        <x:f>--AND(AI1430=1,R1430=1,S1430=1)</x:f>
        <x:v>0</x:v>
      </x:c>
    </x:row>
    <x:row r="1431">
      <x:c r="A1431" s="28"/>
      <x:c r="B1431" s="28"/>
      <x:c r="C1431" s="28"/>
      <x:c r="D1431" s="28"/>
      <x:c r="E1431" s="28"/>
      <x:c r="F1431" s="28"/>
      <x:c r="G1431" s="28"/>
      <x:c r="H1431" s="28"/>
      <x:c r="I1431" s="28"/>
      <x:c r="J1431" s="28"/>
      <x:c r="K1431" s="28"/>
      <x:c r="L1431" s="28"/>
      <x:c r="M1431" s="28"/>
      <x:c r="N1431" s="28"/>
      <x:c r="O1431" s="28"/>
      <x:c r="P1431" s="28"/>
      <x:c r="Q1431" s="28"/>
      <x:c r="R1431" s="28"/>
      <x:c r="S1431" s="28"/>
      <x:c r="T1431" s="28"/>
      <x:c r="U1431" s="28"/>
      <x:c r="V1431" s="28"/>
      <x:c r="W1431" s="43" t="n">
        <x:f>--AND(N1431=1,OR(O1431="SUPPORTED",O1431="HALLUCINATION"))</x:f>
        <x:v>0</x:v>
      </x:c>
      <x:c r="X1431" s="43" t="n">
        <x:f>--AND(W1431=1,O1431="HALLUCINATION")</x:f>
        <x:v>0</x:v>
      </x:c>
      <x:c r="Y1431" s="43" t="n">
        <x:f>--AND(Q1431=1,O1431="HALLUCINATION")</x:f>
        <x:v>0</x:v>
      </x:c>
      <x:c r="Z1431" s="43" t="n">
        <x:f>--AND(Y1431=1,R1431=1,S1431=1)</x:f>
        <x:v>0</x:v>
      </x:c>
      <x:c r="AC1431" t="str">
        <x:f>IF(OR(AA1431="",AB1431=""),"",--(AA1431&lt;&gt;AB1431))</x:f>
      </x:c>
      <x:c r="AE1431" t="str">
        <x:f>IF(OR(AA1431="",AB1431=""),"PENDING_HUMAN",IF(AA1431=AB1431,AA1431,IF(AD1431&lt;&gt;"",AD1431,"PENDING_HUMAN")))</x:f>
        <x:v>PENDING_HUMAN</x:v>
      </x:c>
      <x:c r="AF1431" t="n">
        <x:f>--AND(A1431&lt;&gt;"",AA1431&lt;&gt;"",AB1431&lt;&gt;"",OR(AA1431=AB1431,AD1431&lt;&gt;""),IF(AE1431="HALLUCINATION",U1431&lt;&gt;"",TRUE))</x:f>
        <x:v>0</x:v>
      </x:c>
      <x:c r="AG1431" t="n">
        <x:f>--AND(N1431=1,AF1431=1,OR(AE1431="SUPPORTED",AE1431="HALLUCINATION"))</x:f>
        <x:v>0</x:v>
      </x:c>
      <x:c r="AH1431" t="n">
        <x:f>--AND(AG1431=1,AE1431="HALLUCINATION")</x:f>
        <x:v>0</x:v>
      </x:c>
      <x:c r="AI1431" t="n">
        <x:f>--AND(Q1431=1,AF1431=1,AE1431="HALLUCINATION")</x:f>
        <x:v>0</x:v>
      </x:c>
      <x:c r="AJ1431" t="n">
        <x:f>--AND(AI1431=1,R1431=1,S1431=1)</x:f>
        <x:v>0</x:v>
      </x:c>
    </x:row>
    <x:row r="1432">
      <x:c r="A1432" s="28"/>
      <x:c r="B1432" s="28"/>
      <x:c r="C1432" s="28"/>
      <x:c r="D1432" s="28"/>
      <x:c r="E1432" s="28"/>
      <x:c r="F1432" s="28"/>
      <x:c r="G1432" s="28"/>
      <x:c r="H1432" s="28"/>
      <x:c r="I1432" s="28"/>
      <x:c r="J1432" s="28"/>
      <x:c r="K1432" s="28"/>
      <x:c r="L1432" s="28"/>
      <x:c r="M1432" s="28"/>
      <x:c r="N1432" s="28"/>
      <x:c r="O1432" s="28"/>
      <x:c r="P1432" s="28"/>
      <x:c r="Q1432" s="28"/>
      <x:c r="R1432" s="28"/>
      <x:c r="S1432" s="28"/>
      <x:c r="T1432" s="28"/>
      <x:c r="U1432" s="28"/>
      <x:c r="V1432" s="28"/>
      <x:c r="W1432" s="43" t="n">
        <x:f>--AND(N1432=1,OR(O1432="SUPPORTED",O1432="HALLUCINATION"))</x:f>
        <x:v>0</x:v>
      </x:c>
      <x:c r="X1432" s="43" t="n">
        <x:f>--AND(W1432=1,O1432="HALLUCINATION")</x:f>
        <x:v>0</x:v>
      </x:c>
      <x:c r="Y1432" s="43" t="n">
        <x:f>--AND(Q1432=1,O1432="HALLUCINATION")</x:f>
        <x:v>0</x:v>
      </x:c>
      <x:c r="Z1432" s="43" t="n">
        <x:f>--AND(Y1432=1,R1432=1,S1432=1)</x:f>
        <x:v>0</x:v>
      </x:c>
      <x:c r="AC1432" t="str">
        <x:f>IF(OR(AA1432="",AB1432=""),"",--(AA1432&lt;&gt;AB1432))</x:f>
      </x:c>
      <x:c r="AE1432" t="str">
        <x:f>IF(OR(AA1432="",AB1432=""),"PENDING_HUMAN",IF(AA1432=AB1432,AA1432,IF(AD1432&lt;&gt;"",AD1432,"PENDING_HUMAN")))</x:f>
        <x:v>PENDING_HUMAN</x:v>
      </x:c>
      <x:c r="AF1432" t="n">
        <x:f>--AND(A1432&lt;&gt;"",AA1432&lt;&gt;"",AB1432&lt;&gt;"",OR(AA1432=AB1432,AD1432&lt;&gt;""),IF(AE1432="HALLUCINATION",U1432&lt;&gt;"",TRUE))</x:f>
        <x:v>0</x:v>
      </x:c>
      <x:c r="AG1432" t="n">
        <x:f>--AND(N1432=1,AF1432=1,OR(AE1432="SUPPORTED",AE1432="HALLUCINATION"))</x:f>
        <x:v>0</x:v>
      </x:c>
      <x:c r="AH1432" t="n">
        <x:f>--AND(AG1432=1,AE1432="HALLUCINATION")</x:f>
        <x:v>0</x:v>
      </x:c>
      <x:c r="AI1432" t="n">
        <x:f>--AND(Q1432=1,AF1432=1,AE1432="HALLUCINATION")</x:f>
        <x:v>0</x:v>
      </x:c>
      <x:c r="AJ1432" t="n">
        <x:f>--AND(AI1432=1,R1432=1,S1432=1)</x:f>
        <x:v>0</x:v>
      </x:c>
    </x:row>
    <x:row r="1433">
      <x:c r="A1433" s="28"/>
      <x:c r="B1433" s="28"/>
      <x:c r="C1433" s="28"/>
      <x:c r="D1433" s="28"/>
      <x:c r="E1433" s="28"/>
      <x:c r="F1433" s="28"/>
      <x:c r="G1433" s="28"/>
      <x:c r="H1433" s="28"/>
      <x:c r="I1433" s="28"/>
      <x:c r="J1433" s="28"/>
      <x:c r="K1433" s="28"/>
      <x:c r="L1433" s="28"/>
      <x:c r="M1433" s="28"/>
      <x:c r="N1433" s="28"/>
      <x:c r="O1433" s="28"/>
      <x:c r="P1433" s="28"/>
      <x:c r="Q1433" s="28"/>
      <x:c r="R1433" s="28"/>
      <x:c r="S1433" s="28"/>
      <x:c r="T1433" s="28"/>
      <x:c r="U1433" s="28"/>
      <x:c r="V1433" s="28"/>
      <x:c r="W1433" s="43" t="n">
        <x:f>--AND(N1433=1,OR(O1433="SUPPORTED",O1433="HALLUCINATION"))</x:f>
        <x:v>0</x:v>
      </x:c>
      <x:c r="X1433" s="43" t="n">
        <x:f>--AND(W1433=1,O1433="HALLUCINATION")</x:f>
        <x:v>0</x:v>
      </x:c>
      <x:c r="Y1433" s="43" t="n">
        <x:f>--AND(Q1433=1,O1433="HALLUCINATION")</x:f>
        <x:v>0</x:v>
      </x:c>
      <x:c r="Z1433" s="43" t="n">
        <x:f>--AND(Y1433=1,R1433=1,S1433=1)</x:f>
        <x:v>0</x:v>
      </x:c>
      <x:c r="AC1433" t="str">
        <x:f>IF(OR(AA1433="",AB1433=""),"",--(AA1433&lt;&gt;AB1433))</x:f>
      </x:c>
      <x:c r="AE1433" t="str">
        <x:f>IF(OR(AA1433="",AB1433=""),"PENDING_HUMAN",IF(AA1433=AB1433,AA1433,IF(AD1433&lt;&gt;"",AD1433,"PENDING_HUMAN")))</x:f>
        <x:v>PENDING_HUMAN</x:v>
      </x:c>
      <x:c r="AF1433" t="n">
        <x:f>--AND(A1433&lt;&gt;"",AA1433&lt;&gt;"",AB1433&lt;&gt;"",OR(AA1433=AB1433,AD1433&lt;&gt;""),IF(AE1433="HALLUCINATION",U1433&lt;&gt;"",TRUE))</x:f>
        <x:v>0</x:v>
      </x:c>
      <x:c r="AG1433" t="n">
        <x:f>--AND(N1433=1,AF1433=1,OR(AE1433="SUPPORTED",AE1433="HALLUCINATION"))</x:f>
        <x:v>0</x:v>
      </x:c>
      <x:c r="AH1433" t="n">
        <x:f>--AND(AG1433=1,AE1433="HALLUCINATION")</x:f>
        <x:v>0</x:v>
      </x:c>
      <x:c r="AI1433" t="n">
        <x:f>--AND(Q1433=1,AF1433=1,AE1433="HALLUCINATION")</x:f>
        <x:v>0</x:v>
      </x:c>
      <x:c r="AJ1433" t="n">
        <x:f>--AND(AI1433=1,R1433=1,S1433=1)</x:f>
        <x:v>0</x:v>
      </x:c>
    </x:row>
    <x:row r="1434">
      <x:c r="A1434" s="28"/>
      <x:c r="B1434" s="28"/>
      <x:c r="C1434" s="28"/>
      <x:c r="D1434" s="28"/>
      <x:c r="E1434" s="28"/>
      <x:c r="F1434" s="28"/>
      <x:c r="G1434" s="28"/>
      <x:c r="H1434" s="28"/>
      <x:c r="I1434" s="28"/>
      <x:c r="J1434" s="28"/>
      <x:c r="K1434" s="28"/>
      <x:c r="L1434" s="28"/>
      <x:c r="M1434" s="28"/>
      <x:c r="N1434" s="28"/>
      <x:c r="O1434" s="28"/>
      <x:c r="P1434" s="28"/>
      <x:c r="Q1434" s="28"/>
      <x:c r="R1434" s="28"/>
      <x:c r="S1434" s="28"/>
      <x:c r="T1434" s="28"/>
      <x:c r="U1434" s="28"/>
      <x:c r="V1434" s="28"/>
      <x:c r="W1434" s="43" t="n">
        <x:f>--AND(N1434=1,OR(O1434="SUPPORTED",O1434="HALLUCINATION"))</x:f>
        <x:v>0</x:v>
      </x:c>
      <x:c r="X1434" s="43" t="n">
        <x:f>--AND(W1434=1,O1434="HALLUCINATION")</x:f>
        <x:v>0</x:v>
      </x:c>
      <x:c r="Y1434" s="43" t="n">
        <x:f>--AND(Q1434=1,O1434="HALLUCINATION")</x:f>
        <x:v>0</x:v>
      </x:c>
      <x:c r="Z1434" s="43" t="n">
        <x:f>--AND(Y1434=1,R1434=1,S1434=1)</x:f>
        <x:v>0</x:v>
      </x:c>
      <x:c r="AC1434" t="str">
        <x:f>IF(OR(AA1434="",AB1434=""),"",--(AA1434&lt;&gt;AB1434))</x:f>
      </x:c>
      <x:c r="AE1434" t="str">
        <x:f>IF(OR(AA1434="",AB1434=""),"PENDING_HUMAN",IF(AA1434=AB1434,AA1434,IF(AD1434&lt;&gt;"",AD1434,"PENDING_HUMAN")))</x:f>
        <x:v>PENDING_HUMAN</x:v>
      </x:c>
      <x:c r="AF1434" t="n">
        <x:f>--AND(A1434&lt;&gt;"",AA1434&lt;&gt;"",AB1434&lt;&gt;"",OR(AA1434=AB1434,AD1434&lt;&gt;""),IF(AE1434="HALLUCINATION",U1434&lt;&gt;"",TRUE))</x:f>
        <x:v>0</x:v>
      </x:c>
      <x:c r="AG1434" t="n">
        <x:f>--AND(N1434=1,AF1434=1,OR(AE1434="SUPPORTED",AE1434="HALLUCINATION"))</x:f>
        <x:v>0</x:v>
      </x:c>
      <x:c r="AH1434" t="n">
        <x:f>--AND(AG1434=1,AE1434="HALLUCINATION")</x:f>
        <x:v>0</x:v>
      </x:c>
      <x:c r="AI1434" t="n">
        <x:f>--AND(Q1434=1,AF1434=1,AE1434="HALLUCINATION")</x:f>
        <x:v>0</x:v>
      </x:c>
      <x:c r="AJ1434" t="n">
        <x:f>--AND(AI1434=1,R1434=1,S1434=1)</x:f>
        <x:v>0</x:v>
      </x:c>
    </x:row>
    <x:row r="1435">
      <x:c r="A1435" s="28"/>
      <x:c r="B1435" s="28"/>
      <x:c r="C1435" s="28"/>
      <x:c r="D1435" s="28"/>
      <x:c r="E1435" s="28"/>
      <x:c r="F1435" s="28"/>
      <x:c r="G1435" s="28"/>
      <x:c r="H1435" s="28"/>
      <x:c r="I1435" s="28"/>
      <x:c r="J1435" s="28"/>
      <x:c r="K1435" s="28"/>
      <x:c r="L1435" s="28"/>
      <x:c r="M1435" s="28"/>
      <x:c r="N1435" s="28"/>
      <x:c r="O1435" s="28"/>
      <x:c r="P1435" s="28"/>
      <x:c r="Q1435" s="28"/>
      <x:c r="R1435" s="28"/>
      <x:c r="S1435" s="28"/>
      <x:c r="T1435" s="28"/>
      <x:c r="U1435" s="28"/>
      <x:c r="V1435" s="28"/>
      <x:c r="W1435" s="43" t="n">
        <x:f>--AND(N1435=1,OR(O1435="SUPPORTED",O1435="HALLUCINATION"))</x:f>
        <x:v>0</x:v>
      </x:c>
      <x:c r="X1435" s="43" t="n">
        <x:f>--AND(W1435=1,O1435="HALLUCINATION")</x:f>
        <x:v>0</x:v>
      </x:c>
      <x:c r="Y1435" s="43" t="n">
        <x:f>--AND(Q1435=1,O1435="HALLUCINATION")</x:f>
        <x:v>0</x:v>
      </x:c>
      <x:c r="Z1435" s="43" t="n">
        <x:f>--AND(Y1435=1,R1435=1,S1435=1)</x:f>
        <x:v>0</x:v>
      </x:c>
      <x:c r="AC1435" t="str">
        <x:f>IF(OR(AA1435="",AB1435=""),"",--(AA1435&lt;&gt;AB1435))</x:f>
      </x:c>
      <x:c r="AE1435" t="str">
        <x:f>IF(OR(AA1435="",AB1435=""),"PENDING_HUMAN",IF(AA1435=AB1435,AA1435,IF(AD1435&lt;&gt;"",AD1435,"PENDING_HUMAN")))</x:f>
        <x:v>PENDING_HUMAN</x:v>
      </x:c>
      <x:c r="AF1435" t="n">
        <x:f>--AND(A1435&lt;&gt;"",AA1435&lt;&gt;"",AB1435&lt;&gt;"",OR(AA1435=AB1435,AD1435&lt;&gt;""),IF(AE1435="HALLUCINATION",U1435&lt;&gt;"",TRUE))</x:f>
        <x:v>0</x:v>
      </x:c>
      <x:c r="AG1435" t="n">
        <x:f>--AND(N1435=1,AF1435=1,OR(AE1435="SUPPORTED",AE1435="HALLUCINATION"))</x:f>
        <x:v>0</x:v>
      </x:c>
      <x:c r="AH1435" t="n">
        <x:f>--AND(AG1435=1,AE1435="HALLUCINATION")</x:f>
        <x:v>0</x:v>
      </x:c>
      <x:c r="AI1435" t="n">
        <x:f>--AND(Q1435=1,AF1435=1,AE1435="HALLUCINATION")</x:f>
        <x:v>0</x:v>
      </x:c>
      <x:c r="AJ1435" t="n">
        <x:f>--AND(AI1435=1,R1435=1,S1435=1)</x:f>
        <x:v>0</x:v>
      </x:c>
    </x:row>
    <x:row r="1436">
      <x:c r="A1436" s="28"/>
      <x:c r="B1436" s="28"/>
      <x:c r="C1436" s="28"/>
      <x:c r="D1436" s="28"/>
      <x:c r="E1436" s="28"/>
      <x:c r="F1436" s="28"/>
      <x:c r="G1436" s="28"/>
      <x:c r="H1436" s="28"/>
      <x:c r="I1436" s="28"/>
      <x:c r="J1436" s="28"/>
      <x:c r="K1436" s="28"/>
      <x:c r="L1436" s="28"/>
      <x:c r="M1436" s="28"/>
      <x:c r="N1436" s="28"/>
      <x:c r="O1436" s="28"/>
      <x:c r="P1436" s="28"/>
      <x:c r="Q1436" s="28"/>
      <x:c r="R1436" s="28"/>
      <x:c r="S1436" s="28"/>
      <x:c r="T1436" s="28"/>
      <x:c r="U1436" s="28"/>
      <x:c r="V1436" s="28"/>
      <x:c r="W1436" s="43" t="n">
        <x:f>--AND(N1436=1,OR(O1436="SUPPORTED",O1436="HALLUCINATION"))</x:f>
        <x:v>0</x:v>
      </x:c>
      <x:c r="X1436" s="43" t="n">
        <x:f>--AND(W1436=1,O1436="HALLUCINATION")</x:f>
        <x:v>0</x:v>
      </x:c>
      <x:c r="Y1436" s="43" t="n">
        <x:f>--AND(Q1436=1,O1436="HALLUCINATION")</x:f>
        <x:v>0</x:v>
      </x:c>
      <x:c r="Z1436" s="43" t="n">
        <x:f>--AND(Y1436=1,R1436=1,S1436=1)</x:f>
        <x:v>0</x:v>
      </x:c>
      <x:c r="AC1436" t="str">
        <x:f>IF(OR(AA1436="",AB1436=""),"",--(AA1436&lt;&gt;AB1436))</x:f>
      </x:c>
      <x:c r="AE1436" t="str">
        <x:f>IF(OR(AA1436="",AB1436=""),"PENDING_HUMAN",IF(AA1436=AB1436,AA1436,IF(AD1436&lt;&gt;"",AD1436,"PENDING_HUMAN")))</x:f>
        <x:v>PENDING_HUMAN</x:v>
      </x:c>
      <x:c r="AF1436" t="n">
        <x:f>--AND(A1436&lt;&gt;"",AA1436&lt;&gt;"",AB1436&lt;&gt;"",OR(AA1436=AB1436,AD1436&lt;&gt;""),IF(AE1436="HALLUCINATION",U1436&lt;&gt;"",TRUE))</x:f>
        <x:v>0</x:v>
      </x:c>
      <x:c r="AG1436" t="n">
        <x:f>--AND(N1436=1,AF1436=1,OR(AE1436="SUPPORTED",AE1436="HALLUCINATION"))</x:f>
        <x:v>0</x:v>
      </x:c>
      <x:c r="AH1436" t="n">
        <x:f>--AND(AG1436=1,AE1436="HALLUCINATION")</x:f>
        <x:v>0</x:v>
      </x:c>
      <x:c r="AI1436" t="n">
        <x:f>--AND(Q1436=1,AF1436=1,AE1436="HALLUCINATION")</x:f>
        <x:v>0</x:v>
      </x:c>
      <x:c r="AJ1436" t="n">
        <x:f>--AND(AI1436=1,R1436=1,S1436=1)</x:f>
        <x:v>0</x:v>
      </x:c>
    </x:row>
    <x:row r="1437">
      <x:c r="A1437" s="28"/>
      <x:c r="B1437" s="28"/>
      <x:c r="C1437" s="28"/>
      <x:c r="D1437" s="28"/>
      <x:c r="E1437" s="28"/>
      <x:c r="F1437" s="28"/>
      <x:c r="G1437" s="28"/>
      <x:c r="H1437" s="28"/>
      <x:c r="I1437" s="28"/>
      <x:c r="J1437" s="28"/>
      <x:c r="K1437" s="28"/>
      <x:c r="L1437" s="28"/>
      <x:c r="M1437" s="28"/>
      <x:c r="N1437" s="28"/>
      <x:c r="O1437" s="28"/>
      <x:c r="P1437" s="28"/>
      <x:c r="Q1437" s="28"/>
      <x:c r="R1437" s="28"/>
      <x:c r="S1437" s="28"/>
      <x:c r="T1437" s="28"/>
      <x:c r="U1437" s="28"/>
      <x:c r="V1437" s="28"/>
      <x:c r="W1437" s="43" t="n">
        <x:f>--AND(N1437=1,OR(O1437="SUPPORTED",O1437="HALLUCINATION"))</x:f>
        <x:v>0</x:v>
      </x:c>
      <x:c r="X1437" s="43" t="n">
        <x:f>--AND(W1437=1,O1437="HALLUCINATION")</x:f>
        <x:v>0</x:v>
      </x:c>
      <x:c r="Y1437" s="43" t="n">
        <x:f>--AND(Q1437=1,O1437="HALLUCINATION")</x:f>
        <x:v>0</x:v>
      </x:c>
      <x:c r="Z1437" s="43" t="n">
        <x:f>--AND(Y1437=1,R1437=1,S1437=1)</x:f>
        <x:v>0</x:v>
      </x:c>
      <x:c r="AC1437" t="str">
        <x:f>IF(OR(AA1437="",AB1437=""),"",--(AA1437&lt;&gt;AB1437))</x:f>
      </x:c>
      <x:c r="AE1437" t="str">
        <x:f>IF(OR(AA1437="",AB1437=""),"PENDING_HUMAN",IF(AA1437=AB1437,AA1437,IF(AD1437&lt;&gt;"",AD1437,"PENDING_HUMAN")))</x:f>
        <x:v>PENDING_HUMAN</x:v>
      </x:c>
      <x:c r="AF1437" t="n">
        <x:f>--AND(A1437&lt;&gt;"",AA1437&lt;&gt;"",AB1437&lt;&gt;"",OR(AA1437=AB1437,AD1437&lt;&gt;""),IF(AE1437="HALLUCINATION",U1437&lt;&gt;"",TRUE))</x:f>
        <x:v>0</x:v>
      </x:c>
      <x:c r="AG1437" t="n">
        <x:f>--AND(N1437=1,AF1437=1,OR(AE1437="SUPPORTED",AE1437="HALLUCINATION"))</x:f>
        <x:v>0</x:v>
      </x:c>
      <x:c r="AH1437" t="n">
        <x:f>--AND(AG1437=1,AE1437="HALLUCINATION")</x:f>
        <x:v>0</x:v>
      </x:c>
      <x:c r="AI1437" t="n">
        <x:f>--AND(Q1437=1,AF1437=1,AE1437="HALLUCINATION")</x:f>
        <x:v>0</x:v>
      </x:c>
      <x:c r="AJ1437" t="n">
        <x:f>--AND(AI1437=1,R1437=1,S1437=1)</x:f>
        <x:v>0</x:v>
      </x:c>
    </x:row>
    <x:row r="1438">
      <x:c r="A1438" s="28"/>
      <x:c r="B1438" s="28"/>
      <x:c r="C1438" s="28"/>
      <x:c r="D1438" s="28"/>
      <x:c r="E1438" s="28"/>
      <x:c r="F1438" s="28"/>
      <x:c r="G1438" s="28"/>
      <x:c r="H1438" s="28"/>
      <x:c r="I1438" s="28"/>
      <x:c r="J1438" s="28"/>
      <x:c r="K1438" s="28"/>
      <x:c r="L1438" s="28"/>
      <x:c r="M1438" s="28"/>
      <x:c r="N1438" s="28"/>
      <x:c r="O1438" s="28"/>
      <x:c r="P1438" s="28"/>
      <x:c r="Q1438" s="28"/>
      <x:c r="R1438" s="28"/>
      <x:c r="S1438" s="28"/>
      <x:c r="T1438" s="28"/>
      <x:c r="U1438" s="28"/>
      <x:c r="V1438" s="28"/>
      <x:c r="W1438" s="43" t="n">
        <x:f>--AND(N1438=1,OR(O1438="SUPPORTED",O1438="HALLUCINATION"))</x:f>
        <x:v>0</x:v>
      </x:c>
      <x:c r="X1438" s="43" t="n">
        <x:f>--AND(W1438=1,O1438="HALLUCINATION")</x:f>
        <x:v>0</x:v>
      </x:c>
      <x:c r="Y1438" s="43" t="n">
        <x:f>--AND(Q1438=1,O1438="HALLUCINATION")</x:f>
        <x:v>0</x:v>
      </x:c>
      <x:c r="Z1438" s="43" t="n">
        <x:f>--AND(Y1438=1,R1438=1,S1438=1)</x:f>
        <x:v>0</x:v>
      </x:c>
      <x:c r="AC1438" t="str">
        <x:f>IF(OR(AA1438="",AB1438=""),"",--(AA1438&lt;&gt;AB1438))</x:f>
      </x:c>
      <x:c r="AE1438" t="str">
        <x:f>IF(OR(AA1438="",AB1438=""),"PENDING_HUMAN",IF(AA1438=AB1438,AA1438,IF(AD1438&lt;&gt;"",AD1438,"PENDING_HUMAN")))</x:f>
        <x:v>PENDING_HUMAN</x:v>
      </x:c>
      <x:c r="AF1438" t="n">
        <x:f>--AND(A1438&lt;&gt;"",AA1438&lt;&gt;"",AB1438&lt;&gt;"",OR(AA1438=AB1438,AD1438&lt;&gt;""),IF(AE1438="HALLUCINATION",U1438&lt;&gt;"",TRUE))</x:f>
        <x:v>0</x:v>
      </x:c>
      <x:c r="AG1438" t="n">
        <x:f>--AND(N1438=1,AF1438=1,OR(AE1438="SUPPORTED",AE1438="HALLUCINATION"))</x:f>
        <x:v>0</x:v>
      </x:c>
      <x:c r="AH1438" t="n">
        <x:f>--AND(AG1438=1,AE1438="HALLUCINATION")</x:f>
        <x:v>0</x:v>
      </x:c>
      <x:c r="AI1438" t="n">
        <x:f>--AND(Q1438=1,AF1438=1,AE1438="HALLUCINATION")</x:f>
        <x:v>0</x:v>
      </x:c>
      <x:c r="AJ1438" t="n">
        <x:f>--AND(AI1438=1,R1438=1,S1438=1)</x:f>
        <x:v>0</x:v>
      </x:c>
    </x:row>
    <x:row r="1439">
      <x:c r="A1439" s="28"/>
      <x:c r="B1439" s="28"/>
      <x:c r="C1439" s="28"/>
      <x:c r="D1439" s="28"/>
      <x:c r="E1439" s="28"/>
      <x:c r="F1439" s="28"/>
      <x:c r="G1439" s="28"/>
      <x:c r="H1439" s="28"/>
      <x:c r="I1439" s="28"/>
      <x:c r="J1439" s="28"/>
      <x:c r="K1439" s="28"/>
      <x:c r="L1439" s="28"/>
      <x:c r="M1439" s="28"/>
      <x:c r="N1439" s="28"/>
      <x:c r="O1439" s="28"/>
      <x:c r="P1439" s="28"/>
      <x:c r="Q1439" s="28"/>
      <x:c r="R1439" s="28"/>
      <x:c r="S1439" s="28"/>
      <x:c r="T1439" s="28"/>
      <x:c r="U1439" s="28"/>
      <x:c r="V1439" s="28"/>
      <x:c r="W1439" s="43" t="n">
        <x:f>--AND(N1439=1,OR(O1439="SUPPORTED",O1439="HALLUCINATION"))</x:f>
        <x:v>0</x:v>
      </x:c>
      <x:c r="X1439" s="43" t="n">
        <x:f>--AND(W1439=1,O1439="HALLUCINATION")</x:f>
        <x:v>0</x:v>
      </x:c>
      <x:c r="Y1439" s="43" t="n">
        <x:f>--AND(Q1439=1,O1439="HALLUCINATION")</x:f>
        <x:v>0</x:v>
      </x:c>
      <x:c r="Z1439" s="43" t="n">
        <x:f>--AND(Y1439=1,R1439=1,S1439=1)</x:f>
        <x:v>0</x:v>
      </x:c>
      <x:c r="AC1439" t="str">
        <x:f>IF(OR(AA1439="",AB1439=""),"",--(AA1439&lt;&gt;AB1439))</x:f>
      </x:c>
      <x:c r="AE1439" t="str">
        <x:f>IF(OR(AA1439="",AB1439=""),"PENDING_HUMAN",IF(AA1439=AB1439,AA1439,IF(AD1439&lt;&gt;"",AD1439,"PENDING_HUMAN")))</x:f>
        <x:v>PENDING_HUMAN</x:v>
      </x:c>
      <x:c r="AF1439" t="n">
        <x:f>--AND(A1439&lt;&gt;"",AA1439&lt;&gt;"",AB1439&lt;&gt;"",OR(AA1439=AB1439,AD1439&lt;&gt;""),IF(AE1439="HALLUCINATION",U1439&lt;&gt;"",TRUE))</x:f>
        <x:v>0</x:v>
      </x:c>
      <x:c r="AG1439" t="n">
        <x:f>--AND(N1439=1,AF1439=1,OR(AE1439="SUPPORTED",AE1439="HALLUCINATION"))</x:f>
        <x:v>0</x:v>
      </x:c>
      <x:c r="AH1439" t="n">
        <x:f>--AND(AG1439=1,AE1439="HALLUCINATION")</x:f>
        <x:v>0</x:v>
      </x:c>
      <x:c r="AI1439" t="n">
        <x:f>--AND(Q1439=1,AF1439=1,AE1439="HALLUCINATION")</x:f>
        <x:v>0</x:v>
      </x:c>
      <x:c r="AJ1439" t="n">
        <x:f>--AND(AI1439=1,R1439=1,S1439=1)</x:f>
        <x:v>0</x:v>
      </x:c>
    </x:row>
    <x:row r="1440">
      <x:c r="A1440" s="28"/>
      <x:c r="B1440" s="28"/>
      <x:c r="C1440" s="28"/>
      <x:c r="D1440" s="28"/>
      <x:c r="E1440" s="28"/>
      <x:c r="F1440" s="28"/>
      <x:c r="G1440" s="28"/>
      <x:c r="H1440" s="28"/>
      <x:c r="I1440" s="28"/>
      <x:c r="J1440" s="28"/>
      <x:c r="K1440" s="28"/>
      <x:c r="L1440" s="28"/>
      <x:c r="M1440" s="28"/>
      <x:c r="N1440" s="28"/>
      <x:c r="O1440" s="28"/>
      <x:c r="P1440" s="28"/>
      <x:c r="Q1440" s="28"/>
      <x:c r="R1440" s="28"/>
      <x:c r="S1440" s="28"/>
      <x:c r="T1440" s="28"/>
      <x:c r="U1440" s="28"/>
      <x:c r="V1440" s="28"/>
      <x:c r="W1440" s="43" t="n">
        <x:f>--AND(N1440=1,OR(O1440="SUPPORTED",O1440="HALLUCINATION"))</x:f>
        <x:v>0</x:v>
      </x:c>
      <x:c r="X1440" s="43" t="n">
        <x:f>--AND(W1440=1,O1440="HALLUCINATION")</x:f>
        <x:v>0</x:v>
      </x:c>
      <x:c r="Y1440" s="43" t="n">
        <x:f>--AND(Q1440=1,O1440="HALLUCINATION")</x:f>
        <x:v>0</x:v>
      </x:c>
      <x:c r="Z1440" s="43" t="n">
        <x:f>--AND(Y1440=1,R1440=1,S1440=1)</x:f>
        <x:v>0</x:v>
      </x:c>
      <x:c r="AC1440" t="str">
        <x:f>IF(OR(AA1440="",AB1440=""),"",--(AA1440&lt;&gt;AB1440))</x:f>
      </x:c>
      <x:c r="AE1440" t="str">
        <x:f>IF(OR(AA1440="",AB1440=""),"PENDING_HUMAN",IF(AA1440=AB1440,AA1440,IF(AD1440&lt;&gt;"",AD1440,"PENDING_HUMAN")))</x:f>
        <x:v>PENDING_HUMAN</x:v>
      </x:c>
      <x:c r="AF1440" t="n">
        <x:f>--AND(A1440&lt;&gt;"",AA1440&lt;&gt;"",AB1440&lt;&gt;"",OR(AA1440=AB1440,AD1440&lt;&gt;""),IF(AE1440="HALLUCINATION",U1440&lt;&gt;"",TRUE))</x:f>
        <x:v>0</x:v>
      </x:c>
      <x:c r="AG1440" t="n">
        <x:f>--AND(N1440=1,AF1440=1,OR(AE1440="SUPPORTED",AE1440="HALLUCINATION"))</x:f>
        <x:v>0</x:v>
      </x:c>
      <x:c r="AH1440" t="n">
        <x:f>--AND(AG1440=1,AE1440="HALLUCINATION")</x:f>
        <x:v>0</x:v>
      </x:c>
      <x:c r="AI1440" t="n">
        <x:f>--AND(Q1440=1,AF1440=1,AE1440="HALLUCINATION")</x:f>
        <x:v>0</x:v>
      </x:c>
      <x:c r="AJ1440" t="n">
        <x:f>--AND(AI1440=1,R1440=1,S1440=1)</x:f>
        <x:v>0</x:v>
      </x:c>
    </x:row>
    <x:row r="1441">
      <x:c r="A1441" s="28"/>
      <x:c r="B1441" s="28"/>
      <x:c r="C1441" s="28"/>
      <x:c r="D1441" s="28"/>
      <x:c r="E1441" s="28"/>
      <x:c r="F1441" s="28"/>
      <x:c r="G1441" s="28"/>
      <x:c r="H1441" s="28"/>
      <x:c r="I1441" s="28"/>
      <x:c r="J1441" s="28"/>
      <x:c r="K1441" s="28"/>
      <x:c r="L1441" s="28"/>
      <x:c r="M1441" s="28"/>
      <x:c r="N1441" s="28"/>
      <x:c r="O1441" s="28"/>
      <x:c r="P1441" s="28"/>
      <x:c r="Q1441" s="28"/>
      <x:c r="R1441" s="28"/>
      <x:c r="S1441" s="28"/>
      <x:c r="T1441" s="28"/>
      <x:c r="U1441" s="28"/>
      <x:c r="V1441" s="28"/>
      <x:c r="W1441" s="43" t="n">
        <x:f>--AND(N1441=1,OR(O1441="SUPPORTED",O1441="HALLUCINATION"))</x:f>
        <x:v>0</x:v>
      </x:c>
      <x:c r="X1441" s="43" t="n">
        <x:f>--AND(W1441=1,O1441="HALLUCINATION")</x:f>
        <x:v>0</x:v>
      </x:c>
      <x:c r="Y1441" s="43" t="n">
        <x:f>--AND(Q1441=1,O1441="HALLUCINATION")</x:f>
        <x:v>0</x:v>
      </x:c>
      <x:c r="Z1441" s="43" t="n">
        <x:f>--AND(Y1441=1,R1441=1,S1441=1)</x:f>
        <x:v>0</x:v>
      </x:c>
      <x:c r="AC1441" t="str">
        <x:f>IF(OR(AA1441="",AB1441=""),"",--(AA1441&lt;&gt;AB1441))</x:f>
      </x:c>
      <x:c r="AE1441" t="str">
        <x:f>IF(OR(AA1441="",AB1441=""),"PENDING_HUMAN",IF(AA1441=AB1441,AA1441,IF(AD1441&lt;&gt;"",AD1441,"PENDING_HUMAN")))</x:f>
        <x:v>PENDING_HUMAN</x:v>
      </x:c>
      <x:c r="AF1441" t="n">
        <x:f>--AND(A1441&lt;&gt;"",AA1441&lt;&gt;"",AB1441&lt;&gt;"",OR(AA1441=AB1441,AD1441&lt;&gt;""),IF(AE1441="HALLUCINATION",U1441&lt;&gt;"",TRUE))</x:f>
        <x:v>0</x:v>
      </x:c>
      <x:c r="AG1441" t="n">
        <x:f>--AND(N1441=1,AF1441=1,OR(AE1441="SUPPORTED",AE1441="HALLUCINATION"))</x:f>
        <x:v>0</x:v>
      </x:c>
      <x:c r="AH1441" t="n">
        <x:f>--AND(AG1441=1,AE1441="HALLUCINATION")</x:f>
        <x:v>0</x:v>
      </x:c>
      <x:c r="AI1441" t="n">
        <x:f>--AND(Q1441=1,AF1441=1,AE1441="HALLUCINATION")</x:f>
        <x:v>0</x:v>
      </x:c>
      <x:c r="AJ1441" t="n">
        <x:f>--AND(AI1441=1,R1441=1,S1441=1)</x:f>
        <x:v>0</x:v>
      </x:c>
    </x:row>
    <x:row r="1442">
      <x:c r="A1442" s="28"/>
      <x:c r="B1442" s="28"/>
      <x:c r="C1442" s="28"/>
      <x:c r="D1442" s="28"/>
      <x:c r="E1442" s="28"/>
      <x:c r="F1442" s="28"/>
      <x:c r="G1442" s="28"/>
      <x:c r="H1442" s="28"/>
      <x:c r="I1442" s="28"/>
      <x:c r="J1442" s="28"/>
      <x:c r="K1442" s="28"/>
      <x:c r="L1442" s="28"/>
      <x:c r="M1442" s="28"/>
      <x:c r="N1442" s="28"/>
      <x:c r="O1442" s="28"/>
      <x:c r="P1442" s="28"/>
      <x:c r="Q1442" s="28"/>
      <x:c r="R1442" s="28"/>
      <x:c r="S1442" s="28"/>
      <x:c r="T1442" s="28"/>
      <x:c r="U1442" s="28"/>
      <x:c r="V1442" s="28"/>
      <x:c r="W1442" s="43" t="n">
        <x:f>--AND(N1442=1,OR(O1442="SUPPORTED",O1442="HALLUCINATION"))</x:f>
        <x:v>0</x:v>
      </x:c>
      <x:c r="X1442" s="43" t="n">
        <x:f>--AND(W1442=1,O1442="HALLUCINATION")</x:f>
        <x:v>0</x:v>
      </x:c>
      <x:c r="Y1442" s="43" t="n">
        <x:f>--AND(Q1442=1,O1442="HALLUCINATION")</x:f>
        <x:v>0</x:v>
      </x:c>
      <x:c r="Z1442" s="43" t="n">
        <x:f>--AND(Y1442=1,R1442=1,S1442=1)</x:f>
        <x:v>0</x:v>
      </x:c>
      <x:c r="AC1442" t="str">
        <x:f>IF(OR(AA1442="",AB1442=""),"",--(AA1442&lt;&gt;AB1442))</x:f>
      </x:c>
      <x:c r="AE1442" t="str">
        <x:f>IF(OR(AA1442="",AB1442=""),"PENDING_HUMAN",IF(AA1442=AB1442,AA1442,IF(AD1442&lt;&gt;"",AD1442,"PENDING_HUMAN")))</x:f>
        <x:v>PENDING_HUMAN</x:v>
      </x:c>
      <x:c r="AF1442" t="n">
        <x:f>--AND(A1442&lt;&gt;"",AA1442&lt;&gt;"",AB1442&lt;&gt;"",OR(AA1442=AB1442,AD1442&lt;&gt;""),IF(AE1442="HALLUCINATION",U1442&lt;&gt;"",TRUE))</x:f>
        <x:v>0</x:v>
      </x:c>
      <x:c r="AG1442" t="n">
        <x:f>--AND(N1442=1,AF1442=1,OR(AE1442="SUPPORTED",AE1442="HALLUCINATION"))</x:f>
        <x:v>0</x:v>
      </x:c>
      <x:c r="AH1442" t="n">
        <x:f>--AND(AG1442=1,AE1442="HALLUCINATION")</x:f>
        <x:v>0</x:v>
      </x:c>
      <x:c r="AI1442" t="n">
        <x:f>--AND(Q1442=1,AF1442=1,AE1442="HALLUCINATION")</x:f>
        <x:v>0</x:v>
      </x:c>
      <x:c r="AJ1442" t="n">
        <x:f>--AND(AI1442=1,R1442=1,S1442=1)</x:f>
        <x:v>0</x:v>
      </x:c>
    </x:row>
    <x:row r="1443">
      <x:c r="A1443" s="28"/>
      <x:c r="B1443" s="28"/>
      <x:c r="C1443" s="28"/>
      <x:c r="D1443" s="28"/>
      <x:c r="E1443" s="28"/>
      <x:c r="F1443" s="28"/>
      <x:c r="G1443" s="28"/>
      <x:c r="H1443" s="28"/>
      <x:c r="I1443" s="28"/>
      <x:c r="J1443" s="28"/>
      <x:c r="K1443" s="28"/>
      <x:c r="L1443" s="28"/>
      <x:c r="M1443" s="28"/>
      <x:c r="N1443" s="28"/>
      <x:c r="O1443" s="28"/>
      <x:c r="P1443" s="28"/>
      <x:c r="Q1443" s="28"/>
      <x:c r="R1443" s="28"/>
      <x:c r="S1443" s="28"/>
      <x:c r="T1443" s="28"/>
      <x:c r="U1443" s="28"/>
      <x:c r="V1443" s="28"/>
      <x:c r="W1443" s="43" t="n">
        <x:f>--AND(N1443=1,OR(O1443="SUPPORTED",O1443="HALLUCINATION"))</x:f>
        <x:v>0</x:v>
      </x:c>
      <x:c r="X1443" s="43" t="n">
        <x:f>--AND(W1443=1,O1443="HALLUCINATION")</x:f>
        <x:v>0</x:v>
      </x:c>
      <x:c r="Y1443" s="43" t="n">
        <x:f>--AND(Q1443=1,O1443="HALLUCINATION")</x:f>
        <x:v>0</x:v>
      </x:c>
      <x:c r="Z1443" s="43" t="n">
        <x:f>--AND(Y1443=1,R1443=1,S1443=1)</x:f>
        <x:v>0</x:v>
      </x:c>
      <x:c r="AC1443" t="str">
        <x:f>IF(OR(AA1443="",AB1443=""),"",--(AA1443&lt;&gt;AB1443))</x:f>
      </x:c>
      <x:c r="AE1443" t="str">
        <x:f>IF(OR(AA1443="",AB1443=""),"PENDING_HUMAN",IF(AA1443=AB1443,AA1443,IF(AD1443&lt;&gt;"",AD1443,"PENDING_HUMAN")))</x:f>
        <x:v>PENDING_HUMAN</x:v>
      </x:c>
      <x:c r="AF1443" t="n">
        <x:f>--AND(A1443&lt;&gt;"",AA1443&lt;&gt;"",AB1443&lt;&gt;"",OR(AA1443=AB1443,AD1443&lt;&gt;""),IF(AE1443="HALLUCINATION",U1443&lt;&gt;"",TRUE))</x:f>
        <x:v>0</x:v>
      </x:c>
      <x:c r="AG1443" t="n">
        <x:f>--AND(N1443=1,AF1443=1,OR(AE1443="SUPPORTED",AE1443="HALLUCINATION"))</x:f>
        <x:v>0</x:v>
      </x:c>
      <x:c r="AH1443" t="n">
        <x:f>--AND(AG1443=1,AE1443="HALLUCINATION")</x:f>
        <x:v>0</x:v>
      </x:c>
      <x:c r="AI1443" t="n">
        <x:f>--AND(Q1443=1,AF1443=1,AE1443="HALLUCINATION")</x:f>
        <x:v>0</x:v>
      </x:c>
      <x:c r="AJ1443" t="n">
        <x:f>--AND(AI1443=1,R1443=1,S1443=1)</x:f>
        <x:v>0</x:v>
      </x:c>
    </x:row>
    <x:row r="1444">
      <x:c r="A1444" s="28"/>
      <x:c r="B1444" s="28"/>
      <x:c r="C1444" s="28"/>
      <x:c r="D1444" s="28"/>
      <x:c r="E1444" s="28"/>
      <x:c r="F1444" s="28"/>
      <x:c r="G1444" s="28"/>
      <x:c r="H1444" s="28"/>
      <x:c r="I1444" s="28"/>
      <x:c r="J1444" s="28"/>
      <x:c r="K1444" s="28"/>
      <x:c r="L1444" s="28"/>
      <x:c r="M1444" s="28"/>
      <x:c r="N1444" s="28"/>
      <x:c r="O1444" s="28"/>
      <x:c r="P1444" s="28"/>
      <x:c r="Q1444" s="28"/>
      <x:c r="R1444" s="28"/>
      <x:c r="S1444" s="28"/>
      <x:c r="T1444" s="28"/>
      <x:c r="U1444" s="28"/>
      <x:c r="V1444" s="28"/>
      <x:c r="W1444" s="43" t="n">
        <x:f>--AND(N1444=1,OR(O1444="SUPPORTED",O1444="HALLUCINATION"))</x:f>
        <x:v>0</x:v>
      </x:c>
      <x:c r="X1444" s="43" t="n">
        <x:f>--AND(W1444=1,O1444="HALLUCINATION")</x:f>
        <x:v>0</x:v>
      </x:c>
      <x:c r="Y1444" s="43" t="n">
        <x:f>--AND(Q1444=1,O1444="HALLUCINATION")</x:f>
        <x:v>0</x:v>
      </x:c>
      <x:c r="Z1444" s="43" t="n">
        <x:f>--AND(Y1444=1,R1444=1,S1444=1)</x:f>
        <x:v>0</x:v>
      </x:c>
      <x:c r="AC1444" t="str">
        <x:f>IF(OR(AA1444="",AB1444=""),"",--(AA1444&lt;&gt;AB1444))</x:f>
      </x:c>
      <x:c r="AE1444" t="str">
        <x:f>IF(OR(AA1444="",AB1444=""),"PENDING_HUMAN",IF(AA1444=AB1444,AA1444,IF(AD1444&lt;&gt;"",AD1444,"PENDING_HUMAN")))</x:f>
        <x:v>PENDING_HUMAN</x:v>
      </x:c>
      <x:c r="AF1444" t="n">
        <x:f>--AND(A1444&lt;&gt;"",AA1444&lt;&gt;"",AB1444&lt;&gt;"",OR(AA1444=AB1444,AD1444&lt;&gt;""),IF(AE1444="HALLUCINATION",U1444&lt;&gt;"",TRUE))</x:f>
        <x:v>0</x:v>
      </x:c>
      <x:c r="AG1444" t="n">
        <x:f>--AND(N1444=1,AF1444=1,OR(AE1444="SUPPORTED",AE1444="HALLUCINATION"))</x:f>
        <x:v>0</x:v>
      </x:c>
      <x:c r="AH1444" t="n">
        <x:f>--AND(AG1444=1,AE1444="HALLUCINATION")</x:f>
        <x:v>0</x:v>
      </x:c>
      <x:c r="AI1444" t="n">
        <x:f>--AND(Q1444=1,AF1444=1,AE1444="HALLUCINATION")</x:f>
        <x:v>0</x:v>
      </x:c>
      <x:c r="AJ1444" t="n">
        <x:f>--AND(AI1444=1,R1444=1,S1444=1)</x:f>
        <x:v>0</x:v>
      </x:c>
    </x:row>
    <x:row r="1445">
      <x:c r="A1445" s="28"/>
      <x:c r="B1445" s="28"/>
      <x:c r="C1445" s="28"/>
      <x:c r="D1445" s="28"/>
      <x:c r="E1445" s="28"/>
      <x:c r="F1445" s="28"/>
      <x:c r="G1445" s="28"/>
      <x:c r="H1445" s="28"/>
      <x:c r="I1445" s="28"/>
      <x:c r="J1445" s="28"/>
      <x:c r="K1445" s="28"/>
      <x:c r="L1445" s="28"/>
      <x:c r="M1445" s="28"/>
      <x:c r="N1445" s="28"/>
      <x:c r="O1445" s="28"/>
      <x:c r="P1445" s="28"/>
      <x:c r="Q1445" s="28"/>
      <x:c r="R1445" s="28"/>
      <x:c r="S1445" s="28"/>
      <x:c r="T1445" s="28"/>
      <x:c r="U1445" s="28"/>
      <x:c r="V1445" s="28"/>
      <x:c r="W1445" s="43" t="n">
        <x:f>--AND(N1445=1,OR(O1445="SUPPORTED",O1445="HALLUCINATION"))</x:f>
        <x:v>0</x:v>
      </x:c>
      <x:c r="X1445" s="43" t="n">
        <x:f>--AND(W1445=1,O1445="HALLUCINATION")</x:f>
        <x:v>0</x:v>
      </x:c>
      <x:c r="Y1445" s="43" t="n">
        <x:f>--AND(Q1445=1,O1445="HALLUCINATION")</x:f>
        <x:v>0</x:v>
      </x:c>
      <x:c r="Z1445" s="43" t="n">
        <x:f>--AND(Y1445=1,R1445=1,S1445=1)</x:f>
        <x:v>0</x:v>
      </x:c>
      <x:c r="AC1445" t="str">
        <x:f>IF(OR(AA1445="",AB1445=""),"",--(AA1445&lt;&gt;AB1445))</x:f>
      </x:c>
      <x:c r="AE1445" t="str">
        <x:f>IF(OR(AA1445="",AB1445=""),"PENDING_HUMAN",IF(AA1445=AB1445,AA1445,IF(AD1445&lt;&gt;"",AD1445,"PENDING_HUMAN")))</x:f>
        <x:v>PENDING_HUMAN</x:v>
      </x:c>
      <x:c r="AF1445" t="n">
        <x:f>--AND(A1445&lt;&gt;"",AA1445&lt;&gt;"",AB1445&lt;&gt;"",OR(AA1445=AB1445,AD1445&lt;&gt;""),IF(AE1445="HALLUCINATION",U1445&lt;&gt;"",TRUE))</x:f>
        <x:v>0</x:v>
      </x:c>
      <x:c r="AG1445" t="n">
        <x:f>--AND(N1445=1,AF1445=1,OR(AE1445="SUPPORTED",AE1445="HALLUCINATION"))</x:f>
        <x:v>0</x:v>
      </x:c>
      <x:c r="AH1445" t="n">
        <x:f>--AND(AG1445=1,AE1445="HALLUCINATION")</x:f>
        <x:v>0</x:v>
      </x:c>
      <x:c r="AI1445" t="n">
        <x:f>--AND(Q1445=1,AF1445=1,AE1445="HALLUCINATION")</x:f>
        <x:v>0</x:v>
      </x:c>
      <x:c r="AJ1445" t="n">
        <x:f>--AND(AI1445=1,R1445=1,S1445=1)</x:f>
        <x:v>0</x:v>
      </x:c>
    </x:row>
    <x:row r="1446">
      <x:c r="A1446" s="28"/>
      <x:c r="B1446" s="28"/>
      <x:c r="C1446" s="28"/>
      <x:c r="D1446" s="28"/>
      <x:c r="E1446" s="28"/>
      <x:c r="F1446" s="28"/>
      <x:c r="G1446" s="28"/>
      <x:c r="H1446" s="28"/>
      <x:c r="I1446" s="28"/>
      <x:c r="J1446" s="28"/>
      <x:c r="K1446" s="28"/>
      <x:c r="L1446" s="28"/>
      <x:c r="M1446" s="28"/>
      <x:c r="N1446" s="28"/>
      <x:c r="O1446" s="28"/>
      <x:c r="P1446" s="28"/>
      <x:c r="Q1446" s="28"/>
      <x:c r="R1446" s="28"/>
      <x:c r="S1446" s="28"/>
      <x:c r="T1446" s="28"/>
      <x:c r="U1446" s="28"/>
      <x:c r="V1446" s="28"/>
      <x:c r="W1446" s="43" t="n">
        <x:f>--AND(N1446=1,OR(O1446="SUPPORTED",O1446="HALLUCINATION"))</x:f>
        <x:v>0</x:v>
      </x:c>
      <x:c r="X1446" s="43" t="n">
        <x:f>--AND(W1446=1,O1446="HALLUCINATION")</x:f>
        <x:v>0</x:v>
      </x:c>
      <x:c r="Y1446" s="43" t="n">
        <x:f>--AND(Q1446=1,O1446="HALLUCINATION")</x:f>
        <x:v>0</x:v>
      </x:c>
      <x:c r="Z1446" s="43" t="n">
        <x:f>--AND(Y1446=1,R1446=1,S1446=1)</x:f>
        <x:v>0</x:v>
      </x:c>
      <x:c r="AC1446" t="str">
        <x:f>IF(OR(AA1446="",AB1446=""),"",--(AA1446&lt;&gt;AB1446))</x:f>
      </x:c>
      <x:c r="AE1446" t="str">
        <x:f>IF(OR(AA1446="",AB1446=""),"PENDING_HUMAN",IF(AA1446=AB1446,AA1446,IF(AD1446&lt;&gt;"",AD1446,"PENDING_HUMAN")))</x:f>
        <x:v>PENDING_HUMAN</x:v>
      </x:c>
      <x:c r="AF1446" t="n">
        <x:f>--AND(A1446&lt;&gt;"",AA1446&lt;&gt;"",AB1446&lt;&gt;"",OR(AA1446=AB1446,AD1446&lt;&gt;""),IF(AE1446="HALLUCINATION",U1446&lt;&gt;"",TRUE))</x:f>
        <x:v>0</x:v>
      </x:c>
      <x:c r="AG1446" t="n">
        <x:f>--AND(N1446=1,AF1446=1,OR(AE1446="SUPPORTED",AE1446="HALLUCINATION"))</x:f>
        <x:v>0</x:v>
      </x:c>
      <x:c r="AH1446" t="n">
        <x:f>--AND(AG1446=1,AE1446="HALLUCINATION")</x:f>
        <x:v>0</x:v>
      </x:c>
      <x:c r="AI1446" t="n">
        <x:f>--AND(Q1446=1,AF1446=1,AE1446="HALLUCINATION")</x:f>
        <x:v>0</x:v>
      </x:c>
      <x:c r="AJ1446" t="n">
        <x:f>--AND(AI1446=1,R1446=1,S1446=1)</x:f>
        <x:v>0</x:v>
      </x:c>
    </x:row>
    <x:row r="1447">
      <x:c r="A1447" s="28"/>
      <x:c r="B1447" s="28"/>
      <x:c r="C1447" s="28"/>
      <x:c r="D1447" s="28"/>
      <x:c r="E1447" s="28"/>
      <x:c r="F1447" s="28"/>
      <x:c r="G1447" s="28"/>
      <x:c r="H1447" s="28"/>
      <x:c r="I1447" s="28"/>
      <x:c r="J1447" s="28"/>
      <x:c r="K1447" s="28"/>
      <x:c r="L1447" s="28"/>
      <x:c r="M1447" s="28"/>
      <x:c r="N1447" s="28"/>
      <x:c r="O1447" s="28"/>
      <x:c r="P1447" s="28"/>
      <x:c r="Q1447" s="28"/>
      <x:c r="R1447" s="28"/>
      <x:c r="S1447" s="28"/>
      <x:c r="T1447" s="28"/>
      <x:c r="U1447" s="28"/>
      <x:c r="V1447" s="28"/>
      <x:c r="W1447" s="43" t="n">
        <x:f>--AND(N1447=1,OR(O1447="SUPPORTED",O1447="HALLUCINATION"))</x:f>
        <x:v>0</x:v>
      </x:c>
      <x:c r="X1447" s="43" t="n">
        <x:f>--AND(W1447=1,O1447="HALLUCINATION")</x:f>
        <x:v>0</x:v>
      </x:c>
      <x:c r="Y1447" s="43" t="n">
        <x:f>--AND(Q1447=1,O1447="HALLUCINATION")</x:f>
        <x:v>0</x:v>
      </x:c>
      <x:c r="Z1447" s="43" t="n">
        <x:f>--AND(Y1447=1,R1447=1,S1447=1)</x:f>
        <x:v>0</x:v>
      </x:c>
      <x:c r="AC1447" t="str">
        <x:f>IF(OR(AA1447="",AB1447=""),"",--(AA1447&lt;&gt;AB1447))</x:f>
      </x:c>
      <x:c r="AE1447" t="str">
        <x:f>IF(OR(AA1447="",AB1447=""),"PENDING_HUMAN",IF(AA1447=AB1447,AA1447,IF(AD1447&lt;&gt;"",AD1447,"PENDING_HUMAN")))</x:f>
        <x:v>PENDING_HUMAN</x:v>
      </x:c>
      <x:c r="AF1447" t="n">
        <x:f>--AND(A1447&lt;&gt;"",AA1447&lt;&gt;"",AB1447&lt;&gt;"",OR(AA1447=AB1447,AD1447&lt;&gt;""),IF(AE1447="HALLUCINATION",U1447&lt;&gt;"",TRUE))</x:f>
        <x:v>0</x:v>
      </x:c>
      <x:c r="AG1447" t="n">
        <x:f>--AND(N1447=1,AF1447=1,OR(AE1447="SUPPORTED",AE1447="HALLUCINATION"))</x:f>
        <x:v>0</x:v>
      </x:c>
      <x:c r="AH1447" t="n">
        <x:f>--AND(AG1447=1,AE1447="HALLUCINATION")</x:f>
        <x:v>0</x:v>
      </x:c>
      <x:c r="AI1447" t="n">
        <x:f>--AND(Q1447=1,AF1447=1,AE1447="HALLUCINATION")</x:f>
        <x:v>0</x:v>
      </x:c>
      <x:c r="AJ1447" t="n">
        <x:f>--AND(AI1447=1,R1447=1,S1447=1)</x:f>
        <x:v>0</x:v>
      </x:c>
    </x:row>
    <x:row r="1448">
      <x:c r="A1448" s="28"/>
      <x:c r="B1448" s="28"/>
      <x:c r="C1448" s="28"/>
      <x:c r="D1448" s="28"/>
      <x:c r="E1448" s="28"/>
      <x:c r="F1448" s="28"/>
      <x:c r="G1448" s="28"/>
      <x:c r="H1448" s="28"/>
      <x:c r="I1448" s="28"/>
      <x:c r="J1448" s="28"/>
      <x:c r="K1448" s="28"/>
      <x:c r="L1448" s="28"/>
      <x:c r="M1448" s="28"/>
      <x:c r="N1448" s="28"/>
      <x:c r="O1448" s="28"/>
      <x:c r="P1448" s="28"/>
      <x:c r="Q1448" s="28"/>
      <x:c r="R1448" s="28"/>
      <x:c r="S1448" s="28"/>
      <x:c r="T1448" s="28"/>
      <x:c r="U1448" s="28"/>
      <x:c r="V1448" s="28"/>
      <x:c r="W1448" s="43" t="n">
        <x:f>--AND(N1448=1,OR(O1448="SUPPORTED",O1448="HALLUCINATION"))</x:f>
        <x:v>0</x:v>
      </x:c>
      <x:c r="X1448" s="43" t="n">
        <x:f>--AND(W1448=1,O1448="HALLUCINATION")</x:f>
        <x:v>0</x:v>
      </x:c>
      <x:c r="Y1448" s="43" t="n">
        <x:f>--AND(Q1448=1,O1448="HALLUCINATION")</x:f>
        <x:v>0</x:v>
      </x:c>
      <x:c r="Z1448" s="43" t="n">
        <x:f>--AND(Y1448=1,R1448=1,S1448=1)</x:f>
        <x:v>0</x:v>
      </x:c>
      <x:c r="AC1448" t="str">
        <x:f>IF(OR(AA1448="",AB1448=""),"",--(AA1448&lt;&gt;AB1448))</x:f>
      </x:c>
      <x:c r="AE1448" t="str">
        <x:f>IF(OR(AA1448="",AB1448=""),"PENDING_HUMAN",IF(AA1448=AB1448,AA1448,IF(AD1448&lt;&gt;"",AD1448,"PENDING_HUMAN")))</x:f>
        <x:v>PENDING_HUMAN</x:v>
      </x:c>
      <x:c r="AF1448" t="n">
        <x:f>--AND(A1448&lt;&gt;"",AA1448&lt;&gt;"",AB1448&lt;&gt;"",OR(AA1448=AB1448,AD1448&lt;&gt;""),IF(AE1448="HALLUCINATION",U1448&lt;&gt;"",TRUE))</x:f>
        <x:v>0</x:v>
      </x:c>
      <x:c r="AG1448" t="n">
        <x:f>--AND(N1448=1,AF1448=1,OR(AE1448="SUPPORTED",AE1448="HALLUCINATION"))</x:f>
        <x:v>0</x:v>
      </x:c>
      <x:c r="AH1448" t="n">
        <x:f>--AND(AG1448=1,AE1448="HALLUCINATION")</x:f>
        <x:v>0</x:v>
      </x:c>
      <x:c r="AI1448" t="n">
        <x:f>--AND(Q1448=1,AF1448=1,AE1448="HALLUCINATION")</x:f>
        <x:v>0</x:v>
      </x:c>
      <x:c r="AJ1448" t="n">
        <x:f>--AND(AI1448=1,R1448=1,S1448=1)</x:f>
        <x:v>0</x:v>
      </x:c>
    </x:row>
    <x:row r="1449">
      <x:c r="A1449" s="28"/>
      <x:c r="B1449" s="28"/>
      <x:c r="C1449" s="28"/>
      <x:c r="D1449" s="28"/>
      <x:c r="E1449" s="28"/>
      <x:c r="F1449" s="28"/>
      <x:c r="G1449" s="28"/>
      <x:c r="H1449" s="28"/>
      <x:c r="I1449" s="28"/>
      <x:c r="J1449" s="28"/>
      <x:c r="K1449" s="28"/>
      <x:c r="L1449" s="28"/>
      <x:c r="M1449" s="28"/>
      <x:c r="N1449" s="28"/>
      <x:c r="O1449" s="28"/>
      <x:c r="P1449" s="28"/>
      <x:c r="Q1449" s="28"/>
      <x:c r="R1449" s="28"/>
      <x:c r="S1449" s="28"/>
      <x:c r="T1449" s="28"/>
      <x:c r="U1449" s="28"/>
      <x:c r="V1449" s="28"/>
      <x:c r="W1449" s="43" t="n">
        <x:f>--AND(N1449=1,OR(O1449="SUPPORTED",O1449="HALLUCINATION"))</x:f>
        <x:v>0</x:v>
      </x:c>
      <x:c r="X1449" s="43" t="n">
        <x:f>--AND(W1449=1,O1449="HALLUCINATION")</x:f>
        <x:v>0</x:v>
      </x:c>
      <x:c r="Y1449" s="43" t="n">
        <x:f>--AND(Q1449=1,O1449="HALLUCINATION")</x:f>
        <x:v>0</x:v>
      </x:c>
      <x:c r="Z1449" s="43" t="n">
        <x:f>--AND(Y1449=1,R1449=1,S1449=1)</x:f>
        <x:v>0</x:v>
      </x:c>
      <x:c r="AC1449" t="str">
        <x:f>IF(OR(AA1449="",AB1449=""),"",--(AA1449&lt;&gt;AB1449))</x:f>
      </x:c>
      <x:c r="AE1449" t="str">
        <x:f>IF(OR(AA1449="",AB1449=""),"PENDING_HUMAN",IF(AA1449=AB1449,AA1449,IF(AD1449&lt;&gt;"",AD1449,"PENDING_HUMAN")))</x:f>
        <x:v>PENDING_HUMAN</x:v>
      </x:c>
      <x:c r="AF1449" t="n">
        <x:f>--AND(A1449&lt;&gt;"",AA1449&lt;&gt;"",AB1449&lt;&gt;"",OR(AA1449=AB1449,AD1449&lt;&gt;""),IF(AE1449="HALLUCINATION",U1449&lt;&gt;"",TRUE))</x:f>
        <x:v>0</x:v>
      </x:c>
      <x:c r="AG1449" t="n">
        <x:f>--AND(N1449=1,AF1449=1,OR(AE1449="SUPPORTED",AE1449="HALLUCINATION"))</x:f>
        <x:v>0</x:v>
      </x:c>
      <x:c r="AH1449" t="n">
        <x:f>--AND(AG1449=1,AE1449="HALLUCINATION")</x:f>
        <x:v>0</x:v>
      </x:c>
      <x:c r="AI1449" t="n">
        <x:f>--AND(Q1449=1,AF1449=1,AE1449="HALLUCINATION")</x:f>
        <x:v>0</x:v>
      </x:c>
      <x:c r="AJ1449" t="n">
        <x:f>--AND(AI1449=1,R1449=1,S1449=1)</x:f>
        <x:v>0</x:v>
      </x:c>
    </x:row>
    <x:row r="1450">
      <x:c r="A1450" s="28"/>
      <x:c r="B1450" s="28"/>
      <x:c r="C1450" s="28"/>
      <x:c r="D1450" s="28"/>
      <x:c r="E1450" s="28"/>
      <x:c r="F1450" s="28"/>
      <x:c r="G1450" s="28"/>
      <x:c r="H1450" s="28"/>
      <x:c r="I1450" s="28"/>
      <x:c r="J1450" s="28"/>
      <x:c r="K1450" s="28"/>
      <x:c r="L1450" s="28"/>
      <x:c r="M1450" s="28"/>
      <x:c r="N1450" s="28"/>
      <x:c r="O1450" s="28"/>
      <x:c r="P1450" s="28"/>
      <x:c r="Q1450" s="28"/>
      <x:c r="R1450" s="28"/>
      <x:c r="S1450" s="28"/>
      <x:c r="T1450" s="28"/>
      <x:c r="U1450" s="28"/>
      <x:c r="V1450" s="28"/>
      <x:c r="W1450" s="43" t="n">
        <x:f>--AND(N1450=1,OR(O1450="SUPPORTED",O1450="HALLUCINATION"))</x:f>
        <x:v>0</x:v>
      </x:c>
      <x:c r="X1450" s="43" t="n">
        <x:f>--AND(W1450=1,O1450="HALLUCINATION")</x:f>
        <x:v>0</x:v>
      </x:c>
      <x:c r="Y1450" s="43" t="n">
        <x:f>--AND(Q1450=1,O1450="HALLUCINATION")</x:f>
        <x:v>0</x:v>
      </x:c>
      <x:c r="Z1450" s="43" t="n">
        <x:f>--AND(Y1450=1,R1450=1,S1450=1)</x:f>
        <x:v>0</x:v>
      </x:c>
      <x:c r="AC1450" t="str">
        <x:f>IF(OR(AA1450="",AB1450=""),"",--(AA1450&lt;&gt;AB1450))</x:f>
      </x:c>
      <x:c r="AE1450" t="str">
        <x:f>IF(OR(AA1450="",AB1450=""),"PENDING_HUMAN",IF(AA1450=AB1450,AA1450,IF(AD1450&lt;&gt;"",AD1450,"PENDING_HUMAN")))</x:f>
        <x:v>PENDING_HUMAN</x:v>
      </x:c>
      <x:c r="AF1450" t="n">
        <x:f>--AND(A1450&lt;&gt;"",AA1450&lt;&gt;"",AB1450&lt;&gt;"",OR(AA1450=AB1450,AD1450&lt;&gt;""),IF(AE1450="HALLUCINATION",U1450&lt;&gt;"",TRUE))</x:f>
        <x:v>0</x:v>
      </x:c>
      <x:c r="AG1450" t="n">
        <x:f>--AND(N1450=1,AF1450=1,OR(AE1450="SUPPORTED",AE1450="HALLUCINATION"))</x:f>
        <x:v>0</x:v>
      </x:c>
      <x:c r="AH1450" t="n">
        <x:f>--AND(AG1450=1,AE1450="HALLUCINATION")</x:f>
        <x:v>0</x:v>
      </x:c>
      <x:c r="AI1450" t="n">
        <x:f>--AND(Q1450=1,AF1450=1,AE1450="HALLUCINATION")</x:f>
        <x:v>0</x:v>
      </x:c>
      <x:c r="AJ1450" t="n">
        <x:f>--AND(AI1450=1,R1450=1,S1450=1)</x:f>
        <x:v>0</x:v>
      </x:c>
    </x:row>
    <x:row r="1451">
      <x:c r="A1451" s="28"/>
      <x:c r="B1451" s="28"/>
      <x:c r="C1451" s="28"/>
      <x:c r="D1451" s="28"/>
      <x:c r="E1451" s="28"/>
      <x:c r="F1451" s="28"/>
      <x:c r="G1451" s="28"/>
      <x:c r="H1451" s="28"/>
      <x:c r="I1451" s="28"/>
      <x:c r="J1451" s="28"/>
      <x:c r="K1451" s="28"/>
      <x:c r="L1451" s="28"/>
      <x:c r="M1451" s="28"/>
      <x:c r="N1451" s="28"/>
      <x:c r="O1451" s="28"/>
      <x:c r="P1451" s="28"/>
      <x:c r="Q1451" s="28"/>
      <x:c r="R1451" s="28"/>
      <x:c r="S1451" s="28"/>
      <x:c r="T1451" s="28"/>
      <x:c r="U1451" s="28"/>
      <x:c r="V1451" s="28"/>
      <x:c r="W1451" s="43" t="n">
        <x:f>--AND(N1451=1,OR(O1451="SUPPORTED",O1451="HALLUCINATION"))</x:f>
        <x:v>0</x:v>
      </x:c>
      <x:c r="X1451" s="43" t="n">
        <x:f>--AND(W1451=1,O1451="HALLUCINATION")</x:f>
        <x:v>0</x:v>
      </x:c>
      <x:c r="Y1451" s="43" t="n">
        <x:f>--AND(Q1451=1,O1451="HALLUCINATION")</x:f>
        <x:v>0</x:v>
      </x:c>
      <x:c r="Z1451" s="43" t="n">
        <x:f>--AND(Y1451=1,R1451=1,S1451=1)</x:f>
        <x:v>0</x:v>
      </x:c>
      <x:c r="AC1451" t="str">
        <x:f>IF(OR(AA1451="",AB1451=""),"",--(AA1451&lt;&gt;AB1451))</x:f>
      </x:c>
      <x:c r="AE1451" t="str">
        <x:f>IF(OR(AA1451="",AB1451=""),"PENDING_HUMAN",IF(AA1451=AB1451,AA1451,IF(AD1451&lt;&gt;"",AD1451,"PENDING_HUMAN")))</x:f>
        <x:v>PENDING_HUMAN</x:v>
      </x:c>
      <x:c r="AF1451" t="n">
        <x:f>--AND(A1451&lt;&gt;"",AA1451&lt;&gt;"",AB1451&lt;&gt;"",OR(AA1451=AB1451,AD1451&lt;&gt;""),IF(AE1451="HALLUCINATION",U1451&lt;&gt;"",TRUE))</x:f>
        <x:v>0</x:v>
      </x:c>
      <x:c r="AG1451" t="n">
        <x:f>--AND(N1451=1,AF1451=1,OR(AE1451="SUPPORTED",AE1451="HALLUCINATION"))</x:f>
        <x:v>0</x:v>
      </x:c>
      <x:c r="AH1451" t="n">
        <x:f>--AND(AG1451=1,AE1451="HALLUCINATION")</x:f>
        <x:v>0</x:v>
      </x:c>
      <x:c r="AI1451" t="n">
        <x:f>--AND(Q1451=1,AF1451=1,AE1451="HALLUCINATION")</x:f>
        <x:v>0</x:v>
      </x:c>
      <x:c r="AJ1451" t="n">
        <x:f>--AND(AI1451=1,R1451=1,S1451=1)</x:f>
        <x:v>0</x:v>
      </x:c>
    </x:row>
    <x:row r="1452">
      <x:c r="A1452" s="28"/>
      <x:c r="B1452" s="28"/>
      <x:c r="C1452" s="28"/>
      <x:c r="D1452" s="28"/>
      <x:c r="E1452" s="28"/>
      <x:c r="F1452" s="28"/>
      <x:c r="G1452" s="28"/>
      <x:c r="H1452" s="28"/>
      <x:c r="I1452" s="28"/>
      <x:c r="J1452" s="28"/>
      <x:c r="K1452" s="28"/>
      <x:c r="L1452" s="28"/>
      <x:c r="M1452" s="28"/>
      <x:c r="N1452" s="28"/>
      <x:c r="O1452" s="28"/>
      <x:c r="P1452" s="28"/>
      <x:c r="Q1452" s="28"/>
      <x:c r="R1452" s="28"/>
      <x:c r="S1452" s="28"/>
      <x:c r="T1452" s="28"/>
      <x:c r="U1452" s="28"/>
      <x:c r="V1452" s="28"/>
      <x:c r="W1452" s="43" t="n">
        <x:f>--AND(N1452=1,OR(O1452="SUPPORTED",O1452="HALLUCINATION"))</x:f>
        <x:v>0</x:v>
      </x:c>
      <x:c r="X1452" s="43" t="n">
        <x:f>--AND(W1452=1,O1452="HALLUCINATION")</x:f>
        <x:v>0</x:v>
      </x:c>
      <x:c r="Y1452" s="43" t="n">
        <x:f>--AND(Q1452=1,O1452="HALLUCINATION")</x:f>
        <x:v>0</x:v>
      </x:c>
      <x:c r="Z1452" s="43" t="n">
        <x:f>--AND(Y1452=1,R1452=1,S1452=1)</x:f>
        <x:v>0</x:v>
      </x:c>
      <x:c r="AC1452" t="str">
        <x:f>IF(OR(AA1452="",AB1452=""),"",--(AA1452&lt;&gt;AB1452))</x:f>
      </x:c>
      <x:c r="AE1452" t="str">
        <x:f>IF(OR(AA1452="",AB1452=""),"PENDING_HUMAN",IF(AA1452=AB1452,AA1452,IF(AD1452&lt;&gt;"",AD1452,"PENDING_HUMAN")))</x:f>
        <x:v>PENDING_HUMAN</x:v>
      </x:c>
      <x:c r="AF1452" t="n">
        <x:f>--AND(A1452&lt;&gt;"",AA1452&lt;&gt;"",AB1452&lt;&gt;"",OR(AA1452=AB1452,AD1452&lt;&gt;""),IF(AE1452="HALLUCINATION",U1452&lt;&gt;"",TRUE))</x:f>
        <x:v>0</x:v>
      </x:c>
      <x:c r="AG1452" t="n">
        <x:f>--AND(N1452=1,AF1452=1,OR(AE1452="SUPPORTED",AE1452="HALLUCINATION"))</x:f>
        <x:v>0</x:v>
      </x:c>
      <x:c r="AH1452" t="n">
        <x:f>--AND(AG1452=1,AE1452="HALLUCINATION")</x:f>
        <x:v>0</x:v>
      </x:c>
      <x:c r="AI1452" t="n">
        <x:f>--AND(Q1452=1,AF1452=1,AE1452="HALLUCINATION")</x:f>
        <x:v>0</x:v>
      </x:c>
      <x:c r="AJ1452" t="n">
        <x:f>--AND(AI1452=1,R1452=1,S1452=1)</x:f>
        <x:v>0</x:v>
      </x:c>
    </x:row>
    <x:row r="1453">
      <x:c r="A1453" s="28"/>
      <x:c r="B1453" s="28"/>
      <x:c r="C1453" s="28"/>
      <x:c r="D1453" s="28"/>
      <x:c r="E1453" s="28"/>
      <x:c r="F1453" s="28"/>
      <x:c r="G1453" s="28"/>
      <x:c r="H1453" s="28"/>
      <x:c r="I1453" s="28"/>
      <x:c r="J1453" s="28"/>
      <x:c r="K1453" s="28"/>
      <x:c r="L1453" s="28"/>
      <x:c r="M1453" s="28"/>
      <x:c r="N1453" s="28"/>
      <x:c r="O1453" s="28"/>
      <x:c r="P1453" s="28"/>
      <x:c r="Q1453" s="28"/>
      <x:c r="R1453" s="28"/>
      <x:c r="S1453" s="28"/>
      <x:c r="T1453" s="28"/>
      <x:c r="U1453" s="28"/>
      <x:c r="V1453" s="28"/>
      <x:c r="W1453" s="43" t="n">
        <x:f>--AND(N1453=1,OR(O1453="SUPPORTED",O1453="HALLUCINATION"))</x:f>
        <x:v>0</x:v>
      </x:c>
      <x:c r="X1453" s="43" t="n">
        <x:f>--AND(W1453=1,O1453="HALLUCINATION")</x:f>
        <x:v>0</x:v>
      </x:c>
      <x:c r="Y1453" s="43" t="n">
        <x:f>--AND(Q1453=1,O1453="HALLUCINATION")</x:f>
        <x:v>0</x:v>
      </x:c>
      <x:c r="Z1453" s="43" t="n">
        <x:f>--AND(Y1453=1,R1453=1,S1453=1)</x:f>
        <x:v>0</x:v>
      </x:c>
      <x:c r="AC1453" t="str">
        <x:f>IF(OR(AA1453="",AB1453=""),"",--(AA1453&lt;&gt;AB1453))</x:f>
      </x:c>
      <x:c r="AE1453" t="str">
        <x:f>IF(OR(AA1453="",AB1453=""),"PENDING_HUMAN",IF(AA1453=AB1453,AA1453,IF(AD1453&lt;&gt;"",AD1453,"PENDING_HUMAN")))</x:f>
        <x:v>PENDING_HUMAN</x:v>
      </x:c>
      <x:c r="AF1453" t="n">
        <x:f>--AND(A1453&lt;&gt;"",AA1453&lt;&gt;"",AB1453&lt;&gt;"",OR(AA1453=AB1453,AD1453&lt;&gt;""),IF(AE1453="HALLUCINATION",U1453&lt;&gt;"",TRUE))</x:f>
        <x:v>0</x:v>
      </x:c>
      <x:c r="AG1453" t="n">
        <x:f>--AND(N1453=1,AF1453=1,OR(AE1453="SUPPORTED",AE1453="HALLUCINATION"))</x:f>
        <x:v>0</x:v>
      </x:c>
      <x:c r="AH1453" t="n">
        <x:f>--AND(AG1453=1,AE1453="HALLUCINATION")</x:f>
        <x:v>0</x:v>
      </x:c>
      <x:c r="AI1453" t="n">
        <x:f>--AND(Q1453=1,AF1453=1,AE1453="HALLUCINATION")</x:f>
        <x:v>0</x:v>
      </x:c>
      <x:c r="AJ1453" t="n">
        <x:f>--AND(AI1453=1,R1453=1,S1453=1)</x:f>
        <x:v>0</x:v>
      </x:c>
    </x:row>
    <x:row r="1454">
      <x:c r="A1454" s="28"/>
      <x:c r="B1454" s="28"/>
      <x:c r="C1454" s="28"/>
      <x:c r="D1454" s="28"/>
      <x:c r="E1454" s="28"/>
      <x:c r="F1454" s="28"/>
      <x:c r="G1454" s="28"/>
      <x:c r="H1454" s="28"/>
      <x:c r="I1454" s="28"/>
      <x:c r="J1454" s="28"/>
      <x:c r="K1454" s="28"/>
      <x:c r="L1454" s="28"/>
      <x:c r="M1454" s="28"/>
      <x:c r="N1454" s="28"/>
      <x:c r="O1454" s="28"/>
      <x:c r="P1454" s="28"/>
      <x:c r="Q1454" s="28"/>
      <x:c r="R1454" s="28"/>
      <x:c r="S1454" s="28"/>
      <x:c r="T1454" s="28"/>
      <x:c r="U1454" s="28"/>
      <x:c r="V1454" s="28"/>
      <x:c r="W1454" s="43" t="n">
        <x:f>--AND(N1454=1,OR(O1454="SUPPORTED",O1454="HALLUCINATION"))</x:f>
        <x:v>0</x:v>
      </x:c>
      <x:c r="X1454" s="43" t="n">
        <x:f>--AND(W1454=1,O1454="HALLUCINATION")</x:f>
        <x:v>0</x:v>
      </x:c>
      <x:c r="Y1454" s="43" t="n">
        <x:f>--AND(Q1454=1,O1454="HALLUCINATION")</x:f>
        <x:v>0</x:v>
      </x:c>
      <x:c r="Z1454" s="43" t="n">
        <x:f>--AND(Y1454=1,R1454=1,S1454=1)</x:f>
        <x:v>0</x:v>
      </x:c>
      <x:c r="AC1454" t="str">
        <x:f>IF(OR(AA1454="",AB1454=""),"",--(AA1454&lt;&gt;AB1454))</x:f>
      </x:c>
      <x:c r="AE1454" t="str">
        <x:f>IF(OR(AA1454="",AB1454=""),"PENDING_HUMAN",IF(AA1454=AB1454,AA1454,IF(AD1454&lt;&gt;"",AD1454,"PENDING_HUMAN")))</x:f>
        <x:v>PENDING_HUMAN</x:v>
      </x:c>
      <x:c r="AF1454" t="n">
        <x:f>--AND(A1454&lt;&gt;"",AA1454&lt;&gt;"",AB1454&lt;&gt;"",OR(AA1454=AB1454,AD1454&lt;&gt;""),IF(AE1454="HALLUCINATION",U1454&lt;&gt;"",TRUE))</x:f>
        <x:v>0</x:v>
      </x:c>
      <x:c r="AG1454" t="n">
        <x:f>--AND(N1454=1,AF1454=1,OR(AE1454="SUPPORTED",AE1454="HALLUCINATION"))</x:f>
        <x:v>0</x:v>
      </x:c>
      <x:c r="AH1454" t="n">
        <x:f>--AND(AG1454=1,AE1454="HALLUCINATION")</x:f>
        <x:v>0</x:v>
      </x:c>
      <x:c r="AI1454" t="n">
        <x:f>--AND(Q1454=1,AF1454=1,AE1454="HALLUCINATION")</x:f>
        <x:v>0</x:v>
      </x:c>
      <x:c r="AJ1454" t="n">
        <x:f>--AND(AI1454=1,R1454=1,S1454=1)</x:f>
        <x:v>0</x:v>
      </x:c>
    </x:row>
    <x:row r="1455">
      <x:c r="A1455" s="28"/>
      <x:c r="B1455" s="28"/>
      <x:c r="C1455" s="28"/>
      <x:c r="D1455" s="28"/>
      <x:c r="E1455" s="28"/>
      <x:c r="F1455" s="28"/>
      <x:c r="G1455" s="28"/>
      <x:c r="H1455" s="28"/>
      <x:c r="I1455" s="28"/>
      <x:c r="J1455" s="28"/>
      <x:c r="K1455" s="28"/>
      <x:c r="L1455" s="28"/>
      <x:c r="M1455" s="28"/>
      <x:c r="N1455" s="28"/>
      <x:c r="O1455" s="28"/>
      <x:c r="P1455" s="28"/>
      <x:c r="Q1455" s="28"/>
      <x:c r="R1455" s="28"/>
      <x:c r="S1455" s="28"/>
      <x:c r="T1455" s="28"/>
      <x:c r="U1455" s="28"/>
      <x:c r="V1455" s="28"/>
      <x:c r="W1455" s="43" t="n">
        <x:f>--AND(N1455=1,OR(O1455="SUPPORTED",O1455="HALLUCINATION"))</x:f>
        <x:v>0</x:v>
      </x:c>
      <x:c r="X1455" s="43" t="n">
        <x:f>--AND(W1455=1,O1455="HALLUCINATION")</x:f>
        <x:v>0</x:v>
      </x:c>
      <x:c r="Y1455" s="43" t="n">
        <x:f>--AND(Q1455=1,O1455="HALLUCINATION")</x:f>
        <x:v>0</x:v>
      </x:c>
      <x:c r="Z1455" s="43" t="n">
        <x:f>--AND(Y1455=1,R1455=1,S1455=1)</x:f>
        <x:v>0</x:v>
      </x:c>
      <x:c r="AC1455" t="str">
        <x:f>IF(OR(AA1455="",AB1455=""),"",--(AA1455&lt;&gt;AB1455))</x:f>
      </x:c>
      <x:c r="AE1455" t="str">
        <x:f>IF(OR(AA1455="",AB1455=""),"PENDING_HUMAN",IF(AA1455=AB1455,AA1455,IF(AD1455&lt;&gt;"",AD1455,"PENDING_HUMAN")))</x:f>
        <x:v>PENDING_HUMAN</x:v>
      </x:c>
      <x:c r="AF1455" t="n">
        <x:f>--AND(A1455&lt;&gt;"",AA1455&lt;&gt;"",AB1455&lt;&gt;"",OR(AA1455=AB1455,AD1455&lt;&gt;""),IF(AE1455="HALLUCINATION",U1455&lt;&gt;"",TRUE))</x:f>
        <x:v>0</x:v>
      </x:c>
      <x:c r="AG1455" t="n">
        <x:f>--AND(N1455=1,AF1455=1,OR(AE1455="SUPPORTED",AE1455="HALLUCINATION"))</x:f>
        <x:v>0</x:v>
      </x:c>
      <x:c r="AH1455" t="n">
        <x:f>--AND(AG1455=1,AE1455="HALLUCINATION")</x:f>
        <x:v>0</x:v>
      </x:c>
      <x:c r="AI1455" t="n">
        <x:f>--AND(Q1455=1,AF1455=1,AE1455="HALLUCINATION")</x:f>
        <x:v>0</x:v>
      </x:c>
      <x:c r="AJ1455" t="n">
        <x:f>--AND(AI1455=1,R1455=1,S1455=1)</x:f>
        <x:v>0</x:v>
      </x:c>
    </x:row>
    <x:row r="1456">
      <x:c r="A1456" s="28"/>
      <x:c r="B1456" s="28"/>
      <x:c r="C1456" s="28"/>
      <x:c r="D1456" s="28"/>
      <x:c r="E1456" s="28"/>
      <x:c r="F1456" s="28"/>
      <x:c r="G1456" s="28"/>
      <x:c r="H1456" s="28"/>
      <x:c r="I1456" s="28"/>
      <x:c r="J1456" s="28"/>
      <x:c r="K1456" s="28"/>
      <x:c r="L1456" s="28"/>
      <x:c r="M1456" s="28"/>
      <x:c r="N1456" s="28"/>
      <x:c r="O1456" s="28"/>
      <x:c r="P1456" s="28"/>
      <x:c r="Q1456" s="28"/>
      <x:c r="R1456" s="28"/>
      <x:c r="S1456" s="28"/>
      <x:c r="T1456" s="28"/>
      <x:c r="U1456" s="28"/>
      <x:c r="V1456" s="28"/>
      <x:c r="W1456" s="43" t="n">
        <x:f>--AND(N1456=1,OR(O1456="SUPPORTED",O1456="HALLUCINATION"))</x:f>
        <x:v>0</x:v>
      </x:c>
      <x:c r="X1456" s="43" t="n">
        <x:f>--AND(W1456=1,O1456="HALLUCINATION")</x:f>
        <x:v>0</x:v>
      </x:c>
      <x:c r="Y1456" s="43" t="n">
        <x:f>--AND(Q1456=1,O1456="HALLUCINATION")</x:f>
        <x:v>0</x:v>
      </x:c>
      <x:c r="Z1456" s="43" t="n">
        <x:f>--AND(Y1456=1,R1456=1,S1456=1)</x:f>
        <x:v>0</x:v>
      </x:c>
      <x:c r="AC1456" t="str">
        <x:f>IF(OR(AA1456="",AB1456=""),"",--(AA1456&lt;&gt;AB1456))</x:f>
      </x:c>
      <x:c r="AE1456" t="str">
        <x:f>IF(OR(AA1456="",AB1456=""),"PENDING_HUMAN",IF(AA1456=AB1456,AA1456,IF(AD1456&lt;&gt;"",AD1456,"PENDING_HUMAN")))</x:f>
        <x:v>PENDING_HUMAN</x:v>
      </x:c>
      <x:c r="AF1456" t="n">
        <x:f>--AND(A1456&lt;&gt;"",AA1456&lt;&gt;"",AB1456&lt;&gt;"",OR(AA1456=AB1456,AD1456&lt;&gt;""),IF(AE1456="HALLUCINATION",U1456&lt;&gt;"",TRUE))</x:f>
        <x:v>0</x:v>
      </x:c>
      <x:c r="AG1456" t="n">
        <x:f>--AND(N1456=1,AF1456=1,OR(AE1456="SUPPORTED",AE1456="HALLUCINATION"))</x:f>
        <x:v>0</x:v>
      </x:c>
      <x:c r="AH1456" t="n">
        <x:f>--AND(AG1456=1,AE1456="HALLUCINATION")</x:f>
        <x:v>0</x:v>
      </x:c>
      <x:c r="AI1456" t="n">
        <x:f>--AND(Q1456=1,AF1456=1,AE1456="HALLUCINATION")</x:f>
        <x:v>0</x:v>
      </x:c>
      <x:c r="AJ1456" t="n">
        <x:f>--AND(AI1456=1,R1456=1,S1456=1)</x:f>
        <x:v>0</x:v>
      </x:c>
    </x:row>
    <x:row r="1457">
      <x:c r="A1457" s="28"/>
      <x:c r="B1457" s="28"/>
      <x:c r="C1457" s="28"/>
      <x:c r="D1457" s="28"/>
      <x:c r="E1457" s="28"/>
      <x:c r="F1457" s="28"/>
      <x:c r="G1457" s="28"/>
      <x:c r="H1457" s="28"/>
      <x:c r="I1457" s="28"/>
      <x:c r="J1457" s="28"/>
      <x:c r="K1457" s="28"/>
      <x:c r="L1457" s="28"/>
      <x:c r="M1457" s="28"/>
      <x:c r="N1457" s="28"/>
      <x:c r="O1457" s="28"/>
      <x:c r="P1457" s="28"/>
      <x:c r="Q1457" s="28"/>
      <x:c r="R1457" s="28"/>
      <x:c r="S1457" s="28"/>
      <x:c r="T1457" s="28"/>
      <x:c r="U1457" s="28"/>
      <x:c r="V1457" s="28"/>
      <x:c r="W1457" s="43" t="n">
        <x:f>--AND(N1457=1,OR(O1457="SUPPORTED",O1457="HALLUCINATION"))</x:f>
        <x:v>0</x:v>
      </x:c>
      <x:c r="X1457" s="43" t="n">
        <x:f>--AND(W1457=1,O1457="HALLUCINATION")</x:f>
        <x:v>0</x:v>
      </x:c>
      <x:c r="Y1457" s="43" t="n">
        <x:f>--AND(Q1457=1,O1457="HALLUCINATION")</x:f>
        <x:v>0</x:v>
      </x:c>
      <x:c r="Z1457" s="43" t="n">
        <x:f>--AND(Y1457=1,R1457=1,S1457=1)</x:f>
        <x:v>0</x:v>
      </x:c>
      <x:c r="AC1457" t="str">
        <x:f>IF(OR(AA1457="",AB1457=""),"",--(AA1457&lt;&gt;AB1457))</x:f>
      </x:c>
      <x:c r="AE1457" t="str">
        <x:f>IF(OR(AA1457="",AB1457=""),"PENDING_HUMAN",IF(AA1457=AB1457,AA1457,IF(AD1457&lt;&gt;"",AD1457,"PENDING_HUMAN")))</x:f>
        <x:v>PENDING_HUMAN</x:v>
      </x:c>
      <x:c r="AF1457" t="n">
        <x:f>--AND(A1457&lt;&gt;"",AA1457&lt;&gt;"",AB1457&lt;&gt;"",OR(AA1457=AB1457,AD1457&lt;&gt;""),IF(AE1457="HALLUCINATION",U1457&lt;&gt;"",TRUE))</x:f>
        <x:v>0</x:v>
      </x:c>
      <x:c r="AG1457" t="n">
        <x:f>--AND(N1457=1,AF1457=1,OR(AE1457="SUPPORTED",AE1457="HALLUCINATION"))</x:f>
        <x:v>0</x:v>
      </x:c>
      <x:c r="AH1457" t="n">
        <x:f>--AND(AG1457=1,AE1457="HALLUCINATION")</x:f>
        <x:v>0</x:v>
      </x:c>
      <x:c r="AI1457" t="n">
        <x:f>--AND(Q1457=1,AF1457=1,AE1457="HALLUCINATION")</x:f>
        <x:v>0</x:v>
      </x:c>
      <x:c r="AJ1457" t="n">
        <x:f>--AND(AI1457=1,R1457=1,S1457=1)</x:f>
        <x:v>0</x:v>
      </x:c>
    </x:row>
    <x:row r="1458">
      <x:c r="A1458" s="28"/>
      <x:c r="B1458" s="28"/>
      <x:c r="C1458" s="28"/>
      <x:c r="D1458" s="28"/>
      <x:c r="E1458" s="28"/>
      <x:c r="F1458" s="28"/>
      <x:c r="G1458" s="28"/>
      <x:c r="H1458" s="28"/>
      <x:c r="I1458" s="28"/>
      <x:c r="J1458" s="28"/>
      <x:c r="K1458" s="28"/>
      <x:c r="L1458" s="28"/>
      <x:c r="M1458" s="28"/>
      <x:c r="N1458" s="28"/>
      <x:c r="O1458" s="28"/>
      <x:c r="P1458" s="28"/>
      <x:c r="Q1458" s="28"/>
      <x:c r="R1458" s="28"/>
      <x:c r="S1458" s="28"/>
      <x:c r="T1458" s="28"/>
      <x:c r="U1458" s="28"/>
      <x:c r="V1458" s="28"/>
      <x:c r="W1458" s="43" t="n">
        <x:f>--AND(N1458=1,OR(O1458="SUPPORTED",O1458="HALLUCINATION"))</x:f>
        <x:v>0</x:v>
      </x:c>
      <x:c r="X1458" s="43" t="n">
        <x:f>--AND(W1458=1,O1458="HALLUCINATION")</x:f>
        <x:v>0</x:v>
      </x:c>
      <x:c r="Y1458" s="43" t="n">
        <x:f>--AND(Q1458=1,O1458="HALLUCINATION")</x:f>
        <x:v>0</x:v>
      </x:c>
      <x:c r="Z1458" s="43" t="n">
        <x:f>--AND(Y1458=1,R1458=1,S1458=1)</x:f>
        <x:v>0</x:v>
      </x:c>
      <x:c r="AC1458" t="str">
        <x:f>IF(OR(AA1458="",AB1458=""),"",--(AA1458&lt;&gt;AB1458))</x:f>
      </x:c>
      <x:c r="AE1458" t="str">
        <x:f>IF(OR(AA1458="",AB1458=""),"PENDING_HUMAN",IF(AA1458=AB1458,AA1458,IF(AD1458&lt;&gt;"",AD1458,"PENDING_HUMAN")))</x:f>
        <x:v>PENDING_HUMAN</x:v>
      </x:c>
      <x:c r="AF1458" t="n">
        <x:f>--AND(A1458&lt;&gt;"",AA1458&lt;&gt;"",AB1458&lt;&gt;"",OR(AA1458=AB1458,AD1458&lt;&gt;""),IF(AE1458="HALLUCINATION",U1458&lt;&gt;"",TRUE))</x:f>
        <x:v>0</x:v>
      </x:c>
      <x:c r="AG1458" t="n">
        <x:f>--AND(N1458=1,AF1458=1,OR(AE1458="SUPPORTED",AE1458="HALLUCINATION"))</x:f>
        <x:v>0</x:v>
      </x:c>
      <x:c r="AH1458" t="n">
        <x:f>--AND(AG1458=1,AE1458="HALLUCINATION")</x:f>
        <x:v>0</x:v>
      </x:c>
      <x:c r="AI1458" t="n">
        <x:f>--AND(Q1458=1,AF1458=1,AE1458="HALLUCINATION")</x:f>
        <x:v>0</x:v>
      </x:c>
      <x:c r="AJ1458" t="n">
        <x:f>--AND(AI1458=1,R1458=1,S1458=1)</x:f>
        <x:v>0</x:v>
      </x:c>
    </x:row>
    <x:row r="1459">
      <x:c r="A1459" s="28"/>
      <x:c r="B1459" s="28"/>
      <x:c r="C1459" s="28"/>
      <x:c r="D1459" s="28"/>
      <x:c r="E1459" s="28"/>
      <x:c r="F1459" s="28"/>
      <x:c r="G1459" s="28"/>
      <x:c r="H1459" s="28"/>
      <x:c r="I1459" s="28"/>
      <x:c r="J1459" s="28"/>
      <x:c r="K1459" s="28"/>
      <x:c r="L1459" s="28"/>
      <x:c r="M1459" s="28"/>
      <x:c r="N1459" s="28"/>
      <x:c r="O1459" s="28"/>
      <x:c r="P1459" s="28"/>
      <x:c r="Q1459" s="28"/>
      <x:c r="R1459" s="28"/>
      <x:c r="S1459" s="28"/>
      <x:c r="T1459" s="28"/>
      <x:c r="U1459" s="28"/>
      <x:c r="V1459" s="28"/>
      <x:c r="W1459" s="43" t="n">
        <x:f>--AND(N1459=1,OR(O1459="SUPPORTED",O1459="HALLUCINATION"))</x:f>
        <x:v>0</x:v>
      </x:c>
      <x:c r="X1459" s="43" t="n">
        <x:f>--AND(W1459=1,O1459="HALLUCINATION")</x:f>
        <x:v>0</x:v>
      </x:c>
      <x:c r="Y1459" s="43" t="n">
        <x:f>--AND(Q1459=1,O1459="HALLUCINATION")</x:f>
        <x:v>0</x:v>
      </x:c>
      <x:c r="Z1459" s="43" t="n">
        <x:f>--AND(Y1459=1,R1459=1,S1459=1)</x:f>
        <x:v>0</x:v>
      </x:c>
      <x:c r="AC1459" t="str">
        <x:f>IF(OR(AA1459="",AB1459=""),"",--(AA1459&lt;&gt;AB1459))</x:f>
      </x:c>
      <x:c r="AE1459" t="str">
        <x:f>IF(OR(AA1459="",AB1459=""),"PENDING_HUMAN",IF(AA1459=AB1459,AA1459,IF(AD1459&lt;&gt;"",AD1459,"PENDING_HUMAN")))</x:f>
        <x:v>PENDING_HUMAN</x:v>
      </x:c>
      <x:c r="AF1459" t="n">
        <x:f>--AND(A1459&lt;&gt;"",AA1459&lt;&gt;"",AB1459&lt;&gt;"",OR(AA1459=AB1459,AD1459&lt;&gt;""),IF(AE1459="HALLUCINATION",U1459&lt;&gt;"",TRUE))</x:f>
        <x:v>0</x:v>
      </x:c>
      <x:c r="AG1459" t="n">
        <x:f>--AND(N1459=1,AF1459=1,OR(AE1459="SUPPORTED",AE1459="HALLUCINATION"))</x:f>
        <x:v>0</x:v>
      </x:c>
      <x:c r="AH1459" t="n">
        <x:f>--AND(AG1459=1,AE1459="HALLUCINATION")</x:f>
        <x:v>0</x:v>
      </x:c>
      <x:c r="AI1459" t="n">
        <x:f>--AND(Q1459=1,AF1459=1,AE1459="HALLUCINATION")</x:f>
        <x:v>0</x:v>
      </x:c>
      <x:c r="AJ1459" t="n">
        <x:f>--AND(AI1459=1,R1459=1,S1459=1)</x:f>
        <x:v>0</x:v>
      </x:c>
    </x:row>
    <x:row r="1460">
      <x:c r="A1460" s="28"/>
      <x:c r="B1460" s="28"/>
      <x:c r="C1460" s="28"/>
      <x:c r="D1460" s="28"/>
      <x:c r="E1460" s="28"/>
      <x:c r="F1460" s="28"/>
      <x:c r="G1460" s="28"/>
      <x:c r="H1460" s="28"/>
      <x:c r="I1460" s="28"/>
      <x:c r="J1460" s="28"/>
      <x:c r="K1460" s="28"/>
      <x:c r="L1460" s="28"/>
      <x:c r="M1460" s="28"/>
      <x:c r="N1460" s="28"/>
      <x:c r="O1460" s="28"/>
      <x:c r="P1460" s="28"/>
      <x:c r="Q1460" s="28"/>
      <x:c r="R1460" s="28"/>
      <x:c r="S1460" s="28"/>
      <x:c r="T1460" s="28"/>
      <x:c r="U1460" s="28"/>
      <x:c r="V1460" s="28"/>
      <x:c r="W1460" s="43" t="n">
        <x:f>--AND(N1460=1,OR(O1460="SUPPORTED",O1460="HALLUCINATION"))</x:f>
        <x:v>0</x:v>
      </x:c>
      <x:c r="X1460" s="43" t="n">
        <x:f>--AND(W1460=1,O1460="HALLUCINATION")</x:f>
        <x:v>0</x:v>
      </x:c>
      <x:c r="Y1460" s="43" t="n">
        <x:f>--AND(Q1460=1,O1460="HALLUCINATION")</x:f>
        <x:v>0</x:v>
      </x:c>
      <x:c r="Z1460" s="43" t="n">
        <x:f>--AND(Y1460=1,R1460=1,S1460=1)</x:f>
        <x:v>0</x:v>
      </x:c>
      <x:c r="AC1460" t="str">
        <x:f>IF(OR(AA1460="",AB1460=""),"",--(AA1460&lt;&gt;AB1460))</x:f>
      </x:c>
      <x:c r="AE1460" t="str">
        <x:f>IF(OR(AA1460="",AB1460=""),"PENDING_HUMAN",IF(AA1460=AB1460,AA1460,IF(AD1460&lt;&gt;"",AD1460,"PENDING_HUMAN")))</x:f>
        <x:v>PENDING_HUMAN</x:v>
      </x:c>
      <x:c r="AF1460" t="n">
        <x:f>--AND(A1460&lt;&gt;"",AA1460&lt;&gt;"",AB1460&lt;&gt;"",OR(AA1460=AB1460,AD1460&lt;&gt;""),IF(AE1460="HALLUCINATION",U1460&lt;&gt;"",TRUE))</x:f>
        <x:v>0</x:v>
      </x:c>
      <x:c r="AG1460" t="n">
        <x:f>--AND(N1460=1,AF1460=1,OR(AE1460="SUPPORTED",AE1460="HALLUCINATION"))</x:f>
        <x:v>0</x:v>
      </x:c>
      <x:c r="AH1460" t="n">
        <x:f>--AND(AG1460=1,AE1460="HALLUCINATION")</x:f>
        <x:v>0</x:v>
      </x:c>
      <x:c r="AI1460" t="n">
        <x:f>--AND(Q1460=1,AF1460=1,AE1460="HALLUCINATION")</x:f>
        <x:v>0</x:v>
      </x:c>
      <x:c r="AJ1460" t="n">
        <x:f>--AND(AI1460=1,R1460=1,S1460=1)</x:f>
        <x:v>0</x:v>
      </x:c>
    </x:row>
    <x:row r="1461">
      <x:c r="A1461" s="28"/>
      <x:c r="B1461" s="28"/>
      <x:c r="C1461" s="28"/>
      <x:c r="D1461" s="28"/>
      <x:c r="E1461" s="28"/>
      <x:c r="F1461" s="28"/>
      <x:c r="G1461" s="28"/>
      <x:c r="H1461" s="28"/>
      <x:c r="I1461" s="28"/>
      <x:c r="J1461" s="28"/>
      <x:c r="K1461" s="28"/>
      <x:c r="L1461" s="28"/>
      <x:c r="M1461" s="28"/>
      <x:c r="N1461" s="28"/>
      <x:c r="O1461" s="28"/>
      <x:c r="P1461" s="28"/>
      <x:c r="Q1461" s="28"/>
      <x:c r="R1461" s="28"/>
      <x:c r="S1461" s="28"/>
      <x:c r="T1461" s="28"/>
      <x:c r="U1461" s="28"/>
      <x:c r="V1461" s="28"/>
      <x:c r="W1461" s="43" t="n">
        <x:f>--AND(N1461=1,OR(O1461="SUPPORTED",O1461="HALLUCINATION"))</x:f>
        <x:v>0</x:v>
      </x:c>
      <x:c r="X1461" s="43" t="n">
        <x:f>--AND(W1461=1,O1461="HALLUCINATION")</x:f>
        <x:v>0</x:v>
      </x:c>
      <x:c r="Y1461" s="43" t="n">
        <x:f>--AND(Q1461=1,O1461="HALLUCINATION")</x:f>
        <x:v>0</x:v>
      </x:c>
      <x:c r="Z1461" s="43" t="n">
        <x:f>--AND(Y1461=1,R1461=1,S1461=1)</x:f>
        <x:v>0</x:v>
      </x:c>
      <x:c r="AC1461" t="str">
        <x:f>IF(OR(AA1461="",AB1461=""),"",--(AA1461&lt;&gt;AB1461))</x:f>
      </x:c>
      <x:c r="AE1461" t="str">
        <x:f>IF(OR(AA1461="",AB1461=""),"PENDING_HUMAN",IF(AA1461=AB1461,AA1461,IF(AD1461&lt;&gt;"",AD1461,"PENDING_HUMAN")))</x:f>
        <x:v>PENDING_HUMAN</x:v>
      </x:c>
      <x:c r="AF1461" t="n">
        <x:f>--AND(A1461&lt;&gt;"",AA1461&lt;&gt;"",AB1461&lt;&gt;"",OR(AA1461=AB1461,AD1461&lt;&gt;""),IF(AE1461="HALLUCINATION",U1461&lt;&gt;"",TRUE))</x:f>
        <x:v>0</x:v>
      </x:c>
      <x:c r="AG1461" t="n">
        <x:f>--AND(N1461=1,AF1461=1,OR(AE1461="SUPPORTED",AE1461="HALLUCINATION"))</x:f>
        <x:v>0</x:v>
      </x:c>
      <x:c r="AH1461" t="n">
        <x:f>--AND(AG1461=1,AE1461="HALLUCINATION")</x:f>
        <x:v>0</x:v>
      </x:c>
      <x:c r="AI1461" t="n">
        <x:f>--AND(Q1461=1,AF1461=1,AE1461="HALLUCINATION")</x:f>
        <x:v>0</x:v>
      </x:c>
      <x:c r="AJ1461" t="n">
        <x:f>--AND(AI1461=1,R1461=1,S1461=1)</x:f>
        <x:v>0</x:v>
      </x:c>
    </x:row>
    <x:row r="1462">
      <x:c r="A1462" s="28"/>
      <x:c r="B1462" s="28"/>
      <x:c r="C1462" s="28"/>
      <x:c r="D1462" s="28"/>
      <x:c r="E1462" s="28"/>
      <x:c r="F1462" s="28"/>
      <x:c r="G1462" s="28"/>
      <x:c r="H1462" s="28"/>
      <x:c r="I1462" s="28"/>
      <x:c r="J1462" s="28"/>
      <x:c r="K1462" s="28"/>
      <x:c r="L1462" s="28"/>
      <x:c r="M1462" s="28"/>
      <x:c r="N1462" s="28"/>
      <x:c r="O1462" s="28"/>
      <x:c r="P1462" s="28"/>
      <x:c r="Q1462" s="28"/>
      <x:c r="R1462" s="28"/>
      <x:c r="S1462" s="28"/>
      <x:c r="T1462" s="28"/>
      <x:c r="U1462" s="28"/>
      <x:c r="V1462" s="28"/>
      <x:c r="W1462" s="43" t="n">
        <x:f>--AND(N1462=1,OR(O1462="SUPPORTED",O1462="HALLUCINATION"))</x:f>
        <x:v>0</x:v>
      </x:c>
      <x:c r="X1462" s="43" t="n">
        <x:f>--AND(W1462=1,O1462="HALLUCINATION")</x:f>
        <x:v>0</x:v>
      </x:c>
      <x:c r="Y1462" s="43" t="n">
        <x:f>--AND(Q1462=1,O1462="HALLUCINATION")</x:f>
        <x:v>0</x:v>
      </x:c>
      <x:c r="Z1462" s="43" t="n">
        <x:f>--AND(Y1462=1,R1462=1,S1462=1)</x:f>
        <x:v>0</x:v>
      </x:c>
      <x:c r="AC1462" t="str">
        <x:f>IF(OR(AA1462="",AB1462=""),"",--(AA1462&lt;&gt;AB1462))</x:f>
      </x:c>
      <x:c r="AE1462" t="str">
        <x:f>IF(OR(AA1462="",AB1462=""),"PENDING_HUMAN",IF(AA1462=AB1462,AA1462,IF(AD1462&lt;&gt;"",AD1462,"PENDING_HUMAN")))</x:f>
        <x:v>PENDING_HUMAN</x:v>
      </x:c>
      <x:c r="AF1462" t="n">
        <x:f>--AND(A1462&lt;&gt;"",AA1462&lt;&gt;"",AB1462&lt;&gt;"",OR(AA1462=AB1462,AD1462&lt;&gt;""),IF(AE1462="HALLUCINATION",U1462&lt;&gt;"",TRUE))</x:f>
        <x:v>0</x:v>
      </x:c>
      <x:c r="AG1462" t="n">
        <x:f>--AND(N1462=1,AF1462=1,OR(AE1462="SUPPORTED",AE1462="HALLUCINATION"))</x:f>
        <x:v>0</x:v>
      </x:c>
      <x:c r="AH1462" t="n">
        <x:f>--AND(AG1462=1,AE1462="HALLUCINATION")</x:f>
        <x:v>0</x:v>
      </x:c>
      <x:c r="AI1462" t="n">
        <x:f>--AND(Q1462=1,AF1462=1,AE1462="HALLUCINATION")</x:f>
        <x:v>0</x:v>
      </x:c>
      <x:c r="AJ1462" t="n">
        <x:f>--AND(AI1462=1,R1462=1,S1462=1)</x:f>
        <x:v>0</x:v>
      </x:c>
    </x:row>
    <x:row r="1463">
      <x:c r="A1463" s="28"/>
      <x:c r="B1463" s="28"/>
      <x:c r="C1463" s="28"/>
      <x:c r="D1463" s="28"/>
      <x:c r="E1463" s="28"/>
      <x:c r="F1463" s="28"/>
      <x:c r="G1463" s="28"/>
      <x:c r="H1463" s="28"/>
      <x:c r="I1463" s="28"/>
      <x:c r="J1463" s="28"/>
      <x:c r="K1463" s="28"/>
      <x:c r="L1463" s="28"/>
      <x:c r="M1463" s="28"/>
      <x:c r="N1463" s="28"/>
      <x:c r="O1463" s="28"/>
      <x:c r="P1463" s="28"/>
      <x:c r="Q1463" s="28"/>
      <x:c r="R1463" s="28"/>
      <x:c r="S1463" s="28"/>
      <x:c r="T1463" s="28"/>
      <x:c r="U1463" s="28"/>
      <x:c r="V1463" s="28"/>
      <x:c r="W1463" s="43" t="n">
        <x:f>--AND(N1463=1,OR(O1463="SUPPORTED",O1463="HALLUCINATION"))</x:f>
        <x:v>0</x:v>
      </x:c>
      <x:c r="X1463" s="43" t="n">
        <x:f>--AND(W1463=1,O1463="HALLUCINATION")</x:f>
        <x:v>0</x:v>
      </x:c>
      <x:c r="Y1463" s="43" t="n">
        <x:f>--AND(Q1463=1,O1463="HALLUCINATION")</x:f>
        <x:v>0</x:v>
      </x:c>
      <x:c r="Z1463" s="43" t="n">
        <x:f>--AND(Y1463=1,R1463=1,S1463=1)</x:f>
        <x:v>0</x:v>
      </x:c>
      <x:c r="AC1463" t="str">
        <x:f>IF(OR(AA1463="",AB1463=""),"",--(AA1463&lt;&gt;AB1463))</x:f>
      </x:c>
      <x:c r="AE1463" t="str">
        <x:f>IF(OR(AA1463="",AB1463=""),"PENDING_HUMAN",IF(AA1463=AB1463,AA1463,IF(AD1463&lt;&gt;"",AD1463,"PENDING_HUMAN")))</x:f>
        <x:v>PENDING_HUMAN</x:v>
      </x:c>
      <x:c r="AF1463" t="n">
        <x:f>--AND(A1463&lt;&gt;"",AA1463&lt;&gt;"",AB1463&lt;&gt;"",OR(AA1463=AB1463,AD1463&lt;&gt;""),IF(AE1463="HALLUCINATION",U1463&lt;&gt;"",TRUE))</x:f>
        <x:v>0</x:v>
      </x:c>
      <x:c r="AG1463" t="n">
        <x:f>--AND(N1463=1,AF1463=1,OR(AE1463="SUPPORTED",AE1463="HALLUCINATION"))</x:f>
        <x:v>0</x:v>
      </x:c>
      <x:c r="AH1463" t="n">
        <x:f>--AND(AG1463=1,AE1463="HALLUCINATION")</x:f>
        <x:v>0</x:v>
      </x:c>
      <x:c r="AI1463" t="n">
        <x:f>--AND(Q1463=1,AF1463=1,AE1463="HALLUCINATION")</x:f>
        <x:v>0</x:v>
      </x:c>
      <x:c r="AJ1463" t="n">
        <x:f>--AND(AI1463=1,R1463=1,S1463=1)</x:f>
        <x:v>0</x:v>
      </x:c>
    </x:row>
    <x:row r="1464">
      <x:c r="A1464" s="28"/>
      <x:c r="B1464" s="28"/>
      <x:c r="C1464" s="28"/>
      <x:c r="D1464" s="28"/>
      <x:c r="E1464" s="28"/>
      <x:c r="F1464" s="28"/>
      <x:c r="G1464" s="28"/>
      <x:c r="H1464" s="28"/>
      <x:c r="I1464" s="28"/>
      <x:c r="J1464" s="28"/>
      <x:c r="K1464" s="28"/>
      <x:c r="L1464" s="28"/>
      <x:c r="M1464" s="28"/>
      <x:c r="N1464" s="28"/>
      <x:c r="O1464" s="28"/>
      <x:c r="P1464" s="28"/>
      <x:c r="Q1464" s="28"/>
      <x:c r="R1464" s="28"/>
      <x:c r="S1464" s="28"/>
      <x:c r="T1464" s="28"/>
      <x:c r="U1464" s="28"/>
      <x:c r="V1464" s="28"/>
      <x:c r="W1464" s="43" t="n">
        <x:f>--AND(N1464=1,OR(O1464="SUPPORTED",O1464="HALLUCINATION"))</x:f>
        <x:v>0</x:v>
      </x:c>
      <x:c r="X1464" s="43" t="n">
        <x:f>--AND(W1464=1,O1464="HALLUCINATION")</x:f>
        <x:v>0</x:v>
      </x:c>
      <x:c r="Y1464" s="43" t="n">
        <x:f>--AND(Q1464=1,O1464="HALLUCINATION")</x:f>
        <x:v>0</x:v>
      </x:c>
      <x:c r="Z1464" s="43" t="n">
        <x:f>--AND(Y1464=1,R1464=1,S1464=1)</x:f>
        <x:v>0</x:v>
      </x:c>
      <x:c r="AC1464" t="str">
        <x:f>IF(OR(AA1464="",AB1464=""),"",--(AA1464&lt;&gt;AB1464))</x:f>
      </x:c>
      <x:c r="AE1464" t="str">
        <x:f>IF(OR(AA1464="",AB1464=""),"PENDING_HUMAN",IF(AA1464=AB1464,AA1464,IF(AD1464&lt;&gt;"",AD1464,"PENDING_HUMAN")))</x:f>
        <x:v>PENDING_HUMAN</x:v>
      </x:c>
      <x:c r="AF1464" t="n">
        <x:f>--AND(A1464&lt;&gt;"",AA1464&lt;&gt;"",AB1464&lt;&gt;"",OR(AA1464=AB1464,AD1464&lt;&gt;""),IF(AE1464="HALLUCINATION",U1464&lt;&gt;"",TRUE))</x:f>
        <x:v>0</x:v>
      </x:c>
      <x:c r="AG1464" t="n">
        <x:f>--AND(N1464=1,AF1464=1,OR(AE1464="SUPPORTED",AE1464="HALLUCINATION"))</x:f>
        <x:v>0</x:v>
      </x:c>
      <x:c r="AH1464" t="n">
        <x:f>--AND(AG1464=1,AE1464="HALLUCINATION")</x:f>
        <x:v>0</x:v>
      </x:c>
      <x:c r="AI1464" t="n">
        <x:f>--AND(Q1464=1,AF1464=1,AE1464="HALLUCINATION")</x:f>
        <x:v>0</x:v>
      </x:c>
      <x:c r="AJ1464" t="n">
        <x:f>--AND(AI1464=1,R1464=1,S1464=1)</x:f>
        <x:v>0</x:v>
      </x:c>
    </x:row>
    <x:row r="1465">
      <x:c r="A1465" s="28"/>
      <x:c r="B1465" s="28"/>
      <x:c r="C1465" s="28"/>
      <x:c r="D1465" s="28"/>
      <x:c r="E1465" s="28"/>
      <x:c r="F1465" s="28"/>
      <x:c r="G1465" s="28"/>
      <x:c r="H1465" s="28"/>
      <x:c r="I1465" s="28"/>
      <x:c r="J1465" s="28"/>
      <x:c r="K1465" s="28"/>
      <x:c r="L1465" s="28"/>
      <x:c r="M1465" s="28"/>
      <x:c r="N1465" s="28"/>
      <x:c r="O1465" s="28"/>
      <x:c r="P1465" s="28"/>
      <x:c r="Q1465" s="28"/>
      <x:c r="R1465" s="28"/>
      <x:c r="S1465" s="28"/>
      <x:c r="T1465" s="28"/>
      <x:c r="U1465" s="28"/>
      <x:c r="V1465" s="28"/>
      <x:c r="W1465" s="43" t="n">
        <x:f>--AND(N1465=1,OR(O1465="SUPPORTED",O1465="HALLUCINATION"))</x:f>
        <x:v>0</x:v>
      </x:c>
      <x:c r="X1465" s="43" t="n">
        <x:f>--AND(W1465=1,O1465="HALLUCINATION")</x:f>
        <x:v>0</x:v>
      </x:c>
      <x:c r="Y1465" s="43" t="n">
        <x:f>--AND(Q1465=1,O1465="HALLUCINATION")</x:f>
        <x:v>0</x:v>
      </x:c>
      <x:c r="Z1465" s="43" t="n">
        <x:f>--AND(Y1465=1,R1465=1,S1465=1)</x:f>
        <x:v>0</x:v>
      </x:c>
      <x:c r="AC1465" t="str">
        <x:f>IF(OR(AA1465="",AB1465=""),"",--(AA1465&lt;&gt;AB1465))</x:f>
      </x:c>
      <x:c r="AE1465" t="str">
        <x:f>IF(OR(AA1465="",AB1465=""),"PENDING_HUMAN",IF(AA1465=AB1465,AA1465,IF(AD1465&lt;&gt;"",AD1465,"PENDING_HUMAN")))</x:f>
        <x:v>PENDING_HUMAN</x:v>
      </x:c>
      <x:c r="AF1465" t="n">
        <x:f>--AND(A1465&lt;&gt;"",AA1465&lt;&gt;"",AB1465&lt;&gt;"",OR(AA1465=AB1465,AD1465&lt;&gt;""),IF(AE1465="HALLUCINATION",U1465&lt;&gt;"",TRUE))</x:f>
        <x:v>0</x:v>
      </x:c>
      <x:c r="AG1465" t="n">
        <x:f>--AND(N1465=1,AF1465=1,OR(AE1465="SUPPORTED",AE1465="HALLUCINATION"))</x:f>
        <x:v>0</x:v>
      </x:c>
      <x:c r="AH1465" t="n">
        <x:f>--AND(AG1465=1,AE1465="HALLUCINATION")</x:f>
        <x:v>0</x:v>
      </x:c>
      <x:c r="AI1465" t="n">
        <x:f>--AND(Q1465=1,AF1465=1,AE1465="HALLUCINATION")</x:f>
        <x:v>0</x:v>
      </x:c>
      <x:c r="AJ1465" t="n">
        <x:f>--AND(AI1465=1,R1465=1,S1465=1)</x:f>
        <x:v>0</x:v>
      </x:c>
    </x:row>
    <x:row r="1466">
      <x:c r="A1466" s="28"/>
      <x:c r="B1466" s="28"/>
      <x:c r="C1466" s="28"/>
      <x:c r="D1466" s="28"/>
      <x:c r="E1466" s="28"/>
      <x:c r="F1466" s="28"/>
      <x:c r="G1466" s="28"/>
      <x:c r="H1466" s="28"/>
      <x:c r="I1466" s="28"/>
      <x:c r="J1466" s="28"/>
      <x:c r="K1466" s="28"/>
      <x:c r="L1466" s="28"/>
      <x:c r="M1466" s="28"/>
      <x:c r="N1466" s="28"/>
      <x:c r="O1466" s="28"/>
      <x:c r="P1466" s="28"/>
      <x:c r="Q1466" s="28"/>
      <x:c r="R1466" s="28"/>
      <x:c r="S1466" s="28"/>
      <x:c r="T1466" s="28"/>
      <x:c r="U1466" s="28"/>
      <x:c r="V1466" s="28"/>
      <x:c r="W1466" s="43" t="n">
        <x:f>--AND(N1466=1,OR(O1466="SUPPORTED",O1466="HALLUCINATION"))</x:f>
        <x:v>0</x:v>
      </x:c>
      <x:c r="X1466" s="43" t="n">
        <x:f>--AND(W1466=1,O1466="HALLUCINATION")</x:f>
        <x:v>0</x:v>
      </x:c>
      <x:c r="Y1466" s="43" t="n">
        <x:f>--AND(Q1466=1,O1466="HALLUCINATION")</x:f>
        <x:v>0</x:v>
      </x:c>
      <x:c r="Z1466" s="43" t="n">
        <x:f>--AND(Y1466=1,R1466=1,S1466=1)</x:f>
        <x:v>0</x:v>
      </x:c>
      <x:c r="AC1466" t="str">
        <x:f>IF(OR(AA1466="",AB1466=""),"",--(AA1466&lt;&gt;AB1466))</x:f>
      </x:c>
      <x:c r="AE1466" t="str">
        <x:f>IF(OR(AA1466="",AB1466=""),"PENDING_HUMAN",IF(AA1466=AB1466,AA1466,IF(AD1466&lt;&gt;"",AD1466,"PENDING_HUMAN")))</x:f>
        <x:v>PENDING_HUMAN</x:v>
      </x:c>
      <x:c r="AF1466" t="n">
        <x:f>--AND(A1466&lt;&gt;"",AA1466&lt;&gt;"",AB1466&lt;&gt;"",OR(AA1466=AB1466,AD1466&lt;&gt;""),IF(AE1466="HALLUCINATION",U1466&lt;&gt;"",TRUE))</x:f>
        <x:v>0</x:v>
      </x:c>
      <x:c r="AG1466" t="n">
        <x:f>--AND(N1466=1,AF1466=1,OR(AE1466="SUPPORTED",AE1466="HALLUCINATION"))</x:f>
        <x:v>0</x:v>
      </x:c>
      <x:c r="AH1466" t="n">
        <x:f>--AND(AG1466=1,AE1466="HALLUCINATION")</x:f>
        <x:v>0</x:v>
      </x:c>
      <x:c r="AI1466" t="n">
        <x:f>--AND(Q1466=1,AF1466=1,AE1466="HALLUCINATION")</x:f>
        <x:v>0</x:v>
      </x:c>
      <x:c r="AJ1466" t="n">
        <x:f>--AND(AI1466=1,R1466=1,S1466=1)</x:f>
        <x:v>0</x:v>
      </x:c>
    </x:row>
    <x:row r="1467">
      <x:c r="A1467" s="28"/>
      <x:c r="B1467" s="28"/>
      <x:c r="C1467" s="28"/>
      <x:c r="D1467" s="28"/>
      <x:c r="E1467" s="28"/>
      <x:c r="F1467" s="28"/>
      <x:c r="G1467" s="28"/>
      <x:c r="H1467" s="28"/>
      <x:c r="I1467" s="28"/>
      <x:c r="J1467" s="28"/>
      <x:c r="K1467" s="28"/>
      <x:c r="L1467" s="28"/>
      <x:c r="M1467" s="28"/>
      <x:c r="N1467" s="28"/>
      <x:c r="O1467" s="28"/>
      <x:c r="P1467" s="28"/>
      <x:c r="Q1467" s="28"/>
      <x:c r="R1467" s="28"/>
      <x:c r="S1467" s="28"/>
      <x:c r="T1467" s="28"/>
      <x:c r="U1467" s="28"/>
      <x:c r="V1467" s="28"/>
      <x:c r="W1467" s="43" t="n">
        <x:f>--AND(N1467=1,OR(O1467="SUPPORTED",O1467="HALLUCINATION"))</x:f>
        <x:v>0</x:v>
      </x:c>
      <x:c r="X1467" s="43" t="n">
        <x:f>--AND(W1467=1,O1467="HALLUCINATION")</x:f>
        <x:v>0</x:v>
      </x:c>
      <x:c r="Y1467" s="43" t="n">
        <x:f>--AND(Q1467=1,O1467="HALLUCINATION")</x:f>
        <x:v>0</x:v>
      </x:c>
      <x:c r="Z1467" s="43" t="n">
        <x:f>--AND(Y1467=1,R1467=1,S1467=1)</x:f>
        <x:v>0</x:v>
      </x:c>
      <x:c r="AC1467" t="str">
        <x:f>IF(OR(AA1467="",AB1467=""),"",--(AA1467&lt;&gt;AB1467))</x:f>
      </x:c>
      <x:c r="AE1467" t="str">
        <x:f>IF(OR(AA1467="",AB1467=""),"PENDING_HUMAN",IF(AA1467=AB1467,AA1467,IF(AD1467&lt;&gt;"",AD1467,"PENDING_HUMAN")))</x:f>
        <x:v>PENDING_HUMAN</x:v>
      </x:c>
      <x:c r="AF1467" t="n">
        <x:f>--AND(A1467&lt;&gt;"",AA1467&lt;&gt;"",AB1467&lt;&gt;"",OR(AA1467=AB1467,AD1467&lt;&gt;""),IF(AE1467="HALLUCINATION",U1467&lt;&gt;"",TRUE))</x:f>
        <x:v>0</x:v>
      </x:c>
      <x:c r="AG1467" t="n">
        <x:f>--AND(N1467=1,AF1467=1,OR(AE1467="SUPPORTED",AE1467="HALLUCINATION"))</x:f>
        <x:v>0</x:v>
      </x:c>
      <x:c r="AH1467" t="n">
        <x:f>--AND(AG1467=1,AE1467="HALLUCINATION")</x:f>
        <x:v>0</x:v>
      </x:c>
      <x:c r="AI1467" t="n">
        <x:f>--AND(Q1467=1,AF1467=1,AE1467="HALLUCINATION")</x:f>
        <x:v>0</x:v>
      </x:c>
      <x:c r="AJ1467" t="n">
        <x:f>--AND(AI1467=1,R1467=1,S1467=1)</x:f>
        <x:v>0</x:v>
      </x:c>
    </x:row>
    <x:row r="1468">
      <x:c r="A1468" s="28"/>
      <x:c r="B1468" s="28"/>
      <x:c r="C1468" s="28"/>
      <x:c r="D1468" s="28"/>
      <x:c r="E1468" s="28"/>
      <x:c r="F1468" s="28"/>
      <x:c r="G1468" s="28"/>
      <x:c r="H1468" s="28"/>
      <x:c r="I1468" s="28"/>
      <x:c r="J1468" s="28"/>
      <x:c r="K1468" s="28"/>
      <x:c r="L1468" s="28"/>
      <x:c r="M1468" s="28"/>
      <x:c r="N1468" s="28"/>
      <x:c r="O1468" s="28"/>
      <x:c r="P1468" s="28"/>
      <x:c r="Q1468" s="28"/>
      <x:c r="R1468" s="28"/>
      <x:c r="S1468" s="28"/>
      <x:c r="T1468" s="28"/>
      <x:c r="U1468" s="28"/>
      <x:c r="V1468" s="28"/>
      <x:c r="W1468" s="43" t="n">
        <x:f>--AND(N1468=1,OR(O1468="SUPPORTED",O1468="HALLUCINATION"))</x:f>
        <x:v>0</x:v>
      </x:c>
      <x:c r="X1468" s="43" t="n">
        <x:f>--AND(W1468=1,O1468="HALLUCINATION")</x:f>
        <x:v>0</x:v>
      </x:c>
      <x:c r="Y1468" s="43" t="n">
        <x:f>--AND(Q1468=1,O1468="HALLUCINATION")</x:f>
        <x:v>0</x:v>
      </x:c>
      <x:c r="Z1468" s="43" t="n">
        <x:f>--AND(Y1468=1,R1468=1,S1468=1)</x:f>
        <x:v>0</x:v>
      </x:c>
      <x:c r="AC1468" t="str">
        <x:f>IF(OR(AA1468="",AB1468=""),"",--(AA1468&lt;&gt;AB1468))</x:f>
      </x:c>
      <x:c r="AE1468" t="str">
        <x:f>IF(OR(AA1468="",AB1468=""),"PENDING_HUMAN",IF(AA1468=AB1468,AA1468,IF(AD1468&lt;&gt;"",AD1468,"PENDING_HUMAN")))</x:f>
        <x:v>PENDING_HUMAN</x:v>
      </x:c>
      <x:c r="AF1468" t="n">
        <x:f>--AND(A1468&lt;&gt;"",AA1468&lt;&gt;"",AB1468&lt;&gt;"",OR(AA1468=AB1468,AD1468&lt;&gt;""),IF(AE1468="HALLUCINATION",U1468&lt;&gt;"",TRUE))</x:f>
        <x:v>0</x:v>
      </x:c>
      <x:c r="AG1468" t="n">
        <x:f>--AND(N1468=1,AF1468=1,OR(AE1468="SUPPORTED",AE1468="HALLUCINATION"))</x:f>
        <x:v>0</x:v>
      </x:c>
      <x:c r="AH1468" t="n">
        <x:f>--AND(AG1468=1,AE1468="HALLUCINATION")</x:f>
        <x:v>0</x:v>
      </x:c>
      <x:c r="AI1468" t="n">
        <x:f>--AND(Q1468=1,AF1468=1,AE1468="HALLUCINATION")</x:f>
        <x:v>0</x:v>
      </x:c>
      <x:c r="AJ1468" t="n">
        <x:f>--AND(AI1468=1,R1468=1,S1468=1)</x:f>
        <x:v>0</x:v>
      </x:c>
    </x:row>
    <x:row r="1469">
      <x:c r="A1469" s="28"/>
      <x:c r="B1469" s="28"/>
      <x:c r="C1469" s="28"/>
      <x:c r="D1469" s="28"/>
      <x:c r="E1469" s="28"/>
      <x:c r="F1469" s="28"/>
      <x:c r="G1469" s="28"/>
      <x:c r="H1469" s="28"/>
      <x:c r="I1469" s="28"/>
      <x:c r="J1469" s="28"/>
      <x:c r="K1469" s="28"/>
      <x:c r="L1469" s="28"/>
      <x:c r="M1469" s="28"/>
      <x:c r="N1469" s="28"/>
      <x:c r="O1469" s="28"/>
      <x:c r="P1469" s="28"/>
      <x:c r="Q1469" s="28"/>
      <x:c r="R1469" s="28"/>
      <x:c r="S1469" s="28"/>
      <x:c r="T1469" s="28"/>
      <x:c r="U1469" s="28"/>
      <x:c r="V1469" s="28"/>
      <x:c r="W1469" s="43" t="n">
        <x:f>--AND(N1469=1,OR(O1469="SUPPORTED",O1469="HALLUCINATION"))</x:f>
        <x:v>0</x:v>
      </x:c>
      <x:c r="X1469" s="43" t="n">
        <x:f>--AND(W1469=1,O1469="HALLUCINATION")</x:f>
        <x:v>0</x:v>
      </x:c>
      <x:c r="Y1469" s="43" t="n">
        <x:f>--AND(Q1469=1,O1469="HALLUCINATION")</x:f>
        <x:v>0</x:v>
      </x:c>
      <x:c r="Z1469" s="43" t="n">
        <x:f>--AND(Y1469=1,R1469=1,S1469=1)</x:f>
        <x:v>0</x:v>
      </x:c>
      <x:c r="AC1469" t="str">
        <x:f>IF(OR(AA1469="",AB1469=""),"",--(AA1469&lt;&gt;AB1469))</x:f>
      </x:c>
      <x:c r="AE1469" t="str">
        <x:f>IF(OR(AA1469="",AB1469=""),"PENDING_HUMAN",IF(AA1469=AB1469,AA1469,IF(AD1469&lt;&gt;"",AD1469,"PENDING_HUMAN")))</x:f>
        <x:v>PENDING_HUMAN</x:v>
      </x:c>
      <x:c r="AF1469" t="n">
        <x:f>--AND(A1469&lt;&gt;"",AA1469&lt;&gt;"",AB1469&lt;&gt;"",OR(AA1469=AB1469,AD1469&lt;&gt;""),IF(AE1469="HALLUCINATION",U1469&lt;&gt;"",TRUE))</x:f>
        <x:v>0</x:v>
      </x:c>
      <x:c r="AG1469" t="n">
        <x:f>--AND(N1469=1,AF1469=1,OR(AE1469="SUPPORTED",AE1469="HALLUCINATION"))</x:f>
        <x:v>0</x:v>
      </x:c>
      <x:c r="AH1469" t="n">
        <x:f>--AND(AG1469=1,AE1469="HALLUCINATION")</x:f>
        <x:v>0</x:v>
      </x:c>
      <x:c r="AI1469" t="n">
        <x:f>--AND(Q1469=1,AF1469=1,AE1469="HALLUCINATION")</x:f>
        <x:v>0</x:v>
      </x:c>
      <x:c r="AJ1469" t="n">
        <x:f>--AND(AI1469=1,R1469=1,S1469=1)</x:f>
        <x:v>0</x:v>
      </x:c>
    </x:row>
    <x:row r="1470">
      <x:c r="A1470" s="28"/>
      <x:c r="B1470" s="28"/>
      <x:c r="C1470" s="28"/>
      <x:c r="D1470" s="28"/>
      <x:c r="E1470" s="28"/>
      <x:c r="F1470" s="28"/>
      <x:c r="G1470" s="28"/>
      <x:c r="H1470" s="28"/>
      <x:c r="I1470" s="28"/>
      <x:c r="J1470" s="28"/>
      <x:c r="K1470" s="28"/>
      <x:c r="L1470" s="28"/>
      <x:c r="M1470" s="28"/>
      <x:c r="N1470" s="28"/>
      <x:c r="O1470" s="28"/>
      <x:c r="P1470" s="28"/>
      <x:c r="Q1470" s="28"/>
      <x:c r="R1470" s="28"/>
      <x:c r="S1470" s="28"/>
      <x:c r="T1470" s="28"/>
      <x:c r="U1470" s="28"/>
      <x:c r="V1470" s="28"/>
      <x:c r="W1470" s="43" t="n">
        <x:f>--AND(N1470=1,OR(O1470="SUPPORTED",O1470="HALLUCINATION"))</x:f>
        <x:v>0</x:v>
      </x:c>
      <x:c r="X1470" s="43" t="n">
        <x:f>--AND(W1470=1,O1470="HALLUCINATION")</x:f>
        <x:v>0</x:v>
      </x:c>
      <x:c r="Y1470" s="43" t="n">
        <x:f>--AND(Q1470=1,O1470="HALLUCINATION")</x:f>
        <x:v>0</x:v>
      </x:c>
      <x:c r="Z1470" s="43" t="n">
        <x:f>--AND(Y1470=1,R1470=1,S1470=1)</x:f>
        <x:v>0</x:v>
      </x:c>
      <x:c r="AC1470" t="str">
        <x:f>IF(OR(AA1470="",AB1470=""),"",--(AA1470&lt;&gt;AB1470))</x:f>
      </x:c>
      <x:c r="AE1470" t="str">
        <x:f>IF(OR(AA1470="",AB1470=""),"PENDING_HUMAN",IF(AA1470=AB1470,AA1470,IF(AD1470&lt;&gt;"",AD1470,"PENDING_HUMAN")))</x:f>
        <x:v>PENDING_HUMAN</x:v>
      </x:c>
      <x:c r="AF1470" t="n">
        <x:f>--AND(A1470&lt;&gt;"",AA1470&lt;&gt;"",AB1470&lt;&gt;"",OR(AA1470=AB1470,AD1470&lt;&gt;""),IF(AE1470="HALLUCINATION",U1470&lt;&gt;"",TRUE))</x:f>
        <x:v>0</x:v>
      </x:c>
      <x:c r="AG1470" t="n">
        <x:f>--AND(N1470=1,AF1470=1,OR(AE1470="SUPPORTED",AE1470="HALLUCINATION"))</x:f>
        <x:v>0</x:v>
      </x:c>
      <x:c r="AH1470" t="n">
        <x:f>--AND(AG1470=1,AE1470="HALLUCINATION")</x:f>
        <x:v>0</x:v>
      </x:c>
      <x:c r="AI1470" t="n">
        <x:f>--AND(Q1470=1,AF1470=1,AE1470="HALLUCINATION")</x:f>
        <x:v>0</x:v>
      </x:c>
      <x:c r="AJ1470" t="n">
        <x:f>--AND(AI1470=1,R1470=1,S1470=1)</x:f>
        <x:v>0</x:v>
      </x:c>
    </x:row>
    <x:row r="1471">
      <x:c r="A1471" s="28"/>
      <x:c r="B1471" s="28"/>
      <x:c r="C1471" s="28"/>
      <x:c r="D1471" s="28"/>
      <x:c r="E1471" s="28"/>
      <x:c r="F1471" s="28"/>
      <x:c r="G1471" s="28"/>
      <x:c r="H1471" s="28"/>
      <x:c r="I1471" s="28"/>
      <x:c r="J1471" s="28"/>
      <x:c r="K1471" s="28"/>
      <x:c r="L1471" s="28"/>
      <x:c r="M1471" s="28"/>
      <x:c r="N1471" s="28"/>
      <x:c r="O1471" s="28"/>
      <x:c r="P1471" s="28"/>
      <x:c r="Q1471" s="28"/>
      <x:c r="R1471" s="28"/>
      <x:c r="S1471" s="28"/>
      <x:c r="T1471" s="28"/>
      <x:c r="U1471" s="28"/>
      <x:c r="V1471" s="28"/>
      <x:c r="W1471" s="43" t="n">
        <x:f>--AND(N1471=1,OR(O1471="SUPPORTED",O1471="HALLUCINATION"))</x:f>
        <x:v>0</x:v>
      </x:c>
      <x:c r="X1471" s="43" t="n">
        <x:f>--AND(W1471=1,O1471="HALLUCINATION")</x:f>
        <x:v>0</x:v>
      </x:c>
      <x:c r="Y1471" s="43" t="n">
        <x:f>--AND(Q1471=1,O1471="HALLUCINATION")</x:f>
        <x:v>0</x:v>
      </x:c>
      <x:c r="Z1471" s="43" t="n">
        <x:f>--AND(Y1471=1,R1471=1,S1471=1)</x:f>
        <x:v>0</x:v>
      </x:c>
      <x:c r="AC1471" t="str">
        <x:f>IF(OR(AA1471="",AB1471=""),"",--(AA1471&lt;&gt;AB1471))</x:f>
      </x:c>
      <x:c r="AE1471" t="str">
        <x:f>IF(OR(AA1471="",AB1471=""),"PENDING_HUMAN",IF(AA1471=AB1471,AA1471,IF(AD1471&lt;&gt;"",AD1471,"PENDING_HUMAN")))</x:f>
        <x:v>PENDING_HUMAN</x:v>
      </x:c>
      <x:c r="AF1471" t="n">
        <x:f>--AND(A1471&lt;&gt;"",AA1471&lt;&gt;"",AB1471&lt;&gt;"",OR(AA1471=AB1471,AD1471&lt;&gt;""),IF(AE1471="HALLUCINATION",U1471&lt;&gt;"",TRUE))</x:f>
        <x:v>0</x:v>
      </x:c>
      <x:c r="AG1471" t="n">
        <x:f>--AND(N1471=1,AF1471=1,OR(AE1471="SUPPORTED",AE1471="HALLUCINATION"))</x:f>
        <x:v>0</x:v>
      </x:c>
      <x:c r="AH1471" t="n">
        <x:f>--AND(AG1471=1,AE1471="HALLUCINATION")</x:f>
        <x:v>0</x:v>
      </x:c>
      <x:c r="AI1471" t="n">
        <x:f>--AND(Q1471=1,AF1471=1,AE1471="HALLUCINATION")</x:f>
        <x:v>0</x:v>
      </x:c>
      <x:c r="AJ1471" t="n">
        <x:f>--AND(AI1471=1,R1471=1,S1471=1)</x:f>
        <x:v>0</x:v>
      </x:c>
    </x:row>
    <x:row r="1472">
      <x:c r="A1472" s="28"/>
      <x:c r="B1472" s="28"/>
      <x:c r="C1472" s="28"/>
      <x:c r="D1472" s="28"/>
      <x:c r="E1472" s="28"/>
      <x:c r="F1472" s="28"/>
      <x:c r="G1472" s="28"/>
      <x:c r="H1472" s="28"/>
      <x:c r="I1472" s="28"/>
      <x:c r="J1472" s="28"/>
      <x:c r="K1472" s="28"/>
      <x:c r="L1472" s="28"/>
      <x:c r="M1472" s="28"/>
      <x:c r="N1472" s="28"/>
      <x:c r="O1472" s="28"/>
      <x:c r="P1472" s="28"/>
      <x:c r="Q1472" s="28"/>
      <x:c r="R1472" s="28"/>
      <x:c r="S1472" s="28"/>
      <x:c r="T1472" s="28"/>
      <x:c r="U1472" s="28"/>
      <x:c r="V1472" s="28"/>
      <x:c r="W1472" s="43" t="n">
        <x:f>--AND(N1472=1,OR(O1472="SUPPORTED",O1472="HALLUCINATION"))</x:f>
        <x:v>0</x:v>
      </x:c>
      <x:c r="X1472" s="43" t="n">
        <x:f>--AND(W1472=1,O1472="HALLUCINATION")</x:f>
        <x:v>0</x:v>
      </x:c>
      <x:c r="Y1472" s="43" t="n">
        <x:f>--AND(Q1472=1,O1472="HALLUCINATION")</x:f>
        <x:v>0</x:v>
      </x:c>
      <x:c r="Z1472" s="43" t="n">
        <x:f>--AND(Y1472=1,R1472=1,S1472=1)</x:f>
        <x:v>0</x:v>
      </x:c>
      <x:c r="AC1472" t="str">
        <x:f>IF(OR(AA1472="",AB1472=""),"",--(AA1472&lt;&gt;AB1472))</x:f>
      </x:c>
      <x:c r="AE1472" t="str">
        <x:f>IF(OR(AA1472="",AB1472=""),"PENDING_HUMAN",IF(AA1472=AB1472,AA1472,IF(AD1472&lt;&gt;"",AD1472,"PENDING_HUMAN")))</x:f>
        <x:v>PENDING_HUMAN</x:v>
      </x:c>
      <x:c r="AF1472" t="n">
        <x:f>--AND(A1472&lt;&gt;"",AA1472&lt;&gt;"",AB1472&lt;&gt;"",OR(AA1472=AB1472,AD1472&lt;&gt;""),IF(AE1472="HALLUCINATION",U1472&lt;&gt;"",TRUE))</x:f>
        <x:v>0</x:v>
      </x:c>
      <x:c r="AG1472" t="n">
        <x:f>--AND(N1472=1,AF1472=1,OR(AE1472="SUPPORTED",AE1472="HALLUCINATION"))</x:f>
        <x:v>0</x:v>
      </x:c>
      <x:c r="AH1472" t="n">
        <x:f>--AND(AG1472=1,AE1472="HALLUCINATION")</x:f>
        <x:v>0</x:v>
      </x:c>
      <x:c r="AI1472" t="n">
        <x:f>--AND(Q1472=1,AF1472=1,AE1472="HALLUCINATION")</x:f>
        <x:v>0</x:v>
      </x:c>
      <x:c r="AJ1472" t="n">
        <x:f>--AND(AI1472=1,R1472=1,S1472=1)</x:f>
        <x:v>0</x:v>
      </x:c>
    </x:row>
    <x:row r="1473">
      <x:c r="A1473" s="28"/>
      <x:c r="B1473" s="28"/>
      <x:c r="C1473" s="28"/>
      <x:c r="D1473" s="28"/>
      <x:c r="E1473" s="28"/>
      <x:c r="F1473" s="28"/>
      <x:c r="G1473" s="28"/>
      <x:c r="H1473" s="28"/>
      <x:c r="I1473" s="28"/>
      <x:c r="J1473" s="28"/>
      <x:c r="K1473" s="28"/>
      <x:c r="L1473" s="28"/>
      <x:c r="M1473" s="28"/>
      <x:c r="N1473" s="28"/>
      <x:c r="O1473" s="28"/>
      <x:c r="P1473" s="28"/>
      <x:c r="Q1473" s="28"/>
      <x:c r="R1473" s="28"/>
      <x:c r="S1473" s="28"/>
      <x:c r="T1473" s="28"/>
      <x:c r="U1473" s="28"/>
      <x:c r="V1473" s="28"/>
      <x:c r="W1473" s="43" t="n">
        <x:f>--AND(N1473=1,OR(O1473="SUPPORTED",O1473="HALLUCINATION"))</x:f>
        <x:v>0</x:v>
      </x:c>
      <x:c r="X1473" s="43" t="n">
        <x:f>--AND(W1473=1,O1473="HALLUCINATION")</x:f>
        <x:v>0</x:v>
      </x:c>
      <x:c r="Y1473" s="43" t="n">
        <x:f>--AND(Q1473=1,O1473="HALLUCINATION")</x:f>
        <x:v>0</x:v>
      </x:c>
      <x:c r="Z1473" s="43" t="n">
        <x:f>--AND(Y1473=1,R1473=1,S1473=1)</x:f>
        <x:v>0</x:v>
      </x:c>
      <x:c r="AC1473" t="str">
        <x:f>IF(OR(AA1473="",AB1473=""),"",--(AA1473&lt;&gt;AB1473))</x:f>
      </x:c>
      <x:c r="AE1473" t="str">
        <x:f>IF(OR(AA1473="",AB1473=""),"PENDING_HUMAN",IF(AA1473=AB1473,AA1473,IF(AD1473&lt;&gt;"",AD1473,"PENDING_HUMAN")))</x:f>
        <x:v>PENDING_HUMAN</x:v>
      </x:c>
      <x:c r="AF1473" t="n">
        <x:f>--AND(A1473&lt;&gt;"",AA1473&lt;&gt;"",AB1473&lt;&gt;"",OR(AA1473=AB1473,AD1473&lt;&gt;""),IF(AE1473="HALLUCINATION",U1473&lt;&gt;"",TRUE))</x:f>
        <x:v>0</x:v>
      </x:c>
      <x:c r="AG1473" t="n">
        <x:f>--AND(N1473=1,AF1473=1,OR(AE1473="SUPPORTED",AE1473="HALLUCINATION"))</x:f>
        <x:v>0</x:v>
      </x:c>
      <x:c r="AH1473" t="n">
        <x:f>--AND(AG1473=1,AE1473="HALLUCINATION")</x:f>
        <x:v>0</x:v>
      </x:c>
      <x:c r="AI1473" t="n">
        <x:f>--AND(Q1473=1,AF1473=1,AE1473="HALLUCINATION")</x:f>
        <x:v>0</x:v>
      </x:c>
      <x:c r="AJ1473" t="n">
        <x:f>--AND(AI1473=1,R1473=1,S1473=1)</x:f>
        <x:v>0</x:v>
      </x:c>
    </x:row>
    <x:row r="1474">
      <x:c r="A1474" s="28"/>
      <x:c r="B1474" s="28"/>
      <x:c r="C1474" s="28"/>
      <x:c r="D1474" s="28"/>
      <x:c r="E1474" s="28"/>
      <x:c r="F1474" s="28"/>
      <x:c r="G1474" s="28"/>
      <x:c r="H1474" s="28"/>
      <x:c r="I1474" s="28"/>
      <x:c r="J1474" s="28"/>
      <x:c r="K1474" s="28"/>
      <x:c r="L1474" s="28"/>
      <x:c r="M1474" s="28"/>
      <x:c r="N1474" s="28"/>
      <x:c r="O1474" s="28"/>
      <x:c r="P1474" s="28"/>
      <x:c r="Q1474" s="28"/>
      <x:c r="R1474" s="28"/>
      <x:c r="S1474" s="28"/>
      <x:c r="T1474" s="28"/>
      <x:c r="U1474" s="28"/>
      <x:c r="V1474" s="28"/>
      <x:c r="W1474" s="43" t="n">
        <x:f>--AND(N1474=1,OR(O1474="SUPPORTED",O1474="HALLUCINATION"))</x:f>
        <x:v>0</x:v>
      </x:c>
      <x:c r="X1474" s="43" t="n">
        <x:f>--AND(W1474=1,O1474="HALLUCINATION")</x:f>
        <x:v>0</x:v>
      </x:c>
      <x:c r="Y1474" s="43" t="n">
        <x:f>--AND(Q1474=1,O1474="HALLUCINATION")</x:f>
        <x:v>0</x:v>
      </x:c>
      <x:c r="Z1474" s="43" t="n">
        <x:f>--AND(Y1474=1,R1474=1,S1474=1)</x:f>
        <x:v>0</x:v>
      </x:c>
      <x:c r="AC1474" t="str">
        <x:f>IF(OR(AA1474="",AB1474=""),"",--(AA1474&lt;&gt;AB1474))</x:f>
      </x:c>
      <x:c r="AE1474" t="str">
        <x:f>IF(OR(AA1474="",AB1474=""),"PENDING_HUMAN",IF(AA1474=AB1474,AA1474,IF(AD1474&lt;&gt;"",AD1474,"PENDING_HUMAN")))</x:f>
        <x:v>PENDING_HUMAN</x:v>
      </x:c>
      <x:c r="AF1474" t="n">
        <x:f>--AND(A1474&lt;&gt;"",AA1474&lt;&gt;"",AB1474&lt;&gt;"",OR(AA1474=AB1474,AD1474&lt;&gt;""),IF(AE1474="HALLUCINATION",U1474&lt;&gt;"",TRUE))</x:f>
        <x:v>0</x:v>
      </x:c>
      <x:c r="AG1474" t="n">
        <x:f>--AND(N1474=1,AF1474=1,OR(AE1474="SUPPORTED",AE1474="HALLUCINATION"))</x:f>
        <x:v>0</x:v>
      </x:c>
      <x:c r="AH1474" t="n">
        <x:f>--AND(AG1474=1,AE1474="HALLUCINATION")</x:f>
        <x:v>0</x:v>
      </x:c>
      <x:c r="AI1474" t="n">
        <x:f>--AND(Q1474=1,AF1474=1,AE1474="HALLUCINATION")</x:f>
        <x:v>0</x:v>
      </x:c>
      <x:c r="AJ1474" t="n">
        <x:f>--AND(AI1474=1,R1474=1,S1474=1)</x:f>
        <x:v>0</x:v>
      </x:c>
    </x:row>
    <x:row r="1475">
      <x:c r="A1475" s="28"/>
      <x:c r="B1475" s="28"/>
      <x:c r="C1475" s="28"/>
      <x:c r="D1475" s="28"/>
      <x:c r="E1475" s="28"/>
      <x:c r="F1475" s="28"/>
      <x:c r="G1475" s="28"/>
      <x:c r="H1475" s="28"/>
      <x:c r="I1475" s="28"/>
      <x:c r="J1475" s="28"/>
      <x:c r="K1475" s="28"/>
      <x:c r="L1475" s="28"/>
      <x:c r="M1475" s="28"/>
      <x:c r="N1475" s="28"/>
      <x:c r="O1475" s="28"/>
      <x:c r="P1475" s="28"/>
      <x:c r="Q1475" s="28"/>
      <x:c r="R1475" s="28"/>
      <x:c r="S1475" s="28"/>
      <x:c r="T1475" s="28"/>
      <x:c r="U1475" s="28"/>
      <x:c r="V1475" s="28"/>
      <x:c r="W1475" s="43" t="n">
        <x:f>--AND(N1475=1,OR(O1475="SUPPORTED",O1475="HALLUCINATION"))</x:f>
        <x:v>0</x:v>
      </x:c>
      <x:c r="X1475" s="43" t="n">
        <x:f>--AND(W1475=1,O1475="HALLUCINATION")</x:f>
        <x:v>0</x:v>
      </x:c>
      <x:c r="Y1475" s="43" t="n">
        <x:f>--AND(Q1475=1,O1475="HALLUCINATION")</x:f>
        <x:v>0</x:v>
      </x:c>
      <x:c r="Z1475" s="43" t="n">
        <x:f>--AND(Y1475=1,R1475=1,S1475=1)</x:f>
        <x:v>0</x:v>
      </x:c>
      <x:c r="AC1475" t="str">
        <x:f>IF(OR(AA1475="",AB1475=""),"",--(AA1475&lt;&gt;AB1475))</x:f>
      </x:c>
      <x:c r="AE1475" t="str">
        <x:f>IF(OR(AA1475="",AB1475=""),"PENDING_HUMAN",IF(AA1475=AB1475,AA1475,IF(AD1475&lt;&gt;"",AD1475,"PENDING_HUMAN")))</x:f>
        <x:v>PENDING_HUMAN</x:v>
      </x:c>
      <x:c r="AF1475" t="n">
        <x:f>--AND(A1475&lt;&gt;"",AA1475&lt;&gt;"",AB1475&lt;&gt;"",OR(AA1475=AB1475,AD1475&lt;&gt;""),IF(AE1475="HALLUCINATION",U1475&lt;&gt;"",TRUE))</x:f>
        <x:v>0</x:v>
      </x:c>
      <x:c r="AG1475" t="n">
        <x:f>--AND(N1475=1,AF1475=1,OR(AE1475="SUPPORTED",AE1475="HALLUCINATION"))</x:f>
        <x:v>0</x:v>
      </x:c>
      <x:c r="AH1475" t="n">
        <x:f>--AND(AG1475=1,AE1475="HALLUCINATION")</x:f>
        <x:v>0</x:v>
      </x:c>
      <x:c r="AI1475" t="n">
        <x:f>--AND(Q1475=1,AF1475=1,AE1475="HALLUCINATION")</x:f>
        <x:v>0</x:v>
      </x:c>
      <x:c r="AJ1475" t="n">
        <x:f>--AND(AI1475=1,R1475=1,S1475=1)</x:f>
        <x:v>0</x:v>
      </x:c>
    </x:row>
    <x:row r="1476">
      <x:c r="A1476" s="28"/>
      <x:c r="B1476" s="28"/>
      <x:c r="C1476" s="28"/>
      <x:c r="D1476" s="28"/>
      <x:c r="E1476" s="28"/>
      <x:c r="F1476" s="28"/>
      <x:c r="G1476" s="28"/>
      <x:c r="H1476" s="28"/>
      <x:c r="I1476" s="28"/>
      <x:c r="J1476" s="28"/>
      <x:c r="K1476" s="28"/>
      <x:c r="L1476" s="28"/>
      <x:c r="M1476" s="28"/>
      <x:c r="N1476" s="28"/>
      <x:c r="O1476" s="28"/>
      <x:c r="P1476" s="28"/>
      <x:c r="Q1476" s="28"/>
      <x:c r="R1476" s="28"/>
      <x:c r="S1476" s="28"/>
      <x:c r="T1476" s="28"/>
      <x:c r="U1476" s="28"/>
      <x:c r="V1476" s="28"/>
      <x:c r="W1476" s="43" t="n">
        <x:f>--AND(N1476=1,OR(O1476="SUPPORTED",O1476="HALLUCINATION"))</x:f>
        <x:v>0</x:v>
      </x:c>
      <x:c r="X1476" s="43" t="n">
        <x:f>--AND(W1476=1,O1476="HALLUCINATION")</x:f>
        <x:v>0</x:v>
      </x:c>
      <x:c r="Y1476" s="43" t="n">
        <x:f>--AND(Q1476=1,O1476="HALLUCINATION")</x:f>
        <x:v>0</x:v>
      </x:c>
      <x:c r="Z1476" s="43" t="n">
        <x:f>--AND(Y1476=1,R1476=1,S1476=1)</x:f>
        <x:v>0</x:v>
      </x:c>
      <x:c r="AC1476" t="str">
        <x:f>IF(OR(AA1476="",AB1476=""),"",--(AA1476&lt;&gt;AB1476))</x:f>
      </x:c>
      <x:c r="AE1476" t="str">
        <x:f>IF(OR(AA1476="",AB1476=""),"PENDING_HUMAN",IF(AA1476=AB1476,AA1476,IF(AD1476&lt;&gt;"",AD1476,"PENDING_HUMAN")))</x:f>
        <x:v>PENDING_HUMAN</x:v>
      </x:c>
      <x:c r="AF1476" t="n">
        <x:f>--AND(A1476&lt;&gt;"",AA1476&lt;&gt;"",AB1476&lt;&gt;"",OR(AA1476=AB1476,AD1476&lt;&gt;""),IF(AE1476="HALLUCINATION",U1476&lt;&gt;"",TRUE))</x:f>
        <x:v>0</x:v>
      </x:c>
      <x:c r="AG1476" t="n">
        <x:f>--AND(N1476=1,AF1476=1,OR(AE1476="SUPPORTED",AE1476="HALLUCINATION"))</x:f>
        <x:v>0</x:v>
      </x:c>
      <x:c r="AH1476" t="n">
        <x:f>--AND(AG1476=1,AE1476="HALLUCINATION")</x:f>
        <x:v>0</x:v>
      </x:c>
      <x:c r="AI1476" t="n">
        <x:f>--AND(Q1476=1,AF1476=1,AE1476="HALLUCINATION")</x:f>
        <x:v>0</x:v>
      </x:c>
      <x:c r="AJ1476" t="n">
        <x:f>--AND(AI1476=1,R1476=1,S1476=1)</x:f>
        <x:v>0</x:v>
      </x:c>
    </x:row>
    <x:row r="1477">
      <x:c r="A1477" s="28"/>
      <x:c r="B1477" s="28"/>
      <x:c r="C1477" s="28"/>
      <x:c r="D1477" s="28"/>
      <x:c r="E1477" s="28"/>
      <x:c r="F1477" s="28"/>
      <x:c r="G1477" s="28"/>
      <x:c r="H1477" s="28"/>
      <x:c r="I1477" s="28"/>
      <x:c r="J1477" s="28"/>
      <x:c r="K1477" s="28"/>
      <x:c r="L1477" s="28"/>
      <x:c r="M1477" s="28"/>
      <x:c r="N1477" s="28"/>
      <x:c r="O1477" s="28"/>
      <x:c r="P1477" s="28"/>
      <x:c r="Q1477" s="28"/>
      <x:c r="R1477" s="28"/>
      <x:c r="S1477" s="28"/>
      <x:c r="T1477" s="28"/>
      <x:c r="U1477" s="28"/>
      <x:c r="V1477" s="28"/>
      <x:c r="W1477" s="43" t="n">
        <x:f>--AND(N1477=1,OR(O1477="SUPPORTED",O1477="HALLUCINATION"))</x:f>
        <x:v>0</x:v>
      </x:c>
      <x:c r="X1477" s="43" t="n">
        <x:f>--AND(W1477=1,O1477="HALLUCINATION")</x:f>
        <x:v>0</x:v>
      </x:c>
      <x:c r="Y1477" s="43" t="n">
        <x:f>--AND(Q1477=1,O1477="HALLUCINATION")</x:f>
        <x:v>0</x:v>
      </x:c>
      <x:c r="Z1477" s="43" t="n">
        <x:f>--AND(Y1477=1,R1477=1,S1477=1)</x:f>
        <x:v>0</x:v>
      </x:c>
      <x:c r="AC1477" t="str">
        <x:f>IF(OR(AA1477="",AB1477=""),"",--(AA1477&lt;&gt;AB1477))</x:f>
      </x:c>
      <x:c r="AE1477" t="str">
        <x:f>IF(OR(AA1477="",AB1477=""),"PENDING_HUMAN",IF(AA1477=AB1477,AA1477,IF(AD1477&lt;&gt;"",AD1477,"PENDING_HUMAN")))</x:f>
        <x:v>PENDING_HUMAN</x:v>
      </x:c>
      <x:c r="AF1477" t="n">
        <x:f>--AND(A1477&lt;&gt;"",AA1477&lt;&gt;"",AB1477&lt;&gt;"",OR(AA1477=AB1477,AD1477&lt;&gt;""),IF(AE1477="HALLUCINATION",U1477&lt;&gt;"",TRUE))</x:f>
        <x:v>0</x:v>
      </x:c>
      <x:c r="AG1477" t="n">
        <x:f>--AND(N1477=1,AF1477=1,OR(AE1477="SUPPORTED",AE1477="HALLUCINATION"))</x:f>
        <x:v>0</x:v>
      </x:c>
      <x:c r="AH1477" t="n">
        <x:f>--AND(AG1477=1,AE1477="HALLUCINATION")</x:f>
        <x:v>0</x:v>
      </x:c>
      <x:c r="AI1477" t="n">
        <x:f>--AND(Q1477=1,AF1477=1,AE1477="HALLUCINATION")</x:f>
        <x:v>0</x:v>
      </x:c>
      <x:c r="AJ1477" t="n">
        <x:f>--AND(AI1477=1,R1477=1,S1477=1)</x:f>
        <x:v>0</x:v>
      </x:c>
    </x:row>
    <x:row r="1478">
      <x:c r="A1478" s="28"/>
      <x:c r="B1478" s="28"/>
      <x:c r="C1478" s="28"/>
      <x:c r="D1478" s="28"/>
      <x:c r="E1478" s="28"/>
      <x:c r="F1478" s="28"/>
      <x:c r="G1478" s="28"/>
      <x:c r="H1478" s="28"/>
      <x:c r="I1478" s="28"/>
      <x:c r="J1478" s="28"/>
      <x:c r="K1478" s="28"/>
      <x:c r="L1478" s="28"/>
      <x:c r="M1478" s="28"/>
      <x:c r="N1478" s="28"/>
      <x:c r="O1478" s="28"/>
      <x:c r="P1478" s="28"/>
      <x:c r="Q1478" s="28"/>
      <x:c r="R1478" s="28"/>
      <x:c r="S1478" s="28"/>
      <x:c r="T1478" s="28"/>
      <x:c r="U1478" s="28"/>
      <x:c r="V1478" s="28"/>
      <x:c r="W1478" s="43" t="n">
        <x:f>--AND(N1478=1,OR(O1478="SUPPORTED",O1478="HALLUCINATION"))</x:f>
        <x:v>0</x:v>
      </x:c>
      <x:c r="X1478" s="43" t="n">
        <x:f>--AND(W1478=1,O1478="HALLUCINATION")</x:f>
        <x:v>0</x:v>
      </x:c>
      <x:c r="Y1478" s="43" t="n">
        <x:f>--AND(Q1478=1,O1478="HALLUCINATION")</x:f>
        <x:v>0</x:v>
      </x:c>
      <x:c r="Z1478" s="43" t="n">
        <x:f>--AND(Y1478=1,R1478=1,S1478=1)</x:f>
        <x:v>0</x:v>
      </x:c>
      <x:c r="AC1478" t="str">
        <x:f>IF(OR(AA1478="",AB1478=""),"",--(AA1478&lt;&gt;AB1478))</x:f>
      </x:c>
      <x:c r="AE1478" t="str">
        <x:f>IF(OR(AA1478="",AB1478=""),"PENDING_HUMAN",IF(AA1478=AB1478,AA1478,IF(AD1478&lt;&gt;"",AD1478,"PENDING_HUMAN")))</x:f>
        <x:v>PENDING_HUMAN</x:v>
      </x:c>
      <x:c r="AF1478" t="n">
        <x:f>--AND(A1478&lt;&gt;"",AA1478&lt;&gt;"",AB1478&lt;&gt;"",OR(AA1478=AB1478,AD1478&lt;&gt;""),IF(AE1478="HALLUCINATION",U1478&lt;&gt;"",TRUE))</x:f>
        <x:v>0</x:v>
      </x:c>
      <x:c r="AG1478" t="n">
        <x:f>--AND(N1478=1,AF1478=1,OR(AE1478="SUPPORTED",AE1478="HALLUCINATION"))</x:f>
        <x:v>0</x:v>
      </x:c>
      <x:c r="AH1478" t="n">
        <x:f>--AND(AG1478=1,AE1478="HALLUCINATION")</x:f>
        <x:v>0</x:v>
      </x:c>
      <x:c r="AI1478" t="n">
        <x:f>--AND(Q1478=1,AF1478=1,AE1478="HALLUCINATION")</x:f>
        <x:v>0</x:v>
      </x:c>
      <x:c r="AJ1478" t="n">
        <x:f>--AND(AI1478=1,R1478=1,S1478=1)</x:f>
        <x:v>0</x:v>
      </x:c>
    </x:row>
    <x:row r="1479">
      <x:c r="A1479" s="28"/>
      <x:c r="B1479" s="28"/>
      <x:c r="C1479" s="28"/>
      <x:c r="D1479" s="28"/>
      <x:c r="E1479" s="28"/>
      <x:c r="F1479" s="28"/>
      <x:c r="G1479" s="28"/>
      <x:c r="H1479" s="28"/>
      <x:c r="I1479" s="28"/>
      <x:c r="J1479" s="28"/>
      <x:c r="K1479" s="28"/>
      <x:c r="L1479" s="28"/>
      <x:c r="M1479" s="28"/>
      <x:c r="N1479" s="28"/>
      <x:c r="O1479" s="28"/>
      <x:c r="P1479" s="28"/>
      <x:c r="Q1479" s="28"/>
      <x:c r="R1479" s="28"/>
      <x:c r="S1479" s="28"/>
      <x:c r="T1479" s="28"/>
      <x:c r="U1479" s="28"/>
      <x:c r="V1479" s="28"/>
      <x:c r="W1479" s="43" t="n">
        <x:f>--AND(N1479=1,OR(O1479="SUPPORTED",O1479="HALLUCINATION"))</x:f>
        <x:v>0</x:v>
      </x:c>
      <x:c r="X1479" s="43" t="n">
        <x:f>--AND(W1479=1,O1479="HALLUCINATION")</x:f>
        <x:v>0</x:v>
      </x:c>
      <x:c r="Y1479" s="43" t="n">
        <x:f>--AND(Q1479=1,O1479="HALLUCINATION")</x:f>
        <x:v>0</x:v>
      </x:c>
      <x:c r="Z1479" s="43" t="n">
        <x:f>--AND(Y1479=1,R1479=1,S1479=1)</x:f>
        <x:v>0</x:v>
      </x:c>
      <x:c r="AC1479" t="str">
        <x:f>IF(OR(AA1479="",AB1479=""),"",--(AA1479&lt;&gt;AB1479))</x:f>
      </x:c>
      <x:c r="AE1479" t="str">
        <x:f>IF(OR(AA1479="",AB1479=""),"PENDING_HUMAN",IF(AA1479=AB1479,AA1479,IF(AD1479&lt;&gt;"",AD1479,"PENDING_HUMAN")))</x:f>
        <x:v>PENDING_HUMAN</x:v>
      </x:c>
      <x:c r="AF1479" t="n">
        <x:f>--AND(A1479&lt;&gt;"",AA1479&lt;&gt;"",AB1479&lt;&gt;"",OR(AA1479=AB1479,AD1479&lt;&gt;""),IF(AE1479="HALLUCINATION",U1479&lt;&gt;"",TRUE))</x:f>
        <x:v>0</x:v>
      </x:c>
      <x:c r="AG1479" t="n">
        <x:f>--AND(N1479=1,AF1479=1,OR(AE1479="SUPPORTED",AE1479="HALLUCINATION"))</x:f>
        <x:v>0</x:v>
      </x:c>
      <x:c r="AH1479" t="n">
        <x:f>--AND(AG1479=1,AE1479="HALLUCINATION")</x:f>
        <x:v>0</x:v>
      </x:c>
      <x:c r="AI1479" t="n">
        <x:f>--AND(Q1479=1,AF1479=1,AE1479="HALLUCINATION")</x:f>
        <x:v>0</x:v>
      </x:c>
      <x:c r="AJ1479" t="n">
        <x:f>--AND(AI1479=1,R1479=1,S1479=1)</x:f>
        <x:v>0</x:v>
      </x:c>
    </x:row>
    <x:row r="1480">
      <x:c r="A1480" s="28"/>
      <x:c r="B1480" s="28"/>
      <x:c r="C1480" s="28"/>
      <x:c r="D1480" s="28"/>
      <x:c r="E1480" s="28"/>
      <x:c r="F1480" s="28"/>
      <x:c r="G1480" s="28"/>
      <x:c r="H1480" s="28"/>
      <x:c r="I1480" s="28"/>
      <x:c r="J1480" s="28"/>
      <x:c r="K1480" s="28"/>
      <x:c r="L1480" s="28"/>
      <x:c r="M1480" s="28"/>
      <x:c r="N1480" s="28"/>
      <x:c r="O1480" s="28"/>
      <x:c r="P1480" s="28"/>
      <x:c r="Q1480" s="28"/>
      <x:c r="R1480" s="28"/>
      <x:c r="S1480" s="28"/>
      <x:c r="T1480" s="28"/>
      <x:c r="U1480" s="28"/>
      <x:c r="V1480" s="28"/>
      <x:c r="W1480" s="43" t="n">
        <x:f>--AND(N1480=1,OR(O1480="SUPPORTED",O1480="HALLUCINATION"))</x:f>
        <x:v>0</x:v>
      </x:c>
      <x:c r="X1480" s="43" t="n">
        <x:f>--AND(W1480=1,O1480="HALLUCINATION")</x:f>
        <x:v>0</x:v>
      </x:c>
      <x:c r="Y1480" s="43" t="n">
        <x:f>--AND(Q1480=1,O1480="HALLUCINATION")</x:f>
        <x:v>0</x:v>
      </x:c>
      <x:c r="Z1480" s="43" t="n">
        <x:f>--AND(Y1480=1,R1480=1,S1480=1)</x:f>
        <x:v>0</x:v>
      </x:c>
      <x:c r="AC1480" t="str">
        <x:f>IF(OR(AA1480="",AB1480=""),"",--(AA1480&lt;&gt;AB1480))</x:f>
      </x:c>
      <x:c r="AE1480" t="str">
        <x:f>IF(OR(AA1480="",AB1480=""),"PENDING_HUMAN",IF(AA1480=AB1480,AA1480,IF(AD1480&lt;&gt;"",AD1480,"PENDING_HUMAN")))</x:f>
        <x:v>PENDING_HUMAN</x:v>
      </x:c>
      <x:c r="AF1480" t="n">
        <x:f>--AND(A1480&lt;&gt;"",AA1480&lt;&gt;"",AB1480&lt;&gt;"",OR(AA1480=AB1480,AD1480&lt;&gt;""),IF(AE1480="HALLUCINATION",U1480&lt;&gt;"",TRUE))</x:f>
        <x:v>0</x:v>
      </x:c>
      <x:c r="AG1480" t="n">
        <x:f>--AND(N1480=1,AF1480=1,OR(AE1480="SUPPORTED",AE1480="HALLUCINATION"))</x:f>
        <x:v>0</x:v>
      </x:c>
      <x:c r="AH1480" t="n">
        <x:f>--AND(AG1480=1,AE1480="HALLUCINATION")</x:f>
        <x:v>0</x:v>
      </x:c>
      <x:c r="AI1480" t="n">
        <x:f>--AND(Q1480=1,AF1480=1,AE1480="HALLUCINATION")</x:f>
        <x:v>0</x:v>
      </x:c>
      <x:c r="AJ1480" t="n">
        <x:f>--AND(AI1480=1,R1480=1,S1480=1)</x:f>
        <x:v>0</x:v>
      </x:c>
    </x:row>
    <x:row r="1481">
      <x:c r="A1481" s="28"/>
      <x:c r="B1481" s="28"/>
      <x:c r="C1481" s="28"/>
      <x:c r="D1481" s="28"/>
      <x:c r="E1481" s="28"/>
      <x:c r="F1481" s="28"/>
      <x:c r="G1481" s="28"/>
      <x:c r="H1481" s="28"/>
      <x:c r="I1481" s="28"/>
      <x:c r="J1481" s="28"/>
      <x:c r="K1481" s="28"/>
      <x:c r="L1481" s="28"/>
      <x:c r="M1481" s="28"/>
      <x:c r="N1481" s="28"/>
      <x:c r="O1481" s="28"/>
      <x:c r="P1481" s="28"/>
      <x:c r="Q1481" s="28"/>
      <x:c r="R1481" s="28"/>
      <x:c r="S1481" s="28"/>
      <x:c r="T1481" s="28"/>
      <x:c r="U1481" s="28"/>
      <x:c r="V1481" s="28"/>
      <x:c r="W1481" s="43" t="n">
        <x:f>--AND(N1481=1,OR(O1481="SUPPORTED",O1481="HALLUCINATION"))</x:f>
        <x:v>0</x:v>
      </x:c>
      <x:c r="X1481" s="43" t="n">
        <x:f>--AND(W1481=1,O1481="HALLUCINATION")</x:f>
        <x:v>0</x:v>
      </x:c>
      <x:c r="Y1481" s="43" t="n">
        <x:f>--AND(Q1481=1,O1481="HALLUCINATION")</x:f>
        <x:v>0</x:v>
      </x:c>
      <x:c r="Z1481" s="43" t="n">
        <x:f>--AND(Y1481=1,R1481=1,S1481=1)</x:f>
        <x:v>0</x:v>
      </x:c>
      <x:c r="AC1481" t="str">
        <x:f>IF(OR(AA1481="",AB1481=""),"",--(AA1481&lt;&gt;AB1481))</x:f>
      </x:c>
      <x:c r="AE1481" t="str">
        <x:f>IF(OR(AA1481="",AB1481=""),"PENDING_HUMAN",IF(AA1481=AB1481,AA1481,IF(AD1481&lt;&gt;"",AD1481,"PENDING_HUMAN")))</x:f>
        <x:v>PENDING_HUMAN</x:v>
      </x:c>
      <x:c r="AF1481" t="n">
        <x:f>--AND(A1481&lt;&gt;"",AA1481&lt;&gt;"",AB1481&lt;&gt;"",OR(AA1481=AB1481,AD1481&lt;&gt;""),IF(AE1481="HALLUCINATION",U1481&lt;&gt;"",TRUE))</x:f>
        <x:v>0</x:v>
      </x:c>
      <x:c r="AG1481" t="n">
        <x:f>--AND(N1481=1,AF1481=1,OR(AE1481="SUPPORTED",AE1481="HALLUCINATION"))</x:f>
        <x:v>0</x:v>
      </x:c>
      <x:c r="AH1481" t="n">
        <x:f>--AND(AG1481=1,AE1481="HALLUCINATION")</x:f>
        <x:v>0</x:v>
      </x:c>
      <x:c r="AI1481" t="n">
        <x:f>--AND(Q1481=1,AF1481=1,AE1481="HALLUCINATION")</x:f>
        <x:v>0</x:v>
      </x:c>
      <x:c r="AJ1481" t="n">
        <x:f>--AND(AI1481=1,R1481=1,S1481=1)</x:f>
        <x:v>0</x:v>
      </x:c>
    </x:row>
    <x:row r="1482">
      <x:c r="A1482" s="28"/>
      <x:c r="B1482" s="28"/>
      <x:c r="C1482" s="28"/>
      <x:c r="D1482" s="28"/>
      <x:c r="E1482" s="28"/>
      <x:c r="F1482" s="28"/>
      <x:c r="G1482" s="28"/>
      <x:c r="H1482" s="28"/>
      <x:c r="I1482" s="28"/>
      <x:c r="J1482" s="28"/>
      <x:c r="K1482" s="28"/>
      <x:c r="L1482" s="28"/>
      <x:c r="M1482" s="28"/>
      <x:c r="N1482" s="28"/>
      <x:c r="O1482" s="28"/>
      <x:c r="P1482" s="28"/>
      <x:c r="Q1482" s="28"/>
      <x:c r="R1482" s="28"/>
      <x:c r="S1482" s="28"/>
      <x:c r="T1482" s="28"/>
      <x:c r="U1482" s="28"/>
      <x:c r="V1482" s="28"/>
      <x:c r="W1482" s="43" t="n">
        <x:f>--AND(N1482=1,OR(O1482="SUPPORTED",O1482="HALLUCINATION"))</x:f>
        <x:v>0</x:v>
      </x:c>
      <x:c r="X1482" s="43" t="n">
        <x:f>--AND(W1482=1,O1482="HALLUCINATION")</x:f>
        <x:v>0</x:v>
      </x:c>
      <x:c r="Y1482" s="43" t="n">
        <x:f>--AND(Q1482=1,O1482="HALLUCINATION")</x:f>
        <x:v>0</x:v>
      </x:c>
      <x:c r="Z1482" s="43" t="n">
        <x:f>--AND(Y1482=1,R1482=1,S1482=1)</x:f>
        <x:v>0</x:v>
      </x:c>
      <x:c r="AC1482" t="str">
        <x:f>IF(OR(AA1482="",AB1482=""),"",--(AA1482&lt;&gt;AB1482))</x:f>
      </x:c>
      <x:c r="AE1482" t="str">
        <x:f>IF(OR(AA1482="",AB1482=""),"PENDING_HUMAN",IF(AA1482=AB1482,AA1482,IF(AD1482&lt;&gt;"",AD1482,"PENDING_HUMAN")))</x:f>
        <x:v>PENDING_HUMAN</x:v>
      </x:c>
      <x:c r="AF1482" t="n">
        <x:f>--AND(A1482&lt;&gt;"",AA1482&lt;&gt;"",AB1482&lt;&gt;"",OR(AA1482=AB1482,AD1482&lt;&gt;""),IF(AE1482="HALLUCINATION",U1482&lt;&gt;"",TRUE))</x:f>
        <x:v>0</x:v>
      </x:c>
      <x:c r="AG1482" t="n">
        <x:f>--AND(N1482=1,AF1482=1,OR(AE1482="SUPPORTED",AE1482="HALLUCINATION"))</x:f>
        <x:v>0</x:v>
      </x:c>
      <x:c r="AH1482" t="n">
        <x:f>--AND(AG1482=1,AE1482="HALLUCINATION")</x:f>
        <x:v>0</x:v>
      </x:c>
      <x:c r="AI1482" t="n">
        <x:f>--AND(Q1482=1,AF1482=1,AE1482="HALLUCINATION")</x:f>
        <x:v>0</x:v>
      </x:c>
      <x:c r="AJ1482" t="n">
        <x:f>--AND(AI1482=1,R1482=1,S1482=1)</x:f>
        <x:v>0</x:v>
      </x:c>
    </x:row>
    <x:row r="1483">
      <x:c r="A1483" s="28"/>
      <x:c r="B1483" s="28"/>
      <x:c r="C1483" s="28"/>
      <x:c r="D1483" s="28"/>
      <x:c r="E1483" s="28"/>
      <x:c r="F1483" s="28"/>
      <x:c r="G1483" s="28"/>
      <x:c r="H1483" s="28"/>
      <x:c r="I1483" s="28"/>
      <x:c r="J1483" s="28"/>
      <x:c r="K1483" s="28"/>
      <x:c r="L1483" s="28"/>
      <x:c r="M1483" s="28"/>
      <x:c r="N1483" s="28"/>
      <x:c r="O1483" s="28"/>
      <x:c r="P1483" s="28"/>
      <x:c r="Q1483" s="28"/>
      <x:c r="R1483" s="28"/>
      <x:c r="S1483" s="28"/>
      <x:c r="T1483" s="28"/>
      <x:c r="U1483" s="28"/>
      <x:c r="V1483" s="28"/>
      <x:c r="W1483" s="43" t="n">
        <x:f>--AND(N1483=1,OR(O1483="SUPPORTED",O1483="HALLUCINATION"))</x:f>
        <x:v>0</x:v>
      </x:c>
      <x:c r="X1483" s="43" t="n">
        <x:f>--AND(W1483=1,O1483="HALLUCINATION")</x:f>
        <x:v>0</x:v>
      </x:c>
      <x:c r="Y1483" s="43" t="n">
        <x:f>--AND(Q1483=1,O1483="HALLUCINATION")</x:f>
        <x:v>0</x:v>
      </x:c>
      <x:c r="Z1483" s="43" t="n">
        <x:f>--AND(Y1483=1,R1483=1,S1483=1)</x:f>
        <x:v>0</x:v>
      </x:c>
      <x:c r="AC1483" t="str">
        <x:f>IF(OR(AA1483="",AB1483=""),"",--(AA1483&lt;&gt;AB1483))</x:f>
      </x:c>
      <x:c r="AE1483" t="str">
        <x:f>IF(OR(AA1483="",AB1483=""),"PENDING_HUMAN",IF(AA1483=AB1483,AA1483,IF(AD1483&lt;&gt;"",AD1483,"PENDING_HUMAN")))</x:f>
        <x:v>PENDING_HUMAN</x:v>
      </x:c>
      <x:c r="AF1483" t="n">
        <x:f>--AND(A1483&lt;&gt;"",AA1483&lt;&gt;"",AB1483&lt;&gt;"",OR(AA1483=AB1483,AD1483&lt;&gt;""),IF(AE1483="HALLUCINATION",U1483&lt;&gt;"",TRUE))</x:f>
        <x:v>0</x:v>
      </x:c>
      <x:c r="AG1483" t="n">
        <x:f>--AND(N1483=1,AF1483=1,OR(AE1483="SUPPORTED",AE1483="HALLUCINATION"))</x:f>
        <x:v>0</x:v>
      </x:c>
      <x:c r="AH1483" t="n">
        <x:f>--AND(AG1483=1,AE1483="HALLUCINATION")</x:f>
        <x:v>0</x:v>
      </x:c>
      <x:c r="AI1483" t="n">
        <x:f>--AND(Q1483=1,AF1483=1,AE1483="HALLUCINATION")</x:f>
        <x:v>0</x:v>
      </x:c>
      <x:c r="AJ1483" t="n">
        <x:f>--AND(AI1483=1,R1483=1,S1483=1)</x:f>
        <x:v>0</x:v>
      </x:c>
    </x:row>
    <x:row r="1484">
      <x:c r="A1484" s="28"/>
      <x:c r="B1484" s="28"/>
      <x:c r="C1484" s="28"/>
      <x:c r="D1484" s="28"/>
      <x:c r="E1484" s="28"/>
      <x:c r="F1484" s="28"/>
      <x:c r="G1484" s="28"/>
      <x:c r="H1484" s="28"/>
      <x:c r="I1484" s="28"/>
      <x:c r="J1484" s="28"/>
      <x:c r="K1484" s="28"/>
      <x:c r="L1484" s="28"/>
      <x:c r="M1484" s="28"/>
      <x:c r="N1484" s="28"/>
      <x:c r="O1484" s="28"/>
      <x:c r="P1484" s="28"/>
      <x:c r="Q1484" s="28"/>
      <x:c r="R1484" s="28"/>
      <x:c r="S1484" s="28"/>
      <x:c r="T1484" s="28"/>
      <x:c r="U1484" s="28"/>
      <x:c r="V1484" s="28"/>
      <x:c r="W1484" s="43" t="n">
        <x:f>--AND(N1484=1,OR(O1484="SUPPORTED",O1484="HALLUCINATION"))</x:f>
        <x:v>0</x:v>
      </x:c>
      <x:c r="X1484" s="43" t="n">
        <x:f>--AND(W1484=1,O1484="HALLUCINATION")</x:f>
        <x:v>0</x:v>
      </x:c>
      <x:c r="Y1484" s="43" t="n">
        <x:f>--AND(Q1484=1,O1484="HALLUCINATION")</x:f>
        <x:v>0</x:v>
      </x:c>
      <x:c r="Z1484" s="43" t="n">
        <x:f>--AND(Y1484=1,R1484=1,S1484=1)</x:f>
        <x:v>0</x:v>
      </x:c>
      <x:c r="AC1484" t="str">
        <x:f>IF(OR(AA1484="",AB1484=""),"",--(AA1484&lt;&gt;AB1484))</x:f>
      </x:c>
      <x:c r="AE1484" t="str">
        <x:f>IF(OR(AA1484="",AB1484=""),"PENDING_HUMAN",IF(AA1484=AB1484,AA1484,IF(AD1484&lt;&gt;"",AD1484,"PENDING_HUMAN")))</x:f>
        <x:v>PENDING_HUMAN</x:v>
      </x:c>
      <x:c r="AF1484" t="n">
        <x:f>--AND(A1484&lt;&gt;"",AA1484&lt;&gt;"",AB1484&lt;&gt;"",OR(AA1484=AB1484,AD1484&lt;&gt;""),IF(AE1484="HALLUCINATION",U1484&lt;&gt;"",TRUE))</x:f>
        <x:v>0</x:v>
      </x:c>
      <x:c r="AG1484" t="n">
        <x:f>--AND(N1484=1,AF1484=1,OR(AE1484="SUPPORTED",AE1484="HALLUCINATION"))</x:f>
        <x:v>0</x:v>
      </x:c>
      <x:c r="AH1484" t="n">
        <x:f>--AND(AG1484=1,AE1484="HALLUCINATION")</x:f>
        <x:v>0</x:v>
      </x:c>
      <x:c r="AI1484" t="n">
        <x:f>--AND(Q1484=1,AF1484=1,AE1484="HALLUCINATION")</x:f>
        <x:v>0</x:v>
      </x:c>
      <x:c r="AJ1484" t="n">
        <x:f>--AND(AI1484=1,R1484=1,S1484=1)</x:f>
        <x:v>0</x:v>
      </x:c>
    </x:row>
    <x:row r="1485">
      <x:c r="A1485" s="28"/>
      <x:c r="B1485" s="28"/>
      <x:c r="C1485" s="28"/>
      <x:c r="D1485" s="28"/>
      <x:c r="E1485" s="28"/>
      <x:c r="F1485" s="28"/>
      <x:c r="G1485" s="28"/>
      <x:c r="H1485" s="28"/>
      <x:c r="I1485" s="28"/>
      <x:c r="J1485" s="28"/>
      <x:c r="K1485" s="28"/>
      <x:c r="L1485" s="28"/>
      <x:c r="M1485" s="28"/>
      <x:c r="N1485" s="28"/>
      <x:c r="O1485" s="28"/>
      <x:c r="P1485" s="28"/>
      <x:c r="Q1485" s="28"/>
      <x:c r="R1485" s="28"/>
      <x:c r="S1485" s="28"/>
      <x:c r="T1485" s="28"/>
      <x:c r="U1485" s="28"/>
      <x:c r="V1485" s="28"/>
      <x:c r="W1485" s="43" t="n">
        <x:f>--AND(N1485=1,OR(O1485="SUPPORTED",O1485="HALLUCINATION"))</x:f>
        <x:v>0</x:v>
      </x:c>
      <x:c r="X1485" s="43" t="n">
        <x:f>--AND(W1485=1,O1485="HALLUCINATION")</x:f>
        <x:v>0</x:v>
      </x:c>
      <x:c r="Y1485" s="43" t="n">
        <x:f>--AND(Q1485=1,O1485="HALLUCINATION")</x:f>
        <x:v>0</x:v>
      </x:c>
      <x:c r="Z1485" s="43" t="n">
        <x:f>--AND(Y1485=1,R1485=1,S1485=1)</x:f>
        <x:v>0</x:v>
      </x:c>
      <x:c r="AC1485" t="str">
        <x:f>IF(OR(AA1485="",AB1485=""),"",--(AA1485&lt;&gt;AB1485))</x:f>
      </x:c>
      <x:c r="AE1485" t="str">
        <x:f>IF(OR(AA1485="",AB1485=""),"PENDING_HUMAN",IF(AA1485=AB1485,AA1485,IF(AD1485&lt;&gt;"",AD1485,"PENDING_HUMAN")))</x:f>
        <x:v>PENDING_HUMAN</x:v>
      </x:c>
      <x:c r="AF1485" t="n">
        <x:f>--AND(A1485&lt;&gt;"",AA1485&lt;&gt;"",AB1485&lt;&gt;"",OR(AA1485=AB1485,AD1485&lt;&gt;""),IF(AE1485="HALLUCINATION",U1485&lt;&gt;"",TRUE))</x:f>
        <x:v>0</x:v>
      </x:c>
      <x:c r="AG1485" t="n">
        <x:f>--AND(N1485=1,AF1485=1,OR(AE1485="SUPPORTED",AE1485="HALLUCINATION"))</x:f>
        <x:v>0</x:v>
      </x:c>
      <x:c r="AH1485" t="n">
        <x:f>--AND(AG1485=1,AE1485="HALLUCINATION")</x:f>
        <x:v>0</x:v>
      </x:c>
      <x:c r="AI1485" t="n">
        <x:f>--AND(Q1485=1,AF1485=1,AE1485="HALLUCINATION")</x:f>
        <x:v>0</x:v>
      </x:c>
      <x:c r="AJ1485" t="n">
        <x:f>--AND(AI1485=1,R1485=1,S1485=1)</x:f>
        <x:v>0</x:v>
      </x:c>
    </x:row>
    <x:row r="1486">
      <x:c r="A1486" s="28"/>
      <x:c r="B1486" s="28"/>
      <x:c r="C1486" s="28"/>
      <x:c r="D1486" s="28"/>
      <x:c r="E1486" s="28"/>
      <x:c r="F1486" s="28"/>
      <x:c r="G1486" s="28"/>
      <x:c r="H1486" s="28"/>
      <x:c r="I1486" s="28"/>
      <x:c r="J1486" s="28"/>
      <x:c r="K1486" s="28"/>
      <x:c r="L1486" s="28"/>
      <x:c r="M1486" s="28"/>
      <x:c r="N1486" s="28"/>
      <x:c r="O1486" s="28"/>
      <x:c r="P1486" s="28"/>
      <x:c r="Q1486" s="28"/>
      <x:c r="R1486" s="28"/>
      <x:c r="S1486" s="28"/>
      <x:c r="T1486" s="28"/>
      <x:c r="U1486" s="28"/>
      <x:c r="V1486" s="28"/>
      <x:c r="W1486" s="43" t="n">
        <x:f>--AND(N1486=1,OR(O1486="SUPPORTED",O1486="HALLUCINATION"))</x:f>
        <x:v>0</x:v>
      </x:c>
      <x:c r="X1486" s="43" t="n">
        <x:f>--AND(W1486=1,O1486="HALLUCINATION")</x:f>
        <x:v>0</x:v>
      </x:c>
      <x:c r="Y1486" s="43" t="n">
        <x:f>--AND(Q1486=1,O1486="HALLUCINATION")</x:f>
        <x:v>0</x:v>
      </x:c>
      <x:c r="Z1486" s="43" t="n">
        <x:f>--AND(Y1486=1,R1486=1,S1486=1)</x:f>
        <x:v>0</x:v>
      </x:c>
      <x:c r="AC1486" t="str">
        <x:f>IF(OR(AA1486="",AB1486=""),"",--(AA1486&lt;&gt;AB1486))</x:f>
      </x:c>
      <x:c r="AE1486" t="str">
        <x:f>IF(OR(AA1486="",AB1486=""),"PENDING_HUMAN",IF(AA1486=AB1486,AA1486,IF(AD1486&lt;&gt;"",AD1486,"PENDING_HUMAN")))</x:f>
        <x:v>PENDING_HUMAN</x:v>
      </x:c>
      <x:c r="AF1486" t="n">
        <x:f>--AND(A1486&lt;&gt;"",AA1486&lt;&gt;"",AB1486&lt;&gt;"",OR(AA1486=AB1486,AD1486&lt;&gt;""),IF(AE1486="HALLUCINATION",U1486&lt;&gt;"",TRUE))</x:f>
        <x:v>0</x:v>
      </x:c>
      <x:c r="AG1486" t="n">
        <x:f>--AND(N1486=1,AF1486=1,OR(AE1486="SUPPORTED",AE1486="HALLUCINATION"))</x:f>
        <x:v>0</x:v>
      </x:c>
      <x:c r="AH1486" t="n">
        <x:f>--AND(AG1486=1,AE1486="HALLUCINATION")</x:f>
        <x:v>0</x:v>
      </x:c>
      <x:c r="AI1486" t="n">
        <x:f>--AND(Q1486=1,AF1486=1,AE1486="HALLUCINATION")</x:f>
        <x:v>0</x:v>
      </x:c>
      <x:c r="AJ1486" t="n">
        <x:f>--AND(AI1486=1,R1486=1,S1486=1)</x:f>
        <x:v>0</x:v>
      </x:c>
    </x:row>
    <x:row r="1487">
      <x:c r="A1487" s="28"/>
      <x:c r="B1487" s="28"/>
      <x:c r="C1487" s="28"/>
      <x:c r="D1487" s="28"/>
      <x:c r="E1487" s="28"/>
      <x:c r="F1487" s="28"/>
      <x:c r="G1487" s="28"/>
      <x:c r="H1487" s="28"/>
      <x:c r="I1487" s="28"/>
      <x:c r="J1487" s="28"/>
      <x:c r="K1487" s="28"/>
      <x:c r="L1487" s="28"/>
      <x:c r="M1487" s="28"/>
      <x:c r="N1487" s="28"/>
      <x:c r="O1487" s="28"/>
      <x:c r="P1487" s="28"/>
      <x:c r="Q1487" s="28"/>
      <x:c r="R1487" s="28"/>
      <x:c r="S1487" s="28"/>
      <x:c r="T1487" s="28"/>
      <x:c r="U1487" s="28"/>
      <x:c r="V1487" s="28"/>
      <x:c r="W1487" s="43" t="n">
        <x:f>--AND(N1487=1,OR(O1487="SUPPORTED",O1487="HALLUCINATION"))</x:f>
        <x:v>0</x:v>
      </x:c>
      <x:c r="X1487" s="43" t="n">
        <x:f>--AND(W1487=1,O1487="HALLUCINATION")</x:f>
        <x:v>0</x:v>
      </x:c>
      <x:c r="Y1487" s="43" t="n">
        <x:f>--AND(Q1487=1,O1487="HALLUCINATION")</x:f>
        <x:v>0</x:v>
      </x:c>
      <x:c r="Z1487" s="43" t="n">
        <x:f>--AND(Y1487=1,R1487=1,S1487=1)</x:f>
        <x:v>0</x:v>
      </x:c>
      <x:c r="AC1487" t="str">
        <x:f>IF(OR(AA1487="",AB1487=""),"",--(AA1487&lt;&gt;AB1487))</x:f>
      </x:c>
      <x:c r="AE1487" t="str">
        <x:f>IF(OR(AA1487="",AB1487=""),"PENDING_HUMAN",IF(AA1487=AB1487,AA1487,IF(AD1487&lt;&gt;"",AD1487,"PENDING_HUMAN")))</x:f>
        <x:v>PENDING_HUMAN</x:v>
      </x:c>
      <x:c r="AF1487" t="n">
        <x:f>--AND(A1487&lt;&gt;"",AA1487&lt;&gt;"",AB1487&lt;&gt;"",OR(AA1487=AB1487,AD1487&lt;&gt;""),IF(AE1487="HALLUCINATION",U1487&lt;&gt;"",TRUE))</x:f>
        <x:v>0</x:v>
      </x:c>
      <x:c r="AG1487" t="n">
        <x:f>--AND(N1487=1,AF1487=1,OR(AE1487="SUPPORTED",AE1487="HALLUCINATION"))</x:f>
        <x:v>0</x:v>
      </x:c>
      <x:c r="AH1487" t="n">
        <x:f>--AND(AG1487=1,AE1487="HALLUCINATION")</x:f>
        <x:v>0</x:v>
      </x:c>
      <x:c r="AI1487" t="n">
        <x:f>--AND(Q1487=1,AF1487=1,AE1487="HALLUCINATION")</x:f>
        <x:v>0</x:v>
      </x:c>
      <x:c r="AJ1487" t="n">
        <x:f>--AND(AI1487=1,R1487=1,S1487=1)</x:f>
        <x:v>0</x:v>
      </x:c>
    </x:row>
    <x:row r="1488">
      <x:c r="A1488" s="28"/>
      <x:c r="B1488" s="28"/>
      <x:c r="C1488" s="28"/>
      <x:c r="D1488" s="28"/>
      <x:c r="E1488" s="28"/>
      <x:c r="F1488" s="28"/>
      <x:c r="G1488" s="28"/>
      <x:c r="H1488" s="28"/>
      <x:c r="I1488" s="28"/>
      <x:c r="J1488" s="28"/>
      <x:c r="K1488" s="28"/>
      <x:c r="L1488" s="28"/>
      <x:c r="M1488" s="28"/>
      <x:c r="N1488" s="28"/>
      <x:c r="O1488" s="28"/>
      <x:c r="P1488" s="28"/>
      <x:c r="Q1488" s="28"/>
      <x:c r="R1488" s="28"/>
      <x:c r="S1488" s="28"/>
      <x:c r="T1488" s="28"/>
      <x:c r="U1488" s="28"/>
      <x:c r="V1488" s="28"/>
      <x:c r="W1488" s="43" t="n">
        <x:f>--AND(N1488=1,OR(O1488="SUPPORTED",O1488="HALLUCINATION"))</x:f>
        <x:v>0</x:v>
      </x:c>
      <x:c r="X1488" s="43" t="n">
        <x:f>--AND(W1488=1,O1488="HALLUCINATION")</x:f>
        <x:v>0</x:v>
      </x:c>
      <x:c r="Y1488" s="43" t="n">
        <x:f>--AND(Q1488=1,O1488="HALLUCINATION")</x:f>
        <x:v>0</x:v>
      </x:c>
      <x:c r="Z1488" s="43" t="n">
        <x:f>--AND(Y1488=1,R1488=1,S1488=1)</x:f>
        <x:v>0</x:v>
      </x:c>
      <x:c r="AC1488" t="str">
        <x:f>IF(OR(AA1488="",AB1488=""),"",--(AA1488&lt;&gt;AB1488))</x:f>
      </x:c>
      <x:c r="AE1488" t="str">
        <x:f>IF(OR(AA1488="",AB1488=""),"PENDING_HUMAN",IF(AA1488=AB1488,AA1488,IF(AD1488&lt;&gt;"",AD1488,"PENDING_HUMAN")))</x:f>
        <x:v>PENDING_HUMAN</x:v>
      </x:c>
      <x:c r="AF1488" t="n">
        <x:f>--AND(A1488&lt;&gt;"",AA1488&lt;&gt;"",AB1488&lt;&gt;"",OR(AA1488=AB1488,AD1488&lt;&gt;""),IF(AE1488="HALLUCINATION",U1488&lt;&gt;"",TRUE))</x:f>
        <x:v>0</x:v>
      </x:c>
      <x:c r="AG1488" t="n">
        <x:f>--AND(N1488=1,AF1488=1,OR(AE1488="SUPPORTED",AE1488="HALLUCINATION"))</x:f>
        <x:v>0</x:v>
      </x:c>
      <x:c r="AH1488" t="n">
        <x:f>--AND(AG1488=1,AE1488="HALLUCINATION")</x:f>
        <x:v>0</x:v>
      </x:c>
      <x:c r="AI1488" t="n">
        <x:f>--AND(Q1488=1,AF1488=1,AE1488="HALLUCINATION")</x:f>
        <x:v>0</x:v>
      </x:c>
      <x:c r="AJ1488" t="n">
        <x:f>--AND(AI1488=1,R1488=1,S1488=1)</x:f>
        <x:v>0</x:v>
      </x:c>
    </x:row>
    <x:row r="1489">
      <x:c r="A1489" s="28"/>
      <x:c r="B1489" s="28"/>
      <x:c r="C1489" s="28"/>
      <x:c r="D1489" s="28"/>
      <x:c r="E1489" s="28"/>
      <x:c r="F1489" s="28"/>
      <x:c r="G1489" s="28"/>
      <x:c r="H1489" s="28"/>
      <x:c r="I1489" s="28"/>
      <x:c r="J1489" s="28"/>
      <x:c r="K1489" s="28"/>
      <x:c r="L1489" s="28"/>
      <x:c r="M1489" s="28"/>
      <x:c r="N1489" s="28"/>
      <x:c r="O1489" s="28"/>
      <x:c r="P1489" s="28"/>
      <x:c r="Q1489" s="28"/>
      <x:c r="R1489" s="28"/>
      <x:c r="S1489" s="28"/>
      <x:c r="T1489" s="28"/>
      <x:c r="U1489" s="28"/>
      <x:c r="V1489" s="28"/>
      <x:c r="W1489" s="43" t="n">
        <x:f>--AND(N1489=1,OR(O1489="SUPPORTED",O1489="HALLUCINATION"))</x:f>
        <x:v>0</x:v>
      </x:c>
      <x:c r="X1489" s="43" t="n">
        <x:f>--AND(W1489=1,O1489="HALLUCINATION")</x:f>
        <x:v>0</x:v>
      </x:c>
      <x:c r="Y1489" s="43" t="n">
        <x:f>--AND(Q1489=1,O1489="HALLUCINATION")</x:f>
        <x:v>0</x:v>
      </x:c>
      <x:c r="Z1489" s="43" t="n">
        <x:f>--AND(Y1489=1,R1489=1,S1489=1)</x:f>
        <x:v>0</x:v>
      </x:c>
      <x:c r="AC1489" t="str">
        <x:f>IF(OR(AA1489="",AB1489=""),"",--(AA1489&lt;&gt;AB1489))</x:f>
      </x:c>
      <x:c r="AE1489" t="str">
        <x:f>IF(OR(AA1489="",AB1489=""),"PENDING_HUMAN",IF(AA1489=AB1489,AA1489,IF(AD1489&lt;&gt;"",AD1489,"PENDING_HUMAN")))</x:f>
        <x:v>PENDING_HUMAN</x:v>
      </x:c>
      <x:c r="AF1489" t="n">
        <x:f>--AND(A1489&lt;&gt;"",AA1489&lt;&gt;"",AB1489&lt;&gt;"",OR(AA1489=AB1489,AD1489&lt;&gt;""),IF(AE1489="HALLUCINATION",U1489&lt;&gt;"",TRUE))</x:f>
        <x:v>0</x:v>
      </x:c>
      <x:c r="AG1489" t="n">
        <x:f>--AND(N1489=1,AF1489=1,OR(AE1489="SUPPORTED",AE1489="HALLUCINATION"))</x:f>
        <x:v>0</x:v>
      </x:c>
      <x:c r="AH1489" t="n">
        <x:f>--AND(AG1489=1,AE1489="HALLUCINATION")</x:f>
        <x:v>0</x:v>
      </x:c>
      <x:c r="AI1489" t="n">
        <x:f>--AND(Q1489=1,AF1489=1,AE1489="HALLUCINATION")</x:f>
        <x:v>0</x:v>
      </x:c>
      <x:c r="AJ1489" t="n">
        <x:f>--AND(AI1489=1,R1489=1,S1489=1)</x:f>
        <x:v>0</x:v>
      </x:c>
    </x:row>
    <x:row r="1490">
      <x:c r="A1490" s="28"/>
      <x:c r="B1490" s="28"/>
      <x:c r="C1490" s="28"/>
      <x:c r="D1490" s="28"/>
      <x:c r="E1490" s="28"/>
      <x:c r="F1490" s="28"/>
      <x:c r="G1490" s="28"/>
      <x:c r="H1490" s="28"/>
      <x:c r="I1490" s="28"/>
      <x:c r="J1490" s="28"/>
      <x:c r="K1490" s="28"/>
      <x:c r="L1490" s="28"/>
      <x:c r="M1490" s="28"/>
      <x:c r="N1490" s="28"/>
      <x:c r="O1490" s="28"/>
      <x:c r="P1490" s="28"/>
      <x:c r="Q1490" s="28"/>
      <x:c r="R1490" s="28"/>
      <x:c r="S1490" s="28"/>
      <x:c r="T1490" s="28"/>
      <x:c r="U1490" s="28"/>
      <x:c r="V1490" s="28"/>
      <x:c r="W1490" s="43" t="n">
        <x:f>--AND(N1490=1,OR(O1490="SUPPORTED",O1490="HALLUCINATION"))</x:f>
        <x:v>0</x:v>
      </x:c>
      <x:c r="X1490" s="43" t="n">
        <x:f>--AND(W1490=1,O1490="HALLUCINATION")</x:f>
        <x:v>0</x:v>
      </x:c>
      <x:c r="Y1490" s="43" t="n">
        <x:f>--AND(Q1490=1,O1490="HALLUCINATION")</x:f>
        <x:v>0</x:v>
      </x:c>
      <x:c r="Z1490" s="43" t="n">
        <x:f>--AND(Y1490=1,R1490=1,S1490=1)</x:f>
        <x:v>0</x:v>
      </x:c>
      <x:c r="AC1490" t="str">
        <x:f>IF(OR(AA1490="",AB1490=""),"",--(AA1490&lt;&gt;AB1490))</x:f>
      </x:c>
      <x:c r="AE1490" t="str">
        <x:f>IF(OR(AA1490="",AB1490=""),"PENDING_HUMAN",IF(AA1490=AB1490,AA1490,IF(AD1490&lt;&gt;"",AD1490,"PENDING_HUMAN")))</x:f>
        <x:v>PENDING_HUMAN</x:v>
      </x:c>
      <x:c r="AF1490" t="n">
        <x:f>--AND(A1490&lt;&gt;"",AA1490&lt;&gt;"",AB1490&lt;&gt;"",OR(AA1490=AB1490,AD1490&lt;&gt;""),IF(AE1490="HALLUCINATION",U1490&lt;&gt;"",TRUE))</x:f>
        <x:v>0</x:v>
      </x:c>
      <x:c r="AG1490" t="n">
        <x:f>--AND(N1490=1,AF1490=1,OR(AE1490="SUPPORTED",AE1490="HALLUCINATION"))</x:f>
        <x:v>0</x:v>
      </x:c>
      <x:c r="AH1490" t="n">
        <x:f>--AND(AG1490=1,AE1490="HALLUCINATION")</x:f>
        <x:v>0</x:v>
      </x:c>
      <x:c r="AI1490" t="n">
        <x:f>--AND(Q1490=1,AF1490=1,AE1490="HALLUCINATION")</x:f>
        <x:v>0</x:v>
      </x:c>
      <x:c r="AJ1490" t="n">
        <x:f>--AND(AI1490=1,R1490=1,S1490=1)</x:f>
        <x:v>0</x:v>
      </x:c>
    </x:row>
    <x:row r="1491">
      <x:c r="A1491" s="28"/>
      <x:c r="B1491" s="28"/>
      <x:c r="C1491" s="28"/>
      <x:c r="D1491" s="28"/>
      <x:c r="E1491" s="28"/>
      <x:c r="F1491" s="28"/>
      <x:c r="G1491" s="28"/>
      <x:c r="H1491" s="28"/>
      <x:c r="I1491" s="28"/>
      <x:c r="J1491" s="28"/>
      <x:c r="K1491" s="28"/>
      <x:c r="L1491" s="28"/>
      <x:c r="M1491" s="28"/>
      <x:c r="N1491" s="28"/>
      <x:c r="O1491" s="28"/>
      <x:c r="P1491" s="28"/>
      <x:c r="Q1491" s="28"/>
      <x:c r="R1491" s="28"/>
      <x:c r="S1491" s="28"/>
      <x:c r="T1491" s="28"/>
      <x:c r="U1491" s="28"/>
      <x:c r="V1491" s="28"/>
      <x:c r="W1491" s="43" t="n">
        <x:f>--AND(N1491=1,OR(O1491="SUPPORTED",O1491="HALLUCINATION"))</x:f>
        <x:v>0</x:v>
      </x:c>
      <x:c r="X1491" s="43" t="n">
        <x:f>--AND(W1491=1,O1491="HALLUCINATION")</x:f>
        <x:v>0</x:v>
      </x:c>
      <x:c r="Y1491" s="43" t="n">
        <x:f>--AND(Q1491=1,O1491="HALLUCINATION")</x:f>
        <x:v>0</x:v>
      </x:c>
      <x:c r="Z1491" s="43" t="n">
        <x:f>--AND(Y1491=1,R1491=1,S1491=1)</x:f>
        <x:v>0</x:v>
      </x:c>
      <x:c r="AC1491" t="str">
        <x:f>IF(OR(AA1491="",AB1491=""),"",--(AA1491&lt;&gt;AB1491))</x:f>
      </x:c>
      <x:c r="AE1491" t="str">
        <x:f>IF(OR(AA1491="",AB1491=""),"PENDING_HUMAN",IF(AA1491=AB1491,AA1491,IF(AD1491&lt;&gt;"",AD1491,"PENDING_HUMAN")))</x:f>
        <x:v>PENDING_HUMAN</x:v>
      </x:c>
      <x:c r="AF1491" t="n">
        <x:f>--AND(A1491&lt;&gt;"",AA1491&lt;&gt;"",AB1491&lt;&gt;"",OR(AA1491=AB1491,AD1491&lt;&gt;""),IF(AE1491="HALLUCINATION",U1491&lt;&gt;"",TRUE))</x:f>
        <x:v>0</x:v>
      </x:c>
      <x:c r="AG1491" t="n">
        <x:f>--AND(N1491=1,AF1491=1,OR(AE1491="SUPPORTED",AE1491="HALLUCINATION"))</x:f>
        <x:v>0</x:v>
      </x:c>
      <x:c r="AH1491" t="n">
        <x:f>--AND(AG1491=1,AE1491="HALLUCINATION")</x:f>
        <x:v>0</x:v>
      </x:c>
      <x:c r="AI1491" t="n">
        <x:f>--AND(Q1491=1,AF1491=1,AE1491="HALLUCINATION")</x:f>
        <x:v>0</x:v>
      </x:c>
      <x:c r="AJ1491" t="n">
        <x:f>--AND(AI1491=1,R1491=1,S1491=1)</x:f>
        <x:v>0</x:v>
      </x:c>
    </x:row>
    <x:row r="1492">
      <x:c r="A1492" s="28"/>
      <x:c r="B1492" s="28"/>
      <x:c r="C1492" s="28"/>
      <x:c r="D1492" s="28"/>
      <x:c r="E1492" s="28"/>
      <x:c r="F1492" s="28"/>
      <x:c r="G1492" s="28"/>
      <x:c r="H1492" s="28"/>
      <x:c r="I1492" s="28"/>
      <x:c r="J1492" s="28"/>
      <x:c r="K1492" s="28"/>
      <x:c r="L1492" s="28"/>
      <x:c r="M1492" s="28"/>
      <x:c r="N1492" s="28"/>
      <x:c r="O1492" s="28"/>
      <x:c r="P1492" s="28"/>
      <x:c r="Q1492" s="28"/>
      <x:c r="R1492" s="28"/>
      <x:c r="S1492" s="28"/>
      <x:c r="T1492" s="28"/>
      <x:c r="U1492" s="28"/>
      <x:c r="V1492" s="28"/>
      <x:c r="W1492" s="43" t="n">
        <x:f>--AND(N1492=1,OR(O1492="SUPPORTED",O1492="HALLUCINATION"))</x:f>
        <x:v>0</x:v>
      </x:c>
      <x:c r="X1492" s="43" t="n">
        <x:f>--AND(W1492=1,O1492="HALLUCINATION")</x:f>
        <x:v>0</x:v>
      </x:c>
      <x:c r="Y1492" s="43" t="n">
        <x:f>--AND(Q1492=1,O1492="HALLUCINATION")</x:f>
        <x:v>0</x:v>
      </x:c>
      <x:c r="Z1492" s="43" t="n">
        <x:f>--AND(Y1492=1,R1492=1,S1492=1)</x:f>
        <x:v>0</x:v>
      </x:c>
      <x:c r="AC1492" t="str">
        <x:f>IF(OR(AA1492="",AB1492=""),"",--(AA1492&lt;&gt;AB1492))</x:f>
      </x:c>
      <x:c r="AE1492" t="str">
        <x:f>IF(OR(AA1492="",AB1492=""),"PENDING_HUMAN",IF(AA1492=AB1492,AA1492,IF(AD1492&lt;&gt;"",AD1492,"PENDING_HUMAN")))</x:f>
        <x:v>PENDING_HUMAN</x:v>
      </x:c>
      <x:c r="AF1492" t="n">
        <x:f>--AND(A1492&lt;&gt;"",AA1492&lt;&gt;"",AB1492&lt;&gt;"",OR(AA1492=AB1492,AD1492&lt;&gt;""),IF(AE1492="HALLUCINATION",U1492&lt;&gt;"",TRUE))</x:f>
        <x:v>0</x:v>
      </x:c>
      <x:c r="AG1492" t="n">
        <x:f>--AND(N1492=1,AF1492=1,OR(AE1492="SUPPORTED",AE1492="HALLUCINATION"))</x:f>
        <x:v>0</x:v>
      </x:c>
      <x:c r="AH1492" t="n">
        <x:f>--AND(AG1492=1,AE1492="HALLUCINATION")</x:f>
        <x:v>0</x:v>
      </x:c>
      <x:c r="AI1492" t="n">
        <x:f>--AND(Q1492=1,AF1492=1,AE1492="HALLUCINATION")</x:f>
        <x:v>0</x:v>
      </x:c>
      <x:c r="AJ1492" t="n">
        <x:f>--AND(AI1492=1,R1492=1,S1492=1)</x:f>
        <x:v>0</x:v>
      </x:c>
    </x:row>
    <x:row r="1493">
      <x:c r="A1493" s="28"/>
      <x:c r="B1493" s="28"/>
      <x:c r="C1493" s="28"/>
      <x:c r="D1493" s="28"/>
      <x:c r="E1493" s="28"/>
      <x:c r="F1493" s="28"/>
      <x:c r="G1493" s="28"/>
      <x:c r="H1493" s="28"/>
      <x:c r="I1493" s="28"/>
      <x:c r="J1493" s="28"/>
      <x:c r="K1493" s="28"/>
      <x:c r="L1493" s="28"/>
      <x:c r="M1493" s="28"/>
      <x:c r="N1493" s="28"/>
      <x:c r="O1493" s="28"/>
      <x:c r="P1493" s="28"/>
      <x:c r="Q1493" s="28"/>
      <x:c r="R1493" s="28"/>
      <x:c r="S1493" s="28"/>
      <x:c r="T1493" s="28"/>
      <x:c r="U1493" s="28"/>
      <x:c r="V1493" s="28"/>
      <x:c r="W1493" s="43" t="n">
        <x:f>--AND(N1493=1,OR(O1493="SUPPORTED",O1493="HALLUCINATION"))</x:f>
        <x:v>0</x:v>
      </x:c>
      <x:c r="X1493" s="43" t="n">
        <x:f>--AND(W1493=1,O1493="HALLUCINATION")</x:f>
        <x:v>0</x:v>
      </x:c>
      <x:c r="Y1493" s="43" t="n">
        <x:f>--AND(Q1493=1,O1493="HALLUCINATION")</x:f>
        <x:v>0</x:v>
      </x:c>
      <x:c r="Z1493" s="43" t="n">
        <x:f>--AND(Y1493=1,R1493=1,S1493=1)</x:f>
        <x:v>0</x:v>
      </x:c>
      <x:c r="AC1493" t="str">
        <x:f>IF(OR(AA1493="",AB1493=""),"",--(AA1493&lt;&gt;AB1493))</x:f>
      </x:c>
      <x:c r="AE1493" t="str">
        <x:f>IF(OR(AA1493="",AB1493=""),"PENDING_HUMAN",IF(AA1493=AB1493,AA1493,IF(AD1493&lt;&gt;"",AD1493,"PENDING_HUMAN")))</x:f>
        <x:v>PENDING_HUMAN</x:v>
      </x:c>
      <x:c r="AF1493" t="n">
        <x:f>--AND(A1493&lt;&gt;"",AA1493&lt;&gt;"",AB1493&lt;&gt;"",OR(AA1493=AB1493,AD1493&lt;&gt;""),IF(AE1493="HALLUCINATION",U1493&lt;&gt;"",TRUE))</x:f>
        <x:v>0</x:v>
      </x:c>
      <x:c r="AG1493" t="n">
        <x:f>--AND(N1493=1,AF1493=1,OR(AE1493="SUPPORTED",AE1493="HALLUCINATION"))</x:f>
        <x:v>0</x:v>
      </x:c>
      <x:c r="AH1493" t="n">
        <x:f>--AND(AG1493=1,AE1493="HALLUCINATION")</x:f>
        <x:v>0</x:v>
      </x:c>
      <x:c r="AI1493" t="n">
        <x:f>--AND(Q1493=1,AF1493=1,AE1493="HALLUCINATION")</x:f>
        <x:v>0</x:v>
      </x:c>
      <x:c r="AJ1493" t="n">
        <x:f>--AND(AI1493=1,R1493=1,S1493=1)</x:f>
        <x:v>0</x:v>
      </x:c>
    </x:row>
    <x:row r="1494">
      <x:c r="A1494" s="28"/>
      <x:c r="B1494" s="28"/>
      <x:c r="C1494" s="28"/>
      <x:c r="D1494" s="28"/>
      <x:c r="E1494" s="28"/>
      <x:c r="F1494" s="28"/>
      <x:c r="G1494" s="28"/>
      <x:c r="H1494" s="28"/>
      <x:c r="I1494" s="28"/>
      <x:c r="J1494" s="28"/>
      <x:c r="K1494" s="28"/>
      <x:c r="L1494" s="28"/>
      <x:c r="M1494" s="28"/>
      <x:c r="N1494" s="28"/>
      <x:c r="O1494" s="28"/>
      <x:c r="P1494" s="28"/>
      <x:c r="Q1494" s="28"/>
      <x:c r="R1494" s="28"/>
      <x:c r="S1494" s="28"/>
      <x:c r="T1494" s="28"/>
      <x:c r="U1494" s="28"/>
      <x:c r="V1494" s="28"/>
      <x:c r="W1494" s="43" t="n">
        <x:f>--AND(N1494=1,OR(O1494="SUPPORTED",O1494="HALLUCINATION"))</x:f>
        <x:v>0</x:v>
      </x:c>
      <x:c r="X1494" s="43" t="n">
        <x:f>--AND(W1494=1,O1494="HALLUCINATION")</x:f>
        <x:v>0</x:v>
      </x:c>
      <x:c r="Y1494" s="43" t="n">
        <x:f>--AND(Q1494=1,O1494="HALLUCINATION")</x:f>
        <x:v>0</x:v>
      </x:c>
      <x:c r="Z1494" s="43" t="n">
        <x:f>--AND(Y1494=1,R1494=1,S1494=1)</x:f>
        <x:v>0</x:v>
      </x:c>
      <x:c r="AC1494" t="str">
        <x:f>IF(OR(AA1494="",AB1494=""),"",--(AA1494&lt;&gt;AB1494))</x:f>
      </x:c>
      <x:c r="AE1494" t="str">
        <x:f>IF(OR(AA1494="",AB1494=""),"PENDING_HUMAN",IF(AA1494=AB1494,AA1494,IF(AD1494&lt;&gt;"",AD1494,"PENDING_HUMAN")))</x:f>
        <x:v>PENDING_HUMAN</x:v>
      </x:c>
      <x:c r="AF1494" t="n">
        <x:f>--AND(A1494&lt;&gt;"",AA1494&lt;&gt;"",AB1494&lt;&gt;"",OR(AA1494=AB1494,AD1494&lt;&gt;""),IF(AE1494="HALLUCINATION",U1494&lt;&gt;"",TRUE))</x:f>
        <x:v>0</x:v>
      </x:c>
      <x:c r="AG1494" t="n">
        <x:f>--AND(N1494=1,AF1494=1,OR(AE1494="SUPPORTED",AE1494="HALLUCINATION"))</x:f>
        <x:v>0</x:v>
      </x:c>
      <x:c r="AH1494" t="n">
        <x:f>--AND(AG1494=1,AE1494="HALLUCINATION")</x:f>
        <x:v>0</x:v>
      </x:c>
      <x:c r="AI1494" t="n">
        <x:f>--AND(Q1494=1,AF1494=1,AE1494="HALLUCINATION")</x:f>
        <x:v>0</x:v>
      </x:c>
      <x:c r="AJ1494" t="n">
        <x:f>--AND(AI1494=1,R1494=1,S1494=1)</x:f>
        <x:v>0</x:v>
      </x:c>
    </x:row>
    <x:row r="1495">
      <x:c r="A1495" s="28"/>
      <x:c r="B1495" s="28"/>
      <x:c r="C1495" s="28"/>
      <x:c r="D1495" s="28"/>
      <x:c r="E1495" s="28"/>
      <x:c r="F1495" s="28"/>
      <x:c r="G1495" s="28"/>
      <x:c r="H1495" s="28"/>
      <x:c r="I1495" s="28"/>
      <x:c r="J1495" s="28"/>
      <x:c r="K1495" s="28"/>
      <x:c r="L1495" s="28"/>
      <x:c r="M1495" s="28"/>
      <x:c r="N1495" s="28"/>
      <x:c r="O1495" s="28"/>
      <x:c r="P1495" s="28"/>
      <x:c r="Q1495" s="28"/>
      <x:c r="R1495" s="28"/>
      <x:c r="S1495" s="28"/>
      <x:c r="T1495" s="28"/>
      <x:c r="U1495" s="28"/>
      <x:c r="V1495" s="28"/>
      <x:c r="W1495" s="43" t="n">
        <x:f>--AND(N1495=1,OR(O1495="SUPPORTED",O1495="HALLUCINATION"))</x:f>
        <x:v>0</x:v>
      </x:c>
      <x:c r="X1495" s="43" t="n">
        <x:f>--AND(W1495=1,O1495="HALLUCINATION")</x:f>
        <x:v>0</x:v>
      </x:c>
      <x:c r="Y1495" s="43" t="n">
        <x:f>--AND(Q1495=1,O1495="HALLUCINATION")</x:f>
        <x:v>0</x:v>
      </x:c>
      <x:c r="Z1495" s="43" t="n">
        <x:f>--AND(Y1495=1,R1495=1,S1495=1)</x:f>
        <x:v>0</x:v>
      </x:c>
      <x:c r="AC1495" t="str">
        <x:f>IF(OR(AA1495="",AB1495=""),"",--(AA1495&lt;&gt;AB1495))</x:f>
      </x:c>
      <x:c r="AE1495" t="str">
        <x:f>IF(OR(AA1495="",AB1495=""),"PENDING_HUMAN",IF(AA1495=AB1495,AA1495,IF(AD1495&lt;&gt;"",AD1495,"PENDING_HUMAN")))</x:f>
        <x:v>PENDING_HUMAN</x:v>
      </x:c>
      <x:c r="AF1495" t="n">
        <x:f>--AND(A1495&lt;&gt;"",AA1495&lt;&gt;"",AB1495&lt;&gt;"",OR(AA1495=AB1495,AD1495&lt;&gt;""),IF(AE1495="HALLUCINATION",U1495&lt;&gt;"",TRUE))</x:f>
        <x:v>0</x:v>
      </x:c>
      <x:c r="AG1495" t="n">
        <x:f>--AND(N1495=1,AF1495=1,OR(AE1495="SUPPORTED",AE1495="HALLUCINATION"))</x:f>
        <x:v>0</x:v>
      </x:c>
      <x:c r="AH1495" t="n">
        <x:f>--AND(AG1495=1,AE1495="HALLUCINATION")</x:f>
        <x:v>0</x:v>
      </x:c>
      <x:c r="AI1495" t="n">
        <x:f>--AND(Q1495=1,AF1495=1,AE1495="HALLUCINATION")</x:f>
        <x:v>0</x:v>
      </x:c>
      <x:c r="AJ1495" t="n">
        <x:f>--AND(AI1495=1,R1495=1,S1495=1)</x:f>
        <x:v>0</x:v>
      </x:c>
    </x:row>
    <x:row r="1496">
      <x:c r="A1496" s="28"/>
      <x:c r="B1496" s="28"/>
      <x:c r="C1496" s="28"/>
      <x:c r="D1496" s="28"/>
      <x:c r="E1496" s="28"/>
      <x:c r="F1496" s="28"/>
      <x:c r="G1496" s="28"/>
      <x:c r="H1496" s="28"/>
      <x:c r="I1496" s="28"/>
      <x:c r="J1496" s="28"/>
      <x:c r="K1496" s="28"/>
      <x:c r="L1496" s="28"/>
      <x:c r="M1496" s="28"/>
      <x:c r="N1496" s="28"/>
      <x:c r="O1496" s="28"/>
      <x:c r="P1496" s="28"/>
      <x:c r="Q1496" s="28"/>
      <x:c r="R1496" s="28"/>
      <x:c r="S1496" s="28"/>
      <x:c r="T1496" s="28"/>
      <x:c r="U1496" s="28"/>
      <x:c r="V1496" s="28"/>
      <x:c r="W1496" s="43" t="n">
        <x:f>--AND(N1496=1,OR(O1496="SUPPORTED",O1496="HALLUCINATION"))</x:f>
        <x:v>0</x:v>
      </x:c>
      <x:c r="X1496" s="43" t="n">
        <x:f>--AND(W1496=1,O1496="HALLUCINATION")</x:f>
        <x:v>0</x:v>
      </x:c>
      <x:c r="Y1496" s="43" t="n">
        <x:f>--AND(Q1496=1,O1496="HALLUCINATION")</x:f>
        <x:v>0</x:v>
      </x:c>
      <x:c r="Z1496" s="43" t="n">
        <x:f>--AND(Y1496=1,R1496=1,S1496=1)</x:f>
        <x:v>0</x:v>
      </x:c>
      <x:c r="AC1496" t="str">
        <x:f>IF(OR(AA1496="",AB1496=""),"",--(AA1496&lt;&gt;AB1496))</x:f>
      </x:c>
      <x:c r="AE1496" t="str">
        <x:f>IF(OR(AA1496="",AB1496=""),"PENDING_HUMAN",IF(AA1496=AB1496,AA1496,IF(AD1496&lt;&gt;"",AD1496,"PENDING_HUMAN")))</x:f>
        <x:v>PENDING_HUMAN</x:v>
      </x:c>
      <x:c r="AF1496" t="n">
        <x:f>--AND(A1496&lt;&gt;"",AA1496&lt;&gt;"",AB1496&lt;&gt;"",OR(AA1496=AB1496,AD1496&lt;&gt;""),IF(AE1496="HALLUCINATION",U1496&lt;&gt;"",TRUE))</x:f>
        <x:v>0</x:v>
      </x:c>
      <x:c r="AG1496" t="n">
        <x:f>--AND(N1496=1,AF1496=1,OR(AE1496="SUPPORTED",AE1496="HALLUCINATION"))</x:f>
        <x:v>0</x:v>
      </x:c>
      <x:c r="AH1496" t="n">
        <x:f>--AND(AG1496=1,AE1496="HALLUCINATION")</x:f>
        <x:v>0</x:v>
      </x:c>
      <x:c r="AI1496" t="n">
        <x:f>--AND(Q1496=1,AF1496=1,AE1496="HALLUCINATION")</x:f>
        <x:v>0</x:v>
      </x:c>
      <x:c r="AJ1496" t="n">
        <x:f>--AND(AI1496=1,R1496=1,S1496=1)</x:f>
        <x:v>0</x:v>
      </x:c>
    </x:row>
    <x:row r="1497">
      <x:c r="A1497" s="28"/>
      <x:c r="B1497" s="28"/>
      <x:c r="C1497" s="28"/>
      <x:c r="D1497" s="28"/>
      <x:c r="E1497" s="28"/>
      <x:c r="F1497" s="28"/>
      <x:c r="G1497" s="28"/>
      <x:c r="H1497" s="28"/>
      <x:c r="I1497" s="28"/>
      <x:c r="J1497" s="28"/>
      <x:c r="K1497" s="28"/>
      <x:c r="L1497" s="28"/>
      <x:c r="M1497" s="28"/>
      <x:c r="N1497" s="28"/>
      <x:c r="O1497" s="28"/>
      <x:c r="P1497" s="28"/>
      <x:c r="Q1497" s="28"/>
      <x:c r="R1497" s="28"/>
      <x:c r="S1497" s="28"/>
      <x:c r="T1497" s="28"/>
      <x:c r="U1497" s="28"/>
      <x:c r="V1497" s="28"/>
      <x:c r="W1497" s="43" t="n">
        <x:f>--AND(N1497=1,OR(O1497="SUPPORTED",O1497="HALLUCINATION"))</x:f>
        <x:v>0</x:v>
      </x:c>
      <x:c r="X1497" s="43" t="n">
        <x:f>--AND(W1497=1,O1497="HALLUCINATION")</x:f>
        <x:v>0</x:v>
      </x:c>
      <x:c r="Y1497" s="43" t="n">
        <x:f>--AND(Q1497=1,O1497="HALLUCINATION")</x:f>
        <x:v>0</x:v>
      </x:c>
      <x:c r="Z1497" s="43" t="n">
        <x:f>--AND(Y1497=1,R1497=1,S1497=1)</x:f>
        <x:v>0</x:v>
      </x:c>
      <x:c r="AC1497" t="str">
        <x:f>IF(OR(AA1497="",AB1497=""),"",--(AA1497&lt;&gt;AB1497))</x:f>
      </x:c>
      <x:c r="AE1497" t="str">
        <x:f>IF(OR(AA1497="",AB1497=""),"PENDING_HUMAN",IF(AA1497=AB1497,AA1497,IF(AD1497&lt;&gt;"",AD1497,"PENDING_HUMAN")))</x:f>
        <x:v>PENDING_HUMAN</x:v>
      </x:c>
      <x:c r="AF1497" t="n">
        <x:f>--AND(A1497&lt;&gt;"",AA1497&lt;&gt;"",AB1497&lt;&gt;"",OR(AA1497=AB1497,AD1497&lt;&gt;""),IF(AE1497="HALLUCINATION",U1497&lt;&gt;"",TRUE))</x:f>
        <x:v>0</x:v>
      </x:c>
      <x:c r="AG1497" t="n">
        <x:f>--AND(N1497=1,AF1497=1,OR(AE1497="SUPPORTED",AE1497="HALLUCINATION"))</x:f>
        <x:v>0</x:v>
      </x:c>
      <x:c r="AH1497" t="n">
        <x:f>--AND(AG1497=1,AE1497="HALLUCINATION")</x:f>
        <x:v>0</x:v>
      </x:c>
      <x:c r="AI1497" t="n">
        <x:f>--AND(Q1497=1,AF1497=1,AE1497="HALLUCINATION")</x:f>
        <x:v>0</x:v>
      </x:c>
      <x:c r="AJ1497" t="n">
        <x:f>--AND(AI1497=1,R1497=1,S1497=1)</x:f>
        <x:v>0</x:v>
      </x:c>
    </x:row>
    <x:row r="1498">
      <x:c r="A1498" s="28"/>
      <x:c r="B1498" s="28"/>
      <x:c r="C1498" s="28"/>
      <x:c r="D1498" s="28"/>
      <x:c r="E1498" s="28"/>
      <x:c r="F1498" s="28"/>
      <x:c r="G1498" s="28"/>
      <x:c r="H1498" s="28"/>
      <x:c r="I1498" s="28"/>
      <x:c r="J1498" s="28"/>
      <x:c r="K1498" s="28"/>
      <x:c r="L1498" s="28"/>
      <x:c r="M1498" s="28"/>
      <x:c r="N1498" s="28"/>
      <x:c r="O1498" s="28"/>
      <x:c r="P1498" s="28"/>
      <x:c r="Q1498" s="28"/>
      <x:c r="R1498" s="28"/>
      <x:c r="S1498" s="28"/>
      <x:c r="T1498" s="28"/>
      <x:c r="U1498" s="28"/>
      <x:c r="V1498" s="28"/>
      <x:c r="W1498" s="43" t="n">
        <x:f>--AND(N1498=1,OR(O1498="SUPPORTED",O1498="HALLUCINATION"))</x:f>
        <x:v>0</x:v>
      </x:c>
      <x:c r="X1498" s="43" t="n">
        <x:f>--AND(W1498=1,O1498="HALLUCINATION")</x:f>
        <x:v>0</x:v>
      </x:c>
      <x:c r="Y1498" s="43" t="n">
        <x:f>--AND(Q1498=1,O1498="HALLUCINATION")</x:f>
        <x:v>0</x:v>
      </x:c>
      <x:c r="Z1498" s="43" t="n">
        <x:f>--AND(Y1498=1,R1498=1,S1498=1)</x:f>
        <x:v>0</x:v>
      </x:c>
      <x:c r="AC1498" t="str">
        <x:f>IF(OR(AA1498="",AB1498=""),"",--(AA1498&lt;&gt;AB1498))</x:f>
      </x:c>
      <x:c r="AE1498" t="str">
        <x:f>IF(OR(AA1498="",AB1498=""),"PENDING_HUMAN",IF(AA1498=AB1498,AA1498,IF(AD1498&lt;&gt;"",AD1498,"PENDING_HUMAN")))</x:f>
        <x:v>PENDING_HUMAN</x:v>
      </x:c>
      <x:c r="AF1498" t="n">
        <x:f>--AND(A1498&lt;&gt;"",AA1498&lt;&gt;"",AB1498&lt;&gt;"",OR(AA1498=AB1498,AD1498&lt;&gt;""),IF(AE1498="HALLUCINATION",U1498&lt;&gt;"",TRUE))</x:f>
        <x:v>0</x:v>
      </x:c>
      <x:c r="AG1498" t="n">
        <x:f>--AND(N1498=1,AF1498=1,OR(AE1498="SUPPORTED",AE1498="HALLUCINATION"))</x:f>
        <x:v>0</x:v>
      </x:c>
      <x:c r="AH1498" t="n">
        <x:f>--AND(AG1498=1,AE1498="HALLUCINATION")</x:f>
        <x:v>0</x:v>
      </x:c>
      <x:c r="AI1498" t="n">
        <x:f>--AND(Q1498=1,AF1498=1,AE1498="HALLUCINATION")</x:f>
        <x:v>0</x:v>
      </x:c>
      <x:c r="AJ1498" t="n">
        <x:f>--AND(AI1498=1,R1498=1,S1498=1)</x:f>
        <x:v>0</x:v>
      </x:c>
    </x:row>
    <x:row r="1499">
      <x:c r="A1499" s="28"/>
      <x:c r="B1499" s="28"/>
      <x:c r="C1499" s="28"/>
      <x:c r="D1499" s="28"/>
      <x:c r="E1499" s="28"/>
      <x:c r="F1499" s="28"/>
      <x:c r="G1499" s="28"/>
      <x:c r="H1499" s="28"/>
      <x:c r="I1499" s="28"/>
      <x:c r="J1499" s="28"/>
      <x:c r="K1499" s="28"/>
      <x:c r="L1499" s="28"/>
      <x:c r="M1499" s="28"/>
      <x:c r="N1499" s="28"/>
      <x:c r="O1499" s="28"/>
      <x:c r="P1499" s="28"/>
      <x:c r="Q1499" s="28"/>
      <x:c r="R1499" s="28"/>
      <x:c r="S1499" s="28"/>
      <x:c r="T1499" s="28"/>
      <x:c r="U1499" s="28"/>
      <x:c r="V1499" s="28"/>
      <x:c r="W1499" s="43" t="n">
        <x:f>--AND(N1499=1,OR(O1499="SUPPORTED",O1499="HALLUCINATION"))</x:f>
        <x:v>0</x:v>
      </x:c>
      <x:c r="X1499" s="43" t="n">
        <x:f>--AND(W1499=1,O1499="HALLUCINATION")</x:f>
        <x:v>0</x:v>
      </x:c>
      <x:c r="Y1499" s="43" t="n">
        <x:f>--AND(Q1499=1,O1499="HALLUCINATION")</x:f>
        <x:v>0</x:v>
      </x:c>
      <x:c r="Z1499" s="43" t="n">
        <x:f>--AND(Y1499=1,R1499=1,S1499=1)</x:f>
        <x:v>0</x:v>
      </x:c>
      <x:c r="AC1499" t="str">
        <x:f>IF(OR(AA1499="",AB1499=""),"",--(AA1499&lt;&gt;AB1499))</x:f>
      </x:c>
      <x:c r="AE1499" t="str">
        <x:f>IF(OR(AA1499="",AB1499=""),"PENDING_HUMAN",IF(AA1499=AB1499,AA1499,IF(AD1499&lt;&gt;"",AD1499,"PENDING_HUMAN")))</x:f>
        <x:v>PENDING_HUMAN</x:v>
      </x:c>
      <x:c r="AF1499" t="n">
        <x:f>--AND(A1499&lt;&gt;"",AA1499&lt;&gt;"",AB1499&lt;&gt;"",OR(AA1499=AB1499,AD1499&lt;&gt;""),IF(AE1499="HALLUCINATION",U1499&lt;&gt;"",TRUE))</x:f>
        <x:v>0</x:v>
      </x:c>
      <x:c r="AG1499" t="n">
        <x:f>--AND(N1499=1,AF1499=1,OR(AE1499="SUPPORTED",AE1499="HALLUCINATION"))</x:f>
        <x:v>0</x:v>
      </x:c>
      <x:c r="AH1499" t="n">
        <x:f>--AND(AG1499=1,AE1499="HALLUCINATION")</x:f>
        <x:v>0</x:v>
      </x:c>
      <x:c r="AI1499" t="n">
        <x:f>--AND(Q1499=1,AF1499=1,AE1499="HALLUCINATION")</x:f>
        <x:v>0</x:v>
      </x:c>
      <x:c r="AJ1499" t="n">
        <x:f>--AND(AI1499=1,R1499=1,S1499=1)</x:f>
        <x:v>0</x:v>
      </x:c>
    </x:row>
    <x:row r="1500">
      <x:c r="A1500" s="28"/>
      <x:c r="B1500" s="28"/>
      <x:c r="C1500" s="28"/>
      <x:c r="D1500" s="28"/>
      <x:c r="E1500" s="28"/>
      <x:c r="F1500" s="28"/>
      <x:c r="G1500" s="28"/>
      <x:c r="H1500" s="28"/>
      <x:c r="I1500" s="28"/>
      <x:c r="J1500" s="28"/>
      <x:c r="K1500" s="28"/>
      <x:c r="L1500" s="28"/>
      <x:c r="M1500" s="28"/>
      <x:c r="N1500" s="28"/>
      <x:c r="O1500" s="28"/>
      <x:c r="P1500" s="28"/>
      <x:c r="Q1500" s="28"/>
      <x:c r="R1500" s="28"/>
      <x:c r="S1500" s="28"/>
      <x:c r="T1500" s="28"/>
      <x:c r="U1500" s="28"/>
      <x:c r="V1500" s="28"/>
      <x:c r="W1500" s="43" t="n">
        <x:f>--AND(N1500=1,OR(O1500="SUPPORTED",O1500="HALLUCINATION"))</x:f>
        <x:v>0</x:v>
      </x:c>
      <x:c r="X1500" s="43" t="n">
        <x:f>--AND(W1500=1,O1500="HALLUCINATION")</x:f>
        <x:v>0</x:v>
      </x:c>
      <x:c r="Y1500" s="43" t="n">
        <x:f>--AND(Q1500=1,O1500="HALLUCINATION")</x:f>
        <x:v>0</x:v>
      </x:c>
      <x:c r="Z1500" s="43" t="n">
        <x:f>--AND(Y1500=1,R1500=1,S1500=1)</x:f>
        <x:v>0</x:v>
      </x:c>
      <x:c r="AC1500" t="str">
        <x:f>IF(OR(AA1500="",AB1500=""),"",--(AA1500&lt;&gt;AB1500))</x:f>
      </x:c>
      <x:c r="AE1500" t="str">
        <x:f>IF(OR(AA1500="",AB1500=""),"PENDING_HUMAN",IF(AA1500=AB1500,AA1500,IF(AD1500&lt;&gt;"",AD1500,"PENDING_HUMAN")))</x:f>
        <x:v>PENDING_HUMAN</x:v>
      </x:c>
      <x:c r="AF1500" t="n">
        <x:f>--AND(A1500&lt;&gt;"",AA1500&lt;&gt;"",AB1500&lt;&gt;"",OR(AA1500=AB1500,AD1500&lt;&gt;""),IF(AE1500="HALLUCINATION",U1500&lt;&gt;"",TRUE))</x:f>
        <x:v>0</x:v>
      </x:c>
      <x:c r="AG1500" t="n">
        <x:f>--AND(N1500=1,AF1500=1,OR(AE1500="SUPPORTED",AE1500="HALLUCINATION"))</x:f>
        <x:v>0</x:v>
      </x:c>
      <x:c r="AH1500" t="n">
        <x:f>--AND(AG1500=1,AE1500="HALLUCINATION")</x:f>
        <x:v>0</x:v>
      </x:c>
      <x:c r="AI1500" t="n">
        <x:f>--AND(Q1500=1,AF1500=1,AE1500="HALLUCINATION")</x:f>
        <x:v>0</x:v>
      </x:c>
      <x:c r="AJ1500" t="n">
        <x:f>--AND(AI1500=1,R1500=1,S1500=1)</x:f>
        <x:v>0</x:v>
      </x:c>
    </x:row>
    <x:row r="1501">
      <x:c r="A1501" s="28"/>
      <x:c r="B1501" s="28"/>
      <x:c r="C1501" s="28"/>
      <x:c r="D1501" s="28"/>
      <x:c r="E1501" s="28"/>
      <x:c r="F1501" s="28"/>
      <x:c r="G1501" s="28"/>
      <x:c r="H1501" s="28"/>
      <x:c r="I1501" s="28"/>
      <x:c r="J1501" s="28"/>
      <x:c r="K1501" s="28"/>
      <x:c r="L1501" s="28"/>
      <x:c r="M1501" s="28"/>
      <x:c r="N1501" s="28"/>
      <x:c r="O1501" s="28"/>
      <x:c r="P1501" s="28"/>
      <x:c r="Q1501" s="28"/>
      <x:c r="R1501" s="28"/>
      <x:c r="S1501" s="28"/>
      <x:c r="T1501" s="28"/>
      <x:c r="U1501" s="28"/>
      <x:c r="V1501" s="28"/>
      <x:c r="W1501" s="43" t="n">
        <x:f>--AND(N1501=1,OR(O1501="SUPPORTED",O1501="HALLUCINATION"))</x:f>
        <x:v>0</x:v>
      </x:c>
      <x:c r="X1501" s="43" t="n">
        <x:f>--AND(W1501=1,O1501="HALLUCINATION")</x:f>
        <x:v>0</x:v>
      </x:c>
      <x:c r="Y1501" s="43" t="n">
        <x:f>--AND(Q1501=1,O1501="HALLUCINATION")</x:f>
        <x:v>0</x:v>
      </x:c>
      <x:c r="Z1501" s="43" t="n">
        <x:f>--AND(Y1501=1,R1501=1,S1501=1)</x:f>
        <x:v>0</x:v>
      </x:c>
      <x:c r="AC1501" t="str">
        <x:f>IF(OR(AA1501="",AB1501=""),"",--(AA1501&lt;&gt;AB1501))</x:f>
      </x:c>
      <x:c r="AE1501" t="str">
        <x:f>IF(OR(AA1501="",AB1501=""),"PENDING_HUMAN",IF(AA1501=AB1501,AA1501,IF(AD1501&lt;&gt;"",AD1501,"PENDING_HUMAN")))</x:f>
        <x:v>PENDING_HUMAN</x:v>
      </x:c>
      <x:c r="AF1501" t="n">
        <x:f>--AND(A1501&lt;&gt;"",AA1501&lt;&gt;"",AB1501&lt;&gt;"",OR(AA1501=AB1501,AD1501&lt;&gt;""),IF(AE1501="HALLUCINATION",U1501&lt;&gt;"",TRUE))</x:f>
        <x:v>0</x:v>
      </x:c>
      <x:c r="AG1501" t="n">
        <x:f>--AND(N1501=1,AF1501=1,OR(AE1501="SUPPORTED",AE1501="HALLUCINATION"))</x:f>
        <x:v>0</x:v>
      </x:c>
      <x:c r="AH1501" t="n">
        <x:f>--AND(AG1501=1,AE1501="HALLUCINATION")</x:f>
        <x:v>0</x:v>
      </x:c>
      <x:c r="AI1501" t="n">
        <x:f>--AND(Q1501=1,AF1501=1,AE1501="HALLUCINATION")</x:f>
        <x:v>0</x:v>
      </x:c>
      <x:c r="AJ1501" t="n">
        <x:f>--AND(AI1501=1,R1501=1,S1501=1)</x:f>
        <x:v>0</x:v>
      </x:c>
    </x:row>
    <x:row r="1502">
      <x:c r="A1502" s="28"/>
      <x:c r="B1502" s="28"/>
      <x:c r="C1502" s="28"/>
      <x:c r="D1502" s="28"/>
      <x:c r="E1502" s="28"/>
      <x:c r="F1502" s="28"/>
      <x:c r="G1502" s="28"/>
      <x:c r="H1502" s="28"/>
      <x:c r="I1502" s="28"/>
      <x:c r="J1502" s="28"/>
      <x:c r="K1502" s="28"/>
      <x:c r="L1502" s="28"/>
      <x:c r="M1502" s="28"/>
      <x:c r="N1502" s="28"/>
      <x:c r="O1502" s="28"/>
      <x:c r="P1502" s="28"/>
      <x:c r="Q1502" s="28"/>
      <x:c r="R1502" s="28"/>
      <x:c r="S1502" s="28"/>
      <x:c r="T1502" s="28"/>
      <x:c r="U1502" s="28"/>
      <x:c r="V1502" s="28"/>
      <x:c r="W1502" s="43" t="n">
        <x:f>--AND(N1502=1,OR(O1502="SUPPORTED",O1502="HALLUCINATION"))</x:f>
        <x:v>0</x:v>
      </x:c>
      <x:c r="X1502" s="43" t="n">
        <x:f>--AND(W1502=1,O1502="HALLUCINATION")</x:f>
        <x:v>0</x:v>
      </x:c>
      <x:c r="Y1502" s="43" t="n">
        <x:f>--AND(Q1502=1,O1502="HALLUCINATION")</x:f>
        <x:v>0</x:v>
      </x:c>
      <x:c r="Z1502" s="43" t="n">
        <x:f>--AND(Y1502=1,R1502=1,S1502=1)</x:f>
        <x:v>0</x:v>
      </x:c>
      <x:c r="AC1502" t="str">
        <x:f>IF(OR(AA1502="",AB1502=""),"",--(AA1502&lt;&gt;AB1502))</x:f>
      </x:c>
      <x:c r="AE1502" t="str">
        <x:f>IF(OR(AA1502="",AB1502=""),"PENDING_HUMAN",IF(AA1502=AB1502,AA1502,IF(AD1502&lt;&gt;"",AD1502,"PENDING_HUMAN")))</x:f>
        <x:v>PENDING_HUMAN</x:v>
      </x:c>
      <x:c r="AF1502" t="n">
        <x:f>--AND(A1502&lt;&gt;"",AA1502&lt;&gt;"",AB1502&lt;&gt;"",OR(AA1502=AB1502,AD1502&lt;&gt;""),IF(AE1502="HALLUCINATION",U1502&lt;&gt;"",TRUE))</x:f>
        <x:v>0</x:v>
      </x:c>
      <x:c r="AG1502" t="n">
        <x:f>--AND(N1502=1,AF1502=1,OR(AE1502="SUPPORTED",AE1502="HALLUCINATION"))</x:f>
        <x:v>0</x:v>
      </x:c>
      <x:c r="AH1502" t="n">
        <x:f>--AND(AG1502=1,AE1502="HALLUCINATION")</x:f>
        <x:v>0</x:v>
      </x:c>
      <x:c r="AI1502" t="n">
        <x:f>--AND(Q1502=1,AF1502=1,AE1502="HALLUCINATION")</x:f>
        <x:v>0</x:v>
      </x:c>
      <x:c r="AJ1502" t="n">
        <x:f>--AND(AI1502=1,R1502=1,S1502=1)</x:f>
        <x:v>0</x:v>
      </x:c>
    </x:row>
    <x:row r="1503">
      <x:c r="A1503" s="28"/>
      <x:c r="B1503" s="28"/>
      <x:c r="C1503" s="28"/>
      <x:c r="D1503" s="28"/>
      <x:c r="E1503" s="28"/>
      <x:c r="F1503" s="28"/>
      <x:c r="G1503" s="28"/>
      <x:c r="H1503" s="28"/>
      <x:c r="I1503" s="28"/>
      <x:c r="J1503" s="28"/>
      <x:c r="K1503" s="28"/>
      <x:c r="L1503" s="28"/>
      <x:c r="M1503" s="28"/>
      <x:c r="N1503" s="28"/>
      <x:c r="O1503" s="28"/>
      <x:c r="P1503" s="28"/>
      <x:c r="Q1503" s="28"/>
      <x:c r="R1503" s="28"/>
      <x:c r="S1503" s="28"/>
      <x:c r="T1503" s="28"/>
      <x:c r="U1503" s="28"/>
      <x:c r="V1503" s="28"/>
      <x:c r="W1503" s="43" t="n">
        <x:f>--AND(N1503=1,OR(O1503="SUPPORTED",O1503="HALLUCINATION"))</x:f>
        <x:v>0</x:v>
      </x:c>
      <x:c r="X1503" s="43" t="n">
        <x:f>--AND(W1503=1,O1503="HALLUCINATION")</x:f>
        <x:v>0</x:v>
      </x:c>
      <x:c r="Y1503" s="43" t="n">
        <x:f>--AND(Q1503=1,O1503="HALLUCINATION")</x:f>
        <x:v>0</x:v>
      </x:c>
      <x:c r="Z1503" s="43" t="n">
        <x:f>--AND(Y1503=1,R1503=1,S1503=1)</x:f>
        <x:v>0</x:v>
      </x:c>
      <x:c r="AC1503" t="str">
        <x:f>IF(OR(AA1503="",AB1503=""),"",--(AA1503&lt;&gt;AB1503))</x:f>
      </x:c>
      <x:c r="AE1503" t="str">
        <x:f>IF(OR(AA1503="",AB1503=""),"PENDING_HUMAN",IF(AA1503=AB1503,AA1503,IF(AD1503&lt;&gt;"",AD1503,"PENDING_HUMAN")))</x:f>
        <x:v>PENDING_HUMAN</x:v>
      </x:c>
      <x:c r="AF1503" t="n">
        <x:f>--AND(A1503&lt;&gt;"",AA1503&lt;&gt;"",AB1503&lt;&gt;"",OR(AA1503=AB1503,AD1503&lt;&gt;""),IF(AE1503="HALLUCINATION",U1503&lt;&gt;"",TRUE))</x:f>
        <x:v>0</x:v>
      </x:c>
      <x:c r="AG1503" t="n">
        <x:f>--AND(N1503=1,AF1503=1,OR(AE1503="SUPPORTED",AE1503="HALLUCINATION"))</x:f>
        <x:v>0</x:v>
      </x:c>
      <x:c r="AH1503" t="n">
        <x:f>--AND(AG1503=1,AE1503="HALLUCINATION")</x:f>
        <x:v>0</x:v>
      </x:c>
      <x:c r="AI1503" t="n">
        <x:f>--AND(Q1503=1,AF1503=1,AE1503="HALLUCINATION")</x:f>
        <x:v>0</x:v>
      </x:c>
      <x:c r="AJ1503" t="n">
        <x:f>--AND(AI1503=1,R1503=1,S1503=1)</x:f>
        <x:v>0</x:v>
      </x:c>
    </x:row>
    <x:row r="1504">
      <x:c r="A1504" s="28"/>
      <x:c r="B1504" s="28"/>
      <x:c r="C1504" s="28"/>
      <x:c r="D1504" s="28"/>
      <x:c r="E1504" s="28"/>
      <x:c r="F1504" s="28"/>
      <x:c r="G1504" s="28"/>
      <x:c r="H1504" s="28"/>
      <x:c r="I1504" s="28"/>
      <x:c r="J1504" s="28"/>
      <x:c r="K1504" s="28"/>
      <x:c r="L1504" s="28"/>
      <x:c r="M1504" s="28"/>
      <x:c r="N1504" s="28"/>
      <x:c r="O1504" s="28"/>
      <x:c r="P1504" s="28"/>
      <x:c r="Q1504" s="28"/>
      <x:c r="R1504" s="28"/>
      <x:c r="S1504" s="28"/>
      <x:c r="T1504" s="28"/>
      <x:c r="U1504" s="28"/>
      <x:c r="V1504" s="28"/>
      <x:c r="W1504" s="43" t="n">
        <x:f>--AND(N1504=1,OR(O1504="SUPPORTED",O1504="HALLUCINATION"))</x:f>
        <x:v>0</x:v>
      </x:c>
      <x:c r="X1504" s="43" t="n">
        <x:f>--AND(W1504=1,O1504="HALLUCINATION")</x:f>
        <x:v>0</x:v>
      </x:c>
      <x:c r="Y1504" s="43" t="n">
        <x:f>--AND(Q1504=1,O1504="HALLUCINATION")</x:f>
        <x:v>0</x:v>
      </x:c>
      <x:c r="Z1504" s="43" t="n">
        <x:f>--AND(Y1504=1,R1504=1,S1504=1)</x:f>
        <x:v>0</x:v>
      </x:c>
      <x:c r="AC1504" t="str">
        <x:f>IF(OR(AA1504="",AB1504=""),"",--(AA1504&lt;&gt;AB1504))</x:f>
      </x:c>
      <x:c r="AE1504" t="str">
        <x:f>IF(OR(AA1504="",AB1504=""),"PENDING_HUMAN",IF(AA1504=AB1504,AA1504,IF(AD1504&lt;&gt;"",AD1504,"PENDING_HUMAN")))</x:f>
        <x:v>PENDING_HUMAN</x:v>
      </x:c>
      <x:c r="AF1504" t="n">
        <x:f>--AND(A1504&lt;&gt;"",AA1504&lt;&gt;"",AB1504&lt;&gt;"",OR(AA1504=AB1504,AD1504&lt;&gt;""),IF(AE1504="HALLUCINATION",U1504&lt;&gt;"",TRUE))</x:f>
        <x:v>0</x:v>
      </x:c>
      <x:c r="AG1504" t="n">
        <x:f>--AND(N1504=1,AF1504=1,OR(AE1504="SUPPORTED",AE1504="HALLUCINATION"))</x:f>
        <x:v>0</x:v>
      </x:c>
      <x:c r="AH1504" t="n">
        <x:f>--AND(AG1504=1,AE1504="HALLUCINATION")</x:f>
        <x:v>0</x:v>
      </x:c>
      <x:c r="AI1504" t="n">
        <x:f>--AND(Q1504=1,AF1504=1,AE1504="HALLUCINATION")</x:f>
        <x:v>0</x:v>
      </x:c>
      <x:c r="AJ1504" t="n">
        <x:f>--AND(AI1504=1,R1504=1,S1504=1)</x:f>
        <x:v>0</x:v>
      </x:c>
    </x:row>
    <x:row r="1505">
      <x:c r="A1505" s="28"/>
      <x:c r="B1505" s="28"/>
      <x:c r="C1505" s="28"/>
      <x:c r="D1505" s="28"/>
      <x:c r="E1505" s="28"/>
      <x:c r="F1505" s="28"/>
      <x:c r="G1505" s="28"/>
      <x:c r="H1505" s="28"/>
      <x:c r="I1505" s="28"/>
      <x:c r="J1505" s="28"/>
      <x:c r="K1505" s="28"/>
      <x:c r="L1505" s="28"/>
      <x:c r="M1505" s="28"/>
      <x:c r="N1505" s="28"/>
      <x:c r="O1505" s="28"/>
      <x:c r="P1505" s="28"/>
      <x:c r="Q1505" s="28"/>
      <x:c r="R1505" s="28"/>
      <x:c r="S1505" s="28"/>
      <x:c r="T1505" s="28"/>
      <x:c r="U1505" s="28"/>
      <x:c r="V1505" s="28"/>
      <x:c r="W1505" s="43" t="n">
        <x:f>--AND(N1505=1,OR(O1505="SUPPORTED",O1505="HALLUCINATION"))</x:f>
        <x:v>0</x:v>
      </x:c>
      <x:c r="X1505" s="43" t="n">
        <x:f>--AND(W1505=1,O1505="HALLUCINATION")</x:f>
        <x:v>0</x:v>
      </x:c>
      <x:c r="Y1505" s="43" t="n">
        <x:f>--AND(Q1505=1,O1505="HALLUCINATION")</x:f>
        <x:v>0</x:v>
      </x:c>
      <x:c r="Z1505" s="43" t="n">
        <x:f>--AND(Y1505=1,R1505=1,S1505=1)</x:f>
        <x:v>0</x:v>
      </x:c>
      <x:c r="AC1505" t="str">
        <x:f>IF(OR(AA1505="",AB1505=""),"",--(AA1505&lt;&gt;AB1505))</x:f>
      </x:c>
      <x:c r="AE1505" t="str">
        <x:f>IF(OR(AA1505="",AB1505=""),"PENDING_HUMAN",IF(AA1505=AB1505,AA1505,IF(AD1505&lt;&gt;"",AD1505,"PENDING_HUMAN")))</x:f>
        <x:v>PENDING_HUMAN</x:v>
      </x:c>
      <x:c r="AF1505" t="n">
        <x:f>--AND(A1505&lt;&gt;"",AA1505&lt;&gt;"",AB1505&lt;&gt;"",OR(AA1505=AB1505,AD1505&lt;&gt;""),IF(AE1505="HALLUCINATION",U1505&lt;&gt;"",TRUE))</x:f>
        <x:v>0</x:v>
      </x:c>
      <x:c r="AG1505" t="n">
        <x:f>--AND(N1505=1,AF1505=1,OR(AE1505="SUPPORTED",AE1505="HALLUCINATION"))</x:f>
        <x:v>0</x:v>
      </x:c>
      <x:c r="AH1505" t="n">
        <x:f>--AND(AG1505=1,AE1505="HALLUCINATION")</x:f>
        <x:v>0</x:v>
      </x:c>
      <x:c r="AI1505" t="n">
        <x:f>--AND(Q1505=1,AF1505=1,AE1505="HALLUCINATION")</x:f>
        <x:v>0</x:v>
      </x:c>
      <x:c r="AJ1505" t="n">
        <x:f>--AND(AI1505=1,R1505=1,S1505=1)</x:f>
        <x:v>0</x:v>
      </x:c>
    </x:row>
    <x:row r="1506">
      <x:c r="A1506" s="28"/>
      <x:c r="B1506" s="28"/>
      <x:c r="C1506" s="28"/>
      <x:c r="D1506" s="28"/>
      <x:c r="E1506" s="28"/>
      <x:c r="F1506" s="28"/>
      <x:c r="G1506" s="28"/>
      <x:c r="H1506" s="28"/>
      <x:c r="I1506" s="28"/>
      <x:c r="J1506" s="28"/>
      <x:c r="K1506" s="28"/>
      <x:c r="L1506" s="28"/>
      <x:c r="M1506" s="28"/>
      <x:c r="N1506" s="28"/>
      <x:c r="O1506" s="28"/>
      <x:c r="P1506" s="28"/>
      <x:c r="Q1506" s="28"/>
      <x:c r="R1506" s="28"/>
      <x:c r="S1506" s="28"/>
      <x:c r="T1506" s="28"/>
      <x:c r="U1506" s="28"/>
      <x:c r="V1506" s="28"/>
      <x:c r="W1506" s="43" t="n">
        <x:f>--AND(N1506=1,OR(O1506="SUPPORTED",O1506="HALLUCINATION"))</x:f>
        <x:v>0</x:v>
      </x:c>
      <x:c r="X1506" s="43" t="n">
        <x:f>--AND(W1506=1,O1506="HALLUCINATION")</x:f>
        <x:v>0</x:v>
      </x:c>
      <x:c r="Y1506" s="43" t="n">
        <x:f>--AND(Q1506=1,O1506="HALLUCINATION")</x:f>
        <x:v>0</x:v>
      </x:c>
      <x:c r="Z1506" s="43" t="n">
        <x:f>--AND(Y1506=1,R1506=1,S1506=1)</x:f>
        <x:v>0</x:v>
      </x:c>
      <x:c r="AC1506" t="str">
        <x:f>IF(OR(AA1506="",AB1506=""),"",--(AA1506&lt;&gt;AB1506))</x:f>
      </x:c>
      <x:c r="AE1506" t="str">
        <x:f>IF(OR(AA1506="",AB1506=""),"PENDING_HUMAN",IF(AA1506=AB1506,AA1506,IF(AD1506&lt;&gt;"",AD1506,"PENDING_HUMAN")))</x:f>
        <x:v>PENDING_HUMAN</x:v>
      </x:c>
      <x:c r="AF1506" t="n">
        <x:f>--AND(A1506&lt;&gt;"",AA1506&lt;&gt;"",AB1506&lt;&gt;"",OR(AA1506=AB1506,AD1506&lt;&gt;""),IF(AE1506="HALLUCINATION",U1506&lt;&gt;"",TRUE))</x:f>
        <x:v>0</x:v>
      </x:c>
      <x:c r="AG1506" t="n">
        <x:f>--AND(N1506=1,AF1506=1,OR(AE1506="SUPPORTED",AE1506="HALLUCINATION"))</x:f>
        <x:v>0</x:v>
      </x:c>
      <x:c r="AH1506" t="n">
        <x:f>--AND(AG1506=1,AE1506="HALLUCINATION")</x:f>
        <x:v>0</x:v>
      </x:c>
      <x:c r="AI1506" t="n">
        <x:f>--AND(Q1506=1,AF1506=1,AE1506="HALLUCINATION")</x:f>
        <x:v>0</x:v>
      </x:c>
      <x:c r="AJ1506" t="n">
        <x:f>--AND(AI1506=1,R1506=1,S1506=1)</x:f>
        <x:v>0</x:v>
      </x:c>
    </x:row>
    <x:row r="1507">
      <x:c r="A1507" s="28"/>
      <x:c r="B1507" s="28"/>
      <x:c r="C1507" s="28"/>
      <x:c r="D1507" s="28"/>
      <x:c r="E1507" s="28"/>
      <x:c r="F1507" s="28"/>
      <x:c r="G1507" s="28"/>
      <x:c r="H1507" s="28"/>
      <x:c r="I1507" s="28"/>
      <x:c r="J1507" s="28"/>
      <x:c r="K1507" s="28"/>
      <x:c r="L1507" s="28"/>
      <x:c r="M1507" s="28"/>
      <x:c r="N1507" s="28"/>
      <x:c r="O1507" s="28"/>
      <x:c r="P1507" s="28"/>
      <x:c r="Q1507" s="28"/>
      <x:c r="R1507" s="28"/>
      <x:c r="S1507" s="28"/>
      <x:c r="T1507" s="28"/>
      <x:c r="U1507" s="28"/>
      <x:c r="V1507" s="28"/>
      <x:c r="W1507" s="43" t="n">
        <x:f>--AND(N1507=1,OR(O1507="SUPPORTED",O1507="HALLUCINATION"))</x:f>
        <x:v>0</x:v>
      </x:c>
      <x:c r="X1507" s="43" t="n">
        <x:f>--AND(W1507=1,O1507="HALLUCINATION")</x:f>
        <x:v>0</x:v>
      </x:c>
      <x:c r="Y1507" s="43" t="n">
        <x:f>--AND(Q1507=1,O1507="HALLUCINATION")</x:f>
        <x:v>0</x:v>
      </x:c>
      <x:c r="Z1507" s="43" t="n">
        <x:f>--AND(Y1507=1,R1507=1,S1507=1)</x:f>
        <x:v>0</x:v>
      </x:c>
      <x:c r="AC1507" t="str">
        <x:f>IF(OR(AA1507="",AB1507=""),"",--(AA1507&lt;&gt;AB1507))</x:f>
      </x:c>
      <x:c r="AE1507" t="str">
        <x:f>IF(OR(AA1507="",AB1507=""),"PENDING_HUMAN",IF(AA1507=AB1507,AA1507,IF(AD1507&lt;&gt;"",AD1507,"PENDING_HUMAN")))</x:f>
        <x:v>PENDING_HUMAN</x:v>
      </x:c>
      <x:c r="AF1507" t="n">
        <x:f>--AND(A1507&lt;&gt;"",AA1507&lt;&gt;"",AB1507&lt;&gt;"",OR(AA1507=AB1507,AD1507&lt;&gt;""),IF(AE1507="HALLUCINATION",U1507&lt;&gt;"",TRUE))</x:f>
        <x:v>0</x:v>
      </x:c>
      <x:c r="AG1507" t="n">
        <x:f>--AND(N1507=1,AF1507=1,OR(AE1507="SUPPORTED",AE1507="HALLUCINATION"))</x:f>
        <x:v>0</x:v>
      </x:c>
      <x:c r="AH1507" t="n">
        <x:f>--AND(AG1507=1,AE1507="HALLUCINATION")</x:f>
        <x:v>0</x:v>
      </x:c>
      <x:c r="AI1507" t="n">
        <x:f>--AND(Q1507=1,AF1507=1,AE1507="HALLUCINATION")</x:f>
        <x:v>0</x:v>
      </x:c>
      <x:c r="AJ1507" t="n">
        <x:f>--AND(AI1507=1,R1507=1,S1507=1)</x:f>
        <x:v>0</x:v>
      </x:c>
    </x:row>
    <x:row r="1508">
      <x:c r="A1508" s="28"/>
      <x:c r="B1508" s="28"/>
      <x:c r="C1508" s="28"/>
      <x:c r="D1508" s="28"/>
      <x:c r="E1508" s="28"/>
      <x:c r="F1508" s="28"/>
      <x:c r="G1508" s="28"/>
      <x:c r="H1508" s="28"/>
      <x:c r="I1508" s="28"/>
      <x:c r="J1508" s="28"/>
      <x:c r="K1508" s="28"/>
      <x:c r="L1508" s="28"/>
      <x:c r="M1508" s="28"/>
      <x:c r="N1508" s="28"/>
      <x:c r="O1508" s="28"/>
      <x:c r="P1508" s="28"/>
      <x:c r="Q1508" s="28"/>
      <x:c r="R1508" s="28"/>
      <x:c r="S1508" s="28"/>
      <x:c r="T1508" s="28"/>
      <x:c r="U1508" s="28"/>
      <x:c r="V1508" s="28"/>
      <x:c r="W1508" s="43" t="n">
        <x:f>--AND(N1508=1,OR(O1508="SUPPORTED",O1508="HALLUCINATION"))</x:f>
        <x:v>0</x:v>
      </x:c>
      <x:c r="X1508" s="43" t="n">
        <x:f>--AND(W1508=1,O1508="HALLUCINATION")</x:f>
        <x:v>0</x:v>
      </x:c>
      <x:c r="Y1508" s="43" t="n">
        <x:f>--AND(Q1508=1,O1508="HALLUCINATION")</x:f>
        <x:v>0</x:v>
      </x:c>
      <x:c r="Z1508" s="43" t="n">
        <x:f>--AND(Y1508=1,R1508=1,S1508=1)</x:f>
        <x:v>0</x:v>
      </x:c>
      <x:c r="AC1508" t="str">
        <x:f>IF(OR(AA1508="",AB1508=""),"",--(AA1508&lt;&gt;AB1508))</x:f>
      </x:c>
      <x:c r="AE1508" t="str">
        <x:f>IF(OR(AA1508="",AB1508=""),"PENDING_HUMAN",IF(AA1508=AB1508,AA1508,IF(AD1508&lt;&gt;"",AD1508,"PENDING_HUMAN")))</x:f>
        <x:v>PENDING_HUMAN</x:v>
      </x:c>
      <x:c r="AF1508" t="n">
        <x:f>--AND(A1508&lt;&gt;"",AA1508&lt;&gt;"",AB1508&lt;&gt;"",OR(AA1508=AB1508,AD1508&lt;&gt;""),IF(AE1508="HALLUCINATION",U1508&lt;&gt;"",TRUE))</x:f>
        <x:v>0</x:v>
      </x:c>
      <x:c r="AG1508" t="n">
        <x:f>--AND(N1508=1,AF1508=1,OR(AE1508="SUPPORTED",AE1508="HALLUCINATION"))</x:f>
        <x:v>0</x:v>
      </x:c>
      <x:c r="AH1508" t="n">
        <x:f>--AND(AG1508=1,AE1508="HALLUCINATION")</x:f>
        <x:v>0</x:v>
      </x:c>
      <x:c r="AI1508" t="n">
        <x:f>--AND(Q1508=1,AF1508=1,AE1508="HALLUCINATION")</x:f>
        <x:v>0</x:v>
      </x:c>
      <x:c r="AJ1508" t="n">
        <x:f>--AND(AI1508=1,R1508=1,S1508=1)</x:f>
        <x:v>0</x:v>
      </x:c>
    </x:row>
    <x:row r="1509">
      <x:c r="A1509" s="28"/>
      <x:c r="B1509" s="28"/>
      <x:c r="C1509" s="28"/>
      <x:c r="D1509" s="28"/>
      <x:c r="E1509" s="28"/>
      <x:c r="F1509" s="28"/>
      <x:c r="G1509" s="28"/>
      <x:c r="H1509" s="28"/>
      <x:c r="I1509" s="28"/>
      <x:c r="J1509" s="28"/>
      <x:c r="K1509" s="28"/>
      <x:c r="L1509" s="28"/>
      <x:c r="M1509" s="28"/>
      <x:c r="N1509" s="28"/>
      <x:c r="O1509" s="28"/>
      <x:c r="P1509" s="28"/>
      <x:c r="Q1509" s="28"/>
      <x:c r="R1509" s="28"/>
      <x:c r="S1509" s="28"/>
      <x:c r="T1509" s="28"/>
      <x:c r="U1509" s="28"/>
      <x:c r="V1509" s="28"/>
      <x:c r="W1509" s="43" t="n">
        <x:f>--AND(N1509=1,OR(O1509="SUPPORTED",O1509="HALLUCINATION"))</x:f>
        <x:v>0</x:v>
      </x:c>
      <x:c r="X1509" s="43" t="n">
        <x:f>--AND(W1509=1,O1509="HALLUCINATION")</x:f>
        <x:v>0</x:v>
      </x:c>
      <x:c r="Y1509" s="43" t="n">
        <x:f>--AND(Q1509=1,O1509="HALLUCINATION")</x:f>
        <x:v>0</x:v>
      </x:c>
      <x:c r="Z1509" s="43" t="n">
        <x:f>--AND(Y1509=1,R1509=1,S1509=1)</x:f>
        <x:v>0</x:v>
      </x:c>
      <x:c r="AC1509" t="str">
        <x:f>IF(OR(AA1509="",AB1509=""),"",--(AA1509&lt;&gt;AB1509))</x:f>
      </x:c>
      <x:c r="AE1509" t="str">
        <x:f>IF(OR(AA1509="",AB1509=""),"PENDING_HUMAN",IF(AA1509=AB1509,AA1509,IF(AD1509&lt;&gt;"",AD1509,"PENDING_HUMAN")))</x:f>
        <x:v>PENDING_HUMAN</x:v>
      </x:c>
      <x:c r="AF1509" t="n">
        <x:f>--AND(A1509&lt;&gt;"",AA1509&lt;&gt;"",AB1509&lt;&gt;"",OR(AA1509=AB1509,AD1509&lt;&gt;""),IF(AE1509="HALLUCINATION",U1509&lt;&gt;"",TRUE))</x:f>
        <x:v>0</x:v>
      </x:c>
      <x:c r="AG1509" t="n">
        <x:f>--AND(N1509=1,AF1509=1,OR(AE1509="SUPPORTED",AE1509="HALLUCINATION"))</x:f>
        <x:v>0</x:v>
      </x:c>
      <x:c r="AH1509" t="n">
        <x:f>--AND(AG1509=1,AE1509="HALLUCINATION")</x:f>
        <x:v>0</x:v>
      </x:c>
      <x:c r="AI1509" t="n">
        <x:f>--AND(Q1509=1,AF1509=1,AE1509="HALLUCINATION")</x:f>
        <x:v>0</x:v>
      </x:c>
      <x:c r="AJ1509" t="n">
        <x:f>--AND(AI1509=1,R1509=1,S1509=1)</x:f>
        <x:v>0</x:v>
      </x:c>
    </x:row>
    <x:row r="1510">
      <x:c r="A1510" s="28"/>
      <x:c r="B1510" s="28"/>
      <x:c r="C1510" s="28"/>
      <x:c r="D1510" s="28"/>
      <x:c r="E1510" s="28"/>
      <x:c r="F1510" s="28"/>
      <x:c r="G1510" s="28"/>
      <x:c r="H1510" s="28"/>
      <x:c r="I1510" s="28"/>
      <x:c r="J1510" s="28"/>
      <x:c r="K1510" s="28"/>
      <x:c r="L1510" s="28"/>
      <x:c r="M1510" s="28"/>
      <x:c r="N1510" s="28"/>
      <x:c r="O1510" s="28"/>
      <x:c r="P1510" s="28"/>
      <x:c r="Q1510" s="28"/>
      <x:c r="R1510" s="28"/>
      <x:c r="S1510" s="28"/>
      <x:c r="T1510" s="28"/>
      <x:c r="U1510" s="28"/>
      <x:c r="V1510" s="28"/>
      <x:c r="W1510" s="43" t="n">
        <x:f>--AND(N1510=1,OR(O1510="SUPPORTED",O1510="HALLUCINATION"))</x:f>
        <x:v>0</x:v>
      </x:c>
      <x:c r="X1510" s="43" t="n">
        <x:f>--AND(W1510=1,O1510="HALLUCINATION")</x:f>
        <x:v>0</x:v>
      </x:c>
      <x:c r="Y1510" s="43" t="n">
        <x:f>--AND(Q1510=1,O1510="HALLUCINATION")</x:f>
        <x:v>0</x:v>
      </x:c>
      <x:c r="Z1510" s="43" t="n">
        <x:f>--AND(Y1510=1,R1510=1,S1510=1)</x:f>
        <x:v>0</x:v>
      </x:c>
      <x:c r="AC1510" t="str">
        <x:f>IF(OR(AA1510="",AB1510=""),"",--(AA1510&lt;&gt;AB1510))</x:f>
      </x:c>
      <x:c r="AE1510" t="str">
        <x:f>IF(OR(AA1510="",AB1510=""),"PENDING_HUMAN",IF(AA1510=AB1510,AA1510,IF(AD1510&lt;&gt;"",AD1510,"PENDING_HUMAN")))</x:f>
        <x:v>PENDING_HUMAN</x:v>
      </x:c>
      <x:c r="AF1510" t="n">
        <x:f>--AND(A1510&lt;&gt;"",AA1510&lt;&gt;"",AB1510&lt;&gt;"",OR(AA1510=AB1510,AD1510&lt;&gt;""),IF(AE1510="HALLUCINATION",U1510&lt;&gt;"",TRUE))</x:f>
        <x:v>0</x:v>
      </x:c>
      <x:c r="AG1510" t="n">
        <x:f>--AND(N1510=1,AF1510=1,OR(AE1510="SUPPORTED",AE1510="HALLUCINATION"))</x:f>
        <x:v>0</x:v>
      </x:c>
      <x:c r="AH1510" t="n">
        <x:f>--AND(AG1510=1,AE1510="HALLUCINATION")</x:f>
        <x:v>0</x:v>
      </x:c>
      <x:c r="AI1510" t="n">
        <x:f>--AND(Q1510=1,AF1510=1,AE1510="HALLUCINATION")</x:f>
        <x:v>0</x:v>
      </x:c>
      <x:c r="AJ1510" t="n">
        <x:f>--AND(AI1510=1,R1510=1,S1510=1)</x:f>
        <x:v>0</x:v>
      </x:c>
    </x:row>
    <x:row r="1511">
      <x:c r="A1511" s="28"/>
      <x:c r="B1511" s="28"/>
      <x:c r="C1511" s="28"/>
      <x:c r="D1511" s="28"/>
      <x:c r="E1511" s="28"/>
      <x:c r="F1511" s="28"/>
      <x:c r="G1511" s="28"/>
      <x:c r="H1511" s="28"/>
      <x:c r="I1511" s="28"/>
      <x:c r="J1511" s="28"/>
      <x:c r="K1511" s="28"/>
      <x:c r="L1511" s="28"/>
      <x:c r="M1511" s="28"/>
      <x:c r="N1511" s="28"/>
      <x:c r="O1511" s="28"/>
      <x:c r="P1511" s="28"/>
      <x:c r="Q1511" s="28"/>
      <x:c r="R1511" s="28"/>
      <x:c r="S1511" s="28"/>
      <x:c r="T1511" s="28"/>
      <x:c r="U1511" s="28"/>
      <x:c r="V1511" s="28"/>
      <x:c r="W1511" s="43" t="n">
        <x:f>--AND(N1511=1,OR(O1511="SUPPORTED",O1511="HALLUCINATION"))</x:f>
        <x:v>0</x:v>
      </x:c>
      <x:c r="X1511" s="43" t="n">
        <x:f>--AND(W1511=1,O1511="HALLUCINATION")</x:f>
        <x:v>0</x:v>
      </x:c>
      <x:c r="Y1511" s="43" t="n">
        <x:f>--AND(Q1511=1,O1511="HALLUCINATION")</x:f>
        <x:v>0</x:v>
      </x:c>
      <x:c r="Z1511" s="43" t="n">
        <x:f>--AND(Y1511=1,R1511=1,S1511=1)</x:f>
        <x:v>0</x:v>
      </x:c>
      <x:c r="AC1511" t="str">
        <x:f>IF(OR(AA1511="",AB1511=""),"",--(AA1511&lt;&gt;AB1511))</x:f>
      </x:c>
      <x:c r="AE1511" t="str">
        <x:f>IF(OR(AA1511="",AB1511=""),"PENDING_HUMAN",IF(AA1511=AB1511,AA1511,IF(AD1511&lt;&gt;"",AD1511,"PENDING_HUMAN")))</x:f>
        <x:v>PENDING_HUMAN</x:v>
      </x:c>
      <x:c r="AF1511" t="n">
        <x:f>--AND(A1511&lt;&gt;"",AA1511&lt;&gt;"",AB1511&lt;&gt;"",OR(AA1511=AB1511,AD1511&lt;&gt;""),IF(AE1511="HALLUCINATION",U1511&lt;&gt;"",TRUE))</x:f>
        <x:v>0</x:v>
      </x:c>
      <x:c r="AG1511" t="n">
        <x:f>--AND(N1511=1,AF1511=1,OR(AE1511="SUPPORTED",AE1511="HALLUCINATION"))</x:f>
        <x:v>0</x:v>
      </x:c>
      <x:c r="AH1511" t="n">
        <x:f>--AND(AG1511=1,AE1511="HALLUCINATION")</x:f>
        <x:v>0</x:v>
      </x:c>
      <x:c r="AI1511" t="n">
        <x:f>--AND(Q1511=1,AF1511=1,AE1511="HALLUCINATION")</x:f>
        <x:v>0</x:v>
      </x:c>
      <x:c r="AJ1511" t="n">
        <x:f>--AND(AI1511=1,R1511=1,S1511=1)</x:f>
        <x:v>0</x:v>
      </x:c>
    </x:row>
    <x:row r="1512">
      <x:c r="A1512" s="28"/>
      <x:c r="B1512" s="28"/>
      <x:c r="C1512" s="28"/>
      <x:c r="D1512" s="28"/>
      <x:c r="E1512" s="28"/>
      <x:c r="F1512" s="28"/>
      <x:c r="G1512" s="28"/>
      <x:c r="H1512" s="28"/>
      <x:c r="I1512" s="28"/>
      <x:c r="J1512" s="28"/>
      <x:c r="K1512" s="28"/>
      <x:c r="L1512" s="28"/>
      <x:c r="M1512" s="28"/>
      <x:c r="N1512" s="28"/>
      <x:c r="O1512" s="28"/>
      <x:c r="P1512" s="28"/>
      <x:c r="Q1512" s="28"/>
      <x:c r="R1512" s="28"/>
      <x:c r="S1512" s="28"/>
      <x:c r="T1512" s="28"/>
      <x:c r="U1512" s="28"/>
      <x:c r="V1512" s="28"/>
      <x:c r="W1512" s="43" t="n">
        <x:f>--AND(N1512=1,OR(O1512="SUPPORTED",O1512="HALLUCINATION"))</x:f>
        <x:v>0</x:v>
      </x:c>
      <x:c r="X1512" s="43" t="n">
        <x:f>--AND(W1512=1,O1512="HALLUCINATION")</x:f>
        <x:v>0</x:v>
      </x:c>
      <x:c r="Y1512" s="43" t="n">
        <x:f>--AND(Q1512=1,O1512="HALLUCINATION")</x:f>
        <x:v>0</x:v>
      </x:c>
      <x:c r="Z1512" s="43" t="n">
        <x:f>--AND(Y1512=1,R1512=1,S1512=1)</x:f>
        <x:v>0</x:v>
      </x:c>
      <x:c r="AC1512" t="str">
        <x:f>IF(OR(AA1512="",AB1512=""),"",--(AA1512&lt;&gt;AB1512))</x:f>
      </x:c>
      <x:c r="AE1512" t="str">
        <x:f>IF(OR(AA1512="",AB1512=""),"PENDING_HUMAN",IF(AA1512=AB1512,AA1512,IF(AD1512&lt;&gt;"",AD1512,"PENDING_HUMAN")))</x:f>
        <x:v>PENDING_HUMAN</x:v>
      </x:c>
      <x:c r="AF1512" t="n">
        <x:f>--AND(A1512&lt;&gt;"",AA1512&lt;&gt;"",AB1512&lt;&gt;"",OR(AA1512=AB1512,AD1512&lt;&gt;""),IF(AE1512="HALLUCINATION",U1512&lt;&gt;"",TRUE))</x:f>
        <x:v>0</x:v>
      </x:c>
      <x:c r="AG1512" t="n">
        <x:f>--AND(N1512=1,AF1512=1,OR(AE1512="SUPPORTED",AE1512="HALLUCINATION"))</x:f>
        <x:v>0</x:v>
      </x:c>
      <x:c r="AH1512" t="n">
        <x:f>--AND(AG1512=1,AE1512="HALLUCINATION")</x:f>
        <x:v>0</x:v>
      </x:c>
      <x:c r="AI1512" t="n">
        <x:f>--AND(Q1512=1,AF1512=1,AE1512="HALLUCINATION")</x:f>
        <x:v>0</x:v>
      </x:c>
      <x:c r="AJ1512" t="n">
        <x:f>--AND(AI1512=1,R1512=1,S1512=1)</x:f>
        <x:v>0</x:v>
      </x:c>
    </x:row>
    <x:row r="1513">
      <x:c r="A1513" s="28"/>
      <x:c r="B1513" s="28"/>
      <x:c r="C1513" s="28"/>
      <x:c r="D1513" s="28"/>
      <x:c r="E1513" s="28"/>
      <x:c r="F1513" s="28"/>
      <x:c r="G1513" s="28"/>
      <x:c r="H1513" s="28"/>
      <x:c r="I1513" s="28"/>
      <x:c r="J1513" s="28"/>
      <x:c r="K1513" s="28"/>
      <x:c r="L1513" s="28"/>
      <x:c r="M1513" s="28"/>
      <x:c r="N1513" s="28"/>
      <x:c r="O1513" s="28"/>
      <x:c r="P1513" s="28"/>
      <x:c r="Q1513" s="28"/>
      <x:c r="R1513" s="28"/>
      <x:c r="S1513" s="28"/>
      <x:c r="T1513" s="28"/>
      <x:c r="U1513" s="28"/>
      <x:c r="V1513" s="28"/>
      <x:c r="W1513" s="43" t="n">
        <x:f>--AND(N1513=1,OR(O1513="SUPPORTED",O1513="HALLUCINATION"))</x:f>
        <x:v>0</x:v>
      </x:c>
      <x:c r="X1513" s="43" t="n">
        <x:f>--AND(W1513=1,O1513="HALLUCINATION")</x:f>
        <x:v>0</x:v>
      </x:c>
      <x:c r="Y1513" s="43" t="n">
        <x:f>--AND(Q1513=1,O1513="HALLUCINATION")</x:f>
        <x:v>0</x:v>
      </x:c>
      <x:c r="Z1513" s="43" t="n">
        <x:f>--AND(Y1513=1,R1513=1,S1513=1)</x:f>
        <x:v>0</x:v>
      </x:c>
      <x:c r="AC1513" t="str">
        <x:f>IF(OR(AA1513="",AB1513=""),"",--(AA1513&lt;&gt;AB1513))</x:f>
      </x:c>
      <x:c r="AE1513" t="str">
        <x:f>IF(OR(AA1513="",AB1513=""),"PENDING_HUMAN",IF(AA1513=AB1513,AA1513,IF(AD1513&lt;&gt;"",AD1513,"PENDING_HUMAN")))</x:f>
        <x:v>PENDING_HUMAN</x:v>
      </x:c>
      <x:c r="AF1513" t="n">
        <x:f>--AND(A1513&lt;&gt;"",AA1513&lt;&gt;"",AB1513&lt;&gt;"",OR(AA1513=AB1513,AD1513&lt;&gt;""),IF(AE1513="HALLUCINATION",U1513&lt;&gt;"",TRUE))</x:f>
        <x:v>0</x:v>
      </x:c>
      <x:c r="AG1513" t="n">
        <x:f>--AND(N1513=1,AF1513=1,OR(AE1513="SUPPORTED",AE1513="HALLUCINATION"))</x:f>
        <x:v>0</x:v>
      </x:c>
      <x:c r="AH1513" t="n">
        <x:f>--AND(AG1513=1,AE1513="HALLUCINATION")</x:f>
        <x:v>0</x:v>
      </x:c>
      <x:c r="AI1513" t="n">
        <x:f>--AND(Q1513=1,AF1513=1,AE1513="HALLUCINATION")</x:f>
        <x:v>0</x:v>
      </x:c>
      <x:c r="AJ1513" t="n">
        <x:f>--AND(AI1513=1,R1513=1,S1513=1)</x:f>
        <x:v>0</x:v>
      </x:c>
    </x:row>
    <x:row r="1514">
      <x:c r="A1514" s="28"/>
      <x:c r="B1514" s="28"/>
      <x:c r="C1514" s="28"/>
      <x:c r="D1514" s="28"/>
      <x:c r="E1514" s="28"/>
      <x:c r="F1514" s="28"/>
      <x:c r="G1514" s="28"/>
      <x:c r="H1514" s="28"/>
      <x:c r="I1514" s="28"/>
      <x:c r="J1514" s="28"/>
      <x:c r="K1514" s="28"/>
      <x:c r="L1514" s="28"/>
      <x:c r="M1514" s="28"/>
      <x:c r="N1514" s="28"/>
      <x:c r="O1514" s="28"/>
      <x:c r="P1514" s="28"/>
      <x:c r="Q1514" s="28"/>
      <x:c r="R1514" s="28"/>
      <x:c r="S1514" s="28"/>
      <x:c r="T1514" s="28"/>
      <x:c r="U1514" s="28"/>
      <x:c r="V1514" s="28"/>
      <x:c r="W1514" s="43" t="n">
        <x:f>--AND(N1514=1,OR(O1514="SUPPORTED",O1514="HALLUCINATION"))</x:f>
        <x:v>0</x:v>
      </x:c>
      <x:c r="X1514" s="43" t="n">
        <x:f>--AND(W1514=1,O1514="HALLUCINATION")</x:f>
        <x:v>0</x:v>
      </x:c>
      <x:c r="Y1514" s="43" t="n">
        <x:f>--AND(Q1514=1,O1514="HALLUCINATION")</x:f>
        <x:v>0</x:v>
      </x:c>
      <x:c r="Z1514" s="43" t="n">
        <x:f>--AND(Y1514=1,R1514=1,S1514=1)</x:f>
        <x:v>0</x:v>
      </x:c>
      <x:c r="AC1514" t="str">
        <x:f>IF(OR(AA1514="",AB1514=""),"",--(AA1514&lt;&gt;AB1514))</x:f>
      </x:c>
      <x:c r="AE1514" t="str">
        <x:f>IF(OR(AA1514="",AB1514=""),"PENDING_HUMAN",IF(AA1514=AB1514,AA1514,IF(AD1514&lt;&gt;"",AD1514,"PENDING_HUMAN")))</x:f>
        <x:v>PENDING_HUMAN</x:v>
      </x:c>
      <x:c r="AF1514" t="n">
        <x:f>--AND(A1514&lt;&gt;"",AA1514&lt;&gt;"",AB1514&lt;&gt;"",OR(AA1514=AB1514,AD1514&lt;&gt;""),IF(AE1514="HALLUCINATION",U1514&lt;&gt;"",TRUE))</x:f>
        <x:v>0</x:v>
      </x:c>
      <x:c r="AG1514" t="n">
        <x:f>--AND(N1514=1,AF1514=1,OR(AE1514="SUPPORTED",AE1514="HALLUCINATION"))</x:f>
        <x:v>0</x:v>
      </x:c>
      <x:c r="AH1514" t="n">
        <x:f>--AND(AG1514=1,AE1514="HALLUCINATION")</x:f>
        <x:v>0</x:v>
      </x:c>
      <x:c r="AI1514" t="n">
        <x:f>--AND(Q1514=1,AF1514=1,AE1514="HALLUCINATION")</x:f>
        <x:v>0</x:v>
      </x:c>
      <x:c r="AJ1514" t="n">
        <x:f>--AND(AI1514=1,R1514=1,S1514=1)</x:f>
        <x:v>0</x:v>
      </x:c>
    </x:row>
    <x:row r="1515">
      <x:c r="A1515" s="28"/>
      <x:c r="B1515" s="28"/>
      <x:c r="C1515" s="28"/>
      <x:c r="D1515" s="28"/>
      <x:c r="E1515" s="28"/>
      <x:c r="F1515" s="28"/>
      <x:c r="G1515" s="28"/>
      <x:c r="H1515" s="28"/>
      <x:c r="I1515" s="28"/>
      <x:c r="J1515" s="28"/>
      <x:c r="K1515" s="28"/>
      <x:c r="L1515" s="28"/>
      <x:c r="M1515" s="28"/>
      <x:c r="N1515" s="28"/>
      <x:c r="O1515" s="28"/>
      <x:c r="P1515" s="28"/>
      <x:c r="Q1515" s="28"/>
      <x:c r="R1515" s="28"/>
      <x:c r="S1515" s="28"/>
      <x:c r="T1515" s="28"/>
      <x:c r="U1515" s="28"/>
      <x:c r="V1515" s="28"/>
      <x:c r="W1515" s="43" t="n">
        <x:f>--AND(N1515=1,OR(O1515="SUPPORTED",O1515="HALLUCINATION"))</x:f>
        <x:v>0</x:v>
      </x:c>
      <x:c r="X1515" s="43" t="n">
        <x:f>--AND(W1515=1,O1515="HALLUCINATION")</x:f>
        <x:v>0</x:v>
      </x:c>
      <x:c r="Y1515" s="43" t="n">
        <x:f>--AND(Q1515=1,O1515="HALLUCINATION")</x:f>
        <x:v>0</x:v>
      </x:c>
      <x:c r="Z1515" s="43" t="n">
        <x:f>--AND(Y1515=1,R1515=1,S1515=1)</x:f>
        <x:v>0</x:v>
      </x:c>
      <x:c r="AC1515" t="str">
        <x:f>IF(OR(AA1515="",AB1515=""),"",--(AA1515&lt;&gt;AB1515))</x:f>
      </x:c>
      <x:c r="AE1515" t="str">
        <x:f>IF(OR(AA1515="",AB1515=""),"PENDING_HUMAN",IF(AA1515=AB1515,AA1515,IF(AD1515&lt;&gt;"",AD1515,"PENDING_HUMAN")))</x:f>
        <x:v>PENDING_HUMAN</x:v>
      </x:c>
      <x:c r="AF1515" t="n">
        <x:f>--AND(A1515&lt;&gt;"",AA1515&lt;&gt;"",AB1515&lt;&gt;"",OR(AA1515=AB1515,AD1515&lt;&gt;""),IF(AE1515="HALLUCINATION",U1515&lt;&gt;"",TRUE))</x:f>
        <x:v>0</x:v>
      </x:c>
      <x:c r="AG1515" t="n">
        <x:f>--AND(N1515=1,AF1515=1,OR(AE1515="SUPPORTED",AE1515="HALLUCINATION"))</x:f>
        <x:v>0</x:v>
      </x:c>
      <x:c r="AH1515" t="n">
        <x:f>--AND(AG1515=1,AE1515="HALLUCINATION")</x:f>
        <x:v>0</x:v>
      </x:c>
      <x:c r="AI1515" t="n">
        <x:f>--AND(Q1515=1,AF1515=1,AE1515="HALLUCINATION")</x:f>
        <x:v>0</x:v>
      </x:c>
      <x:c r="AJ1515" t="n">
        <x:f>--AND(AI1515=1,R1515=1,S1515=1)</x:f>
        <x:v>0</x:v>
      </x:c>
    </x:row>
    <x:row r="1516">
      <x:c r="A1516" s="28"/>
      <x:c r="B1516" s="28"/>
      <x:c r="C1516" s="28"/>
      <x:c r="D1516" s="28"/>
      <x:c r="E1516" s="28"/>
      <x:c r="F1516" s="28"/>
      <x:c r="G1516" s="28"/>
      <x:c r="H1516" s="28"/>
      <x:c r="I1516" s="28"/>
      <x:c r="J1516" s="28"/>
      <x:c r="K1516" s="28"/>
      <x:c r="L1516" s="28"/>
      <x:c r="M1516" s="28"/>
      <x:c r="N1516" s="28"/>
      <x:c r="O1516" s="28"/>
      <x:c r="P1516" s="28"/>
      <x:c r="Q1516" s="28"/>
      <x:c r="R1516" s="28"/>
      <x:c r="S1516" s="28"/>
      <x:c r="T1516" s="28"/>
      <x:c r="U1516" s="28"/>
      <x:c r="V1516" s="28"/>
      <x:c r="W1516" s="43" t="n">
        <x:f>--AND(N1516=1,OR(O1516="SUPPORTED",O1516="HALLUCINATION"))</x:f>
        <x:v>0</x:v>
      </x:c>
      <x:c r="X1516" s="43" t="n">
        <x:f>--AND(W1516=1,O1516="HALLUCINATION")</x:f>
        <x:v>0</x:v>
      </x:c>
      <x:c r="Y1516" s="43" t="n">
        <x:f>--AND(Q1516=1,O1516="HALLUCINATION")</x:f>
        <x:v>0</x:v>
      </x:c>
      <x:c r="Z1516" s="43" t="n">
        <x:f>--AND(Y1516=1,R1516=1,S1516=1)</x:f>
        <x:v>0</x:v>
      </x:c>
      <x:c r="AC1516" t="str">
        <x:f>IF(OR(AA1516="",AB1516=""),"",--(AA1516&lt;&gt;AB1516))</x:f>
      </x:c>
      <x:c r="AE1516" t="str">
        <x:f>IF(OR(AA1516="",AB1516=""),"PENDING_HUMAN",IF(AA1516=AB1516,AA1516,IF(AD1516&lt;&gt;"",AD1516,"PENDING_HUMAN")))</x:f>
        <x:v>PENDING_HUMAN</x:v>
      </x:c>
      <x:c r="AF1516" t="n">
        <x:f>--AND(A1516&lt;&gt;"",AA1516&lt;&gt;"",AB1516&lt;&gt;"",OR(AA1516=AB1516,AD1516&lt;&gt;""),IF(AE1516="HALLUCINATION",U1516&lt;&gt;"",TRUE))</x:f>
        <x:v>0</x:v>
      </x:c>
      <x:c r="AG1516" t="n">
        <x:f>--AND(N1516=1,AF1516=1,OR(AE1516="SUPPORTED",AE1516="HALLUCINATION"))</x:f>
        <x:v>0</x:v>
      </x:c>
      <x:c r="AH1516" t="n">
        <x:f>--AND(AG1516=1,AE1516="HALLUCINATION")</x:f>
        <x:v>0</x:v>
      </x:c>
      <x:c r="AI1516" t="n">
        <x:f>--AND(Q1516=1,AF1516=1,AE1516="HALLUCINATION")</x:f>
        <x:v>0</x:v>
      </x:c>
      <x:c r="AJ1516" t="n">
        <x:f>--AND(AI1516=1,R1516=1,S1516=1)</x:f>
        <x:v>0</x:v>
      </x:c>
    </x:row>
    <x:row r="1517">
      <x:c r="A1517" s="28"/>
      <x:c r="B1517" s="28"/>
      <x:c r="C1517" s="28"/>
      <x:c r="D1517" s="28"/>
      <x:c r="E1517" s="28"/>
      <x:c r="F1517" s="28"/>
      <x:c r="G1517" s="28"/>
      <x:c r="H1517" s="28"/>
      <x:c r="I1517" s="28"/>
      <x:c r="J1517" s="28"/>
      <x:c r="K1517" s="28"/>
      <x:c r="L1517" s="28"/>
      <x:c r="M1517" s="28"/>
      <x:c r="N1517" s="28"/>
      <x:c r="O1517" s="28"/>
      <x:c r="P1517" s="28"/>
      <x:c r="Q1517" s="28"/>
      <x:c r="R1517" s="28"/>
      <x:c r="S1517" s="28"/>
      <x:c r="T1517" s="28"/>
      <x:c r="U1517" s="28"/>
      <x:c r="V1517" s="28"/>
      <x:c r="W1517" s="43" t="n">
        <x:f>--AND(N1517=1,OR(O1517="SUPPORTED",O1517="HALLUCINATION"))</x:f>
        <x:v>0</x:v>
      </x:c>
      <x:c r="X1517" s="43" t="n">
        <x:f>--AND(W1517=1,O1517="HALLUCINATION")</x:f>
        <x:v>0</x:v>
      </x:c>
      <x:c r="Y1517" s="43" t="n">
        <x:f>--AND(Q1517=1,O1517="HALLUCINATION")</x:f>
        <x:v>0</x:v>
      </x:c>
      <x:c r="Z1517" s="43" t="n">
        <x:f>--AND(Y1517=1,R1517=1,S1517=1)</x:f>
        <x:v>0</x:v>
      </x:c>
      <x:c r="AC1517" t="str">
        <x:f>IF(OR(AA1517="",AB1517=""),"",--(AA1517&lt;&gt;AB1517))</x:f>
      </x:c>
      <x:c r="AE1517" t="str">
        <x:f>IF(OR(AA1517="",AB1517=""),"PENDING_HUMAN",IF(AA1517=AB1517,AA1517,IF(AD1517&lt;&gt;"",AD1517,"PENDING_HUMAN")))</x:f>
        <x:v>PENDING_HUMAN</x:v>
      </x:c>
      <x:c r="AF1517" t="n">
        <x:f>--AND(A1517&lt;&gt;"",AA1517&lt;&gt;"",AB1517&lt;&gt;"",OR(AA1517=AB1517,AD1517&lt;&gt;""),IF(AE1517="HALLUCINATION",U1517&lt;&gt;"",TRUE))</x:f>
        <x:v>0</x:v>
      </x:c>
      <x:c r="AG1517" t="n">
        <x:f>--AND(N1517=1,AF1517=1,OR(AE1517="SUPPORTED",AE1517="HALLUCINATION"))</x:f>
        <x:v>0</x:v>
      </x:c>
      <x:c r="AH1517" t="n">
        <x:f>--AND(AG1517=1,AE1517="HALLUCINATION")</x:f>
        <x:v>0</x:v>
      </x:c>
      <x:c r="AI1517" t="n">
        <x:f>--AND(Q1517=1,AF1517=1,AE1517="HALLUCINATION")</x:f>
        <x:v>0</x:v>
      </x:c>
      <x:c r="AJ1517" t="n">
        <x:f>--AND(AI1517=1,R1517=1,S1517=1)</x:f>
        <x:v>0</x:v>
      </x:c>
    </x:row>
    <x:row r="1518">
      <x:c r="A1518" s="28"/>
      <x:c r="B1518" s="28"/>
      <x:c r="C1518" s="28"/>
      <x:c r="D1518" s="28"/>
      <x:c r="E1518" s="28"/>
      <x:c r="F1518" s="28"/>
      <x:c r="G1518" s="28"/>
      <x:c r="H1518" s="28"/>
      <x:c r="I1518" s="28"/>
      <x:c r="J1518" s="28"/>
      <x:c r="K1518" s="28"/>
      <x:c r="L1518" s="28"/>
      <x:c r="M1518" s="28"/>
      <x:c r="N1518" s="28"/>
      <x:c r="O1518" s="28"/>
      <x:c r="P1518" s="28"/>
      <x:c r="Q1518" s="28"/>
      <x:c r="R1518" s="28"/>
      <x:c r="S1518" s="28"/>
      <x:c r="T1518" s="28"/>
      <x:c r="U1518" s="28"/>
      <x:c r="V1518" s="28"/>
      <x:c r="W1518" s="43" t="n">
        <x:f>--AND(N1518=1,OR(O1518="SUPPORTED",O1518="HALLUCINATION"))</x:f>
        <x:v>0</x:v>
      </x:c>
      <x:c r="X1518" s="43" t="n">
        <x:f>--AND(W1518=1,O1518="HALLUCINATION")</x:f>
        <x:v>0</x:v>
      </x:c>
      <x:c r="Y1518" s="43" t="n">
        <x:f>--AND(Q1518=1,O1518="HALLUCINATION")</x:f>
        <x:v>0</x:v>
      </x:c>
      <x:c r="Z1518" s="43" t="n">
        <x:f>--AND(Y1518=1,R1518=1,S1518=1)</x:f>
        <x:v>0</x:v>
      </x:c>
      <x:c r="AC1518" t="str">
        <x:f>IF(OR(AA1518="",AB1518=""),"",--(AA1518&lt;&gt;AB1518))</x:f>
      </x:c>
      <x:c r="AE1518" t="str">
        <x:f>IF(OR(AA1518="",AB1518=""),"PENDING_HUMAN",IF(AA1518=AB1518,AA1518,IF(AD1518&lt;&gt;"",AD1518,"PENDING_HUMAN")))</x:f>
        <x:v>PENDING_HUMAN</x:v>
      </x:c>
      <x:c r="AF1518" t="n">
        <x:f>--AND(A1518&lt;&gt;"",AA1518&lt;&gt;"",AB1518&lt;&gt;"",OR(AA1518=AB1518,AD1518&lt;&gt;""),IF(AE1518="HALLUCINATION",U1518&lt;&gt;"",TRUE))</x:f>
        <x:v>0</x:v>
      </x:c>
      <x:c r="AG1518" t="n">
        <x:f>--AND(N1518=1,AF1518=1,OR(AE1518="SUPPORTED",AE1518="HALLUCINATION"))</x:f>
        <x:v>0</x:v>
      </x:c>
      <x:c r="AH1518" t="n">
        <x:f>--AND(AG1518=1,AE1518="HALLUCINATION")</x:f>
        <x:v>0</x:v>
      </x:c>
      <x:c r="AI1518" t="n">
        <x:f>--AND(Q1518=1,AF1518=1,AE1518="HALLUCINATION")</x:f>
        <x:v>0</x:v>
      </x:c>
      <x:c r="AJ1518" t="n">
        <x:f>--AND(AI1518=1,R1518=1,S1518=1)</x:f>
        <x:v>0</x:v>
      </x:c>
    </x:row>
    <x:row r="1519">
      <x:c r="A1519" s="28"/>
      <x:c r="B1519" s="28"/>
      <x:c r="C1519" s="28"/>
      <x:c r="D1519" s="28"/>
      <x:c r="E1519" s="28"/>
      <x:c r="F1519" s="28"/>
      <x:c r="G1519" s="28"/>
      <x:c r="H1519" s="28"/>
      <x:c r="I1519" s="28"/>
      <x:c r="J1519" s="28"/>
      <x:c r="K1519" s="28"/>
      <x:c r="L1519" s="28"/>
      <x:c r="M1519" s="28"/>
      <x:c r="N1519" s="28"/>
      <x:c r="O1519" s="28"/>
      <x:c r="P1519" s="28"/>
      <x:c r="Q1519" s="28"/>
      <x:c r="R1519" s="28"/>
      <x:c r="S1519" s="28"/>
      <x:c r="T1519" s="28"/>
      <x:c r="U1519" s="28"/>
      <x:c r="V1519" s="28"/>
      <x:c r="W1519" s="43" t="n">
        <x:f>--AND(N1519=1,OR(O1519="SUPPORTED",O1519="HALLUCINATION"))</x:f>
        <x:v>0</x:v>
      </x:c>
      <x:c r="X1519" s="43" t="n">
        <x:f>--AND(W1519=1,O1519="HALLUCINATION")</x:f>
        <x:v>0</x:v>
      </x:c>
      <x:c r="Y1519" s="43" t="n">
        <x:f>--AND(Q1519=1,O1519="HALLUCINATION")</x:f>
        <x:v>0</x:v>
      </x:c>
      <x:c r="Z1519" s="43" t="n">
        <x:f>--AND(Y1519=1,R1519=1,S1519=1)</x:f>
        <x:v>0</x:v>
      </x:c>
      <x:c r="AC1519" t="str">
        <x:f>IF(OR(AA1519="",AB1519=""),"",--(AA1519&lt;&gt;AB1519))</x:f>
      </x:c>
      <x:c r="AE1519" t="str">
        <x:f>IF(OR(AA1519="",AB1519=""),"PENDING_HUMAN",IF(AA1519=AB1519,AA1519,IF(AD1519&lt;&gt;"",AD1519,"PENDING_HUMAN")))</x:f>
        <x:v>PENDING_HUMAN</x:v>
      </x:c>
      <x:c r="AF1519" t="n">
        <x:f>--AND(A1519&lt;&gt;"",AA1519&lt;&gt;"",AB1519&lt;&gt;"",OR(AA1519=AB1519,AD1519&lt;&gt;""),IF(AE1519="HALLUCINATION",U1519&lt;&gt;"",TRUE))</x:f>
        <x:v>0</x:v>
      </x:c>
      <x:c r="AG1519" t="n">
        <x:f>--AND(N1519=1,AF1519=1,OR(AE1519="SUPPORTED",AE1519="HALLUCINATION"))</x:f>
        <x:v>0</x:v>
      </x:c>
      <x:c r="AH1519" t="n">
        <x:f>--AND(AG1519=1,AE1519="HALLUCINATION")</x:f>
        <x:v>0</x:v>
      </x:c>
      <x:c r="AI1519" t="n">
        <x:f>--AND(Q1519=1,AF1519=1,AE1519="HALLUCINATION")</x:f>
        <x:v>0</x:v>
      </x:c>
      <x:c r="AJ1519" t="n">
        <x:f>--AND(AI1519=1,R1519=1,S1519=1)</x:f>
        <x:v>0</x:v>
      </x:c>
    </x:row>
    <x:row r="1520">
      <x:c r="A1520" s="28"/>
      <x:c r="B1520" s="28"/>
      <x:c r="C1520" s="28"/>
      <x:c r="D1520" s="28"/>
      <x:c r="E1520" s="28"/>
      <x:c r="F1520" s="28"/>
      <x:c r="G1520" s="28"/>
      <x:c r="H1520" s="28"/>
      <x:c r="I1520" s="28"/>
      <x:c r="J1520" s="28"/>
      <x:c r="K1520" s="28"/>
      <x:c r="L1520" s="28"/>
      <x:c r="M1520" s="28"/>
      <x:c r="N1520" s="28"/>
      <x:c r="O1520" s="28"/>
      <x:c r="P1520" s="28"/>
      <x:c r="Q1520" s="28"/>
      <x:c r="R1520" s="28"/>
      <x:c r="S1520" s="28"/>
      <x:c r="T1520" s="28"/>
      <x:c r="U1520" s="28"/>
      <x:c r="V1520" s="28"/>
      <x:c r="W1520" s="43" t="n">
        <x:f>--AND(N1520=1,OR(O1520="SUPPORTED",O1520="HALLUCINATION"))</x:f>
        <x:v>0</x:v>
      </x:c>
      <x:c r="X1520" s="43" t="n">
        <x:f>--AND(W1520=1,O1520="HALLUCINATION")</x:f>
        <x:v>0</x:v>
      </x:c>
      <x:c r="Y1520" s="43" t="n">
        <x:f>--AND(Q1520=1,O1520="HALLUCINATION")</x:f>
        <x:v>0</x:v>
      </x:c>
      <x:c r="Z1520" s="43" t="n">
        <x:f>--AND(Y1520=1,R1520=1,S1520=1)</x:f>
        <x:v>0</x:v>
      </x:c>
      <x:c r="AC1520" t="str">
        <x:f>IF(OR(AA1520="",AB1520=""),"",--(AA1520&lt;&gt;AB1520))</x:f>
      </x:c>
      <x:c r="AE1520" t="str">
        <x:f>IF(OR(AA1520="",AB1520=""),"PENDING_HUMAN",IF(AA1520=AB1520,AA1520,IF(AD1520&lt;&gt;"",AD1520,"PENDING_HUMAN")))</x:f>
        <x:v>PENDING_HUMAN</x:v>
      </x:c>
      <x:c r="AF1520" t="n">
        <x:f>--AND(A1520&lt;&gt;"",AA1520&lt;&gt;"",AB1520&lt;&gt;"",OR(AA1520=AB1520,AD1520&lt;&gt;""),IF(AE1520="HALLUCINATION",U1520&lt;&gt;"",TRUE))</x:f>
        <x:v>0</x:v>
      </x:c>
      <x:c r="AG1520" t="n">
        <x:f>--AND(N1520=1,AF1520=1,OR(AE1520="SUPPORTED",AE1520="HALLUCINATION"))</x:f>
        <x:v>0</x:v>
      </x:c>
      <x:c r="AH1520" t="n">
        <x:f>--AND(AG1520=1,AE1520="HALLUCINATION")</x:f>
        <x:v>0</x:v>
      </x:c>
      <x:c r="AI1520" t="n">
        <x:f>--AND(Q1520=1,AF1520=1,AE1520="HALLUCINATION")</x:f>
        <x:v>0</x:v>
      </x:c>
      <x:c r="AJ1520" t="n">
        <x:f>--AND(AI1520=1,R1520=1,S1520=1)</x:f>
        <x:v>0</x:v>
      </x:c>
    </x:row>
    <x:row r="1521">
      <x:c r="A1521" s="28"/>
      <x:c r="B1521" s="28"/>
      <x:c r="C1521" s="28"/>
      <x:c r="D1521" s="28"/>
      <x:c r="E1521" s="28"/>
      <x:c r="F1521" s="28"/>
      <x:c r="G1521" s="28"/>
      <x:c r="H1521" s="28"/>
      <x:c r="I1521" s="28"/>
      <x:c r="J1521" s="28"/>
      <x:c r="K1521" s="28"/>
      <x:c r="L1521" s="28"/>
      <x:c r="M1521" s="28"/>
      <x:c r="N1521" s="28"/>
      <x:c r="O1521" s="28"/>
      <x:c r="P1521" s="28"/>
      <x:c r="Q1521" s="28"/>
      <x:c r="R1521" s="28"/>
      <x:c r="S1521" s="28"/>
      <x:c r="T1521" s="28"/>
      <x:c r="U1521" s="28"/>
      <x:c r="V1521" s="28"/>
      <x:c r="W1521" s="43" t="n">
        <x:f>--AND(N1521=1,OR(O1521="SUPPORTED",O1521="HALLUCINATION"))</x:f>
        <x:v>0</x:v>
      </x:c>
      <x:c r="X1521" s="43" t="n">
        <x:f>--AND(W1521=1,O1521="HALLUCINATION")</x:f>
        <x:v>0</x:v>
      </x:c>
      <x:c r="Y1521" s="43" t="n">
        <x:f>--AND(Q1521=1,O1521="HALLUCINATION")</x:f>
        <x:v>0</x:v>
      </x:c>
      <x:c r="Z1521" s="43" t="n">
        <x:f>--AND(Y1521=1,R1521=1,S1521=1)</x:f>
        <x:v>0</x:v>
      </x:c>
      <x:c r="AC1521" t="str">
        <x:f>IF(OR(AA1521="",AB1521=""),"",--(AA1521&lt;&gt;AB1521))</x:f>
      </x:c>
      <x:c r="AE1521" t="str">
        <x:f>IF(OR(AA1521="",AB1521=""),"PENDING_HUMAN",IF(AA1521=AB1521,AA1521,IF(AD1521&lt;&gt;"",AD1521,"PENDING_HUMAN")))</x:f>
        <x:v>PENDING_HUMAN</x:v>
      </x:c>
      <x:c r="AF1521" t="n">
        <x:f>--AND(A1521&lt;&gt;"",AA1521&lt;&gt;"",AB1521&lt;&gt;"",OR(AA1521=AB1521,AD1521&lt;&gt;""),IF(AE1521="HALLUCINATION",U1521&lt;&gt;"",TRUE))</x:f>
        <x:v>0</x:v>
      </x:c>
      <x:c r="AG1521" t="n">
        <x:f>--AND(N1521=1,AF1521=1,OR(AE1521="SUPPORTED",AE1521="HALLUCINATION"))</x:f>
        <x:v>0</x:v>
      </x:c>
      <x:c r="AH1521" t="n">
        <x:f>--AND(AG1521=1,AE1521="HALLUCINATION")</x:f>
        <x:v>0</x:v>
      </x:c>
      <x:c r="AI1521" t="n">
        <x:f>--AND(Q1521=1,AF1521=1,AE1521="HALLUCINATION")</x:f>
        <x:v>0</x:v>
      </x:c>
      <x:c r="AJ1521" t="n">
        <x:f>--AND(AI1521=1,R1521=1,S1521=1)</x:f>
        <x:v>0</x:v>
      </x:c>
    </x:row>
    <x:row r="1522">
      <x:c r="A1522" s="28"/>
      <x:c r="B1522" s="28"/>
      <x:c r="C1522" s="28"/>
      <x:c r="D1522" s="28"/>
      <x:c r="E1522" s="28"/>
      <x:c r="F1522" s="28"/>
      <x:c r="G1522" s="28"/>
      <x:c r="H1522" s="28"/>
      <x:c r="I1522" s="28"/>
      <x:c r="J1522" s="28"/>
      <x:c r="K1522" s="28"/>
      <x:c r="L1522" s="28"/>
      <x:c r="M1522" s="28"/>
      <x:c r="N1522" s="28"/>
      <x:c r="O1522" s="28"/>
      <x:c r="P1522" s="28"/>
      <x:c r="Q1522" s="28"/>
      <x:c r="R1522" s="28"/>
      <x:c r="S1522" s="28"/>
      <x:c r="T1522" s="28"/>
      <x:c r="U1522" s="28"/>
      <x:c r="V1522" s="28"/>
      <x:c r="W1522" s="43" t="n">
        <x:f>--AND(N1522=1,OR(O1522="SUPPORTED",O1522="HALLUCINATION"))</x:f>
        <x:v>0</x:v>
      </x:c>
      <x:c r="X1522" s="43" t="n">
        <x:f>--AND(W1522=1,O1522="HALLUCINATION")</x:f>
        <x:v>0</x:v>
      </x:c>
      <x:c r="Y1522" s="43" t="n">
        <x:f>--AND(Q1522=1,O1522="HALLUCINATION")</x:f>
        <x:v>0</x:v>
      </x:c>
      <x:c r="Z1522" s="43" t="n">
        <x:f>--AND(Y1522=1,R1522=1,S1522=1)</x:f>
        <x:v>0</x:v>
      </x:c>
      <x:c r="AC1522" t="str">
        <x:f>IF(OR(AA1522="",AB1522=""),"",--(AA1522&lt;&gt;AB1522))</x:f>
      </x:c>
      <x:c r="AE1522" t="str">
        <x:f>IF(OR(AA1522="",AB1522=""),"PENDING_HUMAN",IF(AA1522=AB1522,AA1522,IF(AD1522&lt;&gt;"",AD1522,"PENDING_HUMAN")))</x:f>
        <x:v>PENDING_HUMAN</x:v>
      </x:c>
      <x:c r="AF1522" t="n">
        <x:f>--AND(A1522&lt;&gt;"",AA1522&lt;&gt;"",AB1522&lt;&gt;"",OR(AA1522=AB1522,AD1522&lt;&gt;""),IF(AE1522="HALLUCINATION",U1522&lt;&gt;"",TRUE))</x:f>
        <x:v>0</x:v>
      </x:c>
      <x:c r="AG1522" t="n">
        <x:f>--AND(N1522=1,AF1522=1,OR(AE1522="SUPPORTED",AE1522="HALLUCINATION"))</x:f>
        <x:v>0</x:v>
      </x:c>
      <x:c r="AH1522" t="n">
        <x:f>--AND(AG1522=1,AE1522="HALLUCINATION")</x:f>
        <x:v>0</x:v>
      </x:c>
      <x:c r="AI1522" t="n">
        <x:f>--AND(Q1522=1,AF1522=1,AE1522="HALLUCINATION")</x:f>
        <x:v>0</x:v>
      </x:c>
      <x:c r="AJ1522" t="n">
        <x:f>--AND(AI1522=1,R1522=1,S1522=1)</x:f>
        <x:v>0</x:v>
      </x:c>
    </x:row>
    <x:row r="1523">
      <x:c r="A1523" s="28"/>
      <x:c r="B1523" s="28"/>
      <x:c r="C1523" s="28"/>
      <x:c r="D1523" s="28"/>
      <x:c r="E1523" s="28"/>
      <x:c r="F1523" s="28"/>
      <x:c r="G1523" s="28"/>
      <x:c r="H1523" s="28"/>
      <x:c r="I1523" s="28"/>
      <x:c r="J1523" s="28"/>
      <x:c r="K1523" s="28"/>
      <x:c r="L1523" s="28"/>
      <x:c r="M1523" s="28"/>
      <x:c r="N1523" s="28"/>
      <x:c r="O1523" s="28"/>
      <x:c r="P1523" s="28"/>
      <x:c r="Q1523" s="28"/>
      <x:c r="R1523" s="28"/>
      <x:c r="S1523" s="28"/>
      <x:c r="T1523" s="28"/>
      <x:c r="U1523" s="28"/>
      <x:c r="V1523" s="28"/>
      <x:c r="W1523" s="43" t="n">
        <x:f>--AND(N1523=1,OR(O1523="SUPPORTED",O1523="HALLUCINATION"))</x:f>
        <x:v>0</x:v>
      </x:c>
      <x:c r="X1523" s="43" t="n">
        <x:f>--AND(W1523=1,O1523="HALLUCINATION")</x:f>
        <x:v>0</x:v>
      </x:c>
      <x:c r="Y1523" s="43" t="n">
        <x:f>--AND(Q1523=1,O1523="HALLUCINATION")</x:f>
        <x:v>0</x:v>
      </x:c>
      <x:c r="Z1523" s="43" t="n">
        <x:f>--AND(Y1523=1,R1523=1,S1523=1)</x:f>
        <x:v>0</x:v>
      </x:c>
      <x:c r="AC1523" t="str">
        <x:f>IF(OR(AA1523="",AB1523=""),"",--(AA1523&lt;&gt;AB1523))</x:f>
      </x:c>
      <x:c r="AE1523" t="str">
        <x:f>IF(OR(AA1523="",AB1523=""),"PENDING_HUMAN",IF(AA1523=AB1523,AA1523,IF(AD1523&lt;&gt;"",AD1523,"PENDING_HUMAN")))</x:f>
        <x:v>PENDING_HUMAN</x:v>
      </x:c>
      <x:c r="AF1523" t="n">
        <x:f>--AND(A1523&lt;&gt;"",AA1523&lt;&gt;"",AB1523&lt;&gt;"",OR(AA1523=AB1523,AD1523&lt;&gt;""),IF(AE1523="HALLUCINATION",U1523&lt;&gt;"",TRUE))</x:f>
        <x:v>0</x:v>
      </x:c>
      <x:c r="AG1523" t="n">
        <x:f>--AND(N1523=1,AF1523=1,OR(AE1523="SUPPORTED",AE1523="HALLUCINATION"))</x:f>
        <x:v>0</x:v>
      </x:c>
      <x:c r="AH1523" t="n">
        <x:f>--AND(AG1523=1,AE1523="HALLUCINATION")</x:f>
        <x:v>0</x:v>
      </x:c>
      <x:c r="AI1523" t="n">
        <x:f>--AND(Q1523=1,AF1523=1,AE1523="HALLUCINATION")</x:f>
        <x:v>0</x:v>
      </x:c>
      <x:c r="AJ1523" t="n">
        <x:f>--AND(AI1523=1,R1523=1,S1523=1)</x:f>
        <x:v>0</x:v>
      </x:c>
    </x:row>
    <x:row r="1524">
      <x:c r="A1524" s="28"/>
      <x:c r="B1524" s="28"/>
      <x:c r="C1524" s="28"/>
      <x:c r="D1524" s="28"/>
      <x:c r="E1524" s="28"/>
      <x:c r="F1524" s="28"/>
      <x:c r="G1524" s="28"/>
      <x:c r="H1524" s="28"/>
      <x:c r="I1524" s="28"/>
      <x:c r="J1524" s="28"/>
      <x:c r="K1524" s="28"/>
      <x:c r="L1524" s="28"/>
      <x:c r="M1524" s="28"/>
      <x:c r="N1524" s="28"/>
      <x:c r="O1524" s="28"/>
      <x:c r="P1524" s="28"/>
      <x:c r="Q1524" s="28"/>
      <x:c r="R1524" s="28"/>
      <x:c r="S1524" s="28"/>
      <x:c r="T1524" s="28"/>
      <x:c r="U1524" s="28"/>
      <x:c r="V1524" s="28"/>
      <x:c r="W1524" s="43" t="n">
        <x:f>--AND(N1524=1,OR(O1524="SUPPORTED",O1524="HALLUCINATION"))</x:f>
        <x:v>0</x:v>
      </x:c>
      <x:c r="X1524" s="43" t="n">
        <x:f>--AND(W1524=1,O1524="HALLUCINATION")</x:f>
        <x:v>0</x:v>
      </x:c>
      <x:c r="Y1524" s="43" t="n">
        <x:f>--AND(Q1524=1,O1524="HALLUCINATION")</x:f>
        <x:v>0</x:v>
      </x:c>
      <x:c r="Z1524" s="43" t="n">
        <x:f>--AND(Y1524=1,R1524=1,S1524=1)</x:f>
        <x:v>0</x:v>
      </x:c>
      <x:c r="AC1524" t="str">
        <x:f>IF(OR(AA1524="",AB1524=""),"",--(AA1524&lt;&gt;AB1524))</x:f>
      </x:c>
      <x:c r="AE1524" t="str">
        <x:f>IF(OR(AA1524="",AB1524=""),"PENDING_HUMAN",IF(AA1524=AB1524,AA1524,IF(AD1524&lt;&gt;"",AD1524,"PENDING_HUMAN")))</x:f>
        <x:v>PENDING_HUMAN</x:v>
      </x:c>
      <x:c r="AF1524" t="n">
        <x:f>--AND(A1524&lt;&gt;"",AA1524&lt;&gt;"",AB1524&lt;&gt;"",OR(AA1524=AB1524,AD1524&lt;&gt;""),IF(AE1524="HALLUCINATION",U1524&lt;&gt;"",TRUE))</x:f>
        <x:v>0</x:v>
      </x:c>
      <x:c r="AG1524" t="n">
        <x:f>--AND(N1524=1,AF1524=1,OR(AE1524="SUPPORTED",AE1524="HALLUCINATION"))</x:f>
        <x:v>0</x:v>
      </x:c>
      <x:c r="AH1524" t="n">
        <x:f>--AND(AG1524=1,AE1524="HALLUCINATION")</x:f>
        <x:v>0</x:v>
      </x:c>
      <x:c r="AI1524" t="n">
        <x:f>--AND(Q1524=1,AF1524=1,AE1524="HALLUCINATION")</x:f>
        <x:v>0</x:v>
      </x:c>
      <x:c r="AJ1524" t="n">
        <x:f>--AND(AI1524=1,R1524=1,S1524=1)</x:f>
        <x:v>0</x:v>
      </x:c>
    </x:row>
    <x:row r="1525">
      <x:c r="A1525" s="28"/>
      <x:c r="B1525" s="28"/>
      <x:c r="C1525" s="28"/>
      <x:c r="D1525" s="28"/>
      <x:c r="E1525" s="28"/>
      <x:c r="F1525" s="28"/>
      <x:c r="G1525" s="28"/>
      <x:c r="H1525" s="28"/>
      <x:c r="I1525" s="28"/>
      <x:c r="J1525" s="28"/>
      <x:c r="K1525" s="28"/>
      <x:c r="L1525" s="28"/>
      <x:c r="M1525" s="28"/>
      <x:c r="N1525" s="28"/>
      <x:c r="O1525" s="28"/>
      <x:c r="P1525" s="28"/>
      <x:c r="Q1525" s="28"/>
      <x:c r="R1525" s="28"/>
      <x:c r="S1525" s="28"/>
      <x:c r="T1525" s="28"/>
      <x:c r="U1525" s="28"/>
      <x:c r="V1525" s="28"/>
      <x:c r="W1525" s="43" t="n">
        <x:f>--AND(N1525=1,OR(O1525="SUPPORTED",O1525="HALLUCINATION"))</x:f>
        <x:v>0</x:v>
      </x:c>
      <x:c r="X1525" s="43" t="n">
        <x:f>--AND(W1525=1,O1525="HALLUCINATION")</x:f>
        <x:v>0</x:v>
      </x:c>
      <x:c r="Y1525" s="43" t="n">
        <x:f>--AND(Q1525=1,O1525="HALLUCINATION")</x:f>
        <x:v>0</x:v>
      </x:c>
      <x:c r="Z1525" s="43" t="n">
        <x:f>--AND(Y1525=1,R1525=1,S1525=1)</x:f>
        <x:v>0</x:v>
      </x:c>
      <x:c r="AC1525" t="str">
        <x:f>IF(OR(AA1525="",AB1525=""),"",--(AA1525&lt;&gt;AB1525))</x:f>
      </x:c>
      <x:c r="AE1525" t="str">
        <x:f>IF(OR(AA1525="",AB1525=""),"PENDING_HUMAN",IF(AA1525=AB1525,AA1525,IF(AD1525&lt;&gt;"",AD1525,"PENDING_HUMAN")))</x:f>
        <x:v>PENDING_HUMAN</x:v>
      </x:c>
      <x:c r="AF1525" t="n">
        <x:f>--AND(A1525&lt;&gt;"",AA1525&lt;&gt;"",AB1525&lt;&gt;"",OR(AA1525=AB1525,AD1525&lt;&gt;""),IF(AE1525="HALLUCINATION",U1525&lt;&gt;"",TRUE))</x:f>
        <x:v>0</x:v>
      </x:c>
      <x:c r="AG1525" t="n">
        <x:f>--AND(N1525=1,AF1525=1,OR(AE1525="SUPPORTED",AE1525="HALLUCINATION"))</x:f>
        <x:v>0</x:v>
      </x:c>
      <x:c r="AH1525" t="n">
        <x:f>--AND(AG1525=1,AE1525="HALLUCINATION")</x:f>
        <x:v>0</x:v>
      </x:c>
      <x:c r="AI1525" t="n">
        <x:f>--AND(Q1525=1,AF1525=1,AE1525="HALLUCINATION")</x:f>
        <x:v>0</x:v>
      </x:c>
      <x:c r="AJ1525" t="n">
        <x:f>--AND(AI1525=1,R1525=1,S1525=1)</x:f>
        <x:v>0</x:v>
      </x:c>
    </x:row>
    <x:row r="1526">
      <x:c r="A1526" s="28"/>
      <x:c r="B1526" s="28"/>
      <x:c r="C1526" s="28"/>
      <x:c r="D1526" s="28"/>
      <x:c r="E1526" s="28"/>
      <x:c r="F1526" s="28"/>
      <x:c r="G1526" s="28"/>
      <x:c r="H1526" s="28"/>
      <x:c r="I1526" s="28"/>
      <x:c r="J1526" s="28"/>
      <x:c r="K1526" s="28"/>
      <x:c r="L1526" s="28"/>
      <x:c r="M1526" s="28"/>
      <x:c r="N1526" s="28"/>
      <x:c r="O1526" s="28"/>
      <x:c r="P1526" s="28"/>
      <x:c r="Q1526" s="28"/>
      <x:c r="R1526" s="28"/>
      <x:c r="S1526" s="28"/>
      <x:c r="T1526" s="28"/>
      <x:c r="U1526" s="28"/>
      <x:c r="V1526" s="28"/>
      <x:c r="W1526" s="43" t="n">
        <x:f>--AND(N1526=1,OR(O1526="SUPPORTED",O1526="HALLUCINATION"))</x:f>
        <x:v>0</x:v>
      </x:c>
      <x:c r="X1526" s="43" t="n">
        <x:f>--AND(W1526=1,O1526="HALLUCINATION")</x:f>
        <x:v>0</x:v>
      </x:c>
      <x:c r="Y1526" s="43" t="n">
        <x:f>--AND(Q1526=1,O1526="HALLUCINATION")</x:f>
        <x:v>0</x:v>
      </x:c>
      <x:c r="Z1526" s="43" t="n">
        <x:f>--AND(Y1526=1,R1526=1,S1526=1)</x:f>
        <x:v>0</x:v>
      </x:c>
      <x:c r="AC1526" t="str">
        <x:f>IF(OR(AA1526="",AB1526=""),"",--(AA1526&lt;&gt;AB1526))</x:f>
      </x:c>
      <x:c r="AE1526" t="str">
        <x:f>IF(OR(AA1526="",AB1526=""),"PENDING_HUMAN",IF(AA1526=AB1526,AA1526,IF(AD1526&lt;&gt;"",AD1526,"PENDING_HUMAN")))</x:f>
        <x:v>PENDING_HUMAN</x:v>
      </x:c>
      <x:c r="AF1526" t="n">
        <x:f>--AND(A1526&lt;&gt;"",AA1526&lt;&gt;"",AB1526&lt;&gt;"",OR(AA1526=AB1526,AD1526&lt;&gt;""),IF(AE1526="HALLUCINATION",U1526&lt;&gt;"",TRUE))</x:f>
        <x:v>0</x:v>
      </x:c>
      <x:c r="AG1526" t="n">
        <x:f>--AND(N1526=1,AF1526=1,OR(AE1526="SUPPORTED",AE1526="HALLUCINATION"))</x:f>
        <x:v>0</x:v>
      </x:c>
      <x:c r="AH1526" t="n">
        <x:f>--AND(AG1526=1,AE1526="HALLUCINATION")</x:f>
        <x:v>0</x:v>
      </x:c>
      <x:c r="AI1526" t="n">
        <x:f>--AND(Q1526=1,AF1526=1,AE1526="HALLUCINATION")</x:f>
        <x:v>0</x:v>
      </x:c>
      <x:c r="AJ1526" t="n">
        <x:f>--AND(AI1526=1,R1526=1,S1526=1)</x:f>
        <x:v>0</x:v>
      </x:c>
    </x:row>
    <x:row r="1527">
      <x:c r="A1527" s="28"/>
      <x:c r="B1527" s="28"/>
      <x:c r="C1527" s="28"/>
      <x:c r="D1527" s="28"/>
      <x:c r="E1527" s="28"/>
      <x:c r="F1527" s="28"/>
      <x:c r="G1527" s="28"/>
      <x:c r="H1527" s="28"/>
      <x:c r="I1527" s="28"/>
      <x:c r="J1527" s="28"/>
      <x:c r="K1527" s="28"/>
      <x:c r="L1527" s="28"/>
      <x:c r="M1527" s="28"/>
      <x:c r="N1527" s="28"/>
      <x:c r="O1527" s="28"/>
      <x:c r="P1527" s="28"/>
      <x:c r="Q1527" s="28"/>
      <x:c r="R1527" s="28"/>
      <x:c r="S1527" s="28"/>
      <x:c r="T1527" s="28"/>
      <x:c r="U1527" s="28"/>
      <x:c r="V1527" s="28"/>
      <x:c r="W1527" s="43" t="n">
        <x:f>--AND(N1527=1,OR(O1527="SUPPORTED",O1527="HALLUCINATION"))</x:f>
        <x:v>0</x:v>
      </x:c>
      <x:c r="X1527" s="43" t="n">
        <x:f>--AND(W1527=1,O1527="HALLUCINATION")</x:f>
        <x:v>0</x:v>
      </x:c>
      <x:c r="Y1527" s="43" t="n">
        <x:f>--AND(Q1527=1,O1527="HALLUCINATION")</x:f>
        <x:v>0</x:v>
      </x:c>
      <x:c r="Z1527" s="43" t="n">
        <x:f>--AND(Y1527=1,R1527=1,S1527=1)</x:f>
        <x:v>0</x:v>
      </x:c>
      <x:c r="AC1527" t="str">
        <x:f>IF(OR(AA1527="",AB1527=""),"",--(AA1527&lt;&gt;AB1527))</x:f>
      </x:c>
      <x:c r="AE1527" t="str">
        <x:f>IF(OR(AA1527="",AB1527=""),"PENDING_HUMAN",IF(AA1527=AB1527,AA1527,IF(AD1527&lt;&gt;"",AD1527,"PENDING_HUMAN")))</x:f>
        <x:v>PENDING_HUMAN</x:v>
      </x:c>
      <x:c r="AF1527" t="n">
        <x:f>--AND(A1527&lt;&gt;"",AA1527&lt;&gt;"",AB1527&lt;&gt;"",OR(AA1527=AB1527,AD1527&lt;&gt;""),IF(AE1527="HALLUCINATION",U1527&lt;&gt;"",TRUE))</x:f>
        <x:v>0</x:v>
      </x:c>
      <x:c r="AG1527" t="n">
        <x:f>--AND(N1527=1,AF1527=1,OR(AE1527="SUPPORTED",AE1527="HALLUCINATION"))</x:f>
        <x:v>0</x:v>
      </x:c>
      <x:c r="AH1527" t="n">
        <x:f>--AND(AG1527=1,AE1527="HALLUCINATION")</x:f>
        <x:v>0</x:v>
      </x:c>
      <x:c r="AI1527" t="n">
        <x:f>--AND(Q1527=1,AF1527=1,AE1527="HALLUCINATION")</x:f>
        <x:v>0</x:v>
      </x:c>
      <x:c r="AJ1527" t="n">
        <x:f>--AND(AI1527=1,R1527=1,S1527=1)</x:f>
        <x:v>0</x:v>
      </x:c>
    </x:row>
    <x:row r="1528">
      <x:c r="A1528" s="28"/>
      <x:c r="B1528" s="28"/>
      <x:c r="C1528" s="28"/>
      <x:c r="D1528" s="28"/>
      <x:c r="E1528" s="28"/>
      <x:c r="F1528" s="28"/>
      <x:c r="G1528" s="28"/>
      <x:c r="H1528" s="28"/>
      <x:c r="I1528" s="28"/>
      <x:c r="J1528" s="28"/>
      <x:c r="K1528" s="28"/>
      <x:c r="L1528" s="28"/>
      <x:c r="M1528" s="28"/>
      <x:c r="N1528" s="28"/>
      <x:c r="O1528" s="28"/>
      <x:c r="P1528" s="28"/>
      <x:c r="Q1528" s="28"/>
      <x:c r="R1528" s="28"/>
      <x:c r="S1528" s="28"/>
      <x:c r="T1528" s="28"/>
      <x:c r="U1528" s="28"/>
      <x:c r="V1528" s="28"/>
      <x:c r="W1528" s="43" t="n">
        <x:f>--AND(N1528=1,OR(O1528="SUPPORTED",O1528="HALLUCINATION"))</x:f>
        <x:v>0</x:v>
      </x:c>
      <x:c r="X1528" s="43" t="n">
        <x:f>--AND(W1528=1,O1528="HALLUCINATION")</x:f>
        <x:v>0</x:v>
      </x:c>
      <x:c r="Y1528" s="43" t="n">
        <x:f>--AND(Q1528=1,O1528="HALLUCINATION")</x:f>
        <x:v>0</x:v>
      </x:c>
      <x:c r="Z1528" s="43" t="n">
        <x:f>--AND(Y1528=1,R1528=1,S1528=1)</x:f>
        <x:v>0</x:v>
      </x:c>
      <x:c r="AC1528" t="str">
        <x:f>IF(OR(AA1528="",AB1528=""),"",--(AA1528&lt;&gt;AB1528))</x:f>
      </x:c>
      <x:c r="AE1528" t="str">
        <x:f>IF(OR(AA1528="",AB1528=""),"PENDING_HUMAN",IF(AA1528=AB1528,AA1528,IF(AD1528&lt;&gt;"",AD1528,"PENDING_HUMAN")))</x:f>
        <x:v>PENDING_HUMAN</x:v>
      </x:c>
      <x:c r="AF1528" t="n">
        <x:f>--AND(A1528&lt;&gt;"",AA1528&lt;&gt;"",AB1528&lt;&gt;"",OR(AA1528=AB1528,AD1528&lt;&gt;""),IF(AE1528="HALLUCINATION",U1528&lt;&gt;"",TRUE))</x:f>
        <x:v>0</x:v>
      </x:c>
      <x:c r="AG1528" t="n">
        <x:f>--AND(N1528=1,AF1528=1,OR(AE1528="SUPPORTED",AE1528="HALLUCINATION"))</x:f>
        <x:v>0</x:v>
      </x:c>
      <x:c r="AH1528" t="n">
        <x:f>--AND(AG1528=1,AE1528="HALLUCINATION")</x:f>
        <x:v>0</x:v>
      </x:c>
      <x:c r="AI1528" t="n">
        <x:f>--AND(Q1528=1,AF1528=1,AE1528="HALLUCINATION")</x:f>
        <x:v>0</x:v>
      </x:c>
      <x:c r="AJ1528" t="n">
        <x:f>--AND(AI1528=1,R1528=1,S1528=1)</x:f>
        <x:v>0</x:v>
      </x:c>
    </x:row>
    <x:row r="1529">
      <x:c r="A1529" s="28"/>
      <x:c r="B1529" s="28"/>
      <x:c r="C1529" s="28"/>
      <x:c r="D1529" s="28"/>
      <x:c r="E1529" s="28"/>
      <x:c r="F1529" s="28"/>
      <x:c r="G1529" s="28"/>
      <x:c r="H1529" s="28"/>
      <x:c r="I1529" s="28"/>
      <x:c r="J1529" s="28"/>
      <x:c r="K1529" s="28"/>
      <x:c r="L1529" s="28"/>
      <x:c r="M1529" s="28"/>
      <x:c r="N1529" s="28"/>
      <x:c r="O1529" s="28"/>
      <x:c r="P1529" s="28"/>
      <x:c r="Q1529" s="28"/>
      <x:c r="R1529" s="28"/>
      <x:c r="S1529" s="28"/>
      <x:c r="T1529" s="28"/>
      <x:c r="U1529" s="28"/>
      <x:c r="V1529" s="28"/>
      <x:c r="W1529" s="43" t="n">
        <x:f>--AND(N1529=1,OR(O1529="SUPPORTED",O1529="HALLUCINATION"))</x:f>
        <x:v>0</x:v>
      </x:c>
      <x:c r="X1529" s="43" t="n">
        <x:f>--AND(W1529=1,O1529="HALLUCINATION")</x:f>
        <x:v>0</x:v>
      </x:c>
      <x:c r="Y1529" s="43" t="n">
        <x:f>--AND(Q1529=1,O1529="HALLUCINATION")</x:f>
        <x:v>0</x:v>
      </x:c>
      <x:c r="Z1529" s="43" t="n">
        <x:f>--AND(Y1529=1,R1529=1,S1529=1)</x:f>
        <x:v>0</x:v>
      </x:c>
      <x:c r="AC1529" t="str">
        <x:f>IF(OR(AA1529="",AB1529=""),"",--(AA1529&lt;&gt;AB1529))</x:f>
      </x:c>
      <x:c r="AE1529" t="str">
        <x:f>IF(OR(AA1529="",AB1529=""),"PENDING_HUMAN",IF(AA1529=AB1529,AA1529,IF(AD1529&lt;&gt;"",AD1529,"PENDING_HUMAN")))</x:f>
        <x:v>PENDING_HUMAN</x:v>
      </x:c>
      <x:c r="AF1529" t="n">
        <x:f>--AND(A1529&lt;&gt;"",AA1529&lt;&gt;"",AB1529&lt;&gt;"",OR(AA1529=AB1529,AD1529&lt;&gt;""),IF(AE1529="HALLUCINATION",U1529&lt;&gt;"",TRUE))</x:f>
        <x:v>0</x:v>
      </x:c>
      <x:c r="AG1529" t="n">
        <x:f>--AND(N1529=1,AF1529=1,OR(AE1529="SUPPORTED",AE1529="HALLUCINATION"))</x:f>
        <x:v>0</x:v>
      </x:c>
      <x:c r="AH1529" t="n">
        <x:f>--AND(AG1529=1,AE1529="HALLUCINATION")</x:f>
        <x:v>0</x:v>
      </x:c>
      <x:c r="AI1529" t="n">
        <x:f>--AND(Q1529=1,AF1529=1,AE1529="HALLUCINATION")</x:f>
        <x:v>0</x:v>
      </x:c>
      <x:c r="AJ1529" t="n">
        <x:f>--AND(AI1529=1,R1529=1,S1529=1)</x:f>
        <x:v>0</x:v>
      </x:c>
    </x:row>
    <x:row r="1530">
      <x:c r="A1530" s="28"/>
      <x:c r="B1530" s="28"/>
      <x:c r="C1530" s="28"/>
      <x:c r="D1530" s="28"/>
      <x:c r="E1530" s="28"/>
      <x:c r="F1530" s="28"/>
      <x:c r="G1530" s="28"/>
      <x:c r="H1530" s="28"/>
      <x:c r="I1530" s="28"/>
      <x:c r="J1530" s="28"/>
      <x:c r="K1530" s="28"/>
      <x:c r="L1530" s="28"/>
      <x:c r="M1530" s="28"/>
      <x:c r="N1530" s="28"/>
      <x:c r="O1530" s="28"/>
      <x:c r="P1530" s="28"/>
      <x:c r="Q1530" s="28"/>
      <x:c r="R1530" s="28"/>
      <x:c r="S1530" s="28"/>
      <x:c r="T1530" s="28"/>
      <x:c r="U1530" s="28"/>
      <x:c r="V1530" s="28"/>
      <x:c r="W1530" s="43" t="n">
        <x:f>--AND(N1530=1,OR(O1530="SUPPORTED",O1530="HALLUCINATION"))</x:f>
        <x:v>0</x:v>
      </x:c>
      <x:c r="X1530" s="43" t="n">
        <x:f>--AND(W1530=1,O1530="HALLUCINATION")</x:f>
        <x:v>0</x:v>
      </x:c>
      <x:c r="Y1530" s="43" t="n">
        <x:f>--AND(Q1530=1,O1530="HALLUCINATION")</x:f>
        <x:v>0</x:v>
      </x:c>
      <x:c r="Z1530" s="43" t="n">
        <x:f>--AND(Y1530=1,R1530=1,S1530=1)</x:f>
        <x:v>0</x:v>
      </x:c>
      <x:c r="AC1530" t="str">
        <x:f>IF(OR(AA1530="",AB1530=""),"",--(AA1530&lt;&gt;AB1530))</x:f>
      </x:c>
      <x:c r="AE1530" t="str">
        <x:f>IF(OR(AA1530="",AB1530=""),"PENDING_HUMAN",IF(AA1530=AB1530,AA1530,IF(AD1530&lt;&gt;"",AD1530,"PENDING_HUMAN")))</x:f>
        <x:v>PENDING_HUMAN</x:v>
      </x:c>
      <x:c r="AF1530" t="n">
        <x:f>--AND(A1530&lt;&gt;"",AA1530&lt;&gt;"",AB1530&lt;&gt;"",OR(AA1530=AB1530,AD1530&lt;&gt;""),IF(AE1530="HALLUCINATION",U1530&lt;&gt;"",TRUE))</x:f>
        <x:v>0</x:v>
      </x:c>
      <x:c r="AG1530" t="n">
        <x:f>--AND(N1530=1,AF1530=1,OR(AE1530="SUPPORTED",AE1530="HALLUCINATION"))</x:f>
        <x:v>0</x:v>
      </x:c>
      <x:c r="AH1530" t="n">
        <x:f>--AND(AG1530=1,AE1530="HALLUCINATION")</x:f>
        <x:v>0</x:v>
      </x:c>
      <x:c r="AI1530" t="n">
        <x:f>--AND(Q1530=1,AF1530=1,AE1530="HALLUCINATION")</x:f>
        <x:v>0</x:v>
      </x:c>
      <x:c r="AJ1530" t="n">
        <x:f>--AND(AI1530=1,R1530=1,S1530=1)</x:f>
        <x:v>0</x:v>
      </x:c>
    </x:row>
    <x:row r="1531">
      <x:c r="A1531" s="28"/>
      <x:c r="B1531" s="28"/>
      <x:c r="C1531" s="28"/>
      <x:c r="D1531" s="28"/>
      <x:c r="E1531" s="28"/>
      <x:c r="F1531" s="28"/>
      <x:c r="G1531" s="28"/>
      <x:c r="H1531" s="28"/>
      <x:c r="I1531" s="28"/>
      <x:c r="J1531" s="28"/>
      <x:c r="K1531" s="28"/>
      <x:c r="L1531" s="28"/>
      <x:c r="M1531" s="28"/>
      <x:c r="N1531" s="28"/>
      <x:c r="O1531" s="28"/>
      <x:c r="P1531" s="28"/>
      <x:c r="Q1531" s="28"/>
      <x:c r="R1531" s="28"/>
      <x:c r="S1531" s="28"/>
      <x:c r="T1531" s="28"/>
      <x:c r="U1531" s="28"/>
      <x:c r="V1531" s="28"/>
      <x:c r="W1531" s="43" t="n">
        <x:f>--AND(N1531=1,OR(O1531="SUPPORTED",O1531="HALLUCINATION"))</x:f>
        <x:v>0</x:v>
      </x:c>
      <x:c r="X1531" s="43" t="n">
        <x:f>--AND(W1531=1,O1531="HALLUCINATION")</x:f>
        <x:v>0</x:v>
      </x:c>
      <x:c r="Y1531" s="43" t="n">
        <x:f>--AND(Q1531=1,O1531="HALLUCINATION")</x:f>
        <x:v>0</x:v>
      </x:c>
      <x:c r="Z1531" s="43" t="n">
        <x:f>--AND(Y1531=1,R1531=1,S1531=1)</x:f>
        <x:v>0</x:v>
      </x:c>
      <x:c r="AC1531" t="str">
        <x:f>IF(OR(AA1531="",AB1531=""),"",--(AA1531&lt;&gt;AB1531))</x:f>
      </x:c>
      <x:c r="AE1531" t="str">
        <x:f>IF(OR(AA1531="",AB1531=""),"PENDING_HUMAN",IF(AA1531=AB1531,AA1531,IF(AD1531&lt;&gt;"",AD1531,"PENDING_HUMAN")))</x:f>
        <x:v>PENDING_HUMAN</x:v>
      </x:c>
      <x:c r="AF1531" t="n">
        <x:f>--AND(A1531&lt;&gt;"",AA1531&lt;&gt;"",AB1531&lt;&gt;"",OR(AA1531=AB1531,AD1531&lt;&gt;""),IF(AE1531="HALLUCINATION",U1531&lt;&gt;"",TRUE))</x:f>
        <x:v>0</x:v>
      </x:c>
      <x:c r="AG1531" t="n">
        <x:f>--AND(N1531=1,AF1531=1,OR(AE1531="SUPPORTED",AE1531="HALLUCINATION"))</x:f>
        <x:v>0</x:v>
      </x:c>
      <x:c r="AH1531" t="n">
        <x:f>--AND(AG1531=1,AE1531="HALLUCINATION")</x:f>
        <x:v>0</x:v>
      </x:c>
      <x:c r="AI1531" t="n">
        <x:f>--AND(Q1531=1,AF1531=1,AE1531="HALLUCINATION")</x:f>
        <x:v>0</x:v>
      </x:c>
      <x:c r="AJ1531" t="n">
        <x:f>--AND(AI1531=1,R1531=1,S1531=1)</x:f>
        <x:v>0</x:v>
      </x:c>
    </x:row>
    <x:row r="1532">
      <x:c r="A1532" s="28"/>
      <x:c r="B1532" s="28"/>
      <x:c r="C1532" s="28"/>
      <x:c r="D1532" s="28"/>
      <x:c r="E1532" s="28"/>
      <x:c r="F1532" s="28"/>
      <x:c r="G1532" s="28"/>
      <x:c r="H1532" s="28"/>
      <x:c r="I1532" s="28"/>
      <x:c r="J1532" s="28"/>
      <x:c r="K1532" s="28"/>
      <x:c r="L1532" s="28"/>
      <x:c r="M1532" s="28"/>
      <x:c r="N1532" s="28"/>
      <x:c r="O1532" s="28"/>
      <x:c r="P1532" s="28"/>
      <x:c r="Q1532" s="28"/>
      <x:c r="R1532" s="28"/>
      <x:c r="S1532" s="28"/>
      <x:c r="T1532" s="28"/>
      <x:c r="U1532" s="28"/>
      <x:c r="V1532" s="28"/>
      <x:c r="W1532" s="43" t="n">
        <x:f>--AND(N1532=1,OR(O1532="SUPPORTED",O1532="HALLUCINATION"))</x:f>
        <x:v>0</x:v>
      </x:c>
      <x:c r="X1532" s="43" t="n">
        <x:f>--AND(W1532=1,O1532="HALLUCINATION")</x:f>
        <x:v>0</x:v>
      </x:c>
      <x:c r="Y1532" s="43" t="n">
        <x:f>--AND(Q1532=1,O1532="HALLUCINATION")</x:f>
        <x:v>0</x:v>
      </x:c>
      <x:c r="Z1532" s="43" t="n">
        <x:f>--AND(Y1532=1,R1532=1,S1532=1)</x:f>
        <x:v>0</x:v>
      </x:c>
      <x:c r="AC1532" t="str">
        <x:f>IF(OR(AA1532="",AB1532=""),"",--(AA1532&lt;&gt;AB1532))</x:f>
      </x:c>
      <x:c r="AE1532" t="str">
        <x:f>IF(OR(AA1532="",AB1532=""),"PENDING_HUMAN",IF(AA1532=AB1532,AA1532,IF(AD1532&lt;&gt;"",AD1532,"PENDING_HUMAN")))</x:f>
        <x:v>PENDING_HUMAN</x:v>
      </x:c>
      <x:c r="AF1532" t="n">
        <x:f>--AND(A1532&lt;&gt;"",AA1532&lt;&gt;"",AB1532&lt;&gt;"",OR(AA1532=AB1532,AD1532&lt;&gt;""),IF(AE1532="HALLUCINATION",U1532&lt;&gt;"",TRUE))</x:f>
        <x:v>0</x:v>
      </x:c>
      <x:c r="AG1532" t="n">
        <x:f>--AND(N1532=1,AF1532=1,OR(AE1532="SUPPORTED",AE1532="HALLUCINATION"))</x:f>
        <x:v>0</x:v>
      </x:c>
      <x:c r="AH1532" t="n">
        <x:f>--AND(AG1532=1,AE1532="HALLUCINATION")</x:f>
        <x:v>0</x:v>
      </x:c>
      <x:c r="AI1532" t="n">
        <x:f>--AND(Q1532=1,AF1532=1,AE1532="HALLUCINATION")</x:f>
        <x:v>0</x:v>
      </x:c>
      <x:c r="AJ1532" t="n">
        <x:f>--AND(AI1532=1,R1532=1,S1532=1)</x:f>
        <x:v>0</x:v>
      </x:c>
    </x:row>
    <x:row r="1533">
      <x:c r="A1533" s="28"/>
      <x:c r="B1533" s="28"/>
      <x:c r="C1533" s="28"/>
      <x:c r="D1533" s="28"/>
      <x:c r="E1533" s="28"/>
      <x:c r="F1533" s="28"/>
      <x:c r="G1533" s="28"/>
      <x:c r="H1533" s="28"/>
      <x:c r="I1533" s="28"/>
      <x:c r="J1533" s="28"/>
      <x:c r="K1533" s="28"/>
      <x:c r="L1533" s="28"/>
      <x:c r="M1533" s="28"/>
      <x:c r="N1533" s="28"/>
      <x:c r="O1533" s="28"/>
      <x:c r="P1533" s="28"/>
      <x:c r="Q1533" s="28"/>
      <x:c r="R1533" s="28"/>
      <x:c r="S1533" s="28"/>
      <x:c r="T1533" s="28"/>
      <x:c r="U1533" s="28"/>
      <x:c r="V1533" s="28"/>
      <x:c r="W1533" s="43" t="n">
        <x:f>--AND(N1533=1,OR(O1533="SUPPORTED",O1533="HALLUCINATION"))</x:f>
        <x:v>0</x:v>
      </x:c>
      <x:c r="X1533" s="43" t="n">
        <x:f>--AND(W1533=1,O1533="HALLUCINATION")</x:f>
        <x:v>0</x:v>
      </x:c>
      <x:c r="Y1533" s="43" t="n">
        <x:f>--AND(Q1533=1,O1533="HALLUCINATION")</x:f>
        <x:v>0</x:v>
      </x:c>
      <x:c r="Z1533" s="43" t="n">
        <x:f>--AND(Y1533=1,R1533=1,S1533=1)</x:f>
        <x:v>0</x:v>
      </x:c>
      <x:c r="AC1533" t="str">
        <x:f>IF(OR(AA1533="",AB1533=""),"",--(AA1533&lt;&gt;AB1533))</x:f>
      </x:c>
      <x:c r="AE1533" t="str">
        <x:f>IF(OR(AA1533="",AB1533=""),"PENDING_HUMAN",IF(AA1533=AB1533,AA1533,IF(AD1533&lt;&gt;"",AD1533,"PENDING_HUMAN")))</x:f>
        <x:v>PENDING_HUMAN</x:v>
      </x:c>
      <x:c r="AF1533" t="n">
        <x:f>--AND(A1533&lt;&gt;"",AA1533&lt;&gt;"",AB1533&lt;&gt;"",OR(AA1533=AB1533,AD1533&lt;&gt;""),IF(AE1533="HALLUCINATION",U1533&lt;&gt;"",TRUE))</x:f>
        <x:v>0</x:v>
      </x:c>
      <x:c r="AG1533" t="n">
        <x:f>--AND(N1533=1,AF1533=1,OR(AE1533="SUPPORTED",AE1533="HALLUCINATION"))</x:f>
        <x:v>0</x:v>
      </x:c>
      <x:c r="AH1533" t="n">
        <x:f>--AND(AG1533=1,AE1533="HALLUCINATION")</x:f>
        <x:v>0</x:v>
      </x:c>
      <x:c r="AI1533" t="n">
        <x:f>--AND(Q1533=1,AF1533=1,AE1533="HALLUCINATION")</x:f>
        <x:v>0</x:v>
      </x:c>
      <x:c r="AJ1533" t="n">
        <x:f>--AND(AI1533=1,R1533=1,S1533=1)</x:f>
        <x:v>0</x:v>
      </x:c>
    </x:row>
    <x:row r="1534">
      <x:c r="A1534" s="28"/>
      <x:c r="B1534" s="28"/>
      <x:c r="C1534" s="28"/>
      <x:c r="D1534" s="28"/>
      <x:c r="E1534" s="28"/>
      <x:c r="F1534" s="28"/>
      <x:c r="G1534" s="28"/>
      <x:c r="H1534" s="28"/>
      <x:c r="I1534" s="28"/>
      <x:c r="J1534" s="28"/>
      <x:c r="K1534" s="28"/>
      <x:c r="L1534" s="28"/>
      <x:c r="M1534" s="28"/>
      <x:c r="N1534" s="28"/>
      <x:c r="O1534" s="28"/>
      <x:c r="P1534" s="28"/>
      <x:c r="Q1534" s="28"/>
      <x:c r="R1534" s="28"/>
      <x:c r="S1534" s="28"/>
      <x:c r="T1534" s="28"/>
      <x:c r="U1534" s="28"/>
      <x:c r="V1534" s="28"/>
      <x:c r="W1534" s="43" t="n">
        <x:f>--AND(N1534=1,OR(O1534="SUPPORTED",O1534="HALLUCINATION"))</x:f>
        <x:v>0</x:v>
      </x:c>
      <x:c r="X1534" s="43" t="n">
        <x:f>--AND(W1534=1,O1534="HALLUCINATION")</x:f>
        <x:v>0</x:v>
      </x:c>
      <x:c r="Y1534" s="43" t="n">
        <x:f>--AND(Q1534=1,O1534="HALLUCINATION")</x:f>
        <x:v>0</x:v>
      </x:c>
      <x:c r="Z1534" s="43" t="n">
        <x:f>--AND(Y1534=1,R1534=1,S1534=1)</x:f>
        <x:v>0</x:v>
      </x:c>
      <x:c r="AC1534" t="str">
        <x:f>IF(OR(AA1534="",AB1534=""),"",--(AA1534&lt;&gt;AB1534))</x:f>
      </x:c>
      <x:c r="AE1534" t="str">
        <x:f>IF(OR(AA1534="",AB1534=""),"PENDING_HUMAN",IF(AA1534=AB1534,AA1534,IF(AD1534&lt;&gt;"",AD1534,"PENDING_HUMAN")))</x:f>
        <x:v>PENDING_HUMAN</x:v>
      </x:c>
      <x:c r="AF1534" t="n">
        <x:f>--AND(A1534&lt;&gt;"",AA1534&lt;&gt;"",AB1534&lt;&gt;"",OR(AA1534=AB1534,AD1534&lt;&gt;""),IF(AE1534="HALLUCINATION",U1534&lt;&gt;"",TRUE))</x:f>
        <x:v>0</x:v>
      </x:c>
      <x:c r="AG1534" t="n">
        <x:f>--AND(N1534=1,AF1534=1,OR(AE1534="SUPPORTED",AE1534="HALLUCINATION"))</x:f>
        <x:v>0</x:v>
      </x:c>
      <x:c r="AH1534" t="n">
        <x:f>--AND(AG1534=1,AE1534="HALLUCINATION")</x:f>
        <x:v>0</x:v>
      </x:c>
      <x:c r="AI1534" t="n">
        <x:f>--AND(Q1534=1,AF1534=1,AE1534="HALLUCINATION")</x:f>
        <x:v>0</x:v>
      </x:c>
      <x:c r="AJ1534" t="n">
        <x:f>--AND(AI1534=1,R1534=1,S1534=1)</x:f>
        <x:v>0</x:v>
      </x:c>
    </x:row>
    <x:row r="1535">
      <x:c r="A1535" s="28"/>
      <x:c r="B1535" s="28"/>
      <x:c r="C1535" s="28"/>
      <x:c r="D1535" s="28"/>
      <x:c r="E1535" s="28"/>
      <x:c r="F1535" s="28"/>
      <x:c r="G1535" s="28"/>
      <x:c r="H1535" s="28"/>
      <x:c r="I1535" s="28"/>
      <x:c r="J1535" s="28"/>
      <x:c r="K1535" s="28"/>
      <x:c r="L1535" s="28"/>
      <x:c r="M1535" s="28"/>
      <x:c r="N1535" s="28"/>
      <x:c r="O1535" s="28"/>
      <x:c r="P1535" s="28"/>
      <x:c r="Q1535" s="28"/>
      <x:c r="R1535" s="28"/>
      <x:c r="S1535" s="28"/>
      <x:c r="T1535" s="28"/>
      <x:c r="U1535" s="28"/>
      <x:c r="V1535" s="28"/>
      <x:c r="W1535" s="43" t="n">
        <x:f>--AND(N1535=1,OR(O1535="SUPPORTED",O1535="HALLUCINATION"))</x:f>
        <x:v>0</x:v>
      </x:c>
      <x:c r="X1535" s="43" t="n">
        <x:f>--AND(W1535=1,O1535="HALLUCINATION")</x:f>
        <x:v>0</x:v>
      </x:c>
      <x:c r="Y1535" s="43" t="n">
        <x:f>--AND(Q1535=1,O1535="HALLUCINATION")</x:f>
        <x:v>0</x:v>
      </x:c>
      <x:c r="Z1535" s="43" t="n">
        <x:f>--AND(Y1535=1,R1535=1,S1535=1)</x:f>
        <x:v>0</x:v>
      </x:c>
      <x:c r="AC1535" t="str">
        <x:f>IF(OR(AA1535="",AB1535=""),"",--(AA1535&lt;&gt;AB1535))</x:f>
      </x:c>
      <x:c r="AE1535" t="str">
        <x:f>IF(OR(AA1535="",AB1535=""),"PENDING_HUMAN",IF(AA1535=AB1535,AA1535,IF(AD1535&lt;&gt;"",AD1535,"PENDING_HUMAN")))</x:f>
        <x:v>PENDING_HUMAN</x:v>
      </x:c>
      <x:c r="AF1535" t="n">
        <x:f>--AND(A1535&lt;&gt;"",AA1535&lt;&gt;"",AB1535&lt;&gt;"",OR(AA1535=AB1535,AD1535&lt;&gt;""),IF(AE1535="HALLUCINATION",U1535&lt;&gt;"",TRUE))</x:f>
        <x:v>0</x:v>
      </x:c>
      <x:c r="AG1535" t="n">
        <x:f>--AND(N1535=1,AF1535=1,OR(AE1535="SUPPORTED",AE1535="HALLUCINATION"))</x:f>
        <x:v>0</x:v>
      </x:c>
      <x:c r="AH1535" t="n">
        <x:f>--AND(AG1535=1,AE1535="HALLUCINATION")</x:f>
        <x:v>0</x:v>
      </x:c>
      <x:c r="AI1535" t="n">
        <x:f>--AND(Q1535=1,AF1535=1,AE1535="HALLUCINATION")</x:f>
        <x:v>0</x:v>
      </x:c>
      <x:c r="AJ1535" t="n">
        <x:f>--AND(AI1535=1,R1535=1,S1535=1)</x:f>
        <x:v>0</x:v>
      </x:c>
    </x:row>
    <x:row r="1536">
      <x:c r="A1536" s="28"/>
      <x:c r="B1536" s="28"/>
      <x:c r="C1536" s="28"/>
      <x:c r="D1536" s="28"/>
      <x:c r="E1536" s="28"/>
      <x:c r="F1536" s="28"/>
      <x:c r="G1536" s="28"/>
      <x:c r="H1536" s="28"/>
      <x:c r="I1536" s="28"/>
      <x:c r="J1536" s="28"/>
      <x:c r="K1536" s="28"/>
      <x:c r="L1536" s="28"/>
      <x:c r="M1536" s="28"/>
      <x:c r="N1536" s="28"/>
      <x:c r="O1536" s="28"/>
      <x:c r="P1536" s="28"/>
      <x:c r="Q1536" s="28"/>
      <x:c r="R1536" s="28"/>
      <x:c r="S1536" s="28"/>
      <x:c r="T1536" s="28"/>
      <x:c r="U1536" s="28"/>
      <x:c r="V1536" s="28"/>
      <x:c r="W1536" s="43" t="n">
        <x:f>--AND(N1536=1,OR(O1536="SUPPORTED",O1536="HALLUCINATION"))</x:f>
        <x:v>0</x:v>
      </x:c>
      <x:c r="X1536" s="43" t="n">
        <x:f>--AND(W1536=1,O1536="HALLUCINATION")</x:f>
        <x:v>0</x:v>
      </x:c>
      <x:c r="Y1536" s="43" t="n">
        <x:f>--AND(Q1536=1,O1536="HALLUCINATION")</x:f>
        <x:v>0</x:v>
      </x:c>
      <x:c r="Z1536" s="43" t="n">
        <x:f>--AND(Y1536=1,R1536=1,S1536=1)</x:f>
        <x:v>0</x:v>
      </x:c>
      <x:c r="AC1536" t="str">
        <x:f>IF(OR(AA1536="",AB1536=""),"",--(AA1536&lt;&gt;AB1536))</x:f>
      </x:c>
      <x:c r="AE1536" t="str">
        <x:f>IF(OR(AA1536="",AB1536=""),"PENDING_HUMAN",IF(AA1536=AB1536,AA1536,IF(AD1536&lt;&gt;"",AD1536,"PENDING_HUMAN")))</x:f>
        <x:v>PENDING_HUMAN</x:v>
      </x:c>
      <x:c r="AF1536" t="n">
        <x:f>--AND(A1536&lt;&gt;"",AA1536&lt;&gt;"",AB1536&lt;&gt;"",OR(AA1536=AB1536,AD1536&lt;&gt;""),IF(AE1536="HALLUCINATION",U1536&lt;&gt;"",TRUE))</x:f>
        <x:v>0</x:v>
      </x:c>
      <x:c r="AG1536" t="n">
        <x:f>--AND(N1536=1,AF1536=1,OR(AE1536="SUPPORTED",AE1536="HALLUCINATION"))</x:f>
        <x:v>0</x:v>
      </x:c>
      <x:c r="AH1536" t="n">
        <x:f>--AND(AG1536=1,AE1536="HALLUCINATION")</x:f>
        <x:v>0</x:v>
      </x:c>
      <x:c r="AI1536" t="n">
        <x:f>--AND(Q1536=1,AF1536=1,AE1536="HALLUCINATION")</x:f>
        <x:v>0</x:v>
      </x:c>
      <x:c r="AJ1536" t="n">
        <x:f>--AND(AI1536=1,R1536=1,S1536=1)</x:f>
        <x:v>0</x:v>
      </x:c>
    </x:row>
    <x:row r="1537">
      <x:c r="A1537" s="28"/>
      <x:c r="B1537" s="28"/>
      <x:c r="C1537" s="28"/>
      <x:c r="D1537" s="28"/>
      <x:c r="E1537" s="28"/>
      <x:c r="F1537" s="28"/>
      <x:c r="G1537" s="28"/>
      <x:c r="H1537" s="28"/>
      <x:c r="I1537" s="28"/>
      <x:c r="J1537" s="28"/>
      <x:c r="K1537" s="28"/>
      <x:c r="L1537" s="28"/>
      <x:c r="M1537" s="28"/>
      <x:c r="N1537" s="28"/>
      <x:c r="O1537" s="28"/>
      <x:c r="P1537" s="28"/>
      <x:c r="Q1537" s="28"/>
      <x:c r="R1537" s="28"/>
      <x:c r="S1537" s="28"/>
      <x:c r="T1537" s="28"/>
      <x:c r="U1537" s="28"/>
      <x:c r="V1537" s="28"/>
      <x:c r="W1537" s="43" t="n">
        <x:f>--AND(N1537=1,OR(O1537="SUPPORTED",O1537="HALLUCINATION"))</x:f>
        <x:v>0</x:v>
      </x:c>
      <x:c r="X1537" s="43" t="n">
        <x:f>--AND(W1537=1,O1537="HALLUCINATION")</x:f>
        <x:v>0</x:v>
      </x:c>
      <x:c r="Y1537" s="43" t="n">
        <x:f>--AND(Q1537=1,O1537="HALLUCINATION")</x:f>
        <x:v>0</x:v>
      </x:c>
      <x:c r="Z1537" s="43" t="n">
        <x:f>--AND(Y1537=1,R1537=1,S1537=1)</x:f>
        <x:v>0</x:v>
      </x:c>
      <x:c r="AC1537" t="str">
        <x:f>IF(OR(AA1537="",AB1537=""),"",--(AA1537&lt;&gt;AB1537))</x:f>
      </x:c>
      <x:c r="AE1537" t="str">
        <x:f>IF(OR(AA1537="",AB1537=""),"PENDING_HUMAN",IF(AA1537=AB1537,AA1537,IF(AD1537&lt;&gt;"",AD1537,"PENDING_HUMAN")))</x:f>
        <x:v>PENDING_HUMAN</x:v>
      </x:c>
      <x:c r="AF1537" t="n">
        <x:f>--AND(A1537&lt;&gt;"",AA1537&lt;&gt;"",AB1537&lt;&gt;"",OR(AA1537=AB1537,AD1537&lt;&gt;""),IF(AE1537="HALLUCINATION",U1537&lt;&gt;"",TRUE))</x:f>
        <x:v>0</x:v>
      </x:c>
      <x:c r="AG1537" t="n">
        <x:f>--AND(N1537=1,AF1537=1,OR(AE1537="SUPPORTED",AE1537="HALLUCINATION"))</x:f>
        <x:v>0</x:v>
      </x:c>
      <x:c r="AH1537" t="n">
        <x:f>--AND(AG1537=1,AE1537="HALLUCINATION")</x:f>
        <x:v>0</x:v>
      </x:c>
      <x:c r="AI1537" t="n">
        <x:f>--AND(Q1537=1,AF1537=1,AE1537="HALLUCINATION")</x:f>
        <x:v>0</x:v>
      </x:c>
      <x:c r="AJ1537" t="n">
        <x:f>--AND(AI1537=1,R1537=1,S1537=1)</x:f>
        <x:v>0</x:v>
      </x:c>
    </x:row>
    <x:row r="1538">
      <x:c r="A1538" s="28"/>
      <x:c r="B1538" s="28"/>
      <x:c r="C1538" s="28"/>
      <x:c r="D1538" s="28"/>
      <x:c r="E1538" s="28"/>
      <x:c r="F1538" s="28"/>
      <x:c r="G1538" s="28"/>
      <x:c r="H1538" s="28"/>
      <x:c r="I1538" s="28"/>
      <x:c r="J1538" s="28"/>
      <x:c r="K1538" s="28"/>
      <x:c r="L1538" s="28"/>
      <x:c r="M1538" s="28"/>
      <x:c r="N1538" s="28"/>
      <x:c r="O1538" s="28"/>
      <x:c r="P1538" s="28"/>
      <x:c r="Q1538" s="28"/>
      <x:c r="R1538" s="28"/>
      <x:c r="S1538" s="28"/>
      <x:c r="T1538" s="28"/>
      <x:c r="U1538" s="28"/>
      <x:c r="V1538" s="28"/>
      <x:c r="W1538" s="43" t="n">
        <x:f>--AND(N1538=1,OR(O1538="SUPPORTED",O1538="HALLUCINATION"))</x:f>
        <x:v>0</x:v>
      </x:c>
      <x:c r="X1538" s="43" t="n">
        <x:f>--AND(W1538=1,O1538="HALLUCINATION")</x:f>
        <x:v>0</x:v>
      </x:c>
      <x:c r="Y1538" s="43" t="n">
        <x:f>--AND(Q1538=1,O1538="HALLUCINATION")</x:f>
        <x:v>0</x:v>
      </x:c>
      <x:c r="Z1538" s="43" t="n">
        <x:f>--AND(Y1538=1,R1538=1,S1538=1)</x:f>
        <x:v>0</x:v>
      </x:c>
      <x:c r="AC1538" t="str">
        <x:f>IF(OR(AA1538="",AB1538=""),"",--(AA1538&lt;&gt;AB1538))</x:f>
      </x:c>
      <x:c r="AE1538" t="str">
        <x:f>IF(OR(AA1538="",AB1538=""),"PENDING_HUMAN",IF(AA1538=AB1538,AA1538,IF(AD1538&lt;&gt;"",AD1538,"PENDING_HUMAN")))</x:f>
        <x:v>PENDING_HUMAN</x:v>
      </x:c>
      <x:c r="AF1538" t="n">
        <x:f>--AND(A1538&lt;&gt;"",AA1538&lt;&gt;"",AB1538&lt;&gt;"",OR(AA1538=AB1538,AD1538&lt;&gt;""),IF(AE1538="HALLUCINATION",U1538&lt;&gt;"",TRUE))</x:f>
        <x:v>0</x:v>
      </x:c>
      <x:c r="AG1538" t="n">
        <x:f>--AND(N1538=1,AF1538=1,OR(AE1538="SUPPORTED",AE1538="HALLUCINATION"))</x:f>
        <x:v>0</x:v>
      </x:c>
      <x:c r="AH1538" t="n">
        <x:f>--AND(AG1538=1,AE1538="HALLUCINATION")</x:f>
        <x:v>0</x:v>
      </x:c>
      <x:c r="AI1538" t="n">
        <x:f>--AND(Q1538=1,AF1538=1,AE1538="HALLUCINATION")</x:f>
        <x:v>0</x:v>
      </x:c>
      <x:c r="AJ1538" t="n">
        <x:f>--AND(AI1538=1,R1538=1,S1538=1)</x:f>
        <x:v>0</x:v>
      </x:c>
    </x:row>
    <x:row r="1539">
      <x:c r="A1539" s="28"/>
      <x:c r="B1539" s="28"/>
      <x:c r="C1539" s="28"/>
      <x:c r="D1539" s="28"/>
      <x:c r="E1539" s="28"/>
      <x:c r="F1539" s="28"/>
      <x:c r="G1539" s="28"/>
      <x:c r="H1539" s="28"/>
      <x:c r="I1539" s="28"/>
      <x:c r="J1539" s="28"/>
      <x:c r="K1539" s="28"/>
      <x:c r="L1539" s="28"/>
      <x:c r="M1539" s="28"/>
      <x:c r="N1539" s="28"/>
      <x:c r="O1539" s="28"/>
      <x:c r="P1539" s="28"/>
      <x:c r="Q1539" s="28"/>
      <x:c r="R1539" s="28"/>
      <x:c r="S1539" s="28"/>
      <x:c r="T1539" s="28"/>
      <x:c r="U1539" s="28"/>
      <x:c r="V1539" s="28"/>
      <x:c r="W1539" s="43" t="n">
        <x:f>--AND(N1539=1,OR(O1539="SUPPORTED",O1539="HALLUCINATION"))</x:f>
        <x:v>0</x:v>
      </x:c>
      <x:c r="X1539" s="43" t="n">
        <x:f>--AND(W1539=1,O1539="HALLUCINATION")</x:f>
        <x:v>0</x:v>
      </x:c>
      <x:c r="Y1539" s="43" t="n">
        <x:f>--AND(Q1539=1,O1539="HALLUCINATION")</x:f>
        <x:v>0</x:v>
      </x:c>
      <x:c r="Z1539" s="43" t="n">
        <x:f>--AND(Y1539=1,R1539=1,S1539=1)</x:f>
        <x:v>0</x:v>
      </x:c>
      <x:c r="AC1539" t="str">
        <x:f>IF(OR(AA1539="",AB1539=""),"",--(AA1539&lt;&gt;AB1539))</x:f>
      </x:c>
      <x:c r="AE1539" t="str">
        <x:f>IF(OR(AA1539="",AB1539=""),"PENDING_HUMAN",IF(AA1539=AB1539,AA1539,IF(AD1539&lt;&gt;"",AD1539,"PENDING_HUMAN")))</x:f>
        <x:v>PENDING_HUMAN</x:v>
      </x:c>
      <x:c r="AF1539" t="n">
        <x:f>--AND(A1539&lt;&gt;"",AA1539&lt;&gt;"",AB1539&lt;&gt;"",OR(AA1539=AB1539,AD1539&lt;&gt;""),IF(AE1539="HALLUCINATION",U1539&lt;&gt;"",TRUE))</x:f>
        <x:v>0</x:v>
      </x:c>
      <x:c r="AG1539" t="n">
        <x:f>--AND(N1539=1,AF1539=1,OR(AE1539="SUPPORTED",AE1539="HALLUCINATION"))</x:f>
        <x:v>0</x:v>
      </x:c>
      <x:c r="AH1539" t="n">
        <x:f>--AND(AG1539=1,AE1539="HALLUCINATION")</x:f>
        <x:v>0</x:v>
      </x:c>
      <x:c r="AI1539" t="n">
        <x:f>--AND(Q1539=1,AF1539=1,AE1539="HALLUCINATION")</x:f>
        <x:v>0</x:v>
      </x:c>
      <x:c r="AJ1539" t="n">
        <x:f>--AND(AI1539=1,R1539=1,S1539=1)</x:f>
        <x:v>0</x:v>
      </x:c>
    </x:row>
    <x:row r="1540">
      <x:c r="A1540" s="28"/>
      <x:c r="B1540" s="28"/>
      <x:c r="C1540" s="28"/>
      <x:c r="D1540" s="28"/>
      <x:c r="E1540" s="28"/>
      <x:c r="F1540" s="28"/>
      <x:c r="G1540" s="28"/>
      <x:c r="H1540" s="28"/>
      <x:c r="I1540" s="28"/>
      <x:c r="J1540" s="28"/>
      <x:c r="K1540" s="28"/>
      <x:c r="L1540" s="28"/>
      <x:c r="M1540" s="28"/>
      <x:c r="N1540" s="28"/>
      <x:c r="O1540" s="28"/>
      <x:c r="P1540" s="28"/>
      <x:c r="Q1540" s="28"/>
      <x:c r="R1540" s="28"/>
      <x:c r="S1540" s="28"/>
      <x:c r="T1540" s="28"/>
      <x:c r="U1540" s="28"/>
      <x:c r="V1540" s="28"/>
      <x:c r="W1540" s="43" t="n">
        <x:f>--AND(N1540=1,OR(O1540="SUPPORTED",O1540="HALLUCINATION"))</x:f>
        <x:v>0</x:v>
      </x:c>
      <x:c r="X1540" s="43" t="n">
        <x:f>--AND(W1540=1,O1540="HALLUCINATION")</x:f>
        <x:v>0</x:v>
      </x:c>
      <x:c r="Y1540" s="43" t="n">
        <x:f>--AND(Q1540=1,O1540="HALLUCINATION")</x:f>
        <x:v>0</x:v>
      </x:c>
      <x:c r="Z1540" s="43" t="n">
        <x:f>--AND(Y1540=1,R1540=1,S1540=1)</x:f>
        <x:v>0</x:v>
      </x:c>
      <x:c r="AC1540" t="str">
        <x:f>IF(OR(AA1540="",AB1540=""),"",--(AA1540&lt;&gt;AB1540))</x:f>
      </x:c>
      <x:c r="AE1540" t="str">
        <x:f>IF(OR(AA1540="",AB1540=""),"PENDING_HUMAN",IF(AA1540=AB1540,AA1540,IF(AD1540&lt;&gt;"",AD1540,"PENDING_HUMAN")))</x:f>
        <x:v>PENDING_HUMAN</x:v>
      </x:c>
      <x:c r="AF1540" t="n">
        <x:f>--AND(A1540&lt;&gt;"",AA1540&lt;&gt;"",AB1540&lt;&gt;"",OR(AA1540=AB1540,AD1540&lt;&gt;""),IF(AE1540="HALLUCINATION",U1540&lt;&gt;"",TRUE))</x:f>
        <x:v>0</x:v>
      </x:c>
      <x:c r="AG1540" t="n">
        <x:f>--AND(N1540=1,AF1540=1,OR(AE1540="SUPPORTED",AE1540="HALLUCINATION"))</x:f>
        <x:v>0</x:v>
      </x:c>
      <x:c r="AH1540" t="n">
        <x:f>--AND(AG1540=1,AE1540="HALLUCINATION")</x:f>
        <x:v>0</x:v>
      </x:c>
      <x:c r="AI1540" t="n">
        <x:f>--AND(Q1540=1,AF1540=1,AE1540="HALLUCINATION")</x:f>
        <x:v>0</x:v>
      </x:c>
      <x:c r="AJ1540" t="n">
        <x:f>--AND(AI1540=1,R1540=1,S1540=1)</x:f>
        <x:v>0</x:v>
      </x:c>
    </x:row>
    <x:row r="1541">
      <x:c r="A1541" s="28"/>
      <x:c r="B1541" s="28"/>
      <x:c r="C1541" s="28"/>
      <x:c r="D1541" s="28"/>
      <x:c r="E1541" s="28"/>
      <x:c r="F1541" s="28"/>
      <x:c r="G1541" s="28"/>
      <x:c r="H1541" s="28"/>
      <x:c r="I1541" s="28"/>
      <x:c r="J1541" s="28"/>
      <x:c r="K1541" s="28"/>
      <x:c r="L1541" s="28"/>
      <x:c r="M1541" s="28"/>
      <x:c r="N1541" s="28"/>
      <x:c r="O1541" s="28"/>
      <x:c r="P1541" s="28"/>
      <x:c r="Q1541" s="28"/>
      <x:c r="R1541" s="28"/>
      <x:c r="S1541" s="28"/>
      <x:c r="T1541" s="28"/>
      <x:c r="U1541" s="28"/>
      <x:c r="V1541" s="28"/>
      <x:c r="W1541" s="43" t="n">
        <x:f>--AND(N1541=1,OR(O1541="SUPPORTED",O1541="HALLUCINATION"))</x:f>
        <x:v>0</x:v>
      </x:c>
      <x:c r="X1541" s="43" t="n">
        <x:f>--AND(W1541=1,O1541="HALLUCINATION")</x:f>
        <x:v>0</x:v>
      </x:c>
      <x:c r="Y1541" s="43" t="n">
        <x:f>--AND(Q1541=1,O1541="HALLUCINATION")</x:f>
        <x:v>0</x:v>
      </x:c>
      <x:c r="Z1541" s="43" t="n">
        <x:f>--AND(Y1541=1,R1541=1,S1541=1)</x:f>
        <x:v>0</x:v>
      </x:c>
      <x:c r="AC1541" t="str">
        <x:f>IF(OR(AA1541="",AB1541=""),"",--(AA1541&lt;&gt;AB1541))</x:f>
      </x:c>
      <x:c r="AE1541" t="str">
        <x:f>IF(OR(AA1541="",AB1541=""),"PENDING_HUMAN",IF(AA1541=AB1541,AA1541,IF(AD1541&lt;&gt;"",AD1541,"PENDING_HUMAN")))</x:f>
        <x:v>PENDING_HUMAN</x:v>
      </x:c>
      <x:c r="AF1541" t="n">
        <x:f>--AND(A1541&lt;&gt;"",AA1541&lt;&gt;"",AB1541&lt;&gt;"",OR(AA1541=AB1541,AD1541&lt;&gt;""),IF(AE1541="HALLUCINATION",U1541&lt;&gt;"",TRUE))</x:f>
        <x:v>0</x:v>
      </x:c>
      <x:c r="AG1541" t="n">
        <x:f>--AND(N1541=1,AF1541=1,OR(AE1541="SUPPORTED",AE1541="HALLUCINATION"))</x:f>
        <x:v>0</x:v>
      </x:c>
      <x:c r="AH1541" t="n">
        <x:f>--AND(AG1541=1,AE1541="HALLUCINATION")</x:f>
        <x:v>0</x:v>
      </x:c>
      <x:c r="AI1541" t="n">
        <x:f>--AND(Q1541=1,AF1541=1,AE1541="HALLUCINATION")</x:f>
        <x:v>0</x:v>
      </x:c>
      <x:c r="AJ1541" t="n">
        <x:f>--AND(AI1541=1,R1541=1,S1541=1)</x:f>
        <x:v>0</x:v>
      </x:c>
    </x:row>
    <x:row r="1542">
      <x:c r="A1542" s="28"/>
      <x:c r="B1542" s="28"/>
      <x:c r="C1542" s="28"/>
      <x:c r="D1542" s="28"/>
      <x:c r="E1542" s="28"/>
      <x:c r="F1542" s="28"/>
      <x:c r="G1542" s="28"/>
      <x:c r="H1542" s="28"/>
      <x:c r="I1542" s="28"/>
      <x:c r="J1542" s="28"/>
      <x:c r="K1542" s="28"/>
      <x:c r="L1542" s="28"/>
      <x:c r="M1542" s="28"/>
      <x:c r="N1542" s="28"/>
      <x:c r="O1542" s="28"/>
      <x:c r="P1542" s="28"/>
      <x:c r="Q1542" s="28"/>
      <x:c r="R1542" s="28"/>
      <x:c r="S1542" s="28"/>
      <x:c r="T1542" s="28"/>
      <x:c r="U1542" s="28"/>
      <x:c r="V1542" s="28"/>
      <x:c r="W1542" s="43" t="n">
        <x:f>--AND(N1542=1,OR(O1542="SUPPORTED",O1542="HALLUCINATION"))</x:f>
        <x:v>0</x:v>
      </x:c>
      <x:c r="X1542" s="43" t="n">
        <x:f>--AND(W1542=1,O1542="HALLUCINATION")</x:f>
        <x:v>0</x:v>
      </x:c>
      <x:c r="Y1542" s="43" t="n">
        <x:f>--AND(Q1542=1,O1542="HALLUCINATION")</x:f>
        <x:v>0</x:v>
      </x:c>
      <x:c r="Z1542" s="43" t="n">
        <x:f>--AND(Y1542=1,R1542=1,S1542=1)</x:f>
        <x:v>0</x:v>
      </x:c>
      <x:c r="AC1542" t="str">
        <x:f>IF(OR(AA1542="",AB1542=""),"",--(AA1542&lt;&gt;AB1542))</x:f>
      </x:c>
      <x:c r="AE1542" t="str">
        <x:f>IF(OR(AA1542="",AB1542=""),"PENDING_HUMAN",IF(AA1542=AB1542,AA1542,IF(AD1542&lt;&gt;"",AD1542,"PENDING_HUMAN")))</x:f>
        <x:v>PENDING_HUMAN</x:v>
      </x:c>
      <x:c r="AF1542" t="n">
        <x:f>--AND(A1542&lt;&gt;"",AA1542&lt;&gt;"",AB1542&lt;&gt;"",OR(AA1542=AB1542,AD1542&lt;&gt;""),IF(AE1542="HALLUCINATION",U1542&lt;&gt;"",TRUE))</x:f>
        <x:v>0</x:v>
      </x:c>
      <x:c r="AG1542" t="n">
        <x:f>--AND(N1542=1,AF1542=1,OR(AE1542="SUPPORTED",AE1542="HALLUCINATION"))</x:f>
        <x:v>0</x:v>
      </x:c>
      <x:c r="AH1542" t="n">
        <x:f>--AND(AG1542=1,AE1542="HALLUCINATION")</x:f>
        <x:v>0</x:v>
      </x:c>
      <x:c r="AI1542" t="n">
        <x:f>--AND(Q1542=1,AF1542=1,AE1542="HALLUCINATION")</x:f>
        <x:v>0</x:v>
      </x:c>
      <x:c r="AJ1542" t="n">
        <x:f>--AND(AI1542=1,R1542=1,S1542=1)</x:f>
        <x:v>0</x:v>
      </x:c>
    </x:row>
    <x:row r="1543">
      <x:c r="A1543" s="28"/>
      <x:c r="B1543" s="28"/>
      <x:c r="C1543" s="28"/>
      <x:c r="D1543" s="28"/>
      <x:c r="E1543" s="28"/>
      <x:c r="F1543" s="28"/>
      <x:c r="G1543" s="28"/>
      <x:c r="H1543" s="28"/>
      <x:c r="I1543" s="28"/>
      <x:c r="J1543" s="28"/>
      <x:c r="K1543" s="28"/>
      <x:c r="L1543" s="28"/>
      <x:c r="M1543" s="28"/>
      <x:c r="N1543" s="28"/>
      <x:c r="O1543" s="28"/>
      <x:c r="P1543" s="28"/>
      <x:c r="Q1543" s="28"/>
      <x:c r="R1543" s="28"/>
      <x:c r="S1543" s="28"/>
      <x:c r="T1543" s="28"/>
      <x:c r="U1543" s="28"/>
      <x:c r="V1543" s="28"/>
      <x:c r="W1543" s="43" t="n">
        <x:f>--AND(N1543=1,OR(O1543="SUPPORTED",O1543="HALLUCINATION"))</x:f>
        <x:v>0</x:v>
      </x:c>
      <x:c r="X1543" s="43" t="n">
        <x:f>--AND(W1543=1,O1543="HALLUCINATION")</x:f>
        <x:v>0</x:v>
      </x:c>
      <x:c r="Y1543" s="43" t="n">
        <x:f>--AND(Q1543=1,O1543="HALLUCINATION")</x:f>
        <x:v>0</x:v>
      </x:c>
      <x:c r="Z1543" s="43" t="n">
        <x:f>--AND(Y1543=1,R1543=1,S1543=1)</x:f>
        <x:v>0</x:v>
      </x:c>
      <x:c r="AC1543" t="str">
        <x:f>IF(OR(AA1543="",AB1543=""),"",--(AA1543&lt;&gt;AB1543))</x:f>
      </x:c>
      <x:c r="AE1543" t="str">
        <x:f>IF(OR(AA1543="",AB1543=""),"PENDING_HUMAN",IF(AA1543=AB1543,AA1543,IF(AD1543&lt;&gt;"",AD1543,"PENDING_HUMAN")))</x:f>
        <x:v>PENDING_HUMAN</x:v>
      </x:c>
      <x:c r="AF1543" t="n">
        <x:f>--AND(A1543&lt;&gt;"",AA1543&lt;&gt;"",AB1543&lt;&gt;"",OR(AA1543=AB1543,AD1543&lt;&gt;""),IF(AE1543="HALLUCINATION",U1543&lt;&gt;"",TRUE))</x:f>
        <x:v>0</x:v>
      </x:c>
      <x:c r="AG1543" t="n">
        <x:f>--AND(N1543=1,AF1543=1,OR(AE1543="SUPPORTED",AE1543="HALLUCINATION"))</x:f>
        <x:v>0</x:v>
      </x:c>
      <x:c r="AH1543" t="n">
        <x:f>--AND(AG1543=1,AE1543="HALLUCINATION")</x:f>
        <x:v>0</x:v>
      </x:c>
      <x:c r="AI1543" t="n">
        <x:f>--AND(Q1543=1,AF1543=1,AE1543="HALLUCINATION")</x:f>
        <x:v>0</x:v>
      </x:c>
      <x:c r="AJ1543" t="n">
        <x:f>--AND(AI1543=1,R1543=1,S1543=1)</x:f>
        <x:v>0</x:v>
      </x:c>
    </x:row>
    <x:row r="1544">
      <x:c r="A1544" s="28"/>
      <x:c r="B1544" s="28"/>
      <x:c r="C1544" s="28"/>
      <x:c r="D1544" s="28"/>
      <x:c r="E1544" s="28"/>
      <x:c r="F1544" s="28"/>
      <x:c r="G1544" s="28"/>
      <x:c r="H1544" s="28"/>
      <x:c r="I1544" s="28"/>
      <x:c r="J1544" s="28"/>
      <x:c r="K1544" s="28"/>
      <x:c r="L1544" s="28"/>
      <x:c r="M1544" s="28"/>
      <x:c r="N1544" s="28"/>
      <x:c r="O1544" s="28"/>
      <x:c r="P1544" s="28"/>
      <x:c r="Q1544" s="28"/>
      <x:c r="R1544" s="28"/>
      <x:c r="S1544" s="28"/>
      <x:c r="T1544" s="28"/>
      <x:c r="U1544" s="28"/>
      <x:c r="V1544" s="28"/>
      <x:c r="W1544" s="43" t="n">
        <x:f>--AND(N1544=1,OR(O1544="SUPPORTED",O1544="HALLUCINATION"))</x:f>
        <x:v>0</x:v>
      </x:c>
      <x:c r="X1544" s="43" t="n">
        <x:f>--AND(W1544=1,O1544="HALLUCINATION")</x:f>
        <x:v>0</x:v>
      </x:c>
      <x:c r="Y1544" s="43" t="n">
        <x:f>--AND(Q1544=1,O1544="HALLUCINATION")</x:f>
        <x:v>0</x:v>
      </x:c>
      <x:c r="Z1544" s="43" t="n">
        <x:f>--AND(Y1544=1,R1544=1,S1544=1)</x:f>
        <x:v>0</x:v>
      </x:c>
      <x:c r="AC1544" t="str">
        <x:f>IF(OR(AA1544="",AB1544=""),"",--(AA1544&lt;&gt;AB1544))</x:f>
      </x:c>
      <x:c r="AE1544" t="str">
        <x:f>IF(OR(AA1544="",AB1544=""),"PENDING_HUMAN",IF(AA1544=AB1544,AA1544,IF(AD1544&lt;&gt;"",AD1544,"PENDING_HUMAN")))</x:f>
        <x:v>PENDING_HUMAN</x:v>
      </x:c>
      <x:c r="AF1544" t="n">
        <x:f>--AND(A1544&lt;&gt;"",AA1544&lt;&gt;"",AB1544&lt;&gt;"",OR(AA1544=AB1544,AD1544&lt;&gt;""),IF(AE1544="HALLUCINATION",U1544&lt;&gt;"",TRUE))</x:f>
        <x:v>0</x:v>
      </x:c>
      <x:c r="AG1544" t="n">
        <x:f>--AND(N1544=1,AF1544=1,OR(AE1544="SUPPORTED",AE1544="HALLUCINATION"))</x:f>
        <x:v>0</x:v>
      </x:c>
      <x:c r="AH1544" t="n">
        <x:f>--AND(AG1544=1,AE1544="HALLUCINATION")</x:f>
        <x:v>0</x:v>
      </x:c>
      <x:c r="AI1544" t="n">
        <x:f>--AND(Q1544=1,AF1544=1,AE1544="HALLUCINATION")</x:f>
        <x:v>0</x:v>
      </x:c>
      <x:c r="AJ1544" t="n">
        <x:f>--AND(AI1544=1,R1544=1,S1544=1)</x:f>
        <x:v>0</x:v>
      </x:c>
    </x:row>
    <x:row r="1545">
      <x:c r="A1545" s="28"/>
      <x:c r="B1545" s="28"/>
      <x:c r="C1545" s="28"/>
      <x:c r="D1545" s="28"/>
      <x:c r="E1545" s="28"/>
      <x:c r="F1545" s="28"/>
      <x:c r="G1545" s="28"/>
      <x:c r="H1545" s="28"/>
      <x:c r="I1545" s="28"/>
      <x:c r="J1545" s="28"/>
      <x:c r="K1545" s="28"/>
      <x:c r="L1545" s="28"/>
      <x:c r="M1545" s="28"/>
      <x:c r="N1545" s="28"/>
      <x:c r="O1545" s="28"/>
      <x:c r="P1545" s="28"/>
      <x:c r="Q1545" s="28"/>
      <x:c r="R1545" s="28"/>
      <x:c r="S1545" s="28"/>
      <x:c r="T1545" s="28"/>
      <x:c r="U1545" s="28"/>
      <x:c r="V1545" s="28"/>
      <x:c r="W1545" s="43" t="n">
        <x:f>--AND(N1545=1,OR(O1545="SUPPORTED",O1545="HALLUCINATION"))</x:f>
        <x:v>0</x:v>
      </x:c>
      <x:c r="X1545" s="43" t="n">
        <x:f>--AND(W1545=1,O1545="HALLUCINATION")</x:f>
        <x:v>0</x:v>
      </x:c>
      <x:c r="Y1545" s="43" t="n">
        <x:f>--AND(Q1545=1,O1545="HALLUCINATION")</x:f>
        <x:v>0</x:v>
      </x:c>
      <x:c r="Z1545" s="43" t="n">
        <x:f>--AND(Y1545=1,R1545=1,S1545=1)</x:f>
        <x:v>0</x:v>
      </x:c>
      <x:c r="AC1545" t="str">
        <x:f>IF(OR(AA1545="",AB1545=""),"",--(AA1545&lt;&gt;AB1545))</x:f>
      </x:c>
      <x:c r="AE1545" t="str">
        <x:f>IF(OR(AA1545="",AB1545=""),"PENDING_HUMAN",IF(AA1545=AB1545,AA1545,IF(AD1545&lt;&gt;"",AD1545,"PENDING_HUMAN")))</x:f>
        <x:v>PENDING_HUMAN</x:v>
      </x:c>
      <x:c r="AF1545" t="n">
        <x:f>--AND(A1545&lt;&gt;"",AA1545&lt;&gt;"",AB1545&lt;&gt;"",OR(AA1545=AB1545,AD1545&lt;&gt;""),IF(AE1545="HALLUCINATION",U1545&lt;&gt;"",TRUE))</x:f>
        <x:v>0</x:v>
      </x:c>
      <x:c r="AG1545" t="n">
        <x:f>--AND(N1545=1,AF1545=1,OR(AE1545="SUPPORTED",AE1545="HALLUCINATION"))</x:f>
        <x:v>0</x:v>
      </x:c>
      <x:c r="AH1545" t="n">
        <x:f>--AND(AG1545=1,AE1545="HALLUCINATION")</x:f>
        <x:v>0</x:v>
      </x:c>
      <x:c r="AI1545" t="n">
        <x:f>--AND(Q1545=1,AF1545=1,AE1545="HALLUCINATION")</x:f>
        <x:v>0</x:v>
      </x:c>
      <x:c r="AJ1545" t="n">
        <x:f>--AND(AI1545=1,R1545=1,S1545=1)</x:f>
        <x:v>0</x:v>
      </x:c>
    </x:row>
    <x:row r="1546">
      <x:c r="A1546" s="28"/>
      <x:c r="B1546" s="28"/>
      <x:c r="C1546" s="28"/>
      <x:c r="D1546" s="28"/>
      <x:c r="E1546" s="28"/>
      <x:c r="F1546" s="28"/>
      <x:c r="G1546" s="28"/>
      <x:c r="H1546" s="28"/>
      <x:c r="I1546" s="28"/>
      <x:c r="J1546" s="28"/>
      <x:c r="K1546" s="28"/>
      <x:c r="L1546" s="28"/>
      <x:c r="M1546" s="28"/>
      <x:c r="N1546" s="28"/>
      <x:c r="O1546" s="28"/>
      <x:c r="P1546" s="28"/>
      <x:c r="Q1546" s="28"/>
      <x:c r="R1546" s="28"/>
      <x:c r="S1546" s="28"/>
      <x:c r="T1546" s="28"/>
      <x:c r="U1546" s="28"/>
      <x:c r="V1546" s="28"/>
      <x:c r="W1546" s="43" t="n">
        <x:f>--AND(N1546=1,OR(O1546="SUPPORTED",O1546="HALLUCINATION"))</x:f>
        <x:v>0</x:v>
      </x:c>
      <x:c r="X1546" s="43" t="n">
        <x:f>--AND(W1546=1,O1546="HALLUCINATION")</x:f>
        <x:v>0</x:v>
      </x:c>
      <x:c r="Y1546" s="43" t="n">
        <x:f>--AND(Q1546=1,O1546="HALLUCINATION")</x:f>
        <x:v>0</x:v>
      </x:c>
      <x:c r="Z1546" s="43" t="n">
        <x:f>--AND(Y1546=1,R1546=1,S1546=1)</x:f>
        <x:v>0</x:v>
      </x:c>
      <x:c r="AC1546" t="str">
        <x:f>IF(OR(AA1546="",AB1546=""),"",--(AA1546&lt;&gt;AB1546))</x:f>
      </x:c>
      <x:c r="AE1546" t="str">
        <x:f>IF(OR(AA1546="",AB1546=""),"PENDING_HUMAN",IF(AA1546=AB1546,AA1546,IF(AD1546&lt;&gt;"",AD1546,"PENDING_HUMAN")))</x:f>
        <x:v>PENDING_HUMAN</x:v>
      </x:c>
      <x:c r="AF1546" t="n">
        <x:f>--AND(A1546&lt;&gt;"",AA1546&lt;&gt;"",AB1546&lt;&gt;"",OR(AA1546=AB1546,AD1546&lt;&gt;""),IF(AE1546="HALLUCINATION",U1546&lt;&gt;"",TRUE))</x:f>
        <x:v>0</x:v>
      </x:c>
      <x:c r="AG1546" t="n">
        <x:f>--AND(N1546=1,AF1546=1,OR(AE1546="SUPPORTED",AE1546="HALLUCINATION"))</x:f>
        <x:v>0</x:v>
      </x:c>
      <x:c r="AH1546" t="n">
        <x:f>--AND(AG1546=1,AE1546="HALLUCINATION")</x:f>
        <x:v>0</x:v>
      </x:c>
      <x:c r="AI1546" t="n">
        <x:f>--AND(Q1546=1,AF1546=1,AE1546="HALLUCINATION")</x:f>
        <x:v>0</x:v>
      </x:c>
      <x:c r="AJ1546" t="n">
        <x:f>--AND(AI1546=1,R1546=1,S1546=1)</x:f>
        <x:v>0</x:v>
      </x:c>
    </x:row>
    <x:row r="1547">
      <x:c r="A1547" s="28"/>
      <x:c r="B1547" s="28"/>
      <x:c r="C1547" s="28"/>
      <x:c r="D1547" s="28"/>
      <x:c r="E1547" s="28"/>
      <x:c r="F1547" s="28"/>
      <x:c r="G1547" s="28"/>
      <x:c r="H1547" s="28"/>
      <x:c r="I1547" s="28"/>
      <x:c r="J1547" s="28"/>
      <x:c r="K1547" s="28"/>
      <x:c r="L1547" s="28"/>
      <x:c r="M1547" s="28"/>
      <x:c r="N1547" s="28"/>
      <x:c r="O1547" s="28"/>
      <x:c r="P1547" s="28"/>
      <x:c r="Q1547" s="28"/>
      <x:c r="R1547" s="28"/>
      <x:c r="S1547" s="28"/>
      <x:c r="T1547" s="28"/>
      <x:c r="U1547" s="28"/>
      <x:c r="V1547" s="28"/>
      <x:c r="W1547" s="43" t="n">
        <x:f>--AND(N1547=1,OR(O1547="SUPPORTED",O1547="HALLUCINATION"))</x:f>
        <x:v>0</x:v>
      </x:c>
      <x:c r="X1547" s="43" t="n">
        <x:f>--AND(W1547=1,O1547="HALLUCINATION")</x:f>
        <x:v>0</x:v>
      </x:c>
      <x:c r="Y1547" s="43" t="n">
        <x:f>--AND(Q1547=1,O1547="HALLUCINATION")</x:f>
        <x:v>0</x:v>
      </x:c>
      <x:c r="Z1547" s="43" t="n">
        <x:f>--AND(Y1547=1,R1547=1,S1547=1)</x:f>
        <x:v>0</x:v>
      </x:c>
      <x:c r="AC1547" t="str">
        <x:f>IF(OR(AA1547="",AB1547=""),"",--(AA1547&lt;&gt;AB1547))</x:f>
      </x:c>
      <x:c r="AE1547" t="str">
        <x:f>IF(OR(AA1547="",AB1547=""),"PENDING_HUMAN",IF(AA1547=AB1547,AA1547,IF(AD1547&lt;&gt;"",AD1547,"PENDING_HUMAN")))</x:f>
        <x:v>PENDING_HUMAN</x:v>
      </x:c>
      <x:c r="AF1547" t="n">
        <x:f>--AND(A1547&lt;&gt;"",AA1547&lt;&gt;"",AB1547&lt;&gt;"",OR(AA1547=AB1547,AD1547&lt;&gt;""),IF(AE1547="HALLUCINATION",U1547&lt;&gt;"",TRUE))</x:f>
        <x:v>0</x:v>
      </x:c>
      <x:c r="AG1547" t="n">
        <x:f>--AND(N1547=1,AF1547=1,OR(AE1547="SUPPORTED",AE1547="HALLUCINATION"))</x:f>
        <x:v>0</x:v>
      </x:c>
      <x:c r="AH1547" t="n">
        <x:f>--AND(AG1547=1,AE1547="HALLUCINATION")</x:f>
        <x:v>0</x:v>
      </x:c>
      <x:c r="AI1547" t="n">
        <x:f>--AND(Q1547=1,AF1547=1,AE1547="HALLUCINATION")</x:f>
        <x:v>0</x:v>
      </x:c>
      <x:c r="AJ1547" t="n">
        <x:f>--AND(AI1547=1,R1547=1,S1547=1)</x:f>
        <x:v>0</x:v>
      </x:c>
    </x:row>
    <x:row r="1548">
      <x:c r="A1548" s="28"/>
      <x:c r="B1548" s="28"/>
      <x:c r="C1548" s="28"/>
      <x:c r="D1548" s="28"/>
      <x:c r="E1548" s="28"/>
      <x:c r="F1548" s="28"/>
      <x:c r="G1548" s="28"/>
      <x:c r="H1548" s="28"/>
      <x:c r="I1548" s="28"/>
      <x:c r="J1548" s="28"/>
      <x:c r="K1548" s="28"/>
      <x:c r="L1548" s="28"/>
      <x:c r="M1548" s="28"/>
      <x:c r="N1548" s="28"/>
      <x:c r="O1548" s="28"/>
      <x:c r="P1548" s="28"/>
      <x:c r="Q1548" s="28"/>
      <x:c r="R1548" s="28"/>
      <x:c r="S1548" s="28"/>
      <x:c r="T1548" s="28"/>
      <x:c r="U1548" s="28"/>
      <x:c r="V1548" s="28"/>
      <x:c r="W1548" s="43" t="n">
        <x:f>--AND(N1548=1,OR(O1548="SUPPORTED",O1548="HALLUCINATION"))</x:f>
        <x:v>0</x:v>
      </x:c>
      <x:c r="X1548" s="43" t="n">
        <x:f>--AND(W1548=1,O1548="HALLUCINATION")</x:f>
        <x:v>0</x:v>
      </x:c>
      <x:c r="Y1548" s="43" t="n">
        <x:f>--AND(Q1548=1,O1548="HALLUCINATION")</x:f>
        <x:v>0</x:v>
      </x:c>
      <x:c r="Z1548" s="43" t="n">
        <x:f>--AND(Y1548=1,R1548=1,S1548=1)</x:f>
        <x:v>0</x:v>
      </x:c>
      <x:c r="AC1548" t="str">
        <x:f>IF(OR(AA1548="",AB1548=""),"",--(AA1548&lt;&gt;AB1548))</x:f>
      </x:c>
      <x:c r="AE1548" t="str">
        <x:f>IF(OR(AA1548="",AB1548=""),"PENDING_HUMAN",IF(AA1548=AB1548,AA1548,IF(AD1548&lt;&gt;"",AD1548,"PENDING_HUMAN")))</x:f>
        <x:v>PENDING_HUMAN</x:v>
      </x:c>
      <x:c r="AF1548" t="n">
        <x:f>--AND(A1548&lt;&gt;"",AA1548&lt;&gt;"",AB1548&lt;&gt;"",OR(AA1548=AB1548,AD1548&lt;&gt;""),IF(AE1548="HALLUCINATION",U1548&lt;&gt;"",TRUE))</x:f>
        <x:v>0</x:v>
      </x:c>
      <x:c r="AG1548" t="n">
        <x:f>--AND(N1548=1,AF1548=1,OR(AE1548="SUPPORTED",AE1548="HALLUCINATION"))</x:f>
        <x:v>0</x:v>
      </x:c>
      <x:c r="AH1548" t="n">
        <x:f>--AND(AG1548=1,AE1548="HALLUCINATION")</x:f>
        <x:v>0</x:v>
      </x:c>
      <x:c r="AI1548" t="n">
        <x:f>--AND(Q1548=1,AF1548=1,AE1548="HALLUCINATION")</x:f>
        <x:v>0</x:v>
      </x:c>
      <x:c r="AJ1548" t="n">
        <x:f>--AND(AI1548=1,R1548=1,S1548=1)</x:f>
        <x:v>0</x:v>
      </x:c>
    </x:row>
    <x:row r="1549">
      <x:c r="A1549" s="28"/>
      <x:c r="B1549" s="28"/>
      <x:c r="C1549" s="28"/>
      <x:c r="D1549" s="28"/>
      <x:c r="E1549" s="28"/>
      <x:c r="F1549" s="28"/>
      <x:c r="G1549" s="28"/>
      <x:c r="H1549" s="28"/>
      <x:c r="I1549" s="28"/>
      <x:c r="J1549" s="28"/>
      <x:c r="K1549" s="28"/>
      <x:c r="L1549" s="28"/>
      <x:c r="M1549" s="28"/>
      <x:c r="N1549" s="28"/>
      <x:c r="O1549" s="28"/>
      <x:c r="P1549" s="28"/>
      <x:c r="Q1549" s="28"/>
      <x:c r="R1549" s="28"/>
      <x:c r="S1549" s="28"/>
      <x:c r="T1549" s="28"/>
      <x:c r="U1549" s="28"/>
      <x:c r="V1549" s="28"/>
      <x:c r="W1549" s="43" t="n">
        <x:f>--AND(N1549=1,OR(O1549="SUPPORTED",O1549="HALLUCINATION"))</x:f>
        <x:v>0</x:v>
      </x:c>
      <x:c r="X1549" s="43" t="n">
        <x:f>--AND(W1549=1,O1549="HALLUCINATION")</x:f>
        <x:v>0</x:v>
      </x:c>
      <x:c r="Y1549" s="43" t="n">
        <x:f>--AND(Q1549=1,O1549="HALLUCINATION")</x:f>
        <x:v>0</x:v>
      </x:c>
      <x:c r="Z1549" s="43" t="n">
        <x:f>--AND(Y1549=1,R1549=1,S1549=1)</x:f>
        <x:v>0</x:v>
      </x:c>
      <x:c r="AC1549" t="str">
        <x:f>IF(OR(AA1549="",AB1549=""),"",--(AA1549&lt;&gt;AB1549))</x:f>
      </x:c>
      <x:c r="AE1549" t="str">
        <x:f>IF(OR(AA1549="",AB1549=""),"PENDING_HUMAN",IF(AA1549=AB1549,AA1549,IF(AD1549&lt;&gt;"",AD1549,"PENDING_HUMAN")))</x:f>
        <x:v>PENDING_HUMAN</x:v>
      </x:c>
      <x:c r="AF1549" t="n">
        <x:f>--AND(A1549&lt;&gt;"",AA1549&lt;&gt;"",AB1549&lt;&gt;"",OR(AA1549=AB1549,AD1549&lt;&gt;""),IF(AE1549="HALLUCINATION",U1549&lt;&gt;"",TRUE))</x:f>
        <x:v>0</x:v>
      </x:c>
      <x:c r="AG1549" t="n">
        <x:f>--AND(N1549=1,AF1549=1,OR(AE1549="SUPPORTED",AE1549="HALLUCINATION"))</x:f>
        <x:v>0</x:v>
      </x:c>
      <x:c r="AH1549" t="n">
        <x:f>--AND(AG1549=1,AE1549="HALLUCINATION")</x:f>
        <x:v>0</x:v>
      </x:c>
      <x:c r="AI1549" t="n">
        <x:f>--AND(Q1549=1,AF1549=1,AE1549="HALLUCINATION")</x:f>
        <x:v>0</x:v>
      </x:c>
      <x:c r="AJ1549" t="n">
        <x:f>--AND(AI1549=1,R1549=1,S1549=1)</x:f>
        <x:v>0</x:v>
      </x:c>
    </x:row>
    <x:row r="1550">
      <x:c r="A1550" s="28"/>
      <x:c r="B1550" s="28"/>
      <x:c r="C1550" s="28"/>
      <x:c r="D1550" s="28"/>
      <x:c r="E1550" s="28"/>
      <x:c r="F1550" s="28"/>
      <x:c r="G1550" s="28"/>
      <x:c r="H1550" s="28"/>
      <x:c r="I1550" s="28"/>
      <x:c r="J1550" s="28"/>
      <x:c r="K1550" s="28"/>
      <x:c r="L1550" s="28"/>
      <x:c r="M1550" s="28"/>
      <x:c r="N1550" s="28"/>
      <x:c r="O1550" s="28"/>
      <x:c r="P1550" s="28"/>
      <x:c r="Q1550" s="28"/>
      <x:c r="R1550" s="28"/>
      <x:c r="S1550" s="28"/>
      <x:c r="T1550" s="28"/>
      <x:c r="U1550" s="28"/>
      <x:c r="V1550" s="28"/>
      <x:c r="W1550" s="43" t="n">
        <x:f>--AND(N1550=1,OR(O1550="SUPPORTED",O1550="HALLUCINATION"))</x:f>
        <x:v>0</x:v>
      </x:c>
      <x:c r="X1550" s="43" t="n">
        <x:f>--AND(W1550=1,O1550="HALLUCINATION")</x:f>
        <x:v>0</x:v>
      </x:c>
      <x:c r="Y1550" s="43" t="n">
        <x:f>--AND(Q1550=1,O1550="HALLUCINATION")</x:f>
        <x:v>0</x:v>
      </x:c>
      <x:c r="Z1550" s="43" t="n">
        <x:f>--AND(Y1550=1,R1550=1,S1550=1)</x:f>
        <x:v>0</x:v>
      </x:c>
      <x:c r="AC1550" t="str">
        <x:f>IF(OR(AA1550="",AB1550=""),"",--(AA1550&lt;&gt;AB1550))</x:f>
      </x:c>
      <x:c r="AE1550" t="str">
        <x:f>IF(OR(AA1550="",AB1550=""),"PENDING_HUMAN",IF(AA1550=AB1550,AA1550,IF(AD1550&lt;&gt;"",AD1550,"PENDING_HUMAN")))</x:f>
        <x:v>PENDING_HUMAN</x:v>
      </x:c>
      <x:c r="AF1550" t="n">
        <x:f>--AND(A1550&lt;&gt;"",AA1550&lt;&gt;"",AB1550&lt;&gt;"",OR(AA1550=AB1550,AD1550&lt;&gt;""),IF(AE1550="HALLUCINATION",U1550&lt;&gt;"",TRUE))</x:f>
        <x:v>0</x:v>
      </x:c>
      <x:c r="AG1550" t="n">
        <x:f>--AND(N1550=1,AF1550=1,OR(AE1550="SUPPORTED",AE1550="HALLUCINATION"))</x:f>
        <x:v>0</x:v>
      </x:c>
      <x:c r="AH1550" t="n">
        <x:f>--AND(AG1550=1,AE1550="HALLUCINATION")</x:f>
        <x:v>0</x:v>
      </x:c>
      <x:c r="AI1550" t="n">
        <x:f>--AND(Q1550=1,AF1550=1,AE1550="HALLUCINATION")</x:f>
        <x:v>0</x:v>
      </x:c>
      <x:c r="AJ1550" t="n">
        <x:f>--AND(AI1550=1,R1550=1,S1550=1)</x:f>
        <x:v>0</x:v>
      </x:c>
    </x:row>
    <x:row r="1551">
      <x:c r="A1551" s="28"/>
      <x:c r="B1551" s="28"/>
      <x:c r="C1551" s="28"/>
      <x:c r="D1551" s="28"/>
      <x:c r="E1551" s="28"/>
      <x:c r="F1551" s="28"/>
      <x:c r="G1551" s="28"/>
      <x:c r="H1551" s="28"/>
      <x:c r="I1551" s="28"/>
      <x:c r="J1551" s="28"/>
      <x:c r="K1551" s="28"/>
      <x:c r="L1551" s="28"/>
      <x:c r="M1551" s="28"/>
      <x:c r="N1551" s="28"/>
      <x:c r="O1551" s="28"/>
      <x:c r="P1551" s="28"/>
      <x:c r="Q1551" s="28"/>
      <x:c r="R1551" s="28"/>
      <x:c r="S1551" s="28"/>
      <x:c r="T1551" s="28"/>
      <x:c r="U1551" s="28"/>
      <x:c r="V1551" s="28"/>
      <x:c r="W1551" s="43" t="n">
        <x:f>--AND(N1551=1,OR(O1551="SUPPORTED",O1551="HALLUCINATION"))</x:f>
        <x:v>0</x:v>
      </x:c>
      <x:c r="X1551" s="43" t="n">
        <x:f>--AND(W1551=1,O1551="HALLUCINATION")</x:f>
        <x:v>0</x:v>
      </x:c>
      <x:c r="Y1551" s="43" t="n">
        <x:f>--AND(Q1551=1,O1551="HALLUCINATION")</x:f>
        <x:v>0</x:v>
      </x:c>
      <x:c r="Z1551" s="43" t="n">
        <x:f>--AND(Y1551=1,R1551=1,S1551=1)</x:f>
        <x:v>0</x:v>
      </x:c>
      <x:c r="AC1551" t="str">
        <x:f>IF(OR(AA1551="",AB1551=""),"",--(AA1551&lt;&gt;AB1551))</x:f>
      </x:c>
      <x:c r="AE1551" t="str">
        <x:f>IF(OR(AA1551="",AB1551=""),"PENDING_HUMAN",IF(AA1551=AB1551,AA1551,IF(AD1551&lt;&gt;"",AD1551,"PENDING_HUMAN")))</x:f>
        <x:v>PENDING_HUMAN</x:v>
      </x:c>
      <x:c r="AF1551" t="n">
        <x:f>--AND(A1551&lt;&gt;"",AA1551&lt;&gt;"",AB1551&lt;&gt;"",OR(AA1551=AB1551,AD1551&lt;&gt;""),IF(AE1551="HALLUCINATION",U1551&lt;&gt;"",TRUE))</x:f>
        <x:v>0</x:v>
      </x:c>
      <x:c r="AG1551" t="n">
        <x:f>--AND(N1551=1,AF1551=1,OR(AE1551="SUPPORTED",AE1551="HALLUCINATION"))</x:f>
        <x:v>0</x:v>
      </x:c>
      <x:c r="AH1551" t="n">
        <x:f>--AND(AG1551=1,AE1551="HALLUCINATION")</x:f>
        <x:v>0</x:v>
      </x:c>
      <x:c r="AI1551" t="n">
        <x:f>--AND(Q1551=1,AF1551=1,AE1551="HALLUCINATION")</x:f>
        <x:v>0</x:v>
      </x:c>
      <x:c r="AJ1551" t="n">
        <x:f>--AND(AI1551=1,R1551=1,S1551=1)</x:f>
        <x:v>0</x:v>
      </x:c>
    </x:row>
    <x:row r="1552">
      <x:c r="A1552" s="28"/>
      <x:c r="B1552" s="28"/>
      <x:c r="C1552" s="28"/>
      <x:c r="D1552" s="28"/>
      <x:c r="E1552" s="28"/>
      <x:c r="F1552" s="28"/>
      <x:c r="G1552" s="28"/>
      <x:c r="H1552" s="28"/>
      <x:c r="I1552" s="28"/>
      <x:c r="J1552" s="28"/>
      <x:c r="K1552" s="28"/>
      <x:c r="L1552" s="28"/>
      <x:c r="M1552" s="28"/>
      <x:c r="N1552" s="28"/>
      <x:c r="O1552" s="28"/>
      <x:c r="P1552" s="28"/>
      <x:c r="Q1552" s="28"/>
      <x:c r="R1552" s="28"/>
      <x:c r="S1552" s="28"/>
      <x:c r="T1552" s="28"/>
      <x:c r="U1552" s="28"/>
      <x:c r="V1552" s="28"/>
      <x:c r="W1552" s="43" t="n">
        <x:f>--AND(N1552=1,OR(O1552="SUPPORTED",O1552="HALLUCINATION"))</x:f>
        <x:v>0</x:v>
      </x:c>
      <x:c r="X1552" s="43" t="n">
        <x:f>--AND(W1552=1,O1552="HALLUCINATION")</x:f>
        <x:v>0</x:v>
      </x:c>
      <x:c r="Y1552" s="43" t="n">
        <x:f>--AND(Q1552=1,O1552="HALLUCINATION")</x:f>
        <x:v>0</x:v>
      </x:c>
      <x:c r="Z1552" s="43" t="n">
        <x:f>--AND(Y1552=1,R1552=1,S1552=1)</x:f>
        <x:v>0</x:v>
      </x:c>
      <x:c r="AC1552" t="str">
        <x:f>IF(OR(AA1552="",AB1552=""),"",--(AA1552&lt;&gt;AB1552))</x:f>
      </x:c>
      <x:c r="AE1552" t="str">
        <x:f>IF(OR(AA1552="",AB1552=""),"PENDING_HUMAN",IF(AA1552=AB1552,AA1552,IF(AD1552&lt;&gt;"",AD1552,"PENDING_HUMAN")))</x:f>
        <x:v>PENDING_HUMAN</x:v>
      </x:c>
      <x:c r="AF1552" t="n">
        <x:f>--AND(A1552&lt;&gt;"",AA1552&lt;&gt;"",AB1552&lt;&gt;"",OR(AA1552=AB1552,AD1552&lt;&gt;""),IF(AE1552="HALLUCINATION",U1552&lt;&gt;"",TRUE))</x:f>
        <x:v>0</x:v>
      </x:c>
      <x:c r="AG1552" t="n">
        <x:f>--AND(N1552=1,AF1552=1,OR(AE1552="SUPPORTED",AE1552="HALLUCINATION"))</x:f>
        <x:v>0</x:v>
      </x:c>
      <x:c r="AH1552" t="n">
        <x:f>--AND(AG1552=1,AE1552="HALLUCINATION")</x:f>
        <x:v>0</x:v>
      </x:c>
      <x:c r="AI1552" t="n">
        <x:f>--AND(Q1552=1,AF1552=1,AE1552="HALLUCINATION")</x:f>
        <x:v>0</x:v>
      </x:c>
      <x:c r="AJ1552" t="n">
        <x:f>--AND(AI1552=1,R1552=1,S1552=1)</x:f>
        <x:v>0</x:v>
      </x:c>
    </x:row>
    <x:row r="1553">
      <x:c r="A1553" s="28"/>
      <x:c r="B1553" s="28"/>
      <x:c r="C1553" s="28"/>
      <x:c r="D1553" s="28"/>
      <x:c r="E1553" s="28"/>
      <x:c r="F1553" s="28"/>
      <x:c r="G1553" s="28"/>
      <x:c r="H1553" s="28"/>
      <x:c r="I1553" s="28"/>
      <x:c r="J1553" s="28"/>
      <x:c r="K1553" s="28"/>
      <x:c r="L1553" s="28"/>
      <x:c r="M1553" s="28"/>
      <x:c r="N1553" s="28"/>
      <x:c r="O1553" s="28"/>
      <x:c r="P1553" s="28"/>
      <x:c r="Q1553" s="28"/>
      <x:c r="R1553" s="28"/>
      <x:c r="S1553" s="28"/>
      <x:c r="T1553" s="28"/>
      <x:c r="U1553" s="28"/>
      <x:c r="V1553" s="28"/>
      <x:c r="W1553" s="43" t="n">
        <x:f>--AND(N1553=1,OR(O1553="SUPPORTED",O1553="HALLUCINATION"))</x:f>
        <x:v>0</x:v>
      </x:c>
      <x:c r="X1553" s="43" t="n">
        <x:f>--AND(W1553=1,O1553="HALLUCINATION")</x:f>
        <x:v>0</x:v>
      </x:c>
      <x:c r="Y1553" s="43" t="n">
        <x:f>--AND(Q1553=1,O1553="HALLUCINATION")</x:f>
        <x:v>0</x:v>
      </x:c>
      <x:c r="Z1553" s="43" t="n">
        <x:f>--AND(Y1553=1,R1553=1,S1553=1)</x:f>
        <x:v>0</x:v>
      </x:c>
      <x:c r="AC1553" t="str">
        <x:f>IF(OR(AA1553="",AB1553=""),"",--(AA1553&lt;&gt;AB1553))</x:f>
      </x:c>
      <x:c r="AE1553" t="str">
        <x:f>IF(OR(AA1553="",AB1553=""),"PENDING_HUMAN",IF(AA1553=AB1553,AA1553,IF(AD1553&lt;&gt;"",AD1553,"PENDING_HUMAN")))</x:f>
        <x:v>PENDING_HUMAN</x:v>
      </x:c>
      <x:c r="AF1553" t="n">
        <x:f>--AND(A1553&lt;&gt;"",AA1553&lt;&gt;"",AB1553&lt;&gt;"",OR(AA1553=AB1553,AD1553&lt;&gt;""),IF(AE1553="HALLUCINATION",U1553&lt;&gt;"",TRUE))</x:f>
        <x:v>0</x:v>
      </x:c>
      <x:c r="AG1553" t="n">
        <x:f>--AND(N1553=1,AF1553=1,OR(AE1553="SUPPORTED",AE1553="HALLUCINATION"))</x:f>
        <x:v>0</x:v>
      </x:c>
      <x:c r="AH1553" t="n">
        <x:f>--AND(AG1553=1,AE1553="HALLUCINATION")</x:f>
        <x:v>0</x:v>
      </x:c>
      <x:c r="AI1553" t="n">
        <x:f>--AND(Q1553=1,AF1553=1,AE1553="HALLUCINATION")</x:f>
        <x:v>0</x:v>
      </x:c>
      <x:c r="AJ1553" t="n">
        <x:f>--AND(AI1553=1,R1553=1,S1553=1)</x:f>
        <x:v>0</x:v>
      </x:c>
    </x:row>
    <x:row r="1554">
      <x:c r="A1554" s="28"/>
      <x:c r="B1554" s="28"/>
      <x:c r="C1554" s="28"/>
      <x:c r="D1554" s="28"/>
      <x:c r="E1554" s="28"/>
      <x:c r="F1554" s="28"/>
      <x:c r="G1554" s="28"/>
      <x:c r="H1554" s="28"/>
      <x:c r="I1554" s="28"/>
      <x:c r="J1554" s="28"/>
      <x:c r="K1554" s="28"/>
      <x:c r="L1554" s="28"/>
      <x:c r="M1554" s="28"/>
      <x:c r="N1554" s="28"/>
      <x:c r="O1554" s="28"/>
      <x:c r="P1554" s="28"/>
      <x:c r="Q1554" s="28"/>
      <x:c r="R1554" s="28"/>
      <x:c r="S1554" s="28"/>
      <x:c r="T1554" s="28"/>
      <x:c r="U1554" s="28"/>
      <x:c r="V1554" s="28"/>
      <x:c r="W1554" s="43" t="n">
        <x:f>--AND(N1554=1,OR(O1554="SUPPORTED",O1554="HALLUCINATION"))</x:f>
        <x:v>0</x:v>
      </x:c>
      <x:c r="X1554" s="43" t="n">
        <x:f>--AND(W1554=1,O1554="HALLUCINATION")</x:f>
        <x:v>0</x:v>
      </x:c>
      <x:c r="Y1554" s="43" t="n">
        <x:f>--AND(Q1554=1,O1554="HALLUCINATION")</x:f>
        <x:v>0</x:v>
      </x:c>
      <x:c r="Z1554" s="43" t="n">
        <x:f>--AND(Y1554=1,R1554=1,S1554=1)</x:f>
        <x:v>0</x:v>
      </x:c>
      <x:c r="AC1554" t="str">
        <x:f>IF(OR(AA1554="",AB1554=""),"",--(AA1554&lt;&gt;AB1554))</x:f>
      </x:c>
      <x:c r="AE1554" t="str">
        <x:f>IF(OR(AA1554="",AB1554=""),"PENDING_HUMAN",IF(AA1554=AB1554,AA1554,IF(AD1554&lt;&gt;"",AD1554,"PENDING_HUMAN")))</x:f>
        <x:v>PENDING_HUMAN</x:v>
      </x:c>
      <x:c r="AF1554" t="n">
        <x:f>--AND(A1554&lt;&gt;"",AA1554&lt;&gt;"",AB1554&lt;&gt;"",OR(AA1554=AB1554,AD1554&lt;&gt;""),IF(AE1554="HALLUCINATION",U1554&lt;&gt;"",TRUE))</x:f>
        <x:v>0</x:v>
      </x:c>
      <x:c r="AG1554" t="n">
        <x:f>--AND(N1554=1,AF1554=1,OR(AE1554="SUPPORTED",AE1554="HALLUCINATION"))</x:f>
        <x:v>0</x:v>
      </x:c>
      <x:c r="AH1554" t="n">
        <x:f>--AND(AG1554=1,AE1554="HALLUCINATION")</x:f>
        <x:v>0</x:v>
      </x:c>
      <x:c r="AI1554" t="n">
        <x:f>--AND(Q1554=1,AF1554=1,AE1554="HALLUCINATION")</x:f>
        <x:v>0</x:v>
      </x:c>
      <x:c r="AJ1554" t="n">
        <x:f>--AND(AI1554=1,R1554=1,S1554=1)</x:f>
        <x:v>0</x:v>
      </x:c>
    </x:row>
    <x:row r="1555">
      <x:c r="A1555" s="28"/>
      <x:c r="B1555" s="28"/>
      <x:c r="C1555" s="28"/>
      <x:c r="D1555" s="28"/>
      <x:c r="E1555" s="28"/>
      <x:c r="F1555" s="28"/>
      <x:c r="G1555" s="28"/>
      <x:c r="H1555" s="28"/>
      <x:c r="I1555" s="28"/>
      <x:c r="J1555" s="28"/>
      <x:c r="K1555" s="28"/>
      <x:c r="L1555" s="28"/>
      <x:c r="M1555" s="28"/>
      <x:c r="N1555" s="28"/>
      <x:c r="O1555" s="28"/>
      <x:c r="P1555" s="28"/>
      <x:c r="Q1555" s="28"/>
      <x:c r="R1555" s="28"/>
      <x:c r="S1555" s="28"/>
      <x:c r="T1555" s="28"/>
      <x:c r="U1555" s="28"/>
      <x:c r="V1555" s="28"/>
      <x:c r="W1555" s="43" t="n">
        <x:f>--AND(N1555=1,OR(O1555="SUPPORTED",O1555="HALLUCINATION"))</x:f>
        <x:v>0</x:v>
      </x:c>
      <x:c r="X1555" s="43" t="n">
        <x:f>--AND(W1555=1,O1555="HALLUCINATION")</x:f>
        <x:v>0</x:v>
      </x:c>
      <x:c r="Y1555" s="43" t="n">
        <x:f>--AND(Q1555=1,O1555="HALLUCINATION")</x:f>
        <x:v>0</x:v>
      </x:c>
      <x:c r="Z1555" s="43" t="n">
        <x:f>--AND(Y1555=1,R1555=1,S1555=1)</x:f>
        <x:v>0</x:v>
      </x:c>
      <x:c r="AC1555" t="str">
        <x:f>IF(OR(AA1555="",AB1555=""),"",--(AA1555&lt;&gt;AB1555))</x:f>
      </x:c>
      <x:c r="AE1555" t="str">
        <x:f>IF(OR(AA1555="",AB1555=""),"PENDING_HUMAN",IF(AA1555=AB1555,AA1555,IF(AD1555&lt;&gt;"",AD1555,"PENDING_HUMAN")))</x:f>
        <x:v>PENDING_HUMAN</x:v>
      </x:c>
      <x:c r="AF1555" t="n">
        <x:f>--AND(A1555&lt;&gt;"",AA1555&lt;&gt;"",AB1555&lt;&gt;"",OR(AA1555=AB1555,AD1555&lt;&gt;""),IF(AE1555="HALLUCINATION",U1555&lt;&gt;"",TRUE))</x:f>
        <x:v>0</x:v>
      </x:c>
      <x:c r="AG1555" t="n">
        <x:f>--AND(N1555=1,AF1555=1,OR(AE1555="SUPPORTED",AE1555="HALLUCINATION"))</x:f>
        <x:v>0</x:v>
      </x:c>
      <x:c r="AH1555" t="n">
        <x:f>--AND(AG1555=1,AE1555="HALLUCINATION")</x:f>
        <x:v>0</x:v>
      </x:c>
      <x:c r="AI1555" t="n">
        <x:f>--AND(Q1555=1,AF1555=1,AE1555="HALLUCINATION")</x:f>
        <x:v>0</x:v>
      </x:c>
      <x:c r="AJ1555" t="n">
        <x:f>--AND(AI1555=1,R1555=1,S1555=1)</x:f>
        <x:v>0</x:v>
      </x:c>
    </x:row>
    <x:row r="1556">
      <x:c r="A1556" s="28"/>
      <x:c r="B1556" s="28"/>
      <x:c r="C1556" s="28"/>
      <x:c r="D1556" s="28"/>
      <x:c r="E1556" s="28"/>
      <x:c r="F1556" s="28"/>
      <x:c r="G1556" s="28"/>
      <x:c r="H1556" s="28"/>
      <x:c r="I1556" s="28"/>
      <x:c r="J1556" s="28"/>
      <x:c r="K1556" s="28"/>
      <x:c r="L1556" s="28"/>
      <x:c r="M1556" s="28"/>
      <x:c r="N1556" s="28"/>
      <x:c r="O1556" s="28"/>
      <x:c r="P1556" s="28"/>
      <x:c r="Q1556" s="28"/>
      <x:c r="R1556" s="28"/>
      <x:c r="S1556" s="28"/>
      <x:c r="T1556" s="28"/>
      <x:c r="U1556" s="28"/>
      <x:c r="V1556" s="28"/>
      <x:c r="W1556" s="43" t="n">
        <x:f>--AND(N1556=1,OR(O1556="SUPPORTED",O1556="HALLUCINATION"))</x:f>
        <x:v>0</x:v>
      </x:c>
      <x:c r="X1556" s="43" t="n">
        <x:f>--AND(W1556=1,O1556="HALLUCINATION")</x:f>
        <x:v>0</x:v>
      </x:c>
      <x:c r="Y1556" s="43" t="n">
        <x:f>--AND(Q1556=1,O1556="HALLUCINATION")</x:f>
        <x:v>0</x:v>
      </x:c>
      <x:c r="Z1556" s="43" t="n">
        <x:f>--AND(Y1556=1,R1556=1,S1556=1)</x:f>
        <x:v>0</x:v>
      </x:c>
      <x:c r="AC1556" t="str">
        <x:f>IF(OR(AA1556="",AB1556=""),"",--(AA1556&lt;&gt;AB1556))</x:f>
      </x:c>
      <x:c r="AE1556" t="str">
        <x:f>IF(OR(AA1556="",AB1556=""),"PENDING_HUMAN",IF(AA1556=AB1556,AA1556,IF(AD1556&lt;&gt;"",AD1556,"PENDING_HUMAN")))</x:f>
        <x:v>PENDING_HUMAN</x:v>
      </x:c>
      <x:c r="AF1556" t="n">
        <x:f>--AND(A1556&lt;&gt;"",AA1556&lt;&gt;"",AB1556&lt;&gt;"",OR(AA1556=AB1556,AD1556&lt;&gt;""),IF(AE1556="HALLUCINATION",U1556&lt;&gt;"",TRUE))</x:f>
        <x:v>0</x:v>
      </x:c>
      <x:c r="AG1556" t="n">
        <x:f>--AND(N1556=1,AF1556=1,OR(AE1556="SUPPORTED",AE1556="HALLUCINATION"))</x:f>
        <x:v>0</x:v>
      </x:c>
      <x:c r="AH1556" t="n">
        <x:f>--AND(AG1556=1,AE1556="HALLUCINATION")</x:f>
        <x:v>0</x:v>
      </x:c>
      <x:c r="AI1556" t="n">
        <x:f>--AND(Q1556=1,AF1556=1,AE1556="HALLUCINATION")</x:f>
        <x:v>0</x:v>
      </x:c>
      <x:c r="AJ1556" t="n">
        <x:f>--AND(AI1556=1,R1556=1,S1556=1)</x:f>
        <x:v>0</x:v>
      </x:c>
    </x:row>
    <x:row r="1557">
      <x:c r="A1557" s="28"/>
      <x:c r="B1557" s="28"/>
      <x:c r="C1557" s="28"/>
      <x:c r="D1557" s="28"/>
      <x:c r="E1557" s="28"/>
      <x:c r="F1557" s="28"/>
      <x:c r="G1557" s="28"/>
      <x:c r="H1557" s="28"/>
      <x:c r="I1557" s="28"/>
      <x:c r="J1557" s="28"/>
      <x:c r="K1557" s="28"/>
      <x:c r="L1557" s="28"/>
      <x:c r="M1557" s="28"/>
      <x:c r="N1557" s="28"/>
      <x:c r="O1557" s="28"/>
      <x:c r="P1557" s="28"/>
      <x:c r="Q1557" s="28"/>
      <x:c r="R1557" s="28"/>
      <x:c r="S1557" s="28"/>
      <x:c r="T1557" s="28"/>
      <x:c r="U1557" s="28"/>
      <x:c r="V1557" s="28"/>
      <x:c r="W1557" s="43" t="n">
        <x:f>--AND(N1557=1,OR(O1557="SUPPORTED",O1557="HALLUCINATION"))</x:f>
        <x:v>0</x:v>
      </x:c>
      <x:c r="X1557" s="43" t="n">
        <x:f>--AND(W1557=1,O1557="HALLUCINATION")</x:f>
        <x:v>0</x:v>
      </x:c>
      <x:c r="Y1557" s="43" t="n">
        <x:f>--AND(Q1557=1,O1557="HALLUCINATION")</x:f>
        <x:v>0</x:v>
      </x:c>
      <x:c r="Z1557" s="43" t="n">
        <x:f>--AND(Y1557=1,R1557=1,S1557=1)</x:f>
        <x:v>0</x:v>
      </x:c>
      <x:c r="AC1557" t="str">
        <x:f>IF(OR(AA1557="",AB1557=""),"",--(AA1557&lt;&gt;AB1557))</x:f>
      </x:c>
      <x:c r="AE1557" t="str">
        <x:f>IF(OR(AA1557="",AB1557=""),"PENDING_HUMAN",IF(AA1557=AB1557,AA1557,IF(AD1557&lt;&gt;"",AD1557,"PENDING_HUMAN")))</x:f>
        <x:v>PENDING_HUMAN</x:v>
      </x:c>
      <x:c r="AF1557" t="n">
        <x:f>--AND(A1557&lt;&gt;"",AA1557&lt;&gt;"",AB1557&lt;&gt;"",OR(AA1557=AB1557,AD1557&lt;&gt;""),IF(AE1557="HALLUCINATION",U1557&lt;&gt;"",TRUE))</x:f>
        <x:v>0</x:v>
      </x:c>
      <x:c r="AG1557" t="n">
        <x:f>--AND(N1557=1,AF1557=1,OR(AE1557="SUPPORTED",AE1557="HALLUCINATION"))</x:f>
        <x:v>0</x:v>
      </x:c>
      <x:c r="AH1557" t="n">
        <x:f>--AND(AG1557=1,AE1557="HALLUCINATION")</x:f>
        <x:v>0</x:v>
      </x:c>
      <x:c r="AI1557" t="n">
        <x:f>--AND(Q1557=1,AF1557=1,AE1557="HALLUCINATION")</x:f>
        <x:v>0</x:v>
      </x:c>
      <x:c r="AJ1557" t="n">
        <x:f>--AND(AI1557=1,R1557=1,S1557=1)</x:f>
        <x:v>0</x:v>
      </x:c>
    </x:row>
    <x:row r="1558">
      <x:c r="A1558" s="28"/>
      <x:c r="B1558" s="28"/>
      <x:c r="C1558" s="28"/>
      <x:c r="D1558" s="28"/>
      <x:c r="E1558" s="28"/>
      <x:c r="F1558" s="28"/>
      <x:c r="G1558" s="28"/>
      <x:c r="H1558" s="28"/>
      <x:c r="I1558" s="28"/>
      <x:c r="J1558" s="28"/>
      <x:c r="K1558" s="28"/>
      <x:c r="L1558" s="28"/>
      <x:c r="M1558" s="28"/>
      <x:c r="N1558" s="28"/>
      <x:c r="O1558" s="28"/>
      <x:c r="P1558" s="28"/>
      <x:c r="Q1558" s="28"/>
      <x:c r="R1558" s="28"/>
      <x:c r="S1558" s="28"/>
      <x:c r="T1558" s="28"/>
      <x:c r="U1558" s="28"/>
      <x:c r="V1558" s="28"/>
      <x:c r="W1558" s="43" t="n">
        <x:f>--AND(N1558=1,OR(O1558="SUPPORTED",O1558="HALLUCINATION"))</x:f>
        <x:v>0</x:v>
      </x:c>
      <x:c r="X1558" s="43" t="n">
        <x:f>--AND(W1558=1,O1558="HALLUCINATION")</x:f>
        <x:v>0</x:v>
      </x:c>
      <x:c r="Y1558" s="43" t="n">
        <x:f>--AND(Q1558=1,O1558="HALLUCINATION")</x:f>
        <x:v>0</x:v>
      </x:c>
      <x:c r="Z1558" s="43" t="n">
        <x:f>--AND(Y1558=1,R1558=1,S1558=1)</x:f>
        <x:v>0</x:v>
      </x:c>
      <x:c r="AC1558" t="str">
        <x:f>IF(OR(AA1558="",AB1558=""),"",--(AA1558&lt;&gt;AB1558))</x:f>
      </x:c>
      <x:c r="AE1558" t="str">
        <x:f>IF(OR(AA1558="",AB1558=""),"PENDING_HUMAN",IF(AA1558=AB1558,AA1558,IF(AD1558&lt;&gt;"",AD1558,"PENDING_HUMAN")))</x:f>
        <x:v>PENDING_HUMAN</x:v>
      </x:c>
      <x:c r="AF1558" t="n">
        <x:f>--AND(A1558&lt;&gt;"",AA1558&lt;&gt;"",AB1558&lt;&gt;"",OR(AA1558=AB1558,AD1558&lt;&gt;""),IF(AE1558="HALLUCINATION",U1558&lt;&gt;"",TRUE))</x:f>
        <x:v>0</x:v>
      </x:c>
      <x:c r="AG1558" t="n">
        <x:f>--AND(N1558=1,AF1558=1,OR(AE1558="SUPPORTED",AE1558="HALLUCINATION"))</x:f>
        <x:v>0</x:v>
      </x:c>
      <x:c r="AH1558" t="n">
        <x:f>--AND(AG1558=1,AE1558="HALLUCINATION")</x:f>
        <x:v>0</x:v>
      </x:c>
      <x:c r="AI1558" t="n">
        <x:f>--AND(Q1558=1,AF1558=1,AE1558="HALLUCINATION")</x:f>
        <x:v>0</x:v>
      </x:c>
      <x:c r="AJ1558" t="n">
        <x:f>--AND(AI1558=1,R1558=1,S1558=1)</x:f>
        <x:v>0</x:v>
      </x:c>
    </x:row>
    <x:row r="1559">
      <x:c r="A1559" s="28"/>
      <x:c r="B1559" s="28"/>
      <x:c r="C1559" s="28"/>
      <x:c r="D1559" s="28"/>
      <x:c r="E1559" s="28"/>
      <x:c r="F1559" s="28"/>
      <x:c r="G1559" s="28"/>
      <x:c r="H1559" s="28"/>
      <x:c r="I1559" s="28"/>
      <x:c r="J1559" s="28"/>
      <x:c r="K1559" s="28"/>
      <x:c r="L1559" s="28"/>
      <x:c r="M1559" s="28"/>
      <x:c r="N1559" s="28"/>
      <x:c r="O1559" s="28"/>
      <x:c r="P1559" s="28"/>
      <x:c r="Q1559" s="28"/>
      <x:c r="R1559" s="28"/>
      <x:c r="S1559" s="28"/>
      <x:c r="T1559" s="28"/>
      <x:c r="U1559" s="28"/>
      <x:c r="V1559" s="28"/>
      <x:c r="W1559" s="43" t="n">
        <x:f>--AND(N1559=1,OR(O1559="SUPPORTED",O1559="HALLUCINATION"))</x:f>
        <x:v>0</x:v>
      </x:c>
      <x:c r="X1559" s="43" t="n">
        <x:f>--AND(W1559=1,O1559="HALLUCINATION")</x:f>
        <x:v>0</x:v>
      </x:c>
      <x:c r="Y1559" s="43" t="n">
        <x:f>--AND(Q1559=1,O1559="HALLUCINATION")</x:f>
        <x:v>0</x:v>
      </x:c>
      <x:c r="Z1559" s="43" t="n">
        <x:f>--AND(Y1559=1,R1559=1,S1559=1)</x:f>
        <x:v>0</x:v>
      </x:c>
      <x:c r="AC1559" t="str">
        <x:f>IF(OR(AA1559="",AB1559=""),"",--(AA1559&lt;&gt;AB1559))</x:f>
      </x:c>
      <x:c r="AE1559" t="str">
        <x:f>IF(OR(AA1559="",AB1559=""),"PENDING_HUMAN",IF(AA1559=AB1559,AA1559,IF(AD1559&lt;&gt;"",AD1559,"PENDING_HUMAN")))</x:f>
        <x:v>PENDING_HUMAN</x:v>
      </x:c>
      <x:c r="AF1559" t="n">
        <x:f>--AND(A1559&lt;&gt;"",AA1559&lt;&gt;"",AB1559&lt;&gt;"",OR(AA1559=AB1559,AD1559&lt;&gt;""),IF(AE1559="HALLUCINATION",U1559&lt;&gt;"",TRUE))</x:f>
        <x:v>0</x:v>
      </x:c>
      <x:c r="AG1559" t="n">
        <x:f>--AND(N1559=1,AF1559=1,OR(AE1559="SUPPORTED",AE1559="HALLUCINATION"))</x:f>
        <x:v>0</x:v>
      </x:c>
      <x:c r="AH1559" t="n">
        <x:f>--AND(AG1559=1,AE1559="HALLUCINATION")</x:f>
        <x:v>0</x:v>
      </x:c>
      <x:c r="AI1559" t="n">
        <x:f>--AND(Q1559=1,AF1559=1,AE1559="HALLUCINATION")</x:f>
        <x:v>0</x:v>
      </x:c>
      <x:c r="AJ1559" t="n">
        <x:f>--AND(AI1559=1,R1559=1,S1559=1)</x:f>
        <x:v>0</x:v>
      </x:c>
    </x:row>
    <x:row r="1560">
      <x:c r="A1560" s="28"/>
      <x:c r="B1560" s="28"/>
      <x:c r="C1560" s="28"/>
      <x:c r="D1560" s="28"/>
      <x:c r="E1560" s="28"/>
      <x:c r="F1560" s="28"/>
      <x:c r="G1560" s="28"/>
      <x:c r="H1560" s="28"/>
      <x:c r="I1560" s="28"/>
      <x:c r="J1560" s="28"/>
      <x:c r="K1560" s="28"/>
      <x:c r="L1560" s="28"/>
      <x:c r="M1560" s="28"/>
      <x:c r="N1560" s="28"/>
      <x:c r="O1560" s="28"/>
      <x:c r="P1560" s="28"/>
      <x:c r="Q1560" s="28"/>
      <x:c r="R1560" s="28"/>
      <x:c r="S1560" s="28"/>
      <x:c r="T1560" s="28"/>
      <x:c r="U1560" s="28"/>
      <x:c r="V1560" s="28"/>
      <x:c r="W1560" s="43" t="n">
        <x:f>--AND(N1560=1,OR(O1560="SUPPORTED",O1560="HALLUCINATION"))</x:f>
        <x:v>0</x:v>
      </x:c>
      <x:c r="X1560" s="43" t="n">
        <x:f>--AND(W1560=1,O1560="HALLUCINATION")</x:f>
        <x:v>0</x:v>
      </x:c>
      <x:c r="Y1560" s="43" t="n">
        <x:f>--AND(Q1560=1,O1560="HALLUCINATION")</x:f>
        <x:v>0</x:v>
      </x:c>
      <x:c r="Z1560" s="43" t="n">
        <x:f>--AND(Y1560=1,R1560=1,S1560=1)</x:f>
        <x:v>0</x:v>
      </x:c>
      <x:c r="AC1560" t="str">
        <x:f>IF(OR(AA1560="",AB1560=""),"",--(AA1560&lt;&gt;AB1560))</x:f>
      </x:c>
      <x:c r="AE1560" t="str">
        <x:f>IF(OR(AA1560="",AB1560=""),"PENDING_HUMAN",IF(AA1560=AB1560,AA1560,IF(AD1560&lt;&gt;"",AD1560,"PENDING_HUMAN")))</x:f>
        <x:v>PENDING_HUMAN</x:v>
      </x:c>
      <x:c r="AF1560" t="n">
        <x:f>--AND(A1560&lt;&gt;"",AA1560&lt;&gt;"",AB1560&lt;&gt;"",OR(AA1560=AB1560,AD1560&lt;&gt;""),IF(AE1560="HALLUCINATION",U1560&lt;&gt;"",TRUE))</x:f>
        <x:v>0</x:v>
      </x:c>
      <x:c r="AG1560" t="n">
        <x:f>--AND(N1560=1,AF1560=1,OR(AE1560="SUPPORTED",AE1560="HALLUCINATION"))</x:f>
        <x:v>0</x:v>
      </x:c>
      <x:c r="AH1560" t="n">
        <x:f>--AND(AG1560=1,AE1560="HALLUCINATION")</x:f>
        <x:v>0</x:v>
      </x:c>
      <x:c r="AI1560" t="n">
        <x:f>--AND(Q1560=1,AF1560=1,AE1560="HALLUCINATION")</x:f>
        <x:v>0</x:v>
      </x:c>
      <x:c r="AJ1560" t="n">
        <x:f>--AND(AI1560=1,R1560=1,S1560=1)</x:f>
        <x:v>0</x:v>
      </x:c>
    </x:row>
    <x:row r="1561">
      <x:c r="A1561" s="28"/>
      <x:c r="B1561" s="28"/>
      <x:c r="C1561" s="28"/>
      <x:c r="D1561" s="28"/>
      <x:c r="E1561" s="28"/>
      <x:c r="F1561" s="28"/>
      <x:c r="G1561" s="28"/>
      <x:c r="H1561" s="28"/>
      <x:c r="I1561" s="28"/>
      <x:c r="J1561" s="28"/>
      <x:c r="K1561" s="28"/>
      <x:c r="L1561" s="28"/>
      <x:c r="M1561" s="28"/>
      <x:c r="N1561" s="28"/>
      <x:c r="O1561" s="28"/>
      <x:c r="P1561" s="28"/>
      <x:c r="Q1561" s="28"/>
      <x:c r="R1561" s="28"/>
      <x:c r="S1561" s="28"/>
      <x:c r="T1561" s="28"/>
      <x:c r="U1561" s="28"/>
      <x:c r="V1561" s="28"/>
      <x:c r="W1561" s="43" t="n">
        <x:f>--AND(N1561=1,OR(O1561="SUPPORTED",O1561="HALLUCINATION"))</x:f>
        <x:v>0</x:v>
      </x:c>
      <x:c r="X1561" s="43" t="n">
        <x:f>--AND(W1561=1,O1561="HALLUCINATION")</x:f>
        <x:v>0</x:v>
      </x:c>
      <x:c r="Y1561" s="43" t="n">
        <x:f>--AND(Q1561=1,O1561="HALLUCINATION")</x:f>
        <x:v>0</x:v>
      </x:c>
      <x:c r="Z1561" s="43" t="n">
        <x:f>--AND(Y1561=1,R1561=1,S1561=1)</x:f>
        <x:v>0</x:v>
      </x:c>
      <x:c r="AC1561" t="str">
        <x:f>IF(OR(AA1561="",AB1561=""),"",--(AA1561&lt;&gt;AB1561))</x:f>
      </x:c>
      <x:c r="AE1561" t="str">
        <x:f>IF(OR(AA1561="",AB1561=""),"PENDING_HUMAN",IF(AA1561=AB1561,AA1561,IF(AD1561&lt;&gt;"",AD1561,"PENDING_HUMAN")))</x:f>
        <x:v>PENDING_HUMAN</x:v>
      </x:c>
      <x:c r="AF1561" t="n">
        <x:f>--AND(A1561&lt;&gt;"",AA1561&lt;&gt;"",AB1561&lt;&gt;"",OR(AA1561=AB1561,AD1561&lt;&gt;""),IF(AE1561="HALLUCINATION",U1561&lt;&gt;"",TRUE))</x:f>
        <x:v>0</x:v>
      </x:c>
      <x:c r="AG1561" t="n">
        <x:f>--AND(N1561=1,AF1561=1,OR(AE1561="SUPPORTED",AE1561="HALLUCINATION"))</x:f>
        <x:v>0</x:v>
      </x:c>
      <x:c r="AH1561" t="n">
        <x:f>--AND(AG1561=1,AE1561="HALLUCINATION")</x:f>
        <x:v>0</x:v>
      </x:c>
      <x:c r="AI1561" t="n">
        <x:f>--AND(Q1561=1,AF1561=1,AE1561="HALLUCINATION")</x:f>
        <x:v>0</x:v>
      </x:c>
      <x:c r="AJ1561" t="n">
        <x:f>--AND(AI1561=1,R1561=1,S1561=1)</x:f>
        <x:v>0</x:v>
      </x:c>
    </x:row>
    <x:row r="1562">
      <x:c r="A1562" s="28"/>
      <x:c r="B1562" s="28"/>
      <x:c r="C1562" s="28"/>
      <x:c r="D1562" s="28"/>
      <x:c r="E1562" s="28"/>
      <x:c r="F1562" s="28"/>
      <x:c r="G1562" s="28"/>
      <x:c r="H1562" s="28"/>
      <x:c r="I1562" s="28"/>
      <x:c r="J1562" s="28"/>
      <x:c r="K1562" s="28"/>
      <x:c r="L1562" s="28"/>
      <x:c r="M1562" s="28"/>
      <x:c r="N1562" s="28"/>
      <x:c r="O1562" s="28"/>
      <x:c r="P1562" s="28"/>
      <x:c r="Q1562" s="28"/>
      <x:c r="R1562" s="28"/>
      <x:c r="S1562" s="28"/>
      <x:c r="T1562" s="28"/>
      <x:c r="U1562" s="28"/>
      <x:c r="V1562" s="28"/>
      <x:c r="W1562" s="43" t="n">
        <x:f>--AND(N1562=1,OR(O1562="SUPPORTED",O1562="HALLUCINATION"))</x:f>
        <x:v>0</x:v>
      </x:c>
      <x:c r="X1562" s="43" t="n">
        <x:f>--AND(W1562=1,O1562="HALLUCINATION")</x:f>
        <x:v>0</x:v>
      </x:c>
      <x:c r="Y1562" s="43" t="n">
        <x:f>--AND(Q1562=1,O1562="HALLUCINATION")</x:f>
        <x:v>0</x:v>
      </x:c>
      <x:c r="Z1562" s="43" t="n">
        <x:f>--AND(Y1562=1,R1562=1,S1562=1)</x:f>
        <x:v>0</x:v>
      </x:c>
      <x:c r="AC1562" t="str">
        <x:f>IF(OR(AA1562="",AB1562=""),"",--(AA1562&lt;&gt;AB1562))</x:f>
      </x:c>
      <x:c r="AE1562" t="str">
        <x:f>IF(OR(AA1562="",AB1562=""),"PENDING_HUMAN",IF(AA1562=AB1562,AA1562,IF(AD1562&lt;&gt;"",AD1562,"PENDING_HUMAN")))</x:f>
        <x:v>PENDING_HUMAN</x:v>
      </x:c>
      <x:c r="AF1562" t="n">
        <x:f>--AND(A1562&lt;&gt;"",AA1562&lt;&gt;"",AB1562&lt;&gt;"",OR(AA1562=AB1562,AD1562&lt;&gt;""),IF(AE1562="HALLUCINATION",U1562&lt;&gt;"",TRUE))</x:f>
        <x:v>0</x:v>
      </x:c>
      <x:c r="AG1562" t="n">
        <x:f>--AND(N1562=1,AF1562=1,OR(AE1562="SUPPORTED",AE1562="HALLUCINATION"))</x:f>
        <x:v>0</x:v>
      </x:c>
      <x:c r="AH1562" t="n">
        <x:f>--AND(AG1562=1,AE1562="HALLUCINATION")</x:f>
        <x:v>0</x:v>
      </x:c>
      <x:c r="AI1562" t="n">
        <x:f>--AND(Q1562=1,AF1562=1,AE1562="HALLUCINATION")</x:f>
        <x:v>0</x:v>
      </x:c>
      <x:c r="AJ1562" t="n">
        <x:f>--AND(AI1562=1,R1562=1,S1562=1)</x:f>
        <x:v>0</x:v>
      </x:c>
    </x:row>
    <x:row r="1563">
      <x:c r="A1563" s="28"/>
      <x:c r="B1563" s="28"/>
      <x:c r="C1563" s="28"/>
      <x:c r="D1563" s="28"/>
      <x:c r="E1563" s="28"/>
      <x:c r="F1563" s="28"/>
      <x:c r="G1563" s="28"/>
      <x:c r="H1563" s="28"/>
      <x:c r="I1563" s="28"/>
      <x:c r="J1563" s="28"/>
      <x:c r="K1563" s="28"/>
      <x:c r="L1563" s="28"/>
      <x:c r="M1563" s="28"/>
      <x:c r="N1563" s="28"/>
      <x:c r="O1563" s="28"/>
      <x:c r="P1563" s="28"/>
      <x:c r="Q1563" s="28"/>
      <x:c r="R1563" s="28"/>
      <x:c r="S1563" s="28"/>
      <x:c r="T1563" s="28"/>
      <x:c r="U1563" s="28"/>
      <x:c r="V1563" s="28"/>
      <x:c r="W1563" s="43" t="n">
        <x:f>--AND(N1563=1,OR(O1563="SUPPORTED",O1563="HALLUCINATION"))</x:f>
        <x:v>0</x:v>
      </x:c>
      <x:c r="X1563" s="43" t="n">
        <x:f>--AND(W1563=1,O1563="HALLUCINATION")</x:f>
        <x:v>0</x:v>
      </x:c>
      <x:c r="Y1563" s="43" t="n">
        <x:f>--AND(Q1563=1,O1563="HALLUCINATION")</x:f>
        <x:v>0</x:v>
      </x:c>
      <x:c r="Z1563" s="43" t="n">
        <x:f>--AND(Y1563=1,R1563=1,S1563=1)</x:f>
        <x:v>0</x:v>
      </x:c>
      <x:c r="AC1563" t="str">
        <x:f>IF(OR(AA1563="",AB1563=""),"",--(AA1563&lt;&gt;AB1563))</x:f>
      </x:c>
      <x:c r="AE1563" t="str">
        <x:f>IF(OR(AA1563="",AB1563=""),"PENDING_HUMAN",IF(AA1563=AB1563,AA1563,IF(AD1563&lt;&gt;"",AD1563,"PENDING_HUMAN")))</x:f>
        <x:v>PENDING_HUMAN</x:v>
      </x:c>
      <x:c r="AF1563" t="n">
        <x:f>--AND(A1563&lt;&gt;"",AA1563&lt;&gt;"",AB1563&lt;&gt;"",OR(AA1563=AB1563,AD1563&lt;&gt;""),IF(AE1563="HALLUCINATION",U1563&lt;&gt;"",TRUE))</x:f>
        <x:v>0</x:v>
      </x:c>
      <x:c r="AG1563" t="n">
        <x:f>--AND(N1563=1,AF1563=1,OR(AE1563="SUPPORTED",AE1563="HALLUCINATION"))</x:f>
        <x:v>0</x:v>
      </x:c>
      <x:c r="AH1563" t="n">
        <x:f>--AND(AG1563=1,AE1563="HALLUCINATION")</x:f>
        <x:v>0</x:v>
      </x:c>
      <x:c r="AI1563" t="n">
        <x:f>--AND(Q1563=1,AF1563=1,AE1563="HALLUCINATION")</x:f>
        <x:v>0</x:v>
      </x:c>
      <x:c r="AJ1563" t="n">
        <x:f>--AND(AI1563=1,R1563=1,S1563=1)</x:f>
        <x:v>0</x:v>
      </x:c>
    </x:row>
    <x:row r="1564">
      <x:c r="A1564" s="28"/>
      <x:c r="B1564" s="28"/>
      <x:c r="C1564" s="28"/>
      <x:c r="D1564" s="28"/>
      <x:c r="E1564" s="28"/>
      <x:c r="F1564" s="28"/>
      <x:c r="G1564" s="28"/>
      <x:c r="H1564" s="28"/>
      <x:c r="I1564" s="28"/>
      <x:c r="J1564" s="28"/>
      <x:c r="K1564" s="28"/>
      <x:c r="L1564" s="28"/>
      <x:c r="M1564" s="28"/>
      <x:c r="N1564" s="28"/>
      <x:c r="O1564" s="28"/>
      <x:c r="P1564" s="28"/>
      <x:c r="Q1564" s="28"/>
      <x:c r="R1564" s="28"/>
      <x:c r="S1564" s="28"/>
      <x:c r="T1564" s="28"/>
      <x:c r="U1564" s="28"/>
      <x:c r="V1564" s="28"/>
      <x:c r="W1564" s="43" t="n">
        <x:f>--AND(N1564=1,OR(O1564="SUPPORTED",O1564="HALLUCINATION"))</x:f>
        <x:v>0</x:v>
      </x:c>
      <x:c r="X1564" s="43" t="n">
        <x:f>--AND(W1564=1,O1564="HALLUCINATION")</x:f>
        <x:v>0</x:v>
      </x:c>
      <x:c r="Y1564" s="43" t="n">
        <x:f>--AND(Q1564=1,O1564="HALLUCINATION")</x:f>
        <x:v>0</x:v>
      </x:c>
      <x:c r="Z1564" s="43" t="n">
        <x:f>--AND(Y1564=1,R1564=1,S1564=1)</x:f>
        <x:v>0</x:v>
      </x:c>
      <x:c r="AC1564" t="str">
        <x:f>IF(OR(AA1564="",AB1564=""),"",--(AA1564&lt;&gt;AB1564))</x:f>
      </x:c>
      <x:c r="AE1564" t="str">
        <x:f>IF(OR(AA1564="",AB1564=""),"PENDING_HUMAN",IF(AA1564=AB1564,AA1564,IF(AD1564&lt;&gt;"",AD1564,"PENDING_HUMAN")))</x:f>
        <x:v>PENDING_HUMAN</x:v>
      </x:c>
      <x:c r="AF1564" t="n">
        <x:f>--AND(A1564&lt;&gt;"",AA1564&lt;&gt;"",AB1564&lt;&gt;"",OR(AA1564=AB1564,AD1564&lt;&gt;""),IF(AE1564="HALLUCINATION",U1564&lt;&gt;"",TRUE))</x:f>
        <x:v>0</x:v>
      </x:c>
      <x:c r="AG1564" t="n">
        <x:f>--AND(N1564=1,AF1564=1,OR(AE1564="SUPPORTED",AE1564="HALLUCINATION"))</x:f>
        <x:v>0</x:v>
      </x:c>
      <x:c r="AH1564" t="n">
        <x:f>--AND(AG1564=1,AE1564="HALLUCINATION")</x:f>
        <x:v>0</x:v>
      </x:c>
      <x:c r="AI1564" t="n">
        <x:f>--AND(Q1564=1,AF1564=1,AE1564="HALLUCINATION")</x:f>
        <x:v>0</x:v>
      </x:c>
      <x:c r="AJ1564" t="n">
        <x:f>--AND(AI1564=1,R1564=1,S1564=1)</x:f>
        <x:v>0</x:v>
      </x:c>
    </x:row>
    <x:row r="1565">
      <x:c r="A1565" s="28"/>
      <x:c r="B1565" s="28"/>
      <x:c r="C1565" s="28"/>
      <x:c r="D1565" s="28"/>
      <x:c r="E1565" s="28"/>
      <x:c r="F1565" s="28"/>
      <x:c r="G1565" s="28"/>
      <x:c r="H1565" s="28"/>
      <x:c r="I1565" s="28"/>
      <x:c r="J1565" s="28"/>
      <x:c r="K1565" s="28"/>
      <x:c r="L1565" s="28"/>
      <x:c r="M1565" s="28"/>
      <x:c r="N1565" s="28"/>
      <x:c r="O1565" s="28"/>
      <x:c r="P1565" s="28"/>
      <x:c r="Q1565" s="28"/>
      <x:c r="R1565" s="28"/>
      <x:c r="S1565" s="28"/>
      <x:c r="T1565" s="28"/>
      <x:c r="U1565" s="28"/>
      <x:c r="V1565" s="28"/>
      <x:c r="W1565" s="43" t="n">
        <x:f>--AND(N1565=1,OR(O1565="SUPPORTED",O1565="HALLUCINATION"))</x:f>
        <x:v>0</x:v>
      </x:c>
      <x:c r="X1565" s="43" t="n">
        <x:f>--AND(W1565=1,O1565="HALLUCINATION")</x:f>
        <x:v>0</x:v>
      </x:c>
      <x:c r="Y1565" s="43" t="n">
        <x:f>--AND(Q1565=1,O1565="HALLUCINATION")</x:f>
        <x:v>0</x:v>
      </x:c>
      <x:c r="Z1565" s="43" t="n">
        <x:f>--AND(Y1565=1,R1565=1,S1565=1)</x:f>
        <x:v>0</x:v>
      </x:c>
      <x:c r="AC1565" t="str">
        <x:f>IF(OR(AA1565="",AB1565=""),"",--(AA1565&lt;&gt;AB1565))</x:f>
      </x:c>
      <x:c r="AE1565" t="str">
        <x:f>IF(OR(AA1565="",AB1565=""),"PENDING_HUMAN",IF(AA1565=AB1565,AA1565,IF(AD1565&lt;&gt;"",AD1565,"PENDING_HUMAN")))</x:f>
        <x:v>PENDING_HUMAN</x:v>
      </x:c>
      <x:c r="AF1565" t="n">
        <x:f>--AND(A1565&lt;&gt;"",AA1565&lt;&gt;"",AB1565&lt;&gt;"",OR(AA1565=AB1565,AD1565&lt;&gt;""),IF(AE1565="HALLUCINATION",U1565&lt;&gt;"",TRUE))</x:f>
        <x:v>0</x:v>
      </x:c>
      <x:c r="AG1565" t="n">
        <x:f>--AND(N1565=1,AF1565=1,OR(AE1565="SUPPORTED",AE1565="HALLUCINATION"))</x:f>
        <x:v>0</x:v>
      </x:c>
      <x:c r="AH1565" t="n">
        <x:f>--AND(AG1565=1,AE1565="HALLUCINATION")</x:f>
        <x:v>0</x:v>
      </x:c>
      <x:c r="AI1565" t="n">
        <x:f>--AND(Q1565=1,AF1565=1,AE1565="HALLUCINATION")</x:f>
        <x:v>0</x:v>
      </x:c>
      <x:c r="AJ1565" t="n">
        <x:f>--AND(AI1565=1,R1565=1,S1565=1)</x:f>
        <x:v>0</x:v>
      </x:c>
    </x:row>
    <x:row r="1566">
      <x:c r="A1566" s="28"/>
      <x:c r="B1566" s="28"/>
      <x:c r="C1566" s="28"/>
      <x:c r="D1566" s="28"/>
      <x:c r="E1566" s="28"/>
      <x:c r="F1566" s="28"/>
      <x:c r="G1566" s="28"/>
      <x:c r="H1566" s="28"/>
      <x:c r="I1566" s="28"/>
      <x:c r="J1566" s="28"/>
      <x:c r="K1566" s="28"/>
      <x:c r="L1566" s="28"/>
      <x:c r="M1566" s="28"/>
      <x:c r="N1566" s="28"/>
      <x:c r="O1566" s="28"/>
      <x:c r="P1566" s="28"/>
      <x:c r="Q1566" s="28"/>
      <x:c r="R1566" s="28"/>
      <x:c r="S1566" s="28"/>
      <x:c r="T1566" s="28"/>
      <x:c r="U1566" s="28"/>
      <x:c r="V1566" s="28"/>
      <x:c r="W1566" s="43" t="n">
        <x:f>--AND(N1566=1,OR(O1566="SUPPORTED",O1566="HALLUCINATION"))</x:f>
        <x:v>0</x:v>
      </x:c>
      <x:c r="X1566" s="43" t="n">
        <x:f>--AND(W1566=1,O1566="HALLUCINATION")</x:f>
        <x:v>0</x:v>
      </x:c>
      <x:c r="Y1566" s="43" t="n">
        <x:f>--AND(Q1566=1,O1566="HALLUCINATION")</x:f>
        <x:v>0</x:v>
      </x:c>
      <x:c r="Z1566" s="43" t="n">
        <x:f>--AND(Y1566=1,R1566=1,S1566=1)</x:f>
        <x:v>0</x:v>
      </x:c>
      <x:c r="AC1566" t="str">
        <x:f>IF(OR(AA1566="",AB1566=""),"",--(AA1566&lt;&gt;AB1566))</x:f>
      </x:c>
      <x:c r="AE1566" t="str">
        <x:f>IF(OR(AA1566="",AB1566=""),"PENDING_HUMAN",IF(AA1566=AB1566,AA1566,IF(AD1566&lt;&gt;"",AD1566,"PENDING_HUMAN")))</x:f>
        <x:v>PENDING_HUMAN</x:v>
      </x:c>
      <x:c r="AF1566" t="n">
        <x:f>--AND(A1566&lt;&gt;"",AA1566&lt;&gt;"",AB1566&lt;&gt;"",OR(AA1566=AB1566,AD1566&lt;&gt;""),IF(AE1566="HALLUCINATION",U1566&lt;&gt;"",TRUE))</x:f>
        <x:v>0</x:v>
      </x:c>
      <x:c r="AG1566" t="n">
        <x:f>--AND(N1566=1,AF1566=1,OR(AE1566="SUPPORTED",AE1566="HALLUCINATION"))</x:f>
        <x:v>0</x:v>
      </x:c>
      <x:c r="AH1566" t="n">
        <x:f>--AND(AG1566=1,AE1566="HALLUCINATION")</x:f>
        <x:v>0</x:v>
      </x:c>
      <x:c r="AI1566" t="n">
        <x:f>--AND(Q1566=1,AF1566=1,AE1566="HALLUCINATION")</x:f>
        <x:v>0</x:v>
      </x:c>
      <x:c r="AJ1566" t="n">
        <x:f>--AND(AI1566=1,R1566=1,S1566=1)</x:f>
        <x:v>0</x:v>
      </x:c>
    </x:row>
    <x:row r="1567">
      <x:c r="A1567" s="28"/>
      <x:c r="B1567" s="28"/>
      <x:c r="C1567" s="28"/>
      <x:c r="D1567" s="28"/>
      <x:c r="E1567" s="28"/>
      <x:c r="F1567" s="28"/>
      <x:c r="G1567" s="28"/>
      <x:c r="H1567" s="28"/>
      <x:c r="I1567" s="28"/>
      <x:c r="J1567" s="28"/>
      <x:c r="K1567" s="28"/>
      <x:c r="L1567" s="28"/>
      <x:c r="M1567" s="28"/>
      <x:c r="N1567" s="28"/>
      <x:c r="O1567" s="28"/>
      <x:c r="P1567" s="28"/>
      <x:c r="Q1567" s="28"/>
      <x:c r="R1567" s="28"/>
      <x:c r="S1567" s="28"/>
      <x:c r="T1567" s="28"/>
      <x:c r="U1567" s="28"/>
      <x:c r="V1567" s="28"/>
      <x:c r="W1567" s="43" t="n">
        <x:f>--AND(N1567=1,OR(O1567="SUPPORTED",O1567="HALLUCINATION"))</x:f>
        <x:v>0</x:v>
      </x:c>
      <x:c r="X1567" s="43" t="n">
        <x:f>--AND(W1567=1,O1567="HALLUCINATION")</x:f>
        <x:v>0</x:v>
      </x:c>
      <x:c r="Y1567" s="43" t="n">
        <x:f>--AND(Q1567=1,O1567="HALLUCINATION")</x:f>
        <x:v>0</x:v>
      </x:c>
      <x:c r="Z1567" s="43" t="n">
        <x:f>--AND(Y1567=1,R1567=1,S1567=1)</x:f>
        <x:v>0</x:v>
      </x:c>
      <x:c r="AC1567" t="str">
        <x:f>IF(OR(AA1567="",AB1567=""),"",--(AA1567&lt;&gt;AB1567))</x:f>
      </x:c>
      <x:c r="AE1567" t="str">
        <x:f>IF(OR(AA1567="",AB1567=""),"PENDING_HUMAN",IF(AA1567=AB1567,AA1567,IF(AD1567&lt;&gt;"",AD1567,"PENDING_HUMAN")))</x:f>
        <x:v>PENDING_HUMAN</x:v>
      </x:c>
      <x:c r="AF1567" t="n">
        <x:f>--AND(A1567&lt;&gt;"",AA1567&lt;&gt;"",AB1567&lt;&gt;"",OR(AA1567=AB1567,AD1567&lt;&gt;""),IF(AE1567="HALLUCINATION",U1567&lt;&gt;"",TRUE))</x:f>
        <x:v>0</x:v>
      </x:c>
      <x:c r="AG1567" t="n">
        <x:f>--AND(N1567=1,AF1567=1,OR(AE1567="SUPPORTED",AE1567="HALLUCINATION"))</x:f>
        <x:v>0</x:v>
      </x:c>
      <x:c r="AH1567" t="n">
        <x:f>--AND(AG1567=1,AE1567="HALLUCINATION")</x:f>
        <x:v>0</x:v>
      </x:c>
      <x:c r="AI1567" t="n">
        <x:f>--AND(Q1567=1,AF1567=1,AE1567="HALLUCINATION")</x:f>
        <x:v>0</x:v>
      </x:c>
      <x:c r="AJ1567" t="n">
        <x:f>--AND(AI1567=1,R1567=1,S1567=1)</x:f>
        <x:v>0</x:v>
      </x:c>
    </x:row>
    <x:row r="1568">
      <x:c r="A1568" s="28"/>
      <x:c r="B1568" s="28"/>
      <x:c r="C1568" s="28"/>
      <x:c r="D1568" s="28"/>
      <x:c r="E1568" s="28"/>
      <x:c r="F1568" s="28"/>
      <x:c r="G1568" s="28"/>
      <x:c r="H1568" s="28"/>
      <x:c r="I1568" s="28"/>
      <x:c r="J1568" s="28"/>
      <x:c r="K1568" s="28"/>
      <x:c r="L1568" s="28"/>
      <x:c r="M1568" s="28"/>
      <x:c r="N1568" s="28"/>
      <x:c r="O1568" s="28"/>
      <x:c r="P1568" s="28"/>
      <x:c r="Q1568" s="28"/>
      <x:c r="R1568" s="28"/>
      <x:c r="S1568" s="28"/>
      <x:c r="T1568" s="28"/>
      <x:c r="U1568" s="28"/>
      <x:c r="V1568" s="28"/>
      <x:c r="W1568" s="43" t="n">
        <x:f>--AND(N1568=1,OR(O1568="SUPPORTED",O1568="HALLUCINATION"))</x:f>
        <x:v>0</x:v>
      </x:c>
      <x:c r="X1568" s="43" t="n">
        <x:f>--AND(W1568=1,O1568="HALLUCINATION")</x:f>
        <x:v>0</x:v>
      </x:c>
      <x:c r="Y1568" s="43" t="n">
        <x:f>--AND(Q1568=1,O1568="HALLUCINATION")</x:f>
        <x:v>0</x:v>
      </x:c>
      <x:c r="Z1568" s="43" t="n">
        <x:f>--AND(Y1568=1,R1568=1,S1568=1)</x:f>
        <x:v>0</x:v>
      </x:c>
      <x:c r="AC1568" t="str">
        <x:f>IF(OR(AA1568="",AB1568=""),"",--(AA1568&lt;&gt;AB1568))</x:f>
      </x:c>
      <x:c r="AE1568" t="str">
        <x:f>IF(OR(AA1568="",AB1568=""),"PENDING_HUMAN",IF(AA1568=AB1568,AA1568,IF(AD1568&lt;&gt;"",AD1568,"PENDING_HUMAN")))</x:f>
        <x:v>PENDING_HUMAN</x:v>
      </x:c>
      <x:c r="AF1568" t="n">
        <x:f>--AND(A1568&lt;&gt;"",AA1568&lt;&gt;"",AB1568&lt;&gt;"",OR(AA1568=AB1568,AD1568&lt;&gt;""),IF(AE1568="HALLUCINATION",U1568&lt;&gt;"",TRUE))</x:f>
        <x:v>0</x:v>
      </x:c>
      <x:c r="AG1568" t="n">
        <x:f>--AND(N1568=1,AF1568=1,OR(AE1568="SUPPORTED",AE1568="HALLUCINATION"))</x:f>
        <x:v>0</x:v>
      </x:c>
      <x:c r="AH1568" t="n">
        <x:f>--AND(AG1568=1,AE1568="HALLUCINATION")</x:f>
        <x:v>0</x:v>
      </x:c>
      <x:c r="AI1568" t="n">
        <x:f>--AND(Q1568=1,AF1568=1,AE1568="HALLUCINATION")</x:f>
        <x:v>0</x:v>
      </x:c>
      <x:c r="AJ1568" t="n">
        <x:f>--AND(AI1568=1,R1568=1,S1568=1)</x:f>
        <x:v>0</x:v>
      </x:c>
    </x:row>
    <x:row r="1569">
      <x:c r="A1569" s="28"/>
      <x:c r="B1569" s="28"/>
      <x:c r="C1569" s="28"/>
      <x:c r="D1569" s="28"/>
      <x:c r="E1569" s="28"/>
      <x:c r="F1569" s="28"/>
      <x:c r="G1569" s="28"/>
      <x:c r="H1569" s="28"/>
      <x:c r="I1569" s="28"/>
      <x:c r="J1569" s="28"/>
      <x:c r="K1569" s="28"/>
      <x:c r="L1569" s="28"/>
      <x:c r="M1569" s="28"/>
      <x:c r="N1569" s="28"/>
      <x:c r="O1569" s="28"/>
      <x:c r="P1569" s="28"/>
      <x:c r="Q1569" s="28"/>
      <x:c r="R1569" s="28"/>
      <x:c r="S1569" s="28"/>
      <x:c r="T1569" s="28"/>
      <x:c r="U1569" s="28"/>
      <x:c r="V1569" s="28"/>
      <x:c r="W1569" s="43" t="n">
        <x:f>--AND(N1569=1,OR(O1569="SUPPORTED",O1569="HALLUCINATION"))</x:f>
        <x:v>0</x:v>
      </x:c>
      <x:c r="X1569" s="43" t="n">
        <x:f>--AND(W1569=1,O1569="HALLUCINATION")</x:f>
        <x:v>0</x:v>
      </x:c>
      <x:c r="Y1569" s="43" t="n">
        <x:f>--AND(Q1569=1,O1569="HALLUCINATION")</x:f>
        <x:v>0</x:v>
      </x:c>
      <x:c r="Z1569" s="43" t="n">
        <x:f>--AND(Y1569=1,R1569=1,S1569=1)</x:f>
        <x:v>0</x:v>
      </x:c>
      <x:c r="AC1569" t="str">
        <x:f>IF(OR(AA1569="",AB1569=""),"",--(AA1569&lt;&gt;AB1569))</x:f>
      </x:c>
      <x:c r="AE1569" t="str">
        <x:f>IF(OR(AA1569="",AB1569=""),"PENDING_HUMAN",IF(AA1569=AB1569,AA1569,IF(AD1569&lt;&gt;"",AD1569,"PENDING_HUMAN")))</x:f>
        <x:v>PENDING_HUMAN</x:v>
      </x:c>
      <x:c r="AF1569" t="n">
        <x:f>--AND(A1569&lt;&gt;"",AA1569&lt;&gt;"",AB1569&lt;&gt;"",OR(AA1569=AB1569,AD1569&lt;&gt;""),IF(AE1569="HALLUCINATION",U1569&lt;&gt;"",TRUE))</x:f>
        <x:v>0</x:v>
      </x:c>
      <x:c r="AG1569" t="n">
        <x:f>--AND(N1569=1,AF1569=1,OR(AE1569="SUPPORTED",AE1569="HALLUCINATION"))</x:f>
        <x:v>0</x:v>
      </x:c>
      <x:c r="AH1569" t="n">
        <x:f>--AND(AG1569=1,AE1569="HALLUCINATION")</x:f>
        <x:v>0</x:v>
      </x:c>
      <x:c r="AI1569" t="n">
        <x:f>--AND(Q1569=1,AF1569=1,AE1569="HALLUCINATION")</x:f>
        <x:v>0</x:v>
      </x:c>
      <x:c r="AJ1569" t="n">
        <x:f>--AND(AI1569=1,R1569=1,S1569=1)</x:f>
        <x:v>0</x:v>
      </x:c>
    </x:row>
    <x:row r="1570">
      <x:c r="A1570" s="28"/>
      <x:c r="B1570" s="28"/>
      <x:c r="C1570" s="28"/>
      <x:c r="D1570" s="28"/>
      <x:c r="E1570" s="28"/>
      <x:c r="F1570" s="28"/>
      <x:c r="G1570" s="28"/>
      <x:c r="H1570" s="28"/>
      <x:c r="I1570" s="28"/>
      <x:c r="J1570" s="28"/>
      <x:c r="K1570" s="28"/>
      <x:c r="L1570" s="28"/>
      <x:c r="M1570" s="28"/>
      <x:c r="N1570" s="28"/>
      <x:c r="O1570" s="28"/>
      <x:c r="P1570" s="28"/>
      <x:c r="Q1570" s="28"/>
      <x:c r="R1570" s="28"/>
      <x:c r="S1570" s="28"/>
      <x:c r="T1570" s="28"/>
      <x:c r="U1570" s="28"/>
      <x:c r="V1570" s="28"/>
      <x:c r="W1570" s="43" t="n">
        <x:f>--AND(N1570=1,OR(O1570="SUPPORTED",O1570="HALLUCINATION"))</x:f>
        <x:v>0</x:v>
      </x:c>
      <x:c r="X1570" s="43" t="n">
        <x:f>--AND(W1570=1,O1570="HALLUCINATION")</x:f>
        <x:v>0</x:v>
      </x:c>
      <x:c r="Y1570" s="43" t="n">
        <x:f>--AND(Q1570=1,O1570="HALLUCINATION")</x:f>
        <x:v>0</x:v>
      </x:c>
      <x:c r="Z1570" s="43" t="n">
        <x:f>--AND(Y1570=1,R1570=1,S1570=1)</x:f>
        <x:v>0</x:v>
      </x:c>
      <x:c r="AC1570" t="str">
        <x:f>IF(OR(AA1570="",AB1570=""),"",--(AA1570&lt;&gt;AB1570))</x:f>
      </x:c>
      <x:c r="AE1570" t="str">
        <x:f>IF(OR(AA1570="",AB1570=""),"PENDING_HUMAN",IF(AA1570=AB1570,AA1570,IF(AD1570&lt;&gt;"",AD1570,"PENDING_HUMAN")))</x:f>
        <x:v>PENDING_HUMAN</x:v>
      </x:c>
      <x:c r="AF1570" t="n">
        <x:f>--AND(A1570&lt;&gt;"",AA1570&lt;&gt;"",AB1570&lt;&gt;"",OR(AA1570=AB1570,AD1570&lt;&gt;""),IF(AE1570="HALLUCINATION",U1570&lt;&gt;"",TRUE))</x:f>
        <x:v>0</x:v>
      </x:c>
      <x:c r="AG1570" t="n">
        <x:f>--AND(N1570=1,AF1570=1,OR(AE1570="SUPPORTED",AE1570="HALLUCINATION"))</x:f>
        <x:v>0</x:v>
      </x:c>
      <x:c r="AH1570" t="n">
        <x:f>--AND(AG1570=1,AE1570="HALLUCINATION")</x:f>
        <x:v>0</x:v>
      </x:c>
      <x:c r="AI1570" t="n">
        <x:f>--AND(Q1570=1,AF1570=1,AE1570="HALLUCINATION")</x:f>
        <x:v>0</x:v>
      </x:c>
      <x:c r="AJ1570" t="n">
        <x:f>--AND(AI1570=1,R1570=1,S1570=1)</x:f>
        <x:v>0</x:v>
      </x:c>
    </x:row>
    <x:row r="1571">
      <x:c r="A1571" s="28"/>
      <x:c r="B1571" s="28"/>
      <x:c r="C1571" s="28"/>
      <x:c r="D1571" s="28"/>
      <x:c r="E1571" s="28"/>
      <x:c r="F1571" s="28"/>
      <x:c r="G1571" s="28"/>
      <x:c r="H1571" s="28"/>
      <x:c r="I1571" s="28"/>
      <x:c r="J1571" s="28"/>
      <x:c r="K1571" s="28"/>
      <x:c r="L1571" s="28"/>
      <x:c r="M1571" s="28"/>
      <x:c r="N1571" s="28"/>
      <x:c r="O1571" s="28"/>
      <x:c r="P1571" s="28"/>
      <x:c r="Q1571" s="28"/>
      <x:c r="R1571" s="28"/>
      <x:c r="S1571" s="28"/>
      <x:c r="T1571" s="28"/>
      <x:c r="U1571" s="28"/>
      <x:c r="V1571" s="28"/>
      <x:c r="W1571" s="43" t="n">
        <x:f>--AND(N1571=1,OR(O1571="SUPPORTED",O1571="HALLUCINATION"))</x:f>
        <x:v>0</x:v>
      </x:c>
      <x:c r="X1571" s="43" t="n">
        <x:f>--AND(W1571=1,O1571="HALLUCINATION")</x:f>
        <x:v>0</x:v>
      </x:c>
      <x:c r="Y1571" s="43" t="n">
        <x:f>--AND(Q1571=1,O1571="HALLUCINATION")</x:f>
        <x:v>0</x:v>
      </x:c>
      <x:c r="Z1571" s="43" t="n">
        <x:f>--AND(Y1571=1,R1571=1,S1571=1)</x:f>
        <x:v>0</x:v>
      </x:c>
      <x:c r="AC1571" t="str">
        <x:f>IF(OR(AA1571="",AB1571=""),"",--(AA1571&lt;&gt;AB1571))</x:f>
      </x:c>
      <x:c r="AE1571" t="str">
        <x:f>IF(OR(AA1571="",AB1571=""),"PENDING_HUMAN",IF(AA1571=AB1571,AA1571,IF(AD1571&lt;&gt;"",AD1571,"PENDING_HUMAN")))</x:f>
        <x:v>PENDING_HUMAN</x:v>
      </x:c>
      <x:c r="AF1571" t="n">
        <x:f>--AND(A1571&lt;&gt;"",AA1571&lt;&gt;"",AB1571&lt;&gt;"",OR(AA1571=AB1571,AD1571&lt;&gt;""),IF(AE1571="HALLUCINATION",U1571&lt;&gt;"",TRUE))</x:f>
        <x:v>0</x:v>
      </x:c>
      <x:c r="AG1571" t="n">
        <x:f>--AND(N1571=1,AF1571=1,OR(AE1571="SUPPORTED",AE1571="HALLUCINATION"))</x:f>
        <x:v>0</x:v>
      </x:c>
      <x:c r="AH1571" t="n">
        <x:f>--AND(AG1571=1,AE1571="HALLUCINATION")</x:f>
        <x:v>0</x:v>
      </x:c>
      <x:c r="AI1571" t="n">
        <x:f>--AND(Q1571=1,AF1571=1,AE1571="HALLUCINATION")</x:f>
        <x:v>0</x:v>
      </x:c>
      <x:c r="AJ1571" t="n">
        <x:f>--AND(AI1571=1,R1571=1,S1571=1)</x:f>
        <x:v>0</x:v>
      </x:c>
    </x:row>
    <x:row r="1572">
      <x:c r="A1572" s="28"/>
      <x:c r="B1572" s="28"/>
      <x:c r="C1572" s="28"/>
      <x:c r="D1572" s="28"/>
      <x:c r="E1572" s="28"/>
      <x:c r="F1572" s="28"/>
      <x:c r="G1572" s="28"/>
      <x:c r="H1572" s="28"/>
      <x:c r="I1572" s="28"/>
      <x:c r="J1572" s="28"/>
      <x:c r="K1572" s="28"/>
      <x:c r="L1572" s="28"/>
      <x:c r="M1572" s="28"/>
      <x:c r="N1572" s="28"/>
      <x:c r="O1572" s="28"/>
      <x:c r="P1572" s="28"/>
      <x:c r="Q1572" s="28"/>
      <x:c r="R1572" s="28"/>
      <x:c r="S1572" s="28"/>
      <x:c r="T1572" s="28"/>
      <x:c r="U1572" s="28"/>
      <x:c r="V1572" s="28"/>
      <x:c r="W1572" s="43" t="n">
        <x:f>--AND(N1572=1,OR(O1572="SUPPORTED",O1572="HALLUCINATION"))</x:f>
        <x:v>0</x:v>
      </x:c>
      <x:c r="X1572" s="43" t="n">
        <x:f>--AND(W1572=1,O1572="HALLUCINATION")</x:f>
        <x:v>0</x:v>
      </x:c>
      <x:c r="Y1572" s="43" t="n">
        <x:f>--AND(Q1572=1,O1572="HALLUCINATION")</x:f>
        <x:v>0</x:v>
      </x:c>
      <x:c r="Z1572" s="43" t="n">
        <x:f>--AND(Y1572=1,R1572=1,S1572=1)</x:f>
        <x:v>0</x:v>
      </x:c>
      <x:c r="AC1572" t="str">
        <x:f>IF(OR(AA1572="",AB1572=""),"",--(AA1572&lt;&gt;AB1572))</x:f>
      </x:c>
      <x:c r="AE1572" t="str">
        <x:f>IF(OR(AA1572="",AB1572=""),"PENDING_HUMAN",IF(AA1572=AB1572,AA1572,IF(AD1572&lt;&gt;"",AD1572,"PENDING_HUMAN")))</x:f>
        <x:v>PENDING_HUMAN</x:v>
      </x:c>
      <x:c r="AF1572" t="n">
        <x:f>--AND(A1572&lt;&gt;"",AA1572&lt;&gt;"",AB1572&lt;&gt;"",OR(AA1572=AB1572,AD1572&lt;&gt;""),IF(AE1572="HALLUCINATION",U1572&lt;&gt;"",TRUE))</x:f>
        <x:v>0</x:v>
      </x:c>
      <x:c r="AG1572" t="n">
        <x:f>--AND(N1572=1,AF1572=1,OR(AE1572="SUPPORTED",AE1572="HALLUCINATION"))</x:f>
        <x:v>0</x:v>
      </x:c>
      <x:c r="AH1572" t="n">
        <x:f>--AND(AG1572=1,AE1572="HALLUCINATION")</x:f>
        <x:v>0</x:v>
      </x:c>
      <x:c r="AI1572" t="n">
        <x:f>--AND(Q1572=1,AF1572=1,AE1572="HALLUCINATION")</x:f>
        <x:v>0</x:v>
      </x:c>
      <x:c r="AJ1572" t="n">
        <x:f>--AND(AI1572=1,R1572=1,S1572=1)</x:f>
        <x:v>0</x:v>
      </x:c>
    </x:row>
    <x:row r="1573">
      <x:c r="A1573" s="28"/>
      <x:c r="B1573" s="28"/>
      <x:c r="C1573" s="28"/>
      <x:c r="D1573" s="28"/>
      <x:c r="E1573" s="28"/>
      <x:c r="F1573" s="28"/>
      <x:c r="G1573" s="28"/>
      <x:c r="H1573" s="28"/>
      <x:c r="I1573" s="28"/>
      <x:c r="J1573" s="28"/>
      <x:c r="K1573" s="28"/>
      <x:c r="L1573" s="28"/>
      <x:c r="M1573" s="28"/>
      <x:c r="N1573" s="28"/>
      <x:c r="O1573" s="28"/>
      <x:c r="P1573" s="28"/>
      <x:c r="Q1573" s="28"/>
      <x:c r="R1573" s="28"/>
      <x:c r="S1573" s="28"/>
      <x:c r="T1573" s="28"/>
      <x:c r="U1573" s="28"/>
      <x:c r="V1573" s="28"/>
      <x:c r="W1573" s="43" t="n">
        <x:f>--AND(N1573=1,OR(O1573="SUPPORTED",O1573="HALLUCINATION"))</x:f>
        <x:v>0</x:v>
      </x:c>
      <x:c r="X1573" s="43" t="n">
        <x:f>--AND(W1573=1,O1573="HALLUCINATION")</x:f>
        <x:v>0</x:v>
      </x:c>
      <x:c r="Y1573" s="43" t="n">
        <x:f>--AND(Q1573=1,O1573="HALLUCINATION")</x:f>
        <x:v>0</x:v>
      </x:c>
      <x:c r="Z1573" s="43" t="n">
        <x:f>--AND(Y1573=1,R1573=1,S1573=1)</x:f>
        <x:v>0</x:v>
      </x:c>
      <x:c r="AC1573" t="str">
        <x:f>IF(OR(AA1573="",AB1573=""),"",--(AA1573&lt;&gt;AB1573))</x:f>
      </x:c>
      <x:c r="AE1573" t="str">
        <x:f>IF(OR(AA1573="",AB1573=""),"PENDING_HUMAN",IF(AA1573=AB1573,AA1573,IF(AD1573&lt;&gt;"",AD1573,"PENDING_HUMAN")))</x:f>
        <x:v>PENDING_HUMAN</x:v>
      </x:c>
      <x:c r="AF1573" t="n">
        <x:f>--AND(A1573&lt;&gt;"",AA1573&lt;&gt;"",AB1573&lt;&gt;"",OR(AA1573=AB1573,AD1573&lt;&gt;""),IF(AE1573="HALLUCINATION",U1573&lt;&gt;"",TRUE))</x:f>
        <x:v>0</x:v>
      </x:c>
      <x:c r="AG1573" t="n">
        <x:f>--AND(N1573=1,AF1573=1,OR(AE1573="SUPPORTED",AE1573="HALLUCINATION"))</x:f>
        <x:v>0</x:v>
      </x:c>
      <x:c r="AH1573" t="n">
        <x:f>--AND(AG1573=1,AE1573="HALLUCINATION")</x:f>
        <x:v>0</x:v>
      </x:c>
      <x:c r="AI1573" t="n">
        <x:f>--AND(Q1573=1,AF1573=1,AE1573="HALLUCINATION")</x:f>
        <x:v>0</x:v>
      </x:c>
      <x:c r="AJ1573" t="n">
        <x:f>--AND(AI1573=1,R1573=1,S1573=1)</x:f>
        <x:v>0</x:v>
      </x:c>
    </x:row>
    <x:row r="1574">
      <x:c r="A1574" s="28"/>
      <x:c r="B1574" s="28"/>
      <x:c r="C1574" s="28"/>
      <x:c r="D1574" s="28"/>
      <x:c r="E1574" s="28"/>
      <x:c r="F1574" s="28"/>
      <x:c r="G1574" s="28"/>
      <x:c r="H1574" s="28"/>
      <x:c r="I1574" s="28"/>
      <x:c r="J1574" s="28"/>
      <x:c r="K1574" s="28"/>
      <x:c r="L1574" s="28"/>
      <x:c r="M1574" s="28"/>
      <x:c r="N1574" s="28"/>
      <x:c r="O1574" s="28"/>
      <x:c r="P1574" s="28"/>
      <x:c r="Q1574" s="28"/>
      <x:c r="R1574" s="28"/>
      <x:c r="S1574" s="28"/>
      <x:c r="T1574" s="28"/>
      <x:c r="U1574" s="28"/>
      <x:c r="V1574" s="28"/>
      <x:c r="W1574" s="43" t="n">
        <x:f>--AND(N1574=1,OR(O1574="SUPPORTED",O1574="HALLUCINATION"))</x:f>
        <x:v>0</x:v>
      </x:c>
      <x:c r="X1574" s="43" t="n">
        <x:f>--AND(W1574=1,O1574="HALLUCINATION")</x:f>
        <x:v>0</x:v>
      </x:c>
      <x:c r="Y1574" s="43" t="n">
        <x:f>--AND(Q1574=1,O1574="HALLUCINATION")</x:f>
        <x:v>0</x:v>
      </x:c>
      <x:c r="Z1574" s="43" t="n">
        <x:f>--AND(Y1574=1,R1574=1,S1574=1)</x:f>
        <x:v>0</x:v>
      </x:c>
      <x:c r="AC1574" t="str">
        <x:f>IF(OR(AA1574="",AB1574=""),"",--(AA1574&lt;&gt;AB1574))</x:f>
      </x:c>
      <x:c r="AE1574" t="str">
        <x:f>IF(OR(AA1574="",AB1574=""),"PENDING_HUMAN",IF(AA1574=AB1574,AA1574,IF(AD1574&lt;&gt;"",AD1574,"PENDING_HUMAN")))</x:f>
        <x:v>PENDING_HUMAN</x:v>
      </x:c>
      <x:c r="AF1574" t="n">
        <x:f>--AND(A1574&lt;&gt;"",AA1574&lt;&gt;"",AB1574&lt;&gt;"",OR(AA1574=AB1574,AD1574&lt;&gt;""),IF(AE1574="HALLUCINATION",U1574&lt;&gt;"",TRUE))</x:f>
        <x:v>0</x:v>
      </x:c>
      <x:c r="AG1574" t="n">
        <x:f>--AND(N1574=1,AF1574=1,OR(AE1574="SUPPORTED",AE1574="HALLUCINATION"))</x:f>
        <x:v>0</x:v>
      </x:c>
      <x:c r="AH1574" t="n">
        <x:f>--AND(AG1574=1,AE1574="HALLUCINATION")</x:f>
        <x:v>0</x:v>
      </x:c>
      <x:c r="AI1574" t="n">
        <x:f>--AND(Q1574=1,AF1574=1,AE1574="HALLUCINATION")</x:f>
        <x:v>0</x:v>
      </x:c>
      <x:c r="AJ1574" t="n">
        <x:f>--AND(AI1574=1,R1574=1,S1574=1)</x:f>
        <x:v>0</x:v>
      </x:c>
    </x:row>
    <x:row r="1575">
      <x:c r="A1575" s="28"/>
      <x:c r="B1575" s="28"/>
      <x:c r="C1575" s="28"/>
      <x:c r="D1575" s="28"/>
      <x:c r="E1575" s="28"/>
      <x:c r="F1575" s="28"/>
      <x:c r="G1575" s="28"/>
      <x:c r="H1575" s="28"/>
      <x:c r="I1575" s="28"/>
      <x:c r="J1575" s="28"/>
      <x:c r="K1575" s="28"/>
      <x:c r="L1575" s="28"/>
      <x:c r="M1575" s="28"/>
      <x:c r="N1575" s="28"/>
      <x:c r="O1575" s="28"/>
      <x:c r="P1575" s="28"/>
      <x:c r="Q1575" s="28"/>
      <x:c r="R1575" s="28"/>
      <x:c r="S1575" s="28"/>
      <x:c r="T1575" s="28"/>
      <x:c r="U1575" s="28"/>
      <x:c r="V1575" s="28"/>
      <x:c r="W1575" s="43" t="n">
        <x:f>--AND(N1575=1,OR(O1575="SUPPORTED",O1575="HALLUCINATION"))</x:f>
        <x:v>0</x:v>
      </x:c>
      <x:c r="X1575" s="43" t="n">
        <x:f>--AND(W1575=1,O1575="HALLUCINATION")</x:f>
        <x:v>0</x:v>
      </x:c>
      <x:c r="Y1575" s="43" t="n">
        <x:f>--AND(Q1575=1,O1575="HALLUCINATION")</x:f>
        <x:v>0</x:v>
      </x:c>
      <x:c r="Z1575" s="43" t="n">
        <x:f>--AND(Y1575=1,R1575=1,S1575=1)</x:f>
        <x:v>0</x:v>
      </x:c>
      <x:c r="AC1575" t="str">
        <x:f>IF(OR(AA1575="",AB1575=""),"",--(AA1575&lt;&gt;AB1575))</x:f>
      </x:c>
      <x:c r="AE1575" t="str">
        <x:f>IF(OR(AA1575="",AB1575=""),"PENDING_HUMAN",IF(AA1575=AB1575,AA1575,IF(AD1575&lt;&gt;"",AD1575,"PENDING_HUMAN")))</x:f>
        <x:v>PENDING_HUMAN</x:v>
      </x:c>
      <x:c r="AF1575" t="n">
        <x:f>--AND(A1575&lt;&gt;"",AA1575&lt;&gt;"",AB1575&lt;&gt;"",OR(AA1575=AB1575,AD1575&lt;&gt;""),IF(AE1575="HALLUCINATION",U1575&lt;&gt;"",TRUE))</x:f>
        <x:v>0</x:v>
      </x:c>
      <x:c r="AG1575" t="n">
        <x:f>--AND(N1575=1,AF1575=1,OR(AE1575="SUPPORTED",AE1575="HALLUCINATION"))</x:f>
        <x:v>0</x:v>
      </x:c>
      <x:c r="AH1575" t="n">
        <x:f>--AND(AG1575=1,AE1575="HALLUCINATION")</x:f>
        <x:v>0</x:v>
      </x:c>
      <x:c r="AI1575" t="n">
        <x:f>--AND(Q1575=1,AF1575=1,AE1575="HALLUCINATION")</x:f>
        <x:v>0</x:v>
      </x:c>
      <x:c r="AJ1575" t="n">
        <x:f>--AND(AI1575=1,R1575=1,S1575=1)</x:f>
        <x:v>0</x:v>
      </x:c>
    </x:row>
    <x:row r="1576">
      <x:c r="A1576" s="28"/>
      <x:c r="B1576" s="28"/>
      <x:c r="C1576" s="28"/>
      <x:c r="D1576" s="28"/>
      <x:c r="E1576" s="28"/>
      <x:c r="F1576" s="28"/>
      <x:c r="G1576" s="28"/>
      <x:c r="H1576" s="28"/>
      <x:c r="I1576" s="28"/>
      <x:c r="J1576" s="28"/>
      <x:c r="K1576" s="28"/>
      <x:c r="L1576" s="28"/>
      <x:c r="M1576" s="28"/>
      <x:c r="N1576" s="28"/>
      <x:c r="O1576" s="28"/>
      <x:c r="P1576" s="28"/>
      <x:c r="Q1576" s="28"/>
      <x:c r="R1576" s="28"/>
      <x:c r="S1576" s="28"/>
      <x:c r="T1576" s="28"/>
      <x:c r="U1576" s="28"/>
      <x:c r="V1576" s="28"/>
      <x:c r="W1576" s="43" t="n">
        <x:f>--AND(N1576=1,OR(O1576="SUPPORTED",O1576="HALLUCINATION"))</x:f>
        <x:v>0</x:v>
      </x:c>
      <x:c r="X1576" s="43" t="n">
        <x:f>--AND(W1576=1,O1576="HALLUCINATION")</x:f>
        <x:v>0</x:v>
      </x:c>
      <x:c r="Y1576" s="43" t="n">
        <x:f>--AND(Q1576=1,O1576="HALLUCINATION")</x:f>
        <x:v>0</x:v>
      </x:c>
      <x:c r="Z1576" s="43" t="n">
        <x:f>--AND(Y1576=1,R1576=1,S1576=1)</x:f>
        <x:v>0</x:v>
      </x:c>
      <x:c r="AC1576" t="str">
        <x:f>IF(OR(AA1576="",AB1576=""),"",--(AA1576&lt;&gt;AB1576))</x:f>
      </x:c>
      <x:c r="AE1576" t="str">
        <x:f>IF(OR(AA1576="",AB1576=""),"PENDING_HUMAN",IF(AA1576=AB1576,AA1576,IF(AD1576&lt;&gt;"",AD1576,"PENDING_HUMAN")))</x:f>
        <x:v>PENDING_HUMAN</x:v>
      </x:c>
      <x:c r="AF1576" t="n">
        <x:f>--AND(A1576&lt;&gt;"",AA1576&lt;&gt;"",AB1576&lt;&gt;"",OR(AA1576=AB1576,AD1576&lt;&gt;""),IF(AE1576="HALLUCINATION",U1576&lt;&gt;"",TRUE))</x:f>
        <x:v>0</x:v>
      </x:c>
      <x:c r="AG1576" t="n">
        <x:f>--AND(N1576=1,AF1576=1,OR(AE1576="SUPPORTED",AE1576="HALLUCINATION"))</x:f>
        <x:v>0</x:v>
      </x:c>
      <x:c r="AH1576" t="n">
        <x:f>--AND(AG1576=1,AE1576="HALLUCINATION")</x:f>
        <x:v>0</x:v>
      </x:c>
      <x:c r="AI1576" t="n">
        <x:f>--AND(Q1576=1,AF1576=1,AE1576="HALLUCINATION")</x:f>
        <x:v>0</x:v>
      </x:c>
      <x:c r="AJ1576" t="n">
        <x:f>--AND(AI1576=1,R1576=1,S1576=1)</x:f>
        <x:v>0</x:v>
      </x:c>
    </x:row>
    <x:row r="1577">
      <x:c r="A1577" s="28"/>
      <x:c r="B1577" s="28"/>
      <x:c r="C1577" s="28"/>
      <x:c r="D1577" s="28"/>
      <x:c r="E1577" s="28"/>
      <x:c r="F1577" s="28"/>
      <x:c r="G1577" s="28"/>
      <x:c r="H1577" s="28"/>
      <x:c r="I1577" s="28"/>
      <x:c r="J1577" s="28"/>
      <x:c r="K1577" s="28"/>
      <x:c r="L1577" s="28"/>
      <x:c r="M1577" s="28"/>
      <x:c r="N1577" s="28"/>
      <x:c r="O1577" s="28"/>
      <x:c r="P1577" s="28"/>
      <x:c r="Q1577" s="28"/>
      <x:c r="R1577" s="28"/>
      <x:c r="S1577" s="28"/>
      <x:c r="T1577" s="28"/>
      <x:c r="U1577" s="28"/>
      <x:c r="V1577" s="28"/>
      <x:c r="W1577" s="43" t="n">
        <x:f>--AND(N1577=1,OR(O1577="SUPPORTED",O1577="HALLUCINATION"))</x:f>
        <x:v>0</x:v>
      </x:c>
      <x:c r="X1577" s="43" t="n">
        <x:f>--AND(W1577=1,O1577="HALLUCINATION")</x:f>
        <x:v>0</x:v>
      </x:c>
      <x:c r="Y1577" s="43" t="n">
        <x:f>--AND(Q1577=1,O1577="HALLUCINATION")</x:f>
        <x:v>0</x:v>
      </x:c>
      <x:c r="Z1577" s="43" t="n">
        <x:f>--AND(Y1577=1,R1577=1,S1577=1)</x:f>
        <x:v>0</x:v>
      </x:c>
      <x:c r="AC1577" t="str">
        <x:f>IF(OR(AA1577="",AB1577=""),"",--(AA1577&lt;&gt;AB1577))</x:f>
      </x:c>
      <x:c r="AE1577" t="str">
        <x:f>IF(OR(AA1577="",AB1577=""),"PENDING_HUMAN",IF(AA1577=AB1577,AA1577,IF(AD1577&lt;&gt;"",AD1577,"PENDING_HUMAN")))</x:f>
        <x:v>PENDING_HUMAN</x:v>
      </x:c>
      <x:c r="AF1577" t="n">
        <x:f>--AND(A1577&lt;&gt;"",AA1577&lt;&gt;"",AB1577&lt;&gt;"",OR(AA1577=AB1577,AD1577&lt;&gt;""),IF(AE1577="HALLUCINATION",U1577&lt;&gt;"",TRUE))</x:f>
        <x:v>0</x:v>
      </x:c>
      <x:c r="AG1577" t="n">
        <x:f>--AND(N1577=1,AF1577=1,OR(AE1577="SUPPORTED",AE1577="HALLUCINATION"))</x:f>
        <x:v>0</x:v>
      </x:c>
      <x:c r="AH1577" t="n">
        <x:f>--AND(AG1577=1,AE1577="HALLUCINATION")</x:f>
        <x:v>0</x:v>
      </x:c>
      <x:c r="AI1577" t="n">
        <x:f>--AND(Q1577=1,AF1577=1,AE1577="HALLUCINATION")</x:f>
        <x:v>0</x:v>
      </x:c>
      <x:c r="AJ1577" t="n">
        <x:f>--AND(AI1577=1,R1577=1,S1577=1)</x:f>
        <x:v>0</x:v>
      </x:c>
    </x:row>
    <x:row r="1578">
      <x:c r="A1578" s="28"/>
      <x:c r="B1578" s="28"/>
      <x:c r="C1578" s="28"/>
      <x:c r="D1578" s="28"/>
      <x:c r="E1578" s="28"/>
      <x:c r="F1578" s="28"/>
      <x:c r="G1578" s="28"/>
      <x:c r="H1578" s="28"/>
      <x:c r="I1578" s="28"/>
      <x:c r="J1578" s="28"/>
      <x:c r="K1578" s="28"/>
      <x:c r="L1578" s="28"/>
      <x:c r="M1578" s="28"/>
      <x:c r="N1578" s="28"/>
      <x:c r="O1578" s="28"/>
      <x:c r="P1578" s="28"/>
      <x:c r="Q1578" s="28"/>
      <x:c r="R1578" s="28"/>
      <x:c r="S1578" s="28"/>
      <x:c r="T1578" s="28"/>
      <x:c r="U1578" s="28"/>
      <x:c r="V1578" s="28"/>
      <x:c r="W1578" s="43" t="n">
        <x:f>--AND(N1578=1,OR(O1578="SUPPORTED",O1578="HALLUCINATION"))</x:f>
        <x:v>0</x:v>
      </x:c>
      <x:c r="X1578" s="43" t="n">
        <x:f>--AND(W1578=1,O1578="HALLUCINATION")</x:f>
        <x:v>0</x:v>
      </x:c>
      <x:c r="Y1578" s="43" t="n">
        <x:f>--AND(Q1578=1,O1578="HALLUCINATION")</x:f>
        <x:v>0</x:v>
      </x:c>
      <x:c r="Z1578" s="43" t="n">
        <x:f>--AND(Y1578=1,R1578=1,S1578=1)</x:f>
        <x:v>0</x:v>
      </x:c>
      <x:c r="AC1578" t="str">
        <x:f>IF(OR(AA1578="",AB1578=""),"",--(AA1578&lt;&gt;AB1578))</x:f>
      </x:c>
      <x:c r="AE1578" t="str">
        <x:f>IF(OR(AA1578="",AB1578=""),"PENDING_HUMAN",IF(AA1578=AB1578,AA1578,IF(AD1578&lt;&gt;"",AD1578,"PENDING_HUMAN")))</x:f>
        <x:v>PENDING_HUMAN</x:v>
      </x:c>
      <x:c r="AF1578" t="n">
        <x:f>--AND(A1578&lt;&gt;"",AA1578&lt;&gt;"",AB1578&lt;&gt;"",OR(AA1578=AB1578,AD1578&lt;&gt;""),IF(AE1578="HALLUCINATION",U1578&lt;&gt;"",TRUE))</x:f>
        <x:v>0</x:v>
      </x:c>
      <x:c r="AG1578" t="n">
        <x:f>--AND(N1578=1,AF1578=1,OR(AE1578="SUPPORTED",AE1578="HALLUCINATION"))</x:f>
        <x:v>0</x:v>
      </x:c>
      <x:c r="AH1578" t="n">
        <x:f>--AND(AG1578=1,AE1578="HALLUCINATION")</x:f>
        <x:v>0</x:v>
      </x:c>
      <x:c r="AI1578" t="n">
        <x:f>--AND(Q1578=1,AF1578=1,AE1578="HALLUCINATION")</x:f>
        <x:v>0</x:v>
      </x:c>
      <x:c r="AJ1578" t="n">
        <x:f>--AND(AI1578=1,R1578=1,S1578=1)</x:f>
        <x:v>0</x:v>
      </x:c>
    </x:row>
    <x:row r="1579">
      <x:c r="A1579" s="28"/>
      <x:c r="B1579" s="28"/>
      <x:c r="C1579" s="28"/>
      <x:c r="D1579" s="28"/>
      <x:c r="E1579" s="28"/>
      <x:c r="F1579" s="28"/>
      <x:c r="G1579" s="28"/>
      <x:c r="H1579" s="28"/>
      <x:c r="I1579" s="28"/>
      <x:c r="J1579" s="28"/>
      <x:c r="K1579" s="28"/>
      <x:c r="L1579" s="28"/>
      <x:c r="M1579" s="28"/>
      <x:c r="N1579" s="28"/>
      <x:c r="O1579" s="28"/>
      <x:c r="P1579" s="28"/>
      <x:c r="Q1579" s="28"/>
      <x:c r="R1579" s="28"/>
      <x:c r="S1579" s="28"/>
      <x:c r="T1579" s="28"/>
      <x:c r="U1579" s="28"/>
      <x:c r="V1579" s="28"/>
      <x:c r="W1579" s="43" t="n">
        <x:f>--AND(N1579=1,OR(O1579="SUPPORTED",O1579="HALLUCINATION"))</x:f>
        <x:v>0</x:v>
      </x:c>
      <x:c r="X1579" s="43" t="n">
        <x:f>--AND(W1579=1,O1579="HALLUCINATION")</x:f>
        <x:v>0</x:v>
      </x:c>
      <x:c r="Y1579" s="43" t="n">
        <x:f>--AND(Q1579=1,O1579="HALLUCINATION")</x:f>
        <x:v>0</x:v>
      </x:c>
      <x:c r="Z1579" s="43" t="n">
        <x:f>--AND(Y1579=1,R1579=1,S1579=1)</x:f>
        <x:v>0</x:v>
      </x:c>
      <x:c r="AC1579" t="str">
        <x:f>IF(OR(AA1579="",AB1579=""),"",--(AA1579&lt;&gt;AB1579))</x:f>
      </x:c>
      <x:c r="AE1579" t="str">
        <x:f>IF(OR(AA1579="",AB1579=""),"PENDING_HUMAN",IF(AA1579=AB1579,AA1579,IF(AD1579&lt;&gt;"",AD1579,"PENDING_HUMAN")))</x:f>
        <x:v>PENDING_HUMAN</x:v>
      </x:c>
      <x:c r="AF1579" t="n">
        <x:f>--AND(A1579&lt;&gt;"",AA1579&lt;&gt;"",AB1579&lt;&gt;"",OR(AA1579=AB1579,AD1579&lt;&gt;""),IF(AE1579="HALLUCINATION",U1579&lt;&gt;"",TRUE))</x:f>
        <x:v>0</x:v>
      </x:c>
      <x:c r="AG1579" t="n">
        <x:f>--AND(N1579=1,AF1579=1,OR(AE1579="SUPPORTED",AE1579="HALLUCINATION"))</x:f>
        <x:v>0</x:v>
      </x:c>
      <x:c r="AH1579" t="n">
        <x:f>--AND(AG1579=1,AE1579="HALLUCINATION")</x:f>
        <x:v>0</x:v>
      </x:c>
      <x:c r="AI1579" t="n">
        <x:f>--AND(Q1579=1,AF1579=1,AE1579="HALLUCINATION")</x:f>
        <x:v>0</x:v>
      </x:c>
      <x:c r="AJ1579" t="n">
        <x:f>--AND(AI1579=1,R1579=1,S1579=1)</x:f>
        <x:v>0</x:v>
      </x:c>
    </x:row>
    <x:row r="1580">
      <x:c r="A1580" s="28"/>
      <x:c r="B1580" s="28"/>
      <x:c r="C1580" s="28"/>
      <x:c r="D1580" s="28"/>
      <x:c r="E1580" s="28"/>
      <x:c r="F1580" s="28"/>
      <x:c r="G1580" s="28"/>
      <x:c r="H1580" s="28"/>
      <x:c r="I1580" s="28"/>
      <x:c r="J1580" s="28"/>
      <x:c r="K1580" s="28"/>
      <x:c r="L1580" s="28"/>
      <x:c r="M1580" s="28"/>
      <x:c r="N1580" s="28"/>
      <x:c r="O1580" s="28"/>
      <x:c r="P1580" s="28"/>
      <x:c r="Q1580" s="28"/>
      <x:c r="R1580" s="28"/>
      <x:c r="S1580" s="28"/>
      <x:c r="T1580" s="28"/>
      <x:c r="U1580" s="28"/>
      <x:c r="V1580" s="28"/>
      <x:c r="W1580" s="43" t="n">
        <x:f>--AND(N1580=1,OR(O1580="SUPPORTED",O1580="HALLUCINATION"))</x:f>
        <x:v>0</x:v>
      </x:c>
      <x:c r="X1580" s="43" t="n">
        <x:f>--AND(W1580=1,O1580="HALLUCINATION")</x:f>
        <x:v>0</x:v>
      </x:c>
      <x:c r="Y1580" s="43" t="n">
        <x:f>--AND(Q1580=1,O1580="HALLUCINATION")</x:f>
        <x:v>0</x:v>
      </x:c>
      <x:c r="Z1580" s="43" t="n">
        <x:f>--AND(Y1580=1,R1580=1,S1580=1)</x:f>
        <x:v>0</x:v>
      </x:c>
      <x:c r="AC1580" t="str">
        <x:f>IF(OR(AA1580="",AB1580=""),"",--(AA1580&lt;&gt;AB1580))</x:f>
      </x:c>
      <x:c r="AE1580" t="str">
        <x:f>IF(OR(AA1580="",AB1580=""),"PENDING_HUMAN",IF(AA1580=AB1580,AA1580,IF(AD1580&lt;&gt;"",AD1580,"PENDING_HUMAN")))</x:f>
        <x:v>PENDING_HUMAN</x:v>
      </x:c>
      <x:c r="AF1580" t="n">
        <x:f>--AND(A1580&lt;&gt;"",AA1580&lt;&gt;"",AB1580&lt;&gt;"",OR(AA1580=AB1580,AD1580&lt;&gt;""),IF(AE1580="HALLUCINATION",U1580&lt;&gt;"",TRUE))</x:f>
        <x:v>0</x:v>
      </x:c>
      <x:c r="AG1580" t="n">
        <x:f>--AND(N1580=1,AF1580=1,OR(AE1580="SUPPORTED",AE1580="HALLUCINATION"))</x:f>
        <x:v>0</x:v>
      </x:c>
      <x:c r="AH1580" t="n">
        <x:f>--AND(AG1580=1,AE1580="HALLUCINATION")</x:f>
        <x:v>0</x:v>
      </x:c>
      <x:c r="AI1580" t="n">
        <x:f>--AND(Q1580=1,AF1580=1,AE1580="HALLUCINATION")</x:f>
        <x:v>0</x:v>
      </x:c>
      <x:c r="AJ1580" t="n">
        <x:f>--AND(AI1580=1,R1580=1,S1580=1)</x:f>
        <x:v>0</x:v>
      </x:c>
    </x:row>
    <x:row r="1581">
      <x:c r="A1581" s="28"/>
      <x:c r="B1581" s="28"/>
      <x:c r="C1581" s="28"/>
      <x:c r="D1581" s="28"/>
      <x:c r="E1581" s="28"/>
      <x:c r="F1581" s="28"/>
      <x:c r="G1581" s="28"/>
      <x:c r="H1581" s="28"/>
      <x:c r="I1581" s="28"/>
      <x:c r="J1581" s="28"/>
      <x:c r="K1581" s="28"/>
      <x:c r="L1581" s="28"/>
      <x:c r="M1581" s="28"/>
      <x:c r="N1581" s="28"/>
      <x:c r="O1581" s="28"/>
      <x:c r="P1581" s="28"/>
      <x:c r="Q1581" s="28"/>
      <x:c r="R1581" s="28"/>
      <x:c r="S1581" s="28"/>
      <x:c r="T1581" s="28"/>
      <x:c r="U1581" s="28"/>
      <x:c r="V1581" s="28"/>
      <x:c r="W1581" s="43" t="n">
        <x:f>--AND(N1581=1,OR(O1581="SUPPORTED",O1581="HALLUCINATION"))</x:f>
        <x:v>0</x:v>
      </x:c>
      <x:c r="X1581" s="43" t="n">
        <x:f>--AND(W1581=1,O1581="HALLUCINATION")</x:f>
        <x:v>0</x:v>
      </x:c>
      <x:c r="Y1581" s="43" t="n">
        <x:f>--AND(Q1581=1,O1581="HALLUCINATION")</x:f>
        <x:v>0</x:v>
      </x:c>
      <x:c r="Z1581" s="43" t="n">
        <x:f>--AND(Y1581=1,R1581=1,S1581=1)</x:f>
        <x:v>0</x:v>
      </x:c>
      <x:c r="AC1581" t="str">
        <x:f>IF(OR(AA1581="",AB1581=""),"",--(AA1581&lt;&gt;AB1581))</x:f>
      </x:c>
      <x:c r="AE1581" t="str">
        <x:f>IF(OR(AA1581="",AB1581=""),"PENDING_HUMAN",IF(AA1581=AB1581,AA1581,IF(AD1581&lt;&gt;"",AD1581,"PENDING_HUMAN")))</x:f>
        <x:v>PENDING_HUMAN</x:v>
      </x:c>
      <x:c r="AF1581" t="n">
        <x:f>--AND(A1581&lt;&gt;"",AA1581&lt;&gt;"",AB1581&lt;&gt;"",OR(AA1581=AB1581,AD1581&lt;&gt;""),IF(AE1581="HALLUCINATION",U1581&lt;&gt;"",TRUE))</x:f>
        <x:v>0</x:v>
      </x:c>
      <x:c r="AG1581" t="n">
        <x:f>--AND(N1581=1,AF1581=1,OR(AE1581="SUPPORTED",AE1581="HALLUCINATION"))</x:f>
        <x:v>0</x:v>
      </x:c>
      <x:c r="AH1581" t="n">
        <x:f>--AND(AG1581=1,AE1581="HALLUCINATION")</x:f>
        <x:v>0</x:v>
      </x:c>
      <x:c r="AI1581" t="n">
        <x:f>--AND(Q1581=1,AF1581=1,AE1581="HALLUCINATION")</x:f>
        <x:v>0</x:v>
      </x:c>
      <x:c r="AJ1581" t="n">
        <x:f>--AND(AI1581=1,R1581=1,S1581=1)</x:f>
        <x:v>0</x:v>
      </x:c>
    </x:row>
    <x:row r="1582">
      <x:c r="A1582" s="28"/>
      <x:c r="B1582" s="28"/>
      <x:c r="C1582" s="28"/>
      <x:c r="D1582" s="28"/>
      <x:c r="E1582" s="28"/>
      <x:c r="F1582" s="28"/>
      <x:c r="G1582" s="28"/>
      <x:c r="H1582" s="28"/>
      <x:c r="I1582" s="28"/>
      <x:c r="J1582" s="28"/>
      <x:c r="K1582" s="28"/>
      <x:c r="L1582" s="28"/>
      <x:c r="M1582" s="28"/>
      <x:c r="N1582" s="28"/>
      <x:c r="O1582" s="28"/>
      <x:c r="P1582" s="28"/>
      <x:c r="Q1582" s="28"/>
      <x:c r="R1582" s="28"/>
      <x:c r="S1582" s="28"/>
      <x:c r="T1582" s="28"/>
      <x:c r="U1582" s="28"/>
      <x:c r="V1582" s="28"/>
      <x:c r="W1582" s="43" t="n">
        <x:f>--AND(N1582=1,OR(O1582="SUPPORTED",O1582="HALLUCINATION"))</x:f>
        <x:v>0</x:v>
      </x:c>
      <x:c r="X1582" s="43" t="n">
        <x:f>--AND(W1582=1,O1582="HALLUCINATION")</x:f>
        <x:v>0</x:v>
      </x:c>
      <x:c r="Y1582" s="43" t="n">
        <x:f>--AND(Q1582=1,O1582="HALLUCINATION")</x:f>
        <x:v>0</x:v>
      </x:c>
      <x:c r="Z1582" s="43" t="n">
        <x:f>--AND(Y1582=1,R1582=1,S1582=1)</x:f>
        <x:v>0</x:v>
      </x:c>
      <x:c r="AC1582" t="str">
        <x:f>IF(OR(AA1582="",AB1582=""),"",--(AA1582&lt;&gt;AB1582))</x:f>
      </x:c>
      <x:c r="AE1582" t="str">
        <x:f>IF(OR(AA1582="",AB1582=""),"PENDING_HUMAN",IF(AA1582=AB1582,AA1582,IF(AD1582&lt;&gt;"",AD1582,"PENDING_HUMAN")))</x:f>
        <x:v>PENDING_HUMAN</x:v>
      </x:c>
      <x:c r="AF1582" t="n">
        <x:f>--AND(A1582&lt;&gt;"",AA1582&lt;&gt;"",AB1582&lt;&gt;"",OR(AA1582=AB1582,AD1582&lt;&gt;""),IF(AE1582="HALLUCINATION",U1582&lt;&gt;"",TRUE))</x:f>
        <x:v>0</x:v>
      </x:c>
      <x:c r="AG1582" t="n">
        <x:f>--AND(N1582=1,AF1582=1,OR(AE1582="SUPPORTED",AE1582="HALLUCINATION"))</x:f>
        <x:v>0</x:v>
      </x:c>
      <x:c r="AH1582" t="n">
        <x:f>--AND(AG1582=1,AE1582="HALLUCINATION")</x:f>
        <x:v>0</x:v>
      </x:c>
      <x:c r="AI1582" t="n">
        <x:f>--AND(Q1582=1,AF1582=1,AE1582="HALLUCINATION")</x:f>
        <x:v>0</x:v>
      </x:c>
      <x:c r="AJ1582" t="n">
        <x:f>--AND(AI1582=1,R1582=1,S1582=1)</x:f>
        <x:v>0</x:v>
      </x:c>
    </x:row>
    <x:row r="1583">
      <x:c r="A1583" s="28"/>
      <x:c r="B1583" s="28"/>
      <x:c r="C1583" s="28"/>
      <x:c r="D1583" s="28"/>
      <x:c r="E1583" s="28"/>
      <x:c r="F1583" s="28"/>
      <x:c r="G1583" s="28"/>
      <x:c r="H1583" s="28"/>
      <x:c r="I1583" s="28"/>
      <x:c r="J1583" s="28"/>
      <x:c r="K1583" s="28"/>
      <x:c r="L1583" s="28"/>
      <x:c r="M1583" s="28"/>
      <x:c r="N1583" s="28"/>
      <x:c r="O1583" s="28"/>
      <x:c r="P1583" s="28"/>
      <x:c r="Q1583" s="28"/>
      <x:c r="R1583" s="28"/>
      <x:c r="S1583" s="28"/>
      <x:c r="T1583" s="28"/>
      <x:c r="U1583" s="28"/>
      <x:c r="V1583" s="28"/>
      <x:c r="W1583" s="43" t="n">
        <x:f>--AND(N1583=1,OR(O1583="SUPPORTED",O1583="HALLUCINATION"))</x:f>
        <x:v>0</x:v>
      </x:c>
      <x:c r="X1583" s="43" t="n">
        <x:f>--AND(W1583=1,O1583="HALLUCINATION")</x:f>
        <x:v>0</x:v>
      </x:c>
      <x:c r="Y1583" s="43" t="n">
        <x:f>--AND(Q1583=1,O1583="HALLUCINATION")</x:f>
        <x:v>0</x:v>
      </x:c>
      <x:c r="Z1583" s="43" t="n">
        <x:f>--AND(Y1583=1,R1583=1,S1583=1)</x:f>
        <x:v>0</x:v>
      </x:c>
      <x:c r="AC1583" t="str">
        <x:f>IF(OR(AA1583="",AB1583=""),"",--(AA1583&lt;&gt;AB1583))</x:f>
      </x:c>
      <x:c r="AE1583" t="str">
        <x:f>IF(OR(AA1583="",AB1583=""),"PENDING_HUMAN",IF(AA1583=AB1583,AA1583,IF(AD1583&lt;&gt;"",AD1583,"PENDING_HUMAN")))</x:f>
        <x:v>PENDING_HUMAN</x:v>
      </x:c>
      <x:c r="AF1583" t="n">
        <x:f>--AND(A1583&lt;&gt;"",AA1583&lt;&gt;"",AB1583&lt;&gt;"",OR(AA1583=AB1583,AD1583&lt;&gt;""),IF(AE1583="HALLUCINATION",U1583&lt;&gt;"",TRUE))</x:f>
        <x:v>0</x:v>
      </x:c>
      <x:c r="AG1583" t="n">
        <x:f>--AND(N1583=1,AF1583=1,OR(AE1583="SUPPORTED",AE1583="HALLUCINATION"))</x:f>
        <x:v>0</x:v>
      </x:c>
      <x:c r="AH1583" t="n">
        <x:f>--AND(AG1583=1,AE1583="HALLUCINATION")</x:f>
        <x:v>0</x:v>
      </x:c>
      <x:c r="AI1583" t="n">
        <x:f>--AND(Q1583=1,AF1583=1,AE1583="HALLUCINATION")</x:f>
        <x:v>0</x:v>
      </x:c>
      <x:c r="AJ1583" t="n">
        <x:f>--AND(AI1583=1,R1583=1,S1583=1)</x:f>
        <x:v>0</x:v>
      </x:c>
    </x:row>
    <x:row r="1584">
      <x:c r="A1584" s="28"/>
      <x:c r="B1584" s="28"/>
      <x:c r="C1584" s="28"/>
      <x:c r="D1584" s="28"/>
      <x:c r="E1584" s="28"/>
      <x:c r="F1584" s="28"/>
      <x:c r="G1584" s="28"/>
      <x:c r="H1584" s="28"/>
      <x:c r="I1584" s="28"/>
      <x:c r="J1584" s="28"/>
      <x:c r="K1584" s="28"/>
      <x:c r="L1584" s="28"/>
      <x:c r="M1584" s="28"/>
      <x:c r="N1584" s="28"/>
      <x:c r="O1584" s="28"/>
      <x:c r="P1584" s="28"/>
      <x:c r="Q1584" s="28"/>
      <x:c r="R1584" s="28"/>
      <x:c r="S1584" s="28"/>
      <x:c r="T1584" s="28"/>
      <x:c r="U1584" s="28"/>
      <x:c r="V1584" s="28"/>
      <x:c r="W1584" s="43" t="n">
        <x:f>--AND(N1584=1,OR(O1584="SUPPORTED",O1584="HALLUCINATION"))</x:f>
        <x:v>0</x:v>
      </x:c>
      <x:c r="X1584" s="43" t="n">
        <x:f>--AND(W1584=1,O1584="HALLUCINATION")</x:f>
        <x:v>0</x:v>
      </x:c>
      <x:c r="Y1584" s="43" t="n">
        <x:f>--AND(Q1584=1,O1584="HALLUCINATION")</x:f>
        <x:v>0</x:v>
      </x:c>
      <x:c r="Z1584" s="43" t="n">
        <x:f>--AND(Y1584=1,R1584=1,S1584=1)</x:f>
        <x:v>0</x:v>
      </x:c>
      <x:c r="AC1584" t="str">
        <x:f>IF(OR(AA1584="",AB1584=""),"",--(AA1584&lt;&gt;AB1584))</x:f>
      </x:c>
      <x:c r="AE1584" t="str">
        <x:f>IF(OR(AA1584="",AB1584=""),"PENDING_HUMAN",IF(AA1584=AB1584,AA1584,IF(AD1584&lt;&gt;"",AD1584,"PENDING_HUMAN")))</x:f>
        <x:v>PENDING_HUMAN</x:v>
      </x:c>
      <x:c r="AF1584" t="n">
        <x:f>--AND(A1584&lt;&gt;"",AA1584&lt;&gt;"",AB1584&lt;&gt;"",OR(AA1584=AB1584,AD1584&lt;&gt;""),IF(AE1584="HALLUCINATION",U1584&lt;&gt;"",TRUE))</x:f>
        <x:v>0</x:v>
      </x:c>
      <x:c r="AG1584" t="n">
        <x:f>--AND(N1584=1,AF1584=1,OR(AE1584="SUPPORTED",AE1584="HALLUCINATION"))</x:f>
        <x:v>0</x:v>
      </x:c>
      <x:c r="AH1584" t="n">
        <x:f>--AND(AG1584=1,AE1584="HALLUCINATION")</x:f>
        <x:v>0</x:v>
      </x:c>
      <x:c r="AI1584" t="n">
        <x:f>--AND(Q1584=1,AF1584=1,AE1584="HALLUCINATION")</x:f>
        <x:v>0</x:v>
      </x:c>
      <x:c r="AJ1584" t="n">
        <x:f>--AND(AI1584=1,R1584=1,S1584=1)</x:f>
        <x:v>0</x:v>
      </x:c>
    </x:row>
    <x:row r="1585">
      <x:c r="A1585" s="28"/>
      <x:c r="B1585" s="28"/>
      <x:c r="C1585" s="28"/>
      <x:c r="D1585" s="28"/>
      <x:c r="E1585" s="28"/>
      <x:c r="F1585" s="28"/>
      <x:c r="G1585" s="28"/>
      <x:c r="H1585" s="28"/>
      <x:c r="I1585" s="28"/>
      <x:c r="J1585" s="28"/>
      <x:c r="K1585" s="28"/>
      <x:c r="L1585" s="28"/>
      <x:c r="M1585" s="28"/>
      <x:c r="N1585" s="28"/>
      <x:c r="O1585" s="28"/>
      <x:c r="P1585" s="28"/>
      <x:c r="Q1585" s="28"/>
      <x:c r="R1585" s="28"/>
      <x:c r="S1585" s="28"/>
      <x:c r="T1585" s="28"/>
      <x:c r="U1585" s="28"/>
      <x:c r="V1585" s="28"/>
      <x:c r="W1585" s="43" t="n">
        <x:f>--AND(N1585=1,OR(O1585="SUPPORTED",O1585="HALLUCINATION"))</x:f>
        <x:v>0</x:v>
      </x:c>
      <x:c r="X1585" s="43" t="n">
        <x:f>--AND(W1585=1,O1585="HALLUCINATION")</x:f>
        <x:v>0</x:v>
      </x:c>
      <x:c r="Y1585" s="43" t="n">
        <x:f>--AND(Q1585=1,O1585="HALLUCINATION")</x:f>
        <x:v>0</x:v>
      </x:c>
      <x:c r="Z1585" s="43" t="n">
        <x:f>--AND(Y1585=1,R1585=1,S1585=1)</x:f>
        <x:v>0</x:v>
      </x:c>
      <x:c r="AC1585" t="str">
        <x:f>IF(OR(AA1585="",AB1585=""),"",--(AA1585&lt;&gt;AB1585))</x:f>
      </x:c>
      <x:c r="AE1585" t="str">
        <x:f>IF(OR(AA1585="",AB1585=""),"PENDING_HUMAN",IF(AA1585=AB1585,AA1585,IF(AD1585&lt;&gt;"",AD1585,"PENDING_HUMAN")))</x:f>
        <x:v>PENDING_HUMAN</x:v>
      </x:c>
      <x:c r="AF1585" t="n">
        <x:f>--AND(A1585&lt;&gt;"",AA1585&lt;&gt;"",AB1585&lt;&gt;"",OR(AA1585=AB1585,AD1585&lt;&gt;""),IF(AE1585="HALLUCINATION",U1585&lt;&gt;"",TRUE))</x:f>
        <x:v>0</x:v>
      </x:c>
      <x:c r="AG1585" t="n">
        <x:f>--AND(N1585=1,AF1585=1,OR(AE1585="SUPPORTED",AE1585="HALLUCINATION"))</x:f>
        <x:v>0</x:v>
      </x:c>
      <x:c r="AH1585" t="n">
        <x:f>--AND(AG1585=1,AE1585="HALLUCINATION")</x:f>
        <x:v>0</x:v>
      </x:c>
      <x:c r="AI1585" t="n">
        <x:f>--AND(Q1585=1,AF1585=1,AE1585="HALLUCINATION")</x:f>
        <x:v>0</x:v>
      </x:c>
      <x:c r="AJ1585" t="n">
        <x:f>--AND(AI1585=1,R1585=1,S1585=1)</x:f>
        <x:v>0</x:v>
      </x:c>
    </x:row>
    <x:row r="1586">
      <x:c r="A1586" s="28"/>
      <x:c r="B1586" s="28"/>
      <x:c r="C1586" s="28"/>
      <x:c r="D1586" s="28"/>
      <x:c r="E1586" s="28"/>
      <x:c r="F1586" s="28"/>
      <x:c r="G1586" s="28"/>
      <x:c r="H1586" s="28"/>
      <x:c r="I1586" s="28"/>
      <x:c r="J1586" s="28"/>
      <x:c r="K1586" s="28"/>
      <x:c r="L1586" s="28"/>
      <x:c r="M1586" s="28"/>
      <x:c r="N1586" s="28"/>
      <x:c r="O1586" s="28"/>
      <x:c r="P1586" s="28"/>
      <x:c r="Q1586" s="28"/>
      <x:c r="R1586" s="28"/>
      <x:c r="S1586" s="28"/>
      <x:c r="T1586" s="28"/>
      <x:c r="U1586" s="28"/>
      <x:c r="V1586" s="28"/>
      <x:c r="W1586" s="43" t="n">
        <x:f>--AND(N1586=1,OR(O1586="SUPPORTED",O1586="HALLUCINATION"))</x:f>
        <x:v>0</x:v>
      </x:c>
      <x:c r="X1586" s="43" t="n">
        <x:f>--AND(W1586=1,O1586="HALLUCINATION")</x:f>
        <x:v>0</x:v>
      </x:c>
      <x:c r="Y1586" s="43" t="n">
        <x:f>--AND(Q1586=1,O1586="HALLUCINATION")</x:f>
        <x:v>0</x:v>
      </x:c>
      <x:c r="Z1586" s="43" t="n">
        <x:f>--AND(Y1586=1,R1586=1,S1586=1)</x:f>
        <x:v>0</x:v>
      </x:c>
      <x:c r="AC1586" t="str">
        <x:f>IF(OR(AA1586="",AB1586=""),"",--(AA1586&lt;&gt;AB1586))</x:f>
      </x:c>
      <x:c r="AE1586" t="str">
        <x:f>IF(OR(AA1586="",AB1586=""),"PENDING_HUMAN",IF(AA1586=AB1586,AA1586,IF(AD1586&lt;&gt;"",AD1586,"PENDING_HUMAN")))</x:f>
        <x:v>PENDING_HUMAN</x:v>
      </x:c>
      <x:c r="AF1586" t="n">
        <x:f>--AND(A1586&lt;&gt;"",AA1586&lt;&gt;"",AB1586&lt;&gt;"",OR(AA1586=AB1586,AD1586&lt;&gt;""),IF(AE1586="HALLUCINATION",U1586&lt;&gt;"",TRUE))</x:f>
        <x:v>0</x:v>
      </x:c>
      <x:c r="AG1586" t="n">
        <x:f>--AND(N1586=1,AF1586=1,OR(AE1586="SUPPORTED",AE1586="HALLUCINATION"))</x:f>
        <x:v>0</x:v>
      </x:c>
      <x:c r="AH1586" t="n">
        <x:f>--AND(AG1586=1,AE1586="HALLUCINATION")</x:f>
        <x:v>0</x:v>
      </x:c>
      <x:c r="AI1586" t="n">
        <x:f>--AND(Q1586=1,AF1586=1,AE1586="HALLUCINATION")</x:f>
        <x:v>0</x:v>
      </x:c>
      <x:c r="AJ1586" t="n">
        <x:f>--AND(AI1586=1,R1586=1,S1586=1)</x:f>
        <x:v>0</x:v>
      </x:c>
    </x:row>
    <x:row r="1587">
      <x:c r="A1587" s="28"/>
      <x:c r="B1587" s="28"/>
      <x:c r="C1587" s="28"/>
      <x:c r="D1587" s="28"/>
      <x:c r="E1587" s="28"/>
      <x:c r="F1587" s="28"/>
      <x:c r="G1587" s="28"/>
      <x:c r="H1587" s="28"/>
      <x:c r="I1587" s="28"/>
      <x:c r="J1587" s="28"/>
      <x:c r="K1587" s="28"/>
      <x:c r="L1587" s="28"/>
      <x:c r="M1587" s="28"/>
      <x:c r="N1587" s="28"/>
      <x:c r="O1587" s="28"/>
      <x:c r="P1587" s="28"/>
      <x:c r="Q1587" s="28"/>
      <x:c r="R1587" s="28"/>
      <x:c r="S1587" s="28"/>
      <x:c r="T1587" s="28"/>
      <x:c r="U1587" s="28"/>
      <x:c r="V1587" s="28"/>
      <x:c r="W1587" s="43" t="n">
        <x:f>--AND(N1587=1,OR(O1587="SUPPORTED",O1587="HALLUCINATION"))</x:f>
        <x:v>0</x:v>
      </x:c>
      <x:c r="X1587" s="43" t="n">
        <x:f>--AND(W1587=1,O1587="HALLUCINATION")</x:f>
        <x:v>0</x:v>
      </x:c>
      <x:c r="Y1587" s="43" t="n">
        <x:f>--AND(Q1587=1,O1587="HALLUCINATION")</x:f>
        <x:v>0</x:v>
      </x:c>
      <x:c r="Z1587" s="43" t="n">
        <x:f>--AND(Y1587=1,R1587=1,S1587=1)</x:f>
        <x:v>0</x:v>
      </x:c>
      <x:c r="AC1587" t="str">
        <x:f>IF(OR(AA1587="",AB1587=""),"",--(AA1587&lt;&gt;AB1587))</x:f>
      </x:c>
      <x:c r="AE1587" t="str">
        <x:f>IF(OR(AA1587="",AB1587=""),"PENDING_HUMAN",IF(AA1587=AB1587,AA1587,IF(AD1587&lt;&gt;"",AD1587,"PENDING_HUMAN")))</x:f>
        <x:v>PENDING_HUMAN</x:v>
      </x:c>
      <x:c r="AF1587" t="n">
        <x:f>--AND(A1587&lt;&gt;"",AA1587&lt;&gt;"",AB1587&lt;&gt;"",OR(AA1587=AB1587,AD1587&lt;&gt;""),IF(AE1587="HALLUCINATION",U1587&lt;&gt;"",TRUE))</x:f>
        <x:v>0</x:v>
      </x:c>
      <x:c r="AG1587" t="n">
        <x:f>--AND(N1587=1,AF1587=1,OR(AE1587="SUPPORTED",AE1587="HALLUCINATION"))</x:f>
        <x:v>0</x:v>
      </x:c>
      <x:c r="AH1587" t="n">
        <x:f>--AND(AG1587=1,AE1587="HALLUCINATION")</x:f>
        <x:v>0</x:v>
      </x:c>
      <x:c r="AI1587" t="n">
        <x:f>--AND(Q1587=1,AF1587=1,AE1587="HALLUCINATION")</x:f>
        <x:v>0</x:v>
      </x:c>
      <x:c r="AJ1587" t="n">
        <x:f>--AND(AI1587=1,R1587=1,S1587=1)</x:f>
        <x:v>0</x:v>
      </x:c>
    </x:row>
    <x:row r="1588">
      <x:c r="A1588" s="28"/>
      <x:c r="B1588" s="28"/>
      <x:c r="C1588" s="28"/>
      <x:c r="D1588" s="28"/>
      <x:c r="E1588" s="28"/>
      <x:c r="F1588" s="28"/>
      <x:c r="G1588" s="28"/>
      <x:c r="H1588" s="28"/>
      <x:c r="I1588" s="28"/>
      <x:c r="J1588" s="28"/>
      <x:c r="K1588" s="28"/>
      <x:c r="L1588" s="28"/>
      <x:c r="M1588" s="28"/>
      <x:c r="N1588" s="28"/>
      <x:c r="O1588" s="28"/>
      <x:c r="P1588" s="28"/>
      <x:c r="Q1588" s="28"/>
      <x:c r="R1588" s="28"/>
      <x:c r="S1588" s="28"/>
      <x:c r="T1588" s="28"/>
      <x:c r="U1588" s="28"/>
      <x:c r="V1588" s="28"/>
      <x:c r="W1588" s="43" t="n">
        <x:f>--AND(N1588=1,OR(O1588="SUPPORTED",O1588="HALLUCINATION"))</x:f>
        <x:v>0</x:v>
      </x:c>
      <x:c r="X1588" s="43" t="n">
        <x:f>--AND(W1588=1,O1588="HALLUCINATION")</x:f>
        <x:v>0</x:v>
      </x:c>
      <x:c r="Y1588" s="43" t="n">
        <x:f>--AND(Q1588=1,O1588="HALLUCINATION")</x:f>
        <x:v>0</x:v>
      </x:c>
      <x:c r="Z1588" s="43" t="n">
        <x:f>--AND(Y1588=1,R1588=1,S1588=1)</x:f>
        <x:v>0</x:v>
      </x:c>
      <x:c r="AC1588" t="str">
        <x:f>IF(OR(AA1588="",AB1588=""),"",--(AA1588&lt;&gt;AB1588))</x:f>
      </x:c>
      <x:c r="AE1588" t="str">
        <x:f>IF(OR(AA1588="",AB1588=""),"PENDING_HUMAN",IF(AA1588=AB1588,AA1588,IF(AD1588&lt;&gt;"",AD1588,"PENDING_HUMAN")))</x:f>
        <x:v>PENDING_HUMAN</x:v>
      </x:c>
      <x:c r="AF1588" t="n">
        <x:f>--AND(A1588&lt;&gt;"",AA1588&lt;&gt;"",AB1588&lt;&gt;"",OR(AA1588=AB1588,AD1588&lt;&gt;""),IF(AE1588="HALLUCINATION",U1588&lt;&gt;"",TRUE))</x:f>
        <x:v>0</x:v>
      </x:c>
      <x:c r="AG1588" t="n">
        <x:f>--AND(N1588=1,AF1588=1,OR(AE1588="SUPPORTED",AE1588="HALLUCINATION"))</x:f>
        <x:v>0</x:v>
      </x:c>
      <x:c r="AH1588" t="n">
        <x:f>--AND(AG1588=1,AE1588="HALLUCINATION")</x:f>
        <x:v>0</x:v>
      </x:c>
      <x:c r="AI1588" t="n">
        <x:f>--AND(Q1588=1,AF1588=1,AE1588="HALLUCINATION")</x:f>
        <x:v>0</x:v>
      </x:c>
      <x:c r="AJ1588" t="n">
        <x:f>--AND(AI1588=1,R1588=1,S1588=1)</x:f>
        <x:v>0</x:v>
      </x:c>
    </x:row>
    <x:row r="1589">
      <x:c r="A1589" s="28"/>
      <x:c r="B1589" s="28"/>
      <x:c r="C1589" s="28"/>
      <x:c r="D1589" s="28"/>
      <x:c r="E1589" s="28"/>
      <x:c r="F1589" s="28"/>
      <x:c r="G1589" s="28"/>
      <x:c r="H1589" s="28"/>
      <x:c r="I1589" s="28"/>
      <x:c r="J1589" s="28"/>
      <x:c r="K1589" s="28"/>
      <x:c r="L1589" s="28"/>
      <x:c r="M1589" s="28"/>
      <x:c r="N1589" s="28"/>
      <x:c r="O1589" s="28"/>
      <x:c r="P1589" s="28"/>
      <x:c r="Q1589" s="28"/>
      <x:c r="R1589" s="28"/>
      <x:c r="S1589" s="28"/>
      <x:c r="T1589" s="28"/>
      <x:c r="U1589" s="28"/>
      <x:c r="V1589" s="28"/>
      <x:c r="W1589" s="43" t="n">
        <x:f>--AND(N1589=1,OR(O1589="SUPPORTED",O1589="HALLUCINATION"))</x:f>
        <x:v>0</x:v>
      </x:c>
      <x:c r="X1589" s="43" t="n">
        <x:f>--AND(W1589=1,O1589="HALLUCINATION")</x:f>
        <x:v>0</x:v>
      </x:c>
      <x:c r="Y1589" s="43" t="n">
        <x:f>--AND(Q1589=1,O1589="HALLUCINATION")</x:f>
        <x:v>0</x:v>
      </x:c>
      <x:c r="Z1589" s="43" t="n">
        <x:f>--AND(Y1589=1,R1589=1,S1589=1)</x:f>
        <x:v>0</x:v>
      </x:c>
      <x:c r="AC1589" t="str">
        <x:f>IF(OR(AA1589="",AB1589=""),"",--(AA1589&lt;&gt;AB1589))</x:f>
      </x:c>
      <x:c r="AE1589" t="str">
        <x:f>IF(OR(AA1589="",AB1589=""),"PENDING_HUMAN",IF(AA1589=AB1589,AA1589,IF(AD1589&lt;&gt;"",AD1589,"PENDING_HUMAN")))</x:f>
        <x:v>PENDING_HUMAN</x:v>
      </x:c>
      <x:c r="AF1589" t="n">
        <x:f>--AND(A1589&lt;&gt;"",AA1589&lt;&gt;"",AB1589&lt;&gt;"",OR(AA1589=AB1589,AD1589&lt;&gt;""),IF(AE1589="HALLUCINATION",U1589&lt;&gt;"",TRUE))</x:f>
        <x:v>0</x:v>
      </x:c>
      <x:c r="AG1589" t="n">
        <x:f>--AND(N1589=1,AF1589=1,OR(AE1589="SUPPORTED",AE1589="HALLUCINATION"))</x:f>
        <x:v>0</x:v>
      </x:c>
      <x:c r="AH1589" t="n">
        <x:f>--AND(AG1589=1,AE1589="HALLUCINATION")</x:f>
        <x:v>0</x:v>
      </x:c>
      <x:c r="AI1589" t="n">
        <x:f>--AND(Q1589=1,AF1589=1,AE1589="HALLUCINATION")</x:f>
        <x:v>0</x:v>
      </x:c>
      <x:c r="AJ1589" t="n">
        <x:f>--AND(AI1589=1,R1589=1,S1589=1)</x:f>
        <x:v>0</x:v>
      </x:c>
    </x:row>
    <x:row r="1590">
      <x:c r="A1590" s="28"/>
      <x:c r="B1590" s="28"/>
      <x:c r="C1590" s="28"/>
      <x:c r="D1590" s="28"/>
      <x:c r="E1590" s="28"/>
      <x:c r="F1590" s="28"/>
      <x:c r="G1590" s="28"/>
      <x:c r="H1590" s="28"/>
      <x:c r="I1590" s="28"/>
      <x:c r="J1590" s="28"/>
      <x:c r="K1590" s="28"/>
      <x:c r="L1590" s="28"/>
      <x:c r="M1590" s="28"/>
      <x:c r="N1590" s="28"/>
      <x:c r="O1590" s="28"/>
      <x:c r="P1590" s="28"/>
      <x:c r="Q1590" s="28"/>
      <x:c r="R1590" s="28"/>
      <x:c r="S1590" s="28"/>
      <x:c r="T1590" s="28"/>
      <x:c r="U1590" s="28"/>
      <x:c r="V1590" s="28"/>
      <x:c r="W1590" s="43" t="n">
        <x:f>--AND(N1590=1,OR(O1590="SUPPORTED",O1590="HALLUCINATION"))</x:f>
        <x:v>0</x:v>
      </x:c>
      <x:c r="X1590" s="43" t="n">
        <x:f>--AND(W1590=1,O1590="HALLUCINATION")</x:f>
        <x:v>0</x:v>
      </x:c>
      <x:c r="Y1590" s="43" t="n">
        <x:f>--AND(Q1590=1,O1590="HALLUCINATION")</x:f>
        <x:v>0</x:v>
      </x:c>
      <x:c r="Z1590" s="43" t="n">
        <x:f>--AND(Y1590=1,R1590=1,S1590=1)</x:f>
        <x:v>0</x:v>
      </x:c>
      <x:c r="AC1590" t="str">
        <x:f>IF(OR(AA1590="",AB1590=""),"",--(AA1590&lt;&gt;AB1590))</x:f>
      </x:c>
      <x:c r="AE1590" t="str">
        <x:f>IF(OR(AA1590="",AB1590=""),"PENDING_HUMAN",IF(AA1590=AB1590,AA1590,IF(AD1590&lt;&gt;"",AD1590,"PENDING_HUMAN")))</x:f>
        <x:v>PENDING_HUMAN</x:v>
      </x:c>
      <x:c r="AF1590" t="n">
        <x:f>--AND(A1590&lt;&gt;"",AA1590&lt;&gt;"",AB1590&lt;&gt;"",OR(AA1590=AB1590,AD1590&lt;&gt;""),IF(AE1590="HALLUCINATION",U1590&lt;&gt;"",TRUE))</x:f>
        <x:v>0</x:v>
      </x:c>
      <x:c r="AG1590" t="n">
        <x:f>--AND(N1590=1,AF1590=1,OR(AE1590="SUPPORTED",AE1590="HALLUCINATION"))</x:f>
        <x:v>0</x:v>
      </x:c>
      <x:c r="AH1590" t="n">
        <x:f>--AND(AG1590=1,AE1590="HALLUCINATION")</x:f>
        <x:v>0</x:v>
      </x:c>
      <x:c r="AI1590" t="n">
        <x:f>--AND(Q1590=1,AF1590=1,AE1590="HALLUCINATION")</x:f>
        <x:v>0</x:v>
      </x:c>
      <x:c r="AJ1590" t="n">
        <x:f>--AND(AI1590=1,R1590=1,S1590=1)</x:f>
        <x:v>0</x:v>
      </x:c>
    </x:row>
    <x:row r="1591">
      <x:c r="A1591" s="28"/>
      <x:c r="B1591" s="28"/>
      <x:c r="C1591" s="28"/>
      <x:c r="D1591" s="28"/>
      <x:c r="E1591" s="28"/>
      <x:c r="F1591" s="28"/>
      <x:c r="G1591" s="28"/>
      <x:c r="H1591" s="28"/>
      <x:c r="I1591" s="28"/>
      <x:c r="J1591" s="28"/>
      <x:c r="K1591" s="28"/>
      <x:c r="L1591" s="28"/>
      <x:c r="M1591" s="28"/>
      <x:c r="N1591" s="28"/>
      <x:c r="O1591" s="28"/>
      <x:c r="P1591" s="28"/>
      <x:c r="Q1591" s="28"/>
      <x:c r="R1591" s="28"/>
      <x:c r="S1591" s="28"/>
      <x:c r="T1591" s="28"/>
      <x:c r="U1591" s="28"/>
      <x:c r="V1591" s="28"/>
      <x:c r="W1591" s="43" t="n">
        <x:f>--AND(N1591=1,OR(O1591="SUPPORTED",O1591="HALLUCINATION"))</x:f>
        <x:v>0</x:v>
      </x:c>
      <x:c r="X1591" s="43" t="n">
        <x:f>--AND(W1591=1,O1591="HALLUCINATION")</x:f>
        <x:v>0</x:v>
      </x:c>
      <x:c r="Y1591" s="43" t="n">
        <x:f>--AND(Q1591=1,O1591="HALLUCINATION")</x:f>
        <x:v>0</x:v>
      </x:c>
      <x:c r="Z1591" s="43" t="n">
        <x:f>--AND(Y1591=1,R1591=1,S1591=1)</x:f>
        <x:v>0</x:v>
      </x:c>
      <x:c r="AC1591" t="str">
        <x:f>IF(OR(AA1591="",AB1591=""),"",--(AA1591&lt;&gt;AB1591))</x:f>
      </x:c>
      <x:c r="AE1591" t="str">
        <x:f>IF(OR(AA1591="",AB1591=""),"PENDING_HUMAN",IF(AA1591=AB1591,AA1591,IF(AD1591&lt;&gt;"",AD1591,"PENDING_HUMAN")))</x:f>
        <x:v>PENDING_HUMAN</x:v>
      </x:c>
      <x:c r="AF1591" t="n">
        <x:f>--AND(A1591&lt;&gt;"",AA1591&lt;&gt;"",AB1591&lt;&gt;"",OR(AA1591=AB1591,AD1591&lt;&gt;""),IF(AE1591="HALLUCINATION",U1591&lt;&gt;"",TRUE))</x:f>
        <x:v>0</x:v>
      </x:c>
      <x:c r="AG1591" t="n">
        <x:f>--AND(N1591=1,AF1591=1,OR(AE1591="SUPPORTED",AE1591="HALLUCINATION"))</x:f>
        <x:v>0</x:v>
      </x:c>
      <x:c r="AH1591" t="n">
        <x:f>--AND(AG1591=1,AE1591="HALLUCINATION")</x:f>
        <x:v>0</x:v>
      </x:c>
      <x:c r="AI1591" t="n">
        <x:f>--AND(Q1591=1,AF1591=1,AE1591="HALLUCINATION")</x:f>
        <x:v>0</x:v>
      </x:c>
      <x:c r="AJ1591" t="n">
        <x:f>--AND(AI1591=1,R1591=1,S1591=1)</x:f>
        <x:v>0</x:v>
      </x:c>
    </x:row>
    <x:row r="1592">
      <x:c r="A1592" s="28"/>
      <x:c r="B1592" s="28"/>
      <x:c r="C1592" s="28"/>
      <x:c r="D1592" s="28"/>
      <x:c r="E1592" s="28"/>
      <x:c r="F1592" s="28"/>
      <x:c r="G1592" s="28"/>
      <x:c r="H1592" s="28"/>
      <x:c r="I1592" s="28"/>
      <x:c r="J1592" s="28"/>
      <x:c r="K1592" s="28"/>
      <x:c r="L1592" s="28"/>
      <x:c r="M1592" s="28"/>
      <x:c r="N1592" s="28"/>
      <x:c r="O1592" s="28"/>
      <x:c r="P1592" s="28"/>
      <x:c r="Q1592" s="28"/>
      <x:c r="R1592" s="28"/>
      <x:c r="S1592" s="28"/>
      <x:c r="T1592" s="28"/>
      <x:c r="U1592" s="28"/>
      <x:c r="V1592" s="28"/>
      <x:c r="W1592" s="43" t="n">
        <x:f>--AND(N1592=1,OR(O1592="SUPPORTED",O1592="HALLUCINATION"))</x:f>
        <x:v>0</x:v>
      </x:c>
      <x:c r="X1592" s="43" t="n">
        <x:f>--AND(W1592=1,O1592="HALLUCINATION")</x:f>
        <x:v>0</x:v>
      </x:c>
      <x:c r="Y1592" s="43" t="n">
        <x:f>--AND(Q1592=1,O1592="HALLUCINATION")</x:f>
        <x:v>0</x:v>
      </x:c>
      <x:c r="Z1592" s="43" t="n">
        <x:f>--AND(Y1592=1,R1592=1,S1592=1)</x:f>
        <x:v>0</x:v>
      </x:c>
      <x:c r="AC1592" t="str">
        <x:f>IF(OR(AA1592="",AB1592=""),"",--(AA1592&lt;&gt;AB1592))</x:f>
      </x:c>
      <x:c r="AE1592" t="str">
        <x:f>IF(OR(AA1592="",AB1592=""),"PENDING_HUMAN",IF(AA1592=AB1592,AA1592,IF(AD1592&lt;&gt;"",AD1592,"PENDING_HUMAN")))</x:f>
        <x:v>PENDING_HUMAN</x:v>
      </x:c>
      <x:c r="AF1592" t="n">
        <x:f>--AND(A1592&lt;&gt;"",AA1592&lt;&gt;"",AB1592&lt;&gt;"",OR(AA1592=AB1592,AD1592&lt;&gt;""),IF(AE1592="HALLUCINATION",U1592&lt;&gt;"",TRUE))</x:f>
        <x:v>0</x:v>
      </x:c>
      <x:c r="AG1592" t="n">
        <x:f>--AND(N1592=1,AF1592=1,OR(AE1592="SUPPORTED",AE1592="HALLUCINATION"))</x:f>
        <x:v>0</x:v>
      </x:c>
      <x:c r="AH1592" t="n">
        <x:f>--AND(AG1592=1,AE1592="HALLUCINATION")</x:f>
        <x:v>0</x:v>
      </x:c>
      <x:c r="AI1592" t="n">
        <x:f>--AND(Q1592=1,AF1592=1,AE1592="HALLUCINATION")</x:f>
        <x:v>0</x:v>
      </x:c>
      <x:c r="AJ1592" t="n">
        <x:f>--AND(AI1592=1,R1592=1,S1592=1)</x:f>
        <x:v>0</x:v>
      </x:c>
    </x:row>
    <x:row r="1593">
      <x:c r="A1593" s="28"/>
      <x:c r="B1593" s="28"/>
      <x:c r="C1593" s="28"/>
      <x:c r="D1593" s="28"/>
      <x:c r="E1593" s="28"/>
      <x:c r="F1593" s="28"/>
      <x:c r="G1593" s="28"/>
      <x:c r="H1593" s="28"/>
      <x:c r="I1593" s="28"/>
      <x:c r="J1593" s="28"/>
      <x:c r="K1593" s="28"/>
      <x:c r="L1593" s="28"/>
      <x:c r="M1593" s="28"/>
      <x:c r="N1593" s="28"/>
      <x:c r="O1593" s="28"/>
      <x:c r="P1593" s="28"/>
      <x:c r="Q1593" s="28"/>
      <x:c r="R1593" s="28"/>
      <x:c r="S1593" s="28"/>
      <x:c r="T1593" s="28"/>
      <x:c r="U1593" s="28"/>
      <x:c r="V1593" s="28"/>
      <x:c r="W1593" s="43" t="n">
        <x:f>--AND(N1593=1,OR(O1593="SUPPORTED",O1593="HALLUCINATION"))</x:f>
        <x:v>0</x:v>
      </x:c>
      <x:c r="X1593" s="43" t="n">
        <x:f>--AND(W1593=1,O1593="HALLUCINATION")</x:f>
        <x:v>0</x:v>
      </x:c>
      <x:c r="Y1593" s="43" t="n">
        <x:f>--AND(Q1593=1,O1593="HALLUCINATION")</x:f>
        <x:v>0</x:v>
      </x:c>
      <x:c r="Z1593" s="43" t="n">
        <x:f>--AND(Y1593=1,R1593=1,S1593=1)</x:f>
        <x:v>0</x:v>
      </x:c>
      <x:c r="AC1593" t="str">
        <x:f>IF(OR(AA1593="",AB1593=""),"",--(AA1593&lt;&gt;AB1593))</x:f>
      </x:c>
      <x:c r="AE1593" t="str">
        <x:f>IF(OR(AA1593="",AB1593=""),"PENDING_HUMAN",IF(AA1593=AB1593,AA1593,IF(AD1593&lt;&gt;"",AD1593,"PENDING_HUMAN")))</x:f>
        <x:v>PENDING_HUMAN</x:v>
      </x:c>
      <x:c r="AF1593" t="n">
        <x:f>--AND(A1593&lt;&gt;"",AA1593&lt;&gt;"",AB1593&lt;&gt;"",OR(AA1593=AB1593,AD1593&lt;&gt;""),IF(AE1593="HALLUCINATION",U1593&lt;&gt;"",TRUE))</x:f>
        <x:v>0</x:v>
      </x:c>
      <x:c r="AG1593" t="n">
        <x:f>--AND(N1593=1,AF1593=1,OR(AE1593="SUPPORTED",AE1593="HALLUCINATION"))</x:f>
        <x:v>0</x:v>
      </x:c>
      <x:c r="AH1593" t="n">
        <x:f>--AND(AG1593=1,AE1593="HALLUCINATION")</x:f>
        <x:v>0</x:v>
      </x:c>
      <x:c r="AI1593" t="n">
        <x:f>--AND(Q1593=1,AF1593=1,AE1593="HALLUCINATION")</x:f>
        <x:v>0</x:v>
      </x:c>
      <x:c r="AJ1593" t="n">
        <x:f>--AND(AI1593=1,R1593=1,S1593=1)</x:f>
        <x:v>0</x:v>
      </x:c>
    </x:row>
    <x:row r="1594">
      <x:c r="A1594" s="28"/>
      <x:c r="B1594" s="28"/>
      <x:c r="C1594" s="28"/>
      <x:c r="D1594" s="28"/>
      <x:c r="E1594" s="28"/>
      <x:c r="F1594" s="28"/>
      <x:c r="G1594" s="28"/>
      <x:c r="H1594" s="28"/>
      <x:c r="I1594" s="28"/>
      <x:c r="J1594" s="28"/>
      <x:c r="K1594" s="28"/>
      <x:c r="L1594" s="28"/>
      <x:c r="M1594" s="28"/>
      <x:c r="N1594" s="28"/>
      <x:c r="O1594" s="28"/>
      <x:c r="P1594" s="28"/>
      <x:c r="Q1594" s="28"/>
      <x:c r="R1594" s="28"/>
      <x:c r="S1594" s="28"/>
      <x:c r="T1594" s="28"/>
      <x:c r="U1594" s="28"/>
      <x:c r="V1594" s="28"/>
      <x:c r="W1594" s="43" t="n">
        <x:f>--AND(N1594=1,OR(O1594="SUPPORTED",O1594="HALLUCINATION"))</x:f>
        <x:v>0</x:v>
      </x:c>
      <x:c r="X1594" s="43" t="n">
        <x:f>--AND(W1594=1,O1594="HALLUCINATION")</x:f>
        <x:v>0</x:v>
      </x:c>
      <x:c r="Y1594" s="43" t="n">
        <x:f>--AND(Q1594=1,O1594="HALLUCINATION")</x:f>
        <x:v>0</x:v>
      </x:c>
      <x:c r="Z1594" s="43" t="n">
        <x:f>--AND(Y1594=1,R1594=1,S1594=1)</x:f>
        <x:v>0</x:v>
      </x:c>
      <x:c r="AC1594" t="str">
        <x:f>IF(OR(AA1594="",AB1594=""),"",--(AA1594&lt;&gt;AB1594))</x:f>
      </x:c>
      <x:c r="AE1594" t="str">
        <x:f>IF(OR(AA1594="",AB1594=""),"PENDING_HUMAN",IF(AA1594=AB1594,AA1594,IF(AD1594&lt;&gt;"",AD1594,"PENDING_HUMAN")))</x:f>
        <x:v>PENDING_HUMAN</x:v>
      </x:c>
      <x:c r="AF1594" t="n">
        <x:f>--AND(A1594&lt;&gt;"",AA1594&lt;&gt;"",AB1594&lt;&gt;"",OR(AA1594=AB1594,AD1594&lt;&gt;""),IF(AE1594="HALLUCINATION",U1594&lt;&gt;"",TRUE))</x:f>
        <x:v>0</x:v>
      </x:c>
      <x:c r="AG1594" t="n">
        <x:f>--AND(N1594=1,AF1594=1,OR(AE1594="SUPPORTED",AE1594="HALLUCINATION"))</x:f>
        <x:v>0</x:v>
      </x:c>
      <x:c r="AH1594" t="n">
        <x:f>--AND(AG1594=1,AE1594="HALLUCINATION")</x:f>
        <x:v>0</x:v>
      </x:c>
      <x:c r="AI1594" t="n">
        <x:f>--AND(Q1594=1,AF1594=1,AE1594="HALLUCINATION")</x:f>
        <x:v>0</x:v>
      </x:c>
      <x:c r="AJ1594" t="n">
        <x:f>--AND(AI1594=1,R1594=1,S1594=1)</x:f>
        <x:v>0</x:v>
      </x:c>
    </x:row>
    <x:row r="1595">
      <x:c r="A1595" s="28"/>
      <x:c r="B1595" s="28"/>
      <x:c r="C1595" s="28"/>
      <x:c r="D1595" s="28"/>
      <x:c r="E1595" s="28"/>
      <x:c r="F1595" s="28"/>
      <x:c r="G1595" s="28"/>
      <x:c r="H1595" s="28"/>
      <x:c r="I1595" s="28"/>
      <x:c r="J1595" s="28"/>
      <x:c r="K1595" s="28"/>
      <x:c r="L1595" s="28"/>
      <x:c r="M1595" s="28"/>
      <x:c r="N1595" s="28"/>
      <x:c r="O1595" s="28"/>
      <x:c r="P1595" s="28"/>
      <x:c r="Q1595" s="28"/>
      <x:c r="R1595" s="28"/>
      <x:c r="S1595" s="28"/>
      <x:c r="T1595" s="28"/>
      <x:c r="U1595" s="28"/>
      <x:c r="V1595" s="28"/>
      <x:c r="W1595" s="43" t="n">
        <x:f>--AND(N1595=1,OR(O1595="SUPPORTED",O1595="HALLUCINATION"))</x:f>
        <x:v>0</x:v>
      </x:c>
      <x:c r="X1595" s="43" t="n">
        <x:f>--AND(W1595=1,O1595="HALLUCINATION")</x:f>
        <x:v>0</x:v>
      </x:c>
      <x:c r="Y1595" s="43" t="n">
        <x:f>--AND(Q1595=1,O1595="HALLUCINATION")</x:f>
        <x:v>0</x:v>
      </x:c>
      <x:c r="Z1595" s="43" t="n">
        <x:f>--AND(Y1595=1,R1595=1,S1595=1)</x:f>
        <x:v>0</x:v>
      </x:c>
      <x:c r="AC1595" t="str">
        <x:f>IF(OR(AA1595="",AB1595=""),"",--(AA1595&lt;&gt;AB1595))</x:f>
      </x:c>
      <x:c r="AE1595" t="str">
        <x:f>IF(OR(AA1595="",AB1595=""),"PENDING_HUMAN",IF(AA1595=AB1595,AA1595,IF(AD1595&lt;&gt;"",AD1595,"PENDING_HUMAN")))</x:f>
        <x:v>PENDING_HUMAN</x:v>
      </x:c>
      <x:c r="AF1595" t="n">
        <x:f>--AND(A1595&lt;&gt;"",AA1595&lt;&gt;"",AB1595&lt;&gt;"",OR(AA1595=AB1595,AD1595&lt;&gt;""),IF(AE1595="HALLUCINATION",U1595&lt;&gt;"",TRUE))</x:f>
        <x:v>0</x:v>
      </x:c>
      <x:c r="AG1595" t="n">
        <x:f>--AND(N1595=1,AF1595=1,OR(AE1595="SUPPORTED",AE1595="HALLUCINATION"))</x:f>
        <x:v>0</x:v>
      </x:c>
      <x:c r="AH1595" t="n">
        <x:f>--AND(AG1595=1,AE1595="HALLUCINATION")</x:f>
        <x:v>0</x:v>
      </x:c>
      <x:c r="AI1595" t="n">
        <x:f>--AND(Q1595=1,AF1595=1,AE1595="HALLUCINATION")</x:f>
        <x:v>0</x:v>
      </x:c>
      <x:c r="AJ1595" t="n">
        <x:f>--AND(AI1595=1,R1595=1,S1595=1)</x:f>
        <x:v>0</x:v>
      </x:c>
    </x:row>
    <x:row r="1596">
      <x:c r="A1596" s="28"/>
      <x:c r="B1596" s="28"/>
      <x:c r="C1596" s="28"/>
      <x:c r="D1596" s="28"/>
      <x:c r="E1596" s="28"/>
      <x:c r="F1596" s="28"/>
      <x:c r="G1596" s="28"/>
      <x:c r="H1596" s="28"/>
      <x:c r="I1596" s="28"/>
      <x:c r="J1596" s="28"/>
      <x:c r="K1596" s="28"/>
      <x:c r="L1596" s="28"/>
      <x:c r="M1596" s="28"/>
      <x:c r="N1596" s="28"/>
      <x:c r="O1596" s="28"/>
      <x:c r="P1596" s="28"/>
      <x:c r="Q1596" s="28"/>
      <x:c r="R1596" s="28"/>
      <x:c r="S1596" s="28"/>
      <x:c r="T1596" s="28"/>
      <x:c r="U1596" s="28"/>
      <x:c r="V1596" s="28"/>
      <x:c r="W1596" s="43" t="n">
        <x:f>--AND(N1596=1,OR(O1596="SUPPORTED",O1596="HALLUCINATION"))</x:f>
        <x:v>0</x:v>
      </x:c>
      <x:c r="X1596" s="43" t="n">
        <x:f>--AND(W1596=1,O1596="HALLUCINATION")</x:f>
        <x:v>0</x:v>
      </x:c>
      <x:c r="Y1596" s="43" t="n">
        <x:f>--AND(Q1596=1,O1596="HALLUCINATION")</x:f>
        <x:v>0</x:v>
      </x:c>
      <x:c r="Z1596" s="43" t="n">
        <x:f>--AND(Y1596=1,R1596=1,S1596=1)</x:f>
        <x:v>0</x:v>
      </x:c>
      <x:c r="AC1596" t="str">
        <x:f>IF(OR(AA1596="",AB1596=""),"",--(AA1596&lt;&gt;AB1596))</x:f>
      </x:c>
      <x:c r="AE1596" t="str">
        <x:f>IF(OR(AA1596="",AB1596=""),"PENDING_HUMAN",IF(AA1596=AB1596,AA1596,IF(AD1596&lt;&gt;"",AD1596,"PENDING_HUMAN")))</x:f>
        <x:v>PENDING_HUMAN</x:v>
      </x:c>
      <x:c r="AF1596" t="n">
        <x:f>--AND(A1596&lt;&gt;"",AA1596&lt;&gt;"",AB1596&lt;&gt;"",OR(AA1596=AB1596,AD1596&lt;&gt;""),IF(AE1596="HALLUCINATION",U1596&lt;&gt;"",TRUE))</x:f>
        <x:v>0</x:v>
      </x:c>
      <x:c r="AG1596" t="n">
        <x:f>--AND(N1596=1,AF1596=1,OR(AE1596="SUPPORTED",AE1596="HALLUCINATION"))</x:f>
        <x:v>0</x:v>
      </x:c>
      <x:c r="AH1596" t="n">
        <x:f>--AND(AG1596=1,AE1596="HALLUCINATION")</x:f>
        <x:v>0</x:v>
      </x:c>
      <x:c r="AI1596" t="n">
        <x:f>--AND(Q1596=1,AF1596=1,AE1596="HALLUCINATION")</x:f>
        <x:v>0</x:v>
      </x:c>
      <x:c r="AJ1596" t="n">
        <x:f>--AND(AI1596=1,R1596=1,S1596=1)</x:f>
        <x:v>0</x:v>
      </x:c>
    </x:row>
    <x:row r="1597">
      <x:c r="A1597" s="28"/>
      <x:c r="B1597" s="28"/>
      <x:c r="C1597" s="28"/>
      <x:c r="D1597" s="28"/>
      <x:c r="E1597" s="28"/>
      <x:c r="F1597" s="28"/>
      <x:c r="G1597" s="28"/>
      <x:c r="H1597" s="28"/>
      <x:c r="I1597" s="28"/>
      <x:c r="J1597" s="28"/>
      <x:c r="K1597" s="28"/>
      <x:c r="L1597" s="28"/>
      <x:c r="M1597" s="28"/>
      <x:c r="N1597" s="28"/>
      <x:c r="O1597" s="28"/>
      <x:c r="P1597" s="28"/>
      <x:c r="Q1597" s="28"/>
      <x:c r="R1597" s="28"/>
      <x:c r="S1597" s="28"/>
      <x:c r="T1597" s="28"/>
      <x:c r="U1597" s="28"/>
      <x:c r="V1597" s="28"/>
      <x:c r="W1597" s="43" t="n">
        <x:f>--AND(N1597=1,OR(O1597="SUPPORTED",O1597="HALLUCINATION"))</x:f>
        <x:v>0</x:v>
      </x:c>
      <x:c r="X1597" s="43" t="n">
        <x:f>--AND(W1597=1,O1597="HALLUCINATION")</x:f>
        <x:v>0</x:v>
      </x:c>
      <x:c r="Y1597" s="43" t="n">
        <x:f>--AND(Q1597=1,O1597="HALLUCINATION")</x:f>
        <x:v>0</x:v>
      </x:c>
      <x:c r="Z1597" s="43" t="n">
        <x:f>--AND(Y1597=1,R1597=1,S1597=1)</x:f>
        <x:v>0</x:v>
      </x:c>
      <x:c r="AC1597" t="str">
        <x:f>IF(OR(AA1597="",AB1597=""),"",--(AA1597&lt;&gt;AB1597))</x:f>
      </x:c>
      <x:c r="AE1597" t="str">
        <x:f>IF(OR(AA1597="",AB1597=""),"PENDING_HUMAN",IF(AA1597=AB1597,AA1597,IF(AD1597&lt;&gt;"",AD1597,"PENDING_HUMAN")))</x:f>
        <x:v>PENDING_HUMAN</x:v>
      </x:c>
      <x:c r="AF1597" t="n">
        <x:f>--AND(A1597&lt;&gt;"",AA1597&lt;&gt;"",AB1597&lt;&gt;"",OR(AA1597=AB1597,AD1597&lt;&gt;""),IF(AE1597="HALLUCINATION",U1597&lt;&gt;"",TRUE))</x:f>
        <x:v>0</x:v>
      </x:c>
      <x:c r="AG1597" t="n">
        <x:f>--AND(N1597=1,AF1597=1,OR(AE1597="SUPPORTED",AE1597="HALLUCINATION"))</x:f>
        <x:v>0</x:v>
      </x:c>
      <x:c r="AH1597" t="n">
        <x:f>--AND(AG1597=1,AE1597="HALLUCINATION")</x:f>
        <x:v>0</x:v>
      </x:c>
      <x:c r="AI1597" t="n">
        <x:f>--AND(Q1597=1,AF1597=1,AE1597="HALLUCINATION")</x:f>
        <x:v>0</x:v>
      </x:c>
      <x:c r="AJ1597" t="n">
        <x:f>--AND(AI1597=1,R1597=1,S1597=1)</x:f>
        <x:v>0</x:v>
      </x:c>
    </x:row>
    <x:row r="1598">
      <x:c r="A1598" s="28"/>
      <x:c r="B1598" s="28"/>
      <x:c r="C1598" s="28"/>
      <x:c r="D1598" s="28"/>
      <x:c r="E1598" s="28"/>
      <x:c r="F1598" s="28"/>
      <x:c r="G1598" s="28"/>
      <x:c r="H1598" s="28"/>
      <x:c r="I1598" s="28"/>
      <x:c r="J1598" s="28"/>
      <x:c r="K1598" s="28"/>
      <x:c r="L1598" s="28"/>
      <x:c r="M1598" s="28"/>
      <x:c r="N1598" s="28"/>
      <x:c r="O1598" s="28"/>
      <x:c r="P1598" s="28"/>
      <x:c r="Q1598" s="28"/>
      <x:c r="R1598" s="28"/>
      <x:c r="S1598" s="28"/>
      <x:c r="T1598" s="28"/>
      <x:c r="U1598" s="28"/>
      <x:c r="V1598" s="28"/>
      <x:c r="W1598" s="43" t="n">
        <x:f>--AND(N1598=1,OR(O1598="SUPPORTED",O1598="HALLUCINATION"))</x:f>
        <x:v>0</x:v>
      </x:c>
      <x:c r="X1598" s="43" t="n">
        <x:f>--AND(W1598=1,O1598="HALLUCINATION")</x:f>
        <x:v>0</x:v>
      </x:c>
      <x:c r="Y1598" s="43" t="n">
        <x:f>--AND(Q1598=1,O1598="HALLUCINATION")</x:f>
        <x:v>0</x:v>
      </x:c>
      <x:c r="Z1598" s="43" t="n">
        <x:f>--AND(Y1598=1,R1598=1,S1598=1)</x:f>
        <x:v>0</x:v>
      </x:c>
      <x:c r="AC1598" t="str">
        <x:f>IF(OR(AA1598="",AB1598=""),"",--(AA1598&lt;&gt;AB1598))</x:f>
      </x:c>
      <x:c r="AE1598" t="str">
        <x:f>IF(OR(AA1598="",AB1598=""),"PENDING_HUMAN",IF(AA1598=AB1598,AA1598,IF(AD1598&lt;&gt;"",AD1598,"PENDING_HUMAN")))</x:f>
        <x:v>PENDING_HUMAN</x:v>
      </x:c>
      <x:c r="AF1598" t="n">
        <x:f>--AND(A1598&lt;&gt;"",AA1598&lt;&gt;"",AB1598&lt;&gt;"",OR(AA1598=AB1598,AD1598&lt;&gt;""),IF(AE1598="HALLUCINATION",U1598&lt;&gt;"",TRUE))</x:f>
        <x:v>0</x:v>
      </x:c>
      <x:c r="AG1598" t="n">
        <x:f>--AND(N1598=1,AF1598=1,OR(AE1598="SUPPORTED",AE1598="HALLUCINATION"))</x:f>
        <x:v>0</x:v>
      </x:c>
      <x:c r="AH1598" t="n">
        <x:f>--AND(AG1598=1,AE1598="HALLUCINATION")</x:f>
        <x:v>0</x:v>
      </x:c>
      <x:c r="AI1598" t="n">
        <x:f>--AND(Q1598=1,AF1598=1,AE1598="HALLUCINATION")</x:f>
        <x:v>0</x:v>
      </x:c>
      <x:c r="AJ1598" t="n">
        <x:f>--AND(AI1598=1,R1598=1,S1598=1)</x:f>
        <x:v>0</x:v>
      </x:c>
    </x:row>
    <x:row r="1599">
      <x:c r="A1599" s="28"/>
      <x:c r="B1599" s="28"/>
      <x:c r="C1599" s="28"/>
      <x:c r="D1599" s="28"/>
      <x:c r="E1599" s="28"/>
      <x:c r="F1599" s="28"/>
      <x:c r="G1599" s="28"/>
      <x:c r="H1599" s="28"/>
      <x:c r="I1599" s="28"/>
      <x:c r="J1599" s="28"/>
      <x:c r="K1599" s="28"/>
      <x:c r="L1599" s="28"/>
      <x:c r="M1599" s="28"/>
      <x:c r="N1599" s="28"/>
      <x:c r="O1599" s="28"/>
      <x:c r="P1599" s="28"/>
      <x:c r="Q1599" s="28"/>
      <x:c r="R1599" s="28"/>
      <x:c r="S1599" s="28"/>
      <x:c r="T1599" s="28"/>
      <x:c r="U1599" s="28"/>
      <x:c r="V1599" s="28"/>
      <x:c r="W1599" s="43" t="n">
        <x:f>--AND(N1599=1,OR(O1599="SUPPORTED",O1599="HALLUCINATION"))</x:f>
        <x:v>0</x:v>
      </x:c>
      <x:c r="X1599" s="43" t="n">
        <x:f>--AND(W1599=1,O1599="HALLUCINATION")</x:f>
        <x:v>0</x:v>
      </x:c>
      <x:c r="Y1599" s="43" t="n">
        <x:f>--AND(Q1599=1,O1599="HALLUCINATION")</x:f>
        <x:v>0</x:v>
      </x:c>
      <x:c r="Z1599" s="43" t="n">
        <x:f>--AND(Y1599=1,R1599=1,S1599=1)</x:f>
        <x:v>0</x:v>
      </x:c>
      <x:c r="AC1599" t="str">
        <x:f>IF(OR(AA1599="",AB1599=""),"",--(AA1599&lt;&gt;AB1599))</x:f>
      </x:c>
      <x:c r="AE1599" t="str">
        <x:f>IF(OR(AA1599="",AB1599=""),"PENDING_HUMAN",IF(AA1599=AB1599,AA1599,IF(AD1599&lt;&gt;"",AD1599,"PENDING_HUMAN")))</x:f>
        <x:v>PENDING_HUMAN</x:v>
      </x:c>
      <x:c r="AF1599" t="n">
        <x:f>--AND(A1599&lt;&gt;"",AA1599&lt;&gt;"",AB1599&lt;&gt;"",OR(AA1599=AB1599,AD1599&lt;&gt;""),IF(AE1599="HALLUCINATION",U1599&lt;&gt;"",TRUE))</x:f>
        <x:v>0</x:v>
      </x:c>
      <x:c r="AG1599" t="n">
        <x:f>--AND(N1599=1,AF1599=1,OR(AE1599="SUPPORTED",AE1599="HALLUCINATION"))</x:f>
        <x:v>0</x:v>
      </x:c>
      <x:c r="AH1599" t="n">
        <x:f>--AND(AG1599=1,AE1599="HALLUCINATION")</x:f>
        <x:v>0</x:v>
      </x:c>
      <x:c r="AI1599" t="n">
        <x:f>--AND(Q1599=1,AF1599=1,AE1599="HALLUCINATION")</x:f>
        <x:v>0</x:v>
      </x:c>
      <x:c r="AJ1599" t="n">
        <x:f>--AND(AI1599=1,R1599=1,S1599=1)</x:f>
        <x:v>0</x:v>
      </x:c>
    </x:row>
    <x:row r="1600">
      <x:c r="A1600" s="28"/>
      <x:c r="B1600" s="28"/>
      <x:c r="C1600" s="28"/>
      <x:c r="D1600" s="28"/>
      <x:c r="E1600" s="28"/>
      <x:c r="F1600" s="28"/>
      <x:c r="G1600" s="28"/>
      <x:c r="H1600" s="28"/>
      <x:c r="I1600" s="28"/>
      <x:c r="J1600" s="28"/>
      <x:c r="K1600" s="28"/>
      <x:c r="L1600" s="28"/>
      <x:c r="M1600" s="28"/>
      <x:c r="N1600" s="28"/>
      <x:c r="O1600" s="28"/>
      <x:c r="P1600" s="28"/>
      <x:c r="Q1600" s="28"/>
      <x:c r="R1600" s="28"/>
      <x:c r="S1600" s="28"/>
      <x:c r="T1600" s="28"/>
      <x:c r="U1600" s="28"/>
      <x:c r="V1600" s="28"/>
      <x:c r="W1600" s="43" t="n">
        <x:f>--AND(N1600=1,OR(O1600="SUPPORTED",O1600="HALLUCINATION"))</x:f>
        <x:v>0</x:v>
      </x:c>
      <x:c r="X1600" s="43" t="n">
        <x:f>--AND(W1600=1,O1600="HALLUCINATION")</x:f>
        <x:v>0</x:v>
      </x:c>
      <x:c r="Y1600" s="43" t="n">
        <x:f>--AND(Q1600=1,O1600="HALLUCINATION")</x:f>
        <x:v>0</x:v>
      </x:c>
      <x:c r="Z1600" s="43" t="n">
        <x:f>--AND(Y1600=1,R1600=1,S1600=1)</x:f>
        <x:v>0</x:v>
      </x:c>
      <x:c r="AC1600" t="str">
        <x:f>IF(OR(AA1600="",AB1600=""),"",--(AA1600&lt;&gt;AB1600))</x:f>
      </x:c>
      <x:c r="AE1600" t="str">
        <x:f>IF(OR(AA1600="",AB1600=""),"PENDING_HUMAN",IF(AA1600=AB1600,AA1600,IF(AD1600&lt;&gt;"",AD1600,"PENDING_HUMAN")))</x:f>
        <x:v>PENDING_HUMAN</x:v>
      </x:c>
      <x:c r="AF1600" t="n">
        <x:f>--AND(A1600&lt;&gt;"",AA1600&lt;&gt;"",AB1600&lt;&gt;"",OR(AA1600=AB1600,AD1600&lt;&gt;""),IF(AE1600="HALLUCINATION",U1600&lt;&gt;"",TRUE))</x:f>
        <x:v>0</x:v>
      </x:c>
      <x:c r="AG1600" t="n">
        <x:f>--AND(N1600=1,AF1600=1,OR(AE1600="SUPPORTED",AE1600="HALLUCINATION"))</x:f>
        <x:v>0</x:v>
      </x:c>
      <x:c r="AH1600" t="n">
        <x:f>--AND(AG1600=1,AE1600="HALLUCINATION")</x:f>
        <x:v>0</x:v>
      </x:c>
      <x:c r="AI1600" t="n">
        <x:f>--AND(Q1600=1,AF1600=1,AE1600="HALLUCINATION")</x:f>
        <x:v>0</x:v>
      </x:c>
      <x:c r="AJ1600" t="n">
        <x:f>--AND(AI1600=1,R1600=1,S1600=1)</x:f>
        <x:v>0</x:v>
      </x:c>
    </x:row>
    <x:row r="1601">
      <x:c r="A1601" s="28"/>
      <x:c r="B1601" s="28"/>
      <x:c r="C1601" s="28"/>
      <x:c r="D1601" s="28"/>
      <x:c r="E1601" s="28"/>
      <x:c r="F1601" s="28"/>
      <x:c r="G1601" s="28"/>
      <x:c r="H1601" s="28"/>
      <x:c r="I1601" s="28"/>
      <x:c r="J1601" s="28"/>
      <x:c r="K1601" s="28"/>
      <x:c r="L1601" s="28"/>
      <x:c r="M1601" s="28"/>
      <x:c r="N1601" s="28"/>
      <x:c r="O1601" s="28"/>
      <x:c r="P1601" s="28"/>
      <x:c r="Q1601" s="28"/>
      <x:c r="R1601" s="28"/>
      <x:c r="S1601" s="28"/>
      <x:c r="T1601" s="28"/>
      <x:c r="U1601" s="28"/>
      <x:c r="V1601" s="28"/>
      <x:c r="W1601" s="43" t="n">
        <x:f>--AND(N1601=1,OR(O1601="SUPPORTED",O1601="HALLUCINATION"))</x:f>
        <x:v>0</x:v>
      </x:c>
      <x:c r="X1601" s="43" t="n">
        <x:f>--AND(W1601=1,O1601="HALLUCINATION")</x:f>
        <x:v>0</x:v>
      </x:c>
      <x:c r="Y1601" s="43" t="n">
        <x:f>--AND(Q1601=1,O1601="HALLUCINATION")</x:f>
        <x:v>0</x:v>
      </x:c>
      <x:c r="Z1601" s="43" t="n">
        <x:f>--AND(Y1601=1,R1601=1,S1601=1)</x:f>
        <x:v>0</x:v>
      </x:c>
      <x:c r="AC1601" t="str">
        <x:f>IF(OR(AA1601="",AB1601=""),"",--(AA1601&lt;&gt;AB1601))</x:f>
      </x:c>
      <x:c r="AE1601" t="str">
        <x:f>IF(OR(AA1601="",AB1601=""),"PENDING_HUMAN",IF(AA1601=AB1601,AA1601,IF(AD1601&lt;&gt;"",AD1601,"PENDING_HUMAN")))</x:f>
        <x:v>PENDING_HUMAN</x:v>
      </x:c>
      <x:c r="AF1601" t="n">
        <x:f>--AND(A1601&lt;&gt;"",AA1601&lt;&gt;"",AB1601&lt;&gt;"",OR(AA1601=AB1601,AD1601&lt;&gt;""),IF(AE1601="HALLUCINATION",U1601&lt;&gt;"",TRUE))</x:f>
        <x:v>0</x:v>
      </x:c>
      <x:c r="AG1601" t="n">
        <x:f>--AND(N1601=1,AF1601=1,OR(AE1601="SUPPORTED",AE1601="HALLUCINATION"))</x:f>
        <x:v>0</x:v>
      </x:c>
      <x:c r="AH1601" t="n">
        <x:f>--AND(AG1601=1,AE1601="HALLUCINATION")</x:f>
        <x:v>0</x:v>
      </x:c>
      <x:c r="AI1601" t="n">
        <x:f>--AND(Q1601=1,AF1601=1,AE1601="HALLUCINATION")</x:f>
        <x:v>0</x:v>
      </x:c>
      <x:c r="AJ1601" t="n">
        <x:f>--AND(AI1601=1,R1601=1,S1601=1)</x:f>
        <x:v>0</x:v>
      </x:c>
    </x:row>
    <x:row r="1602">
      <x:c r="A1602" s="28"/>
      <x:c r="B1602" s="28"/>
      <x:c r="C1602" s="28"/>
      <x:c r="D1602" s="28"/>
      <x:c r="E1602" s="28"/>
      <x:c r="F1602" s="28"/>
      <x:c r="G1602" s="28"/>
      <x:c r="H1602" s="28"/>
      <x:c r="I1602" s="28"/>
      <x:c r="J1602" s="28"/>
      <x:c r="K1602" s="28"/>
      <x:c r="L1602" s="28"/>
      <x:c r="M1602" s="28"/>
      <x:c r="N1602" s="28"/>
      <x:c r="O1602" s="28"/>
      <x:c r="P1602" s="28"/>
      <x:c r="Q1602" s="28"/>
      <x:c r="R1602" s="28"/>
      <x:c r="S1602" s="28"/>
      <x:c r="T1602" s="28"/>
      <x:c r="U1602" s="28"/>
      <x:c r="V1602" s="28"/>
      <x:c r="W1602" s="43" t="n">
        <x:f>--AND(N1602=1,OR(O1602="SUPPORTED",O1602="HALLUCINATION"))</x:f>
        <x:v>0</x:v>
      </x:c>
      <x:c r="X1602" s="43" t="n">
        <x:f>--AND(W1602=1,O1602="HALLUCINATION")</x:f>
        <x:v>0</x:v>
      </x:c>
      <x:c r="Y1602" s="43" t="n">
        <x:f>--AND(Q1602=1,O1602="HALLUCINATION")</x:f>
        <x:v>0</x:v>
      </x:c>
      <x:c r="Z1602" s="43" t="n">
        <x:f>--AND(Y1602=1,R1602=1,S1602=1)</x:f>
        <x:v>0</x:v>
      </x:c>
      <x:c r="AC1602" t="str">
        <x:f>IF(OR(AA1602="",AB1602=""),"",--(AA1602&lt;&gt;AB1602))</x:f>
      </x:c>
      <x:c r="AE1602" t="str">
        <x:f>IF(OR(AA1602="",AB1602=""),"PENDING_HUMAN",IF(AA1602=AB1602,AA1602,IF(AD1602&lt;&gt;"",AD1602,"PENDING_HUMAN")))</x:f>
        <x:v>PENDING_HUMAN</x:v>
      </x:c>
      <x:c r="AF1602" t="n">
        <x:f>--AND(A1602&lt;&gt;"",AA1602&lt;&gt;"",AB1602&lt;&gt;"",OR(AA1602=AB1602,AD1602&lt;&gt;""),IF(AE1602="HALLUCINATION",U1602&lt;&gt;"",TRUE))</x:f>
        <x:v>0</x:v>
      </x:c>
      <x:c r="AG1602" t="n">
        <x:f>--AND(N1602=1,AF1602=1,OR(AE1602="SUPPORTED",AE1602="HALLUCINATION"))</x:f>
        <x:v>0</x:v>
      </x:c>
      <x:c r="AH1602" t="n">
        <x:f>--AND(AG1602=1,AE1602="HALLUCINATION")</x:f>
        <x:v>0</x:v>
      </x:c>
      <x:c r="AI1602" t="n">
        <x:f>--AND(Q1602=1,AF1602=1,AE1602="HALLUCINATION")</x:f>
        <x:v>0</x:v>
      </x:c>
      <x:c r="AJ1602" t="n">
        <x:f>--AND(AI1602=1,R1602=1,S1602=1)</x:f>
        <x:v>0</x:v>
      </x:c>
    </x:row>
    <x:row r="1603">
      <x:c r="A1603" s="28"/>
      <x:c r="B1603" s="28"/>
      <x:c r="C1603" s="28"/>
      <x:c r="D1603" s="28"/>
      <x:c r="E1603" s="28"/>
      <x:c r="F1603" s="28"/>
      <x:c r="G1603" s="28"/>
      <x:c r="H1603" s="28"/>
      <x:c r="I1603" s="28"/>
      <x:c r="J1603" s="28"/>
      <x:c r="K1603" s="28"/>
      <x:c r="L1603" s="28"/>
      <x:c r="M1603" s="28"/>
      <x:c r="N1603" s="28"/>
      <x:c r="O1603" s="28"/>
      <x:c r="P1603" s="28"/>
      <x:c r="Q1603" s="28"/>
      <x:c r="R1603" s="28"/>
      <x:c r="S1603" s="28"/>
      <x:c r="T1603" s="28"/>
      <x:c r="U1603" s="28"/>
      <x:c r="V1603" s="28"/>
      <x:c r="W1603" s="43" t="n">
        <x:f>--AND(N1603=1,OR(O1603="SUPPORTED",O1603="HALLUCINATION"))</x:f>
        <x:v>0</x:v>
      </x:c>
      <x:c r="X1603" s="43" t="n">
        <x:f>--AND(W1603=1,O1603="HALLUCINATION")</x:f>
        <x:v>0</x:v>
      </x:c>
      <x:c r="Y1603" s="43" t="n">
        <x:f>--AND(Q1603=1,O1603="HALLUCINATION")</x:f>
        <x:v>0</x:v>
      </x:c>
      <x:c r="Z1603" s="43" t="n">
        <x:f>--AND(Y1603=1,R1603=1,S1603=1)</x:f>
        <x:v>0</x:v>
      </x:c>
      <x:c r="AC1603" t="str">
        <x:f>IF(OR(AA1603="",AB1603=""),"",--(AA1603&lt;&gt;AB1603))</x:f>
      </x:c>
      <x:c r="AE1603" t="str">
        <x:f>IF(OR(AA1603="",AB1603=""),"PENDING_HUMAN",IF(AA1603=AB1603,AA1603,IF(AD1603&lt;&gt;"",AD1603,"PENDING_HUMAN")))</x:f>
        <x:v>PENDING_HUMAN</x:v>
      </x:c>
      <x:c r="AF1603" t="n">
        <x:f>--AND(A1603&lt;&gt;"",AA1603&lt;&gt;"",AB1603&lt;&gt;"",OR(AA1603=AB1603,AD1603&lt;&gt;""),IF(AE1603="HALLUCINATION",U1603&lt;&gt;"",TRUE))</x:f>
        <x:v>0</x:v>
      </x:c>
      <x:c r="AG1603" t="n">
        <x:f>--AND(N1603=1,AF1603=1,OR(AE1603="SUPPORTED",AE1603="HALLUCINATION"))</x:f>
        <x:v>0</x:v>
      </x:c>
      <x:c r="AH1603" t="n">
        <x:f>--AND(AG1603=1,AE1603="HALLUCINATION")</x:f>
        <x:v>0</x:v>
      </x:c>
      <x:c r="AI1603" t="n">
        <x:f>--AND(Q1603=1,AF1603=1,AE1603="HALLUCINATION")</x:f>
        <x:v>0</x:v>
      </x:c>
      <x:c r="AJ1603" t="n">
        <x:f>--AND(AI1603=1,R1603=1,S1603=1)</x:f>
        <x:v>0</x:v>
      </x:c>
    </x:row>
    <x:row r="1604">
      <x:c r="A1604" s="28"/>
      <x:c r="B1604" s="28"/>
      <x:c r="C1604" s="28"/>
      <x:c r="D1604" s="28"/>
      <x:c r="E1604" s="28"/>
      <x:c r="F1604" s="28"/>
      <x:c r="G1604" s="28"/>
      <x:c r="H1604" s="28"/>
      <x:c r="I1604" s="28"/>
      <x:c r="J1604" s="28"/>
      <x:c r="K1604" s="28"/>
      <x:c r="L1604" s="28"/>
      <x:c r="M1604" s="28"/>
      <x:c r="N1604" s="28"/>
      <x:c r="O1604" s="28"/>
      <x:c r="P1604" s="28"/>
      <x:c r="Q1604" s="28"/>
      <x:c r="R1604" s="28"/>
      <x:c r="S1604" s="28"/>
      <x:c r="T1604" s="28"/>
      <x:c r="U1604" s="28"/>
      <x:c r="V1604" s="28"/>
      <x:c r="W1604" s="43" t="n">
        <x:f>--AND(N1604=1,OR(O1604="SUPPORTED",O1604="HALLUCINATION"))</x:f>
        <x:v>0</x:v>
      </x:c>
      <x:c r="X1604" s="43" t="n">
        <x:f>--AND(W1604=1,O1604="HALLUCINATION")</x:f>
        <x:v>0</x:v>
      </x:c>
      <x:c r="Y1604" s="43" t="n">
        <x:f>--AND(Q1604=1,O1604="HALLUCINATION")</x:f>
        <x:v>0</x:v>
      </x:c>
      <x:c r="Z1604" s="43" t="n">
        <x:f>--AND(Y1604=1,R1604=1,S1604=1)</x:f>
        <x:v>0</x:v>
      </x:c>
      <x:c r="AC1604" t="str">
        <x:f>IF(OR(AA1604="",AB1604=""),"",--(AA1604&lt;&gt;AB1604))</x:f>
      </x:c>
      <x:c r="AE1604" t="str">
        <x:f>IF(OR(AA1604="",AB1604=""),"PENDING_HUMAN",IF(AA1604=AB1604,AA1604,IF(AD1604&lt;&gt;"",AD1604,"PENDING_HUMAN")))</x:f>
        <x:v>PENDING_HUMAN</x:v>
      </x:c>
      <x:c r="AF1604" t="n">
        <x:f>--AND(A1604&lt;&gt;"",AA1604&lt;&gt;"",AB1604&lt;&gt;"",OR(AA1604=AB1604,AD1604&lt;&gt;""),IF(AE1604="HALLUCINATION",U1604&lt;&gt;"",TRUE))</x:f>
        <x:v>0</x:v>
      </x:c>
      <x:c r="AG1604" t="n">
        <x:f>--AND(N1604=1,AF1604=1,OR(AE1604="SUPPORTED",AE1604="HALLUCINATION"))</x:f>
        <x:v>0</x:v>
      </x:c>
      <x:c r="AH1604" t="n">
        <x:f>--AND(AG1604=1,AE1604="HALLUCINATION")</x:f>
        <x:v>0</x:v>
      </x:c>
      <x:c r="AI1604" t="n">
        <x:f>--AND(Q1604=1,AF1604=1,AE1604="HALLUCINATION")</x:f>
        <x:v>0</x:v>
      </x:c>
      <x:c r="AJ1604" t="n">
        <x:f>--AND(AI1604=1,R1604=1,S1604=1)</x:f>
        <x:v>0</x:v>
      </x:c>
    </x:row>
    <x:row r="1605">
      <x:c r="A1605" s="28"/>
      <x:c r="B1605" s="28"/>
      <x:c r="C1605" s="28"/>
      <x:c r="D1605" s="28"/>
      <x:c r="E1605" s="28"/>
      <x:c r="F1605" s="28"/>
      <x:c r="G1605" s="28"/>
      <x:c r="H1605" s="28"/>
      <x:c r="I1605" s="28"/>
      <x:c r="J1605" s="28"/>
      <x:c r="K1605" s="28"/>
      <x:c r="L1605" s="28"/>
      <x:c r="M1605" s="28"/>
      <x:c r="N1605" s="28"/>
      <x:c r="O1605" s="28"/>
      <x:c r="P1605" s="28"/>
      <x:c r="Q1605" s="28"/>
      <x:c r="R1605" s="28"/>
      <x:c r="S1605" s="28"/>
      <x:c r="T1605" s="28"/>
      <x:c r="U1605" s="28"/>
      <x:c r="V1605" s="28"/>
      <x:c r="W1605" s="43" t="n">
        <x:f>--AND(N1605=1,OR(O1605="SUPPORTED",O1605="HALLUCINATION"))</x:f>
        <x:v>0</x:v>
      </x:c>
      <x:c r="X1605" s="43" t="n">
        <x:f>--AND(W1605=1,O1605="HALLUCINATION")</x:f>
        <x:v>0</x:v>
      </x:c>
      <x:c r="Y1605" s="43" t="n">
        <x:f>--AND(Q1605=1,O1605="HALLUCINATION")</x:f>
        <x:v>0</x:v>
      </x:c>
      <x:c r="Z1605" s="43" t="n">
        <x:f>--AND(Y1605=1,R1605=1,S1605=1)</x:f>
        <x:v>0</x:v>
      </x:c>
      <x:c r="AC1605" t="str">
        <x:f>IF(OR(AA1605="",AB1605=""),"",--(AA1605&lt;&gt;AB1605))</x:f>
      </x:c>
      <x:c r="AE1605" t="str">
        <x:f>IF(OR(AA1605="",AB1605=""),"PENDING_HUMAN",IF(AA1605=AB1605,AA1605,IF(AD1605&lt;&gt;"",AD1605,"PENDING_HUMAN")))</x:f>
        <x:v>PENDING_HUMAN</x:v>
      </x:c>
      <x:c r="AF1605" t="n">
        <x:f>--AND(A1605&lt;&gt;"",AA1605&lt;&gt;"",AB1605&lt;&gt;"",OR(AA1605=AB1605,AD1605&lt;&gt;""),IF(AE1605="HALLUCINATION",U1605&lt;&gt;"",TRUE))</x:f>
        <x:v>0</x:v>
      </x:c>
      <x:c r="AG1605" t="n">
        <x:f>--AND(N1605=1,AF1605=1,OR(AE1605="SUPPORTED",AE1605="HALLUCINATION"))</x:f>
        <x:v>0</x:v>
      </x:c>
      <x:c r="AH1605" t="n">
        <x:f>--AND(AG1605=1,AE1605="HALLUCINATION")</x:f>
        <x:v>0</x:v>
      </x:c>
      <x:c r="AI1605" t="n">
        <x:f>--AND(Q1605=1,AF1605=1,AE1605="HALLUCINATION")</x:f>
        <x:v>0</x:v>
      </x:c>
      <x:c r="AJ1605" t="n">
        <x:f>--AND(AI1605=1,R1605=1,S1605=1)</x:f>
        <x:v>0</x:v>
      </x:c>
    </x:row>
    <x:row r="1606">
      <x:c r="A1606" s="28"/>
      <x:c r="B1606" s="28"/>
      <x:c r="C1606" s="28"/>
      <x:c r="D1606" s="28"/>
      <x:c r="E1606" s="28"/>
      <x:c r="F1606" s="28"/>
      <x:c r="G1606" s="28"/>
      <x:c r="H1606" s="28"/>
      <x:c r="I1606" s="28"/>
      <x:c r="J1606" s="28"/>
      <x:c r="K1606" s="28"/>
      <x:c r="L1606" s="28"/>
      <x:c r="M1606" s="28"/>
      <x:c r="N1606" s="28"/>
      <x:c r="O1606" s="28"/>
      <x:c r="P1606" s="28"/>
      <x:c r="Q1606" s="28"/>
      <x:c r="R1606" s="28"/>
      <x:c r="S1606" s="28"/>
      <x:c r="T1606" s="28"/>
      <x:c r="U1606" s="28"/>
      <x:c r="V1606" s="28"/>
      <x:c r="W1606" s="43" t="n">
        <x:f>--AND(N1606=1,OR(O1606="SUPPORTED",O1606="HALLUCINATION"))</x:f>
        <x:v>0</x:v>
      </x:c>
      <x:c r="X1606" s="43" t="n">
        <x:f>--AND(W1606=1,O1606="HALLUCINATION")</x:f>
        <x:v>0</x:v>
      </x:c>
      <x:c r="Y1606" s="43" t="n">
        <x:f>--AND(Q1606=1,O1606="HALLUCINATION")</x:f>
        <x:v>0</x:v>
      </x:c>
      <x:c r="Z1606" s="43" t="n">
        <x:f>--AND(Y1606=1,R1606=1,S1606=1)</x:f>
        <x:v>0</x:v>
      </x:c>
      <x:c r="AC1606" t="str">
        <x:f>IF(OR(AA1606="",AB1606=""),"",--(AA1606&lt;&gt;AB1606))</x:f>
      </x:c>
      <x:c r="AE1606" t="str">
        <x:f>IF(OR(AA1606="",AB1606=""),"PENDING_HUMAN",IF(AA1606=AB1606,AA1606,IF(AD1606&lt;&gt;"",AD1606,"PENDING_HUMAN")))</x:f>
        <x:v>PENDING_HUMAN</x:v>
      </x:c>
      <x:c r="AF1606" t="n">
        <x:f>--AND(A1606&lt;&gt;"",AA1606&lt;&gt;"",AB1606&lt;&gt;"",OR(AA1606=AB1606,AD1606&lt;&gt;""),IF(AE1606="HALLUCINATION",U1606&lt;&gt;"",TRUE))</x:f>
        <x:v>0</x:v>
      </x:c>
      <x:c r="AG1606" t="n">
        <x:f>--AND(N1606=1,AF1606=1,OR(AE1606="SUPPORTED",AE1606="HALLUCINATION"))</x:f>
        <x:v>0</x:v>
      </x:c>
      <x:c r="AH1606" t="n">
        <x:f>--AND(AG1606=1,AE1606="HALLUCINATION")</x:f>
        <x:v>0</x:v>
      </x:c>
      <x:c r="AI1606" t="n">
        <x:f>--AND(Q1606=1,AF1606=1,AE1606="HALLUCINATION")</x:f>
        <x:v>0</x:v>
      </x:c>
      <x:c r="AJ1606" t="n">
        <x:f>--AND(AI1606=1,R1606=1,S1606=1)</x:f>
        <x:v>0</x:v>
      </x:c>
    </x:row>
    <x:row r="1607">
      <x:c r="A1607" s="28"/>
      <x:c r="B1607" s="28"/>
      <x:c r="C1607" s="28"/>
      <x:c r="D1607" s="28"/>
      <x:c r="E1607" s="28"/>
      <x:c r="F1607" s="28"/>
      <x:c r="G1607" s="28"/>
      <x:c r="H1607" s="28"/>
      <x:c r="I1607" s="28"/>
      <x:c r="J1607" s="28"/>
      <x:c r="K1607" s="28"/>
      <x:c r="L1607" s="28"/>
      <x:c r="M1607" s="28"/>
      <x:c r="N1607" s="28"/>
      <x:c r="O1607" s="28"/>
      <x:c r="P1607" s="28"/>
      <x:c r="Q1607" s="28"/>
      <x:c r="R1607" s="28"/>
      <x:c r="S1607" s="28"/>
      <x:c r="T1607" s="28"/>
      <x:c r="U1607" s="28"/>
      <x:c r="V1607" s="28"/>
      <x:c r="W1607" s="43" t="n">
        <x:f>--AND(N1607=1,OR(O1607="SUPPORTED",O1607="HALLUCINATION"))</x:f>
        <x:v>0</x:v>
      </x:c>
      <x:c r="X1607" s="43" t="n">
        <x:f>--AND(W1607=1,O1607="HALLUCINATION")</x:f>
        <x:v>0</x:v>
      </x:c>
      <x:c r="Y1607" s="43" t="n">
        <x:f>--AND(Q1607=1,O1607="HALLUCINATION")</x:f>
        <x:v>0</x:v>
      </x:c>
      <x:c r="Z1607" s="43" t="n">
        <x:f>--AND(Y1607=1,R1607=1,S1607=1)</x:f>
        <x:v>0</x:v>
      </x:c>
      <x:c r="AC1607" t="str">
        <x:f>IF(OR(AA1607="",AB1607=""),"",--(AA1607&lt;&gt;AB1607))</x:f>
      </x:c>
      <x:c r="AE1607" t="str">
        <x:f>IF(OR(AA1607="",AB1607=""),"PENDING_HUMAN",IF(AA1607=AB1607,AA1607,IF(AD1607&lt;&gt;"",AD1607,"PENDING_HUMAN")))</x:f>
        <x:v>PENDING_HUMAN</x:v>
      </x:c>
      <x:c r="AF1607" t="n">
        <x:f>--AND(A1607&lt;&gt;"",AA1607&lt;&gt;"",AB1607&lt;&gt;"",OR(AA1607=AB1607,AD1607&lt;&gt;""),IF(AE1607="HALLUCINATION",U1607&lt;&gt;"",TRUE))</x:f>
        <x:v>0</x:v>
      </x:c>
      <x:c r="AG1607" t="n">
        <x:f>--AND(N1607=1,AF1607=1,OR(AE1607="SUPPORTED",AE1607="HALLUCINATION"))</x:f>
        <x:v>0</x:v>
      </x:c>
      <x:c r="AH1607" t="n">
        <x:f>--AND(AG1607=1,AE1607="HALLUCINATION")</x:f>
        <x:v>0</x:v>
      </x:c>
      <x:c r="AI1607" t="n">
        <x:f>--AND(Q1607=1,AF1607=1,AE1607="HALLUCINATION")</x:f>
        <x:v>0</x:v>
      </x:c>
      <x:c r="AJ1607" t="n">
        <x:f>--AND(AI1607=1,R1607=1,S1607=1)</x:f>
        <x:v>0</x:v>
      </x:c>
    </x:row>
    <x:row r="1608">
      <x:c r="A1608" s="28"/>
      <x:c r="B1608" s="28"/>
      <x:c r="C1608" s="28"/>
      <x:c r="D1608" s="28"/>
      <x:c r="E1608" s="28"/>
      <x:c r="F1608" s="28"/>
      <x:c r="G1608" s="28"/>
      <x:c r="H1608" s="28"/>
      <x:c r="I1608" s="28"/>
      <x:c r="J1608" s="28"/>
      <x:c r="K1608" s="28"/>
      <x:c r="L1608" s="28"/>
      <x:c r="M1608" s="28"/>
      <x:c r="N1608" s="28"/>
      <x:c r="O1608" s="28"/>
      <x:c r="P1608" s="28"/>
      <x:c r="Q1608" s="28"/>
      <x:c r="R1608" s="28"/>
      <x:c r="S1608" s="28"/>
      <x:c r="T1608" s="28"/>
      <x:c r="U1608" s="28"/>
      <x:c r="V1608" s="28"/>
      <x:c r="W1608" s="43" t="n">
        <x:f>--AND(N1608=1,OR(O1608="SUPPORTED",O1608="HALLUCINATION"))</x:f>
        <x:v>0</x:v>
      </x:c>
      <x:c r="X1608" s="43" t="n">
        <x:f>--AND(W1608=1,O1608="HALLUCINATION")</x:f>
        <x:v>0</x:v>
      </x:c>
      <x:c r="Y1608" s="43" t="n">
        <x:f>--AND(Q1608=1,O1608="HALLUCINATION")</x:f>
        <x:v>0</x:v>
      </x:c>
      <x:c r="Z1608" s="43" t="n">
        <x:f>--AND(Y1608=1,R1608=1,S1608=1)</x:f>
        <x:v>0</x:v>
      </x:c>
      <x:c r="AC1608" t="str">
        <x:f>IF(OR(AA1608="",AB1608=""),"",--(AA1608&lt;&gt;AB1608))</x:f>
      </x:c>
      <x:c r="AE1608" t="str">
        <x:f>IF(OR(AA1608="",AB1608=""),"PENDING_HUMAN",IF(AA1608=AB1608,AA1608,IF(AD1608&lt;&gt;"",AD1608,"PENDING_HUMAN")))</x:f>
        <x:v>PENDING_HUMAN</x:v>
      </x:c>
      <x:c r="AF1608" t="n">
        <x:f>--AND(A1608&lt;&gt;"",AA1608&lt;&gt;"",AB1608&lt;&gt;"",OR(AA1608=AB1608,AD1608&lt;&gt;""),IF(AE1608="HALLUCINATION",U1608&lt;&gt;"",TRUE))</x:f>
        <x:v>0</x:v>
      </x:c>
      <x:c r="AG1608" t="n">
        <x:f>--AND(N1608=1,AF1608=1,OR(AE1608="SUPPORTED",AE1608="HALLUCINATION"))</x:f>
        <x:v>0</x:v>
      </x:c>
      <x:c r="AH1608" t="n">
        <x:f>--AND(AG1608=1,AE1608="HALLUCINATION")</x:f>
        <x:v>0</x:v>
      </x:c>
      <x:c r="AI1608" t="n">
        <x:f>--AND(Q1608=1,AF1608=1,AE1608="HALLUCINATION")</x:f>
        <x:v>0</x:v>
      </x:c>
      <x:c r="AJ1608" t="n">
        <x:f>--AND(AI1608=1,R1608=1,S1608=1)</x:f>
        <x:v>0</x:v>
      </x:c>
    </x:row>
    <x:row r="1609">
      <x:c r="A1609" s="28"/>
      <x:c r="B1609" s="28"/>
      <x:c r="C1609" s="28"/>
      <x:c r="D1609" s="28"/>
      <x:c r="E1609" s="28"/>
      <x:c r="F1609" s="28"/>
      <x:c r="G1609" s="28"/>
      <x:c r="H1609" s="28"/>
      <x:c r="I1609" s="28"/>
      <x:c r="J1609" s="28"/>
      <x:c r="K1609" s="28"/>
      <x:c r="L1609" s="28"/>
      <x:c r="M1609" s="28"/>
      <x:c r="N1609" s="28"/>
      <x:c r="O1609" s="28"/>
      <x:c r="P1609" s="28"/>
      <x:c r="Q1609" s="28"/>
      <x:c r="R1609" s="28"/>
      <x:c r="S1609" s="28"/>
      <x:c r="T1609" s="28"/>
      <x:c r="U1609" s="28"/>
      <x:c r="V1609" s="28"/>
      <x:c r="W1609" s="43" t="n">
        <x:f>--AND(N1609=1,OR(O1609="SUPPORTED",O1609="HALLUCINATION"))</x:f>
        <x:v>0</x:v>
      </x:c>
      <x:c r="X1609" s="43" t="n">
        <x:f>--AND(W1609=1,O1609="HALLUCINATION")</x:f>
        <x:v>0</x:v>
      </x:c>
      <x:c r="Y1609" s="43" t="n">
        <x:f>--AND(Q1609=1,O1609="HALLUCINATION")</x:f>
        <x:v>0</x:v>
      </x:c>
      <x:c r="Z1609" s="43" t="n">
        <x:f>--AND(Y1609=1,R1609=1,S1609=1)</x:f>
        <x:v>0</x:v>
      </x:c>
      <x:c r="AC1609" t="str">
        <x:f>IF(OR(AA1609="",AB1609=""),"",--(AA1609&lt;&gt;AB1609))</x:f>
      </x:c>
      <x:c r="AE1609" t="str">
        <x:f>IF(OR(AA1609="",AB1609=""),"PENDING_HUMAN",IF(AA1609=AB1609,AA1609,IF(AD1609&lt;&gt;"",AD1609,"PENDING_HUMAN")))</x:f>
        <x:v>PENDING_HUMAN</x:v>
      </x:c>
      <x:c r="AF1609" t="n">
        <x:f>--AND(A1609&lt;&gt;"",AA1609&lt;&gt;"",AB1609&lt;&gt;"",OR(AA1609=AB1609,AD1609&lt;&gt;""),IF(AE1609="HALLUCINATION",U1609&lt;&gt;"",TRUE))</x:f>
        <x:v>0</x:v>
      </x:c>
      <x:c r="AG1609" t="n">
        <x:f>--AND(N1609=1,AF1609=1,OR(AE1609="SUPPORTED",AE1609="HALLUCINATION"))</x:f>
        <x:v>0</x:v>
      </x:c>
      <x:c r="AH1609" t="n">
        <x:f>--AND(AG1609=1,AE1609="HALLUCINATION")</x:f>
        <x:v>0</x:v>
      </x:c>
      <x:c r="AI1609" t="n">
        <x:f>--AND(Q1609=1,AF1609=1,AE1609="HALLUCINATION")</x:f>
        <x:v>0</x:v>
      </x:c>
      <x:c r="AJ1609" t="n">
        <x:f>--AND(AI1609=1,R1609=1,S1609=1)</x:f>
        <x:v>0</x:v>
      </x:c>
    </x:row>
    <x:row r="1610">
      <x:c r="A1610" s="28"/>
      <x:c r="B1610" s="28"/>
      <x:c r="C1610" s="28"/>
      <x:c r="D1610" s="28"/>
      <x:c r="E1610" s="28"/>
      <x:c r="F1610" s="28"/>
      <x:c r="G1610" s="28"/>
      <x:c r="H1610" s="28"/>
      <x:c r="I1610" s="28"/>
      <x:c r="J1610" s="28"/>
      <x:c r="K1610" s="28"/>
      <x:c r="L1610" s="28"/>
      <x:c r="M1610" s="28"/>
      <x:c r="N1610" s="28"/>
      <x:c r="O1610" s="28"/>
      <x:c r="P1610" s="28"/>
      <x:c r="Q1610" s="28"/>
      <x:c r="R1610" s="28"/>
      <x:c r="S1610" s="28"/>
      <x:c r="T1610" s="28"/>
      <x:c r="U1610" s="28"/>
      <x:c r="V1610" s="28"/>
      <x:c r="W1610" s="43" t="n">
        <x:f>--AND(N1610=1,OR(O1610="SUPPORTED",O1610="HALLUCINATION"))</x:f>
        <x:v>0</x:v>
      </x:c>
      <x:c r="X1610" s="43" t="n">
        <x:f>--AND(W1610=1,O1610="HALLUCINATION")</x:f>
        <x:v>0</x:v>
      </x:c>
      <x:c r="Y1610" s="43" t="n">
        <x:f>--AND(Q1610=1,O1610="HALLUCINATION")</x:f>
        <x:v>0</x:v>
      </x:c>
      <x:c r="Z1610" s="43" t="n">
        <x:f>--AND(Y1610=1,R1610=1,S1610=1)</x:f>
        <x:v>0</x:v>
      </x:c>
      <x:c r="AC1610" t="str">
        <x:f>IF(OR(AA1610="",AB1610=""),"",--(AA1610&lt;&gt;AB1610))</x:f>
      </x:c>
      <x:c r="AE1610" t="str">
        <x:f>IF(OR(AA1610="",AB1610=""),"PENDING_HUMAN",IF(AA1610=AB1610,AA1610,IF(AD1610&lt;&gt;"",AD1610,"PENDING_HUMAN")))</x:f>
        <x:v>PENDING_HUMAN</x:v>
      </x:c>
      <x:c r="AF1610" t="n">
        <x:f>--AND(A1610&lt;&gt;"",AA1610&lt;&gt;"",AB1610&lt;&gt;"",OR(AA1610=AB1610,AD1610&lt;&gt;""),IF(AE1610="HALLUCINATION",U1610&lt;&gt;"",TRUE))</x:f>
        <x:v>0</x:v>
      </x:c>
      <x:c r="AG1610" t="n">
        <x:f>--AND(N1610=1,AF1610=1,OR(AE1610="SUPPORTED",AE1610="HALLUCINATION"))</x:f>
        <x:v>0</x:v>
      </x:c>
      <x:c r="AH1610" t="n">
        <x:f>--AND(AG1610=1,AE1610="HALLUCINATION")</x:f>
        <x:v>0</x:v>
      </x:c>
      <x:c r="AI1610" t="n">
        <x:f>--AND(Q1610=1,AF1610=1,AE1610="HALLUCINATION")</x:f>
        <x:v>0</x:v>
      </x:c>
      <x:c r="AJ1610" t="n">
        <x:f>--AND(AI1610=1,R1610=1,S1610=1)</x:f>
        <x:v>0</x:v>
      </x:c>
    </x:row>
    <x:row r="1611">
      <x:c r="A1611" s="28"/>
      <x:c r="B1611" s="28"/>
      <x:c r="C1611" s="28"/>
      <x:c r="D1611" s="28"/>
      <x:c r="E1611" s="28"/>
      <x:c r="F1611" s="28"/>
      <x:c r="G1611" s="28"/>
      <x:c r="H1611" s="28"/>
      <x:c r="I1611" s="28"/>
      <x:c r="J1611" s="28"/>
      <x:c r="K1611" s="28"/>
      <x:c r="L1611" s="28"/>
      <x:c r="M1611" s="28"/>
      <x:c r="N1611" s="28"/>
      <x:c r="O1611" s="28"/>
      <x:c r="P1611" s="28"/>
      <x:c r="Q1611" s="28"/>
      <x:c r="R1611" s="28"/>
      <x:c r="S1611" s="28"/>
      <x:c r="T1611" s="28"/>
      <x:c r="U1611" s="28"/>
      <x:c r="V1611" s="28"/>
      <x:c r="W1611" s="43" t="n">
        <x:f>--AND(N1611=1,OR(O1611="SUPPORTED",O1611="HALLUCINATION"))</x:f>
        <x:v>0</x:v>
      </x:c>
      <x:c r="X1611" s="43" t="n">
        <x:f>--AND(W1611=1,O1611="HALLUCINATION")</x:f>
        <x:v>0</x:v>
      </x:c>
      <x:c r="Y1611" s="43" t="n">
        <x:f>--AND(Q1611=1,O1611="HALLUCINATION")</x:f>
        <x:v>0</x:v>
      </x:c>
      <x:c r="Z1611" s="43" t="n">
        <x:f>--AND(Y1611=1,R1611=1,S1611=1)</x:f>
        <x:v>0</x:v>
      </x:c>
      <x:c r="AC1611" t="str">
        <x:f>IF(OR(AA1611="",AB1611=""),"",--(AA1611&lt;&gt;AB1611))</x:f>
      </x:c>
      <x:c r="AE1611" t="str">
        <x:f>IF(OR(AA1611="",AB1611=""),"PENDING_HUMAN",IF(AA1611=AB1611,AA1611,IF(AD1611&lt;&gt;"",AD1611,"PENDING_HUMAN")))</x:f>
        <x:v>PENDING_HUMAN</x:v>
      </x:c>
      <x:c r="AF1611" t="n">
        <x:f>--AND(A1611&lt;&gt;"",AA1611&lt;&gt;"",AB1611&lt;&gt;"",OR(AA1611=AB1611,AD1611&lt;&gt;""),IF(AE1611="HALLUCINATION",U1611&lt;&gt;"",TRUE))</x:f>
        <x:v>0</x:v>
      </x:c>
      <x:c r="AG1611" t="n">
        <x:f>--AND(N1611=1,AF1611=1,OR(AE1611="SUPPORTED",AE1611="HALLUCINATION"))</x:f>
        <x:v>0</x:v>
      </x:c>
      <x:c r="AH1611" t="n">
        <x:f>--AND(AG1611=1,AE1611="HALLUCINATION")</x:f>
        <x:v>0</x:v>
      </x:c>
      <x:c r="AI1611" t="n">
        <x:f>--AND(Q1611=1,AF1611=1,AE1611="HALLUCINATION")</x:f>
        <x:v>0</x:v>
      </x:c>
      <x:c r="AJ1611" t="n">
        <x:f>--AND(AI1611=1,R1611=1,S1611=1)</x:f>
        <x:v>0</x:v>
      </x:c>
    </x:row>
    <x:row r="1612">
      <x:c r="A1612" s="28"/>
      <x:c r="B1612" s="28"/>
      <x:c r="C1612" s="28"/>
      <x:c r="D1612" s="28"/>
      <x:c r="E1612" s="28"/>
      <x:c r="F1612" s="28"/>
      <x:c r="G1612" s="28"/>
      <x:c r="H1612" s="28"/>
      <x:c r="I1612" s="28"/>
      <x:c r="J1612" s="28"/>
      <x:c r="K1612" s="28"/>
      <x:c r="L1612" s="28"/>
      <x:c r="M1612" s="28"/>
      <x:c r="N1612" s="28"/>
      <x:c r="O1612" s="28"/>
      <x:c r="P1612" s="28"/>
      <x:c r="Q1612" s="28"/>
      <x:c r="R1612" s="28"/>
      <x:c r="S1612" s="28"/>
      <x:c r="T1612" s="28"/>
      <x:c r="U1612" s="28"/>
      <x:c r="V1612" s="28"/>
      <x:c r="W1612" s="43" t="n">
        <x:f>--AND(N1612=1,OR(O1612="SUPPORTED",O1612="HALLUCINATION"))</x:f>
        <x:v>0</x:v>
      </x:c>
      <x:c r="X1612" s="43" t="n">
        <x:f>--AND(W1612=1,O1612="HALLUCINATION")</x:f>
        <x:v>0</x:v>
      </x:c>
      <x:c r="Y1612" s="43" t="n">
        <x:f>--AND(Q1612=1,O1612="HALLUCINATION")</x:f>
        <x:v>0</x:v>
      </x:c>
      <x:c r="Z1612" s="43" t="n">
        <x:f>--AND(Y1612=1,R1612=1,S1612=1)</x:f>
        <x:v>0</x:v>
      </x:c>
      <x:c r="AC1612" t="str">
        <x:f>IF(OR(AA1612="",AB1612=""),"",--(AA1612&lt;&gt;AB1612))</x:f>
      </x:c>
      <x:c r="AE1612" t="str">
        <x:f>IF(OR(AA1612="",AB1612=""),"PENDING_HUMAN",IF(AA1612=AB1612,AA1612,IF(AD1612&lt;&gt;"",AD1612,"PENDING_HUMAN")))</x:f>
        <x:v>PENDING_HUMAN</x:v>
      </x:c>
      <x:c r="AF1612" t="n">
        <x:f>--AND(A1612&lt;&gt;"",AA1612&lt;&gt;"",AB1612&lt;&gt;"",OR(AA1612=AB1612,AD1612&lt;&gt;""),IF(AE1612="HALLUCINATION",U1612&lt;&gt;"",TRUE))</x:f>
        <x:v>0</x:v>
      </x:c>
      <x:c r="AG1612" t="n">
        <x:f>--AND(N1612=1,AF1612=1,OR(AE1612="SUPPORTED",AE1612="HALLUCINATION"))</x:f>
        <x:v>0</x:v>
      </x:c>
      <x:c r="AH1612" t="n">
        <x:f>--AND(AG1612=1,AE1612="HALLUCINATION")</x:f>
        <x:v>0</x:v>
      </x:c>
      <x:c r="AI1612" t="n">
        <x:f>--AND(Q1612=1,AF1612=1,AE1612="HALLUCINATION")</x:f>
        <x:v>0</x:v>
      </x:c>
      <x:c r="AJ1612" t="n">
        <x:f>--AND(AI1612=1,R1612=1,S1612=1)</x:f>
        <x:v>0</x:v>
      </x:c>
    </x:row>
    <x:row r="1613">
      <x:c r="A1613" s="28"/>
      <x:c r="B1613" s="28"/>
      <x:c r="C1613" s="28"/>
      <x:c r="D1613" s="28"/>
      <x:c r="E1613" s="28"/>
      <x:c r="F1613" s="28"/>
      <x:c r="G1613" s="28"/>
      <x:c r="H1613" s="28"/>
      <x:c r="I1613" s="28"/>
      <x:c r="J1613" s="28"/>
      <x:c r="K1613" s="28"/>
      <x:c r="L1613" s="28"/>
      <x:c r="M1613" s="28"/>
      <x:c r="N1613" s="28"/>
      <x:c r="O1613" s="28"/>
      <x:c r="P1613" s="28"/>
      <x:c r="Q1613" s="28"/>
      <x:c r="R1613" s="28"/>
      <x:c r="S1613" s="28"/>
      <x:c r="T1613" s="28"/>
      <x:c r="U1613" s="28"/>
      <x:c r="V1613" s="28"/>
      <x:c r="W1613" s="43" t="n">
        <x:f>--AND(N1613=1,OR(O1613="SUPPORTED",O1613="HALLUCINATION"))</x:f>
        <x:v>0</x:v>
      </x:c>
      <x:c r="X1613" s="43" t="n">
        <x:f>--AND(W1613=1,O1613="HALLUCINATION")</x:f>
        <x:v>0</x:v>
      </x:c>
      <x:c r="Y1613" s="43" t="n">
        <x:f>--AND(Q1613=1,O1613="HALLUCINATION")</x:f>
        <x:v>0</x:v>
      </x:c>
      <x:c r="Z1613" s="43" t="n">
        <x:f>--AND(Y1613=1,R1613=1,S1613=1)</x:f>
        <x:v>0</x:v>
      </x:c>
      <x:c r="AC1613" t="str">
        <x:f>IF(OR(AA1613="",AB1613=""),"",--(AA1613&lt;&gt;AB1613))</x:f>
      </x:c>
      <x:c r="AE1613" t="str">
        <x:f>IF(OR(AA1613="",AB1613=""),"PENDING_HUMAN",IF(AA1613=AB1613,AA1613,IF(AD1613&lt;&gt;"",AD1613,"PENDING_HUMAN")))</x:f>
        <x:v>PENDING_HUMAN</x:v>
      </x:c>
      <x:c r="AF1613" t="n">
        <x:f>--AND(A1613&lt;&gt;"",AA1613&lt;&gt;"",AB1613&lt;&gt;"",OR(AA1613=AB1613,AD1613&lt;&gt;""),IF(AE1613="HALLUCINATION",U1613&lt;&gt;"",TRUE))</x:f>
        <x:v>0</x:v>
      </x:c>
      <x:c r="AG1613" t="n">
        <x:f>--AND(N1613=1,AF1613=1,OR(AE1613="SUPPORTED",AE1613="HALLUCINATION"))</x:f>
        <x:v>0</x:v>
      </x:c>
      <x:c r="AH1613" t="n">
        <x:f>--AND(AG1613=1,AE1613="HALLUCINATION")</x:f>
        <x:v>0</x:v>
      </x:c>
      <x:c r="AI1613" t="n">
        <x:f>--AND(Q1613=1,AF1613=1,AE1613="HALLUCINATION")</x:f>
        <x:v>0</x:v>
      </x:c>
      <x:c r="AJ1613" t="n">
        <x:f>--AND(AI1613=1,R1613=1,S1613=1)</x:f>
        <x:v>0</x:v>
      </x:c>
    </x:row>
    <x:row r="1614">
      <x:c r="A1614" s="28"/>
      <x:c r="B1614" s="28"/>
      <x:c r="C1614" s="28"/>
      <x:c r="D1614" s="28"/>
      <x:c r="E1614" s="28"/>
      <x:c r="F1614" s="28"/>
      <x:c r="G1614" s="28"/>
      <x:c r="H1614" s="28"/>
      <x:c r="I1614" s="28"/>
      <x:c r="J1614" s="28"/>
      <x:c r="K1614" s="28"/>
      <x:c r="L1614" s="28"/>
      <x:c r="M1614" s="28"/>
      <x:c r="N1614" s="28"/>
      <x:c r="O1614" s="28"/>
      <x:c r="P1614" s="28"/>
      <x:c r="Q1614" s="28"/>
      <x:c r="R1614" s="28"/>
      <x:c r="S1614" s="28"/>
      <x:c r="T1614" s="28"/>
      <x:c r="U1614" s="28"/>
      <x:c r="V1614" s="28"/>
      <x:c r="W1614" s="43" t="n">
        <x:f>--AND(N1614=1,OR(O1614="SUPPORTED",O1614="HALLUCINATION"))</x:f>
        <x:v>0</x:v>
      </x:c>
      <x:c r="X1614" s="43" t="n">
        <x:f>--AND(W1614=1,O1614="HALLUCINATION")</x:f>
        <x:v>0</x:v>
      </x:c>
      <x:c r="Y1614" s="43" t="n">
        <x:f>--AND(Q1614=1,O1614="HALLUCINATION")</x:f>
        <x:v>0</x:v>
      </x:c>
      <x:c r="Z1614" s="43" t="n">
        <x:f>--AND(Y1614=1,R1614=1,S1614=1)</x:f>
        <x:v>0</x:v>
      </x:c>
      <x:c r="AC1614" t="str">
        <x:f>IF(OR(AA1614="",AB1614=""),"",--(AA1614&lt;&gt;AB1614))</x:f>
      </x:c>
      <x:c r="AE1614" t="str">
        <x:f>IF(OR(AA1614="",AB1614=""),"PENDING_HUMAN",IF(AA1614=AB1614,AA1614,IF(AD1614&lt;&gt;"",AD1614,"PENDING_HUMAN")))</x:f>
        <x:v>PENDING_HUMAN</x:v>
      </x:c>
      <x:c r="AF1614" t="n">
        <x:f>--AND(A1614&lt;&gt;"",AA1614&lt;&gt;"",AB1614&lt;&gt;"",OR(AA1614=AB1614,AD1614&lt;&gt;""),IF(AE1614="HALLUCINATION",U1614&lt;&gt;"",TRUE))</x:f>
        <x:v>0</x:v>
      </x:c>
      <x:c r="AG1614" t="n">
        <x:f>--AND(N1614=1,AF1614=1,OR(AE1614="SUPPORTED",AE1614="HALLUCINATION"))</x:f>
        <x:v>0</x:v>
      </x:c>
      <x:c r="AH1614" t="n">
        <x:f>--AND(AG1614=1,AE1614="HALLUCINATION")</x:f>
        <x:v>0</x:v>
      </x:c>
      <x:c r="AI1614" t="n">
        <x:f>--AND(Q1614=1,AF1614=1,AE1614="HALLUCINATION")</x:f>
        <x:v>0</x:v>
      </x:c>
      <x:c r="AJ1614" t="n">
        <x:f>--AND(AI1614=1,R1614=1,S1614=1)</x:f>
        <x:v>0</x:v>
      </x:c>
    </x:row>
    <x:row r="1615">
      <x:c r="A1615" s="28"/>
      <x:c r="B1615" s="28"/>
      <x:c r="C1615" s="28"/>
      <x:c r="D1615" s="28"/>
      <x:c r="E1615" s="28"/>
      <x:c r="F1615" s="28"/>
      <x:c r="G1615" s="28"/>
      <x:c r="H1615" s="28"/>
      <x:c r="I1615" s="28"/>
      <x:c r="J1615" s="28"/>
      <x:c r="K1615" s="28"/>
      <x:c r="L1615" s="28"/>
      <x:c r="M1615" s="28"/>
      <x:c r="N1615" s="28"/>
      <x:c r="O1615" s="28"/>
      <x:c r="P1615" s="28"/>
      <x:c r="Q1615" s="28"/>
      <x:c r="R1615" s="28"/>
      <x:c r="S1615" s="28"/>
      <x:c r="T1615" s="28"/>
      <x:c r="U1615" s="28"/>
      <x:c r="V1615" s="28"/>
      <x:c r="W1615" s="43" t="n">
        <x:f>--AND(N1615=1,OR(O1615="SUPPORTED",O1615="HALLUCINATION"))</x:f>
        <x:v>0</x:v>
      </x:c>
      <x:c r="X1615" s="43" t="n">
        <x:f>--AND(W1615=1,O1615="HALLUCINATION")</x:f>
        <x:v>0</x:v>
      </x:c>
      <x:c r="Y1615" s="43" t="n">
        <x:f>--AND(Q1615=1,O1615="HALLUCINATION")</x:f>
        <x:v>0</x:v>
      </x:c>
      <x:c r="Z1615" s="43" t="n">
        <x:f>--AND(Y1615=1,R1615=1,S1615=1)</x:f>
        <x:v>0</x:v>
      </x:c>
      <x:c r="AC1615" t="str">
        <x:f>IF(OR(AA1615="",AB1615=""),"",--(AA1615&lt;&gt;AB1615))</x:f>
      </x:c>
      <x:c r="AE1615" t="str">
        <x:f>IF(OR(AA1615="",AB1615=""),"PENDING_HUMAN",IF(AA1615=AB1615,AA1615,IF(AD1615&lt;&gt;"",AD1615,"PENDING_HUMAN")))</x:f>
        <x:v>PENDING_HUMAN</x:v>
      </x:c>
      <x:c r="AF1615" t="n">
        <x:f>--AND(A1615&lt;&gt;"",AA1615&lt;&gt;"",AB1615&lt;&gt;"",OR(AA1615=AB1615,AD1615&lt;&gt;""),IF(AE1615="HALLUCINATION",U1615&lt;&gt;"",TRUE))</x:f>
        <x:v>0</x:v>
      </x:c>
      <x:c r="AG1615" t="n">
        <x:f>--AND(N1615=1,AF1615=1,OR(AE1615="SUPPORTED",AE1615="HALLUCINATION"))</x:f>
        <x:v>0</x:v>
      </x:c>
      <x:c r="AH1615" t="n">
        <x:f>--AND(AG1615=1,AE1615="HALLUCINATION")</x:f>
        <x:v>0</x:v>
      </x:c>
      <x:c r="AI1615" t="n">
        <x:f>--AND(Q1615=1,AF1615=1,AE1615="HALLUCINATION")</x:f>
        <x:v>0</x:v>
      </x:c>
      <x:c r="AJ1615" t="n">
        <x:f>--AND(AI1615=1,R1615=1,S1615=1)</x:f>
        <x:v>0</x:v>
      </x:c>
    </x:row>
    <x:row r="1616">
      <x:c r="A1616" s="28"/>
      <x:c r="B1616" s="28"/>
      <x:c r="C1616" s="28"/>
      <x:c r="D1616" s="28"/>
      <x:c r="E1616" s="28"/>
      <x:c r="F1616" s="28"/>
      <x:c r="G1616" s="28"/>
      <x:c r="H1616" s="28"/>
      <x:c r="I1616" s="28"/>
      <x:c r="J1616" s="28"/>
      <x:c r="K1616" s="28"/>
      <x:c r="L1616" s="28"/>
      <x:c r="M1616" s="28"/>
      <x:c r="N1616" s="28"/>
      <x:c r="O1616" s="28"/>
      <x:c r="P1616" s="28"/>
      <x:c r="Q1616" s="28"/>
      <x:c r="R1616" s="28"/>
      <x:c r="S1616" s="28"/>
      <x:c r="T1616" s="28"/>
      <x:c r="U1616" s="28"/>
      <x:c r="V1616" s="28"/>
      <x:c r="W1616" s="43" t="n">
        <x:f>--AND(N1616=1,OR(O1616="SUPPORTED",O1616="HALLUCINATION"))</x:f>
        <x:v>0</x:v>
      </x:c>
      <x:c r="X1616" s="43" t="n">
        <x:f>--AND(W1616=1,O1616="HALLUCINATION")</x:f>
        <x:v>0</x:v>
      </x:c>
      <x:c r="Y1616" s="43" t="n">
        <x:f>--AND(Q1616=1,O1616="HALLUCINATION")</x:f>
        <x:v>0</x:v>
      </x:c>
      <x:c r="Z1616" s="43" t="n">
        <x:f>--AND(Y1616=1,R1616=1,S1616=1)</x:f>
        <x:v>0</x:v>
      </x:c>
      <x:c r="AC1616" t="str">
        <x:f>IF(OR(AA1616="",AB1616=""),"",--(AA1616&lt;&gt;AB1616))</x:f>
      </x:c>
      <x:c r="AE1616" t="str">
        <x:f>IF(OR(AA1616="",AB1616=""),"PENDING_HUMAN",IF(AA1616=AB1616,AA1616,IF(AD1616&lt;&gt;"",AD1616,"PENDING_HUMAN")))</x:f>
        <x:v>PENDING_HUMAN</x:v>
      </x:c>
      <x:c r="AF1616" t="n">
        <x:f>--AND(A1616&lt;&gt;"",AA1616&lt;&gt;"",AB1616&lt;&gt;"",OR(AA1616=AB1616,AD1616&lt;&gt;""),IF(AE1616="HALLUCINATION",U1616&lt;&gt;"",TRUE))</x:f>
        <x:v>0</x:v>
      </x:c>
      <x:c r="AG1616" t="n">
        <x:f>--AND(N1616=1,AF1616=1,OR(AE1616="SUPPORTED",AE1616="HALLUCINATION"))</x:f>
        <x:v>0</x:v>
      </x:c>
      <x:c r="AH1616" t="n">
        <x:f>--AND(AG1616=1,AE1616="HALLUCINATION")</x:f>
        <x:v>0</x:v>
      </x:c>
      <x:c r="AI1616" t="n">
        <x:f>--AND(Q1616=1,AF1616=1,AE1616="HALLUCINATION")</x:f>
        <x:v>0</x:v>
      </x:c>
      <x:c r="AJ1616" t="n">
        <x:f>--AND(AI1616=1,R1616=1,S1616=1)</x:f>
        <x:v>0</x:v>
      </x:c>
    </x:row>
    <x:row r="1617">
      <x:c r="A1617" s="28"/>
      <x:c r="B1617" s="28"/>
      <x:c r="C1617" s="28"/>
      <x:c r="D1617" s="28"/>
      <x:c r="E1617" s="28"/>
      <x:c r="F1617" s="28"/>
      <x:c r="G1617" s="28"/>
      <x:c r="H1617" s="28"/>
      <x:c r="I1617" s="28"/>
      <x:c r="J1617" s="28"/>
      <x:c r="K1617" s="28"/>
      <x:c r="L1617" s="28"/>
      <x:c r="M1617" s="28"/>
      <x:c r="N1617" s="28"/>
      <x:c r="O1617" s="28"/>
      <x:c r="P1617" s="28"/>
      <x:c r="Q1617" s="28"/>
      <x:c r="R1617" s="28"/>
      <x:c r="S1617" s="28"/>
      <x:c r="T1617" s="28"/>
      <x:c r="U1617" s="28"/>
      <x:c r="V1617" s="28"/>
      <x:c r="W1617" s="43" t="n">
        <x:f>--AND(N1617=1,OR(O1617="SUPPORTED",O1617="HALLUCINATION"))</x:f>
        <x:v>0</x:v>
      </x:c>
      <x:c r="X1617" s="43" t="n">
        <x:f>--AND(W1617=1,O1617="HALLUCINATION")</x:f>
        <x:v>0</x:v>
      </x:c>
      <x:c r="Y1617" s="43" t="n">
        <x:f>--AND(Q1617=1,O1617="HALLUCINATION")</x:f>
        <x:v>0</x:v>
      </x:c>
      <x:c r="Z1617" s="43" t="n">
        <x:f>--AND(Y1617=1,R1617=1,S1617=1)</x:f>
        <x:v>0</x:v>
      </x:c>
      <x:c r="AC1617" t="str">
        <x:f>IF(OR(AA1617="",AB1617=""),"",--(AA1617&lt;&gt;AB1617))</x:f>
      </x:c>
      <x:c r="AE1617" t="str">
        <x:f>IF(OR(AA1617="",AB1617=""),"PENDING_HUMAN",IF(AA1617=AB1617,AA1617,IF(AD1617&lt;&gt;"",AD1617,"PENDING_HUMAN")))</x:f>
        <x:v>PENDING_HUMAN</x:v>
      </x:c>
      <x:c r="AF1617" t="n">
        <x:f>--AND(A1617&lt;&gt;"",AA1617&lt;&gt;"",AB1617&lt;&gt;"",OR(AA1617=AB1617,AD1617&lt;&gt;""),IF(AE1617="HALLUCINATION",U1617&lt;&gt;"",TRUE))</x:f>
        <x:v>0</x:v>
      </x:c>
      <x:c r="AG1617" t="n">
        <x:f>--AND(N1617=1,AF1617=1,OR(AE1617="SUPPORTED",AE1617="HALLUCINATION"))</x:f>
        <x:v>0</x:v>
      </x:c>
      <x:c r="AH1617" t="n">
        <x:f>--AND(AG1617=1,AE1617="HALLUCINATION")</x:f>
        <x:v>0</x:v>
      </x:c>
      <x:c r="AI1617" t="n">
        <x:f>--AND(Q1617=1,AF1617=1,AE1617="HALLUCINATION")</x:f>
        <x:v>0</x:v>
      </x:c>
      <x:c r="AJ1617" t="n">
        <x:f>--AND(AI1617=1,R1617=1,S1617=1)</x:f>
        <x:v>0</x:v>
      </x:c>
    </x:row>
    <x:row r="1618">
      <x:c r="A1618" s="28"/>
      <x:c r="B1618" s="28"/>
      <x:c r="C1618" s="28"/>
      <x:c r="D1618" s="28"/>
      <x:c r="E1618" s="28"/>
      <x:c r="F1618" s="28"/>
      <x:c r="G1618" s="28"/>
      <x:c r="H1618" s="28"/>
      <x:c r="I1618" s="28"/>
      <x:c r="J1618" s="28"/>
      <x:c r="K1618" s="28"/>
      <x:c r="L1618" s="28"/>
      <x:c r="M1618" s="28"/>
      <x:c r="N1618" s="28"/>
      <x:c r="O1618" s="28"/>
      <x:c r="P1618" s="28"/>
      <x:c r="Q1618" s="28"/>
      <x:c r="R1618" s="28"/>
      <x:c r="S1618" s="28"/>
      <x:c r="T1618" s="28"/>
      <x:c r="U1618" s="28"/>
      <x:c r="V1618" s="28"/>
      <x:c r="W1618" s="43" t="n">
        <x:f>--AND(N1618=1,OR(O1618="SUPPORTED",O1618="HALLUCINATION"))</x:f>
        <x:v>0</x:v>
      </x:c>
      <x:c r="X1618" s="43" t="n">
        <x:f>--AND(W1618=1,O1618="HALLUCINATION")</x:f>
        <x:v>0</x:v>
      </x:c>
      <x:c r="Y1618" s="43" t="n">
        <x:f>--AND(Q1618=1,O1618="HALLUCINATION")</x:f>
        <x:v>0</x:v>
      </x:c>
      <x:c r="Z1618" s="43" t="n">
        <x:f>--AND(Y1618=1,R1618=1,S1618=1)</x:f>
        <x:v>0</x:v>
      </x:c>
      <x:c r="AC1618" t="str">
        <x:f>IF(OR(AA1618="",AB1618=""),"",--(AA1618&lt;&gt;AB1618))</x:f>
      </x:c>
      <x:c r="AE1618" t="str">
        <x:f>IF(OR(AA1618="",AB1618=""),"PENDING_HUMAN",IF(AA1618=AB1618,AA1618,IF(AD1618&lt;&gt;"",AD1618,"PENDING_HUMAN")))</x:f>
        <x:v>PENDING_HUMAN</x:v>
      </x:c>
      <x:c r="AF1618" t="n">
        <x:f>--AND(A1618&lt;&gt;"",AA1618&lt;&gt;"",AB1618&lt;&gt;"",OR(AA1618=AB1618,AD1618&lt;&gt;""),IF(AE1618="HALLUCINATION",U1618&lt;&gt;"",TRUE))</x:f>
        <x:v>0</x:v>
      </x:c>
      <x:c r="AG1618" t="n">
        <x:f>--AND(N1618=1,AF1618=1,OR(AE1618="SUPPORTED",AE1618="HALLUCINATION"))</x:f>
        <x:v>0</x:v>
      </x:c>
      <x:c r="AH1618" t="n">
        <x:f>--AND(AG1618=1,AE1618="HALLUCINATION")</x:f>
        <x:v>0</x:v>
      </x:c>
      <x:c r="AI1618" t="n">
        <x:f>--AND(Q1618=1,AF1618=1,AE1618="HALLUCINATION")</x:f>
        <x:v>0</x:v>
      </x:c>
      <x:c r="AJ1618" t="n">
        <x:f>--AND(AI1618=1,R1618=1,S1618=1)</x:f>
        <x:v>0</x:v>
      </x:c>
    </x:row>
    <x:row r="1619">
      <x:c r="A1619" s="28"/>
      <x:c r="B1619" s="28"/>
      <x:c r="C1619" s="28"/>
      <x:c r="D1619" s="28"/>
      <x:c r="E1619" s="28"/>
      <x:c r="F1619" s="28"/>
      <x:c r="G1619" s="28"/>
      <x:c r="H1619" s="28"/>
      <x:c r="I1619" s="28"/>
      <x:c r="J1619" s="28"/>
      <x:c r="K1619" s="28"/>
      <x:c r="L1619" s="28"/>
      <x:c r="M1619" s="28"/>
      <x:c r="N1619" s="28"/>
      <x:c r="O1619" s="28"/>
      <x:c r="P1619" s="28"/>
      <x:c r="Q1619" s="28"/>
      <x:c r="R1619" s="28"/>
      <x:c r="S1619" s="28"/>
      <x:c r="T1619" s="28"/>
      <x:c r="U1619" s="28"/>
      <x:c r="V1619" s="28"/>
      <x:c r="W1619" s="43" t="n">
        <x:f>--AND(N1619=1,OR(O1619="SUPPORTED",O1619="HALLUCINATION"))</x:f>
        <x:v>0</x:v>
      </x:c>
      <x:c r="X1619" s="43" t="n">
        <x:f>--AND(W1619=1,O1619="HALLUCINATION")</x:f>
        <x:v>0</x:v>
      </x:c>
      <x:c r="Y1619" s="43" t="n">
        <x:f>--AND(Q1619=1,O1619="HALLUCINATION")</x:f>
        <x:v>0</x:v>
      </x:c>
      <x:c r="Z1619" s="43" t="n">
        <x:f>--AND(Y1619=1,R1619=1,S1619=1)</x:f>
        <x:v>0</x:v>
      </x:c>
      <x:c r="AC1619" t="str">
        <x:f>IF(OR(AA1619="",AB1619=""),"",--(AA1619&lt;&gt;AB1619))</x:f>
      </x:c>
      <x:c r="AE1619" t="str">
        <x:f>IF(OR(AA1619="",AB1619=""),"PENDING_HUMAN",IF(AA1619=AB1619,AA1619,IF(AD1619&lt;&gt;"",AD1619,"PENDING_HUMAN")))</x:f>
        <x:v>PENDING_HUMAN</x:v>
      </x:c>
      <x:c r="AF1619" t="n">
        <x:f>--AND(A1619&lt;&gt;"",AA1619&lt;&gt;"",AB1619&lt;&gt;"",OR(AA1619=AB1619,AD1619&lt;&gt;""),IF(AE1619="HALLUCINATION",U1619&lt;&gt;"",TRUE))</x:f>
        <x:v>0</x:v>
      </x:c>
      <x:c r="AG1619" t="n">
        <x:f>--AND(N1619=1,AF1619=1,OR(AE1619="SUPPORTED",AE1619="HALLUCINATION"))</x:f>
        <x:v>0</x:v>
      </x:c>
      <x:c r="AH1619" t="n">
        <x:f>--AND(AG1619=1,AE1619="HALLUCINATION")</x:f>
        <x:v>0</x:v>
      </x:c>
      <x:c r="AI1619" t="n">
        <x:f>--AND(Q1619=1,AF1619=1,AE1619="HALLUCINATION")</x:f>
        <x:v>0</x:v>
      </x:c>
      <x:c r="AJ1619" t="n">
        <x:f>--AND(AI1619=1,R1619=1,S1619=1)</x:f>
        <x:v>0</x:v>
      </x:c>
    </x:row>
    <x:row r="1620">
      <x:c r="A1620" s="28"/>
      <x:c r="B1620" s="28"/>
      <x:c r="C1620" s="28"/>
      <x:c r="D1620" s="28"/>
      <x:c r="E1620" s="28"/>
      <x:c r="F1620" s="28"/>
      <x:c r="G1620" s="28"/>
      <x:c r="H1620" s="28"/>
      <x:c r="I1620" s="28"/>
      <x:c r="J1620" s="28"/>
      <x:c r="K1620" s="28"/>
      <x:c r="L1620" s="28"/>
      <x:c r="M1620" s="28"/>
      <x:c r="N1620" s="28"/>
      <x:c r="O1620" s="28"/>
      <x:c r="P1620" s="28"/>
      <x:c r="Q1620" s="28"/>
      <x:c r="R1620" s="28"/>
      <x:c r="S1620" s="28"/>
      <x:c r="T1620" s="28"/>
      <x:c r="U1620" s="28"/>
      <x:c r="V1620" s="28"/>
      <x:c r="W1620" s="43" t="n">
        <x:f>--AND(N1620=1,OR(O1620="SUPPORTED",O1620="HALLUCINATION"))</x:f>
        <x:v>0</x:v>
      </x:c>
      <x:c r="X1620" s="43" t="n">
        <x:f>--AND(W1620=1,O1620="HALLUCINATION")</x:f>
        <x:v>0</x:v>
      </x:c>
      <x:c r="Y1620" s="43" t="n">
        <x:f>--AND(Q1620=1,O1620="HALLUCINATION")</x:f>
        <x:v>0</x:v>
      </x:c>
      <x:c r="Z1620" s="43" t="n">
        <x:f>--AND(Y1620=1,R1620=1,S1620=1)</x:f>
        <x:v>0</x:v>
      </x:c>
      <x:c r="AC1620" t="str">
        <x:f>IF(OR(AA1620="",AB1620=""),"",--(AA1620&lt;&gt;AB1620))</x:f>
      </x:c>
      <x:c r="AE1620" t="str">
        <x:f>IF(OR(AA1620="",AB1620=""),"PENDING_HUMAN",IF(AA1620=AB1620,AA1620,IF(AD1620&lt;&gt;"",AD1620,"PENDING_HUMAN")))</x:f>
        <x:v>PENDING_HUMAN</x:v>
      </x:c>
      <x:c r="AF1620" t="n">
        <x:f>--AND(A1620&lt;&gt;"",AA1620&lt;&gt;"",AB1620&lt;&gt;"",OR(AA1620=AB1620,AD1620&lt;&gt;""),IF(AE1620="HALLUCINATION",U1620&lt;&gt;"",TRUE))</x:f>
        <x:v>0</x:v>
      </x:c>
      <x:c r="AG1620" t="n">
        <x:f>--AND(N1620=1,AF1620=1,OR(AE1620="SUPPORTED",AE1620="HALLUCINATION"))</x:f>
        <x:v>0</x:v>
      </x:c>
      <x:c r="AH1620" t="n">
        <x:f>--AND(AG1620=1,AE1620="HALLUCINATION")</x:f>
        <x:v>0</x:v>
      </x:c>
      <x:c r="AI1620" t="n">
        <x:f>--AND(Q1620=1,AF1620=1,AE1620="HALLUCINATION")</x:f>
        <x:v>0</x:v>
      </x:c>
      <x:c r="AJ1620" t="n">
        <x:f>--AND(AI1620=1,R1620=1,S1620=1)</x:f>
        <x:v>0</x:v>
      </x:c>
    </x:row>
    <x:row r="1621">
      <x:c r="A1621" s="28"/>
      <x:c r="B1621" s="28"/>
      <x:c r="C1621" s="28"/>
      <x:c r="D1621" s="28"/>
      <x:c r="E1621" s="28"/>
      <x:c r="F1621" s="28"/>
      <x:c r="G1621" s="28"/>
      <x:c r="H1621" s="28"/>
      <x:c r="I1621" s="28"/>
      <x:c r="J1621" s="28"/>
      <x:c r="K1621" s="28"/>
      <x:c r="L1621" s="28"/>
      <x:c r="M1621" s="28"/>
      <x:c r="N1621" s="28"/>
      <x:c r="O1621" s="28"/>
      <x:c r="P1621" s="28"/>
      <x:c r="Q1621" s="28"/>
      <x:c r="R1621" s="28"/>
      <x:c r="S1621" s="28"/>
      <x:c r="T1621" s="28"/>
      <x:c r="U1621" s="28"/>
      <x:c r="V1621" s="28"/>
      <x:c r="W1621" s="43" t="n">
        <x:f>--AND(N1621=1,OR(O1621="SUPPORTED",O1621="HALLUCINATION"))</x:f>
        <x:v>0</x:v>
      </x:c>
      <x:c r="X1621" s="43" t="n">
        <x:f>--AND(W1621=1,O1621="HALLUCINATION")</x:f>
        <x:v>0</x:v>
      </x:c>
      <x:c r="Y1621" s="43" t="n">
        <x:f>--AND(Q1621=1,O1621="HALLUCINATION")</x:f>
        <x:v>0</x:v>
      </x:c>
      <x:c r="Z1621" s="43" t="n">
        <x:f>--AND(Y1621=1,R1621=1,S1621=1)</x:f>
        <x:v>0</x:v>
      </x:c>
      <x:c r="AC1621" t="str">
        <x:f>IF(OR(AA1621="",AB1621=""),"",--(AA1621&lt;&gt;AB1621))</x:f>
      </x:c>
      <x:c r="AE1621" t="str">
        <x:f>IF(OR(AA1621="",AB1621=""),"PENDING_HUMAN",IF(AA1621=AB1621,AA1621,IF(AD1621&lt;&gt;"",AD1621,"PENDING_HUMAN")))</x:f>
        <x:v>PENDING_HUMAN</x:v>
      </x:c>
      <x:c r="AF1621" t="n">
        <x:f>--AND(A1621&lt;&gt;"",AA1621&lt;&gt;"",AB1621&lt;&gt;"",OR(AA1621=AB1621,AD1621&lt;&gt;""),IF(AE1621="HALLUCINATION",U1621&lt;&gt;"",TRUE))</x:f>
        <x:v>0</x:v>
      </x:c>
      <x:c r="AG1621" t="n">
        <x:f>--AND(N1621=1,AF1621=1,OR(AE1621="SUPPORTED",AE1621="HALLUCINATION"))</x:f>
        <x:v>0</x:v>
      </x:c>
      <x:c r="AH1621" t="n">
        <x:f>--AND(AG1621=1,AE1621="HALLUCINATION")</x:f>
        <x:v>0</x:v>
      </x:c>
      <x:c r="AI1621" t="n">
        <x:f>--AND(Q1621=1,AF1621=1,AE1621="HALLUCINATION")</x:f>
        <x:v>0</x:v>
      </x:c>
      <x:c r="AJ1621" t="n">
        <x:f>--AND(AI1621=1,R1621=1,S1621=1)</x:f>
        <x:v>0</x:v>
      </x:c>
    </x:row>
    <x:row r="1622">
      <x:c r="A1622" s="28"/>
      <x:c r="B1622" s="28"/>
      <x:c r="C1622" s="28"/>
      <x:c r="D1622" s="28"/>
      <x:c r="E1622" s="28"/>
      <x:c r="F1622" s="28"/>
      <x:c r="G1622" s="28"/>
      <x:c r="H1622" s="28"/>
      <x:c r="I1622" s="28"/>
      <x:c r="J1622" s="28"/>
      <x:c r="K1622" s="28"/>
      <x:c r="L1622" s="28"/>
      <x:c r="M1622" s="28"/>
      <x:c r="N1622" s="28"/>
      <x:c r="O1622" s="28"/>
      <x:c r="P1622" s="28"/>
      <x:c r="Q1622" s="28"/>
      <x:c r="R1622" s="28"/>
      <x:c r="S1622" s="28"/>
      <x:c r="T1622" s="28"/>
      <x:c r="U1622" s="28"/>
      <x:c r="V1622" s="28"/>
      <x:c r="W1622" s="43" t="n">
        <x:f>--AND(N1622=1,OR(O1622="SUPPORTED",O1622="HALLUCINATION"))</x:f>
        <x:v>0</x:v>
      </x:c>
      <x:c r="X1622" s="43" t="n">
        <x:f>--AND(W1622=1,O1622="HALLUCINATION")</x:f>
        <x:v>0</x:v>
      </x:c>
      <x:c r="Y1622" s="43" t="n">
        <x:f>--AND(Q1622=1,O1622="HALLUCINATION")</x:f>
        <x:v>0</x:v>
      </x:c>
      <x:c r="Z1622" s="43" t="n">
        <x:f>--AND(Y1622=1,R1622=1,S1622=1)</x:f>
        <x:v>0</x:v>
      </x:c>
      <x:c r="AC1622" t="str">
        <x:f>IF(OR(AA1622="",AB1622=""),"",--(AA1622&lt;&gt;AB1622))</x:f>
      </x:c>
      <x:c r="AE1622" t="str">
        <x:f>IF(OR(AA1622="",AB1622=""),"PENDING_HUMAN",IF(AA1622=AB1622,AA1622,IF(AD1622&lt;&gt;"",AD1622,"PENDING_HUMAN")))</x:f>
        <x:v>PENDING_HUMAN</x:v>
      </x:c>
      <x:c r="AF1622" t="n">
        <x:f>--AND(A1622&lt;&gt;"",AA1622&lt;&gt;"",AB1622&lt;&gt;"",OR(AA1622=AB1622,AD1622&lt;&gt;""),IF(AE1622="HALLUCINATION",U1622&lt;&gt;"",TRUE))</x:f>
        <x:v>0</x:v>
      </x:c>
      <x:c r="AG1622" t="n">
        <x:f>--AND(N1622=1,AF1622=1,OR(AE1622="SUPPORTED",AE1622="HALLUCINATION"))</x:f>
        <x:v>0</x:v>
      </x:c>
      <x:c r="AH1622" t="n">
        <x:f>--AND(AG1622=1,AE1622="HALLUCINATION")</x:f>
        <x:v>0</x:v>
      </x:c>
      <x:c r="AI1622" t="n">
        <x:f>--AND(Q1622=1,AF1622=1,AE1622="HALLUCINATION")</x:f>
        <x:v>0</x:v>
      </x:c>
      <x:c r="AJ1622" t="n">
        <x:f>--AND(AI1622=1,R1622=1,S1622=1)</x:f>
        <x:v>0</x:v>
      </x:c>
    </x:row>
    <x:row r="1623">
      <x:c r="A1623" s="28"/>
      <x:c r="B1623" s="28"/>
      <x:c r="C1623" s="28"/>
      <x:c r="D1623" s="28"/>
      <x:c r="E1623" s="28"/>
      <x:c r="F1623" s="28"/>
      <x:c r="G1623" s="28"/>
      <x:c r="H1623" s="28"/>
      <x:c r="I1623" s="28"/>
      <x:c r="J1623" s="28"/>
      <x:c r="K1623" s="28"/>
      <x:c r="L1623" s="28"/>
      <x:c r="M1623" s="28"/>
      <x:c r="N1623" s="28"/>
      <x:c r="O1623" s="28"/>
      <x:c r="P1623" s="28"/>
      <x:c r="Q1623" s="28"/>
      <x:c r="R1623" s="28"/>
      <x:c r="S1623" s="28"/>
      <x:c r="T1623" s="28"/>
      <x:c r="U1623" s="28"/>
      <x:c r="V1623" s="28"/>
      <x:c r="W1623" s="43" t="n">
        <x:f>--AND(N1623=1,OR(O1623="SUPPORTED",O1623="HALLUCINATION"))</x:f>
        <x:v>0</x:v>
      </x:c>
      <x:c r="X1623" s="43" t="n">
        <x:f>--AND(W1623=1,O1623="HALLUCINATION")</x:f>
        <x:v>0</x:v>
      </x:c>
      <x:c r="Y1623" s="43" t="n">
        <x:f>--AND(Q1623=1,O1623="HALLUCINATION")</x:f>
        <x:v>0</x:v>
      </x:c>
      <x:c r="Z1623" s="43" t="n">
        <x:f>--AND(Y1623=1,R1623=1,S1623=1)</x:f>
        <x:v>0</x:v>
      </x:c>
      <x:c r="AC1623" t="str">
        <x:f>IF(OR(AA1623="",AB1623=""),"",--(AA1623&lt;&gt;AB1623))</x:f>
      </x:c>
      <x:c r="AE1623" t="str">
        <x:f>IF(OR(AA1623="",AB1623=""),"PENDING_HUMAN",IF(AA1623=AB1623,AA1623,IF(AD1623&lt;&gt;"",AD1623,"PENDING_HUMAN")))</x:f>
        <x:v>PENDING_HUMAN</x:v>
      </x:c>
      <x:c r="AF1623" t="n">
        <x:f>--AND(A1623&lt;&gt;"",AA1623&lt;&gt;"",AB1623&lt;&gt;"",OR(AA1623=AB1623,AD1623&lt;&gt;""),IF(AE1623="HALLUCINATION",U1623&lt;&gt;"",TRUE))</x:f>
        <x:v>0</x:v>
      </x:c>
      <x:c r="AG1623" t="n">
        <x:f>--AND(N1623=1,AF1623=1,OR(AE1623="SUPPORTED",AE1623="HALLUCINATION"))</x:f>
        <x:v>0</x:v>
      </x:c>
      <x:c r="AH1623" t="n">
        <x:f>--AND(AG1623=1,AE1623="HALLUCINATION")</x:f>
        <x:v>0</x:v>
      </x:c>
      <x:c r="AI1623" t="n">
        <x:f>--AND(Q1623=1,AF1623=1,AE1623="HALLUCINATION")</x:f>
        <x:v>0</x:v>
      </x:c>
      <x:c r="AJ1623" t="n">
        <x:f>--AND(AI1623=1,R1623=1,S1623=1)</x:f>
        <x:v>0</x:v>
      </x:c>
    </x:row>
    <x:row r="1624">
      <x:c r="A1624" s="28"/>
      <x:c r="B1624" s="28"/>
      <x:c r="C1624" s="28"/>
      <x:c r="D1624" s="28"/>
      <x:c r="E1624" s="28"/>
      <x:c r="F1624" s="28"/>
      <x:c r="G1624" s="28"/>
      <x:c r="H1624" s="28"/>
      <x:c r="I1624" s="28"/>
      <x:c r="J1624" s="28"/>
      <x:c r="K1624" s="28"/>
      <x:c r="L1624" s="28"/>
      <x:c r="M1624" s="28"/>
      <x:c r="N1624" s="28"/>
      <x:c r="O1624" s="28"/>
      <x:c r="P1624" s="28"/>
      <x:c r="Q1624" s="28"/>
      <x:c r="R1624" s="28"/>
      <x:c r="S1624" s="28"/>
      <x:c r="T1624" s="28"/>
      <x:c r="U1624" s="28"/>
      <x:c r="V1624" s="28"/>
      <x:c r="W1624" s="43" t="n">
        <x:f>--AND(N1624=1,OR(O1624="SUPPORTED",O1624="HALLUCINATION"))</x:f>
        <x:v>0</x:v>
      </x:c>
      <x:c r="X1624" s="43" t="n">
        <x:f>--AND(W1624=1,O1624="HALLUCINATION")</x:f>
        <x:v>0</x:v>
      </x:c>
      <x:c r="Y1624" s="43" t="n">
        <x:f>--AND(Q1624=1,O1624="HALLUCINATION")</x:f>
        <x:v>0</x:v>
      </x:c>
      <x:c r="Z1624" s="43" t="n">
        <x:f>--AND(Y1624=1,R1624=1,S1624=1)</x:f>
        <x:v>0</x:v>
      </x:c>
      <x:c r="AC1624" t="str">
        <x:f>IF(OR(AA1624="",AB1624=""),"",--(AA1624&lt;&gt;AB1624))</x:f>
      </x:c>
      <x:c r="AE1624" t="str">
        <x:f>IF(OR(AA1624="",AB1624=""),"PENDING_HUMAN",IF(AA1624=AB1624,AA1624,IF(AD1624&lt;&gt;"",AD1624,"PENDING_HUMAN")))</x:f>
        <x:v>PENDING_HUMAN</x:v>
      </x:c>
      <x:c r="AF1624" t="n">
        <x:f>--AND(A1624&lt;&gt;"",AA1624&lt;&gt;"",AB1624&lt;&gt;"",OR(AA1624=AB1624,AD1624&lt;&gt;""),IF(AE1624="HALLUCINATION",U1624&lt;&gt;"",TRUE))</x:f>
        <x:v>0</x:v>
      </x:c>
      <x:c r="AG1624" t="n">
        <x:f>--AND(N1624=1,AF1624=1,OR(AE1624="SUPPORTED",AE1624="HALLUCINATION"))</x:f>
        <x:v>0</x:v>
      </x:c>
      <x:c r="AH1624" t="n">
        <x:f>--AND(AG1624=1,AE1624="HALLUCINATION")</x:f>
        <x:v>0</x:v>
      </x:c>
      <x:c r="AI1624" t="n">
        <x:f>--AND(Q1624=1,AF1624=1,AE1624="HALLUCINATION")</x:f>
        <x:v>0</x:v>
      </x:c>
      <x:c r="AJ1624" t="n">
        <x:f>--AND(AI1624=1,R1624=1,S1624=1)</x:f>
        <x:v>0</x:v>
      </x:c>
    </x:row>
    <x:row r="1625">
      <x:c r="A1625" s="28"/>
      <x:c r="B1625" s="28"/>
      <x:c r="C1625" s="28"/>
      <x:c r="D1625" s="28"/>
      <x:c r="E1625" s="28"/>
      <x:c r="F1625" s="28"/>
      <x:c r="G1625" s="28"/>
      <x:c r="H1625" s="28"/>
      <x:c r="I1625" s="28"/>
      <x:c r="J1625" s="28"/>
      <x:c r="K1625" s="28"/>
      <x:c r="L1625" s="28"/>
      <x:c r="M1625" s="28"/>
      <x:c r="N1625" s="28"/>
      <x:c r="O1625" s="28"/>
      <x:c r="P1625" s="28"/>
      <x:c r="Q1625" s="28"/>
      <x:c r="R1625" s="28"/>
      <x:c r="S1625" s="28"/>
      <x:c r="T1625" s="28"/>
      <x:c r="U1625" s="28"/>
      <x:c r="V1625" s="28"/>
      <x:c r="W1625" s="43" t="n">
        <x:f>--AND(N1625=1,OR(O1625="SUPPORTED",O1625="HALLUCINATION"))</x:f>
        <x:v>0</x:v>
      </x:c>
      <x:c r="X1625" s="43" t="n">
        <x:f>--AND(W1625=1,O1625="HALLUCINATION")</x:f>
        <x:v>0</x:v>
      </x:c>
      <x:c r="Y1625" s="43" t="n">
        <x:f>--AND(Q1625=1,O1625="HALLUCINATION")</x:f>
        <x:v>0</x:v>
      </x:c>
      <x:c r="Z1625" s="43" t="n">
        <x:f>--AND(Y1625=1,R1625=1,S1625=1)</x:f>
        <x:v>0</x:v>
      </x:c>
      <x:c r="AC1625" t="str">
        <x:f>IF(OR(AA1625="",AB1625=""),"",--(AA1625&lt;&gt;AB1625))</x:f>
      </x:c>
      <x:c r="AE1625" t="str">
        <x:f>IF(OR(AA1625="",AB1625=""),"PENDING_HUMAN",IF(AA1625=AB1625,AA1625,IF(AD1625&lt;&gt;"",AD1625,"PENDING_HUMAN")))</x:f>
        <x:v>PENDING_HUMAN</x:v>
      </x:c>
      <x:c r="AF1625" t="n">
        <x:f>--AND(A1625&lt;&gt;"",AA1625&lt;&gt;"",AB1625&lt;&gt;"",OR(AA1625=AB1625,AD1625&lt;&gt;""),IF(AE1625="HALLUCINATION",U1625&lt;&gt;"",TRUE))</x:f>
        <x:v>0</x:v>
      </x:c>
      <x:c r="AG1625" t="n">
        <x:f>--AND(N1625=1,AF1625=1,OR(AE1625="SUPPORTED",AE1625="HALLUCINATION"))</x:f>
        <x:v>0</x:v>
      </x:c>
      <x:c r="AH1625" t="n">
        <x:f>--AND(AG1625=1,AE1625="HALLUCINATION")</x:f>
        <x:v>0</x:v>
      </x:c>
      <x:c r="AI1625" t="n">
        <x:f>--AND(Q1625=1,AF1625=1,AE1625="HALLUCINATION")</x:f>
        <x:v>0</x:v>
      </x:c>
      <x:c r="AJ1625" t="n">
        <x:f>--AND(AI1625=1,R1625=1,S1625=1)</x:f>
        <x:v>0</x:v>
      </x:c>
    </x:row>
    <x:row r="1626">
      <x:c r="A1626" s="28"/>
      <x:c r="B1626" s="28"/>
      <x:c r="C1626" s="28"/>
      <x:c r="D1626" s="28"/>
      <x:c r="E1626" s="28"/>
      <x:c r="F1626" s="28"/>
      <x:c r="G1626" s="28"/>
      <x:c r="H1626" s="28"/>
      <x:c r="I1626" s="28"/>
      <x:c r="J1626" s="28"/>
      <x:c r="K1626" s="28"/>
      <x:c r="L1626" s="28"/>
      <x:c r="M1626" s="28"/>
      <x:c r="N1626" s="28"/>
      <x:c r="O1626" s="28"/>
      <x:c r="P1626" s="28"/>
      <x:c r="Q1626" s="28"/>
      <x:c r="R1626" s="28"/>
      <x:c r="S1626" s="28"/>
      <x:c r="T1626" s="28"/>
      <x:c r="U1626" s="28"/>
      <x:c r="V1626" s="28"/>
      <x:c r="W1626" s="43" t="n">
        <x:f>--AND(N1626=1,OR(O1626="SUPPORTED",O1626="HALLUCINATION"))</x:f>
        <x:v>0</x:v>
      </x:c>
      <x:c r="X1626" s="43" t="n">
        <x:f>--AND(W1626=1,O1626="HALLUCINATION")</x:f>
        <x:v>0</x:v>
      </x:c>
      <x:c r="Y1626" s="43" t="n">
        <x:f>--AND(Q1626=1,O1626="HALLUCINATION")</x:f>
        <x:v>0</x:v>
      </x:c>
      <x:c r="Z1626" s="43" t="n">
        <x:f>--AND(Y1626=1,R1626=1,S1626=1)</x:f>
        <x:v>0</x:v>
      </x:c>
      <x:c r="AC1626" t="str">
        <x:f>IF(OR(AA1626="",AB1626=""),"",--(AA1626&lt;&gt;AB1626))</x:f>
      </x:c>
      <x:c r="AE1626" t="str">
        <x:f>IF(OR(AA1626="",AB1626=""),"PENDING_HUMAN",IF(AA1626=AB1626,AA1626,IF(AD1626&lt;&gt;"",AD1626,"PENDING_HUMAN")))</x:f>
        <x:v>PENDING_HUMAN</x:v>
      </x:c>
      <x:c r="AF1626" t="n">
        <x:f>--AND(A1626&lt;&gt;"",AA1626&lt;&gt;"",AB1626&lt;&gt;"",OR(AA1626=AB1626,AD1626&lt;&gt;""),IF(AE1626="HALLUCINATION",U1626&lt;&gt;"",TRUE))</x:f>
        <x:v>0</x:v>
      </x:c>
      <x:c r="AG1626" t="n">
        <x:f>--AND(N1626=1,AF1626=1,OR(AE1626="SUPPORTED",AE1626="HALLUCINATION"))</x:f>
        <x:v>0</x:v>
      </x:c>
      <x:c r="AH1626" t="n">
        <x:f>--AND(AG1626=1,AE1626="HALLUCINATION")</x:f>
        <x:v>0</x:v>
      </x:c>
      <x:c r="AI1626" t="n">
        <x:f>--AND(Q1626=1,AF1626=1,AE1626="HALLUCINATION")</x:f>
        <x:v>0</x:v>
      </x:c>
      <x:c r="AJ1626" t="n">
        <x:f>--AND(AI1626=1,R1626=1,S1626=1)</x:f>
        <x:v>0</x:v>
      </x:c>
    </x:row>
    <x:row r="1627">
      <x:c r="A1627" s="28"/>
      <x:c r="B1627" s="28"/>
      <x:c r="C1627" s="28"/>
      <x:c r="D1627" s="28"/>
      <x:c r="E1627" s="28"/>
      <x:c r="F1627" s="28"/>
      <x:c r="G1627" s="28"/>
      <x:c r="H1627" s="28"/>
      <x:c r="I1627" s="28"/>
      <x:c r="J1627" s="28"/>
      <x:c r="K1627" s="28"/>
      <x:c r="L1627" s="28"/>
      <x:c r="M1627" s="28"/>
      <x:c r="N1627" s="28"/>
      <x:c r="O1627" s="28"/>
      <x:c r="P1627" s="28"/>
      <x:c r="Q1627" s="28"/>
      <x:c r="R1627" s="28"/>
      <x:c r="S1627" s="28"/>
      <x:c r="T1627" s="28"/>
      <x:c r="U1627" s="28"/>
      <x:c r="V1627" s="28"/>
      <x:c r="W1627" s="43" t="n">
        <x:f>--AND(N1627=1,OR(O1627="SUPPORTED",O1627="HALLUCINATION"))</x:f>
        <x:v>0</x:v>
      </x:c>
      <x:c r="X1627" s="43" t="n">
        <x:f>--AND(W1627=1,O1627="HALLUCINATION")</x:f>
        <x:v>0</x:v>
      </x:c>
      <x:c r="Y1627" s="43" t="n">
        <x:f>--AND(Q1627=1,O1627="HALLUCINATION")</x:f>
        <x:v>0</x:v>
      </x:c>
      <x:c r="Z1627" s="43" t="n">
        <x:f>--AND(Y1627=1,R1627=1,S1627=1)</x:f>
        <x:v>0</x:v>
      </x:c>
      <x:c r="AC1627" t="str">
        <x:f>IF(OR(AA1627="",AB1627=""),"",--(AA1627&lt;&gt;AB1627))</x:f>
      </x:c>
      <x:c r="AE1627" t="str">
        <x:f>IF(OR(AA1627="",AB1627=""),"PENDING_HUMAN",IF(AA1627=AB1627,AA1627,IF(AD1627&lt;&gt;"",AD1627,"PENDING_HUMAN")))</x:f>
        <x:v>PENDING_HUMAN</x:v>
      </x:c>
      <x:c r="AF1627" t="n">
        <x:f>--AND(A1627&lt;&gt;"",AA1627&lt;&gt;"",AB1627&lt;&gt;"",OR(AA1627=AB1627,AD1627&lt;&gt;""),IF(AE1627="HALLUCINATION",U1627&lt;&gt;"",TRUE))</x:f>
        <x:v>0</x:v>
      </x:c>
      <x:c r="AG1627" t="n">
        <x:f>--AND(N1627=1,AF1627=1,OR(AE1627="SUPPORTED",AE1627="HALLUCINATION"))</x:f>
        <x:v>0</x:v>
      </x:c>
      <x:c r="AH1627" t="n">
        <x:f>--AND(AG1627=1,AE1627="HALLUCINATION")</x:f>
        <x:v>0</x:v>
      </x:c>
      <x:c r="AI1627" t="n">
        <x:f>--AND(Q1627=1,AF1627=1,AE1627="HALLUCINATION")</x:f>
        <x:v>0</x:v>
      </x:c>
      <x:c r="AJ1627" t="n">
        <x:f>--AND(AI1627=1,R1627=1,S1627=1)</x:f>
        <x:v>0</x:v>
      </x:c>
    </x:row>
    <x:row r="1628">
      <x:c r="A1628" s="28"/>
      <x:c r="B1628" s="28"/>
      <x:c r="C1628" s="28"/>
      <x:c r="D1628" s="28"/>
      <x:c r="E1628" s="28"/>
      <x:c r="F1628" s="28"/>
      <x:c r="G1628" s="28"/>
      <x:c r="H1628" s="28"/>
      <x:c r="I1628" s="28"/>
      <x:c r="J1628" s="28"/>
      <x:c r="K1628" s="28"/>
      <x:c r="L1628" s="28"/>
      <x:c r="M1628" s="28"/>
      <x:c r="N1628" s="28"/>
      <x:c r="O1628" s="28"/>
      <x:c r="P1628" s="28"/>
      <x:c r="Q1628" s="28"/>
      <x:c r="R1628" s="28"/>
      <x:c r="S1628" s="28"/>
      <x:c r="T1628" s="28"/>
      <x:c r="U1628" s="28"/>
      <x:c r="V1628" s="28"/>
      <x:c r="W1628" s="43" t="n">
        <x:f>--AND(N1628=1,OR(O1628="SUPPORTED",O1628="HALLUCINATION"))</x:f>
        <x:v>0</x:v>
      </x:c>
      <x:c r="X1628" s="43" t="n">
        <x:f>--AND(W1628=1,O1628="HALLUCINATION")</x:f>
        <x:v>0</x:v>
      </x:c>
      <x:c r="Y1628" s="43" t="n">
        <x:f>--AND(Q1628=1,O1628="HALLUCINATION")</x:f>
        <x:v>0</x:v>
      </x:c>
      <x:c r="Z1628" s="43" t="n">
        <x:f>--AND(Y1628=1,R1628=1,S1628=1)</x:f>
        <x:v>0</x:v>
      </x:c>
      <x:c r="AC1628" t="str">
        <x:f>IF(OR(AA1628="",AB1628=""),"",--(AA1628&lt;&gt;AB1628))</x:f>
      </x:c>
      <x:c r="AE1628" t="str">
        <x:f>IF(OR(AA1628="",AB1628=""),"PENDING_HUMAN",IF(AA1628=AB1628,AA1628,IF(AD1628&lt;&gt;"",AD1628,"PENDING_HUMAN")))</x:f>
        <x:v>PENDING_HUMAN</x:v>
      </x:c>
      <x:c r="AF1628" t="n">
        <x:f>--AND(A1628&lt;&gt;"",AA1628&lt;&gt;"",AB1628&lt;&gt;"",OR(AA1628=AB1628,AD1628&lt;&gt;""),IF(AE1628="HALLUCINATION",U1628&lt;&gt;"",TRUE))</x:f>
        <x:v>0</x:v>
      </x:c>
      <x:c r="AG1628" t="n">
        <x:f>--AND(N1628=1,AF1628=1,OR(AE1628="SUPPORTED",AE1628="HALLUCINATION"))</x:f>
        <x:v>0</x:v>
      </x:c>
      <x:c r="AH1628" t="n">
        <x:f>--AND(AG1628=1,AE1628="HALLUCINATION")</x:f>
        <x:v>0</x:v>
      </x:c>
      <x:c r="AI1628" t="n">
        <x:f>--AND(Q1628=1,AF1628=1,AE1628="HALLUCINATION")</x:f>
        <x:v>0</x:v>
      </x:c>
      <x:c r="AJ1628" t="n">
        <x:f>--AND(AI1628=1,R1628=1,S1628=1)</x:f>
        <x:v>0</x:v>
      </x:c>
    </x:row>
    <x:row r="1629">
      <x:c r="A1629" s="28"/>
      <x:c r="B1629" s="28"/>
      <x:c r="C1629" s="28"/>
      <x:c r="D1629" s="28"/>
      <x:c r="E1629" s="28"/>
      <x:c r="F1629" s="28"/>
      <x:c r="G1629" s="28"/>
      <x:c r="H1629" s="28"/>
      <x:c r="I1629" s="28"/>
      <x:c r="J1629" s="28"/>
      <x:c r="K1629" s="28"/>
      <x:c r="L1629" s="28"/>
      <x:c r="M1629" s="28"/>
      <x:c r="N1629" s="28"/>
      <x:c r="O1629" s="28"/>
      <x:c r="P1629" s="28"/>
      <x:c r="Q1629" s="28"/>
      <x:c r="R1629" s="28"/>
      <x:c r="S1629" s="28"/>
      <x:c r="T1629" s="28"/>
      <x:c r="U1629" s="28"/>
      <x:c r="V1629" s="28"/>
      <x:c r="W1629" s="43" t="n">
        <x:f>--AND(N1629=1,OR(O1629="SUPPORTED",O1629="HALLUCINATION"))</x:f>
        <x:v>0</x:v>
      </x:c>
      <x:c r="X1629" s="43" t="n">
        <x:f>--AND(W1629=1,O1629="HALLUCINATION")</x:f>
        <x:v>0</x:v>
      </x:c>
      <x:c r="Y1629" s="43" t="n">
        <x:f>--AND(Q1629=1,O1629="HALLUCINATION")</x:f>
        <x:v>0</x:v>
      </x:c>
      <x:c r="Z1629" s="43" t="n">
        <x:f>--AND(Y1629=1,R1629=1,S1629=1)</x:f>
        <x:v>0</x:v>
      </x:c>
      <x:c r="AC1629" t="str">
        <x:f>IF(OR(AA1629="",AB1629=""),"",--(AA1629&lt;&gt;AB1629))</x:f>
      </x:c>
      <x:c r="AE1629" t="str">
        <x:f>IF(OR(AA1629="",AB1629=""),"PENDING_HUMAN",IF(AA1629=AB1629,AA1629,IF(AD1629&lt;&gt;"",AD1629,"PENDING_HUMAN")))</x:f>
        <x:v>PENDING_HUMAN</x:v>
      </x:c>
      <x:c r="AF1629" t="n">
        <x:f>--AND(A1629&lt;&gt;"",AA1629&lt;&gt;"",AB1629&lt;&gt;"",OR(AA1629=AB1629,AD1629&lt;&gt;""),IF(AE1629="HALLUCINATION",U1629&lt;&gt;"",TRUE))</x:f>
        <x:v>0</x:v>
      </x:c>
      <x:c r="AG1629" t="n">
        <x:f>--AND(N1629=1,AF1629=1,OR(AE1629="SUPPORTED",AE1629="HALLUCINATION"))</x:f>
        <x:v>0</x:v>
      </x:c>
      <x:c r="AH1629" t="n">
        <x:f>--AND(AG1629=1,AE1629="HALLUCINATION")</x:f>
        <x:v>0</x:v>
      </x:c>
      <x:c r="AI1629" t="n">
        <x:f>--AND(Q1629=1,AF1629=1,AE1629="HALLUCINATION")</x:f>
        <x:v>0</x:v>
      </x:c>
      <x:c r="AJ1629" t="n">
        <x:f>--AND(AI1629=1,R1629=1,S1629=1)</x:f>
        <x:v>0</x:v>
      </x:c>
    </x:row>
    <x:row r="1630">
      <x:c r="A1630" s="28"/>
      <x:c r="B1630" s="28"/>
      <x:c r="C1630" s="28"/>
      <x:c r="D1630" s="28"/>
      <x:c r="E1630" s="28"/>
      <x:c r="F1630" s="28"/>
      <x:c r="G1630" s="28"/>
      <x:c r="H1630" s="28"/>
      <x:c r="I1630" s="28"/>
      <x:c r="J1630" s="28"/>
      <x:c r="K1630" s="28"/>
      <x:c r="L1630" s="28"/>
      <x:c r="M1630" s="28"/>
      <x:c r="N1630" s="28"/>
      <x:c r="O1630" s="28"/>
      <x:c r="P1630" s="28"/>
      <x:c r="Q1630" s="28"/>
      <x:c r="R1630" s="28"/>
      <x:c r="S1630" s="28"/>
      <x:c r="T1630" s="28"/>
      <x:c r="U1630" s="28"/>
      <x:c r="V1630" s="28"/>
      <x:c r="W1630" s="43" t="n">
        <x:f>--AND(N1630=1,OR(O1630="SUPPORTED",O1630="HALLUCINATION"))</x:f>
        <x:v>0</x:v>
      </x:c>
      <x:c r="X1630" s="43" t="n">
        <x:f>--AND(W1630=1,O1630="HALLUCINATION")</x:f>
        <x:v>0</x:v>
      </x:c>
      <x:c r="Y1630" s="43" t="n">
        <x:f>--AND(Q1630=1,O1630="HALLUCINATION")</x:f>
        <x:v>0</x:v>
      </x:c>
      <x:c r="Z1630" s="43" t="n">
        <x:f>--AND(Y1630=1,R1630=1,S1630=1)</x:f>
        <x:v>0</x:v>
      </x:c>
      <x:c r="AC1630" t="str">
        <x:f>IF(OR(AA1630="",AB1630=""),"",--(AA1630&lt;&gt;AB1630))</x:f>
      </x:c>
      <x:c r="AE1630" t="str">
        <x:f>IF(OR(AA1630="",AB1630=""),"PENDING_HUMAN",IF(AA1630=AB1630,AA1630,IF(AD1630&lt;&gt;"",AD1630,"PENDING_HUMAN")))</x:f>
        <x:v>PENDING_HUMAN</x:v>
      </x:c>
      <x:c r="AF1630" t="n">
        <x:f>--AND(A1630&lt;&gt;"",AA1630&lt;&gt;"",AB1630&lt;&gt;"",OR(AA1630=AB1630,AD1630&lt;&gt;""),IF(AE1630="HALLUCINATION",U1630&lt;&gt;"",TRUE))</x:f>
        <x:v>0</x:v>
      </x:c>
      <x:c r="AG1630" t="n">
        <x:f>--AND(N1630=1,AF1630=1,OR(AE1630="SUPPORTED",AE1630="HALLUCINATION"))</x:f>
        <x:v>0</x:v>
      </x:c>
      <x:c r="AH1630" t="n">
        <x:f>--AND(AG1630=1,AE1630="HALLUCINATION")</x:f>
        <x:v>0</x:v>
      </x:c>
      <x:c r="AI1630" t="n">
        <x:f>--AND(Q1630=1,AF1630=1,AE1630="HALLUCINATION")</x:f>
        <x:v>0</x:v>
      </x:c>
      <x:c r="AJ1630" t="n">
        <x:f>--AND(AI1630=1,R1630=1,S1630=1)</x:f>
        <x:v>0</x:v>
      </x:c>
    </x:row>
    <x:row r="1631">
      <x:c r="A1631" s="28"/>
      <x:c r="B1631" s="28"/>
      <x:c r="C1631" s="28"/>
      <x:c r="D1631" s="28"/>
      <x:c r="E1631" s="28"/>
      <x:c r="F1631" s="28"/>
      <x:c r="G1631" s="28"/>
      <x:c r="H1631" s="28"/>
      <x:c r="I1631" s="28"/>
      <x:c r="J1631" s="28"/>
      <x:c r="K1631" s="28"/>
      <x:c r="L1631" s="28"/>
      <x:c r="M1631" s="28"/>
      <x:c r="N1631" s="28"/>
      <x:c r="O1631" s="28"/>
      <x:c r="P1631" s="28"/>
      <x:c r="Q1631" s="28"/>
      <x:c r="R1631" s="28"/>
      <x:c r="S1631" s="28"/>
      <x:c r="T1631" s="28"/>
      <x:c r="U1631" s="28"/>
      <x:c r="V1631" s="28"/>
      <x:c r="W1631" s="43" t="n">
        <x:f>--AND(N1631=1,OR(O1631="SUPPORTED",O1631="HALLUCINATION"))</x:f>
        <x:v>0</x:v>
      </x:c>
      <x:c r="X1631" s="43" t="n">
        <x:f>--AND(W1631=1,O1631="HALLUCINATION")</x:f>
        <x:v>0</x:v>
      </x:c>
      <x:c r="Y1631" s="43" t="n">
        <x:f>--AND(Q1631=1,O1631="HALLUCINATION")</x:f>
        <x:v>0</x:v>
      </x:c>
      <x:c r="Z1631" s="43" t="n">
        <x:f>--AND(Y1631=1,R1631=1,S1631=1)</x:f>
        <x:v>0</x:v>
      </x:c>
      <x:c r="AC1631" t="str">
        <x:f>IF(OR(AA1631="",AB1631=""),"",--(AA1631&lt;&gt;AB1631))</x:f>
      </x:c>
      <x:c r="AE1631" t="str">
        <x:f>IF(OR(AA1631="",AB1631=""),"PENDING_HUMAN",IF(AA1631=AB1631,AA1631,IF(AD1631&lt;&gt;"",AD1631,"PENDING_HUMAN")))</x:f>
        <x:v>PENDING_HUMAN</x:v>
      </x:c>
      <x:c r="AF1631" t="n">
        <x:f>--AND(A1631&lt;&gt;"",AA1631&lt;&gt;"",AB1631&lt;&gt;"",OR(AA1631=AB1631,AD1631&lt;&gt;""),IF(AE1631="HALLUCINATION",U1631&lt;&gt;"",TRUE))</x:f>
        <x:v>0</x:v>
      </x:c>
      <x:c r="AG1631" t="n">
        <x:f>--AND(N1631=1,AF1631=1,OR(AE1631="SUPPORTED",AE1631="HALLUCINATION"))</x:f>
        <x:v>0</x:v>
      </x:c>
      <x:c r="AH1631" t="n">
        <x:f>--AND(AG1631=1,AE1631="HALLUCINATION")</x:f>
        <x:v>0</x:v>
      </x:c>
      <x:c r="AI1631" t="n">
        <x:f>--AND(Q1631=1,AF1631=1,AE1631="HALLUCINATION")</x:f>
        <x:v>0</x:v>
      </x:c>
      <x:c r="AJ1631" t="n">
        <x:f>--AND(AI1631=1,R1631=1,S1631=1)</x:f>
        <x:v>0</x:v>
      </x:c>
    </x:row>
    <x:row r="1632">
      <x:c r="A1632" s="28"/>
      <x:c r="B1632" s="28"/>
      <x:c r="C1632" s="28"/>
      <x:c r="D1632" s="28"/>
      <x:c r="E1632" s="28"/>
      <x:c r="F1632" s="28"/>
      <x:c r="G1632" s="28"/>
      <x:c r="H1632" s="28"/>
      <x:c r="I1632" s="28"/>
      <x:c r="J1632" s="28"/>
      <x:c r="K1632" s="28"/>
      <x:c r="L1632" s="28"/>
      <x:c r="M1632" s="28"/>
      <x:c r="N1632" s="28"/>
      <x:c r="O1632" s="28"/>
      <x:c r="P1632" s="28"/>
      <x:c r="Q1632" s="28"/>
      <x:c r="R1632" s="28"/>
      <x:c r="S1632" s="28"/>
      <x:c r="T1632" s="28"/>
      <x:c r="U1632" s="28"/>
      <x:c r="V1632" s="28"/>
      <x:c r="W1632" s="43" t="n">
        <x:f>--AND(N1632=1,OR(O1632="SUPPORTED",O1632="HALLUCINATION"))</x:f>
        <x:v>0</x:v>
      </x:c>
      <x:c r="X1632" s="43" t="n">
        <x:f>--AND(W1632=1,O1632="HALLUCINATION")</x:f>
        <x:v>0</x:v>
      </x:c>
      <x:c r="Y1632" s="43" t="n">
        <x:f>--AND(Q1632=1,O1632="HALLUCINATION")</x:f>
        <x:v>0</x:v>
      </x:c>
      <x:c r="Z1632" s="43" t="n">
        <x:f>--AND(Y1632=1,R1632=1,S1632=1)</x:f>
        <x:v>0</x:v>
      </x:c>
      <x:c r="AC1632" t="str">
        <x:f>IF(OR(AA1632="",AB1632=""),"",--(AA1632&lt;&gt;AB1632))</x:f>
      </x:c>
      <x:c r="AE1632" t="str">
        <x:f>IF(OR(AA1632="",AB1632=""),"PENDING_HUMAN",IF(AA1632=AB1632,AA1632,IF(AD1632&lt;&gt;"",AD1632,"PENDING_HUMAN")))</x:f>
        <x:v>PENDING_HUMAN</x:v>
      </x:c>
      <x:c r="AF1632" t="n">
        <x:f>--AND(A1632&lt;&gt;"",AA1632&lt;&gt;"",AB1632&lt;&gt;"",OR(AA1632=AB1632,AD1632&lt;&gt;""),IF(AE1632="HALLUCINATION",U1632&lt;&gt;"",TRUE))</x:f>
        <x:v>0</x:v>
      </x:c>
      <x:c r="AG1632" t="n">
        <x:f>--AND(N1632=1,AF1632=1,OR(AE1632="SUPPORTED",AE1632="HALLUCINATION"))</x:f>
        <x:v>0</x:v>
      </x:c>
      <x:c r="AH1632" t="n">
        <x:f>--AND(AG1632=1,AE1632="HALLUCINATION")</x:f>
        <x:v>0</x:v>
      </x:c>
      <x:c r="AI1632" t="n">
        <x:f>--AND(Q1632=1,AF1632=1,AE1632="HALLUCINATION")</x:f>
        <x:v>0</x:v>
      </x:c>
      <x:c r="AJ1632" t="n">
        <x:f>--AND(AI1632=1,R1632=1,S1632=1)</x:f>
        <x:v>0</x:v>
      </x:c>
    </x:row>
    <x:row r="1633">
      <x:c r="A1633" s="28"/>
      <x:c r="B1633" s="28"/>
      <x:c r="C1633" s="28"/>
      <x:c r="D1633" s="28"/>
      <x:c r="E1633" s="28"/>
      <x:c r="F1633" s="28"/>
      <x:c r="G1633" s="28"/>
      <x:c r="H1633" s="28"/>
      <x:c r="I1633" s="28"/>
      <x:c r="J1633" s="28"/>
      <x:c r="K1633" s="28"/>
      <x:c r="L1633" s="28"/>
      <x:c r="M1633" s="28"/>
      <x:c r="N1633" s="28"/>
      <x:c r="O1633" s="28"/>
      <x:c r="P1633" s="28"/>
      <x:c r="Q1633" s="28"/>
      <x:c r="R1633" s="28"/>
      <x:c r="S1633" s="28"/>
      <x:c r="T1633" s="28"/>
      <x:c r="U1633" s="28"/>
      <x:c r="V1633" s="28"/>
      <x:c r="W1633" s="43" t="n">
        <x:f>--AND(N1633=1,OR(O1633="SUPPORTED",O1633="HALLUCINATION"))</x:f>
        <x:v>0</x:v>
      </x:c>
      <x:c r="X1633" s="43" t="n">
        <x:f>--AND(W1633=1,O1633="HALLUCINATION")</x:f>
        <x:v>0</x:v>
      </x:c>
      <x:c r="Y1633" s="43" t="n">
        <x:f>--AND(Q1633=1,O1633="HALLUCINATION")</x:f>
        <x:v>0</x:v>
      </x:c>
      <x:c r="Z1633" s="43" t="n">
        <x:f>--AND(Y1633=1,R1633=1,S1633=1)</x:f>
        <x:v>0</x:v>
      </x:c>
      <x:c r="AC1633" t="str">
        <x:f>IF(OR(AA1633="",AB1633=""),"",--(AA1633&lt;&gt;AB1633))</x:f>
      </x:c>
      <x:c r="AE1633" t="str">
        <x:f>IF(OR(AA1633="",AB1633=""),"PENDING_HUMAN",IF(AA1633=AB1633,AA1633,IF(AD1633&lt;&gt;"",AD1633,"PENDING_HUMAN")))</x:f>
        <x:v>PENDING_HUMAN</x:v>
      </x:c>
      <x:c r="AF1633" t="n">
        <x:f>--AND(A1633&lt;&gt;"",AA1633&lt;&gt;"",AB1633&lt;&gt;"",OR(AA1633=AB1633,AD1633&lt;&gt;""),IF(AE1633="HALLUCINATION",U1633&lt;&gt;"",TRUE))</x:f>
        <x:v>0</x:v>
      </x:c>
      <x:c r="AG1633" t="n">
        <x:f>--AND(N1633=1,AF1633=1,OR(AE1633="SUPPORTED",AE1633="HALLUCINATION"))</x:f>
        <x:v>0</x:v>
      </x:c>
      <x:c r="AH1633" t="n">
        <x:f>--AND(AG1633=1,AE1633="HALLUCINATION")</x:f>
        <x:v>0</x:v>
      </x:c>
      <x:c r="AI1633" t="n">
        <x:f>--AND(Q1633=1,AF1633=1,AE1633="HALLUCINATION")</x:f>
        <x:v>0</x:v>
      </x:c>
      <x:c r="AJ1633" t="n">
        <x:f>--AND(AI1633=1,R1633=1,S1633=1)</x:f>
        <x:v>0</x:v>
      </x:c>
    </x:row>
    <x:row r="1634">
      <x:c r="A1634" s="28"/>
      <x:c r="B1634" s="28"/>
      <x:c r="C1634" s="28"/>
      <x:c r="D1634" s="28"/>
      <x:c r="E1634" s="28"/>
      <x:c r="F1634" s="28"/>
      <x:c r="G1634" s="28"/>
      <x:c r="H1634" s="28"/>
      <x:c r="I1634" s="28"/>
      <x:c r="J1634" s="28"/>
      <x:c r="K1634" s="28"/>
      <x:c r="L1634" s="28"/>
      <x:c r="M1634" s="28"/>
      <x:c r="N1634" s="28"/>
      <x:c r="O1634" s="28"/>
      <x:c r="P1634" s="28"/>
      <x:c r="Q1634" s="28"/>
      <x:c r="R1634" s="28"/>
      <x:c r="S1634" s="28"/>
      <x:c r="T1634" s="28"/>
      <x:c r="U1634" s="28"/>
      <x:c r="V1634" s="28"/>
      <x:c r="W1634" s="43" t="n">
        <x:f>--AND(N1634=1,OR(O1634="SUPPORTED",O1634="HALLUCINATION"))</x:f>
        <x:v>0</x:v>
      </x:c>
      <x:c r="X1634" s="43" t="n">
        <x:f>--AND(W1634=1,O1634="HALLUCINATION")</x:f>
        <x:v>0</x:v>
      </x:c>
      <x:c r="Y1634" s="43" t="n">
        <x:f>--AND(Q1634=1,O1634="HALLUCINATION")</x:f>
        <x:v>0</x:v>
      </x:c>
      <x:c r="Z1634" s="43" t="n">
        <x:f>--AND(Y1634=1,R1634=1,S1634=1)</x:f>
        <x:v>0</x:v>
      </x:c>
      <x:c r="AC1634" t="str">
        <x:f>IF(OR(AA1634="",AB1634=""),"",--(AA1634&lt;&gt;AB1634))</x:f>
      </x:c>
      <x:c r="AE1634" t="str">
        <x:f>IF(OR(AA1634="",AB1634=""),"PENDING_HUMAN",IF(AA1634=AB1634,AA1634,IF(AD1634&lt;&gt;"",AD1634,"PENDING_HUMAN")))</x:f>
        <x:v>PENDING_HUMAN</x:v>
      </x:c>
      <x:c r="AF1634" t="n">
        <x:f>--AND(A1634&lt;&gt;"",AA1634&lt;&gt;"",AB1634&lt;&gt;"",OR(AA1634=AB1634,AD1634&lt;&gt;""),IF(AE1634="HALLUCINATION",U1634&lt;&gt;"",TRUE))</x:f>
        <x:v>0</x:v>
      </x:c>
      <x:c r="AG1634" t="n">
        <x:f>--AND(N1634=1,AF1634=1,OR(AE1634="SUPPORTED",AE1634="HALLUCINATION"))</x:f>
        <x:v>0</x:v>
      </x:c>
      <x:c r="AH1634" t="n">
        <x:f>--AND(AG1634=1,AE1634="HALLUCINATION")</x:f>
        <x:v>0</x:v>
      </x:c>
      <x:c r="AI1634" t="n">
        <x:f>--AND(Q1634=1,AF1634=1,AE1634="HALLUCINATION")</x:f>
        <x:v>0</x:v>
      </x:c>
      <x:c r="AJ1634" t="n">
        <x:f>--AND(AI1634=1,R1634=1,S1634=1)</x:f>
        <x:v>0</x:v>
      </x:c>
    </x:row>
    <x:row r="1635">
      <x:c r="A1635" s="28"/>
      <x:c r="B1635" s="28"/>
      <x:c r="C1635" s="28"/>
      <x:c r="D1635" s="28"/>
      <x:c r="E1635" s="28"/>
      <x:c r="F1635" s="28"/>
      <x:c r="G1635" s="28"/>
      <x:c r="H1635" s="28"/>
      <x:c r="I1635" s="28"/>
      <x:c r="J1635" s="28"/>
      <x:c r="K1635" s="28"/>
      <x:c r="L1635" s="28"/>
      <x:c r="M1635" s="28"/>
      <x:c r="N1635" s="28"/>
      <x:c r="O1635" s="28"/>
      <x:c r="P1635" s="28"/>
      <x:c r="Q1635" s="28"/>
      <x:c r="R1635" s="28"/>
      <x:c r="S1635" s="28"/>
      <x:c r="T1635" s="28"/>
      <x:c r="U1635" s="28"/>
      <x:c r="V1635" s="28"/>
      <x:c r="W1635" s="43" t="n">
        <x:f>--AND(N1635=1,OR(O1635="SUPPORTED",O1635="HALLUCINATION"))</x:f>
        <x:v>0</x:v>
      </x:c>
      <x:c r="X1635" s="43" t="n">
        <x:f>--AND(W1635=1,O1635="HALLUCINATION")</x:f>
        <x:v>0</x:v>
      </x:c>
      <x:c r="Y1635" s="43" t="n">
        <x:f>--AND(Q1635=1,O1635="HALLUCINATION")</x:f>
        <x:v>0</x:v>
      </x:c>
      <x:c r="Z1635" s="43" t="n">
        <x:f>--AND(Y1635=1,R1635=1,S1635=1)</x:f>
        <x:v>0</x:v>
      </x:c>
      <x:c r="AC1635" t="str">
        <x:f>IF(OR(AA1635="",AB1635=""),"",--(AA1635&lt;&gt;AB1635))</x:f>
      </x:c>
      <x:c r="AE1635" t="str">
        <x:f>IF(OR(AA1635="",AB1635=""),"PENDING_HUMAN",IF(AA1635=AB1635,AA1635,IF(AD1635&lt;&gt;"",AD1635,"PENDING_HUMAN")))</x:f>
        <x:v>PENDING_HUMAN</x:v>
      </x:c>
      <x:c r="AF1635" t="n">
        <x:f>--AND(A1635&lt;&gt;"",AA1635&lt;&gt;"",AB1635&lt;&gt;"",OR(AA1635=AB1635,AD1635&lt;&gt;""),IF(AE1635="HALLUCINATION",U1635&lt;&gt;"",TRUE))</x:f>
        <x:v>0</x:v>
      </x:c>
      <x:c r="AG1635" t="n">
        <x:f>--AND(N1635=1,AF1635=1,OR(AE1635="SUPPORTED",AE1635="HALLUCINATION"))</x:f>
        <x:v>0</x:v>
      </x:c>
      <x:c r="AH1635" t="n">
        <x:f>--AND(AG1635=1,AE1635="HALLUCINATION")</x:f>
        <x:v>0</x:v>
      </x:c>
      <x:c r="AI1635" t="n">
        <x:f>--AND(Q1635=1,AF1635=1,AE1635="HALLUCINATION")</x:f>
        <x:v>0</x:v>
      </x:c>
      <x:c r="AJ1635" t="n">
        <x:f>--AND(AI1635=1,R1635=1,S1635=1)</x:f>
        <x:v>0</x:v>
      </x:c>
    </x:row>
    <x:row r="1636">
      <x:c r="A1636" s="28"/>
      <x:c r="B1636" s="28"/>
      <x:c r="C1636" s="28"/>
      <x:c r="D1636" s="28"/>
      <x:c r="E1636" s="28"/>
      <x:c r="F1636" s="28"/>
      <x:c r="G1636" s="28"/>
      <x:c r="H1636" s="28"/>
      <x:c r="I1636" s="28"/>
      <x:c r="J1636" s="28"/>
      <x:c r="K1636" s="28"/>
      <x:c r="L1636" s="28"/>
      <x:c r="M1636" s="28"/>
      <x:c r="N1636" s="28"/>
      <x:c r="O1636" s="28"/>
      <x:c r="P1636" s="28"/>
      <x:c r="Q1636" s="28"/>
      <x:c r="R1636" s="28"/>
      <x:c r="S1636" s="28"/>
      <x:c r="T1636" s="28"/>
      <x:c r="U1636" s="28"/>
      <x:c r="V1636" s="28"/>
      <x:c r="W1636" s="43" t="n">
        <x:f>--AND(N1636=1,OR(O1636="SUPPORTED",O1636="HALLUCINATION"))</x:f>
        <x:v>0</x:v>
      </x:c>
      <x:c r="X1636" s="43" t="n">
        <x:f>--AND(W1636=1,O1636="HALLUCINATION")</x:f>
        <x:v>0</x:v>
      </x:c>
      <x:c r="Y1636" s="43" t="n">
        <x:f>--AND(Q1636=1,O1636="HALLUCINATION")</x:f>
        <x:v>0</x:v>
      </x:c>
      <x:c r="Z1636" s="43" t="n">
        <x:f>--AND(Y1636=1,R1636=1,S1636=1)</x:f>
        <x:v>0</x:v>
      </x:c>
      <x:c r="AC1636" t="str">
        <x:f>IF(OR(AA1636="",AB1636=""),"",--(AA1636&lt;&gt;AB1636))</x:f>
      </x:c>
      <x:c r="AE1636" t="str">
        <x:f>IF(OR(AA1636="",AB1636=""),"PENDING_HUMAN",IF(AA1636=AB1636,AA1636,IF(AD1636&lt;&gt;"",AD1636,"PENDING_HUMAN")))</x:f>
        <x:v>PENDING_HUMAN</x:v>
      </x:c>
      <x:c r="AF1636" t="n">
        <x:f>--AND(A1636&lt;&gt;"",AA1636&lt;&gt;"",AB1636&lt;&gt;"",OR(AA1636=AB1636,AD1636&lt;&gt;""),IF(AE1636="HALLUCINATION",U1636&lt;&gt;"",TRUE))</x:f>
        <x:v>0</x:v>
      </x:c>
      <x:c r="AG1636" t="n">
        <x:f>--AND(N1636=1,AF1636=1,OR(AE1636="SUPPORTED",AE1636="HALLUCINATION"))</x:f>
        <x:v>0</x:v>
      </x:c>
      <x:c r="AH1636" t="n">
        <x:f>--AND(AG1636=1,AE1636="HALLUCINATION")</x:f>
        <x:v>0</x:v>
      </x:c>
      <x:c r="AI1636" t="n">
        <x:f>--AND(Q1636=1,AF1636=1,AE1636="HALLUCINATION")</x:f>
        <x:v>0</x:v>
      </x:c>
      <x:c r="AJ1636" t="n">
        <x:f>--AND(AI1636=1,R1636=1,S1636=1)</x:f>
        <x:v>0</x:v>
      </x:c>
    </x:row>
    <x:row r="1637">
      <x:c r="A1637" s="28"/>
      <x:c r="B1637" s="28"/>
      <x:c r="C1637" s="28"/>
      <x:c r="D1637" s="28"/>
      <x:c r="E1637" s="28"/>
      <x:c r="F1637" s="28"/>
      <x:c r="G1637" s="28"/>
      <x:c r="H1637" s="28"/>
      <x:c r="I1637" s="28"/>
      <x:c r="J1637" s="28"/>
      <x:c r="K1637" s="28"/>
      <x:c r="L1637" s="28"/>
      <x:c r="M1637" s="28"/>
      <x:c r="N1637" s="28"/>
      <x:c r="O1637" s="28"/>
      <x:c r="P1637" s="28"/>
      <x:c r="Q1637" s="28"/>
      <x:c r="R1637" s="28"/>
      <x:c r="S1637" s="28"/>
      <x:c r="T1637" s="28"/>
      <x:c r="U1637" s="28"/>
      <x:c r="V1637" s="28"/>
      <x:c r="W1637" s="43" t="n">
        <x:f>--AND(N1637=1,OR(O1637="SUPPORTED",O1637="HALLUCINATION"))</x:f>
        <x:v>0</x:v>
      </x:c>
      <x:c r="X1637" s="43" t="n">
        <x:f>--AND(W1637=1,O1637="HALLUCINATION")</x:f>
        <x:v>0</x:v>
      </x:c>
      <x:c r="Y1637" s="43" t="n">
        <x:f>--AND(Q1637=1,O1637="HALLUCINATION")</x:f>
        <x:v>0</x:v>
      </x:c>
      <x:c r="Z1637" s="43" t="n">
        <x:f>--AND(Y1637=1,R1637=1,S1637=1)</x:f>
        <x:v>0</x:v>
      </x:c>
      <x:c r="AC1637" t="str">
        <x:f>IF(OR(AA1637="",AB1637=""),"",--(AA1637&lt;&gt;AB1637))</x:f>
      </x:c>
      <x:c r="AE1637" t="str">
        <x:f>IF(OR(AA1637="",AB1637=""),"PENDING_HUMAN",IF(AA1637=AB1637,AA1637,IF(AD1637&lt;&gt;"",AD1637,"PENDING_HUMAN")))</x:f>
        <x:v>PENDING_HUMAN</x:v>
      </x:c>
      <x:c r="AF1637" t="n">
        <x:f>--AND(A1637&lt;&gt;"",AA1637&lt;&gt;"",AB1637&lt;&gt;"",OR(AA1637=AB1637,AD1637&lt;&gt;""),IF(AE1637="HALLUCINATION",U1637&lt;&gt;"",TRUE))</x:f>
        <x:v>0</x:v>
      </x:c>
      <x:c r="AG1637" t="n">
        <x:f>--AND(N1637=1,AF1637=1,OR(AE1637="SUPPORTED",AE1637="HALLUCINATION"))</x:f>
        <x:v>0</x:v>
      </x:c>
      <x:c r="AH1637" t="n">
        <x:f>--AND(AG1637=1,AE1637="HALLUCINATION")</x:f>
        <x:v>0</x:v>
      </x:c>
      <x:c r="AI1637" t="n">
        <x:f>--AND(Q1637=1,AF1637=1,AE1637="HALLUCINATION")</x:f>
        <x:v>0</x:v>
      </x:c>
      <x:c r="AJ1637" t="n">
        <x:f>--AND(AI1637=1,R1637=1,S1637=1)</x:f>
        <x:v>0</x:v>
      </x:c>
    </x:row>
    <x:row r="1638">
      <x:c r="A1638" s="28"/>
      <x:c r="B1638" s="28"/>
      <x:c r="C1638" s="28"/>
      <x:c r="D1638" s="28"/>
      <x:c r="E1638" s="28"/>
      <x:c r="F1638" s="28"/>
      <x:c r="G1638" s="28"/>
      <x:c r="H1638" s="28"/>
      <x:c r="I1638" s="28"/>
      <x:c r="J1638" s="28"/>
      <x:c r="K1638" s="28"/>
      <x:c r="L1638" s="28"/>
      <x:c r="M1638" s="28"/>
      <x:c r="N1638" s="28"/>
      <x:c r="O1638" s="28"/>
      <x:c r="P1638" s="28"/>
      <x:c r="Q1638" s="28"/>
      <x:c r="R1638" s="28"/>
      <x:c r="S1638" s="28"/>
      <x:c r="T1638" s="28"/>
      <x:c r="U1638" s="28"/>
      <x:c r="V1638" s="28"/>
      <x:c r="W1638" s="43" t="n">
        <x:f>--AND(N1638=1,OR(O1638="SUPPORTED",O1638="HALLUCINATION"))</x:f>
        <x:v>0</x:v>
      </x:c>
      <x:c r="X1638" s="43" t="n">
        <x:f>--AND(W1638=1,O1638="HALLUCINATION")</x:f>
        <x:v>0</x:v>
      </x:c>
      <x:c r="Y1638" s="43" t="n">
        <x:f>--AND(Q1638=1,O1638="HALLUCINATION")</x:f>
        <x:v>0</x:v>
      </x:c>
      <x:c r="Z1638" s="43" t="n">
        <x:f>--AND(Y1638=1,R1638=1,S1638=1)</x:f>
        <x:v>0</x:v>
      </x:c>
      <x:c r="AC1638" t="str">
        <x:f>IF(OR(AA1638="",AB1638=""),"",--(AA1638&lt;&gt;AB1638))</x:f>
      </x:c>
      <x:c r="AE1638" t="str">
        <x:f>IF(OR(AA1638="",AB1638=""),"PENDING_HUMAN",IF(AA1638=AB1638,AA1638,IF(AD1638&lt;&gt;"",AD1638,"PENDING_HUMAN")))</x:f>
        <x:v>PENDING_HUMAN</x:v>
      </x:c>
      <x:c r="AF1638" t="n">
        <x:f>--AND(A1638&lt;&gt;"",AA1638&lt;&gt;"",AB1638&lt;&gt;"",OR(AA1638=AB1638,AD1638&lt;&gt;""),IF(AE1638="HALLUCINATION",U1638&lt;&gt;"",TRUE))</x:f>
        <x:v>0</x:v>
      </x:c>
      <x:c r="AG1638" t="n">
        <x:f>--AND(N1638=1,AF1638=1,OR(AE1638="SUPPORTED",AE1638="HALLUCINATION"))</x:f>
        <x:v>0</x:v>
      </x:c>
      <x:c r="AH1638" t="n">
        <x:f>--AND(AG1638=1,AE1638="HALLUCINATION")</x:f>
        <x:v>0</x:v>
      </x:c>
      <x:c r="AI1638" t="n">
        <x:f>--AND(Q1638=1,AF1638=1,AE1638="HALLUCINATION")</x:f>
        <x:v>0</x:v>
      </x:c>
      <x:c r="AJ1638" t="n">
        <x:f>--AND(AI1638=1,R1638=1,S1638=1)</x:f>
        <x:v>0</x:v>
      </x:c>
    </x:row>
    <x:row r="1639">
      <x:c r="A1639" s="28"/>
      <x:c r="B1639" s="28"/>
      <x:c r="C1639" s="28"/>
      <x:c r="D1639" s="28"/>
      <x:c r="E1639" s="28"/>
      <x:c r="F1639" s="28"/>
      <x:c r="G1639" s="28"/>
      <x:c r="H1639" s="28"/>
      <x:c r="I1639" s="28"/>
      <x:c r="J1639" s="28"/>
      <x:c r="K1639" s="28"/>
      <x:c r="L1639" s="28"/>
      <x:c r="M1639" s="28"/>
      <x:c r="N1639" s="28"/>
      <x:c r="O1639" s="28"/>
      <x:c r="P1639" s="28"/>
      <x:c r="Q1639" s="28"/>
      <x:c r="R1639" s="28"/>
      <x:c r="S1639" s="28"/>
      <x:c r="T1639" s="28"/>
      <x:c r="U1639" s="28"/>
      <x:c r="V1639" s="28"/>
      <x:c r="W1639" s="43" t="n">
        <x:f>--AND(N1639=1,OR(O1639="SUPPORTED",O1639="HALLUCINATION"))</x:f>
        <x:v>0</x:v>
      </x:c>
      <x:c r="X1639" s="43" t="n">
        <x:f>--AND(W1639=1,O1639="HALLUCINATION")</x:f>
        <x:v>0</x:v>
      </x:c>
      <x:c r="Y1639" s="43" t="n">
        <x:f>--AND(Q1639=1,O1639="HALLUCINATION")</x:f>
        <x:v>0</x:v>
      </x:c>
      <x:c r="Z1639" s="43" t="n">
        <x:f>--AND(Y1639=1,R1639=1,S1639=1)</x:f>
        <x:v>0</x:v>
      </x:c>
      <x:c r="AC1639" t="str">
        <x:f>IF(OR(AA1639="",AB1639=""),"",--(AA1639&lt;&gt;AB1639))</x:f>
      </x:c>
      <x:c r="AE1639" t="str">
        <x:f>IF(OR(AA1639="",AB1639=""),"PENDING_HUMAN",IF(AA1639=AB1639,AA1639,IF(AD1639&lt;&gt;"",AD1639,"PENDING_HUMAN")))</x:f>
        <x:v>PENDING_HUMAN</x:v>
      </x:c>
      <x:c r="AF1639" t="n">
        <x:f>--AND(A1639&lt;&gt;"",AA1639&lt;&gt;"",AB1639&lt;&gt;"",OR(AA1639=AB1639,AD1639&lt;&gt;""),IF(AE1639="HALLUCINATION",U1639&lt;&gt;"",TRUE))</x:f>
        <x:v>0</x:v>
      </x:c>
      <x:c r="AG1639" t="n">
        <x:f>--AND(N1639=1,AF1639=1,OR(AE1639="SUPPORTED",AE1639="HALLUCINATION"))</x:f>
        <x:v>0</x:v>
      </x:c>
      <x:c r="AH1639" t="n">
        <x:f>--AND(AG1639=1,AE1639="HALLUCINATION")</x:f>
        <x:v>0</x:v>
      </x:c>
      <x:c r="AI1639" t="n">
        <x:f>--AND(Q1639=1,AF1639=1,AE1639="HALLUCINATION")</x:f>
        <x:v>0</x:v>
      </x:c>
      <x:c r="AJ1639" t="n">
        <x:f>--AND(AI1639=1,R1639=1,S1639=1)</x:f>
        <x:v>0</x:v>
      </x:c>
    </x:row>
    <x:row r="1640">
      <x:c r="A1640" s="28"/>
      <x:c r="B1640" s="28"/>
      <x:c r="C1640" s="28"/>
      <x:c r="D1640" s="28"/>
      <x:c r="E1640" s="28"/>
      <x:c r="F1640" s="28"/>
      <x:c r="G1640" s="28"/>
      <x:c r="H1640" s="28"/>
      <x:c r="I1640" s="28"/>
      <x:c r="J1640" s="28"/>
      <x:c r="K1640" s="28"/>
      <x:c r="L1640" s="28"/>
      <x:c r="M1640" s="28"/>
      <x:c r="N1640" s="28"/>
      <x:c r="O1640" s="28"/>
      <x:c r="P1640" s="28"/>
      <x:c r="Q1640" s="28"/>
      <x:c r="R1640" s="28"/>
      <x:c r="S1640" s="28"/>
      <x:c r="T1640" s="28"/>
      <x:c r="U1640" s="28"/>
      <x:c r="V1640" s="28"/>
      <x:c r="W1640" s="43" t="n">
        <x:f>--AND(N1640=1,OR(O1640="SUPPORTED",O1640="HALLUCINATION"))</x:f>
        <x:v>0</x:v>
      </x:c>
      <x:c r="X1640" s="43" t="n">
        <x:f>--AND(W1640=1,O1640="HALLUCINATION")</x:f>
        <x:v>0</x:v>
      </x:c>
      <x:c r="Y1640" s="43" t="n">
        <x:f>--AND(Q1640=1,O1640="HALLUCINATION")</x:f>
        <x:v>0</x:v>
      </x:c>
      <x:c r="Z1640" s="43" t="n">
        <x:f>--AND(Y1640=1,R1640=1,S1640=1)</x:f>
        <x:v>0</x:v>
      </x:c>
      <x:c r="AC1640" t="str">
        <x:f>IF(OR(AA1640="",AB1640=""),"",--(AA1640&lt;&gt;AB1640))</x:f>
      </x:c>
      <x:c r="AE1640" t="str">
        <x:f>IF(OR(AA1640="",AB1640=""),"PENDING_HUMAN",IF(AA1640=AB1640,AA1640,IF(AD1640&lt;&gt;"",AD1640,"PENDING_HUMAN")))</x:f>
        <x:v>PENDING_HUMAN</x:v>
      </x:c>
      <x:c r="AF1640" t="n">
        <x:f>--AND(A1640&lt;&gt;"",AA1640&lt;&gt;"",AB1640&lt;&gt;"",OR(AA1640=AB1640,AD1640&lt;&gt;""),IF(AE1640="HALLUCINATION",U1640&lt;&gt;"",TRUE))</x:f>
        <x:v>0</x:v>
      </x:c>
      <x:c r="AG1640" t="n">
        <x:f>--AND(N1640=1,AF1640=1,OR(AE1640="SUPPORTED",AE1640="HALLUCINATION"))</x:f>
        <x:v>0</x:v>
      </x:c>
      <x:c r="AH1640" t="n">
        <x:f>--AND(AG1640=1,AE1640="HALLUCINATION")</x:f>
        <x:v>0</x:v>
      </x:c>
      <x:c r="AI1640" t="n">
        <x:f>--AND(Q1640=1,AF1640=1,AE1640="HALLUCINATION")</x:f>
        <x:v>0</x:v>
      </x:c>
      <x:c r="AJ1640" t="n">
        <x:f>--AND(AI1640=1,R1640=1,S1640=1)</x:f>
        <x:v>0</x:v>
      </x:c>
    </x:row>
    <x:row r="1641">
      <x:c r="A1641" s="28"/>
      <x:c r="B1641" s="28"/>
      <x:c r="C1641" s="28"/>
      <x:c r="D1641" s="28"/>
      <x:c r="E1641" s="28"/>
      <x:c r="F1641" s="28"/>
      <x:c r="G1641" s="28"/>
      <x:c r="H1641" s="28"/>
      <x:c r="I1641" s="28"/>
      <x:c r="J1641" s="28"/>
      <x:c r="K1641" s="28"/>
      <x:c r="L1641" s="28"/>
      <x:c r="M1641" s="28"/>
      <x:c r="N1641" s="28"/>
      <x:c r="O1641" s="28"/>
      <x:c r="P1641" s="28"/>
      <x:c r="Q1641" s="28"/>
      <x:c r="R1641" s="28"/>
      <x:c r="S1641" s="28"/>
      <x:c r="T1641" s="28"/>
      <x:c r="U1641" s="28"/>
      <x:c r="V1641" s="28"/>
      <x:c r="W1641" s="43" t="n">
        <x:f>--AND(N1641=1,OR(O1641="SUPPORTED",O1641="HALLUCINATION"))</x:f>
        <x:v>0</x:v>
      </x:c>
      <x:c r="X1641" s="43" t="n">
        <x:f>--AND(W1641=1,O1641="HALLUCINATION")</x:f>
        <x:v>0</x:v>
      </x:c>
      <x:c r="Y1641" s="43" t="n">
        <x:f>--AND(Q1641=1,O1641="HALLUCINATION")</x:f>
        <x:v>0</x:v>
      </x:c>
      <x:c r="Z1641" s="43" t="n">
        <x:f>--AND(Y1641=1,R1641=1,S1641=1)</x:f>
        <x:v>0</x:v>
      </x:c>
      <x:c r="AC1641" t="str">
        <x:f>IF(OR(AA1641="",AB1641=""),"",--(AA1641&lt;&gt;AB1641))</x:f>
      </x:c>
      <x:c r="AE1641" t="str">
        <x:f>IF(OR(AA1641="",AB1641=""),"PENDING_HUMAN",IF(AA1641=AB1641,AA1641,IF(AD1641&lt;&gt;"",AD1641,"PENDING_HUMAN")))</x:f>
        <x:v>PENDING_HUMAN</x:v>
      </x:c>
      <x:c r="AF1641" t="n">
        <x:f>--AND(A1641&lt;&gt;"",AA1641&lt;&gt;"",AB1641&lt;&gt;"",OR(AA1641=AB1641,AD1641&lt;&gt;""),IF(AE1641="HALLUCINATION",U1641&lt;&gt;"",TRUE))</x:f>
        <x:v>0</x:v>
      </x:c>
      <x:c r="AG1641" t="n">
        <x:f>--AND(N1641=1,AF1641=1,OR(AE1641="SUPPORTED",AE1641="HALLUCINATION"))</x:f>
        <x:v>0</x:v>
      </x:c>
      <x:c r="AH1641" t="n">
        <x:f>--AND(AG1641=1,AE1641="HALLUCINATION")</x:f>
        <x:v>0</x:v>
      </x:c>
      <x:c r="AI1641" t="n">
        <x:f>--AND(Q1641=1,AF1641=1,AE1641="HALLUCINATION")</x:f>
        <x:v>0</x:v>
      </x:c>
      <x:c r="AJ1641" t="n">
        <x:f>--AND(AI1641=1,R1641=1,S1641=1)</x:f>
        <x:v>0</x:v>
      </x:c>
    </x:row>
    <x:row r="1642">
      <x:c r="A1642" s="28"/>
      <x:c r="B1642" s="28"/>
      <x:c r="C1642" s="28"/>
      <x:c r="D1642" s="28"/>
      <x:c r="E1642" s="28"/>
      <x:c r="F1642" s="28"/>
      <x:c r="G1642" s="28"/>
      <x:c r="H1642" s="28"/>
      <x:c r="I1642" s="28"/>
      <x:c r="J1642" s="28"/>
      <x:c r="K1642" s="28"/>
      <x:c r="L1642" s="28"/>
      <x:c r="M1642" s="28"/>
      <x:c r="N1642" s="28"/>
      <x:c r="O1642" s="28"/>
      <x:c r="P1642" s="28"/>
      <x:c r="Q1642" s="28"/>
      <x:c r="R1642" s="28"/>
      <x:c r="S1642" s="28"/>
      <x:c r="T1642" s="28"/>
      <x:c r="U1642" s="28"/>
      <x:c r="V1642" s="28"/>
      <x:c r="W1642" s="43" t="n">
        <x:f>--AND(N1642=1,OR(O1642="SUPPORTED",O1642="HALLUCINATION"))</x:f>
        <x:v>0</x:v>
      </x:c>
      <x:c r="X1642" s="43" t="n">
        <x:f>--AND(W1642=1,O1642="HALLUCINATION")</x:f>
        <x:v>0</x:v>
      </x:c>
      <x:c r="Y1642" s="43" t="n">
        <x:f>--AND(Q1642=1,O1642="HALLUCINATION")</x:f>
        <x:v>0</x:v>
      </x:c>
      <x:c r="Z1642" s="43" t="n">
        <x:f>--AND(Y1642=1,R1642=1,S1642=1)</x:f>
        <x:v>0</x:v>
      </x:c>
      <x:c r="AC1642" t="str">
        <x:f>IF(OR(AA1642="",AB1642=""),"",--(AA1642&lt;&gt;AB1642))</x:f>
      </x:c>
      <x:c r="AE1642" t="str">
        <x:f>IF(OR(AA1642="",AB1642=""),"PENDING_HUMAN",IF(AA1642=AB1642,AA1642,IF(AD1642&lt;&gt;"",AD1642,"PENDING_HUMAN")))</x:f>
        <x:v>PENDING_HUMAN</x:v>
      </x:c>
      <x:c r="AF1642" t="n">
        <x:f>--AND(A1642&lt;&gt;"",AA1642&lt;&gt;"",AB1642&lt;&gt;"",OR(AA1642=AB1642,AD1642&lt;&gt;""),IF(AE1642="HALLUCINATION",U1642&lt;&gt;"",TRUE))</x:f>
        <x:v>0</x:v>
      </x:c>
      <x:c r="AG1642" t="n">
        <x:f>--AND(N1642=1,AF1642=1,OR(AE1642="SUPPORTED",AE1642="HALLUCINATION"))</x:f>
        <x:v>0</x:v>
      </x:c>
      <x:c r="AH1642" t="n">
        <x:f>--AND(AG1642=1,AE1642="HALLUCINATION")</x:f>
        <x:v>0</x:v>
      </x:c>
      <x:c r="AI1642" t="n">
        <x:f>--AND(Q1642=1,AF1642=1,AE1642="HALLUCINATION")</x:f>
        <x:v>0</x:v>
      </x:c>
      <x:c r="AJ1642" t="n">
        <x:f>--AND(AI1642=1,R1642=1,S1642=1)</x:f>
        <x:v>0</x:v>
      </x:c>
    </x:row>
    <x:row r="1643">
      <x:c r="A1643" s="28"/>
      <x:c r="B1643" s="28"/>
      <x:c r="C1643" s="28"/>
      <x:c r="D1643" s="28"/>
      <x:c r="E1643" s="28"/>
      <x:c r="F1643" s="28"/>
      <x:c r="G1643" s="28"/>
      <x:c r="H1643" s="28"/>
      <x:c r="I1643" s="28"/>
      <x:c r="J1643" s="28"/>
      <x:c r="K1643" s="28"/>
      <x:c r="L1643" s="28"/>
      <x:c r="M1643" s="28"/>
      <x:c r="N1643" s="28"/>
      <x:c r="O1643" s="28"/>
      <x:c r="P1643" s="28"/>
      <x:c r="Q1643" s="28"/>
      <x:c r="R1643" s="28"/>
      <x:c r="S1643" s="28"/>
      <x:c r="T1643" s="28"/>
      <x:c r="U1643" s="28"/>
      <x:c r="V1643" s="28"/>
      <x:c r="W1643" s="43" t="n">
        <x:f>--AND(N1643=1,OR(O1643="SUPPORTED",O1643="HALLUCINATION"))</x:f>
        <x:v>0</x:v>
      </x:c>
      <x:c r="X1643" s="43" t="n">
        <x:f>--AND(W1643=1,O1643="HALLUCINATION")</x:f>
        <x:v>0</x:v>
      </x:c>
      <x:c r="Y1643" s="43" t="n">
        <x:f>--AND(Q1643=1,O1643="HALLUCINATION")</x:f>
        <x:v>0</x:v>
      </x:c>
      <x:c r="Z1643" s="43" t="n">
        <x:f>--AND(Y1643=1,R1643=1,S1643=1)</x:f>
        <x:v>0</x:v>
      </x:c>
      <x:c r="AC1643" t="str">
        <x:f>IF(OR(AA1643="",AB1643=""),"",--(AA1643&lt;&gt;AB1643))</x:f>
      </x:c>
      <x:c r="AE1643" t="str">
        <x:f>IF(OR(AA1643="",AB1643=""),"PENDING_HUMAN",IF(AA1643=AB1643,AA1643,IF(AD1643&lt;&gt;"",AD1643,"PENDING_HUMAN")))</x:f>
        <x:v>PENDING_HUMAN</x:v>
      </x:c>
      <x:c r="AF1643" t="n">
        <x:f>--AND(A1643&lt;&gt;"",AA1643&lt;&gt;"",AB1643&lt;&gt;"",OR(AA1643=AB1643,AD1643&lt;&gt;""),IF(AE1643="HALLUCINATION",U1643&lt;&gt;"",TRUE))</x:f>
        <x:v>0</x:v>
      </x:c>
      <x:c r="AG1643" t="n">
        <x:f>--AND(N1643=1,AF1643=1,OR(AE1643="SUPPORTED",AE1643="HALLUCINATION"))</x:f>
        <x:v>0</x:v>
      </x:c>
      <x:c r="AH1643" t="n">
        <x:f>--AND(AG1643=1,AE1643="HALLUCINATION")</x:f>
        <x:v>0</x:v>
      </x:c>
      <x:c r="AI1643" t="n">
        <x:f>--AND(Q1643=1,AF1643=1,AE1643="HALLUCINATION")</x:f>
        <x:v>0</x:v>
      </x:c>
      <x:c r="AJ1643" t="n">
        <x:f>--AND(AI1643=1,R1643=1,S1643=1)</x:f>
        <x:v>0</x:v>
      </x:c>
    </x:row>
    <x:row r="1644">
      <x:c r="A1644" s="28"/>
      <x:c r="B1644" s="28"/>
      <x:c r="C1644" s="28"/>
      <x:c r="D1644" s="28"/>
      <x:c r="E1644" s="28"/>
      <x:c r="F1644" s="28"/>
      <x:c r="G1644" s="28"/>
      <x:c r="H1644" s="28"/>
      <x:c r="I1644" s="28"/>
      <x:c r="J1644" s="28"/>
      <x:c r="K1644" s="28"/>
      <x:c r="L1644" s="28"/>
      <x:c r="M1644" s="28"/>
      <x:c r="N1644" s="28"/>
      <x:c r="O1644" s="28"/>
      <x:c r="P1644" s="28"/>
      <x:c r="Q1644" s="28"/>
      <x:c r="R1644" s="28"/>
      <x:c r="S1644" s="28"/>
      <x:c r="T1644" s="28"/>
      <x:c r="U1644" s="28"/>
      <x:c r="V1644" s="28"/>
      <x:c r="W1644" s="43" t="n">
        <x:f>--AND(N1644=1,OR(O1644="SUPPORTED",O1644="HALLUCINATION"))</x:f>
        <x:v>0</x:v>
      </x:c>
      <x:c r="X1644" s="43" t="n">
        <x:f>--AND(W1644=1,O1644="HALLUCINATION")</x:f>
        <x:v>0</x:v>
      </x:c>
      <x:c r="Y1644" s="43" t="n">
        <x:f>--AND(Q1644=1,O1644="HALLUCINATION")</x:f>
        <x:v>0</x:v>
      </x:c>
      <x:c r="Z1644" s="43" t="n">
        <x:f>--AND(Y1644=1,R1644=1,S1644=1)</x:f>
        <x:v>0</x:v>
      </x:c>
      <x:c r="AC1644" t="str">
        <x:f>IF(OR(AA1644="",AB1644=""),"",--(AA1644&lt;&gt;AB1644))</x:f>
      </x:c>
      <x:c r="AE1644" t="str">
        <x:f>IF(OR(AA1644="",AB1644=""),"PENDING_HUMAN",IF(AA1644=AB1644,AA1644,IF(AD1644&lt;&gt;"",AD1644,"PENDING_HUMAN")))</x:f>
        <x:v>PENDING_HUMAN</x:v>
      </x:c>
      <x:c r="AF1644" t="n">
        <x:f>--AND(A1644&lt;&gt;"",AA1644&lt;&gt;"",AB1644&lt;&gt;"",OR(AA1644=AB1644,AD1644&lt;&gt;""),IF(AE1644="HALLUCINATION",U1644&lt;&gt;"",TRUE))</x:f>
        <x:v>0</x:v>
      </x:c>
      <x:c r="AG1644" t="n">
        <x:f>--AND(N1644=1,AF1644=1,OR(AE1644="SUPPORTED",AE1644="HALLUCINATION"))</x:f>
        <x:v>0</x:v>
      </x:c>
      <x:c r="AH1644" t="n">
        <x:f>--AND(AG1644=1,AE1644="HALLUCINATION")</x:f>
        <x:v>0</x:v>
      </x:c>
      <x:c r="AI1644" t="n">
        <x:f>--AND(Q1644=1,AF1644=1,AE1644="HALLUCINATION")</x:f>
        <x:v>0</x:v>
      </x:c>
      <x:c r="AJ1644" t="n">
        <x:f>--AND(AI1644=1,R1644=1,S1644=1)</x:f>
        <x:v>0</x:v>
      </x:c>
    </x:row>
    <x:row r="1645">
      <x:c r="A1645" s="28"/>
      <x:c r="B1645" s="28"/>
      <x:c r="C1645" s="28"/>
      <x:c r="D1645" s="28"/>
      <x:c r="E1645" s="28"/>
      <x:c r="F1645" s="28"/>
      <x:c r="G1645" s="28"/>
      <x:c r="H1645" s="28"/>
      <x:c r="I1645" s="28"/>
      <x:c r="J1645" s="28"/>
      <x:c r="K1645" s="28"/>
      <x:c r="L1645" s="28"/>
      <x:c r="M1645" s="28"/>
      <x:c r="N1645" s="28"/>
      <x:c r="O1645" s="28"/>
      <x:c r="P1645" s="28"/>
      <x:c r="Q1645" s="28"/>
      <x:c r="R1645" s="28"/>
      <x:c r="S1645" s="28"/>
      <x:c r="T1645" s="28"/>
      <x:c r="U1645" s="28"/>
      <x:c r="V1645" s="28"/>
      <x:c r="W1645" s="43" t="n">
        <x:f>--AND(N1645=1,OR(O1645="SUPPORTED",O1645="HALLUCINATION"))</x:f>
        <x:v>0</x:v>
      </x:c>
      <x:c r="X1645" s="43" t="n">
        <x:f>--AND(W1645=1,O1645="HALLUCINATION")</x:f>
        <x:v>0</x:v>
      </x:c>
      <x:c r="Y1645" s="43" t="n">
        <x:f>--AND(Q1645=1,O1645="HALLUCINATION")</x:f>
        <x:v>0</x:v>
      </x:c>
      <x:c r="Z1645" s="43" t="n">
        <x:f>--AND(Y1645=1,R1645=1,S1645=1)</x:f>
        <x:v>0</x:v>
      </x:c>
      <x:c r="AC1645" t="str">
        <x:f>IF(OR(AA1645="",AB1645=""),"",--(AA1645&lt;&gt;AB1645))</x:f>
      </x:c>
      <x:c r="AE1645" t="str">
        <x:f>IF(OR(AA1645="",AB1645=""),"PENDING_HUMAN",IF(AA1645=AB1645,AA1645,IF(AD1645&lt;&gt;"",AD1645,"PENDING_HUMAN")))</x:f>
        <x:v>PENDING_HUMAN</x:v>
      </x:c>
      <x:c r="AF1645" t="n">
        <x:f>--AND(A1645&lt;&gt;"",AA1645&lt;&gt;"",AB1645&lt;&gt;"",OR(AA1645=AB1645,AD1645&lt;&gt;""),IF(AE1645="HALLUCINATION",U1645&lt;&gt;"",TRUE))</x:f>
        <x:v>0</x:v>
      </x:c>
      <x:c r="AG1645" t="n">
        <x:f>--AND(N1645=1,AF1645=1,OR(AE1645="SUPPORTED",AE1645="HALLUCINATION"))</x:f>
        <x:v>0</x:v>
      </x:c>
      <x:c r="AH1645" t="n">
        <x:f>--AND(AG1645=1,AE1645="HALLUCINATION")</x:f>
        <x:v>0</x:v>
      </x:c>
      <x:c r="AI1645" t="n">
        <x:f>--AND(Q1645=1,AF1645=1,AE1645="HALLUCINATION")</x:f>
        <x:v>0</x:v>
      </x:c>
      <x:c r="AJ1645" t="n">
        <x:f>--AND(AI1645=1,R1645=1,S1645=1)</x:f>
        <x:v>0</x:v>
      </x:c>
    </x:row>
    <x:row r="1646">
      <x:c r="A1646" s="28"/>
      <x:c r="B1646" s="28"/>
      <x:c r="C1646" s="28"/>
      <x:c r="D1646" s="28"/>
      <x:c r="E1646" s="28"/>
      <x:c r="F1646" s="28"/>
      <x:c r="G1646" s="28"/>
      <x:c r="H1646" s="28"/>
      <x:c r="I1646" s="28"/>
      <x:c r="J1646" s="28"/>
      <x:c r="K1646" s="28"/>
      <x:c r="L1646" s="28"/>
      <x:c r="M1646" s="28"/>
      <x:c r="N1646" s="28"/>
      <x:c r="O1646" s="28"/>
      <x:c r="P1646" s="28"/>
      <x:c r="Q1646" s="28"/>
      <x:c r="R1646" s="28"/>
      <x:c r="S1646" s="28"/>
      <x:c r="T1646" s="28"/>
      <x:c r="U1646" s="28"/>
      <x:c r="V1646" s="28"/>
      <x:c r="W1646" s="43" t="n">
        <x:f>--AND(N1646=1,OR(O1646="SUPPORTED",O1646="HALLUCINATION"))</x:f>
        <x:v>0</x:v>
      </x:c>
      <x:c r="X1646" s="43" t="n">
        <x:f>--AND(W1646=1,O1646="HALLUCINATION")</x:f>
        <x:v>0</x:v>
      </x:c>
      <x:c r="Y1646" s="43" t="n">
        <x:f>--AND(Q1646=1,O1646="HALLUCINATION")</x:f>
        <x:v>0</x:v>
      </x:c>
      <x:c r="Z1646" s="43" t="n">
        <x:f>--AND(Y1646=1,R1646=1,S1646=1)</x:f>
        <x:v>0</x:v>
      </x:c>
      <x:c r="AC1646" t="str">
        <x:f>IF(OR(AA1646="",AB1646=""),"",--(AA1646&lt;&gt;AB1646))</x:f>
      </x:c>
      <x:c r="AE1646" t="str">
        <x:f>IF(OR(AA1646="",AB1646=""),"PENDING_HUMAN",IF(AA1646=AB1646,AA1646,IF(AD1646&lt;&gt;"",AD1646,"PENDING_HUMAN")))</x:f>
        <x:v>PENDING_HUMAN</x:v>
      </x:c>
      <x:c r="AF1646" t="n">
        <x:f>--AND(A1646&lt;&gt;"",AA1646&lt;&gt;"",AB1646&lt;&gt;"",OR(AA1646=AB1646,AD1646&lt;&gt;""),IF(AE1646="HALLUCINATION",U1646&lt;&gt;"",TRUE))</x:f>
        <x:v>0</x:v>
      </x:c>
      <x:c r="AG1646" t="n">
        <x:f>--AND(N1646=1,AF1646=1,OR(AE1646="SUPPORTED",AE1646="HALLUCINATION"))</x:f>
        <x:v>0</x:v>
      </x:c>
      <x:c r="AH1646" t="n">
        <x:f>--AND(AG1646=1,AE1646="HALLUCINATION")</x:f>
        <x:v>0</x:v>
      </x:c>
      <x:c r="AI1646" t="n">
        <x:f>--AND(Q1646=1,AF1646=1,AE1646="HALLUCINATION")</x:f>
        <x:v>0</x:v>
      </x:c>
      <x:c r="AJ1646" t="n">
        <x:f>--AND(AI1646=1,R1646=1,S1646=1)</x:f>
        <x:v>0</x:v>
      </x:c>
    </x:row>
    <x:row r="1647">
      <x:c r="A1647" s="28"/>
      <x:c r="B1647" s="28"/>
      <x:c r="C1647" s="28"/>
      <x:c r="D1647" s="28"/>
      <x:c r="E1647" s="28"/>
      <x:c r="F1647" s="28"/>
      <x:c r="G1647" s="28"/>
      <x:c r="H1647" s="28"/>
      <x:c r="I1647" s="28"/>
      <x:c r="J1647" s="28"/>
      <x:c r="K1647" s="28"/>
      <x:c r="L1647" s="28"/>
      <x:c r="M1647" s="28"/>
      <x:c r="N1647" s="28"/>
      <x:c r="O1647" s="28"/>
      <x:c r="P1647" s="28"/>
      <x:c r="Q1647" s="28"/>
      <x:c r="R1647" s="28"/>
      <x:c r="S1647" s="28"/>
      <x:c r="T1647" s="28"/>
      <x:c r="U1647" s="28"/>
      <x:c r="V1647" s="28"/>
      <x:c r="W1647" s="43" t="n">
        <x:f>--AND(N1647=1,OR(O1647="SUPPORTED",O1647="HALLUCINATION"))</x:f>
        <x:v>0</x:v>
      </x:c>
      <x:c r="X1647" s="43" t="n">
        <x:f>--AND(W1647=1,O1647="HALLUCINATION")</x:f>
        <x:v>0</x:v>
      </x:c>
      <x:c r="Y1647" s="43" t="n">
        <x:f>--AND(Q1647=1,O1647="HALLUCINATION")</x:f>
        <x:v>0</x:v>
      </x:c>
      <x:c r="Z1647" s="43" t="n">
        <x:f>--AND(Y1647=1,R1647=1,S1647=1)</x:f>
        <x:v>0</x:v>
      </x:c>
      <x:c r="AC1647" t="str">
        <x:f>IF(OR(AA1647="",AB1647=""),"",--(AA1647&lt;&gt;AB1647))</x:f>
      </x:c>
      <x:c r="AE1647" t="str">
        <x:f>IF(OR(AA1647="",AB1647=""),"PENDING_HUMAN",IF(AA1647=AB1647,AA1647,IF(AD1647&lt;&gt;"",AD1647,"PENDING_HUMAN")))</x:f>
        <x:v>PENDING_HUMAN</x:v>
      </x:c>
      <x:c r="AF1647" t="n">
        <x:f>--AND(A1647&lt;&gt;"",AA1647&lt;&gt;"",AB1647&lt;&gt;"",OR(AA1647=AB1647,AD1647&lt;&gt;""),IF(AE1647="HALLUCINATION",U1647&lt;&gt;"",TRUE))</x:f>
        <x:v>0</x:v>
      </x:c>
      <x:c r="AG1647" t="n">
        <x:f>--AND(N1647=1,AF1647=1,OR(AE1647="SUPPORTED",AE1647="HALLUCINATION"))</x:f>
        <x:v>0</x:v>
      </x:c>
      <x:c r="AH1647" t="n">
        <x:f>--AND(AG1647=1,AE1647="HALLUCINATION")</x:f>
        <x:v>0</x:v>
      </x:c>
      <x:c r="AI1647" t="n">
        <x:f>--AND(Q1647=1,AF1647=1,AE1647="HALLUCINATION")</x:f>
        <x:v>0</x:v>
      </x:c>
      <x:c r="AJ1647" t="n">
        <x:f>--AND(AI1647=1,R1647=1,S1647=1)</x:f>
        <x:v>0</x:v>
      </x:c>
    </x:row>
    <x:row r="1648">
      <x:c r="A1648" s="28"/>
      <x:c r="B1648" s="28"/>
      <x:c r="C1648" s="28"/>
      <x:c r="D1648" s="28"/>
      <x:c r="E1648" s="28"/>
      <x:c r="F1648" s="28"/>
      <x:c r="G1648" s="28"/>
      <x:c r="H1648" s="28"/>
      <x:c r="I1648" s="28"/>
      <x:c r="J1648" s="28"/>
      <x:c r="K1648" s="28"/>
      <x:c r="L1648" s="28"/>
      <x:c r="M1648" s="28"/>
      <x:c r="N1648" s="28"/>
      <x:c r="O1648" s="28"/>
      <x:c r="P1648" s="28"/>
      <x:c r="Q1648" s="28"/>
      <x:c r="R1648" s="28"/>
      <x:c r="S1648" s="28"/>
      <x:c r="T1648" s="28"/>
      <x:c r="U1648" s="28"/>
      <x:c r="V1648" s="28"/>
      <x:c r="W1648" s="43" t="n">
        <x:f>--AND(N1648=1,OR(O1648="SUPPORTED",O1648="HALLUCINATION"))</x:f>
        <x:v>0</x:v>
      </x:c>
      <x:c r="X1648" s="43" t="n">
        <x:f>--AND(W1648=1,O1648="HALLUCINATION")</x:f>
        <x:v>0</x:v>
      </x:c>
      <x:c r="Y1648" s="43" t="n">
        <x:f>--AND(Q1648=1,O1648="HALLUCINATION")</x:f>
        <x:v>0</x:v>
      </x:c>
      <x:c r="Z1648" s="43" t="n">
        <x:f>--AND(Y1648=1,R1648=1,S1648=1)</x:f>
        <x:v>0</x:v>
      </x:c>
      <x:c r="AC1648" t="str">
        <x:f>IF(OR(AA1648="",AB1648=""),"",--(AA1648&lt;&gt;AB1648))</x:f>
      </x:c>
      <x:c r="AE1648" t="str">
        <x:f>IF(OR(AA1648="",AB1648=""),"PENDING_HUMAN",IF(AA1648=AB1648,AA1648,IF(AD1648&lt;&gt;"",AD1648,"PENDING_HUMAN")))</x:f>
        <x:v>PENDING_HUMAN</x:v>
      </x:c>
      <x:c r="AF1648" t="n">
        <x:f>--AND(A1648&lt;&gt;"",AA1648&lt;&gt;"",AB1648&lt;&gt;"",OR(AA1648=AB1648,AD1648&lt;&gt;""),IF(AE1648="HALLUCINATION",U1648&lt;&gt;"",TRUE))</x:f>
        <x:v>0</x:v>
      </x:c>
      <x:c r="AG1648" t="n">
        <x:f>--AND(N1648=1,AF1648=1,OR(AE1648="SUPPORTED",AE1648="HALLUCINATION"))</x:f>
        <x:v>0</x:v>
      </x:c>
      <x:c r="AH1648" t="n">
        <x:f>--AND(AG1648=1,AE1648="HALLUCINATION")</x:f>
        <x:v>0</x:v>
      </x:c>
      <x:c r="AI1648" t="n">
        <x:f>--AND(Q1648=1,AF1648=1,AE1648="HALLUCINATION")</x:f>
        <x:v>0</x:v>
      </x:c>
      <x:c r="AJ1648" t="n">
        <x:f>--AND(AI1648=1,R1648=1,S1648=1)</x:f>
        <x:v>0</x:v>
      </x:c>
    </x:row>
    <x:row r="1649">
      <x:c r="A1649" s="28"/>
      <x:c r="B1649" s="28"/>
      <x:c r="C1649" s="28"/>
      <x:c r="D1649" s="28"/>
      <x:c r="E1649" s="28"/>
      <x:c r="F1649" s="28"/>
      <x:c r="G1649" s="28"/>
      <x:c r="H1649" s="28"/>
      <x:c r="I1649" s="28"/>
      <x:c r="J1649" s="28"/>
      <x:c r="K1649" s="28"/>
      <x:c r="L1649" s="28"/>
      <x:c r="M1649" s="28"/>
      <x:c r="N1649" s="28"/>
      <x:c r="O1649" s="28"/>
      <x:c r="P1649" s="28"/>
      <x:c r="Q1649" s="28"/>
      <x:c r="R1649" s="28"/>
      <x:c r="S1649" s="28"/>
      <x:c r="T1649" s="28"/>
      <x:c r="U1649" s="28"/>
      <x:c r="V1649" s="28"/>
      <x:c r="W1649" s="43" t="n">
        <x:f>--AND(N1649=1,OR(O1649="SUPPORTED",O1649="HALLUCINATION"))</x:f>
        <x:v>0</x:v>
      </x:c>
      <x:c r="X1649" s="43" t="n">
        <x:f>--AND(W1649=1,O1649="HALLUCINATION")</x:f>
        <x:v>0</x:v>
      </x:c>
      <x:c r="Y1649" s="43" t="n">
        <x:f>--AND(Q1649=1,O1649="HALLUCINATION")</x:f>
        <x:v>0</x:v>
      </x:c>
      <x:c r="Z1649" s="43" t="n">
        <x:f>--AND(Y1649=1,R1649=1,S1649=1)</x:f>
        <x:v>0</x:v>
      </x:c>
      <x:c r="AC1649" t="str">
        <x:f>IF(OR(AA1649="",AB1649=""),"",--(AA1649&lt;&gt;AB1649))</x:f>
      </x:c>
      <x:c r="AE1649" t="str">
        <x:f>IF(OR(AA1649="",AB1649=""),"PENDING_HUMAN",IF(AA1649=AB1649,AA1649,IF(AD1649&lt;&gt;"",AD1649,"PENDING_HUMAN")))</x:f>
        <x:v>PENDING_HUMAN</x:v>
      </x:c>
      <x:c r="AF1649" t="n">
        <x:f>--AND(A1649&lt;&gt;"",AA1649&lt;&gt;"",AB1649&lt;&gt;"",OR(AA1649=AB1649,AD1649&lt;&gt;""),IF(AE1649="HALLUCINATION",U1649&lt;&gt;"",TRUE))</x:f>
        <x:v>0</x:v>
      </x:c>
      <x:c r="AG1649" t="n">
        <x:f>--AND(N1649=1,AF1649=1,OR(AE1649="SUPPORTED",AE1649="HALLUCINATION"))</x:f>
        <x:v>0</x:v>
      </x:c>
      <x:c r="AH1649" t="n">
        <x:f>--AND(AG1649=1,AE1649="HALLUCINATION")</x:f>
        <x:v>0</x:v>
      </x:c>
      <x:c r="AI1649" t="n">
        <x:f>--AND(Q1649=1,AF1649=1,AE1649="HALLUCINATION")</x:f>
        <x:v>0</x:v>
      </x:c>
      <x:c r="AJ1649" t="n">
        <x:f>--AND(AI1649=1,R1649=1,S1649=1)</x:f>
        <x:v>0</x:v>
      </x:c>
    </x:row>
    <x:row r="1650">
      <x:c r="A1650" s="28"/>
      <x:c r="B1650" s="28"/>
      <x:c r="C1650" s="28"/>
      <x:c r="D1650" s="28"/>
      <x:c r="E1650" s="28"/>
      <x:c r="F1650" s="28"/>
      <x:c r="G1650" s="28"/>
      <x:c r="H1650" s="28"/>
      <x:c r="I1650" s="28"/>
      <x:c r="J1650" s="28"/>
      <x:c r="K1650" s="28"/>
      <x:c r="L1650" s="28"/>
      <x:c r="M1650" s="28"/>
      <x:c r="N1650" s="28"/>
      <x:c r="O1650" s="28"/>
      <x:c r="P1650" s="28"/>
      <x:c r="Q1650" s="28"/>
      <x:c r="R1650" s="28"/>
      <x:c r="S1650" s="28"/>
      <x:c r="T1650" s="28"/>
      <x:c r="U1650" s="28"/>
      <x:c r="V1650" s="28"/>
      <x:c r="W1650" s="43" t="n">
        <x:f>--AND(N1650=1,OR(O1650="SUPPORTED",O1650="HALLUCINATION"))</x:f>
        <x:v>0</x:v>
      </x:c>
      <x:c r="X1650" s="43" t="n">
        <x:f>--AND(W1650=1,O1650="HALLUCINATION")</x:f>
        <x:v>0</x:v>
      </x:c>
      <x:c r="Y1650" s="43" t="n">
        <x:f>--AND(Q1650=1,O1650="HALLUCINATION")</x:f>
        <x:v>0</x:v>
      </x:c>
      <x:c r="Z1650" s="43" t="n">
        <x:f>--AND(Y1650=1,R1650=1,S1650=1)</x:f>
        <x:v>0</x:v>
      </x:c>
      <x:c r="AC1650" t="str">
        <x:f>IF(OR(AA1650="",AB1650=""),"",--(AA1650&lt;&gt;AB1650))</x:f>
      </x:c>
      <x:c r="AE1650" t="str">
        <x:f>IF(OR(AA1650="",AB1650=""),"PENDING_HUMAN",IF(AA1650=AB1650,AA1650,IF(AD1650&lt;&gt;"",AD1650,"PENDING_HUMAN")))</x:f>
        <x:v>PENDING_HUMAN</x:v>
      </x:c>
      <x:c r="AF1650" t="n">
        <x:f>--AND(A1650&lt;&gt;"",AA1650&lt;&gt;"",AB1650&lt;&gt;"",OR(AA1650=AB1650,AD1650&lt;&gt;""),IF(AE1650="HALLUCINATION",U1650&lt;&gt;"",TRUE))</x:f>
        <x:v>0</x:v>
      </x:c>
      <x:c r="AG1650" t="n">
        <x:f>--AND(N1650=1,AF1650=1,OR(AE1650="SUPPORTED",AE1650="HALLUCINATION"))</x:f>
        <x:v>0</x:v>
      </x:c>
      <x:c r="AH1650" t="n">
        <x:f>--AND(AG1650=1,AE1650="HALLUCINATION")</x:f>
        <x:v>0</x:v>
      </x:c>
      <x:c r="AI1650" t="n">
        <x:f>--AND(Q1650=1,AF1650=1,AE1650="HALLUCINATION")</x:f>
        <x:v>0</x:v>
      </x:c>
      <x:c r="AJ1650" t="n">
        <x:f>--AND(AI1650=1,R1650=1,S1650=1)</x:f>
        <x:v>0</x:v>
      </x:c>
    </x:row>
    <x:row r="1651">
      <x:c r="A1651" s="28"/>
      <x:c r="B1651" s="28"/>
      <x:c r="C1651" s="28"/>
      <x:c r="D1651" s="28"/>
      <x:c r="E1651" s="28"/>
      <x:c r="F1651" s="28"/>
      <x:c r="G1651" s="28"/>
      <x:c r="H1651" s="28"/>
      <x:c r="I1651" s="28"/>
      <x:c r="J1651" s="28"/>
      <x:c r="K1651" s="28"/>
      <x:c r="L1651" s="28"/>
      <x:c r="M1651" s="28"/>
      <x:c r="N1651" s="28"/>
      <x:c r="O1651" s="28"/>
      <x:c r="P1651" s="28"/>
      <x:c r="Q1651" s="28"/>
      <x:c r="R1651" s="28"/>
      <x:c r="S1651" s="28"/>
      <x:c r="T1651" s="28"/>
      <x:c r="U1651" s="28"/>
      <x:c r="V1651" s="28"/>
      <x:c r="W1651" s="43" t="n">
        <x:f>--AND(N1651=1,OR(O1651="SUPPORTED",O1651="HALLUCINATION"))</x:f>
        <x:v>0</x:v>
      </x:c>
      <x:c r="X1651" s="43" t="n">
        <x:f>--AND(W1651=1,O1651="HALLUCINATION")</x:f>
        <x:v>0</x:v>
      </x:c>
      <x:c r="Y1651" s="43" t="n">
        <x:f>--AND(Q1651=1,O1651="HALLUCINATION")</x:f>
        <x:v>0</x:v>
      </x:c>
      <x:c r="Z1651" s="43" t="n">
        <x:f>--AND(Y1651=1,R1651=1,S1651=1)</x:f>
        <x:v>0</x:v>
      </x:c>
      <x:c r="AC1651" t="str">
        <x:f>IF(OR(AA1651="",AB1651=""),"",--(AA1651&lt;&gt;AB1651))</x:f>
      </x:c>
      <x:c r="AE1651" t="str">
        <x:f>IF(OR(AA1651="",AB1651=""),"PENDING_HUMAN",IF(AA1651=AB1651,AA1651,IF(AD1651&lt;&gt;"",AD1651,"PENDING_HUMAN")))</x:f>
        <x:v>PENDING_HUMAN</x:v>
      </x:c>
      <x:c r="AF1651" t="n">
        <x:f>--AND(A1651&lt;&gt;"",AA1651&lt;&gt;"",AB1651&lt;&gt;"",OR(AA1651=AB1651,AD1651&lt;&gt;""),IF(AE1651="HALLUCINATION",U1651&lt;&gt;"",TRUE))</x:f>
        <x:v>0</x:v>
      </x:c>
      <x:c r="AG1651" t="n">
        <x:f>--AND(N1651=1,AF1651=1,OR(AE1651="SUPPORTED",AE1651="HALLUCINATION"))</x:f>
        <x:v>0</x:v>
      </x:c>
      <x:c r="AH1651" t="n">
        <x:f>--AND(AG1651=1,AE1651="HALLUCINATION")</x:f>
        <x:v>0</x:v>
      </x:c>
      <x:c r="AI1651" t="n">
        <x:f>--AND(Q1651=1,AF1651=1,AE1651="HALLUCINATION")</x:f>
        <x:v>0</x:v>
      </x:c>
      <x:c r="AJ1651" t="n">
        <x:f>--AND(AI1651=1,R1651=1,S1651=1)</x:f>
        <x:v>0</x:v>
      </x:c>
    </x:row>
    <x:row r="1652">
      <x:c r="A1652" s="28"/>
      <x:c r="B1652" s="28"/>
      <x:c r="C1652" s="28"/>
      <x:c r="D1652" s="28"/>
      <x:c r="E1652" s="28"/>
      <x:c r="F1652" s="28"/>
      <x:c r="G1652" s="28"/>
      <x:c r="H1652" s="28"/>
      <x:c r="I1652" s="28"/>
      <x:c r="J1652" s="28"/>
      <x:c r="K1652" s="28"/>
      <x:c r="L1652" s="28"/>
      <x:c r="M1652" s="28"/>
      <x:c r="N1652" s="28"/>
      <x:c r="O1652" s="28"/>
      <x:c r="P1652" s="28"/>
      <x:c r="Q1652" s="28"/>
      <x:c r="R1652" s="28"/>
      <x:c r="S1652" s="28"/>
      <x:c r="T1652" s="28"/>
      <x:c r="U1652" s="28"/>
      <x:c r="V1652" s="28"/>
      <x:c r="W1652" s="43" t="n">
        <x:f>--AND(N1652=1,OR(O1652="SUPPORTED",O1652="HALLUCINATION"))</x:f>
        <x:v>0</x:v>
      </x:c>
      <x:c r="X1652" s="43" t="n">
        <x:f>--AND(W1652=1,O1652="HALLUCINATION")</x:f>
        <x:v>0</x:v>
      </x:c>
      <x:c r="Y1652" s="43" t="n">
        <x:f>--AND(Q1652=1,O1652="HALLUCINATION")</x:f>
        <x:v>0</x:v>
      </x:c>
      <x:c r="Z1652" s="43" t="n">
        <x:f>--AND(Y1652=1,R1652=1,S1652=1)</x:f>
        <x:v>0</x:v>
      </x:c>
      <x:c r="AC1652" t="str">
        <x:f>IF(OR(AA1652="",AB1652=""),"",--(AA1652&lt;&gt;AB1652))</x:f>
      </x:c>
      <x:c r="AE1652" t="str">
        <x:f>IF(OR(AA1652="",AB1652=""),"PENDING_HUMAN",IF(AA1652=AB1652,AA1652,IF(AD1652&lt;&gt;"",AD1652,"PENDING_HUMAN")))</x:f>
        <x:v>PENDING_HUMAN</x:v>
      </x:c>
      <x:c r="AF1652" t="n">
        <x:f>--AND(A1652&lt;&gt;"",AA1652&lt;&gt;"",AB1652&lt;&gt;"",OR(AA1652=AB1652,AD1652&lt;&gt;""),IF(AE1652="HALLUCINATION",U1652&lt;&gt;"",TRUE))</x:f>
        <x:v>0</x:v>
      </x:c>
      <x:c r="AG1652" t="n">
        <x:f>--AND(N1652=1,AF1652=1,OR(AE1652="SUPPORTED",AE1652="HALLUCINATION"))</x:f>
        <x:v>0</x:v>
      </x:c>
      <x:c r="AH1652" t="n">
        <x:f>--AND(AG1652=1,AE1652="HALLUCINATION")</x:f>
        <x:v>0</x:v>
      </x:c>
      <x:c r="AI1652" t="n">
        <x:f>--AND(Q1652=1,AF1652=1,AE1652="HALLUCINATION")</x:f>
        <x:v>0</x:v>
      </x:c>
      <x:c r="AJ1652" t="n">
        <x:f>--AND(AI1652=1,R1652=1,S1652=1)</x:f>
        <x:v>0</x:v>
      </x:c>
    </x:row>
    <x:row r="1653">
      <x:c r="A1653" s="28"/>
      <x:c r="B1653" s="28"/>
      <x:c r="C1653" s="28"/>
      <x:c r="D1653" s="28"/>
      <x:c r="E1653" s="28"/>
      <x:c r="F1653" s="28"/>
      <x:c r="G1653" s="28"/>
      <x:c r="H1653" s="28"/>
      <x:c r="I1653" s="28"/>
      <x:c r="J1653" s="28"/>
      <x:c r="K1653" s="28"/>
      <x:c r="L1653" s="28"/>
      <x:c r="M1653" s="28"/>
      <x:c r="N1653" s="28"/>
      <x:c r="O1653" s="28"/>
      <x:c r="P1653" s="28"/>
      <x:c r="Q1653" s="28"/>
      <x:c r="R1653" s="28"/>
      <x:c r="S1653" s="28"/>
      <x:c r="T1653" s="28"/>
      <x:c r="U1653" s="28"/>
      <x:c r="V1653" s="28"/>
      <x:c r="W1653" s="43" t="n">
        <x:f>--AND(N1653=1,OR(O1653="SUPPORTED",O1653="HALLUCINATION"))</x:f>
        <x:v>0</x:v>
      </x:c>
      <x:c r="X1653" s="43" t="n">
        <x:f>--AND(W1653=1,O1653="HALLUCINATION")</x:f>
        <x:v>0</x:v>
      </x:c>
      <x:c r="Y1653" s="43" t="n">
        <x:f>--AND(Q1653=1,O1653="HALLUCINATION")</x:f>
        <x:v>0</x:v>
      </x:c>
      <x:c r="Z1653" s="43" t="n">
        <x:f>--AND(Y1653=1,R1653=1,S1653=1)</x:f>
        <x:v>0</x:v>
      </x:c>
      <x:c r="AC1653" t="str">
        <x:f>IF(OR(AA1653="",AB1653=""),"",--(AA1653&lt;&gt;AB1653))</x:f>
      </x:c>
      <x:c r="AE1653" t="str">
        <x:f>IF(OR(AA1653="",AB1653=""),"PENDING_HUMAN",IF(AA1653=AB1653,AA1653,IF(AD1653&lt;&gt;"",AD1653,"PENDING_HUMAN")))</x:f>
        <x:v>PENDING_HUMAN</x:v>
      </x:c>
      <x:c r="AF1653" t="n">
        <x:f>--AND(A1653&lt;&gt;"",AA1653&lt;&gt;"",AB1653&lt;&gt;"",OR(AA1653=AB1653,AD1653&lt;&gt;""),IF(AE1653="HALLUCINATION",U1653&lt;&gt;"",TRUE))</x:f>
        <x:v>0</x:v>
      </x:c>
      <x:c r="AG1653" t="n">
        <x:f>--AND(N1653=1,AF1653=1,OR(AE1653="SUPPORTED",AE1653="HALLUCINATION"))</x:f>
        <x:v>0</x:v>
      </x:c>
      <x:c r="AH1653" t="n">
        <x:f>--AND(AG1653=1,AE1653="HALLUCINATION")</x:f>
        <x:v>0</x:v>
      </x:c>
      <x:c r="AI1653" t="n">
        <x:f>--AND(Q1653=1,AF1653=1,AE1653="HALLUCINATION")</x:f>
        <x:v>0</x:v>
      </x:c>
      <x:c r="AJ1653" t="n">
        <x:f>--AND(AI1653=1,R1653=1,S1653=1)</x:f>
        <x:v>0</x:v>
      </x:c>
    </x:row>
    <x:row r="1654">
      <x:c r="A1654" s="28"/>
      <x:c r="B1654" s="28"/>
      <x:c r="C1654" s="28"/>
      <x:c r="D1654" s="28"/>
      <x:c r="E1654" s="28"/>
      <x:c r="F1654" s="28"/>
      <x:c r="G1654" s="28"/>
      <x:c r="H1654" s="28"/>
      <x:c r="I1654" s="28"/>
      <x:c r="J1654" s="28"/>
      <x:c r="K1654" s="28"/>
      <x:c r="L1654" s="28"/>
      <x:c r="M1654" s="28"/>
      <x:c r="N1654" s="28"/>
      <x:c r="O1654" s="28"/>
      <x:c r="P1654" s="28"/>
      <x:c r="Q1654" s="28"/>
      <x:c r="R1654" s="28"/>
      <x:c r="S1654" s="28"/>
      <x:c r="T1654" s="28"/>
      <x:c r="U1654" s="28"/>
      <x:c r="V1654" s="28"/>
      <x:c r="W1654" s="43" t="n">
        <x:f>--AND(N1654=1,OR(O1654="SUPPORTED",O1654="HALLUCINATION"))</x:f>
        <x:v>0</x:v>
      </x:c>
      <x:c r="X1654" s="43" t="n">
        <x:f>--AND(W1654=1,O1654="HALLUCINATION")</x:f>
        <x:v>0</x:v>
      </x:c>
      <x:c r="Y1654" s="43" t="n">
        <x:f>--AND(Q1654=1,O1654="HALLUCINATION")</x:f>
        <x:v>0</x:v>
      </x:c>
      <x:c r="Z1654" s="43" t="n">
        <x:f>--AND(Y1654=1,R1654=1,S1654=1)</x:f>
        <x:v>0</x:v>
      </x:c>
      <x:c r="AC1654" t="str">
        <x:f>IF(OR(AA1654="",AB1654=""),"",--(AA1654&lt;&gt;AB1654))</x:f>
      </x:c>
      <x:c r="AE1654" t="str">
        <x:f>IF(OR(AA1654="",AB1654=""),"PENDING_HUMAN",IF(AA1654=AB1654,AA1654,IF(AD1654&lt;&gt;"",AD1654,"PENDING_HUMAN")))</x:f>
        <x:v>PENDING_HUMAN</x:v>
      </x:c>
      <x:c r="AF1654" t="n">
        <x:f>--AND(A1654&lt;&gt;"",AA1654&lt;&gt;"",AB1654&lt;&gt;"",OR(AA1654=AB1654,AD1654&lt;&gt;""),IF(AE1654="HALLUCINATION",U1654&lt;&gt;"",TRUE))</x:f>
        <x:v>0</x:v>
      </x:c>
      <x:c r="AG1654" t="n">
        <x:f>--AND(N1654=1,AF1654=1,OR(AE1654="SUPPORTED",AE1654="HALLUCINATION"))</x:f>
        <x:v>0</x:v>
      </x:c>
      <x:c r="AH1654" t="n">
        <x:f>--AND(AG1654=1,AE1654="HALLUCINATION")</x:f>
        <x:v>0</x:v>
      </x:c>
      <x:c r="AI1654" t="n">
        <x:f>--AND(Q1654=1,AF1654=1,AE1654="HALLUCINATION")</x:f>
        <x:v>0</x:v>
      </x:c>
      <x:c r="AJ1654" t="n">
        <x:f>--AND(AI1654=1,R1654=1,S1654=1)</x:f>
        <x:v>0</x:v>
      </x:c>
    </x:row>
    <x:row r="1655">
      <x:c r="A1655" s="28"/>
      <x:c r="B1655" s="28"/>
      <x:c r="C1655" s="28"/>
      <x:c r="D1655" s="28"/>
      <x:c r="E1655" s="28"/>
      <x:c r="F1655" s="28"/>
      <x:c r="G1655" s="28"/>
      <x:c r="H1655" s="28"/>
      <x:c r="I1655" s="28"/>
      <x:c r="J1655" s="28"/>
      <x:c r="K1655" s="28"/>
      <x:c r="L1655" s="28"/>
      <x:c r="M1655" s="28"/>
      <x:c r="N1655" s="28"/>
      <x:c r="O1655" s="28"/>
      <x:c r="P1655" s="28"/>
      <x:c r="Q1655" s="28"/>
      <x:c r="R1655" s="28"/>
      <x:c r="S1655" s="28"/>
      <x:c r="T1655" s="28"/>
      <x:c r="U1655" s="28"/>
      <x:c r="V1655" s="28"/>
      <x:c r="W1655" s="43" t="n">
        <x:f>--AND(N1655=1,OR(O1655="SUPPORTED",O1655="HALLUCINATION"))</x:f>
        <x:v>0</x:v>
      </x:c>
      <x:c r="X1655" s="43" t="n">
        <x:f>--AND(W1655=1,O1655="HALLUCINATION")</x:f>
        <x:v>0</x:v>
      </x:c>
      <x:c r="Y1655" s="43" t="n">
        <x:f>--AND(Q1655=1,O1655="HALLUCINATION")</x:f>
        <x:v>0</x:v>
      </x:c>
      <x:c r="Z1655" s="43" t="n">
        <x:f>--AND(Y1655=1,R1655=1,S1655=1)</x:f>
        <x:v>0</x:v>
      </x:c>
      <x:c r="AC1655" t="str">
        <x:f>IF(OR(AA1655="",AB1655=""),"",--(AA1655&lt;&gt;AB1655))</x:f>
      </x:c>
      <x:c r="AE1655" t="str">
        <x:f>IF(OR(AA1655="",AB1655=""),"PENDING_HUMAN",IF(AA1655=AB1655,AA1655,IF(AD1655&lt;&gt;"",AD1655,"PENDING_HUMAN")))</x:f>
        <x:v>PENDING_HUMAN</x:v>
      </x:c>
      <x:c r="AF1655" t="n">
        <x:f>--AND(A1655&lt;&gt;"",AA1655&lt;&gt;"",AB1655&lt;&gt;"",OR(AA1655=AB1655,AD1655&lt;&gt;""),IF(AE1655="HALLUCINATION",U1655&lt;&gt;"",TRUE))</x:f>
        <x:v>0</x:v>
      </x:c>
      <x:c r="AG1655" t="n">
        <x:f>--AND(N1655=1,AF1655=1,OR(AE1655="SUPPORTED",AE1655="HALLUCINATION"))</x:f>
        <x:v>0</x:v>
      </x:c>
      <x:c r="AH1655" t="n">
        <x:f>--AND(AG1655=1,AE1655="HALLUCINATION")</x:f>
        <x:v>0</x:v>
      </x:c>
      <x:c r="AI1655" t="n">
        <x:f>--AND(Q1655=1,AF1655=1,AE1655="HALLUCINATION")</x:f>
        <x:v>0</x:v>
      </x:c>
      <x:c r="AJ1655" t="n">
        <x:f>--AND(AI1655=1,R1655=1,S1655=1)</x:f>
        <x:v>0</x:v>
      </x:c>
    </x:row>
    <x:row r="1656">
      <x:c r="A1656" s="28"/>
      <x:c r="B1656" s="28"/>
      <x:c r="C1656" s="28"/>
      <x:c r="D1656" s="28"/>
      <x:c r="E1656" s="28"/>
      <x:c r="F1656" s="28"/>
      <x:c r="G1656" s="28"/>
      <x:c r="H1656" s="28"/>
      <x:c r="I1656" s="28"/>
      <x:c r="J1656" s="28"/>
      <x:c r="K1656" s="28"/>
      <x:c r="L1656" s="28"/>
      <x:c r="M1656" s="28"/>
      <x:c r="N1656" s="28"/>
      <x:c r="O1656" s="28"/>
      <x:c r="P1656" s="28"/>
      <x:c r="Q1656" s="28"/>
      <x:c r="R1656" s="28"/>
      <x:c r="S1656" s="28"/>
      <x:c r="T1656" s="28"/>
      <x:c r="U1656" s="28"/>
      <x:c r="V1656" s="28"/>
      <x:c r="W1656" s="43" t="n">
        <x:f>--AND(N1656=1,OR(O1656="SUPPORTED",O1656="HALLUCINATION"))</x:f>
        <x:v>0</x:v>
      </x:c>
      <x:c r="X1656" s="43" t="n">
        <x:f>--AND(W1656=1,O1656="HALLUCINATION")</x:f>
        <x:v>0</x:v>
      </x:c>
      <x:c r="Y1656" s="43" t="n">
        <x:f>--AND(Q1656=1,O1656="HALLUCINATION")</x:f>
        <x:v>0</x:v>
      </x:c>
      <x:c r="Z1656" s="43" t="n">
        <x:f>--AND(Y1656=1,R1656=1,S1656=1)</x:f>
        <x:v>0</x:v>
      </x:c>
      <x:c r="AC1656" t="str">
        <x:f>IF(OR(AA1656="",AB1656=""),"",--(AA1656&lt;&gt;AB1656))</x:f>
      </x:c>
      <x:c r="AE1656" t="str">
        <x:f>IF(OR(AA1656="",AB1656=""),"PENDING_HUMAN",IF(AA1656=AB1656,AA1656,IF(AD1656&lt;&gt;"",AD1656,"PENDING_HUMAN")))</x:f>
        <x:v>PENDING_HUMAN</x:v>
      </x:c>
      <x:c r="AF1656" t="n">
        <x:f>--AND(A1656&lt;&gt;"",AA1656&lt;&gt;"",AB1656&lt;&gt;"",OR(AA1656=AB1656,AD1656&lt;&gt;""),IF(AE1656="HALLUCINATION",U1656&lt;&gt;"",TRUE))</x:f>
        <x:v>0</x:v>
      </x:c>
      <x:c r="AG1656" t="n">
        <x:f>--AND(N1656=1,AF1656=1,OR(AE1656="SUPPORTED",AE1656="HALLUCINATION"))</x:f>
        <x:v>0</x:v>
      </x:c>
      <x:c r="AH1656" t="n">
        <x:f>--AND(AG1656=1,AE1656="HALLUCINATION")</x:f>
        <x:v>0</x:v>
      </x:c>
      <x:c r="AI1656" t="n">
        <x:f>--AND(Q1656=1,AF1656=1,AE1656="HALLUCINATION")</x:f>
        <x:v>0</x:v>
      </x:c>
      <x:c r="AJ1656" t="n">
        <x:f>--AND(AI1656=1,R1656=1,S1656=1)</x:f>
        <x:v>0</x:v>
      </x:c>
    </x:row>
    <x:row r="1657">
      <x:c r="A1657" s="28"/>
      <x:c r="B1657" s="28"/>
      <x:c r="C1657" s="28"/>
      <x:c r="D1657" s="28"/>
      <x:c r="E1657" s="28"/>
      <x:c r="F1657" s="28"/>
      <x:c r="G1657" s="28"/>
      <x:c r="H1657" s="28"/>
      <x:c r="I1657" s="28"/>
      <x:c r="J1657" s="28"/>
      <x:c r="K1657" s="28"/>
      <x:c r="L1657" s="28"/>
      <x:c r="M1657" s="28"/>
      <x:c r="N1657" s="28"/>
      <x:c r="O1657" s="28"/>
      <x:c r="P1657" s="28"/>
      <x:c r="Q1657" s="28"/>
      <x:c r="R1657" s="28"/>
      <x:c r="S1657" s="28"/>
      <x:c r="T1657" s="28"/>
      <x:c r="U1657" s="28"/>
      <x:c r="V1657" s="28"/>
      <x:c r="W1657" s="43" t="n">
        <x:f>--AND(N1657=1,OR(O1657="SUPPORTED",O1657="HALLUCINATION"))</x:f>
        <x:v>0</x:v>
      </x:c>
      <x:c r="X1657" s="43" t="n">
        <x:f>--AND(W1657=1,O1657="HALLUCINATION")</x:f>
        <x:v>0</x:v>
      </x:c>
      <x:c r="Y1657" s="43" t="n">
        <x:f>--AND(Q1657=1,O1657="HALLUCINATION")</x:f>
        <x:v>0</x:v>
      </x:c>
      <x:c r="Z1657" s="43" t="n">
        <x:f>--AND(Y1657=1,R1657=1,S1657=1)</x:f>
        <x:v>0</x:v>
      </x:c>
      <x:c r="AC1657" t="str">
        <x:f>IF(OR(AA1657="",AB1657=""),"",--(AA1657&lt;&gt;AB1657))</x:f>
      </x:c>
      <x:c r="AE1657" t="str">
        <x:f>IF(OR(AA1657="",AB1657=""),"PENDING_HUMAN",IF(AA1657=AB1657,AA1657,IF(AD1657&lt;&gt;"",AD1657,"PENDING_HUMAN")))</x:f>
        <x:v>PENDING_HUMAN</x:v>
      </x:c>
      <x:c r="AF1657" t="n">
        <x:f>--AND(A1657&lt;&gt;"",AA1657&lt;&gt;"",AB1657&lt;&gt;"",OR(AA1657=AB1657,AD1657&lt;&gt;""),IF(AE1657="HALLUCINATION",U1657&lt;&gt;"",TRUE))</x:f>
        <x:v>0</x:v>
      </x:c>
      <x:c r="AG1657" t="n">
        <x:f>--AND(N1657=1,AF1657=1,OR(AE1657="SUPPORTED",AE1657="HALLUCINATION"))</x:f>
        <x:v>0</x:v>
      </x:c>
      <x:c r="AH1657" t="n">
        <x:f>--AND(AG1657=1,AE1657="HALLUCINATION")</x:f>
        <x:v>0</x:v>
      </x:c>
      <x:c r="AI1657" t="n">
        <x:f>--AND(Q1657=1,AF1657=1,AE1657="HALLUCINATION")</x:f>
        <x:v>0</x:v>
      </x:c>
      <x:c r="AJ1657" t="n">
        <x:f>--AND(AI1657=1,R1657=1,S1657=1)</x:f>
        <x:v>0</x:v>
      </x:c>
    </x:row>
    <x:row r="1658">
      <x:c r="A1658" s="28"/>
      <x:c r="B1658" s="28"/>
      <x:c r="C1658" s="28"/>
      <x:c r="D1658" s="28"/>
      <x:c r="E1658" s="28"/>
      <x:c r="F1658" s="28"/>
      <x:c r="G1658" s="28"/>
      <x:c r="H1658" s="28"/>
      <x:c r="I1658" s="28"/>
      <x:c r="J1658" s="28"/>
      <x:c r="K1658" s="28"/>
      <x:c r="L1658" s="28"/>
      <x:c r="M1658" s="28"/>
      <x:c r="N1658" s="28"/>
      <x:c r="O1658" s="28"/>
      <x:c r="P1658" s="28"/>
      <x:c r="Q1658" s="28"/>
      <x:c r="R1658" s="28"/>
      <x:c r="S1658" s="28"/>
      <x:c r="T1658" s="28"/>
      <x:c r="U1658" s="28"/>
      <x:c r="V1658" s="28"/>
      <x:c r="W1658" s="43" t="n">
        <x:f>--AND(N1658=1,OR(O1658="SUPPORTED",O1658="HALLUCINATION"))</x:f>
        <x:v>0</x:v>
      </x:c>
      <x:c r="X1658" s="43" t="n">
        <x:f>--AND(W1658=1,O1658="HALLUCINATION")</x:f>
        <x:v>0</x:v>
      </x:c>
      <x:c r="Y1658" s="43" t="n">
        <x:f>--AND(Q1658=1,O1658="HALLUCINATION")</x:f>
        <x:v>0</x:v>
      </x:c>
      <x:c r="Z1658" s="43" t="n">
        <x:f>--AND(Y1658=1,R1658=1,S1658=1)</x:f>
        <x:v>0</x:v>
      </x:c>
      <x:c r="AC1658" t="str">
        <x:f>IF(OR(AA1658="",AB1658=""),"",--(AA1658&lt;&gt;AB1658))</x:f>
      </x:c>
      <x:c r="AE1658" t="str">
        <x:f>IF(OR(AA1658="",AB1658=""),"PENDING_HUMAN",IF(AA1658=AB1658,AA1658,IF(AD1658&lt;&gt;"",AD1658,"PENDING_HUMAN")))</x:f>
        <x:v>PENDING_HUMAN</x:v>
      </x:c>
      <x:c r="AF1658" t="n">
        <x:f>--AND(A1658&lt;&gt;"",AA1658&lt;&gt;"",AB1658&lt;&gt;"",OR(AA1658=AB1658,AD1658&lt;&gt;""),IF(AE1658="HALLUCINATION",U1658&lt;&gt;"",TRUE))</x:f>
        <x:v>0</x:v>
      </x:c>
      <x:c r="AG1658" t="n">
        <x:f>--AND(N1658=1,AF1658=1,OR(AE1658="SUPPORTED",AE1658="HALLUCINATION"))</x:f>
        <x:v>0</x:v>
      </x:c>
      <x:c r="AH1658" t="n">
        <x:f>--AND(AG1658=1,AE1658="HALLUCINATION")</x:f>
        <x:v>0</x:v>
      </x:c>
      <x:c r="AI1658" t="n">
        <x:f>--AND(Q1658=1,AF1658=1,AE1658="HALLUCINATION")</x:f>
        <x:v>0</x:v>
      </x:c>
      <x:c r="AJ1658" t="n">
        <x:f>--AND(AI1658=1,R1658=1,S1658=1)</x:f>
        <x:v>0</x:v>
      </x:c>
    </x:row>
    <x:row r="1659">
      <x:c r="A1659" s="28"/>
      <x:c r="B1659" s="28"/>
      <x:c r="C1659" s="28"/>
      <x:c r="D1659" s="28"/>
      <x:c r="E1659" s="28"/>
      <x:c r="F1659" s="28"/>
      <x:c r="G1659" s="28"/>
      <x:c r="H1659" s="28"/>
      <x:c r="I1659" s="28"/>
      <x:c r="J1659" s="28"/>
      <x:c r="K1659" s="28"/>
      <x:c r="L1659" s="28"/>
      <x:c r="M1659" s="28"/>
      <x:c r="N1659" s="28"/>
      <x:c r="O1659" s="28"/>
      <x:c r="P1659" s="28"/>
      <x:c r="Q1659" s="28"/>
      <x:c r="R1659" s="28"/>
      <x:c r="S1659" s="28"/>
      <x:c r="T1659" s="28"/>
      <x:c r="U1659" s="28"/>
      <x:c r="V1659" s="28"/>
      <x:c r="W1659" s="43" t="n">
        <x:f>--AND(N1659=1,OR(O1659="SUPPORTED",O1659="HALLUCINATION"))</x:f>
        <x:v>0</x:v>
      </x:c>
      <x:c r="X1659" s="43" t="n">
        <x:f>--AND(W1659=1,O1659="HALLUCINATION")</x:f>
        <x:v>0</x:v>
      </x:c>
      <x:c r="Y1659" s="43" t="n">
        <x:f>--AND(Q1659=1,O1659="HALLUCINATION")</x:f>
        <x:v>0</x:v>
      </x:c>
      <x:c r="Z1659" s="43" t="n">
        <x:f>--AND(Y1659=1,R1659=1,S1659=1)</x:f>
        <x:v>0</x:v>
      </x:c>
      <x:c r="AC1659" t="str">
        <x:f>IF(OR(AA1659="",AB1659=""),"",--(AA1659&lt;&gt;AB1659))</x:f>
      </x:c>
      <x:c r="AE1659" t="str">
        <x:f>IF(OR(AA1659="",AB1659=""),"PENDING_HUMAN",IF(AA1659=AB1659,AA1659,IF(AD1659&lt;&gt;"",AD1659,"PENDING_HUMAN")))</x:f>
        <x:v>PENDING_HUMAN</x:v>
      </x:c>
      <x:c r="AF1659" t="n">
        <x:f>--AND(A1659&lt;&gt;"",AA1659&lt;&gt;"",AB1659&lt;&gt;"",OR(AA1659=AB1659,AD1659&lt;&gt;""),IF(AE1659="HALLUCINATION",U1659&lt;&gt;"",TRUE))</x:f>
        <x:v>0</x:v>
      </x:c>
      <x:c r="AG1659" t="n">
        <x:f>--AND(N1659=1,AF1659=1,OR(AE1659="SUPPORTED",AE1659="HALLUCINATION"))</x:f>
        <x:v>0</x:v>
      </x:c>
      <x:c r="AH1659" t="n">
        <x:f>--AND(AG1659=1,AE1659="HALLUCINATION")</x:f>
        <x:v>0</x:v>
      </x:c>
      <x:c r="AI1659" t="n">
        <x:f>--AND(Q1659=1,AF1659=1,AE1659="HALLUCINATION")</x:f>
        <x:v>0</x:v>
      </x:c>
      <x:c r="AJ1659" t="n">
        <x:f>--AND(AI1659=1,R1659=1,S1659=1)</x:f>
        <x:v>0</x:v>
      </x:c>
    </x:row>
    <x:row r="1660">
      <x:c r="A1660" s="28"/>
      <x:c r="B1660" s="28"/>
      <x:c r="C1660" s="28"/>
      <x:c r="D1660" s="28"/>
      <x:c r="E1660" s="28"/>
      <x:c r="F1660" s="28"/>
      <x:c r="G1660" s="28"/>
      <x:c r="H1660" s="28"/>
      <x:c r="I1660" s="28"/>
      <x:c r="J1660" s="28"/>
      <x:c r="K1660" s="28"/>
      <x:c r="L1660" s="28"/>
      <x:c r="M1660" s="28"/>
      <x:c r="N1660" s="28"/>
      <x:c r="O1660" s="28"/>
      <x:c r="P1660" s="28"/>
      <x:c r="Q1660" s="28"/>
      <x:c r="R1660" s="28"/>
      <x:c r="S1660" s="28"/>
      <x:c r="T1660" s="28"/>
      <x:c r="U1660" s="28"/>
      <x:c r="V1660" s="28"/>
      <x:c r="W1660" s="43" t="n">
        <x:f>--AND(N1660=1,OR(O1660="SUPPORTED",O1660="HALLUCINATION"))</x:f>
        <x:v>0</x:v>
      </x:c>
      <x:c r="X1660" s="43" t="n">
        <x:f>--AND(W1660=1,O1660="HALLUCINATION")</x:f>
        <x:v>0</x:v>
      </x:c>
      <x:c r="Y1660" s="43" t="n">
        <x:f>--AND(Q1660=1,O1660="HALLUCINATION")</x:f>
        <x:v>0</x:v>
      </x:c>
      <x:c r="Z1660" s="43" t="n">
        <x:f>--AND(Y1660=1,R1660=1,S1660=1)</x:f>
        <x:v>0</x:v>
      </x:c>
      <x:c r="AC1660" t="str">
        <x:f>IF(OR(AA1660="",AB1660=""),"",--(AA1660&lt;&gt;AB1660))</x:f>
      </x:c>
      <x:c r="AE1660" t="str">
        <x:f>IF(OR(AA1660="",AB1660=""),"PENDING_HUMAN",IF(AA1660=AB1660,AA1660,IF(AD1660&lt;&gt;"",AD1660,"PENDING_HUMAN")))</x:f>
        <x:v>PENDING_HUMAN</x:v>
      </x:c>
      <x:c r="AF1660" t="n">
        <x:f>--AND(A1660&lt;&gt;"",AA1660&lt;&gt;"",AB1660&lt;&gt;"",OR(AA1660=AB1660,AD1660&lt;&gt;""),IF(AE1660="HALLUCINATION",U1660&lt;&gt;"",TRUE))</x:f>
        <x:v>0</x:v>
      </x:c>
      <x:c r="AG1660" t="n">
        <x:f>--AND(N1660=1,AF1660=1,OR(AE1660="SUPPORTED",AE1660="HALLUCINATION"))</x:f>
        <x:v>0</x:v>
      </x:c>
      <x:c r="AH1660" t="n">
        <x:f>--AND(AG1660=1,AE1660="HALLUCINATION")</x:f>
        <x:v>0</x:v>
      </x:c>
      <x:c r="AI1660" t="n">
        <x:f>--AND(Q1660=1,AF1660=1,AE1660="HALLUCINATION")</x:f>
        <x:v>0</x:v>
      </x:c>
      <x:c r="AJ1660" t="n">
        <x:f>--AND(AI1660=1,R1660=1,S1660=1)</x:f>
        <x:v>0</x:v>
      </x:c>
    </x:row>
    <x:row r="1661">
      <x:c r="A1661" s="28"/>
      <x:c r="B1661" s="28"/>
      <x:c r="C1661" s="28"/>
      <x:c r="D1661" s="28"/>
      <x:c r="E1661" s="28"/>
      <x:c r="F1661" s="28"/>
      <x:c r="G1661" s="28"/>
      <x:c r="H1661" s="28"/>
      <x:c r="I1661" s="28"/>
      <x:c r="J1661" s="28"/>
      <x:c r="K1661" s="28"/>
      <x:c r="L1661" s="28"/>
      <x:c r="M1661" s="28"/>
      <x:c r="N1661" s="28"/>
      <x:c r="O1661" s="28"/>
      <x:c r="P1661" s="28"/>
      <x:c r="Q1661" s="28"/>
      <x:c r="R1661" s="28"/>
      <x:c r="S1661" s="28"/>
      <x:c r="T1661" s="28"/>
      <x:c r="U1661" s="28"/>
      <x:c r="V1661" s="28"/>
      <x:c r="W1661" s="43" t="n">
        <x:f>--AND(N1661=1,OR(O1661="SUPPORTED",O1661="HALLUCINATION"))</x:f>
        <x:v>0</x:v>
      </x:c>
      <x:c r="X1661" s="43" t="n">
        <x:f>--AND(W1661=1,O1661="HALLUCINATION")</x:f>
        <x:v>0</x:v>
      </x:c>
      <x:c r="Y1661" s="43" t="n">
        <x:f>--AND(Q1661=1,O1661="HALLUCINATION")</x:f>
        <x:v>0</x:v>
      </x:c>
      <x:c r="Z1661" s="43" t="n">
        <x:f>--AND(Y1661=1,R1661=1,S1661=1)</x:f>
        <x:v>0</x:v>
      </x:c>
      <x:c r="AC1661" t="str">
        <x:f>IF(OR(AA1661="",AB1661=""),"",--(AA1661&lt;&gt;AB1661))</x:f>
      </x:c>
      <x:c r="AE1661" t="str">
        <x:f>IF(OR(AA1661="",AB1661=""),"PENDING_HUMAN",IF(AA1661=AB1661,AA1661,IF(AD1661&lt;&gt;"",AD1661,"PENDING_HUMAN")))</x:f>
        <x:v>PENDING_HUMAN</x:v>
      </x:c>
      <x:c r="AF1661" t="n">
        <x:f>--AND(A1661&lt;&gt;"",AA1661&lt;&gt;"",AB1661&lt;&gt;"",OR(AA1661=AB1661,AD1661&lt;&gt;""),IF(AE1661="HALLUCINATION",U1661&lt;&gt;"",TRUE))</x:f>
        <x:v>0</x:v>
      </x:c>
      <x:c r="AG1661" t="n">
        <x:f>--AND(N1661=1,AF1661=1,OR(AE1661="SUPPORTED",AE1661="HALLUCINATION"))</x:f>
        <x:v>0</x:v>
      </x:c>
      <x:c r="AH1661" t="n">
        <x:f>--AND(AG1661=1,AE1661="HALLUCINATION")</x:f>
        <x:v>0</x:v>
      </x:c>
      <x:c r="AI1661" t="n">
        <x:f>--AND(Q1661=1,AF1661=1,AE1661="HALLUCINATION")</x:f>
        <x:v>0</x:v>
      </x:c>
      <x:c r="AJ1661" t="n">
        <x:f>--AND(AI1661=1,R1661=1,S1661=1)</x:f>
        <x:v>0</x:v>
      </x:c>
    </x:row>
    <x:row r="1662">
      <x:c r="A1662" s="28"/>
      <x:c r="B1662" s="28"/>
      <x:c r="C1662" s="28"/>
      <x:c r="D1662" s="28"/>
      <x:c r="E1662" s="28"/>
      <x:c r="F1662" s="28"/>
      <x:c r="G1662" s="28"/>
      <x:c r="H1662" s="28"/>
      <x:c r="I1662" s="28"/>
      <x:c r="J1662" s="28"/>
      <x:c r="K1662" s="28"/>
      <x:c r="L1662" s="28"/>
      <x:c r="M1662" s="28"/>
      <x:c r="N1662" s="28"/>
      <x:c r="O1662" s="28"/>
      <x:c r="P1662" s="28"/>
      <x:c r="Q1662" s="28"/>
      <x:c r="R1662" s="28"/>
      <x:c r="S1662" s="28"/>
      <x:c r="T1662" s="28"/>
      <x:c r="U1662" s="28"/>
      <x:c r="V1662" s="28"/>
      <x:c r="W1662" s="43" t="n">
        <x:f>--AND(N1662=1,OR(O1662="SUPPORTED",O1662="HALLUCINATION"))</x:f>
        <x:v>0</x:v>
      </x:c>
      <x:c r="X1662" s="43" t="n">
        <x:f>--AND(W1662=1,O1662="HALLUCINATION")</x:f>
        <x:v>0</x:v>
      </x:c>
      <x:c r="Y1662" s="43" t="n">
        <x:f>--AND(Q1662=1,O1662="HALLUCINATION")</x:f>
        <x:v>0</x:v>
      </x:c>
      <x:c r="Z1662" s="43" t="n">
        <x:f>--AND(Y1662=1,R1662=1,S1662=1)</x:f>
        <x:v>0</x:v>
      </x:c>
      <x:c r="AC1662" t="str">
        <x:f>IF(OR(AA1662="",AB1662=""),"",--(AA1662&lt;&gt;AB1662))</x:f>
      </x:c>
      <x:c r="AE1662" t="str">
        <x:f>IF(OR(AA1662="",AB1662=""),"PENDING_HUMAN",IF(AA1662=AB1662,AA1662,IF(AD1662&lt;&gt;"",AD1662,"PENDING_HUMAN")))</x:f>
        <x:v>PENDING_HUMAN</x:v>
      </x:c>
      <x:c r="AF1662" t="n">
        <x:f>--AND(A1662&lt;&gt;"",AA1662&lt;&gt;"",AB1662&lt;&gt;"",OR(AA1662=AB1662,AD1662&lt;&gt;""),IF(AE1662="HALLUCINATION",U1662&lt;&gt;"",TRUE))</x:f>
        <x:v>0</x:v>
      </x:c>
      <x:c r="AG1662" t="n">
        <x:f>--AND(N1662=1,AF1662=1,OR(AE1662="SUPPORTED",AE1662="HALLUCINATION"))</x:f>
        <x:v>0</x:v>
      </x:c>
      <x:c r="AH1662" t="n">
        <x:f>--AND(AG1662=1,AE1662="HALLUCINATION")</x:f>
        <x:v>0</x:v>
      </x:c>
      <x:c r="AI1662" t="n">
        <x:f>--AND(Q1662=1,AF1662=1,AE1662="HALLUCINATION")</x:f>
        <x:v>0</x:v>
      </x:c>
      <x:c r="AJ1662" t="n">
        <x:f>--AND(AI1662=1,R1662=1,S1662=1)</x:f>
        <x:v>0</x:v>
      </x:c>
    </x:row>
    <x:row r="1663">
      <x:c r="A1663" s="28"/>
      <x:c r="B1663" s="28"/>
      <x:c r="C1663" s="28"/>
      <x:c r="D1663" s="28"/>
      <x:c r="E1663" s="28"/>
      <x:c r="F1663" s="28"/>
      <x:c r="G1663" s="28"/>
      <x:c r="H1663" s="28"/>
      <x:c r="I1663" s="28"/>
      <x:c r="J1663" s="28"/>
      <x:c r="K1663" s="28"/>
      <x:c r="L1663" s="28"/>
      <x:c r="M1663" s="28"/>
      <x:c r="N1663" s="28"/>
      <x:c r="O1663" s="28"/>
      <x:c r="P1663" s="28"/>
      <x:c r="Q1663" s="28"/>
      <x:c r="R1663" s="28"/>
      <x:c r="S1663" s="28"/>
      <x:c r="T1663" s="28"/>
      <x:c r="U1663" s="28"/>
      <x:c r="V1663" s="28"/>
      <x:c r="W1663" s="43" t="n">
        <x:f>--AND(N1663=1,OR(O1663="SUPPORTED",O1663="HALLUCINATION"))</x:f>
        <x:v>0</x:v>
      </x:c>
      <x:c r="X1663" s="43" t="n">
        <x:f>--AND(W1663=1,O1663="HALLUCINATION")</x:f>
        <x:v>0</x:v>
      </x:c>
      <x:c r="Y1663" s="43" t="n">
        <x:f>--AND(Q1663=1,O1663="HALLUCINATION")</x:f>
        <x:v>0</x:v>
      </x:c>
      <x:c r="Z1663" s="43" t="n">
        <x:f>--AND(Y1663=1,R1663=1,S1663=1)</x:f>
        <x:v>0</x:v>
      </x:c>
      <x:c r="AC1663" t="str">
        <x:f>IF(OR(AA1663="",AB1663=""),"",--(AA1663&lt;&gt;AB1663))</x:f>
      </x:c>
      <x:c r="AE1663" t="str">
        <x:f>IF(OR(AA1663="",AB1663=""),"PENDING_HUMAN",IF(AA1663=AB1663,AA1663,IF(AD1663&lt;&gt;"",AD1663,"PENDING_HUMAN")))</x:f>
        <x:v>PENDING_HUMAN</x:v>
      </x:c>
      <x:c r="AF1663" t="n">
        <x:f>--AND(A1663&lt;&gt;"",AA1663&lt;&gt;"",AB1663&lt;&gt;"",OR(AA1663=AB1663,AD1663&lt;&gt;""),IF(AE1663="HALLUCINATION",U1663&lt;&gt;"",TRUE))</x:f>
        <x:v>0</x:v>
      </x:c>
      <x:c r="AG1663" t="n">
        <x:f>--AND(N1663=1,AF1663=1,OR(AE1663="SUPPORTED",AE1663="HALLUCINATION"))</x:f>
        <x:v>0</x:v>
      </x:c>
      <x:c r="AH1663" t="n">
        <x:f>--AND(AG1663=1,AE1663="HALLUCINATION")</x:f>
        <x:v>0</x:v>
      </x:c>
      <x:c r="AI1663" t="n">
        <x:f>--AND(Q1663=1,AF1663=1,AE1663="HALLUCINATION")</x:f>
        <x:v>0</x:v>
      </x:c>
      <x:c r="AJ1663" t="n">
        <x:f>--AND(AI1663=1,R1663=1,S1663=1)</x:f>
        <x:v>0</x:v>
      </x:c>
    </x:row>
    <x:row r="1664">
      <x:c r="A1664" s="28"/>
      <x:c r="B1664" s="28"/>
      <x:c r="C1664" s="28"/>
      <x:c r="D1664" s="28"/>
      <x:c r="E1664" s="28"/>
      <x:c r="F1664" s="28"/>
      <x:c r="G1664" s="28"/>
      <x:c r="H1664" s="28"/>
      <x:c r="I1664" s="28"/>
      <x:c r="J1664" s="28"/>
      <x:c r="K1664" s="28"/>
      <x:c r="L1664" s="28"/>
      <x:c r="M1664" s="28"/>
      <x:c r="N1664" s="28"/>
      <x:c r="O1664" s="28"/>
      <x:c r="P1664" s="28"/>
      <x:c r="Q1664" s="28"/>
      <x:c r="R1664" s="28"/>
      <x:c r="S1664" s="28"/>
      <x:c r="T1664" s="28"/>
      <x:c r="U1664" s="28"/>
      <x:c r="V1664" s="28"/>
      <x:c r="W1664" s="43" t="n">
        <x:f>--AND(N1664=1,OR(O1664="SUPPORTED",O1664="HALLUCINATION"))</x:f>
        <x:v>0</x:v>
      </x:c>
      <x:c r="X1664" s="43" t="n">
        <x:f>--AND(W1664=1,O1664="HALLUCINATION")</x:f>
        <x:v>0</x:v>
      </x:c>
      <x:c r="Y1664" s="43" t="n">
        <x:f>--AND(Q1664=1,O1664="HALLUCINATION")</x:f>
        <x:v>0</x:v>
      </x:c>
      <x:c r="Z1664" s="43" t="n">
        <x:f>--AND(Y1664=1,R1664=1,S1664=1)</x:f>
        <x:v>0</x:v>
      </x:c>
      <x:c r="AC1664" t="str">
        <x:f>IF(OR(AA1664="",AB1664=""),"",--(AA1664&lt;&gt;AB1664))</x:f>
      </x:c>
      <x:c r="AE1664" t="str">
        <x:f>IF(OR(AA1664="",AB1664=""),"PENDING_HUMAN",IF(AA1664=AB1664,AA1664,IF(AD1664&lt;&gt;"",AD1664,"PENDING_HUMAN")))</x:f>
        <x:v>PENDING_HUMAN</x:v>
      </x:c>
      <x:c r="AF1664" t="n">
        <x:f>--AND(A1664&lt;&gt;"",AA1664&lt;&gt;"",AB1664&lt;&gt;"",OR(AA1664=AB1664,AD1664&lt;&gt;""),IF(AE1664="HALLUCINATION",U1664&lt;&gt;"",TRUE))</x:f>
        <x:v>0</x:v>
      </x:c>
      <x:c r="AG1664" t="n">
        <x:f>--AND(N1664=1,AF1664=1,OR(AE1664="SUPPORTED",AE1664="HALLUCINATION"))</x:f>
        <x:v>0</x:v>
      </x:c>
      <x:c r="AH1664" t="n">
        <x:f>--AND(AG1664=1,AE1664="HALLUCINATION")</x:f>
        <x:v>0</x:v>
      </x:c>
      <x:c r="AI1664" t="n">
        <x:f>--AND(Q1664=1,AF1664=1,AE1664="HALLUCINATION")</x:f>
        <x:v>0</x:v>
      </x:c>
      <x:c r="AJ1664" t="n">
        <x:f>--AND(AI1664=1,R1664=1,S1664=1)</x:f>
        <x:v>0</x:v>
      </x:c>
    </x:row>
    <x:row r="1665">
      <x:c r="A1665" s="28"/>
      <x:c r="B1665" s="28"/>
      <x:c r="C1665" s="28"/>
      <x:c r="D1665" s="28"/>
      <x:c r="E1665" s="28"/>
      <x:c r="F1665" s="28"/>
      <x:c r="G1665" s="28"/>
      <x:c r="H1665" s="28"/>
      <x:c r="I1665" s="28"/>
      <x:c r="J1665" s="28"/>
      <x:c r="K1665" s="28"/>
      <x:c r="L1665" s="28"/>
      <x:c r="M1665" s="28"/>
      <x:c r="N1665" s="28"/>
      <x:c r="O1665" s="28"/>
      <x:c r="P1665" s="28"/>
      <x:c r="Q1665" s="28"/>
      <x:c r="R1665" s="28"/>
      <x:c r="S1665" s="28"/>
      <x:c r="T1665" s="28"/>
      <x:c r="U1665" s="28"/>
      <x:c r="V1665" s="28"/>
      <x:c r="W1665" s="43" t="n">
        <x:f>--AND(N1665=1,OR(O1665="SUPPORTED",O1665="HALLUCINATION"))</x:f>
        <x:v>0</x:v>
      </x:c>
      <x:c r="X1665" s="43" t="n">
        <x:f>--AND(W1665=1,O1665="HALLUCINATION")</x:f>
        <x:v>0</x:v>
      </x:c>
      <x:c r="Y1665" s="43" t="n">
        <x:f>--AND(Q1665=1,O1665="HALLUCINATION")</x:f>
        <x:v>0</x:v>
      </x:c>
      <x:c r="Z1665" s="43" t="n">
        <x:f>--AND(Y1665=1,R1665=1,S1665=1)</x:f>
        <x:v>0</x:v>
      </x:c>
      <x:c r="AC1665" t="str">
        <x:f>IF(OR(AA1665="",AB1665=""),"",--(AA1665&lt;&gt;AB1665))</x:f>
      </x:c>
      <x:c r="AE1665" t="str">
        <x:f>IF(OR(AA1665="",AB1665=""),"PENDING_HUMAN",IF(AA1665=AB1665,AA1665,IF(AD1665&lt;&gt;"",AD1665,"PENDING_HUMAN")))</x:f>
        <x:v>PENDING_HUMAN</x:v>
      </x:c>
      <x:c r="AF1665" t="n">
        <x:f>--AND(A1665&lt;&gt;"",AA1665&lt;&gt;"",AB1665&lt;&gt;"",OR(AA1665=AB1665,AD1665&lt;&gt;""),IF(AE1665="HALLUCINATION",U1665&lt;&gt;"",TRUE))</x:f>
        <x:v>0</x:v>
      </x:c>
      <x:c r="AG1665" t="n">
        <x:f>--AND(N1665=1,AF1665=1,OR(AE1665="SUPPORTED",AE1665="HALLUCINATION"))</x:f>
        <x:v>0</x:v>
      </x:c>
      <x:c r="AH1665" t="n">
        <x:f>--AND(AG1665=1,AE1665="HALLUCINATION")</x:f>
        <x:v>0</x:v>
      </x:c>
      <x:c r="AI1665" t="n">
        <x:f>--AND(Q1665=1,AF1665=1,AE1665="HALLUCINATION")</x:f>
        <x:v>0</x:v>
      </x:c>
      <x:c r="AJ1665" t="n">
        <x:f>--AND(AI1665=1,R1665=1,S1665=1)</x:f>
        <x:v>0</x:v>
      </x:c>
    </x:row>
    <x:row r="1666">
      <x:c r="A1666" s="28"/>
      <x:c r="B1666" s="28"/>
      <x:c r="C1666" s="28"/>
      <x:c r="D1666" s="28"/>
      <x:c r="E1666" s="28"/>
      <x:c r="F1666" s="28"/>
      <x:c r="G1666" s="28"/>
      <x:c r="H1666" s="28"/>
      <x:c r="I1666" s="28"/>
      <x:c r="J1666" s="28"/>
      <x:c r="K1666" s="28"/>
      <x:c r="L1666" s="28"/>
      <x:c r="M1666" s="28"/>
      <x:c r="N1666" s="28"/>
      <x:c r="O1666" s="28"/>
      <x:c r="P1666" s="28"/>
      <x:c r="Q1666" s="28"/>
      <x:c r="R1666" s="28"/>
      <x:c r="S1666" s="28"/>
      <x:c r="T1666" s="28"/>
      <x:c r="U1666" s="28"/>
      <x:c r="V1666" s="28"/>
      <x:c r="W1666" s="43" t="n">
        <x:f>--AND(N1666=1,OR(O1666="SUPPORTED",O1666="HALLUCINATION"))</x:f>
        <x:v>0</x:v>
      </x:c>
      <x:c r="X1666" s="43" t="n">
        <x:f>--AND(W1666=1,O1666="HALLUCINATION")</x:f>
        <x:v>0</x:v>
      </x:c>
      <x:c r="Y1666" s="43" t="n">
        <x:f>--AND(Q1666=1,O1666="HALLUCINATION")</x:f>
        <x:v>0</x:v>
      </x:c>
      <x:c r="Z1666" s="43" t="n">
        <x:f>--AND(Y1666=1,R1666=1,S1666=1)</x:f>
        <x:v>0</x:v>
      </x:c>
      <x:c r="AC1666" t="str">
        <x:f>IF(OR(AA1666="",AB1666=""),"",--(AA1666&lt;&gt;AB1666))</x:f>
      </x:c>
      <x:c r="AE1666" t="str">
        <x:f>IF(OR(AA1666="",AB1666=""),"PENDING_HUMAN",IF(AA1666=AB1666,AA1666,IF(AD1666&lt;&gt;"",AD1666,"PENDING_HUMAN")))</x:f>
        <x:v>PENDING_HUMAN</x:v>
      </x:c>
      <x:c r="AF1666" t="n">
        <x:f>--AND(A1666&lt;&gt;"",AA1666&lt;&gt;"",AB1666&lt;&gt;"",OR(AA1666=AB1666,AD1666&lt;&gt;""),IF(AE1666="HALLUCINATION",U1666&lt;&gt;"",TRUE))</x:f>
        <x:v>0</x:v>
      </x:c>
      <x:c r="AG1666" t="n">
        <x:f>--AND(N1666=1,AF1666=1,OR(AE1666="SUPPORTED",AE1666="HALLUCINATION"))</x:f>
        <x:v>0</x:v>
      </x:c>
      <x:c r="AH1666" t="n">
        <x:f>--AND(AG1666=1,AE1666="HALLUCINATION")</x:f>
        <x:v>0</x:v>
      </x:c>
      <x:c r="AI1666" t="n">
        <x:f>--AND(Q1666=1,AF1666=1,AE1666="HALLUCINATION")</x:f>
        <x:v>0</x:v>
      </x:c>
      <x:c r="AJ1666" t="n">
        <x:f>--AND(AI1666=1,R1666=1,S1666=1)</x:f>
        <x:v>0</x:v>
      </x:c>
    </x:row>
    <x:row r="1667">
      <x:c r="A1667" s="28"/>
      <x:c r="B1667" s="28"/>
      <x:c r="C1667" s="28"/>
      <x:c r="D1667" s="28"/>
      <x:c r="E1667" s="28"/>
      <x:c r="F1667" s="28"/>
      <x:c r="G1667" s="28"/>
      <x:c r="H1667" s="28"/>
      <x:c r="I1667" s="28"/>
      <x:c r="J1667" s="28"/>
      <x:c r="K1667" s="28"/>
      <x:c r="L1667" s="28"/>
      <x:c r="M1667" s="28"/>
      <x:c r="N1667" s="28"/>
      <x:c r="O1667" s="28"/>
      <x:c r="P1667" s="28"/>
      <x:c r="Q1667" s="28"/>
      <x:c r="R1667" s="28"/>
      <x:c r="S1667" s="28"/>
      <x:c r="T1667" s="28"/>
      <x:c r="U1667" s="28"/>
      <x:c r="V1667" s="28"/>
      <x:c r="W1667" s="43" t="n">
        <x:f>--AND(N1667=1,OR(O1667="SUPPORTED",O1667="HALLUCINATION"))</x:f>
        <x:v>0</x:v>
      </x:c>
      <x:c r="X1667" s="43" t="n">
        <x:f>--AND(W1667=1,O1667="HALLUCINATION")</x:f>
        <x:v>0</x:v>
      </x:c>
      <x:c r="Y1667" s="43" t="n">
        <x:f>--AND(Q1667=1,O1667="HALLUCINATION")</x:f>
        <x:v>0</x:v>
      </x:c>
      <x:c r="Z1667" s="43" t="n">
        <x:f>--AND(Y1667=1,R1667=1,S1667=1)</x:f>
        <x:v>0</x:v>
      </x:c>
      <x:c r="AC1667" t="str">
        <x:f>IF(OR(AA1667="",AB1667=""),"",--(AA1667&lt;&gt;AB1667))</x:f>
      </x:c>
      <x:c r="AE1667" t="str">
        <x:f>IF(OR(AA1667="",AB1667=""),"PENDING_HUMAN",IF(AA1667=AB1667,AA1667,IF(AD1667&lt;&gt;"",AD1667,"PENDING_HUMAN")))</x:f>
        <x:v>PENDING_HUMAN</x:v>
      </x:c>
      <x:c r="AF1667" t="n">
        <x:f>--AND(A1667&lt;&gt;"",AA1667&lt;&gt;"",AB1667&lt;&gt;"",OR(AA1667=AB1667,AD1667&lt;&gt;""),IF(AE1667="HALLUCINATION",U1667&lt;&gt;"",TRUE))</x:f>
        <x:v>0</x:v>
      </x:c>
      <x:c r="AG1667" t="n">
        <x:f>--AND(N1667=1,AF1667=1,OR(AE1667="SUPPORTED",AE1667="HALLUCINATION"))</x:f>
        <x:v>0</x:v>
      </x:c>
      <x:c r="AH1667" t="n">
        <x:f>--AND(AG1667=1,AE1667="HALLUCINATION")</x:f>
        <x:v>0</x:v>
      </x:c>
      <x:c r="AI1667" t="n">
        <x:f>--AND(Q1667=1,AF1667=1,AE1667="HALLUCINATION")</x:f>
        <x:v>0</x:v>
      </x:c>
      <x:c r="AJ1667" t="n">
        <x:f>--AND(AI1667=1,R1667=1,S1667=1)</x:f>
        <x:v>0</x:v>
      </x:c>
    </x:row>
    <x:row r="1668">
      <x:c r="A1668" s="28"/>
      <x:c r="B1668" s="28"/>
      <x:c r="C1668" s="28"/>
      <x:c r="D1668" s="28"/>
      <x:c r="E1668" s="28"/>
      <x:c r="F1668" s="28"/>
      <x:c r="G1668" s="28"/>
      <x:c r="H1668" s="28"/>
      <x:c r="I1668" s="28"/>
      <x:c r="J1668" s="28"/>
      <x:c r="K1668" s="28"/>
      <x:c r="L1668" s="28"/>
      <x:c r="M1668" s="28"/>
      <x:c r="N1668" s="28"/>
      <x:c r="O1668" s="28"/>
      <x:c r="P1668" s="28"/>
      <x:c r="Q1668" s="28"/>
      <x:c r="R1668" s="28"/>
      <x:c r="S1668" s="28"/>
      <x:c r="T1668" s="28"/>
      <x:c r="U1668" s="28"/>
      <x:c r="V1668" s="28"/>
      <x:c r="W1668" s="43" t="n">
        <x:f>--AND(N1668=1,OR(O1668="SUPPORTED",O1668="HALLUCINATION"))</x:f>
        <x:v>0</x:v>
      </x:c>
      <x:c r="X1668" s="43" t="n">
        <x:f>--AND(W1668=1,O1668="HALLUCINATION")</x:f>
        <x:v>0</x:v>
      </x:c>
      <x:c r="Y1668" s="43" t="n">
        <x:f>--AND(Q1668=1,O1668="HALLUCINATION")</x:f>
        <x:v>0</x:v>
      </x:c>
      <x:c r="Z1668" s="43" t="n">
        <x:f>--AND(Y1668=1,R1668=1,S1668=1)</x:f>
        <x:v>0</x:v>
      </x:c>
      <x:c r="AC1668" t="str">
        <x:f>IF(OR(AA1668="",AB1668=""),"",--(AA1668&lt;&gt;AB1668))</x:f>
      </x:c>
      <x:c r="AE1668" t="str">
        <x:f>IF(OR(AA1668="",AB1668=""),"PENDING_HUMAN",IF(AA1668=AB1668,AA1668,IF(AD1668&lt;&gt;"",AD1668,"PENDING_HUMAN")))</x:f>
        <x:v>PENDING_HUMAN</x:v>
      </x:c>
      <x:c r="AF1668" t="n">
        <x:f>--AND(A1668&lt;&gt;"",AA1668&lt;&gt;"",AB1668&lt;&gt;"",OR(AA1668=AB1668,AD1668&lt;&gt;""),IF(AE1668="HALLUCINATION",U1668&lt;&gt;"",TRUE))</x:f>
        <x:v>0</x:v>
      </x:c>
      <x:c r="AG1668" t="n">
        <x:f>--AND(N1668=1,AF1668=1,OR(AE1668="SUPPORTED",AE1668="HALLUCINATION"))</x:f>
        <x:v>0</x:v>
      </x:c>
      <x:c r="AH1668" t="n">
        <x:f>--AND(AG1668=1,AE1668="HALLUCINATION")</x:f>
        <x:v>0</x:v>
      </x:c>
      <x:c r="AI1668" t="n">
        <x:f>--AND(Q1668=1,AF1668=1,AE1668="HALLUCINATION")</x:f>
        <x:v>0</x:v>
      </x:c>
      <x:c r="AJ1668" t="n">
        <x:f>--AND(AI1668=1,R1668=1,S1668=1)</x:f>
        <x:v>0</x:v>
      </x:c>
    </x:row>
    <x:row r="1669">
      <x:c r="A1669" s="28"/>
      <x:c r="B1669" s="28"/>
      <x:c r="C1669" s="28"/>
      <x:c r="D1669" s="28"/>
      <x:c r="E1669" s="28"/>
      <x:c r="F1669" s="28"/>
      <x:c r="G1669" s="28"/>
      <x:c r="H1669" s="28"/>
      <x:c r="I1669" s="28"/>
      <x:c r="J1669" s="28"/>
      <x:c r="K1669" s="28"/>
      <x:c r="L1669" s="28"/>
      <x:c r="M1669" s="28"/>
      <x:c r="N1669" s="28"/>
      <x:c r="O1669" s="28"/>
      <x:c r="P1669" s="28"/>
      <x:c r="Q1669" s="28"/>
      <x:c r="R1669" s="28"/>
      <x:c r="S1669" s="28"/>
      <x:c r="T1669" s="28"/>
      <x:c r="U1669" s="28"/>
      <x:c r="V1669" s="28"/>
      <x:c r="W1669" s="43" t="n">
        <x:f>--AND(N1669=1,OR(O1669="SUPPORTED",O1669="HALLUCINATION"))</x:f>
        <x:v>0</x:v>
      </x:c>
      <x:c r="X1669" s="43" t="n">
        <x:f>--AND(W1669=1,O1669="HALLUCINATION")</x:f>
        <x:v>0</x:v>
      </x:c>
      <x:c r="Y1669" s="43" t="n">
        <x:f>--AND(Q1669=1,O1669="HALLUCINATION")</x:f>
        <x:v>0</x:v>
      </x:c>
      <x:c r="Z1669" s="43" t="n">
        <x:f>--AND(Y1669=1,R1669=1,S1669=1)</x:f>
        <x:v>0</x:v>
      </x:c>
      <x:c r="AC1669" t="str">
        <x:f>IF(OR(AA1669="",AB1669=""),"",--(AA1669&lt;&gt;AB1669))</x:f>
      </x:c>
      <x:c r="AE1669" t="str">
        <x:f>IF(OR(AA1669="",AB1669=""),"PENDING_HUMAN",IF(AA1669=AB1669,AA1669,IF(AD1669&lt;&gt;"",AD1669,"PENDING_HUMAN")))</x:f>
        <x:v>PENDING_HUMAN</x:v>
      </x:c>
      <x:c r="AF1669" t="n">
        <x:f>--AND(A1669&lt;&gt;"",AA1669&lt;&gt;"",AB1669&lt;&gt;"",OR(AA1669=AB1669,AD1669&lt;&gt;""),IF(AE1669="HALLUCINATION",U1669&lt;&gt;"",TRUE))</x:f>
        <x:v>0</x:v>
      </x:c>
      <x:c r="AG1669" t="n">
        <x:f>--AND(N1669=1,AF1669=1,OR(AE1669="SUPPORTED",AE1669="HALLUCINATION"))</x:f>
        <x:v>0</x:v>
      </x:c>
      <x:c r="AH1669" t="n">
        <x:f>--AND(AG1669=1,AE1669="HALLUCINATION")</x:f>
        <x:v>0</x:v>
      </x:c>
      <x:c r="AI1669" t="n">
        <x:f>--AND(Q1669=1,AF1669=1,AE1669="HALLUCINATION")</x:f>
        <x:v>0</x:v>
      </x:c>
      <x:c r="AJ1669" t="n">
        <x:f>--AND(AI1669=1,R1669=1,S1669=1)</x:f>
        <x:v>0</x:v>
      </x:c>
    </x:row>
    <x:row r="1670">
      <x:c r="A1670" s="28"/>
      <x:c r="B1670" s="28"/>
      <x:c r="C1670" s="28"/>
      <x:c r="D1670" s="28"/>
      <x:c r="E1670" s="28"/>
      <x:c r="F1670" s="28"/>
      <x:c r="G1670" s="28"/>
      <x:c r="H1670" s="28"/>
      <x:c r="I1670" s="28"/>
      <x:c r="J1670" s="28"/>
      <x:c r="K1670" s="28"/>
      <x:c r="L1670" s="28"/>
      <x:c r="M1670" s="28"/>
      <x:c r="N1670" s="28"/>
      <x:c r="O1670" s="28"/>
      <x:c r="P1670" s="28"/>
      <x:c r="Q1670" s="28"/>
      <x:c r="R1670" s="28"/>
      <x:c r="S1670" s="28"/>
      <x:c r="T1670" s="28"/>
      <x:c r="U1670" s="28"/>
      <x:c r="V1670" s="28"/>
      <x:c r="W1670" s="43" t="n">
        <x:f>--AND(N1670=1,OR(O1670="SUPPORTED",O1670="HALLUCINATION"))</x:f>
        <x:v>0</x:v>
      </x:c>
      <x:c r="X1670" s="43" t="n">
        <x:f>--AND(W1670=1,O1670="HALLUCINATION")</x:f>
        <x:v>0</x:v>
      </x:c>
      <x:c r="Y1670" s="43" t="n">
        <x:f>--AND(Q1670=1,O1670="HALLUCINATION")</x:f>
        <x:v>0</x:v>
      </x:c>
      <x:c r="Z1670" s="43" t="n">
        <x:f>--AND(Y1670=1,R1670=1,S1670=1)</x:f>
        <x:v>0</x:v>
      </x:c>
      <x:c r="AC1670" t="str">
        <x:f>IF(OR(AA1670="",AB1670=""),"",--(AA1670&lt;&gt;AB1670))</x:f>
      </x:c>
      <x:c r="AE1670" t="str">
        <x:f>IF(OR(AA1670="",AB1670=""),"PENDING_HUMAN",IF(AA1670=AB1670,AA1670,IF(AD1670&lt;&gt;"",AD1670,"PENDING_HUMAN")))</x:f>
        <x:v>PENDING_HUMAN</x:v>
      </x:c>
      <x:c r="AF1670" t="n">
        <x:f>--AND(A1670&lt;&gt;"",AA1670&lt;&gt;"",AB1670&lt;&gt;"",OR(AA1670=AB1670,AD1670&lt;&gt;""),IF(AE1670="HALLUCINATION",U1670&lt;&gt;"",TRUE))</x:f>
        <x:v>0</x:v>
      </x:c>
      <x:c r="AG1670" t="n">
        <x:f>--AND(N1670=1,AF1670=1,OR(AE1670="SUPPORTED",AE1670="HALLUCINATION"))</x:f>
        <x:v>0</x:v>
      </x:c>
      <x:c r="AH1670" t="n">
        <x:f>--AND(AG1670=1,AE1670="HALLUCINATION")</x:f>
        <x:v>0</x:v>
      </x:c>
      <x:c r="AI1670" t="n">
        <x:f>--AND(Q1670=1,AF1670=1,AE1670="HALLUCINATION")</x:f>
        <x:v>0</x:v>
      </x:c>
      <x:c r="AJ1670" t="n">
        <x:f>--AND(AI1670=1,R1670=1,S1670=1)</x:f>
        <x:v>0</x:v>
      </x:c>
    </x:row>
    <x:row r="1671">
      <x:c r="A1671" s="28"/>
      <x:c r="B1671" s="28"/>
      <x:c r="C1671" s="28"/>
      <x:c r="D1671" s="28"/>
      <x:c r="E1671" s="28"/>
      <x:c r="F1671" s="28"/>
      <x:c r="G1671" s="28"/>
      <x:c r="H1671" s="28"/>
      <x:c r="I1671" s="28"/>
      <x:c r="J1671" s="28"/>
      <x:c r="K1671" s="28"/>
      <x:c r="L1671" s="28"/>
      <x:c r="M1671" s="28"/>
      <x:c r="N1671" s="28"/>
      <x:c r="O1671" s="28"/>
      <x:c r="P1671" s="28"/>
      <x:c r="Q1671" s="28"/>
      <x:c r="R1671" s="28"/>
      <x:c r="S1671" s="28"/>
      <x:c r="T1671" s="28"/>
      <x:c r="U1671" s="28"/>
      <x:c r="V1671" s="28"/>
      <x:c r="W1671" s="43" t="n">
        <x:f>--AND(N1671=1,OR(O1671="SUPPORTED",O1671="HALLUCINATION"))</x:f>
        <x:v>0</x:v>
      </x:c>
      <x:c r="X1671" s="43" t="n">
        <x:f>--AND(W1671=1,O1671="HALLUCINATION")</x:f>
        <x:v>0</x:v>
      </x:c>
      <x:c r="Y1671" s="43" t="n">
        <x:f>--AND(Q1671=1,O1671="HALLUCINATION")</x:f>
        <x:v>0</x:v>
      </x:c>
      <x:c r="Z1671" s="43" t="n">
        <x:f>--AND(Y1671=1,R1671=1,S1671=1)</x:f>
        <x:v>0</x:v>
      </x:c>
      <x:c r="AC1671" t="str">
        <x:f>IF(OR(AA1671="",AB1671=""),"",--(AA1671&lt;&gt;AB1671))</x:f>
      </x:c>
      <x:c r="AE1671" t="str">
        <x:f>IF(OR(AA1671="",AB1671=""),"PENDING_HUMAN",IF(AA1671=AB1671,AA1671,IF(AD1671&lt;&gt;"",AD1671,"PENDING_HUMAN")))</x:f>
        <x:v>PENDING_HUMAN</x:v>
      </x:c>
      <x:c r="AF1671" t="n">
        <x:f>--AND(A1671&lt;&gt;"",AA1671&lt;&gt;"",AB1671&lt;&gt;"",OR(AA1671=AB1671,AD1671&lt;&gt;""),IF(AE1671="HALLUCINATION",U1671&lt;&gt;"",TRUE))</x:f>
        <x:v>0</x:v>
      </x:c>
      <x:c r="AG1671" t="n">
        <x:f>--AND(N1671=1,AF1671=1,OR(AE1671="SUPPORTED",AE1671="HALLUCINATION"))</x:f>
        <x:v>0</x:v>
      </x:c>
      <x:c r="AH1671" t="n">
        <x:f>--AND(AG1671=1,AE1671="HALLUCINATION")</x:f>
        <x:v>0</x:v>
      </x:c>
      <x:c r="AI1671" t="n">
        <x:f>--AND(Q1671=1,AF1671=1,AE1671="HALLUCINATION")</x:f>
        <x:v>0</x:v>
      </x:c>
      <x:c r="AJ1671" t="n">
        <x:f>--AND(AI1671=1,R1671=1,S1671=1)</x:f>
        <x:v>0</x:v>
      </x:c>
    </x:row>
    <x:row r="1672">
      <x:c r="A1672" s="28"/>
      <x:c r="B1672" s="28"/>
      <x:c r="C1672" s="28"/>
      <x:c r="D1672" s="28"/>
      <x:c r="E1672" s="28"/>
      <x:c r="F1672" s="28"/>
      <x:c r="G1672" s="28"/>
      <x:c r="H1672" s="28"/>
      <x:c r="I1672" s="28"/>
      <x:c r="J1672" s="28"/>
      <x:c r="K1672" s="28"/>
      <x:c r="L1672" s="28"/>
      <x:c r="M1672" s="28"/>
      <x:c r="N1672" s="28"/>
      <x:c r="O1672" s="28"/>
      <x:c r="P1672" s="28"/>
      <x:c r="Q1672" s="28"/>
      <x:c r="R1672" s="28"/>
      <x:c r="S1672" s="28"/>
      <x:c r="T1672" s="28"/>
      <x:c r="U1672" s="28"/>
      <x:c r="V1672" s="28"/>
      <x:c r="W1672" s="43" t="n">
        <x:f>--AND(N1672=1,OR(O1672="SUPPORTED",O1672="HALLUCINATION"))</x:f>
        <x:v>0</x:v>
      </x:c>
      <x:c r="X1672" s="43" t="n">
        <x:f>--AND(W1672=1,O1672="HALLUCINATION")</x:f>
        <x:v>0</x:v>
      </x:c>
      <x:c r="Y1672" s="43" t="n">
        <x:f>--AND(Q1672=1,O1672="HALLUCINATION")</x:f>
        <x:v>0</x:v>
      </x:c>
      <x:c r="Z1672" s="43" t="n">
        <x:f>--AND(Y1672=1,R1672=1,S1672=1)</x:f>
        <x:v>0</x:v>
      </x:c>
      <x:c r="AC1672" t="str">
        <x:f>IF(OR(AA1672="",AB1672=""),"",--(AA1672&lt;&gt;AB1672))</x:f>
      </x:c>
      <x:c r="AE1672" t="str">
        <x:f>IF(OR(AA1672="",AB1672=""),"PENDING_HUMAN",IF(AA1672=AB1672,AA1672,IF(AD1672&lt;&gt;"",AD1672,"PENDING_HUMAN")))</x:f>
        <x:v>PENDING_HUMAN</x:v>
      </x:c>
      <x:c r="AF1672" t="n">
        <x:f>--AND(A1672&lt;&gt;"",AA1672&lt;&gt;"",AB1672&lt;&gt;"",OR(AA1672=AB1672,AD1672&lt;&gt;""),IF(AE1672="HALLUCINATION",U1672&lt;&gt;"",TRUE))</x:f>
        <x:v>0</x:v>
      </x:c>
      <x:c r="AG1672" t="n">
        <x:f>--AND(N1672=1,AF1672=1,OR(AE1672="SUPPORTED",AE1672="HALLUCINATION"))</x:f>
        <x:v>0</x:v>
      </x:c>
      <x:c r="AH1672" t="n">
        <x:f>--AND(AG1672=1,AE1672="HALLUCINATION")</x:f>
        <x:v>0</x:v>
      </x:c>
      <x:c r="AI1672" t="n">
        <x:f>--AND(Q1672=1,AF1672=1,AE1672="HALLUCINATION")</x:f>
        <x:v>0</x:v>
      </x:c>
      <x:c r="AJ1672" t="n">
        <x:f>--AND(AI1672=1,R1672=1,S1672=1)</x:f>
        <x:v>0</x:v>
      </x:c>
    </x:row>
    <x:row r="1673">
      <x:c r="A1673" s="28"/>
      <x:c r="B1673" s="28"/>
      <x:c r="C1673" s="28"/>
      <x:c r="D1673" s="28"/>
      <x:c r="E1673" s="28"/>
      <x:c r="F1673" s="28"/>
      <x:c r="G1673" s="28"/>
      <x:c r="H1673" s="28"/>
      <x:c r="I1673" s="28"/>
      <x:c r="J1673" s="28"/>
      <x:c r="K1673" s="28"/>
      <x:c r="L1673" s="28"/>
      <x:c r="M1673" s="28"/>
      <x:c r="N1673" s="28"/>
      <x:c r="O1673" s="28"/>
      <x:c r="P1673" s="28"/>
      <x:c r="Q1673" s="28"/>
      <x:c r="R1673" s="28"/>
      <x:c r="S1673" s="28"/>
      <x:c r="T1673" s="28"/>
      <x:c r="U1673" s="28"/>
      <x:c r="V1673" s="28"/>
      <x:c r="W1673" s="43" t="n">
        <x:f>--AND(N1673=1,OR(O1673="SUPPORTED",O1673="HALLUCINATION"))</x:f>
        <x:v>0</x:v>
      </x:c>
      <x:c r="X1673" s="43" t="n">
        <x:f>--AND(W1673=1,O1673="HALLUCINATION")</x:f>
        <x:v>0</x:v>
      </x:c>
      <x:c r="Y1673" s="43" t="n">
        <x:f>--AND(Q1673=1,O1673="HALLUCINATION")</x:f>
        <x:v>0</x:v>
      </x:c>
      <x:c r="Z1673" s="43" t="n">
        <x:f>--AND(Y1673=1,R1673=1,S1673=1)</x:f>
        <x:v>0</x:v>
      </x:c>
      <x:c r="AC1673" t="str">
        <x:f>IF(OR(AA1673="",AB1673=""),"",--(AA1673&lt;&gt;AB1673))</x:f>
      </x:c>
      <x:c r="AE1673" t="str">
        <x:f>IF(OR(AA1673="",AB1673=""),"PENDING_HUMAN",IF(AA1673=AB1673,AA1673,IF(AD1673&lt;&gt;"",AD1673,"PENDING_HUMAN")))</x:f>
        <x:v>PENDING_HUMAN</x:v>
      </x:c>
      <x:c r="AF1673" t="n">
        <x:f>--AND(A1673&lt;&gt;"",AA1673&lt;&gt;"",AB1673&lt;&gt;"",OR(AA1673=AB1673,AD1673&lt;&gt;""),IF(AE1673="HALLUCINATION",U1673&lt;&gt;"",TRUE))</x:f>
        <x:v>0</x:v>
      </x:c>
      <x:c r="AG1673" t="n">
        <x:f>--AND(N1673=1,AF1673=1,OR(AE1673="SUPPORTED",AE1673="HALLUCINATION"))</x:f>
        <x:v>0</x:v>
      </x:c>
      <x:c r="AH1673" t="n">
        <x:f>--AND(AG1673=1,AE1673="HALLUCINATION")</x:f>
        <x:v>0</x:v>
      </x:c>
      <x:c r="AI1673" t="n">
        <x:f>--AND(Q1673=1,AF1673=1,AE1673="HALLUCINATION")</x:f>
        <x:v>0</x:v>
      </x:c>
      <x:c r="AJ1673" t="n">
        <x:f>--AND(AI1673=1,R1673=1,S1673=1)</x:f>
        <x:v>0</x:v>
      </x:c>
    </x:row>
    <x:row r="1674">
      <x:c r="A1674" s="28"/>
      <x:c r="B1674" s="28"/>
      <x:c r="C1674" s="28"/>
      <x:c r="D1674" s="28"/>
      <x:c r="E1674" s="28"/>
      <x:c r="F1674" s="28"/>
      <x:c r="G1674" s="28"/>
      <x:c r="H1674" s="28"/>
      <x:c r="I1674" s="28"/>
      <x:c r="J1674" s="28"/>
      <x:c r="K1674" s="28"/>
      <x:c r="L1674" s="28"/>
      <x:c r="M1674" s="28"/>
      <x:c r="N1674" s="28"/>
      <x:c r="O1674" s="28"/>
      <x:c r="P1674" s="28"/>
      <x:c r="Q1674" s="28"/>
      <x:c r="R1674" s="28"/>
      <x:c r="S1674" s="28"/>
      <x:c r="T1674" s="28"/>
      <x:c r="U1674" s="28"/>
      <x:c r="V1674" s="28"/>
      <x:c r="W1674" s="43" t="n">
        <x:f>--AND(N1674=1,OR(O1674="SUPPORTED",O1674="HALLUCINATION"))</x:f>
        <x:v>0</x:v>
      </x:c>
      <x:c r="X1674" s="43" t="n">
        <x:f>--AND(W1674=1,O1674="HALLUCINATION")</x:f>
        <x:v>0</x:v>
      </x:c>
      <x:c r="Y1674" s="43" t="n">
        <x:f>--AND(Q1674=1,O1674="HALLUCINATION")</x:f>
        <x:v>0</x:v>
      </x:c>
      <x:c r="Z1674" s="43" t="n">
        <x:f>--AND(Y1674=1,R1674=1,S1674=1)</x:f>
        <x:v>0</x:v>
      </x:c>
      <x:c r="AC1674" t="str">
        <x:f>IF(OR(AA1674="",AB1674=""),"",--(AA1674&lt;&gt;AB1674))</x:f>
      </x:c>
      <x:c r="AE1674" t="str">
        <x:f>IF(OR(AA1674="",AB1674=""),"PENDING_HUMAN",IF(AA1674=AB1674,AA1674,IF(AD1674&lt;&gt;"",AD1674,"PENDING_HUMAN")))</x:f>
        <x:v>PENDING_HUMAN</x:v>
      </x:c>
      <x:c r="AF1674" t="n">
        <x:f>--AND(A1674&lt;&gt;"",AA1674&lt;&gt;"",AB1674&lt;&gt;"",OR(AA1674=AB1674,AD1674&lt;&gt;""),IF(AE1674="HALLUCINATION",U1674&lt;&gt;"",TRUE))</x:f>
        <x:v>0</x:v>
      </x:c>
      <x:c r="AG1674" t="n">
        <x:f>--AND(N1674=1,AF1674=1,OR(AE1674="SUPPORTED",AE1674="HALLUCINATION"))</x:f>
        <x:v>0</x:v>
      </x:c>
      <x:c r="AH1674" t="n">
        <x:f>--AND(AG1674=1,AE1674="HALLUCINATION")</x:f>
        <x:v>0</x:v>
      </x:c>
      <x:c r="AI1674" t="n">
        <x:f>--AND(Q1674=1,AF1674=1,AE1674="HALLUCINATION")</x:f>
        <x:v>0</x:v>
      </x:c>
      <x:c r="AJ1674" t="n">
        <x:f>--AND(AI1674=1,R1674=1,S1674=1)</x:f>
        <x:v>0</x:v>
      </x:c>
    </x:row>
    <x:row r="1675">
      <x:c r="A1675" s="28"/>
      <x:c r="B1675" s="28"/>
      <x:c r="C1675" s="28"/>
      <x:c r="D1675" s="28"/>
      <x:c r="E1675" s="28"/>
      <x:c r="F1675" s="28"/>
      <x:c r="G1675" s="28"/>
      <x:c r="H1675" s="28"/>
      <x:c r="I1675" s="28"/>
      <x:c r="J1675" s="28"/>
      <x:c r="K1675" s="28"/>
      <x:c r="L1675" s="28"/>
      <x:c r="M1675" s="28"/>
      <x:c r="N1675" s="28"/>
      <x:c r="O1675" s="28"/>
      <x:c r="P1675" s="28"/>
      <x:c r="Q1675" s="28"/>
      <x:c r="R1675" s="28"/>
      <x:c r="S1675" s="28"/>
      <x:c r="T1675" s="28"/>
      <x:c r="U1675" s="28"/>
      <x:c r="V1675" s="28"/>
      <x:c r="W1675" s="43" t="n">
        <x:f>--AND(N1675=1,OR(O1675="SUPPORTED",O1675="HALLUCINATION"))</x:f>
        <x:v>0</x:v>
      </x:c>
      <x:c r="X1675" s="43" t="n">
        <x:f>--AND(W1675=1,O1675="HALLUCINATION")</x:f>
        <x:v>0</x:v>
      </x:c>
      <x:c r="Y1675" s="43" t="n">
        <x:f>--AND(Q1675=1,O1675="HALLUCINATION")</x:f>
        <x:v>0</x:v>
      </x:c>
      <x:c r="Z1675" s="43" t="n">
        <x:f>--AND(Y1675=1,R1675=1,S1675=1)</x:f>
        <x:v>0</x:v>
      </x:c>
      <x:c r="AC1675" t="str">
        <x:f>IF(OR(AA1675="",AB1675=""),"",--(AA1675&lt;&gt;AB1675))</x:f>
      </x:c>
      <x:c r="AE1675" t="str">
        <x:f>IF(OR(AA1675="",AB1675=""),"PENDING_HUMAN",IF(AA1675=AB1675,AA1675,IF(AD1675&lt;&gt;"",AD1675,"PENDING_HUMAN")))</x:f>
        <x:v>PENDING_HUMAN</x:v>
      </x:c>
      <x:c r="AF1675" t="n">
        <x:f>--AND(A1675&lt;&gt;"",AA1675&lt;&gt;"",AB1675&lt;&gt;"",OR(AA1675=AB1675,AD1675&lt;&gt;""),IF(AE1675="HALLUCINATION",U1675&lt;&gt;"",TRUE))</x:f>
        <x:v>0</x:v>
      </x:c>
      <x:c r="AG1675" t="n">
        <x:f>--AND(N1675=1,AF1675=1,OR(AE1675="SUPPORTED",AE1675="HALLUCINATION"))</x:f>
        <x:v>0</x:v>
      </x:c>
      <x:c r="AH1675" t="n">
        <x:f>--AND(AG1675=1,AE1675="HALLUCINATION")</x:f>
        <x:v>0</x:v>
      </x:c>
      <x:c r="AI1675" t="n">
        <x:f>--AND(Q1675=1,AF1675=1,AE1675="HALLUCINATION")</x:f>
        <x:v>0</x:v>
      </x:c>
      <x:c r="AJ1675" t="n">
        <x:f>--AND(AI1675=1,R1675=1,S1675=1)</x:f>
        <x:v>0</x:v>
      </x:c>
    </x:row>
    <x:row r="1676">
      <x:c r="A1676" s="28"/>
      <x:c r="B1676" s="28"/>
      <x:c r="C1676" s="28"/>
      <x:c r="D1676" s="28"/>
      <x:c r="E1676" s="28"/>
      <x:c r="F1676" s="28"/>
      <x:c r="G1676" s="28"/>
      <x:c r="H1676" s="28"/>
      <x:c r="I1676" s="28"/>
      <x:c r="J1676" s="28"/>
      <x:c r="K1676" s="28"/>
      <x:c r="L1676" s="28"/>
      <x:c r="M1676" s="28"/>
      <x:c r="N1676" s="28"/>
      <x:c r="O1676" s="28"/>
      <x:c r="P1676" s="28"/>
      <x:c r="Q1676" s="28"/>
      <x:c r="R1676" s="28"/>
      <x:c r="S1676" s="28"/>
      <x:c r="T1676" s="28"/>
      <x:c r="U1676" s="28"/>
      <x:c r="V1676" s="28"/>
      <x:c r="W1676" s="43" t="n">
        <x:f>--AND(N1676=1,OR(O1676="SUPPORTED",O1676="HALLUCINATION"))</x:f>
        <x:v>0</x:v>
      </x:c>
      <x:c r="X1676" s="43" t="n">
        <x:f>--AND(W1676=1,O1676="HALLUCINATION")</x:f>
        <x:v>0</x:v>
      </x:c>
      <x:c r="Y1676" s="43" t="n">
        <x:f>--AND(Q1676=1,O1676="HALLUCINATION")</x:f>
        <x:v>0</x:v>
      </x:c>
      <x:c r="Z1676" s="43" t="n">
        <x:f>--AND(Y1676=1,R1676=1,S1676=1)</x:f>
        <x:v>0</x:v>
      </x:c>
      <x:c r="AC1676" t="str">
        <x:f>IF(OR(AA1676="",AB1676=""),"",--(AA1676&lt;&gt;AB1676))</x:f>
      </x:c>
      <x:c r="AE1676" t="str">
        <x:f>IF(OR(AA1676="",AB1676=""),"PENDING_HUMAN",IF(AA1676=AB1676,AA1676,IF(AD1676&lt;&gt;"",AD1676,"PENDING_HUMAN")))</x:f>
        <x:v>PENDING_HUMAN</x:v>
      </x:c>
      <x:c r="AF1676" t="n">
        <x:f>--AND(A1676&lt;&gt;"",AA1676&lt;&gt;"",AB1676&lt;&gt;"",OR(AA1676=AB1676,AD1676&lt;&gt;""),IF(AE1676="HALLUCINATION",U1676&lt;&gt;"",TRUE))</x:f>
        <x:v>0</x:v>
      </x:c>
      <x:c r="AG1676" t="n">
        <x:f>--AND(N1676=1,AF1676=1,OR(AE1676="SUPPORTED",AE1676="HALLUCINATION"))</x:f>
        <x:v>0</x:v>
      </x:c>
      <x:c r="AH1676" t="n">
        <x:f>--AND(AG1676=1,AE1676="HALLUCINATION")</x:f>
        <x:v>0</x:v>
      </x:c>
      <x:c r="AI1676" t="n">
        <x:f>--AND(Q1676=1,AF1676=1,AE1676="HALLUCINATION")</x:f>
        <x:v>0</x:v>
      </x:c>
      <x:c r="AJ1676" t="n">
        <x:f>--AND(AI1676=1,R1676=1,S1676=1)</x:f>
        <x:v>0</x:v>
      </x:c>
    </x:row>
    <x:row r="1677">
      <x:c r="A1677" s="28"/>
      <x:c r="B1677" s="28"/>
      <x:c r="C1677" s="28"/>
      <x:c r="D1677" s="28"/>
      <x:c r="E1677" s="28"/>
      <x:c r="F1677" s="28"/>
      <x:c r="G1677" s="28"/>
      <x:c r="H1677" s="28"/>
      <x:c r="I1677" s="28"/>
      <x:c r="J1677" s="28"/>
      <x:c r="K1677" s="28"/>
      <x:c r="L1677" s="28"/>
      <x:c r="M1677" s="28"/>
      <x:c r="N1677" s="28"/>
      <x:c r="O1677" s="28"/>
      <x:c r="P1677" s="28"/>
      <x:c r="Q1677" s="28"/>
      <x:c r="R1677" s="28"/>
      <x:c r="S1677" s="28"/>
      <x:c r="T1677" s="28"/>
      <x:c r="U1677" s="28"/>
      <x:c r="V1677" s="28"/>
      <x:c r="W1677" s="43" t="n">
        <x:f>--AND(N1677=1,OR(O1677="SUPPORTED",O1677="HALLUCINATION"))</x:f>
        <x:v>0</x:v>
      </x:c>
      <x:c r="X1677" s="43" t="n">
        <x:f>--AND(W1677=1,O1677="HALLUCINATION")</x:f>
        <x:v>0</x:v>
      </x:c>
      <x:c r="Y1677" s="43" t="n">
        <x:f>--AND(Q1677=1,O1677="HALLUCINATION")</x:f>
        <x:v>0</x:v>
      </x:c>
      <x:c r="Z1677" s="43" t="n">
        <x:f>--AND(Y1677=1,R1677=1,S1677=1)</x:f>
        <x:v>0</x:v>
      </x:c>
      <x:c r="AC1677" t="str">
        <x:f>IF(OR(AA1677="",AB1677=""),"",--(AA1677&lt;&gt;AB1677))</x:f>
      </x:c>
      <x:c r="AE1677" t="str">
        <x:f>IF(OR(AA1677="",AB1677=""),"PENDING_HUMAN",IF(AA1677=AB1677,AA1677,IF(AD1677&lt;&gt;"",AD1677,"PENDING_HUMAN")))</x:f>
        <x:v>PENDING_HUMAN</x:v>
      </x:c>
      <x:c r="AF1677" t="n">
        <x:f>--AND(A1677&lt;&gt;"",AA1677&lt;&gt;"",AB1677&lt;&gt;"",OR(AA1677=AB1677,AD1677&lt;&gt;""),IF(AE1677="HALLUCINATION",U1677&lt;&gt;"",TRUE))</x:f>
        <x:v>0</x:v>
      </x:c>
      <x:c r="AG1677" t="n">
        <x:f>--AND(N1677=1,AF1677=1,OR(AE1677="SUPPORTED",AE1677="HALLUCINATION"))</x:f>
        <x:v>0</x:v>
      </x:c>
      <x:c r="AH1677" t="n">
        <x:f>--AND(AG1677=1,AE1677="HALLUCINATION")</x:f>
        <x:v>0</x:v>
      </x:c>
      <x:c r="AI1677" t="n">
        <x:f>--AND(Q1677=1,AF1677=1,AE1677="HALLUCINATION")</x:f>
        <x:v>0</x:v>
      </x:c>
      <x:c r="AJ1677" t="n">
        <x:f>--AND(AI1677=1,R1677=1,S1677=1)</x:f>
        <x:v>0</x:v>
      </x:c>
    </x:row>
    <x:row r="1678">
      <x:c r="A1678" s="28"/>
      <x:c r="B1678" s="28"/>
      <x:c r="C1678" s="28"/>
      <x:c r="D1678" s="28"/>
      <x:c r="E1678" s="28"/>
      <x:c r="F1678" s="28"/>
      <x:c r="G1678" s="28"/>
      <x:c r="H1678" s="28"/>
      <x:c r="I1678" s="28"/>
      <x:c r="J1678" s="28"/>
      <x:c r="K1678" s="28"/>
      <x:c r="L1678" s="28"/>
      <x:c r="M1678" s="28"/>
      <x:c r="N1678" s="28"/>
      <x:c r="O1678" s="28"/>
      <x:c r="P1678" s="28"/>
      <x:c r="Q1678" s="28"/>
      <x:c r="R1678" s="28"/>
      <x:c r="S1678" s="28"/>
      <x:c r="T1678" s="28"/>
      <x:c r="U1678" s="28"/>
      <x:c r="V1678" s="28"/>
      <x:c r="W1678" s="43" t="n">
        <x:f>--AND(N1678=1,OR(O1678="SUPPORTED",O1678="HALLUCINATION"))</x:f>
        <x:v>0</x:v>
      </x:c>
      <x:c r="X1678" s="43" t="n">
        <x:f>--AND(W1678=1,O1678="HALLUCINATION")</x:f>
        <x:v>0</x:v>
      </x:c>
      <x:c r="Y1678" s="43" t="n">
        <x:f>--AND(Q1678=1,O1678="HALLUCINATION")</x:f>
        <x:v>0</x:v>
      </x:c>
      <x:c r="Z1678" s="43" t="n">
        <x:f>--AND(Y1678=1,R1678=1,S1678=1)</x:f>
        <x:v>0</x:v>
      </x:c>
      <x:c r="AC1678" t="str">
        <x:f>IF(OR(AA1678="",AB1678=""),"",--(AA1678&lt;&gt;AB1678))</x:f>
      </x:c>
      <x:c r="AE1678" t="str">
        <x:f>IF(OR(AA1678="",AB1678=""),"PENDING_HUMAN",IF(AA1678=AB1678,AA1678,IF(AD1678&lt;&gt;"",AD1678,"PENDING_HUMAN")))</x:f>
        <x:v>PENDING_HUMAN</x:v>
      </x:c>
      <x:c r="AF1678" t="n">
        <x:f>--AND(A1678&lt;&gt;"",AA1678&lt;&gt;"",AB1678&lt;&gt;"",OR(AA1678=AB1678,AD1678&lt;&gt;""),IF(AE1678="HALLUCINATION",U1678&lt;&gt;"",TRUE))</x:f>
        <x:v>0</x:v>
      </x:c>
      <x:c r="AG1678" t="n">
        <x:f>--AND(N1678=1,AF1678=1,OR(AE1678="SUPPORTED",AE1678="HALLUCINATION"))</x:f>
        <x:v>0</x:v>
      </x:c>
      <x:c r="AH1678" t="n">
        <x:f>--AND(AG1678=1,AE1678="HALLUCINATION")</x:f>
        <x:v>0</x:v>
      </x:c>
      <x:c r="AI1678" t="n">
        <x:f>--AND(Q1678=1,AF1678=1,AE1678="HALLUCINATION")</x:f>
        <x:v>0</x:v>
      </x:c>
      <x:c r="AJ1678" t="n">
        <x:f>--AND(AI1678=1,R1678=1,S1678=1)</x:f>
        <x:v>0</x:v>
      </x:c>
    </x:row>
    <x:row r="1679">
      <x:c r="A1679" s="28"/>
      <x:c r="B1679" s="28"/>
      <x:c r="C1679" s="28"/>
      <x:c r="D1679" s="28"/>
      <x:c r="E1679" s="28"/>
      <x:c r="F1679" s="28"/>
      <x:c r="G1679" s="28"/>
      <x:c r="H1679" s="28"/>
      <x:c r="I1679" s="28"/>
      <x:c r="J1679" s="28"/>
      <x:c r="K1679" s="28"/>
      <x:c r="L1679" s="28"/>
      <x:c r="M1679" s="28"/>
      <x:c r="N1679" s="28"/>
      <x:c r="O1679" s="28"/>
      <x:c r="P1679" s="28"/>
      <x:c r="Q1679" s="28"/>
      <x:c r="R1679" s="28"/>
      <x:c r="S1679" s="28"/>
      <x:c r="T1679" s="28"/>
      <x:c r="U1679" s="28"/>
      <x:c r="V1679" s="28"/>
      <x:c r="W1679" s="43" t="n">
        <x:f>--AND(N1679=1,OR(O1679="SUPPORTED",O1679="HALLUCINATION"))</x:f>
        <x:v>0</x:v>
      </x:c>
      <x:c r="X1679" s="43" t="n">
        <x:f>--AND(W1679=1,O1679="HALLUCINATION")</x:f>
        <x:v>0</x:v>
      </x:c>
      <x:c r="Y1679" s="43" t="n">
        <x:f>--AND(Q1679=1,O1679="HALLUCINATION")</x:f>
        <x:v>0</x:v>
      </x:c>
      <x:c r="Z1679" s="43" t="n">
        <x:f>--AND(Y1679=1,R1679=1,S1679=1)</x:f>
        <x:v>0</x:v>
      </x:c>
      <x:c r="AC1679" t="str">
        <x:f>IF(OR(AA1679="",AB1679=""),"",--(AA1679&lt;&gt;AB1679))</x:f>
      </x:c>
      <x:c r="AE1679" t="str">
        <x:f>IF(OR(AA1679="",AB1679=""),"PENDING_HUMAN",IF(AA1679=AB1679,AA1679,IF(AD1679&lt;&gt;"",AD1679,"PENDING_HUMAN")))</x:f>
        <x:v>PENDING_HUMAN</x:v>
      </x:c>
      <x:c r="AF1679" t="n">
        <x:f>--AND(A1679&lt;&gt;"",AA1679&lt;&gt;"",AB1679&lt;&gt;"",OR(AA1679=AB1679,AD1679&lt;&gt;""),IF(AE1679="HALLUCINATION",U1679&lt;&gt;"",TRUE))</x:f>
        <x:v>0</x:v>
      </x:c>
      <x:c r="AG1679" t="n">
        <x:f>--AND(N1679=1,AF1679=1,OR(AE1679="SUPPORTED",AE1679="HALLUCINATION"))</x:f>
        <x:v>0</x:v>
      </x:c>
      <x:c r="AH1679" t="n">
        <x:f>--AND(AG1679=1,AE1679="HALLUCINATION")</x:f>
        <x:v>0</x:v>
      </x:c>
      <x:c r="AI1679" t="n">
        <x:f>--AND(Q1679=1,AF1679=1,AE1679="HALLUCINATION")</x:f>
        <x:v>0</x:v>
      </x:c>
      <x:c r="AJ1679" t="n">
        <x:f>--AND(AI1679=1,R1679=1,S1679=1)</x:f>
        <x:v>0</x:v>
      </x:c>
    </x:row>
    <x:row r="1680">
      <x:c r="A1680" s="28"/>
      <x:c r="B1680" s="28"/>
      <x:c r="C1680" s="28"/>
      <x:c r="D1680" s="28"/>
      <x:c r="E1680" s="28"/>
      <x:c r="F1680" s="28"/>
      <x:c r="G1680" s="28"/>
      <x:c r="H1680" s="28"/>
      <x:c r="I1680" s="28"/>
      <x:c r="J1680" s="28"/>
      <x:c r="K1680" s="28"/>
      <x:c r="L1680" s="28"/>
      <x:c r="M1680" s="28"/>
      <x:c r="N1680" s="28"/>
      <x:c r="O1680" s="28"/>
      <x:c r="P1680" s="28"/>
      <x:c r="Q1680" s="28"/>
      <x:c r="R1680" s="28"/>
      <x:c r="S1680" s="28"/>
      <x:c r="T1680" s="28"/>
      <x:c r="U1680" s="28"/>
      <x:c r="V1680" s="28"/>
      <x:c r="W1680" s="43" t="n">
        <x:f>--AND(N1680=1,OR(O1680="SUPPORTED",O1680="HALLUCINATION"))</x:f>
        <x:v>0</x:v>
      </x:c>
      <x:c r="X1680" s="43" t="n">
        <x:f>--AND(W1680=1,O1680="HALLUCINATION")</x:f>
        <x:v>0</x:v>
      </x:c>
      <x:c r="Y1680" s="43" t="n">
        <x:f>--AND(Q1680=1,O1680="HALLUCINATION")</x:f>
        <x:v>0</x:v>
      </x:c>
      <x:c r="Z1680" s="43" t="n">
        <x:f>--AND(Y1680=1,R1680=1,S1680=1)</x:f>
        <x:v>0</x:v>
      </x:c>
      <x:c r="AC1680" t="str">
        <x:f>IF(OR(AA1680="",AB1680=""),"",--(AA1680&lt;&gt;AB1680))</x:f>
      </x:c>
      <x:c r="AE1680" t="str">
        <x:f>IF(OR(AA1680="",AB1680=""),"PENDING_HUMAN",IF(AA1680=AB1680,AA1680,IF(AD1680&lt;&gt;"",AD1680,"PENDING_HUMAN")))</x:f>
        <x:v>PENDING_HUMAN</x:v>
      </x:c>
      <x:c r="AF1680" t="n">
        <x:f>--AND(A1680&lt;&gt;"",AA1680&lt;&gt;"",AB1680&lt;&gt;"",OR(AA1680=AB1680,AD1680&lt;&gt;""),IF(AE1680="HALLUCINATION",U1680&lt;&gt;"",TRUE))</x:f>
        <x:v>0</x:v>
      </x:c>
      <x:c r="AG1680" t="n">
        <x:f>--AND(N1680=1,AF1680=1,OR(AE1680="SUPPORTED",AE1680="HALLUCINATION"))</x:f>
        <x:v>0</x:v>
      </x:c>
      <x:c r="AH1680" t="n">
        <x:f>--AND(AG1680=1,AE1680="HALLUCINATION")</x:f>
        <x:v>0</x:v>
      </x:c>
      <x:c r="AI1680" t="n">
        <x:f>--AND(Q1680=1,AF1680=1,AE1680="HALLUCINATION")</x:f>
        <x:v>0</x:v>
      </x:c>
      <x:c r="AJ1680" t="n">
        <x:f>--AND(AI1680=1,R1680=1,S1680=1)</x:f>
        <x:v>0</x:v>
      </x:c>
    </x:row>
    <x:row r="1681">
      <x:c r="A1681" s="28"/>
      <x:c r="B1681" s="28"/>
      <x:c r="C1681" s="28"/>
      <x:c r="D1681" s="28"/>
      <x:c r="E1681" s="28"/>
      <x:c r="F1681" s="28"/>
      <x:c r="G1681" s="28"/>
      <x:c r="H1681" s="28"/>
      <x:c r="I1681" s="28"/>
      <x:c r="J1681" s="28"/>
      <x:c r="K1681" s="28"/>
      <x:c r="L1681" s="28"/>
      <x:c r="M1681" s="28"/>
      <x:c r="N1681" s="28"/>
      <x:c r="O1681" s="28"/>
      <x:c r="P1681" s="28"/>
      <x:c r="Q1681" s="28"/>
      <x:c r="R1681" s="28"/>
      <x:c r="S1681" s="28"/>
      <x:c r="T1681" s="28"/>
      <x:c r="U1681" s="28"/>
      <x:c r="V1681" s="28"/>
      <x:c r="W1681" s="43" t="n">
        <x:f>--AND(N1681=1,OR(O1681="SUPPORTED",O1681="HALLUCINATION"))</x:f>
        <x:v>0</x:v>
      </x:c>
      <x:c r="X1681" s="43" t="n">
        <x:f>--AND(W1681=1,O1681="HALLUCINATION")</x:f>
        <x:v>0</x:v>
      </x:c>
      <x:c r="Y1681" s="43" t="n">
        <x:f>--AND(Q1681=1,O1681="HALLUCINATION")</x:f>
        <x:v>0</x:v>
      </x:c>
      <x:c r="Z1681" s="43" t="n">
        <x:f>--AND(Y1681=1,R1681=1,S1681=1)</x:f>
        <x:v>0</x:v>
      </x:c>
      <x:c r="AC1681" t="str">
        <x:f>IF(OR(AA1681="",AB1681=""),"",--(AA1681&lt;&gt;AB1681))</x:f>
      </x:c>
      <x:c r="AE1681" t="str">
        <x:f>IF(OR(AA1681="",AB1681=""),"PENDING_HUMAN",IF(AA1681=AB1681,AA1681,IF(AD1681&lt;&gt;"",AD1681,"PENDING_HUMAN")))</x:f>
        <x:v>PENDING_HUMAN</x:v>
      </x:c>
      <x:c r="AF1681" t="n">
        <x:f>--AND(A1681&lt;&gt;"",AA1681&lt;&gt;"",AB1681&lt;&gt;"",OR(AA1681=AB1681,AD1681&lt;&gt;""),IF(AE1681="HALLUCINATION",U1681&lt;&gt;"",TRUE))</x:f>
        <x:v>0</x:v>
      </x:c>
      <x:c r="AG1681" t="n">
        <x:f>--AND(N1681=1,AF1681=1,OR(AE1681="SUPPORTED",AE1681="HALLUCINATION"))</x:f>
        <x:v>0</x:v>
      </x:c>
      <x:c r="AH1681" t="n">
        <x:f>--AND(AG1681=1,AE1681="HALLUCINATION")</x:f>
        <x:v>0</x:v>
      </x:c>
      <x:c r="AI1681" t="n">
        <x:f>--AND(Q1681=1,AF1681=1,AE1681="HALLUCINATION")</x:f>
        <x:v>0</x:v>
      </x:c>
      <x:c r="AJ1681" t="n">
        <x:f>--AND(AI1681=1,R1681=1,S1681=1)</x:f>
        <x:v>0</x:v>
      </x:c>
    </x:row>
    <x:row r="1682">
      <x:c r="A1682" s="28"/>
      <x:c r="B1682" s="28"/>
      <x:c r="C1682" s="28"/>
      <x:c r="D1682" s="28"/>
      <x:c r="E1682" s="28"/>
      <x:c r="F1682" s="28"/>
      <x:c r="G1682" s="28"/>
      <x:c r="H1682" s="28"/>
      <x:c r="I1682" s="28"/>
      <x:c r="J1682" s="28"/>
      <x:c r="K1682" s="28"/>
      <x:c r="L1682" s="28"/>
      <x:c r="M1682" s="28"/>
      <x:c r="N1682" s="28"/>
      <x:c r="O1682" s="28"/>
      <x:c r="P1682" s="28"/>
      <x:c r="Q1682" s="28"/>
      <x:c r="R1682" s="28"/>
      <x:c r="S1682" s="28"/>
      <x:c r="T1682" s="28"/>
      <x:c r="U1682" s="28"/>
      <x:c r="V1682" s="28"/>
      <x:c r="W1682" s="43" t="n">
        <x:f>--AND(N1682=1,OR(O1682="SUPPORTED",O1682="HALLUCINATION"))</x:f>
        <x:v>0</x:v>
      </x:c>
      <x:c r="X1682" s="43" t="n">
        <x:f>--AND(W1682=1,O1682="HALLUCINATION")</x:f>
        <x:v>0</x:v>
      </x:c>
      <x:c r="Y1682" s="43" t="n">
        <x:f>--AND(Q1682=1,O1682="HALLUCINATION")</x:f>
        <x:v>0</x:v>
      </x:c>
      <x:c r="Z1682" s="43" t="n">
        <x:f>--AND(Y1682=1,R1682=1,S1682=1)</x:f>
        <x:v>0</x:v>
      </x:c>
      <x:c r="AC1682" t="str">
        <x:f>IF(OR(AA1682="",AB1682=""),"",--(AA1682&lt;&gt;AB1682))</x:f>
      </x:c>
      <x:c r="AE1682" t="str">
        <x:f>IF(OR(AA1682="",AB1682=""),"PENDING_HUMAN",IF(AA1682=AB1682,AA1682,IF(AD1682&lt;&gt;"",AD1682,"PENDING_HUMAN")))</x:f>
        <x:v>PENDING_HUMAN</x:v>
      </x:c>
      <x:c r="AF1682" t="n">
        <x:f>--AND(A1682&lt;&gt;"",AA1682&lt;&gt;"",AB1682&lt;&gt;"",OR(AA1682=AB1682,AD1682&lt;&gt;""),IF(AE1682="HALLUCINATION",U1682&lt;&gt;"",TRUE))</x:f>
        <x:v>0</x:v>
      </x:c>
      <x:c r="AG1682" t="n">
        <x:f>--AND(N1682=1,AF1682=1,OR(AE1682="SUPPORTED",AE1682="HALLUCINATION"))</x:f>
        <x:v>0</x:v>
      </x:c>
      <x:c r="AH1682" t="n">
        <x:f>--AND(AG1682=1,AE1682="HALLUCINATION")</x:f>
        <x:v>0</x:v>
      </x:c>
      <x:c r="AI1682" t="n">
        <x:f>--AND(Q1682=1,AF1682=1,AE1682="HALLUCINATION")</x:f>
        <x:v>0</x:v>
      </x:c>
      <x:c r="AJ1682" t="n">
        <x:f>--AND(AI1682=1,R1682=1,S1682=1)</x:f>
        <x:v>0</x:v>
      </x:c>
    </x:row>
    <x:row r="1683">
      <x:c r="A1683" s="28"/>
      <x:c r="B1683" s="28"/>
      <x:c r="C1683" s="28"/>
      <x:c r="D1683" s="28"/>
      <x:c r="E1683" s="28"/>
      <x:c r="F1683" s="28"/>
      <x:c r="G1683" s="28"/>
      <x:c r="H1683" s="28"/>
      <x:c r="I1683" s="28"/>
      <x:c r="J1683" s="28"/>
      <x:c r="K1683" s="28"/>
      <x:c r="L1683" s="28"/>
      <x:c r="M1683" s="28"/>
      <x:c r="N1683" s="28"/>
      <x:c r="O1683" s="28"/>
      <x:c r="P1683" s="28"/>
      <x:c r="Q1683" s="28"/>
      <x:c r="R1683" s="28"/>
      <x:c r="S1683" s="28"/>
      <x:c r="T1683" s="28"/>
      <x:c r="U1683" s="28"/>
      <x:c r="V1683" s="28"/>
      <x:c r="W1683" s="43" t="n">
        <x:f>--AND(N1683=1,OR(O1683="SUPPORTED",O1683="HALLUCINATION"))</x:f>
        <x:v>0</x:v>
      </x:c>
      <x:c r="X1683" s="43" t="n">
        <x:f>--AND(W1683=1,O1683="HALLUCINATION")</x:f>
        <x:v>0</x:v>
      </x:c>
      <x:c r="Y1683" s="43" t="n">
        <x:f>--AND(Q1683=1,O1683="HALLUCINATION")</x:f>
        <x:v>0</x:v>
      </x:c>
      <x:c r="Z1683" s="43" t="n">
        <x:f>--AND(Y1683=1,R1683=1,S1683=1)</x:f>
        <x:v>0</x:v>
      </x:c>
      <x:c r="AC1683" t="str">
        <x:f>IF(OR(AA1683="",AB1683=""),"",--(AA1683&lt;&gt;AB1683))</x:f>
      </x:c>
      <x:c r="AE1683" t="str">
        <x:f>IF(OR(AA1683="",AB1683=""),"PENDING_HUMAN",IF(AA1683=AB1683,AA1683,IF(AD1683&lt;&gt;"",AD1683,"PENDING_HUMAN")))</x:f>
        <x:v>PENDING_HUMAN</x:v>
      </x:c>
      <x:c r="AF1683" t="n">
        <x:f>--AND(A1683&lt;&gt;"",AA1683&lt;&gt;"",AB1683&lt;&gt;"",OR(AA1683=AB1683,AD1683&lt;&gt;""),IF(AE1683="HALLUCINATION",U1683&lt;&gt;"",TRUE))</x:f>
        <x:v>0</x:v>
      </x:c>
      <x:c r="AG1683" t="n">
        <x:f>--AND(N1683=1,AF1683=1,OR(AE1683="SUPPORTED",AE1683="HALLUCINATION"))</x:f>
        <x:v>0</x:v>
      </x:c>
      <x:c r="AH1683" t="n">
        <x:f>--AND(AG1683=1,AE1683="HALLUCINATION")</x:f>
        <x:v>0</x:v>
      </x:c>
      <x:c r="AI1683" t="n">
        <x:f>--AND(Q1683=1,AF1683=1,AE1683="HALLUCINATION")</x:f>
        <x:v>0</x:v>
      </x:c>
      <x:c r="AJ1683" t="n">
        <x:f>--AND(AI1683=1,R1683=1,S1683=1)</x:f>
        <x:v>0</x:v>
      </x:c>
    </x:row>
    <x:row r="1684">
      <x:c r="A1684" s="28"/>
      <x:c r="B1684" s="28"/>
      <x:c r="C1684" s="28"/>
      <x:c r="D1684" s="28"/>
      <x:c r="E1684" s="28"/>
      <x:c r="F1684" s="28"/>
      <x:c r="G1684" s="28"/>
      <x:c r="H1684" s="28"/>
      <x:c r="I1684" s="28"/>
      <x:c r="J1684" s="28"/>
      <x:c r="K1684" s="28"/>
      <x:c r="L1684" s="28"/>
      <x:c r="M1684" s="28"/>
      <x:c r="N1684" s="28"/>
      <x:c r="O1684" s="28"/>
      <x:c r="P1684" s="28"/>
      <x:c r="Q1684" s="28"/>
      <x:c r="R1684" s="28"/>
      <x:c r="S1684" s="28"/>
      <x:c r="T1684" s="28"/>
      <x:c r="U1684" s="28"/>
      <x:c r="V1684" s="28"/>
      <x:c r="W1684" s="43" t="n">
        <x:f>--AND(N1684=1,OR(O1684="SUPPORTED",O1684="HALLUCINATION"))</x:f>
        <x:v>0</x:v>
      </x:c>
      <x:c r="X1684" s="43" t="n">
        <x:f>--AND(W1684=1,O1684="HALLUCINATION")</x:f>
        <x:v>0</x:v>
      </x:c>
      <x:c r="Y1684" s="43" t="n">
        <x:f>--AND(Q1684=1,O1684="HALLUCINATION")</x:f>
        <x:v>0</x:v>
      </x:c>
      <x:c r="Z1684" s="43" t="n">
        <x:f>--AND(Y1684=1,R1684=1,S1684=1)</x:f>
        <x:v>0</x:v>
      </x:c>
      <x:c r="AC1684" t="str">
        <x:f>IF(OR(AA1684="",AB1684=""),"",--(AA1684&lt;&gt;AB1684))</x:f>
      </x:c>
      <x:c r="AE1684" t="str">
        <x:f>IF(OR(AA1684="",AB1684=""),"PENDING_HUMAN",IF(AA1684=AB1684,AA1684,IF(AD1684&lt;&gt;"",AD1684,"PENDING_HUMAN")))</x:f>
        <x:v>PENDING_HUMAN</x:v>
      </x:c>
      <x:c r="AF1684" t="n">
        <x:f>--AND(A1684&lt;&gt;"",AA1684&lt;&gt;"",AB1684&lt;&gt;"",OR(AA1684=AB1684,AD1684&lt;&gt;""),IF(AE1684="HALLUCINATION",U1684&lt;&gt;"",TRUE))</x:f>
        <x:v>0</x:v>
      </x:c>
      <x:c r="AG1684" t="n">
        <x:f>--AND(N1684=1,AF1684=1,OR(AE1684="SUPPORTED",AE1684="HALLUCINATION"))</x:f>
        <x:v>0</x:v>
      </x:c>
      <x:c r="AH1684" t="n">
        <x:f>--AND(AG1684=1,AE1684="HALLUCINATION")</x:f>
        <x:v>0</x:v>
      </x:c>
      <x:c r="AI1684" t="n">
        <x:f>--AND(Q1684=1,AF1684=1,AE1684="HALLUCINATION")</x:f>
        <x:v>0</x:v>
      </x:c>
      <x:c r="AJ1684" t="n">
        <x:f>--AND(AI1684=1,R1684=1,S1684=1)</x:f>
        <x:v>0</x:v>
      </x:c>
    </x:row>
    <x:row r="1685">
      <x:c r="A1685" s="28"/>
      <x:c r="B1685" s="28"/>
      <x:c r="C1685" s="28"/>
      <x:c r="D1685" s="28"/>
      <x:c r="E1685" s="28"/>
      <x:c r="F1685" s="28"/>
      <x:c r="G1685" s="28"/>
      <x:c r="H1685" s="28"/>
      <x:c r="I1685" s="28"/>
      <x:c r="J1685" s="28"/>
      <x:c r="K1685" s="28"/>
      <x:c r="L1685" s="28"/>
      <x:c r="M1685" s="28"/>
      <x:c r="N1685" s="28"/>
      <x:c r="O1685" s="28"/>
      <x:c r="P1685" s="28"/>
      <x:c r="Q1685" s="28"/>
      <x:c r="R1685" s="28"/>
      <x:c r="S1685" s="28"/>
      <x:c r="T1685" s="28"/>
      <x:c r="U1685" s="28"/>
      <x:c r="V1685" s="28"/>
      <x:c r="W1685" s="43" t="n">
        <x:f>--AND(N1685=1,OR(O1685="SUPPORTED",O1685="HALLUCINATION"))</x:f>
        <x:v>0</x:v>
      </x:c>
      <x:c r="X1685" s="43" t="n">
        <x:f>--AND(W1685=1,O1685="HALLUCINATION")</x:f>
        <x:v>0</x:v>
      </x:c>
      <x:c r="Y1685" s="43" t="n">
        <x:f>--AND(Q1685=1,O1685="HALLUCINATION")</x:f>
        <x:v>0</x:v>
      </x:c>
      <x:c r="Z1685" s="43" t="n">
        <x:f>--AND(Y1685=1,R1685=1,S1685=1)</x:f>
        <x:v>0</x:v>
      </x:c>
      <x:c r="AC1685" t="str">
        <x:f>IF(OR(AA1685="",AB1685=""),"",--(AA1685&lt;&gt;AB1685))</x:f>
      </x:c>
      <x:c r="AE1685" t="str">
        <x:f>IF(OR(AA1685="",AB1685=""),"PENDING_HUMAN",IF(AA1685=AB1685,AA1685,IF(AD1685&lt;&gt;"",AD1685,"PENDING_HUMAN")))</x:f>
        <x:v>PENDING_HUMAN</x:v>
      </x:c>
      <x:c r="AF1685" t="n">
        <x:f>--AND(A1685&lt;&gt;"",AA1685&lt;&gt;"",AB1685&lt;&gt;"",OR(AA1685=AB1685,AD1685&lt;&gt;""),IF(AE1685="HALLUCINATION",U1685&lt;&gt;"",TRUE))</x:f>
        <x:v>0</x:v>
      </x:c>
      <x:c r="AG1685" t="n">
        <x:f>--AND(N1685=1,AF1685=1,OR(AE1685="SUPPORTED",AE1685="HALLUCINATION"))</x:f>
        <x:v>0</x:v>
      </x:c>
      <x:c r="AH1685" t="n">
        <x:f>--AND(AG1685=1,AE1685="HALLUCINATION")</x:f>
        <x:v>0</x:v>
      </x:c>
      <x:c r="AI1685" t="n">
        <x:f>--AND(Q1685=1,AF1685=1,AE1685="HALLUCINATION")</x:f>
        <x:v>0</x:v>
      </x:c>
      <x:c r="AJ1685" t="n">
        <x:f>--AND(AI1685=1,R1685=1,S1685=1)</x:f>
        <x:v>0</x:v>
      </x:c>
    </x:row>
    <x:row r="1686">
      <x:c r="A1686" s="28"/>
      <x:c r="B1686" s="28"/>
      <x:c r="C1686" s="28"/>
      <x:c r="D1686" s="28"/>
      <x:c r="E1686" s="28"/>
      <x:c r="F1686" s="28"/>
      <x:c r="G1686" s="28"/>
      <x:c r="H1686" s="28"/>
      <x:c r="I1686" s="28"/>
      <x:c r="J1686" s="28"/>
      <x:c r="K1686" s="28"/>
      <x:c r="L1686" s="28"/>
      <x:c r="M1686" s="28"/>
      <x:c r="N1686" s="28"/>
      <x:c r="O1686" s="28"/>
      <x:c r="P1686" s="28"/>
      <x:c r="Q1686" s="28"/>
      <x:c r="R1686" s="28"/>
      <x:c r="S1686" s="28"/>
      <x:c r="T1686" s="28"/>
      <x:c r="U1686" s="28"/>
      <x:c r="V1686" s="28"/>
      <x:c r="W1686" s="43" t="n">
        <x:f>--AND(N1686=1,OR(O1686="SUPPORTED",O1686="HALLUCINATION"))</x:f>
        <x:v>0</x:v>
      </x:c>
      <x:c r="X1686" s="43" t="n">
        <x:f>--AND(W1686=1,O1686="HALLUCINATION")</x:f>
        <x:v>0</x:v>
      </x:c>
      <x:c r="Y1686" s="43" t="n">
        <x:f>--AND(Q1686=1,O1686="HALLUCINATION")</x:f>
        <x:v>0</x:v>
      </x:c>
      <x:c r="Z1686" s="43" t="n">
        <x:f>--AND(Y1686=1,R1686=1,S1686=1)</x:f>
        <x:v>0</x:v>
      </x:c>
      <x:c r="AC1686" t="str">
        <x:f>IF(OR(AA1686="",AB1686=""),"",--(AA1686&lt;&gt;AB1686))</x:f>
      </x:c>
      <x:c r="AE1686" t="str">
        <x:f>IF(OR(AA1686="",AB1686=""),"PENDING_HUMAN",IF(AA1686=AB1686,AA1686,IF(AD1686&lt;&gt;"",AD1686,"PENDING_HUMAN")))</x:f>
        <x:v>PENDING_HUMAN</x:v>
      </x:c>
      <x:c r="AF1686" t="n">
        <x:f>--AND(A1686&lt;&gt;"",AA1686&lt;&gt;"",AB1686&lt;&gt;"",OR(AA1686=AB1686,AD1686&lt;&gt;""),IF(AE1686="HALLUCINATION",U1686&lt;&gt;"",TRUE))</x:f>
        <x:v>0</x:v>
      </x:c>
      <x:c r="AG1686" t="n">
        <x:f>--AND(N1686=1,AF1686=1,OR(AE1686="SUPPORTED",AE1686="HALLUCINATION"))</x:f>
        <x:v>0</x:v>
      </x:c>
      <x:c r="AH1686" t="n">
        <x:f>--AND(AG1686=1,AE1686="HALLUCINATION")</x:f>
        <x:v>0</x:v>
      </x:c>
      <x:c r="AI1686" t="n">
        <x:f>--AND(Q1686=1,AF1686=1,AE1686="HALLUCINATION")</x:f>
        <x:v>0</x:v>
      </x:c>
      <x:c r="AJ1686" t="n">
        <x:f>--AND(AI1686=1,R1686=1,S1686=1)</x:f>
        <x:v>0</x:v>
      </x:c>
    </x:row>
    <x:row r="1687">
      <x:c r="A1687" s="28"/>
      <x:c r="B1687" s="28"/>
      <x:c r="C1687" s="28"/>
      <x:c r="D1687" s="28"/>
      <x:c r="E1687" s="28"/>
      <x:c r="F1687" s="28"/>
      <x:c r="G1687" s="28"/>
      <x:c r="H1687" s="28"/>
      <x:c r="I1687" s="28"/>
      <x:c r="J1687" s="28"/>
      <x:c r="K1687" s="28"/>
      <x:c r="L1687" s="28"/>
      <x:c r="M1687" s="28"/>
      <x:c r="N1687" s="28"/>
      <x:c r="O1687" s="28"/>
      <x:c r="P1687" s="28"/>
      <x:c r="Q1687" s="28"/>
      <x:c r="R1687" s="28"/>
      <x:c r="S1687" s="28"/>
      <x:c r="T1687" s="28"/>
      <x:c r="U1687" s="28"/>
      <x:c r="V1687" s="28"/>
      <x:c r="W1687" s="43" t="n">
        <x:f>--AND(N1687=1,OR(O1687="SUPPORTED",O1687="HALLUCINATION"))</x:f>
        <x:v>0</x:v>
      </x:c>
      <x:c r="X1687" s="43" t="n">
        <x:f>--AND(W1687=1,O1687="HALLUCINATION")</x:f>
        <x:v>0</x:v>
      </x:c>
      <x:c r="Y1687" s="43" t="n">
        <x:f>--AND(Q1687=1,O1687="HALLUCINATION")</x:f>
        <x:v>0</x:v>
      </x:c>
      <x:c r="Z1687" s="43" t="n">
        <x:f>--AND(Y1687=1,R1687=1,S1687=1)</x:f>
        <x:v>0</x:v>
      </x:c>
      <x:c r="AC1687" t="str">
        <x:f>IF(OR(AA1687="",AB1687=""),"",--(AA1687&lt;&gt;AB1687))</x:f>
      </x:c>
      <x:c r="AE1687" t="str">
        <x:f>IF(OR(AA1687="",AB1687=""),"PENDING_HUMAN",IF(AA1687=AB1687,AA1687,IF(AD1687&lt;&gt;"",AD1687,"PENDING_HUMAN")))</x:f>
        <x:v>PENDING_HUMAN</x:v>
      </x:c>
      <x:c r="AF1687" t="n">
        <x:f>--AND(A1687&lt;&gt;"",AA1687&lt;&gt;"",AB1687&lt;&gt;"",OR(AA1687=AB1687,AD1687&lt;&gt;""),IF(AE1687="HALLUCINATION",U1687&lt;&gt;"",TRUE))</x:f>
        <x:v>0</x:v>
      </x:c>
      <x:c r="AG1687" t="n">
        <x:f>--AND(N1687=1,AF1687=1,OR(AE1687="SUPPORTED",AE1687="HALLUCINATION"))</x:f>
        <x:v>0</x:v>
      </x:c>
      <x:c r="AH1687" t="n">
        <x:f>--AND(AG1687=1,AE1687="HALLUCINATION")</x:f>
        <x:v>0</x:v>
      </x:c>
      <x:c r="AI1687" t="n">
        <x:f>--AND(Q1687=1,AF1687=1,AE1687="HALLUCINATION")</x:f>
        <x:v>0</x:v>
      </x:c>
      <x:c r="AJ1687" t="n">
        <x:f>--AND(AI1687=1,R1687=1,S1687=1)</x:f>
        <x:v>0</x:v>
      </x:c>
    </x:row>
    <x:row r="1688">
      <x:c r="A1688" s="28"/>
      <x:c r="B1688" s="28"/>
      <x:c r="C1688" s="28"/>
      <x:c r="D1688" s="28"/>
      <x:c r="E1688" s="28"/>
      <x:c r="F1688" s="28"/>
      <x:c r="G1688" s="28"/>
      <x:c r="H1688" s="28"/>
      <x:c r="I1688" s="28"/>
      <x:c r="J1688" s="28"/>
      <x:c r="K1688" s="28"/>
      <x:c r="L1688" s="28"/>
      <x:c r="M1688" s="28"/>
      <x:c r="N1688" s="28"/>
      <x:c r="O1688" s="28"/>
      <x:c r="P1688" s="28"/>
      <x:c r="Q1688" s="28"/>
      <x:c r="R1688" s="28"/>
      <x:c r="S1688" s="28"/>
      <x:c r="T1688" s="28"/>
      <x:c r="U1688" s="28"/>
      <x:c r="V1688" s="28"/>
      <x:c r="W1688" s="43" t="n">
        <x:f>--AND(N1688=1,OR(O1688="SUPPORTED",O1688="HALLUCINATION"))</x:f>
        <x:v>0</x:v>
      </x:c>
      <x:c r="X1688" s="43" t="n">
        <x:f>--AND(W1688=1,O1688="HALLUCINATION")</x:f>
        <x:v>0</x:v>
      </x:c>
      <x:c r="Y1688" s="43" t="n">
        <x:f>--AND(Q1688=1,O1688="HALLUCINATION")</x:f>
        <x:v>0</x:v>
      </x:c>
      <x:c r="Z1688" s="43" t="n">
        <x:f>--AND(Y1688=1,R1688=1,S1688=1)</x:f>
        <x:v>0</x:v>
      </x:c>
      <x:c r="AC1688" t="str">
        <x:f>IF(OR(AA1688="",AB1688=""),"",--(AA1688&lt;&gt;AB1688))</x:f>
      </x:c>
      <x:c r="AE1688" t="str">
        <x:f>IF(OR(AA1688="",AB1688=""),"PENDING_HUMAN",IF(AA1688=AB1688,AA1688,IF(AD1688&lt;&gt;"",AD1688,"PENDING_HUMAN")))</x:f>
        <x:v>PENDING_HUMAN</x:v>
      </x:c>
      <x:c r="AF1688" t="n">
        <x:f>--AND(A1688&lt;&gt;"",AA1688&lt;&gt;"",AB1688&lt;&gt;"",OR(AA1688=AB1688,AD1688&lt;&gt;""),IF(AE1688="HALLUCINATION",U1688&lt;&gt;"",TRUE))</x:f>
        <x:v>0</x:v>
      </x:c>
      <x:c r="AG1688" t="n">
        <x:f>--AND(N1688=1,AF1688=1,OR(AE1688="SUPPORTED",AE1688="HALLUCINATION"))</x:f>
        <x:v>0</x:v>
      </x:c>
      <x:c r="AH1688" t="n">
        <x:f>--AND(AG1688=1,AE1688="HALLUCINATION")</x:f>
        <x:v>0</x:v>
      </x:c>
      <x:c r="AI1688" t="n">
        <x:f>--AND(Q1688=1,AF1688=1,AE1688="HALLUCINATION")</x:f>
        <x:v>0</x:v>
      </x:c>
      <x:c r="AJ1688" t="n">
        <x:f>--AND(AI1688=1,R1688=1,S1688=1)</x:f>
        <x:v>0</x:v>
      </x:c>
    </x:row>
    <x:row r="1689">
      <x:c r="A1689" s="28"/>
      <x:c r="B1689" s="28"/>
      <x:c r="C1689" s="28"/>
      <x:c r="D1689" s="28"/>
      <x:c r="E1689" s="28"/>
      <x:c r="F1689" s="28"/>
      <x:c r="G1689" s="28"/>
      <x:c r="H1689" s="28"/>
      <x:c r="I1689" s="28"/>
      <x:c r="J1689" s="28"/>
      <x:c r="K1689" s="28"/>
      <x:c r="L1689" s="28"/>
      <x:c r="M1689" s="28"/>
      <x:c r="N1689" s="28"/>
      <x:c r="O1689" s="28"/>
      <x:c r="P1689" s="28"/>
      <x:c r="Q1689" s="28"/>
      <x:c r="R1689" s="28"/>
      <x:c r="S1689" s="28"/>
      <x:c r="T1689" s="28"/>
      <x:c r="U1689" s="28"/>
      <x:c r="V1689" s="28"/>
      <x:c r="W1689" s="43" t="n">
        <x:f>--AND(N1689=1,OR(O1689="SUPPORTED",O1689="HALLUCINATION"))</x:f>
        <x:v>0</x:v>
      </x:c>
      <x:c r="X1689" s="43" t="n">
        <x:f>--AND(W1689=1,O1689="HALLUCINATION")</x:f>
        <x:v>0</x:v>
      </x:c>
      <x:c r="Y1689" s="43" t="n">
        <x:f>--AND(Q1689=1,O1689="HALLUCINATION")</x:f>
        <x:v>0</x:v>
      </x:c>
      <x:c r="Z1689" s="43" t="n">
        <x:f>--AND(Y1689=1,R1689=1,S1689=1)</x:f>
        <x:v>0</x:v>
      </x:c>
      <x:c r="AC1689" t="str">
        <x:f>IF(OR(AA1689="",AB1689=""),"",--(AA1689&lt;&gt;AB1689))</x:f>
      </x:c>
      <x:c r="AE1689" t="str">
        <x:f>IF(OR(AA1689="",AB1689=""),"PENDING_HUMAN",IF(AA1689=AB1689,AA1689,IF(AD1689&lt;&gt;"",AD1689,"PENDING_HUMAN")))</x:f>
        <x:v>PENDING_HUMAN</x:v>
      </x:c>
      <x:c r="AF1689" t="n">
        <x:f>--AND(A1689&lt;&gt;"",AA1689&lt;&gt;"",AB1689&lt;&gt;"",OR(AA1689=AB1689,AD1689&lt;&gt;""),IF(AE1689="HALLUCINATION",U1689&lt;&gt;"",TRUE))</x:f>
        <x:v>0</x:v>
      </x:c>
      <x:c r="AG1689" t="n">
        <x:f>--AND(N1689=1,AF1689=1,OR(AE1689="SUPPORTED",AE1689="HALLUCINATION"))</x:f>
        <x:v>0</x:v>
      </x:c>
      <x:c r="AH1689" t="n">
        <x:f>--AND(AG1689=1,AE1689="HALLUCINATION")</x:f>
        <x:v>0</x:v>
      </x:c>
      <x:c r="AI1689" t="n">
        <x:f>--AND(Q1689=1,AF1689=1,AE1689="HALLUCINATION")</x:f>
        <x:v>0</x:v>
      </x:c>
      <x:c r="AJ1689" t="n">
        <x:f>--AND(AI1689=1,R1689=1,S1689=1)</x:f>
        <x:v>0</x:v>
      </x:c>
    </x:row>
    <x:row r="1690">
      <x:c r="A1690" s="28"/>
      <x:c r="B1690" s="28"/>
      <x:c r="C1690" s="28"/>
      <x:c r="D1690" s="28"/>
      <x:c r="E1690" s="28"/>
      <x:c r="F1690" s="28"/>
      <x:c r="G1690" s="28"/>
      <x:c r="H1690" s="28"/>
      <x:c r="I1690" s="28"/>
      <x:c r="J1690" s="28"/>
      <x:c r="K1690" s="28"/>
      <x:c r="L1690" s="28"/>
      <x:c r="M1690" s="28"/>
      <x:c r="N1690" s="28"/>
      <x:c r="O1690" s="28"/>
      <x:c r="P1690" s="28"/>
      <x:c r="Q1690" s="28"/>
      <x:c r="R1690" s="28"/>
      <x:c r="S1690" s="28"/>
      <x:c r="T1690" s="28"/>
      <x:c r="U1690" s="28"/>
      <x:c r="V1690" s="28"/>
      <x:c r="W1690" s="43" t="n">
        <x:f>--AND(N1690=1,OR(O1690="SUPPORTED",O1690="HALLUCINATION"))</x:f>
        <x:v>0</x:v>
      </x:c>
      <x:c r="X1690" s="43" t="n">
        <x:f>--AND(W1690=1,O1690="HALLUCINATION")</x:f>
        <x:v>0</x:v>
      </x:c>
      <x:c r="Y1690" s="43" t="n">
        <x:f>--AND(Q1690=1,O1690="HALLUCINATION")</x:f>
        <x:v>0</x:v>
      </x:c>
      <x:c r="Z1690" s="43" t="n">
        <x:f>--AND(Y1690=1,R1690=1,S1690=1)</x:f>
        <x:v>0</x:v>
      </x:c>
      <x:c r="AC1690" t="str">
        <x:f>IF(OR(AA1690="",AB1690=""),"",--(AA1690&lt;&gt;AB1690))</x:f>
      </x:c>
      <x:c r="AE1690" t="str">
        <x:f>IF(OR(AA1690="",AB1690=""),"PENDING_HUMAN",IF(AA1690=AB1690,AA1690,IF(AD1690&lt;&gt;"",AD1690,"PENDING_HUMAN")))</x:f>
        <x:v>PENDING_HUMAN</x:v>
      </x:c>
      <x:c r="AF1690" t="n">
        <x:f>--AND(A1690&lt;&gt;"",AA1690&lt;&gt;"",AB1690&lt;&gt;"",OR(AA1690=AB1690,AD1690&lt;&gt;""),IF(AE1690="HALLUCINATION",U1690&lt;&gt;"",TRUE))</x:f>
        <x:v>0</x:v>
      </x:c>
      <x:c r="AG1690" t="n">
        <x:f>--AND(N1690=1,AF1690=1,OR(AE1690="SUPPORTED",AE1690="HALLUCINATION"))</x:f>
        <x:v>0</x:v>
      </x:c>
      <x:c r="AH1690" t="n">
        <x:f>--AND(AG1690=1,AE1690="HALLUCINATION")</x:f>
        <x:v>0</x:v>
      </x:c>
      <x:c r="AI1690" t="n">
        <x:f>--AND(Q1690=1,AF1690=1,AE1690="HALLUCINATION")</x:f>
        <x:v>0</x:v>
      </x:c>
      <x:c r="AJ1690" t="n">
        <x:f>--AND(AI1690=1,R1690=1,S1690=1)</x:f>
        <x:v>0</x:v>
      </x:c>
    </x:row>
    <x:row r="1691">
      <x:c r="A1691" s="28"/>
      <x:c r="B1691" s="28"/>
      <x:c r="C1691" s="28"/>
      <x:c r="D1691" s="28"/>
      <x:c r="E1691" s="28"/>
      <x:c r="F1691" s="28"/>
      <x:c r="G1691" s="28"/>
      <x:c r="H1691" s="28"/>
      <x:c r="I1691" s="28"/>
      <x:c r="J1691" s="28"/>
      <x:c r="K1691" s="28"/>
      <x:c r="L1691" s="28"/>
      <x:c r="M1691" s="28"/>
      <x:c r="N1691" s="28"/>
      <x:c r="O1691" s="28"/>
      <x:c r="P1691" s="28"/>
      <x:c r="Q1691" s="28"/>
      <x:c r="R1691" s="28"/>
      <x:c r="S1691" s="28"/>
      <x:c r="T1691" s="28"/>
      <x:c r="U1691" s="28"/>
      <x:c r="V1691" s="28"/>
      <x:c r="W1691" s="43" t="n">
        <x:f>--AND(N1691=1,OR(O1691="SUPPORTED",O1691="HALLUCINATION"))</x:f>
        <x:v>0</x:v>
      </x:c>
      <x:c r="X1691" s="43" t="n">
        <x:f>--AND(W1691=1,O1691="HALLUCINATION")</x:f>
        <x:v>0</x:v>
      </x:c>
      <x:c r="Y1691" s="43" t="n">
        <x:f>--AND(Q1691=1,O1691="HALLUCINATION")</x:f>
        <x:v>0</x:v>
      </x:c>
      <x:c r="Z1691" s="43" t="n">
        <x:f>--AND(Y1691=1,R1691=1,S1691=1)</x:f>
        <x:v>0</x:v>
      </x:c>
      <x:c r="AC1691" t="str">
        <x:f>IF(OR(AA1691="",AB1691=""),"",--(AA1691&lt;&gt;AB1691))</x:f>
      </x:c>
      <x:c r="AE1691" t="str">
        <x:f>IF(OR(AA1691="",AB1691=""),"PENDING_HUMAN",IF(AA1691=AB1691,AA1691,IF(AD1691&lt;&gt;"",AD1691,"PENDING_HUMAN")))</x:f>
        <x:v>PENDING_HUMAN</x:v>
      </x:c>
      <x:c r="AF1691" t="n">
        <x:f>--AND(A1691&lt;&gt;"",AA1691&lt;&gt;"",AB1691&lt;&gt;"",OR(AA1691=AB1691,AD1691&lt;&gt;""),IF(AE1691="HALLUCINATION",U1691&lt;&gt;"",TRUE))</x:f>
        <x:v>0</x:v>
      </x:c>
      <x:c r="AG1691" t="n">
        <x:f>--AND(N1691=1,AF1691=1,OR(AE1691="SUPPORTED",AE1691="HALLUCINATION"))</x:f>
        <x:v>0</x:v>
      </x:c>
      <x:c r="AH1691" t="n">
        <x:f>--AND(AG1691=1,AE1691="HALLUCINATION")</x:f>
        <x:v>0</x:v>
      </x:c>
      <x:c r="AI1691" t="n">
        <x:f>--AND(Q1691=1,AF1691=1,AE1691="HALLUCINATION")</x:f>
        <x:v>0</x:v>
      </x:c>
      <x:c r="AJ1691" t="n">
        <x:f>--AND(AI1691=1,R1691=1,S1691=1)</x:f>
        <x:v>0</x:v>
      </x:c>
    </x:row>
    <x:row r="1692">
      <x:c r="A1692" s="28"/>
      <x:c r="B1692" s="28"/>
      <x:c r="C1692" s="28"/>
      <x:c r="D1692" s="28"/>
      <x:c r="E1692" s="28"/>
      <x:c r="F1692" s="28"/>
      <x:c r="G1692" s="28"/>
      <x:c r="H1692" s="28"/>
      <x:c r="I1692" s="28"/>
      <x:c r="J1692" s="28"/>
      <x:c r="K1692" s="28"/>
      <x:c r="L1692" s="28"/>
      <x:c r="M1692" s="28"/>
      <x:c r="N1692" s="28"/>
      <x:c r="O1692" s="28"/>
      <x:c r="P1692" s="28"/>
      <x:c r="Q1692" s="28"/>
      <x:c r="R1692" s="28"/>
      <x:c r="S1692" s="28"/>
      <x:c r="T1692" s="28"/>
      <x:c r="U1692" s="28"/>
      <x:c r="V1692" s="28"/>
      <x:c r="W1692" s="43" t="n">
        <x:f>--AND(N1692=1,OR(O1692="SUPPORTED",O1692="HALLUCINATION"))</x:f>
        <x:v>0</x:v>
      </x:c>
      <x:c r="X1692" s="43" t="n">
        <x:f>--AND(W1692=1,O1692="HALLUCINATION")</x:f>
        <x:v>0</x:v>
      </x:c>
      <x:c r="Y1692" s="43" t="n">
        <x:f>--AND(Q1692=1,O1692="HALLUCINATION")</x:f>
        <x:v>0</x:v>
      </x:c>
      <x:c r="Z1692" s="43" t="n">
        <x:f>--AND(Y1692=1,R1692=1,S1692=1)</x:f>
        <x:v>0</x:v>
      </x:c>
      <x:c r="AC1692" t="str">
        <x:f>IF(OR(AA1692="",AB1692=""),"",--(AA1692&lt;&gt;AB1692))</x:f>
      </x:c>
      <x:c r="AE1692" t="str">
        <x:f>IF(OR(AA1692="",AB1692=""),"PENDING_HUMAN",IF(AA1692=AB1692,AA1692,IF(AD1692&lt;&gt;"",AD1692,"PENDING_HUMAN")))</x:f>
        <x:v>PENDING_HUMAN</x:v>
      </x:c>
      <x:c r="AF1692" t="n">
        <x:f>--AND(A1692&lt;&gt;"",AA1692&lt;&gt;"",AB1692&lt;&gt;"",OR(AA1692=AB1692,AD1692&lt;&gt;""),IF(AE1692="HALLUCINATION",U1692&lt;&gt;"",TRUE))</x:f>
        <x:v>0</x:v>
      </x:c>
      <x:c r="AG1692" t="n">
        <x:f>--AND(N1692=1,AF1692=1,OR(AE1692="SUPPORTED",AE1692="HALLUCINATION"))</x:f>
        <x:v>0</x:v>
      </x:c>
      <x:c r="AH1692" t="n">
        <x:f>--AND(AG1692=1,AE1692="HALLUCINATION")</x:f>
        <x:v>0</x:v>
      </x:c>
      <x:c r="AI1692" t="n">
        <x:f>--AND(Q1692=1,AF1692=1,AE1692="HALLUCINATION")</x:f>
        <x:v>0</x:v>
      </x:c>
      <x:c r="AJ1692" t="n">
        <x:f>--AND(AI1692=1,R1692=1,S1692=1)</x:f>
        <x:v>0</x:v>
      </x:c>
    </x:row>
    <x:row r="1693">
      <x:c r="A1693" s="28"/>
      <x:c r="B1693" s="28"/>
      <x:c r="C1693" s="28"/>
      <x:c r="D1693" s="28"/>
      <x:c r="E1693" s="28"/>
      <x:c r="F1693" s="28"/>
      <x:c r="G1693" s="28"/>
      <x:c r="H1693" s="28"/>
      <x:c r="I1693" s="28"/>
      <x:c r="J1693" s="28"/>
      <x:c r="K1693" s="28"/>
      <x:c r="L1693" s="28"/>
      <x:c r="M1693" s="28"/>
      <x:c r="N1693" s="28"/>
      <x:c r="O1693" s="28"/>
      <x:c r="P1693" s="28"/>
      <x:c r="Q1693" s="28"/>
      <x:c r="R1693" s="28"/>
      <x:c r="S1693" s="28"/>
      <x:c r="T1693" s="28"/>
      <x:c r="U1693" s="28"/>
      <x:c r="V1693" s="28"/>
      <x:c r="W1693" s="43" t="n">
        <x:f>--AND(N1693=1,OR(O1693="SUPPORTED",O1693="HALLUCINATION"))</x:f>
        <x:v>0</x:v>
      </x:c>
      <x:c r="X1693" s="43" t="n">
        <x:f>--AND(W1693=1,O1693="HALLUCINATION")</x:f>
        <x:v>0</x:v>
      </x:c>
      <x:c r="Y1693" s="43" t="n">
        <x:f>--AND(Q1693=1,O1693="HALLUCINATION")</x:f>
        <x:v>0</x:v>
      </x:c>
      <x:c r="Z1693" s="43" t="n">
        <x:f>--AND(Y1693=1,R1693=1,S1693=1)</x:f>
        <x:v>0</x:v>
      </x:c>
      <x:c r="AC1693" t="str">
        <x:f>IF(OR(AA1693="",AB1693=""),"",--(AA1693&lt;&gt;AB1693))</x:f>
      </x:c>
      <x:c r="AE1693" t="str">
        <x:f>IF(OR(AA1693="",AB1693=""),"PENDING_HUMAN",IF(AA1693=AB1693,AA1693,IF(AD1693&lt;&gt;"",AD1693,"PENDING_HUMAN")))</x:f>
        <x:v>PENDING_HUMAN</x:v>
      </x:c>
      <x:c r="AF1693" t="n">
        <x:f>--AND(A1693&lt;&gt;"",AA1693&lt;&gt;"",AB1693&lt;&gt;"",OR(AA1693=AB1693,AD1693&lt;&gt;""),IF(AE1693="HALLUCINATION",U1693&lt;&gt;"",TRUE))</x:f>
        <x:v>0</x:v>
      </x:c>
      <x:c r="AG1693" t="n">
        <x:f>--AND(N1693=1,AF1693=1,OR(AE1693="SUPPORTED",AE1693="HALLUCINATION"))</x:f>
        <x:v>0</x:v>
      </x:c>
      <x:c r="AH1693" t="n">
        <x:f>--AND(AG1693=1,AE1693="HALLUCINATION")</x:f>
        <x:v>0</x:v>
      </x:c>
      <x:c r="AI1693" t="n">
        <x:f>--AND(Q1693=1,AF1693=1,AE1693="HALLUCINATION")</x:f>
        <x:v>0</x:v>
      </x:c>
      <x:c r="AJ1693" t="n">
        <x:f>--AND(AI1693=1,R1693=1,S1693=1)</x:f>
        <x:v>0</x:v>
      </x:c>
    </x:row>
    <x:row r="1694">
      <x:c r="A1694" s="28"/>
      <x:c r="B1694" s="28"/>
      <x:c r="C1694" s="28"/>
      <x:c r="D1694" s="28"/>
      <x:c r="E1694" s="28"/>
      <x:c r="F1694" s="28"/>
      <x:c r="G1694" s="28"/>
      <x:c r="H1694" s="28"/>
      <x:c r="I1694" s="28"/>
      <x:c r="J1694" s="28"/>
      <x:c r="K1694" s="28"/>
      <x:c r="L1694" s="28"/>
      <x:c r="M1694" s="28"/>
      <x:c r="N1694" s="28"/>
      <x:c r="O1694" s="28"/>
      <x:c r="P1694" s="28"/>
      <x:c r="Q1694" s="28"/>
      <x:c r="R1694" s="28"/>
      <x:c r="S1694" s="28"/>
      <x:c r="T1694" s="28"/>
      <x:c r="U1694" s="28"/>
      <x:c r="V1694" s="28"/>
      <x:c r="W1694" s="43" t="n">
        <x:f>--AND(N1694=1,OR(O1694="SUPPORTED",O1694="HALLUCINATION"))</x:f>
        <x:v>0</x:v>
      </x:c>
      <x:c r="X1694" s="43" t="n">
        <x:f>--AND(W1694=1,O1694="HALLUCINATION")</x:f>
        <x:v>0</x:v>
      </x:c>
      <x:c r="Y1694" s="43" t="n">
        <x:f>--AND(Q1694=1,O1694="HALLUCINATION")</x:f>
        <x:v>0</x:v>
      </x:c>
      <x:c r="Z1694" s="43" t="n">
        <x:f>--AND(Y1694=1,R1694=1,S1694=1)</x:f>
        <x:v>0</x:v>
      </x:c>
      <x:c r="AC1694" t="str">
        <x:f>IF(OR(AA1694="",AB1694=""),"",--(AA1694&lt;&gt;AB1694))</x:f>
      </x:c>
      <x:c r="AE1694" t="str">
        <x:f>IF(OR(AA1694="",AB1694=""),"PENDING_HUMAN",IF(AA1694=AB1694,AA1694,IF(AD1694&lt;&gt;"",AD1694,"PENDING_HUMAN")))</x:f>
        <x:v>PENDING_HUMAN</x:v>
      </x:c>
      <x:c r="AF1694" t="n">
        <x:f>--AND(A1694&lt;&gt;"",AA1694&lt;&gt;"",AB1694&lt;&gt;"",OR(AA1694=AB1694,AD1694&lt;&gt;""),IF(AE1694="HALLUCINATION",U1694&lt;&gt;"",TRUE))</x:f>
        <x:v>0</x:v>
      </x:c>
      <x:c r="AG1694" t="n">
        <x:f>--AND(N1694=1,AF1694=1,OR(AE1694="SUPPORTED",AE1694="HALLUCINATION"))</x:f>
        <x:v>0</x:v>
      </x:c>
      <x:c r="AH1694" t="n">
        <x:f>--AND(AG1694=1,AE1694="HALLUCINATION")</x:f>
        <x:v>0</x:v>
      </x:c>
      <x:c r="AI1694" t="n">
        <x:f>--AND(Q1694=1,AF1694=1,AE1694="HALLUCINATION")</x:f>
        <x:v>0</x:v>
      </x:c>
      <x:c r="AJ1694" t="n">
        <x:f>--AND(AI1694=1,R1694=1,S1694=1)</x:f>
        <x:v>0</x:v>
      </x:c>
    </x:row>
    <x:row r="1695">
      <x:c r="A1695" s="28"/>
      <x:c r="B1695" s="28"/>
      <x:c r="C1695" s="28"/>
      <x:c r="D1695" s="28"/>
      <x:c r="E1695" s="28"/>
      <x:c r="F1695" s="28"/>
      <x:c r="G1695" s="28"/>
      <x:c r="H1695" s="28"/>
      <x:c r="I1695" s="28"/>
      <x:c r="J1695" s="28"/>
      <x:c r="K1695" s="28"/>
      <x:c r="L1695" s="28"/>
      <x:c r="M1695" s="28"/>
      <x:c r="N1695" s="28"/>
      <x:c r="O1695" s="28"/>
      <x:c r="P1695" s="28"/>
      <x:c r="Q1695" s="28"/>
      <x:c r="R1695" s="28"/>
      <x:c r="S1695" s="28"/>
      <x:c r="T1695" s="28"/>
      <x:c r="U1695" s="28"/>
      <x:c r="V1695" s="28"/>
      <x:c r="W1695" s="43" t="n">
        <x:f>--AND(N1695=1,OR(O1695="SUPPORTED",O1695="HALLUCINATION"))</x:f>
        <x:v>0</x:v>
      </x:c>
      <x:c r="X1695" s="43" t="n">
        <x:f>--AND(W1695=1,O1695="HALLUCINATION")</x:f>
        <x:v>0</x:v>
      </x:c>
      <x:c r="Y1695" s="43" t="n">
        <x:f>--AND(Q1695=1,O1695="HALLUCINATION")</x:f>
        <x:v>0</x:v>
      </x:c>
      <x:c r="Z1695" s="43" t="n">
        <x:f>--AND(Y1695=1,R1695=1,S1695=1)</x:f>
        <x:v>0</x:v>
      </x:c>
      <x:c r="AC1695" t="str">
        <x:f>IF(OR(AA1695="",AB1695=""),"",--(AA1695&lt;&gt;AB1695))</x:f>
      </x:c>
      <x:c r="AE1695" t="str">
        <x:f>IF(OR(AA1695="",AB1695=""),"PENDING_HUMAN",IF(AA1695=AB1695,AA1695,IF(AD1695&lt;&gt;"",AD1695,"PENDING_HUMAN")))</x:f>
        <x:v>PENDING_HUMAN</x:v>
      </x:c>
      <x:c r="AF1695" t="n">
        <x:f>--AND(A1695&lt;&gt;"",AA1695&lt;&gt;"",AB1695&lt;&gt;"",OR(AA1695=AB1695,AD1695&lt;&gt;""),IF(AE1695="HALLUCINATION",U1695&lt;&gt;"",TRUE))</x:f>
        <x:v>0</x:v>
      </x:c>
      <x:c r="AG1695" t="n">
        <x:f>--AND(N1695=1,AF1695=1,OR(AE1695="SUPPORTED",AE1695="HALLUCINATION"))</x:f>
        <x:v>0</x:v>
      </x:c>
      <x:c r="AH1695" t="n">
        <x:f>--AND(AG1695=1,AE1695="HALLUCINATION")</x:f>
        <x:v>0</x:v>
      </x:c>
      <x:c r="AI1695" t="n">
        <x:f>--AND(Q1695=1,AF1695=1,AE1695="HALLUCINATION")</x:f>
        <x:v>0</x:v>
      </x:c>
      <x:c r="AJ1695" t="n">
        <x:f>--AND(AI1695=1,R1695=1,S1695=1)</x:f>
        <x:v>0</x:v>
      </x:c>
    </x:row>
    <x:row r="1696">
      <x:c r="A1696" s="28"/>
      <x:c r="B1696" s="28"/>
      <x:c r="C1696" s="28"/>
      <x:c r="D1696" s="28"/>
      <x:c r="E1696" s="28"/>
      <x:c r="F1696" s="28"/>
      <x:c r="G1696" s="28"/>
      <x:c r="H1696" s="28"/>
      <x:c r="I1696" s="28"/>
      <x:c r="J1696" s="28"/>
      <x:c r="K1696" s="28"/>
      <x:c r="L1696" s="28"/>
      <x:c r="M1696" s="28"/>
      <x:c r="N1696" s="28"/>
      <x:c r="O1696" s="28"/>
      <x:c r="P1696" s="28"/>
      <x:c r="Q1696" s="28"/>
      <x:c r="R1696" s="28"/>
      <x:c r="S1696" s="28"/>
      <x:c r="T1696" s="28"/>
      <x:c r="U1696" s="28"/>
      <x:c r="V1696" s="28"/>
      <x:c r="W1696" s="43" t="n">
        <x:f>--AND(N1696=1,OR(O1696="SUPPORTED",O1696="HALLUCINATION"))</x:f>
        <x:v>0</x:v>
      </x:c>
      <x:c r="X1696" s="43" t="n">
        <x:f>--AND(W1696=1,O1696="HALLUCINATION")</x:f>
        <x:v>0</x:v>
      </x:c>
      <x:c r="Y1696" s="43" t="n">
        <x:f>--AND(Q1696=1,O1696="HALLUCINATION")</x:f>
        <x:v>0</x:v>
      </x:c>
      <x:c r="Z1696" s="43" t="n">
        <x:f>--AND(Y1696=1,R1696=1,S1696=1)</x:f>
        <x:v>0</x:v>
      </x:c>
      <x:c r="AC1696" t="str">
        <x:f>IF(OR(AA1696="",AB1696=""),"",--(AA1696&lt;&gt;AB1696))</x:f>
      </x:c>
      <x:c r="AE1696" t="str">
        <x:f>IF(OR(AA1696="",AB1696=""),"PENDING_HUMAN",IF(AA1696=AB1696,AA1696,IF(AD1696&lt;&gt;"",AD1696,"PENDING_HUMAN")))</x:f>
        <x:v>PENDING_HUMAN</x:v>
      </x:c>
      <x:c r="AF1696" t="n">
        <x:f>--AND(A1696&lt;&gt;"",AA1696&lt;&gt;"",AB1696&lt;&gt;"",OR(AA1696=AB1696,AD1696&lt;&gt;""),IF(AE1696="HALLUCINATION",U1696&lt;&gt;"",TRUE))</x:f>
        <x:v>0</x:v>
      </x:c>
      <x:c r="AG1696" t="n">
        <x:f>--AND(N1696=1,AF1696=1,OR(AE1696="SUPPORTED",AE1696="HALLUCINATION"))</x:f>
        <x:v>0</x:v>
      </x:c>
      <x:c r="AH1696" t="n">
        <x:f>--AND(AG1696=1,AE1696="HALLUCINATION")</x:f>
        <x:v>0</x:v>
      </x:c>
      <x:c r="AI1696" t="n">
        <x:f>--AND(Q1696=1,AF1696=1,AE1696="HALLUCINATION")</x:f>
        <x:v>0</x:v>
      </x:c>
      <x:c r="AJ1696" t="n">
        <x:f>--AND(AI1696=1,R1696=1,S1696=1)</x:f>
        <x:v>0</x:v>
      </x:c>
    </x:row>
    <x:row r="1697">
      <x:c r="A1697" s="28"/>
      <x:c r="B1697" s="28"/>
      <x:c r="C1697" s="28"/>
      <x:c r="D1697" s="28"/>
      <x:c r="E1697" s="28"/>
      <x:c r="F1697" s="28"/>
      <x:c r="G1697" s="28"/>
      <x:c r="H1697" s="28"/>
      <x:c r="I1697" s="28"/>
      <x:c r="J1697" s="28"/>
      <x:c r="K1697" s="28"/>
      <x:c r="L1697" s="28"/>
      <x:c r="M1697" s="28"/>
      <x:c r="N1697" s="28"/>
      <x:c r="O1697" s="28"/>
      <x:c r="P1697" s="28"/>
      <x:c r="Q1697" s="28"/>
      <x:c r="R1697" s="28"/>
      <x:c r="S1697" s="28"/>
      <x:c r="T1697" s="28"/>
      <x:c r="U1697" s="28"/>
      <x:c r="V1697" s="28"/>
      <x:c r="W1697" s="43" t="n">
        <x:f>--AND(N1697=1,OR(O1697="SUPPORTED",O1697="HALLUCINATION"))</x:f>
        <x:v>0</x:v>
      </x:c>
      <x:c r="X1697" s="43" t="n">
        <x:f>--AND(W1697=1,O1697="HALLUCINATION")</x:f>
        <x:v>0</x:v>
      </x:c>
      <x:c r="Y1697" s="43" t="n">
        <x:f>--AND(Q1697=1,O1697="HALLUCINATION")</x:f>
        <x:v>0</x:v>
      </x:c>
      <x:c r="Z1697" s="43" t="n">
        <x:f>--AND(Y1697=1,R1697=1,S1697=1)</x:f>
        <x:v>0</x:v>
      </x:c>
      <x:c r="AC1697" t="str">
        <x:f>IF(OR(AA1697="",AB1697=""),"",--(AA1697&lt;&gt;AB1697))</x:f>
      </x:c>
      <x:c r="AE1697" t="str">
        <x:f>IF(OR(AA1697="",AB1697=""),"PENDING_HUMAN",IF(AA1697=AB1697,AA1697,IF(AD1697&lt;&gt;"",AD1697,"PENDING_HUMAN")))</x:f>
        <x:v>PENDING_HUMAN</x:v>
      </x:c>
      <x:c r="AF1697" t="n">
        <x:f>--AND(A1697&lt;&gt;"",AA1697&lt;&gt;"",AB1697&lt;&gt;"",OR(AA1697=AB1697,AD1697&lt;&gt;""),IF(AE1697="HALLUCINATION",U1697&lt;&gt;"",TRUE))</x:f>
        <x:v>0</x:v>
      </x:c>
      <x:c r="AG1697" t="n">
        <x:f>--AND(N1697=1,AF1697=1,OR(AE1697="SUPPORTED",AE1697="HALLUCINATION"))</x:f>
        <x:v>0</x:v>
      </x:c>
      <x:c r="AH1697" t="n">
        <x:f>--AND(AG1697=1,AE1697="HALLUCINATION")</x:f>
        <x:v>0</x:v>
      </x:c>
      <x:c r="AI1697" t="n">
        <x:f>--AND(Q1697=1,AF1697=1,AE1697="HALLUCINATION")</x:f>
        <x:v>0</x:v>
      </x:c>
      <x:c r="AJ1697" t="n">
        <x:f>--AND(AI1697=1,R1697=1,S1697=1)</x:f>
        <x:v>0</x:v>
      </x:c>
    </x:row>
    <x:row r="1698">
      <x:c r="A1698" s="28"/>
      <x:c r="B1698" s="28"/>
      <x:c r="C1698" s="28"/>
      <x:c r="D1698" s="28"/>
      <x:c r="E1698" s="28"/>
      <x:c r="F1698" s="28"/>
      <x:c r="G1698" s="28"/>
      <x:c r="H1698" s="28"/>
      <x:c r="I1698" s="28"/>
      <x:c r="J1698" s="28"/>
      <x:c r="K1698" s="28"/>
      <x:c r="L1698" s="28"/>
      <x:c r="M1698" s="28"/>
      <x:c r="N1698" s="28"/>
      <x:c r="O1698" s="28"/>
      <x:c r="P1698" s="28"/>
      <x:c r="Q1698" s="28"/>
      <x:c r="R1698" s="28"/>
      <x:c r="S1698" s="28"/>
      <x:c r="T1698" s="28"/>
      <x:c r="U1698" s="28"/>
      <x:c r="V1698" s="28"/>
      <x:c r="W1698" s="43" t="n">
        <x:f>--AND(N1698=1,OR(O1698="SUPPORTED",O1698="HALLUCINATION"))</x:f>
        <x:v>0</x:v>
      </x:c>
      <x:c r="X1698" s="43" t="n">
        <x:f>--AND(W1698=1,O1698="HALLUCINATION")</x:f>
        <x:v>0</x:v>
      </x:c>
      <x:c r="Y1698" s="43" t="n">
        <x:f>--AND(Q1698=1,O1698="HALLUCINATION")</x:f>
        <x:v>0</x:v>
      </x:c>
      <x:c r="Z1698" s="43" t="n">
        <x:f>--AND(Y1698=1,R1698=1,S1698=1)</x:f>
        <x:v>0</x:v>
      </x:c>
      <x:c r="AC1698" t="str">
        <x:f>IF(OR(AA1698="",AB1698=""),"",--(AA1698&lt;&gt;AB1698))</x:f>
      </x:c>
      <x:c r="AE1698" t="str">
        <x:f>IF(OR(AA1698="",AB1698=""),"PENDING_HUMAN",IF(AA1698=AB1698,AA1698,IF(AD1698&lt;&gt;"",AD1698,"PENDING_HUMAN")))</x:f>
        <x:v>PENDING_HUMAN</x:v>
      </x:c>
      <x:c r="AF1698" t="n">
        <x:f>--AND(A1698&lt;&gt;"",AA1698&lt;&gt;"",AB1698&lt;&gt;"",OR(AA1698=AB1698,AD1698&lt;&gt;""),IF(AE1698="HALLUCINATION",U1698&lt;&gt;"",TRUE))</x:f>
        <x:v>0</x:v>
      </x:c>
      <x:c r="AG1698" t="n">
        <x:f>--AND(N1698=1,AF1698=1,OR(AE1698="SUPPORTED",AE1698="HALLUCINATION"))</x:f>
        <x:v>0</x:v>
      </x:c>
      <x:c r="AH1698" t="n">
        <x:f>--AND(AG1698=1,AE1698="HALLUCINATION")</x:f>
        <x:v>0</x:v>
      </x:c>
      <x:c r="AI1698" t="n">
        <x:f>--AND(Q1698=1,AF1698=1,AE1698="HALLUCINATION")</x:f>
        <x:v>0</x:v>
      </x:c>
      <x:c r="AJ1698" t="n">
        <x:f>--AND(AI1698=1,R1698=1,S1698=1)</x:f>
        <x:v>0</x:v>
      </x:c>
    </x:row>
    <x:row r="1699">
      <x:c r="A1699" s="28"/>
      <x:c r="B1699" s="28"/>
      <x:c r="C1699" s="28"/>
      <x:c r="D1699" s="28"/>
      <x:c r="E1699" s="28"/>
      <x:c r="F1699" s="28"/>
      <x:c r="G1699" s="28"/>
      <x:c r="H1699" s="28"/>
      <x:c r="I1699" s="28"/>
      <x:c r="J1699" s="28"/>
      <x:c r="K1699" s="28"/>
      <x:c r="L1699" s="28"/>
      <x:c r="M1699" s="28"/>
      <x:c r="N1699" s="28"/>
      <x:c r="O1699" s="28"/>
      <x:c r="P1699" s="28"/>
      <x:c r="Q1699" s="28"/>
      <x:c r="R1699" s="28"/>
      <x:c r="S1699" s="28"/>
      <x:c r="T1699" s="28"/>
      <x:c r="U1699" s="28"/>
      <x:c r="V1699" s="28"/>
      <x:c r="W1699" s="43" t="n">
        <x:f>--AND(N1699=1,OR(O1699="SUPPORTED",O1699="HALLUCINATION"))</x:f>
        <x:v>0</x:v>
      </x:c>
      <x:c r="X1699" s="43" t="n">
        <x:f>--AND(W1699=1,O1699="HALLUCINATION")</x:f>
        <x:v>0</x:v>
      </x:c>
      <x:c r="Y1699" s="43" t="n">
        <x:f>--AND(Q1699=1,O1699="HALLUCINATION")</x:f>
        <x:v>0</x:v>
      </x:c>
      <x:c r="Z1699" s="43" t="n">
        <x:f>--AND(Y1699=1,R1699=1,S1699=1)</x:f>
        <x:v>0</x:v>
      </x:c>
      <x:c r="AC1699" t="str">
        <x:f>IF(OR(AA1699="",AB1699=""),"",--(AA1699&lt;&gt;AB1699))</x:f>
      </x:c>
      <x:c r="AE1699" t="str">
        <x:f>IF(OR(AA1699="",AB1699=""),"PENDING_HUMAN",IF(AA1699=AB1699,AA1699,IF(AD1699&lt;&gt;"",AD1699,"PENDING_HUMAN")))</x:f>
        <x:v>PENDING_HUMAN</x:v>
      </x:c>
      <x:c r="AF1699" t="n">
        <x:f>--AND(A1699&lt;&gt;"",AA1699&lt;&gt;"",AB1699&lt;&gt;"",OR(AA1699=AB1699,AD1699&lt;&gt;""),IF(AE1699="HALLUCINATION",U1699&lt;&gt;"",TRUE))</x:f>
        <x:v>0</x:v>
      </x:c>
      <x:c r="AG1699" t="n">
        <x:f>--AND(N1699=1,AF1699=1,OR(AE1699="SUPPORTED",AE1699="HALLUCINATION"))</x:f>
        <x:v>0</x:v>
      </x:c>
      <x:c r="AH1699" t="n">
        <x:f>--AND(AG1699=1,AE1699="HALLUCINATION")</x:f>
        <x:v>0</x:v>
      </x:c>
      <x:c r="AI1699" t="n">
        <x:f>--AND(Q1699=1,AF1699=1,AE1699="HALLUCINATION")</x:f>
        <x:v>0</x:v>
      </x:c>
      <x:c r="AJ1699" t="n">
        <x:f>--AND(AI1699=1,R1699=1,S1699=1)</x:f>
        <x:v>0</x:v>
      </x:c>
    </x:row>
    <x:row r="1700">
      <x:c r="A1700" s="28"/>
      <x:c r="B1700" s="28"/>
      <x:c r="C1700" s="28"/>
      <x:c r="D1700" s="28"/>
      <x:c r="E1700" s="28"/>
      <x:c r="F1700" s="28"/>
      <x:c r="G1700" s="28"/>
      <x:c r="H1700" s="28"/>
      <x:c r="I1700" s="28"/>
      <x:c r="J1700" s="28"/>
      <x:c r="K1700" s="28"/>
      <x:c r="L1700" s="28"/>
      <x:c r="M1700" s="28"/>
      <x:c r="N1700" s="28"/>
      <x:c r="O1700" s="28"/>
      <x:c r="P1700" s="28"/>
      <x:c r="Q1700" s="28"/>
      <x:c r="R1700" s="28"/>
      <x:c r="S1700" s="28"/>
      <x:c r="T1700" s="28"/>
      <x:c r="U1700" s="28"/>
      <x:c r="V1700" s="28"/>
      <x:c r="W1700" s="43" t="n">
        <x:f>--AND(N1700=1,OR(O1700="SUPPORTED",O1700="HALLUCINATION"))</x:f>
        <x:v>0</x:v>
      </x:c>
      <x:c r="X1700" s="43" t="n">
        <x:f>--AND(W1700=1,O1700="HALLUCINATION")</x:f>
        <x:v>0</x:v>
      </x:c>
      <x:c r="Y1700" s="43" t="n">
        <x:f>--AND(Q1700=1,O1700="HALLUCINATION")</x:f>
        <x:v>0</x:v>
      </x:c>
      <x:c r="Z1700" s="43" t="n">
        <x:f>--AND(Y1700=1,R1700=1,S1700=1)</x:f>
        <x:v>0</x:v>
      </x:c>
      <x:c r="AC1700" t="str">
        <x:f>IF(OR(AA1700="",AB1700=""),"",--(AA1700&lt;&gt;AB1700))</x:f>
      </x:c>
      <x:c r="AE1700" t="str">
        <x:f>IF(OR(AA1700="",AB1700=""),"PENDING_HUMAN",IF(AA1700=AB1700,AA1700,IF(AD1700&lt;&gt;"",AD1700,"PENDING_HUMAN")))</x:f>
        <x:v>PENDING_HUMAN</x:v>
      </x:c>
      <x:c r="AF1700" t="n">
        <x:f>--AND(A1700&lt;&gt;"",AA1700&lt;&gt;"",AB1700&lt;&gt;"",OR(AA1700=AB1700,AD1700&lt;&gt;""),IF(AE1700="HALLUCINATION",U1700&lt;&gt;"",TRUE))</x:f>
        <x:v>0</x:v>
      </x:c>
      <x:c r="AG1700" t="n">
        <x:f>--AND(N1700=1,AF1700=1,OR(AE1700="SUPPORTED",AE1700="HALLUCINATION"))</x:f>
        <x:v>0</x:v>
      </x:c>
      <x:c r="AH1700" t="n">
        <x:f>--AND(AG1700=1,AE1700="HALLUCINATION")</x:f>
        <x:v>0</x:v>
      </x:c>
      <x:c r="AI1700" t="n">
        <x:f>--AND(Q1700=1,AF1700=1,AE1700="HALLUCINATION")</x:f>
        <x:v>0</x:v>
      </x:c>
      <x:c r="AJ1700" t="n">
        <x:f>--AND(AI1700=1,R1700=1,S1700=1)</x:f>
        <x:v>0</x:v>
      </x:c>
    </x:row>
    <x:row r="1701">
      <x:c r="A1701" s="28"/>
      <x:c r="B1701" s="28"/>
      <x:c r="C1701" s="28"/>
      <x:c r="D1701" s="28"/>
      <x:c r="E1701" s="28"/>
      <x:c r="F1701" s="28"/>
      <x:c r="G1701" s="28"/>
      <x:c r="H1701" s="28"/>
      <x:c r="I1701" s="28"/>
      <x:c r="J1701" s="28"/>
      <x:c r="K1701" s="28"/>
      <x:c r="L1701" s="28"/>
      <x:c r="M1701" s="28"/>
      <x:c r="N1701" s="28"/>
      <x:c r="O1701" s="28"/>
      <x:c r="P1701" s="28"/>
      <x:c r="Q1701" s="28"/>
      <x:c r="R1701" s="28"/>
      <x:c r="S1701" s="28"/>
      <x:c r="T1701" s="28"/>
      <x:c r="U1701" s="28"/>
      <x:c r="V1701" s="28"/>
      <x:c r="W1701" s="43" t="n">
        <x:f>--AND(N1701=1,OR(O1701="SUPPORTED",O1701="HALLUCINATION"))</x:f>
        <x:v>0</x:v>
      </x:c>
      <x:c r="X1701" s="43" t="n">
        <x:f>--AND(W1701=1,O1701="HALLUCINATION")</x:f>
        <x:v>0</x:v>
      </x:c>
      <x:c r="Y1701" s="43" t="n">
        <x:f>--AND(Q1701=1,O1701="HALLUCINATION")</x:f>
        <x:v>0</x:v>
      </x:c>
      <x:c r="Z1701" s="43" t="n">
        <x:f>--AND(Y1701=1,R1701=1,S1701=1)</x:f>
        <x:v>0</x:v>
      </x:c>
      <x:c r="AC1701" t="str">
        <x:f>IF(OR(AA1701="",AB1701=""),"",--(AA1701&lt;&gt;AB1701))</x:f>
      </x:c>
      <x:c r="AE1701" t="str">
        <x:f>IF(OR(AA1701="",AB1701=""),"PENDING_HUMAN",IF(AA1701=AB1701,AA1701,IF(AD1701&lt;&gt;"",AD1701,"PENDING_HUMAN")))</x:f>
        <x:v>PENDING_HUMAN</x:v>
      </x:c>
      <x:c r="AF1701" t="n">
        <x:f>--AND(A1701&lt;&gt;"",AA1701&lt;&gt;"",AB1701&lt;&gt;"",OR(AA1701=AB1701,AD1701&lt;&gt;""),IF(AE1701="HALLUCINATION",U1701&lt;&gt;"",TRUE))</x:f>
        <x:v>0</x:v>
      </x:c>
      <x:c r="AG1701" t="n">
        <x:f>--AND(N1701=1,AF1701=1,OR(AE1701="SUPPORTED",AE1701="HALLUCINATION"))</x:f>
        <x:v>0</x:v>
      </x:c>
      <x:c r="AH1701" t="n">
        <x:f>--AND(AG1701=1,AE1701="HALLUCINATION")</x:f>
        <x:v>0</x:v>
      </x:c>
      <x:c r="AI1701" t="n">
        <x:f>--AND(Q1701=1,AF1701=1,AE1701="HALLUCINATION")</x:f>
        <x:v>0</x:v>
      </x:c>
      <x:c r="AJ1701" t="n">
        <x:f>--AND(AI1701=1,R1701=1,S1701=1)</x:f>
        <x:v>0</x:v>
      </x:c>
    </x:row>
    <x:row r="1702">
      <x:c r="A1702" s="28"/>
      <x:c r="B1702" s="28"/>
      <x:c r="C1702" s="28"/>
      <x:c r="D1702" s="28"/>
      <x:c r="E1702" s="28"/>
      <x:c r="F1702" s="28"/>
      <x:c r="G1702" s="28"/>
      <x:c r="H1702" s="28"/>
      <x:c r="I1702" s="28"/>
      <x:c r="J1702" s="28"/>
      <x:c r="K1702" s="28"/>
      <x:c r="L1702" s="28"/>
      <x:c r="M1702" s="28"/>
      <x:c r="N1702" s="28"/>
      <x:c r="O1702" s="28"/>
      <x:c r="P1702" s="28"/>
      <x:c r="Q1702" s="28"/>
      <x:c r="R1702" s="28"/>
      <x:c r="S1702" s="28"/>
      <x:c r="T1702" s="28"/>
      <x:c r="U1702" s="28"/>
      <x:c r="V1702" s="28"/>
      <x:c r="W1702" s="43" t="n">
        <x:f>--AND(N1702=1,OR(O1702="SUPPORTED",O1702="HALLUCINATION"))</x:f>
        <x:v>0</x:v>
      </x:c>
      <x:c r="X1702" s="43" t="n">
        <x:f>--AND(W1702=1,O1702="HALLUCINATION")</x:f>
        <x:v>0</x:v>
      </x:c>
      <x:c r="Y1702" s="43" t="n">
        <x:f>--AND(Q1702=1,O1702="HALLUCINATION")</x:f>
        <x:v>0</x:v>
      </x:c>
      <x:c r="Z1702" s="43" t="n">
        <x:f>--AND(Y1702=1,R1702=1,S1702=1)</x:f>
        <x:v>0</x:v>
      </x:c>
      <x:c r="AC1702" t="str">
        <x:f>IF(OR(AA1702="",AB1702=""),"",--(AA1702&lt;&gt;AB1702))</x:f>
      </x:c>
      <x:c r="AE1702" t="str">
        <x:f>IF(OR(AA1702="",AB1702=""),"PENDING_HUMAN",IF(AA1702=AB1702,AA1702,IF(AD1702&lt;&gt;"",AD1702,"PENDING_HUMAN")))</x:f>
        <x:v>PENDING_HUMAN</x:v>
      </x:c>
      <x:c r="AF1702" t="n">
        <x:f>--AND(A1702&lt;&gt;"",AA1702&lt;&gt;"",AB1702&lt;&gt;"",OR(AA1702=AB1702,AD1702&lt;&gt;""),IF(AE1702="HALLUCINATION",U1702&lt;&gt;"",TRUE))</x:f>
        <x:v>0</x:v>
      </x:c>
      <x:c r="AG1702" t="n">
        <x:f>--AND(N1702=1,AF1702=1,OR(AE1702="SUPPORTED",AE1702="HALLUCINATION"))</x:f>
        <x:v>0</x:v>
      </x:c>
      <x:c r="AH1702" t="n">
        <x:f>--AND(AG1702=1,AE1702="HALLUCINATION")</x:f>
        <x:v>0</x:v>
      </x:c>
      <x:c r="AI1702" t="n">
        <x:f>--AND(Q1702=1,AF1702=1,AE1702="HALLUCINATION")</x:f>
        <x:v>0</x:v>
      </x:c>
      <x:c r="AJ1702" t="n">
        <x:f>--AND(AI1702=1,R1702=1,S1702=1)</x:f>
        <x:v>0</x:v>
      </x:c>
    </x:row>
    <x:row r="1703">
      <x:c r="A1703" s="28"/>
      <x:c r="B1703" s="28"/>
      <x:c r="C1703" s="28"/>
      <x:c r="D1703" s="28"/>
      <x:c r="E1703" s="28"/>
      <x:c r="F1703" s="28"/>
      <x:c r="G1703" s="28"/>
      <x:c r="H1703" s="28"/>
      <x:c r="I1703" s="28"/>
      <x:c r="J1703" s="28"/>
      <x:c r="K1703" s="28"/>
      <x:c r="L1703" s="28"/>
      <x:c r="M1703" s="28"/>
      <x:c r="N1703" s="28"/>
      <x:c r="O1703" s="28"/>
      <x:c r="P1703" s="28"/>
      <x:c r="Q1703" s="28"/>
      <x:c r="R1703" s="28"/>
      <x:c r="S1703" s="28"/>
      <x:c r="T1703" s="28"/>
      <x:c r="U1703" s="28"/>
      <x:c r="V1703" s="28"/>
      <x:c r="W1703" s="43" t="n">
        <x:f>--AND(N1703=1,OR(O1703="SUPPORTED",O1703="HALLUCINATION"))</x:f>
        <x:v>0</x:v>
      </x:c>
      <x:c r="X1703" s="43" t="n">
        <x:f>--AND(W1703=1,O1703="HALLUCINATION")</x:f>
        <x:v>0</x:v>
      </x:c>
      <x:c r="Y1703" s="43" t="n">
        <x:f>--AND(Q1703=1,O1703="HALLUCINATION")</x:f>
        <x:v>0</x:v>
      </x:c>
      <x:c r="Z1703" s="43" t="n">
        <x:f>--AND(Y1703=1,R1703=1,S1703=1)</x:f>
        <x:v>0</x:v>
      </x:c>
      <x:c r="AC1703" t="str">
        <x:f>IF(OR(AA1703="",AB1703=""),"",--(AA1703&lt;&gt;AB1703))</x:f>
      </x:c>
      <x:c r="AE1703" t="str">
        <x:f>IF(OR(AA1703="",AB1703=""),"PENDING_HUMAN",IF(AA1703=AB1703,AA1703,IF(AD1703&lt;&gt;"",AD1703,"PENDING_HUMAN")))</x:f>
        <x:v>PENDING_HUMAN</x:v>
      </x:c>
      <x:c r="AF1703" t="n">
        <x:f>--AND(A1703&lt;&gt;"",AA1703&lt;&gt;"",AB1703&lt;&gt;"",OR(AA1703=AB1703,AD1703&lt;&gt;""),IF(AE1703="HALLUCINATION",U1703&lt;&gt;"",TRUE))</x:f>
        <x:v>0</x:v>
      </x:c>
      <x:c r="AG1703" t="n">
        <x:f>--AND(N1703=1,AF1703=1,OR(AE1703="SUPPORTED",AE1703="HALLUCINATION"))</x:f>
        <x:v>0</x:v>
      </x:c>
      <x:c r="AH1703" t="n">
        <x:f>--AND(AG1703=1,AE1703="HALLUCINATION")</x:f>
        <x:v>0</x:v>
      </x:c>
      <x:c r="AI1703" t="n">
        <x:f>--AND(Q1703=1,AF1703=1,AE1703="HALLUCINATION")</x:f>
        <x:v>0</x:v>
      </x:c>
      <x:c r="AJ1703" t="n">
        <x:f>--AND(AI1703=1,R1703=1,S1703=1)</x:f>
        <x:v>0</x:v>
      </x:c>
    </x:row>
    <x:row r="1704">
      <x:c r="A1704" s="28"/>
      <x:c r="B1704" s="28"/>
      <x:c r="C1704" s="28"/>
      <x:c r="D1704" s="28"/>
      <x:c r="E1704" s="28"/>
      <x:c r="F1704" s="28"/>
      <x:c r="G1704" s="28"/>
      <x:c r="H1704" s="28"/>
      <x:c r="I1704" s="28"/>
      <x:c r="J1704" s="28"/>
      <x:c r="K1704" s="28"/>
      <x:c r="L1704" s="28"/>
      <x:c r="M1704" s="28"/>
      <x:c r="N1704" s="28"/>
      <x:c r="O1704" s="28"/>
      <x:c r="P1704" s="28"/>
      <x:c r="Q1704" s="28"/>
      <x:c r="R1704" s="28"/>
      <x:c r="S1704" s="28"/>
      <x:c r="T1704" s="28"/>
      <x:c r="U1704" s="28"/>
      <x:c r="V1704" s="28"/>
      <x:c r="W1704" s="43" t="n">
        <x:f>--AND(N1704=1,OR(O1704="SUPPORTED",O1704="HALLUCINATION"))</x:f>
        <x:v>0</x:v>
      </x:c>
      <x:c r="X1704" s="43" t="n">
        <x:f>--AND(W1704=1,O1704="HALLUCINATION")</x:f>
        <x:v>0</x:v>
      </x:c>
      <x:c r="Y1704" s="43" t="n">
        <x:f>--AND(Q1704=1,O1704="HALLUCINATION")</x:f>
        <x:v>0</x:v>
      </x:c>
      <x:c r="Z1704" s="43" t="n">
        <x:f>--AND(Y1704=1,R1704=1,S1704=1)</x:f>
        <x:v>0</x:v>
      </x:c>
      <x:c r="AC1704" t="str">
        <x:f>IF(OR(AA1704="",AB1704=""),"",--(AA1704&lt;&gt;AB1704))</x:f>
      </x:c>
      <x:c r="AE1704" t="str">
        <x:f>IF(OR(AA1704="",AB1704=""),"PENDING_HUMAN",IF(AA1704=AB1704,AA1704,IF(AD1704&lt;&gt;"",AD1704,"PENDING_HUMAN")))</x:f>
        <x:v>PENDING_HUMAN</x:v>
      </x:c>
      <x:c r="AF1704" t="n">
        <x:f>--AND(A1704&lt;&gt;"",AA1704&lt;&gt;"",AB1704&lt;&gt;"",OR(AA1704=AB1704,AD1704&lt;&gt;""),IF(AE1704="HALLUCINATION",U1704&lt;&gt;"",TRUE))</x:f>
        <x:v>0</x:v>
      </x:c>
      <x:c r="AG1704" t="n">
        <x:f>--AND(N1704=1,AF1704=1,OR(AE1704="SUPPORTED",AE1704="HALLUCINATION"))</x:f>
        <x:v>0</x:v>
      </x:c>
      <x:c r="AH1704" t="n">
        <x:f>--AND(AG1704=1,AE1704="HALLUCINATION")</x:f>
        <x:v>0</x:v>
      </x:c>
      <x:c r="AI1704" t="n">
        <x:f>--AND(Q1704=1,AF1704=1,AE1704="HALLUCINATION")</x:f>
        <x:v>0</x:v>
      </x:c>
      <x:c r="AJ1704" t="n">
        <x:f>--AND(AI1704=1,R1704=1,S1704=1)</x:f>
        <x:v>0</x:v>
      </x:c>
    </x:row>
    <x:row r="1705">
      <x:c r="A1705" s="28"/>
      <x:c r="B1705" s="28"/>
      <x:c r="C1705" s="28"/>
      <x:c r="D1705" s="28"/>
      <x:c r="E1705" s="28"/>
      <x:c r="F1705" s="28"/>
      <x:c r="G1705" s="28"/>
      <x:c r="H1705" s="28"/>
      <x:c r="I1705" s="28"/>
      <x:c r="J1705" s="28"/>
      <x:c r="K1705" s="28"/>
      <x:c r="L1705" s="28"/>
      <x:c r="M1705" s="28"/>
      <x:c r="N1705" s="28"/>
      <x:c r="O1705" s="28"/>
      <x:c r="P1705" s="28"/>
      <x:c r="Q1705" s="28"/>
      <x:c r="R1705" s="28"/>
      <x:c r="S1705" s="28"/>
      <x:c r="T1705" s="28"/>
      <x:c r="U1705" s="28"/>
      <x:c r="V1705" s="28"/>
      <x:c r="W1705" s="43" t="n">
        <x:f>--AND(N1705=1,OR(O1705="SUPPORTED",O1705="HALLUCINATION"))</x:f>
        <x:v>0</x:v>
      </x:c>
      <x:c r="X1705" s="43" t="n">
        <x:f>--AND(W1705=1,O1705="HALLUCINATION")</x:f>
        <x:v>0</x:v>
      </x:c>
      <x:c r="Y1705" s="43" t="n">
        <x:f>--AND(Q1705=1,O1705="HALLUCINATION")</x:f>
        <x:v>0</x:v>
      </x:c>
      <x:c r="Z1705" s="43" t="n">
        <x:f>--AND(Y1705=1,R1705=1,S1705=1)</x:f>
        <x:v>0</x:v>
      </x:c>
      <x:c r="AC1705" t="str">
        <x:f>IF(OR(AA1705="",AB1705=""),"",--(AA1705&lt;&gt;AB1705))</x:f>
      </x:c>
      <x:c r="AE1705" t="str">
        <x:f>IF(OR(AA1705="",AB1705=""),"PENDING_HUMAN",IF(AA1705=AB1705,AA1705,IF(AD1705&lt;&gt;"",AD1705,"PENDING_HUMAN")))</x:f>
        <x:v>PENDING_HUMAN</x:v>
      </x:c>
      <x:c r="AF1705" t="n">
        <x:f>--AND(A1705&lt;&gt;"",AA1705&lt;&gt;"",AB1705&lt;&gt;"",OR(AA1705=AB1705,AD1705&lt;&gt;""),IF(AE1705="HALLUCINATION",U1705&lt;&gt;"",TRUE))</x:f>
        <x:v>0</x:v>
      </x:c>
      <x:c r="AG1705" t="n">
        <x:f>--AND(N1705=1,AF1705=1,OR(AE1705="SUPPORTED",AE1705="HALLUCINATION"))</x:f>
        <x:v>0</x:v>
      </x:c>
      <x:c r="AH1705" t="n">
        <x:f>--AND(AG1705=1,AE1705="HALLUCINATION")</x:f>
        <x:v>0</x:v>
      </x:c>
      <x:c r="AI1705" t="n">
        <x:f>--AND(Q1705=1,AF1705=1,AE1705="HALLUCINATION")</x:f>
        <x:v>0</x:v>
      </x:c>
      <x:c r="AJ1705" t="n">
        <x:f>--AND(AI1705=1,R1705=1,S1705=1)</x:f>
        <x:v>0</x:v>
      </x:c>
    </x:row>
    <x:row r="1706">
      <x:c r="A1706" s="28"/>
      <x:c r="B1706" s="28"/>
      <x:c r="C1706" s="28"/>
      <x:c r="D1706" s="28"/>
      <x:c r="E1706" s="28"/>
      <x:c r="F1706" s="28"/>
      <x:c r="G1706" s="28"/>
      <x:c r="H1706" s="28"/>
      <x:c r="I1706" s="28"/>
      <x:c r="J1706" s="28"/>
      <x:c r="K1706" s="28"/>
      <x:c r="L1706" s="28"/>
      <x:c r="M1706" s="28"/>
      <x:c r="N1706" s="28"/>
      <x:c r="O1706" s="28"/>
      <x:c r="P1706" s="28"/>
      <x:c r="Q1706" s="28"/>
      <x:c r="R1706" s="28"/>
      <x:c r="S1706" s="28"/>
      <x:c r="T1706" s="28"/>
      <x:c r="U1706" s="28"/>
      <x:c r="V1706" s="28"/>
      <x:c r="W1706" s="43" t="n">
        <x:f>--AND(N1706=1,OR(O1706="SUPPORTED",O1706="HALLUCINATION"))</x:f>
        <x:v>0</x:v>
      </x:c>
      <x:c r="X1706" s="43" t="n">
        <x:f>--AND(W1706=1,O1706="HALLUCINATION")</x:f>
        <x:v>0</x:v>
      </x:c>
      <x:c r="Y1706" s="43" t="n">
        <x:f>--AND(Q1706=1,O1706="HALLUCINATION")</x:f>
        <x:v>0</x:v>
      </x:c>
      <x:c r="Z1706" s="43" t="n">
        <x:f>--AND(Y1706=1,R1706=1,S1706=1)</x:f>
        <x:v>0</x:v>
      </x:c>
      <x:c r="AC1706" t="str">
        <x:f>IF(OR(AA1706="",AB1706=""),"",--(AA1706&lt;&gt;AB1706))</x:f>
      </x:c>
      <x:c r="AE1706" t="str">
        <x:f>IF(OR(AA1706="",AB1706=""),"PENDING_HUMAN",IF(AA1706=AB1706,AA1706,IF(AD1706&lt;&gt;"",AD1706,"PENDING_HUMAN")))</x:f>
        <x:v>PENDING_HUMAN</x:v>
      </x:c>
      <x:c r="AF1706" t="n">
        <x:f>--AND(A1706&lt;&gt;"",AA1706&lt;&gt;"",AB1706&lt;&gt;"",OR(AA1706=AB1706,AD1706&lt;&gt;""),IF(AE1706="HALLUCINATION",U1706&lt;&gt;"",TRUE))</x:f>
        <x:v>0</x:v>
      </x:c>
      <x:c r="AG1706" t="n">
        <x:f>--AND(N1706=1,AF1706=1,OR(AE1706="SUPPORTED",AE1706="HALLUCINATION"))</x:f>
        <x:v>0</x:v>
      </x:c>
      <x:c r="AH1706" t="n">
        <x:f>--AND(AG1706=1,AE1706="HALLUCINATION")</x:f>
        <x:v>0</x:v>
      </x:c>
      <x:c r="AI1706" t="n">
        <x:f>--AND(Q1706=1,AF1706=1,AE1706="HALLUCINATION")</x:f>
        <x:v>0</x:v>
      </x:c>
      <x:c r="AJ1706" t="n">
        <x:f>--AND(AI1706=1,R1706=1,S1706=1)</x:f>
        <x:v>0</x:v>
      </x:c>
    </x:row>
    <x:row r="1707">
      <x:c r="A1707" s="28"/>
      <x:c r="B1707" s="28"/>
      <x:c r="C1707" s="28"/>
      <x:c r="D1707" s="28"/>
      <x:c r="E1707" s="28"/>
      <x:c r="F1707" s="28"/>
      <x:c r="G1707" s="28"/>
      <x:c r="H1707" s="28"/>
      <x:c r="I1707" s="28"/>
      <x:c r="J1707" s="28"/>
      <x:c r="K1707" s="28"/>
      <x:c r="L1707" s="28"/>
      <x:c r="M1707" s="28"/>
      <x:c r="N1707" s="28"/>
      <x:c r="O1707" s="28"/>
      <x:c r="P1707" s="28"/>
      <x:c r="Q1707" s="28"/>
      <x:c r="R1707" s="28"/>
      <x:c r="S1707" s="28"/>
      <x:c r="T1707" s="28"/>
      <x:c r="U1707" s="28"/>
      <x:c r="V1707" s="28"/>
      <x:c r="W1707" s="43" t="n">
        <x:f>--AND(N1707=1,OR(O1707="SUPPORTED",O1707="HALLUCINATION"))</x:f>
        <x:v>0</x:v>
      </x:c>
      <x:c r="X1707" s="43" t="n">
        <x:f>--AND(W1707=1,O1707="HALLUCINATION")</x:f>
        <x:v>0</x:v>
      </x:c>
      <x:c r="Y1707" s="43" t="n">
        <x:f>--AND(Q1707=1,O1707="HALLUCINATION")</x:f>
        <x:v>0</x:v>
      </x:c>
      <x:c r="Z1707" s="43" t="n">
        <x:f>--AND(Y1707=1,R1707=1,S1707=1)</x:f>
        <x:v>0</x:v>
      </x:c>
      <x:c r="AC1707" t="str">
        <x:f>IF(OR(AA1707="",AB1707=""),"",--(AA1707&lt;&gt;AB1707))</x:f>
      </x:c>
      <x:c r="AE1707" t="str">
        <x:f>IF(OR(AA1707="",AB1707=""),"PENDING_HUMAN",IF(AA1707=AB1707,AA1707,IF(AD1707&lt;&gt;"",AD1707,"PENDING_HUMAN")))</x:f>
        <x:v>PENDING_HUMAN</x:v>
      </x:c>
      <x:c r="AF1707" t="n">
        <x:f>--AND(A1707&lt;&gt;"",AA1707&lt;&gt;"",AB1707&lt;&gt;"",OR(AA1707=AB1707,AD1707&lt;&gt;""),IF(AE1707="HALLUCINATION",U1707&lt;&gt;"",TRUE))</x:f>
        <x:v>0</x:v>
      </x:c>
      <x:c r="AG1707" t="n">
        <x:f>--AND(N1707=1,AF1707=1,OR(AE1707="SUPPORTED",AE1707="HALLUCINATION"))</x:f>
        <x:v>0</x:v>
      </x:c>
      <x:c r="AH1707" t="n">
        <x:f>--AND(AG1707=1,AE1707="HALLUCINATION")</x:f>
        <x:v>0</x:v>
      </x:c>
      <x:c r="AI1707" t="n">
        <x:f>--AND(Q1707=1,AF1707=1,AE1707="HALLUCINATION")</x:f>
        <x:v>0</x:v>
      </x:c>
      <x:c r="AJ1707" t="n">
        <x:f>--AND(AI1707=1,R1707=1,S1707=1)</x:f>
        <x:v>0</x:v>
      </x:c>
    </x:row>
    <x:row r="1708">
      <x:c r="A1708" s="28"/>
      <x:c r="B1708" s="28"/>
      <x:c r="C1708" s="28"/>
      <x:c r="D1708" s="28"/>
      <x:c r="E1708" s="28"/>
      <x:c r="F1708" s="28"/>
      <x:c r="G1708" s="28"/>
      <x:c r="H1708" s="28"/>
      <x:c r="I1708" s="28"/>
      <x:c r="J1708" s="28"/>
      <x:c r="K1708" s="28"/>
      <x:c r="L1708" s="28"/>
      <x:c r="M1708" s="28"/>
      <x:c r="N1708" s="28"/>
      <x:c r="O1708" s="28"/>
      <x:c r="P1708" s="28"/>
      <x:c r="Q1708" s="28"/>
      <x:c r="R1708" s="28"/>
      <x:c r="S1708" s="28"/>
      <x:c r="T1708" s="28"/>
      <x:c r="U1708" s="28"/>
      <x:c r="V1708" s="28"/>
      <x:c r="W1708" s="43" t="n">
        <x:f>--AND(N1708=1,OR(O1708="SUPPORTED",O1708="HALLUCINATION"))</x:f>
        <x:v>0</x:v>
      </x:c>
      <x:c r="X1708" s="43" t="n">
        <x:f>--AND(W1708=1,O1708="HALLUCINATION")</x:f>
        <x:v>0</x:v>
      </x:c>
      <x:c r="Y1708" s="43" t="n">
        <x:f>--AND(Q1708=1,O1708="HALLUCINATION")</x:f>
        <x:v>0</x:v>
      </x:c>
      <x:c r="Z1708" s="43" t="n">
        <x:f>--AND(Y1708=1,R1708=1,S1708=1)</x:f>
        <x:v>0</x:v>
      </x:c>
      <x:c r="AC1708" t="str">
        <x:f>IF(OR(AA1708="",AB1708=""),"",--(AA1708&lt;&gt;AB1708))</x:f>
      </x:c>
      <x:c r="AE1708" t="str">
        <x:f>IF(OR(AA1708="",AB1708=""),"PENDING_HUMAN",IF(AA1708=AB1708,AA1708,IF(AD1708&lt;&gt;"",AD1708,"PENDING_HUMAN")))</x:f>
        <x:v>PENDING_HUMAN</x:v>
      </x:c>
      <x:c r="AF1708" t="n">
        <x:f>--AND(A1708&lt;&gt;"",AA1708&lt;&gt;"",AB1708&lt;&gt;"",OR(AA1708=AB1708,AD1708&lt;&gt;""),IF(AE1708="HALLUCINATION",U1708&lt;&gt;"",TRUE))</x:f>
        <x:v>0</x:v>
      </x:c>
      <x:c r="AG1708" t="n">
        <x:f>--AND(N1708=1,AF1708=1,OR(AE1708="SUPPORTED",AE1708="HALLUCINATION"))</x:f>
        <x:v>0</x:v>
      </x:c>
      <x:c r="AH1708" t="n">
        <x:f>--AND(AG1708=1,AE1708="HALLUCINATION")</x:f>
        <x:v>0</x:v>
      </x:c>
      <x:c r="AI1708" t="n">
        <x:f>--AND(Q1708=1,AF1708=1,AE1708="HALLUCINATION")</x:f>
        <x:v>0</x:v>
      </x:c>
      <x:c r="AJ1708" t="n">
        <x:f>--AND(AI1708=1,R1708=1,S1708=1)</x:f>
        <x:v>0</x:v>
      </x:c>
    </x:row>
    <x:row r="1709">
      <x:c r="A1709" s="28"/>
      <x:c r="B1709" s="28"/>
      <x:c r="C1709" s="28"/>
      <x:c r="D1709" s="28"/>
      <x:c r="E1709" s="28"/>
      <x:c r="F1709" s="28"/>
      <x:c r="G1709" s="28"/>
      <x:c r="H1709" s="28"/>
      <x:c r="I1709" s="28"/>
      <x:c r="J1709" s="28"/>
      <x:c r="K1709" s="28"/>
      <x:c r="L1709" s="28"/>
      <x:c r="M1709" s="28"/>
      <x:c r="N1709" s="28"/>
      <x:c r="O1709" s="28"/>
      <x:c r="P1709" s="28"/>
      <x:c r="Q1709" s="28"/>
      <x:c r="R1709" s="28"/>
      <x:c r="S1709" s="28"/>
      <x:c r="T1709" s="28"/>
      <x:c r="U1709" s="28"/>
      <x:c r="V1709" s="28"/>
      <x:c r="W1709" s="43" t="n">
        <x:f>--AND(N1709=1,OR(O1709="SUPPORTED",O1709="HALLUCINATION"))</x:f>
        <x:v>0</x:v>
      </x:c>
      <x:c r="X1709" s="43" t="n">
        <x:f>--AND(W1709=1,O1709="HALLUCINATION")</x:f>
        <x:v>0</x:v>
      </x:c>
      <x:c r="Y1709" s="43" t="n">
        <x:f>--AND(Q1709=1,O1709="HALLUCINATION")</x:f>
        <x:v>0</x:v>
      </x:c>
      <x:c r="Z1709" s="43" t="n">
        <x:f>--AND(Y1709=1,R1709=1,S1709=1)</x:f>
        <x:v>0</x:v>
      </x:c>
      <x:c r="AC1709" t="str">
        <x:f>IF(OR(AA1709="",AB1709=""),"",--(AA1709&lt;&gt;AB1709))</x:f>
      </x:c>
      <x:c r="AE1709" t="str">
        <x:f>IF(OR(AA1709="",AB1709=""),"PENDING_HUMAN",IF(AA1709=AB1709,AA1709,IF(AD1709&lt;&gt;"",AD1709,"PENDING_HUMAN")))</x:f>
        <x:v>PENDING_HUMAN</x:v>
      </x:c>
      <x:c r="AF1709" t="n">
        <x:f>--AND(A1709&lt;&gt;"",AA1709&lt;&gt;"",AB1709&lt;&gt;"",OR(AA1709=AB1709,AD1709&lt;&gt;""),IF(AE1709="HALLUCINATION",U1709&lt;&gt;"",TRUE))</x:f>
        <x:v>0</x:v>
      </x:c>
      <x:c r="AG1709" t="n">
        <x:f>--AND(N1709=1,AF1709=1,OR(AE1709="SUPPORTED",AE1709="HALLUCINATION"))</x:f>
        <x:v>0</x:v>
      </x:c>
      <x:c r="AH1709" t="n">
        <x:f>--AND(AG1709=1,AE1709="HALLUCINATION")</x:f>
        <x:v>0</x:v>
      </x:c>
      <x:c r="AI1709" t="n">
        <x:f>--AND(Q1709=1,AF1709=1,AE1709="HALLUCINATION")</x:f>
        <x:v>0</x:v>
      </x:c>
      <x:c r="AJ1709" t="n">
        <x:f>--AND(AI1709=1,R1709=1,S1709=1)</x:f>
        <x:v>0</x:v>
      </x:c>
    </x:row>
    <x:row r="1710">
      <x:c r="A1710" s="28"/>
      <x:c r="B1710" s="28"/>
      <x:c r="C1710" s="28"/>
      <x:c r="D1710" s="28"/>
      <x:c r="E1710" s="28"/>
      <x:c r="F1710" s="28"/>
      <x:c r="G1710" s="28"/>
      <x:c r="H1710" s="28"/>
      <x:c r="I1710" s="28"/>
      <x:c r="J1710" s="28"/>
      <x:c r="K1710" s="28"/>
      <x:c r="L1710" s="28"/>
      <x:c r="M1710" s="28"/>
      <x:c r="N1710" s="28"/>
      <x:c r="O1710" s="28"/>
      <x:c r="P1710" s="28"/>
      <x:c r="Q1710" s="28"/>
      <x:c r="R1710" s="28"/>
      <x:c r="S1710" s="28"/>
      <x:c r="T1710" s="28"/>
      <x:c r="U1710" s="28"/>
      <x:c r="V1710" s="28"/>
      <x:c r="W1710" s="43" t="n">
        <x:f>--AND(N1710=1,OR(O1710="SUPPORTED",O1710="HALLUCINATION"))</x:f>
        <x:v>0</x:v>
      </x:c>
      <x:c r="X1710" s="43" t="n">
        <x:f>--AND(W1710=1,O1710="HALLUCINATION")</x:f>
        <x:v>0</x:v>
      </x:c>
      <x:c r="Y1710" s="43" t="n">
        <x:f>--AND(Q1710=1,O1710="HALLUCINATION")</x:f>
        <x:v>0</x:v>
      </x:c>
      <x:c r="Z1710" s="43" t="n">
        <x:f>--AND(Y1710=1,R1710=1,S1710=1)</x:f>
        <x:v>0</x:v>
      </x:c>
      <x:c r="AC1710" t="str">
        <x:f>IF(OR(AA1710="",AB1710=""),"",--(AA1710&lt;&gt;AB1710))</x:f>
      </x:c>
      <x:c r="AE1710" t="str">
        <x:f>IF(OR(AA1710="",AB1710=""),"PENDING_HUMAN",IF(AA1710=AB1710,AA1710,IF(AD1710&lt;&gt;"",AD1710,"PENDING_HUMAN")))</x:f>
        <x:v>PENDING_HUMAN</x:v>
      </x:c>
      <x:c r="AF1710" t="n">
        <x:f>--AND(A1710&lt;&gt;"",AA1710&lt;&gt;"",AB1710&lt;&gt;"",OR(AA1710=AB1710,AD1710&lt;&gt;""),IF(AE1710="HALLUCINATION",U1710&lt;&gt;"",TRUE))</x:f>
        <x:v>0</x:v>
      </x:c>
      <x:c r="AG1710" t="n">
        <x:f>--AND(N1710=1,AF1710=1,OR(AE1710="SUPPORTED",AE1710="HALLUCINATION"))</x:f>
        <x:v>0</x:v>
      </x:c>
      <x:c r="AH1710" t="n">
        <x:f>--AND(AG1710=1,AE1710="HALLUCINATION")</x:f>
        <x:v>0</x:v>
      </x:c>
      <x:c r="AI1710" t="n">
        <x:f>--AND(Q1710=1,AF1710=1,AE1710="HALLUCINATION")</x:f>
        <x:v>0</x:v>
      </x:c>
      <x:c r="AJ1710" t="n">
        <x:f>--AND(AI1710=1,R1710=1,S1710=1)</x:f>
        <x:v>0</x:v>
      </x:c>
    </x:row>
    <x:row r="1711">
      <x:c r="A1711" s="28"/>
      <x:c r="B1711" s="28"/>
      <x:c r="C1711" s="28"/>
      <x:c r="D1711" s="28"/>
      <x:c r="E1711" s="28"/>
      <x:c r="F1711" s="28"/>
      <x:c r="G1711" s="28"/>
      <x:c r="H1711" s="28"/>
      <x:c r="I1711" s="28"/>
      <x:c r="J1711" s="28"/>
      <x:c r="K1711" s="28"/>
      <x:c r="L1711" s="28"/>
      <x:c r="M1711" s="28"/>
      <x:c r="N1711" s="28"/>
      <x:c r="O1711" s="28"/>
      <x:c r="P1711" s="28"/>
      <x:c r="Q1711" s="28"/>
      <x:c r="R1711" s="28"/>
      <x:c r="S1711" s="28"/>
      <x:c r="T1711" s="28"/>
      <x:c r="U1711" s="28"/>
      <x:c r="V1711" s="28"/>
      <x:c r="W1711" s="43" t="n">
        <x:f>--AND(N1711=1,OR(O1711="SUPPORTED",O1711="HALLUCINATION"))</x:f>
        <x:v>0</x:v>
      </x:c>
      <x:c r="X1711" s="43" t="n">
        <x:f>--AND(W1711=1,O1711="HALLUCINATION")</x:f>
        <x:v>0</x:v>
      </x:c>
      <x:c r="Y1711" s="43" t="n">
        <x:f>--AND(Q1711=1,O1711="HALLUCINATION")</x:f>
        <x:v>0</x:v>
      </x:c>
      <x:c r="Z1711" s="43" t="n">
        <x:f>--AND(Y1711=1,R1711=1,S1711=1)</x:f>
        <x:v>0</x:v>
      </x:c>
      <x:c r="AC1711" t="str">
        <x:f>IF(OR(AA1711="",AB1711=""),"",--(AA1711&lt;&gt;AB1711))</x:f>
      </x:c>
      <x:c r="AE1711" t="str">
        <x:f>IF(OR(AA1711="",AB1711=""),"PENDING_HUMAN",IF(AA1711=AB1711,AA1711,IF(AD1711&lt;&gt;"",AD1711,"PENDING_HUMAN")))</x:f>
        <x:v>PENDING_HUMAN</x:v>
      </x:c>
      <x:c r="AF1711" t="n">
        <x:f>--AND(A1711&lt;&gt;"",AA1711&lt;&gt;"",AB1711&lt;&gt;"",OR(AA1711=AB1711,AD1711&lt;&gt;""),IF(AE1711="HALLUCINATION",U1711&lt;&gt;"",TRUE))</x:f>
        <x:v>0</x:v>
      </x:c>
      <x:c r="AG1711" t="n">
        <x:f>--AND(N1711=1,AF1711=1,OR(AE1711="SUPPORTED",AE1711="HALLUCINATION"))</x:f>
        <x:v>0</x:v>
      </x:c>
      <x:c r="AH1711" t="n">
        <x:f>--AND(AG1711=1,AE1711="HALLUCINATION")</x:f>
        <x:v>0</x:v>
      </x:c>
      <x:c r="AI1711" t="n">
        <x:f>--AND(Q1711=1,AF1711=1,AE1711="HALLUCINATION")</x:f>
        <x:v>0</x:v>
      </x:c>
      <x:c r="AJ1711" t="n">
        <x:f>--AND(AI1711=1,R1711=1,S1711=1)</x:f>
        <x:v>0</x:v>
      </x:c>
    </x:row>
    <x:row r="1712">
      <x:c r="A1712" s="28"/>
      <x:c r="B1712" s="28"/>
      <x:c r="C1712" s="28"/>
      <x:c r="D1712" s="28"/>
      <x:c r="E1712" s="28"/>
      <x:c r="F1712" s="28"/>
      <x:c r="G1712" s="28"/>
      <x:c r="H1712" s="28"/>
      <x:c r="I1712" s="28"/>
      <x:c r="J1712" s="28"/>
      <x:c r="K1712" s="28"/>
      <x:c r="L1712" s="28"/>
      <x:c r="M1712" s="28"/>
      <x:c r="N1712" s="28"/>
      <x:c r="O1712" s="28"/>
      <x:c r="P1712" s="28"/>
      <x:c r="Q1712" s="28"/>
      <x:c r="R1712" s="28"/>
      <x:c r="S1712" s="28"/>
      <x:c r="T1712" s="28"/>
      <x:c r="U1712" s="28"/>
      <x:c r="V1712" s="28"/>
      <x:c r="W1712" s="43" t="n">
        <x:f>--AND(N1712=1,OR(O1712="SUPPORTED",O1712="HALLUCINATION"))</x:f>
        <x:v>0</x:v>
      </x:c>
      <x:c r="X1712" s="43" t="n">
        <x:f>--AND(W1712=1,O1712="HALLUCINATION")</x:f>
        <x:v>0</x:v>
      </x:c>
      <x:c r="Y1712" s="43" t="n">
        <x:f>--AND(Q1712=1,O1712="HALLUCINATION")</x:f>
        <x:v>0</x:v>
      </x:c>
      <x:c r="Z1712" s="43" t="n">
        <x:f>--AND(Y1712=1,R1712=1,S1712=1)</x:f>
        <x:v>0</x:v>
      </x:c>
      <x:c r="AC1712" t="str">
        <x:f>IF(OR(AA1712="",AB1712=""),"",--(AA1712&lt;&gt;AB1712))</x:f>
      </x:c>
      <x:c r="AE1712" t="str">
        <x:f>IF(OR(AA1712="",AB1712=""),"PENDING_HUMAN",IF(AA1712=AB1712,AA1712,IF(AD1712&lt;&gt;"",AD1712,"PENDING_HUMAN")))</x:f>
        <x:v>PENDING_HUMAN</x:v>
      </x:c>
      <x:c r="AF1712" t="n">
        <x:f>--AND(A1712&lt;&gt;"",AA1712&lt;&gt;"",AB1712&lt;&gt;"",OR(AA1712=AB1712,AD1712&lt;&gt;""),IF(AE1712="HALLUCINATION",U1712&lt;&gt;"",TRUE))</x:f>
        <x:v>0</x:v>
      </x:c>
      <x:c r="AG1712" t="n">
        <x:f>--AND(N1712=1,AF1712=1,OR(AE1712="SUPPORTED",AE1712="HALLUCINATION"))</x:f>
        <x:v>0</x:v>
      </x:c>
      <x:c r="AH1712" t="n">
        <x:f>--AND(AG1712=1,AE1712="HALLUCINATION")</x:f>
        <x:v>0</x:v>
      </x:c>
      <x:c r="AI1712" t="n">
        <x:f>--AND(Q1712=1,AF1712=1,AE1712="HALLUCINATION")</x:f>
        <x:v>0</x:v>
      </x:c>
      <x:c r="AJ1712" t="n">
        <x:f>--AND(AI1712=1,R1712=1,S1712=1)</x:f>
        <x:v>0</x:v>
      </x:c>
    </x:row>
    <x:row r="1713">
      <x:c r="A1713" s="28"/>
      <x:c r="B1713" s="28"/>
      <x:c r="C1713" s="28"/>
      <x:c r="D1713" s="28"/>
      <x:c r="E1713" s="28"/>
      <x:c r="F1713" s="28"/>
      <x:c r="G1713" s="28"/>
      <x:c r="H1713" s="28"/>
      <x:c r="I1713" s="28"/>
      <x:c r="J1713" s="28"/>
      <x:c r="K1713" s="28"/>
      <x:c r="L1713" s="28"/>
      <x:c r="M1713" s="28"/>
      <x:c r="N1713" s="28"/>
      <x:c r="O1713" s="28"/>
      <x:c r="P1713" s="28"/>
      <x:c r="Q1713" s="28"/>
      <x:c r="R1713" s="28"/>
      <x:c r="S1713" s="28"/>
      <x:c r="T1713" s="28"/>
      <x:c r="U1713" s="28"/>
      <x:c r="V1713" s="28"/>
      <x:c r="W1713" s="43" t="n">
        <x:f>--AND(N1713=1,OR(O1713="SUPPORTED",O1713="HALLUCINATION"))</x:f>
        <x:v>0</x:v>
      </x:c>
      <x:c r="X1713" s="43" t="n">
        <x:f>--AND(W1713=1,O1713="HALLUCINATION")</x:f>
        <x:v>0</x:v>
      </x:c>
      <x:c r="Y1713" s="43" t="n">
        <x:f>--AND(Q1713=1,O1713="HALLUCINATION")</x:f>
        <x:v>0</x:v>
      </x:c>
      <x:c r="Z1713" s="43" t="n">
        <x:f>--AND(Y1713=1,R1713=1,S1713=1)</x:f>
        <x:v>0</x:v>
      </x:c>
      <x:c r="AC1713" t="str">
        <x:f>IF(OR(AA1713="",AB1713=""),"",--(AA1713&lt;&gt;AB1713))</x:f>
      </x:c>
      <x:c r="AE1713" t="str">
        <x:f>IF(OR(AA1713="",AB1713=""),"PENDING_HUMAN",IF(AA1713=AB1713,AA1713,IF(AD1713&lt;&gt;"",AD1713,"PENDING_HUMAN")))</x:f>
        <x:v>PENDING_HUMAN</x:v>
      </x:c>
      <x:c r="AF1713" t="n">
        <x:f>--AND(A1713&lt;&gt;"",AA1713&lt;&gt;"",AB1713&lt;&gt;"",OR(AA1713=AB1713,AD1713&lt;&gt;""),IF(AE1713="HALLUCINATION",U1713&lt;&gt;"",TRUE))</x:f>
        <x:v>0</x:v>
      </x:c>
      <x:c r="AG1713" t="n">
        <x:f>--AND(N1713=1,AF1713=1,OR(AE1713="SUPPORTED",AE1713="HALLUCINATION"))</x:f>
        <x:v>0</x:v>
      </x:c>
      <x:c r="AH1713" t="n">
        <x:f>--AND(AG1713=1,AE1713="HALLUCINATION")</x:f>
        <x:v>0</x:v>
      </x:c>
      <x:c r="AI1713" t="n">
        <x:f>--AND(Q1713=1,AF1713=1,AE1713="HALLUCINATION")</x:f>
        <x:v>0</x:v>
      </x:c>
      <x:c r="AJ1713" t="n">
        <x:f>--AND(AI1713=1,R1713=1,S1713=1)</x:f>
        <x:v>0</x:v>
      </x:c>
    </x:row>
    <x:row r="1714">
      <x:c r="A1714" s="28"/>
      <x:c r="B1714" s="28"/>
      <x:c r="C1714" s="28"/>
      <x:c r="D1714" s="28"/>
      <x:c r="E1714" s="28"/>
      <x:c r="F1714" s="28"/>
      <x:c r="G1714" s="28"/>
      <x:c r="H1714" s="28"/>
      <x:c r="I1714" s="28"/>
      <x:c r="J1714" s="28"/>
      <x:c r="K1714" s="28"/>
      <x:c r="L1714" s="28"/>
      <x:c r="M1714" s="28"/>
      <x:c r="N1714" s="28"/>
      <x:c r="O1714" s="28"/>
      <x:c r="P1714" s="28"/>
      <x:c r="Q1714" s="28"/>
      <x:c r="R1714" s="28"/>
      <x:c r="S1714" s="28"/>
      <x:c r="T1714" s="28"/>
      <x:c r="U1714" s="28"/>
      <x:c r="V1714" s="28"/>
      <x:c r="W1714" s="43" t="n">
        <x:f>--AND(N1714=1,OR(O1714="SUPPORTED",O1714="HALLUCINATION"))</x:f>
        <x:v>0</x:v>
      </x:c>
      <x:c r="X1714" s="43" t="n">
        <x:f>--AND(W1714=1,O1714="HALLUCINATION")</x:f>
        <x:v>0</x:v>
      </x:c>
      <x:c r="Y1714" s="43" t="n">
        <x:f>--AND(Q1714=1,O1714="HALLUCINATION")</x:f>
        <x:v>0</x:v>
      </x:c>
      <x:c r="Z1714" s="43" t="n">
        <x:f>--AND(Y1714=1,R1714=1,S1714=1)</x:f>
        <x:v>0</x:v>
      </x:c>
      <x:c r="AC1714" t="str">
        <x:f>IF(OR(AA1714="",AB1714=""),"",--(AA1714&lt;&gt;AB1714))</x:f>
      </x:c>
      <x:c r="AE1714" t="str">
        <x:f>IF(OR(AA1714="",AB1714=""),"PENDING_HUMAN",IF(AA1714=AB1714,AA1714,IF(AD1714&lt;&gt;"",AD1714,"PENDING_HUMAN")))</x:f>
        <x:v>PENDING_HUMAN</x:v>
      </x:c>
      <x:c r="AF1714" t="n">
        <x:f>--AND(A1714&lt;&gt;"",AA1714&lt;&gt;"",AB1714&lt;&gt;"",OR(AA1714=AB1714,AD1714&lt;&gt;""),IF(AE1714="HALLUCINATION",U1714&lt;&gt;"",TRUE))</x:f>
        <x:v>0</x:v>
      </x:c>
      <x:c r="AG1714" t="n">
        <x:f>--AND(N1714=1,AF1714=1,OR(AE1714="SUPPORTED",AE1714="HALLUCINATION"))</x:f>
        <x:v>0</x:v>
      </x:c>
      <x:c r="AH1714" t="n">
        <x:f>--AND(AG1714=1,AE1714="HALLUCINATION")</x:f>
        <x:v>0</x:v>
      </x:c>
      <x:c r="AI1714" t="n">
        <x:f>--AND(Q1714=1,AF1714=1,AE1714="HALLUCINATION")</x:f>
        <x:v>0</x:v>
      </x:c>
      <x:c r="AJ1714" t="n">
        <x:f>--AND(AI1714=1,R1714=1,S1714=1)</x:f>
        <x:v>0</x:v>
      </x:c>
    </x:row>
    <x:row r="1715">
      <x:c r="A1715" s="28"/>
      <x:c r="B1715" s="28"/>
      <x:c r="C1715" s="28"/>
      <x:c r="D1715" s="28"/>
      <x:c r="E1715" s="28"/>
      <x:c r="F1715" s="28"/>
      <x:c r="G1715" s="28"/>
      <x:c r="H1715" s="28"/>
      <x:c r="I1715" s="28"/>
      <x:c r="J1715" s="28"/>
      <x:c r="K1715" s="28"/>
      <x:c r="L1715" s="28"/>
      <x:c r="M1715" s="28"/>
      <x:c r="N1715" s="28"/>
      <x:c r="O1715" s="28"/>
      <x:c r="P1715" s="28"/>
      <x:c r="Q1715" s="28"/>
      <x:c r="R1715" s="28"/>
      <x:c r="S1715" s="28"/>
      <x:c r="T1715" s="28"/>
      <x:c r="U1715" s="28"/>
      <x:c r="V1715" s="28"/>
      <x:c r="W1715" s="43" t="n">
        <x:f>--AND(N1715=1,OR(O1715="SUPPORTED",O1715="HALLUCINATION"))</x:f>
        <x:v>0</x:v>
      </x:c>
      <x:c r="X1715" s="43" t="n">
        <x:f>--AND(W1715=1,O1715="HALLUCINATION")</x:f>
        <x:v>0</x:v>
      </x:c>
      <x:c r="Y1715" s="43" t="n">
        <x:f>--AND(Q1715=1,O1715="HALLUCINATION")</x:f>
        <x:v>0</x:v>
      </x:c>
      <x:c r="Z1715" s="43" t="n">
        <x:f>--AND(Y1715=1,R1715=1,S1715=1)</x:f>
        <x:v>0</x:v>
      </x:c>
      <x:c r="AC1715" t="str">
        <x:f>IF(OR(AA1715="",AB1715=""),"",--(AA1715&lt;&gt;AB1715))</x:f>
      </x:c>
      <x:c r="AE1715" t="str">
        <x:f>IF(OR(AA1715="",AB1715=""),"PENDING_HUMAN",IF(AA1715=AB1715,AA1715,IF(AD1715&lt;&gt;"",AD1715,"PENDING_HUMAN")))</x:f>
        <x:v>PENDING_HUMAN</x:v>
      </x:c>
      <x:c r="AF1715" t="n">
        <x:f>--AND(A1715&lt;&gt;"",AA1715&lt;&gt;"",AB1715&lt;&gt;"",OR(AA1715=AB1715,AD1715&lt;&gt;""),IF(AE1715="HALLUCINATION",U1715&lt;&gt;"",TRUE))</x:f>
        <x:v>0</x:v>
      </x:c>
      <x:c r="AG1715" t="n">
        <x:f>--AND(N1715=1,AF1715=1,OR(AE1715="SUPPORTED",AE1715="HALLUCINATION"))</x:f>
        <x:v>0</x:v>
      </x:c>
      <x:c r="AH1715" t="n">
        <x:f>--AND(AG1715=1,AE1715="HALLUCINATION")</x:f>
        <x:v>0</x:v>
      </x:c>
      <x:c r="AI1715" t="n">
        <x:f>--AND(Q1715=1,AF1715=1,AE1715="HALLUCINATION")</x:f>
        <x:v>0</x:v>
      </x:c>
      <x:c r="AJ1715" t="n">
        <x:f>--AND(AI1715=1,R1715=1,S1715=1)</x:f>
        <x:v>0</x:v>
      </x:c>
    </x:row>
    <x:row r="1716">
      <x:c r="A1716" s="28"/>
      <x:c r="B1716" s="28"/>
      <x:c r="C1716" s="28"/>
      <x:c r="D1716" s="28"/>
      <x:c r="E1716" s="28"/>
      <x:c r="F1716" s="28"/>
      <x:c r="G1716" s="28"/>
      <x:c r="H1716" s="28"/>
      <x:c r="I1716" s="28"/>
      <x:c r="J1716" s="28"/>
      <x:c r="K1716" s="28"/>
      <x:c r="L1716" s="28"/>
      <x:c r="M1716" s="28"/>
      <x:c r="N1716" s="28"/>
      <x:c r="O1716" s="28"/>
      <x:c r="P1716" s="28"/>
      <x:c r="Q1716" s="28"/>
      <x:c r="R1716" s="28"/>
      <x:c r="S1716" s="28"/>
      <x:c r="T1716" s="28"/>
      <x:c r="U1716" s="28"/>
      <x:c r="V1716" s="28"/>
      <x:c r="W1716" s="43" t="n">
        <x:f>--AND(N1716=1,OR(O1716="SUPPORTED",O1716="HALLUCINATION"))</x:f>
        <x:v>0</x:v>
      </x:c>
      <x:c r="X1716" s="43" t="n">
        <x:f>--AND(W1716=1,O1716="HALLUCINATION")</x:f>
        <x:v>0</x:v>
      </x:c>
      <x:c r="Y1716" s="43" t="n">
        <x:f>--AND(Q1716=1,O1716="HALLUCINATION")</x:f>
        <x:v>0</x:v>
      </x:c>
      <x:c r="Z1716" s="43" t="n">
        <x:f>--AND(Y1716=1,R1716=1,S1716=1)</x:f>
        <x:v>0</x:v>
      </x:c>
      <x:c r="AC1716" t="str">
        <x:f>IF(OR(AA1716="",AB1716=""),"",--(AA1716&lt;&gt;AB1716))</x:f>
      </x:c>
      <x:c r="AE1716" t="str">
        <x:f>IF(OR(AA1716="",AB1716=""),"PENDING_HUMAN",IF(AA1716=AB1716,AA1716,IF(AD1716&lt;&gt;"",AD1716,"PENDING_HUMAN")))</x:f>
        <x:v>PENDING_HUMAN</x:v>
      </x:c>
      <x:c r="AF1716" t="n">
        <x:f>--AND(A1716&lt;&gt;"",AA1716&lt;&gt;"",AB1716&lt;&gt;"",OR(AA1716=AB1716,AD1716&lt;&gt;""),IF(AE1716="HALLUCINATION",U1716&lt;&gt;"",TRUE))</x:f>
        <x:v>0</x:v>
      </x:c>
      <x:c r="AG1716" t="n">
        <x:f>--AND(N1716=1,AF1716=1,OR(AE1716="SUPPORTED",AE1716="HALLUCINATION"))</x:f>
        <x:v>0</x:v>
      </x:c>
      <x:c r="AH1716" t="n">
        <x:f>--AND(AG1716=1,AE1716="HALLUCINATION")</x:f>
        <x:v>0</x:v>
      </x:c>
      <x:c r="AI1716" t="n">
        <x:f>--AND(Q1716=1,AF1716=1,AE1716="HALLUCINATION")</x:f>
        <x:v>0</x:v>
      </x:c>
      <x:c r="AJ1716" t="n">
        <x:f>--AND(AI1716=1,R1716=1,S1716=1)</x:f>
        <x:v>0</x:v>
      </x:c>
    </x:row>
    <x:row r="1717">
      <x:c r="A1717" s="28"/>
      <x:c r="B1717" s="28"/>
      <x:c r="C1717" s="28"/>
      <x:c r="D1717" s="28"/>
      <x:c r="E1717" s="28"/>
      <x:c r="F1717" s="28"/>
      <x:c r="G1717" s="28"/>
      <x:c r="H1717" s="28"/>
      <x:c r="I1717" s="28"/>
      <x:c r="J1717" s="28"/>
      <x:c r="K1717" s="28"/>
      <x:c r="L1717" s="28"/>
      <x:c r="M1717" s="28"/>
      <x:c r="N1717" s="28"/>
      <x:c r="O1717" s="28"/>
      <x:c r="P1717" s="28"/>
      <x:c r="Q1717" s="28"/>
      <x:c r="R1717" s="28"/>
      <x:c r="S1717" s="28"/>
      <x:c r="T1717" s="28"/>
      <x:c r="U1717" s="28"/>
      <x:c r="V1717" s="28"/>
      <x:c r="W1717" s="43" t="n">
        <x:f>--AND(N1717=1,OR(O1717="SUPPORTED",O1717="HALLUCINATION"))</x:f>
        <x:v>0</x:v>
      </x:c>
      <x:c r="X1717" s="43" t="n">
        <x:f>--AND(W1717=1,O1717="HALLUCINATION")</x:f>
        <x:v>0</x:v>
      </x:c>
      <x:c r="Y1717" s="43" t="n">
        <x:f>--AND(Q1717=1,O1717="HALLUCINATION")</x:f>
        <x:v>0</x:v>
      </x:c>
      <x:c r="Z1717" s="43" t="n">
        <x:f>--AND(Y1717=1,R1717=1,S1717=1)</x:f>
        <x:v>0</x:v>
      </x:c>
      <x:c r="AC1717" t="str">
        <x:f>IF(OR(AA1717="",AB1717=""),"",--(AA1717&lt;&gt;AB1717))</x:f>
      </x:c>
      <x:c r="AE1717" t="str">
        <x:f>IF(OR(AA1717="",AB1717=""),"PENDING_HUMAN",IF(AA1717=AB1717,AA1717,IF(AD1717&lt;&gt;"",AD1717,"PENDING_HUMAN")))</x:f>
        <x:v>PENDING_HUMAN</x:v>
      </x:c>
      <x:c r="AF1717" t="n">
        <x:f>--AND(A1717&lt;&gt;"",AA1717&lt;&gt;"",AB1717&lt;&gt;"",OR(AA1717=AB1717,AD1717&lt;&gt;""),IF(AE1717="HALLUCINATION",U1717&lt;&gt;"",TRUE))</x:f>
        <x:v>0</x:v>
      </x:c>
      <x:c r="AG1717" t="n">
        <x:f>--AND(N1717=1,AF1717=1,OR(AE1717="SUPPORTED",AE1717="HALLUCINATION"))</x:f>
        <x:v>0</x:v>
      </x:c>
      <x:c r="AH1717" t="n">
        <x:f>--AND(AG1717=1,AE1717="HALLUCINATION")</x:f>
        <x:v>0</x:v>
      </x:c>
      <x:c r="AI1717" t="n">
        <x:f>--AND(Q1717=1,AF1717=1,AE1717="HALLUCINATION")</x:f>
        <x:v>0</x:v>
      </x:c>
      <x:c r="AJ1717" t="n">
        <x:f>--AND(AI1717=1,R1717=1,S1717=1)</x:f>
        <x:v>0</x:v>
      </x:c>
    </x:row>
    <x:row r="1718">
      <x:c r="A1718" s="28"/>
      <x:c r="B1718" s="28"/>
      <x:c r="C1718" s="28"/>
      <x:c r="D1718" s="28"/>
      <x:c r="E1718" s="28"/>
      <x:c r="F1718" s="28"/>
      <x:c r="G1718" s="28"/>
      <x:c r="H1718" s="28"/>
      <x:c r="I1718" s="28"/>
      <x:c r="J1718" s="28"/>
      <x:c r="K1718" s="28"/>
      <x:c r="L1718" s="28"/>
      <x:c r="M1718" s="28"/>
      <x:c r="N1718" s="28"/>
      <x:c r="O1718" s="28"/>
      <x:c r="P1718" s="28"/>
      <x:c r="Q1718" s="28"/>
      <x:c r="R1718" s="28"/>
      <x:c r="S1718" s="28"/>
      <x:c r="T1718" s="28"/>
      <x:c r="U1718" s="28"/>
      <x:c r="V1718" s="28"/>
      <x:c r="W1718" s="43" t="n">
        <x:f>--AND(N1718=1,OR(O1718="SUPPORTED",O1718="HALLUCINATION"))</x:f>
        <x:v>0</x:v>
      </x:c>
      <x:c r="X1718" s="43" t="n">
        <x:f>--AND(W1718=1,O1718="HALLUCINATION")</x:f>
        <x:v>0</x:v>
      </x:c>
      <x:c r="Y1718" s="43" t="n">
        <x:f>--AND(Q1718=1,O1718="HALLUCINATION")</x:f>
        <x:v>0</x:v>
      </x:c>
      <x:c r="Z1718" s="43" t="n">
        <x:f>--AND(Y1718=1,R1718=1,S1718=1)</x:f>
        <x:v>0</x:v>
      </x:c>
      <x:c r="AC1718" t="str">
        <x:f>IF(OR(AA1718="",AB1718=""),"",--(AA1718&lt;&gt;AB1718))</x:f>
      </x:c>
      <x:c r="AE1718" t="str">
        <x:f>IF(OR(AA1718="",AB1718=""),"PENDING_HUMAN",IF(AA1718=AB1718,AA1718,IF(AD1718&lt;&gt;"",AD1718,"PENDING_HUMAN")))</x:f>
        <x:v>PENDING_HUMAN</x:v>
      </x:c>
      <x:c r="AF1718" t="n">
        <x:f>--AND(A1718&lt;&gt;"",AA1718&lt;&gt;"",AB1718&lt;&gt;"",OR(AA1718=AB1718,AD1718&lt;&gt;""),IF(AE1718="HALLUCINATION",U1718&lt;&gt;"",TRUE))</x:f>
        <x:v>0</x:v>
      </x:c>
      <x:c r="AG1718" t="n">
        <x:f>--AND(N1718=1,AF1718=1,OR(AE1718="SUPPORTED",AE1718="HALLUCINATION"))</x:f>
        <x:v>0</x:v>
      </x:c>
      <x:c r="AH1718" t="n">
        <x:f>--AND(AG1718=1,AE1718="HALLUCINATION")</x:f>
        <x:v>0</x:v>
      </x:c>
      <x:c r="AI1718" t="n">
        <x:f>--AND(Q1718=1,AF1718=1,AE1718="HALLUCINATION")</x:f>
        <x:v>0</x:v>
      </x:c>
      <x:c r="AJ1718" t="n">
        <x:f>--AND(AI1718=1,R1718=1,S1718=1)</x:f>
        <x:v>0</x:v>
      </x:c>
    </x:row>
    <x:row r="1719">
      <x:c r="A1719" s="28"/>
      <x:c r="B1719" s="28"/>
      <x:c r="C1719" s="28"/>
      <x:c r="D1719" s="28"/>
      <x:c r="E1719" s="28"/>
      <x:c r="F1719" s="28"/>
      <x:c r="G1719" s="28"/>
      <x:c r="H1719" s="28"/>
      <x:c r="I1719" s="28"/>
      <x:c r="J1719" s="28"/>
      <x:c r="K1719" s="28"/>
      <x:c r="L1719" s="28"/>
      <x:c r="M1719" s="28"/>
      <x:c r="N1719" s="28"/>
      <x:c r="O1719" s="28"/>
      <x:c r="P1719" s="28"/>
      <x:c r="Q1719" s="28"/>
      <x:c r="R1719" s="28"/>
      <x:c r="S1719" s="28"/>
      <x:c r="T1719" s="28"/>
      <x:c r="U1719" s="28"/>
      <x:c r="V1719" s="28"/>
      <x:c r="W1719" s="43" t="n">
        <x:f>--AND(N1719=1,OR(O1719="SUPPORTED",O1719="HALLUCINATION"))</x:f>
        <x:v>0</x:v>
      </x:c>
      <x:c r="X1719" s="43" t="n">
        <x:f>--AND(W1719=1,O1719="HALLUCINATION")</x:f>
        <x:v>0</x:v>
      </x:c>
      <x:c r="Y1719" s="43" t="n">
        <x:f>--AND(Q1719=1,O1719="HALLUCINATION")</x:f>
        <x:v>0</x:v>
      </x:c>
      <x:c r="Z1719" s="43" t="n">
        <x:f>--AND(Y1719=1,R1719=1,S1719=1)</x:f>
        <x:v>0</x:v>
      </x:c>
      <x:c r="AC1719" t="str">
        <x:f>IF(OR(AA1719="",AB1719=""),"",--(AA1719&lt;&gt;AB1719))</x:f>
      </x:c>
      <x:c r="AE1719" t="str">
        <x:f>IF(OR(AA1719="",AB1719=""),"PENDING_HUMAN",IF(AA1719=AB1719,AA1719,IF(AD1719&lt;&gt;"",AD1719,"PENDING_HUMAN")))</x:f>
        <x:v>PENDING_HUMAN</x:v>
      </x:c>
      <x:c r="AF1719" t="n">
        <x:f>--AND(A1719&lt;&gt;"",AA1719&lt;&gt;"",AB1719&lt;&gt;"",OR(AA1719=AB1719,AD1719&lt;&gt;""),IF(AE1719="HALLUCINATION",U1719&lt;&gt;"",TRUE))</x:f>
        <x:v>0</x:v>
      </x:c>
      <x:c r="AG1719" t="n">
        <x:f>--AND(N1719=1,AF1719=1,OR(AE1719="SUPPORTED",AE1719="HALLUCINATION"))</x:f>
        <x:v>0</x:v>
      </x:c>
      <x:c r="AH1719" t="n">
        <x:f>--AND(AG1719=1,AE1719="HALLUCINATION")</x:f>
        <x:v>0</x:v>
      </x:c>
      <x:c r="AI1719" t="n">
        <x:f>--AND(Q1719=1,AF1719=1,AE1719="HALLUCINATION")</x:f>
        <x:v>0</x:v>
      </x:c>
      <x:c r="AJ1719" t="n">
        <x:f>--AND(AI1719=1,R1719=1,S1719=1)</x:f>
        <x:v>0</x:v>
      </x:c>
    </x:row>
    <x:row r="1720">
      <x:c r="A1720" s="28"/>
      <x:c r="B1720" s="28"/>
      <x:c r="C1720" s="28"/>
      <x:c r="D1720" s="28"/>
      <x:c r="E1720" s="28"/>
      <x:c r="F1720" s="28"/>
      <x:c r="G1720" s="28"/>
      <x:c r="H1720" s="28"/>
      <x:c r="I1720" s="28"/>
      <x:c r="J1720" s="28"/>
      <x:c r="K1720" s="28"/>
      <x:c r="L1720" s="28"/>
      <x:c r="M1720" s="28"/>
      <x:c r="N1720" s="28"/>
      <x:c r="O1720" s="28"/>
      <x:c r="P1720" s="28"/>
      <x:c r="Q1720" s="28"/>
      <x:c r="R1720" s="28"/>
      <x:c r="S1720" s="28"/>
      <x:c r="T1720" s="28"/>
      <x:c r="U1720" s="28"/>
      <x:c r="V1720" s="28"/>
      <x:c r="W1720" s="43" t="n">
        <x:f>--AND(N1720=1,OR(O1720="SUPPORTED",O1720="HALLUCINATION"))</x:f>
        <x:v>0</x:v>
      </x:c>
      <x:c r="X1720" s="43" t="n">
        <x:f>--AND(W1720=1,O1720="HALLUCINATION")</x:f>
        <x:v>0</x:v>
      </x:c>
      <x:c r="Y1720" s="43" t="n">
        <x:f>--AND(Q1720=1,O1720="HALLUCINATION")</x:f>
        <x:v>0</x:v>
      </x:c>
      <x:c r="Z1720" s="43" t="n">
        <x:f>--AND(Y1720=1,R1720=1,S1720=1)</x:f>
        <x:v>0</x:v>
      </x:c>
      <x:c r="AC1720" t="str">
        <x:f>IF(OR(AA1720="",AB1720=""),"",--(AA1720&lt;&gt;AB1720))</x:f>
      </x:c>
      <x:c r="AE1720" t="str">
        <x:f>IF(OR(AA1720="",AB1720=""),"PENDING_HUMAN",IF(AA1720=AB1720,AA1720,IF(AD1720&lt;&gt;"",AD1720,"PENDING_HUMAN")))</x:f>
        <x:v>PENDING_HUMAN</x:v>
      </x:c>
      <x:c r="AF1720" t="n">
        <x:f>--AND(A1720&lt;&gt;"",AA1720&lt;&gt;"",AB1720&lt;&gt;"",OR(AA1720=AB1720,AD1720&lt;&gt;""),IF(AE1720="HALLUCINATION",U1720&lt;&gt;"",TRUE))</x:f>
        <x:v>0</x:v>
      </x:c>
      <x:c r="AG1720" t="n">
        <x:f>--AND(N1720=1,AF1720=1,OR(AE1720="SUPPORTED",AE1720="HALLUCINATION"))</x:f>
        <x:v>0</x:v>
      </x:c>
      <x:c r="AH1720" t="n">
        <x:f>--AND(AG1720=1,AE1720="HALLUCINATION")</x:f>
        <x:v>0</x:v>
      </x:c>
      <x:c r="AI1720" t="n">
        <x:f>--AND(Q1720=1,AF1720=1,AE1720="HALLUCINATION")</x:f>
        <x:v>0</x:v>
      </x:c>
      <x:c r="AJ1720" t="n">
        <x:f>--AND(AI1720=1,R1720=1,S1720=1)</x:f>
        <x:v>0</x:v>
      </x:c>
    </x:row>
    <x:row r="1721">
      <x:c r="A1721" s="28"/>
      <x:c r="B1721" s="28"/>
      <x:c r="C1721" s="28"/>
      <x:c r="D1721" s="28"/>
      <x:c r="E1721" s="28"/>
      <x:c r="F1721" s="28"/>
      <x:c r="G1721" s="28"/>
      <x:c r="H1721" s="28"/>
      <x:c r="I1721" s="28"/>
      <x:c r="J1721" s="28"/>
      <x:c r="K1721" s="28"/>
      <x:c r="L1721" s="28"/>
      <x:c r="M1721" s="28"/>
      <x:c r="N1721" s="28"/>
      <x:c r="O1721" s="28"/>
      <x:c r="P1721" s="28"/>
      <x:c r="Q1721" s="28"/>
      <x:c r="R1721" s="28"/>
      <x:c r="S1721" s="28"/>
      <x:c r="T1721" s="28"/>
      <x:c r="U1721" s="28"/>
      <x:c r="V1721" s="28"/>
      <x:c r="W1721" s="43" t="n">
        <x:f>--AND(N1721=1,OR(O1721="SUPPORTED",O1721="HALLUCINATION"))</x:f>
        <x:v>0</x:v>
      </x:c>
      <x:c r="X1721" s="43" t="n">
        <x:f>--AND(W1721=1,O1721="HALLUCINATION")</x:f>
        <x:v>0</x:v>
      </x:c>
      <x:c r="Y1721" s="43" t="n">
        <x:f>--AND(Q1721=1,O1721="HALLUCINATION")</x:f>
        <x:v>0</x:v>
      </x:c>
      <x:c r="Z1721" s="43" t="n">
        <x:f>--AND(Y1721=1,R1721=1,S1721=1)</x:f>
        <x:v>0</x:v>
      </x:c>
      <x:c r="AC1721" t="str">
        <x:f>IF(OR(AA1721="",AB1721=""),"",--(AA1721&lt;&gt;AB1721))</x:f>
      </x:c>
      <x:c r="AE1721" t="str">
        <x:f>IF(OR(AA1721="",AB1721=""),"PENDING_HUMAN",IF(AA1721=AB1721,AA1721,IF(AD1721&lt;&gt;"",AD1721,"PENDING_HUMAN")))</x:f>
        <x:v>PENDING_HUMAN</x:v>
      </x:c>
      <x:c r="AF1721" t="n">
        <x:f>--AND(A1721&lt;&gt;"",AA1721&lt;&gt;"",AB1721&lt;&gt;"",OR(AA1721=AB1721,AD1721&lt;&gt;""),IF(AE1721="HALLUCINATION",U1721&lt;&gt;"",TRUE))</x:f>
        <x:v>0</x:v>
      </x:c>
      <x:c r="AG1721" t="n">
        <x:f>--AND(N1721=1,AF1721=1,OR(AE1721="SUPPORTED",AE1721="HALLUCINATION"))</x:f>
        <x:v>0</x:v>
      </x:c>
      <x:c r="AH1721" t="n">
        <x:f>--AND(AG1721=1,AE1721="HALLUCINATION")</x:f>
        <x:v>0</x:v>
      </x:c>
      <x:c r="AI1721" t="n">
        <x:f>--AND(Q1721=1,AF1721=1,AE1721="HALLUCINATION")</x:f>
        <x:v>0</x:v>
      </x:c>
      <x:c r="AJ1721" t="n">
        <x:f>--AND(AI1721=1,R1721=1,S1721=1)</x:f>
        <x:v>0</x:v>
      </x:c>
    </x:row>
    <x:row r="1722">
      <x:c r="A1722" s="28"/>
      <x:c r="B1722" s="28"/>
      <x:c r="C1722" s="28"/>
      <x:c r="D1722" s="28"/>
      <x:c r="E1722" s="28"/>
      <x:c r="F1722" s="28"/>
      <x:c r="G1722" s="28"/>
      <x:c r="H1722" s="28"/>
      <x:c r="I1722" s="28"/>
      <x:c r="J1722" s="28"/>
      <x:c r="K1722" s="28"/>
      <x:c r="L1722" s="28"/>
      <x:c r="M1722" s="28"/>
      <x:c r="N1722" s="28"/>
      <x:c r="O1722" s="28"/>
      <x:c r="P1722" s="28"/>
      <x:c r="Q1722" s="28"/>
      <x:c r="R1722" s="28"/>
      <x:c r="S1722" s="28"/>
      <x:c r="T1722" s="28"/>
      <x:c r="U1722" s="28"/>
      <x:c r="V1722" s="28"/>
      <x:c r="W1722" s="43" t="n">
        <x:f>--AND(N1722=1,OR(O1722="SUPPORTED",O1722="HALLUCINATION"))</x:f>
        <x:v>0</x:v>
      </x:c>
      <x:c r="X1722" s="43" t="n">
        <x:f>--AND(W1722=1,O1722="HALLUCINATION")</x:f>
        <x:v>0</x:v>
      </x:c>
      <x:c r="Y1722" s="43" t="n">
        <x:f>--AND(Q1722=1,O1722="HALLUCINATION")</x:f>
        <x:v>0</x:v>
      </x:c>
      <x:c r="Z1722" s="43" t="n">
        <x:f>--AND(Y1722=1,R1722=1,S1722=1)</x:f>
        <x:v>0</x:v>
      </x:c>
      <x:c r="AC1722" t="str">
        <x:f>IF(OR(AA1722="",AB1722=""),"",--(AA1722&lt;&gt;AB1722))</x:f>
      </x:c>
      <x:c r="AE1722" t="str">
        <x:f>IF(OR(AA1722="",AB1722=""),"PENDING_HUMAN",IF(AA1722=AB1722,AA1722,IF(AD1722&lt;&gt;"",AD1722,"PENDING_HUMAN")))</x:f>
        <x:v>PENDING_HUMAN</x:v>
      </x:c>
      <x:c r="AF1722" t="n">
        <x:f>--AND(A1722&lt;&gt;"",AA1722&lt;&gt;"",AB1722&lt;&gt;"",OR(AA1722=AB1722,AD1722&lt;&gt;""),IF(AE1722="HALLUCINATION",U1722&lt;&gt;"",TRUE))</x:f>
        <x:v>0</x:v>
      </x:c>
      <x:c r="AG1722" t="n">
        <x:f>--AND(N1722=1,AF1722=1,OR(AE1722="SUPPORTED",AE1722="HALLUCINATION"))</x:f>
        <x:v>0</x:v>
      </x:c>
      <x:c r="AH1722" t="n">
        <x:f>--AND(AG1722=1,AE1722="HALLUCINATION")</x:f>
        <x:v>0</x:v>
      </x:c>
      <x:c r="AI1722" t="n">
        <x:f>--AND(Q1722=1,AF1722=1,AE1722="HALLUCINATION")</x:f>
        <x:v>0</x:v>
      </x:c>
      <x:c r="AJ1722" t="n">
        <x:f>--AND(AI1722=1,R1722=1,S1722=1)</x:f>
        <x:v>0</x:v>
      </x:c>
    </x:row>
    <x:row r="1723">
      <x:c r="A1723" s="28"/>
      <x:c r="B1723" s="28"/>
      <x:c r="C1723" s="28"/>
      <x:c r="D1723" s="28"/>
      <x:c r="E1723" s="28"/>
      <x:c r="F1723" s="28"/>
      <x:c r="G1723" s="28"/>
      <x:c r="H1723" s="28"/>
      <x:c r="I1723" s="28"/>
      <x:c r="J1723" s="28"/>
      <x:c r="K1723" s="28"/>
      <x:c r="L1723" s="28"/>
      <x:c r="M1723" s="28"/>
      <x:c r="N1723" s="28"/>
      <x:c r="O1723" s="28"/>
      <x:c r="P1723" s="28"/>
      <x:c r="Q1723" s="28"/>
      <x:c r="R1723" s="28"/>
      <x:c r="S1723" s="28"/>
      <x:c r="T1723" s="28"/>
      <x:c r="U1723" s="28"/>
      <x:c r="V1723" s="28"/>
      <x:c r="W1723" s="43" t="n">
        <x:f>--AND(N1723=1,OR(O1723="SUPPORTED",O1723="HALLUCINATION"))</x:f>
        <x:v>0</x:v>
      </x:c>
      <x:c r="X1723" s="43" t="n">
        <x:f>--AND(W1723=1,O1723="HALLUCINATION")</x:f>
        <x:v>0</x:v>
      </x:c>
      <x:c r="Y1723" s="43" t="n">
        <x:f>--AND(Q1723=1,O1723="HALLUCINATION")</x:f>
        <x:v>0</x:v>
      </x:c>
      <x:c r="Z1723" s="43" t="n">
        <x:f>--AND(Y1723=1,R1723=1,S1723=1)</x:f>
        <x:v>0</x:v>
      </x:c>
      <x:c r="AC1723" t="str">
        <x:f>IF(OR(AA1723="",AB1723=""),"",--(AA1723&lt;&gt;AB1723))</x:f>
      </x:c>
      <x:c r="AE1723" t="str">
        <x:f>IF(OR(AA1723="",AB1723=""),"PENDING_HUMAN",IF(AA1723=AB1723,AA1723,IF(AD1723&lt;&gt;"",AD1723,"PENDING_HUMAN")))</x:f>
        <x:v>PENDING_HUMAN</x:v>
      </x:c>
      <x:c r="AF1723" t="n">
        <x:f>--AND(A1723&lt;&gt;"",AA1723&lt;&gt;"",AB1723&lt;&gt;"",OR(AA1723=AB1723,AD1723&lt;&gt;""),IF(AE1723="HALLUCINATION",U1723&lt;&gt;"",TRUE))</x:f>
        <x:v>0</x:v>
      </x:c>
      <x:c r="AG1723" t="n">
        <x:f>--AND(N1723=1,AF1723=1,OR(AE1723="SUPPORTED",AE1723="HALLUCINATION"))</x:f>
        <x:v>0</x:v>
      </x:c>
      <x:c r="AH1723" t="n">
        <x:f>--AND(AG1723=1,AE1723="HALLUCINATION")</x:f>
        <x:v>0</x:v>
      </x:c>
      <x:c r="AI1723" t="n">
        <x:f>--AND(Q1723=1,AF1723=1,AE1723="HALLUCINATION")</x:f>
        <x:v>0</x:v>
      </x:c>
      <x:c r="AJ1723" t="n">
        <x:f>--AND(AI1723=1,R1723=1,S1723=1)</x:f>
        <x:v>0</x:v>
      </x:c>
    </x:row>
    <x:row r="1724">
      <x:c r="A1724" s="28"/>
      <x:c r="B1724" s="28"/>
      <x:c r="C1724" s="28"/>
      <x:c r="D1724" s="28"/>
      <x:c r="E1724" s="28"/>
      <x:c r="F1724" s="28"/>
      <x:c r="G1724" s="28"/>
      <x:c r="H1724" s="28"/>
      <x:c r="I1724" s="28"/>
      <x:c r="J1724" s="28"/>
      <x:c r="K1724" s="28"/>
      <x:c r="L1724" s="28"/>
      <x:c r="M1724" s="28"/>
      <x:c r="N1724" s="28"/>
      <x:c r="O1724" s="28"/>
      <x:c r="P1724" s="28"/>
      <x:c r="Q1724" s="28"/>
      <x:c r="R1724" s="28"/>
      <x:c r="S1724" s="28"/>
      <x:c r="T1724" s="28"/>
      <x:c r="U1724" s="28"/>
      <x:c r="V1724" s="28"/>
      <x:c r="W1724" s="43" t="n">
        <x:f>--AND(N1724=1,OR(O1724="SUPPORTED",O1724="HALLUCINATION"))</x:f>
        <x:v>0</x:v>
      </x:c>
      <x:c r="X1724" s="43" t="n">
        <x:f>--AND(W1724=1,O1724="HALLUCINATION")</x:f>
        <x:v>0</x:v>
      </x:c>
      <x:c r="Y1724" s="43" t="n">
        <x:f>--AND(Q1724=1,O1724="HALLUCINATION")</x:f>
        <x:v>0</x:v>
      </x:c>
      <x:c r="Z1724" s="43" t="n">
        <x:f>--AND(Y1724=1,R1724=1,S1724=1)</x:f>
        <x:v>0</x:v>
      </x:c>
      <x:c r="AC1724" t="str">
        <x:f>IF(OR(AA1724="",AB1724=""),"",--(AA1724&lt;&gt;AB1724))</x:f>
      </x:c>
      <x:c r="AE1724" t="str">
        <x:f>IF(OR(AA1724="",AB1724=""),"PENDING_HUMAN",IF(AA1724=AB1724,AA1724,IF(AD1724&lt;&gt;"",AD1724,"PENDING_HUMAN")))</x:f>
        <x:v>PENDING_HUMAN</x:v>
      </x:c>
      <x:c r="AF1724" t="n">
        <x:f>--AND(A1724&lt;&gt;"",AA1724&lt;&gt;"",AB1724&lt;&gt;"",OR(AA1724=AB1724,AD1724&lt;&gt;""),IF(AE1724="HALLUCINATION",U1724&lt;&gt;"",TRUE))</x:f>
        <x:v>0</x:v>
      </x:c>
      <x:c r="AG1724" t="n">
        <x:f>--AND(N1724=1,AF1724=1,OR(AE1724="SUPPORTED",AE1724="HALLUCINATION"))</x:f>
        <x:v>0</x:v>
      </x:c>
      <x:c r="AH1724" t="n">
        <x:f>--AND(AG1724=1,AE1724="HALLUCINATION")</x:f>
        <x:v>0</x:v>
      </x:c>
      <x:c r="AI1724" t="n">
        <x:f>--AND(Q1724=1,AF1724=1,AE1724="HALLUCINATION")</x:f>
        <x:v>0</x:v>
      </x:c>
      <x:c r="AJ1724" t="n">
        <x:f>--AND(AI1724=1,R1724=1,S1724=1)</x:f>
        <x:v>0</x:v>
      </x:c>
    </x:row>
    <x:row r="1725">
      <x:c r="A1725" s="28"/>
      <x:c r="B1725" s="28"/>
      <x:c r="C1725" s="28"/>
      <x:c r="D1725" s="28"/>
      <x:c r="E1725" s="28"/>
      <x:c r="F1725" s="28"/>
      <x:c r="G1725" s="28"/>
      <x:c r="H1725" s="28"/>
      <x:c r="I1725" s="28"/>
      <x:c r="J1725" s="28"/>
      <x:c r="K1725" s="28"/>
      <x:c r="L1725" s="28"/>
      <x:c r="M1725" s="28"/>
      <x:c r="N1725" s="28"/>
      <x:c r="O1725" s="28"/>
      <x:c r="P1725" s="28"/>
      <x:c r="Q1725" s="28"/>
      <x:c r="R1725" s="28"/>
      <x:c r="S1725" s="28"/>
      <x:c r="T1725" s="28"/>
      <x:c r="U1725" s="28"/>
      <x:c r="V1725" s="28"/>
      <x:c r="W1725" s="43" t="n">
        <x:f>--AND(N1725=1,OR(O1725="SUPPORTED",O1725="HALLUCINATION"))</x:f>
        <x:v>0</x:v>
      </x:c>
      <x:c r="X1725" s="43" t="n">
        <x:f>--AND(W1725=1,O1725="HALLUCINATION")</x:f>
        <x:v>0</x:v>
      </x:c>
      <x:c r="Y1725" s="43" t="n">
        <x:f>--AND(Q1725=1,O1725="HALLUCINATION")</x:f>
        <x:v>0</x:v>
      </x:c>
      <x:c r="Z1725" s="43" t="n">
        <x:f>--AND(Y1725=1,R1725=1,S1725=1)</x:f>
        <x:v>0</x:v>
      </x:c>
      <x:c r="AC1725" t="str">
        <x:f>IF(OR(AA1725="",AB1725=""),"",--(AA1725&lt;&gt;AB1725))</x:f>
      </x:c>
      <x:c r="AE1725" t="str">
        <x:f>IF(OR(AA1725="",AB1725=""),"PENDING_HUMAN",IF(AA1725=AB1725,AA1725,IF(AD1725&lt;&gt;"",AD1725,"PENDING_HUMAN")))</x:f>
        <x:v>PENDING_HUMAN</x:v>
      </x:c>
      <x:c r="AF1725" t="n">
        <x:f>--AND(A1725&lt;&gt;"",AA1725&lt;&gt;"",AB1725&lt;&gt;"",OR(AA1725=AB1725,AD1725&lt;&gt;""),IF(AE1725="HALLUCINATION",U1725&lt;&gt;"",TRUE))</x:f>
        <x:v>0</x:v>
      </x:c>
      <x:c r="AG1725" t="n">
        <x:f>--AND(N1725=1,AF1725=1,OR(AE1725="SUPPORTED",AE1725="HALLUCINATION"))</x:f>
        <x:v>0</x:v>
      </x:c>
      <x:c r="AH1725" t="n">
        <x:f>--AND(AG1725=1,AE1725="HALLUCINATION")</x:f>
        <x:v>0</x:v>
      </x:c>
      <x:c r="AI1725" t="n">
        <x:f>--AND(Q1725=1,AF1725=1,AE1725="HALLUCINATION")</x:f>
        <x:v>0</x:v>
      </x:c>
      <x:c r="AJ1725" t="n">
        <x:f>--AND(AI1725=1,R1725=1,S1725=1)</x:f>
        <x:v>0</x:v>
      </x:c>
    </x:row>
    <x:row r="1726">
      <x:c r="A1726" s="28"/>
      <x:c r="B1726" s="28"/>
      <x:c r="C1726" s="28"/>
      <x:c r="D1726" s="28"/>
      <x:c r="E1726" s="28"/>
      <x:c r="F1726" s="28"/>
      <x:c r="G1726" s="28"/>
      <x:c r="H1726" s="28"/>
      <x:c r="I1726" s="28"/>
      <x:c r="J1726" s="28"/>
      <x:c r="K1726" s="28"/>
      <x:c r="L1726" s="28"/>
      <x:c r="M1726" s="28"/>
      <x:c r="N1726" s="28"/>
      <x:c r="O1726" s="28"/>
      <x:c r="P1726" s="28"/>
      <x:c r="Q1726" s="28"/>
      <x:c r="R1726" s="28"/>
      <x:c r="S1726" s="28"/>
      <x:c r="T1726" s="28"/>
      <x:c r="U1726" s="28"/>
      <x:c r="V1726" s="28"/>
      <x:c r="W1726" s="43" t="n">
        <x:f>--AND(N1726=1,OR(O1726="SUPPORTED",O1726="HALLUCINATION"))</x:f>
        <x:v>0</x:v>
      </x:c>
      <x:c r="X1726" s="43" t="n">
        <x:f>--AND(W1726=1,O1726="HALLUCINATION")</x:f>
        <x:v>0</x:v>
      </x:c>
      <x:c r="Y1726" s="43" t="n">
        <x:f>--AND(Q1726=1,O1726="HALLUCINATION")</x:f>
        <x:v>0</x:v>
      </x:c>
      <x:c r="Z1726" s="43" t="n">
        <x:f>--AND(Y1726=1,R1726=1,S1726=1)</x:f>
        <x:v>0</x:v>
      </x:c>
      <x:c r="AC1726" t="str">
        <x:f>IF(OR(AA1726="",AB1726=""),"",--(AA1726&lt;&gt;AB1726))</x:f>
      </x:c>
      <x:c r="AE1726" t="str">
        <x:f>IF(OR(AA1726="",AB1726=""),"PENDING_HUMAN",IF(AA1726=AB1726,AA1726,IF(AD1726&lt;&gt;"",AD1726,"PENDING_HUMAN")))</x:f>
        <x:v>PENDING_HUMAN</x:v>
      </x:c>
      <x:c r="AF1726" t="n">
        <x:f>--AND(A1726&lt;&gt;"",AA1726&lt;&gt;"",AB1726&lt;&gt;"",OR(AA1726=AB1726,AD1726&lt;&gt;""),IF(AE1726="HALLUCINATION",U1726&lt;&gt;"",TRUE))</x:f>
        <x:v>0</x:v>
      </x:c>
      <x:c r="AG1726" t="n">
        <x:f>--AND(N1726=1,AF1726=1,OR(AE1726="SUPPORTED",AE1726="HALLUCINATION"))</x:f>
        <x:v>0</x:v>
      </x:c>
      <x:c r="AH1726" t="n">
        <x:f>--AND(AG1726=1,AE1726="HALLUCINATION")</x:f>
        <x:v>0</x:v>
      </x:c>
      <x:c r="AI1726" t="n">
        <x:f>--AND(Q1726=1,AF1726=1,AE1726="HALLUCINATION")</x:f>
        <x:v>0</x:v>
      </x:c>
      <x:c r="AJ1726" t="n">
        <x:f>--AND(AI1726=1,R1726=1,S1726=1)</x:f>
        <x:v>0</x:v>
      </x:c>
    </x:row>
    <x:row r="1727">
      <x:c r="A1727" s="28"/>
      <x:c r="B1727" s="28"/>
      <x:c r="C1727" s="28"/>
      <x:c r="D1727" s="28"/>
      <x:c r="E1727" s="28"/>
      <x:c r="F1727" s="28"/>
      <x:c r="G1727" s="28"/>
      <x:c r="H1727" s="28"/>
      <x:c r="I1727" s="28"/>
      <x:c r="J1727" s="28"/>
      <x:c r="K1727" s="28"/>
      <x:c r="L1727" s="28"/>
      <x:c r="M1727" s="28"/>
      <x:c r="N1727" s="28"/>
      <x:c r="O1727" s="28"/>
      <x:c r="P1727" s="28"/>
      <x:c r="Q1727" s="28"/>
      <x:c r="R1727" s="28"/>
      <x:c r="S1727" s="28"/>
      <x:c r="T1727" s="28"/>
      <x:c r="U1727" s="28"/>
      <x:c r="V1727" s="28"/>
      <x:c r="W1727" s="43" t="n">
        <x:f>--AND(N1727=1,OR(O1727="SUPPORTED",O1727="HALLUCINATION"))</x:f>
        <x:v>0</x:v>
      </x:c>
      <x:c r="X1727" s="43" t="n">
        <x:f>--AND(W1727=1,O1727="HALLUCINATION")</x:f>
        <x:v>0</x:v>
      </x:c>
      <x:c r="Y1727" s="43" t="n">
        <x:f>--AND(Q1727=1,O1727="HALLUCINATION")</x:f>
        <x:v>0</x:v>
      </x:c>
      <x:c r="Z1727" s="43" t="n">
        <x:f>--AND(Y1727=1,R1727=1,S1727=1)</x:f>
        <x:v>0</x:v>
      </x:c>
      <x:c r="AC1727" t="str">
        <x:f>IF(OR(AA1727="",AB1727=""),"",--(AA1727&lt;&gt;AB1727))</x:f>
      </x:c>
      <x:c r="AE1727" t="str">
        <x:f>IF(OR(AA1727="",AB1727=""),"PENDING_HUMAN",IF(AA1727=AB1727,AA1727,IF(AD1727&lt;&gt;"",AD1727,"PENDING_HUMAN")))</x:f>
        <x:v>PENDING_HUMAN</x:v>
      </x:c>
      <x:c r="AF1727" t="n">
        <x:f>--AND(A1727&lt;&gt;"",AA1727&lt;&gt;"",AB1727&lt;&gt;"",OR(AA1727=AB1727,AD1727&lt;&gt;""),IF(AE1727="HALLUCINATION",U1727&lt;&gt;"",TRUE))</x:f>
        <x:v>0</x:v>
      </x:c>
      <x:c r="AG1727" t="n">
        <x:f>--AND(N1727=1,AF1727=1,OR(AE1727="SUPPORTED",AE1727="HALLUCINATION"))</x:f>
        <x:v>0</x:v>
      </x:c>
      <x:c r="AH1727" t="n">
        <x:f>--AND(AG1727=1,AE1727="HALLUCINATION")</x:f>
        <x:v>0</x:v>
      </x:c>
      <x:c r="AI1727" t="n">
        <x:f>--AND(Q1727=1,AF1727=1,AE1727="HALLUCINATION")</x:f>
        <x:v>0</x:v>
      </x:c>
      <x:c r="AJ1727" t="n">
        <x:f>--AND(AI1727=1,R1727=1,S1727=1)</x:f>
        <x:v>0</x:v>
      </x:c>
    </x:row>
    <x:row r="1728">
      <x:c r="A1728" s="28"/>
      <x:c r="B1728" s="28"/>
      <x:c r="C1728" s="28"/>
      <x:c r="D1728" s="28"/>
      <x:c r="E1728" s="28"/>
      <x:c r="F1728" s="28"/>
      <x:c r="G1728" s="28"/>
      <x:c r="H1728" s="28"/>
      <x:c r="I1728" s="28"/>
      <x:c r="J1728" s="28"/>
      <x:c r="K1728" s="28"/>
      <x:c r="L1728" s="28"/>
      <x:c r="M1728" s="28"/>
      <x:c r="N1728" s="28"/>
      <x:c r="O1728" s="28"/>
      <x:c r="P1728" s="28"/>
      <x:c r="Q1728" s="28"/>
      <x:c r="R1728" s="28"/>
      <x:c r="S1728" s="28"/>
      <x:c r="T1728" s="28"/>
      <x:c r="U1728" s="28"/>
      <x:c r="V1728" s="28"/>
      <x:c r="W1728" s="43" t="n">
        <x:f>--AND(N1728=1,OR(O1728="SUPPORTED",O1728="HALLUCINATION"))</x:f>
        <x:v>0</x:v>
      </x:c>
      <x:c r="X1728" s="43" t="n">
        <x:f>--AND(W1728=1,O1728="HALLUCINATION")</x:f>
        <x:v>0</x:v>
      </x:c>
      <x:c r="Y1728" s="43" t="n">
        <x:f>--AND(Q1728=1,O1728="HALLUCINATION")</x:f>
        <x:v>0</x:v>
      </x:c>
      <x:c r="Z1728" s="43" t="n">
        <x:f>--AND(Y1728=1,R1728=1,S1728=1)</x:f>
        <x:v>0</x:v>
      </x:c>
      <x:c r="AC1728" t="str">
        <x:f>IF(OR(AA1728="",AB1728=""),"",--(AA1728&lt;&gt;AB1728))</x:f>
      </x:c>
      <x:c r="AE1728" t="str">
        <x:f>IF(OR(AA1728="",AB1728=""),"PENDING_HUMAN",IF(AA1728=AB1728,AA1728,IF(AD1728&lt;&gt;"",AD1728,"PENDING_HUMAN")))</x:f>
        <x:v>PENDING_HUMAN</x:v>
      </x:c>
      <x:c r="AF1728" t="n">
        <x:f>--AND(A1728&lt;&gt;"",AA1728&lt;&gt;"",AB1728&lt;&gt;"",OR(AA1728=AB1728,AD1728&lt;&gt;""),IF(AE1728="HALLUCINATION",U1728&lt;&gt;"",TRUE))</x:f>
        <x:v>0</x:v>
      </x:c>
      <x:c r="AG1728" t="n">
        <x:f>--AND(N1728=1,AF1728=1,OR(AE1728="SUPPORTED",AE1728="HALLUCINATION"))</x:f>
        <x:v>0</x:v>
      </x:c>
      <x:c r="AH1728" t="n">
        <x:f>--AND(AG1728=1,AE1728="HALLUCINATION")</x:f>
        <x:v>0</x:v>
      </x:c>
      <x:c r="AI1728" t="n">
        <x:f>--AND(Q1728=1,AF1728=1,AE1728="HALLUCINATION")</x:f>
        <x:v>0</x:v>
      </x:c>
      <x:c r="AJ1728" t="n">
        <x:f>--AND(AI1728=1,R1728=1,S1728=1)</x:f>
        <x:v>0</x:v>
      </x:c>
    </x:row>
    <x:row r="1729">
      <x:c r="A1729" s="28"/>
      <x:c r="B1729" s="28"/>
      <x:c r="C1729" s="28"/>
      <x:c r="D1729" s="28"/>
      <x:c r="E1729" s="28"/>
      <x:c r="F1729" s="28"/>
      <x:c r="G1729" s="28"/>
      <x:c r="H1729" s="28"/>
      <x:c r="I1729" s="28"/>
      <x:c r="J1729" s="28"/>
      <x:c r="K1729" s="28"/>
      <x:c r="L1729" s="28"/>
      <x:c r="M1729" s="28"/>
      <x:c r="N1729" s="28"/>
      <x:c r="O1729" s="28"/>
      <x:c r="P1729" s="28"/>
      <x:c r="Q1729" s="28"/>
      <x:c r="R1729" s="28"/>
      <x:c r="S1729" s="28"/>
      <x:c r="T1729" s="28"/>
      <x:c r="U1729" s="28"/>
      <x:c r="V1729" s="28"/>
      <x:c r="W1729" s="43" t="n">
        <x:f>--AND(N1729=1,OR(O1729="SUPPORTED",O1729="HALLUCINATION"))</x:f>
        <x:v>0</x:v>
      </x:c>
      <x:c r="X1729" s="43" t="n">
        <x:f>--AND(W1729=1,O1729="HALLUCINATION")</x:f>
        <x:v>0</x:v>
      </x:c>
      <x:c r="Y1729" s="43" t="n">
        <x:f>--AND(Q1729=1,O1729="HALLUCINATION")</x:f>
        <x:v>0</x:v>
      </x:c>
      <x:c r="Z1729" s="43" t="n">
        <x:f>--AND(Y1729=1,R1729=1,S1729=1)</x:f>
        <x:v>0</x:v>
      </x:c>
      <x:c r="AC1729" t="str">
        <x:f>IF(OR(AA1729="",AB1729=""),"",--(AA1729&lt;&gt;AB1729))</x:f>
      </x:c>
      <x:c r="AE1729" t="str">
        <x:f>IF(OR(AA1729="",AB1729=""),"PENDING_HUMAN",IF(AA1729=AB1729,AA1729,IF(AD1729&lt;&gt;"",AD1729,"PENDING_HUMAN")))</x:f>
        <x:v>PENDING_HUMAN</x:v>
      </x:c>
      <x:c r="AF1729" t="n">
        <x:f>--AND(A1729&lt;&gt;"",AA1729&lt;&gt;"",AB1729&lt;&gt;"",OR(AA1729=AB1729,AD1729&lt;&gt;""),IF(AE1729="HALLUCINATION",U1729&lt;&gt;"",TRUE))</x:f>
        <x:v>0</x:v>
      </x:c>
      <x:c r="AG1729" t="n">
        <x:f>--AND(N1729=1,AF1729=1,OR(AE1729="SUPPORTED",AE1729="HALLUCINATION"))</x:f>
        <x:v>0</x:v>
      </x:c>
      <x:c r="AH1729" t="n">
        <x:f>--AND(AG1729=1,AE1729="HALLUCINATION")</x:f>
        <x:v>0</x:v>
      </x:c>
      <x:c r="AI1729" t="n">
        <x:f>--AND(Q1729=1,AF1729=1,AE1729="HALLUCINATION")</x:f>
        <x:v>0</x:v>
      </x:c>
      <x:c r="AJ1729" t="n">
        <x:f>--AND(AI1729=1,R1729=1,S1729=1)</x:f>
        <x:v>0</x:v>
      </x:c>
    </x:row>
    <x:row r="1730">
      <x:c r="A1730" s="28"/>
      <x:c r="B1730" s="28"/>
      <x:c r="C1730" s="28"/>
      <x:c r="D1730" s="28"/>
      <x:c r="E1730" s="28"/>
      <x:c r="F1730" s="28"/>
      <x:c r="G1730" s="28"/>
      <x:c r="H1730" s="28"/>
      <x:c r="I1730" s="28"/>
      <x:c r="J1730" s="28"/>
      <x:c r="K1730" s="28"/>
      <x:c r="L1730" s="28"/>
      <x:c r="M1730" s="28"/>
      <x:c r="N1730" s="28"/>
      <x:c r="O1730" s="28"/>
      <x:c r="P1730" s="28"/>
      <x:c r="Q1730" s="28"/>
      <x:c r="R1730" s="28"/>
      <x:c r="S1730" s="28"/>
      <x:c r="T1730" s="28"/>
      <x:c r="U1730" s="28"/>
      <x:c r="V1730" s="28"/>
      <x:c r="W1730" s="43" t="n">
        <x:f>--AND(N1730=1,OR(O1730="SUPPORTED",O1730="HALLUCINATION"))</x:f>
        <x:v>0</x:v>
      </x:c>
      <x:c r="X1730" s="43" t="n">
        <x:f>--AND(W1730=1,O1730="HALLUCINATION")</x:f>
        <x:v>0</x:v>
      </x:c>
      <x:c r="Y1730" s="43" t="n">
        <x:f>--AND(Q1730=1,O1730="HALLUCINATION")</x:f>
        <x:v>0</x:v>
      </x:c>
      <x:c r="Z1730" s="43" t="n">
        <x:f>--AND(Y1730=1,R1730=1,S1730=1)</x:f>
        <x:v>0</x:v>
      </x:c>
      <x:c r="AC1730" t="str">
        <x:f>IF(OR(AA1730="",AB1730=""),"",--(AA1730&lt;&gt;AB1730))</x:f>
      </x:c>
      <x:c r="AE1730" t="str">
        <x:f>IF(OR(AA1730="",AB1730=""),"PENDING_HUMAN",IF(AA1730=AB1730,AA1730,IF(AD1730&lt;&gt;"",AD1730,"PENDING_HUMAN")))</x:f>
        <x:v>PENDING_HUMAN</x:v>
      </x:c>
      <x:c r="AF1730" t="n">
        <x:f>--AND(A1730&lt;&gt;"",AA1730&lt;&gt;"",AB1730&lt;&gt;"",OR(AA1730=AB1730,AD1730&lt;&gt;""),IF(AE1730="HALLUCINATION",U1730&lt;&gt;"",TRUE))</x:f>
        <x:v>0</x:v>
      </x:c>
      <x:c r="AG1730" t="n">
        <x:f>--AND(N1730=1,AF1730=1,OR(AE1730="SUPPORTED",AE1730="HALLUCINATION"))</x:f>
        <x:v>0</x:v>
      </x:c>
      <x:c r="AH1730" t="n">
        <x:f>--AND(AG1730=1,AE1730="HALLUCINATION")</x:f>
        <x:v>0</x:v>
      </x:c>
      <x:c r="AI1730" t="n">
        <x:f>--AND(Q1730=1,AF1730=1,AE1730="HALLUCINATION")</x:f>
        <x:v>0</x:v>
      </x:c>
      <x:c r="AJ1730" t="n">
        <x:f>--AND(AI1730=1,R1730=1,S1730=1)</x:f>
        <x:v>0</x:v>
      </x:c>
    </x:row>
    <x:row r="1731">
      <x:c r="A1731" s="28"/>
      <x:c r="B1731" s="28"/>
      <x:c r="C1731" s="28"/>
      <x:c r="D1731" s="28"/>
      <x:c r="E1731" s="28"/>
      <x:c r="F1731" s="28"/>
      <x:c r="G1731" s="28"/>
      <x:c r="H1731" s="28"/>
      <x:c r="I1731" s="28"/>
      <x:c r="J1731" s="28"/>
      <x:c r="K1731" s="28"/>
      <x:c r="L1731" s="28"/>
      <x:c r="M1731" s="28"/>
      <x:c r="N1731" s="28"/>
      <x:c r="O1731" s="28"/>
      <x:c r="P1731" s="28"/>
      <x:c r="Q1731" s="28"/>
      <x:c r="R1731" s="28"/>
      <x:c r="S1731" s="28"/>
      <x:c r="T1731" s="28"/>
      <x:c r="U1731" s="28"/>
      <x:c r="V1731" s="28"/>
      <x:c r="W1731" s="43" t="n">
        <x:f>--AND(N1731=1,OR(O1731="SUPPORTED",O1731="HALLUCINATION"))</x:f>
        <x:v>0</x:v>
      </x:c>
      <x:c r="X1731" s="43" t="n">
        <x:f>--AND(W1731=1,O1731="HALLUCINATION")</x:f>
        <x:v>0</x:v>
      </x:c>
      <x:c r="Y1731" s="43" t="n">
        <x:f>--AND(Q1731=1,O1731="HALLUCINATION")</x:f>
        <x:v>0</x:v>
      </x:c>
      <x:c r="Z1731" s="43" t="n">
        <x:f>--AND(Y1731=1,R1731=1,S1731=1)</x:f>
        <x:v>0</x:v>
      </x:c>
      <x:c r="AC1731" t="str">
        <x:f>IF(OR(AA1731="",AB1731=""),"",--(AA1731&lt;&gt;AB1731))</x:f>
      </x:c>
      <x:c r="AE1731" t="str">
        <x:f>IF(OR(AA1731="",AB1731=""),"PENDING_HUMAN",IF(AA1731=AB1731,AA1731,IF(AD1731&lt;&gt;"",AD1731,"PENDING_HUMAN")))</x:f>
        <x:v>PENDING_HUMAN</x:v>
      </x:c>
      <x:c r="AF1731" t="n">
        <x:f>--AND(A1731&lt;&gt;"",AA1731&lt;&gt;"",AB1731&lt;&gt;"",OR(AA1731=AB1731,AD1731&lt;&gt;""),IF(AE1731="HALLUCINATION",U1731&lt;&gt;"",TRUE))</x:f>
        <x:v>0</x:v>
      </x:c>
      <x:c r="AG1731" t="n">
        <x:f>--AND(N1731=1,AF1731=1,OR(AE1731="SUPPORTED",AE1731="HALLUCINATION"))</x:f>
        <x:v>0</x:v>
      </x:c>
      <x:c r="AH1731" t="n">
        <x:f>--AND(AG1731=1,AE1731="HALLUCINATION")</x:f>
        <x:v>0</x:v>
      </x:c>
      <x:c r="AI1731" t="n">
        <x:f>--AND(Q1731=1,AF1731=1,AE1731="HALLUCINATION")</x:f>
        <x:v>0</x:v>
      </x:c>
      <x:c r="AJ1731" t="n">
        <x:f>--AND(AI1731=1,R1731=1,S1731=1)</x:f>
        <x:v>0</x:v>
      </x:c>
    </x:row>
    <x:row r="1732">
      <x:c r="A1732" s="28"/>
      <x:c r="B1732" s="28"/>
      <x:c r="C1732" s="28"/>
      <x:c r="D1732" s="28"/>
      <x:c r="E1732" s="28"/>
      <x:c r="F1732" s="28"/>
      <x:c r="G1732" s="28"/>
      <x:c r="H1732" s="28"/>
      <x:c r="I1732" s="28"/>
      <x:c r="J1732" s="28"/>
      <x:c r="K1732" s="28"/>
      <x:c r="L1732" s="28"/>
      <x:c r="M1732" s="28"/>
      <x:c r="N1732" s="28"/>
      <x:c r="O1732" s="28"/>
      <x:c r="P1732" s="28"/>
      <x:c r="Q1732" s="28"/>
      <x:c r="R1732" s="28"/>
      <x:c r="S1732" s="28"/>
      <x:c r="T1732" s="28"/>
      <x:c r="U1732" s="28"/>
      <x:c r="V1732" s="28"/>
      <x:c r="W1732" s="43" t="n">
        <x:f>--AND(N1732=1,OR(O1732="SUPPORTED",O1732="HALLUCINATION"))</x:f>
        <x:v>0</x:v>
      </x:c>
      <x:c r="X1732" s="43" t="n">
        <x:f>--AND(W1732=1,O1732="HALLUCINATION")</x:f>
        <x:v>0</x:v>
      </x:c>
      <x:c r="Y1732" s="43" t="n">
        <x:f>--AND(Q1732=1,O1732="HALLUCINATION")</x:f>
        <x:v>0</x:v>
      </x:c>
      <x:c r="Z1732" s="43" t="n">
        <x:f>--AND(Y1732=1,R1732=1,S1732=1)</x:f>
        <x:v>0</x:v>
      </x:c>
      <x:c r="AC1732" t="str">
        <x:f>IF(OR(AA1732="",AB1732=""),"",--(AA1732&lt;&gt;AB1732))</x:f>
      </x:c>
      <x:c r="AE1732" t="str">
        <x:f>IF(OR(AA1732="",AB1732=""),"PENDING_HUMAN",IF(AA1732=AB1732,AA1732,IF(AD1732&lt;&gt;"",AD1732,"PENDING_HUMAN")))</x:f>
        <x:v>PENDING_HUMAN</x:v>
      </x:c>
      <x:c r="AF1732" t="n">
        <x:f>--AND(A1732&lt;&gt;"",AA1732&lt;&gt;"",AB1732&lt;&gt;"",OR(AA1732=AB1732,AD1732&lt;&gt;""),IF(AE1732="HALLUCINATION",U1732&lt;&gt;"",TRUE))</x:f>
        <x:v>0</x:v>
      </x:c>
      <x:c r="AG1732" t="n">
        <x:f>--AND(N1732=1,AF1732=1,OR(AE1732="SUPPORTED",AE1732="HALLUCINATION"))</x:f>
        <x:v>0</x:v>
      </x:c>
      <x:c r="AH1732" t="n">
        <x:f>--AND(AG1732=1,AE1732="HALLUCINATION")</x:f>
        <x:v>0</x:v>
      </x:c>
      <x:c r="AI1732" t="n">
        <x:f>--AND(Q1732=1,AF1732=1,AE1732="HALLUCINATION")</x:f>
        <x:v>0</x:v>
      </x:c>
      <x:c r="AJ1732" t="n">
        <x:f>--AND(AI1732=1,R1732=1,S1732=1)</x:f>
        <x:v>0</x:v>
      </x:c>
    </x:row>
    <x:row r="1733">
      <x:c r="A1733" s="28"/>
      <x:c r="B1733" s="28"/>
      <x:c r="C1733" s="28"/>
      <x:c r="D1733" s="28"/>
      <x:c r="E1733" s="28"/>
      <x:c r="F1733" s="28"/>
      <x:c r="G1733" s="28"/>
      <x:c r="H1733" s="28"/>
      <x:c r="I1733" s="28"/>
      <x:c r="J1733" s="28"/>
      <x:c r="K1733" s="28"/>
      <x:c r="L1733" s="28"/>
      <x:c r="M1733" s="28"/>
      <x:c r="N1733" s="28"/>
      <x:c r="O1733" s="28"/>
      <x:c r="P1733" s="28"/>
      <x:c r="Q1733" s="28"/>
      <x:c r="R1733" s="28"/>
      <x:c r="S1733" s="28"/>
      <x:c r="T1733" s="28"/>
      <x:c r="U1733" s="28"/>
      <x:c r="V1733" s="28"/>
      <x:c r="W1733" s="43" t="n">
        <x:f>--AND(N1733=1,OR(O1733="SUPPORTED",O1733="HALLUCINATION"))</x:f>
        <x:v>0</x:v>
      </x:c>
      <x:c r="X1733" s="43" t="n">
        <x:f>--AND(W1733=1,O1733="HALLUCINATION")</x:f>
        <x:v>0</x:v>
      </x:c>
      <x:c r="Y1733" s="43" t="n">
        <x:f>--AND(Q1733=1,O1733="HALLUCINATION")</x:f>
        <x:v>0</x:v>
      </x:c>
      <x:c r="Z1733" s="43" t="n">
        <x:f>--AND(Y1733=1,R1733=1,S1733=1)</x:f>
        <x:v>0</x:v>
      </x:c>
      <x:c r="AC1733" t="str">
        <x:f>IF(OR(AA1733="",AB1733=""),"",--(AA1733&lt;&gt;AB1733))</x:f>
      </x:c>
      <x:c r="AE1733" t="str">
        <x:f>IF(OR(AA1733="",AB1733=""),"PENDING_HUMAN",IF(AA1733=AB1733,AA1733,IF(AD1733&lt;&gt;"",AD1733,"PENDING_HUMAN")))</x:f>
        <x:v>PENDING_HUMAN</x:v>
      </x:c>
      <x:c r="AF1733" t="n">
        <x:f>--AND(A1733&lt;&gt;"",AA1733&lt;&gt;"",AB1733&lt;&gt;"",OR(AA1733=AB1733,AD1733&lt;&gt;""),IF(AE1733="HALLUCINATION",U1733&lt;&gt;"",TRUE))</x:f>
        <x:v>0</x:v>
      </x:c>
      <x:c r="AG1733" t="n">
        <x:f>--AND(N1733=1,AF1733=1,OR(AE1733="SUPPORTED",AE1733="HALLUCINATION"))</x:f>
        <x:v>0</x:v>
      </x:c>
      <x:c r="AH1733" t="n">
        <x:f>--AND(AG1733=1,AE1733="HALLUCINATION")</x:f>
        <x:v>0</x:v>
      </x:c>
      <x:c r="AI1733" t="n">
        <x:f>--AND(Q1733=1,AF1733=1,AE1733="HALLUCINATION")</x:f>
        <x:v>0</x:v>
      </x:c>
      <x:c r="AJ1733" t="n">
        <x:f>--AND(AI1733=1,R1733=1,S1733=1)</x:f>
        <x:v>0</x:v>
      </x:c>
    </x:row>
    <x:row r="1734">
      <x:c r="A1734" s="28"/>
      <x:c r="B1734" s="28"/>
      <x:c r="C1734" s="28"/>
      <x:c r="D1734" s="28"/>
      <x:c r="E1734" s="28"/>
      <x:c r="F1734" s="28"/>
      <x:c r="G1734" s="28"/>
      <x:c r="H1734" s="28"/>
      <x:c r="I1734" s="28"/>
      <x:c r="J1734" s="28"/>
      <x:c r="K1734" s="28"/>
      <x:c r="L1734" s="28"/>
      <x:c r="M1734" s="28"/>
      <x:c r="N1734" s="28"/>
      <x:c r="O1734" s="28"/>
      <x:c r="P1734" s="28"/>
      <x:c r="Q1734" s="28"/>
      <x:c r="R1734" s="28"/>
      <x:c r="S1734" s="28"/>
      <x:c r="T1734" s="28"/>
      <x:c r="U1734" s="28"/>
      <x:c r="V1734" s="28"/>
      <x:c r="W1734" s="43" t="n">
        <x:f>--AND(N1734=1,OR(O1734="SUPPORTED",O1734="HALLUCINATION"))</x:f>
        <x:v>0</x:v>
      </x:c>
      <x:c r="X1734" s="43" t="n">
        <x:f>--AND(W1734=1,O1734="HALLUCINATION")</x:f>
        <x:v>0</x:v>
      </x:c>
      <x:c r="Y1734" s="43" t="n">
        <x:f>--AND(Q1734=1,O1734="HALLUCINATION")</x:f>
        <x:v>0</x:v>
      </x:c>
      <x:c r="Z1734" s="43" t="n">
        <x:f>--AND(Y1734=1,R1734=1,S1734=1)</x:f>
        <x:v>0</x:v>
      </x:c>
      <x:c r="AC1734" t="str">
        <x:f>IF(OR(AA1734="",AB1734=""),"",--(AA1734&lt;&gt;AB1734))</x:f>
      </x:c>
      <x:c r="AE1734" t="str">
        <x:f>IF(OR(AA1734="",AB1734=""),"PENDING_HUMAN",IF(AA1734=AB1734,AA1734,IF(AD1734&lt;&gt;"",AD1734,"PENDING_HUMAN")))</x:f>
        <x:v>PENDING_HUMAN</x:v>
      </x:c>
      <x:c r="AF1734" t="n">
        <x:f>--AND(A1734&lt;&gt;"",AA1734&lt;&gt;"",AB1734&lt;&gt;"",OR(AA1734=AB1734,AD1734&lt;&gt;""),IF(AE1734="HALLUCINATION",U1734&lt;&gt;"",TRUE))</x:f>
        <x:v>0</x:v>
      </x:c>
      <x:c r="AG1734" t="n">
        <x:f>--AND(N1734=1,AF1734=1,OR(AE1734="SUPPORTED",AE1734="HALLUCINATION"))</x:f>
        <x:v>0</x:v>
      </x:c>
      <x:c r="AH1734" t="n">
        <x:f>--AND(AG1734=1,AE1734="HALLUCINATION")</x:f>
        <x:v>0</x:v>
      </x:c>
      <x:c r="AI1734" t="n">
        <x:f>--AND(Q1734=1,AF1734=1,AE1734="HALLUCINATION")</x:f>
        <x:v>0</x:v>
      </x:c>
      <x:c r="AJ1734" t="n">
        <x:f>--AND(AI1734=1,R1734=1,S1734=1)</x:f>
        <x:v>0</x:v>
      </x:c>
    </x:row>
    <x:row r="1735">
      <x:c r="A1735" s="28"/>
      <x:c r="B1735" s="28"/>
      <x:c r="C1735" s="28"/>
      <x:c r="D1735" s="28"/>
      <x:c r="E1735" s="28"/>
      <x:c r="F1735" s="28"/>
      <x:c r="G1735" s="28"/>
      <x:c r="H1735" s="28"/>
      <x:c r="I1735" s="28"/>
      <x:c r="J1735" s="28"/>
      <x:c r="K1735" s="28"/>
      <x:c r="L1735" s="28"/>
      <x:c r="M1735" s="28"/>
      <x:c r="N1735" s="28"/>
      <x:c r="O1735" s="28"/>
      <x:c r="P1735" s="28"/>
      <x:c r="Q1735" s="28"/>
      <x:c r="R1735" s="28"/>
      <x:c r="S1735" s="28"/>
      <x:c r="T1735" s="28"/>
      <x:c r="U1735" s="28"/>
      <x:c r="V1735" s="28"/>
      <x:c r="W1735" s="43" t="n">
        <x:f>--AND(N1735=1,OR(O1735="SUPPORTED",O1735="HALLUCINATION"))</x:f>
        <x:v>0</x:v>
      </x:c>
      <x:c r="X1735" s="43" t="n">
        <x:f>--AND(W1735=1,O1735="HALLUCINATION")</x:f>
        <x:v>0</x:v>
      </x:c>
      <x:c r="Y1735" s="43" t="n">
        <x:f>--AND(Q1735=1,O1735="HALLUCINATION")</x:f>
        <x:v>0</x:v>
      </x:c>
      <x:c r="Z1735" s="43" t="n">
        <x:f>--AND(Y1735=1,R1735=1,S1735=1)</x:f>
        <x:v>0</x:v>
      </x:c>
      <x:c r="AC1735" t="str">
        <x:f>IF(OR(AA1735="",AB1735=""),"",--(AA1735&lt;&gt;AB1735))</x:f>
      </x:c>
      <x:c r="AE1735" t="str">
        <x:f>IF(OR(AA1735="",AB1735=""),"PENDING_HUMAN",IF(AA1735=AB1735,AA1735,IF(AD1735&lt;&gt;"",AD1735,"PENDING_HUMAN")))</x:f>
        <x:v>PENDING_HUMAN</x:v>
      </x:c>
      <x:c r="AF1735" t="n">
        <x:f>--AND(A1735&lt;&gt;"",AA1735&lt;&gt;"",AB1735&lt;&gt;"",OR(AA1735=AB1735,AD1735&lt;&gt;""),IF(AE1735="HALLUCINATION",U1735&lt;&gt;"",TRUE))</x:f>
        <x:v>0</x:v>
      </x:c>
      <x:c r="AG1735" t="n">
        <x:f>--AND(N1735=1,AF1735=1,OR(AE1735="SUPPORTED",AE1735="HALLUCINATION"))</x:f>
        <x:v>0</x:v>
      </x:c>
      <x:c r="AH1735" t="n">
        <x:f>--AND(AG1735=1,AE1735="HALLUCINATION")</x:f>
        <x:v>0</x:v>
      </x:c>
      <x:c r="AI1735" t="n">
        <x:f>--AND(Q1735=1,AF1735=1,AE1735="HALLUCINATION")</x:f>
        <x:v>0</x:v>
      </x:c>
      <x:c r="AJ1735" t="n">
        <x:f>--AND(AI1735=1,R1735=1,S1735=1)</x:f>
        <x:v>0</x:v>
      </x:c>
    </x:row>
    <x:row r="1736">
      <x:c r="A1736" s="28"/>
      <x:c r="B1736" s="28"/>
      <x:c r="C1736" s="28"/>
      <x:c r="D1736" s="28"/>
      <x:c r="E1736" s="28"/>
      <x:c r="F1736" s="28"/>
      <x:c r="G1736" s="28"/>
      <x:c r="H1736" s="28"/>
      <x:c r="I1736" s="28"/>
      <x:c r="J1736" s="28"/>
      <x:c r="K1736" s="28"/>
      <x:c r="L1736" s="28"/>
      <x:c r="M1736" s="28"/>
      <x:c r="N1736" s="28"/>
      <x:c r="O1736" s="28"/>
      <x:c r="P1736" s="28"/>
      <x:c r="Q1736" s="28"/>
      <x:c r="R1736" s="28"/>
      <x:c r="S1736" s="28"/>
      <x:c r="T1736" s="28"/>
      <x:c r="U1736" s="28"/>
      <x:c r="V1736" s="28"/>
      <x:c r="W1736" s="43" t="n">
        <x:f>--AND(N1736=1,OR(O1736="SUPPORTED",O1736="HALLUCINATION"))</x:f>
        <x:v>0</x:v>
      </x:c>
      <x:c r="X1736" s="43" t="n">
        <x:f>--AND(W1736=1,O1736="HALLUCINATION")</x:f>
        <x:v>0</x:v>
      </x:c>
      <x:c r="Y1736" s="43" t="n">
        <x:f>--AND(Q1736=1,O1736="HALLUCINATION")</x:f>
        <x:v>0</x:v>
      </x:c>
      <x:c r="Z1736" s="43" t="n">
        <x:f>--AND(Y1736=1,R1736=1,S1736=1)</x:f>
        <x:v>0</x:v>
      </x:c>
      <x:c r="AC1736" t="str">
        <x:f>IF(OR(AA1736="",AB1736=""),"",--(AA1736&lt;&gt;AB1736))</x:f>
      </x:c>
      <x:c r="AE1736" t="str">
        <x:f>IF(OR(AA1736="",AB1736=""),"PENDING_HUMAN",IF(AA1736=AB1736,AA1736,IF(AD1736&lt;&gt;"",AD1736,"PENDING_HUMAN")))</x:f>
        <x:v>PENDING_HUMAN</x:v>
      </x:c>
      <x:c r="AF1736" t="n">
        <x:f>--AND(A1736&lt;&gt;"",AA1736&lt;&gt;"",AB1736&lt;&gt;"",OR(AA1736=AB1736,AD1736&lt;&gt;""),IF(AE1736="HALLUCINATION",U1736&lt;&gt;"",TRUE))</x:f>
        <x:v>0</x:v>
      </x:c>
      <x:c r="AG1736" t="n">
        <x:f>--AND(N1736=1,AF1736=1,OR(AE1736="SUPPORTED",AE1736="HALLUCINATION"))</x:f>
        <x:v>0</x:v>
      </x:c>
      <x:c r="AH1736" t="n">
        <x:f>--AND(AG1736=1,AE1736="HALLUCINATION")</x:f>
        <x:v>0</x:v>
      </x:c>
      <x:c r="AI1736" t="n">
        <x:f>--AND(Q1736=1,AF1736=1,AE1736="HALLUCINATION")</x:f>
        <x:v>0</x:v>
      </x:c>
      <x:c r="AJ1736" t="n">
        <x:f>--AND(AI1736=1,R1736=1,S1736=1)</x:f>
        <x:v>0</x:v>
      </x:c>
    </x:row>
    <x:row r="1737">
      <x:c r="A1737" s="28"/>
      <x:c r="B1737" s="28"/>
      <x:c r="C1737" s="28"/>
      <x:c r="D1737" s="28"/>
      <x:c r="E1737" s="28"/>
      <x:c r="F1737" s="28"/>
      <x:c r="G1737" s="28"/>
      <x:c r="H1737" s="28"/>
      <x:c r="I1737" s="28"/>
      <x:c r="J1737" s="28"/>
      <x:c r="K1737" s="28"/>
      <x:c r="L1737" s="28"/>
      <x:c r="M1737" s="28"/>
      <x:c r="N1737" s="28"/>
      <x:c r="O1737" s="28"/>
      <x:c r="P1737" s="28"/>
      <x:c r="Q1737" s="28"/>
      <x:c r="R1737" s="28"/>
      <x:c r="S1737" s="28"/>
      <x:c r="T1737" s="28"/>
      <x:c r="U1737" s="28"/>
      <x:c r="V1737" s="28"/>
      <x:c r="W1737" s="43" t="n">
        <x:f>--AND(N1737=1,OR(O1737="SUPPORTED",O1737="HALLUCINATION"))</x:f>
        <x:v>0</x:v>
      </x:c>
      <x:c r="X1737" s="43" t="n">
        <x:f>--AND(W1737=1,O1737="HALLUCINATION")</x:f>
        <x:v>0</x:v>
      </x:c>
      <x:c r="Y1737" s="43" t="n">
        <x:f>--AND(Q1737=1,O1737="HALLUCINATION")</x:f>
        <x:v>0</x:v>
      </x:c>
      <x:c r="Z1737" s="43" t="n">
        <x:f>--AND(Y1737=1,R1737=1,S1737=1)</x:f>
        <x:v>0</x:v>
      </x:c>
      <x:c r="AC1737" t="str">
        <x:f>IF(OR(AA1737="",AB1737=""),"",--(AA1737&lt;&gt;AB1737))</x:f>
      </x:c>
      <x:c r="AE1737" t="str">
        <x:f>IF(OR(AA1737="",AB1737=""),"PENDING_HUMAN",IF(AA1737=AB1737,AA1737,IF(AD1737&lt;&gt;"",AD1737,"PENDING_HUMAN")))</x:f>
        <x:v>PENDING_HUMAN</x:v>
      </x:c>
      <x:c r="AF1737" t="n">
        <x:f>--AND(A1737&lt;&gt;"",AA1737&lt;&gt;"",AB1737&lt;&gt;"",OR(AA1737=AB1737,AD1737&lt;&gt;""),IF(AE1737="HALLUCINATION",U1737&lt;&gt;"",TRUE))</x:f>
        <x:v>0</x:v>
      </x:c>
      <x:c r="AG1737" t="n">
        <x:f>--AND(N1737=1,AF1737=1,OR(AE1737="SUPPORTED",AE1737="HALLUCINATION"))</x:f>
        <x:v>0</x:v>
      </x:c>
      <x:c r="AH1737" t="n">
        <x:f>--AND(AG1737=1,AE1737="HALLUCINATION")</x:f>
        <x:v>0</x:v>
      </x:c>
      <x:c r="AI1737" t="n">
        <x:f>--AND(Q1737=1,AF1737=1,AE1737="HALLUCINATION")</x:f>
        <x:v>0</x:v>
      </x:c>
      <x:c r="AJ1737" t="n">
        <x:f>--AND(AI1737=1,R1737=1,S1737=1)</x:f>
        <x:v>0</x:v>
      </x:c>
    </x:row>
    <x:row r="1738">
      <x:c r="A1738" s="28"/>
      <x:c r="B1738" s="28"/>
      <x:c r="C1738" s="28"/>
      <x:c r="D1738" s="28"/>
      <x:c r="E1738" s="28"/>
      <x:c r="F1738" s="28"/>
      <x:c r="G1738" s="28"/>
      <x:c r="H1738" s="28"/>
      <x:c r="I1738" s="28"/>
      <x:c r="J1738" s="28"/>
      <x:c r="K1738" s="28"/>
      <x:c r="L1738" s="28"/>
      <x:c r="M1738" s="28"/>
      <x:c r="N1738" s="28"/>
      <x:c r="O1738" s="28"/>
      <x:c r="P1738" s="28"/>
      <x:c r="Q1738" s="28"/>
      <x:c r="R1738" s="28"/>
      <x:c r="S1738" s="28"/>
      <x:c r="T1738" s="28"/>
      <x:c r="U1738" s="28"/>
      <x:c r="V1738" s="28"/>
      <x:c r="W1738" s="43" t="n">
        <x:f>--AND(N1738=1,OR(O1738="SUPPORTED",O1738="HALLUCINATION"))</x:f>
        <x:v>0</x:v>
      </x:c>
      <x:c r="X1738" s="43" t="n">
        <x:f>--AND(W1738=1,O1738="HALLUCINATION")</x:f>
        <x:v>0</x:v>
      </x:c>
      <x:c r="Y1738" s="43" t="n">
        <x:f>--AND(Q1738=1,O1738="HALLUCINATION")</x:f>
        <x:v>0</x:v>
      </x:c>
      <x:c r="Z1738" s="43" t="n">
        <x:f>--AND(Y1738=1,R1738=1,S1738=1)</x:f>
        <x:v>0</x:v>
      </x:c>
      <x:c r="AC1738" t="str">
        <x:f>IF(OR(AA1738="",AB1738=""),"",--(AA1738&lt;&gt;AB1738))</x:f>
      </x:c>
      <x:c r="AE1738" t="str">
        <x:f>IF(OR(AA1738="",AB1738=""),"PENDING_HUMAN",IF(AA1738=AB1738,AA1738,IF(AD1738&lt;&gt;"",AD1738,"PENDING_HUMAN")))</x:f>
        <x:v>PENDING_HUMAN</x:v>
      </x:c>
      <x:c r="AF1738" t="n">
        <x:f>--AND(A1738&lt;&gt;"",AA1738&lt;&gt;"",AB1738&lt;&gt;"",OR(AA1738=AB1738,AD1738&lt;&gt;""),IF(AE1738="HALLUCINATION",U1738&lt;&gt;"",TRUE))</x:f>
        <x:v>0</x:v>
      </x:c>
      <x:c r="AG1738" t="n">
        <x:f>--AND(N1738=1,AF1738=1,OR(AE1738="SUPPORTED",AE1738="HALLUCINATION"))</x:f>
        <x:v>0</x:v>
      </x:c>
      <x:c r="AH1738" t="n">
        <x:f>--AND(AG1738=1,AE1738="HALLUCINATION")</x:f>
        <x:v>0</x:v>
      </x:c>
      <x:c r="AI1738" t="n">
        <x:f>--AND(Q1738=1,AF1738=1,AE1738="HALLUCINATION")</x:f>
        <x:v>0</x:v>
      </x:c>
      <x:c r="AJ1738" t="n">
        <x:f>--AND(AI1738=1,R1738=1,S1738=1)</x:f>
        <x:v>0</x:v>
      </x:c>
    </x:row>
    <x:row r="1739">
      <x:c r="A1739" s="28"/>
      <x:c r="B1739" s="28"/>
      <x:c r="C1739" s="28"/>
      <x:c r="D1739" s="28"/>
      <x:c r="E1739" s="28"/>
      <x:c r="F1739" s="28"/>
      <x:c r="G1739" s="28"/>
      <x:c r="H1739" s="28"/>
      <x:c r="I1739" s="28"/>
      <x:c r="J1739" s="28"/>
      <x:c r="K1739" s="28"/>
      <x:c r="L1739" s="28"/>
      <x:c r="M1739" s="28"/>
      <x:c r="N1739" s="28"/>
      <x:c r="O1739" s="28"/>
      <x:c r="P1739" s="28"/>
      <x:c r="Q1739" s="28"/>
      <x:c r="R1739" s="28"/>
      <x:c r="S1739" s="28"/>
      <x:c r="T1739" s="28"/>
      <x:c r="U1739" s="28"/>
      <x:c r="V1739" s="28"/>
      <x:c r="W1739" s="43" t="n">
        <x:f>--AND(N1739=1,OR(O1739="SUPPORTED",O1739="HALLUCINATION"))</x:f>
        <x:v>0</x:v>
      </x:c>
      <x:c r="X1739" s="43" t="n">
        <x:f>--AND(W1739=1,O1739="HALLUCINATION")</x:f>
        <x:v>0</x:v>
      </x:c>
      <x:c r="Y1739" s="43" t="n">
        <x:f>--AND(Q1739=1,O1739="HALLUCINATION")</x:f>
        <x:v>0</x:v>
      </x:c>
      <x:c r="Z1739" s="43" t="n">
        <x:f>--AND(Y1739=1,R1739=1,S1739=1)</x:f>
        <x:v>0</x:v>
      </x:c>
      <x:c r="AC1739" t="str">
        <x:f>IF(OR(AA1739="",AB1739=""),"",--(AA1739&lt;&gt;AB1739))</x:f>
      </x:c>
      <x:c r="AE1739" t="str">
        <x:f>IF(OR(AA1739="",AB1739=""),"PENDING_HUMAN",IF(AA1739=AB1739,AA1739,IF(AD1739&lt;&gt;"",AD1739,"PENDING_HUMAN")))</x:f>
        <x:v>PENDING_HUMAN</x:v>
      </x:c>
      <x:c r="AF1739" t="n">
        <x:f>--AND(A1739&lt;&gt;"",AA1739&lt;&gt;"",AB1739&lt;&gt;"",OR(AA1739=AB1739,AD1739&lt;&gt;""),IF(AE1739="HALLUCINATION",U1739&lt;&gt;"",TRUE))</x:f>
        <x:v>0</x:v>
      </x:c>
      <x:c r="AG1739" t="n">
        <x:f>--AND(N1739=1,AF1739=1,OR(AE1739="SUPPORTED",AE1739="HALLUCINATION"))</x:f>
        <x:v>0</x:v>
      </x:c>
      <x:c r="AH1739" t="n">
        <x:f>--AND(AG1739=1,AE1739="HALLUCINATION")</x:f>
        <x:v>0</x:v>
      </x:c>
      <x:c r="AI1739" t="n">
        <x:f>--AND(Q1739=1,AF1739=1,AE1739="HALLUCINATION")</x:f>
        <x:v>0</x:v>
      </x:c>
      <x:c r="AJ1739" t="n">
        <x:f>--AND(AI1739=1,R1739=1,S1739=1)</x:f>
        <x:v>0</x:v>
      </x:c>
    </x:row>
    <x:row r="1740">
      <x:c r="A1740" s="28"/>
      <x:c r="B1740" s="28"/>
      <x:c r="C1740" s="28"/>
      <x:c r="D1740" s="28"/>
      <x:c r="E1740" s="28"/>
      <x:c r="F1740" s="28"/>
      <x:c r="G1740" s="28"/>
      <x:c r="H1740" s="28"/>
      <x:c r="I1740" s="28"/>
      <x:c r="J1740" s="28"/>
      <x:c r="K1740" s="28"/>
      <x:c r="L1740" s="28"/>
      <x:c r="M1740" s="28"/>
      <x:c r="N1740" s="28"/>
      <x:c r="O1740" s="28"/>
      <x:c r="P1740" s="28"/>
      <x:c r="Q1740" s="28"/>
      <x:c r="R1740" s="28"/>
      <x:c r="S1740" s="28"/>
      <x:c r="T1740" s="28"/>
      <x:c r="U1740" s="28"/>
      <x:c r="V1740" s="28"/>
      <x:c r="W1740" s="43" t="n">
        <x:f>--AND(N1740=1,OR(O1740="SUPPORTED",O1740="HALLUCINATION"))</x:f>
        <x:v>0</x:v>
      </x:c>
      <x:c r="X1740" s="43" t="n">
        <x:f>--AND(W1740=1,O1740="HALLUCINATION")</x:f>
        <x:v>0</x:v>
      </x:c>
      <x:c r="Y1740" s="43" t="n">
        <x:f>--AND(Q1740=1,O1740="HALLUCINATION")</x:f>
        <x:v>0</x:v>
      </x:c>
      <x:c r="Z1740" s="43" t="n">
        <x:f>--AND(Y1740=1,R1740=1,S1740=1)</x:f>
        <x:v>0</x:v>
      </x:c>
      <x:c r="AC1740" t="str">
        <x:f>IF(OR(AA1740="",AB1740=""),"",--(AA1740&lt;&gt;AB1740))</x:f>
      </x:c>
      <x:c r="AE1740" t="str">
        <x:f>IF(OR(AA1740="",AB1740=""),"PENDING_HUMAN",IF(AA1740=AB1740,AA1740,IF(AD1740&lt;&gt;"",AD1740,"PENDING_HUMAN")))</x:f>
        <x:v>PENDING_HUMAN</x:v>
      </x:c>
      <x:c r="AF1740" t="n">
        <x:f>--AND(A1740&lt;&gt;"",AA1740&lt;&gt;"",AB1740&lt;&gt;"",OR(AA1740=AB1740,AD1740&lt;&gt;""),IF(AE1740="HALLUCINATION",U1740&lt;&gt;"",TRUE))</x:f>
        <x:v>0</x:v>
      </x:c>
      <x:c r="AG1740" t="n">
        <x:f>--AND(N1740=1,AF1740=1,OR(AE1740="SUPPORTED",AE1740="HALLUCINATION"))</x:f>
        <x:v>0</x:v>
      </x:c>
      <x:c r="AH1740" t="n">
        <x:f>--AND(AG1740=1,AE1740="HALLUCINATION")</x:f>
        <x:v>0</x:v>
      </x:c>
      <x:c r="AI1740" t="n">
        <x:f>--AND(Q1740=1,AF1740=1,AE1740="HALLUCINATION")</x:f>
        <x:v>0</x:v>
      </x:c>
      <x:c r="AJ1740" t="n">
        <x:f>--AND(AI1740=1,R1740=1,S1740=1)</x:f>
        <x:v>0</x:v>
      </x:c>
    </x:row>
    <x:row r="1741">
      <x:c r="A1741" s="28"/>
      <x:c r="B1741" s="28"/>
      <x:c r="C1741" s="28"/>
      <x:c r="D1741" s="28"/>
      <x:c r="E1741" s="28"/>
      <x:c r="F1741" s="28"/>
      <x:c r="G1741" s="28"/>
      <x:c r="H1741" s="28"/>
      <x:c r="I1741" s="28"/>
      <x:c r="J1741" s="28"/>
      <x:c r="K1741" s="28"/>
      <x:c r="L1741" s="28"/>
      <x:c r="M1741" s="28"/>
      <x:c r="N1741" s="28"/>
      <x:c r="O1741" s="28"/>
      <x:c r="P1741" s="28"/>
      <x:c r="Q1741" s="28"/>
      <x:c r="R1741" s="28"/>
      <x:c r="S1741" s="28"/>
      <x:c r="T1741" s="28"/>
      <x:c r="U1741" s="28"/>
      <x:c r="V1741" s="28"/>
      <x:c r="W1741" s="43" t="n">
        <x:f>--AND(N1741=1,OR(O1741="SUPPORTED",O1741="HALLUCINATION"))</x:f>
        <x:v>0</x:v>
      </x:c>
      <x:c r="X1741" s="43" t="n">
        <x:f>--AND(W1741=1,O1741="HALLUCINATION")</x:f>
        <x:v>0</x:v>
      </x:c>
      <x:c r="Y1741" s="43" t="n">
        <x:f>--AND(Q1741=1,O1741="HALLUCINATION")</x:f>
        <x:v>0</x:v>
      </x:c>
      <x:c r="Z1741" s="43" t="n">
        <x:f>--AND(Y1741=1,R1741=1,S1741=1)</x:f>
        <x:v>0</x:v>
      </x:c>
      <x:c r="AC1741" t="str">
        <x:f>IF(OR(AA1741="",AB1741=""),"",--(AA1741&lt;&gt;AB1741))</x:f>
      </x:c>
      <x:c r="AE1741" t="str">
        <x:f>IF(OR(AA1741="",AB1741=""),"PENDING_HUMAN",IF(AA1741=AB1741,AA1741,IF(AD1741&lt;&gt;"",AD1741,"PENDING_HUMAN")))</x:f>
        <x:v>PENDING_HUMAN</x:v>
      </x:c>
      <x:c r="AF1741" t="n">
        <x:f>--AND(A1741&lt;&gt;"",AA1741&lt;&gt;"",AB1741&lt;&gt;"",OR(AA1741=AB1741,AD1741&lt;&gt;""),IF(AE1741="HALLUCINATION",U1741&lt;&gt;"",TRUE))</x:f>
        <x:v>0</x:v>
      </x:c>
      <x:c r="AG1741" t="n">
        <x:f>--AND(N1741=1,AF1741=1,OR(AE1741="SUPPORTED",AE1741="HALLUCINATION"))</x:f>
        <x:v>0</x:v>
      </x:c>
      <x:c r="AH1741" t="n">
        <x:f>--AND(AG1741=1,AE1741="HALLUCINATION")</x:f>
        <x:v>0</x:v>
      </x:c>
      <x:c r="AI1741" t="n">
        <x:f>--AND(Q1741=1,AF1741=1,AE1741="HALLUCINATION")</x:f>
        <x:v>0</x:v>
      </x:c>
      <x:c r="AJ1741" t="n">
        <x:f>--AND(AI1741=1,R1741=1,S1741=1)</x:f>
        <x:v>0</x:v>
      </x:c>
    </x:row>
    <x:row r="1742">
      <x:c r="A1742" s="28"/>
      <x:c r="B1742" s="28"/>
      <x:c r="C1742" s="28"/>
      <x:c r="D1742" s="28"/>
      <x:c r="E1742" s="28"/>
      <x:c r="F1742" s="28"/>
      <x:c r="G1742" s="28"/>
      <x:c r="H1742" s="28"/>
      <x:c r="I1742" s="28"/>
      <x:c r="J1742" s="28"/>
      <x:c r="K1742" s="28"/>
      <x:c r="L1742" s="28"/>
      <x:c r="M1742" s="28"/>
      <x:c r="N1742" s="28"/>
      <x:c r="O1742" s="28"/>
      <x:c r="P1742" s="28"/>
      <x:c r="Q1742" s="28"/>
      <x:c r="R1742" s="28"/>
      <x:c r="S1742" s="28"/>
      <x:c r="T1742" s="28"/>
      <x:c r="U1742" s="28"/>
      <x:c r="V1742" s="28"/>
      <x:c r="W1742" s="43" t="n">
        <x:f>--AND(N1742=1,OR(O1742="SUPPORTED",O1742="HALLUCINATION"))</x:f>
        <x:v>0</x:v>
      </x:c>
      <x:c r="X1742" s="43" t="n">
        <x:f>--AND(W1742=1,O1742="HALLUCINATION")</x:f>
        <x:v>0</x:v>
      </x:c>
      <x:c r="Y1742" s="43" t="n">
        <x:f>--AND(Q1742=1,O1742="HALLUCINATION")</x:f>
        <x:v>0</x:v>
      </x:c>
      <x:c r="Z1742" s="43" t="n">
        <x:f>--AND(Y1742=1,R1742=1,S1742=1)</x:f>
        <x:v>0</x:v>
      </x:c>
      <x:c r="AC1742" t="str">
        <x:f>IF(OR(AA1742="",AB1742=""),"",--(AA1742&lt;&gt;AB1742))</x:f>
      </x:c>
      <x:c r="AE1742" t="str">
        <x:f>IF(OR(AA1742="",AB1742=""),"PENDING_HUMAN",IF(AA1742=AB1742,AA1742,IF(AD1742&lt;&gt;"",AD1742,"PENDING_HUMAN")))</x:f>
        <x:v>PENDING_HUMAN</x:v>
      </x:c>
      <x:c r="AF1742" t="n">
        <x:f>--AND(A1742&lt;&gt;"",AA1742&lt;&gt;"",AB1742&lt;&gt;"",OR(AA1742=AB1742,AD1742&lt;&gt;""),IF(AE1742="HALLUCINATION",U1742&lt;&gt;"",TRUE))</x:f>
        <x:v>0</x:v>
      </x:c>
      <x:c r="AG1742" t="n">
        <x:f>--AND(N1742=1,AF1742=1,OR(AE1742="SUPPORTED",AE1742="HALLUCINATION"))</x:f>
        <x:v>0</x:v>
      </x:c>
      <x:c r="AH1742" t="n">
        <x:f>--AND(AG1742=1,AE1742="HALLUCINATION")</x:f>
        <x:v>0</x:v>
      </x:c>
      <x:c r="AI1742" t="n">
        <x:f>--AND(Q1742=1,AF1742=1,AE1742="HALLUCINATION")</x:f>
        <x:v>0</x:v>
      </x:c>
      <x:c r="AJ1742" t="n">
        <x:f>--AND(AI1742=1,R1742=1,S1742=1)</x:f>
        <x:v>0</x:v>
      </x:c>
    </x:row>
    <x:row r="1743">
      <x:c r="A1743" s="28"/>
      <x:c r="B1743" s="28"/>
      <x:c r="C1743" s="28"/>
      <x:c r="D1743" s="28"/>
      <x:c r="E1743" s="28"/>
      <x:c r="F1743" s="28"/>
      <x:c r="G1743" s="28"/>
      <x:c r="H1743" s="28"/>
      <x:c r="I1743" s="28"/>
      <x:c r="J1743" s="28"/>
      <x:c r="K1743" s="28"/>
      <x:c r="L1743" s="28"/>
      <x:c r="M1743" s="28"/>
      <x:c r="N1743" s="28"/>
      <x:c r="O1743" s="28"/>
      <x:c r="P1743" s="28"/>
      <x:c r="Q1743" s="28"/>
      <x:c r="R1743" s="28"/>
      <x:c r="S1743" s="28"/>
      <x:c r="T1743" s="28"/>
      <x:c r="U1743" s="28"/>
      <x:c r="V1743" s="28"/>
      <x:c r="W1743" s="43" t="n">
        <x:f>--AND(N1743=1,OR(O1743="SUPPORTED",O1743="HALLUCINATION"))</x:f>
        <x:v>0</x:v>
      </x:c>
      <x:c r="X1743" s="43" t="n">
        <x:f>--AND(W1743=1,O1743="HALLUCINATION")</x:f>
        <x:v>0</x:v>
      </x:c>
      <x:c r="Y1743" s="43" t="n">
        <x:f>--AND(Q1743=1,O1743="HALLUCINATION")</x:f>
        <x:v>0</x:v>
      </x:c>
      <x:c r="Z1743" s="43" t="n">
        <x:f>--AND(Y1743=1,R1743=1,S1743=1)</x:f>
        <x:v>0</x:v>
      </x:c>
      <x:c r="AC1743" t="str">
        <x:f>IF(OR(AA1743="",AB1743=""),"",--(AA1743&lt;&gt;AB1743))</x:f>
      </x:c>
      <x:c r="AE1743" t="str">
        <x:f>IF(OR(AA1743="",AB1743=""),"PENDING_HUMAN",IF(AA1743=AB1743,AA1743,IF(AD1743&lt;&gt;"",AD1743,"PENDING_HUMAN")))</x:f>
        <x:v>PENDING_HUMAN</x:v>
      </x:c>
      <x:c r="AF1743" t="n">
        <x:f>--AND(A1743&lt;&gt;"",AA1743&lt;&gt;"",AB1743&lt;&gt;"",OR(AA1743=AB1743,AD1743&lt;&gt;""),IF(AE1743="HALLUCINATION",U1743&lt;&gt;"",TRUE))</x:f>
        <x:v>0</x:v>
      </x:c>
      <x:c r="AG1743" t="n">
        <x:f>--AND(N1743=1,AF1743=1,OR(AE1743="SUPPORTED",AE1743="HALLUCINATION"))</x:f>
        <x:v>0</x:v>
      </x:c>
      <x:c r="AH1743" t="n">
        <x:f>--AND(AG1743=1,AE1743="HALLUCINATION")</x:f>
        <x:v>0</x:v>
      </x:c>
      <x:c r="AI1743" t="n">
        <x:f>--AND(Q1743=1,AF1743=1,AE1743="HALLUCINATION")</x:f>
        <x:v>0</x:v>
      </x:c>
      <x:c r="AJ1743" t="n">
        <x:f>--AND(AI1743=1,R1743=1,S1743=1)</x:f>
        <x:v>0</x:v>
      </x:c>
    </x:row>
    <x:row r="1744">
      <x:c r="A1744" s="28"/>
      <x:c r="B1744" s="28"/>
      <x:c r="C1744" s="28"/>
      <x:c r="D1744" s="28"/>
      <x:c r="E1744" s="28"/>
      <x:c r="F1744" s="28"/>
      <x:c r="G1744" s="28"/>
      <x:c r="H1744" s="28"/>
      <x:c r="I1744" s="28"/>
      <x:c r="J1744" s="28"/>
      <x:c r="K1744" s="28"/>
      <x:c r="L1744" s="28"/>
      <x:c r="M1744" s="28"/>
      <x:c r="N1744" s="28"/>
      <x:c r="O1744" s="28"/>
      <x:c r="P1744" s="28"/>
      <x:c r="Q1744" s="28"/>
      <x:c r="R1744" s="28"/>
      <x:c r="S1744" s="28"/>
      <x:c r="T1744" s="28"/>
      <x:c r="U1744" s="28"/>
      <x:c r="V1744" s="28"/>
      <x:c r="W1744" s="43" t="n">
        <x:f>--AND(N1744=1,OR(O1744="SUPPORTED",O1744="HALLUCINATION"))</x:f>
        <x:v>0</x:v>
      </x:c>
      <x:c r="X1744" s="43" t="n">
        <x:f>--AND(W1744=1,O1744="HALLUCINATION")</x:f>
        <x:v>0</x:v>
      </x:c>
      <x:c r="Y1744" s="43" t="n">
        <x:f>--AND(Q1744=1,O1744="HALLUCINATION")</x:f>
        <x:v>0</x:v>
      </x:c>
      <x:c r="Z1744" s="43" t="n">
        <x:f>--AND(Y1744=1,R1744=1,S1744=1)</x:f>
        <x:v>0</x:v>
      </x:c>
      <x:c r="AC1744" t="str">
        <x:f>IF(OR(AA1744="",AB1744=""),"",--(AA1744&lt;&gt;AB1744))</x:f>
      </x:c>
      <x:c r="AE1744" t="str">
        <x:f>IF(OR(AA1744="",AB1744=""),"PENDING_HUMAN",IF(AA1744=AB1744,AA1744,IF(AD1744&lt;&gt;"",AD1744,"PENDING_HUMAN")))</x:f>
        <x:v>PENDING_HUMAN</x:v>
      </x:c>
      <x:c r="AF1744" t="n">
        <x:f>--AND(A1744&lt;&gt;"",AA1744&lt;&gt;"",AB1744&lt;&gt;"",OR(AA1744=AB1744,AD1744&lt;&gt;""),IF(AE1744="HALLUCINATION",U1744&lt;&gt;"",TRUE))</x:f>
        <x:v>0</x:v>
      </x:c>
      <x:c r="AG1744" t="n">
        <x:f>--AND(N1744=1,AF1744=1,OR(AE1744="SUPPORTED",AE1744="HALLUCINATION"))</x:f>
        <x:v>0</x:v>
      </x:c>
      <x:c r="AH1744" t="n">
        <x:f>--AND(AG1744=1,AE1744="HALLUCINATION")</x:f>
        <x:v>0</x:v>
      </x:c>
      <x:c r="AI1744" t="n">
        <x:f>--AND(Q1744=1,AF1744=1,AE1744="HALLUCINATION")</x:f>
        <x:v>0</x:v>
      </x:c>
      <x:c r="AJ1744" t="n">
        <x:f>--AND(AI1744=1,R1744=1,S1744=1)</x:f>
        <x:v>0</x:v>
      </x:c>
    </x:row>
    <x:row r="1745">
      <x:c r="A1745" s="28"/>
      <x:c r="B1745" s="28"/>
      <x:c r="C1745" s="28"/>
      <x:c r="D1745" s="28"/>
      <x:c r="E1745" s="28"/>
      <x:c r="F1745" s="28"/>
      <x:c r="G1745" s="28"/>
      <x:c r="H1745" s="28"/>
      <x:c r="I1745" s="28"/>
      <x:c r="J1745" s="28"/>
      <x:c r="K1745" s="28"/>
      <x:c r="L1745" s="28"/>
      <x:c r="M1745" s="28"/>
      <x:c r="N1745" s="28"/>
      <x:c r="O1745" s="28"/>
      <x:c r="P1745" s="28"/>
      <x:c r="Q1745" s="28"/>
      <x:c r="R1745" s="28"/>
      <x:c r="S1745" s="28"/>
      <x:c r="T1745" s="28"/>
      <x:c r="U1745" s="28"/>
      <x:c r="V1745" s="28"/>
      <x:c r="W1745" s="43" t="n">
        <x:f>--AND(N1745=1,OR(O1745="SUPPORTED",O1745="HALLUCINATION"))</x:f>
        <x:v>0</x:v>
      </x:c>
      <x:c r="X1745" s="43" t="n">
        <x:f>--AND(W1745=1,O1745="HALLUCINATION")</x:f>
        <x:v>0</x:v>
      </x:c>
      <x:c r="Y1745" s="43" t="n">
        <x:f>--AND(Q1745=1,O1745="HALLUCINATION")</x:f>
        <x:v>0</x:v>
      </x:c>
      <x:c r="Z1745" s="43" t="n">
        <x:f>--AND(Y1745=1,R1745=1,S1745=1)</x:f>
        <x:v>0</x:v>
      </x:c>
      <x:c r="AC1745" t="str">
        <x:f>IF(OR(AA1745="",AB1745=""),"",--(AA1745&lt;&gt;AB1745))</x:f>
      </x:c>
      <x:c r="AE1745" t="str">
        <x:f>IF(OR(AA1745="",AB1745=""),"PENDING_HUMAN",IF(AA1745=AB1745,AA1745,IF(AD1745&lt;&gt;"",AD1745,"PENDING_HUMAN")))</x:f>
        <x:v>PENDING_HUMAN</x:v>
      </x:c>
      <x:c r="AF1745" t="n">
        <x:f>--AND(A1745&lt;&gt;"",AA1745&lt;&gt;"",AB1745&lt;&gt;"",OR(AA1745=AB1745,AD1745&lt;&gt;""),IF(AE1745="HALLUCINATION",U1745&lt;&gt;"",TRUE))</x:f>
        <x:v>0</x:v>
      </x:c>
      <x:c r="AG1745" t="n">
        <x:f>--AND(N1745=1,AF1745=1,OR(AE1745="SUPPORTED",AE1745="HALLUCINATION"))</x:f>
        <x:v>0</x:v>
      </x:c>
      <x:c r="AH1745" t="n">
        <x:f>--AND(AG1745=1,AE1745="HALLUCINATION")</x:f>
        <x:v>0</x:v>
      </x:c>
      <x:c r="AI1745" t="n">
        <x:f>--AND(Q1745=1,AF1745=1,AE1745="HALLUCINATION")</x:f>
        <x:v>0</x:v>
      </x:c>
      <x:c r="AJ1745" t="n">
        <x:f>--AND(AI1745=1,R1745=1,S1745=1)</x:f>
        <x:v>0</x:v>
      </x:c>
    </x:row>
    <x:row r="1746">
      <x:c r="A1746" s="28"/>
      <x:c r="B1746" s="28"/>
      <x:c r="C1746" s="28"/>
      <x:c r="D1746" s="28"/>
      <x:c r="E1746" s="28"/>
      <x:c r="F1746" s="28"/>
      <x:c r="G1746" s="28"/>
      <x:c r="H1746" s="28"/>
      <x:c r="I1746" s="28"/>
      <x:c r="J1746" s="28"/>
      <x:c r="K1746" s="28"/>
      <x:c r="L1746" s="28"/>
      <x:c r="M1746" s="28"/>
      <x:c r="N1746" s="28"/>
      <x:c r="O1746" s="28"/>
      <x:c r="P1746" s="28"/>
      <x:c r="Q1746" s="28"/>
      <x:c r="R1746" s="28"/>
      <x:c r="S1746" s="28"/>
      <x:c r="T1746" s="28"/>
      <x:c r="U1746" s="28"/>
      <x:c r="V1746" s="28"/>
      <x:c r="W1746" s="43" t="n">
        <x:f>--AND(N1746=1,OR(O1746="SUPPORTED",O1746="HALLUCINATION"))</x:f>
        <x:v>0</x:v>
      </x:c>
      <x:c r="X1746" s="43" t="n">
        <x:f>--AND(W1746=1,O1746="HALLUCINATION")</x:f>
        <x:v>0</x:v>
      </x:c>
      <x:c r="Y1746" s="43" t="n">
        <x:f>--AND(Q1746=1,O1746="HALLUCINATION")</x:f>
        <x:v>0</x:v>
      </x:c>
      <x:c r="Z1746" s="43" t="n">
        <x:f>--AND(Y1746=1,R1746=1,S1746=1)</x:f>
        <x:v>0</x:v>
      </x:c>
      <x:c r="AC1746" t="str">
        <x:f>IF(OR(AA1746="",AB1746=""),"",--(AA1746&lt;&gt;AB1746))</x:f>
      </x:c>
      <x:c r="AE1746" t="str">
        <x:f>IF(OR(AA1746="",AB1746=""),"PENDING_HUMAN",IF(AA1746=AB1746,AA1746,IF(AD1746&lt;&gt;"",AD1746,"PENDING_HUMAN")))</x:f>
        <x:v>PENDING_HUMAN</x:v>
      </x:c>
      <x:c r="AF1746" t="n">
        <x:f>--AND(A1746&lt;&gt;"",AA1746&lt;&gt;"",AB1746&lt;&gt;"",OR(AA1746=AB1746,AD1746&lt;&gt;""),IF(AE1746="HALLUCINATION",U1746&lt;&gt;"",TRUE))</x:f>
        <x:v>0</x:v>
      </x:c>
      <x:c r="AG1746" t="n">
        <x:f>--AND(N1746=1,AF1746=1,OR(AE1746="SUPPORTED",AE1746="HALLUCINATION"))</x:f>
        <x:v>0</x:v>
      </x:c>
      <x:c r="AH1746" t="n">
        <x:f>--AND(AG1746=1,AE1746="HALLUCINATION")</x:f>
        <x:v>0</x:v>
      </x:c>
      <x:c r="AI1746" t="n">
        <x:f>--AND(Q1746=1,AF1746=1,AE1746="HALLUCINATION")</x:f>
        <x:v>0</x:v>
      </x:c>
      <x:c r="AJ1746" t="n">
        <x:f>--AND(AI1746=1,R1746=1,S1746=1)</x:f>
        <x:v>0</x:v>
      </x:c>
    </x:row>
    <x:row r="1747">
      <x:c r="A1747" s="28"/>
      <x:c r="B1747" s="28"/>
      <x:c r="C1747" s="28"/>
      <x:c r="D1747" s="28"/>
      <x:c r="E1747" s="28"/>
      <x:c r="F1747" s="28"/>
      <x:c r="G1747" s="28"/>
      <x:c r="H1747" s="28"/>
      <x:c r="I1747" s="28"/>
      <x:c r="J1747" s="28"/>
      <x:c r="K1747" s="28"/>
      <x:c r="L1747" s="28"/>
      <x:c r="M1747" s="28"/>
      <x:c r="N1747" s="28"/>
      <x:c r="O1747" s="28"/>
      <x:c r="P1747" s="28"/>
      <x:c r="Q1747" s="28"/>
      <x:c r="R1747" s="28"/>
      <x:c r="S1747" s="28"/>
      <x:c r="T1747" s="28"/>
      <x:c r="U1747" s="28"/>
      <x:c r="V1747" s="28"/>
      <x:c r="W1747" s="43" t="n">
        <x:f>--AND(N1747=1,OR(O1747="SUPPORTED",O1747="HALLUCINATION"))</x:f>
        <x:v>0</x:v>
      </x:c>
      <x:c r="X1747" s="43" t="n">
        <x:f>--AND(W1747=1,O1747="HALLUCINATION")</x:f>
        <x:v>0</x:v>
      </x:c>
      <x:c r="Y1747" s="43" t="n">
        <x:f>--AND(Q1747=1,O1747="HALLUCINATION")</x:f>
        <x:v>0</x:v>
      </x:c>
      <x:c r="Z1747" s="43" t="n">
        <x:f>--AND(Y1747=1,R1747=1,S1747=1)</x:f>
        <x:v>0</x:v>
      </x:c>
      <x:c r="AC1747" t="str">
        <x:f>IF(OR(AA1747="",AB1747=""),"",--(AA1747&lt;&gt;AB1747))</x:f>
      </x:c>
      <x:c r="AE1747" t="str">
        <x:f>IF(OR(AA1747="",AB1747=""),"PENDING_HUMAN",IF(AA1747=AB1747,AA1747,IF(AD1747&lt;&gt;"",AD1747,"PENDING_HUMAN")))</x:f>
        <x:v>PENDING_HUMAN</x:v>
      </x:c>
      <x:c r="AF1747" t="n">
        <x:f>--AND(A1747&lt;&gt;"",AA1747&lt;&gt;"",AB1747&lt;&gt;"",OR(AA1747=AB1747,AD1747&lt;&gt;""),IF(AE1747="HALLUCINATION",U1747&lt;&gt;"",TRUE))</x:f>
        <x:v>0</x:v>
      </x:c>
      <x:c r="AG1747" t="n">
        <x:f>--AND(N1747=1,AF1747=1,OR(AE1747="SUPPORTED",AE1747="HALLUCINATION"))</x:f>
        <x:v>0</x:v>
      </x:c>
      <x:c r="AH1747" t="n">
        <x:f>--AND(AG1747=1,AE1747="HALLUCINATION")</x:f>
        <x:v>0</x:v>
      </x:c>
      <x:c r="AI1747" t="n">
        <x:f>--AND(Q1747=1,AF1747=1,AE1747="HALLUCINATION")</x:f>
        <x:v>0</x:v>
      </x:c>
      <x:c r="AJ1747" t="n">
        <x:f>--AND(AI1747=1,R1747=1,S1747=1)</x:f>
        <x:v>0</x:v>
      </x:c>
    </x:row>
    <x:row r="1748">
      <x:c r="A1748" s="28"/>
      <x:c r="B1748" s="28"/>
      <x:c r="C1748" s="28"/>
      <x:c r="D1748" s="28"/>
      <x:c r="E1748" s="28"/>
      <x:c r="F1748" s="28"/>
      <x:c r="G1748" s="28"/>
      <x:c r="H1748" s="28"/>
      <x:c r="I1748" s="28"/>
      <x:c r="J1748" s="28"/>
      <x:c r="K1748" s="28"/>
      <x:c r="L1748" s="28"/>
      <x:c r="M1748" s="28"/>
      <x:c r="N1748" s="28"/>
      <x:c r="O1748" s="28"/>
      <x:c r="P1748" s="28"/>
      <x:c r="Q1748" s="28"/>
      <x:c r="R1748" s="28"/>
      <x:c r="S1748" s="28"/>
      <x:c r="T1748" s="28"/>
      <x:c r="U1748" s="28"/>
      <x:c r="V1748" s="28"/>
      <x:c r="W1748" s="43" t="n">
        <x:f>--AND(N1748=1,OR(O1748="SUPPORTED",O1748="HALLUCINATION"))</x:f>
        <x:v>0</x:v>
      </x:c>
      <x:c r="X1748" s="43" t="n">
        <x:f>--AND(W1748=1,O1748="HALLUCINATION")</x:f>
        <x:v>0</x:v>
      </x:c>
      <x:c r="Y1748" s="43" t="n">
        <x:f>--AND(Q1748=1,O1748="HALLUCINATION")</x:f>
        <x:v>0</x:v>
      </x:c>
      <x:c r="Z1748" s="43" t="n">
        <x:f>--AND(Y1748=1,R1748=1,S1748=1)</x:f>
        <x:v>0</x:v>
      </x:c>
      <x:c r="AC1748" t="str">
        <x:f>IF(OR(AA1748="",AB1748=""),"",--(AA1748&lt;&gt;AB1748))</x:f>
      </x:c>
      <x:c r="AE1748" t="str">
        <x:f>IF(OR(AA1748="",AB1748=""),"PENDING_HUMAN",IF(AA1748=AB1748,AA1748,IF(AD1748&lt;&gt;"",AD1748,"PENDING_HUMAN")))</x:f>
        <x:v>PENDING_HUMAN</x:v>
      </x:c>
      <x:c r="AF1748" t="n">
        <x:f>--AND(A1748&lt;&gt;"",AA1748&lt;&gt;"",AB1748&lt;&gt;"",OR(AA1748=AB1748,AD1748&lt;&gt;""),IF(AE1748="HALLUCINATION",U1748&lt;&gt;"",TRUE))</x:f>
        <x:v>0</x:v>
      </x:c>
      <x:c r="AG1748" t="n">
        <x:f>--AND(N1748=1,AF1748=1,OR(AE1748="SUPPORTED",AE1748="HALLUCINATION"))</x:f>
        <x:v>0</x:v>
      </x:c>
      <x:c r="AH1748" t="n">
        <x:f>--AND(AG1748=1,AE1748="HALLUCINATION")</x:f>
        <x:v>0</x:v>
      </x:c>
      <x:c r="AI1748" t="n">
        <x:f>--AND(Q1748=1,AF1748=1,AE1748="HALLUCINATION")</x:f>
        <x:v>0</x:v>
      </x:c>
      <x:c r="AJ1748" t="n">
        <x:f>--AND(AI1748=1,R1748=1,S1748=1)</x:f>
        <x:v>0</x:v>
      </x:c>
    </x:row>
    <x:row r="1749">
      <x:c r="A1749" s="28"/>
      <x:c r="B1749" s="28"/>
      <x:c r="C1749" s="28"/>
      <x:c r="D1749" s="28"/>
      <x:c r="E1749" s="28"/>
      <x:c r="F1749" s="28"/>
      <x:c r="G1749" s="28"/>
      <x:c r="H1749" s="28"/>
      <x:c r="I1749" s="28"/>
      <x:c r="J1749" s="28"/>
      <x:c r="K1749" s="28"/>
      <x:c r="L1749" s="28"/>
      <x:c r="M1749" s="28"/>
      <x:c r="N1749" s="28"/>
      <x:c r="O1749" s="28"/>
      <x:c r="P1749" s="28"/>
      <x:c r="Q1749" s="28"/>
      <x:c r="R1749" s="28"/>
      <x:c r="S1749" s="28"/>
      <x:c r="T1749" s="28"/>
      <x:c r="U1749" s="28"/>
      <x:c r="V1749" s="28"/>
      <x:c r="W1749" s="43" t="n">
        <x:f>--AND(N1749=1,OR(O1749="SUPPORTED",O1749="HALLUCINATION"))</x:f>
        <x:v>0</x:v>
      </x:c>
      <x:c r="X1749" s="43" t="n">
        <x:f>--AND(W1749=1,O1749="HALLUCINATION")</x:f>
        <x:v>0</x:v>
      </x:c>
      <x:c r="Y1749" s="43" t="n">
        <x:f>--AND(Q1749=1,O1749="HALLUCINATION")</x:f>
        <x:v>0</x:v>
      </x:c>
      <x:c r="Z1749" s="43" t="n">
        <x:f>--AND(Y1749=1,R1749=1,S1749=1)</x:f>
        <x:v>0</x:v>
      </x:c>
      <x:c r="AC1749" t="str">
        <x:f>IF(OR(AA1749="",AB1749=""),"",--(AA1749&lt;&gt;AB1749))</x:f>
      </x:c>
      <x:c r="AE1749" t="str">
        <x:f>IF(OR(AA1749="",AB1749=""),"PENDING_HUMAN",IF(AA1749=AB1749,AA1749,IF(AD1749&lt;&gt;"",AD1749,"PENDING_HUMAN")))</x:f>
        <x:v>PENDING_HUMAN</x:v>
      </x:c>
      <x:c r="AF1749" t="n">
        <x:f>--AND(A1749&lt;&gt;"",AA1749&lt;&gt;"",AB1749&lt;&gt;"",OR(AA1749=AB1749,AD1749&lt;&gt;""),IF(AE1749="HALLUCINATION",U1749&lt;&gt;"",TRUE))</x:f>
        <x:v>0</x:v>
      </x:c>
      <x:c r="AG1749" t="n">
        <x:f>--AND(N1749=1,AF1749=1,OR(AE1749="SUPPORTED",AE1749="HALLUCINATION"))</x:f>
        <x:v>0</x:v>
      </x:c>
      <x:c r="AH1749" t="n">
        <x:f>--AND(AG1749=1,AE1749="HALLUCINATION")</x:f>
        <x:v>0</x:v>
      </x:c>
      <x:c r="AI1749" t="n">
        <x:f>--AND(Q1749=1,AF1749=1,AE1749="HALLUCINATION")</x:f>
        <x:v>0</x:v>
      </x:c>
      <x:c r="AJ1749" t="n">
        <x:f>--AND(AI1749=1,R1749=1,S1749=1)</x:f>
        <x:v>0</x:v>
      </x:c>
    </x:row>
    <x:row r="1750">
      <x:c r="A1750" s="28"/>
      <x:c r="B1750" s="28"/>
      <x:c r="C1750" s="28"/>
      <x:c r="D1750" s="28"/>
      <x:c r="E1750" s="28"/>
      <x:c r="F1750" s="28"/>
      <x:c r="G1750" s="28"/>
      <x:c r="H1750" s="28"/>
      <x:c r="I1750" s="28"/>
      <x:c r="J1750" s="28"/>
      <x:c r="K1750" s="28"/>
      <x:c r="L1750" s="28"/>
      <x:c r="M1750" s="28"/>
      <x:c r="N1750" s="28"/>
      <x:c r="O1750" s="28"/>
      <x:c r="P1750" s="28"/>
      <x:c r="Q1750" s="28"/>
      <x:c r="R1750" s="28"/>
      <x:c r="S1750" s="28"/>
      <x:c r="T1750" s="28"/>
      <x:c r="U1750" s="28"/>
      <x:c r="V1750" s="28"/>
      <x:c r="W1750" s="43" t="n">
        <x:f>--AND(N1750=1,OR(O1750="SUPPORTED",O1750="HALLUCINATION"))</x:f>
        <x:v>0</x:v>
      </x:c>
      <x:c r="X1750" s="43" t="n">
        <x:f>--AND(W1750=1,O1750="HALLUCINATION")</x:f>
        <x:v>0</x:v>
      </x:c>
      <x:c r="Y1750" s="43" t="n">
        <x:f>--AND(Q1750=1,O1750="HALLUCINATION")</x:f>
        <x:v>0</x:v>
      </x:c>
      <x:c r="Z1750" s="43" t="n">
        <x:f>--AND(Y1750=1,R1750=1,S1750=1)</x:f>
        <x:v>0</x:v>
      </x:c>
      <x:c r="AC1750" t="str">
        <x:f>IF(OR(AA1750="",AB1750=""),"",--(AA1750&lt;&gt;AB1750))</x:f>
      </x:c>
      <x:c r="AE1750" t="str">
        <x:f>IF(OR(AA1750="",AB1750=""),"PENDING_HUMAN",IF(AA1750=AB1750,AA1750,IF(AD1750&lt;&gt;"",AD1750,"PENDING_HUMAN")))</x:f>
        <x:v>PENDING_HUMAN</x:v>
      </x:c>
      <x:c r="AF1750" t="n">
        <x:f>--AND(A1750&lt;&gt;"",AA1750&lt;&gt;"",AB1750&lt;&gt;"",OR(AA1750=AB1750,AD1750&lt;&gt;""),IF(AE1750="HALLUCINATION",U1750&lt;&gt;"",TRUE))</x:f>
        <x:v>0</x:v>
      </x:c>
      <x:c r="AG1750" t="n">
        <x:f>--AND(N1750=1,AF1750=1,OR(AE1750="SUPPORTED",AE1750="HALLUCINATION"))</x:f>
        <x:v>0</x:v>
      </x:c>
      <x:c r="AH1750" t="n">
        <x:f>--AND(AG1750=1,AE1750="HALLUCINATION")</x:f>
        <x:v>0</x:v>
      </x:c>
      <x:c r="AI1750" t="n">
        <x:f>--AND(Q1750=1,AF1750=1,AE1750="HALLUCINATION")</x:f>
        <x:v>0</x:v>
      </x:c>
      <x:c r="AJ1750" t="n">
        <x:f>--AND(AI1750=1,R1750=1,S1750=1)</x:f>
        <x:v>0</x:v>
      </x:c>
    </x:row>
    <x:row r="1751">
      <x:c r="A1751" s="28"/>
      <x:c r="B1751" s="28"/>
      <x:c r="C1751" s="28"/>
      <x:c r="D1751" s="28"/>
      <x:c r="E1751" s="28"/>
      <x:c r="F1751" s="28"/>
      <x:c r="G1751" s="28"/>
      <x:c r="H1751" s="28"/>
      <x:c r="I1751" s="28"/>
      <x:c r="J1751" s="28"/>
      <x:c r="K1751" s="28"/>
      <x:c r="L1751" s="28"/>
      <x:c r="M1751" s="28"/>
      <x:c r="N1751" s="28"/>
      <x:c r="O1751" s="28"/>
      <x:c r="P1751" s="28"/>
      <x:c r="Q1751" s="28"/>
      <x:c r="R1751" s="28"/>
      <x:c r="S1751" s="28"/>
      <x:c r="T1751" s="28"/>
      <x:c r="U1751" s="28"/>
      <x:c r="V1751" s="28"/>
      <x:c r="W1751" s="43" t="n">
        <x:f>--AND(N1751=1,OR(O1751="SUPPORTED",O1751="HALLUCINATION"))</x:f>
        <x:v>0</x:v>
      </x:c>
      <x:c r="X1751" s="43" t="n">
        <x:f>--AND(W1751=1,O1751="HALLUCINATION")</x:f>
        <x:v>0</x:v>
      </x:c>
      <x:c r="Y1751" s="43" t="n">
        <x:f>--AND(Q1751=1,O1751="HALLUCINATION")</x:f>
        <x:v>0</x:v>
      </x:c>
      <x:c r="Z1751" s="43" t="n">
        <x:f>--AND(Y1751=1,R1751=1,S1751=1)</x:f>
        <x:v>0</x:v>
      </x:c>
      <x:c r="AC1751" t="str">
        <x:f>IF(OR(AA1751="",AB1751=""),"",--(AA1751&lt;&gt;AB1751))</x:f>
      </x:c>
      <x:c r="AE1751" t="str">
        <x:f>IF(OR(AA1751="",AB1751=""),"PENDING_HUMAN",IF(AA1751=AB1751,AA1751,IF(AD1751&lt;&gt;"",AD1751,"PENDING_HUMAN")))</x:f>
        <x:v>PENDING_HUMAN</x:v>
      </x:c>
      <x:c r="AF1751" t="n">
        <x:f>--AND(A1751&lt;&gt;"",AA1751&lt;&gt;"",AB1751&lt;&gt;"",OR(AA1751=AB1751,AD1751&lt;&gt;""),IF(AE1751="HALLUCINATION",U1751&lt;&gt;"",TRUE))</x:f>
        <x:v>0</x:v>
      </x:c>
      <x:c r="AG1751" t="n">
        <x:f>--AND(N1751=1,AF1751=1,OR(AE1751="SUPPORTED",AE1751="HALLUCINATION"))</x:f>
        <x:v>0</x:v>
      </x:c>
      <x:c r="AH1751" t="n">
        <x:f>--AND(AG1751=1,AE1751="HALLUCINATION")</x:f>
        <x:v>0</x:v>
      </x:c>
      <x:c r="AI1751" t="n">
        <x:f>--AND(Q1751=1,AF1751=1,AE1751="HALLUCINATION")</x:f>
        <x:v>0</x:v>
      </x:c>
      <x:c r="AJ1751" t="n">
        <x:f>--AND(AI1751=1,R1751=1,S1751=1)</x:f>
        <x:v>0</x:v>
      </x:c>
    </x:row>
    <x:row r="1752">
      <x:c r="A1752" s="28"/>
      <x:c r="B1752" s="28"/>
      <x:c r="C1752" s="28"/>
      <x:c r="D1752" s="28"/>
      <x:c r="E1752" s="28"/>
      <x:c r="F1752" s="28"/>
      <x:c r="G1752" s="28"/>
      <x:c r="H1752" s="28"/>
      <x:c r="I1752" s="28"/>
      <x:c r="J1752" s="28"/>
      <x:c r="K1752" s="28"/>
      <x:c r="L1752" s="28"/>
      <x:c r="M1752" s="28"/>
      <x:c r="N1752" s="28"/>
      <x:c r="O1752" s="28"/>
      <x:c r="P1752" s="28"/>
      <x:c r="Q1752" s="28"/>
      <x:c r="R1752" s="28"/>
      <x:c r="S1752" s="28"/>
      <x:c r="T1752" s="28"/>
      <x:c r="U1752" s="28"/>
      <x:c r="V1752" s="28"/>
      <x:c r="W1752" s="43" t="n">
        <x:f>--AND(N1752=1,OR(O1752="SUPPORTED",O1752="HALLUCINATION"))</x:f>
        <x:v>0</x:v>
      </x:c>
      <x:c r="X1752" s="43" t="n">
        <x:f>--AND(W1752=1,O1752="HALLUCINATION")</x:f>
        <x:v>0</x:v>
      </x:c>
      <x:c r="Y1752" s="43" t="n">
        <x:f>--AND(Q1752=1,O1752="HALLUCINATION")</x:f>
        <x:v>0</x:v>
      </x:c>
      <x:c r="Z1752" s="43" t="n">
        <x:f>--AND(Y1752=1,R1752=1,S1752=1)</x:f>
        <x:v>0</x:v>
      </x:c>
      <x:c r="AC1752" t="str">
        <x:f>IF(OR(AA1752="",AB1752=""),"",--(AA1752&lt;&gt;AB1752))</x:f>
      </x:c>
      <x:c r="AE1752" t="str">
        <x:f>IF(OR(AA1752="",AB1752=""),"PENDING_HUMAN",IF(AA1752=AB1752,AA1752,IF(AD1752&lt;&gt;"",AD1752,"PENDING_HUMAN")))</x:f>
        <x:v>PENDING_HUMAN</x:v>
      </x:c>
      <x:c r="AF1752" t="n">
        <x:f>--AND(A1752&lt;&gt;"",AA1752&lt;&gt;"",AB1752&lt;&gt;"",OR(AA1752=AB1752,AD1752&lt;&gt;""),IF(AE1752="HALLUCINATION",U1752&lt;&gt;"",TRUE))</x:f>
        <x:v>0</x:v>
      </x:c>
      <x:c r="AG1752" t="n">
        <x:f>--AND(N1752=1,AF1752=1,OR(AE1752="SUPPORTED",AE1752="HALLUCINATION"))</x:f>
        <x:v>0</x:v>
      </x:c>
      <x:c r="AH1752" t="n">
        <x:f>--AND(AG1752=1,AE1752="HALLUCINATION")</x:f>
        <x:v>0</x:v>
      </x:c>
      <x:c r="AI1752" t="n">
        <x:f>--AND(Q1752=1,AF1752=1,AE1752="HALLUCINATION")</x:f>
        <x:v>0</x:v>
      </x:c>
      <x:c r="AJ1752" t="n">
        <x:f>--AND(AI1752=1,R1752=1,S1752=1)</x:f>
        <x:v>0</x:v>
      </x:c>
    </x:row>
    <x:row r="1753">
      <x:c r="A1753" s="28"/>
      <x:c r="B1753" s="28"/>
      <x:c r="C1753" s="28"/>
      <x:c r="D1753" s="28"/>
      <x:c r="E1753" s="28"/>
      <x:c r="F1753" s="28"/>
      <x:c r="G1753" s="28"/>
      <x:c r="H1753" s="28"/>
      <x:c r="I1753" s="28"/>
      <x:c r="J1753" s="28"/>
      <x:c r="K1753" s="28"/>
      <x:c r="L1753" s="28"/>
      <x:c r="M1753" s="28"/>
      <x:c r="N1753" s="28"/>
      <x:c r="O1753" s="28"/>
      <x:c r="P1753" s="28"/>
      <x:c r="Q1753" s="28"/>
      <x:c r="R1753" s="28"/>
      <x:c r="S1753" s="28"/>
      <x:c r="T1753" s="28"/>
      <x:c r="U1753" s="28"/>
      <x:c r="V1753" s="28"/>
      <x:c r="W1753" s="43" t="n">
        <x:f>--AND(N1753=1,OR(O1753="SUPPORTED",O1753="HALLUCINATION"))</x:f>
        <x:v>0</x:v>
      </x:c>
      <x:c r="X1753" s="43" t="n">
        <x:f>--AND(W1753=1,O1753="HALLUCINATION")</x:f>
        <x:v>0</x:v>
      </x:c>
      <x:c r="Y1753" s="43" t="n">
        <x:f>--AND(Q1753=1,O1753="HALLUCINATION")</x:f>
        <x:v>0</x:v>
      </x:c>
      <x:c r="Z1753" s="43" t="n">
        <x:f>--AND(Y1753=1,R1753=1,S1753=1)</x:f>
        <x:v>0</x:v>
      </x:c>
      <x:c r="AC1753" t="str">
        <x:f>IF(OR(AA1753="",AB1753=""),"",--(AA1753&lt;&gt;AB1753))</x:f>
      </x:c>
      <x:c r="AE1753" t="str">
        <x:f>IF(OR(AA1753="",AB1753=""),"PENDING_HUMAN",IF(AA1753=AB1753,AA1753,IF(AD1753&lt;&gt;"",AD1753,"PENDING_HUMAN")))</x:f>
        <x:v>PENDING_HUMAN</x:v>
      </x:c>
      <x:c r="AF1753" t="n">
        <x:f>--AND(A1753&lt;&gt;"",AA1753&lt;&gt;"",AB1753&lt;&gt;"",OR(AA1753=AB1753,AD1753&lt;&gt;""),IF(AE1753="HALLUCINATION",U1753&lt;&gt;"",TRUE))</x:f>
        <x:v>0</x:v>
      </x:c>
      <x:c r="AG1753" t="n">
        <x:f>--AND(N1753=1,AF1753=1,OR(AE1753="SUPPORTED",AE1753="HALLUCINATION"))</x:f>
        <x:v>0</x:v>
      </x:c>
      <x:c r="AH1753" t="n">
        <x:f>--AND(AG1753=1,AE1753="HALLUCINATION")</x:f>
        <x:v>0</x:v>
      </x:c>
      <x:c r="AI1753" t="n">
        <x:f>--AND(Q1753=1,AF1753=1,AE1753="HALLUCINATION")</x:f>
        <x:v>0</x:v>
      </x:c>
      <x:c r="AJ1753" t="n">
        <x:f>--AND(AI1753=1,R1753=1,S1753=1)</x:f>
        <x:v>0</x:v>
      </x:c>
    </x:row>
    <x:row r="1754">
      <x:c r="A1754" s="28"/>
      <x:c r="B1754" s="28"/>
      <x:c r="C1754" s="28"/>
      <x:c r="D1754" s="28"/>
      <x:c r="E1754" s="28"/>
      <x:c r="F1754" s="28"/>
      <x:c r="G1754" s="28"/>
      <x:c r="H1754" s="28"/>
      <x:c r="I1754" s="28"/>
      <x:c r="J1754" s="28"/>
      <x:c r="K1754" s="28"/>
      <x:c r="L1754" s="28"/>
      <x:c r="M1754" s="28"/>
      <x:c r="N1754" s="28"/>
      <x:c r="O1754" s="28"/>
      <x:c r="P1754" s="28"/>
      <x:c r="Q1754" s="28"/>
      <x:c r="R1754" s="28"/>
      <x:c r="S1754" s="28"/>
      <x:c r="T1754" s="28"/>
      <x:c r="U1754" s="28"/>
      <x:c r="V1754" s="28"/>
      <x:c r="W1754" s="43" t="n">
        <x:f>--AND(N1754=1,OR(O1754="SUPPORTED",O1754="HALLUCINATION"))</x:f>
        <x:v>0</x:v>
      </x:c>
      <x:c r="X1754" s="43" t="n">
        <x:f>--AND(W1754=1,O1754="HALLUCINATION")</x:f>
        <x:v>0</x:v>
      </x:c>
      <x:c r="Y1754" s="43" t="n">
        <x:f>--AND(Q1754=1,O1754="HALLUCINATION")</x:f>
        <x:v>0</x:v>
      </x:c>
      <x:c r="Z1754" s="43" t="n">
        <x:f>--AND(Y1754=1,R1754=1,S1754=1)</x:f>
        <x:v>0</x:v>
      </x:c>
      <x:c r="AC1754" t="str">
        <x:f>IF(OR(AA1754="",AB1754=""),"",--(AA1754&lt;&gt;AB1754))</x:f>
      </x:c>
      <x:c r="AE1754" t="str">
        <x:f>IF(OR(AA1754="",AB1754=""),"PENDING_HUMAN",IF(AA1754=AB1754,AA1754,IF(AD1754&lt;&gt;"",AD1754,"PENDING_HUMAN")))</x:f>
        <x:v>PENDING_HUMAN</x:v>
      </x:c>
      <x:c r="AF1754" t="n">
        <x:f>--AND(A1754&lt;&gt;"",AA1754&lt;&gt;"",AB1754&lt;&gt;"",OR(AA1754=AB1754,AD1754&lt;&gt;""),IF(AE1754="HALLUCINATION",U1754&lt;&gt;"",TRUE))</x:f>
        <x:v>0</x:v>
      </x:c>
      <x:c r="AG1754" t="n">
        <x:f>--AND(N1754=1,AF1754=1,OR(AE1754="SUPPORTED",AE1754="HALLUCINATION"))</x:f>
        <x:v>0</x:v>
      </x:c>
      <x:c r="AH1754" t="n">
        <x:f>--AND(AG1754=1,AE1754="HALLUCINATION")</x:f>
        <x:v>0</x:v>
      </x:c>
      <x:c r="AI1754" t="n">
        <x:f>--AND(Q1754=1,AF1754=1,AE1754="HALLUCINATION")</x:f>
        <x:v>0</x:v>
      </x:c>
      <x:c r="AJ1754" t="n">
        <x:f>--AND(AI1754=1,R1754=1,S1754=1)</x:f>
        <x:v>0</x:v>
      </x:c>
    </x:row>
    <x:row r="1755">
      <x:c r="A1755" s="28"/>
      <x:c r="B1755" s="28"/>
      <x:c r="C1755" s="28"/>
      <x:c r="D1755" s="28"/>
      <x:c r="E1755" s="28"/>
      <x:c r="F1755" s="28"/>
      <x:c r="G1755" s="28"/>
      <x:c r="H1755" s="28"/>
      <x:c r="I1755" s="28"/>
      <x:c r="J1755" s="28"/>
      <x:c r="K1755" s="28"/>
      <x:c r="L1755" s="28"/>
      <x:c r="M1755" s="28"/>
      <x:c r="N1755" s="28"/>
      <x:c r="O1755" s="28"/>
      <x:c r="P1755" s="28"/>
      <x:c r="Q1755" s="28"/>
      <x:c r="R1755" s="28"/>
      <x:c r="S1755" s="28"/>
      <x:c r="T1755" s="28"/>
      <x:c r="U1755" s="28"/>
      <x:c r="V1755" s="28"/>
      <x:c r="W1755" s="43" t="n">
        <x:f>--AND(N1755=1,OR(O1755="SUPPORTED",O1755="HALLUCINATION"))</x:f>
        <x:v>0</x:v>
      </x:c>
      <x:c r="X1755" s="43" t="n">
        <x:f>--AND(W1755=1,O1755="HALLUCINATION")</x:f>
        <x:v>0</x:v>
      </x:c>
      <x:c r="Y1755" s="43" t="n">
        <x:f>--AND(Q1755=1,O1755="HALLUCINATION")</x:f>
        <x:v>0</x:v>
      </x:c>
      <x:c r="Z1755" s="43" t="n">
        <x:f>--AND(Y1755=1,R1755=1,S1755=1)</x:f>
        <x:v>0</x:v>
      </x:c>
      <x:c r="AC1755" t="str">
        <x:f>IF(OR(AA1755="",AB1755=""),"",--(AA1755&lt;&gt;AB1755))</x:f>
      </x:c>
      <x:c r="AE1755" t="str">
        <x:f>IF(OR(AA1755="",AB1755=""),"PENDING_HUMAN",IF(AA1755=AB1755,AA1755,IF(AD1755&lt;&gt;"",AD1755,"PENDING_HUMAN")))</x:f>
        <x:v>PENDING_HUMAN</x:v>
      </x:c>
      <x:c r="AF1755" t="n">
        <x:f>--AND(A1755&lt;&gt;"",AA1755&lt;&gt;"",AB1755&lt;&gt;"",OR(AA1755=AB1755,AD1755&lt;&gt;""),IF(AE1755="HALLUCINATION",U1755&lt;&gt;"",TRUE))</x:f>
        <x:v>0</x:v>
      </x:c>
      <x:c r="AG1755" t="n">
        <x:f>--AND(N1755=1,AF1755=1,OR(AE1755="SUPPORTED",AE1755="HALLUCINATION"))</x:f>
        <x:v>0</x:v>
      </x:c>
      <x:c r="AH1755" t="n">
        <x:f>--AND(AG1755=1,AE1755="HALLUCINATION")</x:f>
        <x:v>0</x:v>
      </x:c>
      <x:c r="AI1755" t="n">
        <x:f>--AND(Q1755=1,AF1755=1,AE1755="HALLUCINATION")</x:f>
        <x:v>0</x:v>
      </x:c>
      <x:c r="AJ1755" t="n">
        <x:f>--AND(AI1755=1,R1755=1,S1755=1)</x:f>
        <x:v>0</x:v>
      </x:c>
    </x:row>
    <x:row r="1756">
      <x:c r="A1756" s="28"/>
      <x:c r="B1756" s="28"/>
      <x:c r="C1756" s="28"/>
      <x:c r="D1756" s="28"/>
      <x:c r="E1756" s="28"/>
      <x:c r="F1756" s="28"/>
      <x:c r="G1756" s="28"/>
      <x:c r="H1756" s="28"/>
      <x:c r="I1756" s="28"/>
      <x:c r="J1756" s="28"/>
      <x:c r="K1756" s="28"/>
      <x:c r="L1756" s="28"/>
      <x:c r="M1756" s="28"/>
      <x:c r="N1756" s="28"/>
      <x:c r="O1756" s="28"/>
      <x:c r="P1756" s="28"/>
      <x:c r="Q1756" s="28"/>
      <x:c r="R1756" s="28"/>
      <x:c r="S1756" s="28"/>
      <x:c r="T1756" s="28"/>
      <x:c r="U1756" s="28"/>
      <x:c r="V1756" s="28"/>
      <x:c r="W1756" s="43" t="n">
        <x:f>--AND(N1756=1,OR(O1756="SUPPORTED",O1756="HALLUCINATION"))</x:f>
        <x:v>0</x:v>
      </x:c>
      <x:c r="X1756" s="43" t="n">
        <x:f>--AND(W1756=1,O1756="HALLUCINATION")</x:f>
        <x:v>0</x:v>
      </x:c>
      <x:c r="Y1756" s="43" t="n">
        <x:f>--AND(Q1756=1,O1756="HALLUCINATION")</x:f>
        <x:v>0</x:v>
      </x:c>
      <x:c r="Z1756" s="43" t="n">
        <x:f>--AND(Y1756=1,R1756=1,S1756=1)</x:f>
        <x:v>0</x:v>
      </x:c>
      <x:c r="AC1756" t="str">
        <x:f>IF(OR(AA1756="",AB1756=""),"",--(AA1756&lt;&gt;AB1756))</x:f>
      </x:c>
      <x:c r="AE1756" t="str">
        <x:f>IF(OR(AA1756="",AB1756=""),"PENDING_HUMAN",IF(AA1756=AB1756,AA1756,IF(AD1756&lt;&gt;"",AD1756,"PENDING_HUMAN")))</x:f>
        <x:v>PENDING_HUMAN</x:v>
      </x:c>
      <x:c r="AF1756" t="n">
        <x:f>--AND(A1756&lt;&gt;"",AA1756&lt;&gt;"",AB1756&lt;&gt;"",OR(AA1756=AB1756,AD1756&lt;&gt;""),IF(AE1756="HALLUCINATION",U1756&lt;&gt;"",TRUE))</x:f>
        <x:v>0</x:v>
      </x:c>
      <x:c r="AG1756" t="n">
        <x:f>--AND(N1756=1,AF1756=1,OR(AE1756="SUPPORTED",AE1756="HALLUCINATION"))</x:f>
        <x:v>0</x:v>
      </x:c>
      <x:c r="AH1756" t="n">
        <x:f>--AND(AG1756=1,AE1756="HALLUCINATION")</x:f>
        <x:v>0</x:v>
      </x:c>
      <x:c r="AI1756" t="n">
        <x:f>--AND(Q1756=1,AF1756=1,AE1756="HALLUCINATION")</x:f>
        <x:v>0</x:v>
      </x:c>
      <x:c r="AJ1756" t="n">
        <x:f>--AND(AI1756=1,R1756=1,S1756=1)</x:f>
        <x:v>0</x:v>
      </x:c>
    </x:row>
    <x:row r="1757">
      <x:c r="A1757" s="28"/>
      <x:c r="B1757" s="28"/>
      <x:c r="C1757" s="28"/>
      <x:c r="D1757" s="28"/>
      <x:c r="E1757" s="28"/>
      <x:c r="F1757" s="28"/>
      <x:c r="G1757" s="28"/>
      <x:c r="H1757" s="28"/>
      <x:c r="I1757" s="28"/>
      <x:c r="J1757" s="28"/>
      <x:c r="K1757" s="28"/>
      <x:c r="L1757" s="28"/>
      <x:c r="M1757" s="28"/>
      <x:c r="N1757" s="28"/>
      <x:c r="O1757" s="28"/>
      <x:c r="P1757" s="28"/>
      <x:c r="Q1757" s="28"/>
      <x:c r="R1757" s="28"/>
      <x:c r="S1757" s="28"/>
      <x:c r="T1757" s="28"/>
      <x:c r="U1757" s="28"/>
      <x:c r="V1757" s="28"/>
      <x:c r="W1757" s="43" t="n">
        <x:f>--AND(N1757=1,OR(O1757="SUPPORTED",O1757="HALLUCINATION"))</x:f>
        <x:v>0</x:v>
      </x:c>
      <x:c r="X1757" s="43" t="n">
        <x:f>--AND(W1757=1,O1757="HALLUCINATION")</x:f>
        <x:v>0</x:v>
      </x:c>
      <x:c r="Y1757" s="43" t="n">
        <x:f>--AND(Q1757=1,O1757="HALLUCINATION")</x:f>
        <x:v>0</x:v>
      </x:c>
      <x:c r="Z1757" s="43" t="n">
        <x:f>--AND(Y1757=1,R1757=1,S1757=1)</x:f>
        <x:v>0</x:v>
      </x:c>
      <x:c r="AC1757" t="str">
        <x:f>IF(OR(AA1757="",AB1757=""),"",--(AA1757&lt;&gt;AB1757))</x:f>
      </x:c>
      <x:c r="AE1757" t="str">
        <x:f>IF(OR(AA1757="",AB1757=""),"PENDING_HUMAN",IF(AA1757=AB1757,AA1757,IF(AD1757&lt;&gt;"",AD1757,"PENDING_HUMAN")))</x:f>
        <x:v>PENDING_HUMAN</x:v>
      </x:c>
      <x:c r="AF1757" t="n">
        <x:f>--AND(A1757&lt;&gt;"",AA1757&lt;&gt;"",AB1757&lt;&gt;"",OR(AA1757=AB1757,AD1757&lt;&gt;""),IF(AE1757="HALLUCINATION",U1757&lt;&gt;"",TRUE))</x:f>
        <x:v>0</x:v>
      </x:c>
      <x:c r="AG1757" t="n">
        <x:f>--AND(N1757=1,AF1757=1,OR(AE1757="SUPPORTED",AE1757="HALLUCINATION"))</x:f>
        <x:v>0</x:v>
      </x:c>
      <x:c r="AH1757" t="n">
        <x:f>--AND(AG1757=1,AE1757="HALLUCINATION")</x:f>
        <x:v>0</x:v>
      </x:c>
      <x:c r="AI1757" t="n">
        <x:f>--AND(Q1757=1,AF1757=1,AE1757="HALLUCINATION")</x:f>
        <x:v>0</x:v>
      </x:c>
      <x:c r="AJ1757" t="n">
        <x:f>--AND(AI1757=1,R1757=1,S1757=1)</x:f>
        <x:v>0</x:v>
      </x:c>
    </x:row>
    <x:row r="1758">
      <x:c r="A1758" s="28"/>
      <x:c r="B1758" s="28"/>
      <x:c r="C1758" s="28"/>
      <x:c r="D1758" s="28"/>
      <x:c r="E1758" s="28"/>
      <x:c r="F1758" s="28"/>
      <x:c r="G1758" s="28"/>
      <x:c r="H1758" s="28"/>
      <x:c r="I1758" s="28"/>
      <x:c r="J1758" s="28"/>
      <x:c r="K1758" s="28"/>
      <x:c r="L1758" s="28"/>
      <x:c r="M1758" s="28"/>
      <x:c r="N1758" s="28"/>
      <x:c r="O1758" s="28"/>
      <x:c r="P1758" s="28"/>
      <x:c r="Q1758" s="28"/>
      <x:c r="R1758" s="28"/>
      <x:c r="S1758" s="28"/>
      <x:c r="T1758" s="28"/>
      <x:c r="U1758" s="28"/>
      <x:c r="V1758" s="28"/>
      <x:c r="W1758" s="43" t="n">
        <x:f>--AND(N1758=1,OR(O1758="SUPPORTED",O1758="HALLUCINATION"))</x:f>
        <x:v>0</x:v>
      </x:c>
      <x:c r="X1758" s="43" t="n">
        <x:f>--AND(W1758=1,O1758="HALLUCINATION")</x:f>
        <x:v>0</x:v>
      </x:c>
      <x:c r="Y1758" s="43" t="n">
        <x:f>--AND(Q1758=1,O1758="HALLUCINATION")</x:f>
        <x:v>0</x:v>
      </x:c>
      <x:c r="Z1758" s="43" t="n">
        <x:f>--AND(Y1758=1,R1758=1,S1758=1)</x:f>
        <x:v>0</x:v>
      </x:c>
      <x:c r="AC1758" t="str">
        <x:f>IF(OR(AA1758="",AB1758=""),"",--(AA1758&lt;&gt;AB1758))</x:f>
      </x:c>
      <x:c r="AE1758" t="str">
        <x:f>IF(OR(AA1758="",AB1758=""),"PENDING_HUMAN",IF(AA1758=AB1758,AA1758,IF(AD1758&lt;&gt;"",AD1758,"PENDING_HUMAN")))</x:f>
        <x:v>PENDING_HUMAN</x:v>
      </x:c>
      <x:c r="AF1758" t="n">
        <x:f>--AND(A1758&lt;&gt;"",AA1758&lt;&gt;"",AB1758&lt;&gt;"",OR(AA1758=AB1758,AD1758&lt;&gt;""),IF(AE1758="HALLUCINATION",U1758&lt;&gt;"",TRUE))</x:f>
        <x:v>0</x:v>
      </x:c>
      <x:c r="AG1758" t="n">
        <x:f>--AND(N1758=1,AF1758=1,OR(AE1758="SUPPORTED",AE1758="HALLUCINATION"))</x:f>
        <x:v>0</x:v>
      </x:c>
      <x:c r="AH1758" t="n">
        <x:f>--AND(AG1758=1,AE1758="HALLUCINATION")</x:f>
        <x:v>0</x:v>
      </x:c>
      <x:c r="AI1758" t="n">
        <x:f>--AND(Q1758=1,AF1758=1,AE1758="HALLUCINATION")</x:f>
        <x:v>0</x:v>
      </x:c>
      <x:c r="AJ1758" t="n">
        <x:f>--AND(AI1758=1,R1758=1,S1758=1)</x:f>
        <x:v>0</x:v>
      </x:c>
    </x:row>
    <x:row r="1759">
      <x:c r="A1759" s="28"/>
      <x:c r="B1759" s="28"/>
      <x:c r="C1759" s="28"/>
      <x:c r="D1759" s="28"/>
      <x:c r="E1759" s="28"/>
      <x:c r="F1759" s="28"/>
      <x:c r="G1759" s="28"/>
      <x:c r="H1759" s="28"/>
      <x:c r="I1759" s="28"/>
      <x:c r="J1759" s="28"/>
      <x:c r="K1759" s="28"/>
      <x:c r="L1759" s="28"/>
      <x:c r="M1759" s="28"/>
      <x:c r="N1759" s="28"/>
      <x:c r="O1759" s="28"/>
      <x:c r="P1759" s="28"/>
      <x:c r="Q1759" s="28"/>
      <x:c r="R1759" s="28"/>
      <x:c r="S1759" s="28"/>
      <x:c r="T1759" s="28"/>
      <x:c r="U1759" s="28"/>
      <x:c r="V1759" s="28"/>
      <x:c r="W1759" s="43" t="n">
        <x:f>--AND(N1759=1,OR(O1759="SUPPORTED",O1759="HALLUCINATION"))</x:f>
        <x:v>0</x:v>
      </x:c>
      <x:c r="X1759" s="43" t="n">
        <x:f>--AND(W1759=1,O1759="HALLUCINATION")</x:f>
        <x:v>0</x:v>
      </x:c>
      <x:c r="Y1759" s="43" t="n">
        <x:f>--AND(Q1759=1,O1759="HALLUCINATION")</x:f>
        <x:v>0</x:v>
      </x:c>
      <x:c r="Z1759" s="43" t="n">
        <x:f>--AND(Y1759=1,R1759=1,S1759=1)</x:f>
        <x:v>0</x:v>
      </x:c>
      <x:c r="AC1759" t="str">
        <x:f>IF(OR(AA1759="",AB1759=""),"",--(AA1759&lt;&gt;AB1759))</x:f>
      </x:c>
      <x:c r="AE1759" t="str">
        <x:f>IF(OR(AA1759="",AB1759=""),"PENDING_HUMAN",IF(AA1759=AB1759,AA1759,IF(AD1759&lt;&gt;"",AD1759,"PENDING_HUMAN")))</x:f>
        <x:v>PENDING_HUMAN</x:v>
      </x:c>
      <x:c r="AF1759" t="n">
        <x:f>--AND(A1759&lt;&gt;"",AA1759&lt;&gt;"",AB1759&lt;&gt;"",OR(AA1759=AB1759,AD1759&lt;&gt;""),IF(AE1759="HALLUCINATION",U1759&lt;&gt;"",TRUE))</x:f>
        <x:v>0</x:v>
      </x:c>
      <x:c r="AG1759" t="n">
        <x:f>--AND(N1759=1,AF1759=1,OR(AE1759="SUPPORTED",AE1759="HALLUCINATION"))</x:f>
        <x:v>0</x:v>
      </x:c>
      <x:c r="AH1759" t="n">
        <x:f>--AND(AG1759=1,AE1759="HALLUCINATION")</x:f>
        <x:v>0</x:v>
      </x:c>
      <x:c r="AI1759" t="n">
        <x:f>--AND(Q1759=1,AF1759=1,AE1759="HALLUCINATION")</x:f>
        <x:v>0</x:v>
      </x:c>
      <x:c r="AJ1759" t="n">
        <x:f>--AND(AI1759=1,R1759=1,S1759=1)</x:f>
        <x:v>0</x:v>
      </x:c>
    </x:row>
    <x:row r="1760">
      <x:c r="A1760" s="28"/>
      <x:c r="B1760" s="28"/>
      <x:c r="C1760" s="28"/>
      <x:c r="D1760" s="28"/>
      <x:c r="E1760" s="28"/>
      <x:c r="F1760" s="28"/>
      <x:c r="G1760" s="28"/>
      <x:c r="H1760" s="28"/>
      <x:c r="I1760" s="28"/>
      <x:c r="J1760" s="28"/>
      <x:c r="K1760" s="28"/>
      <x:c r="L1760" s="28"/>
      <x:c r="M1760" s="28"/>
      <x:c r="N1760" s="28"/>
      <x:c r="O1760" s="28"/>
      <x:c r="P1760" s="28"/>
      <x:c r="Q1760" s="28"/>
      <x:c r="R1760" s="28"/>
      <x:c r="S1760" s="28"/>
      <x:c r="T1760" s="28"/>
      <x:c r="U1760" s="28"/>
      <x:c r="V1760" s="28"/>
      <x:c r="W1760" s="43" t="n">
        <x:f>--AND(N1760=1,OR(O1760="SUPPORTED",O1760="HALLUCINATION"))</x:f>
        <x:v>0</x:v>
      </x:c>
      <x:c r="X1760" s="43" t="n">
        <x:f>--AND(W1760=1,O1760="HALLUCINATION")</x:f>
        <x:v>0</x:v>
      </x:c>
      <x:c r="Y1760" s="43" t="n">
        <x:f>--AND(Q1760=1,O1760="HALLUCINATION")</x:f>
        <x:v>0</x:v>
      </x:c>
      <x:c r="Z1760" s="43" t="n">
        <x:f>--AND(Y1760=1,R1760=1,S1760=1)</x:f>
        <x:v>0</x:v>
      </x:c>
      <x:c r="AC1760" t="str">
        <x:f>IF(OR(AA1760="",AB1760=""),"",--(AA1760&lt;&gt;AB1760))</x:f>
      </x:c>
      <x:c r="AE1760" t="str">
        <x:f>IF(OR(AA1760="",AB1760=""),"PENDING_HUMAN",IF(AA1760=AB1760,AA1760,IF(AD1760&lt;&gt;"",AD1760,"PENDING_HUMAN")))</x:f>
        <x:v>PENDING_HUMAN</x:v>
      </x:c>
      <x:c r="AF1760" t="n">
        <x:f>--AND(A1760&lt;&gt;"",AA1760&lt;&gt;"",AB1760&lt;&gt;"",OR(AA1760=AB1760,AD1760&lt;&gt;""),IF(AE1760="HALLUCINATION",U1760&lt;&gt;"",TRUE))</x:f>
        <x:v>0</x:v>
      </x:c>
      <x:c r="AG1760" t="n">
        <x:f>--AND(N1760=1,AF1760=1,OR(AE1760="SUPPORTED",AE1760="HALLUCINATION"))</x:f>
        <x:v>0</x:v>
      </x:c>
      <x:c r="AH1760" t="n">
        <x:f>--AND(AG1760=1,AE1760="HALLUCINATION")</x:f>
        <x:v>0</x:v>
      </x:c>
      <x:c r="AI1760" t="n">
        <x:f>--AND(Q1760=1,AF1760=1,AE1760="HALLUCINATION")</x:f>
        <x:v>0</x:v>
      </x:c>
      <x:c r="AJ1760" t="n">
        <x:f>--AND(AI1760=1,R1760=1,S1760=1)</x:f>
        <x:v>0</x:v>
      </x:c>
    </x:row>
    <x:row r="1761">
      <x:c r="A1761" s="28"/>
      <x:c r="B1761" s="28"/>
      <x:c r="C1761" s="28"/>
      <x:c r="D1761" s="28"/>
      <x:c r="E1761" s="28"/>
      <x:c r="F1761" s="28"/>
      <x:c r="G1761" s="28"/>
      <x:c r="H1761" s="28"/>
      <x:c r="I1761" s="28"/>
      <x:c r="J1761" s="28"/>
      <x:c r="K1761" s="28"/>
      <x:c r="L1761" s="28"/>
      <x:c r="M1761" s="28"/>
      <x:c r="N1761" s="28"/>
      <x:c r="O1761" s="28"/>
      <x:c r="P1761" s="28"/>
      <x:c r="Q1761" s="28"/>
      <x:c r="R1761" s="28"/>
      <x:c r="S1761" s="28"/>
      <x:c r="T1761" s="28"/>
      <x:c r="U1761" s="28"/>
      <x:c r="V1761" s="28"/>
      <x:c r="W1761" s="43" t="n">
        <x:f>--AND(N1761=1,OR(O1761="SUPPORTED",O1761="HALLUCINATION"))</x:f>
        <x:v>0</x:v>
      </x:c>
      <x:c r="X1761" s="43" t="n">
        <x:f>--AND(W1761=1,O1761="HALLUCINATION")</x:f>
        <x:v>0</x:v>
      </x:c>
      <x:c r="Y1761" s="43" t="n">
        <x:f>--AND(Q1761=1,O1761="HALLUCINATION")</x:f>
        <x:v>0</x:v>
      </x:c>
      <x:c r="Z1761" s="43" t="n">
        <x:f>--AND(Y1761=1,R1761=1,S1761=1)</x:f>
        <x:v>0</x:v>
      </x:c>
      <x:c r="AC1761" t="str">
        <x:f>IF(OR(AA1761="",AB1761=""),"",--(AA1761&lt;&gt;AB1761))</x:f>
      </x:c>
      <x:c r="AE1761" t="str">
        <x:f>IF(OR(AA1761="",AB1761=""),"PENDING_HUMAN",IF(AA1761=AB1761,AA1761,IF(AD1761&lt;&gt;"",AD1761,"PENDING_HUMAN")))</x:f>
        <x:v>PENDING_HUMAN</x:v>
      </x:c>
      <x:c r="AF1761" t="n">
        <x:f>--AND(A1761&lt;&gt;"",AA1761&lt;&gt;"",AB1761&lt;&gt;"",OR(AA1761=AB1761,AD1761&lt;&gt;""),IF(AE1761="HALLUCINATION",U1761&lt;&gt;"",TRUE))</x:f>
        <x:v>0</x:v>
      </x:c>
      <x:c r="AG1761" t="n">
        <x:f>--AND(N1761=1,AF1761=1,OR(AE1761="SUPPORTED",AE1761="HALLUCINATION"))</x:f>
        <x:v>0</x:v>
      </x:c>
      <x:c r="AH1761" t="n">
        <x:f>--AND(AG1761=1,AE1761="HALLUCINATION")</x:f>
        <x:v>0</x:v>
      </x:c>
      <x:c r="AI1761" t="n">
        <x:f>--AND(Q1761=1,AF1761=1,AE1761="HALLUCINATION")</x:f>
        <x:v>0</x:v>
      </x:c>
      <x:c r="AJ1761" t="n">
        <x:f>--AND(AI1761=1,R1761=1,S1761=1)</x:f>
        <x:v>0</x:v>
      </x:c>
    </x:row>
    <x:row r="1762">
      <x:c r="A1762" s="28"/>
      <x:c r="B1762" s="28"/>
      <x:c r="C1762" s="28"/>
      <x:c r="D1762" s="28"/>
      <x:c r="E1762" s="28"/>
      <x:c r="F1762" s="28"/>
      <x:c r="G1762" s="28"/>
      <x:c r="H1762" s="28"/>
      <x:c r="I1762" s="28"/>
      <x:c r="J1762" s="28"/>
      <x:c r="K1762" s="28"/>
      <x:c r="L1762" s="28"/>
      <x:c r="M1762" s="28"/>
      <x:c r="N1762" s="28"/>
      <x:c r="O1762" s="28"/>
      <x:c r="P1762" s="28"/>
      <x:c r="Q1762" s="28"/>
      <x:c r="R1762" s="28"/>
      <x:c r="S1762" s="28"/>
      <x:c r="T1762" s="28"/>
      <x:c r="U1762" s="28"/>
      <x:c r="V1762" s="28"/>
      <x:c r="W1762" s="43" t="n">
        <x:f>--AND(N1762=1,OR(O1762="SUPPORTED",O1762="HALLUCINATION"))</x:f>
        <x:v>0</x:v>
      </x:c>
      <x:c r="X1762" s="43" t="n">
        <x:f>--AND(W1762=1,O1762="HALLUCINATION")</x:f>
        <x:v>0</x:v>
      </x:c>
      <x:c r="Y1762" s="43" t="n">
        <x:f>--AND(Q1762=1,O1762="HALLUCINATION")</x:f>
        <x:v>0</x:v>
      </x:c>
      <x:c r="Z1762" s="43" t="n">
        <x:f>--AND(Y1762=1,R1762=1,S1762=1)</x:f>
        <x:v>0</x:v>
      </x:c>
      <x:c r="AC1762" t="str">
        <x:f>IF(OR(AA1762="",AB1762=""),"",--(AA1762&lt;&gt;AB1762))</x:f>
      </x:c>
      <x:c r="AE1762" t="str">
        <x:f>IF(OR(AA1762="",AB1762=""),"PENDING_HUMAN",IF(AA1762=AB1762,AA1762,IF(AD1762&lt;&gt;"",AD1762,"PENDING_HUMAN")))</x:f>
        <x:v>PENDING_HUMAN</x:v>
      </x:c>
      <x:c r="AF1762" t="n">
        <x:f>--AND(A1762&lt;&gt;"",AA1762&lt;&gt;"",AB1762&lt;&gt;"",OR(AA1762=AB1762,AD1762&lt;&gt;""),IF(AE1762="HALLUCINATION",U1762&lt;&gt;"",TRUE))</x:f>
        <x:v>0</x:v>
      </x:c>
      <x:c r="AG1762" t="n">
        <x:f>--AND(N1762=1,AF1762=1,OR(AE1762="SUPPORTED",AE1762="HALLUCINATION"))</x:f>
        <x:v>0</x:v>
      </x:c>
      <x:c r="AH1762" t="n">
        <x:f>--AND(AG1762=1,AE1762="HALLUCINATION")</x:f>
        <x:v>0</x:v>
      </x:c>
      <x:c r="AI1762" t="n">
        <x:f>--AND(Q1762=1,AF1762=1,AE1762="HALLUCINATION")</x:f>
        <x:v>0</x:v>
      </x:c>
      <x:c r="AJ1762" t="n">
        <x:f>--AND(AI1762=1,R1762=1,S1762=1)</x:f>
        <x:v>0</x:v>
      </x:c>
    </x:row>
    <x:row r="1763">
      <x:c r="A1763" s="28"/>
      <x:c r="B1763" s="28"/>
      <x:c r="C1763" s="28"/>
      <x:c r="D1763" s="28"/>
      <x:c r="E1763" s="28"/>
      <x:c r="F1763" s="28"/>
      <x:c r="G1763" s="28"/>
      <x:c r="H1763" s="28"/>
      <x:c r="I1763" s="28"/>
      <x:c r="J1763" s="28"/>
      <x:c r="K1763" s="28"/>
      <x:c r="L1763" s="28"/>
      <x:c r="M1763" s="28"/>
      <x:c r="N1763" s="28"/>
      <x:c r="O1763" s="28"/>
      <x:c r="P1763" s="28"/>
      <x:c r="Q1763" s="28"/>
      <x:c r="R1763" s="28"/>
      <x:c r="S1763" s="28"/>
      <x:c r="T1763" s="28"/>
      <x:c r="U1763" s="28"/>
      <x:c r="V1763" s="28"/>
      <x:c r="W1763" s="43" t="n">
        <x:f>--AND(N1763=1,OR(O1763="SUPPORTED",O1763="HALLUCINATION"))</x:f>
        <x:v>0</x:v>
      </x:c>
      <x:c r="X1763" s="43" t="n">
        <x:f>--AND(W1763=1,O1763="HALLUCINATION")</x:f>
        <x:v>0</x:v>
      </x:c>
      <x:c r="Y1763" s="43" t="n">
        <x:f>--AND(Q1763=1,O1763="HALLUCINATION")</x:f>
        <x:v>0</x:v>
      </x:c>
      <x:c r="Z1763" s="43" t="n">
        <x:f>--AND(Y1763=1,R1763=1,S1763=1)</x:f>
        <x:v>0</x:v>
      </x:c>
      <x:c r="AC1763" t="str">
        <x:f>IF(OR(AA1763="",AB1763=""),"",--(AA1763&lt;&gt;AB1763))</x:f>
      </x:c>
      <x:c r="AE1763" t="str">
        <x:f>IF(OR(AA1763="",AB1763=""),"PENDING_HUMAN",IF(AA1763=AB1763,AA1763,IF(AD1763&lt;&gt;"",AD1763,"PENDING_HUMAN")))</x:f>
        <x:v>PENDING_HUMAN</x:v>
      </x:c>
      <x:c r="AF1763" t="n">
        <x:f>--AND(A1763&lt;&gt;"",AA1763&lt;&gt;"",AB1763&lt;&gt;"",OR(AA1763=AB1763,AD1763&lt;&gt;""),IF(AE1763="HALLUCINATION",U1763&lt;&gt;"",TRUE))</x:f>
        <x:v>0</x:v>
      </x:c>
      <x:c r="AG1763" t="n">
        <x:f>--AND(N1763=1,AF1763=1,OR(AE1763="SUPPORTED",AE1763="HALLUCINATION"))</x:f>
        <x:v>0</x:v>
      </x:c>
      <x:c r="AH1763" t="n">
        <x:f>--AND(AG1763=1,AE1763="HALLUCINATION")</x:f>
        <x:v>0</x:v>
      </x:c>
      <x:c r="AI1763" t="n">
        <x:f>--AND(Q1763=1,AF1763=1,AE1763="HALLUCINATION")</x:f>
        <x:v>0</x:v>
      </x:c>
      <x:c r="AJ1763" t="n">
        <x:f>--AND(AI1763=1,R1763=1,S1763=1)</x:f>
        <x:v>0</x:v>
      </x:c>
    </x:row>
    <x:row r="1764">
      <x:c r="A1764" s="28"/>
      <x:c r="B1764" s="28"/>
      <x:c r="C1764" s="28"/>
      <x:c r="D1764" s="28"/>
      <x:c r="E1764" s="28"/>
      <x:c r="F1764" s="28"/>
      <x:c r="G1764" s="28"/>
      <x:c r="H1764" s="28"/>
      <x:c r="I1764" s="28"/>
      <x:c r="J1764" s="28"/>
      <x:c r="K1764" s="28"/>
      <x:c r="L1764" s="28"/>
      <x:c r="M1764" s="28"/>
      <x:c r="N1764" s="28"/>
      <x:c r="O1764" s="28"/>
      <x:c r="P1764" s="28"/>
      <x:c r="Q1764" s="28"/>
      <x:c r="R1764" s="28"/>
      <x:c r="S1764" s="28"/>
      <x:c r="T1764" s="28"/>
      <x:c r="U1764" s="28"/>
      <x:c r="V1764" s="28"/>
      <x:c r="W1764" s="43" t="n">
        <x:f>--AND(N1764=1,OR(O1764="SUPPORTED",O1764="HALLUCINATION"))</x:f>
        <x:v>0</x:v>
      </x:c>
      <x:c r="X1764" s="43" t="n">
        <x:f>--AND(W1764=1,O1764="HALLUCINATION")</x:f>
        <x:v>0</x:v>
      </x:c>
      <x:c r="Y1764" s="43" t="n">
        <x:f>--AND(Q1764=1,O1764="HALLUCINATION")</x:f>
        <x:v>0</x:v>
      </x:c>
      <x:c r="Z1764" s="43" t="n">
        <x:f>--AND(Y1764=1,R1764=1,S1764=1)</x:f>
        <x:v>0</x:v>
      </x:c>
      <x:c r="AC1764" t="str">
        <x:f>IF(OR(AA1764="",AB1764=""),"",--(AA1764&lt;&gt;AB1764))</x:f>
      </x:c>
      <x:c r="AE1764" t="str">
        <x:f>IF(OR(AA1764="",AB1764=""),"PENDING_HUMAN",IF(AA1764=AB1764,AA1764,IF(AD1764&lt;&gt;"",AD1764,"PENDING_HUMAN")))</x:f>
        <x:v>PENDING_HUMAN</x:v>
      </x:c>
      <x:c r="AF1764" t="n">
        <x:f>--AND(A1764&lt;&gt;"",AA1764&lt;&gt;"",AB1764&lt;&gt;"",OR(AA1764=AB1764,AD1764&lt;&gt;""),IF(AE1764="HALLUCINATION",U1764&lt;&gt;"",TRUE))</x:f>
        <x:v>0</x:v>
      </x:c>
      <x:c r="AG1764" t="n">
        <x:f>--AND(N1764=1,AF1764=1,OR(AE1764="SUPPORTED",AE1764="HALLUCINATION"))</x:f>
        <x:v>0</x:v>
      </x:c>
      <x:c r="AH1764" t="n">
        <x:f>--AND(AG1764=1,AE1764="HALLUCINATION")</x:f>
        <x:v>0</x:v>
      </x:c>
      <x:c r="AI1764" t="n">
        <x:f>--AND(Q1764=1,AF1764=1,AE1764="HALLUCINATION")</x:f>
        <x:v>0</x:v>
      </x:c>
      <x:c r="AJ1764" t="n">
        <x:f>--AND(AI1764=1,R1764=1,S1764=1)</x:f>
        <x:v>0</x:v>
      </x:c>
    </x:row>
    <x:row r="1765">
      <x:c r="A1765" s="28"/>
      <x:c r="B1765" s="28"/>
      <x:c r="C1765" s="28"/>
      <x:c r="D1765" s="28"/>
      <x:c r="E1765" s="28"/>
      <x:c r="F1765" s="28"/>
      <x:c r="G1765" s="28"/>
      <x:c r="H1765" s="28"/>
      <x:c r="I1765" s="28"/>
      <x:c r="J1765" s="28"/>
      <x:c r="K1765" s="28"/>
      <x:c r="L1765" s="28"/>
      <x:c r="M1765" s="28"/>
      <x:c r="N1765" s="28"/>
      <x:c r="O1765" s="28"/>
      <x:c r="P1765" s="28"/>
      <x:c r="Q1765" s="28"/>
      <x:c r="R1765" s="28"/>
      <x:c r="S1765" s="28"/>
      <x:c r="T1765" s="28"/>
      <x:c r="U1765" s="28"/>
      <x:c r="V1765" s="28"/>
      <x:c r="W1765" s="43" t="n">
        <x:f>--AND(N1765=1,OR(O1765="SUPPORTED",O1765="HALLUCINATION"))</x:f>
        <x:v>0</x:v>
      </x:c>
      <x:c r="X1765" s="43" t="n">
        <x:f>--AND(W1765=1,O1765="HALLUCINATION")</x:f>
        <x:v>0</x:v>
      </x:c>
      <x:c r="Y1765" s="43" t="n">
        <x:f>--AND(Q1765=1,O1765="HALLUCINATION")</x:f>
        <x:v>0</x:v>
      </x:c>
      <x:c r="Z1765" s="43" t="n">
        <x:f>--AND(Y1765=1,R1765=1,S1765=1)</x:f>
        <x:v>0</x:v>
      </x:c>
      <x:c r="AC1765" t="str">
        <x:f>IF(OR(AA1765="",AB1765=""),"",--(AA1765&lt;&gt;AB1765))</x:f>
      </x:c>
      <x:c r="AE1765" t="str">
        <x:f>IF(OR(AA1765="",AB1765=""),"PENDING_HUMAN",IF(AA1765=AB1765,AA1765,IF(AD1765&lt;&gt;"",AD1765,"PENDING_HUMAN")))</x:f>
        <x:v>PENDING_HUMAN</x:v>
      </x:c>
      <x:c r="AF1765" t="n">
        <x:f>--AND(A1765&lt;&gt;"",AA1765&lt;&gt;"",AB1765&lt;&gt;"",OR(AA1765=AB1765,AD1765&lt;&gt;""),IF(AE1765="HALLUCINATION",U1765&lt;&gt;"",TRUE))</x:f>
        <x:v>0</x:v>
      </x:c>
      <x:c r="AG1765" t="n">
        <x:f>--AND(N1765=1,AF1765=1,OR(AE1765="SUPPORTED",AE1765="HALLUCINATION"))</x:f>
        <x:v>0</x:v>
      </x:c>
      <x:c r="AH1765" t="n">
        <x:f>--AND(AG1765=1,AE1765="HALLUCINATION")</x:f>
        <x:v>0</x:v>
      </x:c>
      <x:c r="AI1765" t="n">
        <x:f>--AND(Q1765=1,AF1765=1,AE1765="HALLUCINATION")</x:f>
        <x:v>0</x:v>
      </x:c>
      <x:c r="AJ1765" t="n">
        <x:f>--AND(AI1765=1,R1765=1,S1765=1)</x:f>
        <x:v>0</x:v>
      </x:c>
    </x:row>
    <x:row r="1766">
      <x:c r="A1766" s="28"/>
      <x:c r="B1766" s="28"/>
      <x:c r="C1766" s="28"/>
      <x:c r="D1766" s="28"/>
      <x:c r="E1766" s="28"/>
      <x:c r="F1766" s="28"/>
      <x:c r="G1766" s="28"/>
      <x:c r="H1766" s="28"/>
      <x:c r="I1766" s="28"/>
      <x:c r="J1766" s="28"/>
      <x:c r="K1766" s="28"/>
      <x:c r="L1766" s="28"/>
      <x:c r="M1766" s="28"/>
      <x:c r="N1766" s="28"/>
      <x:c r="O1766" s="28"/>
      <x:c r="P1766" s="28"/>
      <x:c r="Q1766" s="28"/>
      <x:c r="R1766" s="28"/>
      <x:c r="S1766" s="28"/>
      <x:c r="T1766" s="28"/>
      <x:c r="U1766" s="28"/>
      <x:c r="V1766" s="28"/>
      <x:c r="W1766" s="43" t="n">
        <x:f>--AND(N1766=1,OR(O1766="SUPPORTED",O1766="HALLUCINATION"))</x:f>
        <x:v>0</x:v>
      </x:c>
      <x:c r="X1766" s="43" t="n">
        <x:f>--AND(W1766=1,O1766="HALLUCINATION")</x:f>
        <x:v>0</x:v>
      </x:c>
      <x:c r="Y1766" s="43" t="n">
        <x:f>--AND(Q1766=1,O1766="HALLUCINATION")</x:f>
        <x:v>0</x:v>
      </x:c>
      <x:c r="Z1766" s="43" t="n">
        <x:f>--AND(Y1766=1,R1766=1,S1766=1)</x:f>
        <x:v>0</x:v>
      </x:c>
      <x:c r="AC1766" t="str">
        <x:f>IF(OR(AA1766="",AB1766=""),"",--(AA1766&lt;&gt;AB1766))</x:f>
      </x:c>
      <x:c r="AE1766" t="str">
        <x:f>IF(OR(AA1766="",AB1766=""),"PENDING_HUMAN",IF(AA1766=AB1766,AA1766,IF(AD1766&lt;&gt;"",AD1766,"PENDING_HUMAN")))</x:f>
        <x:v>PENDING_HUMAN</x:v>
      </x:c>
      <x:c r="AF1766" t="n">
        <x:f>--AND(A1766&lt;&gt;"",AA1766&lt;&gt;"",AB1766&lt;&gt;"",OR(AA1766=AB1766,AD1766&lt;&gt;""),IF(AE1766="HALLUCINATION",U1766&lt;&gt;"",TRUE))</x:f>
        <x:v>0</x:v>
      </x:c>
      <x:c r="AG1766" t="n">
        <x:f>--AND(N1766=1,AF1766=1,OR(AE1766="SUPPORTED",AE1766="HALLUCINATION"))</x:f>
        <x:v>0</x:v>
      </x:c>
      <x:c r="AH1766" t="n">
        <x:f>--AND(AG1766=1,AE1766="HALLUCINATION")</x:f>
        <x:v>0</x:v>
      </x:c>
      <x:c r="AI1766" t="n">
        <x:f>--AND(Q1766=1,AF1766=1,AE1766="HALLUCINATION")</x:f>
        <x:v>0</x:v>
      </x:c>
      <x:c r="AJ1766" t="n">
        <x:f>--AND(AI1766=1,R1766=1,S1766=1)</x:f>
        <x:v>0</x:v>
      </x:c>
    </x:row>
    <x:row r="1767">
      <x:c r="A1767" s="28"/>
      <x:c r="B1767" s="28"/>
      <x:c r="C1767" s="28"/>
      <x:c r="D1767" s="28"/>
      <x:c r="E1767" s="28"/>
      <x:c r="F1767" s="28"/>
      <x:c r="G1767" s="28"/>
      <x:c r="H1767" s="28"/>
      <x:c r="I1767" s="28"/>
      <x:c r="J1767" s="28"/>
      <x:c r="K1767" s="28"/>
      <x:c r="L1767" s="28"/>
      <x:c r="M1767" s="28"/>
      <x:c r="N1767" s="28"/>
      <x:c r="O1767" s="28"/>
      <x:c r="P1767" s="28"/>
      <x:c r="Q1767" s="28"/>
      <x:c r="R1767" s="28"/>
      <x:c r="S1767" s="28"/>
      <x:c r="T1767" s="28"/>
      <x:c r="U1767" s="28"/>
      <x:c r="V1767" s="28"/>
      <x:c r="W1767" s="43" t="n">
        <x:f>--AND(N1767=1,OR(O1767="SUPPORTED",O1767="HALLUCINATION"))</x:f>
        <x:v>0</x:v>
      </x:c>
      <x:c r="X1767" s="43" t="n">
        <x:f>--AND(W1767=1,O1767="HALLUCINATION")</x:f>
        <x:v>0</x:v>
      </x:c>
      <x:c r="Y1767" s="43" t="n">
        <x:f>--AND(Q1767=1,O1767="HALLUCINATION")</x:f>
        <x:v>0</x:v>
      </x:c>
      <x:c r="Z1767" s="43" t="n">
        <x:f>--AND(Y1767=1,R1767=1,S1767=1)</x:f>
        <x:v>0</x:v>
      </x:c>
      <x:c r="AC1767" t="str">
        <x:f>IF(OR(AA1767="",AB1767=""),"",--(AA1767&lt;&gt;AB1767))</x:f>
      </x:c>
      <x:c r="AE1767" t="str">
        <x:f>IF(OR(AA1767="",AB1767=""),"PENDING_HUMAN",IF(AA1767=AB1767,AA1767,IF(AD1767&lt;&gt;"",AD1767,"PENDING_HUMAN")))</x:f>
        <x:v>PENDING_HUMAN</x:v>
      </x:c>
      <x:c r="AF1767" t="n">
        <x:f>--AND(A1767&lt;&gt;"",AA1767&lt;&gt;"",AB1767&lt;&gt;"",OR(AA1767=AB1767,AD1767&lt;&gt;""),IF(AE1767="HALLUCINATION",U1767&lt;&gt;"",TRUE))</x:f>
        <x:v>0</x:v>
      </x:c>
      <x:c r="AG1767" t="n">
        <x:f>--AND(N1767=1,AF1767=1,OR(AE1767="SUPPORTED",AE1767="HALLUCINATION"))</x:f>
        <x:v>0</x:v>
      </x:c>
      <x:c r="AH1767" t="n">
        <x:f>--AND(AG1767=1,AE1767="HALLUCINATION")</x:f>
        <x:v>0</x:v>
      </x:c>
      <x:c r="AI1767" t="n">
        <x:f>--AND(Q1767=1,AF1767=1,AE1767="HALLUCINATION")</x:f>
        <x:v>0</x:v>
      </x:c>
      <x:c r="AJ1767" t="n">
        <x:f>--AND(AI1767=1,R1767=1,S1767=1)</x:f>
        <x:v>0</x:v>
      </x:c>
    </x:row>
    <x:row r="1768">
      <x:c r="A1768" s="28"/>
      <x:c r="B1768" s="28"/>
      <x:c r="C1768" s="28"/>
      <x:c r="D1768" s="28"/>
      <x:c r="E1768" s="28"/>
      <x:c r="F1768" s="28"/>
      <x:c r="G1768" s="28"/>
      <x:c r="H1768" s="28"/>
      <x:c r="I1768" s="28"/>
      <x:c r="J1768" s="28"/>
      <x:c r="K1768" s="28"/>
      <x:c r="L1768" s="28"/>
      <x:c r="M1768" s="28"/>
      <x:c r="N1768" s="28"/>
      <x:c r="O1768" s="28"/>
      <x:c r="P1768" s="28"/>
      <x:c r="Q1768" s="28"/>
      <x:c r="R1768" s="28"/>
      <x:c r="S1768" s="28"/>
      <x:c r="T1768" s="28"/>
      <x:c r="U1768" s="28"/>
      <x:c r="V1768" s="28"/>
      <x:c r="W1768" s="43" t="n">
        <x:f>--AND(N1768=1,OR(O1768="SUPPORTED",O1768="HALLUCINATION"))</x:f>
        <x:v>0</x:v>
      </x:c>
      <x:c r="X1768" s="43" t="n">
        <x:f>--AND(W1768=1,O1768="HALLUCINATION")</x:f>
        <x:v>0</x:v>
      </x:c>
      <x:c r="Y1768" s="43" t="n">
        <x:f>--AND(Q1768=1,O1768="HALLUCINATION")</x:f>
        <x:v>0</x:v>
      </x:c>
      <x:c r="Z1768" s="43" t="n">
        <x:f>--AND(Y1768=1,R1768=1,S1768=1)</x:f>
        <x:v>0</x:v>
      </x:c>
      <x:c r="AC1768" t="str">
        <x:f>IF(OR(AA1768="",AB1768=""),"",--(AA1768&lt;&gt;AB1768))</x:f>
      </x:c>
      <x:c r="AE1768" t="str">
        <x:f>IF(OR(AA1768="",AB1768=""),"PENDING_HUMAN",IF(AA1768=AB1768,AA1768,IF(AD1768&lt;&gt;"",AD1768,"PENDING_HUMAN")))</x:f>
        <x:v>PENDING_HUMAN</x:v>
      </x:c>
      <x:c r="AF1768" t="n">
        <x:f>--AND(A1768&lt;&gt;"",AA1768&lt;&gt;"",AB1768&lt;&gt;"",OR(AA1768=AB1768,AD1768&lt;&gt;""),IF(AE1768="HALLUCINATION",U1768&lt;&gt;"",TRUE))</x:f>
        <x:v>0</x:v>
      </x:c>
      <x:c r="AG1768" t="n">
        <x:f>--AND(N1768=1,AF1768=1,OR(AE1768="SUPPORTED",AE1768="HALLUCINATION"))</x:f>
        <x:v>0</x:v>
      </x:c>
      <x:c r="AH1768" t="n">
        <x:f>--AND(AG1768=1,AE1768="HALLUCINATION")</x:f>
        <x:v>0</x:v>
      </x:c>
      <x:c r="AI1768" t="n">
        <x:f>--AND(Q1768=1,AF1768=1,AE1768="HALLUCINATION")</x:f>
        <x:v>0</x:v>
      </x:c>
      <x:c r="AJ1768" t="n">
        <x:f>--AND(AI1768=1,R1768=1,S1768=1)</x:f>
        <x:v>0</x:v>
      </x:c>
    </x:row>
    <x:row r="1769">
      <x:c r="A1769" s="28"/>
      <x:c r="B1769" s="28"/>
      <x:c r="C1769" s="28"/>
      <x:c r="D1769" s="28"/>
      <x:c r="E1769" s="28"/>
      <x:c r="F1769" s="28"/>
      <x:c r="G1769" s="28"/>
      <x:c r="H1769" s="28"/>
      <x:c r="I1769" s="28"/>
      <x:c r="J1769" s="28"/>
      <x:c r="K1769" s="28"/>
      <x:c r="L1769" s="28"/>
      <x:c r="M1769" s="28"/>
      <x:c r="N1769" s="28"/>
      <x:c r="O1769" s="28"/>
      <x:c r="P1769" s="28"/>
      <x:c r="Q1769" s="28"/>
      <x:c r="R1769" s="28"/>
      <x:c r="S1769" s="28"/>
      <x:c r="T1769" s="28"/>
      <x:c r="U1769" s="28"/>
      <x:c r="V1769" s="28"/>
      <x:c r="W1769" s="43" t="n">
        <x:f>--AND(N1769=1,OR(O1769="SUPPORTED",O1769="HALLUCINATION"))</x:f>
        <x:v>0</x:v>
      </x:c>
      <x:c r="X1769" s="43" t="n">
        <x:f>--AND(W1769=1,O1769="HALLUCINATION")</x:f>
        <x:v>0</x:v>
      </x:c>
      <x:c r="Y1769" s="43" t="n">
        <x:f>--AND(Q1769=1,O1769="HALLUCINATION")</x:f>
        <x:v>0</x:v>
      </x:c>
      <x:c r="Z1769" s="43" t="n">
        <x:f>--AND(Y1769=1,R1769=1,S1769=1)</x:f>
        <x:v>0</x:v>
      </x:c>
      <x:c r="AC1769" t="str">
        <x:f>IF(OR(AA1769="",AB1769=""),"",--(AA1769&lt;&gt;AB1769))</x:f>
      </x:c>
      <x:c r="AE1769" t="str">
        <x:f>IF(OR(AA1769="",AB1769=""),"PENDING_HUMAN",IF(AA1769=AB1769,AA1769,IF(AD1769&lt;&gt;"",AD1769,"PENDING_HUMAN")))</x:f>
        <x:v>PENDING_HUMAN</x:v>
      </x:c>
      <x:c r="AF1769" t="n">
        <x:f>--AND(A1769&lt;&gt;"",AA1769&lt;&gt;"",AB1769&lt;&gt;"",OR(AA1769=AB1769,AD1769&lt;&gt;""),IF(AE1769="HALLUCINATION",U1769&lt;&gt;"",TRUE))</x:f>
        <x:v>0</x:v>
      </x:c>
      <x:c r="AG1769" t="n">
        <x:f>--AND(N1769=1,AF1769=1,OR(AE1769="SUPPORTED",AE1769="HALLUCINATION"))</x:f>
        <x:v>0</x:v>
      </x:c>
      <x:c r="AH1769" t="n">
        <x:f>--AND(AG1769=1,AE1769="HALLUCINATION")</x:f>
        <x:v>0</x:v>
      </x:c>
      <x:c r="AI1769" t="n">
        <x:f>--AND(Q1769=1,AF1769=1,AE1769="HALLUCINATION")</x:f>
        <x:v>0</x:v>
      </x:c>
      <x:c r="AJ1769" t="n">
        <x:f>--AND(AI1769=1,R1769=1,S1769=1)</x:f>
        <x:v>0</x:v>
      </x:c>
    </x:row>
    <x:row r="1770">
      <x:c r="A1770" s="28"/>
      <x:c r="B1770" s="28"/>
      <x:c r="C1770" s="28"/>
      <x:c r="D1770" s="28"/>
      <x:c r="E1770" s="28"/>
      <x:c r="F1770" s="28"/>
      <x:c r="G1770" s="28"/>
      <x:c r="H1770" s="28"/>
      <x:c r="I1770" s="28"/>
      <x:c r="J1770" s="28"/>
      <x:c r="K1770" s="28"/>
      <x:c r="L1770" s="28"/>
      <x:c r="M1770" s="28"/>
      <x:c r="N1770" s="28"/>
      <x:c r="O1770" s="28"/>
      <x:c r="P1770" s="28"/>
      <x:c r="Q1770" s="28"/>
      <x:c r="R1770" s="28"/>
      <x:c r="S1770" s="28"/>
      <x:c r="T1770" s="28"/>
      <x:c r="U1770" s="28"/>
      <x:c r="V1770" s="28"/>
      <x:c r="W1770" s="43" t="n">
        <x:f>--AND(N1770=1,OR(O1770="SUPPORTED",O1770="HALLUCINATION"))</x:f>
        <x:v>0</x:v>
      </x:c>
      <x:c r="X1770" s="43" t="n">
        <x:f>--AND(W1770=1,O1770="HALLUCINATION")</x:f>
        <x:v>0</x:v>
      </x:c>
      <x:c r="Y1770" s="43" t="n">
        <x:f>--AND(Q1770=1,O1770="HALLUCINATION")</x:f>
        <x:v>0</x:v>
      </x:c>
      <x:c r="Z1770" s="43" t="n">
        <x:f>--AND(Y1770=1,R1770=1,S1770=1)</x:f>
        <x:v>0</x:v>
      </x:c>
      <x:c r="AC1770" t="str">
        <x:f>IF(OR(AA1770="",AB1770=""),"",--(AA1770&lt;&gt;AB1770))</x:f>
      </x:c>
      <x:c r="AE1770" t="str">
        <x:f>IF(OR(AA1770="",AB1770=""),"PENDING_HUMAN",IF(AA1770=AB1770,AA1770,IF(AD1770&lt;&gt;"",AD1770,"PENDING_HUMAN")))</x:f>
        <x:v>PENDING_HUMAN</x:v>
      </x:c>
      <x:c r="AF1770" t="n">
        <x:f>--AND(A1770&lt;&gt;"",AA1770&lt;&gt;"",AB1770&lt;&gt;"",OR(AA1770=AB1770,AD1770&lt;&gt;""),IF(AE1770="HALLUCINATION",U1770&lt;&gt;"",TRUE))</x:f>
        <x:v>0</x:v>
      </x:c>
      <x:c r="AG1770" t="n">
        <x:f>--AND(N1770=1,AF1770=1,OR(AE1770="SUPPORTED",AE1770="HALLUCINATION"))</x:f>
        <x:v>0</x:v>
      </x:c>
      <x:c r="AH1770" t="n">
        <x:f>--AND(AG1770=1,AE1770="HALLUCINATION")</x:f>
        <x:v>0</x:v>
      </x:c>
      <x:c r="AI1770" t="n">
        <x:f>--AND(Q1770=1,AF1770=1,AE1770="HALLUCINATION")</x:f>
        <x:v>0</x:v>
      </x:c>
      <x:c r="AJ1770" t="n">
        <x:f>--AND(AI1770=1,R1770=1,S1770=1)</x:f>
        <x:v>0</x:v>
      </x:c>
    </x:row>
    <x:row r="1771">
      <x:c r="A1771" s="28"/>
      <x:c r="B1771" s="28"/>
      <x:c r="C1771" s="28"/>
      <x:c r="D1771" s="28"/>
      <x:c r="E1771" s="28"/>
      <x:c r="F1771" s="28"/>
      <x:c r="G1771" s="28"/>
      <x:c r="H1771" s="28"/>
      <x:c r="I1771" s="28"/>
      <x:c r="J1771" s="28"/>
      <x:c r="K1771" s="28"/>
      <x:c r="L1771" s="28"/>
      <x:c r="M1771" s="28"/>
      <x:c r="N1771" s="28"/>
      <x:c r="O1771" s="28"/>
      <x:c r="P1771" s="28"/>
      <x:c r="Q1771" s="28"/>
      <x:c r="R1771" s="28"/>
      <x:c r="S1771" s="28"/>
      <x:c r="T1771" s="28"/>
      <x:c r="U1771" s="28"/>
      <x:c r="V1771" s="28"/>
      <x:c r="W1771" s="43" t="n">
        <x:f>--AND(N1771=1,OR(O1771="SUPPORTED",O1771="HALLUCINATION"))</x:f>
        <x:v>0</x:v>
      </x:c>
      <x:c r="X1771" s="43" t="n">
        <x:f>--AND(W1771=1,O1771="HALLUCINATION")</x:f>
        <x:v>0</x:v>
      </x:c>
      <x:c r="Y1771" s="43" t="n">
        <x:f>--AND(Q1771=1,O1771="HALLUCINATION")</x:f>
        <x:v>0</x:v>
      </x:c>
      <x:c r="Z1771" s="43" t="n">
        <x:f>--AND(Y1771=1,R1771=1,S1771=1)</x:f>
        <x:v>0</x:v>
      </x:c>
      <x:c r="AC1771" t="str">
        <x:f>IF(OR(AA1771="",AB1771=""),"",--(AA1771&lt;&gt;AB1771))</x:f>
      </x:c>
      <x:c r="AE1771" t="str">
        <x:f>IF(OR(AA1771="",AB1771=""),"PENDING_HUMAN",IF(AA1771=AB1771,AA1771,IF(AD1771&lt;&gt;"",AD1771,"PENDING_HUMAN")))</x:f>
        <x:v>PENDING_HUMAN</x:v>
      </x:c>
      <x:c r="AF1771" t="n">
        <x:f>--AND(A1771&lt;&gt;"",AA1771&lt;&gt;"",AB1771&lt;&gt;"",OR(AA1771=AB1771,AD1771&lt;&gt;""),IF(AE1771="HALLUCINATION",U1771&lt;&gt;"",TRUE))</x:f>
        <x:v>0</x:v>
      </x:c>
      <x:c r="AG1771" t="n">
        <x:f>--AND(N1771=1,AF1771=1,OR(AE1771="SUPPORTED",AE1771="HALLUCINATION"))</x:f>
        <x:v>0</x:v>
      </x:c>
      <x:c r="AH1771" t="n">
        <x:f>--AND(AG1771=1,AE1771="HALLUCINATION")</x:f>
        <x:v>0</x:v>
      </x:c>
      <x:c r="AI1771" t="n">
        <x:f>--AND(Q1771=1,AF1771=1,AE1771="HALLUCINATION")</x:f>
        <x:v>0</x:v>
      </x:c>
      <x:c r="AJ1771" t="n">
        <x:f>--AND(AI1771=1,R1771=1,S1771=1)</x:f>
        <x:v>0</x:v>
      </x:c>
    </x:row>
    <x:row r="1772">
      <x:c r="A1772" s="28"/>
      <x:c r="B1772" s="28"/>
      <x:c r="C1772" s="28"/>
      <x:c r="D1772" s="28"/>
      <x:c r="E1772" s="28"/>
      <x:c r="F1772" s="28"/>
      <x:c r="G1772" s="28"/>
      <x:c r="H1772" s="28"/>
      <x:c r="I1772" s="28"/>
      <x:c r="J1772" s="28"/>
      <x:c r="K1772" s="28"/>
      <x:c r="L1772" s="28"/>
      <x:c r="M1772" s="28"/>
      <x:c r="N1772" s="28"/>
      <x:c r="O1772" s="28"/>
      <x:c r="P1772" s="28"/>
      <x:c r="Q1772" s="28"/>
      <x:c r="R1772" s="28"/>
      <x:c r="S1772" s="28"/>
      <x:c r="T1772" s="28"/>
      <x:c r="U1772" s="28"/>
      <x:c r="V1772" s="28"/>
      <x:c r="W1772" s="43" t="n">
        <x:f>--AND(N1772=1,OR(O1772="SUPPORTED",O1772="HALLUCINATION"))</x:f>
        <x:v>0</x:v>
      </x:c>
      <x:c r="X1772" s="43" t="n">
        <x:f>--AND(W1772=1,O1772="HALLUCINATION")</x:f>
        <x:v>0</x:v>
      </x:c>
      <x:c r="Y1772" s="43" t="n">
        <x:f>--AND(Q1772=1,O1772="HALLUCINATION")</x:f>
        <x:v>0</x:v>
      </x:c>
      <x:c r="Z1772" s="43" t="n">
        <x:f>--AND(Y1772=1,R1772=1,S1772=1)</x:f>
        <x:v>0</x:v>
      </x:c>
      <x:c r="AC1772" t="str">
        <x:f>IF(OR(AA1772="",AB1772=""),"",--(AA1772&lt;&gt;AB1772))</x:f>
      </x:c>
      <x:c r="AE1772" t="str">
        <x:f>IF(OR(AA1772="",AB1772=""),"PENDING_HUMAN",IF(AA1772=AB1772,AA1772,IF(AD1772&lt;&gt;"",AD1772,"PENDING_HUMAN")))</x:f>
        <x:v>PENDING_HUMAN</x:v>
      </x:c>
      <x:c r="AF1772" t="n">
        <x:f>--AND(A1772&lt;&gt;"",AA1772&lt;&gt;"",AB1772&lt;&gt;"",OR(AA1772=AB1772,AD1772&lt;&gt;""),IF(AE1772="HALLUCINATION",U1772&lt;&gt;"",TRUE))</x:f>
        <x:v>0</x:v>
      </x:c>
      <x:c r="AG1772" t="n">
        <x:f>--AND(N1772=1,AF1772=1,OR(AE1772="SUPPORTED",AE1772="HALLUCINATION"))</x:f>
        <x:v>0</x:v>
      </x:c>
      <x:c r="AH1772" t="n">
        <x:f>--AND(AG1772=1,AE1772="HALLUCINATION")</x:f>
        <x:v>0</x:v>
      </x:c>
      <x:c r="AI1772" t="n">
        <x:f>--AND(Q1772=1,AF1772=1,AE1772="HALLUCINATION")</x:f>
        <x:v>0</x:v>
      </x:c>
      <x:c r="AJ1772" t="n">
        <x:f>--AND(AI1772=1,R1772=1,S1772=1)</x:f>
        <x:v>0</x:v>
      </x:c>
    </x:row>
    <x:row r="1773">
      <x:c r="A1773" s="28"/>
      <x:c r="B1773" s="28"/>
      <x:c r="C1773" s="28"/>
      <x:c r="D1773" s="28"/>
      <x:c r="E1773" s="28"/>
      <x:c r="F1773" s="28"/>
      <x:c r="G1773" s="28"/>
      <x:c r="H1773" s="28"/>
      <x:c r="I1773" s="28"/>
      <x:c r="J1773" s="28"/>
      <x:c r="K1773" s="28"/>
      <x:c r="L1773" s="28"/>
      <x:c r="M1773" s="28"/>
      <x:c r="N1773" s="28"/>
      <x:c r="O1773" s="28"/>
      <x:c r="P1773" s="28"/>
      <x:c r="Q1773" s="28"/>
      <x:c r="R1773" s="28"/>
      <x:c r="S1773" s="28"/>
      <x:c r="T1773" s="28"/>
      <x:c r="U1773" s="28"/>
      <x:c r="V1773" s="28"/>
      <x:c r="W1773" s="43" t="n">
        <x:f>--AND(N1773=1,OR(O1773="SUPPORTED",O1773="HALLUCINATION"))</x:f>
        <x:v>0</x:v>
      </x:c>
      <x:c r="X1773" s="43" t="n">
        <x:f>--AND(W1773=1,O1773="HALLUCINATION")</x:f>
        <x:v>0</x:v>
      </x:c>
      <x:c r="Y1773" s="43" t="n">
        <x:f>--AND(Q1773=1,O1773="HALLUCINATION")</x:f>
        <x:v>0</x:v>
      </x:c>
      <x:c r="Z1773" s="43" t="n">
        <x:f>--AND(Y1773=1,R1773=1,S1773=1)</x:f>
        <x:v>0</x:v>
      </x:c>
      <x:c r="AC1773" t="str">
        <x:f>IF(OR(AA1773="",AB1773=""),"",--(AA1773&lt;&gt;AB1773))</x:f>
      </x:c>
      <x:c r="AE1773" t="str">
        <x:f>IF(OR(AA1773="",AB1773=""),"PENDING_HUMAN",IF(AA1773=AB1773,AA1773,IF(AD1773&lt;&gt;"",AD1773,"PENDING_HUMAN")))</x:f>
        <x:v>PENDING_HUMAN</x:v>
      </x:c>
      <x:c r="AF1773" t="n">
        <x:f>--AND(A1773&lt;&gt;"",AA1773&lt;&gt;"",AB1773&lt;&gt;"",OR(AA1773=AB1773,AD1773&lt;&gt;""),IF(AE1773="HALLUCINATION",U1773&lt;&gt;"",TRUE))</x:f>
        <x:v>0</x:v>
      </x:c>
      <x:c r="AG1773" t="n">
        <x:f>--AND(N1773=1,AF1773=1,OR(AE1773="SUPPORTED",AE1773="HALLUCINATION"))</x:f>
        <x:v>0</x:v>
      </x:c>
      <x:c r="AH1773" t="n">
        <x:f>--AND(AG1773=1,AE1773="HALLUCINATION")</x:f>
        <x:v>0</x:v>
      </x:c>
      <x:c r="AI1773" t="n">
        <x:f>--AND(Q1773=1,AF1773=1,AE1773="HALLUCINATION")</x:f>
        <x:v>0</x:v>
      </x:c>
      <x:c r="AJ1773" t="n">
        <x:f>--AND(AI1773=1,R1773=1,S1773=1)</x:f>
        <x:v>0</x:v>
      </x:c>
    </x:row>
    <x:row r="1774">
      <x:c r="A1774" s="28"/>
      <x:c r="B1774" s="28"/>
      <x:c r="C1774" s="28"/>
      <x:c r="D1774" s="28"/>
      <x:c r="E1774" s="28"/>
      <x:c r="F1774" s="28"/>
      <x:c r="G1774" s="28"/>
      <x:c r="H1774" s="28"/>
      <x:c r="I1774" s="28"/>
      <x:c r="J1774" s="28"/>
      <x:c r="K1774" s="28"/>
      <x:c r="L1774" s="28"/>
      <x:c r="M1774" s="28"/>
      <x:c r="N1774" s="28"/>
      <x:c r="O1774" s="28"/>
      <x:c r="P1774" s="28"/>
      <x:c r="Q1774" s="28"/>
      <x:c r="R1774" s="28"/>
      <x:c r="S1774" s="28"/>
      <x:c r="T1774" s="28"/>
      <x:c r="U1774" s="28"/>
      <x:c r="V1774" s="28"/>
      <x:c r="W1774" s="43" t="n">
        <x:f>--AND(N1774=1,OR(O1774="SUPPORTED",O1774="HALLUCINATION"))</x:f>
        <x:v>0</x:v>
      </x:c>
      <x:c r="X1774" s="43" t="n">
        <x:f>--AND(W1774=1,O1774="HALLUCINATION")</x:f>
        <x:v>0</x:v>
      </x:c>
      <x:c r="Y1774" s="43" t="n">
        <x:f>--AND(Q1774=1,O1774="HALLUCINATION")</x:f>
        <x:v>0</x:v>
      </x:c>
      <x:c r="Z1774" s="43" t="n">
        <x:f>--AND(Y1774=1,R1774=1,S1774=1)</x:f>
        <x:v>0</x:v>
      </x:c>
      <x:c r="AC1774" t="str">
        <x:f>IF(OR(AA1774="",AB1774=""),"",--(AA1774&lt;&gt;AB1774))</x:f>
      </x:c>
      <x:c r="AE1774" t="str">
        <x:f>IF(OR(AA1774="",AB1774=""),"PENDING_HUMAN",IF(AA1774=AB1774,AA1774,IF(AD1774&lt;&gt;"",AD1774,"PENDING_HUMAN")))</x:f>
        <x:v>PENDING_HUMAN</x:v>
      </x:c>
      <x:c r="AF1774" t="n">
        <x:f>--AND(A1774&lt;&gt;"",AA1774&lt;&gt;"",AB1774&lt;&gt;"",OR(AA1774=AB1774,AD1774&lt;&gt;""),IF(AE1774="HALLUCINATION",U1774&lt;&gt;"",TRUE))</x:f>
        <x:v>0</x:v>
      </x:c>
      <x:c r="AG1774" t="n">
        <x:f>--AND(N1774=1,AF1774=1,OR(AE1774="SUPPORTED",AE1774="HALLUCINATION"))</x:f>
        <x:v>0</x:v>
      </x:c>
      <x:c r="AH1774" t="n">
        <x:f>--AND(AG1774=1,AE1774="HALLUCINATION")</x:f>
        <x:v>0</x:v>
      </x:c>
      <x:c r="AI1774" t="n">
        <x:f>--AND(Q1774=1,AF1774=1,AE1774="HALLUCINATION")</x:f>
        <x:v>0</x:v>
      </x:c>
      <x:c r="AJ1774" t="n">
        <x:f>--AND(AI1774=1,R1774=1,S1774=1)</x:f>
        <x:v>0</x:v>
      </x:c>
    </x:row>
    <x:row r="1775">
      <x:c r="A1775" s="28"/>
      <x:c r="B1775" s="28"/>
      <x:c r="C1775" s="28"/>
      <x:c r="D1775" s="28"/>
      <x:c r="E1775" s="28"/>
      <x:c r="F1775" s="28"/>
      <x:c r="G1775" s="28"/>
      <x:c r="H1775" s="28"/>
      <x:c r="I1775" s="28"/>
      <x:c r="J1775" s="28"/>
      <x:c r="K1775" s="28"/>
      <x:c r="L1775" s="28"/>
      <x:c r="M1775" s="28"/>
      <x:c r="N1775" s="28"/>
      <x:c r="O1775" s="28"/>
      <x:c r="P1775" s="28"/>
      <x:c r="Q1775" s="28"/>
      <x:c r="R1775" s="28"/>
      <x:c r="S1775" s="28"/>
      <x:c r="T1775" s="28"/>
      <x:c r="U1775" s="28"/>
      <x:c r="V1775" s="28"/>
      <x:c r="W1775" s="43" t="n">
        <x:f>--AND(N1775=1,OR(O1775="SUPPORTED",O1775="HALLUCINATION"))</x:f>
        <x:v>0</x:v>
      </x:c>
      <x:c r="X1775" s="43" t="n">
        <x:f>--AND(W1775=1,O1775="HALLUCINATION")</x:f>
        <x:v>0</x:v>
      </x:c>
      <x:c r="Y1775" s="43" t="n">
        <x:f>--AND(Q1775=1,O1775="HALLUCINATION")</x:f>
        <x:v>0</x:v>
      </x:c>
      <x:c r="Z1775" s="43" t="n">
        <x:f>--AND(Y1775=1,R1775=1,S1775=1)</x:f>
        <x:v>0</x:v>
      </x:c>
      <x:c r="AC1775" t="str">
        <x:f>IF(OR(AA1775="",AB1775=""),"",--(AA1775&lt;&gt;AB1775))</x:f>
      </x:c>
      <x:c r="AE1775" t="str">
        <x:f>IF(OR(AA1775="",AB1775=""),"PENDING_HUMAN",IF(AA1775=AB1775,AA1775,IF(AD1775&lt;&gt;"",AD1775,"PENDING_HUMAN")))</x:f>
        <x:v>PENDING_HUMAN</x:v>
      </x:c>
      <x:c r="AF1775" t="n">
        <x:f>--AND(A1775&lt;&gt;"",AA1775&lt;&gt;"",AB1775&lt;&gt;"",OR(AA1775=AB1775,AD1775&lt;&gt;""),IF(AE1775="HALLUCINATION",U1775&lt;&gt;"",TRUE))</x:f>
        <x:v>0</x:v>
      </x:c>
      <x:c r="AG1775" t="n">
        <x:f>--AND(N1775=1,AF1775=1,OR(AE1775="SUPPORTED",AE1775="HALLUCINATION"))</x:f>
        <x:v>0</x:v>
      </x:c>
      <x:c r="AH1775" t="n">
        <x:f>--AND(AG1775=1,AE1775="HALLUCINATION")</x:f>
        <x:v>0</x:v>
      </x:c>
      <x:c r="AI1775" t="n">
        <x:f>--AND(Q1775=1,AF1775=1,AE1775="HALLUCINATION")</x:f>
        <x:v>0</x:v>
      </x:c>
      <x:c r="AJ1775" t="n">
        <x:f>--AND(AI1775=1,R1775=1,S1775=1)</x:f>
        <x:v>0</x:v>
      </x:c>
    </x:row>
    <x:row r="1776">
      <x:c r="A1776" s="28"/>
      <x:c r="B1776" s="28"/>
      <x:c r="C1776" s="28"/>
      <x:c r="D1776" s="28"/>
      <x:c r="E1776" s="28"/>
      <x:c r="F1776" s="28"/>
      <x:c r="G1776" s="28"/>
      <x:c r="H1776" s="28"/>
      <x:c r="I1776" s="28"/>
      <x:c r="J1776" s="28"/>
      <x:c r="K1776" s="28"/>
      <x:c r="L1776" s="28"/>
      <x:c r="M1776" s="28"/>
      <x:c r="N1776" s="28"/>
      <x:c r="O1776" s="28"/>
      <x:c r="P1776" s="28"/>
      <x:c r="Q1776" s="28"/>
      <x:c r="R1776" s="28"/>
      <x:c r="S1776" s="28"/>
      <x:c r="T1776" s="28"/>
      <x:c r="U1776" s="28"/>
      <x:c r="V1776" s="28"/>
      <x:c r="W1776" s="43" t="n">
        <x:f>--AND(N1776=1,OR(O1776="SUPPORTED",O1776="HALLUCINATION"))</x:f>
        <x:v>0</x:v>
      </x:c>
      <x:c r="X1776" s="43" t="n">
        <x:f>--AND(W1776=1,O1776="HALLUCINATION")</x:f>
        <x:v>0</x:v>
      </x:c>
      <x:c r="Y1776" s="43" t="n">
        <x:f>--AND(Q1776=1,O1776="HALLUCINATION")</x:f>
        <x:v>0</x:v>
      </x:c>
      <x:c r="Z1776" s="43" t="n">
        <x:f>--AND(Y1776=1,R1776=1,S1776=1)</x:f>
        <x:v>0</x:v>
      </x:c>
      <x:c r="AC1776" t="str">
        <x:f>IF(OR(AA1776="",AB1776=""),"",--(AA1776&lt;&gt;AB1776))</x:f>
      </x:c>
      <x:c r="AE1776" t="str">
        <x:f>IF(OR(AA1776="",AB1776=""),"PENDING_HUMAN",IF(AA1776=AB1776,AA1776,IF(AD1776&lt;&gt;"",AD1776,"PENDING_HUMAN")))</x:f>
        <x:v>PENDING_HUMAN</x:v>
      </x:c>
      <x:c r="AF1776" t="n">
        <x:f>--AND(A1776&lt;&gt;"",AA1776&lt;&gt;"",AB1776&lt;&gt;"",OR(AA1776=AB1776,AD1776&lt;&gt;""),IF(AE1776="HALLUCINATION",U1776&lt;&gt;"",TRUE))</x:f>
        <x:v>0</x:v>
      </x:c>
      <x:c r="AG1776" t="n">
        <x:f>--AND(N1776=1,AF1776=1,OR(AE1776="SUPPORTED",AE1776="HALLUCINATION"))</x:f>
        <x:v>0</x:v>
      </x:c>
      <x:c r="AH1776" t="n">
        <x:f>--AND(AG1776=1,AE1776="HALLUCINATION")</x:f>
        <x:v>0</x:v>
      </x:c>
      <x:c r="AI1776" t="n">
        <x:f>--AND(Q1776=1,AF1776=1,AE1776="HALLUCINATION")</x:f>
        <x:v>0</x:v>
      </x:c>
      <x:c r="AJ1776" t="n">
        <x:f>--AND(AI1776=1,R1776=1,S1776=1)</x:f>
        <x:v>0</x:v>
      </x:c>
    </x:row>
    <x:row r="1777">
      <x:c r="A1777" s="28"/>
      <x:c r="B1777" s="28"/>
      <x:c r="C1777" s="28"/>
      <x:c r="D1777" s="28"/>
      <x:c r="E1777" s="28"/>
      <x:c r="F1777" s="28"/>
      <x:c r="G1777" s="28"/>
      <x:c r="H1777" s="28"/>
      <x:c r="I1777" s="28"/>
      <x:c r="J1777" s="28"/>
      <x:c r="K1777" s="28"/>
      <x:c r="L1777" s="28"/>
      <x:c r="M1777" s="28"/>
      <x:c r="N1777" s="28"/>
      <x:c r="O1777" s="28"/>
      <x:c r="P1777" s="28"/>
      <x:c r="Q1777" s="28"/>
      <x:c r="R1777" s="28"/>
      <x:c r="S1777" s="28"/>
      <x:c r="T1777" s="28"/>
      <x:c r="U1777" s="28"/>
      <x:c r="V1777" s="28"/>
      <x:c r="W1777" s="43" t="n">
        <x:f>--AND(N1777=1,OR(O1777="SUPPORTED",O1777="HALLUCINATION"))</x:f>
        <x:v>0</x:v>
      </x:c>
      <x:c r="X1777" s="43" t="n">
        <x:f>--AND(W1777=1,O1777="HALLUCINATION")</x:f>
        <x:v>0</x:v>
      </x:c>
      <x:c r="Y1777" s="43" t="n">
        <x:f>--AND(Q1777=1,O1777="HALLUCINATION")</x:f>
        <x:v>0</x:v>
      </x:c>
      <x:c r="Z1777" s="43" t="n">
        <x:f>--AND(Y1777=1,R1777=1,S1777=1)</x:f>
        <x:v>0</x:v>
      </x:c>
      <x:c r="AC1777" t="str">
        <x:f>IF(OR(AA1777="",AB1777=""),"",--(AA1777&lt;&gt;AB1777))</x:f>
      </x:c>
      <x:c r="AE1777" t="str">
        <x:f>IF(OR(AA1777="",AB1777=""),"PENDING_HUMAN",IF(AA1777=AB1777,AA1777,IF(AD1777&lt;&gt;"",AD1777,"PENDING_HUMAN")))</x:f>
        <x:v>PENDING_HUMAN</x:v>
      </x:c>
      <x:c r="AF1777" t="n">
        <x:f>--AND(A1777&lt;&gt;"",AA1777&lt;&gt;"",AB1777&lt;&gt;"",OR(AA1777=AB1777,AD1777&lt;&gt;""),IF(AE1777="HALLUCINATION",U1777&lt;&gt;"",TRUE))</x:f>
        <x:v>0</x:v>
      </x:c>
      <x:c r="AG1777" t="n">
        <x:f>--AND(N1777=1,AF1777=1,OR(AE1777="SUPPORTED",AE1777="HALLUCINATION"))</x:f>
        <x:v>0</x:v>
      </x:c>
      <x:c r="AH1777" t="n">
        <x:f>--AND(AG1777=1,AE1777="HALLUCINATION")</x:f>
        <x:v>0</x:v>
      </x:c>
      <x:c r="AI1777" t="n">
        <x:f>--AND(Q1777=1,AF1777=1,AE1777="HALLUCINATION")</x:f>
        <x:v>0</x:v>
      </x:c>
      <x:c r="AJ1777" t="n">
        <x:f>--AND(AI1777=1,R1777=1,S1777=1)</x:f>
        <x:v>0</x:v>
      </x:c>
    </x:row>
    <x:row r="1778">
      <x:c r="A1778" s="28"/>
      <x:c r="B1778" s="28"/>
      <x:c r="C1778" s="28"/>
      <x:c r="D1778" s="28"/>
      <x:c r="E1778" s="28"/>
      <x:c r="F1778" s="28"/>
      <x:c r="G1778" s="28"/>
      <x:c r="H1778" s="28"/>
      <x:c r="I1778" s="28"/>
      <x:c r="J1778" s="28"/>
      <x:c r="K1778" s="28"/>
      <x:c r="L1778" s="28"/>
      <x:c r="M1778" s="28"/>
      <x:c r="N1778" s="28"/>
      <x:c r="O1778" s="28"/>
      <x:c r="P1778" s="28"/>
      <x:c r="Q1778" s="28"/>
      <x:c r="R1778" s="28"/>
      <x:c r="S1778" s="28"/>
      <x:c r="T1778" s="28"/>
      <x:c r="U1778" s="28"/>
      <x:c r="V1778" s="28"/>
      <x:c r="W1778" s="43" t="n">
        <x:f>--AND(N1778=1,OR(O1778="SUPPORTED",O1778="HALLUCINATION"))</x:f>
        <x:v>0</x:v>
      </x:c>
      <x:c r="X1778" s="43" t="n">
        <x:f>--AND(W1778=1,O1778="HALLUCINATION")</x:f>
        <x:v>0</x:v>
      </x:c>
      <x:c r="Y1778" s="43" t="n">
        <x:f>--AND(Q1778=1,O1778="HALLUCINATION")</x:f>
        <x:v>0</x:v>
      </x:c>
      <x:c r="Z1778" s="43" t="n">
        <x:f>--AND(Y1778=1,R1778=1,S1778=1)</x:f>
        <x:v>0</x:v>
      </x:c>
      <x:c r="AC1778" t="str">
        <x:f>IF(OR(AA1778="",AB1778=""),"",--(AA1778&lt;&gt;AB1778))</x:f>
      </x:c>
      <x:c r="AE1778" t="str">
        <x:f>IF(OR(AA1778="",AB1778=""),"PENDING_HUMAN",IF(AA1778=AB1778,AA1778,IF(AD1778&lt;&gt;"",AD1778,"PENDING_HUMAN")))</x:f>
        <x:v>PENDING_HUMAN</x:v>
      </x:c>
      <x:c r="AF1778" t="n">
        <x:f>--AND(A1778&lt;&gt;"",AA1778&lt;&gt;"",AB1778&lt;&gt;"",OR(AA1778=AB1778,AD1778&lt;&gt;""),IF(AE1778="HALLUCINATION",U1778&lt;&gt;"",TRUE))</x:f>
        <x:v>0</x:v>
      </x:c>
      <x:c r="AG1778" t="n">
        <x:f>--AND(N1778=1,AF1778=1,OR(AE1778="SUPPORTED",AE1778="HALLUCINATION"))</x:f>
        <x:v>0</x:v>
      </x:c>
      <x:c r="AH1778" t="n">
        <x:f>--AND(AG1778=1,AE1778="HALLUCINATION")</x:f>
        <x:v>0</x:v>
      </x:c>
      <x:c r="AI1778" t="n">
        <x:f>--AND(Q1778=1,AF1778=1,AE1778="HALLUCINATION")</x:f>
        <x:v>0</x:v>
      </x:c>
      <x:c r="AJ1778" t="n">
        <x:f>--AND(AI1778=1,R1778=1,S1778=1)</x:f>
        <x:v>0</x:v>
      </x:c>
    </x:row>
    <x:row r="1779">
      <x:c r="A1779" s="28"/>
      <x:c r="B1779" s="28"/>
      <x:c r="C1779" s="28"/>
      <x:c r="D1779" s="28"/>
      <x:c r="E1779" s="28"/>
      <x:c r="F1779" s="28"/>
      <x:c r="G1779" s="28"/>
      <x:c r="H1779" s="28"/>
      <x:c r="I1779" s="28"/>
      <x:c r="J1779" s="28"/>
      <x:c r="K1779" s="28"/>
      <x:c r="L1779" s="28"/>
      <x:c r="M1779" s="28"/>
      <x:c r="N1779" s="28"/>
      <x:c r="O1779" s="28"/>
      <x:c r="P1779" s="28"/>
      <x:c r="Q1779" s="28"/>
      <x:c r="R1779" s="28"/>
      <x:c r="S1779" s="28"/>
      <x:c r="T1779" s="28"/>
      <x:c r="U1779" s="28"/>
      <x:c r="V1779" s="28"/>
      <x:c r="W1779" s="43" t="n">
        <x:f>--AND(N1779=1,OR(O1779="SUPPORTED",O1779="HALLUCINATION"))</x:f>
        <x:v>0</x:v>
      </x:c>
      <x:c r="X1779" s="43" t="n">
        <x:f>--AND(W1779=1,O1779="HALLUCINATION")</x:f>
        <x:v>0</x:v>
      </x:c>
      <x:c r="Y1779" s="43" t="n">
        <x:f>--AND(Q1779=1,O1779="HALLUCINATION")</x:f>
        <x:v>0</x:v>
      </x:c>
      <x:c r="Z1779" s="43" t="n">
        <x:f>--AND(Y1779=1,R1779=1,S1779=1)</x:f>
        <x:v>0</x:v>
      </x:c>
      <x:c r="AC1779" t="str">
        <x:f>IF(OR(AA1779="",AB1779=""),"",--(AA1779&lt;&gt;AB1779))</x:f>
      </x:c>
      <x:c r="AE1779" t="str">
        <x:f>IF(OR(AA1779="",AB1779=""),"PENDING_HUMAN",IF(AA1779=AB1779,AA1779,IF(AD1779&lt;&gt;"",AD1779,"PENDING_HUMAN")))</x:f>
        <x:v>PENDING_HUMAN</x:v>
      </x:c>
      <x:c r="AF1779" t="n">
        <x:f>--AND(A1779&lt;&gt;"",AA1779&lt;&gt;"",AB1779&lt;&gt;"",OR(AA1779=AB1779,AD1779&lt;&gt;""),IF(AE1779="HALLUCINATION",U1779&lt;&gt;"",TRUE))</x:f>
        <x:v>0</x:v>
      </x:c>
      <x:c r="AG1779" t="n">
        <x:f>--AND(N1779=1,AF1779=1,OR(AE1779="SUPPORTED",AE1779="HALLUCINATION"))</x:f>
        <x:v>0</x:v>
      </x:c>
      <x:c r="AH1779" t="n">
        <x:f>--AND(AG1779=1,AE1779="HALLUCINATION")</x:f>
        <x:v>0</x:v>
      </x:c>
      <x:c r="AI1779" t="n">
        <x:f>--AND(Q1779=1,AF1779=1,AE1779="HALLUCINATION")</x:f>
        <x:v>0</x:v>
      </x:c>
      <x:c r="AJ1779" t="n">
        <x:f>--AND(AI1779=1,R1779=1,S1779=1)</x:f>
        <x:v>0</x:v>
      </x:c>
    </x:row>
    <x:row r="1780">
      <x:c r="A1780" s="28"/>
      <x:c r="B1780" s="28"/>
      <x:c r="C1780" s="28"/>
      <x:c r="D1780" s="28"/>
      <x:c r="E1780" s="28"/>
      <x:c r="F1780" s="28"/>
      <x:c r="G1780" s="28"/>
      <x:c r="H1780" s="28"/>
      <x:c r="I1780" s="28"/>
      <x:c r="J1780" s="28"/>
      <x:c r="K1780" s="28"/>
      <x:c r="L1780" s="28"/>
      <x:c r="M1780" s="28"/>
      <x:c r="N1780" s="28"/>
      <x:c r="O1780" s="28"/>
      <x:c r="P1780" s="28"/>
      <x:c r="Q1780" s="28"/>
      <x:c r="R1780" s="28"/>
      <x:c r="S1780" s="28"/>
      <x:c r="T1780" s="28"/>
      <x:c r="U1780" s="28"/>
      <x:c r="V1780" s="28"/>
      <x:c r="W1780" s="43" t="n">
        <x:f>--AND(N1780=1,OR(O1780="SUPPORTED",O1780="HALLUCINATION"))</x:f>
        <x:v>0</x:v>
      </x:c>
      <x:c r="X1780" s="43" t="n">
        <x:f>--AND(W1780=1,O1780="HALLUCINATION")</x:f>
        <x:v>0</x:v>
      </x:c>
      <x:c r="Y1780" s="43" t="n">
        <x:f>--AND(Q1780=1,O1780="HALLUCINATION")</x:f>
        <x:v>0</x:v>
      </x:c>
      <x:c r="Z1780" s="43" t="n">
        <x:f>--AND(Y1780=1,R1780=1,S1780=1)</x:f>
        <x:v>0</x:v>
      </x:c>
      <x:c r="AC1780" t="str">
        <x:f>IF(OR(AA1780="",AB1780=""),"",--(AA1780&lt;&gt;AB1780))</x:f>
      </x:c>
      <x:c r="AE1780" t="str">
        <x:f>IF(OR(AA1780="",AB1780=""),"PENDING_HUMAN",IF(AA1780=AB1780,AA1780,IF(AD1780&lt;&gt;"",AD1780,"PENDING_HUMAN")))</x:f>
        <x:v>PENDING_HUMAN</x:v>
      </x:c>
      <x:c r="AF1780" t="n">
        <x:f>--AND(A1780&lt;&gt;"",AA1780&lt;&gt;"",AB1780&lt;&gt;"",OR(AA1780=AB1780,AD1780&lt;&gt;""),IF(AE1780="HALLUCINATION",U1780&lt;&gt;"",TRUE))</x:f>
        <x:v>0</x:v>
      </x:c>
      <x:c r="AG1780" t="n">
        <x:f>--AND(N1780=1,AF1780=1,OR(AE1780="SUPPORTED",AE1780="HALLUCINATION"))</x:f>
        <x:v>0</x:v>
      </x:c>
      <x:c r="AH1780" t="n">
        <x:f>--AND(AG1780=1,AE1780="HALLUCINATION")</x:f>
        <x:v>0</x:v>
      </x:c>
      <x:c r="AI1780" t="n">
        <x:f>--AND(Q1780=1,AF1780=1,AE1780="HALLUCINATION")</x:f>
        <x:v>0</x:v>
      </x:c>
      <x:c r="AJ1780" t="n">
        <x:f>--AND(AI1780=1,R1780=1,S1780=1)</x:f>
        <x:v>0</x:v>
      </x:c>
    </x:row>
    <x:row r="1781">
      <x:c r="A1781" s="28"/>
      <x:c r="B1781" s="28"/>
      <x:c r="C1781" s="28"/>
      <x:c r="D1781" s="28"/>
      <x:c r="E1781" s="28"/>
      <x:c r="F1781" s="28"/>
      <x:c r="G1781" s="28"/>
      <x:c r="H1781" s="28"/>
      <x:c r="I1781" s="28"/>
      <x:c r="J1781" s="28"/>
      <x:c r="K1781" s="28"/>
      <x:c r="L1781" s="28"/>
      <x:c r="M1781" s="28"/>
      <x:c r="N1781" s="28"/>
      <x:c r="O1781" s="28"/>
      <x:c r="P1781" s="28"/>
      <x:c r="Q1781" s="28"/>
      <x:c r="R1781" s="28"/>
      <x:c r="S1781" s="28"/>
      <x:c r="T1781" s="28"/>
      <x:c r="U1781" s="28"/>
      <x:c r="V1781" s="28"/>
      <x:c r="W1781" s="43" t="n">
        <x:f>--AND(N1781=1,OR(O1781="SUPPORTED",O1781="HALLUCINATION"))</x:f>
        <x:v>0</x:v>
      </x:c>
      <x:c r="X1781" s="43" t="n">
        <x:f>--AND(W1781=1,O1781="HALLUCINATION")</x:f>
        <x:v>0</x:v>
      </x:c>
      <x:c r="Y1781" s="43" t="n">
        <x:f>--AND(Q1781=1,O1781="HALLUCINATION")</x:f>
        <x:v>0</x:v>
      </x:c>
      <x:c r="Z1781" s="43" t="n">
        <x:f>--AND(Y1781=1,R1781=1,S1781=1)</x:f>
        <x:v>0</x:v>
      </x:c>
      <x:c r="AC1781" t="str">
        <x:f>IF(OR(AA1781="",AB1781=""),"",--(AA1781&lt;&gt;AB1781))</x:f>
      </x:c>
      <x:c r="AE1781" t="str">
        <x:f>IF(OR(AA1781="",AB1781=""),"PENDING_HUMAN",IF(AA1781=AB1781,AA1781,IF(AD1781&lt;&gt;"",AD1781,"PENDING_HUMAN")))</x:f>
        <x:v>PENDING_HUMAN</x:v>
      </x:c>
      <x:c r="AF1781" t="n">
        <x:f>--AND(A1781&lt;&gt;"",AA1781&lt;&gt;"",AB1781&lt;&gt;"",OR(AA1781=AB1781,AD1781&lt;&gt;""),IF(AE1781="HALLUCINATION",U1781&lt;&gt;"",TRUE))</x:f>
        <x:v>0</x:v>
      </x:c>
      <x:c r="AG1781" t="n">
        <x:f>--AND(N1781=1,AF1781=1,OR(AE1781="SUPPORTED",AE1781="HALLUCINATION"))</x:f>
        <x:v>0</x:v>
      </x:c>
      <x:c r="AH1781" t="n">
        <x:f>--AND(AG1781=1,AE1781="HALLUCINATION")</x:f>
        <x:v>0</x:v>
      </x:c>
      <x:c r="AI1781" t="n">
        <x:f>--AND(Q1781=1,AF1781=1,AE1781="HALLUCINATION")</x:f>
        <x:v>0</x:v>
      </x:c>
      <x:c r="AJ1781" t="n">
        <x:f>--AND(AI1781=1,R1781=1,S1781=1)</x:f>
        <x:v>0</x:v>
      </x:c>
    </x:row>
    <x:row r="1782">
      <x:c r="A1782" s="28"/>
      <x:c r="B1782" s="28"/>
      <x:c r="C1782" s="28"/>
      <x:c r="D1782" s="28"/>
      <x:c r="E1782" s="28"/>
      <x:c r="F1782" s="28"/>
      <x:c r="G1782" s="28"/>
      <x:c r="H1782" s="28"/>
      <x:c r="I1782" s="28"/>
      <x:c r="J1782" s="28"/>
      <x:c r="K1782" s="28"/>
      <x:c r="L1782" s="28"/>
      <x:c r="M1782" s="28"/>
      <x:c r="N1782" s="28"/>
      <x:c r="O1782" s="28"/>
      <x:c r="P1782" s="28"/>
      <x:c r="Q1782" s="28"/>
      <x:c r="R1782" s="28"/>
      <x:c r="S1782" s="28"/>
      <x:c r="T1782" s="28"/>
      <x:c r="U1782" s="28"/>
      <x:c r="V1782" s="28"/>
      <x:c r="W1782" s="43" t="n">
        <x:f>--AND(N1782=1,OR(O1782="SUPPORTED",O1782="HALLUCINATION"))</x:f>
        <x:v>0</x:v>
      </x:c>
      <x:c r="X1782" s="43" t="n">
        <x:f>--AND(W1782=1,O1782="HALLUCINATION")</x:f>
        <x:v>0</x:v>
      </x:c>
      <x:c r="Y1782" s="43" t="n">
        <x:f>--AND(Q1782=1,O1782="HALLUCINATION")</x:f>
        <x:v>0</x:v>
      </x:c>
      <x:c r="Z1782" s="43" t="n">
        <x:f>--AND(Y1782=1,R1782=1,S1782=1)</x:f>
        <x:v>0</x:v>
      </x:c>
      <x:c r="AC1782" t="str">
        <x:f>IF(OR(AA1782="",AB1782=""),"",--(AA1782&lt;&gt;AB1782))</x:f>
      </x:c>
      <x:c r="AE1782" t="str">
        <x:f>IF(OR(AA1782="",AB1782=""),"PENDING_HUMAN",IF(AA1782=AB1782,AA1782,IF(AD1782&lt;&gt;"",AD1782,"PENDING_HUMAN")))</x:f>
        <x:v>PENDING_HUMAN</x:v>
      </x:c>
      <x:c r="AF1782" t="n">
        <x:f>--AND(A1782&lt;&gt;"",AA1782&lt;&gt;"",AB1782&lt;&gt;"",OR(AA1782=AB1782,AD1782&lt;&gt;""),IF(AE1782="HALLUCINATION",U1782&lt;&gt;"",TRUE))</x:f>
        <x:v>0</x:v>
      </x:c>
      <x:c r="AG1782" t="n">
        <x:f>--AND(N1782=1,AF1782=1,OR(AE1782="SUPPORTED",AE1782="HALLUCINATION"))</x:f>
        <x:v>0</x:v>
      </x:c>
      <x:c r="AH1782" t="n">
        <x:f>--AND(AG1782=1,AE1782="HALLUCINATION")</x:f>
        <x:v>0</x:v>
      </x:c>
      <x:c r="AI1782" t="n">
        <x:f>--AND(Q1782=1,AF1782=1,AE1782="HALLUCINATION")</x:f>
        <x:v>0</x:v>
      </x:c>
      <x:c r="AJ1782" t="n">
        <x:f>--AND(AI1782=1,R1782=1,S1782=1)</x:f>
        <x:v>0</x:v>
      </x:c>
    </x:row>
    <x:row r="1783">
      <x:c r="A1783" s="28"/>
      <x:c r="B1783" s="28"/>
      <x:c r="C1783" s="28"/>
      <x:c r="D1783" s="28"/>
      <x:c r="E1783" s="28"/>
      <x:c r="F1783" s="28"/>
      <x:c r="G1783" s="28"/>
      <x:c r="H1783" s="28"/>
      <x:c r="I1783" s="28"/>
      <x:c r="J1783" s="28"/>
      <x:c r="K1783" s="28"/>
      <x:c r="L1783" s="28"/>
      <x:c r="M1783" s="28"/>
      <x:c r="N1783" s="28"/>
      <x:c r="O1783" s="28"/>
      <x:c r="P1783" s="28"/>
      <x:c r="Q1783" s="28"/>
      <x:c r="R1783" s="28"/>
      <x:c r="S1783" s="28"/>
      <x:c r="T1783" s="28"/>
      <x:c r="U1783" s="28"/>
      <x:c r="V1783" s="28"/>
      <x:c r="W1783" s="43" t="n">
        <x:f>--AND(N1783=1,OR(O1783="SUPPORTED",O1783="HALLUCINATION"))</x:f>
        <x:v>0</x:v>
      </x:c>
      <x:c r="X1783" s="43" t="n">
        <x:f>--AND(W1783=1,O1783="HALLUCINATION")</x:f>
        <x:v>0</x:v>
      </x:c>
      <x:c r="Y1783" s="43" t="n">
        <x:f>--AND(Q1783=1,O1783="HALLUCINATION")</x:f>
        <x:v>0</x:v>
      </x:c>
      <x:c r="Z1783" s="43" t="n">
        <x:f>--AND(Y1783=1,R1783=1,S1783=1)</x:f>
        <x:v>0</x:v>
      </x:c>
      <x:c r="AC1783" t="str">
        <x:f>IF(OR(AA1783="",AB1783=""),"",--(AA1783&lt;&gt;AB1783))</x:f>
      </x:c>
      <x:c r="AE1783" t="str">
        <x:f>IF(OR(AA1783="",AB1783=""),"PENDING_HUMAN",IF(AA1783=AB1783,AA1783,IF(AD1783&lt;&gt;"",AD1783,"PENDING_HUMAN")))</x:f>
        <x:v>PENDING_HUMAN</x:v>
      </x:c>
      <x:c r="AF1783" t="n">
        <x:f>--AND(A1783&lt;&gt;"",AA1783&lt;&gt;"",AB1783&lt;&gt;"",OR(AA1783=AB1783,AD1783&lt;&gt;""),IF(AE1783="HALLUCINATION",U1783&lt;&gt;"",TRUE))</x:f>
        <x:v>0</x:v>
      </x:c>
      <x:c r="AG1783" t="n">
        <x:f>--AND(N1783=1,AF1783=1,OR(AE1783="SUPPORTED",AE1783="HALLUCINATION"))</x:f>
        <x:v>0</x:v>
      </x:c>
      <x:c r="AH1783" t="n">
        <x:f>--AND(AG1783=1,AE1783="HALLUCINATION")</x:f>
        <x:v>0</x:v>
      </x:c>
      <x:c r="AI1783" t="n">
        <x:f>--AND(Q1783=1,AF1783=1,AE1783="HALLUCINATION")</x:f>
        <x:v>0</x:v>
      </x:c>
      <x:c r="AJ1783" t="n">
        <x:f>--AND(AI1783=1,R1783=1,S1783=1)</x:f>
        <x:v>0</x:v>
      </x:c>
    </x:row>
    <x:row r="1784">
      <x:c r="A1784" s="28"/>
      <x:c r="B1784" s="28"/>
      <x:c r="C1784" s="28"/>
      <x:c r="D1784" s="28"/>
      <x:c r="E1784" s="28"/>
      <x:c r="F1784" s="28"/>
      <x:c r="G1784" s="28"/>
      <x:c r="H1784" s="28"/>
      <x:c r="I1784" s="28"/>
      <x:c r="J1784" s="28"/>
      <x:c r="K1784" s="28"/>
      <x:c r="L1784" s="28"/>
      <x:c r="M1784" s="28"/>
      <x:c r="N1784" s="28"/>
      <x:c r="O1784" s="28"/>
      <x:c r="P1784" s="28"/>
      <x:c r="Q1784" s="28"/>
      <x:c r="R1784" s="28"/>
      <x:c r="S1784" s="28"/>
      <x:c r="T1784" s="28"/>
      <x:c r="U1784" s="28"/>
      <x:c r="V1784" s="28"/>
      <x:c r="W1784" s="43" t="n">
        <x:f>--AND(N1784=1,OR(O1784="SUPPORTED",O1784="HALLUCINATION"))</x:f>
        <x:v>0</x:v>
      </x:c>
      <x:c r="X1784" s="43" t="n">
        <x:f>--AND(W1784=1,O1784="HALLUCINATION")</x:f>
        <x:v>0</x:v>
      </x:c>
      <x:c r="Y1784" s="43" t="n">
        <x:f>--AND(Q1784=1,O1784="HALLUCINATION")</x:f>
        <x:v>0</x:v>
      </x:c>
      <x:c r="Z1784" s="43" t="n">
        <x:f>--AND(Y1784=1,R1784=1,S1784=1)</x:f>
        <x:v>0</x:v>
      </x:c>
      <x:c r="AC1784" t="str">
        <x:f>IF(OR(AA1784="",AB1784=""),"",--(AA1784&lt;&gt;AB1784))</x:f>
      </x:c>
      <x:c r="AE1784" t="str">
        <x:f>IF(OR(AA1784="",AB1784=""),"PENDING_HUMAN",IF(AA1784=AB1784,AA1784,IF(AD1784&lt;&gt;"",AD1784,"PENDING_HUMAN")))</x:f>
        <x:v>PENDING_HUMAN</x:v>
      </x:c>
      <x:c r="AF1784" t="n">
        <x:f>--AND(A1784&lt;&gt;"",AA1784&lt;&gt;"",AB1784&lt;&gt;"",OR(AA1784=AB1784,AD1784&lt;&gt;""),IF(AE1784="HALLUCINATION",U1784&lt;&gt;"",TRUE))</x:f>
        <x:v>0</x:v>
      </x:c>
      <x:c r="AG1784" t="n">
        <x:f>--AND(N1784=1,AF1784=1,OR(AE1784="SUPPORTED",AE1784="HALLUCINATION"))</x:f>
        <x:v>0</x:v>
      </x:c>
      <x:c r="AH1784" t="n">
        <x:f>--AND(AG1784=1,AE1784="HALLUCINATION")</x:f>
        <x:v>0</x:v>
      </x:c>
      <x:c r="AI1784" t="n">
        <x:f>--AND(Q1784=1,AF1784=1,AE1784="HALLUCINATION")</x:f>
        <x:v>0</x:v>
      </x:c>
      <x:c r="AJ1784" t="n">
        <x:f>--AND(AI1784=1,R1784=1,S1784=1)</x:f>
        <x:v>0</x:v>
      </x:c>
    </x:row>
    <x:row r="1785">
      <x:c r="A1785" s="28"/>
      <x:c r="B1785" s="28"/>
      <x:c r="C1785" s="28"/>
      <x:c r="D1785" s="28"/>
      <x:c r="E1785" s="28"/>
      <x:c r="F1785" s="28"/>
      <x:c r="G1785" s="28"/>
      <x:c r="H1785" s="28"/>
      <x:c r="I1785" s="28"/>
      <x:c r="J1785" s="28"/>
      <x:c r="K1785" s="28"/>
      <x:c r="L1785" s="28"/>
      <x:c r="M1785" s="28"/>
      <x:c r="N1785" s="28"/>
      <x:c r="O1785" s="28"/>
      <x:c r="P1785" s="28"/>
      <x:c r="Q1785" s="28"/>
      <x:c r="R1785" s="28"/>
      <x:c r="S1785" s="28"/>
      <x:c r="T1785" s="28"/>
      <x:c r="U1785" s="28"/>
      <x:c r="V1785" s="28"/>
      <x:c r="W1785" s="43" t="n">
        <x:f>--AND(N1785=1,OR(O1785="SUPPORTED",O1785="HALLUCINATION"))</x:f>
        <x:v>0</x:v>
      </x:c>
      <x:c r="X1785" s="43" t="n">
        <x:f>--AND(W1785=1,O1785="HALLUCINATION")</x:f>
        <x:v>0</x:v>
      </x:c>
      <x:c r="Y1785" s="43" t="n">
        <x:f>--AND(Q1785=1,O1785="HALLUCINATION")</x:f>
        <x:v>0</x:v>
      </x:c>
      <x:c r="Z1785" s="43" t="n">
        <x:f>--AND(Y1785=1,R1785=1,S1785=1)</x:f>
        <x:v>0</x:v>
      </x:c>
      <x:c r="AC1785" t="str">
        <x:f>IF(OR(AA1785="",AB1785=""),"",--(AA1785&lt;&gt;AB1785))</x:f>
      </x:c>
      <x:c r="AE1785" t="str">
        <x:f>IF(OR(AA1785="",AB1785=""),"PENDING_HUMAN",IF(AA1785=AB1785,AA1785,IF(AD1785&lt;&gt;"",AD1785,"PENDING_HUMAN")))</x:f>
        <x:v>PENDING_HUMAN</x:v>
      </x:c>
      <x:c r="AF1785" t="n">
        <x:f>--AND(A1785&lt;&gt;"",AA1785&lt;&gt;"",AB1785&lt;&gt;"",OR(AA1785=AB1785,AD1785&lt;&gt;""),IF(AE1785="HALLUCINATION",U1785&lt;&gt;"",TRUE))</x:f>
        <x:v>0</x:v>
      </x:c>
      <x:c r="AG1785" t="n">
        <x:f>--AND(N1785=1,AF1785=1,OR(AE1785="SUPPORTED",AE1785="HALLUCINATION"))</x:f>
        <x:v>0</x:v>
      </x:c>
      <x:c r="AH1785" t="n">
        <x:f>--AND(AG1785=1,AE1785="HALLUCINATION")</x:f>
        <x:v>0</x:v>
      </x:c>
      <x:c r="AI1785" t="n">
        <x:f>--AND(Q1785=1,AF1785=1,AE1785="HALLUCINATION")</x:f>
        <x:v>0</x:v>
      </x:c>
      <x:c r="AJ1785" t="n">
        <x:f>--AND(AI1785=1,R1785=1,S1785=1)</x:f>
        <x:v>0</x:v>
      </x:c>
    </x:row>
    <x:row r="1786">
      <x:c r="A1786" s="28"/>
      <x:c r="B1786" s="28"/>
      <x:c r="C1786" s="28"/>
      <x:c r="D1786" s="28"/>
      <x:c r="E1786" s="28"/>
      <x:c r="F1786" s="28"/>
      <x:c r="G1786" s="28"/>
      <x:c r="H1786" s="28"/>
      <x:c r="I1786" s="28"/>
      <x:c r="J1786" s="28"/>
      <x:c r="K1786" s="28"/>
      <x:c r="L1786" s="28"/>
      <x:c r="M1786" s="28"/>
      <x:c r="N1786" s="28"/>
      <x:c r="O1786" s="28"/>
      <x:c r="P1786" s="28"/>
      <x:c r="Q1786" s="28"/>
      <x:c r="R1786" s="28"/>
      <x:c r="S1786" s="28"/>
      <x:c r="T1786" s="28"/>
      <x:c r="U1786" s="28"/>
      <x:c r="V1786" s="28"/>
      <x:c r="W1786" s="43" t="n">
        <x:f>--AND(N1786=1,OR(O1786="SUPPORTED",O1786="HALLUCINATION"))</x:f>
        <x:v>0</x:v>
      </x:c>
      <x:c r="X1786" s="43" t="n">
        <x:f>--AND(W1786=1,O1786="HALLUCINATION")</x:f>
        <x:v>0</x:v>
      </x:c>
      <x:c r="Y1786" s="43" t="n">
        <x:f>--AND(Q1786=1,O1786="HALLUCINATION")</x:f>
        <x:v>0</x:v>
      </x:c>
      <x:c r="Z1786" s="43" t="n">
        <x:f>--AND(Y1786=1,R1786=1,S1786=1)</x:f>
        <x:v>0</x:v>
      </x:c>
      <x:c r="AC1786" t="str">
        <x:f>IF(OR(AA1786="",AB1786=""),"",--(AA1786&lt;&gt;AB1786))</x:f>
      </x:c>
      <x:c r="AE1786" t="str">
        <x:f>IF(OR(AA1786="",AB1786=""),"PENDING_HUMAN",IF(AA1786=AB1786,AA1786,IF(AD1786&lt;&gt;"",AD1786,"PENDING_HUMAN")))</x:f>
        <x:v>PENDING_HUMAN</x:v>
      </x:c>
      <x:c r="AF1786" t="n">
        <x:f>--AND(A1786&lt;&gt;"",AA1786&lt;&gt;"",AB1786&lt;&gt;"",OR(AA1786=AB1786,AD1786&lt;&gt;""),IF(AE1786="HALLUCINATION",U1786&lt;&gt;"",TRUE))</x:f>
        <x:v>0</x:v>
      </x:c>
      <x:c r="AG1786" t="n">
        <x:f>--AND(N1786=1,AF1786=1,OR(AE1786="SUPPORTED",AE1786="HALLUCINATION"))</x:f>
        <x:v>0</x:v>
      </x:c>
      <x:c r="AH1786" t="n">
        <x:f>--AND(AG1786=1,AE1786="HALLUCINATION")</x:f>
        <x:v>0</x:v>
      </x:c>
      <x:c r="AI1786" t="n">
        <x:f>--AND(Q1786=1,AF1786=1,AE1786="HALLUCINATION")</x:f>
        <x:v>0</x:v>
      </x:c>
      <x:c r="AJ1786" t="n">
        <x:f>--AND(AI1786=1,R1786=1,S1786=1)</x:f>
        <x:v>0</x:v>
      </x:c>
    </x:row>
    <x:row r="1787">
      <x:c r="A1787" s="28"/>
      <x:c r="B1787" s="28"/>
      <x:c r="C1787" s="28"/>
      <x:c r="D1787" s="28"/>
      <x:c r="E1787" s="28"/>
      <x:c r="F1787" s="28"/>
      <x:c r="G1787" s="28"/>
      <x:c r="H1787" s="28"/>
      <x:c r="I1787" s="28"/>
      <x:c r="J1787" s="28"/>
      <x:c r="K1787" s="28"/>
      <x:c r="L1787" s="28"/>
      <x:c r="M1787" s="28"/>
      <x:c r="N1787" s="28"/>
      <x:c r="O1787" s="28"/>
      <x:c r="P1787" s="28"/>
      <x:c r="Q1787" s="28"/>
      <x:c r="R1787" s="28"/>
      <x:c r="S1787" s="28"/>
      <x:c r="T1787" s="28"/>
      <x:c r="U1787" s="28"/>
      <x:c r="V1787" s="28"/>
      <x:c r="W1787" s="43" t="n">
        <x:f>--AND(N1787=1,OR(O1787="SUPPORTED",O1787="HALLUCINATION"))</x:f>
        <x:v>0</x:v>
      </x:c>
      <x:c r="X1787" s="43" t="n">
        <x:f>--AND(W1787=1,O1787="HALLUCINATION")</x:f>
        <x:v>0</x:v>
      </x:c>
      <x:c r="Y1787" s="43" t="n">
        <x:f>--AND(Q1787=1,O1787="HALLUCINATION")</x:f>
        <x:v>0</x:v>
      </x:c>
      <x:c r="Z1787" s="43" t="n">
        <x:f>--AND(Y1787=1,R1787=1,S1787=1)</x:f>
        <x:v>0</x:v>
      </x:c>
      <x:c r="AC1787" t="str">
        <x:f>IF(OR(AA1787="",AB1787=""),"",--(AA1787&lt;&gt;AB1787))</x:f>
      </x:c>
      <x:c r="AE1787" t="str">
        <x:f>IF(OR(AA1787="",AB1787=""),"PENDING_HUMAN",IF(AA1787=AB1787,AA1787,IF(AD1787&lt;&gt;"",AD1787,"PENDING_HUMAN")))</x:f>
        <x:v>PENDING_HUMAN</x:v>
      </x:c>
      <x:c r="AF1787" t="n">
        <x:f>--AND(A1787&lt;&gt;"",AA1787&lt;&gt;"",AB1787&lt;&gt;"",OR(AA1787=AB1787,AD1787&lt;&gt;""),IF(AE1787="HALLUCINATION",U1787&lt;&gt;"",TRUE))</x:f>
        <x:v>0</x:v>
      </x:c>
      <x:c r="AG1787" t="n">
        <x:f>--AND(N1787=1,AF1787=1,OR(AE1787="SUPPORTED",AE1787="HALLUCINATION"))</x:f>
        <x:v>0</x:v>
      </x:c>
      <x:c r="AH1787" t="n">
        <x:f>--AND(AG1787=1,AE1787="HALLUCINATION")</x:f>
        <x:v>0</x:v>
      </x:c>
      <x:c r="AI1787" t="n">
        <x:f>--AND(Q1787=1,AF1787=1,AE1787="HALLUCINATION")</x:f>
        <x:v>0</x:v>
      </x:c>
      <x:c r="AJ1787" t="n">
        <x:f>--AND(AI1787=1,R1787=1,S1787=1)</x:f>
        <x:v>0</x:v>
      </x:c>
    </x:row>
    <x:row r="1788">
      <x:c r="A1788" s="28"/>
      <x:c r="B1788" s="28"/>
      <x:c r="C1788" s="28"/>
      <x:c r="D1788" s="28"/>
      <x:c r="E1788" s="28"/>
      <x:c r="F1788" s="28"/>
      <x:c r="G1788" s="28"/>
      <x:c r="H1788" s="28"/>
      <x:c r="I1788" s="28"/>
      <x:c r="J1788" s="28"/>
      <x:c r="K1788" s="28"/>
      <x:c r="L1788" s="28"/>
      <x:c r="M1788" s="28"/>
      <x:c r="N1788" s="28"/>
      <x:c r="O1788" s="28"/>
      <x:c r="P1788" s="28"/>
      <x:c r="Q1788" s="28"/>
      <x:c r="R1788" s="28"/>
      <x:c r="S1788" s="28"/>
      <x:c r="T1788" s="28"/>
      <x:c r="U1788" s="28"/>
      <x:c r="V1788" s="28"/>
      <x:c r="W1788" s="43" t="n">
        <x:f>--AND(N1788=1,OR(O1788="SUPPORTED",O1788="HALLUCINATION"))</x:f>
        <x:v>0</x:v>
      </x:c>
      <x:c r="X1788" s="43" t="n">
        <x:f>--AND(W1788=1,O1788="HALLUCINATION")</x:f>
        <x:v>0</x:v>
      </x:c>
      <x:c r="Y1788" s="43" t="n">
        <x:f>--AND(Q1788=1,O1788="HALLUCINATION")</x:f>
        <x:v>0</x:v>
      </x:c>
      <x:c r="Z1788" s="43" t="n">
        <x:f>--AND(Y1788=1,R1788=1,S1788=1)</x:f>
        <x:v>0</x:v>
      </x:c>
      <x:c r="AC1788" t="str">
        <x:f>IF(OR(AA1788="",AB1788=""),"",--(AA1788&lt;&gt;AB1788))</x:f>
      </x:c>
      <x:c r="AE1788" t="str">
        <x:f>IF(OR(AA1788="",AB1788=""),"PENDING_HUMAN",IF(AA1788=AB1788,AA1788,IF(AD1788&lt;&gt;"",AD1788,"PENDING_HUMAN")))</x:f>
        <x:v>PENDING_HUMAN</x:v>
      </x:c>
      <x:c r="AF1788" t="n">
        <x:f>--AND(A1788&lt;&gt;"",AA1788&lt;&gt;"",AB1788&lt;&gt;"",OR(AA1788=AB1788,AD1788&lt;&gt;""),IF(AE1788="HALLUCINATION",U1788&lt;&gt;"",TRUE))</x:f>
        <x:v>0</x:v>
      </x:c>
      <x:c r="AG1788" t="n">
        <x:f>--AND(N1788=1,AF1788=1,OR(AE1788="SUPPORTED",AE1788="HALLUCINATION"))</x:f>
        <x:v>0</x:v>
      </x:c>
      <x:c r="AH1788" t="n">
        <x:f>--AND(AG1788=1,AE1788="HALLUCINATION")</x:f>
        <x:v>0</x:v>
      </x:c>
      <x:c r="AI1788" t="n">
        <x:f>--AND(Q1788=1,AF1788=1,AE1788="HALLUCINATION")</x:f>
        <x:v>0</x:v>
      </x:c>
      <x:c r="AJ1788" t="n">
        <x:f>--AND(AI1788=1,R1788=1,S1788=1)</x:f>
        <x:v>0</x:v>
      </x:c>
    </x:row>
    <x:row r="1789">
      <x:c r="A1789" s="28"/>
      <x:c r="B1789" s="28"/>
      <x:c r="C1789" s="28"/>
      <x:c r="D1789" s="28"/>
      <x:c r="E1789" s="28"/>
      <x:c r="F1789" s="28"/>
      <x:c r="G1789" s="28"/>
      <x:c r="H1789" s="28"/>
      <x:c r="I1789" s="28"/>
      <x:c r="J1789" s="28"/>
      <x:c r="K1789" s="28"/>
      <x:c r="L1789" s="28"/>
      <x:c r="M1789" s="28"/>
      <x:c r="N1789" s="28"/>
      <x:c r="O1789" s="28"/>
      <x:c r="P1789" s="28"/>
      <x:c r="Q1789" s="28"/>
      <x:c r="R1789" s="28"/>
      <x:c r="S1789" s="28"/>
      <x:c r="T1789" s="28"/>
      <x:c r="U1789" s="28"/>
      <x:c r="V1789" s="28"/>
      <x:c r="W1789" s="43" t="n">
        <x:f>--AND(N1789=1,OR(O1789="SUPPORTED",O1789="HALLUCINATION"))</x:f>
        <x:v>0</x:v>
      </x:c>
      <x:c r="X1789" s="43" t="n">
        <x:f>--AND(W1789=1,O1789="HALLUCINATION")</x:f>
        <x:v>0</x:v>
      </x:c>
      <x:c r="Y1789" s="43" t="n">
        <x:f>--AND(Q1789=1,O1789="HALLUCINATION")</x:f>
        <x:v>0</x:v>
      </x:c>
      <x:c r="Z1789" s="43" t="n">
        <x:f>--AND(Y1789=1,R1789=1,S1789=1)</x:f>
        <x:v>0</x:v>
      </x:c>
      <x:c r="AC1789" t="str">
        <x:f>IF(OR(AA1789="",AB1789=""),"",--(AA1789&lt;&gt;AB1789))</x:f>
      </x:c>
      <x:c r="AE1789" t="str">
        <x:f>IF(OR(AA1789="",AB1789=""),"PENDING_HUMAN",IF(AA1789=AB1789,AA1789,IF(AD1789&lt;&gt;"",AD1789,"PENDING_HUMAN")))</x:f>
        <x:v>PENDING_HUMAN</x:v>
      </x:c>
      <x:c r="AF1789" t="n">
        <x:f>--AND(A1789&lt;&gt;"",AA1789&lt;&gt;"",AB1789&lt;&gt;"",OR(AA1789=AB1789,AD1789&lt;&gt;""),IF(AE1789="HALLUCINATION",U1789&lt;&gt;"",TRUE))</x:f>
        <x:v>0</x:v>
      </x:c>
      <x:c r="AG1789" t="n">
        <x:f>--AND(N1789=1,AF1789=1,OR(AE1789="SUPPORTED",AE1789="HALLUCINATION"))</x:f>
        <x:v>0</x:v>
      </x:c>
      <x:c r="AH1789" t="n">
        <x:f>--AND(AG1789=1,AE1789="HALLUCINATION")</x:f>
        <x:v>0</x:v>
      </x:c>
      <x:c r="AI1789" t="n">
        <x:f>--AND(Q1789=1,AF1789=1,AE1789="HALLUCINATION")</x:f>
        <x:v>0</x:v>
      </x:c>
      <x:c r="AJ1789" t="n">
        <x:f>--AND(AI1789=1,R1789=1,S1789=1)</x:f>
        <x:v>0</x:v>
      </x:c>
    </x:row>
    <x:row r="1790">
      <x:c r="A1790" s="28"/>
      <x:c r="B1790" s="28"/>
      <x:c r="C1790" s="28"/>
      <x:c r="D1790" s="28"/>
      <x:c r="E1790" s="28"/>
      <x:c r="F1790" s="28"/>
      <x:c r="G1790" s="28"/>
      <x:c r="H1790" s="28"/>
      <x:c r="I1790" s="28"/>
      <x:c r="J1790" s="28"/>
      <x:c r="K1790" s="28"/>
      <x:c r="L1790" s="28"/>
      <x:c r="M1790" s="28"/>
      <x:c r="N1790" s="28"/>
      <x:c r="O1790" s="28"/>
      <x:c r="P1790" s="28"/>
      <x:c r="Q1790" s="28"/>
      <x:c r="R1790" s="28"/>
      <x:c r="S1790" s="28"/>
      <x:c r="T1790" s="28"/>
      <x:c r="U1790" s="28"/>
      <x:c r="V1790" s="28"/>
      <x:c r="W1790" s="43" t="n">
        <x:f>--AND(N1790=1,OR(O1790="SUPPORTED",O1790="HALLUCINATION"))</x:f>
        <x:v>0</x:v>
      </x:c>
      <x:c r="X1790" s="43" t="n">
        <x:f>--AND(W1790=1,O1790="HALLUCINATION")</x:f>
        <x:v>0</x:v>
      </x:c>
      <x:c r="Y1790" s="43" t="n">
        <x:f>--AND(Q1790=1,O1790="HALLUCINATION")</x:f>
        <x:v>0</x:v>
      </x:c>
      <x:c r="Z1790" s="43" t="n">
        <x:f>--AND(Y1790=1,R1790=1,S1790=1)</x:f>
        <x:v>0</x:v>
      </x:c>
      <x:c r="AC1790" t="str">
        <x:f>IF(OR(AA1790="",AB1790=""),"",--(AA1790&lt;&gt;AB1790))</x:f>
      </x:c>
      <x:c r="AE1790" t="str">
        <x:f>IF(OR(AA1790="",AB1790=""),"PENDING_HUMAN",IF(AA1790=AB1790,AA1790,IF(AD1790&lt;&gt;"",AD1790,"PENDING_HUMAN")))</x:f>
        <x:v>PENDING_HUMAN</x:v>
      </x:c>
      <x:c r="AF1790" t="n">
        <x:f>--AND(A1790&lt;&gt;"",AA1790&lt;&gt;"",AB1790&lt;&gt;"",OR(AA1790=AB1790,AD1790&lt;&gt;""),IF(AE1790="HALLUCINATION",U1790&lt;&gt;"",TRUE))</x:f>
        <x:v>0</x:v>
      </x:c>
      <x:c r="AG1790" t="n">
        <x:f>--AND(N1790=1,AF1790=1,OR(AE1790="SUPPORTED",AE1790="HALLUCINATION"))</x:f>
        <x:v>0</x:v>
      </x:c>
      <x:c r="AH1790" t="n">
        <x:f>--AND(AG1790=1,AE1790="HALLUCINATION")</x:f>
        <x:v>0</x:v>
      </x:c>
      <x:c r="AI1790" t="n">
        <x:f>--AND(Q1790=1,AF1790=1,AE1790="HALLUCINATION")</x:f>
        <x:v>0</x:v>
      </x:c>
      <x:c r="AJ1790" t="n">
        <x:f>--AND(AI1790=1,R1790=1,S1790=1)</x:f>
        <x:v>0</x:v>
      </x:c>
    </x:row>
    <x:row r="1791">
      <x:c r="A1791" s="28"/>
      <x:c r="B1791" s="28"/>
      <x:c r="C1791" s="28"/>
      <x:c r="D1791" s="28"/>
      <x:c r="E1791" s="28"/>
      <x:c r="F1791" s="28"/>
      <x:c r="G1791" s="28"/>
      <x:c r="H1791" s="28"/>
      <x:c r="I1791" s="28"/>
      <x:c r="J1791" s="28"/>
      <x:c r="K1791" s="28"/>
      <x:c r="L1791" s="28"/>
      <x:c r="M1791" s="28"/>
      <x:c r="N1791" s="28"/>
      <x:c r="O1791" s="28"/>
      <x:c r="P1791" s="28"/>
      <x:c r="Q1791" s="28"/>
      <x:c r="R1791" s="28"/>
      <x:c r="S1791" s="28"/>
      <x:c r="T1791" s="28"/>
      <x:c r="U1791" s="28"/>
      <x:c r="V1791" s="28"/>
      <x:c r="W1791" s="43" t="n">
        <x:f>--AND(N1791=1,OR(O1791="SUPPORTED",O1791="HALLUCINATION"))</x:f>
        <x:v>0</x:v>
      </x:c>
      <x:c r="X1791" s="43" t="n">
        <x:f>--AND(W1791=1,O1791="HALLUCINATION")</x:f>
        <x:v>0</x:v>
      </x:c>
      <x:c r="Y1791" s="43" t="n">
        <x:f>--AND(Q1791=1,O1791="HALLUCINATION")</x:f>
        <x:v>0</x:v>
      </x:c>
      <x:c r="Z1791" s="43" t="n">
        <x:f>--AND(Y1791=1,R1791=1,S1791=1)</x:f>
        <x:v>0</x:v>
      </x:c>
      <x:c r="AC1791" t="str">
        <x:f>IF(OR(AA1791="",AB1791=""),"",--(AA1791&lt;&gt;AB1791))</x:f>
      </x:c>
      <x:c r="AE1791" t="str">
        <x:f>IF(OR(AA1791="",AB1791=""),"PENDING_HUMAN",IF(AA1791=AB1791,AA1791,IF(AD1791&lt;&gt;"",AD1791,"PENDING_HUMAN")))</x:f>
        <x:v>PENDING_HUMAN</x:v>
      </x:c>
      <x:c r="AF1791" t="n">
        <x:f>--AND(A1791&lt;&gt;"",AA1791&lt;&gt;"",AB1791&lt;&gt;"",OR(AA1791=AB1791,AD1791&lt;&gt;""),IF(AE1791="HALLUCINATION",U1791&lt;&gt;"",TRUE))</x:f>
        <x:v>0</x:v>
      </x:c>
      <x:c r="AG1791" t="n">
        <x:f>--AND(N1791=1,AF1791=1,OR(AE1791="SUPPORTED",AE1791="HALLUCINATION"))</x:f>
        <x:v>0</x:v>
      </x:c>
      <x:c r="AH1791" t="n">
        <x:f>--AND(AG1791=1,AE1791="HALLUCINATION")</x:f>
        <x:v>0</x:v>
      </x:c>
      <x:c r="AI1791" t="n">
        <x:f>--AND(Q1791=1,AF1791=1,AE1791="HALLUCINATION")</x:f>
        <x:v>0</x:v>
      </x:c>
      <x:c r="AJ1791" t="n">
        <x:f>--AND(AI1791=1,R1791=1,S1791=1)</x:f>
        <x:v>0</x:v>
      </x:c>
    </x:row>
    <x:row r="1792">
      <x:c r="A1792" s="28"/>
      <x:c r="B1792" s="28"/>
      <x:c r="C1792" s="28"/>
      <x:c r="D1792" s="28"/>
      <x:c r="E1792" s="28"/>
      <x:c r="F1792" s="28"/>
      <x:c r="G1792" s="28"/>
      <x:c r="H1792" s="28"/>
      <x:c r="I1792" s="28"/>
      <x:c r="J1792" s="28"/>
      <x:c r="K1792" s="28"/>
      <x:c r="L1792" s="28"/>
      <x:c r="M1792" s="28"/>
      <x:c r="N1792" s="28"/>
      <x:c r="O1792" s="28"/>
      <x:c r="P1792" s="28"/>
      <x:c r="Q1792" s="28"/>
      <x:c r="R1792" s="28"/>
      <x:c r="S1792" s="28"/>
      <x:c r="T1792" s="28"/>
      <x:c r="U1792" s="28"/>
      <x:c r="V1792" s="28"/>
      <x:c r="W1792" s="43" t="n">
        <x:f>--AND(N1792=1,OR(O1792="SUPPORTED",O1792="HALLUCINATION"))</x:f>
        <x:v>0</x:v>
      </x:c>
      <x:c r="X1792" s="43" t="n">
        <x:f>--AND(W1792=1,O1792="HALLUCINATION")</x:f>
        <x:v>0</x:v>
      </x:c>
      <x:c r="Y1792" s="43" t="n">
        <x:f>--AND(Q1792=1,O1792="HALLUCINATION")</x:f>
        <x:v>0</x:v>
      </x:c>
      <x:c r="Z1792" s="43" t="n">
        <x:f>--AND(Y1792=1,R1792=1,S1792=1)</x:f>
        <x:v>0</x:v>
      </x:c>
      <x:c r="AC1792" t="str">
        <x:f>IF(OR(AA1792="",AB1792=""),"",--(AA1792&lt;&gt;AB1792))</x:f>
      </x:c>
      <x:c r="AE1792" t="str">
        <x:f>IF(OR(AA1792="",AB1792=""),"PENDING_HUMAN",IF(AA1792=AB1792,AA1792,IF(AD1792&lt;&gt;"",AD1792,"PENDING_HUMAN")))</x:f>
        <x:v>PENDING_HUMAN</x:v>
      </x:c>
      <x:c r="AF1792" t="n">
        <x:f>--AND(A1792&lt;&gt;"",AA1792&lt;&gt;"",AB1792&lt;&gt;"",OR(AA1792=AB1792,AD1792&lt;&gt;""),IF(AE1792="HALLUCINATION",U1792&lt;&gt;"",TRUE))</x:f>
        <x:v>0</x:v>
      </x:c>
      <x:c r="AG1792" t="n">
        <x:f>--AND(N1792=1,AF1792=1,OR(AE1792="SUPPORTED",AE1792="HALLUCINATION"))</x:f>
        <x:v>0</x:v>
      </x:c>
      <x:c r="AH1792" t="n">
        <x:f>--AND(AG1792=1,AE1792="HALLUCINATION")</x:f>
        <x:v>0</x:v>
      </x:c>
      <x:c r="AI1792" t="n">
        <x:f>--AND(Q1792=1,AF1792=1,AE1792="HALLUCINATION")</x:f>
        <x:v>0</x:v>
      </x:c>
      <x:c r="AJ1792" t="n">
        <x:f>--AND(AI1792=1,R1792=1,S1792=1)</x:f>
        <x:v>0</x:v>
      </x:c>
    </x:row>
    <x:row r="1793">
      <x:c r="A1793" s="28"/>
      <x:c r="B1793" s="28"/>
      <x:c r="C1793" s="28"/>
      <x:c r="D1793" s="28"/>
      <x:c r="E1793" s="28"/>
      <x:c r="F1793" s="28"/>
      <x:c r="G1793" s="28"/>
      <x:c r="H1793" s="28"/>
      <x:c r="I1793" s="28"/>
      <x:c r="J1793" s="28"/>
      <x:c r="K1793" s="28"/>
      <x:c r="L1793" s="28"/>
      <x:c r="M1793" s="28"/>
      <x:c r="N1793" s="28"/>
      <x:c r="O1793" s="28"/>
      <x:c r="P1793" s="28"/>
      <x:c r="Q1793" s="28"/>
      <x:c r="R1793" s="28"/>
      <x:c r="S1793" s="28"/>
      <x:c r="T1793" s="28"/>
      <x:c r="U1793" s="28"/>
      <x:c r="V1793" s="28"/>
      <x:c r="W1793" s="43" t="n">
        <x:f>--AND(N1793=1,OR(O1793="SUPPORTED",O1793="HALLUCINATION"))</x:f>
        <x:v>0</x:v>
      </x:c>
      <x:c r="X1793" s="43" t="n">
        <x:f>--AND(W1793=1,O1793="HALLUCINATION")</x:f>
        <x:v>0</x:v>
      </x:c>
      <x:c r="Y1793" s="43" t="n">
        <x:f>--AND(Q1793=1,O1793="HALLUCINATION")</x:f>
        <x:v>0</x:v>
      </x:c>
      <x:c r="Z1793" s="43" t="n">
        <x:f>--AND(Y1793=1,R1793=1,S1793=1)</x:f>
        <x:v>0</x:v>
      </x:c>
      <x:c r="AC1793" t="str">
        <x:f>IF(OR(AA1793="",AB1793=""),"",--(AA1793&lt;&gt;AB1793))</x:f>
      </x:c>
      <x:c r="AE1793" t="str">
        <x:f>IF(OR(AA1793="",AB1793=""),"PENDING_HUMAN",IF(AA1793=AB1793,AA1793,IF(AD1793&lt;&gt;"",AD1793,"PENDING_HUMAN")))</x:f>
        <x:v>PENDING_HUMAN</x:v>
      </x:c>
      <x:c r="AF1793" t="n">
        <x:f>--AND(A1793&lt;&gt;"",AA1793&lt;&gt;"",AB1793&lt;&gt;"",OR(AA1793=AB1793,AD1793&lt;&gt;""),IF(AE1793="HALLUCINATION",U1793&lt;&gt;"",TRUE))</x:f>
        <x:v>0</x:v>
      </x:c>
      <x:c r="AG1793" t="n">
        <x:f>--AND(N1793=1,AF1793=1,OR(AE1793="SUPPORTED",AE1793="HALLUCINATION"))</x:f>
        <x:v>0</x:v>
      </x:c>
      <x:c r="AH1793" t="n">
        <x:f>--AND(AG1793=1,AE1793="HALLUCINATION")</x:f>
        <x:v>0</x:v>
      </x:c>
      <x:c r="AI1793" t="n">
        <x:f>--AND(Q1793=1,AF1793=1,AE1793="HALLUCINATION")</x:f>
        <x:v>0</x:v>
      </x:c>
      <x:c r="AJ1793" t="n">
        <x:f>--AND(AI1793=1,R1793=1,S1793=1)</x:f>
        <x:v>0</x:v>
      </x:c>
    </x:row>
    <x:row r="1794">
      <x:c r="A1794" s="28"/>
      <x:c r="B1794" s="28"/>
      <x:c r="C1794" s="28"/>
      <x:c r="D1794" s="28"/>
      <x:c r="E1794" s="28"/>
      <x:c r="F1794" s="28"/>
      <x:c r="G1794" s="28"/>
      <x:c r="H1794" s="28"/>
      <x:c r="I1794" s="28"/>
      <x:c r="J1794" s="28"/>
      <x:c r="K1794" s="28"/>
      <x:c r="L1794" s="28"/>
      <x:c r="M1794" s="28"/>
      <x:c r="N1794" s="28"/>
      <x:c r="O1794" s="28"/>
      <x:c r="P1794" s="28"/>
      <x:c r="Q1794" s="28"/>
      <x:c r="R1794" s="28"/>
      <x:c r="S1794" s="28"/>
      <x:c r="T1794" s="28"/>
      <x:c r="U1794" s="28"/>
      <x:c r="V1794" s="28"/>
      <x:c r="W1794" s="43" t="n">
        <x:f>--AND(N1794=1,OR(O1794="SUPPORTED",O1794="HALLUCINATION"))</x:f>
        <x:v>0</x:v>
      </x:c>
      <x:c r="X1794" s="43" t="n">
        <x:f>--AND(W1794=1,O1794="HALLUCINATION")</x:f>
        <x:v>0</x:v>
      </x:c>
      <x:c r="Y1794" s="43" t="n">
        <x:f>--AND(Q1794=1,O1794="HALLUCINATION")</x:f>
        <x:v>0</x:v>
      </x:c>
      <x:c r="Z1794" s="43" t="n">
        <x:f>--AND(Y1794=1,R1794=1,S1794=1)</x:f>
        <x:v>0</x:v>
      </x:c>
      <x:c r="AC1794" t="str">
        <x:f>IF(OR(AA1794="",AB1794=""),"",--(AA1794&lt;&gt;AB1794))</x:f>
      </x:c>
      <x:c r="AE1794" t="str">
        <x:f>IF(OR(AA1794="",AB1794=""),"PENDING_HUMAN",IF(AA1794=AB1794,AA1794,IF(AD1794&lt;&gt;"",AD1794,"PENDING_HUMAN")))</x:f>
        <x:v>PENDING_HUMAN</x:v>
      </x:c>
      <x:c r="AF1794" t="n">
        <x:f>--AND(A1794&lt;&gt;"",AA1794&lt;&gt;"",AB1794&lt;&gt;"",OR(AA1794=AB1794,AD1794&lt;&gt;""),IF(AE1794="HALLUCINATION",U1794&lt;&gt;"",TRUE))</x:f>
        <x:v>0</x:v>
      </x:c>
      <x:c r="AG1794" t="n">
        <x:f>--AND(N1794=1,AF1794=1,OR(AE1794="SUPPORTED",AE1794="HALLUCINATION"))</x:f>
        <x:v>0</x:v>
      </x:c>
      <x:c r="AH1794" t="n">
        <x:f>--AND(AG1794=1,AE1794="HALLUCINATION")</x:f>
        <x:v>0</x:v>
      </x:c>
      <x:c r="AI1794" t="n">
        <x:f>--AND(Q1794=1,AF1794=1,AE1794="HALLUCINATION")</x:f>
        <x:v>0</x:v>
      </x:c>
      <x:c r="AJ1794" t="n">
        <x:f>--AND(AI1794=1,R1794=1,S1794=1)</x:f>
        <x:v>0</x:v>
      </x:c>
    </x:row>
    <x:row r="1795">
      <x:c r="A1795" s="28"/>
      <x:c r="B1795" s="28"/>
      <x:c r="C1795" s="28"/>
      <x:c r="D1795" s="28"/>
      <x:c r="E1795" s="28"/>
      <x:c r="F1795" s="28"/>
      <x:c r="G1795" s="28"/>
      <x:c r="H1795" s="28"/>
      <x:c r="I1795" s="28"/>
      <x:c r="J1795" s="28"/>
      <x:c r="K1795" s="28"/>
      <x:c r="L1795" s="28"/>
      <x:c r="M1795" s="28"/>
      <x:c r="N1795" s="28"/>
      <x:c r="O1795" s="28"/>
      <x:c r="P1795" s="28"/>
      <x:c r="Q1795" s="28"/>
      <x:c r="R1795" s="28"/>
      <x:c r="S1795" s="28"/>
      <x:c r="T1795" s="28"/>
      <x:c r="U1795" s="28"/>
      <x:c r="V1795" s="28"/>
      <x:c r="W1795" s="43" t="n">
        <x:f>--AND(N1795=1,OR(O1795="SUPPORTED",O1795="HALLUCINATION"))</x:f>
        <x:v>0</x:v>
      </x:c>
      <x:c r="X1795" s="43" t="n">
        <x:f>--AND(W1795=1,O1795="HALLUCINATION")</x:f>
        <x:v>0</x:v>
      </x:c>
      <x:c r="Y1795" s="43" t="n">
        <x:f>--AND(Q1795=1,O1795="HALLUCINATION")</x:f>
        <x:v>0</x:v>
      </x:c>
      <x:c r="Z1795" s="43" t="n">
        <x:f>--AND(Y1795=1,R1795=1,S1795=1)</x:f>
        <x:v>0</x:v>
      </x:c>
      <x:c r="AC1795" t="str">
        <x:f>IF(OR(AA1795="",AB1795=""),"",--(AA1795&lt;&gt;AB1795))</x:f>
      </x:c>
      <x:c r="AE1795" t="str">
        <x:f>IF(OR(AA1795="",AB1795=""),"PENDING_HUMAN",IF(AA1795=AB1795,AA1795,IF(AD1795&lt;&gt;"",AD1795,"PENDING_HUMAN")))</x:f>
        <x:v>PENDING_HUMAN</x:v>
      </x:c>
      <x:c r="AF1795" t="n">
        <x:f>--AND(A1795&lt;&gt;"",AA1795&lt;&gt;"",AB1795&lt;&gt;"",OR(AA1795=AB1795,AD1795&lt;&gt;""),IF(AE1795="HALLUCINATION",U1795&lt;&gt;"",TRUE))</x:f>
        <x:v>0</x:v>
      </x:c>
      <x:c r="AG1795" t="n">
        <x:f>--AND(N1795=1,AF1795=1,OR(AE1795="SUPPORTED",AE1795="HALLUCINATION"))</x:f>
        <x:v>0</x:v>
      </x:c>
      <x:c r="AH1795" t="n">
        <x:f>--AND(AG1795=1,AE1795="HALLUCINATION")</x:f>
        <x:v>0</x:v>
      </x:c>
      <x:c r="AI1795" t="n">
        <x:f>--AND(Q1795=1,AF1795=1,AE1795="HALLUCINATION")</x:f>
        <x:v>0</x:v>
      </x:c>
      <x:c r="AJ1795" t="n">
        <x:f>--AND(AI1795=1,R1795=1,S1795=1)</x:f>
        <x:v>0</x:v>
      </x:c>
    </x:row>
    <x:row r="1796">
      <x:c r="A1796" s="28"/>
      <x:c r="B1796" s="28"/>
      <x:c r="C1796" s="28"/>
      <x:c r="D1796" s="28"/>
      <x:c r="E1796" s="28"/>
      <x:c r="F1796" s="28"/>
      <x:c r="G1796" s="28"/>
      <x:c r="H1796" s="28"/>
      <x:c r="I1796" s="28"/>
      <x:c r="J1796" s="28"/>
      <x:c r="K1796" s="28"/>
      <x:c r="L1796" s="28"/>
      <x:c r="M1796" s="28"/>
      <x:c r="N1796" s="28"/>
      <x:c r="O1796" s="28"/>
      <x:c r="P1796" s="28"/>
      <x:c r="Q1796" s="28"/>
      <x:c r="R1796" s="28"/>
      <x:c r="S1796" s="28"/>
      <x:c r="T1796" s="28"/>
      <x:c r="U1796" s="28"/>
      <x:c r="V1796" s="28"/>
      <x:c r="W1796" s="43" t="n">
        <x:f>--AND(N1796=1,OR(O1796="SUPPORTED",O1796="HALLUCINATION"))</x:f>
        <x:v>0</x:v>
      </x:c>
      <x:c r="X1796" s="43" t="n">
        <x:f>--AND(W1796=1,O1796="HALLUCINATION")</x:f>
        <x:v>0</x:v>
      </x:c>
      <x:c r="Y1796" s="43" t="n">
        <x:f>--AND(Q1796=1,O1796="HALLUCINATION")</x:f>
        <x:v>0</x:v>
      </x:c>
      <x:c r="Z1796" s="43" t="n">
        <x:f>--AND(Y1796=1,R1796=1,S1796=1)</x:f>
        <x:v>0</x:v>
      </x:c>
      <x:c r="AC1796" t="str">
        <x:f>IF(OR(AA1796="",AB1796=""),"",--(AA1796&lt;&gt;AB1796))</x:f>
      </x:c>
      <x:c r="AE1796" t="str">
        <x:f>IF(OR(AA1796="",AB1796=""),"PENDING_HUMAN",IF(AA1796=AB1796,AA1796,IF(AD1796&lt;&gt;"",AD1796,"PENDING_HUMAN")))</x:f>
        <x:v>PENDING_HUMAN</x:v>
      </x:c>
      <x:c r="AF1796" t="n">
        <x:f>--AND(A1796&lt;&gt;"",AA1796&lt;&gt;"",AB1796&lt;&gt;"",OR(AA1796=AB1796,AD1796&lt;&gt;""),IF(AE1796="HALLUCINATION",U1796&lt;&gt;"",TRUE))</x:f>
        <x:v>0</x:v>
      </x:c>
      <x:c r="AG1796" t="n">
        <x:f>--AND(N1796=1,AF1796=1,OR(AE1796="SUPPORTED",AE1796="HALLUCINATION"))</x:f>
        <x:v>0</x:v>
      </x:c>
      <x:c r="AH1796" t="n">
        <x:f>--AND(AG1796=1,AE1796="HALLUCINATION")</x:f>
        <x:v>0</x:v>
      </x:c>
      <x:c r="AI1796" t="n">
        <x:f>--AND(Q1796=1,AF1796=1,AE1796="HALLUCINATION")</x:f>
        <x:v>0</x:v>
      </x:c>
      <x:c r="AJ1796" t="n">
        <x:f>--AND(AI1796=1,R1796=1,S1796=1)</x:f>
        <x:v>0</x:v>
      </x:c>
    </x:row>
    <x:row r="1797">
      <x:c r="A1797" s="28"/>
      <x:c r="B1797" s="28"/>
      <x:c r="C1797" s="28"/>
      <x:c r="D1797" s="28"/>
      <x:c r="E1797" s="28"/>
      <x:c r="F1797" s="28"/>
      <x:c r="G1797" s="28"/>
      <x:c r="H1797" s="28"/>
      <x:c r="I1797" s="28"/>
      <x:c r="J1797" s="28"/>
      <x:c r="K1797" s="28"/>
      <x:c r="L1797" s="28"/>
      <x:c r="M1797" s="28"/>
      <x:c r="N1797" s="28"/>
      <x:c r="O1797" s="28"/>
      <x:c r="P1797" s="28"/>
      <x:c r="Q1797" s="28"/>
      <x:c r="R1797" s="28"/>
      <x:c r="S1797" s="28"/>
      <x:c r="T1797" s="28"/>
      <x:c r="U1797" s="28"/>
      <x:c r="V1797" s="28"/>
      <x:c r="W1797" s="43" t="n">
        <x:f>--AND(N1797=1,OR(O1797="SUPPORTED",O1797="HALLUCINATION"))</x:f>
        <x:v>0</x:v>
      </x:c>
      <x:c r="X1797" s="43" t="n">
        <x:f>--AND(W1797=1,O1797="HALLUCINATION")</x:f>
        <x:v>0</x:v>
      </x:c>
      <x:c r="Y1797" s="43" t="n">
        <x:f>--AND(Q1797=1,O1797="HALLUCINATION")</x:f>
        <x:v>0</x:v>
      </x:c>
      <x:c r="Z1797" s="43" t="n">
        <x:f>--AND(Y1797=1,R1797=1,S1797=1)</x:f>
        <x:v>0</x:v>
      </x:c>
      <x:c r="AC1797" t="str">
        <x:f>IF(OR(AA1797="",AB1797=""),"",--(AA1797&lt;&gt;AB1797))</x:f>
      </x:c>
      <x:c r="AE1797" t="str">
        <x:f>IF(OR(AA1797="",AB1797=""),"PENDING_HUMAN",IF(AA1797=AB1797,AA1797,IF(AD1797&lt;&gt;"",AD1797,"PENDING_HUMAN")))</x:f>
        <x:v>PENDING_HUMAN</x:v>
      </x:c>
      <x:c r="AF1797" t="n">
        <x:f>--AND(A1797&lt;&gt;"",AA1797&lt;&gt;"",AB1797&lt;&gt;"",OR(AA1797=AB1797,AD1797&lt;&gt;""),IF(AE1797="HALLUCINATION",U1797&lt;&gt;"",TRUE))</x:f>
        <x:v>0</x:v>
      </x:c>
      <x:c r="AG1797" t="n">
        <x:f>--AND(N1797=1,AF1797=1,OR(AE1797="SUPPORTED",AE1797="HALLUCINATION"))</x:f>
        <x:v>0</x:v>
      </x:c>
      <x:c r="AH1797" t="n">
        <x:f>--AND(AG1797=1,AE1797="HALLUCINATION")</x:f>
        <x:v>0</x:v>
      </x:c>
      <x:c r="AI1797" t="n">
        <x:f>--AND(Q1797=1,AF1797=1,AE1797="HALLUCINATION")</x:f>
        <x:v>0</x:v>
      </x:c>
      <x:c r="AJ1797" t="n">
        <x:f>--AND(AI1797=1,R1797=1,S1797=1)</x:f>
        <x:v>0</x:v>
      </x:c>
    </x:row>
    <x:row r="1798">
      <x:c r="A1798" s="28"/>
      <x:c r="B1798" s="28"/>
      <x:c r="C1798" s="28"/>
      <x:c r="D1798" s="28"/>
      <x:c r="E1798" s="28"/>
      <x:c r="F1798" s="28"/>
      <x:c r="G1798" s="28"/>
      <x:c r="H1798" s="28"/>
      <x:c r="I1798" s="28"/>
      <x:c r="J1798" s="28"/>
      <x:c r="K1798" s="28"/>
      <x:c r="L1798" s="28"/>
      <x:c r="M1798" s="28"/>
      <x:c r="N1798" s="28"/>
      <x:c r="O1798" s="28"/>
      <x:c r="P1798" s="28"/>
      <x:c r="Q1798" s="28"/>
      <x:c r="R1798" s="28"/>
      <x:c r="S1798" s="28"/>
      <x:c r="T1798" s="28"/>
      <x:c r="U1798" s="28"/>
      <x:c r="V1798" s="28"/>
      <x:c r="W1798" s="43" t="n">
        <x:f>--AND(N1798=1,OR(O1798="SUPPORTED",O1798="HALLUCINATION"))</x:f>
        <x:v>0</x:v>
      </x:c>
      <x:c r="X1798" s="43" t="n">
        <x:f>--AND(W1798=1,O1798="HALLUCINATION")</x:f>
        <x:v>0</x:v>
      </x:c>
      <x:c r="Y1798" s="43" t="n">
        <x:f>--AND(Q1798=1,O1798="HALLUCINATION")</x:f>
        <x:v>0</x:v>
      </x:c>
      <x:c r="Z1798" s="43" t="n">
        <x:f>--AND(Y1798=1,R1798=1,S1798=1)</x:f>
        <x:v>0</x:v>
      </x:c>
      <x:c r="AC1798" t="str">
        <x:f>IF(OR(AA1798="",AB1798=""),"",--(AA1798&lt;&gt;AB1798))</x:f>
      </x:c>
      <x:c r="AE1798" t="str">
        <x:f>IF(OR(AA1798="",AB1798=""),"PENDING_HUMAN",IF(AA1798=AB1798,AA1798,IF(AD1798&lt;&gt;"",AD1798,"PENDING_HUMAN")))</x:f>
        <x:v>PENDING_HUMAN</x:v>
      </x:c>
      <x:c r="AF1798" t="n">
        <x:f>--AND(A1798&lt;&gt;"",AA1798&lt;&gt;"",AB1798&lt;&gt;"",OR(AA1798=AB1798,AD1798&lt;&gt;""),IF(AE1798="HALLUCINATION",U1798&lt;&gt;"",TRUE))</x:f>
        <x:v>0</x:v>
      </x:c>
      <x:c r="AG1798" t="n">
        <x:f>--AND(N1798=1,AF1798=1,OR(AE1798="SUPPORTED",AE1798="HALLUCINATION"))</x:f>
        <x:v>0</x:v>
      </x:c>
      <x:c r="AH1798" t="n">
        <x:f>--AND(AG1798=1,AE1798="HALLUCINATION")</x:f>
        <x:v>0</x:v>
      </x:c>
      <x:c r="AI1798" t="n">
        <x:f>--AND(Q1798=1,AF1798=1,AE1798="HALLUCINATION")</x:f>
        <x:v>0</x:v>
      </x:c>
      <x:c r="AJ1798" t="n">
        <x:f>--AND(AI1798=1,R1798=1,S1798=1)</x:f>
        <x:v>0</x:v>
      </x:c>
    </x:row>
    <x:row r="1799">
      <x:c r="A1799" s="28"/>
      <x:c r="B1799" s="28"/>
      <x:c r="C1799" s="28"/>
      <x:c r="D1799" s="28"/>
      <x:c r="E1799" s="28"/>
      <x:c r="F1799" s="28"/>
      <x:c r="G1799" s="28"/>
      <x:c r="H1799" s="28"/>
      <x:c r="I1799" s="28"/>
      <x:c r="J1799" s="28"/>
      <x:c r="K1799" s="28"/>
      <x:c r="L1799" s="28"/>
      <x:c r="M1799" s="28"/>
      <x:c r="N1799" s="28"/>
      <x:c r="O1799" s="28"/>
      <x:c r="P1799" s="28"/>
      <x:c r="Q1799" s="28"/>
      <x:c r="R1799" s="28"/>
      <x:c r="S1799" s="28"/>
      <x:c r="T1799" s="28"/>
      <x:c r="U1799" s="28"/>
      <x:c r="V1799" s="28"/>
      <x:c r="W1799" s="43" t="n">
        <x:f>--AND(N1799=1,OR(O1799="SUPPORTED",O1799="HALLUCINATION"))</x:f>
        <x:v>0</x:v>
      </x:c>
      <x:c r="X1799" s="43" t="n">
        <x:f>--AND(W1799=1,O1799="HALLUCINATION")</x:f>
        <x:v>0</x:v>
      </x:c>
      <x:c r="Y1799" s="43" t="n">
        <x:f>--AND(Q1799=1,O1799="HALLUCINATION")</x:f>
        <x:v>0</x:v>
      </x:c>
      <x:c r="Z1799" s="43" t="n">
        <x:f>--AND(Y1799=1,R1799=1,S1799=1)</x:f>
        <x:v>0</x:v>
      </x:c>
      <x:c r="AC1799" t="str">
        <x:f>IF(OR(AA1799="",AB1799=""),"",--(AA1799&lt;&gt;AB1799))</x:f>
      </x:c>
      <x:c r="AE1799" t="str">
        <x:f>IF(OR(AA1799="",AB1799=""),"PENDING_HUMAN",IF(AA1799=AB1799,AA1799,IF(AD1799&lt;&gt;"",AD1799,"PENDING_HUMAN")))</x:f>
        <x:v>PENDING_HUMAN</x:v>
      </x:c>
      <x:c r="AF1799" t="n">
        <x:f>--AND(A1799&lt;&gt;"",AA1799&lt;&gt;"",AB1799&lt;&gt;"",OR(AA1799=AB1799,AD1799&lt;&gt;""),IF(AE1799="HALLUCINATION",U1799&lt;&gt;"",TRUE))</x:f>
        <x:v>0</x:v>
      </x:c>
      <x:c r="AG1799" t="n">
        <x:f>--AND(N1799=1,AF1799=1,OR(AE1799="SUPPORTED",AE1799="HALLUCINATION"))</x:f>
        <x:v>0</x:v>
      </x:c>
      <x:c r="AH1799" t="n">
        <x:f>--AND(AG1799=1,AE1799="HALLUCINATION")</x:f>
        <x:v>0</x:v>
      </x:c>
      <x:c r="AI1799" t="n">
        <x:f>--AND(Q1799=1,AF1799=1,AE1799="HALLUCINATION")</x:f>
        <x:v>0</x:v>
      </x:c>
      <x:c r="AJ1799" t="n">
        <x:f>--AND(AI1799=1,R1799=1,S1799=1)</x:f>
        <x:v>0</x:v>
      </x:c>
    </x:row>
    <x:row r="1800">
      <x:c r="A1800" s="28"/>
      <x:c r="B1800" s="28"/>
      <x:c r="C1800" s="28"/>
      <x:c r="D1800" s="28"/>
      <x:c r="E1800" s="28"/>
      <x:c r="F1800" s="28"/>
      <x:c r="G1800" s="28"/>
      <x:c r="H1800" s="28"/>
      <x:c r="I1800" s="28"/>
      <x:c r="J1800" s="28"/>
      <x:c r="K1800" s="28"/>
      <x:c r="L1800" s="28"/>
      <x:c r="M1800" s="28"/>
      <x:c r="N1800" s="28"/>
      <x:c r="O1800" s="28"/>
      <x:c r="P1800" s="28"/>
      <x:c r="Q1800" s="28"/>
      <x:c r="R1800" s="28"/>
      <x:c r="S1800" s="28"/>
      <x:c r="T1800" s="28"/>
      <x:c r="U1800" s="28"/>
      <x:c r="V1800" s="28"/>
      <x:c r="W1800" s="43" t="n">
        <x:f>--AND(N1800=1,OR(O1800="SUPPORTED",O1800="HALLUCINATION"))</x:f>
        <x:v>0</x:v>
      </x:c>
      <x:c r="X1800" s="43" t="n">
        <x:f>--AND(W1800=1,O1800="HALLUCINATION")</x:f>
        <x:v>0</x:v>
      </x:c>
      <x:c r="Y1800" s="43" t="n">
        <x:f>--AND(Q1800=1,O1800="HALLUCINATION")</x:f>
        <x:v>0</x:v>
      </x:c>
      <x:c r="Z1800" s="43" t="n">
        <x:f>--AND(Y1800=1,R1800=1,S1800=1)</x:f>
        <x:v>0</x:v>
      </x:c>
      <x:c r="AC1800" t="str">
        <x:f>IF(OR(AA1800="",AB1800=""),"",--(AA1800&lt;&gt;AB1800))</x:f>
      </x:c>
      <x:c r="AE1800" t="str">
        <x:f>IF(OR(AA1800="",AB1800=""),"PENDING_HUMAN",IF(AA1800=AB1800,AA1800,IF(AD1800&lt;&gt;"",AD1800,"PENDING_HUMAN")))</x:f>
        <x:v>PENDING_HUMAN</x:v>
      </x:c>
      <x:c r="AF1800" t="n">
        <x:f>--AND(A1800&lt;&gt;"",AA1800&lt;&gt;"",AB1800&lt;&gt;"",OR(AA1800=AB1800,AD1800&lt;&gt;""),IF(AE1800="HALLUCINATION",U1800&lt;&gt;"",TRUE))</x:f>
        <x:v>0</x:v>
      </x:c>
      <x:c r="AG1800" t="n">
        <x:f>--AND(N1800=1,AF1800=1,OR(AE1800="SUPPORTED",AE1800="HALLUCINATION"))</x:f>
        <x:v>0</x:v>
      </x:c>
      <x:c r="AH1800" t="n">
        <x:f>--AND(AG1800=1,AE1800="HALLUCINATION")</x:f>
        <x:v>0</x:v>
      </x:c>
      <x:c r="AI1800" t="n">
        <x:f>--AND(Q1800=1,AF1800=1,AE1800="HALLUCINATION")</x:f>
        <x:v>0</x:v>
      </x:c>
      <x:c r="AJ1800" t="n">
        <x:f>--AND(AI1800=1,R1800=1,S1800=1)</x:f>
        <x:v>0</x:v>
      </x:c>
    </x:row>
    <x:row r="1801">
      <x:c r="A1801" s="28"/>
      <x:c r="B1801" s="28"/>
      <x:c r="C1801" s="28"/>
      <x:c r="D1801" s="28"/>
      <x:c r="E1801" s="28"/>
      <x:c r="F1801" s="28"/>
      <x:c r="G1801" s="28"/>
      <x:c r="H1801" s="28"/>
      <x:c r="I1801" s="28"/>
      <x:c r="J1801" s="28"/>
      <x:c r="K1801" s="28"/>
      <x:c r="L1801" s="28"/>
      <x:c r="M1801" s="28"/>
      <x:c r="N1801" s="28"/>
      <x:c r="O1801" s="28"/>
      <x:c r="P1801" s="28"/>
      <x:c r="Q1801" s="28"/>
      <x:c r="R1801" s="28"/>
      <x:c r="S1801" s="28"/>
      <x:c r="T1801" s="28"/>
      <x:c r="U1801" s="28"/>
      <x:c r="V1801" s="28"/>
      <x:c r="W1801" s="43" t="n">
        <x:f>--AND(N1801=1,OR(O1801="SUPPORTED",O1801="HALLUCINATION"))</x:f>
        <x:v>0</x:v>
      </x:c>
      <x:c r="X1801" s="43" t="n">
        <x:f>--AND(W1801=1,O1801="HALLUCINATION")</x:f>
        <x:v>0</x:v>
      </x:c>
      <x:c r="Y1801" s="43" t="n">
        <x:f>--AND(Q1801=1,O1801="HALLUCINATION")</x:f>
        <x:v>0</x:v>
      </x:c>
      <x:c r="Z1801" s="43" t="n">
        <x:f>--AND(Y1801=1,R1801=1,S1801=1)</x:f>
        <x:v>0</x:v>
      </x:c>
      <x:c r="AC1801" t="str">
        <x:f>IF(OR(AA1801="",AB1801=""),"",--(AA1801&lt;&gt;AB1801))</x:f>
      </x:c>
      <x:c r="AE1801" t="str">
        <x:f>IF(OR(AA1801="",AB1801=""),"PENDING_HUMAN",IF(AA1801=AB1801,AA1801,IF(AD1801&lt;&gt;"",AD1801,"PENDING_HUMAN")))</x:f>
        <x:v>PENDING_HUMAN</x:v>
      </x:c>
      <x:c r="AF1801" t="n">
        <x:f>--AND(A1801&lt;&gt;"",AA1801&lt;&gt;"",AB1801&lt;&gt;"",OR(AA1801=AB1801,AD1801&lt;&gt;""),IF(AE1801="HALLUCINATION",U1801&lt;&gt;"",TRUE))</x:f>
        <x:v>0</x:v>
      </x:c>
      <x:c r="AG1801" t="n">
        <x:f>--AND(N1801=1,AF1801=1,OR(AE1801="SUPPORTED",AE1801="HALLUCINATION"))</x:f>
        <x:v>0</x:v>
      </x:c>
      <x:c r="AH1801" t="n">
        <x:f>--AND(AG1801=1,AE1801="HALLUCINATION")</x:f>
        <x:v>0</x:v>
      </x:c>
      <x:c r="AI1801" t="n">
        <x:f>--AND(Q1801=1,AF1801=1,AE1801="HALLUCINATION")</x:f>
        <x:v>0</x:v>
      </x:c>
      <x:c r="AJ1801" t="n">
        <x:f>--AND(AI1801=1,R1801=1,S1801=1)</x:f>
        <x:v>0</x:v>
      </x:c>
    </x:row>
    <x:row r="1802">
      <x:c r="A1802" s="28"/>
      <x:c r="B1802" s="28"/>
      <x:c r="C1802" s="28"/>
      <x:c r="D1802" s="28"/>
      <x:c r="E1802" s="28"/>
      <x:c r="F1802" s="28"/>
      <x:c r="G1802" s="28"/>
      <x:c r="H1802" s="28"/>
      <x:c r="I1802" s="28"/>
      <x:c r="J1802" s="28"/>
      <x:c r="K1802" s="28"/>
      <x:c r="L1802" s="28"/>
      <x:c r="M1802" s="28"/>
      <x:c r="N1802" s="28"/>
      <x:c r="O1802" s="28"/>
      <x:c r="P1802" s="28"/>
      <x:c r="Q1802" s="28"/>
      <x:c r="R1802" s="28"/>
      <x:c r="S1802" s="28"/>
      <x:c r="T1802" s="28"/>
      <x:c r="U1802" s="28"/>
      <x:c r="V1802" s="28"/>
      <x:c r="W1802" s="43" t="n">
        <x:f>--AND(N1802=1,OR(O1802="SUPPORTED",O1802="HALLUCINATION"))</x:f>
        <x:v>0</x:v>
      </x:c>
      <x:c r="X1802" s="43" t="n">
        <x:f>--AND(W1802=1,O1802="HALLUCINATION")</x:f>
        <x:v>0</x:v>
      </x:c>
      <x:c r="Y1802" s="43" t="n">
        <x:f>--AND(Q1802=1,O1802="HALLUCINATION")</x:f>
        <x:v>0</x:v>
      </x:c>
      <x:c r="Z1802" s="43" t="n">
        <x:f>--AND(Y1802=1,R1802=1,S1802=1)</x:f>
        <x:v>0</x:v>
      </x:c>
      <x:c r="AC1802" t="str">
        <x:f>IF(OR(AA1802="",AB1802=""),"",--(AA1802&lt;&gt;AB1802))</x:f>
      </x:c>
      <x:c r="AE1802" t="str">
        <x:f>IF(OR(AA1802="",AB1802=""),"PENDING_HUMAN",IF(AA1802=AB1802,AA1802,IF(AD1802&lt;&gt;"",AD1802,"PENDING_HUMAN")))</x:f>
        <x:v>PENDING_HUMAN</x:v>
      </x:c>
      <x:c r="AF1802" t="n">
        <x:f>--AND(A1802&lt;&gt;"",AA1802&lt;&gt;"",AB1802&lt;&gt;"",OR(AA1802=AB1802,AD1802&lt;&gt;""),IF(AE1802="HALLUCINATION",U1802&lt;&gt;"",TRUE))</x:f>
        <x:v>0</x:v>
      </x:c>
      <x:c r="AG1802" t="n">
        <x:f>--AND(N1802=1,AF1802=1,OR(AE1802="SUPPORTED",AE1802="HALLUCINATION"))</x:f>
        <x:v>0</x:v>
      </x:c>
      <x:c r="AH1802" t="n">
        <x:f>--AND(AG1802=1,AE1802="HALLUCINATION")</x:f>
        <x:v>0</x:v>
      </x:c>
      <x:c r="AI1802" t="n">
        <x:f>--AND(Q1802=1,AF1802=1,AE1802="HALLUCINATION")</x:f>
        <x:v>0</x:v>
      </x:c>
      <x:c r="AJ1802" t="n">
        <x:f>--AND(AI1802=1,R1802=1,S1802=1)</x:f>
        <x:v>0</x:v>
      </x:c>
    </x:row>
    <x:row r="1803">
      <x:c r="A1803" s="28"/>
      <x:c r="B1803" s="28"/>
      <x:c r="C1803" s="28"/>
      <x:c r="D1803" s="28"/>
      <x:c r="E1803" s="28"/>
      <x:c r="F1803" s="28"/>
      <x:c r="G1803" s="28"/>
      <x:c r="H1803" s="28"/>
      <x:c r="I1803" s="28"/>
      <x:c r="J1803" s="28"/>
      <x:c r="K1803" s="28"/>
      <x:c r="L1803" s="28"/>
      <x:c r="M1803" s="28"/>
      <x:c r="N1803" s="28"/>
      <x:c r="O1803" s="28"/>
      <x:c r="P1803" s="28"/>
      <x:c r="Q1803" s="28"/>
      <x:c r="R1803" s="28"/>
      <x:c r="S1803" s="28"/>
      <x:c r="T1803" s="28"/>
      <x:c r="U1803" s="28"/>
      <x:c r="V1803" s="28"/>
      <x:c r="W1803" s="43" t="n">
        <x:f>--AND(N1803=1,OR(O1803="SUPPORTED",O1803="HALLUCINATION"))</x:f>
        <x:v>0</x:v>
      </x:c>
      <x:c r="X1803" s="43" t="n">
        <x:f>--AND(W1803=1,O1803="HALLUCINATION")</x:f>
        <x:v>0</x:v>
      </x:c>
      <x:c r="Y1803" s="43" t="n">
        <x:f>--AND(Q1803=1,O1803="HALLUCINATION")</x:f>
        <x:v>0</x:v>
      </x:c>
      <x:c r="Z1803" s="43" t="n">
        <x:f>--AND(Y1803=1,R1803=1,S1803=1)</x:f>
        <x:v>0</x:v>
      </x:c>
      <x:c r="AC1803" t="str">
        <x:f>IF(OR(AA1803="",AB1803=""),"",--(AA1803&lt;&gt;AB1803))</x:f>
      </x:c>
      <x:c r="AE1803" t="str">
        <x:f>IF(OR(AA1803="",AB1803=""),"PENDING_HUMAN",IF(AA1803=AB1803,AA1803,IF(AD1803&lt;&gt;"",AD1803,"PENDING_HUMAN")))</x:f>
        <x:v>PENDING_HUMAN</x:v>
      </x:c>
      <x:c r="AF1803" t="n">
        <x:f>--AND(A1803&lt;&gt;"",AA1803&lt;&gt;"",AB1803&lt;&gt;"",OR(AA1803=AB1803,AD1803&lt;&gt;""),IF(AE1803="HALLUCINATION",U1803&lt;&gt;"",TRUE))</x:f>
        <x:v>0</x:v>
      </x:c>
      <x:c r="AG1803" t="n">
        <x:f>--AND(N1803=1,AF1803=1,OR(AE1803="SUPPORTED",AE1803="HALLUCINATION"))</x:f>
        <x:v>0</x:v>
      </x:c>
      <x:c r="AH1803" t="n">
        <x:f>--AND(AG1803=1,AE1803="HALLUCINATION")</x:f>
        <x:v>0</x:v>
      </x:c>
      <x:c r="AI1803" t="n">
        <x:f>--AND(Q1803=1,AF1803=1,AE1803="HALLUCINATION")</x:f>
        <x:v>0</x:v>
      </x:c>
      <x:c r="AJ1803" t="n">
        <x:f>--AND(AI1803=1,R1803=1,S1803=1)</x:f>
        <x:v>0</x:v>
      </x:c>
    </x:row>
    <x:row r="1804">
      <x:c r="A1804" s="28"/>
      <x:c r="B1804" s="28"/>
      <x:c r="C1804" s="28"/>
      <x:c r="D1804" s="28"/>
      <x:c r="E1804" s="28"/>
      <x:c r="F1804" s="28"/>
      <x:c r="G1804" s="28"/>
      <x:c r="H1804" s="28"/>
      <x:c r="I1804" s="28"/>
      <x:c r="J1804" s="28"/>
      <x:c r="K1804" s="28"/>
      <x:c r="L1804" s="28"/>
      <x:c r="M1804" s="28"/>
      <x:c r="N1804" s="28"/>
      <x:c r="O1804" s="28"/>
      <x:c r="P1804" s="28"/>
      <x:c r="Q1804" s="28"/>
      <x:c r="R1804" s="28"/>
      <x:c r="S1804" s="28"/>
      <x:c r="T1804" s="28"/>
      <x:c r="U1804" s="28"/>
      <x:c r="V1804" s="28"/>
      <x:c r="W1804" s="43" t="n">
        <x:f>--AND(N1804=1,OR(O1804="SUPPORTED",O1804="HALLUCINATION"))</x:f>
        <x:v>0</x:v>
      </x:c>
      <x:c r="X1804" s="43" t="n">
        <x:f>--AND(W1804=1,O1804="HALLUCINATION")</x:f>
        <x:v>0</x:v>
      </x:c>
      <x:c r="Y1804" s="43" t="n">
        <x:f>--AND(Q1804=1,O1804="HALLUCINATION")</x:f>
        <x:v>0</x:v>
      </x:c>
      <x:c r="Z1804" s="43" t="n">
        <x:f>--AND(Y1804=1,R1804=1,S1804=1)</x:f>
        <x:v>0</x:v>
      </x:c>
      <x:c r="AC1804" t="str">
        <x:f>IF(OR(AA1804="",AB1804=""),"",--(AA1804&lt;&gt;AB1804))</x:f>
      </x:c>
      <x:c r="AE1804" t="str">
        <x:f>IF(OR(AA1804="",AB1804=""),"PENDING_HUMAN",IF(AA1804=AB1804,AA1804,IF(AD1804&lt;&gt;"",AD1804,"PENDING_HUMAN")))</x:f>
        <x:v>PENDING_HUMAN</x:v>
      </x:c>
      <x:c r="AF1804" t="n">
        <x:f>--AND(A1804&lt;&gt;"",AA1804&lt;&gt;"",AB1804&lt;&gt;"",OR(AA1804=AB1804,AD1804&lt;&gt;""),IF(AE1804="HALLUCINATION",U1804&lt;&gt;"",TRUE))</x:f>
        <x:v>0</x:v>
      </x:c>
      <x:c r="AG1804" t="n">
        <x:f>--AND(N1804=1,AF1804=1,OR(AE1804="SUPPORTED",AE1804="HALLUCINATION"))</x:f>
        <x:v>0</x:v>
      </x:c>
      <x:c r="AH1804" t="n">
        <x:f>--AND(AG1804=1,AE1804="HALLUCINATION")</x:f>
        <x:v>0</x:v>
      </x:c>
      <x:c r="AI1804" t="n">
        <x:f>--AND(Q1804=1,AF1804=1,AE1804="HALLUCINATION")</x:f>
        <x:v>0</x:v>
      </x:c>
      <x:c r="AJ1804" t="n">
        <x:f>--AND(AI1804=1,R1804=1,S1804=1)</x:f>
        <x:v>0</x:v>
      </x:c>
    </x:row>
    <x:row r="1805">
      <x:c r="A1805" s="28"/>
      <x:c r="B1805" s="28"/>
      <x:c r="C1805" s="28"/>
      <x:c r="D1805" s="28"/>
      <x:c r="E1805" s="28"/>
      <x:c r="F1805" s="28"/>
      <x:c r="G1805" s="28"/>
      <x:c r="H1805" s="28"/>
      <x:c r="I1805" s="28"/>
      <x:c r="J1805" s="28"/>
      <x:c r="K1805" s="28"/>
      <x:c r="L1805" s="28"/>
      <x:c r="M1805" s="28"/>
      <x:c r="N1805" s="28"/>
      <x:c r="O1805" s="28"/>
      <x:c r="P1805" s="28"/>
      <x:c r="Q1805" s="28"/>
      <x:c r="R1805" s="28"/>
      <x:c r="S1805" s="28"/>
      <x:c r="T1805" s="28"/>
      <x:c r="U1805" s="28"/>
      <x:c r="V1805" s="28"/>
      <x:c r="W1805" s="43" t="n">
        <x:f>--AND(N1805=1,OR(O1805="SUPPORTED",O1805="HALLUCINATION"))</x:f>
        <x:v>0</x:v>
      </x:c>
      <x:c r="X1805" s="43" t="n">
        <x:f>--AND(W1805=1,O1805="HALLUCINATION")</x:f>
        <x:v>0</x:v>
      </x:c>
      <x:c r="Y1805" s="43" t="n">
        <x:f>--AND(Q1805=1,O1805="HALLUCINATION")</x:f>
        <x:v>0</x:v>
      </x:c>
      <x:c r="Z1805" s="43" t="n">
        <x:f>--AND(Y1805=1,R1805=1,S1805=1)</x:f>
        <x:v>0</x:v>
      </x:c>
      <x:c r="AC1805" t="str">
        <x:f>IF(OR(AA1805="",AB1805=""),"",--(AA1805&lt;&gt;AB1805))</x:f>
      </x:c>
      <x:c r="AE1805" t="str">
        <x:f>IF(OR(AA1805="",AB1805=""),"PENDING_HUMAN",IF(AA1805=AB1805,AA1805,IF(AD1805&lt;&gt;"",AD1805,"PENDING_HUMAN")))</x:f>
        <x:v>PENDING_HUMAN</x:v>
      </x:c>
      <x:c r="AF1805" t="n">
        <x:f>--AND(A1805&lt;&gt;"",AA1805&lt;&gt;"",AB1805&lt;&gt;"",OR(AA1805=AB1805,AD1805&lt;&gt;""),IF(AE1805="HALLUCINATION",U1805&lt;&gt;"",TRUE))</x:f>
        <x:v>0</x:v>
      </x:c>
      <x:c r="AG1805" t="n">
        <x:f>--AND(N1805=1,AF1805=1,OR(AE1805="SUPPORTED",AE1805="HALLUCINATION"))</x:f>
        <x:v>0</x:v>
      </x:c>
      <x:c r="AH1805" t="n">
        <x:f>--AND(AG1805=1,AE1805="HALLUCINATION")</x:f>
        <x:v>0</x:v>
      </x:c>
      <x:c r="AI1805" t="n">
        <x:f>--AND(Q1805=1,AF1805=1,AE1805="HALLUCINATION")</x:f>
        <x:v>0</x:v>
      </x:c>
      <x:c r="AJ1805" t="n">
        <x:f>--AND(AI1805=1,R1805=1,S1805=1)</x:f>
        <x:v>0</x:v>
      </x:c>
    </x:row>
    <x:row r="1806">
      <x:c r="A1806" s="28"/>
      <x:c r="B1806" s="28"/>
      <x:c r="C1806" s="28"/>
      <x:c r="D1806" s="28"/>
      <x:c r="E1806" s="28"/>
      <x:c r="F1806" s="28"/>
      <x:c r="G1806" s="28"/>
      <x:c r="H1806" s="28"/>
      <x:c r="I1806" s="28"/>
      <x:c r="J1806" s="28"/>
      <x:c r="K1806" s="28"/>
      <x:c r="L1806" s="28"/>
      <x:c r="M1806" s="28"/>
      <x:c r="N1806" s="28"/>
      <x:c r="O1806" s="28"/>
      <x:c r="P1806" s="28"/>
      <x:c r="Q1806" s="28"/>
      <x:c r="R1806" s="28"/>
      <x:c r="S1806" s="28"/>
      <x:c r="T1806" s="28"/>
      <x:c r="U1806" s="28"/>
      <x:c r="V1806" s="28"/>
      <x:c r="W1806" s="43" t="n">
        <x:f>--AND(N1806=1,OR(O1806="SUPPORTED",O1806="HALLUCINATION"))</x:f>
        <x:v>0</x:v>
      </x:c>
      <x:c r="X1806" s="43" t="n">
        <x:f>--AND(W1806=1,O1806="HALLUCINATION")</x:f>
        <x:v>0</x:v>
      </x:c>
      <x:c r="Y1806" s="43" t="n">
        <x:f>--AND(Q1806=1,O1806="HALLUCINATION")</x:f>
        <x:v>0</x:v>
      </x:c>
      <x:c r="Z1806" s="43" t="n">
        <x:f>--AND(Y1806=1,R1806=1,S1806=1)</x:f>
        <x:v>0</x:v>
      </x:c>
      <x:c r="AC1806" t="str">
        <x:f>IF(OR(AA1806="",AB1806=""),"",--(AA1806&lt;&gt;AB1806))</x:f>
      </x:c>
      <x:c r="AE1806" t="str">
        <x:f>IF(OR(AA1806="",AB1806=""),"PENDING_HUMAN",IF(AA1806=AB1806,AA1806,IF(AD1806&lt;&gt;"",AD1806,"PENDING_HUMAN")))</x:f>
        <x:v>PENDING_HUMAN</x:v>
      </x:c>
      <x:c r="AF1806" t="n">
        <x:f>--AND(A1806&lt;&gt;"",AA1806&lt;&gt;"",AB1806&lt;&gt;"",OR(AA1806=AB1806,AD1806&lt;&gt;""),IF(AE1806="HALLUCINATION",U1806&lt;&gt;"",TRUE))</x:f>
        <x:v>0</x:v>
      </x:c>
      <x:c r="AG1806" t="n">
        <x:f>--AND(N1806=1,AF1806=1,OR(AE1806="SUPPORTED",AE1806="HALLUCINATION"))</x:f>
        <x:v>0</x:v>
      </x:c>
      <x:c r="AH1806" t="n">
        <x:f>--AND(AG1806=1,AE1806="HALLUCINATION")</x:f>
        <x:v>0</x:v>
      </x:c>
      <x:c r="AI1806" t="n">
        <x:f>--AND(Q1806=1,AF1806=1,AE1806="HALLUCINATION")</x:f>
        <x:v>0</x:v>
      </x:c>
      <x:c r="AJ1806" t="n">
        <x:f>--AND(AI1806=1,R1806=1,S1806=1)</x:f>
        <x:v>0</x:v>
      </x:c>
    </x:row>
    <x:row r="1807">
      <x:c r="A1807" s="28"/>
      <x:c r="B1807" s="28"/>
      <x:c r="C1807" s="28"/>
      <x:c r="D1807" s="28"/>
      <x:c r="E1807" s="28"/>
      <x:c r="F1807" s="28"/>
      <x:c r="G1807" s="28"/>
      <x:c r="H1807" s="28"/>
      <x:c r="I1807" s="28"/>
      <x:c r="J1807" s="28"/>
      <x:c r="K1807" s="28"/>
      <x:c r="L1807" s="28"/>
      <x:c r="M1807" s="28"/>
      <x:c r="N1807" s="28"/>
      <x:c r="O1807" s="28"/>
      <x:c r="P1807" s="28"/>
      <x:c r="Q1807" s="28"/>
      <x:c r="R1807" s="28"/>
      <x:c r="S1807" s="28"/>
      <x:c r="T1807" s="28"/>
      <x:c r="U1807" s="28"/>
      <x:c r="V1807" s="28"/>
      <x:c r="W1807" s="43" t="n">
        <x:f>--AND(N1807=1,OR(O1807="SUPPORTED",O1807="HALLUCINATION"))</x:f>
        <x:v>0</x:v>
      </x:c>
      <x:c r="X1807" s="43" t="n">
        <x:f>--AND(W1807=1,O1807="HALLUCINATION")</x:f>
        <x:v>0</x:v>
      </x:c>
      <x:c r="Y1807" s="43" t="n">
        <x:f>--AND(Q1807=1,O1807="HALLUCINATION")</x:f>
        <x:v>0</x:v>
      </x:c>
      <x:c r="Z1807" s="43" t="n">
        <x:f>--AND(Y1807=1,R1807=1,S1807=1)</x:f>
        <x:v>0</x:v>
      </x:c>
      <x:c r="AC1807" t="str">
        <x:f>IF(OR(AA1807="",AB1807=""),"",--(AA1807&lt;&gt;AB1807))</x:f>
      </x:c>
      <x:c r="AE1807" t="str">
        <x:f>IF(OR(AA1807="",AB1807=""),"PENDING_HUMAN",IF(AA1807=AB1807,AA1807,IF(AD1807&lt;&gt;"",AD1807,"PENDING_HUMAN")))</x:f>
        <x:v>PENDING_HUMAN</x:v>
      </x:c>
      <x:c r="AF1807" t="n">
        <x:f>--AND(A1807&lt;&gt;"",AA1807&lt;&gt;"",AB1807&lt;&gt;"",OR(AA1807=AB1807,AD1807&lt;&gt;""),IF(AE1807="HALLUCINATION",U1807&lt;&gt;"",TRUE))</x:f>
        <x:v>0</x:v>
      </x:c>
      <x:c r="AG1807" t="n">
        <x:f>--AND(N1807=1,AF1807=1,OR(AE1807="SUPPORTED",AE1807="HALLUCINATION"))</x:f>
        <x:v>0</x:v>
      </x:c>
      <x:c r="AH1807" t="n">
        <x:f>--AND(AG1807=1,AE1807="HALLUCINATION")</x:f>
        <x:v>0</x:v>
      </x:c>
      <x:c r="AI1807" t="n">
        <x:f>--AND(Q1807=1,AF1807=1,AE1807="HALLUCINATION")</x:f>
        <x:v>0</x:v>
      </x:c>
      <x:c r="AJ1807" t="n">
        <x:f>--AND(AI1807=1,R1807=1,S1807=1)</x:f>
        <x:v>0</x:v>
      </x:c>
    </x:row>
    <x:row r="1808">
      <x:c r="A1808" s="28"/>
      <x:c r="B1808" s="28"/>
      <x:c r="C1808" s="28"/>
      <x:c r="D1808" s="28"/>
      <x:c r="E1808" s="28"/>
      <x:c r="F1808" s="28"/>
      <x:c r="G1808" s="28"/>
      <x:c r="H1808" s="28"/>
      <x:c r="I1808" s="28"/>
      <x:c r="J1808" s="28"/>
      <x:c r="K1808" s="28"/>
      <x:c r="L1808" s="28"/>
      <x:c r="M1808" s="28"/>
      <x:c r="N1808" s="28"/>
      <x:c r="O1808" s="28"/>
      <x:c r="P1808" s="28"/>
      <x:c r="Q1808" s="28"/>
      <x:c r="R1808" s="28"/>
      <x:c r="S1808" s="28"/>
      <x:c r="T1808" s="28"/>
      <x:c r="U1808" s="28"/>
      <x:c r="V1808" s="28"/>
      <x:c r="W1808" s="43" t="n">
        <x:f>--AND(N1808=1,OR(O1808="SUPPORTED",O1808="HALLUCINATION"))</x:f>
        <x:v>0</x:v>
      </x:c>
      <x:c r="X1808" s="43" t="n">
        <x:f>--AND(W1808=1,O1808="HALLUCINATION")</x:f>
        <x:v>0</x:v>
      </x:c>
      <x:c r="Y1808" s="43" t="n">
        <x:f>--AND(Q1808=1,O1808="HALLUCINATION")</x:f>
        <x:v>0</x:v>
      </x:c>
      <x:c r="Z1808" s="43" t="n">
        <x:f>--AND(Y1808=1,R1808=1,S1808=1)</x:f>
        <x:v>0</x:v>
      </x:c>
      <x:c r="AC1808" t="str">
        <x:f>IF(OR(AA1808="",AB1808=""),"",--(AA1808&lt;&gt;AB1808))</x:f>
      </x:c>
      <x:c r="AE1808" t="str">
        <x:f>IF(OR(AA1808="",AB1808=""),"PENDING_HUMAN",IF(AA1808=AB1808,AA1808,IF(AD1808&lt;&gt;"",AD1808,"PENDING_HUMAN")))</x:f>
        <x:v>PENDING_HUMAN</x:v>
      </x:c>
      <x:c r="AF1808" t="n">
        <x:f>--AND(A1808&lt;&gt;"",AA1808&lt;&gt;"",AB1808&lt;&gt;"",OR(AA1808=AB1808,AD1808&lt;&gt;""),IF(AE1808="HALLUCINATION",U1808&lt;&gt;"",TRUE))</x:f>
        <x:v>0</x:v>
      </x:c>
      <x:c r="AG1808" t="n">
        <x:f>--AND(N1808=1,AF1808=1,OR(AE1808="SUPPORTED",AE1808="HALLUCINATION"))</x:f>
        <x:v>0</x:v>
      </x:c>
      <x:c r="AH1808" t="n">
        <x:f>--AND(AG1808=1,AE1808="HALLUCINATION")</x:f>
        <x:v>0</x:v>
      </x:c>
      <x:c r="AI1808" t="n">
        <x:f>--AND(Q1808=1,AF1808=1,AE1808="HALLUCINATION")</x:f>
        <x:v>0</x:v>
      </x:c>
      <x:c r="AJ1808" t="n">
        <x:f>--AND(AI1808=1,R1808=1,S1808=1)</x:f>
        <x:v>0</x:v>
      </x:c>
    </x:row>
    <x:row r="1809">
      <x:c r="A1809" s="28"/>
      <x:c r="B1809" s="28"/>
      <x:c r="C1809" s="28"/>
      <x:c r="D1809" s="28"/>
      <x:c r="E1809" s="28"/>
      <x:c r="F1809" s="28"/>
      <x:c r="G1809" s="28"/>
      <x:c r="H1809" s="28"/>
      <x:c r="I1809" s="28"/>
      <x:c r="J1809" s="28"/>
      <x:c r="K1809" s="28"/>
      <x:c r="L1809" s="28"/>
      <x:c r="M1809" s="28"/>
      <x:c r="N1809" s="28"/>
      <x:c r="O1809" s="28"/>
      <x:c r="P1809" s="28"/>
      <x:c r="Q1809" s="28"/>
      <x:c r="R1809" s="28"/>
      <x:c r="S1809" s="28"/>
      <x:c r="T1809" s="28"/>
      <x:c r="U1809" s="28"/>
      <x:c r="V1809" s="28"/>
      <x:c r="W1809" s="43" t="n">
        <x:f>--AND(N1809=1,OR(O1809="SUPPORTED",O1809="HALLUCINATION"))</x:f>
        <x:v>0</x:v>
      </x:c>
      <x:c r="X1809" s="43" t="n">
        <x:f>--AND(W1809=1,O1809="HALLUCINATION")</x:f>
        <x:v>0</x:v>
      </x:c>
      <x:c r="Y1809" s="43" t="n">
        <x:f>--AND(Q1809=1,O1809="HALLUCINATION")</x:f>
        <x:v>0</x:v>
      </x:c>
      <x:c r="Z1809" s="43" t="n">
        <x:f>--AND(Y1809=1,R1809=1,S1809=1)</x:f>
        <x:v>0</x:v>
      </x:c>
      <x:c r="AC1809" t="str">
        <x:f>IF(OR(AA1809="",AB1809=""),"",--(AA1809&lt;&gt;AB1809))</x:f>
      </x:c>
      <x:c r="AE1809" t="str">
        <x:f>IF(OR(AA1809="",AB1809=""),"PENDING_HUMAN",IF(AA1809=AB1809,AA1809,IF(AD1809&lt;&gt;"",AD1809,"PENDING_HUMAN")))</x:f>
        <x:v>PENDING_HUMAN</x:v>
      </x:c>
      <x:c r="AF1809" t="n">
        <x:f>--AND(A1809&lt;&gt;"",AA1809&lt;&gt;"",AB1809&lt;&gt;"",OR(AA1809=AB1809,AD1809&lt;&gt;""),IF(AE1809="HALLUCINATION",U1809&lt;&gt;"",TRUE))</x:f>
        <x:v>0</x:v>
      </x:c>
      <x:c r="AG1809" t="n">
        <x:f>--AND(N1809=1,AF1809=1,OR(AE1809="SUPPORTED",AE1809="HALLUCINATION"))</x:f>
        <x:v>0</x:v>
      </x:c>
      <x:c r="AH1809" t="n">
        <x:f>--AND(AG1809=1,AE1809="HALLUCINATION")</x:f>
        <x:v>0</x:v>
      </x:c>
      <x:c r="AI1809" t="n">
        <x:f>--AND(Q1809=1,AF1809=1,AE1809="HALLUCINATION")</x:f>
        <x:v>0</x:v>
      </x:c>
      <x:c r="AJ1809" t="n">
        <x:f>--AND(AI1809=1,R1809=1,S1809=1)</x:f>
        <x:v>0</x:v>
      </x:c>
    </x:row>
    <x:row r="1810">
      <x:c r="A1810" s="28"/>
      <x:c r="B1810" s="28"/>
      <x:c r="C1810" s="28"/>
      <x:c r="D1810" s="28"/>
      <x:c r="E1810" s="28"/>
      <x:c r="F1810" s="28"/>
      <x:c r="G1810" s="28"/>
      <x:c r="H1810" s="28"/>
      <x:c r="I1810" s="28"/>
      <x:c r="J1810" s="28"/>
      <x:c r="K1810" s="28"/>
      <x:c r="L1810" s="28"/>
      <x:c r="M1810" s="28"/>
      <x:c r="N1810" s="28"/>
      <x:c r="O1810" s="28"/>
      <x:c r="P1810" s="28"/>
      <x:c r="Q1810" s="28"/>
      <x:c r="R1810" s="28"/>
      <x:c r="S1810" s="28"/>
      <x:c r="T1810" s="28"/>
      <x:c r="U1810" s="28"/>
      <x:c r="V1810" s="28"/>
      <x:c r="W1810" s="43" t="n">
        <x:f>--AND(N1810=1,OR(O1810="SUPPORTED",O1810="HALLUCINATION"))</x:f>
        <x:v>0</x:v>
      </x:c>
      <x:c r="X1810" s="43" t="n">
        <x:f>--AND(W1810=1,O1810="HALLUCINATION")</x:f>
        <x:v>0</x:v>
      </x:c>
      <x:c r="Y1810" s="43" t="n">
        <x:f>--AND(Q1810=1,O1810="HALLUCINATION")</x:f>
        <x:v>0</x:v>
      </x:c>
      <x:c r="Z1810" s="43" t="n">
        <x:f>--AND(Y1810=1,R1810=1,S1810=1)</x:f>
        <x:v>0</x:v>
      </x:c>
      <x:c r="AC1810" t="str">
        <x:f>IF(OR(AA1810="",AB1810=""),"",--(AA1810&lt;&gt;AB1810))</x:f>
      </x:c>
      <x:c r="AE1810" t="str">
        <x:f>IF(OR(AA1810="",AB1810=""),"PENDING_HUMAN",IF(AA1810=AB1810,AA1810,IF(AD1810&lt;&gt;"",AD1810,"PENDING_HUMAN")))</x:f>
        <x:v>PENDING_HUMAN</x:v>
      </x:c>
      <x:c r="AF1810" t="n">
        <x:f>--AND(A1810&lt;&gt;"",AA1810&lt;&gt;"",AB1810&lt;&gt;"",OR(AA1810=AB1810,AD1810&lt;&gt;""),IF(AE1810="HALLUCINATION",U1810&lt;&gt;"",TRUE))</x:f>
        <x:v>0</x:v>
      </x:c>
      <x:c r="AG1810" t="n">
        <x:f>--AND(N1810=1,AF1810=1,OR(AE1810="SUPPORTED",AE1810="HALLUCINATION"))</x:f>
        <x:v>0</x:v>
      </x:c>
      <x:c r="AH1810" t="n">
        <x:f>--AND(AG1810=1,AE1810="HALLUCINATION")</x:f>
        <x:v>0</x:v>
      </x:c>
      <x:c r="AI1810" t="n">
        <x:f>--AND(Q1810=1,AF1810=1,AE1810="HALLUCINATION")</x:f>
        <x:v>0</x:v>
      </x:c>
      <x:c r="AJ1810" t="n">
        <x:f>--AND(AI1810=1,R1810=1,S1810=1)</x:f>
        <x:v>0</x:v>
      </x:c>
    </x:row>
    <x:row r="1811">
      <x:c r="A1811" s="28"/>
      <x:c r="B1811" s="28"/>
      <x:c r="C1811" s="28"/>
      <x:c r="D1811" s="28"/>
      <x:c r="E1811" s="28"/>
      <x:c r="F1811" s="28"/>
      <x:c r="G1811" s="28"/>
      <x:c r="H1811" s="28"/>
      <x:c r="I1811" s="28"/>
      <x:c r="J1811" s="28"/>
      <x:c r="K1811" s="28"/>
      <x:c r="L1811" s="28"/>
      <x:c r="M1811" s="28"/>
      <x:c r="N1811" s="28"/>
      <x:c r="O1811" s="28"/>
      <x:c r="P1811" s="28"/>
      <x:c r="Q1811" s="28"/>
      <x:c r="R1811" s="28"/>
      <x:c r="S1811" s="28"/>
      <x:c r="T1811" s="28"/>
      <x:c r="U1811" s="28"/>
      <x:c r="V1811" s="28"/>
      <x:c r="W1811" s="43" t="n">
        <x:f>--AND(N1811=1,OR(O1811="SUPPORTED",O1811="HALLUCINATION"))</x:f>
        <x:v>0</x:v>
      </x:c>
      <x:c r="X1811" s="43" t="n">
        <x:f>--AND(W1811=1,O1811="HALLUCINATION")</x:f>
        <x:v>0</x:v>
      </x:c>
      <x:c r="Y1811" s="43" t="n">
        <x:f>--AND(Q1811=1,O1811="HALLUCINATION")</x:f>
        <x:v>0</x:v>
      </x:c>
      <x:c r="Z1811" s="43" t="n">
        <x:f>--AND(Y1811=1,R1811=1,S1811=1)</x:f>
        <x:v>0</x:v>
      </x:c>
      <x:c r="AC1811" t="str">
        <x:f>IF(OR(AA1811="",AB1811=""),"",--(AA1811&lt;&gt;AB1811))</x:f>
      </x:c>
      <x:c r="AE1811" t="str">
        <x:f>IF(OR(AA1811="",AB1811=""),"PENDING_HUMAN",IF(AA1811=AB1811,AA1811,IF(AD1811&lt;&gt;"",AD1811,"PENDING_HUMAN")))</x:f>
        <x:v>PENDING_HUMAN</x:v>
      </x:c>
      <x:c r="AF1811" t="n">
        <x:f>--AND(A1811&lt;&gt;"",AA1811&lt;&gt;"",AB1811&lt;&gt;"",OR(AA1811=AB1811,AD1811&lt;&gt;""),IF(AE1811="HALLUCINATION",U1811&lt;&gt;"",TRUE))</x:f>
        <x:v>0</x:v>
      </x:c>
      <x:c r="AG1811" t="n">
        <x:f>--AND(N1811=1,AF1811=1,OR(AE1811="SUPPORTED",AE1811="HALLUCINATION"))</x:f>
        <x:v>0</x:v>
      </x:c>
      <x:c r="AH1811" t="n">
        <x:f>--AND(AG1811=1,AE1811="HALLUCINATION")</x:f>
        <x:v>0</x:v>
      </x:c>
      <x:c r="AI1811" t="n">
        <x:f>--AND(Q1811=1,AF1811=1,AE1811="HALLUCINATION")</x:f>
        <x:v>0</x:v>
      </x:c>
      <x:c r="AJ1811" t="n">
        <x:f>--AND(AI1811=1,R1811=1,S1811=1)</x:f>
        <x:v>0</x:v>
      </x:c>
    </x:row>
    <x:row r="1812">
      <x:c r="A1812" s="28"/>
      <x:c r="B1812" s="28"/>
      <x:c r="C1812" s="28"/>
      <x:c r="D1812" s="28"/>
      <x:c r="E1812" s="28"/>
      <x:c r="F1812" s="28"/>
      <x:c r="G1812" s="28"/>
      <x:c r="H1812" s="28"/>
      <x:c r="I1812" s="28"/>
      <x:c r="J1812" s="28"/>
      <x:c r="K1812" s="28"/>
      <x:c r="L1812" s="28"/>
      <x:c r="M1812" s="28"/>
      <x:c r="N1812" s="28"/>
      <x:c r="O1812" s="28"/>
      <x:c r="P1812" s="28"/>
      <x:c r="Q1812" s="28"/>
      <x:c r="R1812" s="28"/>
      <x:c r="S1812" s="28"/>
      <x:c r="T1812" s="28"/>
      <x:c r="U1812" s="28"/>
      <x:c r="V1812" s="28"/>
      <x:c r="W1812" s="43" t="n">
        <x:f>--AND(N1812=1,OR(O1812="SUPPORTED",O1812="HALLUCINATION"))</x:f>
        <x:v>0</x:v>
      </x:c>
      <x:c r="X1812" s="43" t="n">
        <x:f>--AND(W1812=1,O1812="HALLUCINATION")</x:f>
        <x:v>0</x:v>
      </x:c>
      <x:c r="Y1812" s="43" t="n">
        <x:f>--AND(Q1812=1,O1812="HALLUCINATION")</x:f>
        <x:v>0</x:v>
      </x:c>
      <x:c r="Z1812" s="43" t="n">
        <x:f>--AND(Y1812=1,R1812=1,S1812=1)</x:f>
        <x:v>0</x:v>
      </x:c>
      <x:c r="AC1812" t="str">
        <x:f>IF(OR(AA1812="",AB1812=""),"",--(AA1812&lt;&gt;AB1812))</x:f>
      </x:c>
      <x:c r="AE1812" t="str">
        <x:f>IF(OR(AA1812="",AB1812=""),"PENDING_HUMAN",IF(AA1812=AB1812,AA1812,IF(AD1812&lt;&gt;"",AD1812,"PENDING_HUMAN")))</x:f>
        <x:v>PENDING_HUMAN</x:v>
      </x:c>
      <x:c r="AF1812" t="n">
        <x:f>--AND(A1812&lt;&gt;"",AA1812&lt;&gt;"",AB1812&lt;&gt;"",OR(AA1812=AB1812,AD1812&lt;&gt;""),IF(AE1812="HALLUCINATION",U1812&lt;&gt;"",TRUE))</x:f>
        <x:v>0</x:v>
      </x:c>
      <x:c r="AG1812" t="n">
        <x:f>--AND(N1812=1,AF1812=1,OR(AE1812="SUPPORTED",AE1812="HALLUCINATION"))</x:f>
        <x:v>0</x:v>
      </x:c>
      <x:c r="AH1812" t="n">
        <x:f>--AND(AG1812=1,AE1812="HALLUCINATION")</x:f>
        <x:v>0</x:v>
      </x:c>
      <x:c r="AI1812" t="n">
        <x:f>--AND(Q1812=1,AF1812=1,AE1812="HALLUCINATION")</x:f>
        <x:v>0</x:v>
      </x:c>
      <x:c r="AJ1812" t="n">
        <x:f>--AND(AI1812=1,R1812=1,S1812=1)</x:f>
        <x:v>0</x:v>
      </x:c>
    </x:row>
    <x:row r="1813">
      <x:c r="A1813" s="28"/>
      <x:c r="B1813" s="28"/>
      <x:c r="C1813" s="28"/>
      <x:c r="D1813" s="28"/>
      <x:c r="E1813" s="28"/>
      <x:c r="F1813" s="28"/>
      <x:c r="G1813" s="28"/>
      <x:c r="H1813" s="28"/>
      <x:c r="I1813" s="28"/>
      <x:c r="J1813" s="28"/>
      <x:c r="K1813" s="28"/>
      <x:c r="L1813" s="28"/>
      <x:c r="M1813" s="28"/>
      <x:c r="N1813" s="28"/>
      <x:c r="O1813" s="28"/>
      <x:c r="P1813" s="28"/>
      <x:c r="Q1813" s="28"/>
      <x:c r="R1813" s="28"/>
      <x:c r="S1813" s="28"/>
      <x:c r="T1813" s="28"/>
      <x:c r="U1813" s="28"/>
      <x:c r="V1813" s="28"/>
      <x:c r="W1813" s="43" t="n">
        <x:f>--AND(N1813=1,OR(O1813="SUPPORTED",O1813="HALLUCINATION"))</x:f>
        <x:v>0</x:v>
      </x:c>
      <x:c r="X1813" s="43" t="n">
        <x:f>--AND(W1813=1,O1813="HALLUCINATION")</x:f>
        <x:v>0</x:v>
      </x:c>
      <x:c r="Y1813" s="43" t="n">
        <x:f>--AND(Q1813=1,O1813="HALLUCINATION")</x:f>
        <x:v>0</x:v>
      </x:c>
      <x:c r="Z1813" s="43" t="n">
        <x:f>--AND(Y1813=1,R1813=1,S1813=1)</x:f>
        <x:v>0</x:v>
      </x:c>
      <x:c r="AC1813" t="str">
        <x:f>IF(OR(AA1813="",AB1813=""),"",--(AA1813&lt;&gt;AB1813))</x:f>
      </x:c>
      <x:c r="AE1813" t="str">
        <x:f>IF(OR(AA1813="",AB1813=""),"PENDING_HUMAN",IF(AA1813=AB1813,AA1813,IF(AD1813&lt;&gt;"",AD1813,"PENDING_HUMAN")))</x:f>
        <x:v>PENDING_HUMAN</x:v>
      </x:c>
      <x:c r="AF1813" t="n">
        <x:f>--AND(A1813&lt;&gt;"",AA1813&lt;&gt;"",AB1813&lt;&gt;"",OR(AA1813=AB1813,AD1813&lt;&gt;""),IF(AE1813="HALLUCINATION",U1813&lt;&gt;"",TRUE))</x:f>
        <x:v>0</x:v>
      </x:c>
      <x:c r="AG1813" t="n">
        <x:f>--AND(N1813=1,AF1813=1,OR(AE1813="SUPPORTED",AE1813="HALLUCINATION"))</x:f>
        <x:v>0</x:v>
      </x:c>
      <x:c r="AH1813" t="n">
        <x:f>--AND(AG1813=1,AE1813="HALLUCINATION")</x:f>
        <x:v>0</x:v>
      </x:c>
      <x:c r="AI1813" t="n">
        <x:f>--AND(Q1813=1,AF1813=1,AE1813="HALLUCINATION")</x:f>
        <x:v>0</x:v>
      </x:c>
      <x:c r="AJ1813" t="n">
        <x:f>--AND(AI1813=1,R1813=1,S1813=1)</x:f>
        <x:v>0</x:v>
      </x:c>
    </x:row>
    <x:row r="1814">
      <x:c r="A1814" s="28"/>
      <x:c r="B1814" s="28"/>
      <x:c r="C1814" s="28"/>
      <x:c r="D1814" s="28"/>
      <x:c r="E1814" s="28"/>
      <x:c r="F1814" s="28"/>
      <x:c r="G1814" s="28"/>
      <x:c r="H1814" s="28"/>
      <x:c r="I1814" s="28"/>
      <x:c r="J1814" s="28"/>
      <x:c r="K1814" s="28"/>
      <x:c r="L1814" s="28"/>
      <x:c r="M1814" s="28"/>
      <x:c r="N1814" s="28"/>
      <x:c r="O1814" s="28"/>
      <x:c r="P1814" s="28"/>
      <x:c r="Q1814" s="28"/>
      <x:c r="R1814" s="28"/>
      <x:c r="S1814" s="28"/>
      <x:c r="T1814" s="28"/>
      <x:c r="U1814" s="28"/>
      <x:c r="V1814" s="28"/>
      <x:c r="W1814" s="43" t="n">
        <x:f>--AND(N1814=1,OR(O1814="SUPPORTED",O1814="HALLUCINATION"))</x:f>
        <x:v>0</x:v>
      </x:c>
      <x:c r="X1814" s="43" t="n">
        <x:f>--AND(W1814=1,O1814="HALLUCINATION")</x:f>
        <x:v>0</x:v>
      </x:c>
      <x:c r="Y1814" s="43" t="n">
        <x:f>--AND(Q1814=1,O1814="HALLUCINATION")</x:f>
        <x:v>0</x:v>
      </x:c>
      <x:c r="Z1814" s="43" t="n">
        <x:f>--AND(Y1814=1,R1814=1,S1814=1)</x:f>
        <x:v>0</x:v>
      </x:c>
      <x:c r="AC1814" t="str">
        <x:f>IF(OR(AA1814="",AB1814=""),"",--(AA1814&lt;&gt;AB1814))</x:f>
      </x:c>
      <x:c r="AE1814" t="str">
        <x:f>IF(OR(AA1814="",AB1814=""),"PENDING_HUMAN",IF(AA1814=AB1814,AA1814,IF(AD1814&lt;&gt;"",AD1814,"PENDING_HUMAN")))</x:f>
        <x:v>PENDING_HUMAN</x:v>
      </x:c>
      <x:c r="AF1814" t="n">
        <x:f>--AND(A1814&lt;&gt;"",AA1814&lt;&gt;"",AB1814&lt;&gt;"",OR(AA1814=AB1814,AD1814&lt;&gt;""),IF(AE1814="HALLUCINATION",U1814&lt;&gt;"",TRUE))</x:f>
        <x:v>0</x:v>
      </x:c>
      <x:c r="AG1814" t="n">
        <x:f>--AND(N1814=1,AF1814=1,OR(AE1814="SUPPORTED",AE1814="HALLUCINATION"))</x:f>
        <x:v>0</x:v>
      </x:c>
      <x:c r="AH1814" t="n">
        <x:f>--AND(AG1814=1,AE1814="HALLUCINATION")</x:f>
        <x:v>0</x:v>
      </x:c>
      <x:c r="AI1814" t="n">
        <x:f>--AND(Q1814=1,AF1814=1,AE1814="HALLUCINATION")</x:f>
        <x:v>0</x:v>
      </x:c>
      <x:c r="AJ1814" t="n">
        <x:f>--AND(AI1814=1,R1814=1,S1814=1)</x:f>
        <x:v>0</x:v>
      </x:c>
    </x:row>
    <x:row r="1815">
      <x:c r="A1815" s="28"/>
      <x:c r="B1815" s="28"/>
      <x:c r="C1815" s="28"/>
      <x:c r="D1815" s="28"/>
      <x:c r="E1815" s="28"/>
      <x:c r="F1815" s="28"/>
      <x:c r="G1815" s="28"/>
      <x:c r="H1815" s="28"/>
      <x:c r="I1815" s="28"/>
      <x:c r="J1815" s="28"/>
      <x:c r="K1815" s="28"/>
      <x:c r="L1815" s="28"/>
      <x:c r="M1815" s="28"/>
      <x:c r="N1815" s="28"/>
      <x:c r="O1815" s="28"/>
      <x:c r="P1815" s="28"/>
      <x:c r="Q1815" s="28"/>
      <x:c r="R1815" s="28"/>
      <x:c r="S1815" s="28"/>
      <x:c r="T1815" s="28"/>
      <x:c r="U1815" s="28"/>
      <x:c r="V1815" s="28"/>
      <x:c r="W1815" s="43" t="n">
        <x:f>--AND(N1815=1,OR(O1815="SUPPORTED",O1815="HALLUCINATION"))</x:f>
        <x:v>0</x:v>
      </x:c>
      <x:c r="X1815" s="43" t="n">
        <x:f>--AND(W1815=1,O1815="HALLUCINATION")</x:f>
        <x:v>0</x:v>
      </x:c>
      <x:c r="Y1815" s="43" t="n">
        <x:f>--AND(Q1815=1,O1815="HALLUCINATION")</x:f>
        <x:v>0</x:v>
      </x:c>
      <x:c r="Z1815" s="43" t="n">
        <x:f>--AND(Y1815=1,R1815=1,S1815=1)</x:f>
        <x:v>0</x:v>
      </x:c>
      <x:c r="AC1815" t="str">
        <x:f>IF(OR(AA1815="",AB1815=""),"",--(AA1815&lt;&gt;AB1815))</x:f>
      </x:c>
      <x:c r="AE1815" t="str">
        <x:f>IF(OR(AA1815="",AB1815=""),"PENDING_HUMAN",IF(AA1815=AB1815,AA1815,IF(AD1815&lt;&gt;"",AD1815,"PENDING_HUMAN")))</x:f>
        <x:v>PENDING_HUMAN</x:v>
      </x:c>
      <x:c r="AF1815" t="n">
        <x:f>--AND(A1815&lt;&gt;"",AA1815&lt;&gt;"",AB1815&lt;&gt;"",OR(AA1815=AB1815,AD1815&lt;&gt;""),IF(AE1815="HALLUCINATION",U1815&lt;&gt;"",TRUE))</x:f>
        <x:v>0</x:v>
      </x:c>
      <x:c r="AG1815" t="n">
        <x:f>--AND(N1815=1,AF1815=1,OR(AE1815="SUPPORTED",AE1815="HALLUCINATION"))</x:f>
        <x:v>0</x:v>
      </x:c>
      <x:c r="AH1815" t="n">
        <x:f>--AND(AG1815=1,AE1815="HALLUCINATION")</x:f>
        <x:v>0</x:v>
      </x:c>
      <x:c r="AI1815" t="n">
        <x:f>--AND(Q1815=1,AF1815=1,AE1815="HALLUCINATION")</x:f>
        <x:v>0</x:v>
      </x:c>
      <x:c r="AJ1815" t="n">
        <x:f>--AND(AI1815=1,R1815=1,S1815=1)</x:f>
        <x:v>0</x:v>
      </x:c>
    </x:row>
    <x:row r="1816">
      <x:c r="A1816" s="28"/>
      <x:c r="B1816" s="28"/>
      <x:c r="C1816" s="28"/>
      <x:c r="D1816" s="28"/>
      <x:c r="E1816" s="28"/>
      <x:c r="F1816" s="28"/>
      <x:c r="G1816" s="28"/>
      <x:c r="H1816" s="28"/>
      <x:c r="I1816" s="28"/>
      <x:c r="J1816" s="28"/>
      <x:c r="K1816" s="28"/>
      <x:c r="L1816" s="28"/>
      <x:c r="M1816" s="28"/>
      <x:c r="N1816" s="28"/>
      <x:c r="O1816" s="28"/>
      <x:c r="P1816" s="28"/>
      <x:c r="Q1816" s="28"/>
      <x:c r="R1816" s="28"/>
      <x:c r="S1816" s="28"/>
      <x:c r="T1816" s="28"/>
      <x:c r="U1816" s="28"/>
      <x:c r="V1816" s="28"/>
      <x:c r="W1816" s="43" t="n">
        <x:f>--AND(N1816=1,OR(O1816="SUPPORTED",O1816="HALLUCINATION"))</x:f>
        <x:v>0</x:v>
      </x:c>
      <x:c r="X1816" s="43" t="n">
        <x:f>--AND(W1816=1,O1816="HALLUCINATION")</x:f>
        <x:v>0</x:v>
      </x:c>
      <x:c r="Y1816" s="43" t="n">
        <x:f>--AND(Q1816=1,O1816="HALLUCINATION")</x:f>
        <x:v>0</x:v>
      </x:c>
      <x:c r="Z1816" s="43" t="n">
        <x:f>--AND(Y1816=1,R1816=1,S1816=1)</x:f>
        <x:v>0</x:v>
      </x:c>
      <x:c r="AC1816" t="str">
        <x:f>IF(OR(AA1816="",AB1816=""),"",--(AA1816&lt;&gt;AB1816))</x:f>
      </x:c>
      <x:c r="AE1816" t="str">
        <x:f>IF(OR(AA1816="",AB1816=""),"PENDING_HUMAN",IF(AA1816=AB1816,AA1816,IF(AD1816&lt;&gt;"",AD1816,"PENDING_HUMAN")))</x:f>
        <x:v>PENDING_HUMAN</x:v>
      </x:c>
      <x:c r="AF1816" t="n">
        <x:f>--AND(A1816&lt;&gt;"",AA1816&lt;&gt;"",AB1816&lt;&gt;"",OR(AA1816=AB1816,AD1816&lt;&gt;""),IF(AE1816="HALLUCINATION",U1816&lt;&gt;"",TRUE))</x:f>
        <x:v>0</x:v>
      </x:c>
      <x:c r="AG1816" t="n">
        <x:f>--AND(N1816=1,AF1816=1,OR(AE1816="SUPPORTED",AE1816="HALLUCINATION"))</x:f>
        <x:v>0</x:v>
      </x:c>
      <x:c r="AH1816" t="n">
        <x:f>--AND(AG1816=1,AE1816="HALLUCINATION")</x:f>
        <x:v>0</x:v>
      </x:c>
      <x:c r="AI1816" t="n">
        <x:f>--AND(Q1816=1,AF1816=1,AE1816="HALLUCINATION")</x:f>
        <x:v>0</x:v>
      </x:c>
      <x:c r="AJ1816" t="n">
        <x:f>--AND(AI1816=1,R1816=1,S1816=1)</x:f>
        <x:v>0</x:v>
      </x:c>
    </x:row>
    <x:row r="1817">
      <x:c r="A1817" s="28"/>
      <x:c r="B1817" s="28"/>
      <x:c r="C1817" s="28"/>
      <x:c r="D1817" s="28"/>
      <x:c r="E1817" s="28"/>
      <x:c r="F1817" s="28"/>
      <x:c r="G1817" s="28"/>
      <x:c r="H1817" s="28"/>
      <x:c r="I1817" s="28"/>
      <x:c r="J1817" s="28"/>
      <x:c r="K1817" s="28"/>
      <x:c r="L1817" s="28"/>
      <x:c r="M1817" s="28"/>
      <x:c r="N1817" s="28"/>
      <x:c r="O1817" s="28"/>
      <x:c r="P1817" s="28"/>
      <x:c r="Q1817" s="28"/>
      <x:c r="R1817" s="28"/>
      <x:c r="S1817" s="28"/>
      <x:c r="T1817" s="28"/>
      <x:c r="U1817" s="28"/>
      <x:c r="V1817" s="28"/>
      <x:c r="W1817" s="43" t="n">
        <x:f>--AND(N1817=1,OR(O1817="SUPPORTED",O1817="HALLUCINATION"))</x:f>
        <x:v>0</x:v>
      </x:c>
      <x:c r="X1817" s="43" t="n">
        <x:f>--AND(W1817=1,O1817="HALLUCINATION")</x:f>
        <x:v>0</x:v>
      </x:c>
      <x:c r="Y1817" s="43" t="n">
        <x:f>--AND(Q1817=1,O1817="HALLUCINATION")</x:f>
        <x:v>0</x:v>
      </x:c>
      <x:c r="Z1817" s="43" t="n">
        <x:f>--AND(Y1817=1,R1817=1,S1817=1)</x:f>
        <x:v>0</x:v>
      </x:c>
      <x:c r="AC1817" t="str">
        <x:f>IF(OR(AA1817="",AB1817=""),"",--(AA1817&lt;&gt;AB1817))</x:f>
      </x:c>
      <x:c r="AE1817" t="str">
        <x:f>IF(OR(AA1817="",AB1817=""),"PENDING_HUMAN",IF(AA1817=AB1817,AA1817,IF(AD1817&lt;&gt;"",AD1817,"PENDING_HUMAN")))</x:f>
        <x:v>PENDING_HUMAN</x:v>
      </x:c>
      <x:c r="AF1817" t="n">
        <x:f>--AND(A1817&lt;&gt;"",AA1817&lt;&gt;"",AB1817&lt;&gt;"",OR(AA1817=AB1817,AD1817&lt;&gt;""),IF(AE1817="HALLUCINATION",U1817&lt;&gt;"",TRUE))</x:f>
        <x:v>0</x:v>
      </x:c>
      <x:c r="AG1817" t="n">
        <x:f>--AND(N1817=1,AF1817=1,OR(AE1817="SUPPORTED",AE1817="HALLUCINATION"))</x:f>
        <x:v>0</x:v>
      </x:c>
      <x:c r="AH1817" t="n">
        <x:f>--AND(AG1817=1,AE1817="HALLUCINATION")</x:f>
        <x:v>0</x:v>
      </x:c>
      <x:c r="AI1817" t="n">
        <x:f>--AND(Q1817=1,AF1817=1,AE1817="HALLUCINATION")</x:f>
        <x:v>0</x:v>
      </x:c>
      <x:c r="AJ1817" t="n">
        <x:f>--AND(AI1817=1,R1817=1,S1817=1)</x:f>
        <x:v>0</x:v>
      </x:c>
    </x:row>
    <x:row r="1818">
      <x:c r="A1818" s="28"/>
      <x:c r="B1818" s="28"/>
      <x:c r="C1818" s="28"/>
      <x:c r="D1818" s="28"/>
      <x:c r="E1818" s="28"/>
      <x:c r="F1818" s="28"/>
      <x:c r="G1818" s="28"/>
      <x:c r="H1818" s="28"/>
      <x:c r="I1818" s="28"/>
      <x:c r="J1818" s="28"/>
      <x:c r="K1818" s="28"/>
      <x:c r="L1818" s="28"/>
      <x:c r="M1818" s="28"/>
      <x:c r="N1818" s="28"/>
      <x:c r="O1818" s="28"/>
      <x:c r="P1818" s="28"/>
      <x:c r="Q1818" s="28"/>
      <x:c r="R1818" s="28"/>
      <x:c r="S1818" s="28"/>
      <x:c r="T1818" s="28"/>
      <x:c r="U1818" s="28"/>
      <x:c r="V1818" s="28"/>
      <x:c r="W1818" s="43" t="n">
        <x:f>--AND(N1818=1,OR(O1818="SUPPORTED",O1818="HALLUCINATION"))</x:f>
        <x:v>0</x:v>
      </x:c>
      <x:c r="X1818" s="43" t="n">
        <x:f>--AND(W1818=1,O1818="HALLUCINATION")</x:f>
        <x:v>0</x:v>
      </x:c>
      <x:c r="Y1818" s="43" t="n">
        <x:f>--AND(Q1818=1,O1818="HALLUCINATION")</x:f>
        <x:v>0</x:v>
      </x:c>
      <x:c r="Z1818" s="43" t="n">
        <x:f>--AND(Y1818=1,R1818=1,S1818=1)</x:f>
        <x:v>0</x:v>
      </x:c>
      <x:c r="AC1818" t="str">
        <x:f>IF(OR(AA1818="",AB1818=""),"",--(AA1818&lt;&gt;AB1818))</x:f>
      </x:c>
      <x:c r="AE1818" t="str">
        <x:f>IF(OR(AA1818="",AB1818=""),"PENDING_HUMAN",IF(AA1818=AB1818,AA1818,IF(AD1818&lt;&gt;"",AD1818,"PENDING_HUMAN")))</x:f>
        <x:v>PENDING_HUMAN</x:v>
      </x:c>
      <x:c r="AF1818" t="n">
        <x:f>--AND(A1818&lt;&gt;"",AA1818&lt;&gt;"",AB1818&lt;&gt;"",OR(AA1818=AB1818,AD1818&lt;&gt;""),IF(AE1818="HALLUCINATION",U1818&lt;&gt;"",TRUE))</x:f>
        <x:v>0</x:v>
      </x:c>
      <x:c r="AG1818" t="n">
        <x:f>--AND(N1818=1,AF1818=1,OR(AE1818="SUPPORTED",AE1818="HALLUCINATION"))</x:f>
        <x:v>0</x:v>
      </x:c>
      <x:c r="AH1818" t="n">
        <x:f>--AND(AG1818=1,AE1818="HALLUCINATION")</x:f>
        <x:v>0</x:v>
      </x:c>
      <x:c r="AI1818" t="n">
        <x:f>--AND(Q1818=1,AF1818=1,AE1818="HALLUCINATION")</x:f>
        <x:v>0</x:v>
      </x:c>
      <x:c r="AJ1818" t="n">
        <x:f>--AND(AI1818=1,R1818=1,S1818=1)</x:f>
        <x:v>0</x:v>
      </x:c>
    </x:row>
    <x:row r="1819">
      <x:c r="A1819" s="28"/>
      <x:c r="B1819" s="28"/>
      <x:c r="C1819" s="28"/>
      <x:c r="D1819" s="28"/>
      <x:c r="E1819" s="28"/>
      <x:c r="F1819" s="28"/>
      <x:c r="G1819" s="28"/>
      <x:c r="H1819" s="28"/>
      <x:c r="I1819" s="28"/>
      <x:c r="J1819" s="28"/>
      <x:c r="K1819" s="28"/>
      <x:c r="L1819" s="28"/>
      <x:c r="M1819" s="28"/>
      <x:c r="N1819" s="28"/>
      <x:c r="O1819" s="28"/>
      <x:c r="P1819" s="28"/>
      <x:c r="Q1819" s="28"/>
      <x:c r="R1819" s="28"/>
      <x:c r="S1819" s="28"/>
      <x:c r="T1819" s="28"/>
      <x:c r="U1819" s="28"/>
      <x:c r="V1819" s="28"/>
      <x:c r="W1819" s="43" t="n">
        <x:f>--AND(N1819=1,OR(O1819="SUPPORTED",O1819="HALLUCINATION"))</x:f>
        <x:v>0</x:v>
      </x:c>
      <x:c r="X1819" s="43" t="n">
        <x:f>--AND(W1819=1,O1819="HALLUCINATION")</x:f>
        <x:v>0</x:v>
      </x:c>
      <x:c r="Y1819" s="43" t="n">
        <x:f>--AND(Q1819=1,O1819="HALLUCINATION")</x:f>
        <x:v>0</x:v>
      </x:c>
      <x:c r="Z1819" s="43" t="n">
        <x:f>--AND(Y1819=1,R1819=1,S1819=1)</x:f>
        <x:v>0</x:v>
      </x:c>
      <x:c r="AC1819" t="str">
        <x:f>IF(OR(AA1819="",AB1819=""),"",--(AA1819&lt;&gt;AB1819))</x:f>
      </x:c>
      <x:c r="AE1819" t="str">
        <x:f>IF(OR(AA1819="",AB1819=""),"PENDING_HUMAN",IF(AA1819=AB1819,AA1819,IF(AD1819&lt;&gt;"",AD1819,"PENDING_HUMAN")))</x:f>
        <x:v>PENDING_HUMAN</x:v>
      </x:c>
      <x:c r="AF1819" t="n">
        <x:f>--AND(A1819&lt;&gt;"",AA1819&lt;&gt;"",AB1819&lt;&gt;"",OR(AA1819=AB1819,AD1819&lt;&gt;""),IF(AE1819="HALLUCINATION",U1819&lt;&gt;"",TRUE))</x:f>
        <x:v>0</x:v>
      </x:c>
      <x:c r="AG1819" t="n">
        <x:f>--AND(N1819=1,AF1819=1,OR(AE1819="SUPPORTED",AE1819="HALLUCINATION"))</x:f>
        <x:v>0</x:v>
      </x:c>
      <x:c r="AH1819" t="n">
        <x:f>--AND(AG1819=1,AE1819="HALLUCINATION")</x:f>
        <x:v>0</x:v>
      </x:c>
      <x:c r="AI1819" t="n">
        <x:f>--AND(Q1819=1,AF1819=1,AE1819="HALLUCINATION")</x:f>
        <x:v>0</x:v>
      </x:c>
      <x:c r="AJ1819" t="n">
        <x:f>--AND(AI1819=1,R1819=1,S1819=1)</x:f>
        <x:v>0</x:v>
      </x:c>
    </x:row>
    <x:row r="1820">
      <x:c r="A1820" s="28"/>
      <x:c r="B1820" s="28"/>
      <x:c r="C1820" s="28"/>
      <x:c r="D1820" s="28"/>
      <x:c r="E1820" s="28"/>
      <x:c r="F1820" s="28"/>
      <x:c r="G1820" s="28"/>
      <x:c r="H1820" s="28"/>
      <x:c r="I1820" s="28"/>
      <x:c r="J1820" s="28"/>
      <x:c r="K1820" s="28"/>
      <x:c r="L1820" s="28"/>
      <x:c r="M1820" s="28"/>
      <x:c r="N1820" s="28"/>
      <x:c r="O1820" s="28"/>
      <x:c r="P1820" s="28"/>
      <x:c r="Q1820" s="28"/>
      <x:c r="R1820" s="28"/>
      <x:c r="S1820" s="28"/>
      <x:c r="T1820" s="28"/>
      <x:c r="U1820" s="28"/>
      <x:c r="V1820" s="28"/>
      <x:c r="W1820" s="43" t="n">
        <x:f>--AND(N1820=1,OR(O1820="SUPPORTED",O1820="HALLUCINATION"))</x:f>
        <x:v>0</x:v>
      </x:c>
      <x:c r="X1820" s="43" t="n">
        <x:f>--AND(W1820=1,O1820="HALLUCINATION")</x:f>
        <x:v>0</x:v>
      </x:c>
      <x:c r="Y1820" s="43" t="n">
        <x:f>--AND(Q1820=1,O1820="HALLUCINATION")</x:f>
        <x:v>0</x:v>
      </x:c>
      <x:c r="Z1820" s="43" t="n">
        <x:f>--AND(Y1820=1,R1820=1,S1820=1)</x:f>
        <x:v>0</x:v>
      </x:c>
      <x:c r="AC1820" t="str">
        <x:f>IF(OR(AA1820="",AB1820=""),"",--(AA1820&lt;&gt;AB1820))</x:f>
      </x:c>
      <x:c r="AE1820" t="str">
        <x:f>IF(OR(AA1820="",AB1820=""),"PENDING_HUMAN",IF(AA1820=AB1820,AA1820,IF(AD1820&lt;&gt;"",AD1820,"PENDING_HUMAN")))</x:f>
        <x:v>PENDING_HUMAN</x:v>
      </x:c>
      <x:c r="AF1820" t="n">
        <x:f>--AND(A1820&lt;&gt;"",AA1820&lt;&gt;"",AB1820&lt;&gt;"",OR(AA1820=AB1820,AD1820&lt;&gt;""),IF(AE1820="HALLUCINATION",U1820&lt;&gt;"",TRUE))</x:f>
        <x:v>0</x:v>
      </x:c>
      <x:c r="AG1820" t="n">
        <x:f>--AND(N1820=1,AF1820=1,OR(AE1820="SUPPORTED",AE1820="HALLUCINATION"))</x:f>
        <x:v>0</x:v>
      </x:c>
      <x:c r="AH1820" t="n">
        <x:f>--AND(AG1820=1,AE1820="HALLUCINATION")</x:f>
        <x:v>0</x:v>
      </x:c>
      <x:c r="AI1820" t="n">
        <x:f>--AND(Q1820=1,AF1820=1,AE1820="HALLUCINATION")</x:f>
        <x:v>0</x:v>
      </x:c>
      <x:c r="AJ1820" t="n">
        <x:f>--AND(AI1820=1,R1820=1,S1820=1)</x:f>
        <x:v>0</x:v>
      </x:c>
    </x:row>
    <x:row r="1821">
      <x:c r="A1821" s="28"/>
      <x:c r="B1821" s="28"/>
      <x:c r="C1821" s="28"/>
      <x:c r="D1821" s="28"/>
      <x:c r="E1821" s="28"/>
      <x:c r="F1821" s="28"/>
      <x:c r="G1821" s="28"/>
      <x:c r="H1821" s="28"/>
      <x:c r="I1821" s="28"/>
      <x:c r="J1821" s="28"/>
      <x:c r="K1821" s="28"/>
      <x:c r="L1821" s="28"/>
      <x:c r="M1821" s="28"/>
      <x:c r="N1821" s="28"/>
      <x:c r="O1821" s="28"/>
      <x:c r="P1821" s="28"/>
      <x:c r="Q1821" s="28"/>
      <x:c r="R1821" s="28"/>
      <x:c r="S1821" s="28"/>
      <x:c r="T1821" s="28"/>
      <x:c r="U1821" s="28"/>
      <x:c r="V1821" s="28"/>
      <x:c r="W1821" s="43" t="n">
        <x:f>--AND(N1821=1,OR(O1821="SUPPORTED",O1821="HALLUCINATION"))</x:f>
        <x:v>0</x:v>
      </x:c>
      <x:c r="X1821" s="43" t="n">
        <x:f>--AND(W1821=1,O1821="HALLUCINATION")</x:f>
        <x:v>0</x:v>
      </x:c>
      <x:c r="Y1821" s="43" t="n">
        <x:f>--AND(Q1821=1,O1821="HALLUCINATION")</x:f>
        <x:v>0</x:v>
      </x:c>
      <x:c r="Z1821" s="43" t="n">
        <x:f>--AND(Y1821=1,R1821=1,S1821=1)</x:f>
        <x:v>0</x:v>
      </x:c>
      <x:c r="AC1821" t="str">
        <x:f>IF(OR(AA1821="",AB1821=""),"",--(AA1821&lt;&gt;AB1821))</x:f>
      </x:c>
      <x:c r="AE1821" t="str">
        <x:f>IF(OR(AA1821="",AB1821=""),"PENDING_HUMAN",IF(AA1821=AB1821,AA1821,IF(AD1821&lt;&gt;"",AD1821,"PENDING_HUMAN")))</x:f>
        <x:v>PENDING_HUMAN</x:v>
      </x:c>
      <x:c r="AF1821" t="n">
        <x:f>--AND(A1821&lt;&gt;"",AA1821&lt;&gt;"",AB1821&lt;&gt;"",OR(AA1821=AB1821,AD1821&lt;&gt;""),IF(AE1821="HALLUCINATION",U1821&lt;&gt;"",TRUE))</x:f>
        <x:v>0</x:v>
      </x:c>
      <x:c r="AG1821" t="n">
        <x:f>--AND(N1821=1,AF1821=1,OR(AE1821="SUPPORTED",AE1821="HALLUCINATION"))</x:f>
        <x:v>0</x:v>
      </x:c>
      <x:c r="AH1821" t="n">
        <x:f>--AND(AG1821=1,AE1821="HALLUCINATION")</x:f>
        <x:v>0</x:v>
      </x:c>
      <x:c r="AI1821" t="n">
        <x:f>--AND(Q1821=1,AF1821=1,AE1821="HALLUCINATION")</x:f>
        <x:v>0</x:v>
      </x:c>
      <x:c r="AJ1821" t="n">
        <x:f>--AND(AI1821=1,R1821=1,S1821=1)</x:f>
        <x:v>0</x:v>
      </x:c>
    </x:row>
    <x:row r="1822">
      <x:c r="A1822" s="28"/>
      <x:c r="B1822" s="28"/>
      <x:c r="C1822" s="28"/>
      <x:c r="D1822" s="28"/>
      <x:c r="E1822" s="28"/>
      <x:c r="F1822" s="28"/>
      <x:c r="G1822" s="28"/>
      <x:c r="H1822" s="28"/>
      <x:c r="I1822" s="28"/>
      <x:c r="J1822" s="28"/>
      <x:c r="K1822" s="28"/>
      <x:c r="L1822" s="28"/>
      <x:c r="M1822" s="28"/>
      <x:c r="N1822" s="28"/>
      <x:c r="O1822" s="28"/>
      <x:c r="P1822" s="28"/>
      <x:c r="Q1822" s="28"/>
      <x:c r="R1822" s="28"/>
      <x:c r="S1822" s="28"/>
      <x:c r="T1822" s="28"/>
      <x:c r="U1822" s="28"/>
      <x:c r="V1822" s="28"/>
      <x:c r="W1822" s="43" t="n">
        <x:f>--AND(N1822=1,OR(O1822="SUPPORTED",O1822="HALLUCINATION"))</x:f>
        <x:v>0</x:v>
      </x:c>
      <x:c r="X1822" s="43" t="n">
        <x:f>--AND(W1822=1,O1822="HALLUCINATION")</x:f>
        <x:v>0</x:v>
      </x:c>
      <x:c r="Y1822" s="43" t="n">
        <x:f>--AND(Q1822=1,O1822="HALLUCINATION")</x:f>
        <x:v>0</x:v>
      </x:c>
      <x:c r="Z1822" s="43" t="n">
        <x:f>--AND(Y1822=1,R1822=1,S1822=1)</x:f>
        <x:v>0</x:v>
      </x:c>
      <x:c r="AC1822" t="str">
        <x:f>IF(OR(AA1822="",AB1822=""),"",--(AA1822&lt;&gt;AB1822))</x:f>
      </x:c>
      <x:c r="AE1822" t="str">
        <x:f>IF(OR(AA1822="",AB1822=""),"PENDING_HUMAN",IF(AA1822=AB1822,AA1822,IF(AD1822&lt;&gt;"",AD1822,"PENDING_HUMAN")))</x:f>
        <x:v>PENDING_HUMAN</x:v>
      </x:c>
      <x:c r="AF1822" t="n">
        <x:f>--AND(A1822&lt;&gt;"",AA1822&lt;&gt;"",AB1822&lt;&gt;"",OR(AA1822=AB1822,AD1822&lt;&gt;""),IF(AE1822="HALLUCINATION",U1822&lt;&gt;"",TRUE))</x:f>
        <x:v>0</x:v>
      </x:c>
      <x:c r="AG1822" t="n">
        <x:f>--AND(N1822=1,AF1822=1,OR(AE1822="SUPPORTED",AE1822="HALLUCINATION"))</x:f>
        <x:v>0</x:v>
      </x:c>
      <x:c r="AH1822" t="n">
        <x:f>--AND(AG1822=1,AE1822="HALLUCINATION")</x:f>
        <x:v>0</x:v>
      </x:c>
      <x:c r="AI1822" t="n">
        <x:f>--AND(Q1822=1,AF1822=1,AE1822="HALLUCINATION")</x:f>
        <x:v>0</x:v>
      </x:c>
      <x:c r="AJ1822" t="n">
        <x:f>--AND(AI1822=1,R1822=1,S1822=1)</x:f>
        <x:v>0</x:v>
      </x:c>
    </x:row>
    <x:row r="1823">
      <x:c r="A1823" s="28"/>
      <x:c r="B1823" s="28"/>
      <x:c r="C1823" s="28"/>
      <x:c r="D1823" s="28"/>
      <x:c r="E1823" s="28"/>
      <x:c r="F1823" s="28"/>
      <x:c r="G1823" s="28"/>
      <x:c r="H1823" s="28"/>
      <x:c r="I1823" s="28"/>
      <x:c r="J1823" s="28"/>
      <x:c r="K1823" s="28"/>
      <x:c r="L1823" s="28"/>
      <x:c r="M1823" s="28"/>
      <x:c r="N1823" s="28"/>
      <x:c r="O1823" s="28"/>
      <x:c r="P1823" s="28"/>
      <x:c r="Q1823" s="28"/>
      <x:c r="R1823" s="28"/>
      <x:c r="S1823" s="28"/>
      <x:c r="T1823" s="28"/>
      <x:c r="U1823" s="28"/>
      <x:c r="V1823" s="28"/>
      <x:c r="W1823" s="43" t="n">
        <x:f>--AND(N1823=1,OR(O1823="SUPPORTED",O1823="HALLUCINATION"))</x:f>
        <x:v>0</x:v>
      </x:c>
      <x:c r="X1823" s="43" t="n">
        <x:f>--AND(W1823=1,O1823="HALLUCINATION")</x:f>
        <x:v>0</x:v>
      </x:c>
      <x:c r="Y1823" s="43" t="n">
        <x:f>--AND(Q1823=1,O1823="HALLUCINATION")</x:f>
        <x:v>0</x:v>
      </x:c>
      <x:c r="Z1823" s="43" t="n">
        <x:f>--AND(Y1823=1,R1823=1,S1823=1)</x:f>
        <x:v>0</x:v>
      </x:c>
      <x:c r="AC1823" t="str">
        <x:f>IF(OR(AA1823="",AB1823=""),"",--(AA1823&lt;&gt;AB1823))</x:f>
      </x:c>
      <x:c r="AE1823" t="str">
        <x:f>IF(OR(AA1823="",AB1823=""),"PENDING_HUMAN",IF(AA1823=AB1823,AA1823,IF(AD1823&lt;&gt;"",AD1823,"PENDING_HUMAN")))</x:f>
        <x:v>PENDING_HUMAN</x:v>
      </x:c>
      <x:c r="AF1823" t="n">
        <x:f>--AND(A1823&lt;&gt;"",AA1823&lt;&gt;"",AB1823&lt;&gt;"",OR(AA1823=AB1823,AD1823&lt;&gt;""),IF(AE1823="HALLUCINATION",U1823&lt;&gt;"",TRUE))</x:f>
        <x:v>0</x:v>
      </x:c>
      <x:c r="AG1823" t="n">
        <x:f>--AND(N1823=1,AF1823=1,OR(AE1823="SUPPORTED",AE1823="HALLUCINATION"))</x:f>
        <x:v>0</x:v>
      </x:c>
      <x:c r="AH1823" t="n">
        <x:f>--AND(AG1823=1,AE1823="HALLUCINATION")</x:f>
        <x:v>0</x:v>
      </x:c>
      <x:c r="AI1823" t="n">
        <x:f>--AND(Q1823=1,AF1823=1,AE1823="HALLUCINATION")</x:f>
        <x:v>0</x:v>
      </x:c>
      <x:c r="AJ1823" t="n">
        <x:f>--AND(AI1823=1,R1823=1,S1823=1)</x:f>
        <x:v>0</x:v>
      </x:c>
    </x:row>
    <x:row r="1824">
      <x:c r="A1824" s="28"/>
      <x:c r="B1824" s="28"/>
      <x:c r="C1824" s="28"/>
      <x:c r="D1824" s="28"/>
      <x:c r="E1824" s="28"/>
      <x:c r="F1824" s="28"/>
      <x:c r="G1824" s="28"/>
      <x:c r="H1824" s="28"/>
      <x:c r="I1824" s="28"/>
      <x:c r="J1824" s="28"/>
      <x:c r="K1824" s="28"/>
      <x:c r="L1824" s="28"/>
      <x:c r="M1824" s="28"/>
      <x:c r="N1824" s="28"/>
      <x:c r="O1824" s="28"/>
      <x:c r="P1824" s="28"/>
      <x:c r="Q1824" s="28"/>
      <x:c r="R1824" s="28"/>
      <x:c r="S1824" s="28"/>
      <x:c r="T1824" s="28"/>
      <x:c r="U1824" s="28"/>
      <x:c r="V1824" s="28"/>
      <x:c r="W1824" s="43" t="n">
        <x:f>--AND(N1824=1,OR(O1824="SUPPORTED",O1824="HALLUCINATION"))</x:f>
        <x:v>0</x:v>
      </x:c>
      <x:c r="X1824" s="43" t="n">
        <x:f>--AND(W1824=1,O1824="HALLUCINATION")</x:f>
        <x:v>0</x:v>
      </x:c>
      <x:c r="Y1824" s="43" t="n">
        <x:f>--AND(Q1824=1,O1824="HALLUCINATION")</x:f>
        <x:v>0</x:v>
      </x:c>
      <x:c r="Z1824" s="43" t="n">
        <x:f>--AND(Y1824=1,R1824=1,S1824=1)</x:f>
        <x:v>0</x:v>
      </x:c>
      <x:c r="AC1824" t="str">
        <x:f>IF(OR(AA1824="",AB1824=""),"",--(AA1824&lt;&gt;AB1824))</x:f>
      </x:c>
      <x:c r="AE1824" t="str">
        <x:f>IF(OR(AA1824="",AB1824=""),"PENDING_HUMAN",IF(AA1824=AB1824,AA1824,IF(AD1824&lt;&gt;"",AD1824,"PENDING_HUMAN")))</x:f>
        <x:v>PENDING_HUMAN</x:v>
      </x:c>
      <x:c r="AF1824" t="n">
        <x:f>--AND(A1824&lt;&gt;"",AA1824&lt;&gt;"",AB1824&lt;&gt;"",OR(AA1824=AB1824,AD1824&lt;&gt;""),IF(AE1824="HALLUCINATION",U1824&lt;&gt;"",TRUE))</x:f>
        <x:v>0</x:v>
      </x:c>
      <x:c r="AG1824" t="n">
        <x:f>--AND(N1824=1,AF1824=1,OR(AE1824="SUPPORTED",AE1824="HALLUCINATION"))</x:f>
        <x:v>0</x:v>
      </x:c>
      <x:c r="AH1824" t="n">
        <x:f>--AND(AG1824=1,AE1824="HALLUCINATION")</x:f>
        <x:v>0</x:v>
      </x:c>
      <x:c r="AI1824" t="n">
        <x:f>--AND(Q1824=1,AF1824=1,AE1824="HALLUCINATION")</x:f>
        <x:v>0</x:v>
      </x:c>
      <x:c r="AJ1824" t="n">
        <x:f>--AND(AI1824=1,R1824=1,S1824=1)</x:f>
        <x:v>0</x:v>
      </x:c>
    </x:row>
    <x:row r="1825">
      <x:c r="A1825" s="28"/>
      <x:c r="B1825" s="28"/>
      <x:c r="C1825" s="28"/>
      <x:c r="D1825" s="28"/>
      <x:c r="E1825" s="28"/>
      <x:c r="F1825" s="28"/>
      <x:c r="G1825" s="28"/>
      <x:c r="H1825" s="28"/>
      <x:c r="I1825" s="28"/>
      <x:c r="J1825" s="28"/>
      <x:c r="K1825" s="28"/>
      <x:c r="L1825" s="28"/>
      <x:c r="M1825" s="28"/>
      <x:c r="N1825" s="28"/>
      <x:c r="O1825" s="28"/>
      <x:c r="P1825" s="28"/>
      <x:c r="Q1825" s="28"/>
      <x:c r="R1825" s="28"/>
      <x:c r="S1825" s="28"/>
      <x:c r="T1825" s="28"/>
      <x:c r="U1825" s="28"/>
      <x:c r="V1825" s="28"/>
      <x:c r="W1825" s="43" t="n">
        <x:f>--AND(N1825=1,OR(O1825="SUPPORTED",O1825="HALLUCINATION"))</x:f>
        <x:v>0</x:v>
      </x:c>
      <x:c r="X1825" s="43" t="n">
        <x:f>--AND(W1825=1,O1825="HALLUCINATION")</x:f>
        <x:v>0</x:v>
      </x:c>
      <x:c r="Y1825" s="43" t="n">
        <x:f>--AND(Q1825=1,O1825="HALLUCINATION")</x:f>
        <x:v>0</x:v>
      </x:c>
      <x:c r="Z1825" s="43" t="n">
        <x:f>--AND(Y1825=1,R1825=1,S1825=1)</x:f>
        <x:v>0</x:v>
      </x:c>
      <x:c r="AC1825" t="str">
        <x:f>IF(OR(AA1825="",AB1825=""),"",--(AA1825&lt;&gt;AB1825))</x:f>
      </x:c>
      <x:c r="AE1825" t="str">
        <x:f>IF(OR(AA1825="",AB1825=""),"PENDING_HUMAN",IF(AA1825=AB1825,AA1825,IF(AD1825&lt;&gt;"",AD1825,"PENDING_HUMAN")))</x:f>
        <x:v>PENDING_HUMAN</x:v>
      </x:c>
      <x:c r="AF1825" t="n">
        <x:f>--AND(A1825&lt;&gt;"",AA1825&lt;&gt;"",AB1825&lt;&gt;"",OR(AA1825=AB1825,AD1825&lt;&gt;""),IF(AE1825="HALLUCINATION",U1825&lt;&gt;"",TRUE))</x:f>
        <x:v>0</x:v>
      </x:c>
      <x:c r="AG1825" t="n">
        <x:f>--AND(N1825=1,AF1825=1,OR(AE1825="SUPPORTED",AE1825="HALLUCINATION"))</x:f>
        <x:v>0</x:v>
      </x:c>
      <x:c r="AH1825" t="n">
        <x:f>--AND(AG1825=1,AE1825="HALLUCINATION")</x:f>
        <x:v>0</x:v>
      </x:c>
      <x:c r="AI1825" t="n">
        <x:f>--AND(Q1825=1,AF1825=1,AE1825="HALLUCINATION")</x:f>
        <x:v>0</x:v>
      </x:c>
      <x:c r="AJ1825" t="n">
        <x:f>--AND(AI1825=1,R1825=1,S1825=1)</x:f>
        <x:v>0</x:v>
      </x:c>
    </x:row>
    <x:row r="1826">
      <x:c r="A1826" s="28"/>
      <x:c r="B1826" s="28"/>
      <x:c r="C1826" s="28"/>
      <x:c r="D1826" s="28"/>
      <x:c r="E1826" s="28"/>
      <x:c r="F1826" s="28"/>
      <x:c r="G1826" s="28"/>
      <x:c r="H1826" s="28"/>
      <x:c r="I1826" s="28"/>
      <x:c r="J1826" s="28"/>
      <x:c r="K1826" s="28"/>
      <x:c r="L1826" s="28"/>
      <x:c r="M1826" s="28"/>
      <x:c r="N1826" s="28"/>
      <x:c r="O1826" s="28"/>
      <x:c r="P1826" s="28"/>
      <x:c r="Q1826" s="28"/>
      <x:c r="R1826" s="28"/>
      <x:c r="S1826" s="28"/>
      <x:c r="T1826" s="28"/>
      <x:c r="U1826" s="28"/>
      <x:c r="V1826" s="28"/>
      <x:c r="W1826" s="43" t="n">
        <x:f>--AND(N1826=1,OR(O1826="SUPPORTED",O1826="HALLUCINATION"))</x:f>
        <x:v>0</x:v>
      </x:c>
      <x:c r="X1826" s="43" t="n">
        <x:f>--AND(W1826=1,O1826="HALLUCINATION")</x:f>
        <x:v>0</x:v>
      </x:c>
      <x:c r="Y1826" s="43" t="n">
        <x:f>--AND(Q1826=1,O1826="HALLUCINATION")</x:f>
        <x:v>0</x:v>
      </x:c>
      <x:c r="Z1826" s="43" t="n">
        <x:f>--AND(Y1826=1,R1826=1,S1826=1)</x:f>
        <x:v>0</x:v>
      </x:c>
      <x:c r="AC1826" t="str">
        <x:f>IF(OR(AA1826="",AB1826=""),"",--(AA1826&lt;&gt;AB1826))</x:f>
      </x:c>
      <x:c r="AE1826" t="str">
        <x:f>IF(OR(AA1826="",AB1826=""),"PENDING_HUMAN",IF(AA1826=AB1826,AA1826,IF(AD1826&lt;&gt;"",AD1826,"PENDING_HUMAN")))</x:f>
        <x:v>PENDING_HUMAN</x:v>
      </x:c>
      <x:c r="AF1826" t="n">
        <x:f>--AND(A1826&lt;&gt;"",AA1826&lt;&gt;"",AB1826&lt;&gt;"",OR(AA1826=AB1826,AD1826&lt;&gt;""),IF(AE1826="HALLUCINATION",U1826&lt;&gt;"",TRUE))</x:f>
        <x:v>0</x:v>
      </x:c>
      <x:c r="AG1826" t="n">
        <x:f>--AND(N1826=1,AF1826=1,OR(AE1826="SUPPORTED",AE1826="HALLUCINATION"))</x:f>
        <x:v>0</x:v>
      </x:c>
      <x:c r="AH1826" t="n">
        <x:f>--AND(AG1826=1,AE1826="HALLUCINATION")</x:f>
        <x:v>0</x:v>
      </x:c>
      <x:c r="AI1826" t="n">
        <x:f>--AND(Q1826=1,AF1826=1,AE1826="HALLUCINATION")</x:f>
        <x:v>0</x:v>
      </x:c>
      <x:c r="AJ1826" t="n">
        <x:f>--AND(AI1826=1,R1826=1,S1826=1)</x:f>
        <x:v>0</x:v>
      </x:c>
    </x:row>
    <x:row r="1827">
      <x:c r="A1827" s="28"/>
      <x:c r="B1827" s="28"/>
      <x:c r="C1827" s="28"/>
      <x:c r="D1827" s="28"/>
      <x:c r="E1827" s="28"/>
      <x:c r="F1827" s="28"/>
      <x:c r="G1827" s="28"/>
      <x:c r="H1827" s="28"/>
      <x:c r="I1827" s="28"/>
      <x:c r="J1827" s="28"/>
      <x:c r="K1827" s="28"/>
      <x:c r="L1827" s="28"/>
      <x:c r="M1827" s="28"/>
      <x:c r="N1827" s="28"/>
      <x:c r="O1827" s="28"/>
      <x:c r="P1827" s="28"/>
      <x:c r="Q1827" s="28"/>
      <x:c r="R1827" s="28"/>
      <x:c r="S1827" s="28"/>
      <x:c r="T1827" s="28"/>
      <x:c r="U1827" s="28"/>
      <x:c r="V1827" s="28"/>
      <x:c r="W1827" s="43" t="n">
        <x:f>--AND(N1827=1,OR(O1827="SUPPORTED",O1827="HALLUCINATION"))</x:f>
        <x:v>0</x:v>
      </x:c>
      <x:c r="X1827" s="43" t="n">
        <x:f>--AND(W1827=1,O1827="HALLUCINATION")</x:f>
        <x:v>0</x:v>
      </x:c>
      <x:c r="Y1827" s="43" t="n">
        <x:f>--AND(Q1827=1,O1827="HALLUCINATION")</x:f>
        <x:v>0</x:v>
      </x:c>
      <x:c r="Z1827" s="43" t="n">
        <x:f>--AND(Y1827=1,R1827=1,S1827=1)</x:f>
        <x:v>0</x:v>
      </x:c>
      <x:c r="AC1827" t="str">
        <x:f>IF(OR(AA1827="",AB1827=""),"",--(AA1827&lt;&gt;AB1827))</x:f>
      </x:c>
      <x:c r="AE1827" t="str">
        <x:f>IF(OR(AA1827="",AB1827=""),"PENDING_HUMAN",IF(AA1827=AB1827,AA1827,IF(AD1827&lt;&gt;"",AD1827,"PENDING_HUMAN")))</x:f>
        <x:v>PENDING_HUMAN</x:v>
      </x:c>
      <x:c r="AF1827" t="n">
        <x:f>--AND(A1827&lt;&gt;"",AA1827&lt;&gt;"",AB1827&lt;&gt;"",OR(AA1827=AB1827,AD1827&lt;&gt;""),IF(AE1827="HALLUCINATION",U1827&lt;&gt;"",TRUE))</x:f>
        <x:v>0</x:v>
      </x:c>
      <x:c r="AG1827" t="n">
        <x:f>--AND(N1827=1,AF1827=1,OR(AE1827="SUPPORTED",AE1827="HALLUCINATION"))</x:f>
        <x:v>0</x:v>
      </x:c>
      <x:c r="AH1827" t="n">
        <x:f>--AND(AG1827=1,AE1827="HALLUCINATION")</x:f>
        <x:v>0</x:v>
      </x:c>
      <x:c r="AI1827" t="n">
        <x:f>--AND(Q1827=1,AF1827=1,AE1827="HALLUCINATION")</x:f>
        <x:v>0</x:v>
      </x:c>
      <x:c r="AJ1827" t="n">
        <x:f>--AND(AI1827=1,R1827=1,S1827=1)</x:f>
        <x:v>0</x:v>
      </x:c>
    </x:row>
    <x:row r="1828">
      <x:c r="A1828" s="28"/>
      <x:c r="B1828" s="28"/>
      <x:c r="C1828" s="28"/>
      <x:c r="D1828" s="28"/>
      <x:c r="E1828" s="28"/>
      <x:c r="F1828" s="28"/>
      <x:c r="G1828" s="28"/>
      <x:c r="H1828" s="28"/>
      <x:c r="I1828" s="28"/>
      <x:c r="J1828" s="28"/>
      <x:c r="K1828" s="28"/>
      <x:c r="L1828" s="28"/>
      <x:c r="M1828" s="28"/>
      <x:c r="N1828" s="28"/>
      <x:c r="O1828" s="28"/>
      <x:c r="P1828" s="28"/>
      <x:c r="Q1828" s="28"/>
      <x:c r="R1828" s="28"/>
      <x:c r="S1828" s="28"/>
      <x:c r="T1828" s="28"/>
      <x:c r="U1828" s="28"/>
      <x:c r="V1828" s="28"/>
      <x:c r="W1828" s="43" t="n">
        <x:f>--AND(N1828=1,OR(O1828="SUPPORTED",O1828="HALLUCINATION"))</x:f>
        <x:v>0</x:v>
      </x:c>
      <x:c r="X1828" s="43" t="n">
        <x:f>--AND(W1828=1,O1828="HALLUCINATION")</x:f>
        <x:v>0</x:v>
      </x:c>
      <x:c r="Y1828" s="43" t="n">
        <x:f>--AND(Q1828=1,O1828="HALLUCINATION")</x:f>
        <x:v>0</x:v>
      </x:c>
      <x:c r="Z1828" s="43" t="n">
        <x:f>--AND(Y1828=1,R1828=1,S1828=1)</x:f>
        <x:v>0</x:v>
      </x:c>
      <x:c r="AC1828" t="str">
        <x:f>IF(OR(AA1828="",AB1828=""),"",--(AA1828&lt;&gt;AB1828))</x:f>
      </x:c>
      <x:c r="AE1828" t="str">
        <x:f>IF(OR(AA1828="",AB1828=""),"PENDING_HUMAN",IF(AA1828=AB1828,AA1828,IF(AD1828&lt;&gt;"",AD1828,"PENDING_HUMAN")))</x:f>
        <x:v>PENDING_HUMAN</x:v>
      </x:c>
      <x:c r="AF1828" t="n">
        <x:f>--AND(A1828&lt;&gt;"",AA1828&lt;&gt;"",AB1828&lt;&gt;"",OR(AA1828=AB1828,AD1828&lt;&gt;""),IF(AE1828="HALLUCINATION",U1828&lt;&gt;"",TRUE))</x:f>
        <x:v>0</x:v>
      </x:c>
      <x:c r="AG1828" t="n">
        <x:f>--AND(N1828=1,AF1828=1,OR(AE1828="SUPPORTED",AE1828="HALLUCINATION"))</x:f>
        <x:v>0</x:v>
      </x:c>
      <x:c r="AH1828" t="n">
        <x:f>--AND(AG1828=1,AE1828="HALLUCINATION")</x:f>
        <x:v>0</x:v>
      </x:c>
      <x:c r="AI1828" t="n">
        <x:f>--AND(Q1828=1,AF1828=1,AE1828="HALLUCINATION")</x:f>
        <x:v>0</x:v>
      </x:c>
      <x:c r="AJ1828" t="n">
        <x:f>--AND(AI1828=1,R1828=1,S1828=1)</x:f>
        <x:v>0</x:v>
      </x:c>
    </x:row>
    <x:row r="1829">
      <x:c r="A1829" s="28"/>
      <x:c r="B1829" s="28"/>
      <x:c r="C1829" s="28"/>
      <x:c r="D1829" s="28"/>
      <x:c r="E1829" s="28"/>
      <x:c r="F1829" s="28"/>
      <x:c r="G1829" s="28"/>
      <x:c r="H1829" s="28"/>
      <x:c r="I1829" s="28"/>
      <x:c r="J1829" s="28"/>
      <x:c r="K1829" s="28"/>
      <x:c r="L1829" s="28"/>
      <x:c r="M1829" s="28"/>
      <x:c r="N1829" s="28"/>
      <x:c r="O1829" s="28"/>
      <x:c r="P1829" s="28"/>
      <x:c r="Q1829" s="28"/>
      <x:c r="R1829" s="28"/>
      <x:c r="S1829" s="28"/>
      <x:c r="T1829" s="28"/>
      <x:c r="U1829" s="28"/>
      <x:c r="V1829" s="28"/>
      <x:c r="W1829" s="43" t="n">
        <x:f>--AND(N1829=1,OR(O1829="SUPPORTED",O1829="HALLUCINATION"))</x:f>
        <x:v>0</x:v>
      </x:c>
      <x:c r="X1829" s="43" t="n">
        <x:f>--AND(W1829=1,O1829="HALLUCINATION")</x:f>
        <x:v>0</x:v>
      </x:c>
      <x:c r="Y1829" s="43" t="n">
        <x:f>--AND(Q1829=1,O1829="HALLUCINATION")</x:f>
        <x:v>0</x:v>
      </x:c>
      <x:c r="Z1829" s="43" t="n">
        <x:f>--AND(Y1829=1,R1829=1,S1829=1)</x:f>
        <x:v>0</x:v>
      </x:c>
      <x:c r="AC1829" t="str">
        <x:f>IF(OR(AA1829="",AB1829=""),"",--(AA1829&lt;&gt;AB1829))</x:f>
      </x:c>
      <x:c r="AE1829" t="str">
        <x:f>IF(OR(AA1829="",AB1829=""),"PENDING_HUMAN",IF(AA1829=AB1829,AA1829,IF(AD1829&lt;&gt;"",AD1829,"PENDING_HUMAN")))</x:f>
        <x:v>PENDING_HUMAN</x:v>
      </x:c>
      <x:c r="AF1829" t="n">
        <x:f>--AND(A1829&lt;&gt;"",AA1829&lt;&gt;"",AB1829&lt;&gt;"",OR(AA1829=AB1829,AD1829&lt;&gt;""),IF(AE1829="HALLUCINATION",U1829&lt;&gt;"",TRUE))</x:f>
        <x:v>0</x:v>
      </x:c>
      <x:c r="AG1829" t="n">
        <x:f>--AND(N1829=1,AF1829=1,OR(AE1829="SUPPORTED",AE1829="HALLUCINATION"))</x:f>
        <x:v>0</x:v>
      </x:c>
      <x:c r="AH1829" t="n">
        <x:f>--AND(AG1829=1,AE1829="HALLUCINATION")</x:f>
        <x:v>0</x:v>
      </x:c>
      <x:c r="AI1829" t="n">
        <x:f>--AND(Q1829=1,AF1829=1,AE1829="HALLUCINATION")</x:f>
        <x:v>0</x:v>
      </x:c>
      <x:c r="AJ1829" t="n">
        <x:f>--AND(AI1829=1,R1829=1,S1829=1)</x:f>
        <x:v>0</x:v>
      </x:c>
    </x:row>
    <x:row r="1830">
      <x:c r="A1830" s="28"/>
      <x:c r="B1830" s="28"/>
      <x:c r="C1830" s="28"/>
      <x:c r="D1830" s="28"/>
      <x:c r="E1830" s="28"/>
      <x:c r="F1830" s="28"/>
      <x:c r="G1830" s="28"/>
      <x:c r="H1830" s="28"/>
      <x:c r="I1830" s="28"/>
      <x:c r="J1830" s="28"/>
      <x:c r="K1830" s="28"/>
      <x:c r="L1830" s="28"/>
      <x:c r="M1830" s="28"/>
      <x:c r="N1830" s="28"/>
      <x:c r="O1830" s="28"/>
      <x:c r="P1830" s="28"/>
      <x:c r="Q1830" s="28"/>
      <x:c r="R1830" s="28"/>
      <x:c r="S1830" s="28"/>
      <x:c r="T1830" s="28"/>
      <x:c r="U1830" s="28"/>
      <x:c r="V1830" s="28"/>
      <x:c r="W1830" s="43" t="n">
        <x:f>--AND(N1830=1,OR(O1830="SUPPORTED",O1830="HALLUCINATION"))</x:f>
        <x:v>0</x:v>
      </x:c>
      <x:c r="X1830" s="43" t="n">
        <x:f>--AND(W1830=1,O1830="HALLUCINATION")</x:f>
        <x:v>0</x:v>
      </x:c>
      <x:c r="Y1830" s="43" t="n">
        <x:f>--AND(Q1830=1,O1830="HALLUCINATION")</x:f>
        <x:v>0</x:v>
      </x:c>
      <x:c r="Z1830" s="43" t="n">
        <x:f>--AND(Y1830=1,R1830=1,S1830=1)</x:f>
        <x:v>0</x:v>
      </x:c>
      <x:c r="AC1830" t="str">
        <x:f>IF(OR(AA1830="",AB1830=""),"",--(AA1830&lt;&gt;AB1830))</x:f>
      </x:c>
      <x:c r="AE1830" t="str">
        <x:f>IF(OR(AA1830="",AB1830=""),"PENDING_HUMAN",IF(AA1830=AB1830,AA1830,IF(AD1830&lt;&gt;"",AD1830,"PENDING_HUMAN")))</x:f>
        <x:v>PENDING_HUMAN</x:v>
      </x:c>
      <x:c r="AF1830" t="n">
        <x:f>--AND(A1830&lt;&gt;"",AA1830&lt;&gt;"",AB1830&lt;&gt;"",OR(AA1830=AB1830,AD1830&lt;&gt;""),IF(AE1830="HALLUCINATION",U1830&lt;&gt;"",TRUE))</x:f>
        <x:v>0</x:v>
      </x:c>
      <x:c r="AG1830" t="n">
        <x:f>--AND(N1830=1,AF1830=1,OR(AE1830="SUPPORTED",AE1830="HALLUCINATION"))</x:f>
        <x:v>0</x:v>
      </x:c>
      <x:c r="AH1830" t="n">
        <x:f>--AND(AG1830=1,AE1830="HALLUCINATION")</x:f>
        <x:v>0</x:v>
      </x:c>
      <x:c r="AI1830" t="n">
        <x:f>--AND(Q1830=1,AF1830=1,AE1830="HALLUCINATION")</x:f>
        <x:v>0</x:v>
      </x:c>
      <x:c r="AJ1830" t="n">
        <x:f>--AND(AI1830=1,R1830=1,S1830=1)</x:f>
        <x:v>0</x:v>
      </x:c>
    </x:row>
    <x:row r="1831">
      <x:c r="A1831" s="28"/>
      <x:c r="B1831" s="28"/>
      <x:c r="C1831" s="28"/>
      <x:c r="D1831" s="28"/>
      <x:c r="E1831" s="28"/>
      <x:c r="F1831" s="28"/>
      <x:c r="G1831" s="28"/>
      <x:c r="H1831" s="28"/>
      <x:c r="I1831" s="28"/>
      <x:c r="J1831" s="28"/>
      <x:c r="K1831" s="28"/>
      <x:c r="L1831" s="28"/>
      <x:c r="M1831" s="28"/>
      <x:c r="N1831" s="28"/>
      <x:c r="O1831" s="28"/>
      <x:c r="P1831" s="28"/>
      <x:c r="Q1831" s="28"/>
      <x:c r="R1831" s="28"/>
      <x:c r="S1831" s="28"/>
      <x:c r="T1831" s="28"/>
      <x:c r="U1831" s="28"/>
      <x:c r="V1831" s="28"/>
      <x:c r="W1831" s="43" t="n">
        <x:f>--AND(N1831=1,OR(O1831="SUPPORTED",O1831="HALLUCINATION"))</x:f>
        <x:v>0</x:v>
      </x:c>
      <x:c r="X1831" s="43" t="n">
        <x:f>--AND(W1831=1,O1831="HALLUCINATION")</x:f>
        <x:v>0</x:v>
      </x:c>
      <x:c r="Y1831" s="43" t="n">
        <x:f>--AND(Q1831=1,O1831="HALLUCINATION")</x:f>
        <x:v>0</x:v>
      </x:c>
      <x:c r="Z1831" s="43" t="n">
        <x:f>--AND(Y1831=1,R1831=1,S1831=1)</x:f>
        <x:v>0</x:v>
      </x:c>
      <x:c r="AC1831" t="str">
        <x:f>IF(OR(AA1831="",AB1831=""),"",--(AA1831&lt;&gt;AB1831))</x:f>
      </x:c>
      <x:c r="AE1831" t="str">
        <x:f>IF(OR(AA1831="",AB1831=""),"PENDING_HUMAN",IF(AA1831=AB1831,AA1831,IF(AD1831&lt;&gt;"",AD1831,"PENDING_HUMAN")))</x:f>
        <x:v>PENDING_HUMAN</x:v>
      </x:c>
      <x:c r="AF1831" t="n">
        <x:f>--AND(A1831&lt;&gt;"",AA1831&lt;&gt;"",AB1831&lt;&gt;"",OR(AA1831=AB1831,AD1831&lt;&gt;""),IF(AE1831="HALLUCINATION",U1831&lt;&gt;"",TRUE))</x:f>
        <x:v>0</x:v>
      </x:c>
      <x:c r="AG1831" t="n">
        <x:f>--AND(N1831=1,AF1831=1,OR(AE1831="SUPPORTED",AE1831="HALLUCINATION"))</x:f>
        <x:v>0</x:v>
      </x:c>
      <x:c r="AH1831" t="n">
        <x:f>--AND(AG1831=1,AE1831="HALLUCINATION")</x:f>
        <x:v>0</x:v>
      </x:c>
      <x:c r="AI1831" t="n">
        <x:f>--AND(Q1831=1,AF1831=1,AE1831="HALLUCINATION")</x:f>
        <x:v>0</x:v>
      </x:c>
      <x:c r="AJ1831" t="n">
        <x:f>--AND(AI1831=1,R1831=1,S1831=1)</x:f>
        <x:v>0</x:v>
      </x:c>
    </x:row>
    <x:row r="1832">
      <x:c r="A1832" s="28"/>
      <x:c r="B1832" s="28"/>
      <x:c r="C1832" s="28"/>
      <x:c r="D1832" s="28"/>
      <x:c r="E1832" s="28"/>
      <x:c r="F1832" s="28"/>
      <x:c r="G1832" s="28"/>
      <x:c r="H1832" s="28"/>
      <x:c r="I1832" s="28"/>
      <x:c r="J1832" s="28"/>
      <x:c r="K1832" s="28"/>
      <x:c r="L1832" s="28"/>
      <x:c r="M1832" s="28"/>
      <x:c r="N1832" s="28"/>
      <x:c r="O1832" s="28"/>
      <x:c r="P1832" s="28"/>
      <x:c r="Q1832" s="28"/>
      <x:c r="R1832" s="28"/>
      <x:c r="S1832" s="28"/>
      <x:c r="T1832" s="28"/>
      <x:c r="U1832" s="28"/>
      <x:c r="V1832" s="28"/>
      <x:c r="W1832" s="43" t="n">
        <x:f>--AND(N1832=1,OR(O1832="SUPPORTED",O1832="HALLUCINATION"))</x:f>
        <x:v>0</x:v>
      </x:c>
      <x:c r="X1832" s="43" t="n">
        <x:f>--AND(W1832=1,O1832="HALLUCINATION")</x:f>
        <x:v>0</x:v>
      </x:c>
      <x:c r="Y1832" s="43" t="n">
        <x:f>--AND(Q1832=1,O1832="HALLUCINATION")</x:f>
        <x:v>0</x:v>
      </x:c>
      <x:c r="Z1832" s="43" t="n">
        <x:f>--AND(Y1832=1,R1832=1,S1832=1)</x:f>
        <x:v>0</x:v>
      </x:c>
      <x:c r="AC1832" t="str">
        <x:f>IF(OR(AA1832="",AB1832=""),"",--(AA1832&lt;&gt;AB1832))</x:f>
      </x:c>
      <x:c r="AE1832" t="str">
        <x:f>IF(OR(AA1832="",AB1832=""),"PENDING_HUMAN",IF(AA1832=AB1832,AA1832,IF(AD1832&lt;&gt;"",AD1832,"PENDING_HUMAN")))</x:f>
        <x:v>PENDING_HUMAN</x:v>
      </x:c>
      <x:c r="AF1832" t="n">
        <x:f>--AND(A1832&lt;&gt;"",AA1832&lt;&gt;"",AB1832&lt;&gt;"",OR(AA1832=AB1832,AD1832&lt;&gt;""),IF(AE1832="HALLUCINATION",U1832&lt;&gt;"",TRUE))</x:f>
        <x:v>0</x:v>
      </x:c>
      <x:c r="AG1832" t="n">
        <x:f>--AND(N1832=1,AF1832=1,OR(AE1832="SUPPORTED",AE1832="HALLUCINATION"))</x:f>
        <x:v>0</x:v>
      </x:c>
      <x:c r="AH1832" t="n">
        <x:f>--AND(AG1832=1,AE1832="HALLUCINATION")</x:f>
        <x:v>0</x:v>
      </x:c>
      <x:c r="AI1832" t="n">
        <x:f>--AND(Q1832=1,AF1832=1,AE1832="HALLUCINATION")</x:f>
        <x:v>0</x:v>
      </x:c>
      <x:c r="AJ1832" t="n">
        <x:f>--AND(AI1832=1,R1832=1,S1832=1)</x:f>
        <x:v>0</x:v>
      </x:c>
    </x:row>
    <x:row r="1833">
      <x:c r="A1833" s="28"/>
      <x:c r="B1833" s="28"/>
      <x:c r="C1833" s="28"/>
      <x:c r="D1833" s="28"/>
      <x:c r="E1833" s="28"/>
      <x:c r="F1833" s="28"/>
      <x:c r="G1833" s="28"/>
      <x:c r="H1833" s="28"/>
      <x:c r="I1833" s="28"/>
      <x:c r="J1833" s="28"/>
      <x:c r="K1833" s="28"/>
      <x:c r="L1833" s="28"/>
      <x:c r="M1833" s="28"/>
      <x:c r="N1833" s="28"/>
      <x:c r="O1833" s="28"/>
      <x:c r="P1833" s="28"/>
      <x:c r="Q1833" s="28"/>
      <x:c r="R1833" s="28"/>
      <x:c r="S1833" s="28"/>
      <x:c r="T1833" s="28"/>
      <x:c r="U1833" s="28"/>
      <x:c r="V1833" s="28"/>
      <x:c r="W1833" s="43" t="n">
        <x:f>--AND(N1833=1,OR(O1833="SUPPORTED",O1833="HALLUCINATION"))</x:f>
        <x:v>0</x:v>
      </x:c>
      <x:c r="X1833" s="43" t="n">
        <x:f>--AND(W1833=1,O1833="HALLUCINATION")</x:f>
        <x:v>0</x:v>
      </x:c>
      <x:c r="Y1833" s="43" t="n">
        <x:f>--AND(Q1833=1,O1833="HALLUCINATION")</x:f>
        <x:v>0</x:v>
      </x:c>
      <x:c r="Z1833" s="43" t="n">
        <x:f>--AND(Y1833=1,R1833=1,S1833=1)</x:f>
        <x:v>0</x:v>
      </x:c>
      <x:c r="AC1833" t="str">
        <x:f>IF(OR(AA1833="",AB1833=""),"",--(AA1833&lt;&gt;AB1833))</x:f>
      </x:c>
      <x:c r="AE1833" t="str">
        <x:f>IF(OR(AA1833="",AB1833=""),"PENDING_HUMAN",IF(AA1833=AB1833,AA1833,IF(AD1833&lt;&gt;"",AD1833,"PENDING_HUMAN")))</x:f>
        <x:v>PENDING_HUMAN</x:v>
      </x:c>
      <x:c r="AF1833" t="n">
        <x:f>--AND(A1833&lt;&gt;"",AA1833&lt;&gt;"",AB1833&lt;&gt;"",OR(AA1833=AB1833,AD1833&lt;&gt;""),IF(AE1833="HALLUCINATION",U1833&lt;&gt;"",TRUE))</x:f>
        <x:v>0</x:v>
      </x:c>
      <x:c r="AG1833" t="n">
        <x:f>--AND(N1833=1,AF1833=1,OR(AE1833="SUPPORTED",AE1833="HALLUCINATION"))</x:f>
        <x:v>0</x:v>
      </x:c>
      <x:c r="AH1833" t="n">
        <x:f>--AND(AG1833=1,AE1833="HALLUCINATION")</x:f>
        <x:v>0</x:v>
      </x:c>
      <x:c r="AI1833" t="n">
        <x:f>--AND(Q1833=1,AF1833=1,AE1833="HALLUCINATION")</x:f>
        <x:v>0</x:v>
      </x:c>
      <x:c r="AJ1833" t="n">
        <x:f>--AND(AI1833=1,R1833=1,S1833=1)</x:f>
        <x:v>0</x:v>
      </x:c>
    </x:row>
    <x:row r="1834">
      <x:c r="A1834" s="28"/>
      <x:c r="B1834" s="28"/>
      <x:c r="C1834" s="28"/>
      <x:c r="D1834" s="28"/>
      <x:c r="E1834" s="28"/>
      <x:c r="F1834" s="28"/>
      <x:c r="G1834" s="28"/>
      <x:c r="H1834" s="28"/>
      <x:c r="I1834" s="28"/>
      <x:c r="J1834" s="28"/>
      <x:c r="K1834" s="28"/>
      <x:c r="L1834" s="28"/>
      <x:c r="M1834" s="28"/>
      <x:c r="N1834" s="28"/>
      <x:c r="O1834" s="28"/>
      <x:c r="P1834" s="28"/>
      <x:c r="Q1834" s="28"/>
      <x:c r="R1834" s="28"/>
      <x:c r="S1834" s="28"/>
      <x:c r="T1834" s="28"/>
      <x:c r="U1834" s="28"/>
      <x:c r="V1834" s="28"/>
      <x:c r="W1834" s="43" t="n">
        <x:f>--AND(N1834=1,OR(O1834="SUPPORTED",O1834="HALLUCINATION"))</x:f>
        <x:v>0</x:v>
      </x:c>
      <x:c r="X1834" s="43" t="n">
        <x:f>--AND(W1834=1,O1834="HALLUCINATION")</x:f>
        <x:v>0</x:v>
      </x:c>
      <x:c r="Y1834" s="43" t="n">
        <x:f>--AND(Q1834=1,O1834="HALLUCINATION")</x:f>
        <x:v>0</x:v>
      </x:c>
      <x:c r="Z1834" s="43" t="n">
        <x:f>--AND(Y1834=1,R1834=1,S1834=1)</x:f>
        <x:v>0</x:v>
      </x:c>
      <x:c r="AC1834" t="str">
        <x:f>IF(OR(AA1834="",AB1834=""),"",--(AA1834&lt;&gt;AB1834))</x:f>
      </x:c>
      <x:c r="AE1834" t="str">
        <x:f>IF(OR(AA1834="",AB1834=""),"PENDING_HUMAN",IF(AA1834=AB1834,AA1834,IF(AD1834&lt;&gt;"",AD1834,"PENDING_HUMAN")))</x:f>
        <x:v>PENDING_HUMAN</x:v>
      </x:c>
      <x:c r="AF1834" t="n">
        <x:f>--AND(A1834&lt;&gt;"",AA1834&lt;&gt;"",AB1834&lt;&gt;"",OR(AA1834=AB1834,AD1834&lt;&gt;""),IF(AE1834="HALLUCINATION",U1834&lt;&gt;"",TRUE))</x:f>
        <x:v>0</x:v>
      </x:c>
      <x:c r="AG1834" t="n">
        <x:f>--AND(N1834=1,AF1834=1,OR(AE1834="SUPPORTED",AE1834="HALLUCINATION"))</x:f>
        <x:v>0</x:v>
      </x:c>
      <x:c r="AH1834" t="n">
        <x:f>--AND(AG1834=1,AE1834="HALLUCINATION")</x:f>
        <x:v>0</x:v>
      </x:c>
      <x:c r="AI1834" t="n">
        <x:f>--AND(Q1834=1,AF1834=1,AE1834="HALLUCINATION")</x:f>
        <x:v>0</x:v>
      </x:c>
      <x:c r="AJ1834" t="n">
        <x:f>--AND(AI1834=1,R1834=1,S1834=1)</x:f>
        <x:v>0</x:v>
      </x:c>
    </x:row>
    <x:row r="1835">
      <x:c r="A1835" s="28"/>
      <x:c r="B1835" s="28"/>
      <x:c r="C1835" s="28"/>
      <x:c r="D1835" s="28"/>
      <x:c r="E1835" s="28"/>
      <x:c r="F1835" s="28"/>
      <x:c r="G1835" s="28"/>
      <x:c r="H1835" s="28"/>
      <x:c r="I1835" s="28"/>
      <x:c r="J1835" s="28"/>
      <x:c r="K1835" s="28"/>
      <x:c r="L1835" s="28"/>
      <x:c r="M1835" s="28"/>
      <x:c r="N1835" s="28"/>
      <x:c r="O1835" s="28"/>
      <x:c r="P1835" s="28"/>
      <x:c r="Q1835" s="28"/>
      <x:c r="R1835" s="28"/>
      <x:c r="S1835" s="28"/>
      <x:c r="T1835" s="28"/>
      <x:c r="U1835" s="28"/>
      <x:c r="V1835" s="28"/>
      <x:c r="W1835" s="43" t="n">
        <x:f>--AND(N1835=1,OR(O1835="SUPPORTED",O1835="HALLUCINATION"))</x:f>
        <x:v>0</x:v>
      </x:c>
      <x:c r="X1835" s="43" t="n">
        <x:f>--AND(W1835=1,O1835="HALLUCINATION")</x:f>
        <x:v>0</x:v>
      </x:c>
      <x:c r="Y1835" s="43" t="n">
        <x:f>--AND(Q1835=1,O1835="HALLUCINATION")</x:f>
        <x:v>0</x:v>
      </x:c>
      <x:c r="Z1835" s="43" t="n">
        <x:f>--AND(Y1835=1,R1835=1,S1835=1)</x:f>
        <x:v>0</x:v>
      </x:c>
      <x:c r="AC1835" t="str">
        <x:f>IF(OR(AA1835="",AB1835=""),"",--(AA1835&lt;&gt;AB1835))</x:f>
      </x:c>
      <x:c r="AE1835" t="str">
        <x:f>IF(OR(AA1835="",AB1835=""),"PENDING_HUMAN",IF(AA1835=AB1835,AA1835,IF(AD1835&lt;&gt;"",AD1835,"PENDING_HUMAN")))</x:f>
        <x:v>PENDING_HUMAN</x:v>
      </x:c>
      <x:c r="AF1835" t="n">
        <x:f>--AND(A1835&lt;&gt;"",AA1835&lt;&gt;"",AB1835&lt;&gt;"",OR(AA1835=AB1835,AD1835&lt;&gt;""),IF(AE1835="HALLUCINATION",U1835&lt;&gt;"",TRUE))</x:f>
        <x:v>0</x:v>
      </x:c>
      <x:c r="AG1835" t="n">
        <x:f>--AND(N1835=1,AF1835=1,OR(AE1835="SUPPORTED",AE1835="HALLUCINATION"))</x:f>
        <x:v>0</x:v>
      </x:c>
      <x:c r="AH1835" t="n">
        <x:f>--AND(AG1835=1,AE1835="HALLUCINATION")</x:f>
        <x:v>0</x:v>
      </x:c>
      <x:c r="AI1835" t="n">
        <x:f>--AND(Q1835=1,AF1835=1,AE1835="HALLUCINATION")</x:f>
        <x:v>0</x:v>
      </x:c>
      <x:c r="AJ1835" t="n">
        <x:f>--AND(AI1835=1,R1835=1,S1835=1)</x:f>
        <x:v>0</x:v>
      </x:c>
    </x:row>
    <x:row r="1836">
      <x:c r="A1836" s="28"/>
      <x:c r="B1836" s="28"/>
      <x:c r="C1836" s="28"/>
      <x:c r="D1836" s="28"/>
      <x:c r="E1836" s="28"/>
      <x:c r="F1836" s="28"/>
      <x:c r="G1836" s="28"/>
      <x:c r="H1836" s="28"/>
      <x:c r="I1836" s="28"/>
      <x:c r="J1836" s="28"/>
      <x:c r="K1836" s="28"/>
      <x:c r="L1836" s="28"/>
      <x:c r="M1836" s="28"/>
      <x:c r="N1836" s="28"/>
      <x:c r="O1836" s="28"/>
      <x:c r="P1836" s="28"/>
      <x:c r="Q1836" s="28"/>
      <x:c r="R1836" s="28"/>
      <x:c r="S1836" s="28"/>
      <x:c r="T1836" s="28"/>
      <x:c r="U1836" s="28"/>
      <x:c r="V1836" s="28"/>
      <x:c r="W1836" s="43" t="n">
        <x:f>--AND(N1836=1,OR(O1836="SUPPORTED",O1836="HALLUCINATION"))</x:f>
        <x:v>0</x:v>
      </x:c>
      <x:c r="X1836" s="43" t="n">
        <x:f>--AND(W1836=1,O1836="HALLUCINATION")</x:f>
        <x:v>0</x:v>
      </x:c>
      <x:c r="Y1836" s="43" t="n">
        <x:f>--AND(Q1836=1,O1836="HALLUCINATION")</x:f>
        <x:v>0</x:v>
      </x:c>
      <x:c r="Z1836" s="43" t="n">
        <x:f>--AND(Y1836=1,R1836=1,S1836=1)</x:f>
        <x:v>0</x:v>
      </x:c>
      <x:c r="AC1836" t="str">
        <x:f>IF(OR(AA1836="",AB1836=""),"",--(AA1836&lt;&gt;AB1836))</x:f>
      </x:c>
      <x:c r="AE1836" t="str">
        <x:f>IF(OR(AA1836="",AB1836=""),"PENDING_HUMAN",IF(AA1836=AB1836,AA1836,IF(AD1836&lt;&gt;"",AD1836,"PENDING_HUMAN")))</x:f>
        <x:v>PENDING_HUMAN</x:v>
      </x:c>
      <x:c r="AF1836" t="n">
        <x:f>--AND(A1836&lt;&gt;"",AA1836&lt;&gt;"",AB1836&lt;&gt;"",OR(AA1836=AB1836,AD1836&lt;&gt;""),IF(AE1836="HALLUCINATION",U1836&lt;&gt;"",TRUE))</x:f>
        <x:v>0</x:v>
      </x:c>
      <x:c r="AG1836" t="n">
        <x:f>--AND(N1836=1,AF1836=1,OR(AE1836="SUPPORTED",AE1836="HALLUCINATION"))</x:f>
        <x:v>0</x:v>
      </x:c>
      <x:c r="AH1836" t="n">
        <x:f>--AND(AG1836=1,AE1836="HALLUCINATION")</x:f>
        <x:v>0</x:v>
      </x:c>
      <x:c r="AI1836" t="n">
        <x:f>--AND(Q1836=1,AF1836=1,AE1836="HALLUCINATION")</x:f>
        <x:v>0</x:v>
      </x:c>
      <x:c r="AJ1836" t="n">
        <x:f>--AND(AI1836=1,R1836=1,S1836=1)</x:f>
        <x:v>0</x:v>
      </x:c>
    </x:row>
    <x:row r="1837">
      <x:c r="A1837" s="28"/>
      <x:c r="B1837" s="28"/>
      <x:c r="C1837" s="28"/>
      <x:c r="D1837" s="28"/>
      <x:c r="E1837" s="28"/>
      <x:c r="F1837" s="28"/>
      <x:c r="G1837" s="28"/>
      <x:c r="H1837" s="28"/>
      <x:c r="I1837" s="28"/>
      <x:c r="J1837" s="28"/>
      <x:c r="K1837" s="28"/>
      <x:c r="L1837" s="28"/>
      <x:c r="M1837" s="28"/>
      <x:c r="N1837" s="28"/>
      <x:c r="O1837" s="28"/>
      <x:c r="P1837" s="28"/>
      <x:c r="Q1837" s="28"/>
      <x:c r="R1837" s="28"/>
      <x:c r="S1837" s="28"/>
      <x:c r="T1837" s="28"/>
      <x:c r="U1837" s="28"/>
      <x:c r="V1837" s="28"/>
      <x:c r="W1837" s="43" t="n">
        <x:f>--AND(N1837=1,OR(O1837="SUPPORTED",O1837="HALLUCINATION"))</x:f>
        <x:v>0</x:v>
      </x:c>
      <x:c r="X1837" s="43" t="n">
        <x:f>--AND(W1837=1,O1837="HALLUCINATION")</x:f>
        <x:v>0</x:v>
      </x:c>
      <x:c r="Y1837" s="43" t="n">
        <x:f>--AND(Q1837=1,O1837="HALLUCINATION")</x:f>
        <x:v>0</x:v>
      </x:c>
      <x:c r="Z1837" s="43" t="n">
        <x:f>--AND(Y1837=1,R1837=1,S1837=1)</x:f>
        <x:v>0</x:v>
      </x:c>
      <x:c r="AC1837" t="str">
        <x:f>IF(OR(AA1837="",AB1837=""),"",--(AA1837&lt;&gt;AB1837))</x:f>
      </x:c>
      <x:c r="AE1837" t="str">
        <x:f>IF(OR(AA1837="",AB1837=""),"PENDING_HUMAN",IF(AA1837=AB1837,AA1837,IF(AD1837&lt;&gt;"",AD1837,"PENDING_HUMAN")))</x:f>
        <x:v>PENDING_HUMAN</x:v>
      </x:c>
      <x:c r="AF1837" t="n">
        <x:f>--AND(A1837&lt;&gt;"",AA1837&lt;&gt;"",AB1837&lt;&gt;"",OR(AA1837=AB1837,AD1837&lt;&gt;""),IF(AE1837="HALLUCINATION",U1837&lt;&gt;"",TRUE))</x:f>
        <x:v>0</x:v>
      </x:c>
      <x:c r="AG1837" t="n">
        <x:f>--AND(N1837=1,AF1837=1,OR(AE1837="SUPPORTED",AE1837="HALLUCINATION"))</x:f>
        <x:v>0</x:v>
      </x:c>
      <x:c r="AH1837" t="n">
        <x:f>--AND(AG1837=1,AE1837="HALLUCINATION")</x:f>
        <x:v>0</x:v>
      </x:c>
      <x:c r="AI1837" t="n">
        <x:f>--AND(Q1837=1,AF1837=1,AE1837="HALLUCINATION")</x:f>
        <x:v>0</x:v>
      </x:c>
      <x:c r="AJ1837" t="n">
        <x:f>--AND(AI1837=1,R1837=1,S1837=1)</x:f>
        <x:v>0</x:v>
      </x:c>
    </x:row>
    <x:row r="1838">
      <x:c r="A1838" s="28"/>
      <x:c r="B1838" s="28"/>
      <x:c r="C1838" s="28"/>
      <x:c r="D1838" s="28"/>
      <x:c r="E1838" s="28"/>
      <x:c r="F1838" s="28"/>
      <x:c r="G1838" s="28"/>
      <x:c r="H1838" s="28"/>
      <x:c r="I1838" s="28"/>
      <x:c r="J1838" s="28"/>
      <x:c r="K1838" s="28"/>
      <x:c r="L1838" s="28"/>
      <x:c r="M1838" s="28"/>
      <x:c r="N1838" s="28"/>
      <x:c r="O1838" s="28"/>
      <x:c r="P1838" s="28"/>
      <x:c r="Q1838" s="28"/>
      <x:c r="R1838" s="28"/>
      <x:c r="S1838" s="28"/>
      <x:c r="T1838" s="28"/>
      <x:c r="U1838" s="28"/>
      <x:c r="V1838" s="28"/>
      <x:c r="W1838" s="43" t="n">
        <x:f>--AND(N1838=1,OR(O1838="SUPPORTED",O1838="HALLUCINATION"))</x:f>
        <x:v>0</x:v>
      </x:c>
      <x:c r="X1838" s="43" t="n">
        <x:f>--AND(W1838=1,O1838="HALLUCINATION")</x:f>
        <x:v>0</x:v>
      </x:c>
      <x:c r="Y1838" s="43" t="n">
        <x:f>--AND(Q1838=1,O1838="HALLUCINATION")</x:f>
        <x:v>0</x:v>
      </x:c>
      <x:c r="Z1838" s="43" t="n">
        <x:f>--AND(Y1838=1,R1838=1,S1838=1)</x:f>
        <x:v>0</x:v>
      </x:c>
      <x:c r="AC1838" t="str">
        <x:f>IF(OR(AA1838="",AB1838=""),"",--(AA1838&lt;&gt;AB1838))</x:f>
      </x:c>
      <x:c r="AE1838" t="str">
        <x:f>IF(OR(AA1838="",AB1838=""),"PENDING_HUMAN",IF(AA1838=AB1838,AA1838,IF(AD1838&lt;&gt;"",AD1838,"PENDING_HUMAN")))</x:f>
        <x:v>PENDING_HUMAN</x:v>
      </x:c>
      <x:c r="AF1838" t="n">
        <x:f>--AND(A1838&lt;&gt;"",AA1838&lt;&gt;"",AB1838&lt;&gt;"",OR(AA1838=AB1838,AD1838&lt;&gt;""),IF(AE1838="HALLUCINATION",U1838&lt;&gt;"",TRUE))</x:f>
        <x:v>0</x:v>
      </x:c>
      <x:c r="AG1838" t="n">
        <x:f>--AND(N1838=1,AF1838=1,OR(AE1838="SUPPORTED",AE1838="HALLUCINATION"))</x:f>
        <x:v>0</x:v>
      </x:c>
      <x:c r="AH1838" t="n">
        <x:f>--AND(AG1838=1,AE1838="HALLUCINATION")</x:f>
        <x:v>0</x:v>
      </x:c>
      <x:c r="AI1838" t="n">
        <x:f>--AND(Q1838=1,AF1838=1,AE1838="HALLUCINATION")</x:f>
        <x:v>0</x:v>
      </x:c>
      <x:c r="AJ1838" t="n">
        <x:f>--AND(AI1838=1,R1838=1,S1838=1)</x:f>
        <x:v>0</x:v>
      </x:c>
    </x:row>
    <x:row r="1839">
      <x:c r="A1839" s="28"/>
      <x:c r="B1839" s="28"/>
      <x:c r="C1839" s="28"/>
      <x:c r="D1839" s="28"/>
      <x:c r="E1839" s="28"/>
      <x:c r="F1839" s="28"/>
      <x:c r="G1839" s="28"/>
      <x:c r="H1839" s="28"/>
      <x:c r="I1839" s="28"/>
      <x:c r="J1839" s="28"/>
      <x:c r="K1839" s="28"/>
      <x:c r="L1839" s="28"/>
      <x:c r="M1839" s="28"/>
      <x:c r="N1839" s="28"/>
      <x:c r="O1839" s="28"/>
      <x:c r="P1839" s="28"/>
      <x:c r="Q1839" s="28"/>
      <x:c r="R1839" s="28"/>
      <x:c r="S1839" s="28"/>
      <x:c r="T1839" s="28"/>
      <x:c r="U1839" s="28"/>
      <x:c r="V1839" s="28"/>
      <x:c r="W1839" s="43" t="n">
        <x:f>--AND(N1839=1,OR(O1839="SUPPORTED",O1839="HALLUCINATION"))</x:f>
        <x:v>0</x:v>
      </x:c>
      <x:c r="X1839" s="43" t="n">
        <x:f>--AND(W1839=1,O1839="HALLUCINATION")</x:f>
        <x:v>0</x:v>
      </x:c>
      <x:c r="Y1839" s="43" t="n">
        <x:f>--AND(Q1839=1,O1839="HALLUCINATION")</x:f>
        <x:v>0</x:v>
      </x:c>
      <x:c r="Z1839" s="43" t="n">
        <x:f>--AND(Y1839=1,R1839=1,S1839=1)</x:f>
        <x:v>0</x:v>
      </x:c>
      <x:c r="AC1839" t="str">
        <x:f>IF(OR(AA1839="",AB1839=""),"",--(AA1839&lt;&gt;AB1839))</x:f>
      </x:c>
      <x:c r="AE1839" t="str">
        <x:f>IF(OR(AA1839="",AB1839=""),"PENDING_HUMAN",IF(AA1839=AB1839,AA1839,IF(AD1839&lt;&gt;"",AD1839,"PENDING_HUMAN")))</x:f>
        <x:v>PENDING_HUMAN</x:v>
      </x:c>
      <x:c r="AF1839" t="n">
        <x:f>--AND(A1839&lt;&gt;"",AA1839&lt;&gt;"",AB1839&lt;&gt;"",OR(AA1839=AB1839,AD1839&lt;&gt;""),IF(AE1839="HALLUCINATION",U1839&lt;&gt;"",TRUE))</x:f>
        <x:v>0</x:v>
      </x:c>
      <x:c r="AG1839" t="n">
        <x:f>--AND(N1839=1,AF1839=1,OR(AE1839="SUPPORTED",AE1839="HALLUCINATION"))</x:f>
        <x:v>0</x:v>
      </x:c>
      <x:c r="AH1839" t="n">
        <x:f>--AND(AG1839=1,AE1839="HALLUCINATION")</x:f>
        <x:v>0</x:v>
      </x:c>
      <x:c r="AI1839" t="n">
        <x:f>--AND(Q1839=1,AF1839=1,AE1839="HALLUCINATION")</x:f>
        <x:v>0</x:v>
      </x:c>
      <x:c r="AJ1839" t="n">
        <x:f>--AND(AI1839=1,R1839=1,S1839=1)</x:f>
        <x:v>0</x:v>
      </x:c>
    </x:row>
    <x:row r="1840">
      <x:c r="A1840" s="28"/>
      <x:c r="B1840" s="28"/>
      <x:c r="C1840" s="28"/>
      <x:c r="D1840" s="28"/>
      <x:c r="E1840" s="28"/>
      <x:c r="F1840" s="28"/>
      <x:c r="G1840" s="28"/>
      <x:c r="H1840" s="28"/>
      <x:c r="I1840" s="28"/>
      <x:c r="J1840" s="28"/>
      <x:c r="K1840" s="28"/>
      <x:c r="L1840" s="28"/>
      <x:c r="M1840" s="28"/>
      <x:c r="N1840" s="28"/>
      <x:c r="O1840" s="28"/>
      <x:c r="P1840" s="28"/>
      <x:c r="Q1840" s="28"/>
      <x:c r="R1840" s="28"/>
      <x:c r="S1840" s="28"/>
      <x:c r="T1840" s="28"/>
      <x:c r="U1840" s="28"/>
      <x:c r="V1840" s="28"/>
      <x:c r="W1840" s="43" t="n">
        <x:f>--AND(N1840=1,OR(O1840="SUPPORTED",O1840="HALLUCINATION"))</x:f>
        <x:v>0</x:v>
      </x:c>
      <x:c r="X1840" s="43" t="n">
        <x:f>--AND(W1840=1,O1840="HALLUCINATION")</x:f>
        <x:v>0</x:v>
      </x:c>
      <x:c r="Y1840" s="43" t="n">
        <x:f>--AND(Q1840=1,O1840="HALLUCINATION")</x:f>
        <x:v>0</x:v>
      </x:c>
      <x:c r="Z1840" s="43" t="n">
        <x:f>--AND(Y1840=1,R1840=1,S1840=1)</x:f>
        <x:v>0</x:v>
      </x:c>
      <x:c r="AC1840" t="str">
        <x:f>IF(OR(AA1840="",AB1840=""),"",--(AA1840&lt;&gt;AB1840))</x:f>
      </x:c>
      <x:c r="AE1840" t="str">
        <x:f>IF(OR(AA1840="",AB1840=""),"PENDING_HUMAN",IF(AA1840=AB1840,AA1840,IF(AD1840&lt;&gt;"",AD1840,"PENDING_HUMAN")))</x:f>
        <x:v>PENDING_HUMAN</x:v>
      </x:c>
      <x:c r="AF1840" t="n">
        <x:f>--AND(A1840&lt;&gt;"",AA1840&lt;&gt;"",AB1840&lt;&gt;"",OR(AA1840=AB1840,AD1840&lt;&gt;""),IF(AE1840="HALLUCINATION",U1840&lt;&gt;"",TRUE))</x:f>
        <x:v>0</x:v>
      </x:c>
      <x:c r="AG1840" t="n">
        <x:f>--AND(N1840=1,AF1840=1,OR(AE1840="SUPPORTED",AE1840="HALLUCINATION"))</x:f>
        <x:v>0</x:v>
      </x:c>
      <x:c r="AH1840" t="n">
        <x:f>--AND(AG1840=1,AE1840="HALLUCINATION")</x:f>
        <x:v>0</x:v>
      </x:c>
      <x:c r="AI1840" t="n">
        <x:f>--AND(Q1840=1,AF1840=1,AE1840="HALLUCINATION")</x:f>
        <x:v>0</x:v>
      </x:c>
      <x:c r="AJ1840" t="n">
        <x:f>--AND(AI1840=1,R1840=1,S1840=1)</x:f>
        <x:v>0</x:v>
      </x:c>
    </x:row>
    <x:row r="1841">
      <x:c r="A1841" s="28"/>
      <x:c r="B1841" s="28"/>
      <x:c r="C1841" s="28"/>
      <x:c r="D1841" s="28"/>
      <x:c r="E1841" s="28"/>
      <x:c r="F1841" s="28"/>
      <x:c r="G1841" s="28"/>
      <x:c r="H1841" s="28"/>
      <x:c r="I1841" s="28"/>
      <x:c r="J1841" s="28"/>
      <x:c r="K1841" s="28"/>
      <x:c r="L1841" s="28"/>
      <x:c r="M1841" s="28"/>
      <x:c r="N1841" s="28"/>
      <x:c r="O1841" s="28"/>
      <x:c r="P1841" s="28"/>
      <x:c r="Q1841" s="28"/>
      <x:c r="R1841" s="28"/>
      <x:c r="S1841" s="28"/>
      <x:c r="T1841" s="28"/>
      <x:c r="U1841" s="28"/>
      <x:c r="V1841" s="28"/>
      <x:c r="W1841" s="43" t="n">
        <x:f>--AND(N1841=1,OR(O1841="SUPPORTED",O1841="HALLUCINATION"))</x:f>
        <x:v>0</x:v>
      </x:c>
      <x:c r="X1841" s="43" t="n">
        <x:f>--AND(W1841=1,O1841="HALLUCINATION")</x:f>
        <x:v>0</x:v>
      </x:c>
      <x:c r="Y1841" s="43" t="n">
        <x:f>--AND(Q1841=1,O1841="HALLUCINATION")</x:f>
        <x:v>0</x:v>
      </x:c>
      <x:c r="Z1841" s="43" t="n">
        <x:f>--AND(Y1841=1,R1841=1,S1841=1)</x:f>
        <x:v>0</x:v>
      </x:c>
      <x:c r="AC1841" t="str">
        <x:f>IF(OR(AA1841="",AB1841=""),"",--(AA1841&lt;&gt;AB1841))</x:f>
      </x:c>
      <x:c r="AE1841" t="str">
        <x:f>IF(OR(AA1841="",AB1841=""),"PENDING_HUMAN",IF(AA1841=AB1841,AA1841,IF(AD1841&lt;&gt;"",AD1841,"PENDING_HUMAN")))</x:f>
        <x:v>PENDING_HUMAN</x:v>
      </x:c>
      <x:c r="AF1841" t="n">
        <x:f>--AND(A1841&lt;&gt;"",AA1841&lt;&gt;"",AB1841&lt;&gt;"",OR(AA1841=AB1841,AD1841&lt;&gt;""),IF(AE1841="HALLUCINATION",U1841&lt;&gt;"",TRUE))</x:f>
        <x:v>0</x:v>
      </x:c>
      <x:c r="AG1841" t="n">
        <x:f>--AND(N1841=1,AF1841=1,OR(AE1841="SUPPORTED",AE1841="HALLUCINATION"))</x:f>
        <x:v>0</x:v>
      </x:c>
      <x:c r="AH1841" t="n">
        <x:f>--AND(AG1841=1,AE1841="HALLUCINATION")</x:f>
        <x:v>0</x:v>
      </x:c>
      <x:c r="AI1841" t="n">
        <x:f>--AND(Q1841=1,AF1841=1,AE1841="HALLUCINATION")</x:f>
        <x:v>0</x:v>
      </x:c>
      <x:c r="AJ1841" t="n">
        <x:f>--AND(AI1841=1,R1841=1,S1841=1)</x:f>
        <x:v>0</x:v>
      </x:c>
    </x:row>
    <x:row r="1842">
      <x:c r="A1842" s="28"/>
      <x:c r="B1842" s="28"/>
      <x:c r="C1842" s="28"/>
      <x:c r="D1842" s="28"/>
      <x:c r="E1842" s="28"/>
      <x:c r="F1842" s="28"/>
      <x:c r="G1842" s="28"/>
      <x:c r="H1842" s="28"/>
      <x:c r="I1842" s="28"/>
      <x:c r="J1842" s="28"/>
      <x:c r="K1842" s="28"/>
      <x:c r="L1842" s="28"/>
      <x:c r="M1842" s="28"/>
      <x:c r="N1842" s="28"/>
      <x:c r="O1842" s="28"/>
      <x:c r="P1842" s="28"/>
      <x:c r="Q1842" s="28"/>
      <x:c r="R1842" s="28"/>
      <x:c r="S1842" s="28"/>
      <x:c r="T1842" s="28"/>
      <x:c r="U1842" s="28"/>
      <x:c r="V1842" s="28"/>
      <x:c r="W1842" s="43" t="n">
        <x:f>--AND(N1842=1,OR(O1842="SUPPORTED",O1842="HALLUCINATION"))</x:f>
        <x:v>0</x:v>
      </x:c>
      <x:c r="X1842" s="43" t="n">
        <x:f>--AND(W1842=1,O1842="HALLUCINATION")</x:f>
        <x:v>0</x:v>
      </x:c>
      <x:c r="Y1842" s="43" t="n">
        <x:f>--AND(Q1842=1,O1842="HALLUCINATION")</x:f>
        <x:v>0</x:v>
      </x:c>
      <x:c r="Z1842" s="43" t="n">
        <x:f>--AND(Y1842=1,R1842=1,S1842=1)</x:f>
        <x:v>0</x:v>
      </x:c>
      <x:c r="AC1842" t="str">
        <x:f>IF(OR(AA1842="",AB1842=""),"",--(AA1842&lt;&gt;AB1842))</x:f>
      </x:c>
      <x:c r="AE1842" t="str">
        <x:f>IF(OR(AA1842="",AB1842=""),"PENDING_HUMAN",IF(AA1842=AB1842,AA1842,IF(AD1842&lt;&gt;"",AD1842,"PENDING_HUMAN")))</x:f>
        <x:v>PENDING_HUMAN</x:v>
      </x:c>
      <x:c r="AF1842" t="n">
        <x:f>--AND(A1842&lt;&gt;"",AA1842&lt;&gt;"",AB1842&lt;&gt;"",OR(AA1842=AB1842,AD1842&lt;&gt;""),IF(AE1842="HALLUCINATION",U1842&lt;&gt;"",TRUE))</x:f>
        <x:v>0</x:v>
      </x:c>
      <x:c r="AG1842" t="n">
        <x:f>--AND(N1842=1,AF1842=1,OR(AE1842="SUPPORTED",AE1842="HALLUCINATION"))</x:f>
        <x:v>0</x:v>
      </x:c>
      <x:c r="AH1842" t="n">
        <x:f>--AND(AG1842=1,AE1842="HALLUCINATION")</x:f>
        <x:v>0</x:v>
      </x:c>
      <x:c r="AI1842" t="n">
        <x:f>--AND(Q1842=1,AF1842=1,AE1842="HALLUCINATION")</x:f>
        <x:v>0</x:v>
      </x:c>
      <x:c r="AJ1842" t="n">
        <x:f>--AND(AI1842=1,R1842=1,S1842=1)</x:f>
        <x:v>0</x:v>
      </x:c>
    </x:row>
    <x:row r="1843">
      <x:c r="A1843" s="28"/>
      <x:c r="B1843" s="28"/>
      <x:c r="C1843" s="28"/>
      <x:c r="D1843" s="28"/>
      <x:c r="E1843" s="28"/>
      <x:c r="F1843" s="28"/>
      <x:c r="G1843" s="28"/>
      <x:c r="H1843" s="28"/>
      <x:c r="I1843" s="28"/>
      <x:c r="J1843" s="28"/>
      <x:c r="K1843" s="28"/>
      <x:c r="L1843" s="28"/>
      <x:c r="M1843" s="28"/>
      <x:c r="N1843" s="28"/>
      <x:c r="O1843" s="28"/>
      <x:c r="P1843" s="28"/>
      <x:c r="Q1843" s="28"/>
      <x:c r="R1843" s="28"/>
      <x:c r="S1843" s="28"/>
      <x:c r="T1843" s="28"/>
      <x:c r="U1843" s="28"/>
      <x:c r="V1843" s="28"/>
      <x:c r="W1843" s="43" t="n">
        <x:f>--AND(N1843=1,OR(O1843="SUPPORTED",O1843="HALLUCINATION"))</x:f>
        <x:v>0</x:v>
      </x:c>
      <x:c r="X1843" s="43" t="n">
        <x:f>--AND(W1843=1,O1843="HALLUCINATION")</x:f>
        <x:v>0</x:v>
      </x:c>
      <x:c r="Y1843" s="43" t="n">
        <x:f>--AND(Q1843=1,O1843="HALLUCINATION")</x:f>
        <x:v>0</x:v>
      </x:c>
      <x:c r="Z1843" s="43" t="n">
        <x:f>--AND(Y1843=1,R1843=1,S1843=1)</x:f>
        <x:v>0</x:v>
      </x:c>
      <x:c r="AC1843" t="str">
        <x:f>IF(OR(AA1843="",AB1843=""),"",--(AA1843&lt;&gt;AB1843))</x:f>
      </x:c>
      <x:c r="AE1843" t="str">
        <x:f>IF(OR(AA1843="",AB1843=""),"PENDING_HUMAN",IF(AA1843=AB1843,AA1843,IF(AD1843&lt;&gt;"",AD1843,"PENDING_HUMAN")))</x:f>
        <x:v>PENDING_HUMAN</x:v>
      </x:c>
      <x:c r="AF1843" t="n">
        <x:f>--AND(A1843&lt;&gt;"",AA1843&lt;&gt;"",AB1843&lt;&gt;"",OR(AA1843=AB1843,AD1843&lt;&gt;""),IF(AE1843="HALLUCINATION",U1843&lt;&gt;"",TRUE))</x:f>
        <x:v>0</x:v>
      </x:c>
      <x:c r="AG1843" t="n">
        <x:f>--AND(N1843=1,AF1843=1,OR(AE1843="SUPPORTED",AE1843="HALLUCINATION"))</x:f>
        <x:v>0</x:v>
      </x:c>
      <x:c r="AH1843" t="n">
        <x:f>--AND(AG1843=1,AE1843="HALLUCINATION")</x:f>
        <x:v>0</x:v>
      </x:c>
      <x:c r="AI1843" t="n">
        <x:f>--AND(Q1843=1,AF1843=1,AE1843="HALLUCINATION")</x:f>
        <x:v>0</x:v>
      </x:c>
      <x:c r="AJ1843" t="n">
        <x:f>--AND(AI1843=1,R1843=1,S1843=1)</x:f>
        <x:v>0</x:v>
      </x:c>
    </x:row>
    <x:row r="1844">
      <x:c r="A1844" s="28"/>
      <x:c r="B1844" s="28"/>
      <x:c r="C1844" s="28"/>
      <x:c r="D1844" s="28"/>
      <x:c r="E1844" s="28"/>
      <x:c r="F1844" s="28"/>
      <x:c r="G1844" s="28"/>
      <x:c r="H1844" s="28"/>
      <x:c r="I1844" s="28"/>
      <x:c r="J1844" s="28"/>
      <x:c r="K1844" s="28"/>
      <x:c r="L1844" s="28"/>
      <x:c r="M1844" s="28"/>
      <x:c r="N1844" s="28"/>
      <x:c r="O1844" s="28"/>
      <x:c r="P1844" s="28"/>
      <x:c r="Q1844" s="28"/>
      <x:c r="R1844" s="28"/>
      <x:c r="S1844" s="28"/>
      <x:c r="T1844" s="28"/>
      <x:c r="U1844" s="28"/>
      <x:c r="V1844" s="28"/>
      <x:c r="W1844" s="43" t="n">
        <x:f>--AND(N1844=1,OR(O1844="SUPPORTED",O1844="HALLUCINATION"))</x:f>
        <x:v>0</x:v>
      </x:c>
      <x:c r="X1844" s="43" t="n">
        <x:f>--AND(W1844=1,O1844="HALLUCINATION")</x:f>
        <x:v>0</x:v>
      </x:c>
      <x:c r="Y1844" s="43" t="n">
        <x:f>--AND(Q1844=1,O1844="HALLUCINATION")</x:f>
        <x:v>0</x:v>
      </x:c>
      <x:c r="Z1844" s="43" t="n">
        <x:f>--AND(Y1844=1,R1844=1,S1844=1)</x:f>
        <x:v>0</x:v>
      </x:c>
      <x:c r="AC1844" t="str">
        <x:f>IF(OR(AA1844="",AB1844=""),"",--(AA1844&lt;&gt;AB1844))</x:f>
      </x:c>
      <x:c r="AE1844" t="str">
        <x:f>IF(OR(AA1844="",AB1844=""),"PENDING_HUMAN",IF(AA1844=AB1844,AA1844,IF(AD1844&lt;&gt;"",AD1844,"PENDING_HUMAN")))</x:f>
        <x:v>PENDING_HUMAN</x:v>
      </x:c>
      <x:c r="AF1844" t="n">
        <x:f>--AND(A1844&lt;&gt;"",AA1844&lt;&gt;"",AB1844&lt;&gt;"",OR(AA1844=AB1844,AD1844&lt;&gt;""),IF(AE1844="HALLUCINATION",U1844&lt;&gt;"",TRUE))</x:f>
        <x:v>0</x:v>
      </x:c>
      <x:c r="AG1844" t="n">
        <x:f>--AND(N1844=1,AF1844=1,OR(AE1844="SUPPORTED",AE1844="HALLUCINATION"))</x:f>
        <x:v>0</x:v>
      </x:c>
      <x:c r="AH1844" t="n">
        <x:f>--AND(AG1844=1,AE1844="HALLUCINATION")</x:f>
        <x:v>0</x:v>
      </x:c>
      <x:c r="AI1844" t="n">
        <x:f>--AND(Q1844=1,AF1844=1,AE1844="HALLUCINATION")</x:f>
        <x:v>0</x:v>
      </x:c>
      <x:c r="AJ1844" t="n">
        <x:f>--AND(AI1844=1,R1844=1,S1844=1)</x:f>
        <x:v>0</x:v>
      </x:c>
    </x:row>
    <x:row r="1845">
      <x:c r="A1845" s="28"/>
      <x:c r="B1845" s="28"/>
      <x:c r="C1845" s="28"/>
      <x:c r="D1845" s="28"/>
      <x:c r="E1845" s="28"/>
      <x:c r="F1845" s="28"/>
      <x:c r="G1845" s="28"/>
      <x:c r="H1845" s="28"/>
      <x:c r="I1845" s="28"/>
      <x:c r="J1845" s="28"/>
      <x:c r="K1845" s="28"/>
      <x:c r="L1845" s="28"/>
      <x:c r="M1845" s="28"/>
      <x:c r="N1845" s="28"/>
      <x:c r="O1845" s="28"/>
      <x:c r="P1845" s="28"/>
      <x:c r="Q1845" s="28"/>
      <x:c r="R1845" s="28"/>
      <x:c r="S1845" s="28"/>
      <x:c r="T1845" s="28"/>
      <x:c r="U1845" s="28"/>
      <x:c r="V1845" s="28"/>
      <x:c r="W1845" s="43" t="n">
        <x:f>--AND(N1845=1,OR(O1845="SUPPORTED",O1845="HALLUCINATION"))</x:f>
        <x:v>0</x:v>
      </x:c>
      <x:c r="X1845" s="43" t="n">
        <x:f>--AND(W1845=1,O1845="HALLUCINATION")</x:f>
        <x:v>0</x:v>
      </x:c>
      <x:c r="Y1845" s="43" t="n">
        <x:f>--AND(Q1845=1,O1845="HALLUCINATION")</x:f>
        <x:v>0</x:v>
      </x:c>
      <x:c r="Z1845" s="43" t="n">
        <x:f>--AND(Y1845=1,R1845=1,S1845=1)</x:f>
        <x:v>0</x:v>
      </x:c>
      <x:c r="AC1845" t="str">
        <x:f>IF(OR(AA1845="",AB1845=""),"",--(AA1845&lt;&gt;AB1845))</x:f>
      </x:c>
      <x:c r="AE1845" t="str">
        <x:f>IF(OR(AA1845="",AB1845=""),"PENDING_HUMAN",IF(AA1845=AB1845,AA1845,IF(AD1845&lt;&gt;"",AD1845,"PENDING_HUMAN")))</x:f>
        <x:v>PENDING_HUMAN</x:v>
      </x:c>
      <x:c r="AF1845" t="n">
        <x:f>--AND(A1845&lt;&gt;"",AA1845&lt;&gt;"",AB1845&lt;&gt;"",OR(AA1845=AB1845,AD1845&lt;&gt;""),IF(AE1845="HALLUCINATION",U1845&lt;&gt;"",TRUE))</x:f>
        <x:v>0</x:v>
      </x:c>
      <x:c r="AG1845" t="n">
        <x:f>--AND(N1845=1,AF1845=1,OR(AE1845="SUPPORTED",AE1845="HALLUCINATION"))</x:f>
        <x:v>0</x:v>
      </x:c>
      <x:c r="AH1845" t="n">
        <x:f>--AND(AG1845=1,AE1845="HALLUCINATION")</x:f>
        <x:v>0</x:v>
      </x:c>
      <x:c r="AI1845" t="n">
        <x:f>--AND(Q1845=1,AF1845=1,AE1845="HALLUCINATION")</x:f>
        <x:v>0</x:v>
      </x:c>
      <x:c r="AJ1845" t="n">
        <x:f>--AND(AI1845=1,R1845=1,S1845=1)</x:f>
        <x:v>0</x:v>
      </x:c>
    </x:row>
    <x:row r="1846">
      <x:c r="A1846" s="28"/>
      <x:c r="B1846" s="28"/>
      <x:c r="C1846" s="28"/>
      <x:c r="D1846" s="28"/>
      <x:c r="E1846" s="28"/>
      <x:c r="F1846" s="28"/>
      <x:c r="G1846" s="28"/>
      <x:c r="H1846" s="28"/>
      <x:c r="I1846" s="28"/>
      <x:c r="J1846" s="28"/>
      <x:c r="K1846" s="28"/>
      <x:c r="L1846" s="28"/>
      <x:c r="M1846" s="28"/>
      <x:c r="N1846" s="28"/>
      <x:c r="O1846" s="28"/>
      <x:c r="P1846" s="28"/>
      <x:c r="Q1846" s="28"/>
      <x:c r="R1846" s="28"/>
      <x:c r="S1846" s="28"/>
      <x:c r="T1846" s="28"/>
      <x:c r="U1846" s="28"/>
      <x:c r="V1846" s="28"/>
      <x:c r="W1846" s="43" t="n">
        <x:f>--AND(N1846=1,OR(O1846="SUPPORTED",O1846="HALLUCINATION"))</x:f>
        <x:v>0</x:v>
      </x:c>
      <x:c r="X1846" s="43" t="n">
        <x:f>--AND(W1846=1,O1846="HALLUCINATION")</x:f>
        <x:v>0</x:v>
      </x:c>
      <x:c r="Y1846" s="43" t="n">
        <x:f>--AND(Q1846=1,O1846="HALLUCINATION")</x:f>
        <x:v>0</x:v>
      </x:c>
      <x:c r="Z1846" s="43" t="n">
        <x:f>--AND(Y1846=1,R1846=1,S1846=1)</x:f>
        <x:v>0</x:v>
      </x:c>
      <x:c r="AC1846" t="str">
        <x:f>IF(OR(AA1846="",AB1846=""),"",--(AA1846&lt;&gt;AB1846))</x:f>
      </x:c>
      <x:c r="AE1846" t="str">
        <x:f>IF(OR(AA1846="",AB1846=""),"PENDING_HUMAN",IF(AA1846=AB1846,AA1846,IF(AD1846&lt;&gt;"",AD1846,"PENDING_HUMAN")))</x:f>
        <x:v>PENDING_HUMAN</x:v>
      </x:c>
      <x:c r="AF1846" t="n">
        <x:f>--AND(A1846&lt;&gt;"",AA1846&lt;&gt;"",AB1846&lt;&gt;"",OR(AA1846=AB1846,AD1846&lt;&gt;""),IF(AE1846="HALLUCINATION",U1846&lt;&gt;"",TRUE))</x:f>
        <x:v>0</x:v>
      </x:c>
      <x:c r="AG1846" t="n">
        <x:f>--AND(N1846=1,AF1846=1,OR(AE1846="SUPPORTED",AE1846="HALLUCINATION"))</x:f>
        <x:v>0</x:v>
      </x:c>
      <x:c r="AH1846" t="n">
        <x:f>--AND(AG1846=1,AE1846="HALLUCINATION")</x:f>
        <x:v>0</x:v>
      </x:c>
      <x:c r="AI1846" t="n">
        <x:f>--AND(Q1846=1,AF1846=1,AE1846="HALLUCINATION")</x:f>
        <x:v>0</x:v>
      </x:c>
      <x:c r="AJ1846" t="n">
        <x:f>--AND(AI1846=1,R1846=1,S1846=1)</x:f>
        <x:v>0</x:v>
      </x:c>
    </x:row>
    <x:row r="1847">
      <x:c r="A1847" s="28"/>
      <x:c r="B1847" s="28"/>
      <x:c r="C1847" s="28"/>
      <x:c r="D1847" s="28"/>
      <x:c r="E1847" s="28"/>
      <x:c r="F1847" s="28"/>
      <x:c r="G1847" s="28"/>
      <x:c r="H1847" s="28"/>
      <x:c r="I1847" s="28"/>
      <x:c r="J1847" s="28"/>
      <x:c r="K1847" s="28"/>
      <x:c r="L1847" s="28"/>
      <x:c r="M1847" s="28"/>
      <x:c r="N1847" s="28"/>
      <x:c r="O1847" s="28"/>
      <x:c r="P1847" s="28"/>
      <x:c r="Q1847" s="28"/>
      <x:c r="R1847" s="28"/>
      <x:c r="S1847" s="28"/>
      <x:c r="T1847" s="28"/>
      <x:c r="U1847" s="28"/>
      <x:c r="V1847" s="28"/>
      <x:c r="W1847" s="43" t="n">
        <x:f>--AND(N1847=1,OR(O1847="SUPPORTED",O1847="HALLUCINATION"))</x:f>
        <x:v>0</x:v>
      </x:c>
      <x:c r="X1847" s="43" t="n">
        <x:f>--AND(W1847=1,O1847="HALLUCINATION")</x:f>
        <x:v>0</x:v>
      </x:c>
      <x:c r="Y1847" s="43" t="n">
        <x:f>--AND(Q1847=1,O1847="HALLUCINATION")</x:f>
        <x:v>0</x:v>
      </x:c>
      <x:c r="Z1847" s="43" t="n">
        <x:f>--AND(Y1847=1,R1847=1,S1847=1)</x:f>
        <x:v>0</x:v>
      </x:c>
      <x:c r="AC1847" t="str">
        <x:f>IF(OR(AA1847="",AB1847=""),"",--(AA1847&lt;&gt;AB1847))</x:f>
      </x:c>
      <x:c r="AE1847" t="str">
        <x:f>IF(OR(AA1847="",AB1847=""),"PENDING_HUMAN",IF(AA1847=AB1847,AA1847,IF(AD1847&lt;&gt;"",AD1847,"PENDING_HUMAN")))</x:f>
        <x:v>PENDING_HUMAN</x:v>
      </x:c>
      <x:c r="AF1847" t="n">
        <x:f>--AND(A1847&lt;&gt;"",AA1847&lt;&gt;"",AB1847&lt;&gt;"",OR(AA1847=AB1847,AD1847&lt;&gt;""),IF(AE1847="HALLUCINATION",U1847&lt;&gt;"",TRUE))</x:f>
        <x:v>0</x:v>
      </x:c>
      <x:c r="AG1847" t="n">
        <x:f>--AND(N1847=1,AF1847=1,OR(AE1847="SUPPORTED",AE1847="HALLUCINATION"))</x:f>
        <x:v>0</x:v>
      </x:c>
      <x:c r="AH1847" t="n">
        <x:f>--AND(AG1847=1,AE1847="HALLUCINATION")</x:f>
        <x:v>0</x:v>
      </x:c>
      <x:c r="AI1847" t="n">
        <x:f>--AND(Q1847=1,AF1847=1,AE1847="HALLUCINATION")</x:f>
        <x:v>0</x:v>
      </x:c>
      <x:c r="AJ1847" t="n">
        <x:f>--AND(AI1847=1,R1847=1,S1847=1)</x:f>
        <x:v>0</x:v>
      </x:c>
    </x:row>
    <x:row r="1848">
      <x:c r="A1848" s="28"/>
      <x:c r="B1848" s="28"/>
      <x:c r="C1848" s="28"/>
      <x:c r="D1848" s="28"/>
      <x:c r="E1848" s="28"/>
      <x:c r="F1848" s="28"/>
      <x:c r="G1848" s="28"/>
      <x:c r="H1848" s="28"/>
      <x:c r="I1848" s="28"/>
      <x:c r="J1848" s="28"/>
      <x:c r="K1848" s="28"/>
      <x:c r="L1848" s="28"/>
      <x:c r="M1848" s="28"/>
      <x:c r="N1848" s="28"/>
      <x:c r="O1848" s="28"/>
      <x:c r="P1848" s="28"/>
      <x:c r="Q1848" s="28"/>
      <x:c r="R1848" s="28"/>
      <x:c r="S1848" s="28"/>
      <x:c r="T1848" s="28"/>
      <x:c r="U1848" s="28"/>
      <x:c r="V1848" s="28"/>
      <x:c r="W1848" s="43" t="n">
        <x:f>--AND(N1848=1,OR(O1848="SUPPORTED",O1848="HALLUCINATION"))</x:f>
        <x:v>0</x:v>
      </x:c>
      <x:c r="X1848" s="43" t="n">
        <x:f>--AND(W1848=1,O1848="HALLUCINATION")</x:f>
        <x:v>0</x:v>
      </x:c>
      <x:c r="Y1848" s="43" t="n">
        <x:f>--AND(Q1848=1,O1848="HALLUCINATION")</x:f>
        <x:v>0</x:v>
      </x:c>
      <x:c r="Z1848" s="43" t="n">
        <x:f>--AND(Y1848=1,R1848=1,S1848=1)</x:f>
        <x:v>0</x:v>
      </x:c>
      <x:c r="AC1848" t="str">
        <x:f>IF(OR(AA1848="",AB1848=""),"",--(AA1848&lt;&gt;AB1848))</x:f>
      </x:c>
      <x:c r="AE1848" t="str">
        <x:f>IF(OR(AA1848="",AB1848=""),"PENDING_HUMAN",IF(AA1848=AB1848,AA1848,IF(AD1848&lt;&gt;"",AD1848,"PENDING_HUMAN")))</x:f>
        <x:v>PENDING_HUMAN</x:v>
      </x:c>
      <x:c r="AF1848" t="n">
        <x:f>--AND(A1848&lt;&gt;"",AA1848&lt;&gt;"",AB1848&lt;&gt;"",OR(AA1848=AB1848,AD1848&lt;&gt;""),IF(AE1848="HALLUCINATION",U1848&lt;&gt;"",TRUE))</x:f>
        <x:v>0</x:v>
      </x:c>
      <x:c r="AG1848" t="n">
        <x:f>--AND(N1848=1,AF1848=1,OR(AE1848="SUPPORTED",AE1848="HALLUCINATION"))</x:f>
        <x:v>0</x:v>
      </x:c>
      <x:c r="AH1848" t="n">
        <x:f>--AND(AG1848=1,AE1848="HALLUCINATION")</x:f>
        <x:v>0</x:v>
      </x:c>
      <x:c r="AI1848" t="n">
        <x:f>--AND(Q1848=1,AF1848=1,AE1848="HALLUCINATION")</x:f>
        <x:v>0</x:v>
      </x:c>
      <x:c r="AJ1848" t="n">
        <x:f>--AND(AI1848=1,R1848=1,S1848=1)</x:f>
        <x:v>0</x:v>
      </x:c>
    </x:row>
    <x:row r="1849">
      <x:c r="A1849" s="28"/>
      <x:c r="B1849" s="28"/>
      <x:c r="C1849" s="28"/>
      <x:c r="D1849" s="28"/>
      <x:c r="E1849" s="28"/>
      <x:c r="F1849" s="28"/>
      <x:c r="G1849" s="28"/>
      <x:c r="H1849" s="28"/>
      <x:c r="I1849" s="28"/>
      <x:c r="J1849" s="28"/>
      <x:c r="K1849" s="28"/>
      <x:c r="L1849" s="28"/>
      <x:c r="M1849" s="28"/>
      <x:c r="N1849" s="28"/>
      <x:c r="O1849" s="28"/>
      <x:c r="P1849" s="28"/>
      <x:c r="Q1849" s="28"/>
      <x:c r="R1849" s="28"/>
      <x:c r="S1849" s="28"/>
      <x:c r="T1849" s="28"/>
      <x:c r="U1849" s="28"/>
      <x:c r="V1849" s="28"/>
      <x:c r="W1849" s="43" t="n">
        <x:f>--AND(N1849=1,OR(O1849="SUPPORTED",O1849="HALLUCINATION"))</x:f>
        <x:v>0</x:v>
      </x:c>
      <x:c r="X1849" s="43" t="n">
        <x:f>--AND(W1849=1,O1849="HALLUCINATION")</x:f>
        <x:v>0</x:v>
      </x:c>
      <x:c r="Y1849" s="43" t="n">
        <x:f>--AND(Q1849=1,O1849="HALLUCINATION")</x:f>
        <x:v>0</x:v>
      </x:c>
      <x:c r="Z1849" s="43" t="n">
        <x:f>--AND(Y1849=1,R1849=1,S1849=1)</x:f>
        <x:v>0</x:v>
      </x:c>
      <x:c r="AC1849" t="str">
        <x:f>IF(OR(AA1849="",AB1849=""),"",--(AA1849&lt;&gt;AB1849))</x:f>
      </x:c>
      <x:c r="AE1849" t="str">
        <x:f>IF(OR(AA1849="",AB1849=""),"PENDING_HUMAN",IF(AA1849=AB1849,AA1849,IF(AD1849&lt;&gt;"",AD1849,"PENDING_HUMAN")))</x:f>
        <x:v>PENDING_HUMAN</x:v>
      </x:c>
      <x:c r="AF1849" t="n">
        <x:f>--AND(A1849&lt;&gt;"",AA1849&lt;&gt;"",AB1849&lt;&gt;"",OR(AA1849=AB1849,AD1849&lt;&gt;""),IF(AE1849="HALLUCINATION",U1849&lt;&gt;"",TRUE))</x:f>
        <x:v>0</x:v>
      </x:c>
      <x:c r="AG1849" t="n">
        <x:f>--AND(N1849=1,AF1849=1,OR(AE1849="SUPPORTED",AE1849="HALLUCINATION"))</x:f>
        <x:v>0</x:v>
      </x:c>
      <x:c r="AH1849" t="n">
        <x:f>--AND(AG1849=1,AE1849="HALLUCINATION")</x:f>
        <x:v>0</x:v>
      </x:c>
      <x:c r="AI1849" t="n">
        <x:f>--AND(Q1849=1,AF1849=1,AE1849="HALLUCINATION")</x:f>
        <x:v>0</x:v>
      </x:c>
      <x:c r="AJ1849" t="n">
        <x:f>--AND(AI1849=1,R1849=1,S1849=1)</x:f>
        <x:v>0</x:v>
      </x:c>
    </x:row>
    <x:row r="1850">
      <x:c r="A1850" s="28"/>
      <x:c r="B1850" s="28"/>
      <x:c r="C1850" s="28"/>
      <x:c r="D1850" s="28"/>
      <x:c r="E1850" s="28"/>
      <x:c r="F1850" s="28"/>
      <x:c r="G1850" s="28"/>
      <x:c r="H1850" s="28"/>
      <x:c r="I1850" s="28"/>
      <x:c r="J1850" s="28"/>
      <x:c r="K1850" s="28"/>
      <x:c r="L1850" s="28"/>
      <x:c r="M1850" s="28"/>
      <x:c r="N1850" s="28"/>
      <x:c r="O1850" s="28"/>
      <x:c r="P1850" s="28"/>
      <x:c r="Q1850" s="28"/>
      <x:c r="R1850" s="28"/>
      <x:c r="S1850" s="28"/>
      <x:c r="T1850" s="28"/>
      <x:c r="U1850" s="28"/>
      <x:c r="V1850" s="28"/>
      <x:c r="W1850" s="43" t="n">
        <x:f>--AND(N1850=1,OR(O1850="SUPPORTED",O1850="HALLUCINATION"))</x:f>
        <x:v>0</x:v>
      </x:c>
      <x:c r="X1850" s="43" t="n">
        <x:f>--AND(W1850=1,O1850="HALLUCINATION")</x:f>
        <x:v>0</x:v>
      </x:c>
      <x:c r="Y1850" s="43" t="n">
        <x:f>--AND(Q1850=1,O1850="HALLUCINATION")</x:f>
        <x:v>0</x:v>
      </x:c>
      <x:c r="Z1850" s="43" t="n">
        <x:f>--AND(Y1850=1,R1850=1,S1850=1)</x:f>
        <x:v>0</x:v>
      </x:c>
      <x:c r="AC1850" t="str">
        <x:f>IF(OR(AA1850="",AB1850=""),"",--(AA1850&lt;&gt;AB1850))</x:f>
      </x:c>
      <x:c r="AE1850" t="str">
        <x:f>IF(OR(AA1850="",AB1850=""),"PENDING_HUMAN",IF(AA1850=AB1850,AA1850,IF(AD1850&lt;&gt;"",AD1850,"PENDING_HUMAN")))</x:f>
        <x:v>PENDING_HUMAN</x:v>
      </x:c>
      <x:c r="AF1850" t="n">
        <x:f>--AND(A1850&lt;&gt;"",AA1850&lt;&gt;"",AB1850&lt;&gt;"",OR(AA1850=AB1850,AD1850&lt;&gt;""),IF(AE1850="HALLUCINATION",U1850&lt;&gt;"",TRUE))</x:f>
        <x:v>0</x:v>
      </x:c>
      <x:c r="AG1850" t="n">
        <x:f>--AND(N1850=1,AF1850=1,OR(AE1850="SUPPORTED",AE1850="HALLUCINATION"))</x:f>
        <x:v>0</x:v>
      </x:c>
      <x:c r="AH1850" t="n">
        <x:f>--AND(AG1850=1,AE1850="HALLUCINATION")</x:f>
        <x:v>0</x:v>
      </x:c>
      <x:c r="AI1850" t="n">
        <x:f>--AND(Q1850=1,AF1850=1,AE1850="HALLUCINATION")</x:f>
        <x:v>0</x:v>
      </x:c>
      <x:c r="AJ1850" t="n">
        <x:f>--AND(AI1850=1,R1850=1,S1850=1)</x:f>
        <x:v>0</x:v>
      </x:c>
    </x:row>
    <x:row r="1851">
      <x:c r="A1851" s="28"/>
      <x:c r="B1851" s="28"/>
      <x:c r="C1851" s="28"/>
      <x:c r="D1851" s="28"/>
      <x:c r="E1851" s="28"/>
      <x:c r="F1851" s="28"/>
      <x:c r="G1851" s="28"/>
      <x:c r="H1851" s="28"/>
      <x:c r="I1851" s="28"/>
      <x:c r="J1851" s="28"/>
      <x:c r="K1851" s="28"/>
      <x:c r="L1851" s="28"/>
      <x:c r="M1851" s="28"/>
      <x:c r="N1851" s="28"/>
      <x:c r="O1851" s="28"/>
      <x:c r="P1851" s="28"/>
      <x:c r="Q1851" s="28"/>
      <x:c r="R1851" s="28"/>
      <x:c r="S1851" s="28"/>
      <x:c r="T1851" s="28"/>
      <x:c r="U1851" s="28"/>
      <x:c r="V1851" s="28"/>
      <x:c r="W1851" s="43" t="n">
        <x:f>--AND(N1851=1,OR(O1851="SUPPORTED",O1851="HALLUCINATION"))</x:f>
        <x:v>0</x:v>
      </x:c>
      <x:c r="X1851" s="43" t="n">
        <x:f>--AND(W1851=1,O1851="HALLUCINATION")</x:f>
        <x:v>0</x:v>
      </x:c>
      <x:c r="Y1851" s="43" t="n">
        <x:f>--AND(Q1851=1,O1851="HALLUCINATION")</x:f>
        <x:v>0</x:v>
      </x:c>
      <x:c r="Z1851" s="43" t="n">
        <x:f>--AND(Y1851=1,R1851=1,S1851=1)</x:f>
        <x:v>0</x:v>
      </x:c>
      <x:c r="AC1851" t="str">
        <x:f>IF(OR(AA1851="",AB1851=""),"",--(AA1851&lt;&gt;AB1851))</x:f>
      </x:c>
      <x:c r="AE1851" t="str">
        <x:f>IF(OR(AA1851="",AB1851=""),"PENDING_HUMAN",IF(AA1851=AB1851,AA1851,IF(AD1851&lt;&gt;"",AD1851,"PENDING_HUMAN")))</x:f>
        <x:v>PENDING_HUMAN</x:v>
      </x:c>
      <x:c r="AF1851" t="n">
        <x:f>--AND(A1851&lt;&gt;"",AA1851&lt;&gt;"",AB1851&lt;&gt;"",OR(AA1851=AB1851,AD1851&lt;&gt;""),IF(AE1851="HALLUCINATION",U1851&lt;&gt;"",TRUE))</x:f>
        <x:v>0</x:v>
      </x:c>
      <x:c r="AG1851" t="n">
        <x:f>--AND(N1851=1,AF1851=1,OR(AE1851="SUPPORTED",AE1851="HALLUCINATION"))</x:f>
        <x:v>0</x:v>
      </x:c>
      <x:c r="AH1851" t="n">
        <x:f>--AND(AG1851=1,AE1851="HALLUCINATION")</x:f>
        <x:v>0</x:v>
      </x:c>
      <x:c r="AI1851" t="n">
        <x:f>--AND(Q1851=1,AF1851=1,AE1851="HALLUCINATION")</x:f>
        <x:v>0</x:v>
      </x:c>
      <x:c r="AJ1851" t="n">
        <x:f>--AND(AI1851=1,R1851=1,S1851=1)</x:f>
        <x:v>0</x:v>
      </x:c>
    </x:row>
    <x:row r="1852">
      <x:c r="A1852" s="28"/>
      <x:c r="B1852" s="28"/>
      <x:c r="C1852" s="28"/>
      <x:c r="D1852" s="28"/>
      <x:c r="E1852" s="28"/>
      <x:c r="F1852" s="28"/>
      <x:c r="G1852" s="28"/>
      <x:c r="H1852" s="28"/>
      <x:c r="I1852" s="28"/>
      <x:c r="J1852" s="28"/>
      <x:c r="K1852" s="28"/>
      <x:c r="L1852" s="28"/>
      <x:c r="M1852" s="28"/>
      <x:c r="N1852" s="28"/>
      <x:c r="O1852" s="28"/>
      <x:c r="P1852" s="28"/>
      <x:c r="Q1852" s="28"/>
      <x:c r="R1852" s="28"/>
      <x:c r="S1852" s="28"/>
      <x:c r="T1852" s="28"/>
      <x:c r="U1852" s="28"/>
      <x:c r="V1852" s="28"/>
      <x:c r="W1852" s="43" t="n">
        <x:f>--AND(N1852=1,OR(O1852="SUPPORTED",O1852="HALLUCINATION"))</x:f>
        <x:v>0</x:v>
      </x:c>
      <x:c r="X1852" s="43" t="n">
        <x:f>--AND(W1852=1,O1852="HALLUCINATION")</x:f>
        <x:v>0</x:v>
      </x:c>
      <x:c r="Y1852" s="43" t="n">
        <x:f>--AND(Q1852=1,O1852="HALLUCINATION")</x:f>
        <x:v>0</x:v>
      </x:c>
      <x:c r="Z1852" s="43" t="n">
        <x:f>--AND(Y1852=1,R1852=1,S1852=1)</x:f>
        <x:v>0</x:v>
      </x:c>
      <x:c r="AC1852" t="str">
        <x:f>IF(OR(AA1852="",AB1852=""),"",--(AA1852&lt;&gt;AB1852))</x:f>
      </x:c>
      <x:c r="AE1852" t="str">
        <x:f>IF(OR(AA1852="",AB1852=""),"PENDING_HUMAN",IF(AA1852=AB1852,AA1852,IF(AD1852&lt;&gt;"",AD1852,"PENDING_HUMAN")))</x:f>
        <x:v>PENDING_HUMAN</x:v>
      </x:c>
      <x:c r="AF1852" t="n">
        <x:f>--AND(A1852&lt;&gt;"",AA1852&lt;&gt;"",AB1852&lt;&gt;"",OR(AA1852=AB1852,AD1852&lt;&gt;""),IF(AE1852="HALLUCINATION",U1852&lt;&gt;"",TRUE))</x:f>
        <x:v>0</x:v>
      </x:c>
      <x:c r="AG1852" t="n">
        <x:f>--AND(N1852=1,AF1852=1,OR(AE1852="SUPPORTED",AE1852="HALLUCINATION"))</x:f>
        <x:v>0</x:v>
      </x:c>
      <x:c r="AH1852" t="n">
        <x:f>--AND(AG1852=1,AE1852="HALLUCINATION")</x:f>
        <x:v>0</x:v>
      </x:c>
      <x:c r="AI1852" t="n">
        <x:f>--AND(Q1852=1,AF1852=1,AE1852="HALLUCINATION")</x:f>
        <x:v>0</x:v>
      </x:c>
      <x:c r="AJ1852" t="n">
        <x:f>--AND(AI1852=1,R1852=1,S1852=1)</x:f>
        <x:v>0</x:v>
      </x:c>
    </x:row>
    <x:row r="1853">
      <x:c r="A1853" s="28"/>
      <x:c r="B1853" s="28"/>
      <x:c r="C1853" s="28"/>
      <x:c r="D1853" s="28"/>
      <x:c r="E1853" s="28"/>
      <x:c r="F1853" s="28"/>
      <x:c r="G1853" s="28"/>
      <x:c r="H1853" s="28"/>
      <x:c r="I1853" s="28"/>
      <x:c r="J1853" s="28"/>
      <x:c r="K1853" s="28"/>
      <x:c r="L1853" s="28"/>
      <x:c r="M1853" s="28"/>
      <x:c r="N1853" s="28"/>
      <x:c r="O1853" s="28"/>
      <x:c r="P1853" s="28"/>
      <x:c r="Q1853" s="28"/>
      <x:c r="R1853" s="28"/>
      <x:c r="S1853" s="28"/>
      <x:c r="T1853" s="28"/>
      <x:c r="U1853" s="28"/>
      <x:c r="V1853" s="28"/>
      <x:c r="W1853" s="43" t="n">
        <x:f>--AND(N1853=1,OR(O1853="SUPPORTED",O1853="HALLUCINATION"))</x:f>
        <x:v>0</x:v>
      </x:c>
      <x:c r="X1853" s="43" t="n">
        <x:f>--AND(W1853=1,O1853="HALLUCINATION")</x:f>
        <x:v>0</x:v>
      </x:c>
      <x:c r="Y1853" s="43" t="n">
        <x:f>--AND(Q1853=1,O1853="HALLUCINATION")</x:f>
        <x:v>0</x:v>
      </x:c>
      <x:c r="Z1853" s="43" t="n">
        <x:f>--AND(Y1853=1,R1853=1,S1853=1)</x:f>
        <x:v>0</x:v>
      </x:c>
      <x:c r="AC1853" t="str">
        <x:f>IF(OR(AA1853="",AB1853=""),"",--(AA1853&lt;&gt;AB1853))</x:f>
      </x:c>
      <x:c r="AE1853" t="str">
        <x:f>IF(OR(AA1853="",AB1853=""),"PENDING_HUMAN",IF(AA1853=AB1853,AA1853,IF(AD1853&lt;&gt;"",AD1853,"PENDING_HUMAN")))</x:f>
        <x:v>PENDING_HUMAN</x:v>
      </x:c>
      <x:c r="AF1853" t="n">
        <x:f>--AND(A1853&lt;&gt;"",AA1853&lt;&gt;"",AB1853&lt;&gt;"",OR(AA1853=AB1853,AD1853&lt;&gt;""),IF(AE1853="HALLUCINATION",U1853&lt;&gt;"",TRUE))</x:f>
        <x:v>0</x:v>
      </x:c>
      <x:c r="AG1853" t="n">
        <x:f>--AND(N1853=1,AF1853=1,OR(AE1853="SUPPORTED",AE1853="HALLUCINATION"))</x:f>
        <x:v>0</x:v>
      </x:c>
      <x:c r="AH1853" t="n">
        <x:f>--AND(AG1853=1,AE1853="HALLUCINATION")</x:f>
        <x:v>0</x:v>
      </x:c>
      <x:c r="AI1853" t="n">
        <x:f>--AND(Q1853=1,AF1853=1,AE1853="HALLUCINATION")</x:f>
        <x:v>0</x:v>
      </x:c>
      <x:c r="AJ1853" t="n">
        <x:f>--AND(AI1853=1,R1853=1,S1853=1)</x:f>
        <x:v>0</x:v>
      </x:c>
    </x:row>
    <x:row r="1854">
      <x:c r="A1854" s="28"/>
      <x:c r="B1854" s="28"/>
      <x:c r="C1854" s="28"/>
      <x:c r="D1854" s="28"/>
      <x:c r="E1854" s="28"/>
      <x:c r="F1854" s="28"/>
      <x:c r="G1854" s="28"/>
      <x:c r="H1854" s="28"/>
      <x:c r="I1854" s="28"/>
      <x:c r="J1854" s="28"/>
      <x:c r="K1854" s="28"/>
      <x:c r="L1854" s="28"/>
      <x:c r="M1854" s="28"/>
      <x:c r="N1854" s="28"/>
      <x:c r="O1854" s="28"/>
      <x:c r="P1854" s="28"/>
      <x:c r="Q1854" s="28"/>
      <x:c r="R1854" s="28"/>
      <x:c r="S1854" s="28"/>
      <x:c r="T1854" s="28"/>
      <x:c r="U1854" s="28"/>
      <x:c r="V1854" s="28"/>
      <x:c r="W1854" s="43" t="n">
        <x:f>--AND(N1854=1,OR(O1854="SUPPORTED",O1854="HALLUCINATION"))</x:f>
        <x:v>0</x:v>
      </x:c>
      <x:c r="X1854" s="43" t="n">
        <x:f>--AND(W1854=1,O1854="HALLUCINATION")</x:f>
        <x:v>0</x:v>
      </x:c>
      <x:c r="Y1854" s="43" t="n">
        <x:f>--AND(Q1854=1,O1854="HALLUCINATION")</x:f>
        <x:v>0</x:v>
      </x:c>
      <x:c r="Z1854" s="43" t="n">
        <x:f>--AND(Y1854=1,R1854=1,S1854=1)</x:f>
        <x:v>0</x:v>
      </x:c>
      <x:c r="AC1854" t="str">
        <x:f>IF(OR(AA1854="",AB1854=""),"",--(AA1854&lt;&gt;AB1854))</x:f>
      </x:c>
      <x:c r="AE1854" t="str">
        <x:f>IF(OR(AA1854="",AB1854=""),"PENDING_HUMAN",IF(AA1854=AB1854,AA1854,IF(AD1854&lt;&gt;"",AD1854,"PENDING_HUMAN")))</x:f>
        <x:v>PENDING_HUMAN</x:v>
      </x:c>
      <x:c r="AF1854" t="n">
        <x:f>--AND(A1854&lt;&gt;"",AA1854&lt;&gt;"",AB1854&lt;&gt;"",OR(AA1854=AB1854,AD1854&lt;&gt;""),IF(AE1854="HALLUCINATION",U1854&lt;&gt;"",TRUE))</x:f>
        <x:v>0</x:v>
      </x:c>
      <x:c r="AG1854" t="n">
        <x:f>--AND(N1854=1,AF1854=1,OR(AE1854="SUPPORTED",AE1854="HALLUCINATION"))</x:f>
        <x:v>0</x:v>
      </x:c>
      <x:c r="AH1854" t="n">
        <x:f>--AND(AG1854=1,AE1854="HALLUCINATION")</x:f>
        <x:v>0</x:v>
      </x:c>
      <x:c r="AI1854" t="n">
        <x:f>--AND(Q1854=1,AF1854=1,AE1854="HALLUCINATION")</x:f>
        <x:v>0</x:v>
      </x:c>
      <x:c r="AJ1854" t="n">
        <x:f>--AND(AI1854=1,R1854=1,S1854=1)</x:f>
        <x:v>0</x:v>
      </x:c>
    </x:row>
    <x:row r="1855">
      <x:c r="A1855" s="28"/>
      <x:c r="B1855" s="28"/>
      <x:c r="C1855" s="28"/>
      <x:c r="D1855" s="28"/>
      <x:c r="E1855" s="28"/>
      <x:c r="F1855" s="28"/>
      <x:c r="G1855" s="28"/>
      <x:c r="H1855" s="28"/>
      <x:c r="I1855" s="28"/>
      <x:c r="J1855" s="28"/>
      <x:c r="K1855" s="28"/>
      <x:c r="L1855" s="28"/>
      <x:c r="M1855" s="28"/>
      <x:c r="N1855" s="28"/>
      <x:c r="O1855" s="28"/>
      <x:c r="P1855" s="28"/>
      <x:c r="Q1855" s="28"/>
      <x:c r="R1855" s="28"/>
      <x:c r="S1855" s="28"/>
      <x:c r="T1855" s="28"/>
      <x:c r="U1855" s="28"/>
      <x:c r="V1855" s="28"/>
      <x:c r="W1855" s="43" t="n">
        <x:f>--AND(N1855=1,OR(O1855="SUPPORTED",O1855="HALLUCINATION"))</x:f>
        <x:v>0</x:v>
      </x:c>
      <x:c r="X1855" s="43" t="n">
        <x:f>--AND(W1855=1,O1855="HALLUCINATION")</x:f>
        <x:v>0</x:v>
      </x:c>
      <x:c r="Y1855" s="43" t="n">
        <x:f>--AND(Q1855=1,O1855="HALLUCINATION")</x:f>
        <x:v>0</x:v>
      </x:c>
      <x:c r="Z1855" s="43" t="n">
        <x:f>--AND(Y1855=1,R1855=1,S1855=1)</x:f>
        <x:v>0</x:v>
      </x:c>
      <x:c r="AC1855" t="str">
        <x:f>IF(OR(AA1855="",AB1855=""),"",--(AA1855&lt;&gt;AB1855))</x:f>
      </x:c>
      <x:c r="AE1855" t="str">
        <x:f>IF(OR(AA1855="",AB1855=""),"PENDING_HUMAN",IF(AA1855=AB1855,AA1855,IF(AD1855&lt;&gt;"",AD1855,"PENDING_HUMAN")))</x:f>
        <x:v>PENDING_HUMAN</x:v>
      </x:c>
      <x:c r="AF1855" t="n">
        <x:f>--AND(A1855&lt;&gt;"",AA1855&lt;&gt;"",AB1855&lt;&gt;"",OR(AA1855=AB1855,AD1855&lt;&gt;""),IF(AE1855="HALLUCINATION",U1855&lt;&gt;"",TRUE))</x:f>
        <x:v>0</x:v>
      </x:c>
      <x:c r="AG1855" t="n">
        <x:f>--AND(N1855=1,AF1855=1,OR(AE1855="SUPPORTED",AE1855="HALLUCINATION"))</x:f>
        <x:v>0</x:v>
      </x:c>
      <x:c r="AH1855" t="n">
        <x:f>--AND(AG1855=1,AE1855="HALLUCINATION")</x:f>
        <x:v>0</x:v>
      </x:c>
      <x:c r="AI1855" t="n">
        <x:f>--AND(Q1855=1,AF1855=1,AE1855="HALLUCINATION")</x:f>
        <x:v>0</x:v>
      </x:c>
      <x:c r="AJ1855" t="n">
        <x:f>--AND(AI1855=1,R1855=1,S1855=1)</x:f>
        <x:v>0</x:v>
      </x:c>
    </x:row>
    <x:row r="1856">
      <x:c r="A1856" s="28"/>
      <x:c r="B1856" s="28"/>
      <x:c r="C1856" s="28"/>
      <x:c r="D1856" s="28"/>
      <x:c r="E1856" s="28"/>
      <x:c r="F1856" s="28"/>
      <x:c r="G1856" s="28"/>
      <x:c r="H1856" s="28"/>
      <x:c r="I1856" s="28"/>
      <x:c r="J1856" s="28"/>
      <x:c r="K1856" s="28"/>
      <x:c r="L1856" s="28"/>
      <x:c r="M1856" s="28"/>
      <x:c r="N1856" s="28"/>
      <x:c r="O1856" s="28"/>
      <x:c r="P1856" s="28"/>
      <x:c r="Q1856" s="28"/>
      <x:c r="R1856" s="28"/>
      <x:c r="S1856" s="28"/>
      <x:c r="T1856" s="28"/>
      <x:c r="U1856" s="28"/>
      <x:c r="V1856" s="28"/>
      <x:c r="W1856" s="43" t="n">
        <x:f>--AND(N1856=1,OR(O1856="SUPPORTED",O1856="HALLUCINATION"))</x:f>
        <x:v>0</x:v>
      </x:c>
      <x:c r="X1856" s="43" t="n">
        <x:f>--AND(W1856=1,O1856="HALLUCINATION")</x:f>
        <x:v>0</x:v>
      </x:c>
      <x:c r="Y1856" s="43" t="n">
        <x:f>--AND(Q1856=1,O1856="HALLUCINATION")</x:f>
        <x:v>0</x:v>
      </x:c>
      <x:c r="Z1856" s="43" t="n">
        <x:f>--AND(Y1856=1,R1856=1,S1856=1)</x:f>
        <x:v>0</x:v>
      </x:c>
      <x:c r="AC1856" t="str">
        <x:f>IF(OR(AA1856="",AB1856=""),"",--(AA1856&lt;&gt;AB1856))</x:f>
      </x:c>
      <x:c r="AE1856" t="str">
        <x:f>IF(OR(AA1856="",AB1856=""),"PENDING_HUMAN",IF(AA1856=AB1856,AA1856,IF(AD1856&lt;&gt;"",AD1856,"PENDING_HUMAN")))</x:f>
        <x:v>PENDING_HUMAN</x:v>
      </x:c>
      <x:c r="AF1856" t="n">
        <x:f>--AND(A1856&lt;&gt;"",AA1856&lt;&gt;"",AB1856&lt;&gt;"",OR(AA1856=AB1856,AD1856&lt;&gt;""),IF(AE1856="HALLUCINATION",U1856&lt;&gt;"",TRUE))</x:f>
        <x:v>0</x:v>
      </x:c>
      <x:c r="AG1856" t="n">
        <x:f>--AND(N1856=1,AF1856=1,OR(AE1856="SUPPORTED",AE1856="HALLUCINATION"))</x:f>
        <x:v>0</x:v>
      </x:c>
      <x:c r="AH1856" t="n">
        <x:f>--AND(AG1856=1,AE1856="HALLUCINATION")</x:f>
        <x:v>0</x:v>
      </x:c>
      <x:c r="AI1856" t="n">
        <x:f>--AND(Q1856=1,AF1856=1,AE1856="HALLUCINATION")</x:f>
        <x:v>0</x:v>
      </x:c>
      <x:c r="AJ1856" t="n">
        <x:f>--AND(AI1856=1,R1856=1,S1856=1)</x:f>
        <x:v>0</x:v>
      </x:c>
    </x:row>
    <x:row r="1857">
      <x:c r="A1857" s="28"/>
      <x:c r="B1857" s="28"/>
      <x:c r="C1857" s="28"/>
      <x:c r="D1857" s="28"/>
      <x:c r="E1857" s="28"/>
      <x:c r="F1857" s="28"/>
      <x:c r="G1857" s="28"/>
      <x:c r="H1857" s="28"/>
      <x:c r="I1857" s="28"/>
      <x:c r="J1857" s="28"/>
      <x:c r="K1857" s="28"/>
      <x:c r="L1857" s="28"/>
      <x:c r="M1857" s="28"/>
      <x:c r="N1857" s="28"/>
      <x:c r="O1857" s="28"/>
      <x:c r="P1857" s="28"/>
      <x:c r="Q1857" s="28"/>
      <x:c r="R1857" s="28"/>
      <x:c r="S1857" s="28"/>
      <x:c r="T1857" s="28"/>
      <x:c r="U1857" s="28"/>
      <x:c r="V1857" s="28"/>
      <x:c r="W1857" s="43" t="n">
        <x:f>--AND(N1857=1,OR(O1857="SUPPORTED",O1857="HALLUCINATION"))</x:f>
        <x:v>0</x:v>
      </x:c>
      <x:c r="X1857" s="43" t="n">
        <x:f>--AND(W1857=1,O1857="HALLUCINATION")</x:f>
        <x:v>0</x:v>
      </x:c>
      <x:c r="Y1857" s="43" t="n">
        <x:f>--AND(Q1857=1,O1857="HALLUCINATION")</x:f>
        <x:v>0</x:v>
      </x:c>
      <x:c r="Z1857" s="43" t="n">
        <x:f>--AND(Y1857=1,R1857=1,S1857=1)</x:f>
        <x:v>0</x:v>
      </x:c>
      <x:c r="AC1857" t="str">
        <x:f>IF(OR(AA1857="",AB1857=""),"",--(AA1857&lt;&gt;AB1857))</x:f>
      </x:c>
      <x:c r="AE1857" t="str">
        <x:f>IF(OR(AA1857="",AB1857=""),"PENDING_HUMAN",IF(AA1857=AB1857,AA1857,IF(AD1857&lt;&gt;"",AD1857,"PENDING_HUMAN")))</x:f>
        <x:v>PENDING_HUMAN</x:v>
      </x:c>
      <x:c r="AF1857" t="n">
        <x:f>--AND(A1857&lt;&gt;"",AA1857&lt;&gt;"",AB1857&lt;&gt;"",OR(AA1857=AB1857,AD1857&lt;&gt;""),IF(AE1857="HALLUCINATION",U1857&lt;&gt;"",TRUE))</x:f>
        <x:v>0</x:v>
      </x:c>
      <x:c r="AG1857" t="n">
        <x:f>--AND(N1857=1,AF1857=1,OR(AE1857="SUPPORTED",AE1857="HALLUCINATION"))</x:f>
        <x:v>0</x:v>
      </x:c>
      <x:c r="AH1857" t="n">
        <x:f>--AND(AG1857=1,AE1857="HALLUCINATION")</x:f>
        <x:v>0</x:v>
      </x:c>
      <x:c r="AI1857" t="n">
        <x:f>--AND(Q1857=1,AF1857=1,AE1857="HALLUCINATION")</x:f>
        <x:v>0</x:v>
      </x:c>
      <x:c r="AJ1857" t="n">
        <x:f>--AND(AI1857=1,R1857=1,S1857=1)</x:f>
        <x:v>0</x:v>
      </x:c>
    </x:row>
    <x:row r="1858">
      <x:c r="A1858" s="28"/>
      <x:c r="B1858" s="28"/>
      <x:c r="C1858" s="28"/>
      <x:c r="D1858" s="28"/>
      <x:c r="E1858" s="28"/>
      <x:c r="F1858" s="28"/>
      <x:c r="G1858" s="28"/>
      <x:c r="H1858" s="28"/>
      <x:c r="I1858" s="28"/>
      <x:c r="J1858" s="28"/>
      <x:c r="K1858" s="28"/>
      <x:c r="L1858" s="28"/>
      <x:c r="M1858" s="28"/>
      <x:c r="N1858" s="28"/>
      <x:c r="O1858" s="28"/>
      <x:c r="P1858" s="28"/>
      <x:c r="Q1858" s="28"/>
      <x:c r="R1858" s="28"/>
      <x:c r="S1858" s="28"/>
      <x:c r="T1858" s="28"/>
      <x:c r="U1858" s="28"/>
      <x:c r="V1858" s="28"/>
      <x:c r="W1858" s="43" t="n">
        <x:f>--AND(N1858=1,OR(O1858="SUPPORTED",O1858="HALLUCINATION"))</x:f>
        <x:v>0</x:v>
      </x:c>
      <x:c r="X1858" s="43" t="n">
        <x:f>--AND(W1858=1,O1858="HALLUCINATION")</x:f>
        <x:v>0</x:v>
      </x:c>
      <x:c r="Y1858" s="43" t="n">
        <x:f>--AND(Q1858=1,O1858="HALLUCINATION")</x:f>
        <x:v>0</x:v>
      </x:c>
      <x:c r="Z1858" s="43" t="n">
        <x:f>--AND(Y1858=1,R1858=1,S1858=1)</x:f>
        <x:v>0</x:v>
      </x:c>
      <x:c r="AC1858" t="str">
        <x:f>IF(OR(AA1858="",AB1858=""),"",--(AA1858&lt;&gt;AB1858))</x:f>
      </x:c>
      <x:c r="AE1858" t="str">
        <x:f>IF(OR(AA1858="",AB1858=""),"PENDING_HUMAN",IF(AA1858=AB1858,AA1858,IF(AD1858&lt;&gt;"",AD1858,"PENDING_HUMAN")))</x:f>
        <x:v>PENDING_HUMAN</x:v>
      </x:c>
      <x:c r="AF1858" t="n">
        <x:f>--AND(A1858&lt;&gt;"",AA1858&lt;&gt;"",AB1858&lt;&gt;"",OR(AA1858=AB1858,AD1858&lt;&gt;""),IF(AE1858="HALLUCINATION",U1858&lt;&gt;"",TRUE))</x:f>
        <x:v>0</x:v>
      </x:c>
      <x:c r="AG1858" t="n">
        <x:f>--AND(N1858=1,AF1858=1,OR(AE1858="SUPPORTED",AE1858="HALLUCINATION"))</x:f>
        <x:v>0</x:v>
      </x:c>
      <x:c r="AH1858" t="n">
        <x:f>--AND(AG1858=1,AE1858="HALLUCINATION")</x:f>
        <x:v>0</x:v>
      </x:c>
      <x:c r="AI1858" t="n">
        <x:f>--AND(Q1858=1,AF1858=1,AE1858="HALLUCINATION")</x:f>
        <x:v>0</x:v>
      </x:c>
      <x:c r="AJ1858" t="n">
        <x:f>--AND(AI1858=1,R1858=1,S1858=1)</x:f>
        <x:v>0</x:v>
      </x:c>
    </x:row>
    <x:row r="1859">
      <x:c r="A1859" s="28"/>
      <x:c r="B1859" s="28"/>
      <x:c r="C1859" s="28"/>
      <x:c r="D1859" s="28"/>
      <x:c r="E1859" s="28"/>
      <x:c r="F1859" s="28"/>
      <x:c r="G1859" s="28"/>
      <x:c r="H1859" s="28"/>
      <x:c r="I1859" s="28"/>
      <x:c r="J1859" s="28"/>
      <x:c r="K1859" s="28"/>
      <x:c r="L1859" s="28"/>
      <x:c r="M1859" s="28"/>
      <x:c r="N1859" s="28"/>
      <x:c r="O1859" s="28"/>
      <x:c r="P1859" s="28"/>
      <x:c r="Q1859" s="28"/>
      <x:c r="R1859" s="28"/>
      <x:c r="S1859" s="28"/>
      <x:c r="T1859" s="28"/>
      <x:c r="U1859" s="28"/>
      <x:c r="V1859" s="28"/>
      <x:c r="W1859" s="43" t="n">
        <x:f>--AND(N1859=1,OR(O1859="SUPPORTED",O1859="HALLUCINATION"))</x:f>
        <x:v>0</x:v>
      </x:c>
      <x:c r="X1859" s="43" t="n">
        <x:f>--AND(W1859=1,O1859="HALLUCINATION")</x:f>
        <x:v>0</x:v>
      </x:c>
      <x:c r="Y1859" s="43" t="n">
        <x:f>--AND(Q1859=1,O1859="HALLUCINATION")</x:f>
        <x:v>0</x:v>
      </x:c>
      <x:c r="Z1859" s="43" t="n">
        <x:f>--AND(Y1859=1,R1859=1,S1859=1)</x:f>
        <x:v>0</x:v>
      </x:c>
      <x:c r="AC1859" t="str">
        <x:f>IF(OR(AA1859="",AB1859=""),"",--(AA1859&lt;&gt;AB1859))</x:f>
      </x:c>
      <x:c r="AE1859" t="str">
        <x:f>IF(OR(AA1859="",AB1859=""),"PENDING_HUMAN",IF(AA1859=AB1859,AA1859,IF(AD1859&lt;&gt;"",AD1859,"PENDING_HUMAN")))</x:f>
        <x:v>PENDING_HUMAN</x:v>
      </x:c>
      <x:c r="AF1859" t="n">
        <x:f>--AND(A1859&lt;&gt;"",AA1859&lt;&gt;"",AB1859&lt;&gt;"",OR(AA1859=AB1859,AD1859&lt;&gt;""),IF(AE1859="HALLUCINATION",U1859&lt;&gt;"",TRUE))</x:f>
        <x:v>0</x:v>
      </x:c>
      <x:c r="AG1859" t="n">
        <x:f>--AND(N1859=1,AF1859=1,OR(AE1859="SUPPORTED",AE1859="HALLUCINATION"))</x:f>
        <x:v>0</x:v>
      </x:c>
      <x:c r="AH1859" t="n">
        <x:f>--AND(AG1859=1,AE1859="HALLUCINATION")</x:f>
        <x:v>0</x:v>
      </x:c>
      <x:c r="AI1859" t="n">
        <x:f>--AND(Q1859=1,AF1859=1,AE1859="HALLUCINATION")</x:f>
        <x:v>0</x:v>
      </x:c>
      <x:c r="AJ1859" t="n">
        <x:f>--AND(AI1859=1,R1859=1,S1859=1)</x:f>
        <x:v>0</x:v>
      </x:c>
    </x:row>
    <x:row r="1860">
      <x:c r="A1860" s="28"/>
      <x:c r="B1860" s="28"/>
      <x:c r="C1860" s="28"/>
      <x:c r="D1860" s="28"/>
      <x:c r="E1860" s="28"/>
      <x:c r="F1860" s="28"/>
      <x:c r="G1860" s="28"/>
      <x:c r="H1860" s="28"/>
      <x:c r="I1860" s="28"/>
      <x:c r="J1860" s="28"/>
      <x:c r="K1860" s="28"/>
      <x:c r="L1860" s="28"/>
      <x:c r="M1860" s="28"/>
      <x:c r="N1860" s="28"/>
      <x:c r="O1860" s="28"/>
      <x:c r="P1860" s="28"/>
      <x:c r="Q1860" s="28"/>
      <x:c r="R1860" s="28"/>
      <x:c r="S1860" s="28"/>
      <x:c r="T1860" s="28"/>
      <x:c r="U1860" s="28"/>
      <x:c r="V1860" s="28"/>
      <x:c r="W1860" s="43" t="n">
        <x:f>--AND(N1860=1,OR(O1860="SUPPORTED",O1860="HALLUCINATION"))</x:f>
        <x:v>0</x:v>
      </x:c>
      <x:c r="X1860" s="43" t="n">
        <x:f>--AND(W1860=1,O1860="HALLUCINATION")</x:f>
        <x:v>0</x:v>
      </x:c>
      <x:c r="Y1860" s="43" t="n">
        <x:f>--AND(Q1860=1,O1860="HALLUCINATION")</x:f>
        <x:v>0</x:v>
      </x:c>
      <x:c r="Z1860" s="43" t="n">
        <x:f>--AND(Y1860=1,R1860=1,S1860=1)</x:f>
        <x:v>0</x:v>
      </x:c>
      <x:c r="AC1860" t="str">
        <x:f>IF(OR(AA1860="",AB1860=""),"",--(AA1860&lt;&gt;AB1860))</x:f>
      </x:c>
      <x:c r="AE1860" t="str">
        <x:f>IF(OR(AA1860="",AB1860=""),"PENDING_HUMAN",IF(AA1860=AB1860,AA1860,IF(AD1860&lt;&gt;"",AD1860,"PENDING_HUMAN")))</x:f>
        <x:v>PENDING_HUMAN</x:v>
      </x:c>
      <x:c r="AF1860" t="n">
        <x:f>--AND(A1860&lt;&gt;"",AA1860&lt;&gt;"",AB1860&lt;&gt;"",OR(AA1860=AB1860,AD1860&lt;&gt;""),IF(AE1860="HALLUCINATION",U1860&lt;&gt;"",TRUE))</x:f>
        <x:v>0</x:v>
      </x:c>
      <x:c r="AG1860" t="n">
        <x:f>--AND(N1860=1,AF1860=1,OR(AE1860="SUPPORTED",AE1860="HALLUCINATION"))</x:f>
        <x:v>0</x:v>
      </x:c>
      <x:c r="AH1860" t="n">
        <x:f>--AND(AG1860=1,AE1860="HALLUCINATION")</x:f>
        <x:v>0</x:v>
      </x:c>
      <x:c r="AI1860" t="n">
        <x:f>--AND(Q1860=1,AF1860=1,AE1860="HALLUCINATION")</x:f>
        <x:v>0</x:v>
      </x:c>
      <x:c r="AJ1860" t="n">
        <x:f>--AND(AI1860=1,R1860=1,S1860=1)</x:f>
        <x:v>0</x:v>
      </x:c>
    </x:row>
    <x:row r="1861">
      <x:c r="A1861" s="28"/>
      <x:c r="B1861" s="28"/>
      <x:c r="C1861" s="28"/>
      <x:c r="D1861" s="28"/>
      <x:c r="E1861" s="28"/>
      <x:c r="F1861" s="28"/>
      <x:c r="G1861" s="28"/>
      <x:c r="H1861" s="28"/>
      <x:c r="I1861" s="28"/>
      <x:c r="J1861" s="28"/>
      <x:c r="K1861" s="28"/>
      <x:c r="L1861" s="28"/>
      <x:c r="M1861" s="28"/>
      <x:c r="N1861" s="28"/>
      <x:c r="O1861" s="28"/>
      <x:c r="P1861" s="28"/>
      <x:c r="Q1861" s="28"/>
      <x:c r="R1861" s="28"/>
      <x:c r="S1861" s="28"/>
      <x:c r="T1861" s="28"/>
      <x:c r="U1861" s="28"/>
      <x:c r="V1861" s="28"/>
      <x:c r="W1861" s="43" t="n">
        <x:f>--AND(N1861=1,OR(O1861="SUPPORTED",O1861="HALLUCINATION"))</x:f>
        <x:v>0</x:v>
      </x:c>
      <x:c r="X1861" s="43" t="n">
        <x:f>--AND(W1861=1,O1861="HALLUCINATION")</x:f>
        <x:v>0</x:v>
      </x:c>
      <x:c r="Y1861" s="43" t="n">
        <x:f>--AND(Q1861=1,O1861="HALLUCINATION")</x:f>
        <x:v>0</x:v>
      </x:c>
      <x:c r="Z1861" s="43" t="n">
        <x:f>--AND(Y1861=1,R1861=1,S1861=1)</x:f>
        <x:v>0</x:v>
      </x:c>
      <x:c r="AC1861" t="str">
        <x:f>IF(OR(AA1861="",AB1861=""),"",--(AA1861&lt;&gt;AB1861))</x:f>
      </x:c>
      <x:c r="AE1861" t="str">
        <x:f>IF(OR(AA1861="",AB1861=""),"PENDING_HUMAN",IF(AA1861=AB1861,AA1861,IF(AD1861&lt;&gt;"",AD1861,"PENDING_HUMAN")))</x:f>
        <x:v>PENDING_HUMAN</x:v>
      </x:c>
      <x:c r="AF1861" t="n">
        <x:f>--AND(A1861&lt;&gt;"",AA1861&lt;&gt;"",AB1861&lt;&gt;"",OR(AA1861=AB1861,AD1861&lt;&gt;""),IF(AE1861="HALLUCINATION",U1861&lt;&gt;"",TRUE))</x:f>
        <x:v>0</x:v>
      </x:c>
      <x:c r="AG1861" t="n">
        <x:f>--AND(N1861=1,AF1861=1,OR(AE1861="SUPPORTED",AE1861="HALLUCINATION"))</x:f>
        <x:v>0</x:v>
      </x:c>
      <x:c r="AH1861" t="n">
        <x:f>--AND(AG1861=1,AE1861="HALLUCINATION")</x:f>
        <x:v>0</x:v>
      </x:c>
      <x:c r="AI1861" t="n">
        <x:f>--AND(Q1861=1,AF1861=1,AE1861="HALLUCINATION")</x:f>
        <x:v>0</x:v>
      </x:c>
      <x:c r="AJ1861" t="n">
        <x:f>--AND(AI1861=1,R1861=1,S1861=1)</x:f>
        <x:v>0</x:v>
      </x:c>
    </x:row>
    <x:row r="1862">
      <x:c r="A1862" s="28"/>
      <x:c r="B1862" s="28"/>
      <x:c r="C1862" s="28"/>
      <x:c r="D1862" s="28"/>
      <x:c r="E1862" s="28"/>
      <x:c r="F1862" s="28"/>
      <x:c r="G1862" s="28"/>
      <x:c r="H1862" s="28"/>
      <x:c r="I1862" s="28"/>
      <x:c r="J1862" s="28"/>
      <x:c r="K1862" s="28"/>
      <x:c r="L1862" s="28"/>
      <x:c r="M1862" s="28"/>
      <x:c r="N1862" s="28"/>
      <x:c r="O1862" s="28"/>
      <x:c r="P1862" s="28"/>
      <x:c r="Q1862" s="28"/>
      <x:c r="R1862" s="28"/>
      <x:c r="S1862" s="28"/>
      <x:c r="T1862" s="28"/>
      <x:c r="U1862" s="28"/>
      <x:c r="V1862" s="28"/>
      <x:c r="W1862" s="43" t="n">
        <x:f>--AND(N1862=1,OR(O1862="SUPPORTED",O1862="HALLUCINATION"))</x:f>
        <x:v>0</x:v>
      </x:c>
      <x:c r="X1862" s="43" t="n">
        <x:f>--AND(W1862=1,O1862="HALLUCINATION")</x:f>
        <x:v>0</x:v>
      </x:c>
      <x:c r="Y1862" s="43" t="n">
        <x:f>--AND(Q1862=1,O1862="HALLUCINATION")</x:f>
        <x:v>0</x:v>
      </x:c>
      <x:c r="Z1862" s="43" t="n">
        <x:f>--AND(Y1862=1,R1862=1,S1862=1)</x:f>
        <x:v>0</x:v>
      </x:c>
      <x:c r="AC1862" t="str">
        <x:f>IF(OR(AA1862="",AB1862=""),"",--(AA1862&lt;&gt;AB1862))</x:f>
      </x:c>
      <x:c r="AE1862" t="str">
        <x:f>IF(OR(AA1862="",AB1862=""),"PENDING_HUMAN",IF(AA1862=AB1862,AA1862,IF(AD1862&lt;&gt;"",AD1862,"PENDING_HUMAN")))</x:f>
        <x:v>PENDING_HUMAN</x:v>
      </x:c>
      <x:c r="AF1862" t="n">
        <x:f>--AND(A1862&lt;&gt;"",AA1862&lt;&gt;"",AB1862&lt;&gt;"",OR(AA1862=AB1862,AD1862&lt;&gt;""),IF(AE1862="HALLUCINATION",U1862&lt;&gt;"",TRUE))</x:f>
        <x:v>0</x:v>
      </x:c>
      <x:c r="AG1862" t="n">
        <x:f>--AND(N1862=1,AF1862=1,OR(AE1862="SUPPORTED",AE1862="HALLUCINATION"))</x:f>
        <x:v>0</x:v>
      </x:c>
      <x:c r="AH1862" t="n">
        <x:f>--AND(AG1862=1,AE1862="HALLUCINATION")</x:f>
        <x:v>0</x:v>
      </x:c>
      <x:c r="AI1862" t="n">
        <x:f>--AND(Q1862=1,AF1862=1,AE1862="HALLUCINATION")</x:f>
        <x:v>0</x:v>
      </x:c>
      <x:c r="AJ1862" t="n">
        <x:f>--AND(AI1862=1,R1862=1,S1862=1)</x:f>
        <x:v>0</x:v>
      </x:c>
    </x:row>
    <x:row r="1863">
      <x:c r="A1863" s="28"/>
      <x:c r="B1863" s="28"/>
      <x:c r="C1863" s="28"/>
      <x:c r="D1863" s="28"/>
      <x:c r="E1863" s="28"/>
      <x:c r="F1863" s="28"/>
      <x:c r="G1863" s="28"/>
      <x:c r="H1863" s="28"/>
      <x:c r="I1863" s="28"/>
      <x:c r="J1863" s="28"/>
      <x:c r="K1863" s="28"/>
      <x:c r="L1863" s="28"/>
      <x:c r="M1863" s="28"/>
      <x:c r="N1863" s="28"/>
      <x:c r="O1863" s="28"/>
      <x:c r="P1863" s="28"/>
      <x:c r="Q1863" s="28"/>
      <x:c r="R1863" s="28"/>
      <x:c r="S1863" s="28"/>
      <x:c r="T1863" s="28"/>
      <x:c r="U1863" s="28"/>
      <x:c r="V1863" s="28"/>
      <x:c r="W1863" s="43" t="n">
        <x:f>--AND(N1863=1,OR(O1863="SUPPORTED",O1863="HALLUCINATION"))</x:f>
        <x:v>0</x:v>
      </x:c>
      <x:c r="X1863" s="43" t="n">
        <x:f>--AND(W1863=1,O1863="HALLUCINATION")</x:f>
        <x:v>0</x:v>
      </x:c>
      <x:c r="Y1863" s="43" t="n">
        <x:f>--AND(Q1863=1,O1863="HALLUCINATION")</x:f>
        <x:v>0</x:v>
      </x:c>
      <x:c r="Z1863" s="43" t="n">
        <x:f>--AND(Y1863=1,R1863=1,S1863=1)</x:f>
        <x:v>0</x:v>
      </x:c>
      <x:c r="AC1863" t="str">
        <x:f>IF(OR(AA1863="",AB1863=""),"",--(AA1863&lt;&gt;AB1863))</x:f>
      </x:c>
      <x:c r="AE1863" t="str">
        <x:f>IF(OR(AA1863="",AB1863=""),"PENDING_HUMAN",IF(AA1863=AB1863,AA1863,IF(AD1863&lt;&gt;"",AD1863,"PENDING_HUMAN")))</x:f>
        <x:v>PENDING_HUMAN</x:v>
      </x:c>
      <x:c r="AF1863" t="n">
        <x:f>--AND(A1863&lt;&gt;"",AA1863&lt;&gt;"",AB1863&lt;&gt;"",OR(AA1863=AB1863,AD1863&lt;&gt;""),IF(AE1863="HALLUCINATION",U1863&lt;&gt;"",TRUE))</x:f>
        <x:v>0</x:v>
      </x:c>
      <x:c r="AG1863" t="n">
        <x:f>--AND(N1863=1,AF1863=1,OR(AE1863="SUPPORTED",AE1863="HALLUCINATION"))</x:f>
        <x:v>0</x:v>
      </x:c>
      <x:c r="AH1863" t="n">
        <x:f>--AND(AG1863=1,AE1863="HALLUCINATION")</x:f>
        <x:v>0</x:v>
      </x:c>
      <x:c r="AI1863" t="n">
        <x:f>--AND(Q1863=1,AF1863=1,AE1863="HALLUCINATION")</x:f>
        <x:v>0</x:v>
      </x:c>
      <x:c r="AJ1863" t="n">
        <x:f>--AND(AI1863=1,R1863=1,S1863=1)</x:f>
        <x:v>0</x:v>
      </x:c>
    </x:row>
    <x:row r="1864">
      <x:c r="A1864" s="28"/>
      <x:c r="B1864" s="28"/>
      <x:c r="C1864" s="28"/>
      <x:c r="D1864" s="28"/>
      <x:c r="E1864" s="28"/>
      <x:c r="F1864" s="28"/>
      <x:c r="G1864" s="28"/>
      <x:c r="H1864" s="28"/>
      <x:c r="I1864" s="28"/>
      <x:c r="J1864" s="28"/>
      <x:c r="K1864" s="28"/>
      <x:c r="L1864" s="28"/>
      <x:c r="M1864" s="28"/>
      <x:c r="N1864" s="28"/>
      <x:c r="O1864" s="28"/>
      <x:c r="P1864" s="28"/>
      <x:c r="Q1864" s="28"/>
      <x:c r="R1864" s="28"/>
      <x:c r="S1864" s="28"/>
      <x:c r="T1864" s="28"/>
      <x:c r="U1864" s="28"/>
      <x:c r="V1864" s="28"/>
      <x:c r="W1864" s="43" t="n">
        <x:f>--AND(N1864=1,OR(O1864="SUPPORTED",O1864="HALLUCINATION"))</x:f>
        <x:v>0</x:v>
      </x:c>
      <x:c r="X1864" s="43" t="n">
        <x:f>--AND(W1864=1,O1864="HALLUCINATION")</x:f>
        <x:v>0</x:v>
      </x:c>
      <x:c r="Y1864" s="43" t="n">
        <x:f>--AND(Q1864=1,O1864="HALLUCINATION")</x:f>
        <x:v>0</x:v>
      </x:c>
      <x:c r="Z1864" s="43" t="n">
        <x:f>--AND(Y1864=1,R1864=1,S1864=1)</x:f>
        <x:v>0</x:v>
      </x:c>
      <x:c r="AC1864" t="str">
        <x:f>IF(OR(AA1864="",AB1864=""),"",--(AA1864&lt;&gt;AB1864))</x:f>
      </x:c>
      <x:c r="AE1864" t="str">
        <x:f>IF(OR(AA1864="",AB1864=""),"PENDING_HUMAN",IF(AA1864=AB1864,AA1864,IF(AD1864&lt;&gt;"",AD1864,"PENDING_HUMAN")))</x:f>
        <x:v>PENDING_HUMAN</x:v>
      </x:c>
      <x:c r="AF1864" t="n">
        <x:f>--AND(A1864&lt;&gt;"",AA1864&lt;&gt;"",AB1864&lt;&gt;"",OR(AA1864=AB1864,AD1864&lt;&gt;""),IF(AE1864="HALLUCINATION",U1864&lt;&gt;"",TRUE))</x:f>
        <x:v>0</x:v>
      </x:c>
      <x:c r="AG1864" t="n">
        <x:f>--AND(N1864=1,AF1864=1,OR(AE1864="SUPPORTED",AE1864="HALLUCINATION"))</x:f>
        <x:v>0</x:v>
      </x:c>
      <x:c r="AH1864" t="n">
        <x:f>--AND(AG1864=1,AE1864="HALLUCINATION")</x:f>
        <x:v>0</x:v>
      </x:c>
      <x:c r="AI1864" t="n">
        <x:f>--AND(Q1864=1,AF1864=1,AE1864="HALLUCINATION")</x:f>
        <x:v>0</x:v>
      </x:c>
      <x:c r="AJ1864" t="n">
        <x:f>--AND(AI1864=1,R1864=1,S1864=1)</x:f>
        <x:v>0</x:v>
      </x:c>
    </x:row>
    <x:row r="1865">
      <x:c r="A1865" s="28"/>
      <x:c r="B1865" s="28"/>
      <x:c r="C1865" s="28"/>
      <x:c r="D1865" s="28"/>
      <x:c r="E1865" s="28"/>
      <x:c r="F1865" s="28"/>
      <x:c r="G1865" s="28"/>
      <x:c r="H1865" s="28"/>
      <x:c r="I1865" s="28"/>
      <x:c r="J1865" s="28"/>
      <x:c r="K1865" s="28"/>
      <x:c r="L1865" s="28"/>
      <x:c r="M1865" s="28"/>
      <x:c r="N1865" s="28"/>
      <x:c r="O1865" s="28"/>
      <x:c r="P1865" s="28"/>
      <x:c r="Q1865" s="28"/>
      <x:c r="R1865" s="28"/>
      <x:c r="S1865" s="28"/>
      <x:c r="T1865" s="28"/>
      <x:c r="U1865" s="28"/>
      <x:c r="V1865" s="28"/>
      <x:c r="W1865" s="43" t="n">
        <x:f>--AND(N1865=1,OR(O1865="SUPPORTED",O1865="HALLUCINATION"))</x:f>
        <x:v>0</x:v>
      </x:c>
      <x:c r="X1865" s="43" t="n">
        <x:f>--AND(W1865=1,O1865="HALLUCINATION")</x:f>
        <x:v>0</x:v>
      </x:c>
      <x:c r="Y1865" s="43" t="n">
        <x:f>--AND(Q1865=1,O1865="HALLUCINATION")</x:f>
        <x:v>0</x:v>
      </x:c>
      <x:c r="Z1865" s="43" t="n">
        <x:f>--AND(Y1865=1,R1865=1,S1865=1)</x:f>
        <x:v>0</x:v>
      </x:c>
      <x:c r="AC1865" t="str">
        <x:f>IF(OR(AA1865="",AB1865=""),"",--(AA1865&lt;&gt;AB1865))</x:f>
      </x:c>
      <x:c r="AE1865" t="str">
        <x:f>IF(OR(AA1865="",AB1865=""),"PENDING_HUMAN",IF(AA1865=AB1865,AA1865,IF(AD1865&lt;&gt;"",AD1865,"PENDING_HUMAN")))</x:f>
        <x:v>PENDING_HUMAN</x:v>
      </x:c>
      <x:c r="AF1865" t="n">
        <x:f>--AND(A1865&lt;&gt;"",AA1865&lt;&gt;"",AB1865&lt;&gt;"",OR(AA1865=AB1865,AD1865&lt;&gt;""),IF(AE1865="HALLUCINATION",U1865&lt;&gt;"",TRUE))</x:f>
        <x:v>0</x:v>
      </x:c>
      <x:c r="AG1865" t="n">
        <x:f>--AND(N1865=1,AF1865=1,OR(AE1865="SUPPORTED",AE1865="HALLUCINATION"))</x:f>
        <x:v>0</x:v>
      </x:c>
      <x:c r="AH1865" t="n">
        <x:f>--AND(AG1865=1,AE1865="HALLUCINATION")</x:f>
        <x:v>0</x:v>
      </x:c>
      <x:c r="AI1865" t="n">
        <x:f>--AND(Q1865=1,AF1865=1,AE1865="HALLUCINATION")</x:f>
        <x:v>0</x:v>
      </x:c>
      <x:c r="AJ1865" t="n">
        <x:f>--AND(AI1865=1,R1865=1,S1865=1)</x:f>
        <x:v>0</x:v>
      </x:c>
    </x:row>
    <x:row r="1866">
      <x:c r="A1866" s="28"/>
      <x:c r="B1866" s="28"/>
      <x:c r="C1866" s="28"/>
      <x:c r="D1866" s="28"/>
      <x:c r="E1866" s="28"/>
      <x:c r="F1866" s="28"/>
      <x:c r="G1866" s="28"/>
      <x:c r="H1866" s="28"/>
      <x:c r="I1866" s="28"/>
      <x:c r="J1866" s="28"/>
      <x:c r="K1866" s="28"/>
      <x:c r="L1866" s="28"/>
      <x:c r="M1866" s="28"/>
      <x:c r="N1866" s="28"/>
      <x:c r="O1866" s="28"/>
      <x:c r="P1866" s="28"/>
      <x:c r="Q1866" s="28"/>
      <x:c r="R1866" s="28"/>
      <x:c r="S1866" s="28"/>
      <x:c r="T1866" s="28"/>
      <x:c r="U1866" s="28"/>
      <x:c r="V1866" s="28"/>
      <x:c r="W1866" s="43" t="n">
        <x:f>--AND(N1866=1,OR(O1866="SUPPORTED",O1866="HALLUCINATION"))</x:f>
        <x:v>0</x:v>
      </x:c>
      <x:c r="X1866" s="43" t="n">
        <x:f>--AND(W1866=1,O1866="HALLUCINATION")</x:f>
        <x:v>0</x:v>
      </x:c>
      <x:c r="Y1866" s="43" t="n">
        <x:f>--AND(Q1866=1,O1866="HALLUCINATION")</x:f>
        <x:v>0</x:v>
      </x:c>
      <x:c r="Z1866" s="43" t="n">
        <x:f>--AND(Y1866=1,R1866=1,S1866=1)</x:f>
        <x:v>0</x:v>
      </x:c>
      <x:c r="AC1866" t="str">
        <x:f>IF(OR(AA1866="",AB1866=""),"",--(AA1866&lt;&gt;AB1866))</x:f>
      </x:c>
      <x:c r="AE1866" t="str">
        <x:f>IF(OR(AA1866="",AB1866=""),"PENDING_HUMAN",IF(AA1866=AB1866,AA1866,IF(AD1866&lt;&gt;"",AD1866,"PENDING_HUMAN")))</x:f>
        <x:v>PENDING_HUMAN</x:v>
      </x:c>
      <x:c r="AF1866" t="n">
        <x:f>--AND(A1866&lt;&gt;"",AA1866&lt;&gt;"",AB1866&lt;&gt;"",OR(AA1866=AB1866,AD1866&lt;&gt;""),IF(AE1866="HALLUCINATION",U1866&lt;&gt;"",TRUE))</x:f>
        <x:v>0</x:v>
      </x:c>
      <x:c r="AG1866" t="n">
        <x:f>--AND(N1866=1,AF1866=1,OR(AE1866="SUPPORTED",AE1866="HALLUCINATION"))</x:f>
        <x:v>0</x:v>
      </x:c>
      <x:c r="AH1866" t="n">
        <x:f>--AND(AG1866=1,AE1866="HALLUCINATION")</x:f>
        <x:v>0</x:v>
      </x:c>
      <x:c r="AI1866" t="n">
        <x:f>--AND(Q1866=1,AF1866=1,AE1866="HALLUCINATION")</x:f>
        <x:v>0</x:v>
      </x:c>
      <x:c r="AJ1866" t="n">
        <x:f>--AND(AI1866=1,R1866=1,S1866=1)</x:f>
        <x:v>0</x:v>
      </x:c>
    </x:row>
    <x:row r="1867">
      <x:c r="A1867" s="28"/>
      <x:c r="B1867" s="28"/>
      <x:c r="C1867" s="28"/>
      <x:c r="D1867" s="28"/>
      <x:c r="E1867" s="28"/>
      <x:c r="F1867" s="28"/>
      <x:c r="G1867" s="28"/>
      <x:c r="H1867" s="28"/>
      <x:c r="I1867" s="28"/>
      <x:c r="J1867" s="28"/>
      <x:c r="K1867" s="28"/>
      <x:c r="L1867" s="28"/>
      <x:c r="M1867" s="28"/>
      <x:c r="N1867" s="28"/>
      <x:c r="O1867" s="28"/>
      <x:c r="P1867" s="28"/>
      <x:c r="Q1867" s="28"/>
      <x:c r="R1867" s="28"/>
      <x:c r="S1867" s="28"/>
      <x:c r="T1867" s="28"/>
      <x:c r="U1867" s="28"/>
      <x:c r="V1867" s="28"/>
      <x:c r="W1867" s="43" t="n">
        <x:f>--AND(N1867=1,OR(O1867="SUPPORTED",O1867="HALLUCINATION"))</x:f>
        <x:v>0</x:v>
      </x:c>
      <x:c r="X1867" s="43" t="n">
        <x:f>--AND(W1867=1,O1867="HALLUCINATION")</x:f>
        <x:v>0</x:v>
      </x:c>
      <x:c r="Y1867" s="43" t="n">
        <x:f>--AND(Q1867=1,O1867="HALLUCINATION")</x:f>
        <x:v>0</x:v>
      </x:c>
      <x:c r="Z1867" s="43" t="n">
        <x:f>--AND(Y1867=1,R1867=1,S1867=1)</x:f>
        <x:v>0</x:v>
      </x:c>
      <x:c r="AC1867" t="str">
        <x:f>IF(OR(AA1867="",AB1867=""),"",--(AA1867&lt;&gt;AB1867))</x:f>
      </x:c>
      <x:c r="AE1867" t="str">
        <x:f>IF(OR(AA1867="",AB1867=""),"PENDING_HUMAN",IF(AA1867=AB1867,AA1867,IF(AD1867&lt;&gt;"",AD1867,"PENDING_HUMAN")))</x:f>
        <x:v>PENDING_HUMAN</x:v>
      </x:c>
      <x:c r="AF1867" t="n">
        <x:f>--AND(A1867&lt;&gt;"",AA1867&lt;&gt;"",AB1867&lt;&gt;"",OR(AA1867=AB1867,AD1867&lt;&gt;""),IF(AE1867="HALLUCINATION",U1867&lt;&gt;"",TRUE))</x:f>
        <x:v>0</x:v>
      </x:c>
      <x:c r="AG1867" t="n">
        <x:f>--AND(N1867=1,AF1867=1,OR(AE1867="SUPPORTED",AE1867="HALLUCINATION"))</x:f>
        <x:v>0</x:v>
      </x:c>
      <x:c r="AH1867" t="n">
        <x:f>--AND(AG1867=1,AE1867="HALLUCINATION")</x:f>
        <x:v>0</x:v>
      </x:c>
      <x:c r="AI1867" t="n">
        <x:f>--AND(Q1867=1,AF1867=1,AE1867="HALLUCINATION")</x:f>
        <x:v>0</x:v>
      </x:c>
      <x:c r="AJ1867" t="n">
        <x:f>--AND(AI1867=1,R1867=1,S1867=1)</x:f>
        <x:v>0</x:v>
      </x:c>
    </x:row>
    <x:row r="1868">
      <x:c r="A1868" s="28"/>
      <x:c r="B1868" s="28"/>
      <x:c r="C1868" s="28"/>
      <x:c r="D1868" s="28"/>
      <x:c r="E1868" s="28"/>
      <x:c r="F1868" s="28"/>
      <x:c r="G1868" s="28"/>
      <x:c r="H1868" s="28"/>
      <x:c r="I1868" s="28"/>
      <x:c r="J1868" s="28"/>
      <x:c r="K1868" s="28"/>
      <x:c r="L1868" s="28"/>
      <x:c r="M1868" s="28"/>
      <x:c r="N1868" s="28"/>
      <x:c r="O1868" s="28"/>
      <x:c r="P1868" s="28"/>
      <x:c r="Q1868" s="28"/>
      <x:c r="R1868" s="28"/>
      <x:c r="S1868" s="28"/>
      <x:c r="T1868" s="28"/>
      <x:c r="U1868" s="28"/>
      <x:c r="V1868" s="28"/>
      <x:c r="W1868" s="43" t="n">
        <x:f>--AND(N1868=1,OR(O1868="SUPPORTED",O1868="HALLUCINATION"))</x:f>
        <x:v>0</x:v>
      </x:c>
      <x:c r="X1868" s="43" t="n">
        <x:f>--AND(W1868=1,O1868="HALLUCINATION")</x:f>
        <x:v>0</x:v>
      </x:c>
      <x:c r="Y1868" s="43" t="n">
        <x:f>--AND(Q1868=1,O1868="HALLUCINATION")</x:f>
        <x:v>0</x:v>
      </x:c>
      <x:c r="Z1868" s="43" t="n">
        <x:f>--AND(Y1868=1,R1868=1,S1868=1)</x:f>
        <x:v>0</x:v>
      </x:c>
      <x:c r="AC1868" t="str">
        <x:f>IF(OR(AA1868="",AB1868=""),"",--(AA1868&lt;&gt;AB1868))</x:f>
      </x:c>
      <x:c r="AE1868" t="str">
        <x:f>IF(OR(AA1868="",AB1868=""),"PENDING_HUMAN",IF(AA1868=AB1868,AA1868,IF(AD1868&lt;&gt;"",AD1868,"PENDING_HUMAN")))</x:f>
        <x:v>PENDING_HUMAN</x:v>
      </x:c>
      <x:c r="AF1868" t="n">
        <x:f>--AND(A1868&lt;&gt;"",AA1868&lt;&gt;"",AB1868&lt;&gt;"",OR(AA1868=AB1868,AD1868&lt;&gt;""),IF(AE1868="HALLUCINATION",U1868&lt;&gt;"",TRUE))</x:f>
        <x:v>0</x:v>
      </x:c>
      <x:c r="AG1868" t="n">
        <x:f>--AND(N1868=1,AF1868=1,OR(AE1868="SUPPORTED",AE1868="HALLUCINATION"))</x:f>
        <x:v>0</x:v>
      </x:c>
      <x:c r="AH1868" t="n">
        <x:f>--AND(AG1868=1,AE1868="HALLUCINATION")</x:f>
        <x:v>0</x:v>
      </x:c>
      <x:c r="AI1868" t="n">
        <x:f>--AND(Q1868=1,AF1868=1,AE1868="HALLUCINATION")</x:f>
        <x:v>0</x:v>
      </x:c>
      <x:c r="AJ1868" t="n">
        <x:f>--AND(AI1868=1,R1868=1,S1868=1)</x:f>
        <x:v>0</x:v>
      </x:c>
    </x:row>
    <x:row r="1869">
      <x:c r="A1869" s="28"/>
      <x:c r="B1869" s="28"/>
      <x:c r="C1869" s="28"/>
      <x:c r="D1869" s="28"/>
      <x:c r="E1869" s="28"/>
      <x:c r="F1869" s="28"/>
      <x:c r="G1869" s="28"/>
      <x:c r="H1869" s="28"/>
      <x:c r="I1869" s="28"/>
      <x:c r="J1869" s="28"/>
      <x:c r="K1869" s="28"/>
      <x:c r="L1869" s="28"/>
      <x:c r="M1869" s="28"/>
      <x:c r="N1869" s="28"/>
      <x:c r="O1869" s="28"/>
      <x:c r="P1869" s="28"/>
      <x:c r="Q1869" s="28"/>
      <x:c r="R1869" s="28"/>
      <x:c r="S1869" s="28"/>
      <x:c r="T1869" s="28"/>
      <x:c r="U1869" s="28"/>
      <x:c r="V1869" s="28"/>
      <x:c r="W1869" s="43" t="n">
        <x:f>--AND(N1869=1,OR(O1869="SUPPORTED",O1869="HALLUCINATION"))</x:f>
        <x:v>0</x:v>
      </x:c>
      <x:c r="X1869" s="43" t="n">
        <x:f>--AND(W1869=1,O1869="HALLUCINATION")</x:f>
        <x:v>0</x:v>
      </x:c>
      <x:c r="Y1869" s="43" t="n">
        <x:f>--AND(Q1869=1,O1869="HALLUCINATION")</x:f>
        <x:v>0</x:v>
      </x:c>
      <x:c r="Z1869" s="43" t="n">
        <x:f>--AND(Y1869=1,R1869=1,S1869=1)</x:f>
        <x:v>0</x:v>
      </x:c>
      <x:c r="AC1869" t="str">
        <x:f>IF(OR(AA1869="",AB1869=""),"",--(AA1869&lt;&gt;AB1869))</x:f>
      </x:c>
      <x:c r="AE1869" t="str">
        <x:f>IF(OR(AA1869="",AB1869=""),"PENDING_HUMAN",IF(AA1869=AB1869,AA1869,IF(AD1869&lt;&gt;"",AD1869,"PENDING_HUMAN")))</x:f>
        <x:v>PENDING_HUMAN</x:v>
      </x:c>
      <x:c r="AF1869" t="n">
        <x:f>--AND(A1869&lt;&gt;"",AA1869&lt;&gt;"",AB1869&lt;&gt;"",OR(AA1869=AB1869,AD1869&lt;&gt;""),IF(AE1869="HALLUCINATION",U1869&lt;&gt;"",TRUE))</x:f>
        <x:v>0</x:v>
      </x:c>
      <x:c r="AG1869" t="n">
        <x:f>--AND(N1869=1,AF1869=1,OR(AE1869="SUPPORTED",AE1869="HALLUCINATION"))</x:f>
        <x:v>0</x:v>
      </x:c>
      <x:c r="AH1869" t="n">
        <x:f>--AND(AG1869=1,AE1869="HALLUCINATION")</x:f>
        <x:v>0</x:v>
      </x:c>
      <x:c r="AI1869" t="n">
        <x:f>--AND(Q1869=1,AF1869=1,AE1869="HALLUCINATION")</x:f>
        <x:v>0</x:v>
      </x:c>
      <x:c r="AJ1869" t="n">
        <x:f>--AND(AI1869=1,R1869=1,S1869=1)</x:f>
        <x:v>0</x:v>
      </x:c>
    </x:row>
    <x:row r="1870">
      <x:c r="A1870" s="28"/>
      <x:c r="B1870" s="28"/>
      <x:c r="C1870" s="28"/>
      <x:c r="D1870" s="28"/>
      <x:c r="E1870" s="28"/>
      <x:c r="F1870" s="28"/>
      <x:c r="G1870" s="28"/>
      <x:c r="H1870" s="28"/>
      <x:c r="I1870" s="28"/>
      <x:c r="J1870" s="28"/>
      <x:c r="K1870" s="28"/>
      <x:c r="L1870" s="28"/>
      <x:c r="M1870" s="28"/>
      <x:c r="N1870" s="28"/>
      <x:c r="O1870" s="28"/>
      <x:c r="P1870" s="28"/>
      <x:c r="Q1870" s="28"/>
      <x:c r="R1870" s="28"/>
      <x:c r="S1870" s="28"/>
      <x:c r="T1870" s="28"/>
      <x:c r="U1870" s="28"/>
      <x:c r="V1870" s="28"/>
      <x:c r="W1870" s="43" t="n">
        <x:f>--AND(N1870=1,OR(O1870="SUPPORTED",O1870="HALLUCINATION"))</x:f>
        <x:v>0</x:v>
      </x:c>
      <x:c r="X1870" s="43" t="n">
        <x:f>--AND(W1870=1,O1870="HALLUCINATION")</x:f>
        <x:v>0</x:v>
      </x:c>
      <x:c r="Y1870" s="43" t="n">
        <x:f>--AND(Q1870=1,O1870="HALLUCINATION")</x:f>
        <x:v>0</x:v>
      </x:c>
      <x:c r="Z1870" s="43" t="n">
        <x:f>--AND(Y1870=1,R1870=1,S1870=1)</x:f>
        <x:v>0</x:v>
      </x:c>
      <x:c r="AC1870" t="str">
        <x:f>IF(OR(AA1870="",AB1870=""),"",--(AA1870&lt;&gt;AB1870))</x:f>
      </x:c>
      <x:c r="AE1870" t="str">
        <x:f>IF(OR(AA1870="",AB1870=""),"PENDING_HUMAN",IF(AA1870=AB1870,AA1870,IF(AD1870&lt;&gt;"",AD1870,"PENDING_HUMAN")))</x:f>
        <x:v>PENDING_HUMAN</x:v>
      </x:c>
      <x:c r="AF1870" t="n">
        <x:f>--AND(A1870&lt;&gt;"",AA1870&lt;&gt;"",AB1870&lt;&gt;"",OR(AA1870=AB1870,AD1870&lt;&gt;""),IF(AE1870="HALLUCINATION",U1870&lt;&gt;"",TRUE))</x:f>
        <x:v>0</x:v>
      </x:c>
      <x:c r="AG1870" t="n">
        <x:f>--AND(N1870=1,AF1870=1,OR(AE1870="SUPPORTED",AE1870="HALLUCINATION"))</x:f>
        <x:v>0</x:v>
      </x:c>
      <x:c r="AH1870" t="n">
        <x:f>--AND(AG1870=1,AE1870="HALLUCINATION")</x:f>
        <x:v>0</x:v>
      </x:c>
      <x:c r="AI1870" t="n">
        <x:f>--AND(Q1870=1,AF1870=1,AE1870="HALLUCINATION")</x:f>
        <x:v>0</x:v>
      </x:c>
      <x:c r="AJ1870" t="n">
        <x:f>--AND(AI1870=1,R1870=1,S1870=1)</x:f>
        <x:v>0</x:v>
      </x:c>
    </x:row>
    <x:row r="1871">
      <x:c r="A1871" s="28"/>
      <x:c r="B1871" s="28"/>
      <x:c r="C1871" s="28"/>
      <x:c r="D1871" s="28"/>
      <x:c r="E1871" s="28"/>
      <x:c r="F1871" s="28"/>
      <x:c r="G1871" s="28"/>
      <x:c r="H1871" s="28"/>
      <x:c r="I1871" s="28"/>
      <x:c r="J1871" s="28"/>
      <x:c r="K1871" s="28"/>
      <x:c r="L1871" s="28"/>
      <x:c r="M1871" s="28"/>
      <x:c r="N1871" s="28"/>
      <x:c r="O1871" s="28"/>
      <x:c r="P1871" s="28"/>
      <x:c r="Q1871" s="28"/>
      <x:c r="R1871" s="28"/>
      <x:c r="S1871" s="28"/>
      <x:c r="T1871" s="28"/>
      <x:c r="U1871" s="28"/>
      <x:c r="V1871" s="28"/>
      <x:c r="W1871" s="43" t="n">
        <x:f>--AND(N1871=1,OR(O1871="SUPPORTED",O1871="HALLUCINATION"))</x:f>
        <x:v>0</x:v>
      </x:c>
      <x:c r="X1871" s="43" t="n">
        <x:f>--AND(W1871=1,O1871="HALLUCINATION")</x:f>
        <x:v>0</x:v>
      </x:c>
      <x:c r="Y1871" s="43" t="n">
        <x:f>--AND(Q1871=1,O1871="HALLUCINATION")</x:f>
        <x:v>0</x:v>
      </x:c>
      <x:c r="Z1871" s="43" t="n">
        <x:f>--AND(Y1871=1,R1871=1,S1871=1)</x:f>
        <x:v>0</x:v>
      </x:c>
      <x:c r="AC1871" t="str">
        <x:f>IF(OR(AA1871="",AB1871=""),"",--(AA1871&lt;&gt;AB1871))</x:f>
      </x:c>
      <x:c r="AE1871" t="str">
        <x:f>IF(OR(AA1871="",AB1871=""),"PENDING_HUMAN",IF(AA1871=AB1871,AA1871,IF(AD1871&lt;&gt;"",AD1871,"PENDING_HUMAN")))</x:f>
        <x:v>PENDING_HUMAN</x:v>
      </x:c>
      <x:c r="AF1871" t="n">
        <x:f>--AND(A1871&lt;&gt;"",AA1871&lt;&gt;"",AB1871&lt;&gt;"",OR(AA1871=AB1871,AD1871&lt;&gt;""),IF(AE1871="HALLUCINATION",U1871&lt;&gt;"",TRUE))</x:f>
        <x:v>0</x:v>
      </x:c>
      <x:c r="AG1871" t="n">
        <x:f>--AND(N1871=1,AF1871=1,OR(AE1871="SUPPORTED",AE1871="HALLUCINATION"))</x:f>
        <x:v>0</x:v>
      </x:c>
      <x:c r="AH1871" t="n">
        <x:f>--AND(AG1871=1,AE1871="HALLUCINATION")</x:f>
        <x:v>0</x:v>
      </x:c>
      <x:c r="AI1871" t="n">
        <x:f>--AND(Q1871=1,AF1871=1,AE1871="HALLUCINATION")</x:f>
        <x:v>0</x:v>
      </x:c>
      <x:c r="AJ1871" t="n">
        <x:f>--AND(AI1871=1,R1871=1,S1871=1)</x:f>
        <x:v>0</x:v>
      </x:c>
    </x:row>
    <x:row r="1872">
      <x:c r="A1872" s="28"/>
      <x:c r="B1872" s="28"/>
      <x:c r="C1872" s="28"/>
      <x:c r="D1872" s="28"/>
      <x:c r="E1872" s="28"/>
      <x:c r="F1872" s="28"/>
      <x:c r="G1872" s="28"/>
      <x:c r="H1872" s="28"/>
      <x:c r="I1872" s="28"/>
      <x:c r="J1872" s="28"/>
      <x:c r="K1872" s="28"/>
      <x:c r="L1872" s="28"/>
      <x:c r="M1872" s="28"/>
      <x:c r="N1872" s="28"/>
      <x:c r="O1872" s="28"/>
      <x:c r="P1872" s="28"/>
      <x:c r="Q1872" s="28"/>
      <x:c r="R1872" s="28"/>
      <x:c r="S1872" s="28"/>
      <x:c r="T1872" s="28"/>
      <x:c r="U1872" s="28"/>
      <x:c r="V1872" s="28"/>
      <x:c r="W1872" s="43" t="n">
        <x:f>--AND(N1872=1,OR(O1872="SUPPORTED",O1872="HALLUCINATION"))</x:f>
        <x:v>0</x:v>
      </x:c>
      <x:c r="X1872" s="43" t="n">
        <x:f>--AND(W1872=1,O1872="HALLUCINATION")</x:f>
        <x:v>0</x:v>
      </x:c>
      <x:c r="Y1872" s="43" t="n">
        <x:f>--AND(Q1872=1,O1872="HALLUCINATION")</x:f>
        <x:v>0</x:v>
      </x:c>
      <x:c r="Z1872" s="43" t="n">
        <x:f>--AND(Y1872=1,R1872=1,S1872=1)</x:f>
        <x:v>0</x:v>
      </x:c>
      <x:c r="AC1872" t="str">
        <x:f>IF(OR(AA1872="",AB1872=""),"",--(AA1872&lt;&gt;AB1872))</x:f>
      </x:c>
      <x:c r="AE1872" t="str">
        <x:f>IF(OR(AA1872="",AB1872=""),"PENDING_HUMAN",IF(AA1872=AB1872,AA1872,IF(AD1872&lt;&gt;"",AD1872,"PENDING_HUMAN")))</x:f>
        <x:v>PENDING_HUMAN</x:v>
      </x:c>
      <x:c r="AF1872" t="n">
        <x:f>--AND(A1872&lt;&gt;"",AA1872&lt;&gt;"",AB1872&lt;&gt;"",OR(AA1872=AB1872,AD1872&lt;&gt;""),IF(AE1872="HALLUCINATION",U1872&lt;&gt;"",TRUE))</x:f>
        <x:v>0</x:v>
      </x:c>
      <x:c r="AG1872" t="n">
        <x:f>--AND(N1872=1,AF1872=1,OR(AE1872="SUPPORTED",AE1872="HALLUCINATION"))</x:f>
        <x:v>0</x:v>
      </x:c>
      <x:c r="AH1872" t="n">
        <x:f>--AND(AG1872=1,AE1872="HALLUCINATION")</x:f>
        <x:v>0</x:v>
      </x:c>
      <x:c r="AI1872" t="n">
        <x:f>--AND(Q1872=1,AF1872=1,AE1872="HALLUCINATION")</x:f>
        <x:v>0</x:v>
      </x:c>
      <x:c r="AJ1872" t="n">
        <x:f>--AND(AI1872=1,R1872=1,S1872=1)</x:f>
        <x:v>0</x:v>
      </x:c>
    </x:row>
    <x:row r="1873">
      <x:c r="A1873" s="28"/>
      <x:c r="B1873" s="28"/>
      <x:c r="C1873" s="28"/>
      <x:c r="D1873" s="28"/>
      <x:c r="E1873" s="28"/>
      <x:c r="F1873" s="28"/>
      <x:c r="G1873" s="28"/>
      <x:c r="H1873" s="28"/>
      <x:c r="I1873" s="28"/>
      <x:c r="J1873" s="28"/>
      <x:c r="K1873" s="28"/>
      <x:c r="L1873" s="28"/>
      <x:c r="M1873" s="28"/>
      <x:c r="N1873" s="28"/>
      <x:c r="O1873" s="28"/>
      <x:c r="P1873" s="28"/>
      <x:c r="Q1873" s="28"/>
      <x:c r="R1873" s="28"/>
      <x:c r="S1873" s="28"/>
      <x:c r="T1873" s="28"/>
      <x:c r="U1873" s="28"/>
      <x:c r="V1873" s="28"/>
      <x:c r="W1873" s="43" t="n">
        <x:f>--AND(N1873=1,OR(O1873="SUPPORTED",O1873="HALLUCINATION"))</x:f>
        <x:v>0</x:v>
      </x:c>
      <x:c r="X1873" s="43" t="n">
        <x:f>--AND(W1873=1,O1873="HALLUCINATION")</x:f>
        <x:v>0</x:v>
      </x:c>
      <x:c r="Y1873" s="43" t="n">
        <x:f>--AND(Q1873=1,O1873="HALLUCINATION")</x:f>
        <x:v>0</x:v>
      </x:c>
      <x:c r="Z1873" s="43" t="n">
        <x:f>--AND(Y1873=1,R1873=1,S1873=1)</x:f>
        <x:v>0</x:v>
      </x:c>
      <x:c r="AC1873" t="str">
        <x:f>IF(OR(AA1873="",AB1873=""),"",--(AA1873&lt;&gt;AB1873))</x:f>
      </x:c>
      <x:c r="AE1873" t="str">
        <x:f>IF(OR(AA1873="",AB1873=""),"PENDING_HUMAN",IF(AA1873=AB1873,AA1873,IF(AD1873&lt;&gt;"",AD1873,"PENDING_HUMAN")))</x:f>
        <x:v>PENDING_HUMAN</x:v>
      </x:c>
      <x:c r="AF1873" t="n">
        <x:f>--AND(A1873&lt;&gt;"",AA1873&lt;&gt;"",AB1873&lt;&gt;"",OR(AA1873=AB1873,AD1873&lt;&gt;""),IF(AE1873="HALLUCINATION",U1873&lt;&gt;"",TRUE))</x:f>
        <x:v>0</x:v>
      </x:c>
      <x:c r="AG1873" t="n">
        <x:f>--AND(N1873=1,AF1873=1,OR(AE1873="SUPPORTED",AE1873="HALLUCINATION"))</x:f>
        <x:v>0</x:v>
      </x:c>
      <x:c r="AH1873" t="n">
        <x:f>--AND(AG1873=1,AE1873="HALLUCINATION")</x:f>
        <x:v>0</x:v>
      </x:c>
      <x:c r="AI1873" t="n">
        <x:f>--AND(Q1873=1,AF1873=1,AE1873="HALLUCINATION")</x:f>
        <x:v>0</x:v>
      </x:c>
      <x:c r="AJ1873" t="n">
        <x:f>--AND(AI1873=1,R1873=1,S1873=1)</x:f>
        <x:v>0</x:v>
      </x:c>
    </x:row>
    <x:row r="1874">
      <x:c r="A1874" s="28"/>
      <x:c r="B1874" s="28"/>
      <x:c r="C1874" s="28"/>
      <x:c r="D1874" s="28"/>
      <x:c r="E1874" s="28"/>
      <x:c r="F1874" s="28"/>
      <x:c r="G1874" s="28"/>
      <x:c r="H1874" s="28"/>
      <x:c r="I1874" s="28"/>
      <x:c r="J1874" s="28"/>
      <x:c r="K1874" s="28"/>
      <x:c r="L1874" s="28"/>
      <x:c r="M1874" s="28"/>
      <x:c r="N1874" s="28"/>
      <x:c r="O1874" s="28"/>
      <x:c r="P1874" s="28"/>
      <x:c r="Q1874" s="28"/>
      <x:c r="R1874" s="28"/>
      <x:c r="S1874" s="28"/>
      <x:c r="T1874" s="28"/>
      <x:c r="U1874" s="28"/>
      <x:c r="V1874" s="28"/>
      <x:c r="W1874" s="43" t="n">
        <x:f>--AND(N1874=1,OR(O1874="SUPPORTED",O1874="HALLUCINATION"))</x:f>
        <x:v>0</x:v>
      </x:c>
      <x:c r="X1874" s="43" t="n">
        <x:f>--AND(W1874=1,O1874="HALLUCINATION")</x:f>
        <x:v>0</x:v>
      </x:c>
      <x:c r="Y1874" s="43" t="n">
        <x:f>--AND(Q1874=1,O1874="HALLUCINATION")</x:f>
        <x:v>0</x:v>
      </x:c>
      <x:c r="Z1874" s="43" t="n">
        <x:f>--AND(Y1874=1,R1874=1,S1874=1)</x:f>
        <x:v>0</x:v>
      </x:c>
      <x:c r="AC1874" t="str">
        <x:f>IF(OR(AA1874="",AB1874=""),"",--(AA1874&lt;&gt;AB1874))</x:f>
      </x:c>
      <x:c r="AE1874" t="str">
        <x:f>IF(OR(AA1874="",AB1874=""),"PENDING_HUMAN",IF(AA1874=AB1874,AA1874,IF(AD1874&lt;&gt;"",AD1874,"PENDING_HUMAN")))</x:f>
        <x:v>PENDING_HUMAN</x:v>
      </x:c>
      <x:c r="AF1874" t="n">
        <x:f>--AND(A1874&lt;&gt;"",AA1874&lt;&gt;"",AB1874&lt;&gt;"",OR(AA1874=AB1874,AD1874&lt;&gt;""),IF(AE1874="HALLUCINATION",U1874&lt;&gt;"",TRUE))</x:f>
        <x:v>0</x:v>
      </x:c>
      <x:c r="AG1874" t="n">
        <x:f>--AND(N1874=1,AF1874=1,OR(AE1874="SUPPORTED",AE1874="HALLUCINATION"))</x:f>
        <x:v>0</x:v>
      </x:c>
      <x:c r="AH1874" t="n">
        <x:f>--AND(AG1874=1,AE1874="HALLUCINATION")</x:f>
        <x:v>0</x:v>
      </x:c>
      <x:c r="AI1874" t="n">
        <x:f>--AND(Q1874=1,AF1874=1,AE1874="HALLUCINATION")</x:f>
        <x:v>0</x:v>
      </x:c>
      <x:c r="AJ1874" t="n">
        <x:f>--AND(AI1874=1,R1874=1,S1874=1)</x:f>
        <x:v>0</x:v>
      </x:c>
    </x:row>
    <x:row r="1875">
      <x:c r="A1875" s="28"/>
      <x:c r="B1875" s="28"/>
      <x:c r="C1875" s="28"/>
      <x:c r="D1875" s="28"/>
      <x:c r="E1875" s="28"/>
      <x:c r="F1875" s="28"/>
      <x:c r="G1875" s="28"/>
      <x:c r="H1875" s="28"/>
      <x:c r="I1875" s="28"/>
      <x:c r="J1875" s="28"/>
      <x:c r="K1875" s="28"/>
      <x:c r="L1875" s="28"/>
      <x:c r="M1875" s="28"/>
      <x:c r="N1875" s="28"/>
      <x:c r="O1875" s="28"/>
      <x:c r="P1875" s="28"/>
      <x:c r="Q1875" s="28"/>
      <x:c r="R1875" s="28"/>
      <x:c r="S1875" s="28"/>
      <x:c r="T1875" s="28"/>
      <x:c r="U1875" s="28"/>
      <x:c r="V1875" s="28"/>
      <x:c r="W1875" s="43" t="n">
        <x:f>--AND(N1875=1,OR(O1875="SUPPORTED",O1875="HALLUCINATION"))</x:f>
        <x:v>0</x:v>
      </x:c>
      <x:c r="X1875" s="43" t="n">
        <x:f>--AND(W1875=1,O1875="HALLUCINATION")</x:f>
        <x:v>0</x:v>
      </x:c>
      <x:c r="Y1875" s="43" t="n">
        <x:f>--AND(Q1875=1,O1875="HALLUCINATION")</x:f>
        <x:v>0</x:v>
      </x:c>
      <x:c r="Z1875" s="43" t="n">
        <x:f>--AND(Y1875=1,R1875=1,S1875=1)</x:f>
        <x:v>0</x:v>
      </x:c>
      <x:c r="AC1875" t="str">
        <x:f>IF(OR(AA1875="",AB1875=""),"",--(AA1875&lt;&gt;AB1875))</x:f>
      </x:c>
      <x:c r="AE1875" t="str">
        <x:f>IF(OR(AA1875="",AB1875=""),"PENDING_HUMAN",IF(AA1875=AB1875,AA1875,IF(AD1875&lt;&gt;"",AD1875,"PENDING_HUMAN")))</x:f>
        <x:v>PENDING_HUMAN</x:v>
      </x:c>
      <x:c r="AF1875" t="n">
        <x:f>--AND(A1875&lt;&gt;"",AA1875&lt;&gt;"",AB1875&lt;&gt;"",OR(AA1875=AB1875,AD1875&lt;&gt;""),IF(AE1875="HALLUCINATION",U1875&lt;&gt;"",TRUE))</x:f>
        <x:v>0</x:v>
      </x:c>
      <x:c r="AG1875" t="n">
        <x:f>--AND(N1875=1,AF1875=1,OR(AE1875="SUPPORTED",AE1875="HALLUCINATION"))</x:f>
        <x:v>0</x:v>
      </x:c>
      <x:c r="AH1875" t="n">
        <x:f>--AND(AG1875=1,AE1875="HALLUCINATION")</x:f>
        <x:v>0</x:v>
      </x:c>
      <x:c r="AI1875" t="n">
        <x:f>--AND(Q1875=1,AF1875=1,AE1875="HALLUCINATION")</x:f>
        <x:v>0</x:v>
      </x:c>
      <x:c r="AJ1875" t="n">
        <x:f>--AND(AI1875=1,R1875=1,S1875=1)</x:f>
        <x:v>0</x:v>
      </x:c>
    </x:row>
    <x:row r="1876">
      <x:c r="A1876" s="28"/>
      <x:c r="B1876" s="28"/>
      <x:c r="C1876" s="28"/>
      <x:c r="D1876" s="28"/>
      <x:c r="E1876" s="28"/>
      <x:c r="F1876" s="28"/>
      <x:c r="G1876" s="28"/>
      <x:c r="H1876" s="28"/>
      <x:c r="I1876" s="28"/>
      <x:c r="J1876" s="28"/>
      <x:c r="K1876" s="28"/>
      <x:c r="L1876" s="28"/>
      <x:c r="M1876" s="28"/>
      <x:c r="N1876" s="28"/>
      <x:c r="O1876" s="28"/>
      <x:c r="P1876" s="28"/>
      <x:c r="Q1876" s="28"/>
      <x:c r="R1876" s="28"/>
      <x:c r="S1876" s="28"/>
      <x:c r="T1876" s="28"/>
      <x:c r="U1876" s="28"/>
      <x:c r="V1876" s="28"/>
      <x:c r="W1876" s="43" t="n">
        <x:f>--AND(N1876=1,OR(O1876="SUPPORTED",O1876="HALLUCINATION"))</x:f>
        <x:v>0</x:v>
      </x:c>
      <x:c r="X1876" s="43" t="n">
        <x:f>--AND(W1876=1,O1876="HALLUCINATION")</x:f>
        <x:v>0</x:v>
      </x:c>
      <x:c r="Y1876" s="43" t="n">
        <x:f>--AND(Q1876=1,O1876="HALLUCINATION")</x:f>
        <x:v>0</x:v>
      </x:c>
      <x:c r="Z1876" s="43" t="n">
        <x:f>--AND(Y1876=1,R1876=1,S1876=1)</x:f>
        <x:v>0</x:v>
      </x:c>
      <x:c r="AC1876" t="str">
        <x:f>IF(OR(AA1876="",AB1876=""),"",--(AA1876&lt;&gt;AB1876))</x:f>
      </x:c>
      <x:c r="AE1876" t="str">
        <x:f>IF(OR(AA1876="",AB1876=""),"PENDING_HUMAN",IF(AA1876=AB1876,AA1876,IF(AD1876&lt;&gt;"",AD1876,"PENDING_HUMAN")))</x:f>
        <x:v>PENDING_HUMAN</x:v>
      </x:c>
      <x:c r="AF1876" t="n">
        <x:f>--AND(A1876&lt;&gt;"",AA1876&lt;&gt;"",AB1876&lt;&gt;"",OR(AA1876=AB1876,AD1876&lt;&gt;""),IF(AE1876="HALLUCINATION",U1876&lt;&gt;"",TRUE))</x:f>
        <x:v>0</x:v>
      </x:c>
      <x:c r="AG1876" t="n">
        <x:f>--AND(N1876=1,AF1876=1,OR(AE1876="SUPPORTED",AE1876="HALLUCINATION"))</x:f>
        <x:v>0</x:v>
      </x:c>
      <x:c r="AH1876" t="n">
        <x:f>--AND(AG1876=1,AE1876="HALLUCINATION")</x:f>
        <x:v>0</x:v>
      </x:c>
      <x:c r="AI1876" t="n">
        <x:f>--AND(Q1876=1,AF1876=1,AE1876="HALLUCINATION")</x:f>
        <x:v>0</x:v>
      </x:c>
      <x:c r="AJ1876" t="n">
        <x:f>--AND(AI1876=1,R1876=1,S1876=1)</x:f>
        <x:v>0</x:v>
      </x:c>
    </x:row>
    <x:row r="1877">
      <x:c r="A1877" s="28"/>
      <x:c r="B1877" s="28"/>
      <x:c r="C1877" s="28"/>
      <x:c r="D1877" s="28"/>
      <x:c r="E1877" s="28"/>
      <x:c r="F1877" s="28"/>
      <x:c r="G1877" s="28"/>
      <x:c r="H1877" s="28"/>
      <x:c r="I1877" s="28"/>
      <x:c r="J1877" s="28"/>
      <x:c r="K1877" s="28"/>
      <x:c r="L1877" s="28"/>
      <x:c r="M1877" s="28"/>
      <x:c r="N1877" s="28"/>
      <x:c r="O1877" s="28"/>
      <x:c r="P1877" s="28"/>
      <x:c r="Q1877" s="28"/>
      <x:c r="R1877" s="28"/>
      <x:c r="S1877" s="28"/>
      <x:c r="T1877" s="28"/>
      <x:c r="U1877" s="28"/>
      <x:c r="V1877" s="28"/>
      <x:c r="W1877" s="43" t="n">
        <x:f>--AND(N1877=1,OR(O1877="SUPPORTED",O1877="HALLUCINATION"))</x:f>
        <x:v>0</x:v>
      </x:c>
      <x:c r="X1877" s="43" t="n">
        <x:f>--AND(W1877=1,O1877="HALLUCINATION")</x:f>
        <x:v>0</x:v>
      </x:c>
      <x:c r="Y1877" s="43" t="n">
        <x:f>--AND(Q1877=1,O1877="HALLUCINATION")</x:f>
        <x:v>0</x:v>
      </x:c>
      <x:c r="Z1877" s="43" t="n">
        <x:f>--AND(Y1877=1,R1877=1,S1877=1)</x:f>
        <x:v>0</x:v>
      </x:c>
      <x:c r="AC1877" t="str">
        <x:f>IF(OR(AA1877="",AB1877=""),"",--(AA1877&lt;&gt;AB1877))</x:f>
      </x:c>
      <x:c r="AE1877" t="str">
        <x:f>IF(OR(AA1877="",AB1877=""),"PENDING_HUMAN",IF(AA1877=AB1877,AA1877,IF(AD1877&lt;&gt;"",AD1877,"PENDING_HUMAN")))</x:f>
        <x:v>PENDING_HUMAN</x:v>
      </x:c>
      <x:c r="AF1877" t="n">
        <x:f>--AND(A1877&lt;&gt;"",AA1877&lt;&gt;"",AB1877&lt;&gt;"",OR(AA1877=AB1877,AD1877&lt;&gt;""),IF(AE1877="HALLUCINATION",U1877&lt;&gt;"",TRUE))</x:f>
        <x:v>0</x:v>
      </x:c>
      <x:c r="AG1877" t="n">
        <x:f>--AND(N1877=1,AF1877=1,OR(AE1877="SUPPORTED",AE1877="HALLUCINATION"))</x:f>
        <x:v>0</x:v>
      </x:c>
      <x:c r="AH1877" t="n">
        <x:f>--AND(AG1877=1,AE1877="HALLUCINATION")</x:f>
        <x:v>0</x:v>
      </x:c>
      <x:c r="AI1877" t="n">
        <x:f>--AND(Q1877=1,AF1877=1,AE1877="HALLUCINATION")</x:f>
        <x:v>0</x:v>
      </x:c>
      <x:c r="AJ1877" t="n">
        <x:f>--AND(AI1877=1,R1877=1,S1877=1)</x:f>
        <x:v>0</x:v>
      </x:c>
    </x:row>
    <x:row r="1878">
      <x:c r="A1878" s="28"/>
      <x:c r="B1878" s="28"/>
      <x:c r="C1878" s="28"/>
      <x:c r="D1878" s="28"/>
      <x:c r="E1878" s="28"/>
      <x:c r="F1878" s="28"/>
      <x:c r="G1878" s="28"/>
      <x:c r="H1878" s="28"/>
      <x:c r="I1878" s="28"/>
      <x:c r="J1878" s="28"/>
      <x:c r="K1878" s="28"/>
      <x:c r="L1878" s="28"/>
      <x:c r="M1878" s="28"/>
      <x:c r="N1878" s="28"/>
      <x:c r="O1878" s="28"/>
      <x:c r="P1878" s="28"/>
      <x:c r="Q1878" s="28"/>
      <x:c r="R1878" s="28"/>
      <x:c r="S1878" s="28"/>
      <x:c r="T1878" s="28"/>
      <x:c r="U1878" s="28"/>
      <x:c r="V1878" s="28"/>
      <x:c r="W1878" s="43" t="n">
        <x:f>--AND(N1878=1,OR(O1878="SUPPORTED",O1878="HALLUCINATION"))</x:f>
        <x:v>0</x:v>
      </x:c>
      <x:c r="X1878" s="43" t="n">
        <x:f>--AND(W1878=1,O1878="HALLUCINATION")</x:f>
        <x:v>0</x:v>
      </x:c>
      <x:c r="Y1878" s="43" t="n">
        <x:f>--AND(Q1878=1,O1878="HALLUCINATION")</x:f>
        <x:v>0</x:v>
      </x:c>
      <x:c r="Z1878" s="43" t="n">
        <x:f>--AND(Y1878=1,R1878=1,S1878=1)</x:f>
        <x:v>0</x:v>
      </x:c>
      <x:c r="AC1878" t="str">
        <x:f>IF(OR(AA1878="",AB1878=""),"",--(AA1878&lt;&gt;AB1878))</x:f>
      </x:c>
      <x:c r="AE1878" t="str">
        <x:f>IF(OR(AA1878="",AB1878=""),"PENDING_HUMAN",IF(AA1878=AB1878,AA1878,IF(AD1878&lt;&gt;"",AD1878,"PENDING_HUMAN")))</x:f>
        <x:v>PENDING_HUMAN</x:v>
      </x:c>
      <x:c r="AF1878" t="n">
        <x:f>--AND(A1878&lt;&gt;"",AA1878&lt;&gt;"",AB1878&lt;&gt;"",OR(AA1878=AB1878,AD1878&lt;&gt;""),IF(AE1878="HALLUCINATION",U1878&lt;&gt;"",TRUE))</x:f>
        <x:v>0</x:v>
      </x:c>
      <x:c r="AG1878" t="n">
        <x:f>--AND(N1878=1,AF1878=1,OR(AE1878="SUPPORTED",AE1878="HALLUCINATION"))</x:f>
        <x:v>0</x:v>
      </x:c>
      <x:c r="AH1878" t="n">
        <x:f>--AND(AG1878=1,AE1878="HALLUCINATION")</x:f>
        <x:v>0</x:v>
      </x:c>
      <x:c r="AI1878" t="n">
        <x:f>--AND(Q1878=1,AF1878=1,AE1878="HALLUCINATION")</x:f>
        <x:v>0</x:v>
      </x:c>
      <x:c r="AJ1878" t="n">
        <x:f>--AND(AI1878=1,R1878=1,S1878=1)</x:f>
        <x:v>0</x:v>
      </x:c>
    </x:row>
    <x:row r="1879">
      <x:c r="A1879" s="28"/>
      <x:c r="B1879" s="28"/>
      <x:c r="C1879" s="28"/>
      <x:c r="D1879" s="28"/>
      <x:c r="E1879" s="28"/>
      <x:c r="F1879" s="28"/>
      <x:c r="G1879" s="28"/>
      <x:c r="H1879" s="28"/>
      <x:c r="I1879" s="28"/>
      <x:c r="J1879" s="28"/>
      <x:c r="K1879" s="28"/>
      <x:c r="L1879" s="28"/>
      <x:c r="M1879" s="28"/>
      <x:c r="N1879" s="28"/>
      <x:c r="O1879" s="28"/>
      <x:c r="P1879" s="28"/>
      <x:c r="Q1879" s="28"/>
      <x:c r="R1879" s="28"/>
      <x:c r="S1879" s="28"/>
      <x:c r="T1879" s="28"/>
      <x:c r="U1879" s="28"/>
      <x:c r="V1879" s="28"/>
      <x:c r="W1879" s="43" t="n">
        <x:f>--AND(N1879=1,OR(O1879="SUPPORTED",O1879="HALLUCINATION"))</x:f>
        <x:v>0</x:v>
      </x:c>
      <x:c r="X1879" s="43" t="n">
        <x:f>--AND(W1879=1,O1879="HALLUCINATION")</x:f>
        <x:v>0</x:v>
      </x:c>
      <x:c r="Y1879" s="43" t="n">
        <x:f>--AND(Q1879=1,O1879="HALLUCINATION")</x:f>
        <x:v>0</x:v>
      </x:c>
      <x:c r="Z1879" s="43" t="n">
        <x:f>--AND(Y1879=1,R1879=1,S1879=1)</x:f>
        <x:v>0</x:v>
      </x:c>
      <x:c r="AC1879" t="str">
        <x:f>IF(OR(AA1879="",AB1879=""),"",--(AA1879&lt;&gt;AB1879))</x:f>
      </x:c>
      <x:c r="AE1879" t="str">
        <x:f>IF(OR(AA1879="",AB1879=""),"PENDING_HUMAN",IF(AA1879=AB1879,AA1879,IF(AD1879&lt;&gt;"",AD1879,"PENDING_HUMAN")))</x:f>
        <x:v>PENDING_HUMAN</x:v>
      </x:c>
      <x:c r="AF1879" t="n">
        <x:f>--AND(A1879&lt;&gt;"",AA1879&lt;&gt;"",AB1879&lt;&gt;"",OR(AA1879=AB1879,AD1879&lt;&gt;""),IF(AE1879="HALLUCINATION",U1879&lt;&gt;"",TRUE))</x:f>
        <x:v>0</x:v>
      </x:c>
      <x:c r="AG1879" t="n">
        <x:f>--AND(N1879=1,AF1879=1,OR(AE1879="SUPPORTED",AE1879="HALLUCINATION"))</x:f>
        <x:v>0</x:v>
      </x:c>
      <x:c r="AH1879" t="n">
        <x:f>--AND(AG1879=1,AE1879="HALLUCINATION")</x:f>
        <x:v>0</x:v>
      </x:c>
      <x:c r="AI1879" t="n">
        <x:f>--AND(Q1879=1,AF1879=1,AE1879="HALLUCINATION")</x:f>
        <x:v>0</x:v>
      </x:c>
      <x:c r="AJ1879" t="n">
        <x:f>--AND(AI1879=1,R1879=1,S1879=1)</x:f>
        <x:v>0</x:v>
      </x:c>
    </x:row>
    <x:row r="1880">
      <x:c r="A1880" s="28"/>
      <x:c r="B1880" s="28"/>
      <x:c r="C1880" s="28"/>
      <x:c r="D1880" s="28"/>
      <x:c r="E1880" s="28"/>
      <x:c r="F1880" s="28"/>
      <x:c r="G1880" s="28"/>
      <x:c r="H1880" s="28"/>
      <x:c r="I1880" s="28"/>
      <x:c r="J1880" s="28"/>
      <x:c r="K1880" s="28"/>
      <x:c r="L1880" s="28"/>
      <x:c r="M1880" s="28"/>
      <x:c r="N1880" s="28"/>
      <x:c r="O1880" s="28"/>
      <x:c r="P1880" s="28"/>
      <x:c r="Q1880" s="28"/>
      <x:c r="R1880" s="28"/>
      <x:c r="S1880" s="28"/>
      <x:c r="T1880" s="28"/>
      <x:c r="U1880" s="28"/>
      <x:c r="V1880" s="28"/>
      <x:c r="W1880" s="43" t="n">
        <x:f>--AND(N1880=1,OR(O1880="SUPPORTED",O1880="HALLUCINATION"))</x:f>
        <x:v>0</x:v>
      </x:c>
      <x:c r="X1880" s="43" t="n">
        <x:f>--AND(W1880=1,O1880="HALLUCINATION")</x:f>
        <x:v>0</x:v>
      </x:c>
      <x:c r="Y1880" s="43" t="n">
        <x:f>--AND(Q1880=1,O1880="HALLUCINATION")</x:f>
        <x:v>0</x:v>
      </x:c>
      <x:c r="Z1880" s="43" t="n">
        <x:f>--AND(Y1880=1,R1880=1,S1880=1)</x:f>
        <x:v>0</x:v>
      </x:c>
      <x:c r="AC1880" t="str">
        <x:f>IF(OR(AA1880="",AB1880=""),"",--(AA1880&lt;&gt;AB1880))</x:f>
      </x:c>
      <x:c r="AE1880" t="str">
        <x:f>IF(OR(AA1880="",AB1880=""),"PENDING_HUMAN",IF(AA1880=AB1880,AA1880,IF(AD1880&lt;&gt;"",AD1880,"PENDING_HUMAN")))</x:f>
        <x:v>PENDING_HUMAN</x:v>
      </x:c>
      <x:c r="AF1880" t="n">
        <x:f>--AND(A1880&lt;&gt;"",AA1880&lt;&gt;"",AB1880&lt;&gt;"",OR(AA1880=AB1880,AD1880&lt;&gt;""),IF(AE1880="HALLUCINATION",U1880&lt;&gt;"",TRUE))</x:f>
        <x:v>0</x:v>
      </x:c>
      <x:c r="AG1880" t="n">
        <x:f>--AND(N1880=1,AF1880=1,OR(AE1880="SUPPORTED",AE1880="HALLUCINATION"))</x:f>
        <x:v>0</x:v>
      </x:c>
      <x:c r="AH1880" t="n">
        <x:f>--AND(AG1880=1,AE1880="HALLUCINATION")</x:f>
        <x:v>0</x:v>
      </x:c>
      <x:c r="AI1880" t="n">
        <x:f>--AND(Q1880=1,AF1880=1,AE1880="HALLUCINATION")</x:f>
        <x:v>0</x:v>
      </x:c>
      <x:c r="AJ1880" t="n">
        <x:f>--AND(AI1880=1,R1880=1,S1880=1)</x:f>
        <x:v>0</x:v>
      </x:c>
    </x:row>
    <x:row r="1881">
      <x:c r="A1881" s="28"/>
      <x:c r="B1881" s="28"/>
      <x:c r="C1881" s="28"/>
      <x:c r="D1881" s="28"/>
      <x:c r="E1881" s="28"/>
      <x:c r="F1881" s="28"/>
      <x:c r="G1881" s="28"/>
      <x:c r="H1881" s="28"/>
      <x:c r="I1881" s="28"/>
      <x:c r="J1881" s="28"/>
      <x:c r="K1881" s="28"/>
      <x:c r="L1881" s="28"/>
      <x:c r="M1881" s="28"/>
      <x:c r="N1881" s="28"/>
      <x:c r="O1881" s="28"/>
      <x:c r="P1881" s="28"/>
      <x:c r="Q1881" s="28"/>
      <x:c r="R1881" s="28"/>
      <x:c r="S1881" s="28"/>
      <x:c r="T1881" s="28"/>
      <x:c r="U1881" s="28"/>
      <x:c r="V1881" s="28"/>
      <x:c r="W1881" s="43" t="n">
        <x:f>--AND(N1881=1,OR(O1881="SUPPORTED",O1881="HALLUCINATION"))</x:f>
        <x:v>0</x:v>
      </x:c>
      <x:c r="X1881" s="43" t="n">
        <x:f>--AND(W1881=1,O1881="HALLUCINATION")</x:f>
        <x:v>0</x:v>
      </x:c>
      <x:c r="Y1881" s="43" t="n">
        <x:f>--AND(Q1881=1,O1881="HALLUCINATION")</x:f>
        <x:v>0</x:v>
      </x:c>
      <x:c r="Z1881" s="43" t="n">
        <x:f>--AND(Y1881=1,R1881=1,S1881=1)</x:f>
        <x:v>0</x:v>
      </x:c>
      <x:c r="AC1881" t="str">
        <x:f>IF(OR(AA1881="",AB1881=""),"",--(AA1881&lt;&gt;AB1881))</x:f>
      </x:c>
      <x:c r="AE1881" t="str">
        <x:f>IF(OR(AA1881="",AB1881=""),"PENDING_HUMAN",IF(AA1881=AB1881,AA1881,IF(AD1881&lt;&gt;"",AD1881,"PENDING_HUMAN")))</x:f>
        <x:v>PENDING_HUMAN</x:v>
      </x:c>
      <x:c r="AF1881" t="n">
        <x:f>--AND(A1881&lt;&gt;"",AA1881&lt;&gt;"",AB1881&lt;&gt;"",OR(AA1881=AB1881,AD1881&lt;&gt;""),IF(AE1881="HALLUCINATION",U1881&lt;&gt;"",TRUE))</x:f>
        <x:v>0</x:v>
      </x:c>
      <x:c r="AG1881" t="n">
        <x:f>--AND(N1881=1,AF1881=1,OR(AE1881="SUPPORTED",AE1881="HALLUCINATION"))</x:f>
        <x:v>0</x:v>
      </x:c>
      <x:c r="AH1881" t="n">
        <x:f>--AND(AG1881=1,AE1881="HALLUCINATION")</x:f>
        <x:v>0</x:v>
      </x:c>
      <x:c r="AI1881" t="n">
        <x:f>--AND(Q1881=1,AF1881=1,AE1881="HALLUCINATION")</x:f>
        <x:v>0</x:v>
      </x:c>
      <x:c r="AJ1881" t="n">
        <x:f>--AND(AI1881=1,R1881=1,S1881=1)</x:f>
        <x:v>0</x:v>
      </x:c>
    </x:row>
    <x:row r="1882">
      <x:c r="A1882" s="28"/>
      <x:c r="B1882" s="28"/>
      <x:c r="C1882" s="28"/>
      <x:c r="D1882" s="28"/>
      <x:c r="E1882" s="28"/>
      <x:c r="F1882" s="28"/>
      <x:c r="G1882" s="28"/>
      <x:c r="H1882" s="28"/>
      <x:c r="I1882" s="28"/>
      <x:c r="J1882" s="28"/>
      <x:c r="K1882" s="28"/>
      <x:c r="L1882" s="28"/>
      <x:c r="M1882" s="28"/>
      <x:c r="N1882" s="28"/>
      <x:c r="O1882" s="28"/>
      <x:c r="P1882" s="28"/>
      <x:c r="Q1882" s="28"/>
      <x:c r="R1882" s="28"/>
      <x:c r="S1882" s="28"/>
      <x:c r="T1882" s="28"/>
      <x:c r="U1882" s="28"/>
      <x:c r="V1882" s="28"/>
      <x:c r="W1882" s="43" t="n">
        <x:f>--AND(N1882=1,OR(O1882="SUPPORTED",O1882="HALLUCINATION"))</x:f>
        <x:v>0</x:v>
      </x:c>
      <x:c r="X1882" s="43" t="n">
        <x:f>--AND(W1882=1,O1882="HALLUCINATION")</x:f>
        <x:v>0</x:v>
      </x:c>
      <x:c r="Y1882" s="43" t="n">
        <x:f>--AND(Q1882=1,O1882="HALLUCINATION")</x:f>
        <x:v>0</x:v>
      </x:c>
      <x:c r="Z1882" s="43" t="n">
        <x:f>--AND(Y1882=1,R1882=1,S1882=1)</x:f>
        <x:v>0</x:v>
      </x:c>
      <x:c r="AC1882" t="str">
        <x:f>IF(OR(AA1882="",AB1882=""),"",--(AA1882&lt;&gt;AB1882))</x:f>
      </x:c>
      <x:c r="AE1882" t="str">
        <x:f>IF(OR(AA1882="",AB1882=""),"PENDING_HUMAN",IF(AA1882=AB1882,AA1882,IF(AD1882&lt;&gt;"",AD1882,"PENDING_HUMAN")))</x:f>
        <x:v>PENDING_HUMAN</x:v>
      </x:c>
      <x:c r="AF1882" t="n">
        <x:f>--AND(A1882&lt;&gt;"",AA1882&lt;&gt;"",AB1882&lt;&gt;"",OR(AA1882=AB1882,AD1882&lt;&gt;""),IF(AE1882="HALLUCINATION",U1882&lt;&gt;"",TRUE))</x:f>
        <x:v>0</x:v>
      </x:c>
      <x:c r="AG1882" t="n">
        <x:f>--AND(N1882=1,AF1882=1,OR(AE1882="SUPPORTED",AE1882="HALLUCINATION"))</x:f>
        <x:v>0</x:v>
      </x:c>
      <x:c r="AH1882" t="n">
        <x:f>--AND(AG1882=1,AE1882="HALLUCINATION")</x:f>
        <x:v>0</x:v>
      </x:c>
      <x:c r="AI1882" t="n">
        <x:f>--AND(Q1882=1,AF1882=1,AE1882="HALLUCINATION")</x:f>
        <x:v>0</x:v>
      </x:c>
      <x:c r="AJ1882" t="n">
        <x:f>--AND(AI1882=1,R1882=1,S1882=1)</x:f>
        <x:v>0</x:v>
      </x:c>
    </x:row>
    <x:row r="1883">
      <x:c r="A1883" s="28"/>
      <x:c r="B1883" s="28"/>
      <x:c r="C1883" s="28"/>
      <x:c r="D1883" s="28"/>
      <x:c r="E1883" s="28"/>
      <x:c r="F1883" s="28"/>
      <x:c r="G1883" s="28"/>
      <x:c r="H1883" s="28"/>
      <x:c r="I1883" s="28"/>
      <x:c r="J1883" s="28"/>
      <x:c r="K1883" s="28"/>
      <x:c r="L1883" s="28"/>
      <x:c r="M1883" s="28"/>
      <x:c r="N1883" s="28"/>
      <x:c r="O1883" s="28"/>
      <x:c r="P1883" s="28"/>
      <x:c r="Q1883" s="28"/>
      <x:c r="R1883" s="28"/>
      <x:c r="S1883" s="28"/>
      <x:c r="T1883" s="28"/>
      <x:c r="U1883" s="28"/>
      <x:c r="V1883" s="28"/>
      <x:c r="W1883" s="43" t="n">
        <x:f>--AND(N1883=1,OR(O1883="SUPPORTED",O1883="HALLUCINATION"))</x:f>
        <x:v>0</x:v>
      </x:c>
      <x:c r="X1883" s="43" t="n">
        <x:f>--AND(W1883=1,O1883="HALLUCINATION")</x:f>
        <x:v>0</x:v>
      </x:c>
      <x:c r="Y1883" s="43" t="n">
        <x:f>--AND(Q1883=1,O1883="HALLUCINATION")</x:f>
        <x:v>0</x:v>
      </x:c>
      <x:c r="Z1883" s="43" t="n">
        <x:f>--AND(Y1883=1,R1883=1,S1883=1)</x:f>
        <x:v>0</x:v>
      </x:c>
      <x:c r="AC1883" t="str">
        <x:f>IF(OR(AA1883="",AB1883=""),"",--(AA1883&lt;&gt;AB1883))</x:f>
      </x:c>
      <x:c r="AE1883" t="str">
        <x:f>IF(OR(AA1883="",AB1883=""),"PENDING_HUMAN",IF(AA1883=AB1883,AA1883,IF(AD1883&lt;&gt;"",AD1883,"PENDING_HUMAN")))</x:f>
        <x:v>PENDING_HUMAN</x:v>
      </x:c>
      <x:c r="AF1883" t="n">
        <x:f>--AND(A1883&lt;&gt;"",AA1883&lt;&gt;"",AB1883&lt;&gt;"",OR(AA1883=AB1883,AD1883&lt;&gt;""),IF(AE1883="HALLUCINATION",U1883&lt;&gt;"",TRUE))</x:f>
        <x:v>0</x:v>
      </x:c>
      <x:c r="AG1883" t="n">
        <x:f>--AND(N1883=1,AF1883=1,OR(AE1883="SUPPORTED",AE1883="HALLUCINATION"))</x:f>
        <x:v>0</x:v>
      </x:c>
      <x:c r="AH1883" t="n">
        <x:f>--AND(AG1883=1,AE1883="HALLUCINATION")</x:f>
        <x:v>0</x:v>
      </x:c>
      <x:c r="AI1883" t="n">
        <x:f>--AND(Q1883=1,AF1883=1,AE1883="HALLUCINATION")</x:f>
        <x:v>0</x:v>
      </x:c>
      <x:c r="AJ1883" t="n">
        <x:f>--AND(AI1883=1,R1883=1,S1883=1)</x:f>
        <x:v>0</x:v>
      </x:c>
    </x:row>
    <x:row r="1884">
      <x:c r="A1884" s="28"/>
      <x:c r="B1884" s="28"/>
      <x:c r="C1884" s="28"/>
      <x:c r="D1884" s="28"/>
      <x:c r="E1884" s="28"/>
      <x:c r="F1884" s="28"/>
      <x:c r="G1884" s="28"/>
      <x:c r="H1884" s="28"/>
      <x:c r="I1884" s="28"/>
      <x:c r="J1884" s="28"/>
      <x:c r="K1884" s="28"/>
      <x:c r="L1884" s="28"/>
      <x:c r="M1884" s="28"/>
      <x:c r="N1884" s="28"/>
      <x:c r="O1884" s="28"/>
      <x:c r="P1884" s="28"/>
      <x:c r="Q1884" s="28"/>
      <x:c r="R1884" s="28"/>
      <x:c r="S1884" s="28"/>
      <x:c r="T1884" s="28"/>
      <x:c r="U1884" s="28"/>
      <x:c r="V1884" s="28"/>
      <x:c r="W1884" s="43" t="n">
        <x:f>--AND(N1884=1,OR(O1884="SUPPORTED",O1884="HALLUCINATION"))</x:f>
        <x:v>0</x:v>
      </x:c>
      <x:c r="X1884" s="43" t="n">
        <x:f>--AND(W1884=1,O1884="HALLUCINATION")</x:f>
        <x:v>0</x:v>
      </x:c>
      <x:c r="Y1884" s="43" t="n">
        <x:f>--AND(Q1884=1,O1884="HALLUCINATION")</x:f>
        <x:v>0</x:v>
      </x:c>
      <x:c r="Z1884" s="43" t="n">
        <x:f>--AND(Y1884=1,R1884=1,S1884=1)</x:f>
        <x:v>0</x:v>
      </x:c>
      <x:c r="AC1884" t="str">
        <x:f>IF(OR(AA1884="",AB1884=""),"",--(AA1884&lt;&gt;AB1884))</x:f>
      </x:c>
      <x:c r="AE1884" t="str">
        <x:f>IF(OR(AA1884="",AB1884=""),"PENDING_HUMAN",IF(AA1884=AB1884,AA1884,IF(AD1884&lt;&gt;"",AD1884,"PENDING_HUMAN")))</x:f>
        <x:v>PENDING_HUMAN</x:v>
      </x:c>
      <x:c r="AF1884" t="n">
        <x:f>--AND(A1884&lt;&gt;"",AA1884&lt;&gt;"",AB1884&lt;&gt;"",OR(AA1884=AB1884,AD1884&lt;&gt;""),IF(AE1884="HALLUCINATION",U1884&lt;&gt;"",TRUE))</x:f>
        <x:v>0</x:v>
      </x:c>
      <x:c r="AG1884" t="n">
        <x:f>--AND(N1884=1,AF1884=1,OR(AE1884="SUPPORTED",AE1884="HALLUCINATION"))</x:f>
        <x:v>0</x:v>
      </x:c>
      <x:c r="AH1884" t="n">
        <x:f>--AND(AG1884=1,AE1884="HALLUCINATION")</x:f>
        <x:v>0</x:v>
      </x:c>
      <x:c r="AI1884" t="n">
        <x:f>--AND(Q1884=1,AF1884=1,AE1884="HALLUCINATION")</x:f>
        <x:v>0</x:v>
      </x:c>
      <x:c r="AJ1884" t="n">
        <x:f>--AND(AI1884=1,R1884=1,S1884=1)</x:f>
        <x:v>0</x:v>
      </x:c>
    </x:row>
    <x:row r="1885">
      <x:c r="A1885" s="28"/>
      <x:c r="B1885" s="28"/>
      <x:c r="C1885" s="28"/>
      <x:c r="D1885" s="28"/>
      <x:c r="E1885" s="28"/>
      <x:c r="F1885" s="28"/>
      <x:c r="G1885" s="28"/>
      <x:c r="H1885" s="28"/>
      <x:c r="I1885" s="28"/>
      <x:c r="J1885" s="28"/>
      <x:c r="K1885" s="28"/>
      <x:c r="L1885" s="28"/>
      <x:c r="M1885" s="28"/>
      <x:c r="N1885" s="28"/>
      <x:c r="O1885" s="28"/>
      <x:c r="P1885" s="28"/>
      <x:c r="Q1885" s="28"/>
      <x:c r="R1885" s="28"/>
      <x:c r="S1885" s="28"/>
      <x:c r="T1885" s="28"/>
      <x:c r="U1885" s="28"/>
      <x:c r="V1885" s="28"/>
      <x:c r="W1885" s="43" t="n">
        <x:f>--AND(N1885=1,OR(O1885="SUPPORTED",O1885="HALLUCINATION"))</x:f>
        <x:v>0</x:v>
      </x:c>
      <x:c r="X1885" s="43" t="n">
        <x:f>--AND(W1885=1,O1885="HALLUCINATION")</x:f>
        <x:v>0</x:v>
      </x:c>
      <x:c r="Y1885" s="43" t="n">
        <x:f>--AND(Q1885=1,O1885="HALLUCINATION")</x:f>
        <x:v>0</x:v>
      </x:c>
      <x:c r="Z1885" s="43" t="n">
        <x:f>--AND(Y1885=1,R1885=1,S1885=1)</x:f>
        <x:v>0</x:v>
      </x:c>
      <x:c r="AC1885" t="str">
        <x:f>IF(OR(AA1885="",AB1885=""),"",--(AA1885&lt;&gt;AB1885))</x:f>
      </x:c>
      <x:c r="AE1885" t="str">
        <x:f>IF(OR(AA1885="",AB1885=""),"PENDING_HUMAN",IF(AA1885=AB1885,AA1885,IF(AD1885&lt;&gt;"",AD1885,"PENDING_HUMAN")))</x:f>
        <x:v>PENDING_HUMAN</x:v>
      </x:c>
      <x:c r="AF1885" t="n">
        <x:f>--AND(A1885&lt;&gt;"",AA1885&lt;&gt;"",AB1885&lt;&gt;"",OR(AA1885=AB1885,AD1885&lt;&gt;""),IF(AE1885="HALLUCINATION",U1885&lt;&gt;"",TRUE))</x:f>
        <x:v>0</x:v>
      </x:c>
      <x:c r="AG1885" t="n">
        <x:f>--AND(N1885=1,AF1885=1,OR(AE1885="SUPPORTED",AE1885="HALLUCINATION"))</x:f>
        <x:v>0</x:v>
      </x:c>
      <x:c r="AH1885" t="n">
        <x:f>--AND(AG1885=1,AE1885="HALLUCINATION")</x:f>
        <x:v>0</x:v>
      </x:c>
      <x:c r="AI1885" t="n">
        <x:f>--AND(Q1885=1,AF1885=1,AE1885="HALLUCINATION")</x:f>
        <x:v>0</x:v>
      </x:c>
      <x:c r="AJ1885" t="n">
        <x:f>--AND(AI1885=1,R1885=1,S1885=1)</x:f>
        <x:v>0</x:v>
      </x:c>
    </x:row>
    <x:row r="1886">
      <x:c r="A1886" s="28"/>
      <x:c r="B1886" s="28"/>
      <x:c r="C1886" s="28"/>
      <x:c r="D1886" s="28"/>
      <x:c r="E1886" s="28"/>
      <x:c r="F1886" s="28"/>
      <x:c r="G1886" s="28"/>
      <x:c r="H1886" s="28"/>
      <x:c r="I1886" s="28"/>
      <x:c r="J1886" s="28"/>
      <x:c r="K1886" s="28"/>
      <x:c r="L1886" s="28"/>
      <x:c r="M1886" s="28"/>
      <x:c r="N1886" s="28"/>
      <x:c r="O1886" s="28"/>
      <x:c r="P1886" s="28"/>
      <x:c r="Q1886" s="28"/>
      <x:c r="R1886" s="28"/>
      <x:c r="S1886" s="28"/>
      <x:c r="T1886" s="28"/>
      <x:c r="U1886" s="28"/>
      <x:c r="V1886" s="28"/>
      <x:c r="W1886" s="43" t="n">
        <x:f>--AND(N1886=1,OR(O1886="SUPPORTED",O1886="HALLUCINATION"))</x:f>
        <x:v>0</x:v>
      </x:c>
      <x:c r="X1886" s="43" t="n">
        <x:f>--AND(W1886=1,O1886="HALLUCINATION")</x:f>
        <x:v>0</x:v>
      </x:c>
      <x:c r="Y1886" s="43" t="n">
        <x:f>--AND(Q1886=1,O1886="HALLUCINATION")</x:f>
        <x:v>0</x:v>
      </x:c>
      <x:c r="Z1886" s="43" t="n">
        <x:f>--AND(Y1886=1,R1886=1,S1886=1)</x:f>
        <x:v>0</x:v>
      </x:c>
      <x:c r="AC1886" t="str">
        <x:f>IF(OR(AA1886="",AB1886=""),"",--(AA1886&lt;&gt;AB1886))</x:f>
      </x:c>
      <x:c r="AE1886" t="str">
        <x:f>IF(OR(AA1886="",AB1886=""),"PENDING_HUMAN",IF(AA1886=AB1886,AA1886,IF(AD1886&lt;&gt;"",AD1886,"PENDING_HUMAN")))</x:f>
        <x:v>PENDING_HUMAN</x:v>
      </x:c>
      <x:c r="AF1886" t="n">
        <x:f>--AND(A1886&lt;&gt;"",AA1886&lt;&gt;"",AB1886&lt;&gt;"",OR(AA1886=AB1886,AD1886&lt;&gt;""),IF(AE1886="HALLUCINATION",U1886&lt;&gt;"",TRUE))</x:f>
        <x:v>0</x:v>
      </x:c>
      <x:c r="AG1886" t="n">
        <x:f>--AND(N1886=1,AF1886=1,OR(AE1886="SUPPORTED",AE1886="HALLUCINATION"))</x:f>
        <x:v>0</x:v>
      </x:c>
      <x:c r="AH1886" t="n">
        <x:f>--AND(AG1886=1,AE1886="HALLUCINATION")</x:f>
        <x:v>0</x:v>
      </x:c>
      <x:c r="AI1886" t="n">
        <x:f>--AND(Q1886=1,AF1886=1,AE1886="HALLUCINATION")</x:f>
        <x:v>0</x:v>
      </x:c>
      <x:c r="AJ1886" t="n">
        <x:f>--AND(AI1886=1,R1886=1,S1886=1)</x:f>
        <x:v>0</x:v>
      </x:c>
    </x:row>
    <x:row r="1887">
      <x:c r="A1887" s="28"/>
      <x:c r="B1887" s="28"/>
      <x:c r="C1887" s="28"/>
      <x:c r="D1887" s="28"/>
      <x:c r="E1887" s="28"/>
      <x:c r="F1887" s="28"/>
      <x:c r="G1887" s="28"/>
      <x:c r="H1887" s="28"/>
      <x:c r="I1887" s="28"/>
      <x:c r="J1887" s="28"/>
      <x:c r="K1887" s="28"/>
      <x:c r="L1887" s="28"/>
      <x:c r="M1887" s="28"/>
      <x:c r="N1887" s="28"/>
      <x:c r="O1887" s="28"/>
      <x:c r="P1887" s="28"/>
      <x:c r="Q1887" s="28"/>
      <x:c r="R1887" s="28"/>
      <x:c r="S1887" s="28"/>
      <x:c r="T1887" s="28"/>
      <x:c r="U1887" s="28"/>
      <x:c r="V1887" s="28"/>
      <x:c r="W1887" s="43" t="n">
        <x:f>--AND(N1887=1,OR(O1887="SUPPORTED",O1887="HALLUCINATION"))</x:f>
        <x:v>0</x:v>
      </x:c>
      <x:c r="X1887" s="43" t="n">
        <x:f>--AND(W1887=1,O1887="HALLUCINATION")</x:f>
        <x:v>0</x:v>
      </x:c>
      <x:c r="Y1887" s="43" t="n">
        <x:f>--AND(Q1887=1,O1887="HALLUCINATION")</x:f>
        <x:v>0</x:v>
      </x:c>
      <x:c r="Z1887" s="43" t="n">
        <x:f>--AND(Y1887=1,R1887=1,S1887=1)</x:f>
        <x:v>0</x:v>
      </x:c>
      <x:c r="AC1887" t="str">
        <x:f>IF(OR(AA1887="",AB1887=""),"",--(AA1887&lt;&gt;AB1887))</x:f>
      </x:c>
      <x:c r="AE1887" t="str">
        <x:f>IF(OR(AA1887="",AB1887=""),"PENDING_HUMAN",IF(AA1887=AB1887,AA1887,IF(AD1887&lt;&gt;"",AD1887,"PENDING_HUMAN")))</x:f>
        <x:v>PENDING_HUMAN</x:v>
      </x:c>
      <x:c r="AF1887" t="n">
        <x:f>--AND(A1887&lt;&gt;"",AA1887&lt;&gt;"",AB1887&lt;&gt;"",OR(AA1887=AB1887,AD1887&lt;&gt;""),IF(AE1887="HALLUCINATION",U1887&lt;&gt;"",TRUE))</x:f>
        <x:v>0</x:v>
      </x:c>
      <x:c r="AG1887" t="n">
        <x:f>--AND(N1887=1,AF1887=1,OR(AE1887="SUPPORTED",AE1887="HALLUCINATION"))</x:f>
        <x:v>0</x:v>
      </x:c>
      <x:c r="AH1887" t="n">
        <x:f>--AND(AG1887=1,AE1887="HALLUCINATION")</x:f>
        <x:v>0</x:v>
      </x:c>
      <x:c r="AI1887" t="n">
        <x:f>--AND(Q1887=1,AF1887=1,AE1887="HALLUCINATION")</x:f>
        <x:v>0</x:v>
      </x:c>
      <x:c r="AJ1887" t="n">
        <x:f>--AND(AI1887=1,R1887=1,S1887=1)</x:f>
        <x:v>0</x:v>
      </x:c>
    </x:row>
    <x:row r="1888">
      <x:c r="A1888" s="28"/>
      <x:c r="B1888" s="28"/>
      <x:c r="C1888" s="28"/>
      <x:c r="D1888" s="28"/>
      <x:c r="E1888" s="28"/>
      <x:c r="F1888" s="28"/>
      <x:c r="G1888" s="28"/>
      <x:c r="H1888" s="28"/>
      <x:c r="I1888" s="28"/>
      <x:c r="J1888" s="28"/>
      <x:c r="K1888" s="28"/>
      <x:c r="L1888" s="28"/>
      <x:c r="M1888" s="28"/>
      <x:c r="N1888" s="28"/>
      <x:c r="O1888" s="28"/>
      <x:c r="P1888" s="28"/>
      <x:c r="Q1888" s="28"/>
      <x:c r="R1888" s="28"/>
      <x:c r="S1888" s="28"/>
      <x:c r="T1888" s="28"/>
      <x:c r="U1888" s="28"/>
      <x:c r="V1888" s="28"/>
      <x:c r="W1888" s="43" t="n">
        <x:f>--AND(N1888=1,OR(O1888="SUPPORTED",O1888="HALLUCINATION"))</x:f>
        <x:v>0</x:v>
      </x:c>
      <x:c r="X1888" s="43" t="n">
        <x:f>--AND(W1888=1,O1888="HALLUCINATION")</x:f>
        <x:v>0</x:v>
      </x:c>
      <x:c r="Y1888" s="43" t="n">
        <x:f>--AND(Q1888=1,O1888="HALLUCINATION")</x:f>
        <x:v>0</x:v>
      </x:c>
      <x:c r="Z1888" s="43" t="n">
        <x:f>--AND(Y1888=1,R1888=1,S1888=1)</x:f>
        <x:v>0</x:v>
      </x:c>
      <x:c r="AC1888" t="str">
        <x:f>IF(OR(AA1888="",AB1888=""),"",--(AA1888&lt;&gt;AB1888))</x:f>
      </x:c>
      <x:c r="AE1888" t="str">
        <x:f>IF(OR(AA1888="",AB1888=""),"PENDING_HUMAN",IF(AA1888=AB1888,AA1888,IF(AD1888&lt;&gt;"",AD1888,"PENDING_HUMAN")))</x:f>
        <x:v>PENDING_HUMAN</x:v>
      </x:c>
      <x:c r="AF1888" t="n">
        <x:f>--AND(A1888&lt;&gt;"",AA1888&lt;&gt;"",AB1888&lt;&gt;"",OR(AA1888=AB1888,AD1888&lt;&gt;""),IF(AE1888="HALLUCINATION",U1888&lt;&gt;"",TRUE))</x:f>
        <x:v>0</x:v>
      </x:c>
      <x:c r="AG1888" t="n">
        <x:f>--AND(N1888=1,AF1888=1,OR(AE1888="SUPPORTED",AE1888="HALLUCINATION"))</x:f>
        <x:v>0</x:v>
      </x:c>
      <x:c r="AH1888" t="n">
        <x:f>--AND(AG1888=1,AE1888="HALLUCINATION")</x:f>
        <x:v>0</x:v>
      </x:c>
      <x:c r="AI1888" t="n">
        <x:f>--AND(Q1888=1,AF1888=1,AE1888="HALLUCINATION")</x:f>
        <x:v>0</x:v>
      </x:c>
      <x:c r="AJ1888" t="n">
        <x:f>--AND(AI1888=1,R1888=1,S1888=1)</x:f>
        <x:v>0</x:v>
      </x:c>
    </x:row>
    <x:row r="1889">
      <x:c r="A1889" s="28"/>
      <x:c r="B1889" s="28"/>
      <x:c r="C1889" s="28"/>
      <x:c r="D1889" s="28"/>
      <x:c r="E1889" s="28"/>
      <x:c r="F1889" s="28"/>
      <x:c r="G1889" s="28"/>
      <x:c r="H1889" s="28"/>
      <x:c r="I1889" s="28"/>
      <x:c r="J1889" s="28"/>
      <x:c r="K1889" s="28"/>
      <x:c r="L1889" s="28"/>
      <x:c r="M1889" s="28"/>
      <x:c r="N1889" s="28"/>
      <x:c r="O1889" s="28"/>
      <x:c r="P1889" s="28"/>
      <x:c r="Q1889" s="28"/>
      <x:c r="R1889" s="28"/>
      <x:c r="S1889" s="28"/>
      <x:c r="T1889" s="28"/>
      <x:c r="U1889" s="28"/>
      <x:c r="V1889" s="28"/>
      <x:c r="W1889" s="43" t="n">
        <x:f>--AND(N1889=1,OR(O1889="SUPPORTED",O1889="HALLUCINATION"))</x:f>
        <x:v>0</x:v>
      </x:c>
      <x:c r="X1889" s="43" t="n">
        <x:f>--AND(W1889=1,O1889="HALLUCINATION")</x:f>
        <x:v>0</x:v>
      </x:c>
      <x:c r="Y1889" s="43" t="n">
        <x:f>--AND(Q1889=1,O1889="HALLUCINATION")</x:f>
        <x:v>0</x:v>
      </x:c>
      <x:c r="Z1889" s="43" t="n">
        <x:f>--AND(Y1889=1,R1889=1,S1889=1)</x:f>
        <x:v>0</x:v>
      </x:c>
      <x:c r="AC1889" t="str">
        <x:f>IF(OR(AA1889="",AB1889=""),"",--(AA1889&lt;&gt;AB1889))</x:f>
      </x:c>
      <x:c r="AE1889" t="str">
        <x:f>IF(OR(AA1889="",AB1889=""),"PENDING_HUMAN",IF(AA1889=AB1889,AA1889,IF(AD1889&lt;&gt;"",AD1889,"PENDING_HUMAN")))</x:f>
        <x:v>PENDING_HUMAN</x:v>
      </x:c>
      <x:c r="AF1889" t="n">
        <x:f>--AND(A1889&lt;&gt;"",AA1889&lt;&gt;"",AB1889&lt;&gt;"",OR(AA1889=AB1889,AD1889&lt;&gt;""),IF(AE1889="HALLUCINATION",U1889&lt;&gt;"",TRUE))</x:f>
        <x:v>0</x:v>
      </x:c>
      <x:c r="AG1889" t="n">
        <x:f>--AND(N1889=1,AF1889=1,OR(AE1889="SUPPORTED",AE1889="HALLUCINATION"))</x:f>
        <x:v>0</x:v>
      </x:c>
      <x:c r="AH1889" t="n">
        <x:f>--AND(AG1889=1,AE1889="HALLUCINATION")</x:f>
        <x:v>0</x:v>
      </x:c>
      <x:c r="AI1889" t="n">
        <x:f>--AND(Q1889=1,AF1889=1,AE1889="HALLUCINATION")</x:f>
        <x:v>0</x:v>
      </x:c>
      <x:c r="AJ1889" t="n">
        <x:f>--AND(AI1889=1,R1889=1,S1889=1)</x:f>
        <x:v>0</x:v>
      </x:c>
    </x:row>
    <x:row r="1890">
      <x:c r="A1890" s="28"/>
      <x:c r="B1890" s="28"/>
      <x:c r="C1890" s="28"/>
      <x:c r="D1890" s="28"/>
      <x:c r="E1890" s="28"/>
      <x:c r="F1890" s="28"/>
      <x:c r="G1890" s="28"/>
      <x:c r="H1890" s="28"/>
      <x:c r="I1890" s="28"/>
      <x:c r="J1890" s="28"/>
      <x:c r="K1890" s="28"/>
      <x:c r="L1890" s="28"/>
      <x:c r="M1890" s="28"/>
      <x:c r="N1890" s="28"/>
      <x:c r="O1890" s="28"/>
      <x:c r="P1890" s="28"/>
      <x:c r="Q1890" s="28"/>
      <x:c r="R1890" s="28"/>
      <x:c r="S1890" s="28"/>
      <x:c r="T1890" s="28"/>
      <x:c r="U1890" s="28"/>
      <x:c r="V1890" s="28"/>
      <x:c r="W1890" s="43" t="n">
        <x:f>--AND(N1890=1,OR(O1890="SUPPORTED",O1890="HALLUCINATION"))</x:f>
        <x:v>0</x:v>
      </x:c>
      <x:c r="X1890" s="43" t="n">
        <x:f>--AND(W1890=1,O1890="HALLUCINATION")</x:f>
        <x:v>0</x:v>
      </x:c>
      <x:c r="Y1890" s="43" t="n">
        <x:f>--AND(Q1890=1,O1890="HALLUCINATION")</x:f>
        <x:v>0</x:v>
      </x:c>
      <x:c r="Z1890" s="43" t="n">
        <x:f>--AND(Y1890=1,R1890=1,S1890=1)</x:f>
        <x:v>0</x:v>
      </x:c>
      <x:c r="AC1890" t="str">
        <x:f>IF(OR(AA1890="",AB1890=""),"",--(AA1890&lt;&gt;AB1890))</x:f>
      </x:c>
      <x:c r="AE1890" t="str">
        <x:f>IF(OR(AA1890="",AB1890=""),"PENDING_HUMAN",IF(AA1890=AB1890,AA1890,IF(AD1890&lt;&gt;"",AD1890,"PENDING_HUMAN")))</x:f>
        <x:v>PENDING_HUMAN</x:v>
      </x:c>
      <x:c r="AF1890" t="n">
        <x:f>--AND(A1890&lt;&gt;"",AA1890&lt;&gt;"",AB1890&lt;&gt;"",OR(AA1890=AB1890,AD1890&lt;&gt;""),IF(AE1890="HALLUCINATION",U1890&lt;&gt;"",TRUE))</x:f>
        <x:v>0</x:v>
      </x:c>
      <x:c r="AG1890" t="n">
        <x:f>--AND(N1890=1,AF1890=1,OR(AE1890="SUPPORTED",AE1890="HALLUCINATION"))</x:f>
        <x:v>0</x:v>
      </x:c>
      <x:c r="AH1890" t="n">
        <x:f>--AND(AG1890=1,AE1890="HALLUCINATION")</x:f>
        <x:v>0</x:v>
      </x:c>
      <x:c r="AI1890" t="n">
        <x:f>--AND(Q1890=1,AF1890=1,AE1890="HALLUCINATION")</x:f>
        <x:v>0</x:v>
      </x:c>
      <x:c r="AJ1890" t="n">
        <x:f>--AND(AI1890=1,R1890=1,S1890=1)</x:f>
        <x:v>0</x:v>
      </x:c>
    </x:row>
    <x:row r="1891">
      <x:c r="A1891" s="28"/>
      <x:c r="B1891" s="28"/>
      <x:c r="C1891" s="28"/>
      <x:c r="D1891" s="28"/>
      <x:c r="E1891" s="28"/>
      <x:c r="F1891" s="28"/>
      <x:c r="G1891" s="28"/>
      <x:c r="H1891" s="28"/>
      <x:c r="I1891" s="28"/>
      <x:c r="J1891" s="28"/>
      <x:c r="K1891" s="28"/>
      <x:c r="L1891" s="28"/>
      <x:c r="M1891" s="28"/>
      <x:c r="N1891" s="28"/>
      <x:c r="O1891" s="28"/>
      <x:c r="P1891" s="28"/>
      <x:c r="Q1891" s="28"/>
      <x:c r="R1891" s="28"/>
      <x:c r="S1891" s="28"/>
      <x:c r="T1891" s="28"/>
      <x:c r="U1891" s="28"/>
      <x:c r="V1891" s="28"/>
      <x:c r="W1891" s="43" t="n">
        <x:f>--AND(N1891=1,OR(O1891="SUPPORTED",O1891="HALLUCINATION"))</x:f>
        <x:v>0</x:v>
      </x:c>
      <x:c r="X1891" s="43" t="n">
        <x:f>--AND(W1891=1,O1891="HALLUCINATION")</x:f>
        <x:v>0</x:v>
      </x:c>
      <x:c r="Y1891" s="43" t="n">
        <x:f>--AND(Q1891=1,O1891="HALLUCINATION")</x:f>
        <x:v>0</x:v>
      </x:c>
      <x:c r="Z1891" s="43" t="n">
        <x:f>--AND(Y1891=1,R1891=1,S1891=1)</x:f>
        <x:v>0</x:v>
      </x:c>
      <x:c r="AC1891" t="str">
        <x:f>IF(OR(AA1891="",AB1891=""),"",--(AA1891&lt;&gt;AB1891))</x:f>
      </x:c>
      <x:c r="AE1891" t="str">
        <x:f>IF(OR(AA1891="",AB1891=""),"PENDING_HUMAN",IF(AA1891=AB1891,AA1891,IF(AD1891&lt;&gt;"",AD1891,"PENDING_HUMAN")))</x:f>
        <x:v>PENDING_HUMAN</x:v>
      </x:c>
      <x:c r="AF1891" t="n">
        <x:f>--AND(A1891&lt;&gt;"",AA1891&lt;&gt;"",AB1891&lt;&gt;"",OR(AA1891=AB1891,AD1891&lt;&gt;""),IF(AE1891="HALLUCINATION",U1891&lt;&gt;"",TRUE))</x:f>
        <x:v>0</x:v>
      </x:c>
      <x:c r="AG1891" t="n">
        <x:f>--AND(N1891=1,AF1891=1,OR(AE1891="SUPPORTED",AE1891="HALLUCINATION"))</x:f>
        <x:v>0</x:v>
      </x:c>
      <x:c r="AH1891" t="n">
        <x:f>--AND(AG1891=1,AE1891="HALLUCINATION")</x:f>
        <x:v>0</x:v>
      </x:c>
      <x:c r="AI1891" t="n">
        <x:f>--AND(Q1891=1,AF1891=1,AE1891="HALLUCINATION")</x:f>
        <x:v>0</x:v>
      </x:c>
      <x:c r="AJ1891" t="n">
        <x:f>--AND(AI1891=1,R1891=1,S1891=1)</x:f>
        <x:v>0</x:v>
      </x:c>
    </x:row>
    <x:row r="1892">
      <x:c r="A1892" s="28"/>
      <x:c r="B1892" s="28"/>
      <x:c r="C1892" s="28"/>
      <x:c r="D1892" s="28"/>
      <x:c r="E1892" s="28"/>
      <x:c r="F1892" s="28"/>
      <x:c r="G1892" s="28"/>
      <x:c r="H1892" s="28"/>
      <x:c r="I1892" s="28"/>
      <x:c r="J1892" s="28"/>
      <x:c r="K1892" s="28"/>
      <x:c r="L1892" s="28"/>
      <x:c r="M1892" s="28"/>
      <x:c r="N1892" s="28"/>
      <x:c r="O1892" s="28"/>
      <x:c r="P1892" s="28"/>
      <x:c r="Q1892" s="28"/>
      <x:c r="R1892" s="28"/>
      <x:c r="S1892" s="28"/>
      <x:c r="T1892" s="28"/>
      <x:c r="U1892" s="28"/>
      <x:c r="V1892" s="28"/>
      <x:c r="W1892" s="43" t="n">
        <x:f>--AND(N1892=1,OR(O1892="SUPPORTED",O1892="HALLUCINATION"))</x:f>
        <x:v>0</x:v>
      </x:c>
      <x:c r="X1892" s="43" t="n">
        <x:f>--AND(W1892=1,O1892="HALLUCINATION")</x:f>
        <x:v>0</x:v>
      </x:c>
      <x:c r="Y1892" s="43" t="n">
        <x:f>--AND(Q1892=1,O1892="HALLUCINATION")</x:f>
        <x:v>0</x:v>
      </x:c>
      <x:c r="Z1892" s="43" t="n">
        <x:f>--AND(Y1892=1,R1892=1,S1892=1)</x:f>
        <x:v>0</x:v>
      </x:c>
      <x:c r="AC1892" t="str">
        <x:f>IF(OR(AA1892="",AB1892=""),"",--(AA1892&lt;&gt;AB1892))</x:f>
      </x:c>
      <x:c r="AE1892" t="str">
        <x:f>IF(OR(AA1892="",AB1892=""),"PENDING_HUMAN",IF(AA1892=AB1892,AA1892,IF(AD1892&lt;&gt;"",AD1892,"PENDING_HUMAN")))</x:f>
        <x:v>PENDING_HUMAN</x:v>
      </x:c>
      <x:c r="AF1892" t="n">
        <x:f>--AND(A1892&lt;&gt;"",AA1892&lt;&gt;"",AB1892&lt;&gt;"",OR(AA1892=AB1892,AD1892&lt;&gt;""),IF(AE1892="HALLUCINATION",U1892&lt;&gt;"",TRUE))</x:f>
        <x:v>0</x:v>
      </x:c>
      <x:c r="AG1892" t="n">
        <x:f>--AND(N1892=1,AF1892=1,OR(AE1892="SUPPORTED",AE1892="HALLUCINATION"))</x:f>
        <x:v>0</x:v>
      </x:c>
      <x:c r="AH1892" t="n">
        <x:f>--AND(AG1892=1,AE1892="HALLUCINATION")</x:f>
        <x:v>0</x:v>
      </x:c>
      <x:c r="AI1892" t="n">
        <x:f>--AND(Q1892=1,AF1892=1,AE1892="HALLUCINATION")</x:f>
        <x:v>0</x:v>
      </x:c>
      <x:c r="AJ1892" t="n">
        <x:f>--AND(AI1892=1,R1892=1,S1892=1)</x:f>
        <x:v>0</x:v>
      </x:c>
    </x:row>
    <x:row r="1893">
      <x:c r="A1893" s="28"/>
      <x:c r="B1893" s="28"/>
      <x:c r="C1893" s="28"/>
      <x:c r="D1893" s="28"/>
      <x:c r="E1893" s="28"/>
      <x:c r="F1893" s="28"/>
      <x:c r="G1893" s="28"/>
      <x:c r="H1893" s="28"/>
      <x:c r="I1893" s="28"/>
      <x:c r="J1893" s="28"/>
      <x:c r="K1893" s="28"/>
      <x:c r="L1893" s="28"/>
      <x:c r="M1893" s="28"/>
      <x:c r="N1893" s="28"/>
      <x:c r="O1893" s="28"/>
      <x:c r="P1893" s="28"/>
      <x:c r="Q1893" s="28"/>
      <x:c r="R1893" s="28"/>
      <x:c r="S1893" s="28"/>
      <x:c r="T1893" s="28"/>
      <x:c r="U1893" s="28"/>
      <x:c r="V1893" s="28"/>
      <x:c r="W1893" s="43" t="n">
        <x:f>--AND(N1893=1,OR(O1893="SUPPORTED",O1893="HALLUCINATION"))</x:f>
        <x:v>0</x:v>
      </x:c>
      <x:c r="X1893" s="43" t="n">
        <x:f>--AND(W1893=1,O1893="HALLUCINATION")</x:f>
        <x:v>0</x:v>
      </x:c>
      <x:c r="Y1893" s="43" t="n">
        <x:f>--AND(Q1893=1,O1893="HALLUCINATION")</x:f>
        <x:v>0</x:v>
      </x:c>
      <x:c r="Z1893" s="43" t="n">
        <x:f>--AND(Y1893=1,R1893=1,S1893=1)</x:f>
        <x:v>0</x:v>
      </x:c>
      <x:c r="AC1893" t="str">
        <x:f>IF(OR(AA1893="",AB1893=""),"",--(AA1893&lt;&gt;AB1893))</x:f>
      </x:c>
      <x:c r="AE1893" t="str">
        <x:f>IF(OR(AA1893="",AB1893=""),"PENDING_HUMAN",IF(AA1893=AB1893,AA1893,IF(AD1893&lt;&gt;"",AD1893,"PENDING_HUMAN")))</x:f>
        <x:v>PENDING_HUMAN</x:v>
      </x:c>
      <x:c r="AF1893" t="n">
        <x:f>--AND(A1893&lt;&gt;"",AA1893&lt;&gt;"",AB1893&lt;&gt;"",OR(AA1893=AB1893,AD1893&lt;&gt;""),IF(AE1893="HALLUCINATION",U1893&lt;&gt;"",TRUE))</x:f>
        <x:v>0</x:v>
      </x:c>
      <x:c r="AG1893" t="n">
        <x:f>--AND(N1893=1,AF1893=1,OR(AE1893="SUPPORTED",AE1893="HALLUCINATION"))</x:f>
        <x:v>0</x:v>
      </x:c>
      <x:c r="AH1893" t="n">
        <x:f>--AND(AG1893=1,AE1893="HALLUCINATION")</x:f>
        <x:v>0</x:v>
      </x:c>
      <x:c r="AI1893" t="n">
        <x:f>--AND(Q1893=1,AF1893=1,AE1893="HALLUCINATION")</x:f>
        <x:v>0</x:v>
      </x:c>
      <x:c r="AJ1893" t="n">
        <x:f>--AND(AI1893=1,R1893=1,S1893=1)</x:f>
        <x:v>0</x:v>
      </x:c>
    </x:row>
    <x:row r="1894">
      <x:c r="A1894" s="28"/>
      <x:c r="B1894" s="28"/>
      <x:c r="C1894" s="28"/>
      <x:c r="D1894" s="28"/>
      <x:c r="E1894" s="28"/>
      <x:c r="F1894" s="28"/>
      <x:c r="G1894" s="28"/>
      <x:c r="H1894" s="28"/>
      <x:c r="I1894" s="28"/>
      <x:c r="J1894" s="28"/>
      <x:c r="K1894" s="28"/>
      <x:c r="L1894" s="28"/>
      <x:c r="M1894" s="28"/>
      <x:c r="N1894" s="28"/>
      <x:c r="O1894" s="28"/>
      <x:c r="P1894" s="28"/>
      <x:c r="Q1894" s="28"/>
      <x:c r="R1894" s="28"/>
      <x:c r="S1894" s="28"/>
      <x:c r="T1894" s="28"/>
      <x:c r="U1894" s="28"/>
      <x:c r="V1894" s="28"/>
      <x:c r="W1894" s="43" t="n">
        <x:f>--AND(N1894=1,OR(O1894="SUPPORTED",O1894="HALLUCINATION"))</x:f>
        <x:v>0</x:v>
      </x:c>
      <x:c r="X1894" s="43" t="n">
        <x:f>--AND(W1894=1,O1894="HALLUCINATION")</x:f>
        <x:v>0</x:v>
      </x:c>
      <x:c r="Y1894" s="43" t="n">
        <x:f>--AND(Q1894=1,O1894="HALLUCINATION")</x:f>
        <x:v>0</x:v>
      </x:c>
      <x:c r="Z1894" s="43" t="n">
        <x:f>--AND(Y1894=1,R1894=1,S1894=1)</x:f>
        <x:v>0</x:v>
      </x:c>
      <x:c r="AC1894" t="str">
        <x:f>IF(OR(AA1894="",AB1894=""),"",--(AA1894&lt;&gt;AB1894))</x:f>
      </x:c>
      <x:c r="AE1894" t="str">
        <x:f>IF(OR(AA1894="",AB1894=""),"PENDING_HUMAN",IF(AA1894=AB1894,AA1894,IF(AD1894&lt;&gt;"",AD1894,"PENDING_HUMAN")))</x:f>
        <x:v>PENDING_HUMAN</x:v>
      </x:c>
      <x:c r="AF1894" t="n">
        <x:f>--AND(A1894&lt;&gt;"",AA1894&lt;&gt;"",AB1894&lt;&gt;"",OR(AA1894=AB1894,AD1894&lt;&gt;""),IF(AE1894="HALLUCINATION",U1894&lt;&gt;"",TRUE))</x:f>
        <x:v>0</x:v>
      </x:c>
      <x:c r="AG1894" t="n">
        <x:f>--AND(N1894=1,AF1894=1,OR(AE1894="SUPPORTED",AE1894="HALLUCINATION"))</x:f>
        <x:v>0</x:v>
      </x:c>
      <x:c r="AH1894" t="n">
        <x:f>--AND(AG1894=1,AE1894="HALLUCINATION")</x:f>
        <x:v>0</x:v>
      </x:c>
      <x:c r="AI1894" t="n">
        <x:f>--AND(Q1894=1,AF1894=1,AE1894="HALLUCINATION")</x:f>
        <x:v>0</x:v>
      </x:c>
      <x:c r="AJ1894" t="n">
        <x:f>--AND(AI1894=1,R1894=1,S1894=1)</x:f>
        <x:v>0</x:v>
      </x:c>
    </x:row>
    <x:row r="1895">
      <x:c r="A1895" s="28"/>
      <x:c r="B1895" s="28"/>
      <x:c r="C1895" s="28"/>
      <x:c r="D1895" s="28"/>
      <x:c r="E1895" s="28"/>
      <x:c r="F1895" s="28"/>
      <x:c r="G1895" s="28"/>
      <x:c r="H1895" s="28"/>
      <x:c r="I1895" s="28"/>
      <x:c r="J1895" s="28"/>
      <x:c r="K1895" s="28"/>
      <x:c r="L1895" s="28"/>
      <x:c r="M1895" s="28"/>
      <x:c r="N1895" s="28"/>
      <x:c r="O1895" s="28"/>
      <x:c r="P1895" s="28"/>
      <x:c r="Q1895" s="28"/>
      <x:c r="R1895" s="28"/>
      <x:c r="S1895" s="28"/>
      <x:c r="T1895" s="28"/>
      <x:c r="U1895" s="28"/>
      <x:c r="V1895" s="28"/>
      <x:c r="W1895" s="43" t="n">
        <x:f>--AND(N1895=1,OR(O1895="SUPPORTED",O1895="HALLUCINATION"))</x:f>
        <x:v>0</x:v>
      </x:c>
      <x:c r="X1895" s="43" t="n">
        <x:f>--AND(W1895=1,O1895="HALLUCINATION")</x:f>
        <x:v>0</x:v>
      </x:c>
      <x:c r="Y1895" s="43" t="n">
        <x:f>--AND(Q1895=1,O1895="HALLUCINATION")</x:f>
        <x:v>0</x:v>
      </x:c>
      <x:c r="Z1895" s="43" t="n">
        <x:f>--AND(Y1895=1,R1895=1,S1895=1)</x:f>
        <x:v>0</x:v>
      </x:c>
      <x:c r="AC1895" t="str">
        <x:f>IF(OR(AA1895="",AB1895=""),"",--(AA1895&lt;&gt;AB1895))</x:f>
      </x:c>
      <x:c r="AE1895" t="str">
        <x:f>IF(OR(AA1895="",AB1895=""),"PENDING_HUMAN",IF(AA1895=AB1895,AA1895,IF(AD1895&lt;&gt;"",AD1895,"PENDING_HUMAN")))</x:f>
        <x:v>PENDING_HUMAN</x:v>
      </x:c>
      <x:c r="AF1895" t="n">
        <x:f>--AND(A1895&lt;&gt;"",AA1895&lt;&gt;"",AB1895&lt;&gt;"",OR(AA1895=AB1895,AD1895&lt;&gt;""),IF(AE1895="HALLUCINATION",U1895&lt;&gt;"",TRUE))</x:f>
        <x:v>0</x:v>
      </x:c>
      <x:c r="AG1895" t="n">
        <x:f>--AND(N1895=1,AF1895=1,OR(AE1895="SUPPORTED",AE1895="HALLUCINATION"))</x:f>
        <x:v>0</x:v>
      </x:c>
      <x:c r="AH1895" t="n">
        <x:f>--AND(AG1895=1,AE1895="HALLUCINATION")</x:f>
        <x:v>0</x:v>
      </x:c>
      <x:c r="AI1895" t="n">
        <x:f>--AND(Q1895=1,AF1895=1,AE1895="HALLUCINATION")</x:f>
        <x:v>0</x:v>
      </x:c>
      <x:c r="AJ1895" t="n">
        <x:f>--AND(AI1895=1,R1895=1,S1895=1)</x:f>
        <x:v>0</x:v>
      </x:c>
    </x:row>
    <x:row r="1896">
      <x:c r="A1896" s="28"/>
      <x:c r="B1896" s="28"/>
      <x:c r="C1896" s="28"/>
      <x:c r="D1896" s="28"/>
      <x:c r="E1896" s="28"/>
      <x:c r="F1896" s="28"/>
      <x:c r="G1896" s="28"/>
      <x:c r="H1896" s="28"/>
      <x:c r="I1896" s="28"/>
      <x:c r="J1896" s="28"/>
      <x:c r="K1896" s="28"/>
      <x:c r="L1896" s="28"/>
      <x:c r="M1896" s="28"/>
      <x:c r="N1896" s="28"/>
      <x:c r="O1896" s="28"/>
      <x:c r="P1896" s="28"/>
      <x:c r="Q1896" s="28"/>
      <x:c r="R1896" s="28"/>
      <x:c r="S1896" s="28"/>
      <x:c r="T1896" s="28"/>
      <x:c r="U1896" s="28"/>
      <x:c r="V1896" s="28"/>
      <x:c r="W1896" s="43" t="n">
        <x:f>--AND(N1896=1,OR(O1896="SUPPORTED",O1896="HALLUCINATION"))</x:f>
        <x:v>0</x:v>
      </x:c>
      <x:c r="X1896" s="43" t="n">
        <x:f>--AND(W1896=1,O1896="HALLUCINATION")</x:f>
        <x:v>0</x:v>
      </x:c>
      <x:c r="Y1896" s="43" t="n">
        <x:f>--AND(Q1896=1,O1896="HALLUCINATION")</x:f>
        <x:v>0</x:v>
      </x:c>
      <x:c r="Z1896" s="43" t="n">
        <x:f>--AND(Y1896=1,R1896=1,S1896=1)</x:f>
        <x:v>0</x:v>
      </x:c>
      <x:c r="AC1896" t="str">
        <x:f>IF(OR(AA1896="",AB1896=""),"",--(AA1896&lt;&gt;AB1896))</x:f>
      </x:c>
      <x:c r="AE1896" t="str">
        <x:f>IF(OR(AA1896="",AB1896=""),"PENDING_HUMAN",IF(AA1896=AB1896,AA1896,IF(AD1896&lt;&gt;"",AD1896,"PENDING_HUMAN")))</x:f>
        <x:v>PENDING_HUMAN</x:v>
      </x:c>
      <x:c r="AF1896" t="n">
        <x:f>--AND(A1896&lt;&gt;"",AA1896&lt;&gt;"",AB1896&lt;&gt;"",OR(AA1896=AB1896,AD1896&lt;&gt;""),IF(AE1896="HALLUCINATION",U1896&lt;&gt;"",TRUE))</x:f>
        <x:v>0</x:v>
      </x:c>
      <x:c r="AG1896" t="n">
        <x:f>--AND(N1896=1,AF1896=1,OR(AE1896="SUPPORTED",AE1896="HALLUCINATION"))</x:f>
        <x:v>0</x:v>
      </x:c>
      <x:c r="AH1896" t="n">
        <x:f>--AND(AG1896=1,AE1896="HALLUCINATION")</x:f>
        <x:v>0</x:v>
      </x:c>
      <x:c r="AI1896" t="n">
        <x:f>--AND(Q1896=1,AF1896=1,AE1896="HALLUCINATION")</x:f>
        <x:v>0</x:v>
      </x:c>
      <x:c r="AJ1896" t="n">
        <x:f>--AND(AI1896=1,R1896=1,S1896=1)</x:f>
        <x:v>0</x:v>
      </x:c>
    </x:row>
    <x:row r="1897">
      <x:c r="A1897" s="28"/>
      <x:c r="B1897" s="28"/>
      <x:c r="C1897" s="28"/>
      <x:c r="D1897" s="28"/>
      <x:c r="E1897" s="28"/>
      <x:c r="F1897" s="28"/>
      <x:c r="G1897" s="28"/>
      <x:c r="H1897" s="28"/>
      <x:c r="I1897" s="28"/>
      <x:c r="J1897" s="28"/>
      <x:c r="K1897" s="28"/>
      <x:c r="L1897" s="28"/>
      <x:c r="M1897" s="28"/>
      <x:c r="N1897" s="28"/>
      <x:c r="O1897" s="28"/>
      <x:c r="P1897" s="28"/>
      <x:c r="Q1897" s="28"/>
      <x:c r="R1897" s="28"/>
      <x:c r="S1897" s="28"/>
      <x:c r="T1897" s="28"/>
      <x:c r="U1897" s="28"/>
      <x:c r="V1897" s="28"/>
      <x:c r="W1897" s="43" t="n">
        <x:f>--AND(N1897=1,OR(O1897="SUPPORTED",O1897="HALLUCINATION"))</x:f>
        <x:v>0</x:v>
      </x:c>
      <x:c r="X1897" s="43" t="n">
        <x:f>--AND(W1897=1,O1897="HALLUCINATION")</x:f>
        <x:v>0</x:v>
      </x:c>
      <x:c r="Y1897" s="43" t="n">
        <x:f>--AND(Q1897=1,O1897="HALLUCINATION")</x:f>
        <x:v>0</x:v>
      </x:c>
      <x:c r="Z1897" s="43" t="n">
        <x:f>--AND(Y1897=1,R1897=1,S1897=1)</x:f>
        <x:v>0</x:v>
      </x:c>
      <x:c r="AC1897" t="str">
        <x:f>IF(OR(AA1897="",AB1897=""),"",--(AA1897&lt;&gt;AB1897))</x:f>
      </x:c>
      <x:c r="AE1897" t="str">
        <x:f>IF(OR(AA1897="",AB1897=""),"PENDING_HUMAN",IF(AA1897=AB1897,AA1897,IF(AD1897&lt;&gt;"",AD1897,"PENDING_HUMAN")))</x:f>
        <x:v>PENDING_HUMAN</x:v>
      </x:c>
      <x:c r="AF1897" t="n">
        <x:f>--AND(A1897&lt;&gt;"",AA1897&lt;&gt;"",AB1897&lt;&gt;"",OR(AA1897=AB1897,AD1897&lt;&gt;""),IF(AE1897="HALLUCINATION",U1897&lt;&gt;"",TRUE))</x:f>
        <x:v>0</x:v>
      </x:c>
      <x:c r="AG1897" t="n">
        <x:f>--AND(N1897=1,AF1897=1,OR(AE1897="SUPPORTED",AE1897="HALLUCINATION"))</x:f>
        <x:v>0</x:v>
      </x:c>
      <x:c r="AH1897" t="n">
        <x:f>--AND(AG1897=1,AE1897="HALLUCINATION")</x:f>
        <x:v>0</x:v>
      </x:c>
      <x:c r="AI1897" t="n">
        <x:f>--AND(Q1897=1,AF1897=1,AE1897="HALLUCINATION")</x:f>
        <x:v>0</x:v>
      </x:c>
      <x:c r="AJ1897" t="n">
        <x:f>--AND(AI1897=1,R1897=1,S1897=1)</x:f>
        <x:v>0</x:v>
      </x:c>
    </x:row>
    <x:row r="1898">
      <x:c r="A1898" s="28"/>
      <x:c r="B1898" s="28"/>
      <x:c r="C1898" s="28"/>
      <x:c r="D1898" s="28"/>
      <x:c r="E1898" s="28"/>
      <x:c r="F1898" s="28"/>
      <x:c r="G1898" s="28"/>
      <x:c r="H1898" s="28"/>
      <x:c r="I1898" s="28"/>
      <x:c r="J1898" s="28"/>
      <x:c r="K1898" s="28"/>
      <x:c r="L1898" s="28"/>
      <x:c r="M1898" s="28"/>
      <x:c r="N1898" s="28"/>
      <x:c r="O1898" s="28"/>
      <x:c r="P1898" s="28"/>
      <x:c r="Q1898" s="28"/>
      <x:c r="R1898" s="28"/>
      <x:c r="S1898" s="28"/>
      <x:c r="T1898" s="28"/>
      <x:c r="U1898" s="28"/>
      <x:c r="V1898" s="28"/>
      <x:c r="W1898" s="43" t="n">
        <x:f>--AND(N1898=1,OR(O1898="SUPPORTED",O1898="HALLUCINATION"))</x:f>
        <x:v>0</x:v>
      </x:c>
      <x:c r="X1898" s="43" t="n">
        <x:f>--AND(W1898=1,O1898="HALLUCINATION")</x:f>
        <x:v>0</x:v>
      </x:c>
      <x:c r="Y1898" s="43" t="n">
        <x:f>--AND(Q1898=1,O1898="HALLUCINATION")</x:f>
        <x:v>0</x:v>
      </x:c>
      <x:c r="Z1898" s="43" t="n">
        <x:f>--AND(Y1898=1,R1898=1,S1898=1)</x:f>
        <x:v>0</x:v>
      </x:c>
      <x:c r="AC1898" t="str">
        <x:f>IF(OR(AA1898="",AB1898=""),"",--(AA1898&lt;&gt;AB1898))</x:f>
      </x:c>
      <x:c r="AE1898" t="str">
        <x:f>IF(OR(AA1898="",AB1898=""),"PENDING_HUMAN",IF(AA1898=AB1898,AA1898,IF(AD1898&lt;&gt;"",AD1898,"PENDING_HUMAN")))</x:f>
        <x:v>PENDING_HUMAN</x:v>
      </x:c>
      <x:c r="AF1898" t="n">
        <x:f>--AND(A1898&lt;&gt;"",AA1898&lt;&gt;"",AB1898&lt;&gt;"",OR(AA1898=AB1898,AD1898&lt;&gt;""),IF(AE1898="HALLUCINATION",U1898&lt;&gt;"",TRUE))</x:f>
        <x:v>0</x:v>
      </x:c>
      <x:c r="AG1898" t="n">
        <x:f>--AND(N1898=1,AF1898=1,OR(AE1898="SUPPORTED",AE1898="HALLUCINATION"))</x:f>
        <x:v>0</x:v>
      </x:c>
      <x:c r="AH1898" t="n">
        <x:f>--AND(AG1898=1,AE1898="HALLUCINATION")</x:f>
        <x:v>0</x:v>
      </x:c>
      <x:c r="AI1898" t="n">
        <x:f>--AND(Q1898=1,AF1898=1,AE1898="HALLUCINATION")</x:f>
        <x:v>0</x:v>
      </x:c>
      <x:c r="AJ1898" t="n">
        <x:f>--AND(AI1898=1,R1898=1,S1898=1)</x:f>
        <x:v>0</x:v>
      </x:c>
    </x:row>
    <x:row r="1899">
      <x:c r="A1899" s="28"/>
      <x:c r="B1899" s="28"/>
      <x:c r="C1899" s="28"/>
      <x:c r="D1899" s="28"/>
      <x:c r="E1899" s="28"/>
      <x:c r="F1899" s="28"/>
      <x:c r="G1899" s="28"/>
      <x:c r="H1899" s="28"/>
      <x:c r="I1899" s="28"/>
      <x:c r="J1899" s="28"/>
      <x:c r="K1899" s="28"/>
      <x:c r="L1899" s="28"/>
      <x:c r="M1899" s="28"/>
      <x:c r="N1899" s="28"/>
      <x:c r="O1899" s="28"/>
      <x:c r="P1899" s="28"/>
      <x:c r="Q1899" s="28"/>
      <x:c r="R1899" s="28"/>
      <x:c r="S1899" s="28"/>
      <x:c r="T1899" s="28"/>
      <x:c r="U1899" s="28"/>
      <x:c r="V1899" s="28"/>
      <x:c r="W1899" s="43" t="n">
        <x:f>--AND(N1899=1,OR(O1899="SUPPORTED",O1899="HALLUCINATION"))</x:f>
        <x:v>0</x:v>
      </x:c>
      <x:c r="X1899" s="43" t="n">
        <x:f>--AND(W1899=1,O1899="HALLUCINATION")</x:f>
        <x:v>0</x:v>
      </x:c>
      <x:c r="Y1899" s="43" t="n">
        <x:f>--AND(Q1899=1,O1899="HALLUCINATION")</x:f>
        <x:v>0</x:v>
      </x:c>
      <x:c r="Z1899" s="43" t="n">
        <x:f>--AND(Y1899=1,R1899=1,S1899=1)</x:f>
        <x:v>0</x:v>
      </x:c>
      <x:c r="AC1899" t="str">
        <x:f>IF(OR(AA1899="",AB1899=""),"",--(AA1899&lt;&gt;AB1899))</x:f>
      </x:c>
      <x:c r="AE1899" t="str">
        <x:f>IF(OR(AA1899="",AB1899=""),"PENDING_HUMAN",IF(AA1899=AB1899,AA1899,IF(AD1899&lt;&gt;"",AD1899,"PENDING_HUMAN")))</x:f>
        <x:v>PENDING_HUMAN</x:v>
      </x:c>
      <x:c r="AF1899" t="n">
        <x:f>--AND(A1899&lt;&gt;"",AA1899&lt;&gt;"",AB1899&lt;&gt;"",OR(AA1899=AB1899,AD1899&lt;&gt;""),IF(AE1899="HALLUCINATION",U1899&lt;&gt;"",TRUE))</x:f>
        <x:v>0</x:v>
      </x:c>
      <x:c r="AG1899" t="n">
        <x:f>--AND(N1899=1,AF1899=1,OR(AE1899="SUPPORTED",AE1899="HALLUCINATION"))</x:f>
        <x:v>0</x:v>
      </x:c>
      <x:c r="AH1899" t="n">
        <x:f>--AND(AG1899=1,AE1899="HALLUCINATION")</x:f>
        <x:v>0</x:v>
      </x:c>
      <x:c r="AI1899" t="n">
        <x:f>--AND(Q1899=1,AF1899=1,AE1899="HALLUCINATION")</x:f>
        <x:v>0</x:v>
      </x:c>
      <x:c r="AJ1899" t="n">
        <x:f>--AND(AI1899=1,R1899=1,S1899=1)</x:f>
        <x:v>0</x:v>
      </x:c>
    </x:row>
    <x:row r="1900">
      <x:c r="A1900" s="28"/>
      <x:c r="B1900" s="28"/>
      <x:c r="C1900" s="28"/>
      <x:c r="D1900" s="28"/>
      <x:c r="E1900" s="28"/>
      <x:c r="F1900" s="28"/>
      <x:c r="G1900" s="28"/>
      <x:c r="H1900" s="28"/>
      <x:c r="I1900" s="28"/>
      <x:c r="J1900" s="28"/>
      <x:c r="K1900" s="28"/>
      <x:c r="L1900" s="28"/>
      <x:c r="M1900" s="28"/>
      <x:c r="N1900" s="28"/>
      <x:c r="O1900" s="28"/>
      <x:c r="P1900" s="28"/>
      <x:c r="Q1900" s="28"/>
      <x:c r="R1900" s="28"/>
      <x:c r="S1900" s="28"/>
      <x:c r="T1900" s="28"/>
      <x:c r="U1900" s="28"/>
      <x:c r="V1900" s="28"/>
      <x:c r="W1900" s="43" t="n">
        <x:f>--AND(N1900=1,OR(O1900="SUPPORTED",O1900="HALLUCINATION"))</x:f>
        <x:v>0</x:v>
      </x:c>
      <x:c r="X1900" s="43" t="n">
        <x:f>--AND(W1900=1,O1900="HALLUCINATION")</x:f>
        <x:v>0</x:v>
      </x:c>
      <x:c r="Y1900" s="43" t="n">
        <x:f>--AND(Q1900=1,O1900="HALLUCINATION")</x:f>
        <x:v>0</x:v>
      </x:c>
      <x:c r="Z1900" s="43" t="n">
        <x:f>--AND(Y1900=1,R1900=1,S1900=1)</x:f>
        <x:v>0</x:v>
      </x:c>
      <x:c r="AC1900" t="str">
        <x:f>IF(OR(AA1900="",AB1900=""),"",--(AA1900&lt;&gt;AB1900))</x:f>
      </x:c>
      <x:c r="AE1900" t="str">
        <x:f>IF(OR(AA1900="",AB1900=""),"PENDING_HUMAN",IF(AA1900=AB1900,AA1900,IF(AD1900&lt;&gt;"",AD1900,"PENDING_HUMAN")))</x:f>
        <x:v>PENDING_HUMAN</x:v>
      </x:c>
      <x:c r="AF1900" t="n">
        <x:f>--AND(A1900&lt;&gt;"",AA1900&lt;&gt;"",AB1900&lt;&gt;"",OR(AA1900=AB1900,AD1900&lt;&gt;""),IF(AE1900="HALLUCINATION",U1900&lt;&gt;"",TRUE))</x:f>
        <x:v>0</x:v>
      </x:c>
      <x:c r="AG1900" t="n">
        <x:f>--AND(N1900=1,AF1900=1,OR(AE1900="SUPPORTED",AE1900="HALLUCINATION"))</x:f>
        <x:v>0</x:v>
      </x:c>
      <x:c r="AH1900" t="n">
        <x:f>--AND(AG1900=1,AE1900="HALLUCINATION")</x:f>
        <x:v>0</x:v>
      </x:c>
      <x:c r="AI1900" t="n">
        <x:f>--AND(Q1900=1,AF1900=1,AE1900="HALLUCINATION")</x:f>
        <x:v>0</x:v>
      </x:c>
      <x:c r="AJ1900" t="n">
        <x:f>--AND(AI1900=1,R1900=1,S1900=1)</x:f>
        <x:v>0</x:v>
      </x:c>
    </x:row>
    <x:row r="1901">
      <x:c r="A1901" s="28"/>
      <x:c r="B1901" s="28"/>
      <x:c r="C1901" s="28"/>
      <x:c r="D1901" s="28"/>
      <x:c r="E1901" s="28"/>
      <x:c r="F1901" s="28"/>
      <x:c r="G1901" s="28"/>
      <x:c r="H1901" s="28"/>
      <x:c r="I1901" s="28"/>
      <x:c r="J1901" s="28"/>
      <x:c r="K1901" s="28"/>
      <x:c r="L1901" s="28"/>
      <x:c r="M1901" s="28"/>
      <x:c r="N1901" s="28"/>
      <x:c r="O1901" s="28"/>
      <x:c r="P1901" s="28"/>
      <x:c r="Q1901" s="28"/>
      <x:c r="R1901" s="28"/>
      <x:c r="S1901" s="28"/>
      <x:c r="T1901" s="28"/>
      <x:c r="U1901" s="28"/>
      <x:c r="V1901" s="28"/>
      <x:c r="W1901" s="43" t="n">
        <x:f>--AND(N1901=1,OR(O1901="SUPPORTED",O1901="HALLUCINATION"))</x:f>
        <x:v>0</x:v>
      </x:c>
      <x:c r="X1901" s="43" t="n">
        <x:f>--AND(W1901=1,O1901="HALLUCINATION")</x:f>
        <x:v>0</x:v>
      </x:c>
      <x:c r="Y1901" s="43" t="n">
        <x:f>--AND(Q1901=1,O1901="HALLUCINATION")</x:f>
        <x:v>0</x:v>
      </x:c>
      <x:c r="Z1901" s="43" t="n">
        <x:f>--AND(Y1901=1,R1901=1,S1901=1)</x:f>
        <x:v>0</x:v>
      </x:c>
      <x:c r="AC1901" t="str">
        <x:f>IF(OR(AA1901="",AB1901=""),"",--(AA1901&lt;&gt;AB1901))</x:f>
      </x:c>
      <x:c r="AE1901" t="str">
        <x:f>IF(OR(AA1901="",AB1901=""),"PENDING_HUMAN",IF(AA1901=AB1901,AA1901,IF(AD1901&lt;&gt;"",AD1901,"PENDING_HUMAN")))</x:f>
        <x:v>PENDING_HUMAN</x:v>
      </x:c>
      <x:c r="AF1901" t="n">
        <x:f>--AND(A1901&lt;&gt;"",AA1901&lt;&gt;"",AB1901&lt;&gt;"",OR(AA1901=AB1901,AD1901&lt;&gt;""),IF(AE1901="HALLUCINATION",U1901&lt;&gt;"",TRUE))</x:f>
        <x:v>0</x:v>
      </x:c>
      <x:c r="AG1901" t="n">
        <x:f>--AND(N1901=1,AF1901=1,OR(AE1901="SUPPORTED",AE1901="HALLUCINATION"))</x:f>
        <x:v>0</x:v>
      </x:c>
      <x:c r="AH1901" t="n">
        <x:f>--AND(AG1901=1,AE1901="HALLUCINATION")</x:f>
        <x:v>0</x:v>
      </x:c>
      <x:c r="AI1901" t="n">
        <x:f>--AND(Q1901=1,AF1901=1,AE1901="HALLUCINATION")</x:f>
        <x:v>0</x:v>
      </x:c>
      <x:c r="AJ1901" t="n">
        <x:f>--AND(AI1901=1,R1901=1,S1901=1)</x:f>
        <x:v>0</x:v>
      </x:c>
    </x:row>
    <x:row r="1902">
      <x:c r="A1902" s="28"/>
      <x:c r="B1902" s="28"/>
      <x:c r="C1902" s="28"/>
      <x:c r="D1902" s="28"/>
      <x:c r="E1902" s="28"/>
      <x:c r="F1902" s="28"/>
      <x:c r="G1902" s="28"/>
      <x:c r="H1902" s="28"/>
      <x:c r="I1902" s="28"/>
      <x:c r="J1902" s="28"/>
      <x:c r="K1902" s="28"/>
      <x:c r="L1902" s="28"/>
      <x:c r="M1902" s="28"/>
      <x:c r="N1902" s="28"/>
      <x:c r="O1902" s="28"/>
      <x:c r="P1902" s="28"/>
      <x:c r="Q1902" s="28"/>
      <x:c r="R1902" s="28"/>
      <x:c r="S1902" s="28"/>
      <x:c r="T1902" s="28"/>
      <x:c r="U1902" s="28"/>
      <x:c r="V1902" s="28"/>
      <x:c r="W1902" s="43" t="n">
        <x:f>--AND(N1902=1,OR(O1902="SUPPORTED",O1902="HALLUCINATION"))</x:f>
        <x:v>0</x:v>
      </x:c>
      <x:c r="X1902" s="43" t="n">
        <x:f>--AND(W1902=1,O1902="HALLUCINATION")</x:f>
        <x:v>0</x:v>
      </x:c>
      <x:c r="Y1902" s="43" t="n">
        <x:f>--AND(Q1902=1,O1902="HALLUCINATION")</x:f>
        <x:v>0</x:v>
      </x:c>
      <x:c r="Z1902" s="43" t="n">
        <x:f>--AND(Y1902=1,R1902=1,S1902=1)</x:f>
        <x:v>0</x:v>
      </x:c>
      <x:c r="AC1902" t="str">
        <x:f>IF(OR(AA1902="",AB1902=""),"",--(AA1902&lt;&gt;AB1902))</x:f>
      </x:c>
      <x:c r="AE1902" t="str">
        <x:f>IF(OR(AA1902="",AB1902=""),"PENDING_HUMAN",IF(AA1902=AB1902,AA1902,IF(AD1902&lt;&gt;"",AD1902,"PENDING_HUMAN")))</x:f>
        <x:v>PENDING_HUMAN</x:v>
      </x:c>
      <x:c r="AF1902" t="n">
        <x:f>--AND(A1902&lt;&gt;"",AA1902&lt;&gt;"",AB1902&lt;&gt;"",OR(AA1902=AB1902,AD1902&lt;&gt;""),IF(AE1902="HALLUCINATION",U1902&lt;&gt;"",TRUE))</x:f>
        <x:v>0</x:v>
      </x:c>
      <x:c r="AG1902" t="n">
        <x:f>--AND(N1902=1,AF1902=1,OR(AE1902="SUPPORTED",AE1902="HALLUCINATION"))</x:f>
        <x:v>0</x:v>
      </x:c>
      <x:c r="AH1902" t="n">
        <x:f>--AND(AG1902=1,AE1902="HALLUCINATION")</x:f>
        <x:v>0</x:v>
      </x:c>
      <x:c r="AI1902" t="n">
        <x:f>--AND(Q1902=1,AF1902=1,AE1902="HALLUCINATION")</x:f>
        <x:v>0</x:v>
      </x:c>
      <x:c r="AJ1902" t="n">
        <x:f>--AND(AI1902=1,R1902=1,S1902=1)</x:f>
        <x:v>0</x:v>
      </x:c>
    </x:row>
    <x:row r="1903">
      <x:c r="A1903" s="28"/>
      <x:c r="B1903" s="28"/>
      <x:c r="C1903" s="28"/>
      <x:c r="D1903" s="28"/>
      <x:c r="E1903" s="28"/>
      <x:c r="F1903" s="28"/>
      <x:c r="G1903" s="28"/>
      <x:c r="H1903" s="28"/>
      <x:c r="I1903" s="28"/>
      <x:c r="J1903" s="28"/>
      <x:c r="K1903" s="28"/>
      <x:c r="L1903" s="28"/>
      <x:c r="M1903" s="28"/>
      <x:c r="N1903" s="28"/>
      <x:c r="O1903" s="28"/>
      <x:c r="P1903" s="28"/>
      <x:c r="Q1903" s="28"/>
      <x:c r="R1903" s="28"/>
      <x:c r="S1903" s="28"/>
      <x:c r="T1903" s="28"/>
      <x:c r="U1903" s="28"/>
      <x:c r="V1903" s="28"/>
      <x:c r="W1903" s="43" t="n">
        <x:f>--AND(N1903=1,OR(O1903="SUPPORTED",O1903="HALLUCINATION"))</x:f>
        <x:v>0</x:v>
      </x:c>
      <x:c r="X1903" s="43" t="n">
        <x:f>--AND(W1903=1,O1903="HALLUCINATION")</x:f>
        <x:v>0</x:v>
      </x:c>
      <x:c r="Y1903" s="43" t="n">
        <x:f>--AND(Q1903=1,O1903="HALLUCINATION")</x:f>
        <x:v>0</x:v>
      </x:c>
      <x:c r="Z1903" s="43" t="n">
        <x:f>--AND(Y1903=1,R1903=1,S1903=1)</x:f>
        <x:v>0</x:v>
      </x:c>
      <x:c r="AC1903" t="str">
        <x:f>IF(OR(AA1903="",AB1903=""),"",--(AA1903&lt;&gt;AB1903))</x:f>
      </x:c>
      <x:c r="AE1903" t="str">
        <x:f>IF(OR(AA1903="",AB1903=""),"PENDING_HUMAN",IF(AA1903=AB1903,AA1903,IF(AD1903&lt;&gt;"",AD1903,"PENDING_HUMAN")))</x:f>
        <x:v>PENDING_HUMAN</x:v>
      </x:c>
      <x:c r="AF1903" t="n">
        <x:f>--AND(A1903&lt;&gt;"",AA1903&lt;&gt;"",AB1903&lt;&gt;"",OR(AA1903=AB1903,AD1903&lt;&gt;""),IF(AE1903="HALLUCINATION",U1903&lt;&gt;"",TRUE))</x:f>
        <x:v>0</x:v>
      </x:c>
      <x:c r="AG1903" t="n">
        <x:f>--AND(N1903=1,AF1903=1,OR(AE1903="SUPPORTED",AE1903="HALLUCINATION"))</x:f>
        <x:v>0</x:v>
      </x:c>
      <x:c r="AH1903" t="n">
        <x:f>--AND(AG1903=1,AE1903="HALLUCINATION")</x:f>
        <x:v>0</x:v>
      </x:c>
      <x:c r="AI1903" t="n">
        <x:f>--AND(Q1903=1,AF1903=1,AE1903="HALLUCINATION")</x:f>
        <x:v>0</x:v>
      </x:c>
      <x:c r="AJ1903" t="n">
        <x:f>--AND(AI1903=1,R1903=1,S1903=1)</x:f>
        <x:v>0</x:v>
      </x:c>
    </x:row>
    <x:row r="1904">
      <x:c r="A1904" s="28"/>
      <x:c r="B1904" s="28"/>
      <x:c r="C1904" s="28"/>
      <x:c r="D1904" s="28"/>
      <x:c r="E1904" s="28"/>
      <x:c r="F1904" s="28"/>
      <x:c r="G1904" s="28"/>
      <x:c r="H1904" s="28"/>
      <x:c r="I1904" s="28"/>
      <x:c r="J1904" s="28"/>
      <x:c r="K1904" s="28"/>
      <x:c r="L1904" s="28"/>
      <x:c r="M1904" s="28"/>
      <x:c r="N1904" s="28"/>
      <x:c r="O1904" s="28"/>
      <x:c r="P1904" s="28"/>
      <x:c r="Q1904" s="28"/>
      <x:c r="R1904" s="28"/>
      <x:c r="S1904" s="28"/>
      <x:c r="T1904" s="28"/>
      <x:c r="U1904" s="28"/>
      <x:c r="V1904" s="28"/>
      <x:c r="W1904" s="43" t="n">
        <x:f>--AND(N1904=1,OR(O1904="SUPPORTED",O1904="HALLUCINATION"))</x:f>
        <x:v>0</x:v>
      </x:c>
      <x:c r="X1904" s="43" t="n">
        <x:f>--AND(W1904=1,O1904="HALLUCINATION")</x:f>
        <x:v>0</x:v>
      </x:c>
      <x:c r="Y1904" s="43" t="n">
        <x:f>--AND(Q1904=1,O1904="HALLUCINATION")</x:f>
        <x:v>0</x:v>
      </x:c>
      <x:c r="Z1904" s="43" t="n">
        <x:f>--AND(Y1904=1,R1904=1,S1904=1)</x:f>
        <x:v>0</x:v>
      </x:c>
      <x:c r="AC1904" t="str">
        <x:f>IF(OR(AA1904="",AB1904=""),"",--(AA1904&lt;&gt;AB1904))</x:f>
      </x:c>
      <x:c r="AE1904" t="str">
        <x:f>IF(OR(AA1904="",AB1904=""),"PENDING_HUMAN",IF(AA1904=AB1904,AA1904,IF(AD1904&lt;&gt;"",AD1904,"PENDING_HUMAN")))</x:f>
        <x:v>PENDING_HUMAN</x:v>
      </x:c>
      <x:c r="AF1904" t="n">
        <x:f>--AND(A1904&lt;&gt;"",AA1904&lt;&gt;"",AB1904&lt;&gt;"",OR(AA1904=AB1904,AD1904&lt;&gt;""),IF(AE1904="HALLUCINATION",U1904&lt;&gt;"",TRUE))</x:f>
        <x:v>0</x:v>
      </x:c>
      <x:c r="AG1904" t="n">
        <x:f>--AND(N1904=1,AF1904=1,OR(AE1904="SUPPORTED",AE1904="HALLUCINATION"))</x:f>
        <x:v>0</x:v>
      </x:c>
      <x:c r="AH1904" t="n">
        <x:f>--AND(AG1904=1,AE1904="HALLUCINATION")</x:f>
        <x:v>0</x:v>
      </x:c>
      <x:c r="AI1904" t="n">
        <x:f>--AND(Q1904=1,AF1904=1,AE1904="HALLUCINATION")</x:f>
        <x:v>0</x:v>
      </x:c>
      <x:c r="AJ1904" t="n">
        <x:f>--AND(AI1904=1,R1904=1,S1904=1)</x:f>
        <x:v>0</x:v>
      </x:c>
    </x:row>
    <x:row r="1905">
      <x:c r="A1905" s="28"/>
      <x:c r="B1905" s="28"/>
      <x:c r="C1905" s="28"/>
      <x:c r="D1905" s="28"/>
      <x:c r="E1905" s="28"/>
      <x:c r="F1905" s="28"/>
      <x:c r="G1905" s="28"/>
      <x:c r="H1905" s="28"/>
      <x:c r="I1905" s="28"/>
      <x:c r="J1905" s="28"/>
      <x:c r="K1905" s="28"/>
      <x:c r="L1905" s="28"/>
      <x:c r="M1905" s="28"/>
      <x:c r="N1905" s="28"/>
      <x:c r="O1905" s="28"/>
      <x:c r="P1905" s="28"/>
      <x:c r="Q1905" s="28"/>
      <x:c r="R1905" s="28"/>
      <x:c r="S1905" s="28"/>
      <x:c r="T1905" s="28"/>
      <x:c r="U1905" s="28"/>
      <x:c r="V1905" s="28"/>
      <x:c r="W1905" s="43" t="n">
        <x:f>--AND(N1905=1,OR(O1905="SUPPORTED",O1905="HALLUCINATION"))</x:f>
        <x:v>0</x:v>
      </x:c>
      <x:c r="X1905" s="43" t="n">
        <x:f>--AND(W1905=1,O1905="HALLUCINATION")</x:f>
        <x:v>0</x:v>
      </x:c>
      <x:c r="Y1905" s="43" t="n">
        <x:f>--AND(Q1905=1,O1905="HALLUCINATION")</x:f>
        <x:v>0</x:v>
      </x:c>
      <x:c r="Z1905" s="43" t="n">
        <x:f>--AND(Y1905=1,R1905=1,S1905=1)</x:f>
        <x:v>0</x:v>
      </x:c>
      <x:c r="AC1905" t="str">
        <x:f>IF(OR(AA1905="",AB1905=""),"",--(AA1905&lt;&gt;AB1905))</x:f>
      </x:c>
      <x:c r="AE1905" t="str">
        <x:f>IF(OR(AA1905="",AB1905=""),"PENDING_HUMAN",IF(AA1905=AB1905,AA1905,IF(AD1905&lt;&gt;"",AD1905,"PENDING_HUMAN")))</x:f>
        <x:v>PENDING_HUMAN</x:v>
      </x:c>
      <x:c r="AF1905" t="n">
        <x:f>--AND(A1905&lt;&gt;"",AA1905&lt;&gt;"",AB1905&lt;&gt;"",OR(AA1905=AB1905,AD1905&lt;&gt;""),IF(AE1905="HALLUCINATION",U1905&lt;&gt;"",TRUE))</x:f>
        <x:v>0</x:v>
      </x:c>
      <x:c r="AG1905" t="n">
        <x:f>--AND(N1905=1,AF1905=1,OR(AE1905="SUPPORTED",AE1905="HALLUCINATION"))</x:f>
        <x:v>0</x:v>
      </x:c>
      <x:c r="AH1905" t="n">
        <x:f>--AND(AG1905=1,AE1905="HALLUCINATION")</x:f>
        <x:v>0</x:v>
      </x:c>
      <x:c r="AI1905" t="n">
        <x:f>--AND(Q1905=1,AF1905=1,AE1905="HALLUCINATION")</x:f>
        <x:v>0</x:v>
      </x:c>
      <x:c r="AJ1905" t="n">
        <x:f>--AND(AI1905=1,R1905=1,S1905=1)</x:f>
        <x:v>0</x:v>
      </x:c>
    </x:row>
    <x:row r="1906">
      <x:c r="A1906" s="28"/>
      <x:c r="B1906" s="28"/>
      <x:c r="C1906" s="28"/>
      <x:c r="D1906" s="28"/>
      <x:c r="E1906" s="28"/>
      <x:c r="F1906" s="28"/>
      <x:c r="G1906" s="28"/>
      <x:c r="H1906" s="28"/>
      <x:c r="I1906" s="28"/>
      <x:c r="J1906" s="28"/>
      <x:c r="K1906" s="28"/>
      <x:c r="L1906" s="28"/>
      <x:c r="M1906" s="28"/>
      <x:c r="N1906" s="28"/>
      <x:c r="O1906" s="28"/>
      <x:c r="P1906" s="28"/>
      <x:c r="Q1906" s="28"/>
      <x:c r="R1906" s="28"/>
      <x:c r="S1906" s="28"/>
      <x:c r="T1906" s="28"/>
      <x:c r="U1906" s="28"/>
      <x:c r="V1906" s="28"/>
      <x:c r="W1906" s="43" t="n">
        <x:f>--AND(N1906=1,OR(O1906="SUPPORTED",O1906="HALLUCINATION"))</x:f>
        <x:v>0</x:v>
      </x:c>
      <x:c r="X1906" s="43" t="n">
        <x:f>--AND(W1906=1,O1906="HALLUCINATION")</x:f>
        <x:v>0</x:v>
      </x:c>
      <x:c r="Y1906" s="43" t="n">
        <x:f>--AND(Q1906=1,O1906="HALLUCINATION")</x:f>
        <x:v>0</x:v>
      </x:c>
      <x:c r="Z1906" s="43" t="n">
        <x:f>--AND(Y1906=1,R1906=1,S1906=1)</x:f>
        <x:v>0</x:v>
      </x:c>
      <x:c r="AC1906" t="str">
        <x:f>IF(OR(AA1906="",AB1906=""),"",--(AA1906&lt;&gt;AB1906))</x:f>
      </x:c>
      <x:c r="AE1906" t="str">
        <x:f>IF(OR(AA1906="",AB1906=""),"PENDING_HUMAN",IF(AA1906=AB1906,AA1906,IF(AD1906&lt;&gt;"",AD1906,"PENDING_HUMAN")))</x:f>
        <x:v>PENDING_HUMAN</x:v>
      </x:c>
      <x:c r="AF1906" t="n">
        <x:f>--AND(A1906&lt;&gt;"",AA1906&lt;&gt;"",AB1906&lt;&gt;"",OR(AA1906=AB1906,AD1906&lt;&gt;""),IF(AE1906="HALLUCINATION",U1906&lt;&gt;"",TRUE))</x:f>
        <x:v>0</x:v>
      </x:c>
      <x:c r="AG1906" t="n">
        <x:f>--AND(N1906=1,AF1906=1,OR(AE1906="SUPPORTED",AE1906="HALLUCINATION"))</x:f>
        <x:v>0</x:v>
      </x:c>
      <x:c r="AH1906" t="n">
        <x:f>--AND(AG1906=1,AE1906="HALLUCINATION")</x:f>
        <x:v>0</x:v>
      </x:c>
      <x:c r="AI1906" t="n">
        <x:f>--AND(Q1906=1,AF1906=1,AE1906="HALLUCINATION")</x:f>
        <x:v>0</x:v>
      </x:c>
      <x:c r="AJ1906" t="n">
        <x:f>--AND(AI1906=1,R1906=1,S1906=1)</x:f>
        <x:v>0</x:v>
      </x:c>
    </x:row>
    <x:row r="1907">
      <x:c r="A1907" s="28"/>
      <x:c r="B1907" s="28"/>
      <x:c r="C1907" s="28"/>
      <x:c r="D1907" s="28"/>
      <x:c r="E1907" s="28"/>
      <x:c r="F1907" s="28"/>
      <x:c r="G1907" s="28"/>
      <x:c r="H1907" s="28"/>
      <x:c r="I1907" s="28"/>
      <x:c r="J1907" s="28"/>
      <x:c r="K1907" s="28"/>
      <x:c r="L1907" s="28"/>
      <x:c r="M1907" s="28"/>
      <x:c r="N1907" s="28"/>
      <x:c r="O1907" s="28"/>
      <x:c r="P1907" s="28"/>
      <x:c r="Q1907" s="28"/>
      <x:c r="R1907" s="28"/>
      <x:c r="S1907" s="28"/>
      <x:c r="T1907" s="28"/>
      <x:c r="U1907" s="28"/>
      <x:c r="V1907" s="28"/>
      <x:c r="W1907" s="43" t="n">
        <x:f>--AND(N1907=1,OR(O1907="SUPPORTED",O1907="HALLUCINATION"))</x:f>
        <x:v>0</x:v>
      </x:c>
      <x:c r="X1907" s="43" t="n">
        <x:f>--AND(W1907=1,O1907="HALLUCINATION")</x:f>
        <x:v>0</x:v>
      </x:c>
      <x:c r="Y1907" s="43" t="n">
        <x:f>--AND(Q1907=1,O1907="HALLUCINATION")</x:f>
        <x:v>0</x:v>
      </x:c>
      <x:c r="Z1907" s="43" t="n">
        <x:f>--AND(Y1907=1,R1907=1,S1907=1)</x:f>
        <x:v>0</x:v>
      </x:c>
      <x:c r="AC1907" t="str">
        <x:f>IF(OR(AA1907="",AB1907=""),"",--(AA1907&lt;&gt;AB1907))</x:f>
      </x:c>
      <x:c r="AE1907" t="str">
        <x:f>IF(OR(AA1907="",AB1907=""),"PENDING_HUMAN",IF(AA1907=AB1907,AA1907,IF(AD1907&lt;&gt;"",AD1907,"PENDING_HUMAN")))</x:f>
        <x:v>PENDING_HUMAN</x:v>
      </x:c>
      <x:c r="AF1907" t="n">
        <x:f>--AND(A1907&lt;&gt;"",AA1907&lt;&gt;"",AB1907&lt;&gt;"",OR(AA1907=AB1907,AD1907&lt;&gt;""),IF(AE1907="HALLUCINATION",U1907&lt;&gt;"",TRUE))</x:f>
        <x:v>0</x:v>
      </x:c>
      <x:c r="AG1907" t="n">
        <x:f>--AND(N1907=1,AF1907=1,OR(AE1907="SUPPORTED",AE1907="HALLUCINATION"))</x:f>
        <x:v>0</x:v>
      </x:c>
      <x:c r="AH1907" t="n">
        <x:f>--AND(AG1907=1,AE1907="HALLUCINATION")</x:f>
        <x:v>0</x:v>
      </x:c>
      <x:c r="AI1907" t="n">
        <x:f>--AND(Q1907=1,AF1907=1,AE1907="HALLUCINATION")</x:f>
        <x:v>0</x:v>
      </x:c>
      <x:c r="AJ1907" t="n">
        <x:f>--AND(AI1907=1,R1907=1,S1907=1)</x:f>
        <x:v>0</x:v>
      </x:c>
    </x:row>
    <x:row r="1908">
      <x:c r="A1908" s="28"/>
      <x:c r="B1908" s="28"/>
      <x:c r="C1908" s="28"/>
      <x:c r="D1908" s="28"/>
      <x:c r="E1908" s="28"/>
      <x:c r="F1908" s="28"/>
      <x:c r="G1908" s="28"/>
      <x:c r="H1908" s="28"/>
      <x:c r="I1908" s="28"/>
      <x:c r="J1908" s="28"/>
      <x:c r="K1908" s="28"/>
      <x:c r="L1908" s="28"/>
      <x:c r="M1908" s="28"/>
      <x:c r="N1908" s="28"/>
      <x:c r="O1908" s="28"/>
      <x:c r="P1908" s="28"/>
      <x:c r="Q1908" s="28"/>
      <x:c r="R1908" s="28"/>
      <x:c r="S1908" s="28"/>
      <x:c r="T1908" s="28"/>
      <x:c r="U1908" s="28"/>
      <x:c r="V1908" s="28"/>
      <x:c r="W1908" s="43" t="n">
        <x:f>--AND(N1908=1,OR(O1908="SUPPORTED",O1908="HALLUCINATION"))</x:f>
        <x:v>0</x:v>
      </x:c>
      <x:c r="X1908" s="43" t="n">
        <x:f>--AND(W1908=1,O1908="HALLUCINATION")</x:f>
        <x:v>0</x:v>
      </x:c>
      <x:c r="Y1908" s="43" t="n">
        <x:f>--AND(Q1908=1,O1908="HALLUCINATION")</x:f>
        <x:v>0</x:v>
      </x:c>
      <x:c r="Z1908" s="43" t="n">
        <x:f>--AND(Y1908=1,R1908=1,S1908=1)</x:f>
        <x:v>0</x:v>
      </x:c>
      <x:c r="AC1908" t="str">
        <x:f>IF(OR(AA1908="",AB1908=""),"",--(AA1908&lt;&gt;AB1908))</x:f>
      </x:c>
      <x:c r="AE1908" t="str">
        <x:f>IF(OR(AA1908="",AB1908=""),"PENDING_HUMAN",IF(AA1908=AB1908,AA1908,IF(AD1908&lt;&gt;"",AD1908,"PENDING_HUMAN")))</x:f>
        <x:v>PENDING_HUMAN</x:v>
      </x:c>
      <x:c r="AF1908" t="n">
        <x:f>--AND(A1908&lt;&gt;"",AA1908&lt;&gt;"",AB1908&lt;&gt;"",OR(AA1908=AB1908,AD1908&lt;&gt;""),IF(AE1908="HALLUCINATION",U1908&lt;&gt;"",TRUE))</x:f>
        <x:v>0</x:v>
      </x:c>
      <x:c r="AG1908" t="n">
        <x:f>--AND(N1908=1,AF1908=1,OR(AE1908="SUPPORTED",AE1908="HALLUCINATION"))</x:f>
        <x:v>0</x:v>
      </x:c>
      <x:c r="AH1908" t="n">
        <x:f>--AND(AG1908=1,AE1908="HALLUCINATION")</x:f>
        <x:v>0</x:v>
      </x:c>
      <x:c r="AI1908" t="n">
        <x:f>--AND(Q1908=1,AF1908=1,AE1908="HALLUCINATION")</x:f>
        <x:v>0</x:v>
      </x:c>
      <x:c r="AJ1908" t="n">
        <x:f>--AND(AI1908=1,R1908=1,S1908=1)</x:f>
        <x:v>0</x:v>
      </x:c>
    </x:row>
    <x:row r="1909">
      <x:c r="A1909" s="28"/>
      <x:c r="B1909" s="28"/>
      <x:c r="C1909" s="28"/>
      <x:c r="D1909" s="28"/>
      <x:c r="E1909" s="28"/>
      <x:c r="F1909" s="28"/>
      <x:c r="G1909" s="28"/>
      <x:c r="H1909" s="28"/>
      <x:c r="I1909" s="28"/>
      <x:c r="J1909" s="28"/>
      <x:c r="K1909" s="28"/>
      <x:c r="L1909" s="28"/>
      <x:c r="M1909" s="28"/>
      <x:c r="N1909" s="28"/>
      <x:c r="O1909" s="28"/>
      <x:c r="P1909" s="28"/>
      <x:c r="Q1909" s="28"/>
      <x:c r="R1909" s="28"/>
      <x:c r="S1909" s="28"/>
      <x:c r="T1909" s="28"/>
      <x:c r="U1909" s="28"/>
      <x:c r="V1909" s="28"/>
      <x:c r="W1909" s="43" t="n">
        <x:f>--AND(N1909=1,OR(O1909="SUPPORTED",O1909="HALLUCINATION"))</x:f>
        <x:v>0</x:v>
      </x:c>
      <x:c r="X1909" s="43" t="n">
        <x:f>--AND(W1909=1,O1909="HALLUCINATION")</x:f>
        <x:v>0</x:v>
      </x:c>
      <x:c r="Y1909" s="43" t="n">
        <x:f>--AND(Q1909=1,O1909="HALLUCINATION")</x:f>
        <x:v>0</x:v>
      </x:c>
      <x:c r="Z1909" s="43" t="n">
        <x:f>--AND(Y1909=1,R1909=1,S1909=1)</x:f>
        <x:v>0</x:v>
      </x:c>
      <x:c r="AC1909" t="str">
        <x:f>IF(OR(AA1909="",AB1909=""),"",--(AA1909&lt;&gt;AB1909))</x:f>
      </x:c>
      <x:c r="AE1909" t="str">
        <x:f>IF(OR(AA1909="",AB1909=""),"PENDING_HUMAN",IF(AA1909=AB1909,AA1909,IF(AD1909&lt;&gt;"",AD1909,"PENDING_HUMAN")))</x:f>
        <x:v>PENDING_HUMAN</x:v>
      </x:c>
      <x:c r="AF1909" t="n">
        <x:f>--AND(A1909&lt;&gt;"",AA1909&lt;&gt;"",AB1909&lt;&gt;"",OR(AA1909=AB1909,AD1909&lt;&gt;""),IF(AE1909="HALLUCINATION",U1909&lt;&gt;"",TRUE))</x:f>
        <x:v>0</x:v>
      </x:c>
      <x:c r="AG1909" t="n">
        <x:f>--AND(N1909=1,AF1909=1,OR(AE1909="SUPPORTED",AE1909="HALLUCINATION"))</x:f>
        <x:v>0</x:v>
      </x:c>
      <x:c r="AH1909" t="n">
        <x:f>--AND(AG1909=1,AE1909="HALLUCINATION")</x:f>
        <x:v>0</x:v>
      </x:c>
      <x:c r="AI1909" t="n">
        <x:f>--AND(Q1909=1,AF1909=1,AE1909="HALLUCINATION")</x:f>
        <x:v>0</x:v>
      </x:c>
      <x:c r="AJ1909" t="n">
        <x:f>--AND(AI1909=1,R1909=1,S1909=1)</x:f>
        <x:v>0</x:v>
      </x:c>
    </x:row>
    <x:row r="1910">
      <x:c r="A1910" s="28"/>
      <x:c r="B1910" s="28"/>
      <x:c r="C1910" s="28"/>
      <x:c r="D1910" s="28"/>
      <x:c r="E1910" s="28"/>
      <x:c r="F1910" s="28"/>
      <x:c r="G1910" s="28"/>
      <x:c r="H1910" s="28"/>
      <x:c r="I1910" s="28"/>
      <x:c r="J1910" s="28"/>
      <x:c r="K1910" s="28"/>
      <x:c r="L1910" s="28"/>
      <x:c r="M1910" s="28"/>
      <x:c r="N1910" s="28"/>
      <x:c r="O1910" s="28"/>
      <x:c r="P1910" s="28"/>
      <x:c r="Q1910" s="28"/>
      <x:c r="R1910" s="28"/>
      <x:c r="S1910" s="28"/>
      <x:c r="T1910" s="28"/>
      <x:c r="U1910" s="28"/>
      <x:c r="V1910" s="28"/>
      <x:c r="W1910" s="43" t="n">
        <x:f>--AND(N1910=1,OR(O1910="SUPPORTED",O1910="HALLUCINATION"))</x:f>
        <x:v>0</x:v>
      </x:c>
      <x:c r="X1910" s="43" t="n">
        <x:f>--AND(W1910=1,O1910="HALLUCINATION")</x:f>
        <x:v>0</x:v>
      </x:c>
      <x:c r="Y1910" s="43" t="n">
        <x:f>--AND(Q1910=1,O1910="HALLUCINATION")</x:f>
        <x:v>0</x:v>
      </x:c>
      <x:c r="Z1910" s="43" t="n">
        <x:f>--AND(Y1910=1,R1910=1,S1910=1)</x:f>
        <x:v>0</x:v>
      </x:c>
      <x:c r="AC1910" t="str">
        <x:f>IF(OR(AA1910="",AB1910=""),"",--(AA1910&lt;&gt;AB1910))</x:f>
      </x:c>
      <x:c r="AE1910" t="str">
        <x:f>IF(OR(AA1910="",AB1910=""),"PENDING_HUMAN",IF(AA1910=AB1910,AA1910,IF(AD1910&lt;&gt;"",AD1910,"PENDING_HUMAN")))</x:f>
        <x:v>PENDING_HUMAN</x:v>
      </x:c>
      <x:c r="AF1910" t="n">
        <x:f>--AND(A1910&lt;&gt;"",AA1910&lt;&gt;"",AB1910&lt;&gt;"",OR(AA1910=AB1910,AD1910&lt;&gt;""),IF(AE1910="HALLUCINATION",U1910&lt;&gt;"",TRUE))</x:f>
        <x:v>0</x:v>
      </x:c>
      <x:c r="AG1910" t="n">
        <x:f>--AND(N1910=1,AF1910=1,OR(AE1910="SUPPORTED",AE1910="HALLUCINATION"))</x:f>
        <x:v>0</x:v>
      </x:c>
      <x:c r="AH1910" t="n">
        <x:f>--AND(AG1910=1,AE1910="HALLUCINATION")</x:f>
        <x:v>0</x:v>
      </x:c>
      <x:c r="AI1910" t="n">
        <x:f>--AND(Q1910=1,AF1910=1,AE1910="HALLUCINATION")</x:f>
        <x:v>0</x:v>
      </x:c>
      <x:c r="AJ1910" t="n">
        <x:f>--AND(AI1910=1,R1910=1,S1910=1)</x:f>
        <x:v>0</x:v>
      </x:c>
    </x:row>
    <x:row r="1911">
      <x:c r="A1911" s="28"/>
      <x:c r="B1911" s="28"/>
      <x:c r="C1911" s="28"/>
      <x:c r="D1911" s="28"/>
      <x:c r="E1911" s="28"/>
      <x:c r="F1911" s="28"/>
      <x:c r="G1911" s="28"/>
      <x:c r="H1911" s="28"/>
      <x:c r="I1911" s="28"/>
      <x:c r="J1911" s="28"/>
      <x:c r="K1911" s="28"/>
      <x:c r="L1911" s="28"/>
      <x:c r="M1911" s="28"/>
      <x:c r="N1911" s="28"/>
      <x:c r="O1911" s="28"/>
      <x:c r="P1911" s="28"/>
      <x:c r="Q1911" s="28"/>
      <x:c r="R1911" s="28"/>
      <x:c r="S1911" s="28"/>
      <x:c r="T1911" s="28"/>
      <x:c r="U1911" s="28"/>
      <x:c r="V1911" s="28"/>
      <x:c r="W1911" s="43" t="n">
        <x:f>--AND(N1911=1,OR(O1911="SUPPORTED",O1911="HALLUCINATION"))</x:f>
        <x:v>0</x:v>
      </x:c>
      <x:c r="X1911" s="43" t="n">
        <x:f>--AND(W1911=1,O1911="HALLUCINATION")</x:f>
        <x:v>0</x:v>
      </x:c>
      <x:c r="Y1911" s="43" t="n">
        <x:f>--AND(Q1911=1,O1911="HALLUCINATION")</x:f>
        <x:v>0</x:v>
      </x:c>
      <x:c r="Z1911" s="43" t="n">
        <x:f>--AND(Y1911=1,R1911=1,S1911=1)</x:f>
        <x:v>0</x:v>
      </x:c>
      <x:c r="AC1911" t="str">
        <x:f>IF(OR(AA1911="",AB1911=""),"",--(AA1911&lt;&gt;AB1911))</x:f>
      </x:c>
      <x:c r="AE1911" t="str">
        <x:f>IF(OR(AA1911="",AB1911=""),"PENDING_HUMAN",IF(AA1911=AB1911,AA1911,IF(AD1911&lt;&gt;"",AD1911,"PENDING_HUMAN")))</x:f>
        <x:v>PENDING_HUMAN</x:v>
      </x:c>
      <x:c r="AF1911" t="n">
        <x:f>--AND(A1911&lt;&gt;"",AA1911&lt;&gt;"",AB1911&lt;&gt;"",OR(AA1911=AB1911,AD1911&lt;&gt;""),IF(AE1911="HALLUCINATION",U1911&lt;&gt;"",TRUE))</x:f>
        <x:v>0</x:v>
      </x:c>
      <x:c r="AG1911" t="n">
        <x:f>--AND(N1911=1,AF1911=1,OR(AE1911="SUPPORTED",AE1911="HALLUCINATION"))</x:f>
        <x:v>0</x:v>
      </x:c>
      <x:c r="AH1911" t="n">
        <x:f>--AND(AG1911=1,AE1911="HALLUCINATION")</x:f>
        <x:v>0</x:v>
      </x:c>
      <x:c r="AI1911" t="n">
        <x:f>--AND(Q1911=1,AF1911=1,AE1911="HALLUCINATION")</x:f>
        <x:v>0</x:v>
      </x:c>
      <x:c r="AJ1911" t="n">
        <x:f>--AND(AI1911=1,R1911=1,S1911=1)</x:f>
        <x:v>0</x:v>
      </x:c>
    </x:row>
    <x:row r="1912">
      <x:c r="A1912" s="28"/>
      <x:c r="B1912" s="28"/>
      <x:c r="C1912" s="28"/>
      <x:c r="D1912" s="28"/>
      <x:c r="E1912" s="28"/>
      <x:c r="F1912" s="28"/>
      <x:c r="G1912" s="28"/>
      <x:c r="H1912" s="28"/>
      <x:c r="I1912" s="28"/>
      <x:c r="J1912" s="28"/>
      <x:c r="K1912" s="28"/>
      <x:c r="L1912" s="28"/>
      <x:c r="M1912" s="28"/>
      <x:c r="N1912" s="28"/>
      <x:c r="O1912" s="28"/>
      <x:c r="P1912" s="28"/>
      <x:c r="Q1912" s="28"/>
      <x:c r="R1912" s="28"/>
      <x:c r="S1912" s="28"/>
      <x:c r="T1912" s="28"/>
      <x:c r="U1912" s="28"/>
      <x:c r="V1912" s="28"/>
      <x:c r="W1912" s="43" t="n">
        <x:f>--AND(N1912=1,OR(O1912="SUPPORTED",O1912="HALLUCINATION"))</x:f>
        <x:v>0</x:v>
      </x:c>
      <x:c r="X1912" s="43" t="n">
        <x:f>--AND(W1912=1,O1912="HALLUCINATION")</x:f>
        <x:v>0</x:v>
      </x:c>
      <x:c r="Y1912" s="43" t="n">
        <x:f>--AND(Q1912=1,O1912="HALLUCINATION")</x:f>
        <x:v>0</x:v>
      </x:c>
      <x:c r="Z1912" s="43" t="n">
        <x:f>--AND(Y1912=1,R1912=1,S1912=1)</x:f>
        <x:v>0</x:v>
      </x:c>
      <x:c r="AC1912" t="str">
        <x:f>IF(OR(AA1912="",AB1912=""),"",--(AA1912&lt;&gt;AB1912))</x:f>
      </x:c>
      <x:c r="AE1912" t="str">
        <x:f>IF(OR(AA1912="",AB1912=""),"PENDING_HUMAN",IF(AA1912=AB1912,AA1912,IF(AD1912&lt;&gt;"",AD1912,"PENDING_HUMAN")))</x:f>
        <x:v>PENDING_HUMAN</x:v>
      </x:c>
      <x:c r="AF1912" t="n">
        <x:f>--AND(A1912&lt;&gt;"",AA1912&lt;&gt;"",AB1912&lt;&gt;"",OR(AA1912=AB1912,AD1912&lt;&gt;""),IF(AE1912="HALLUCINATION",U1912&lt;&gt;"",TRUE))</x:f>
        <x:v>0</x:v>
      </x:c>
      <x:c r="AG1912" t="n">
        <x:f>--AND(N1912=1,AF1912=1,OR(AE1912="SUPPORTED",AE1912="HALLUCINATION"))</x:f>
        <x:v>0</x:v>
      </x:c>
      <x:c r="AH1912" t="n">
        <x:f>--AND(AG1912=1,AE1912="HALLUCINATION")</x:f>
        <x:v>0</x:v>
      </x:c>
      <x:c r="AI1912" t="n">
        <x:f>--AND(Q1912=1,AF1912=1,AE1912="HALLUCINATION")</x:f>
        <x:v>0</x:v>
      </x:c>
      <x:c r="AJ1912" t="n">
        <x:f>--AND(AI1912=1,R1912=1,S1912=1)</x:f>
        <x:v>0</x:v>
      </x:c>
    </x:row>
    <x:row r="1913">
      <x:c r="A1913" s="28"/>
      <x:c r="B1913" s="28"/>
      <x:c r="C1913" s="28"/>
      <x:c r="D1913" s="28"/>
      <x:c r="E1913" s="28"/>
      <x:c r="F1913" s="28"/>
      <x:c r="G1913" s="28"/>
      <x:c r="H1913" s="28"/>
      <x:c r="I1913" s="28"/>
      <x:c r="J1913" s="28"/>
      <x:c r="K1913" s="28"/>
      <x:c r="L1913" s="28"/>
      <x:c r="M1913" s="28"/>
      <x:c r="N1913" s="28"/>
      <x:c r="O1913" s="28"/>
      <x:c r="P1913" s="28"/>
      <x:c r="Q1913" s="28"/>
      <x:c r="R1913" s="28"/>
      <x:c r="S1913" s="28"/>
      <x:c r="T1913" s="28"/>
      <x:c r="U1913" s="28"/>
      <x:c r="V1913" s="28"/>
      <x:c r="W1913" s="43" t="n">
        <x:f>--AND(N1913=1,OR(O1913="SUPPORTED",O1913="HALLUCINATION"))</x:f>
        <x:v>0</x:v>
      </x:c>
      <x:c r="X1913" s="43" t="n">
        <x:f>--AND(W1913=1,O1913="HALLUCINATION")</x:f>
        <x:v>0</x:v>
      </x:c>
      <x:c r="Y1913" s="43" t="n">
        <x:f>--AND(Q1913=1,O1913="HALLUCINATION")</x:f>
        <x:v>0</x:v>
      </x:c>
      <x:c r="Z1913" s="43" t="n">
        <x:f>--AND(Y1913=1,R1913=1,S1913=1)</x:f>
        <x:v>0</x:v>
      </x:c>
      <x:c r="AC1913" t="str">
        <x:f>IF(OR(AA1913="",AB1913=""),"",--(AA1913&lt;&gt;AB1913))</x:f>
      </x:c>
      <x:c r="AE1913" t="str">
        <x:f>IF(OR(AA1913="",AB1913=""),"PENDING_HUMAN",IF(AA1913=AB1913,AA1913,IF(AD1913&lt;&gt;"",AD1913,"PENDING_HUMAN")))</x:f>
        <x:v>PENDING_HUMAN</x:v>
      </x:c>
      <x:c r="AF1913" t="n">
        <x:f>--AND(A1913&lt;&gt;"",AA1913&lt;&gt;"",AB1913&lt;&gt;"",OR(AA1913=AB1913,AD1913&lt;&gt;""),IF(AE1913="HALLUCINATION",U1913&lt;&gt;"",TRUE))</x:f>
        <x:v>0</x:v>
      </x:c>
      <x:c r="AG1913" t="n">
        <x:f>--AND(N1913=1,AF1913=1,OR(AE1913="SUPPORTED",AE1913="HALLUCINATION"))</x:f>
        <x:v>0</x:v>
      </x:c>
      <x:c r="AH1913" t="n">
        <x:f>--AND(AG1913=1,AE1913="HALLUCINATION")</x:f>
        <x:v>0</x:v>
      </x:c>
      <x:c r="AI1913" t="n">
        <x:f>--AND(Q1913=1,AF1913=1,AE1913="HALLUCINATION")</x:f>
        <x:v>0</x:v>
      </x:c>
      <x:c r="AJ1913" t="n">
        <x:f>--AND(AI1913=1,R1913=1,S1913=1)</x:f>
        <x:v>0</x:v>
      </x:c>
    </x:row>
    <x:row r="1914">
      <x:c r="A1914" s="28"/>
      <x:c r="B1914" s="28"/>
      <x:c r="C1914" s="28"/>
      <x:c r="D1914" s="28"/>
      <x:c r="E1914" s="28"/>
      <x:c r="F1914" s="28"/>
      <x:c r="G1914" s="28"/>
      <x:c r="H1914" s="28"/>
      <x:c r="I1914" s="28"/>
      <x:c r="J1914" s="28"/>
      <x:c r="K1914" s="28"/>
      <x:c r="L1914" s="28"/>
      <x:c r="M1914" s="28"/>
      <x:c r="N1914" s="28"/>
      <x:c r="O1914" s="28"/>
      <x:c r="P1914" s="28"/>
      <x:c r="Q1914" s="28"/>
      <x:c r="R1914" s="28"/>
      <x:c r="S1914" s="28"/>
      <x:c r="T1914" s="28"/>
      <x:c r="U1914" s="28"/>
      <x:c r="V1914" s="28"/>
      <x:c r="W1914" s="43" t="n">
        <x:f>--AND(N1914=1,OR(O1914="SUPPORTED",O1914="HALLUCINATION"))</x:f>
        <x:v>0</x:v>
      </x:c>
      <x:c r="X1914" s="43" t="n">
        <x:f>--AND(W1914=1,O1914="HALLUCINATION")</x:f>
        <x:v>0</x:v>
      </x:c>
      <x:c r="Y1914" s="43" t="n">
        <x:f>--AND(Q1914=1,O1914="HALLUCINATION")</x:f>
        <x:v>0</x:v>
      </x:c>
      <x:c r="Z1914" s="43" t="n">
        <x:f>--AND(Y1914=1,R1914=1,S1914=1)</x:f>
        <x:v>0</x:v>
      </x:c>
      <x:c r="AC1914" t="str">
        <x:f>IF(OR(AA1914="",AB1914=""),"",--(AA1914&lt;&gt;AB1914))</x:f>
      </x:c>
      <x:c r="AE1914" t="str">
        <x:f>IF(OR(AA1914="",AB1914=""),"PENDING_HUMAN",IF(AA1914=AB1914,AA1914,IF(AD1914&lt;&gt;"",AD1914,"PENDING_HUMAN")))</x:f>
        <x:v>PENDING_HUMAN</x:v>
      </x:c>
      <x:c r="AF1914" t="n">
        <x:f>--AND(A1914&lt;&gt;"",AA1914&lt;&gt;"",AB1914&lt;&gt;"",OR(AA1914=AB1914,AD1914&lt;&gt;""),IF(AE1914="HALLUCINATION",U1914&lt;&gt;"",TRUE))</x:f>
        <x:v>0</x:v>
      </x:c>
      <x:c r="AG1914" t="n">
        <x:f>--AND(N1914=1,AF1914=1,OR(AE1914="SUPPORTED",AE1914="HALLUCINATION"))</x:f>
        <x:v>0</x:v>
      </x:c>
      <x:c r="AH1914" t="n">
        <x:f>--AND(AG1914=1,AE1914="HALLUCINATION")</x:f>
        <x:v>0</x:v>
      </x:c>
      <x:c r="AI1914" t="n">
        <x:f>--AND(Q1914=1,AF1914=1,AE1914="HALLUCINATION")</x:f>
        <x:v>0</x:v>
      </x:c>
      <x:c r="AJ1914" t="n">
        <x:f>--AND(AI1914=1,R1914=1,S1914=1)</x:f>
        <x:v>0</x:v>
      </x:c>
    </x:row>
    <x:row r="1915">
      <x:c r="A1915" s="28"/>
      <x:c r="B1915" s="28"/>
      <x:c r="C1915" s="28"/>
      <x:c r="D1915" s="28"/>
      <x:c r="E1915" s="28"/>
      <x:c r="F1915" s="28"/>
      <x:c r="G1915" s="28"/>
      <x:c r="H1915" s="28"/>
      <x:c r="I1915" s="28"/>
      <x:c r="J1915" s="28"/>
      <x:c r="K1915" s="28"/>
      <x:c r="L1915" s="28"/>
      <x:c r="M1915" s="28"/>
      <x:c r="N1915" s="28"/>
      <x:c r="O1915" s="28"/>
      <x:c r="P1915" s="28"/>
      <x:c r="Q1915" s="28"/>
      <x:c r="R1915" s="28"/>
      <x:c r="S1915" s="28"/>
      <x:c r="T1915" s="28"/>
      <x:c r="U1915" s="28"/>
      <x:c r="V1915" s="28"/>
      <x:c r="W1915" s="43" t="n">
        <x:f>--AND(N1915=1,OR(O1915="SUPPORTED",O1915="HALLUCINATION"))</x:f>
        <x:v>0</x:v>
      </x:c>
      <x:c r="X1915" s="43" t="n">
        <x:f>--AND(W1915=1,O1915="HALLUCINATION")</x:f>
        <x:v>0</x:v>
      </x:c>
      <x:c r="Y1915" s="43" t="n">
        <x:f>--AND(Q1915=1,O1915="HALLUCINATION")</x:f>
        <x:v>0</x:v>
      </x:c>
      <x:c r="Z1915" s="43" t="n">
        <x:f>--AND(Y1915=1,R1915=1,S1915=1)</x:f>
        <x:v>0</x:v>
      </x:c>
      <x:c r="AC1915" t="str">
        <x:f>IF(OR(AA1915="",AB1915=""),"",--(AA1915&lt;&gt;AB1915))</x:f>
      </x:c>
      <x:c r="AE1915" t="str">
        <x:f>IF(OR(AA1915="",AB1915=""),"PENDING_HUMAN",IF(AA1915=AB1915,AA1915,IF(AD1915&lt;&gt;"",AD1915,"PENDING_HUMAN")))</x:f>
        <x:v>PENDING_HUMAN</x:v>
      </x:c>
      <x:c r="AF1915" t="n">
        <x:f>--AND(A1915&lt;&gt;"",AA1915&lt;&gt;"",AB1915&lt;&gt;"",OR(AA1915=AB1915,AD1915&lt;&gt;""),IF(AE1915="HALLUCINATION",U1915&lt;&gt;"",TRUE))</x:f>
        <x:v>0</x:v>
      </x:c>
      <x:c r="AG1915" t="n">
        <x:f>--AND(N1915=1,AF1915=1,OR(AE1915="SUPPORTED",AE1915="HALLUCINATION"))</x:f>
        <x:v>0</x:v>
      </x:c>
      <x:c r="AH1915" t="n">
        <x:f>--AND(AG1915=1,AE1915="HALLUCINATION")</x:f>
        <x:v>0</x:v>
      </x:c>
      <x:c r="AI1915" t="n">
        <x:f>--AND(Q1915=1,AF1915=1,AE1915="HALLUCINATION")</x:f>
        <x:v>0</x:v>
      </x:c>
      <x:c r="AJ1915" t="n">
        <x:f>--AND(AI1915=1,R1915=1,S1915=1)</x:f>
        <x:v>0</x:v>
      </x:c>
    </x:row>
    <x:row r="1916">
      <x:c r="A1916" s="28"/>
      <x:c r="B1916" s="28"/>
      <x:c r="C1916" s="28"/>
      <x:c r="D1916" s="28"/>
      <x:c r="E1916" s="28"/>
      <x:c r="F1916" s="28"/>
      <x:c r="G1916" s="28"/>
      <x:c r="H1916" s="28"/>
      <x:c r="I1916" s="28"/>
      <x:c r="J1916" s="28"/>
      <x:c r="K1916" s="28"/>
      <x:c r="L1916" s="28"/>
      <x:c r="M1916" s="28"/>
      <x:c r="N1916" s="28"/>
      <x:c r="O1916" s="28"/>
      <x:c r="P1916" s="28"/>
      <x:c r="Q1916" s="28"/>
      <x:c r="R1916" s="28"/>
      <x:c r="S1916" s="28"/>
      <x:c r="T1916" s="28"/>
      <x:c r="U1916" s="28"/>
      <x:c r="V1916" s="28"/>
      <x:c r="W1916" s="43" t="n">
        <x:f>--AND(N1916=1,OR(O1916="SUPPORTED",O1916="HALLUCINATION"))</x:f>
        <x:v>0</x:v>
      </x:c>
      <x:c r="X1916" s="43" t="n">
        <x:f>--AND(W1916=1,O1916="HALLUCINATION")</x:f>
        <x:v>0</x:v>
      </x:c>
      <x:c r="Y1916" s="43" t="n">
        <x:f>--AND(Q1916=1,O1916="HALLUCINATION")</x:f>
        <x:v>0</x:v>
      </x:c>
      <x:c r="Z1916" s="43" t="n">
        <x:f>--AND(Y1916=1,R1916=1,S1916=1)</x:f>
        <x:v>0</x:v>
      </x:c>
      <x:c r="AC1916" t="str">
        <x:f>IF(OR(AA1916="",AB1916=""),"",--(AA1916&lt;&gt;AB1916))</x:f>
      </x:c>
      <x:c r="AE1916" t="str">
        <x:f>IF(OR(AA1916="",AB1916=""),"PENDING_HUMAN",IF(AA1916=AB1916,AA1916,IF(AD1916&lt;&gt;"",AD1916,"PENDING_HUMAN")))</x:f>
        <x:v>PENDING_HUMAN</x:v>
      </x:c>
      <x:c r="AF1916" t="n">
        <x:f>--AND(A1916&lt;&gt;"",AA1916&lt;&gt;"",AB1916&lt;&gt;"",OR(AA1916=AB1916,AD1916&lt;&gt;""),IF(AE1916="HALLUCINATION",U1916&lt;&gt;"",TRUE))</x:f>
        <x:v>0</x:v>
      </x:c>
      <x:c r="AG1916" t="n">
        <x:f>--AND(N1916=1,AF1916=1,OR(AE1916="SUPPORTED",AE1916="HALLUCINATION"))</x:f>
        <x:v>0</x:v>
      </x:c>
      <x:c r="AH1916" t="n">
        <x:f>--AND(AG1916=1,AE1916="HALLUCINATION")</x:f>
        <x:v>0</x:v>
      </x:c>
      <x:c r="AI1916" t="n">
        <x:f>--AND(Q1916=1,AF1916=1,AE1916="HALLUCINATION")</x:f>
        <x:v>0</x:v>
      </x:c>
      <x:c r="AJ1916" t="n">
        <x:f>--AND(AI1916=1,R1916=1,S1916=1)</x:f>
        <x:v>0</x:v>
      </x:c>
    </x:row>
    <x:row r="1917">
      <x:c r="A1917" s="28"/>
      <x:c r="B1917" s="28"/>
      <x:c r="C1917" s="28"/>
      <x:c r="D1917" s="28"/>
      <x:c r="E1917" s="28"/>
      <x:c r="F1917" s="28"/>
      <x:c r="G1917" s="28"/>
      <x:c r="H1917" s="28"/>
      <x:c r="I1917" s="28"/>
      <x:c r="J1917" s="28"/>
      <x:c r="K1917" s="28"/>
      <x:c r="L1917" s="28"/>
      <x:c r="M1917" s="28"/>
      <x:c r="N1917" s="28"/>
      <x:c r="O1917" s="28"/>
      <x:c r="P1917" s="28"/>
      <x:c r="Q1917" s="28"/>
      <x:c r="R1917" s="28"/>
      <x:c r="S1917" s="28"/>
      <x:c r="T1917" s="28"/>
      <x:c r="U1917" s="28"/>
      <x:c r="V1917" s="28"/>
      <x:c r="W1917" s="43" t="n">
        <x:f>--AND(N1917=1,OR(O1917="SUPPORTED",O1917="HALLUCINATION"))</x:f>
        <x:v>0</x:v>
      </x:c>
      <x:c r="X1917" s="43" t="n">
        <x:f>--AND(W1917=1,O1917="HALLUCINATION")</x:f>
        <x:v>0</x:v>
      </x:c>
      <x:c r="Y1917" s="43" t="n">
        <x:f>--AND(Q1917=1,O1917="HALLUCINATION")</x:f>
        <x:v>0</x:v>
      </x:c>
      <x:c r="Z1917" s="43" t="n">
        <x:f>--AND(Y1917=1,R1917=1,S1917=1)</x:f>
        <x:v>0</x:v>
      </x:c>
      <x:c r="AC1917" t="str">
        <x:f>IF(OR(AA1917="",AB1917=""),"",--(AA1917&lt;&gt;AB1917))</x:f>
      </x:c>
      <x:c r="AE1917" t="str">
        <x:f>IF(OR(AA1917="",AB1917=""),"PENDING_HUMAN",IF(AA1917=AB1917,AA1917,IF(AD1917&lt;&gt;"",AD1917,"PENDING_HUMAN")))</x:f>
        <x:v>PENDING_HUMAN</x:v>
      </x:c>
      <x:c r="AF1917" t="n">
        <x:f>--AND(A1917&lt;&gt;"",AA1917&lt;&gt;"",AB1917&lt;&gt;"",OR(AA1917=AB1917,AD1917&lt;&gt;""),IF(AE1917="HALLUCINATION",U1917&lt;&gt;"",TRUE))</x:f>
        <x:v>0</x:v>
      </x:c>
      <x:c r="AG1917" t="n">
        <x:f>--AND(N1917=1,AF1917=1,OR(AE1917="SUPPORTED",AE1917="HALLUCINATION"))</x:f>
        <x:v>0</x:v>
      </x:c>
      <x:c r="AH1917" t="n">
        <x:f>--AND(AG1917=1,AE1917="HALLUCINATION")</x:f>
        <x:v>0</x:v>
      </x:c>
      <x:c r="AI1917" t="n">
        <x:f>--AND(Q1917=1,AF1917=1,AE1917="HALLUCINATION")</x:f>
        <x:v>0</x:v>
      </x:c>
      <x:c r="AJ1917" t="n">
        <x:f>--AND(AI1917=1,R1917=1,S1917=1)</x:f>
        <x:v>0</x:v>
      </x:c>
    </x:row>
    <x:row r="1918">
      <x:c r="A1918" s="28"/>
      <x:c r="B1918" s="28"/>
      <x:c r="C1918" s="28"/>
      <x:c r="D1918" s="28"/>
      <x:c r="E1918" s="28"/>
      <x:c r="F1918" s="28"/>
      <x:c r="G1918" s="28"/>
      <x:c r="H1918" s="28"/>
      <x:c r="I1918" s="28"/>
      <x:c r="J1918" s="28"/>
      <x:c r="K1918" s="28"/>
      <x:c r="L1918" s="28"/>
      <x:c r="M1918" s="28"/>
      <x:c r="N1918" s="28"/>
      <x:c r="O1918" s="28"/>
      <x:c r="P1918" s="28"/>
      <x:c r="Q1918" s="28"/>
      <x:c r="R1918" s="28"/>
      <x:c r="S1918" s="28"/>
      <x:c r="T1918" s="28"/>
      <x:c r="U1918" s="28"/>
      <x:c r="V1918" s="28"/>
      <x:c r="W1918" s="43" t="n">
        <x:f>--AND(N1918=1,OR(O1918="SUPPORTED",O1918="HALLUCINATION"))</x:f>
        <x:v>0</x:v>
      </x:c>
      <x:c r="X1918" s="43" t="n">
        <x:f>--AND(W1918=1,O1918="HALLUCINATION")</x:f>
        <x:v>0</x:v>
      </x:c>
      <x:c r="Y1918" s="43" t="n">
        <x:f>--AND(Q1918=1,O1918="HALLUCINATION")</x:f>
        <x:v>0</x:v>
      </x:c>
      <x:c r="Z1918" s="43" t="n">
        <x:f>--AND(Y1918=1,R1918=1,S1918=1)</x:f>
        <x:v>0</x:v>
      </x:c>
      <x:c r="AC1918" t="str">
        <x:f>IF(OR(AA1918="",AB1918=""),"",--(AA1918&lt;&gt;AB1918))</x:f>
      </x:c>
      <x:c r="AE1918" t="str">
        <x:f>IF(OR(AA1918="",AB1918=""),"PENDING_HUMAN",IF(AA1918=AB1918,AA1918,IF(AD1918&lt;&gt;"",AD1918,"PENDING_HUMAN")))</x:f>
        <x:v>PENDING_HUMAN</x:v>
      </x:c>
      <x:c r="AF1918" t="n">
        <x:f>--AND(A1918&lt;&gt;"",AA1918&lt;&gt;"",AB1918&lt;&gt;"",OR(AA1918=AB1918,AD1918&lt;&gt;""),IF(AE1918="HALLUCINATION",U1918&lt;&gt;"",TRUE))</x:f>
        <x:v>0</x:v>
      </x:c>
      <x:c r="AG1918" t="n">
        <x:f>--AND(N1918=1,AF1918=1,OR(AE1918="SUPPORTED",AE1918="HALLUCINATION"))</x:f>
        <x:v>0</x:v>
      </x:c>
      <x:c r="AH1918" t="n">
        <x:f>--AND(AG1918=1,AE1918="HALLUCINATION")</x:f>
        <x:v>0</x:v>
      </x:c>
      <x:c r="AI1918" t="n">
        <x:f>--AND(Q1918=1,AF1918=1,AE1918="HALLUCINATION")</x:f>
        <x:v>0</x:v>
      </x:c>
      <x:c r="AJ1918" t="n">
        <x:f>--AND(AI1918=1,R1918=1,S1918=1)</x:f>
        <x:v>0</x:v>
      </x:c>
    </x:row>
    <x:row r="1919">
      <x:c r="A1919" s="28"/>
      <x:c r="B1919" s="28"/>
      <x:c r="C1919" s="28"/>
      <x:c r="D1919" s="28"/>
      <x:c r="E1919" s="28"/>
      <x:c r="F1919" s="28"/>
      <x:c r="G1919" s="28"/>
      <x:c r="H1919" s="28"/>
      <x:c r="I1919" s="28"/>
      <x:c r="J1919" s="28"/>
      <x:c r="K1919" s="28"/>
      <x:c r="L1919" s="28"/>
      <x:c r="M1919" s="28"/>
      <x:c r="N1919" s="28"/>
      <x:c r="O1919" s="28"/>
      <x:c r="P1919" s="28"/>
      <x:c r="Q1919" s="28"/>
      <x:c r="R1919" s="28"/>
      <x:c r="S1919" s="28"/>
      <x:c r="T1919" s="28"/>
      <x:c r="U1919" s="28"/>
      <x:c r="V1919" s="28"/>
      <x:c r="W1919" s="43" t="n">
        <x:f>--AND(N1919=1,OR(O1919="SUPPORTED",O1919="HALLUCINATION"))</x:f>
        <x:v>0</x:v>
      </x:c>
      <x:c r="X1919" s="43" t="n">
        <x:f>--AND(W1919=1,O1919="HALLUCINATION")</x:f>
        <x:v>0</x:v>
      </x:c>
      <x:c r="Y1919" s="43" t="n">
        <x:f>--AND(Q1919=1,O1919="HALLUCINATION")</x:f>
        <x:v>0</x:v>
      </x:c>
      <x:c r="Z1919" s="43" t="n">
        <x:f>--AND(Y1919=1,R1919=1,S1919=1)</x:f>
        <x:v>0</x:v>
      </x:c>
      <x:c r="AC1919" t="str">
        <x:f>IF(OR(AA1919="",AB1919=""),"",--(AA1919&lt;&gt;AB1919))</x:f>
      </x:c>
      <x:c r="AE1919" t="str">
        <x:f>IF(OR(AA1919="",AB1919=""),"PENDING_HUMAN",IF(AA1919=AB1919,AA1919,IF(AD1919&lt;&gt;"",AD1919,"PENDING_HUMAN")))</x:f>
        <x:v>PENDING_HUMAN</x:v>
      </x:c>
      <x:c r="AF1919" t="n">
        <x:f>--AND(A1919&lt;&gt;"",AA1919&lt;&gt;"",AB1919&lt;&gt;"",OR(AA1919=AB1919,AD1919&lt;&gt;""),IF(AE1919="HALLUCINATION",U1919&lt;&gt;"",TRUE))</x:f>
        <x:v>0</x:v>
      </x:c>
      <x:c r="AG1919" t="n">
        <x:f>--AND(N1919=1,AF1919=1,OR(AE1919="SUPPORTED",AE1919="HALLUCINATION"))</x:f>
        <x:v>0</x:v>
      </x:c>
      <x:c r="AH1919" t="n">
        <x:f>--AND(AG1919=1,AE1919="HALLUCINATION")</x:f>
        <x:v>0</x:v>
      </x:c>
      <x:c r="AI1919" t="n">
        <x:f>--AND(Q1919=1,AF1919=1,AE1919="HALLUCINATION")</x:f>
        <x:v>0</x:v>
      </x:c>
      <x:c r="AJ1919" t="n">
        <x:f>--AND(AI1919=1,R1919=1,S1919=1)</x:f>
        <x:v>0</x:v>
      </x:c>
    </x:row>
    <x:row r="1920">
      <x:c r="A1920" s="28"/>
      <x:c r="B1920" s="28"/>
      <x:c r="C1920" s="28"/>
      <x:c r="D1920" s="28"/>
      <x:c r="E1920" s="28"/>
      <x:c r="F1920" s="28"/>
      <x:c r="G1920" s="28"/>
      <x:c r="H1920" s="28"/>
      <x:c r="I1920" s="28"/>
      <x:c r="J1920" s="28"/>
      <x:c r="K1920" s="28"/>
      <x:c r="L1920" s="28"/>
      <x:c r="M1920" s="28"/>
      <x:c r="N1920" s="28"/>
      <x:c r="O1920" s="28"/>
      <x:c r="P1920" s="28"/>
      <x:c r="Q1920" s="28"/>
      <x:c r="R1920" s="28"/>
      <x:c r="S1920" s="28"/>
      <x:c r="T1920" s="28"/>
      <x:c r="U1920" s="28"/>
      <x:c r="V1920" s="28"/>
      <x:c r="W1920" s="43" t="n">
        <x:f>--AND(N1920=1,OR(O1920="SUPPORTED",O1920="HALLUCINATION"))</x:f>
        <x:v>0</x:v>
      </x:c>
      <x:c r="X1920" s="43" t="n">
        <x:f>--AND(W1920=1,O1920="HALLUCINATION")</x:f>
        <x:v>0</x:v>
      </x:c>
      <x:c r="Y1920" s="43" t="n">
        <x:f>--AND(Q1920=1,O1920="HALLUCINATION")</x:f>
        <x:v>0</x:v>
      </x:c>
      <x:c r="Z1920" s="43" t="n">
        <x:f>--AND(Y1920=1,R1920=1,S1920=1)</x:f>
        <x:v>0</x:v>
      </x:c>
      <x:c r="AC1920" t="str">
        <x:f>IF(OR(AA1920="",AB1920=""),"",--(AA1920&lt;&gt;AB1920))</x:f>
      </x:c>
      <x:c r="AE1920" t="str">
        <x:f>IF(OR(AA1920="",AB1920=""),"PENDING_HUMAN",IF(AA1920=AB1920,AA1920,IF(AD1920&lt;&gt;"",AD1920,"PENDING_HUMAN")))</x:f>
        <x:v>PENDING_HUMAN</x:v>
      </x:c>
      <x:c r="AF1920" t="n">
        <x:f>--AND(A1920&lt;&gt;"",AA1920&lt;&gt;"",AB1920&lt;&gt;"",OR(AA1920=AB1920,AD1920&lt;&gt;""),IF(AE1920="HALLUCINATION",U1920&lt;&gt;"",TRUE))</x:f>
        <x:v>0</x:v>
      </x:c>
      <x:c r="AG1920" t="n">
        <x:f>--AND(N1920=1,AF1920=1,OR(AE1920="SUPPORTED",AE1920="HALLUCINATION"))</x:f>
        <x:v>0</x:v>
      </x:c>
      <x:c r="AH1920" t="n">
        <x:f>--AND(AG1920=1,AE1920="HALLUCINATION")</x:f>
        <x:v>0</x:v>
      </x:c>
      <x:c r="AI1920" t="n">
        <x:f>--AND(Q1920=1,AF1920=1,AE1920="HALLUCINATION")</x:f>
        <x:v>0</x:v>
      </x:c>
      <x:c r="AJ1920" t="n">
        <x:f>--AND(AI1920=1,R1920=1,S1920=1)</x:f>
        <x:v>0</x:v>
      </x:c>
    </x:row>
    <x:row r="1921">
      <x:c r="A1921" s="28"/>
      <x:c r="B1921" s="28"/>
      <x:c r="C1921" s="28"/>
      <x:c r="D1921" s="28"/>
      <x:c r="E1921" s="28"/>
      <x:c r="F1921" s="28"/>
      <x:c r="G1921" s="28"/>
      <x:c r="H1921" s="28"/>
      <x:c r="I1921" s="28"/>
      <x:c r="J1921" s="28"/>
      <x:c r="K1921" s="28"/>
      <x:c r="L1921" s="28"/>
      <x:c r="M1921" s="28"/>
      <x:c r="N1921" s="28"/>
      <x:c r="O1921" s="28"/>
      <x:c r="P1921" s="28"/>
      <x:c r="Q1921" s="28"/>
      <x:c r="R1921" s="28"/>
      <x:c r="S1921" s="28"/>
      <x:c r="T1921" s="28"/>
      <x:c r="U1921" s="28"/>
      <x:c r="V1921" s="28"/>
      <x:c r="W1921" s="43" t="n">
        <x:f>--AND(N1921=1,OR(O1921="SUPPORTED",O1921="HALLUCINATION"))</x:f>
        <x:v>0</x:v>
      </x:c>
      <x:c r="X1921" s="43" t="n">
        <x:f>--AND(W1921=1,O1921="HALLUCINATION")</x:f>
        <x:v>0</x:v>
      </x:c>
      <x:c r="Y1921" s="43" t="n">
        <x:f>--AND(Q1921=1,O1921="HALLUCINATION")</x:f>
        <x:v>0</x:v>
      </x:c>
      <x:c r="Z1921" s="43" t="n">
        <x:f>--AND(Y1921=1,R1921=1,S1921=1)</x:f>
        <x:v>0</x:v>
      </x:c>
      <x:c r="AC1921" t="str">
        <x:f>IF(OR(AA1921="",AB1921=""),"",--(AA1921&lt;&gt;AB1921))</x:f>
      </x:c>
      <x:c r="AE1921" t="str">
        <x:f>IF(OR(AA1921="",AB1921=""),"PENDING_HUMAN",IF(AA1921=AB1921,AA1921,IF(AD1921&lt;&gt;"",AD1921,"PENDING_HUMAN")))</x:f>
        <x:v>PENDING_HUMAN</x:v>
      </x:c>
      <x:c r="AF1921" t="n">
        <x:f>--AND(A1921&lt;&gt;"",AA1921&lt;&gt;"",AB1921&lt;&gt;"",OR(AA1921=AB1921,AD1921&lt;&gt;""),IF(AE1921="HALLUCINATION",U1921&lt;&gt;"",TRUE))</x:f>
        <x:v>0</x:v>
      </x:c>
      <x:c r="AG1921" t="n">
        <x:f>--AND(N1921=1,AF1921=1,OR(AE1921="SUPPORTED",AE1921="HALLUCINATION"))</x:f>
        <x:v>0</x:v>
      </x:c>
      <x:c r="AH1921" t="n">
        <x:f>--AND(AG1921=1,AE1921="HALLUCINATION")</x:f>
        <x:v>0</x:v>
      </x:c>
      <x:c r="AI1921" t="n">
        <x:f>--AND(Q1921=1,AF1921=1,AE1921="HALLUCINATION")</x:f>
        <x:v>0</x:v>
      </x:c>
      <x:c r="AJ1921" t="n">
        <x:f>--AND(AI1921=1,R1921=1,S1921=1)</x:f>
        <x:v>0</x:v>
      </x:c>
    </x:row>
    <x:row r="1922">
      <x:c r="A1922" s="28"/>
      <x:c r="B1922" s="28"/>
      <x:c r="C1922" s="28"/>
      <x:c r="D1922" s="28"/>
      <x:c r="E1922" s="28"/>
      <x:c r="F1922" s="28"/>
      <x:c r="G1922" s="28"/>
      <x:c r="H1922" s="28"/>
      <x:c r="I1922" s="28"/>
      <x:c r="J1922" s="28"/>
      <x:c r="K1922" s="28"/>
      <x:c r="L1922" s="28"/>
      <x:c r="M1922" s="28"/>
      <x:c r="N1922" s="28"/>
      <x:c r="O1922" s="28"/>
      <x:c r="P1922" s="28"/>
      <x:c r="Q1922" s="28"/>
      <x:c r="R1922" s="28"/>
      <x:c r="S1922" s="28"/>
      <x:c r="T1922" s="28"/>
      <x:c r="U1922" s="28"/>
      <x:c r="V1922" s="28"/>
      <x:c r="W1922" s="43" t="n">
        <x:f>--AND(N1922=1,OR(O1922="SUPPORTED",O1922="HALLUCINATION"))</x:f>
        <x:v>0</x:v>
      </x:c>
      <x:c r="X1922" s="43" t="n">
        <x:f>--AND(W1922=1,O1922="HALLUCINATION")</x:f>
        <x:v>0</x:v>
      </x:c>
      <x:c r="Y1922" s="43" t="n">
        <x:f>--AND(Q1922=1,O1922="HALLUCINATION")</x:f>
        <x:v>0</x:v>
      </x:c>
      <x:c r="Z1922" s="43" t="n">
        <x:f>--AND(Y1922=1,R1922=1,S1922=1)</x:f>
        <x:v>0</x:v>
      </x:c>
      <x:c r="AC1922" t="str">
        <x:f>IF(OR(AA1922="",AB1922=""),"",--(AA1922&lt;&gt;AB1922))</x:f>
      </x:c>
      <x:c r="AE1922" t="str">
        <x:f>IF(OR(AA1922="",AB1922=""),"PENDING_HUMAN",IF(AA1922=AB1922,AA1922,IF(AD1922&lt;&gt;"",AD1922,"PENDING_HUMAN")))</x:f>
        <x:v>PENDING_HUMAN</x:v>
      </x:c>
      <x:c r="AF1922" t="n">
        <x:f>--AND(A1922&lt;&gt;"",AA1922&lt;&gt;"",AB1922&lt;&gt;"",OR(AA1922=AB1922,AD1922&lt;&gt;""),IF(AE1922="HALLUCINATION",U1922&lt;&gt;"",TRUE))</x:f>
        <x:v>0</x:v>
      </x:c>
      <x:c r="AG1922" t="n">
        <x:f>--AND(N1922=1,AF1922=1,OR(AE1922="SUPPORTED",AE1922="HALLUCINATION"))</x:f>
        <x:v>0</x:v>
      </x:c>
      <x:c r="AH1922" t="n">
        <x:f>--AND(AG1922=1,AE1922="HALLUCINATION")</x:f>
        <x:v>0</x:v>
      </x:c>
      <x:c r="AI1922" t="n">
        <x:f>--AND(Q1922=1,AF1922=1,AE1922="HALLUCINATION")</x:f>
        <x:v>0</x:v>
      </x:c>
      <x:c r="AJ1922" t="n">
        <x:f>--AND(AI1922=1,R1922=1,S1922=1)</x:f>
        <x:v>0</x:v>
      </x:c>
    </x:row>
    <x:row r="1923">
      <x:c r="A1923" s="28"/>
      <x:c r="B1923" s="28"/>
      <x:c r="C1923" s="28"/>
      <x:c r="D1923" s="28"/>
      <x:c r="E1923" s="28"/>
      <x:c r="F1923" s="28"/>
      <x:c r="G1923" s="28"/>
      <x:c r="H1923" s="28"/>
      <x:c r="I1923" s="28"/>
      <x:c r="J1923" s="28"/>
      <x:c r="K1923" s="28"/>
      <x:c r="L1923" s="28"/>
      <x:c r="M1923" s="28"/>
      <x:c r="N1923" s="28"/>
      <x:c r="O1923" s="28"/>
      <x:c r="P1923" s="28"/>
      <x:c r="Q1923" s="28"/>
      <x:c r="R1923" s="28"/>
      <x:c r="S1923" s="28"/>
      <x:c r="T1923" s="28"/>
      <x:c r="U1923" s="28"/>
      <x:c r="V1923" s="28"/>
      <x:c r="W1923" s="43" t="n">
        <x:f>--AND(N1923=1,OR(O1923="SUPPORTED",O1923="HALLUCINATION"))</x:f>
        <x:v>0</x:v>
      </x:c>
      <x:c r="X1923" s="43" t="n">
        <x:f>--AND(W1923=1,O1923="HALLUCINATION")</x:f>
        <x:v>0</x:v>
      </x:c>
      <x:c r="Y1923" s="43" t="n">
        <x:f>--AND(Q1923=1,O1923="HALLUCINATION")</x:f>
        <x:v>0</x:v>
      </x:c>
      <x:c r="Z1923" s="43" t="n">
        <x:f>--AND(Y1923=1,R1923=1,S1923=1)</x:f>
        <x:v>0</x:v>
      </x:c>
      <x:c r="AC1923" t="str">
        <x:f>IF(OR(AA1923="",AB1923=""),"",--(AA1923&lt;&gt;AB1923))</x:f>
      </x:c>
      <x:c r="AE1923" t="str">
        <x:f>IF(OR(AA1923="",AB1923=""),"PENDING_HUMAN",IF(AA1923=AB1923,AA1923,IF(AD1923&lt;&gt;"",AD1923,"PENDING_HUMAN")))</x:f>
        <x:v>PENDING_HUMAN</x:v>
      </x:c>
      <x:c r="AF1923" t="n">
        <x:f>--AND(A1923&lt;&gt;"",AA1923&lt;&gt;"",AB1923&lt;&gt;"",OR(AA1923=AB1923,AD1923&lt;&gt;""),IF(AE1923="HALLUCINATION",U1923&lt;&gt;"",TRUE))</x:f>
        <x:v>0</x:v>
      </x:c>
      <x:c r="AG1923" t="n">
        <x:f>--AND(N1923=1,AF1923=1,OR(AE1923="SUPPORTED",AE1923="HALLUCINATION"))</x:f>
        <x:v>0</x:v>
      </x:c>
      <x:c r="AH1923" t="n">
        <x:f>--AND(AG1923=1,AE1923="HALLUCINATION")</x:f>
        <x:v>0</x:v>
      </x:c>
      <x:c r="AI1923" t="n">
        <x:f>--AND(Q1923=1,AF1923=1,AE1923="HALLUCINATION")</x:f>
        <x:v>0</x:v>
      </x:c>
      <x:c r="AJ1923" t="n">
        <x:f>--AND(AI1923=1,R1923=1,S1923=1)</x:f>
        <x:v>0</x:v>
      </x:c>
    </x:row>
    <x:row r="1924">
      <x:c r="A1924" s="28"/>
      <x:c r="B1924" s="28"/>
      <x:c r="C1924" s="28"/>
      <x:c r="D1924" s="28"/>
      <x:c r="E1924" s="28"/>
      <x:c r="F1924" s="28"/>
      <x:c r="G1924" s="28"/>
      <x:c r="H1924" s="28"/>
      <x:c r="I1924" s="28"/>
      <x:c r="J1924" s="28"/>
      <x:c r="K1924" s="28"/>
      <x:c r="L1924" s="28"/>
      <x:c r="M1924" s="28"/>
      <x:c r="N1924" s="28"/>
      <x:c r="O1924" s="28"/>
      <x:c r="P1924" s="28"/>
      <x:c r="Q1924" s="28"/>
      <x:c r="R1924" s="28"/>
      <x:c r="S1924" s="28"/>
      <x:c r="T1924" s="28"/>
      <x:c r="U1924" s="28"/>
      <x:c r="V1924" s="28"/>
      <x:c r="W1924" s="43" t="n">
        <x:f>--AND(N1924=1,OR(O1924="SUPPORTED",O1924="HALLUCINATION"))</x:f>
        <x:v>0</x:v>
      </x:c>
      <x:c r="X1924" s="43" t="n">
        <x:f>--AND(W1924=1,O1924="HALLUCINATION")</x:f>
        <x:v>0</x:v>
      </x:c>
      <x:c r="Y1924" s="43" t="n">
        <x:f>--AND(Q1924=1,O1924="HALLUCINATION")</x:f>
        <x:v>0</x:v>
      </x:c>
      <x:c r="Z1924" s="43" t="n">
        <x:f>--AND(Y1924=1,R1924=1,S1924=1)</x:f>
        <x:v>0</x:v>
      </x:c>
      <x:c r="AC1924" t="str">
        <x:f>IF(OR(AA1924="",AB1924=""),"",--(AA1924&lt;&gt;AB1924))</x:f>
      </x:c>
      <x:c r="AE1924" t="str">
        <x:f>IF(OR(AA1924="",AB1924=""),"PENDING_HUMAN",IF(AA1924=AB1924,AA1924,IF(AD1924&lt;&gt;"",AD1924,"PENDING_HUMAN")))</x:f>
        <x:v>PENDING_HUMAN</x:v>
      </x:c>
      <x:c r="AF1924" t="n">
        <x:f>--AND(A1924&lt;&gt;"",AA1924&lt;&gt;"",AB1924&lt;&gt;"",OR(AA1924=AB1924,AD1924&lt;&gt;""),IF(AE1924="HALLUCINATION",U1924&lt;&gt;"",TRUE))</x:f>
        <x:v>0</x:v>
      </x:c>
      <x:c r="AG1924" t="n">
        <x:f>--AND(N1924=1,AF1924=1,OR(AE1924="SUPPORTED",AE1924="HALLUCINATION"))</x:f>
        <x:v>0</x:v>
      </x:c>
      <x:c r="AH1924" t="n">
        <x:f>--AND(AG1924=1,AE1924="HALLUCINATION")</x:f>
        <x:v>0</x:v>
      </x:c>
      <x:c r="AI1924" t="n">
        <x:f>--AND(Q1924=1,AF1924=1,AE1924="HALLUCINATION")</x:f>
        <x:v>0</x:v>
      </x:c>
      <x:c r="AJ1924" t="n">
        <x:f>--AND(AI1924=1,R1924=1,S1924=1)</x:f>
        <x:v>0</x:v>
      </x:c>
    </x:row>
    <x:row r="1925">
      <x:c r="A1925" s="28"/>
      <x:c r="B1925" s="28"/>
      <x:c r="C1925" s="28"/>
      <x:c r="D1925" s="28"/>
      <x:c r="E1925" s="28"/>
      <x:c r="F1925" s="28"/>
      <x:c r="G1925" s="28"/>
      <x:c r="H1925" s="28"/>
      <x:c r="I1925" s="28"/>
      <x:c r="J1925" s="28"/>
      <x:c r="K1925" s="28"/>
      <x:c r="L1925" s="28"/>
      <x:c r="M1925" s="28"/>
      <x:c r="N1925" s="28"/>
      <x:c r="O1925" s="28"/>
      <x:c r="P1925" s="28"/>
      <x:c r="Q1925" s="28"/>
      <x:c r="R1925" s="28"/>
      <x:c r="S1925" s="28"/>
      <x:c r="T1925" s="28"/>
      <x:c r="U1925" s="28"/>
      <x:c r="V1925" s="28"/>
      <x:c r="W1925" s="43" t="n">
        <x:f>--AND(N1925=1,OR(O1925="SUPPORTED",O1925="HALLUCINATION"))</x:f>
        <x:v>0</x:v>
      </x:c>
      <x:c r="X1925" s="43" t="n">
        <x:f>--AND(W1925=1,O1925="HALLUCINATION")</x:f>
        <x:v>0</x:v>
      </x:c>
      <x:c r="Y1925" s="43" t="n">
        <x:f>--AND(Q1925=1,O1925="HALLUCINATION")</x:f>
        <x:v>0</x:v>
      </x:c>
      <x:c r="Z1925" s="43" t="n">
        <x:f>--AND(Y1925=1,R1925=1,S1925=1)</x:f>
        <x:v>0</x:v>
      </x:c>
      <x:c r="AC1925" t="str">
        <x:f>IF(OR(AA1925="",AB1925=""),"",--(AA1925&lt;&gt;AB1925))</x:f>
      </x:c>
      <x:c r="AE1925" t="str">
        <x:f>IF(OR(AA1925="",AB1925=""),"PENDING_HUMAN",IF(AA1925=AB1925,AA1925,IF(AD1925&lt;&gt;"",AD1925,"PENDING_HUMAN")))</x:f>
        <x:v>PENDING_HUMAN</x:v>
      </x:c>
      <x:c r="AF1925" t="n">
        <x:f>--AND(A1925&lt;&gt;"",AA1925&lt;&gt;"",AB1925&lt;&gt;"",OR(AA1925=AB1925,AD1925&lt;&gt;""),IF(AE1925="HALLUCINATION",U1925&lt;&gt;"",TRUE))</x:f>
        <x:v>0</x:v>
      </x:c>
      <x:c r="AG1925" t="n">
        <x:f>--AND(N1925=1,AF1925=1,OR(AE1925="SUPPORTED",AE1925="HALLUCINATION"))</x:f>
        <x:v>0</x:v>
      </x:c>
      <x:c r="AH1925" t="n">
        <x:f>--AND(AG1925=1,AE1925="HALLUCINATION")</x:f>
        <x:v>0</x:v>
      </x:c>
      <x:c r="AI1925" t="n">
        <x:f>--AND(Q1925=1,AF1925=1,AE1925="HALLUCINATION")</x:f>
        <x:v>0</x:v>
      </x:c>
      <x:c r="AJ1925" t="n">
        <x:f>--AND(AI1925=1,R1925=1,S1925=1)</x:f>
        <x:v>0</x:v>
      </x:c>
    </x:row>
    <x:row r="1926">
      <x:c r="A1926" s="28"/>
      <x:c r="B1926" s="28"/>
      <x:c r="C1926" s="28"/>
      <x:c r="D1926" s="28"/>
      <x:c r="E1926" s="28"/>
      <x:c r="F1926" s="28"/>
      <x:c r="G1926" s="28"/>
      <x:c r="H1926" s="28"/>
      <x:c r="I1926" s="28"/>
      <x:c r="J1926" s="28"/>
      <x:c r="K1926" s="28"/>
      <x:c r="L1926" s="28"/>
      <x:c r="M1926" s="28"/>
      <x:c r="N1926" s="28"/>
      <x:c r="O1926" s="28"/>
      <x:c r="P1926" s="28"/>
      <x:c r="Q1926" s="28"/>
      <x:c r="R1926" s="28"/>
      <x:c r="S1926" s="28"/>
      <x:c r="T1926" s="28"/>
      <x:c r="U1926" s="28"/>
      <x:c r="V1926" s="28"/>
      <x:c r="W1926" s="43" t="n">
        <x:f>--AND(N1926=1,OR(O1926="SUPPORTED",O1926="HALLUCINATION"))</x:f>
        <x:v>0</x:v>
      </x:c>
      <x:c r="X1926" s="43" t="n">
        <x:f>--AND(W1926=1,O1926="HALLUCINATION")</x:f>
        <x:v>0</x:v>
      </x:c>
      <x:c r="Y1926" s="43" t="n">
        <x:f>--AND(Q1926=1,O1926="HALLUCINATION")</x:f>
        <x:v>0</x:v>
      </x:c>
      <x:c r="Z1926" s="43" t="n">
        <x:f>--AND(Y1926=1,R1926=1,S1926=1)</x:f>
        <x:v>0</x:v>
      </x:c>
      <x:c r="AC1926" t="str">
        <x:f>IF(OR(AA1926="",AB1926=""),"",--(AA1926&lt;&gt;AB1926))</x:f>
      </x:c>
      <x:c r="AE1926" t="str">
        <x:f>IF(OR(AA1926="",AB1926=""),"PENDING_HUMAN",IF(AA1926=AB1926,AA1926,IF(AD1926&lt;&gt;"",AD1926,"PENDING_HUMAN")))</x:f>
        <x:v>PENDING_HUMAN</x:v>
      </x:c>
      <x:c r="AF1926" t="n">
        <x:f>--AND(A1926&lt;&gt;"",AA1926&lt;&gt;"",AB1926&lt;&gt;"",OR(AA1926=AB1926,AD1926&lt;&gt;""),IF(AE1926="HALLUCINATION",U1926&lt;&gt;"",TRUE))</x:f>
        <x:v>0</x:v>
      </x:c>
      <x:c r="AG1926" t="n">
        <x:f>--AND(N1926=1,AF1926=1,OR(AE1926="SUPPORTED",AE1926="HALLUCINATION"))</x:f>
        <x:v>0</x:v>
      </x:c>
      <x:c r="AH1926" t="n">
        <x:f>--AND(AG1926=1,AE1926="HALLUCINATION")</x:f>
        <x:v>0</x:v>
      </x:c>
      <x:c r="AI1926" t="n">
        <x:f>--AND(Q1926=1,AF1926=1,AE1926="HALLUCINATION")</x:f>
        <x:v>0</x:v>
      </x:c>
      <x:c r="AJ1926" t="n">
        <x:f>--AND(AI1926=1,R1926=1,S1926=1)</x:f>
        <x:v>0</x:v>
      </x:c>
    </x:row>
    <x:row r="1927">
      <x:c r="A1927" s="28"/>
      <x:c r="B1927" s="28"/>
      <x:c r="C1927" s="28"/>
      <x:c r="D1927" s="28"/>
      <x:c r="E1927" s="28"/>
      <x:c r="F1927" s="28"/>
      <x:c r="G1927" s="28"/>
      <x:c r="H1927" s="28"/>
      <x:c r="I1927" s="28"/>
      <x:c r="J1927" s="28"/>
      <x:c r="K1927" s="28"/>
      <x:c r="L1927" s="28"/>
      <x:c r="M1927" s="28"/>
      <x:c r="N1927" s="28"/>
      <x:c r="O1927" s="28"/>
      <x:c r="P1927" s="28"/>
      <x:c r="Q1927" s="28"/>
      <x:c r="R1927" s="28"/>
      <x:c r="S1927" s="28"/>
      <x:c r="T1927" s="28"/>
      <x:c r="U1927" s="28"/>
      <x:c r="V1927" s="28"/>
      <x:c r="W1927" s="43" t="n">
        <x:f>--AND(N1927=1,OR(O1927="SUPPORTED",O1927="HALLUCINATION"))</x:f>
        <x:v>0</x:v>
      </x:c>
      <x:c r="X1927" s="43" t="n">
        <x:f>--AND(W1927=1,O1927="HALLUCINATION")</x:f>
        <x:v>0</x:v>
      </x:c>
      <x:c r="Y1927" s="43" t="n">
        <x:f>--AND(Q1927=1,O1927="HALLUCINATION")</x:f>
        <x:v>0</x:v>
      </x:c>
      <x:c r="Z1927" s="43" t="n">
        <x:f>--AND(Y1927=1,R1927=1,S1927=1)</x:f>
        <x:v>0</x:v>
      </x:c>
      <x:c r="AC1927" t="str">
        <x:f>IF(OR(AA1927="",AB1927=""),"",--(AA1927&lt;&gt;AB1927))</x:f>
      </x:c>
      <x:c r="AE1927" t="str">
        <x:f>IF(OR(AA1927="",AB1927=""),"PENDING_HUMAN",IF(AA1927=AB1927,AA1927,IF(AD1927&lt;&gt;"",AD1927,"PENDING_HUMAN")))</x:f>
        <x:v>PENDING_HUMAN</x:v>
      </x:c>
      <x:c r="AF1927" t="n">
        <x:f>--AND(A1927&lt;&gt;"",AA1927&lt;&gt;"",AB1927&lt;&gt;"",OR(AA1927=AB1927,AD1927&lt;&gt;""),IF(AE1927="HALLUCINATION",U1927&lt;&gt;"",TRUE))</x:f>
        <x:v>0</x:v>
      </x:c>
      <x:c r="AG1927" t="n">
        <x:f>--AND(N1927=1,AF1927=1,OR(AE1927="SUPPORTED",AE1927="HALLUCINATION"))</x:f>
        <x:v>0</x:v>
      </x:c>
      <x:c r="AH1927" t="n">
        <x:f>--AND(AG1927=1,AE1927="HALLUCINATION")</x:f>
        <x:v>0</x:v>
      </x:c>
      <x:c r="AI1927" t="n">
        <x:f>--AND(Q1927=1,AF1927=1,AE1927="HALLUCINATION")</x:f>
        <x:v>0</x:v>
      </x:c>
      <x:c r="AJ1927" t="n">
        <x:f>--AND(AI1927=1,R1927=1,S1927=1)</x:f>
        <x:v>0</x:v>
      </x:c>
    </x:row>
    <x:row r="1928">
      <x:c r="A1928" s="28"/>
      <x:c r="B1928" s="28"/>
      <x:c r="C1928" s="28"/>
      <x:c r="D1928" s="28"/>
      <x:c r="E1928" s="28"/>
      <x:c r="F1928" s="28"/>
      <x:c r="G1928" s="28"/>
      <x:c r="H1928" s="28"/>
      <x:c r="I1928" s="28"/>
      <x:c r="J1928" s="28"/>
      <x:c r="K1928" s="28"/>
      <x:c r="L1928" s="28"/>
      <x:c r="M1928" s="28"/>
      <x:c r="N1928" s="28"/>
      <x:c r="O1928" s="28"/>
      <x:c r="P1928" s="28"/>
      <x:c r="Q1928" s="28"/>
      <x:c r="R1928" s="28"/>
      <x:c r="S1928" s="28"/>
      <x:c r="T1928" s="28"/>
      <x:c r="U1928" s="28"/>
      <x:c r="V1928" s="28"/>
      <x:c r="W1928" s="43" t="n">
        <x:f>--AND(N1928=1,OR(O1928="SUPPORTED",O1928="HALLUCINATION"))</x:f>
        <x:v>0</x:v>
      </x:c>
      <x:c r="X1928" s="43" t="n">
        <x:f>--AND(W1928=1,O1928="HALLUCINATION")</x:f>
        <x:v>0</x:v>
      </x:c>
      <x:c r="Y1928" s="43" t="n">
        <x:f>--AND(Q1928=1,O1928="HALLUCINATION")</x:f>
        <x:v>0</x:v>
      </x:c>
      <x:c r="Z1928" s="43" t="n">
        <x:f>--AND(Y1928=1,R1928=1,S1928=1)</x:f>
        <x:v>0</x:v>
      </x:c>
      <x:c r="AC1928" t="str">
        <x:f>IF(OR(AA1928="",AB1928=""),"",--(AA1928&lt;&gt;AB1928))</x:f>
      </x:c>
      <x:c r="AE1928" t="str">
        <x:f>IF(OR(AA1928="",AB1928=""),"PENDING_HUMAN",IF(AA1928=AB1928,AA1928,IF(AD1928&lt;&gt;"",AD1928,"PENDING_HUMAN")))</x:f>
        <x:v>PENDING_HUMAN</x:v>
      </x:c>
      <x:c r="AF1928" t="n">
        <x:f>--AND(A1928&lt;&gt;"",AA1928&lt;&gt;"",AB1928&lt;&gt;"",OR(AA1928=AB1928,AD1928&lt;&gt;""),IF(AE1928="HALLUCINATION",U1928&lt;&gt;"",TRUE))</x:f>
        <x:v>0</x:v>
      </x:c>
      <x:c r="AG1928" t="n">
        <x:f>--AND(N1928=1,AF1928=1,OR(AE1928="SUPPORTED",AE1928="HALLUCINATION"))</x:f>
        <x:v>0</x:v>
      </x:c>
      <x:c r="AH1928" t="n">
        <x:f>--AND(AG1928=1,AE1928="HALLUCINATION")</x:f>
        <x:v>0</x:v>
      </x:c>
      <x:c r="AI1928" t="n">
        <x:f>--AND(Q1928=1,AF1928=1,AE1928="HALLUCINATION")</x:f>
        <x:v>0</x:v>
      </x:c>
      <x:c r="AJ1928" t="n">
        <x:f>--AND(AI1928=1,R1928=1,S1928=1)</x:f>
        <x:v>0</x:v>
      </x:c>
    </x:row>
    <x:row r="1929">
      <x:c r="A1929" s="28"/>
      <x:c r="B1929" s="28"/>
      <x:c r="C1929" s="28"/>
      <x:c r="D1929" s="28"/>
      <x:c r="E1929" s="28"/>
      <x:c r="F1929" s="28"/>
      <x:c r="G1929" s="28"/>
      <x:c r="H1929" s="28"/>
      <x:c r="I1929" s="28"/>
      <x:c r="J1929" s="28"/>
      <x:c r="K1929" s="28"/>
      <x:c r="L1929" s="28"/>
      <x:c r="M1929" s="28"/>
      <x:c r="N1929" s="28"/>
      <x:c r="O1929" s="28"/>
      <x:c r="P1929" s="28"/>
      <x:c r="Q1929" s="28"/>
      <x:c r="R1929" s="28"/>
      <x:c r="S1929" s="28"/>
      <x:c r="T1929" s="28"/>
      <x:c r="U1929" s="28"/>
      <x:c r="V1929" s="28"/>
      <x:c r="W1929" s="43" t="n">
        <x:f>--AND(N1929=1,OR(O1929="SUPPORTED",O1929="HALLUCINATION"))</x:f>
        <x:v>0</x:v>
      </x:c>
      <x:c r="X1929" s="43" t="n">
        <x:f>--AND(W1929=1,O1929="HALLUCINATION")</x:f>
        <x:v>0</x:v>
      </x:c>
      <x:c r="Y1929" s="43" t="n">
        <x:f>--AND(Q1929=1,O1929="HALLUCINATION")</x:f>
        <x:v>0</x:v>
      </x:c>
      <x:c r="Z1929" s="43" t="n">
        <x:f>--AND(Y1929=1,R1929=1,S1929=1)</x:f>
        <x:v>0</x:v>
      </x:c>
      <x:c r="AC1929" t="str">
        <x:f>IF(OR(AA1929="",AB1929=""),"",--(AA1929&lt;&gt;AB1929))</x:f>
      </x:c>
      <x:c r="AE1929" t="str">
        <x:f>IF(OR(AA1929="",AB1929=""),"PENDING_HUMAN",IF(AA1929=AB1929,AA1929,IF(AD1929&lt;&gt;"",AD1929,"PENDING_HUMAN")))</x:f>
        <x:v>PENDING_HUMAN</x:v>
      </x:c>
      <x:c r="AF1929" t="n">
        <x:f>--AND(A1929&lt;&gt;"",AA1929&lt;&gt;"",AB1929&lt;&gt;"",OR(AA1929=AB1929,AD1929&lt;&gt;""),IF(AE1929="HALLUCINATION",U1929&lt;&gt;"",TRUE))</x:f>
        <x:v>0</x:v>
      </x:c>
      <x:c r="AG1929" t="n">
        <x:f>--AND(N1929=1,AF1929=1,OR(AE1929="SUPPORTED",AE1929="HALLUCINATION"))</x:f>
        <x:v>0</x:v>
      </x:c>
      <x:c r="AH1929" t="n">
        <x:f>--AND(AG1929=1,AE1929="HALLUCINATION")</x:f>
        <x:v>0</x:v>
      </x:c>
      <x:c r="AI1929" t="n">
        <x:f>--AND(Q1929=1,AF1929=1,AE1929="HALLUCINATION")</x:f>
        <x:v>0</x:v>
      </x:c>
      <x:c r="AJ1929" t="n">
        <x:f>--AND(AI1929=1,R1929=1,S1929=1)</x:f>
        <x:v>0</x:v>
      </x:c>
    </x:row>
    <x:row r="1930">
      <x:c r="A1930" s="28"/>
      <x:c r="B1930" s="28"/>
      <x:c r="C1930" s="28"/>
      <x:c r="D1930" s="28"/>
      <x:c r="E1930" s="28"/>
      <x:c r="F1930" s="28"/>
      <x:c r="G1930" s="28"/>
      <x:c r="H1930" s="28"/>
      <x:c r="I1930" s="28"/>
      <x:c r="J1930" s="28"/>
      <x:c r="K1930" s="28"/>
      <x:c r="L1930" s="28"/>
      <x:c r="M1930" s="28"/>
      <x:c r="N1930" s="28"/>
      <x:c r="O1930" s="28"/>
      <x:c r="P1930" s="28"/>
      <x:c r="Q1930" s="28"/>
      <x:c r="R1930" s="28"/>
      <x:c r="S1930" s="28"/>
      <x:c r="T1930" s="28"/>
      <x:c r="U1930" s="28"/>
      <x:c r="V1930" s="28"/>
      <x:c r="W1930" s="43" t="n">
        <x:f>--AND(N1930=1,OR(O1930="SUPPORTED",O1930="HALLUCINATION"))</x:f>
        <x:v>0</x:v>
      </x:c>
      <x:c r="X1930" s="43" t="n">
        <x:f>--AND(W1930=1,O1930="HALLUCINATION")</x:f>
        <x:v>0</x:v>
      </x:c>
      <x:c r="Y1930" s="43" t="n">
        <x:f>--AND(Q1930=1,O1930="HALLUCINATION")</x:f>
        <x:v>0</x:v>
      </x:c>
      <x:c r="Z1930" s="43" t="n">
        <x:f>--AND(Y1930=1,R1930=1,S1930=1)</x:f>
        <x:v>0</x:v>
      </x:c>
      <x:c r="AC1930" t="str">
        <x:f>IF(OR(AA1930="",AB1930=""),"",--(AA1930&lt;&gt;AB1930))</x:f>
      </x:c>
      <x:c r="AE1930" t="str">
        <x:f>IF(OR(AA1930="",AB1930=""),"PENDING_HUMAN",IF(AA1930=AB1930,AA1930,IF(AD1930&lt;&gt;"",AD1930,"PENDING_HUMAN")))</x:f>
        <x:v>PENDING_HUMAN</x:v>
      </x:c>
      <x:c r="AF1930" t="n">
        <x:f>--AND(A1930&lt;&gt;"",AA1930&lt;&gt;"",AB1930&lt;&gt;"",OR(AA1930=AB1930,AD1930&lt;&gt;""),IF(AE1930="HALLUCINATION",U1930&lt;&gt;"",TRUE))</x:f>
        <x:v>0</x:v>
      </x:c>
      <x:c r="AG1930" t="n">
        <x:f>--AND(N1930=1,AF1930=1,OR(AE1930="SUPPORTED",AE1930="HALLUCINATION"))</x:f>
        <x:v>0</x:v>
      </x:c>
      <x:c r="AH1930" t="n">
        <x:f>--AND(AG1930=1,AE1930="HALLUCINATION")</x:f>
        <x:v>0</x:v>
      </x:c>
      <x:c r="AI1930" t="n">
        <x:f>--AND(Q1930=1,AF1930=1,AE1930="HALLUCINATION")</x:f>
        <x:v>0</x:v>
      </x:c>
      <x:c r="AJ1930" t="n">
        <x:f>--AND(AI1930=1,R1930=1,S1930=1)</x:f>
        <x:v>0</x:v>
      </x:c>
    </x:row>
    <x:row r="1931">
      <x:c r="A1931" s="28"/>
      <x:c r="B1931" s="28"/>
      <x:c r="C1931" s="28"/>
      <x:c r="D1931" s="28"/>
      <x:c r="E1931" s="28"/>
      <x:c r="F1931" s="28"/>
      <x:c r="G1931" s="28"/>
      <x:c r="H1931" s="28"/>
      <x:c r="I1931" s="28"/>
      <x:c r="J1931" s="28"/>
      <x:c r="K1931" s="28"/>
      <x:c r="L1931" s="28"/>
      <x:c r="M1931" s="28"/>
      <x:c r="N1931" s="28"/>
      <x:c r="O1931" s="28"/>
      <x:c r="P1931" s="28"/>
      <x:c r="Q1931" s="28"/>
      <x:c r="R1931" s="28"/>
      <x:c r="S1931" s="28"/>
      <x:c r="T1931" s="28"/>
      <x:c r="U1931" s="28"/>
      <x:c r="V1931" s="28"/>
      <x:c r="W1931" s="43" t="n">
        <x:f>--AND(N1931=1,OR(O1931="SUPPORTED",O1931="HALLUCINATION"))</x:f>
        <x:v>0</x:v>
      </x:c>
      <x:c r="X1931" s="43" t="n">
        <x:f>--AND(W1931=1,O1931="HALLUCINATION")</x:f>
        <x:v>0</x:v>
      </x:c>
      <x:c r="Y1931" s="43" t="n">
        <x:f>--AND(Q1931=1,O1931="HALLUCINATION")</x:f>
        <x:v>0</x:v>
      </x:c>
      <x:c r="Z1931" s="43" t="n">
        <x:f>--AND(Y1931=1,R1931=1,S1931=1)</x:f>
        <x:v>0</x:v>
      </x:c>
      <x:c r="AC1931" t="str">
        <x:f>IF(OR(AA1931="",AB1931=""),"",--(AA1931&lt;&gt;AB1931))</x:f>
      </x:c>
      <x:c r="AE1931" t="str">
        <x:f>IF(OR(AA1931="",AB1931=""),"PENDING_HUMAN",IF(AA1931=AB1931,AA1931,IF(AD1931&lt;&gt;"",AD1931,"PENDING_HUMAN")))</x:f>
        <x:v>PENDING_HUMAN</x:v>
      </x:c>
      <x:c r="AF1931" t="n">
        <x:f>--AND(A1931&lt;&gt;"",AA1931&lt;&gt;"",AB1931&lt;&gt;"",OR(AA1931=AB1931,AD1931&lt;&gt;""),IF(AE1931="HALLUCINATION",U1931&lt;&gt;"",TRUE))</x:f>
        <x:v>0</x:v>
      </x:c>
      <x:c r="AG1931" t="n">
        <x:f>--AND(N1931=1,AF1931=1,OR(AE1931="SUPPORTED",AE1931="HALLUCINATION"))</x:f>
        <x:v>0</x:v>
      </x:c>
      <x:c r="AH1931" t="n">
        <x:f>--AND(AG1931=1,AE1931="HALLUCINATION")</x:f>
        <x:v>0</x:v>
      </x:c>
      <x:c r="AI1931" t="n">
        <x:f>--AND(Q1931=1,AF1931=1,AE1931="HALLUCINATION")</x:f>
        <x:v>0</x:v>
      </x:c>
      <x:c r="AJ1931" t="n">
        <x:f>--AND(AI1931=1,R1931=1,S1931=1)</x:f>
        <x:v>0</x:v>
      </x:c>
    </x:row>
    <x:row r="1932">
      <x:c r="A1932" s="28"/>
      <x:c r="B1932" s="28"/>
      <x:c r="C1932" s="28"/>
      <x:c r="D1932" s="28"/>
      <x:c r="E1932" s="28"/>
      <x:c r="F1932" s="28"/>
      <x:c r="G1932" s="28"/>
      <x:c r="H1932" s="28"/>
      <x:c r="I1932" s="28"/>
      <x:c r="J1932" s="28"/>
      <x:c r="K1932" s="28"/>
      <x:c r="L1932" s="28"/>
      <x:c r="M1932" s="28"/>
      <x:c r="N1932" s="28"/>
      <x:c r="O1932" s="28"/>
      <x:c r="P1932" s="28"/>
      <x:c r="Q1932" s="28"/>
      <x:c r="R1932" s="28"/>
      <x:c r="S1932" s="28"/>
      <x:c r="T1932" s="28"/>
      <x:c r="U1932" s="28"/>
      <x:c r="V1932" s="28"/>
      <x:c r="W1932" s="43" t="n">
        <x:f>--AND(N1932=1,OR(O1932="SUPPORTED",O1932="HALLUCINATION"))</x:f>
        <x:v>0</x:v>
      </x:c>
      <x:c r="X1932" s="43" t="n">
        <x:f>--AND(W1932=1,O1932="HALLUCINATION")</x:f>
        <x:v>0</x:v>
      </x:c>
      <x:c r="Y1932" s="43" t="n">
        <x:f>--AND(Q1932=1,O1932="HALLUCINATION")</x:f>
        <x:v>0</x:v>
      </x:c>
      <x:c r="Z1932" s="43" t="n">
        <x:f>--AND(Y1932=1,R1932=1,S1932=1)</x:f>
        <x:v>0</x:v>
      </x:c>
      <x:c r="AC1932" t="str">
        <x:f>IF(OR(AA1932="",AB1932=""),"",--(AA1932&lt;&gt;AB1932))</x:f>
      </x:c>
      <x:c r="AE1932" t="str">
        <x:f>IF(OR(AA1932="",AB1932=""),"PENDING_HUMAN",IF(AA1932=AB1932,AA1932,IF(AD1932&lt;&gt;"",AD1932,"PENDING_HUMAN")))</x:f>
        <x:v>PENDING_HUMAN</x:v>
      </x:c>
      <x:c r="AF1932" t="n">
        <x:f>--AND(A1932&lt;&gt;"",AA1932&lt;&gt;"",AB1932&lt;&gt;"",OR(AA1932=AB1932,AD1932&lt;&gt;""),IF(AE1932="HALLUCINATION",U1932&lt;&gt;"",TRUE))</x:f>
        <x:v>0</x:v>
      </x:c>
      <x:c r="AG1932" t="n">
        <x:f>--AND(N1932=1,AF1932=1,OR(AE1932="SUPPORTED",AE1932="HALLUCINATION"))</x:f>
        <x:v>0</x:v>
      </x:c>
      <x:c r="AH1932" t="n">
        <x:f>--AND(AG1932=1,AE1932="HALLUCINATION")</x:f>
        <x:v>0</x:v>
      </x:c>
      <x:c r="AI1932" t="n">
        <x:f>--AND(Q1932=1,AF1932=1,AE1932="HALLUCINATION")</x:f>
        <x:v>0</x:v>
      </x:c>
      <x:c r="AJ1932" t="n">
        <x:f>--AND(AI1932=1,R1932=1,S1932=1)</x:f>
        <x:v>0</x:v>
      </x:c>
    </x:row>
    <x:row r="1933">
      <x:c r="A1933" s="28"/>
      <x:c r="B1933" s="28"/>
      <x:c r="C1933" s="28"/>
      <x:c r="D1933" s="28"/>
      <x:c r="E1933" s="28"/>
      <x:c r="F1933" s="28"/>
      <x:c r="G1933" s="28"/>
      <x:c r="H1933" s="28"/>
      <x:c r="I1933" s="28"/>
      <x:c r="J1933" s="28"/>
      <x:c r="K1933" s="28"/>
      <x:c r="L1933" s="28"/>
      <x:c r="M1933" s="28"/>
      <x:c r="N1933" s="28"/>
      <x:c r="O1933" s="28"/>
      <x:c r="P1933" s="28"/>
      <x:c r="Q1933" s="28"/>
      <x:c r="R1933" s="28"/>
      <x:c r="S1933" s="28"/>
      <x:c r="T1933" s="28"/>
      <x:c r="U1933" s="28"/>
      <x:c r="V1933" s="28"/>
      <x:c r="W1933" s="43" t="n">
        <x:f>--AND(N1933=1,OR(O1933="SUPPORTED",O1933="HALLUCINATION"))</x:f>
        <x:v>0</x:v>
      </x:c>
      <x:c r="X1933" s="43" t="n">
        <x:f>--AND(W1933=1,O1933="HALLUCINATION")</x:f>
        <x:v>0</x:v>
      </x:c>
      <x:c r="Y1933" s="43" t="n">
        <x:f>--AND(Q1933=1,O1933="HALLUCINATION")</x:f>
        <x:v>0</x:v>
      </x:c>
      <x:c r="Z1933" s="43" t="n">
        <x:f>--AND(Y1933=1,R1933=1,S1933=1)</x:f>
        <x:v>0</x:v>
      </x:c>
      <x:c r="AC1933" t="str">
        <x:f>IF(OR(AA1933="",AB1933=""),"",--(AA1933&lt;&gt;AB1933))</x:f>
      </x:c>
      <x:c r="AE1933" t="str">
        <x:f>IF(OR(AA1933="",AB1933=""),"PENDING_HUMAN",IF(AA1933=AB1933,AA1933,IF(AD1933&lt;&gt;"",AD1933,"PENDING_HUMAN")))</x:f>
        <x:v>PENDING_HUMAN</x:v>
      </x:c>
      <x:c r="AF1933" t="n">
        <x:f>--AND(A1933&lt;&gt;"",AA1933&lt;&gt;"",AB1933&lt;&gt;"",OR(AA1933=AB1933,AD1933&lt;&gt;""),IF(AE1933="HALLUCINATION",U1933&lt;&gt;"",TRUE))</x:f>
        <x:v>0</x:v>
      </x:c>
      <x:c r="AG1933" t="n">
        <x:f>--AND(N1933=1,AF1933=1,OR(AE1933="SUPPORTED",AE1933="HALLUCINATION"))</x:f>
        <x:v>0</x:v>
      </x:c>
      <x:c r="AH1933" t="n">
        <x:f>--AND(AG1933=1,AE1933="HALLUCINATION")</x:f>
        <x:v>0</x:v>
      </x:c>
      <x:c r="AI1933" t="n">
        <x:f>--AND(Q1933=1,AF1933=1,AE1933="HALLUCINATION")</x:f>
        <x:v>0</x:v>
      </x:c>
      <x:c r="AJ1933" t="n">
        <x:f>--AND(AI1933=1,R1933=1,S1933=1)</x:f>
        <x:v>0</x:v>
      </x:c>
    </x:row>
    <x:row r="1934">
      <x:c r="A1934" s="28"/>
      <x:c r="B1934" s="28"/>
      <x:c r="C1934" s="28"/>
      <x:c r="D1934" s="28"/>
      <x:c r="E1934" s="28"/>
      <x:c r="F1934" s="28"/>
      <x:c r="G1934" s="28"/>
      <x:c r="H1934" s="28"/>
      <x:c r="I1934" s="28"/>
      <x:c r="J1934" s="28"/>
      <x:c r="K1934" s="28"/>
      <x:c r="L1934" s="28"/>
      <x:c r="M1934" s="28"/>
      <x:c r="N1934" s="28"/>
      <x:c r="O1934" s="28"/>
      <x:c r="P1934" s="28"/>
      <x:c r="Q1934" s="28"/>
      <x:c r="R1934" s="28"/>
      <x:c r="S1934" s="28"/>
      <x:c r="T1934" s="28"/>
      <x:c r="U1934" s="28"/>
      <x:c r="V1934" s="28"/>
      <x:c r="W1934" s="43" t="n">
        <x:f>--AND(N1934=1,OR(O1934="SUPPORTED",O1934="HALLUCINATION"))</x:f>
        <x:v>0</x:v>
      </x:c>
      <x:c r="X1934" s="43" t="n">
        <x:f>--AND(W1934=1,O1934="HALLUCINATION")</x:f>
        <x:v>0</x:v>
      </x:c>
      <x:c r="Y1934" s="43" t="n">
        <x:f>--AND(Q1934=1,O1934="HALLUCINATION")</x:f>
        <x:v>0</x:v>
      </x:c>
      <x:c r="Z1934" s="43" t="n">
        <x:f>--AND(Y1934=1,R1934=1,S1934=1)</x:f>
        <x:v>0</x:v>
      </x:c>
      <x:c r="AC1934" t="str">
        <x:f>IF(OR(AA1934="",AB1934=""),"",--(AA1934&lt;&gt;AB1934))</x:f>
      </x:c>
      <x:c r="AE1934" t="str">
        <x:f>IF(OR(AA1934="",AB1934=""),"PENDING_HUMAN",IF(AA1934=AB1934,AA1934,IF(AD1934&lt;&gt;"",AD1934,"PENDING_HUMAN")))</x:f>
        <x:v>PENDING_HUMAN</x:v>
      </x:c>
      <x:c r="AF1934" t="n">
        <x:f>--AND(A1934&lt;&gt;"",AA1934&lt;&gt;"",AB1934&lt;&gt;"",OR(AA1934=AB1934,AD1934&lt;&gt;""),IF(AE1934="HALLUCINATION",U1934&lt;&gt;"",TRUE))</x:f>
        <x:v>0</x:v>
      </x:c>
      <x:c r="AG1934" t="n">
        <x:f>--AND(N1934=1,AF1934=1,OR(AE1934="SUPPORTED",AE1934="HALLUCINATION"))</x:f>
        <x:v>0</x:v>
      </x:c>
      <x:c r="AH1934" t="n">
        <x:f>--AND(AG1934=1,AE1934="HALLUCINATION")</x:f>
        <x:v>0</x:v>
      </x:c>
      <x:c r="AI1934" t="n">
        <x:f>--AND(Q1934=1,AF1934=1,AE1934="HALLUCINATION")</x:f>
        <x:v>0</x:v>
      </x:c>
      <x:c r="AJ1934" t="n">
        <x:f>--AND(AI1934=1,R1934=1,S1934=1)</x:f>
        <x:v>0</x:v>
      </x:c>
    </x:row>
    <x:row r="1935">
      <x:c r="A1935" s="28"/>
      <x:c r="B1935" s="28"/>
      <x:c r="C1935" s="28"/>
      <x:c r="D1935" s="28"/>
      <x:c r="E1935" s="28"/>
      <x:c r="F1935" s="28"/>
      <x:c r="G1935" s="28"/>
      <x:c r="H1935" s="28"/>
      <x:c r="I1935" s="28"/>
      <x:c r="J1935" s="28"/>
      <x:c r="K1935" s="28"/>
      <x:c r="L1935" s="28"/>
      <x:c r="M1935" s="28"/>
      <x:c r="N1935" s="28"/>
      <x:c r="O1935" s="28"/>
      <x:c r="P1935" s="28"/>
      <x:c r="Q1935" s="28"/>
      <x:c r="R1935" s="28"/>
      <x:c r="S1935" s="28"/>
      <x:c r="T1935" s="28"/>
      <x:c r="U1935" s="28"/>
      <x:c r="V1935" s="28"/>
      <x:c r="W1935" s="43" t="n">
        <x:f>--AND(N1935=1,OR(O1935="SUPPORTED",O1935="HALLUCINATION"))</x:f>
        <x:v>0</x:v>
      </x:c>
      <x:c r="X1935" s="43" t="n">
        <x:f>--AND(W1935=1,O1935="HALLUCINATION")</x:f>
        <x:v>0</x:v>
      </x:c>
      <x:c r="Y1935" s="43" t="n">
        <x:f>--AND(Q1935=1,O1935="HALLUCINATION")</x:f>
        <x:v>0</x:v>
      </x:c>
      <x:c r="Z1935" s="43" t="n">
        <x:f>--AND(Y1935=1,R1935=1,S1935=1)</x:f>
        <x:v>0</x:v>
      </x:c>
      <x:c r="AC1935" t="str">
        <x:f>IF(OR(AA1935="",AB1935=""),"",--(AA1935&lt;&gt;AB1935))</x:f>
      </x:c>
      <x:c r="AE1935" t="str">
        <x:f>IF(OR(AA1935="",AB1935=""),"PENDING_HUMAN",IF(AA1935=AB1935,AA1935,IF(AD1935&lt;&gt;"",AD1935,"PENDING_HUMAN")))</x:f>
        <x:v>PENDING_HUMAN</x:v>
      </x:c>
      <x:c r="AF1935" t="n">
        <x:f>--AND(A1935&lt;&gt;"",AA1935&lt;&gt;"",AB1935&lt;&gt;"",OR(AA1935=AB1935,AD1935&lt;&gt;""),IF(AE1935="HALLUCINATION",U1935&lt;&gt;"",TRUE))</x:f>
        <x:v>0</x:v>
      </x:c>
      <x:c r="AG1935" t="n">
        <x:f>--AND(N1935=1,AF1935=1,OR(AE1935="SUPPORTED",AE1935="HALLUCINATION"))</x:f>
        <x:v>0</x:v>
      </x:c>
      <x:c r="AH1935" t="n">
        <x:f>--AND(AG1935=1,AE1935="HALLUCINATION")</x:f>
        <x:v>0</x:v>
      </x:c>
      <x:c r="AI1935" t="n">
        <x:f>--AND(Q1935=1,AF1935=1,AE1935="HALLUCINATION")</x:f>
        <x:v>0</x:v>
      </x:c>
      <x:c r="AJ1935" t="n">
        <x:f>--AND(AI1935=1,R1935=1,S1935=1)</x:f>
        <x:v>0</x:v>
      </x:c>
    </x:row>
    <x:row r="1936">
      <x:c r="A1936" s="28"/>
      <x:c r="B1936" s="28"/>
      <x:c r="C1936" s="28"/>
      <x:c r="D1936" s="28"/>
      <x:c r="E1936" s="28"/>
      <x:c r="F1936" s="28"/>
      <x:c r="G1936" s="28"/>
      <x:c r="H1936" s="28"/>
      <x:c r="I1936" s="28"/>
      <x:c r="J1936" s="28"/>
      <x:c r="K1936" s="28"/>
      <x:c r="L1936" s="28"/>
      <x:c r="M1936" s="28"/>
      <x:c r="N1936" s="28"/>
      <x:c r="O1936" s="28"/>
      <x:c r="P1936" s="28"/>
      <x:c r="Q1936" s="28"/>
      <x:c r="R1936" s="28"/>
      <x:c r="S1936" s="28"/>
      <x:c r="T1936" s="28"/>
      <x:c r="U1936" s="28"/>
      <x:c r="V1936" s="28"/>
      <x:c r="W1936" s="43" t="n">
        <x:f>--AND(N1936=1,OR(O1936="SUPPORTED",O1936="HALLUCINATION"))</x:f>
        <x:v>0</x:v>
      </x:c>
      <x:c r="X1936" s="43" t="n">
        <x:f>--AND(W1936=1,O1936="HALLUCINATION")</x:f>
        <x:v>0</x:v>
      </x:c>
      <x:c r="Y1936" s="43" t="n">
        <x:f>--AND(Q1936=1,O1936="HALLUCINATION")</x:f>
        <x:v>0</x:v>
      </x:c>
      <x:c r="Z1936" s="43" t="n">
        <x:f>--AND(Y1936=1,R1936=1,S1936=1)</x:f>
        <x:v>0</x:v>
      </x:c>
      <x:c r="AC1936" t="str">
        <x:f>IF(OR(AA1936="",AB1936=""),"",--(AA1936&lt;&gt;AB1936))</x:f>
      </x:c>
      <x:c r="AE1936" t="str">
        <x:f>IF(OR(AA1936="",AB1936=""),"PENDING_HUMAN",IF(AA1936=AB1936,AA1936,IF(AD1936&lt;&gt;"",AD1936,"PENDING_HUMAN")))</x:f>
        <x:v>PENDING_HUMAN</x:v>
      </x:c>
      <x:c r="AF1936" t="n">
        <x:f>--AND(A1936&lt;&gt;"",AA1936&lt;&gt;"",AB1936&lt;&gt;"",OR(AA1936=AB1936,AD1936&lt;&gt;""),IF(AE1936="HALLUCINATION",U1936&lt;&gt;"",TRUE))</x:f>
        <x:v>0</x:v>
      </x:c>
      <x:c r="AG1936" t="n">
        <x:f>--AND(N1936=1,AF1936=1,OR(AE1936="SUPPORTED",AE1936="HALLUCINATION"))</x:f>
        <x:v>0</x:v>
      </x:c>
      <x:c r="AH1936" t="n">
        <x:f>--AND(AG1936=1,AE1936="HALLUCINATION")</x:f>
        <x:v>0</x:v>
      </x:c>
      <x:c r="AI1936" t="n">
        <x:f>--AND(Q1936=1,AF1936=1,AE1936="HALLUCINATION")</x:f>
        <x:v>0</x:v>
      </x:c>
      <x:c r="AJ1936" t="n">
        <x:f>--AND(AI1936=1,R1936=1,S1936=1)</x:f>
        <x:v>0</x:v>
      </x:c>
    </x:row>
    <x:row r="1937">
      <x:c r="A1937" s="28"/>
      <x:c r="B1937" s="28"/>
      <x:c r="C1937" s="28"/>
      <x:c r="D1937" s="28"/>
      <x:c r="E1937" s="28"/>
      <x:c r="F1937" s="28"/>
      <x:c r="G1937" s="28"/>
      <x:c r="H1937" s="28"/>
      <x:c r="I1937" s="28"/>
      <x:c r="J1937" s="28"/>
      <x:c r="K1937" s="28"/>
      <x:c r="L1937" s="28"/>
      <x:c r="M1937" s="28"/>
      <x:c r="N1937" s="28"/>
      <x:c r="O1937" s="28"/>
      <x:c r="P1937" s="28"/>
      <x:c r="Q1937" s="28"/>
      <x:c r="R1937" s="28"/>
      <x:c r="S1937" s="28"/>
      <x:c r="T1937" s="28"/>
      <x:c r="U1937" s="28"/>
      <x:c r="V1937" s="28"/>
      <x:c r="W1937" s="43" t="n">
        <x:f>--AND(N1937=1,OR(O1937="SUPPORTED",O1937="HALLUCINATION"))</x:f>
        <x:v>0</x:v>
      </x:c>
      <x:c r="X1937" s="43" t="n">
        <x:f>--AND(W1937=1,O1937="HALLUCINATION")</x:f>
        <x:v>0</x:v>
      </x:c>
      <x:c r="Y1937" s="43" t="n">
        <x:f>--AND(Q1937=1,O1937="HALLUCINATION")</x:f>
        <x:v>0</x:v>
      </x:c>
      <x:c r="Z1937" s="43" t="n">
        <x:f>--AND(Y1937=1,R1937=1,S1937=1)</x:f>
        <x:v>0</x:v>
      </x:c>
      <x:c r="AC1937" t="str">
        <x:f>IF(OR(AA1937="",AB1937=""),"",--(AA1937&lt;&gt;AB1937))</x:f>
      </x:c>
      <x:c r="AE1937" t="str">
        <x:f>IF(OR(AA1937="",AB1937=""),"PENDING_HUMAN",IF(AA1937=AB1937,AA1937,IF(AD1937&lt;&gt;"",AD1937,"PENDING_HUMAN")))</x:f>
        <x:v>PENDING_HUMAN</x:v>
      </x:c>
      <x:c r="AF1937" t="n">
        <x:f>--AND(A1937&lt;&gt;"",AA1937&lt;&gt;"",AB1937&lt;&gt;"",OR(AA1937=AB1937,AD1937&lt;&gt;""),IF(AE1937="HALLUCINATION",U1937&lt;&gt;"",TRUE))</x:f>
        <x:v>0</x:v>
      </x:c>
      <x:c r="AG1937" t="n">
        <x:f>--AND(N1937=1,AF1937=1,OR(AE1937="SUPPORTED",AE1937="HALLUCINATION"))</x:f>
        <x:v>0</x:v>
      </x:c>
      <x:c r="AH1937" t="n">
        <x:f>--AND(AG1937=1,AE1937="HALLUCINATION")</x:f>
        <x:v>0</x:v>
      </x:c>
      <x:c r="AI1937" t="n">
        <x:f>--AND(Q1937=1,AF1937=1,AE1937="HALLUCINATION")</x:f>
        <x:v>0</x:v>
      </x:c>
      <x:c r="AJ1937" t="n">
        <x:f>--AND(AI1937=1,R1937=1,S1937=1)</x:f>
        <x:v>0</x:v>
      </x:c>
    </x:row>
    <x:row r="1938">
      <x:c r="A1938" s="28"/>
      <x:c r="B1938" s="28"/>
      <x:c r="C1938" s="28"/>
      <x:c r="D1938" s="28"/>
      <x:c r="E1938" s="28"/>
      <x:c r="F1938" s="28"/>
      <x:c r="G1938" s="28"/>
      <x:c r="H1938" s="28"/>
      <x:c r="I1938" s="28"/>
      <x:c r="J1938" s="28"/>
      <x:c r="K1938" s="28"/>
      <x:c r="L1938" s="28"/>
      <x:c r="M1938" s="28"/>
      <x:c r="N1938" s="28"/>
      <x:c r="O1938" s="28"/>
      <x:c r="P1938" s="28"/>
      <x:c r="Q1938" s="28"/>
      <x:c r="R1938" s="28"/>
      <x:c r="S1938" s="28"/>
      <x:c r="T1938" s="28"/>
      <x:c r="U1938" s="28"/>
      <x:c r="V1938" s="28"/>
      <x:c r="W1938" s="43" t="n">
        <x:f>--AND(N1938=1,OR(O1938="SUPPORTED",O1938="HALLUCINATION"))</x:f>
        <x:v>0</x:v>
      </x:c>
      <x:c r="X1938" s="43" t="n">
        <x:f>--AND(W1938=1,O1938="HALLUCINATION")</x:f>
        <x:v>0</x:v>
      </x:c>
      <x:c r="Y1938" s="43" t="n">
        <x:f>--AND(Q1938=1,O1938="HALLUCINATION")</x:f>
        <x:v>0</x:v>
      </x:c>
      <x:c r="Z1938" s="43" t="n">
        <x:f>--AND(Y1938=1,R1938=1,S1938=1)</x:f>
        <x:v>0</x:v>
      </x:c>
      <x:c r="AC1938" t="str">
        <x:f>IF(OR(AA1938="",AB1938=""),"",--(AA1938&lt;&gt;AB1938))</x:f>
      </x:c>
      <x:c r="AE1938" t="str">
        <x:f>IF(OR(AA1938="",AB1938=""),"PENDING_HUMAN",IF(AA1938=AB1938,AA1938,IF(AD1938&lt;&gt;"",AD1938,"PENDING_HUMAN")))</x:f>
        <x:v>PENDING_HUMAN</x:v>
      </x:c>
      <x:c r="AF1938" t="n">
        <x:f>--AND(A1938&lt;&gt;"",AA1938&lt;&gt;"",AB1938&lt;&gt;"",OR(AA1938=AB1938,AD1938&lt;&gt;""),IF(AE1938="HALLUCINATION",U1938&lt;&gt;"",TRUE))</x:f>
        <x:v>0</x:v>
      </x:c>
      <x:c r="AG1938" t="n">
        <x:f>--AND(N1938=1,AF1938=1,OR(AE1938="SUPPORTED",AE1938="HALLUCINATION"))</x:f>
        <x:v>0</x:v>
      </x:c>
      <x:c r="AH1938" t="n">
        <x:f>--AND(AG1938=1,AE1938="HALLUCINATION")</x:f>
        <x:v>0</x:v>
      </x:c>
      <x:c r="AI1938" t="n">
        <x:f>--AND(Q1938=1,AF1938=1,AE1938="HALLUCINATION")</x:f>
        <x:v>0</x:v>
      </x:c>
      <x:c r="AJ1938" t="n">
        <x:f>--AND(AI1938=1,R1938=1,S1938=1)</x:f>
        <x:v>0</x:v>
      </x:c>
    </x:row>
    <x:row r="1939">
      <x:c r="A1939" s="28"/>
      <x:c r="B1939" s="28"/>
      <x:c r="C1939" s="28"/>
      <x:c r="D1939" s="28"/>
      <x:c r="E1939" s="28"/>
      <x:c r="F1939" s="28"/>
      <x:c r="G1939" s="28"/>
      <x:c r="H1939" s="28"/>
      <x:c r="I1939" s="28"/>
      <x:c r="J1939" s="28"/>
      <x:c r="K1939" s="28"/>
      <x:c r="L1939" s="28"/>
      <x:c r="M1939" s="28"/>
      <x:c r="N1939" s="28"/>
      <x:c r="O1939" s="28"/>
      <x:c r="P1939" s="28"/>
      <x:c r="Q1939" s="28"/>
      <x:c r="R1939" s="28"/>
      <x:c r="S1939" s="28"/>
      <x:c r="T1939" s="28"/>
      <x:c r="U1939" s="28"/>
      <x:c r="V1939" s="28"/>
      <x:c r="W1939" s="43" t="n">
        <x:f>--AND(N1939=1,OR(O1939="SUPPORTED",O1939="HALLUCINATION"))</x:f>
        <x:v>0</x:v>
      </x:c>
      <x:c r="X1939" s="43" t="n">
        <x:f>--AND(W1939=1,O1939="HALLUCINATION")</x:f>
        <x:v>0</x:v>
      </x:c>
      <x:c r="Y1939" s="43" t="n">
        <x:f>--AND(Q1939=1,O1939="HALLUCINATION")</x:f>
        <x:v>0</x:v>
      </x:c>
      <x:c r="Z1939" s="43" t="n">
        <x:f>--AND(Y1939=1,R1939=1,S1939=1)</x:f>
        <x:v>0</x:v>
      </x:c>
      <x:c r="AC1939" t="str">
        <x:f>IF(OR(AA1939="",AB1939=""),"",--(AA1939&lt;&gt;AB1939))</x:f>
      </x:c>
      <x:c r="AE1939" t="str">
        <x:f>IF(OR(AA1939="",AB1939=""),"PENDING_HUMAN",IF(AA1939=AB1939,AA1939,IF(AD1939&lt;&gt;"",AD1939,"PENDING_HUMAN")))</x:f>
        <x:v>PENDING_HUMAN</x:v>
      </x:c>
      <x:c r="AF1939" t="n">
        <x:f>--AND(A1939&lt;&gt;"",AA1939&lt;&gt;"",AB1939&lt;&gt;"",OR(AA1939=AB1939,AD1939&lt;&gt;""),IF(AE1939="HALLUCINATION",U1939&lt;&gt;"",TRUE))</x:f>
        <x:v>0</x:v>
      </x:c>
      <x:c r="AG1939" t="n">
        <x:f>--AND(N1939=1,AF1939=1,OR(AE1939="SUPPORTED",AE1939="HALLUCINATION"))</x:f>
        <x:v>0</x:v>
      </x:c>
      <x:c r="AH1939" t="n">
        <x:f>--AND(AG1939=1,AE1939="HALLUCINATION")</x:f>
        <x:v>0</x:v>
      </x:c>
      <x:c r="AI1939" t="n">
        <x:f>--AND(Q1939=1,AF1939=1,AE1939="HALLUCINATION")</x:f>
        <x:v>0</x:v>
      </x:c>
      <x:c r="AJ1939" t="n">
        <x:f>--AND(AI1939=1,R1939=1,S1939=1)</x:f>
        <x:v>0</x:v>
      </x:c>
    </x:row>
    <x:row r="1940">
      <x:c r="A1940" s="28"/>
      <x:c r="B1940" s="28"/>
      <x:c r="C1940" s="28"/>
      <x:c r="D1940" s="28"/>
      <x:c r="E1940" s="28"/>
      <x:c r="F1940" s="28"/>
      <x:c r="G1940" s="28"/>
      <x:c r="H1940" s="28"/>
      <x:c r="I1940" s="28"/>
      <x:c r="J1940" s="28"/>
      <x:c r="K1940" s="28"/>
      <x:c r="L1940" s="28"/>
      <x:c r="M1940" s="28"/>
      <x:c r="N1940" s="28"/>
      <x:c r="O1940" s="28"/>
      <x:c r="P1940" s="28"/>
      <x:c r="Q1940" s="28"/>
      <x:c r="R1940" s="28"/>
      <x:c r="S1940" s="28"/>
      <x:c r="T1940" s="28"/>
      <x:c r="U1940" s="28"/>
      <x:c r="V1940" s="28"/>
      <x:c r="W1940" s="43" t="n">
        <x:f>--AND(N1940=1,OR(O1940="SUPPORTED",O1940="HALLUCINATION"))</x:f>
        <x:v>0</x:v>
      </x:c>
      <x:c r="X1940" s="43" t="n">
        <x:f>--AND(W1940=1,O1940="HALLUCINATION")</x:f>
        <x:v>0</x:v>
      </x:c>
      <x:c r="Y1940" s="43" t="n">
        <x:f>--AND(Q1940=1,O1940="HALLUCINATION")</x:f>
        <x:v>0</x:v>
      </x:c>
      <x:c r="Z1940" s="43" t="n">
        <x:f>--AND(Y1940=1,R1940=1,S1940=1)</x:f>
        <x:v>0</x:v>
      </x:c>
      <x:c r="AC1940" t="str">
        <x:f>IF(OR(AA1940="",AB1940=""),"",--(AA1940&lt;&gt;AB1940))</x:f>
      </x:c>
      <x:c r="AE1940" t="str">
        <x:f>IF(OR(AA1940="",AB1940=""),"PENDING_HUMAN",IF(AA1940=AB1940,AA1940,IF(AD1940&lt;&gt;"",AD1940,"PENDING_HUMAN")))</x:f>
        <x:v>PENDING_HUMAN</x:v>
      </x:c>
      <x:c r="AF1940" t="n">
        <x:f>--AND(A1940&lt;&gt;"",AA1940&lt;&gt;"",AB1940&lt;&gt;"",OR(AA1940=AB1940,AD1940&lt;&gt;""),IF(AE1940="HALLUCINATION",U1940&lt;&gt;"",TRUE))</x:f>
        <x:v>0</x:v>
      </x:c>
      <x:c r="AG1940" t="n">
        <x:f>--AND(N1940=1,AF1940=1,OR(AE1940="SUPPORTED",AE1940="HALLUCINATION"))</x:f>
        <x:v>0</x:v>
      </x:c>
      <x:c r="AH1940" t="n">
        <x:f>--AND(AG1940=1,AE1940="HALLUCINATION")</x:f>
        <x:v>0</x:v>
      </x:c>
      <x:c r="AI1940" t="n">
        <x:f>--AND(Q1940=1,AF1940=1,AE1940="HALLUCINATION")</x:f>
        <x:v>0</x:v>
      </x:c>
      <x:c r="AJ1940" t="n">
        <x:f>--AND(AI1940=1,R1940=1,S1940=1)</x:f>
        <x:v>0</x:v>
      </x:c>
    </x:row>
    <x:row r="1941">
      <x:c r="A1941" s="28"/>
      <x:c r="B1941" s="28"/>
      <x:c r="C1941" s="28"/>
      <x:c r="D1941" s="28"/>
      <x:c r="E1941" s="28"/>
      <x:c r="F1941" s="28"/>
      <x:c r="G1941" s="28"/>
      <x:c r="H1941" s="28"/>
      <x:c r="I1941" s="28"/>
      <x:c r="J1941" s="28"/>
      <x:c r="K1941" s="28"/>
      <x:c r="L1941" s="28"/>
      <x:c r="M1941" s="28"/>
      <x:c r="N1941" s="28"/>
      <x:c r="O1941" s="28"/>
      <x:c r="P1941" s="28"/>
      <x:c r="Q1941" s="28"/>
      <x:c r="R1941" s="28"/>
      <x:c r="S1941" s="28"/>
      <x:c r="T1941" s="28"/>
      <x:c r="U1941" s="28"/>
      <x:c r="V1941" s="28"/>
      <x:c r="W1941" s="43" t="n">
        <x:f>--AND(N1941=1,OR(O1941="SUPPORTED",O1941="HALLUCINATION"))</x:f>
        <x:v>0</x:v>
      </x:c>
      <x:c r="X1941" s="43" t="n">
        <x:f>--AND(W1941=1,O1941="HALLUCINATION")</x:f>
        <x:v>0</x:v>
      </x:c>
      <x:c r="Y1941" s="43" t="n">
        <x:f>--AND(Q1941=1,O1941="HALLUCINATION")</x:f>
        <x:v>0</x:v>
      </x:c>
      <x:c r="Z1941" s="43" t="n">
        <x:f>--AND(Y1941=1,R1941=1,S1941=1)</x:f>
        <x:v>0</x:v>
      </x:c>
      <x:c r="AC1941" t="str">
        <x:f>IF(OR(AA1941="",AB1941=""),"",--(AA1941&lt;&gt;AB1941))</x:f>
      </x:c>
      <x:c r="AE1941" t="str">
        <x:f>IF(OR(AA1941="",AB1941=""),"PENDING_HUMAN",IF(AA1941=AB1941,AA1941,IF(AD1941&lt;&gt;"",AD1941,"PENDING_HUMAN")))</x:f>
        <x:v>PENDING_HUMAN</x:v>
      </x:c>
      <x:c r="AF1941" t="n">
        <x:f>--AND(A1941&lt;&gt;"",AA1941&lt;&gt;"",AB1941&lt;&gt;"",OR(AA1941=AB1941,AD1941&lt;&gt;""),IF(AE1941="HALLUCINATION",U1941&lt;&gt;"",TRUE))</x:f>
        <x:v>0</x:v>
      </x:c>
      <x:c r="AG1941" t="n">
        <x:f>--AND(N1941=1,AF1941=1,OR(AE1941="SUPPORTED",AE1941="HALLUCINATION"))</x:f>
        <x:v>0</x:v>
      </x:c>
      <x:c r="AH1941" t="n">
        <x:f>--AND(AG1941=1,AE1941="HALLUCINATION")</x:f>
        <x:v>0</x:v>
      </x:c>
      <x:c r="AI1941" t="n">
        <x:f>--AND(Q1941=1,AF1941=1,AE1941="HALLUCINATION")</x:f>
        <x:v>0</x:v>
      </x:c>
      <x:c r="AJ1941" t="n">
        <x:f>--AND(AI1941=1,R1941=1,S1941=1)</x:f>
        <x:v>0</x:v>
      </x:c>
    </x:row>
    <x:row r="1942">
      <x:c r="A1942" s="28"/>
      <x:c r="B1942" s="28"/>
      <x:c r="C1942" s="28"/>
      <x:c r="D1942" s="28"/>
      <x:c r="E1942" s="28"/>
      <x:c r="F1942" s="28"/>
      <x:c r="G1942" s="28"/>
      <x:c r="H1942" s="28"/>
      <x:c r="I1942" s="28"/>
      <x:c r="J1942" s="28"/>
      <x:c r="K1942" s="28"/>
      <x:c r="L1942" s="28"/>
      <x:c r="M1942" s="28"/>
      <x:c r="N1942" s="28"/>
      <x:c r="O1942" s="28"/>
      <x:c r="P1942" s="28"/>
      <x:c r="Q1942" s="28"/>
      <x:c r="R1942" s="28"/>
      <x:c r="S1942" s="28"/>
      <x:c r="T1942" s="28"/>
      <x:c r="U1942" s="28"/>
      <x:c r="V1942" s="28"/>
      <x:c r="W1942" s="43" t="n">
        <x:f>--AND(N1942=1,OR(O1942="SUPPORTED",O1942="HALLUCINATION"))</x:f>
        <x:v>0</x:v>
      </x:c>
      <x:c r="X1942" s="43" t="n">
        <x:f>--AND(W1942=1,O1942="HALLUCINATION")</x:f>
        <x:v>0</x:v>
      </x:c>
      <x:c r="Y1942" s="43" t="n">
        <x:f>--AND(Q1942=1,O1942="HALLUCINATION")</x:f>
        <x:v>0</x:v>
      </x:c>
      <x:c r="Z1942" s="43" t="n">
        <x:f>--AND(Y1942=1,R1942=1,S1942=1)</x:f>
        <x:v>0</x:v>
      </x:c>
      <x:c r="AC1942" t="str">
        <x:f>IF(OR(AA1942="",AB1942=""),"",--(AA1942&lt;&gt;AB1942))</x:f>
      </x:c>
      <x:c r="AE1942" t="str">
        <x:f>IF(OR(AA1942="",AB1942=""),"PENDING_HUMAN",IF(AA1942=AB1942,AA1942,IF(AD1942&lt;&gt;"",AD1942,"PENDING_HUMAN")))</x:f>
        <x:v>PENDING_HUMAN</x:v>
      </x:c>
      <x:c r="AF1942" t="n">
        <x:f>--AND(A1942&lt;&gt;"",AA1942&lt;&gt;"",AB1942&lt;&gt;"",OR(AA1942=AB1942,AD1942&lt;&gt;""),IF(AE1942="HALLUCINATION",U1942&lt;&gt;"",TRUE))</x:f>
        <x:v>0</x:v>
      </x:c>
      <x:c r="AG1942" t="n">
        <x:f>--AND(N1942=1,AF1942=1,OR(AE1942="SUPPORTED",AE1942="HALLUCINATION"))</x:f>
        <x:v>0</x:v>
      </x:c>
      <x:c r="AH1942" t="n">
        <x:f>--AND(AG1942=1,AE1942="HALLUCINATION")</x:f>
        <x:v>0</x:v>
      </x:c>
      <x:c r="AI1942" t="n">
        <x:f>--AND(Q1942=1,AF1942=1,AE1942="HALLUCINATION")</x:f>
        <x:v>0</x:v>
      </x:c>
      <x:c r="AJ1942" t="n">
        <x:f>--AND(AI1942=1,R1942=1,S1942=1)</x:f>
        <x:v>0</x:v>
      </x:c>
    </x:row>
    <x:row r="1943">
      <x:c r="A1943" s="28"/>
      <x:c r="B1943" s="28"/>
      <x:c r="C1943" s="28"/>
      <x:c r="D1943" s="28"/>
      <x:c r="E1943" s="28"/>
      <x:c r="F1943" s="28"/>
      <x:c r="G1943" s="28"/>
      <x:c r="H1943" s="28"/>
      <x:c r="I1943" s="28"/>
      <x:c r="J1943" s="28"/>
      <x:c r="K1943" s="28"/>
      <x:c r="L1943" s="28"/>
      <x:c r="M1943" s="28"/>
      <x:c r="N1943" s="28"/>
      <x:c r="O1943" s="28"/>
      <x:c r="P1943" s="28"/>
      <x:c r="Q1943" s="28"/>
      <x:c r="R1943" s="28"/>
      <x:c r="S1943" s="28"/>
      <x:c r="T1943" s="28"/>
      <x:c r="U1943" s="28"/>
      <x:c r="V1943" s="28"/>
      <x:c r="W1943" s="43" t="n">
        <x:f>--AND(N1943=1,OR(O1943="SUPPORTED",O1943="HALLUCINATION"))</x:f>
        <x:v>0</x:v>
      </x:c>
      <x:c r="X1943" s="43" t="n">
        <x:f>--AND(W1943=1,O1943="HALLUCINATION")</x:f>
        <x:v>0</x:v>
      </x:c>
      <x:c r="Y1943" s="43" t="n">
        <x:f>--AND(Q1943=1,O1943="HALLUCINATION")</x:f>
        <x:v>0</x:v>
      </x:c>
      <x:c r="Z1943" s="43" t="n">
        <x:f>--AND(Y1943=1,R1943=1,S1943=1)</x:f>
        <x:v>0</x:v>
      </x:c>
      <x:c r="AC1943" t="str">
        <x:f>IF(OR(AA1943="",AB1943=""),"",--(AA1943&lt;&gt;AB1943))</x:f>
      </x:c>
      <x:c r="AE1943" t="str">
        <x:f>IF(OR(AA1943="",AB1943=""),"PENDING_HUMAN",IF(AA1943=AB1943,AA1943,IF(AD1943&lt;&gt;"",AD1943,"PENDING_HUMAN")))</x:f>
        <x:v>PENDING_HUMAN</x:v>
      </x:c>
      <x:c r="AF1943" t="n">
        <x:f>--AND(A1943&lt;&gt;"",AA1943&lt;&gt;"",AB1943&lt;&gt;"",OR(AA1943=AB1943,AD1943&lt;&gt;""),IF(AE1943="HALLUCINATION",U1943&lt;&gt;"",TRUE))</x:f>
        <x:v>0</x:v>
      </x:c>
      <x:c r="AG1943" t="n">
        <x:f>--AND(N1943=1,AF1943=1,OR(AE1943="SUPPORTED",AE1943="HALLUCINATION"))</x:f>
        <x:v>0</x:v>
      </x:c>
      <x:c r="AH1943" t="n">
        <x:f>--AND(AG1943=1,AE1943="HALLUCINATION")</x:f>
        <x:v>0</x:v>
      </x:c>
      <x:c r="AI1943" t="n">
        <x:f>--AND(Q1943=1,AF1943=1,AE1943="HALLUCINATION")</x:f>
        <x:v>0</x:v>
      </x:c>
      <x:c r="AJ1943" t="n">
        <x:f>--AND(AI1943=1,R1943=1,S1943=1)</x:f>
        <x:v>0</x:v>
      </x:c>
    </x:row>
    <x:row r="1944">
      <x:c r="A1944" s="28"/>
      <x:c r="B1944" s="28"/>
      <x:c r="C1944" s="28"/>
      <x:c r="D1944" s="28"/>
      <x:c r="E1944" s="28"/>
      <x:c r="F1944" s="28"/>
      <x:c r="G1944" s="28"/>
      <x:c r="H1944" s="28"/>
      <x:c r="I1944" s="28"/>
      <x:c r="J1944" s="28"/>
      <x:c r="K1944" s="28"/>
      <x:c r="L1944" s="28"/>
      <x:c r="M1944" s="28"/>
      <x:c r="N1944" s="28"/>
      <x:c r="O1944" s="28"/>
      <x:c r="P1944" s="28"/>
      <x:c r="Q1944" s="28"/>
      <x:c r="R1944" s="28"/>
      <x:c r="S1944" s="28"/>
      <x:c r="T1944" s="28"/>
      <x:c r="U1944" s="28"/>
      <x:c r="V1944" s="28"/>
      <x:c r="W1944" s="43" t="n">
        <x:f>--AND(N1944=1,OR(O1944="SUPPORTED",O1944="HALLUCINATION"))</x:f>
        <x:v>0</x:v>
      </x:c>
      <x:c r="X1944" s="43" t="n">
        <x:f>--AND(W1944=1,O1944="HALLUCINATION")</x:f>
        <x:v>0</x:v>
      </x:c>
      <x:c r="Y1944" s="43" t="n">
        <x:f>--AND(Q1944=1,O1944="HALLUCINATION")</x:f>
        <x:v>0</x:v>
      </x:c>
      <x:c r="Z1944" s="43" t="n">
        <x:f>--AND(Y1944=1,R1944=1,S1944=1)</x:f>
        <x:v>0</x:v>
      </x:c>
      <x:c r="AC1944" t="str">
        <x:f>IF(OR(AA1944="",AB1944=""),"",--(AA1944&lt;&gt;AB1944))</x:f>
      </x:c>
      <x:c r="AE1944" t="str">
        <x:f>IF(OR(AA1944="",AB1944=""),"PENDING_HUMAN",IF(AA1944=AB1944,AA1944,IF(AD1944&lt;&gt;"",AD1944,"PENDING_HUMAN")))</x:f>
        <x:v>PENDING_HUMAN</x:v>
      </x:c>
      <x:c r="AF1944" t="n">
        <x:f>--AND(A1944&lt;&gt;"",AA1944&lt;&gt;"",AB1944&lt;&gt;"",OR(AA1944=AB1944,AD1944&lt;&gt;""),IF(AE1944="HALLUCINATION",U1944&lt;&gt;"",TRUE))</x:f>
        <x:v>0</x:v>
      </x:c>
      <x:c r="AG1944" t="n">
        <x:f>--AND(N1944=1,AF1944=1,OR(AE1944="SUPPORTED",AE1944="HALLUCINATION"))</x:f>
        <x:v>0</x:v>
      </x:c>
      <x:c r="AH1944" t="n">
        <x:f>--AND(AG1944=1,AE1944="HALLUCINATION")</x:f>
        <x:v>0</x:v>
      </x:c>
      <x:c r="AI1944" t="n">
        <x:f>--AND(Q1944=1,AF1944=1,AE1944="HALLUCINATION")</x:f>
        <x:v>0</x:v>
      </x:c>
      <x:c r="AJ1944" t="n">
        <x:f>--AND(AI1944=1,R1944=1,S1944=1)</x:f>
        <x:v>0</x:v>
      </x:c>
    </x:row>
    <x:row r="1945">
      <x:c r="A1945" s="28"/>
      <x:c r="B1945" s="28"/>
      <x:c r="C1945" s="28"/>
      <x:c r="D1945" s="28"/>
      <x:c r="E1945" s="28"/>
      <x:c r="F1945" s="28"/>
      <x:c r="G1945" s="28"/>
      <x:c r="H1945" s="28"/>
      <x:c r="I1945" s="28"/>
      <x:c r="J1945" s="28"/>
      <x:c r="K1945" s="28"/>
      <x:c r="L1945" s="28"/>
      <x:c r="M1945" s="28"/>
      <x:c r="N1945" s="28"/>
      <x:c r="O1945" s="28"/>
      <x:c r="P1945" s="28"/>
      <x:c r="Q1945" s="28"/>
      <x:c r="R1945" s="28"/>
      <x:c r="S1945" s="28"/>
      <x:c r="T1945" s="28"/>
      <x:c r="U1945" s="28"/>
      <x:c r="V1945" s="28"/>
      <x:c r="W1945" s="43" t="n">
        <x:f>--AND(N1945=1,OR(O1945="SUPPORTED",O1945="HALLUCINATION"))</x:f>
        <x:v>0</x:v>
      </x:c>
      <x:c r="X1945" s="43" t="n">
        <x:f>--AND(W1945=1,O1945="HALLUCINATION")</x:f>
        <x:v>0</x:v>
      </x:c>
      <x:c r="Y1945" s="43" t="n">
        <x:f>--AND(Q1945=1,O1945="HALLUCINATION")</x:f>
        <x:v>0</x:v>
      </x:c>
      <x:c r="Z1945" s="43" t="n">
        <x:f>--AND(Y1945=1,R1945=1,S1945=1)</x:f>
        <x:v>0</x:v>
      </x:c>
      <x:c r="AC1945" t="str">
        <x:f>IF(OR(AA1945="",AB1945=""),"",--(AA1945&lt;&gt;AB1945))</x:f>
      </x:c>
      <x:c r="AE1945" t="str">
        <x:f>IF(OR(AA1945="",AB1945=""),"PENDING_HUMAN",IF(AA1945=AB1945,AA1945,IF(AD1945&lt;&gt;"",AD1945,"PENDING_HUMAN")))</x:f>
        <x:v>PENDING_HUMAN</x:v>
      </x:c>
      <x:c r="AF1945" t="n">
        <x:f>--AND(A1945&lt;&gt;"",AA1945&lt;&gt;"",AB1945&lt;&gt;"",OR(AA1945=AB1945,AD1945&lt;&gt;""),IF(AE1945="HALLUCINATION",U1945&lt;&gt;"",TRUE))</x:f>
        <x:v>0</x:v>
      </x:c>
      <x:c r="AG1945" t="n">
        <x:f>--AND(N1945=1,AF1945=1,OR(AE1945="SUPPORTED",AE1945="HALLUCINATION"))</x:f>
        <x:v>0</x:v>
      </x:c>
      <x:c r="AH1945" t="n">
        <x:f>--AND(AG1945=1,AE1945="HALLUCINATION")</x:f>
        <x:v>0</x:v>
      </x:c>
      <x:c r="AI1945" t="n">
        <x:f>--AND(Q1945=1,AF1945=1,AE1945="HALLUCINATION")</x:f>
        <x:v>0</x:v>
      </x:c>
      <x:c r="AJ1945" t="n">
        <x:f>--AND(AI1945=1,R1945=1,S1945=1)</x:f>
        <x:v>0</x:v>
      </x:c>
    </x:row>
    <x:row r="1946">
      <x:c r="A1946" s="28"/>
      <x:c r="B1946" s="28"/>
      <x:c r="C1946" s="28"/>
      <x:c r="D1946" s="28"/>
      <x:c r="E1946" s="28"/>
      <x:c r="F1946" s="28"/>
      <x:c r="G1946" s="28"/>
      <x:c r="H1946" s="28"/>
      <x:c r="I1946" s="28"/>
      <x:c r="J1946" s="28"/>
      <x:c r="K1946" s="28"/>
      <x:c r="L1946" s="28"/>
      <x:c r="M1946" s="28"/>
      <x:c r="N1946" s="28"/>
      <x:c r="O1946" s="28"/>
      <x:c r="P1946" s="28"/>
      <x:c r="Q1946" s="28"/>
      <x:c r="R1946" s="28"/>
      <x:c r="S1946" s="28"/>
      <x:c r="T1946" s="28"/>
      <x:c r="U1946" s="28"/>
      <x:c r="V1946" s="28"/>
      <x:c r="W1946" s="43" t="n">
        <x:f>--AND(N1946=1,OR(O1946="SUPPORTED",O1946="HALLUCINATION"))</x:f>
        <x:v>0</x:v>
      </x:c>
      <x:c r="X1946" s="43" t="n">
        <x:f>--AND(W1946=1,O1946="HALLUCINATION")</x:f>
        <x:v>0</x:v>
      </x:c>
      <x:c r="Y1946" s="43" t="n">
        <x:f>--AND(Q1946=1,O1946="HALLUCINATION")</x:f>
        <x:v>0</x:v>
      </x:c>
      <x:c r="Z1946" s="43" t="n">
        <x:f>--AND(Y1946=1,R1946=1,S1946=1)</x:f>
        <x:v>0</x:v>
      </x:c>
      <x:c r="AC1946" t="str">
        <x:f>IF(OR(AA1946="",AB1946=""),"",--(AA1946&lt;&gt;AB1946))</x:f>
      </x:c>
      <x:c r="AE1946" t="str">
        <x:f>IF(OR(AA1946="",AB1946=""),"PENDING_HUMAN",IF(AA1946=AB1946,AA1946,IF(AD1946&lt;&gt;"",AD1946,"PENDING_HUMAN")))</x:f>
        <x:v>PENDING_HUMAN</x:v>
      </x:c>
      <x:c r="AF1946" t="n">
        <x:f>--AND(A1946&lt;&gt;"",AA1946&lt;&gt;"",AB1946&lt;&gt;"",OR(AA1946=AB1946,AD1946&lt;&gt;""),IF(AE1946="HALLUCINATION",U1946&lt;&gt;"",TRUE))</x:f>
        <x:v>0</x:v>
      </x:c>
      <x:c r="AG1946" t="n">
        <x:f>--AND(N1946=1,AF1946=1,OR(AE1946="SUPPORTED",AE1946="HALLUCINATION"))</x:f>
        <x:v>0</x:v>
      </x:c>
      <x:c r="AH1946" t="n">
        <x:f>--AND(AG1946=1,AE1946="HALLUCINATION")</x:f>
        <x:v>0</x:v>
      </x:c>
      <x:c r="AI1946" t="n">
        <x:f>--AND(Q1946=1,AF1946=1,AE1946="HALLUCINATION")</x:f>
        <x:v>0</x:v>
      </x:c>
      <x:c r="AJ1946" t="n">
        <x:f>--AND(AI1946=1,R1946=1,S1946=1)</x:f>
        <x:v>0</x:v>
      </x:c>
    </x:row>
    <x:row r="1947">
      <x:c r="A1947" s="28"/>
      <x:c r="B1947" s="28"/>
      <x:c r="C1947" s="28"/>
      <x:c r="D1947" s="28"/>
      <x:c r="E1947" s="28"/>
      <x:c r="F1947" s="28"/>
      <x:c r="G1947" s="28"/>
      <x:c r="H1947" s="28"/>
      <x:c r="I1947" s="28"/>
      <x:c r="J1947" s="28"/>
      <x:c r="K1947" s="28"/>
      <x:c r="L1947" s="28"/>
      <x:c r="M1947" s="28"/>
      <x:c r="N1947" s="28"/>
      <x:c r="O1947" s="28"/>
      <x:c r="P1947" s="28"/>
      <x:c r="Q1947" s="28"/>
      <x:c r="R1947" s="28"/>
      <x:c r="S1947" s="28"/>
      <x:c r="T1947" s="28"/>
      <x:c r="U1947" s="28"/>
      <x:c r="V1947" s="28"/>
      <x:c r="W1947" s="43" t="n">
        <x:f>--AND(N1947=1,OR(O1947="SUPPORTED",O1947="HALLUCINATION"))</x:f>
        <x:v>0</x:v>
      </x:c>
      <x:c r="X1947" s="43" t="n">
        <x:f>--AND(W1947=1,O1947="HALLUCINATION")</x:f>
        <x:v>0</x:v>
      </x:c>
      <x:c r="Y1947" s="43" t="n">
        <x:f>--AND(Q1947=1,O1947="HALLUCINATION")</x:f>
        <x:v>0</x:v>
      </x:c>
      <x:c r="Z1947" s="43" t="n">
        <x:f>--AND(Y1947=1,R1947=1,S1947=1)</x:f>
        <x:v>0</x:v>
      </x:c>
      <x:c r="AC1947" t="str">
        <x:f>IF(OR(AA1947="",AB1947=""),"",--(AA1947&lt;&gt;AB1947))</x:f>
      </x:c>
      <x:c r="AE1947" t="str">
        <x:f>IF(OR(AA1947="",AB1947=""),"PENDING_HUMAN",IF(AA1947=AB1947,AA1947,IF(AD1947&lt;&gt;"",AD1947,"PENDING_HUMAN")))</x:f>
        <x:v>PENDING_HUMAN</x:v>
      </x:c>
      <x:c r="AF1947" t="n">
        <x:f>--AND(A1947&lt;&gt;"",AA1947&lt;&gt;"",AB1947&lt;&gt;"",OR(AA1947=AB1947,AD1947&lt;&gt;""),IF(AE1947="HALLUCINATION",U1947&lt;&gt;"",TRUE))</x:f>
        <x:v>0</x:v>
      </x:c>
      <x:c r="AG1947" t="n">
        <x:f>--AND(N1947=1,AF1947=1,OR(AE1947="SUPPORTED",AE1947="HALLUCINATION"))</x:f>
        <x:v>0</x:v>
      </x:c>
      <x:c r="AH1947" t="n">
        <x:f>--AND(AG1947=1,AE1947="HALLUCINATION")</x:f>
        <x:v>0</x:v>
      </x:c>
      <x:c r="AI1947" t="n">
        <x:f>--AND(Q1947=1,AF1947=1,AE1947="HALLUCINATION")</x:f>
        <x:v>0</x:v>
      </x:c>
      <x:c r="AJ1947" t="n">
        <x:f>--AND(AI1947=1,R1947=1,S1947=1)</x:f>
        <x:v>0</x:v>
      </x:c>
    </x:row>
    <x:row r="1948">
      <x:c r="A1948" s="28"/>
      <x:c r="B1948" s="28"/>
      <x:c r="C1948" s="28"/>
      <x:c r="D1948" s="28"/>
      <x:c r="E1948" s="28"/>
      <x:c r="F1948" s="28"/>
      <x:c r="G1948" s="28"/>
      <x:c r="H1948" s="28"/>
      <x:c r="I1948" s="28"/>
      <x:c r="J1948" s="28"/>
      <x:c r="K1948" s="28"/>
      <x:c r="L1948" s="28"/>
      <x:c r="M1948" s="28"/>
      <x:c r="N1948" s="28"/>
      <x:c r="O1948" s="28"/>
      <x:c r="P1948" s="28"/>
      <x:c r="Q1948" s="28"/>
      <x:c r="R1948" s="28"/>
      <x:c r="S1948" s="28"/>
      <x:c r="T1948" s="28"/>
      <x:c r="U1948" s="28"/>
      <x:c r="V1948" s="28"/>
      <x:c r="W1948" s="43" t="n">
        <x:f>--AND(N1948=1,OR(O1948="SUPPORTED",O1948="HALLUCINATION"))</x:f>
        <x:v>0</x:v>
      </x:c>
      <x:c r="X1948" s="43" t="n">
        <x:f>--AND(W1948=1,O1948="HALLUCINATION")</x:f>
        <x:v>0</x:v>
      </x:c>
      <x:c r="Y1948" s="43" t="n">
        <x:f>--AND(Q1948=1,O1948="HALLUCINATION")</x:f>
        <x:v>0</x:v>
      </x:c>
      <x:c r="Z1948" s="43" t="n">
        <x:f>--AND(Y1948=1,R1948=1,S1948=1)</x:f>
        <x:v>0</x:v>
      </x:c>
      <x:c r="AC1948" t="str">
        <x:f>IF(OR(AA1948="",AB1948=""),"",--(AA1948&lt;&gt;AB1948))</x:f>
      </x:c>
      <x:c r="AE1948" t="str">
        <x:f>IF(OR(AA1948="",AB1948=""),"PENDING_HUMAN",IF(AA1948=AB1948,AA1948,IF(AD1948&lt;&gt;"",AD1948,"PENDING_HUMAN")))</x:f>
        <x:v>PENDING_HUMAN</x:v>
      </x:c>
      <x:c r="AF1948" t="n">
        <x:f>--AND(A1948&lt;&gt;"",AA1948&lt;&gt;"",AB1948&lt;&gt;"",OR(AA1948=AB1948,AD1948&lt;&gt;""),IF(AE1948="HALLUCINATION",U1948&lt;&gt;"",TRUE))</x:f>
        <x:v>0</x:v>
      </x:c>
      <x:c r="AG1948" t="n">
        <x:f>--AND(N1948=1,AF1948=1,OR(AE1948="SUPPORTED",AE1948="HALLUCINATION"))</x:f>
        <x:v>0</x:v>
      </x:c>
      <x:c r="AH1948" t="n">
        <x:f>--AND(AG1948=1,AE1948="HALLUCINATION")</x:f>
        <x:v>0</x:v>
      </x:c>
      <x:c r="AI1948" t="n">
        <x:f>--AND(Q1948=1,AF1948=1,AE1948="HALLUCINATION")</x:f>
        <x:v>0</x:v>
      </x:c>
      <x:c r="AJ1948" t="n">
        <x:f>--AND(AI1948=1,R1948=1,S1948=1)</x:f>
        <x:v>0</x:v>
      </x:c>
    </x:row>
    <x:row r="1949">
      <x:c r="A1949" s="28"/>
      <x:c r="B1949" s="28"/>
      <x:c r="C1949" s="28"/>
      <x:c r="D1949" s="28"/>
      <x:c r="E1949" s="28"/>
      <x:c r="F1949" s="28"/>
      <x:c r="G1949" s="28"/>
      <x:c r="H1949" s="28"/>
      <x:c r="I1949" s="28"/>
      <x:c r="J1949" s="28"/>
      <x:c r="K1949" s="28"/>
      <x:c r="L1949" s="28"/>
      <x:c r="M1949" s="28"/>
      <x:c r="N1949" s="28"/>
      <x:c r="O1949" s="28"/>
      <x:c r="P1949" s="28"/>
      <x:c r="Q1949" s="28"/>
      <x:c r="R1949" s="28"/>
      <x:c r="S1949" s="28"/>
      <x:c r="T1949" s="28"/>
      <x:c r="U1949" s="28"/>
      <x:c r="V1949" s="28"/>
      <x:c r="W1949" s="43" t="n">
        <x:f>--AND(N1949=1,OR(O1949="SUPPORTED",O1949="HALLUCINATION"))</x:f>
        <x:v>0</x:v>
      </x:c>
      <x:c r="X1949" s="43" t="n">
        <x:f>--AND(W1949=1,O1949="HALLUCINATION")</x:f>
        <x:v>0</x:v>
      </x:c>
      <x:c r="Y1949" s="43" t="n">
        <x:f>--AND(Q1949=1,O1949="HALLUCINATION")</x:f>
        <x:v>0</x:v>
      </x:c>
      <x:c r="Z1949" s="43" t="n">
        <x:f>--AND(Y1949=1,R1949=1,S1949=1)</x:f>
        <x:v>0</x:v>
      </x:c>
      <x:c r="AC1949" t="str">
        <x:f>IF(OR(AA1949="",AB1949=""),"",--(AA1949&lt;&gt;AB1949))</x:f>
      </x:c>
      <x:c r="AE1949" t="str">
        <x:f>IF(OR(AA1949="",AB1949=""),"PENDING_HUMAN",IF(AA1949=AB1949,AA1949,IF(AD1949&lt;&gt;"",AD1949,"PENDING_HUMAN")))</x:f>
        <x:v>PENDING_HUMAN</x:v>
      </x:c>
      <x:c r="AF1949" t="n">
        <x:f>--AND(A1949&lt;&gt;"",AA1949&lt;&gt;"",AB1949&lt;&gt;"",OR(AA1949=AB1949,AD1949&lt;&gt;""),IF(AE1949="HALLUCINATION",U1949&lt;&gt;"",TRUE))</x:f>
        <x:v>0</x:v>
      </x:c>
      <x:c r="AG1949" t="n">
        <x:f>--AND(N1949=1,AF1949=1,OR(AE1949="SUPPORTED",AE1949="HALLUCINATION"))</x:f>
        <x:v>0</x:v>
      </x:c>
      <x:c r="AH1949" t="n">
        <x:f>--AND(AG1949=1,AE1949="HALLUCINATION")</x:f>
        <x:v>0</x:v>
      </x:c>
      <x:c r="AI1949" t="n">
        <x:f>--AND(Q1949=1,AF1949=1,AE1949="HALLUCINATION")</x:f>
        <x:v>0</x:v>
      </x:c>
      <x:c r="AJ1949" t="n">
        <x:f>--AND(AI1949=1,R1949=1,S1949=1)</x:f>
        <x:v>0</x:v>
      </x:c>
    </x:row>
    <x:row r="1950">
      <x:c r="A1950" s="28"/>
      <x:c r="B1950" s="28"/>
      <x:c r="C1950" s="28"/>
      <x:c r="D1950" s="28"/>
      <x:c r="E1950" s="28"/>
      <x:c r="F1950" s="28"/>
      <x:c r="G1950" s="28"/>
      <x:c r="H1950" s="28"/>
      <x:c r="I1950" s="28"/>
      <x:c r="J1950" s="28"/>
      <x:c r="K1950" s="28"/>
      <x:c r="L1950" s="28"/>
      <x:c r="M1950" s="28"/>
      <x:c r="N1950" s="28"/>
      <x:c r="O1950" s="28"/>
      <x:c r="P1950" s="28"/>
      <x:c r="Q1950" s="28"/>
      <x:c r="R1950" s="28"/>
      <x:c r="S1950" s="28"/>
      <x:c r="T1950" s="28"/>
      <x:c r="U1950" s="28"/>
      <x:c r="V1950" s="28"/>
      <x:c r="W1950" s="43" t="n">
        <x:f>--AND(N1950=1,OR(O1950="SUPPORTED",O1950="HALLUCINATION"))</x:f>
        <x:v>0</x:v>
      </x:c>
      <x:c r="X1950" s="43" t="n">
        <x:f>--AND(W1950=1,O1950="HALLUCINATION")</x:f>
        <x:v>0</x:v>
      </x:c>
      <x:c r="Y1950" s="43" t="n">
        <x:f>--AND(Q1950=1,O1950="HALLUCINATION")</x:f>
        <x:v>0</x:v>
      </x:c>
      <x:c r="Z1950" s="43" t="n">
        <x:f>--AND(Y1950=1,R1950=1,S1950=1)</x:f>
        <x:v>0</x:v>
      </x:c>
      <x:c r="AC1950" t="str">
        <x:f>IF(OR(AA1950="",AB1950=""),"",--(AA1950&lt;&gt;AB1950))</x:f>
      </x:c>
      <x:c r="AE1950" t="str">
        <x:f>IF(OR(AA1950="",AB1950=""),"PENDING_HUMAN",IF(AA1950=AB1950,AA1950,IF(AD1950&lt;&gt;"",AD1950,"PENDING_HUMAN")))</x:f>
        <x:v>PENDING_HUMAN</x:v>
      </x:c>
      <x:c r="AF1950" t="n">
        <x:f>--AND(A1950&lt;&gt;"",AA1950&lt;&gt;"",AB1950&lt;&gt;"",OR(AA1950=AB1950,AD1950&lt;&gt;""),IF(AE1950="HALLUCINATION",U1950&lt;&gt;"",TRUE))</x:f>
        <x:v>0</x:v>
      </x:c>
      <x:c r="AG1950" t="n">
        <x:f>--AND(N1950=1,AF1950=1,OR(AE1950="SUPPORTED",AE1950="HALLUCINATION"))</x:f>
        <x:v>0</x:v>
      </x:c>
      <x:c r="AH1950" t="n">
        <x:f>--AND(AG1950=1,AE1950="HALLUCINATION")</x:f>
        <x:v>0</x:v>
      </x:c>
      <x:c r="AI1950" t="n">
        <x:f>--AND(Q1950=1,AF1950=1,AE1950="HALLUCINATION")</x:f>
        <x:v>0</x:v>
      </x:c>
      <x:c r="AJ1950" t="n">
        <x:f>--AND(AI1950=1,R1950=1,S1950=1)</x:f>
        <x:v>0</x:v>
      </x:c>
    </x:row>
    <x:row r="1951">
      <x:c r="A1951" s="28"/>
      <x:c r="B1951" s="28"/>
      <x:c r="C1951" s="28"/>
      <x:c r="D1951" s="28"/>
      <x:c r="E1951" s="28"/>
      <x:c r="F1951" s="28"/>
      <x:c r="G1951" s="28"/>
      <x:c r="H1951" s="28"/>
      <x:c r="I1951" s="28"/>
      <x:c r="J1951" s="28"/>
      <x:c r="K1951" s="28"/>
      <x:c r="L1951" s="28"/>
      <x:c r="M1951" s="28"/>
      <x:c r="N1951" s="28"/>
      <x:c r="O1951" s="28"/>
      <x:c r="P1951" s="28"/>
      <x:c r="Q1951" s="28"/>
      <x:c r="R1951" s="28"/>
      <x:c r="S1951" s="28"/>
      <x:c r="T1951" s="28"/>
      <x:c r="U1951" s="28"/>
      <x:c r="V1951" s="28"/>
      <x:c r="W1951" s="43" t="n">
        <x:f>--AND(N1951=1,OR(O1951="SUPPORTED",O1951="HALLUCINATION"))</x:f>
        <x:v>0</x:v>
      </x:c>
      <x:c r="X1951" s="43" t="n">
        <x:f>--AND(W1951=1,O1951="HALLUCINATION")</x:f>
        <x:v>0</x:v>
      </x:c>
      <x:c r="Y1951" s="43" t="n">
        <x:f>--AND(Q1951=1,O1951="HALLUCINATION")</x:f>
        <x:v>0</x:v>
      </x:c>
      <x:c r="Z1951" s="43" t="n">
        <x:f>--AND(Y1951=1,R1951=1,S1951=1)</x:f>
        <x:v>0</x:v>
      </x:c>
      <x:c r="AC1951" t="str">
        <x:f>IF(OR(AA1951="",AB1951=""),"",--(AA1951&lt;&gt;AB1951))</x:f>
      </x:c>
      <x:c r="AE1951" t="str">
        <x:f>IF(OR(AA1951="",AB1951=""),"PENDING_HUMAN",IF(AA1951=AB1951,AA1951,IF(AD1951&lt;&gt;"",AD1951,"PENDING_HUMAN")))</x:f>
        <x:v>PENDING_HUMAN</x:v>
      </x:c>
      <x:c r="AF1951" t="n">
        <x:f>--AND(A1951&lt;&gt;"",AA1951&lt;&gt;"",AB1951&lt;&gt;"",OR(AA1951=AB1951,AD1951&lt;&gt;""),IF(AE1951="HALLUCINATION",U1951&lt;&gt;"",TRUE))</x:f>
        <x:v>0</x:v>
      </x:c>
      <x:c r="AG1951" t="n">
        <x:f>--AND(N1951=1,AF1951=1,OR(AE1951="SUPPORTED",AE1951="HALLUCINATION"))</x:f>
        <x:v>0</x:v>
      </x:c>
      <x:c r="AH1951" t="n">
        <x:f>--AND(AG1951=1,AE1951="HALLUCINATION")</x:f>
        <x:v>0</x:v>
      </x:c>
      <x:c r="AI1951" t="n">
        <x:f>--AND(Q1951=1,AF1951=1,AE1951="HALLUCINATION")</x:f>
        <x:v>0</x:v>
      </x:c>
      <x:c r="AJ1951" t="n">
        <x:f>--AND(AI1951=1,R1951=1,S1951=1)</x:f>
        <x:v>0</x:v>
      </x:c>
    </x:row>
    <x:row r="1952">
      <x:c r="A1952" s="28"/>
      <x:c r="B1952" s="28"/>
      <x:c r="C1952" s="28"/>
      <x:c r="D1952" s="28"/>
      <x:c r="E1952" s="28"/>
      <x:c r="F1952" s="28"/>
      <x:c r="G1952" s="28"/>
      <x:c r="H1952" s="28"/>
      <x:c r="I1952" s="28"/>
      <x:c r="J1952" s="28"/>
      <x:c r="K1952" s="28"/>
      <x:c r="L1952" s="28"/>
      <x:c r="M1952" s="28"/>
      <x:c r="N1952" s="28"/>
      <x:c r="O1952" s="28"/>
      <x:c r="P1952" s="28"/>
      <x:c r="Q1952" s="28"/>
      <x:c r="R1952" s="28"/>
      <x:c r="S1952" s="28"/>
      <x:c r="T1952" s="28"/>
      <x:c r="U1952" s="28"/>
      <x:c r="V1952" s="28"/>
      <x:c r="W1952" s="43" t="n">
        <x:f>--AND(N1952=1,OR(O1952="SUPPORTED",O1952="HALLUCINATION"))</x:f>
        <x:v>0</x:v>
      </x:c>
      <x:c r="X1952" s="43" t="n">
        <x:f>--AND(W1952=1,O1952="HALLUCINATION")</x:f>
        <x:v>0</x:v>
      </x:c>
      <x:c r="Y1952" s="43" t="n">
        <x:f>--AND(Q1952=1,O1952="HALLUCINATION")</x:f>
        <x:v>0</x:v>
      </x:c>
      <x:c r="Z1952" s="43" t="n">
        <x:f>--AND(Y1952=1,R1952=1,S1952=1)</x:f>
        <x:v>0</x:v>
      </x:c>
      <x:c r="AC1952" t="str">
        <x:f>IF(OR(AA1952="",AB1952=""),"",--(AA1952&lt;&gt;AB1952))</x:f>
      </x:c>
      <x:c r="AE1952" t="str">
        <x:f>IF(OR(AA1952="",AB1952=""),"PENDING_HUMAN",IF(AA1952=AB1952,AA1952,IF(AD1952&lt;&gt;"",AD1952,"PENDING_HUMAN")))</x:f>
        <x:v>PENDING_HUMAN</x:v>
      </x:c>
      <x:c r="AF1952" t="n">
        <x:f>--AND(A1952&lt;&gt;"",AA1952&lt;&gt;"",AB1952&lt;&gt;"",OR(AA1952=AB1952,AD1952&lt;&gt;""),IF(AE1952="HALLUCINATION",U1952&lt;&gt;"",TRUE))</x:f>
        <x:v>0</x:v>
      </x:c>
      <x:c r="AG1952" t="n">
        <x:f>--AND(N1952=1,AF1952=1,OR(AE1952="SUPPORTED",AE1952="HALLUCINATION"))</x:f>
        <x:v>0</x:v>
      </x:c>
      <x:c r="AH1952" t="n">
        <x:f>--AND(AG1952=1,AE1952="HALLUCINATION")</x:f>
        <x:v>0</x:v>
      </x:c>
      <x:c r="AI1952" t="n">
        <x:f>--AND(Q1952=1,AF1952=1,AE1952="HALLUCINATION")</x:f>
        <x:v>0</x:v>
      </x:c>
      <x:c r="AJ1952" t="n">
        <x:f>--AND(AI1952=1,R1952=1,S1952=1)</x:f>
        <x:v>0</x:v>
      </x:c>
    </x:row>
    <x:row r="1953">
      <x:c r="A1953" s="28"/>
      <x:c r="B1953" s="28"/>
      <x:c r="C1953" s="28"/>
      <x:c r="D1953" s="28"/>
      <x:c r="E1953" s="28"/>
      <x:c r="F1953" s="28"/>
      <x:c r="G1953" s="28"/>
      <x:c r="H1953" s="28"/>
      <x:c r="I1953" s="28"/>
      <x:c r="J1953" s="28"/>
      <x:c r="K1953" s="28"/>
      <x:c r="L1953" s="28"/>
      <x:c r="M1953" s="28"/>
      <x:c r="N1953" s="28"/>
      <x:c r="O1953" s="28"/>
      <x:c r="P1953" s="28"/>
      <x:c r="Q1953" s="28"/>
      <x:c r="R1953" s="28"/>
      <x:c r="S1953" s="28"/>
      <x:c r="T1953" s="28"/>
      <x:c r="U1953" s="28"/>
      <x:c r="V1953" s="28"/>
      <x:c r="W1953" s="43" t="n">
        <x:f>--AND(N1953=1,OR(O1953="SUPPORTED",O1953="HALLUCINATION"))</x:f>
        <x:v>0</x:v>
      </x:c>
      <x:c r="X1953" s="43" t="n">
        <x:f>--AND(W1953=1,O1953="HALLUCINATION")</x:f>
        <x:v>0</x:v>
      </x:c>
      <x:c r="Y1953" s="43" t="n">
        <x:f>--AND(Q1953=1,O1953="HALLUCINATION")</x:f>
        <x:v>0</x:v>
      </x:c>
      <x:c r="Z1953" s="43" t="n">
        <x:f>--AND(Y1953=1,R1953=1,S1953=1)</x:f>
        <x:v>0</x:v>
      </x:c>
      <x:c r="AC1953" t="str">
        <x:f>IF(OR(AA1953="",AB1953=""),"",--(AA1953&lt;&gt;AB1953))</x:f>
      </x:c>
      <x:c r="AE1953" t="str">
        <x:f>IF(OR(AA1953="",AB1953=""),"PENDING_HUMAN",IF(AA1953=AB1953,AA1953,IF(AD1953&lt;&gt;"",AD1953,"PENDING_HUMAN")))</x:f>
        <x:v>PENDING_HUMAN</x:v>
      </x:c>
      <x:c r="AF1953" t="n">
        <x:f>--AND(A1953&lt;&gt;"",AA1953&lt;&gt;"",AB1953&lt;&gt;"",OR(AA1953=AB1953,AD1953&lt;&gt;""),IF(AE1953="HALLUCINATION",U1953&lt;&gt;"",TRUE))</x:f>
        <x:v>0</x:v>
      </x:c>
      <x:c r="AG1953" t="n">
        <x:f>--AND(N1953=1,AF1953=1,OR(AE1953="SUPPORTED",AE1953="HALLUCINATION"))</x:f>
        <x:v>0</x:v>
      </x:c>
      <x:c r="AH1953" t="n">
        <x:f>--AND(AG1953=1,AE1953="HALLUCINATION")</x:f>
        <x:v>0</x:v>
      </x:c>
      <x:c r="AI1953" t="n">
        <x:f>--AND(Q1953=1,AF1953=1,AE1953="HALLUCINATION")</x:f>
        <x:v>0</x:v>
      </x:c>
      <x:c r="AJ1953" t="n">
        <x:f>--AND(AI1953=1,R1953=1,S1953=1)</x:f>
        <x:v>0</x:v>
      </x:c>
    </x:row>
    <x:row r="1954">
      <x:c r="A1954" s="28"/>
      <x:c r="B1954" s="28"/>
      <x:c r="C1954" s="28"/>
      <x:c r="D1954" s="28"/>
      <x:c r="E1954" s="28"/>
      <x:c r="F1954" s="28"/>
      <x:c r="G1954" s="28"/>
      <x:c r="H1954" s="28"/>
      <x:c r="I1954" s="28"/>
      <x:c r="J1954" s="28"/>
      <x:c r="K1954" s="28"/>
      <x:c r="L1954" s="28"/>
      <x:c r="M1954" s="28"/>
      <x:c r="N1954" s="28"/>
      <x:c r="O1954" s="28"/>
      <x:c r="P1954" s="28"/>
      <x:c r="Q1954" s="28"/>
      <x:c r="R1954" s="28"/>
      <x:c r="S1954" s="28"/>
      <x:c r="T1954" s="28"/>
      <x:c r="U1954" s="28"/>
      <x:c r="V1954" s="28"/>
      <x:c r="W1954" s="43" t="n">
        <x:f>--AND(N1954=1,OR(O1954="SUPPORTED",O1954="HALLUCINATION"))</x:f>
        <x:v>0</x:v>
      </x:c>
      <x:c r="X1954" s="43" t="n">
        <x:f>--AND(W1954=1,O1954="HALLUCINATION")</x:f>
        <x:v>0</x:v>
      </x:c>
      <x:c r="Y1954" s="43" t="n">
        <x:f>--AND(Q1954=1,O1954="HALLUCINATION")</x:f>
        <x:v>0</x:v>
      </x:c>
      <x:c r="Z1954" s="43" t="n">
        <x:f>--AND(Y1954=1,R1954=1,S1954=1)</x:f>
        <x:v>0</x:v>
      </x:c>
      <x:c r="AC1954" t="str">
        <x:f>IF(OR(AA1954="",AB1954=""),"",--(AA1954&lt;&gt;AB1954))</x:f>
      </x:c>
      <x:c r="AE1954" t="str">
        <x:f>IF(OR(AA1954="",AB1954=""),"PENDING_HUMAN",IF(AA1954=AB1954,AA1954,IF(AD1954&lt;&gt;"",AD1954,"PENDING_HUMAN")))</x:f>
        <x:v>PENDING_HUMAN</x:v>
      </x:c>
      <x:c r="AF1954" t="n">
        <x:f>--AND(A1954&lt;&gt;"",AA1954&lt;&gt;"",AB1954&lt;&gt;"",OR(AA1954=AB1954,AD1954&lt;&gt;""),IF(AE1954="HALLUCINATION",U1954&lt;&gt;"",TRUE))</x:f>
        <x:v>0</x:v>
      </x:c>
      <x:c r="AG1954" t="n">
        <x:f>--AND(N1954=1,AF1954=1,OR(AE1954="SUPPORTED",AE1954="HALLUCINATION"))</x:f>
        <x:v>0</x:v>
      </x:c>
      <x:c r="AH1954" t="n">
        <x:f>--AND(AG1954=1,AE1954="HALLUCINATION")</x:f>
        <x:v>0</x:v>
      </x:c>
      <x:c r="AI1954" t="n">
        <x:f>--AND(Q1954=1,AF1954=1,AE1954="HALLUCINATION")</x:f>
        <x:v>0</x:v>
      </x:c>
      <x:c r="AJ1954" t="n">
        <x:f>--AND(AI1954=1,R1954=1,S1954=1)</x:f>
        <x:v>0</x:v>
      </x:c>
    </x:row>
    <x:row r="1955">
      <x:c r="A1955" s="28"/>
      <x:c r="B1955" s="28"/>
      <x:c r="C1955" s="28"/>
      <x:c r="D1955" s="28"/>
      <x:c r="E1955" s="28"/>
      <x:c r="F1955" s="28"/>
      <x:c r="G1955" s="28"/>
      <x:c r="H1955" s="28"/>
      <x:c r="I1955" s="28"/>
      <x:c r="J1955" s="28"/>
      <x:c r="K1955" s="28"/>
      <x:c r="L1955" s="28"/>
      <x:c r="M1955" s="28"/>
      <x:c r="N1955" s="28"/>
      <x:c r="O1955" s="28"/>
      <x:c r="P1955" s="28"/>
      <x:c r="Q1955" s="28"/>
      <x:c r="R1955" s="28"/>
      <x:c r="S1955" s="28"/>
      <x:c r="T1955" s="28"/>
      <x:c r="U1955" s="28"/>
      <x:c r="V1955" s="28"/>
      <x:c r="W1955" s="43" t="n">
        <x:f>--AND(N1955=1,OR(O1955="SUPPORTED",O1955="HALLUCINATION"))</x:f>
        <x:v>0</x:v>
      </x:c>
      <x:c r="X1955" s="43" t="n">
        <x:f>--AND(W1955=1,O1955="HALLUCINATION")</x:f>
        <x:v>0</x:v>
      </x:c>
      <x:c r="Y1955" s="43" t="n">
        <x:f>--AND(Q1955=1,O1955="HALLUCINATION")</x:f>
        <x:v>0</x:v>
      </x:c>
      <x:c r="Z1955" s="43" t="n">
        <x:f>--AND(Y1955=1,R1955=1,S1955=1)</x:f>
        <x:v>0</x:v>
      </x:c>
      <x:c r="AC1955" t="str">
        <x:f>IF(OR(AA1955="",AB1955=""),"",--(AA1955&lt;&gt;AB1955))</x:f>
      </x:c>
      <x:c r="AE1955" t="str">
        <x:f>IF(OR(AA1955="",AB1955=""),"PENDING_HUMAN",IF(AA1955=AB1955,AA1955,IF(AD1955&lt;&gt;"",AD1955,"PENDING_HUMAN")))</x:f>
        <x:v>PENDING_HUMAN</x:v>
      </x:c>
      <x:c r="AF1955" t="n">
        <x:f>--AND(A1955&lt;&gt;"",AA1955&lt;&gt;"",AB1955&lt;&gt;"",OR(AA1955=AB1955,AD1955&lt;&gt;""),IF(AE1955="HALLUCINATION",U1955&lt;&gt;"",TRUE))</x:f>
        <x:v>0</x:v>
      </x:c>
      <x:c r="AG1955" t="n">
        <x:f>--AND(N1955=1,AF1955=1,OR(AE1955="SUPPORTED",AE1955="HALLUCINATION"))</x:f>
        <x:v>0</x:v>
      </x:c>
      <x:c r="AH1955" t="n">
        <x:f>--AND(AG1955=1,AE1955="HALLUCINATION")</x:f>
        <x:v>0</x:v>
      </x:c>
      <x:c r="AI1955" t="n">
        <x:f>--AND(Q1955=1,AF1955=1,AE1955="HALLUCINATION")</x:f>
        <x:v>0</x:v>
      </x:c>
      <x:c r="AJ1955" t="n">
        <x:f>--AND(AI1955=1,R1955=1,S1955=1)</x:f>
        <x:v>0</x:v>
      </x:c>
    </x:row>
    <x:row r="1956">
      <x:c r="A1956" s="28"/>
      <x:c r="B1956" s="28"/>
      <x:c r="C1956" s="28"/>
      <x:c r="D1956" s="28"/>
      <x:c r="E1956" s="28"/>
      <x:c r="F1956" s="28"/>
      <x:c r="G1956" s="28"/>
      <x:c r="H1956" s="28"/>
      <x:c r="I1956" s="28"/>
      <x:c r="J1956" s="28"/>
      <x:c r="K1956" s="28"/>
      <x:c r="L1956" s="28"/>
      <x:c r="M1956" s="28"/>
      <x:c r="N1956" s="28"/>
      <x:c r="O1956" s="28"/>
      <x:c r="P1956" s="28"/>
      <x:c r="Q1956" s="28"/>
      <x:c r="R1956" s="28"/>
      <x:c r="S1956" s="28"/>
      <x:c r="T1956" s="28"/>
      <x:c r="U1956" s="28"/>
      <x:c r="V1956" s="28"/>
      <x:c r="W1956" s="43" t="n">
        <x:f>--AND(N1956=1,OR(O1956="SUPPORTED",O1956="HALLUCINATION"))</x:f>
        <x:v>0</x:v>
      </x:c>
      <x:c r="X1956" s="43" t="n">
        <x:f>--AND(W1956=1,O1956="HALLUCINATION")</x:f>
        <x:v>0</x:v>
      </x:c>
      <x:c r="Y1956" s="43" t="n">
        <x:f>--AND(Q1956=1,O1956="HALLUCINATION")</x:f>
        <x:v>0</x:v>
      </x:c>
      <x:c r="Z1956" s="43" t="n">
        <x:f>--AND(Y1956=1,R1956=1,S1956=1)</x:f>
        <x:v>0</x:v>
      </x:c>
      <x:c r="AC1956" t="str">
        <x:f>IF(OR(AA1956="",AB1956=""),"",--(AA1956&lt;&gt;AB1956))</x:f>
      </x:c>
      <x:c r="AE1956" t="str">
        <x:f>IF(OR(AA1956="",AB1956=""),"PENDING_HUMAN",IF(AA1956=AB1956,AA1956,IF(AD1956&lt;&gt;"",AD1956,"PENDING_HUMAN")))</x:f>
        <x:v>PENDING_HUMAN</x:v>
      </x:c>
      <x:c r="AF1956" t="n">
        <x:f>--AND(A1956&lt;&gt;"",AA1956&lt;&gt;"",AB1956&lt;&gt;"",OR(AA1956=AB1956,AD1956&lt;&gt;""),IF(AE1956="HALLUCINATION",U1956&lt;&gt;"",TRUE))</x:f>
        <x:v>0</x:v>
      </x:c>
      <x:c r="AG1956" t="n">
        <x:f>--AND(N1956=1,AF1956=1,OR(AE1956="SUPPORTED",AE1956="HALLUCINATION"))</x:f>
        <x:v>0</x:v>
      </x:c>
      <x:c r="AH1956" t="n">
        <x:f>--AND(AG1956=1,AE1956="HALLUCINATION")</x:f>
        <x:v>0</x:v>
      </x:c>
      <x:c r="AI1956" t="n">
        <x:f>--AND(Q1956=1,AF1956=1,AE1956="HALLUCINATION")</x:f>
        <x:v>0</x:v>
      </x:c>
      <x:c r="AJ1956" t="n">
        <x:f>--AND(AI1956=1,R1956=1,S1956=1)</x:f>
        <x:v>0</x:v>
      </x:c>
    </x:row>
    <x:row r="1957">
      <x:c r="A1957" s="28"/>
      <x:c r="B1957" s="28"/>
      <x:c r="C1957" s="28"/>
      <x:c r="D1957" s="28"/>
      <x:c r="E1957" s="28"/>
      <x:c r="F1957" s="28"/>
      <x:c r="G1957" s="28"/>
      <x:c r="H1957" s="28"/>
      <x:c r="I1957" s="28"/>
      <x:c r="J1957" s="28"/>
      <x:c r="K1957" s="28"/>
      <x:c r="L1957" s="28"/>
      <x:c r="M1957" s="28"/>
      <x:c r="N1957" s="28"/>
      <x:c r="O1957" s="28"/>
      <x:c r="P1957" s="28"/>
      <x:c r="Q1957" s="28"/>
      <x:c r="R1957" s="28"/>
      <x:c r="S1957" s="28"/>
      <x:c r="T1957" s="28"/>
      <x:c r="U1957" s="28"/>
      <x:c r="V1957" s="28"/>
      <x:c r="W1957" s="43" t="n">
        <x:f>--AND(N1957=1,OR(O1957="SUPPORTED",O1957="HALLUCINATION"))</x:f>
        <x:v>0</x:v>
      </x:c>
      <x:c r="X1957" s="43" t="n">
        <x:f>--AND(W1957=1,O1957="HALLUCINATION")</x:f>
        <x:v>0</x:v>
      </x:c>
      <x:c r="Y1957" s="43" t="n">
        <x:f>--AND(Q1957=1,O1957="HALLUCINATION")</x:f>
        <x:v>0</x:v>
      </x:c>
      <x:c r="Z1957" s="43" t="n">
        <x:f>--AND(Y1957=1,R1957=1,S1957=1)</x:f>
        <x:v>0</x:v>
      </x:c>
      <x:c r="AC1957" t="str">
        <x:f>IF(OR(AA1957="",AB1957=""),"",--(AA1957&lt;&gt;AB1957))</x:f>
      </x:c>
      <x:c r="AE1957" t="str">
        <x:f>IF(OR(AA1957="",AB1957=""),"PENDING_HUMAN",IF(AA1957=AB1957,AA1957,IF(AD1957&lt;&gt;"",AD1957,"PENDING_HUMAN")))</x:f>
        <x:v>PENDING_HUMAN</x:v>
      </x:c>
      <x:c r="AF1957" t="n">
        <x:f>--AND(A1957&lt;&gt;"",AA1957&lt;&gt;"",AB1957&lt;&gt;"",OR(AA1957=AB1957,AD1957&lt;&gt;""),IF(AE1957="HALLUCINATION",U1957&lt;&gt;"",TRUE))</x:f>
        <x:v>0</x:v>
      </x:c>
      <x:c r="AG1957" t="n">
        <x:f>--AND(N1957=1,AF1957=1,OR(AE1957="SUPPORTED",AE1957="HALLUCINATION"))</x:f>
        <x:v>0</x:v>
      </x:c>
      <x:c r="AH1957" t="n">
        <x:f>--AND(AG1957=1,AE1957="HALLUCINATION")</x:f>
        <x:v>0</x:v>
      </x:c>
      <x:c r="AI1957" t="n">
        <x:f>--AND(Q1957=1,AF1957=1,AE1957="HALLUCINATION")</x:f>
        <x:v>0</x:v>
      </x:c>
      <x:c r="AJ1957" t="n">
        <x:f>--AND(AI1957=1,R1957=1,S1957=1)</x:f>
        <x:v>0</x:v>
      </x:c>
    </x:row>
    <x:row r="1958">
      <x:c r="A1958" s="28"/>
      <x:c r="B1958" s="28"/>
      <x:c r="C1958" s="28"/>
      <x:c r="D1958" s="28"/>
      <x:c r="E1958" s="28"/>
      <x:c r="F1958" s="28"/>
      <x:c r="G1958" s="28"/>
      <x:c r="H1958" s="28"/>
      <x:c r="I1958" s="28"/>
      <x:c r="J1958" s="28"/>
      <x:c r="K1958" s="28"/>
      <x:c r="L1958" s="28"/>
      <x:c r="M1958" s="28"/>
      <x:c r="N1958" s="28"/>
      <x:c r="O1958" s="28"/>
      <x:c r="P1958" s="28"/>
      <x:c r="Q1958" s="28"/>
      <x:c r="R1958" s="28"/>
      <x:c r="S1958" s="28"/>
      <x:c r="T1958" s="28"/>
      <x:c r="U1958" s="28"/>
      <x:c r="V1958" s="28"/>
      <x:c r="W1958" s="43" t="n">
        <x:f>--AND(N1958=1,OR(O1958="SUPPORTED",O1958="HALLUCINATION"))</x:f>
        <x:v>0</x:v>
      </x:c>
      <x:c r="X1958" s="43" t="n">
        <x:f>--AND(W1958=1,O1958="HALLUCINATION")</x:f>
        <x:v>0</x:v>
      </x:c>
      <x:c r="Y1958" s="43" t="n">
        <x:f>--AND(Q1958=1,O1958="HALLUCINATION")</x:f>
        <x:v>0</x:v>
      </x:c>
      <x:c r="Z1958" s="43" t="n">
        <x:f>--AND(Y1958=1,R1958=1,S1958=1)</x:f>
        <x:v>0</x:v>
      </x:c>
      <x:c r="AC1958" t="str">
        <x:f>IF(OR(AA1958="",AB1958=""),"",--(AA1958&lt;&gt;AB1958))</x:f>
      </x:c>
      <x:c r="AE1958" t="str">
        <x:f>IF(OR(AA1958="",AB1958=""),"PENDING_HUMAN",IF(AA1958=AB1958,AA1958,IF(AD1958&lt;&gt;"",AD1958,"PENDING_HUMAN")))</x:f>
        <x:v>PENDING_HUMAN</x:v>
      </x:c>
      <x:c r="AF1958" t="n">
        <x:f>--AND(A1958&lt;&gt;"",AA1958&lt;&gt;"",AB1958&lt;&gt;"",OR(AA1958=AB1958,AD1958&lt;&gt;""),IF(AE1958="HALLUCINATION",U1958&lt;&gt;"",TRUE))</x:f>
        <x:v>0</x:v>
      </x:c>
      <x:c r="AG1958" t="n">
        <x:f>--AND(N1958=1,AF1958=1,OR(AE1958="SUPPORTED",AE1958="HALLUCINATION"))</x:f>
        <x:v>0</x:v>
      </x:c>
      <x:c r="AH1958" t="n">
        <x:f>--AND(AG1958=1,AE1958="HALLUCINATION")</x:f>
        <x:v>0</x:v>
      </x:c>
      <x:c r="AI1958" t="n">
        <x:f>--AND(Q1958=1,AF1958=1,AE1958="HALLUCINATION")</x:f>
        <x:v>0</x:v>
      </x:c>
      <x:c r="AJ1958" t="n">
        <x:f>--AND(AI1958=1,R1958=1,S1958=1)</x:f>
        <x:v>0</x:v>
      </x:c>
    </x:row>
    <x:row r="1959">
      <x:c r="A1959" s="28"/>
      <x:c r="B1959" s="28"/>
      <x:c r="C1959" s="28"/>
      <x:c r="D1959" s="28"/>
      <x:c r="E1959" s="28"/>
      <x:c r="F1959" s="28"/>
      <x:c r="G1959" s="28"/>
      <x:c r="H1959" s="28"/>
      <x:c r="I1959" s="28"/>
      <x:c r="J1959" s="28"/>
      <x:c r="K1959" s="28"/>
      <x:c r="L1959" s="28"/>
      <x:c r="M1959" s="28"/>
      <x:c r="N1959" s="28"/>
      <x:c r="O1959" s="28"/>
      <x:c r="P1959" s="28"/>
      <x:c r="Q1959" s="28"/>
      <x:c r="R1959" s="28"/>
      <x:c r="S1959" s="28"/>
      <x:c r="T1959" s="28"/>
      <x:c r="U1959" s="28"/>
      <x:c r="V1959" s="28"/>
      <x:c r="W1959" s="43" t="n">
        <x:f>--AND(N1959=1,OR(O1959="SUPPORTED",O1959="HALLUCINATION"))</x:f>
        <x:v>0</x:v>
      </x:c>
      <x:c r="X1959" s="43" t="n">
        <x:f>--AND(W1959=1,O1959="HALLUCINATION")</x:f>
        <x:v>0</x:v>
      </x:c>
      <x:c r="Y1959" s="43" t="n">
        <x:f>--AND(Q1959=1,O1959="HALLUCINATION")</x:f>
        <x:v>0</x:v>
      </x:c>
      <x:c r="Z1959" s="43" t="n">
        <x:f>--AND(Y1959=1,R1959=1,S1959=1)</x:f>
        <x:v>0</x:v>
      </x:c>
      <x:c r="AC1959" t="str">
        <x:f>IF(OR(AA1959="",AB1959=""),"",--(AA1959&lt;&gt;AB1959))</x:f>
      </x:c>
      <x:c r="AE1959" t="str">
        <x:f>IF(OR(AA1959="",AB1959=""),"PENDING_HUMAN",IF(AA1959=AB1959,AA1959,IF(AD1959&lt;&gt;"",AD1959,"PENDING_HUMAN")))</x:f>
        <x:v>PENDING_HUMAN</x:v>
      </x:c>
      <x:c r="AF1959" t="n">
        <x:f>--AND(A1959&lt;&gt;"",AA1959&lt;&gt;"",AB1959&lt;&gt;"",OR(AA1959=AB1959,AD1959&lt;&gt;""),IF(AE1959="HALLUCINATION",U1959&lt;&gt;"",TRUE))</x:f>
        <x:v>0</x:v>
      </x:c>
      <x:c r="AG1959" t="n">
        <x:f>--AND(N1959=1,AF1959=1,OR(AE1959="SUPPORTED",AE1959="HALLUCINATION"))</x:f>
        <x:v>0</x:v>
      </x:c>
      <x:c r="AH1959" t="n">
        <x:f>--AND(AG1959=1,AE1959="HALLUCINATION")</x:f>
        <x:v>0</x:v>
      </x:c>
      <x:c r="AI1959" t="n">
        <x:f>--AND(Q1959=1,AF1959=1,AE1959="HALLUCINATION")</x:f>
        <x:v>0</x:v>
      </x:c>
      <x:c r="AJ1959" t="n">
        <x:f>--AND(AI1959=1,R1959=1,S1959=1)</x:f>
        <x:v>0</x:v>
      </x:c>
    </x:row>
    <x:row r="1960">
      <x:c r="A1960" s="28"/>
      <x:c r="B1960" s="28"/>
      <x:c r="C1960" s="28"/>
      <x:c r="D1960" s="28"/>
      <x:c r="E1960" s="28"/>
      <x:c r="F1960" s="28"/>
      <x:c r="G1960" s="28"/>
      <x:c r="H1960" s="28"/>
      <x:c r="I1960" s="28"/>
      <x:c r="J1960" s="28"/>
      <x:c r="K1960" s="28"/>
      <x:c r="L1960" s="28"/>
      <x:c r="M1960" s="28"/>
      <x:c r="N1960" s="28"/>
      <x:c r="O1960" s="28"/>
      <x:c r="P1960" s="28"/>
      <x:c r="Q1960" s="28"/>
      <x:c r="R1960" s="28"/>
      <x:c r="S1960" s="28"/>
      <x:c r="T1960" s="28"/>
      <x:c r="U1960" s="28"/>
      <x:c r="V1960" s="28"/>
      <x:c r="W1960" s="43" t="n">
        <x:f>--AND(N1960=1,OR(O1960="SUPPORTED",O1960="HALLUCINATION"))</x:f>
        <x:v>0</x:v>
      </x:c>
      <x:c r="X1960" s="43" t="n">
        <x:f>--AND(W1960=1,O1960="HALLUCINATION")</x:f>
        <x:v>0</x:v>
      </x:c>
      <x:c r="Y1960" s="43" t="n">
        <x:f>--AND(Q1960=1,O1960="HALLUCINATION")</x:f>
        <x:v>0</x:v>
      </x:c>
      <x:c r="Z1960" s="43" t="n">
        <x:f>--AND(Y1960=1,R1960=1,S1960=1)</x:f>
        <x:v>0</x:v>
      </x:c>
      <x:c r="AC1960" t="str">
        <x:f>IF(OR(AA1960="",AB1960=""),"",--(AA1960&lt;&gt;AB1960))</x:f>
      </x:c>
      <x:c r="AE1960" t="str">
        <x:f>IF(OR(AA1960="",AB1960=""),"PENDING_HUMAN",IF(AA1960=AB1960,AA1960,IF(AD1960&lt;&gt;"",AD1960,"PENDING_HUMAN")))</x:f>
        <x:v>PENDING_HUMAN</x:v>
      </x:c>
      <x:c r="AF1960" t="n">
        <x:f>--AND(A1960&lt;&gt;"",AA1960&lt;&gt;"",AB1960&lt;&gt;"",OR(AA1960=AB1960,AD1960&lt;&gt;""),IF(AE1960="HALLUCINATION",U1960&lt;&gt;"",TRUE))</x:f>
        <x:v>0</x:v>
      </x:c>
      <x:c r="AG1960" t="n">
        <x:f>--AND(N1960=1,AF1960=1,OR(AE1960="SUPPORTED",AE1960="HALLUCINATION"))</x:f>
        <x:v>0</x:v>
      </x:c>
      <x:c r="AH1960" t="n">
        <x:f>--AND(AG1960=1,AE1960="HALLUCINATION")</x:f>
        <x:v>0</x:v>
      </x:c>
      <x:c r="AI1960" t="n">
        <x:f>--AND(Q1960=1,AF1960=1,AE1960="HALLUCINATION")</x:f>
        <x:v>0</x:v>
      </x:c>
      <x:c r="AJ1960" t="n">
        <x:f>--AND(AI1960=1,R1960=1,S1960=1)</x:f>
        <x:v>0</x:v>
      </x:c>
    </x:row>
    <x:row r="1961">
      <x:c r="A1961" s="28"/>
      <x:c r="B1961" s="28"/>
      <x:c r="C1961" s="28"/>
      <x:c r="D1961" s="28"/>
      <x:c r="E1961" s="28"/>
      <x:c r="F1961" s="28"/>
      <x:c r="G1961" s="28"/>
      <x:c r="H1961" s="28"/>
      <x:c r="I1961" s="28"/>
      <x:c r="J1961" s="28"/>
      <x:c r="K1961" s="28"/>
      <x:c r="L1961" s="28"/>
      <x:c r="M1961" s="28"/>
      <x:c r="N1961" s="28"/>
      <x:c r="O1961" s="28"/>
      <x:c r="P1961" s="28"/>
      <x:c r="Q1961" s="28"/>
      <x:c r="R1961" s="28"/>
      <x:c r="S1961" s="28"/>
      <x:c r="T1961" s="28"/>
      <x:c r="U1961" s="28"/>
      <x:c r="V1961" s="28"/>
      <x:c r="W1961" s="43" t="n">
        <x:f>--AND(N1961=1,OR(O1961="SUPPORTED",O1961="HALLUCINATION"))</x:f>
        <x:v>0</x:v>
      </x:c>
      <x:c r="X1961" s="43" t="n">
        <x:f>--AND(W1961=1,O1961="HALLUCINATION")</x:f>
        <x:v>0</x:v>
      </x:c>
      <x:c r="Y1961" s="43" t="n">
        <x:f>--AND(Q1961=1,O1961="HALLUCINATION")</x:f>
        <x:v>0</x:v>
      </x:c>
      <x:c r="Z1961" s="43" t="n">
        <x:f>--AND(Y1961=1,R1961=1,S1961=1)</x:f>
        <x:v>0</x:v>
      </x:c>
      <x:c r="AC1961" t="str">
        <x:f>IF(OR(AA1961="",AB1961=""),"",--(AA1961&lt;&gt;AB1961))</x:f>
      </x:c>
      <x:c r="AE1961" t="str">
        <x:f>IF(OR(AA1961="",AB1961=""),"PENDING_HUMAN",IF(AA1961=AB1961,AA1961,IF(AD1961&lt;&gt;"",AD1961,"PENDING_HUMAN")))</x:f>
        <x:v>PENDING_HUMAN</x:v>
      </x:c>
      <x:c r="AF1961" t="n">
        <x:f>--AND(A1961&lt;&gt;"",AA1961&lt;&gt;"",AB1961&lt;&gt;"",OR(AA1961=AB1961,AD1961&lt;&gt;""),IF(AE1961="HALLUCINATION",U1961&lt;&gt;"",TRUE))</x:f>
        <x:v>0</x:v>
      </x:c>
      <x:c r="AG1961" t="n">
        <x:f>--AND(N1961=1,AF1961=1,OR(AE1961="SUPPORTED",AE1961="HALLUCINATION"))</x:f>
        <x:v>0</x:v>
      </x:c>
      <x:c r="AH1961" t="n">
        <x:f>--AND(AG1961=1,AE1961="HALLUCINATION")</x:f>
        <x:v>0</x:v>
      </x:c>
      <x:c r="AI1961" t="n">
        <x:f>--AND(Q1961=1,AF1961=1,AE1961="HALLUCINATION")</x:f>
        <x:v>0</x:v>
      </x:c>
      <x:c r="AJ1961" t="n">
        <x:f>--AND(AI1961=1,R1961=1,S1961=1)</x:f>
        <x:v>0</x:v>
      </x:c>
    </x:row>
    <x:row r="1962">
      <x:c r="A1962" s="28"/>
      <x:c r="B1962" s="28"/>
      <x:c r="C1962" s="28"/>
      <x:c r="D1962" s="28"/>
      <x:c r="E1962" s="28"/>
      <x:c r="F1962" s="28"/>
      <x:c r="G1962" s="28"/>
      <x:c r="H1962" s="28"/>
      <x:c r="I1962" s="28"/>
      <x:c r="J1962" s="28"/>
      <x:c r="K1962" s="28"/>
      <x:c r="L1962" s="28"/>
      <x:c r="M1962" s="28"/>
      <x:c r="N1962" s="28"/>
      <x:c r="O1962" s="28"/>
      <x:c r="P1962" s="28"/>
      <x:c r="Q1962" s="28"/>
      <x:c r="R1962" s="28"/>
      <x:c r="S1962" s="28"/>
      <x:c r="T1962" s="28"/>
      <x:c r="U1962" s="28"/>
      <x:c r="V1962" s="28"/>
      <x:c r="W1962" s="43" t="n">
        <x:f>--AND(N1962=1,OR(O1962="SUPPORTED",O1962="HALLUCINATION"))</x:f>
        <x:v>0</x:v>
      </x:c>
      <x:c r="X1962" s="43" t="n">
        <x:f>--AND(W1962=1,O1962="HALLUCINATION")</x:f>
        <x:v>0</x:v>
      </x:c>
      <x:c r="Y1962" s="43" t="n">
        <x:f>--AND(Q1962=1,O1962="HALLUCINATION")</x:f>
        <x:v>0</x:v>
      </x:c>
      <x:c r="Z1962" s="43" t="n">
        <x:f>--AND(Y1962=1,R1962=1,S1962=1)</x:f>
        <x:v>0</x:v>
      </x:c>
      <x:c r="AC1962" t="str">
        <x:f>IF(OR(AA1962="",AB1962=""),"",--(AA1962&lt;&gt;AB1962))</x:f>
      </x:c>
      <x:c r="AE1962" t="str">
        <x:f>IF(OR(AA1962="",AB1962=""),"PENDING_HUMAN",IF(AA1962=AB1962,AA1962,IF(AD1962&lt;&gt;"",AD1962,"PENDING_HUMAN")))</x:f>
        <x:v>PENDING_HUMAN</x:v>
      </x:c>
      <x:c r="AF1962" t="n">
        <x:f>--AND(A1962&lt;&gt;"",AA1962&lt;&gt;"",AB1962&lt;&gt;"",OR(AA1962=AB1962,AD1962&lt;&gt;""),IF(AE1962="HALLUCINATION",U1962&lt;&gt;"",TRUE))</x:f>
        <x:v>0</x:v>
      </x:c>
      <x:c r="AG1962" t="n">
        <x:f>--AND(N1962=1,AF1962=1,OR(AE1962="SUPPORTED",AE1962="HALLUCINATION"))</x:f>
        <x:v>0</x:v>
      </x:c>
      <x:c r="AH1962" t="n">
        <x:f>--AND(AG1962=1,AE1962="HALLUCINATION")</x:f>
        <x:v>0</x:v>
      </x:c>
      <x:c r="AI1962" t="n">
        <x:f>--AND(Q1962=1,AF1962=1,AE1962="HALLUCINATION")</x:f>
        <x:v>0</x:v>
      </x:c>
      <x:c r="AJ1962" t="n">
        <x:f>--AND(AI1962=1,R1962=1,S1962=1)</x:f>
        <x:v>0</x:v>
      </x:c>
    </x:row>
    <x:row r="1963">
      <x:c r="A1963" s="28"/>
      <x:c r="B1963" s="28"/>
      <x:c r="C1963" s="28"/>
      <x:c r="D1963" s="28"/>
      <x:c r="E1963" s="28"/>
      <x:c r="F1963" s="28"/>
      <x:c r="G1963" s="28"/>
      <x:c r="H1963" s="28"/>
      <x:c r="I1963" s="28"/>
      <x:c r="J1963" s="28"/>
      <x:c r="K1963" s="28"/>
      <x:c r="L1963" s="28"/>
      <x:c r="M1963" s="28"/>
      <x:c r="N1963" s="28"/>
      <x:c r="O1963" s="28"/>
      <x:c r="P1963" s="28"/>
      <x:c r="Q1963" s="28"/>
      <x:c r="R1963" s="28"/>
      <x:c r="S1963" s="28"/>
      <x:c r="T1963" s="28"/>
      <x:c r="U1963" s="28"/>
      <x:c r="V1963" s="28"/>
      <x:c r="W1963" s="43" t="n">
        <x:f>--AND(N1963=1,OR(O1963="SUPPORTED",O1963="HALLUCINATION"))</x:f>
        <x:v>0</x:v>
      </x:c>
      <x:c r="X1963" s="43" t="n">
        <x:f>--AND(W1963=1,O1963="HALLUCINATION")</x:f>
        <x:v>0</x:v>
      </x:c>
      <x:c r="Y1963" s="43" t="n">
        <x:f>--AND(Q1963=1,O1963="HALLUCINATION")</x:f>
        <x:v>0</x:v>
      </x:c>
      <x:c r="Z1963" s="43" t="n">
        <x:f>--AND(Y1963=1,R1963=1,S1963=1)</x:f>
        <x:v>0</x:v>
      </x:c>
      <x:c r="AC1963" t="str">
        <x:f>IF(OR(AA1963="",AB1963=""),"",--(AA1963&lt;&gt;AB1963))</x:f>
      </x:c>
      <x:c r="AE1963" t="str">
        <x:f>IF(OR(AA1963="",AB1963=""),"PENDING_HUMAN",IF(AA1963=AB1963,AA1963,IF(AD1963&lt;&gt;"",AD1963,"PENDING_HUMAN")))</x:f>
        <x:v>PENDING_HUMAN</x:v>
      </x:c>
      <x:c r="AF1963" t="n">
        <x:f>--AND(A1963&lt;&gt;"",AA1963&lt;&gt;"",AB1963&lt;&gt;"",OR(AA1963=AB1963,AD1963&lt;&gt;""),IF(AE1963="HALLUCINATION",U1963&lt;&gt;"",TRUE))</x:f>
        <x:v>0</x:v>
      </x:c>
      <x:c r="AG1963" t="n">
        <x:f>--AND(N1963=1,AF1963=1,OR(AE1963="SUPPORTED",AE1963="HALLUCINATION"))</x:f>
        <x:v>0</x:v>
      </x:c>
      <x:c r="AH1963" t="n">
        <x:f>--AND(AG1963=1,AE1963="HALLUCINATION")</x:f>
        <x:v>0</x:v>
      </x:c>
      <x:c r="AI1963" t="n">
        <x:f>--AND(Q1963=1,AF1963=1,AE1963="HALLUCINATION")</x:f>
        <x:v>0</x:v>
      </x:c>
      <x:c r="AJ1963" t="n">
        <x:f>--AND(AI1963=1,R1963=1,S1963=1)</x:f>
        <x:v>0</x:v>
      </x:c>
    </x:row>
    <x:row r="1964">
      <x:c r="A1964" s="28"/>
      <x:c r="B1964" s="28"/>
      <x:c r="C1964" s="28"/>
      <x:c r="D1964" s="28"/>
      <x:c r="E1964" s="28"/>
      <x:c r="F1964" s="28"/>
      <x:c r="G1964" s="28"/>
      <x:c r="H1964" s="28"/>
      <x:c r="I1964" s="28"/>
      <x:c r="J1964" s="28"/>
      <x:c r="K1964" s="28"/>
      <x:c r="L1964" s="28"/>
      <x:c r="M1964" s="28"/>
      <x:c r="N1964" s="28"/>
      <x:c r="O1964" s="28"/>
      <x:c r="P1964" s="28"/>
      <x:c r="Q1964" s="28"/>
      <x:c r="R1964" s="28"/>
      <x:c r="S1964" s="28"/>
      <x:c r="T1964" s="28"/>
      <x:c r="U1964" s="28"/>
      <x:c r="V1964" s="28"/>
      <x:c r="W1964" s="43" t="n">
        <x:f>--AND(N1964=1,OR(O1964="SUPPORTED",O1964="HALLUCINATION"))</x:f>
        <x:v>0</x:v>
      </x:c>
      <x:c r="X1964" s="43" t="n">
        <x:f>--AND(W1964=1,O1964="HALLUCINATION")</x:f>
        <x:v>0</x:v>
      </x:c>
      <x:c r="Y1964" s="43" t="n">
        <x:f>--AND(Q1964=1,O1964="HALLUCINATION")</x:f>
        <x:v>0</x:v>
      </x:c>
      <x:c r="Z1964" s="43" t="n">
        <x:f>--AND(Y1964=1,R1964=1,S1964=1)</x:f>
        <x:v>0</x:v>
      </x:c>
      <x:c r="AC1964" t="str">
        <x:f>IF(OR(AA1964="",AB1964=""),"",--(AA1964&lt;&gt;AB1964))</x:f>
      </x:c>
      <x:c r="AE1964" t="str">
        <x:f>IF(OR(AA1964="",AB1964=""),"PENDING_HUMAN",IF(AA1964=AB1964,AA1964,IF(AD1964&lt;&gt;"",AD1964,"PENDING_HUMAN")))</x:f>
        <x:v>PENDING_HUMAN</x:v>
      </x:c>
      <x:c r="AF1964" t="n">
        <x:f>--AND(A1964&lt;&gt;"",AA1964&lt;&gt;"",AB1964&lt;&gt;"",OR(AA1964=AB1964,AD1964&lt;&gt;""),IF(AE1964="HALLUCINATION",U1964&lt;&gt;"",TRUE))</x:f>
        <x:v>0</x:v>
      </x:c>
      <x:c r="AG1964" t="n">
        <x:f>--AND(N1964=1,AF1964=1,OR(AE1964="SUPPORTED",AE1964="HALLUCINATION"))</x:f>
        <x:v>0</x:v>
      </x:c>
      <x:c r="AH1964" t="n">
        <x:f>--AND(AG1964=1,AE1964="HALLUCINATION")</x:f>
        <x:v>0</x:v>
      </x:c>
      <x:c r="AI1964" t="n">
        <x:f>--AND(Q1964=1,AF1964=1,AE1964="HALLUCINATION")</x:f>
        <x:v>0</x:v>
      </x:c>
      <x:c r="AJ1964" t="n">
        <x:f>--AND(AI1964=1,R1964=1,S1964=1)</x:f>
        <x:v>0</x:v>
      </x:c>
    </x:row>
    <x:row r="1965">
      <x:c r="A1965" s="28"/>
      <x:c r="B1965" s="28"/>
      <x:c r="C1965" s="28"/>
      <x:c r="D1965" s="28"/>
      <x:c r="E1965" s="28"/>
      <x:c r="F1965" s="28"/>
      <x:c r="G1965" s="28"/>
      <x:c r="H1965" s="28"/>
      <x:c r="I1965" s="28"/>
      <x:c r="J1965" s="28"/>
      <x:c r="K1965" s="28"/>
      <x:c r="L1965" s="28"/>
      <x:c r="M1965" s="28"/>
      <x:c r="N1965" s="28"/>
      <x:c r="O1965" s="28"/>
      <x:c r="P1965" s="28"/>
      <x:c r="Q1965" s="28"/>
      <x:c r="R1965" s="28"/>
      <x:c r="S1965" s="28"/>
      <x:c r="T1965" s="28"/>
      <x:c r="U1965" s="28"/>
      <x:c r="V1965" s="28"/>
      <x:c r="W1965" s="43" t="n">
        <x:f>--AND(N1965=1,OR(O1965="SUPPORTED",O1965="HALLUCINATION"))</x:f>
        <x:v>0</x:v>
      </x:c>
      <x:c r="X1965" s="43" t="n">
        <x:f>--AND(W1965=1,O1965="HALLUCINATION")</x:f>
        <x:v>0</x:v>
      </x:c>
      <x:c r="Y1965" s="43" t="n">
        <x:f>--AND(Q1965=1,O1965="HALLUCINATION")</x:f>
        <x:v>0</x:v>
      </x:c>
      <x:c r="Z1965" s="43" t="n">
        <x:f>--AND(Y1965=1,R1965=1,S1965=1)</x:f>
        <x:v>0</x:v>
      </x:c>
      <x:c r="AC1965" t="str">
        <x:f>IF(OR(AA1965="",AB1965=""),"",--(AA1965&lt;&gt;AB1965))</x:f>
      </x:c>
      <x:c r="AE1965" t="str">
        <x:f>IF(OR(AA1965="",AB1965=""),"PENDING_HUMAN",IF(AA1965=AB1965,AA1965,IF(AD1965&lt;&gt;"",AD1965,"PENDING_HUMAN")))</x:f>
        <x:v>PENDING_HUMAN</x:v>
      </x:c>
      <x:c r="AF1965" t="n">
        <x:f>--AND(A1965&lt;&gt;"",AA1965&lt;&gt;"",AB1965&lt;&gt;"",OR(AA1965=AB1965,AD1965&lt;&gt;""),IF(AE1965="HALLUCINATION",U1965&lt;&gt;"",TRUE))</x:f>
        <x:v>0</x:v>
      </x:c>
      <x:c r="AG1965" t="n">
        <x:f>--AND(N1965=1,AF1965=1,OR(AE1965="SUPPORTED",AE1965="HALLUCINATION"))</x:f>
        <x:v>0</x:v>
      </x:c>
      <x:c r="AH1965" t="n">
        <x:f>--AND(AG1965=1,AE1965="HALLUCINATION")</x:f>
        <x:v>0</x:v>
      </x:c>
      <x:c r="AI1965" t="n">
        <x:f>--AND(Q1965=1,AF1965=1,AE1965="HALLUCINATION")</x:f>
        <x:v>0</x:v>
      </x:c>
      <x:c r="AJ1965" t="n">
        <x:f>--AND(AI1965=1,R1965=1,S1965=1)</x:f>
        <x:v>0</x:v>
      </x:c>
    </x:row>
    <x:row r="1966">
      <x:c r="A1966" s="28"/>
      <x:c r="B1966" s="28"/>
      <x:c r="C1966" s="28"/>
      <x:c r="D1966" s="28"/>
      <x:c r="E1966" s="28"/>
      <x:c r="F1966" s="28"/>
      <x:c r="G1966" s="28"/>
      <x:c r="H1966" s="28"/>
      <x:c r="I1966" s="28"/>
      <x:c r="J1966" s="28"/>
      <x:c r="K1966" s="28"/>
      <x:c r="L1966" s="28"/>
      <x:c r="M1966" s="28"/>
      <x:c r="N1966" s="28"/>
      <x:c r="O1966" s="28"/>
      <x:c r="P1966" s="28"/>
      <x:c r="Q1966" s="28"/>
      <x:c r="R1966" s="28"/>
      <x:c r="S1966" s="28"/>
      <x:c r="T1966" s="28"/>
      <x:c r="U1966" s="28"/>
      <x:c r="V1966" s="28"/>
      <x:c r="W1966" s="43" t="n">
        <x:f>--AND(N1966=1,OR(O1966="SUPPORTED",O1966="HALLUCINATION"))</x:f>
        <x:v>0</x:v>
      </x:c>
      <x:c r="X1966" s="43" t="n">
        <x:f>--AND(W1966=1,O1966="HALLUCINATION")</x:f>
        <x:v>0</x:v>
      </x:c>
      <x:c r="Y1966" s="43" t="n">
        <x:f>--AND(Q1966=1,O1966="HALLUCINATION")</x:f>
        <x:v>0</x:v>
      </x:c>
      <x:c r="Z1966" s="43" t="n">
        <x:f>--AND(Y1966=1,R1966=1,S1966=1)</x:f>
        <x:v>0</x:v>
      </x:c>
      <x:c r="AC1966" t="str">
        <x:f>IF(OR(AA1966="",AB1966=""),"",--(AA1966&lt;&gt;AB1966))</x:f>
      </x:c>
      <x:c r="AE1966" t="str">
        <x:f>IF(OR(AA1966="",AB1966=""),"PENDING_HUMAN",IF(AA1966=AB1966,AA1966,IF(AD1966&lt;&gt;"",AD1966,"PENDING_HUMAN")))</x:f>
        <x:v>PENDING_HUMAN</x:v>
      </x:c>
      <x:c r="AF1966" t="n">
        <x:f>--AND(A1966&lt;&gt;"",AA1966&lt;&gt;"",AB1966&lt;&gt;"",OR(AA1966=AB1966,AD1966&lt;&gt;""),IF(AE1966="HALLUCINATION",U1966&lt;&gt;"",TRUE))</x:f>
        <x:v>0</x:v>
      </x:c>
      <x:c r="AG1966" t="n">
        <x:f>--AND(N1966=1,AF1966=1,OR(AE1966="SUPPORTED",AE1966="HALLUCINATION"))</x:f>
        <x:v>0</x:v>
      </x:c>
      <x:c r="AH1966" t="n">
        <x:f>--AND(AG1966=1,AE1966="HALLUCINATION")</x:f>
        <x:v>0</x:v>
      </x:c>
      <x:c r="AI1966" t="n">
        <x:f>--AND(Q1966=1,AF1966=1,AE1966="HALLUCINATION")</x:f>
        <x:v>0</x:v>
      </x:c>
      <x:c r="AJ1966" t="n">
        <x:f>--AND(AI1966=1,R1966=1,S1966=1)</x:f>
        <x:v>0</x:v>
      </x:c>
    </x:row>
    <x:row r="1967">
      <x:c r="A1967" s="28"/>
      <x:c r="B1967" s="28"/>
      <x:c r="C1967" s="28"/>
      <x:c r="D1967" s="28"/>
      <x:c r="E1967" s="28"/>
      <x:c r="F1967" s="28"/>
      <x:c r="G1967" s="28"/>
      <x:c r="H1967" s="28"/>
      <x:c r="I1967" s="28"/>
      <x:c r="J1967" s="28"/>
      <x:c r="K1967" s="28"/>
      <x:c r="L1967" s="28"/>
      <x:c r="M1967" s="28"/>
      <x:c r="N1967" s="28"/>
      <x:c r="O1967" s="28"/>
      <x:c r="P1967" s="28"/>
      <x:c r="Q1967" s="28"/>
      <x:c r="R1967" s="28"/>
      <x:c r="S1967" s="28"/>
      <x:c r="T1967" s="28"/>
      <x:c r="U1967" s="28"/>
      <x:c r="V1967" s="28"/>
      <x:c r="W1967" s="43" t="n">
        <x:f>--AND(N1967=1,OR(O1967="SUPPORTED",O1967="HALLUCINATION"))</x:f>
        <x:v>0</x:v>
      </x:c>
      <x:c r="X1967" s="43" t="n">
        <x:f>--AND(W1967=1,O1967="HALLUCINATION")</x:f>
        <x:v>0</x:v>
      </x:c>
      <x:c r="Y1967" s="43" t="n">
        <x:f>--AND(Q1967=1,O1967="HALLUCINATION")</x:f>
        <x:v>0</x:v>
      </x:c>
      <x:c r="Z1967" s="43" t="n">
        <x:f>--AND(Y1967=1,R1967=1,S1967=1)</x:f>
        <x:v>0</x:v>
      </x:c>
      <x:c r="AC1967" t="str">
        <x:f>IF(OR(AA1967="",AB1967=""),"",--(AA1967&lt;&gt;AB1967))</x:f>
      </x:c>
      <x:c r="AE1967" t="str">
        <x:f>IF(OR(AA1967="",AB1967=""),"PENDING_HUMAN",IF(AA1967=AB1967,AA1967,IF(AD1967&lt;&gt;"",AD1967,"PENDING_HUMAN")))</x:f>
        <x:v>PENDING_HUMAN</x:v>
      </x:c>
      <x:c r="AF1967" t="n">
        <x:f>--AND(A1967&lt;&gt;"",AA1967&lt;&gt;"",AB1967&lt;&gt;"",OR(AA1967=AB1967,AD1967&lt;&gt;""),IF(AE1967="HALLUCINATION",U1967&lt;&gt;"",TRUE))</x:f>
        <x:v>0</x:v>
      </x:c>
      <x:c r="AG1967" t="n">
        <x:f>--AND(N1967=1,AF1967=1,OR(AE1967="SUPPORTED",AE1967="HALLUCINATION"))</x:f>
        <x:v>0</x:v>
      </x:c>
      <x:c r="AH1967" t="n">
        <x:f>--AND(AG1967=1,AE1967="HALLUCINATION")</x:f>
        <x:v>0</x:v>
      </x:c>
      <x:c r="AI1967" t="n">
        <x:f>--AND(Q1967=1,AF1967=1,AE1967="HALLUCINATION")</x:f>
        <x:v>0</x:v>
      </x:c>
      <x:c r="AJ1967" t="n">
        <x:f>--AND(AI1967=1,R1967=1,S1967=1)</x:f>
        <x:v>0</x:v>
      </x:c>
    </x:row>
    <x:row r="1968">
      <x:c r="A1968" s="28"/>
      <x:c r="B1968" s="28"/>
      <x:c r="C1968" s="28"/>
      <x:c r="D1968" s="28"/>
      <x:c r="E1968" s="28"/>
      <x:c r="F1968" s="28"/>
      <x:c r="G1968" s="28"/>
      <x:c r="H1968" s="28"/>
      <x:c r="I1968" s="28"/>
      <x:c r="J1968" s="28"/>
      <x:c r="K1968" s="28"/>
      <x:c r="L1968" s="28"/>
      <x:c r="M1968" s="28"/>
      <x:c r="N1968" s="28"/>
      <x:c r="O1968" s="28"/>
      <x:c r="P1968" s="28"/>
      <x:c r="Q1968" s="28"/>
      <x:c r="R1968" s="28"/>
      <x:c r="S1968" s="28"/>
      <x:c r="T1968" s="28"/>
      <x:c r="U1968" s="28"/>
      <x:c r="V1968" s="28"/>
      <x:c r="W1968" s="43" t="n">
        <x:f>--AND(N1968=1,OR(O1968="SUPPORTED",O1968="HALLUCINATION"))</x:f>
        <x:v>0</x:v>
      </x:c>
      <x:c r="X1968" s="43" t="n">
        <x:f>--AND(W1968=1,O1968="HALLUCINATION")</x:f>
        <x:v>0</x:v>
      </x:c>
      <x:c r="Y1968" s="43" t="n">
        <x:f>--AND(Q1968=1,O1968="HALLUCINATION")</x:f>
        <x:v>0</x:v>
      </x:c>
      <x:c r="Z1968" s="43" t="n">
        <x:f>--AND(Y1968=1,R1968=1,S1968=1)</x:f>
        <x:v>0</x:v>
      </x:c>
      <x:c r="AC1968" t="str">
        <x:f>IF(OR(AA1968="",AB1968=""),"",--(AA1968&lt;&gt;AB1968))</x:f>
      </x:c>
      <x:c r="AE1968" t="str">
        <x:f>IF(OR(AA1968="",AB1968=""),"PENDING_HUMAN",IF(AA1968=AB1968,AA1968,IF(AD1968&lt;&gt;"",AD1968,"PENDING_HUMAN")))</x:f>
        <x:v>PENDING_HUMAN</x:v>
      </x:c>
      <x:c r="AF1968" t="n">
        <x:f>--AND(A1968&lt;&gt;"",AA1968&lt;&gt;"",AB1968&lt;&gt;"",OR(AA1968=AB1968,AD1968&lt;&gt;""),IF(AE1968="HALLUCINATION",U1968&lt;&gt;"",TRUE))</x:f>
        <x:v>0</x:v>
      </x:c>
      <x:c r="AG1968" t="n">
        <x:f>--AND(N1968=1,AF1968=1,OR(AE1968="SUPPORTED",AE1968="HALLUCINATION"))</x:f>
        <x:v>0</x:v>
      </x:c>
      <x:c r="AH1968" t="n">
        <x:f>--AND(AG1968=1,AE1968="HALLUCINATION")</x:f>
        <x:v>0</x:v>
      </x:c>
      <x:c r="AI1968" t="n">
        <x:f>--AND(Q1968=1,AF1968=1,AE1968="HALLUCINATION")</x:f>
        <x:v>0</x:v>
      </x:c>
      <x:c r="AJ1968" t="n">
        <x:f>--AND(AI1968=1,R1968=1,S1968=1)</x:f>
        <x:v>0</x:v>
      </x:c>
    </x:row>
    <x:row r="1969">
      <x:c r="A1969" s="28"/>
      <x:c r="B1969" s="28"/>
      <x:c r="C1969" s="28"/>
      <x:c r="D1969" s="28"/>
      <x:c r="E1969" s="28"/>
      <x:c r="F1969" s="28"/>
      <x:c r="G1969" s="28"/>
      <x:c r="H1969" s="28"/>
      <x:c r="I1969" s="28"/>
      <x:c r="J1969" s="28"/>
      <x:c r="K1969" s="28"/>
      <x:c r="L1969" s="28"/>
      <x:c r="M1969" s="28"/>
      <x:c r="N1969" s="28"/>
      <x:c r="O1969" s="28"/>
      <x:c r="P1969" s="28"/>
      <x:c r="Q1969" s="28"/>
      <x:c r="R1969" s="28"/>
      <x:c r="S1969" s="28"/>
      <x:c r="T1969" s="28"/>
      <x:c r="U1969" s="28"/>
      <x:c r="V1969" s="28"/>
      <x:c r="W1969" s="43" t="n">
        <x:f>--AND(N1969=1,OR(O1969="SUPPORTED",O1969="HALLUCINATION"))</x:f>
        <x:v>0</x:v>
      </x:c>
      <x:c r="X1969" s="43" t="n">
        <x:f>--AND(W1969=1,O1969="HALLUCINATION")</x:f>
        <x:v>0</x:v>
      </x:c>
      <x:c r="Y1969" s="43" t="n">
        <x:f>--AND(Q1969=1,O1969="HALLUCINATION")</x:f>
        <x:v>0</x:v>
      </x:c>
      <x:c r="Z1969" s="43" t="n">
        <x:f>--AND(Y1969=1,R1969=1,S1969=1)</x:f>
        <x:v>0</x:v>
      </x:c>
      <x:c r="AC1969" t="str">
        <x:f>IF(OR(AA1969="",AB1969=""),"",--(AA1969&lt;&gt;AB1969))</x:f>
      </x:c>
      <x:c r="AE1969" t="str">
        <x:f>IF(OR(AA1969="",AB1969=""),"PENDING_HUMAN",IF(AA1969=AB1969,AA1969,IF(AD1969&lt;&gt;"",AD1969,"PENDING_HUMAN")))</x:f>
        <x:v>PENDING_HUMAN</x:v>
      </x:c>
      <x:c r="AF1969" t="n">
        <x:f>--AND(A1969&lt;&gt;"",AA1969&lt;&gt;"",AB1969&lt;&gt;"",OR(AA1969=AB1969,AD1969&lt;&gt;""),IF(AE1969="HALLUCINATION",U1969&lt;&gt;"",TRUE))</x:f>
        <x:v>0</x:v>
      </x:c>
      <x:c r="AG1969" t="n">
        <x:f>--AND(N1969=1,AF1969=1,OR(AE1969="SUPPORTED",AE1969="HALLUCINATION"))</x:f>
        <x:v>0</x:v>
      </x:c>
      <x:c r="AH1969" t="n">
        <x:f>--AND(AG1969=1,AE1969="HALLUCINATION")</x:f>
        <x:v>0</x:v>
      </x:c>
      <x:c r="AI1969" t="n">
        <x:f>--AND(Q1969=1,AF1969=1,AE1969="HALLUCINATION")</x:f>
        <x:v>0</x:v>
      </x:c>
      <x:c r="AJ1969" t="n">
        <x:f>--AND(AI1969=1,R1969=1,S1969=1)</x:f>
        <x:v>0</x:v>
      </x:c>
    </x:row>
    <x:row r="1970">
      <x:c r="A1970" s="28"/>
      <x:c r="B1970" s="28"/>
      <x:c r="C1970" s="28"/>
      <x:c r="D1970" s="28"/>
      <x:c r="E1970" s="28"/>
      <x:c r="F1970" s="28"/>
      <x:c r="G1970" s="28"/>
      <x:c r="H1970" s="28"/>
      <x:c r="I1970" s="28"/>
      <x:c r="J1970" s="28"/>
      <x:c r="K1970" s="28"/>
      <x:c r="L1970" s="28"/>
      <x:c r="M1970" s="28"/>
      <x:c r="N1970" s="28"/>
      <x:c r="O1970" s="28"/>
      <x:c r="P1970" s="28"/>
      <x:c r="Q1970" s="28"/>
      <x:c r="R1970" s="28"/>
      <x:c r="S1970" s="28"/>
      <x:c r="T1970" s="28"/>
      <x:c r="U1970" s="28"/>
      <x:c r="V1970" s="28"/>
      <x:c r="W1970" s="43" t="n">
        <x:f>--AND(N1970=1,OR(O1970="SUPPORTED",O1970="HALLUCINATION"))</x:f>
        <x:v>0</x:v>
      </x:c>
      <x:c r="X1970" s="43" t="n">
        <x:f>--AND(W1970=1,O1970="HALLUCINATION")</x:f>
        <x:v>0</x:v>
      </x:c>
      <x:c r="Y1970" s="43" t="n">
        <x:f>--AND(Q1970=1,O1970="HALLUCINATION")</x:f>
        <x:v>0</x:v>
      </x:c>
      <x:c r="Z1970" s="43" t="n">
        <x:f>--AND(Y1970=1,R1970=1,S1970=1)</x:f>
        <x:v>0</x:v>
      </x:c>
      <x:c r="AC1970" t="str">
        <x:f>IF(OR(AA1970="",AB1970=""),"",--(AA1970&lt;&gt;AB1970))</x:f>
      </x:c>
      <x:c r="AE1970" t="str">
        <x:f>IF(OR(AA1970="",AB1970=""),"PENDING_HUMAN",IF(AA1970=AB1970,AA1970,IF(AD1970&lt;&gt;"",AD1970,"PENDING_HUMAN")))</x:f>
        <x:v>PENDING_HUMAN</x:v>
      </x:c>
      <x:c r="AF1970" t="n">
        <x:f>--AND(A1970&lt;&gt;"",AA1970&lt;&gt;"",AB1970&lt;&gt;"",OR(AA1970=AB1970,AD1970&lt;&gt;""),IF(AE1970="HALLUCINATION",U1970&lt;&gt;"",TRUE))</x:f>
        <x:v>0</x:v>
      </x:c>
      <x:c r="AG1970" t="n">
        <x:f>--AND(N1970=1,AF1970=1,OR(AE1970="SUPPORTED",AE1970="HALLUCINATION"))</x:f>
        <x:v>0</x:v>
      </x:c>
      <x:c r="AH1970" t="n">
        <x:f>--AND(AG1970=1,AE1970="HALLUCINATION")</x:f>
        <x:v>0</x:v>
      </x:c>
      <x:c r="AI1970" t="n">
        <x:f>--AND(Q1970=1,AF1970=1,AE1970="HALLUCINATION")</x:f>
        <x:v>0</x:v>
      </x:c>
      <x:c r="AJ1970" t="n">
        <x:f>--AND(AI1970=1,R1970=1,S1970=1)</x:f>
        <x:v>0</x:v>
      </x:c>
    </x:row>
    <x:row r="1971">
      <x:c r="A1971" s="28"/>
      <x:c r="B1971" s="28"/>
      <x:c r="C1971" s="28"/>
      <x:c r="D1971" s="28"/>
      <x:c r="E1971" s="28"/>
      <x:c r="F1971" s="28"/>
      <x:c r="G1971" s="28"/>
      <x:c r="H1971" s="28"/>
      <x:c r="I1971" s="28"/>
      <x:c r="J1971" s="28"/>
      <x:c r="K1971" s="28"/>
      <x:c r="L1971" s="28"/>
      <x:c r="M1971" s="28"/>
      <x:c r="N1971" s="28"/>
      <x:c r="O1971" s="28"/>
      <x:c r="P1971" s="28"/>
      <x:c r="Q1971" s="28"/>
      <x:c r="R1971" s="28"/>
      <x:c r="S1971" s="28"/>
      <x:c r="T1971" s="28"/>
      <x:c r="U1971" s="28"/>
      <x:c r="V1971" s="28"/>
      <x:c r="W1971" s="43" t="n">
        <x:f>--AND(N1971=1,OR(O1971="SUPPORTED",O1971="HALLUCINATION"))</x:f>
        <x:v>0</x:v>
      </x:c>
      <x:c r="X1971" s="43" t="n">
        <x:f>--AND(W1971=1,O1971="HALLUCINATION")</x:f>
        <x:v>0</x:v>
      </x:c>
      <x:c r="Y1971" s="43" t="n">
        <x:f>--AND(Q1971=1,O1971="HALLUCINATION")</x:f>
        <x:v>0</x:v>
      </x:c>
      <x:c r="Z1971" s="43" t="n">
        <x:f>--AND(Y1971=1,R1971=1,S1971=1)</x:f>
        <x:v>0</x:v>
      </x:c>
      <x:c r="AC1971" t="str">
        <x:f>IF(OR(AA1971="",AB1971=""),"",--(AA1971&lt;&gt;AB1971))</x:f>
      </x:c>
      <x:c r="AE1971" t="str">
        <x:f>IF(OR(AA1971="",AB1971=""),"PENDING_HUMAN",IF(AA1971=AB1971,AA1971,IF(AD1971&lt;&gt;"",AD1971,"PENDING_HUMAN")))</x:f>
        <x:v>PENDING_HUMAN</x:v>
      </x:c>
      <x:c r="AF1971" t="n">
        <x:f>--AND(A1971&lt;&gt;"",AA1971&lt;&gt;"",AB1971&lt;&gt;"",OR(AA1971=AB1971,AD1971&lt;&gt;""),IF(AE1971="HALLUCINATION",U1971&lt;&gt;"",TRUE))</x:f>
        <x:v>0</x:v>
      </x:c>
      <x:c r="AG1971" t="n">
        <x:f>--AND(N1971=1,AF1971=1,OR(AE1971="SUPPORTED",AE1971="HALLUCINATION"))</x:f>
        <x:v>0</x:v>
      </x:c>
      <x:c r="AH1971" t="n">
        <x:f>--AND(AG1971=1,AE1971="HALLUCINATION")</x:f>
        <x:v>0</x:v>
      </x:c>
      <x:c r="AI1971" t="n">
        <x:f>--AND(Q1971=1,AF1971=1,AE1971="HALLUCINATION")</x:f>
        <x:v>0</x:v>
      </x:c>
      <x:c r="AJ1971" t="n">
        <x:f>--AND(AI1971=1,R1971=1,S1971=1)</x:f>
        <x:v>0</x:v>
      </x:c>
    </x:row>
    <x:row r="1972">
      <x:c r="A1972" s="28"/>
      <x:c r="B1972" s="28"/>
      <x:c r="C1972" s="28"/>
      <x:c r="D1972" s="28"/>
      <x:c r="E1972" s="28"/>
      <x:c r="F1972" s="28"/>
      <x:c r="G1972" s="28"/>
      <x:c r="H1972" s="28"/>
      <x:c r="I1972" s="28"/>
      <x:c r="J1972" s="28"/>
      <x:c r="K1972" s="28"/>
      <x:c r="L1972" s="28"/>
      <x:c r="M1972" s="28"/>
      <x:c r="N1972" s="28"/>
      <x:c r="O1972" s="28"/>
      <x:c r="P1972" s="28"/>
      <x:c r="Q1972" s="28"/>
      <x:c r="R1972" s="28"/>
      <x:c r="S1972" s="28"/>
      <x:c r="T1972" s="28"/>
      <x:c r="U1972" s="28"/>
      <x:c r="V1972" s="28"/>
      <x:c r="W1972" s="43" t="n">
        <x:f>--AND(N1972=1,OR(O1972="SUPPORTED",O1972="HALLUCINATION"))</x:f>
        <x:v>0</x:v>
      </x:c>
      <x:c r="X1972" s="43" t="n">
        <x:f>--AND(W1972=1,O1972="HALLUCINATION")</x:f>
        <x:v>0</x:v>
      </x:c>
      <x:c r="Y1972" s="43" t="n">
        <x:f>--AND(Q1972=1,O1972="HALLUCINATION")</x:f>
        <x:v>0</x:v>
      </x:c>
      <x:c r="Z1972" s="43" t="n">
        <x:f>--AND(Y1972=1,R1972=1,S1972=1)</x:f>
        <x:v>0</x:v>
      </x:c>
      <x:c r="AC1972" t="str">
        <x:f>IF(OR(AA1972="",AB1972=""),"",--(AA1972&lt;&gt;AB1972))</x:f>
      </x:c>
      <x:c r="AE1972" t="str">
        <x:f>IF(OR(AA1972="",AB1972=""),"PENDING_HUMAN",IF(AA1972=AB1972,AA1972,IF(AD1972&lt;&gt;"",AD1972,"PENDING_HUMAN")))</x:f>
        <x:v>PENDING_HUMAN</x:v>
      </x:c>
      <x:c r="AF1972" t="n">
        <x:f>--AND(A1972&lt;&gt;"",AA1972&lt;&gt;"",AB1972&lt;&gt;"",OR(AA1972=AB1972,AD1972&lt;&gt;""),IF(AE1972="HALLUCINATION",U1972&lt;&gt;"",TRUE))</x:f>
        <x:v>0</x:v>
      </x:c>
      <x:c r="AG1972" t="n">
        <x:f>--AND(N1972=1,AF1972=1,OR(AE1972="SUPPORTED",AE1972="HALLUCINATION"))</x:f>
        <x:v>0</x:v>
      </x:c>
      <x:c r="AH1972" t="n">
        <x:f>--AND(AG1972=1,AE1972="HALLUCINATION")</x:f>
        <x:v>0</x:v>
      </x:c>
      <x:c r="AI1972" t="n">
        <x:f>--AND(Q1972=1,AF1972=1,AE1972="HALLUCINATION")</x:f>
        <x:v>0</x:v>
      </x:c>
      <x:c r="AJ1972" t="n">
        <x:f>--AND(AI1972=1,R1972=1,S1972=1)</x:f>
        <x:v>0</x:v>
      </x:c>
    </x:row>
    <x:row r="1973">
      <x:c r="A1973" s="28"/>
      <x:c r="B1973" s="28"/>
      <x:c r="C1973" s="28"/>
      <x:c r="D1973" s="28"/>
      <x:c r="E1973" s="28"/>
      <x:c r="F1973" s="28"/>
      <x:c r="G1973" s="28"/>
      <x:c r="H1973" s="28"/>
      <x:c r="I1973" s="28"/>
      <x:c r="J1973" s="28"/>
      <x:c r="K1973" s="28"/>
      <x:c r="L1973" s="28"/>
      <x:c r="M1973" s="28"/>
      <x:c r="N1973" s="28"/>
      <x:c r="O1973" s="28"/>
      <x:c r="P1973" s="28"/>
      <x:c r="Q1973" s="28"/>
      <x:c r="R1973" s="28"/>
      <x:c r="S1973" s="28"/>
      <x:c r="T1973" s="28"/>
      <x:c r="U1973" s="28"/>
      <x:c r="V1973" s="28"/>
      <x:c r="W1973" s="43" t="n">
        <x:f>--AND(N1973=1,OR(O1973="SUPPORTED",O1973="HALLUCINATION"))</x:f>
        <x:v>0</x:v>
      </x:c>
      <x:c r="X1973" s="43" t="n">
        <x:f>--AND(W1973=1,O1973="HALLUCINATION")</x:f>
        <x:v>0</x:v>
      </x:c>
      <x:c r="Y1973" s="43" t="n">
        <x:f>--AND(Q1973=1,O1973="HALLUCINATION")</x:f>
        <x:v>0</x:v>
      </x:c>
      <x:c r="Z1973" s="43" t="n">
        <x:f>--AND(Y1973=1,R1973=1,S1973=1)</x:f>
        <x:v>0</x:v>
      </x:c>
      <x:c r="AC1973" t="str">
        <x:f>IF(OR(AA1973="",AB1973=""),"",--(AA1973&lt;&gt;AB1973))</x:f>
      </x:c>
      <x:c r="AE1973" t="str">
        <x:f>IF(OR(AA1973="",AB1973=""),"PENDING_HUMAN",IF(AA1973=AB1973,AA1973,IF(AD1973&lt;&gt;"",AD1973,"PENDING_HUMAN")))</x:f>
        <x:v>PENDING_HUMAN</x:v>
      </x:c>
      <x:c r="AF1973" t="n">
        <x:f>--AND(A1973&lt;&gt;"",AA1973&lt;&gt;"",AB1973&lt;&gt;"",OR(AA1973=AB1973,AD1973&lt;&gt;""),IF(AE1973="HALLUCINATION",U1973&lt;&gt;"",TRUE))</x:f>
        <x:v>0</x:v>
      </x:c>
      <x:c r="AG1973" t="n">
        <x:f>--AND(N1973=1,AF1973=1,OR(AE1973="SUPPORTED",AE1973="HALLUCINATION"))</x:f>
        <x:v>0</x:v>
      </x:c>
      <x:c r="AH1973" t="n">
        <x:f>--AND(AG1973=1,AE1973="HALLUCINATION")</x:f>
        <x:v>0</x:v>
      </x:c>
      <x:c r="AI1973" t="n">
        <x:f>--AND(Q1973=1,AF1973=1,AE1973="HALLUCINATION")</x:f>
        <x:v>0</x:v>
      </x:c>
      <x:c r="AJ1973" t="n">
        <x:f>--AND(AI1973=1,R1973=1,S1973=1)</x:f>
        <x:v>0</x:v>
      </x:c>
    </x:row>
    <x:row r="1974">
      <x:c r="A1974" s="28"/>
      <x:c r="B1974" s="28"/>
      <x:c r="C1974" s="28"/>
      <x:c r="D1974" s="28"/>
      <x:c r="E1974" s="28"/>
      <x:c r="F1974" s="28"/>
      <x:c r="G1974" s="28"/>
      <x:c r="H1974" s="28"/>
      <x:c r="I1974" s="28"/>
      <x:c r="J1974" s="28"/>
      <x:c r="K1974" s="28"/>
      <x:c r="L1974" s="28"/>
      <x:c r="M1974" s="28"/>
      <x:c r="N1974" s="28"/>
      <x:c r="O1974" s="28"/>
      <x:c r="P1974" s="28"/>
      <x:c r="Q1974" s="28"/>
      <x:c r="R1974" s="28"/>
      <x:c r="S1974" s="28"/>
      <x:c r="T1974" s="28"/>
      <x:c r="U1974" s="28"/>
      <x:c r="V1974" s="28"/>
      <x:c r="W1974" s="43" t="n">
        <x:f>--AND(N1974=1,OR(O1974="SUPPORTED",O1974="HALLUCINATION"))</x:f>
        <x:v>0</x:v>
      </x:c>
      <x:c r="X1974" s="43" t="n">
        <x:f>--AND(W1974=1,O1974="HALLUCINATION")</x:f>
        <x:v>0</x:v>
      </x:c>
      <x:c r="Y1974" s="43" t="n">
        <x:f>--AND(Q1974=1,O1974="HALLUCINATION")</x:f>
        <x:v>0</x:v>
      </x:c>
      <x:c r="Z1974" s="43" t="n">
        <x:f>--AND(Y1974=1,R1974=1,S1974=1)</x:f>
        <x:v>0</x:v>
      </x:c>
      <x:c r="AC1974" t="str">
        <x:f>IF(OR(AA1974="",AB1974=""),"",--(AA1974&lt;&gt;AB1974))</x:f>
      </x:c>
      <x:c r="AE1974" t="str">
        <x:f>IF(OR(AA1974="",AB1974=""),"PENDING_HUMAN",IF(AA1974=AB1974,AA1974,IF(AD1974&lt;&gt;"",AD1974,"PENDING_HUMAN")))</x:f>
        <x:v>PENDING_HUMAN</x:v>
      </x:c>
      <x:c r="AF1974" t="n">
        <x:f>--AND(A1974&lt;&gt;"",AA1974&lt;&gt;"",AB1974&lt;&gt;"",OR(AA1974=AB1974,AD1974&lt;&gt;""),IF(AE1974="HALLUCINATION",U1974&lt;&gt;"",TRUE))</x:f>
        <x:v>0</x:v>
      </x:c>
      <x:c r="AG1974" t="n">
        <x:f>--AND(N1974=1,AF1974=1,OR(AE1974="SUPPORTED",AE1974="HALLUCINATION"))</x:f>
        <x:v>0</x:v>
      </x:c>
      <x:c r="AH1974" t="n">
        <x:f>--AND(AG1974=1,AE1974="HALLUCINATION")</x:f>
        <x:v>0</x:v>
      </x:c>
      <x:c r="AI1974" t="n">
        <x:f>--AND(Q1974=1,AF1974=1,AE1974="HALLUCINATION")</x:f>
        <x:v>0</x:v>
      </x:c>
      <x:c r="AJ1974" t="n">
        <x:f>--AND(AI1974=1,R1974=1,S1974=1)</x:f>
        <x:v>0</x:v>
      </x:c>
    </x:row>
    <x:row r="1975">
      <x:c r="A1975" s="28"/>
      <x:c r="B1975" s="28"/>
      <x:c r="C1975" s="28"/>
      <x:c r="D1975" s="28"/>
      <x:c r="E1975" s="28"/>
      <x:c r="F1975" s="28"/>
      <x:c r="G1975" s="28"/>
      <x:c r="H1975" s="28"/>
      <x:c r="I1975" s="28"/>
      <x:c r="J1975" s="28"/>
      <x:c r="K1975" s="28"/>
      <x:c r="L1975" s="28"/>
      <x:c r="M1975" s="28"/>
      <x:c r="N1975" s="28"/>
      <x:c r="O1975" s="28"/>
      <x:c r="P1975" s="28"/>
      <x:c r="Q1975" s="28"/>
      <x:c r="R1975" s="28"/>
      <x:c r="S1975" s="28"/>
      <x:c r="T1975" s="28"/>
      <x:c r="U1975" s="28"/>
      <x:c r="V1975" s="28"/>
      <x:c r="W1975" s="43" t="n">
        <x:f>--AND(N1975=1,OR(O1975="SUPPORTED",O1975="HALLUCINATION"))</x:f>
        <x:v>0</x:v>
      </x:c>
      <x:c r="X1975" s="43" t="n">
        <x:f>--AND(W1975=1,O1975="HALLUCINATION")</x:f>
        <x:v>0</x:v>
      </x:c>
      <x:c r="Y1975" s="43" t="n">
        <x:f>--AND(Q1975=1,O1975="HALLUCINATION")</x:f>
        <x:v>0</x:v>
      </x:c>
      <x:c r="Z1975" s="43" t="n">
        <x:f>--AND(Y1975=1,R1975=1,S1975=1)</x:f>
        <x:v>0</x:v>
      </x:c>
      <x:c r="AC1975" t="str">
        <x:f>IF(OR(AA1975="",AB1975=""),"",--(AA1975&lt;&gt;AB1975))</x:f>
      </x:c>
      <x:c r="AE1975" t="str">
        <x:f>IF(OR(AA1975="",AB1975=""),"PENDING_HUMAN",IF(AA1975=AB1975,AA1975,IF(AD1975&lt;&gt;"",AD1975,"PENDING_HUMAN")))</x:f>
        <x:v>PENDING_HUMAN</x:v>
      </x:c>
      <x:c r="AF1975" t="n">
        <x:f>--AND(A1975&lt;&gt;"",AA1975&lt;&gt;"",AB1975&lt;&gt;"",OR(AA1975=AB1975,AD1975&lt;&gt;""),IF(AE1975="HALLUCINATION",U1975&lt;&gt;"",TRUE))</x:f>
        <x:v>0</x:v>
      </x:c>
      <x:c r="AG1975" t="n">
        <x:f>--AND(N1975=1,AF1975=1,OR(AE1975="SUPPORTED",AE1975="HALLUCINATION"))</x:f>
        <x:v>0</x:v>
      </x:c>
      <x:c r="AH1975" t="n">
        <x:f>--AND(AG1975=1,AE1975="HALLUCINATION")</x:f>
        <x:v>0</x:v>
      </x:c>
      <x:c r="AI1975" t="n">
        <x:f>--AND(Q1975=1,AF1975=1,AE1975="HALLUCINATION")</x:f>
        <x:v>0</x:v>
      </x:c>
      <x:c r="AJ1975" t="n">
        <x:f>--AND(AI1975=1,R1975=1,S1975=1)</x:f>
        <x:v>0</x:v>
      </x:c>
    </x:row>
    <x:row r="1976">
      <x:c r="A1976" s="28"/>
      <x:c r="B1976" s="28"/>
      <x:c r="C1976" s="28"/>
      <x:c r="D1976" s="28"/>
      <x:c r="E1976" s="28"/>
      <x:c r="F1976" s="28"/>
      <x:c r="G1976" s="28"/>
      <x:c r="H1976" s="28"/>
      <x:c r="I1976" s="28"/>
      <x:c r="J1976" s="28"/>
      <x:c r="K1976" s="28"/>
      <x:c r="L1976" s="28"/>
      <x:c r="M1976" s="28"/>
      <x:c r="N1976" s="28"/>
      <x:c r="O1976" s="28"/>
      <x:c r="P1976" s="28"/>
      <x:c r="Q1976" s="28"/>
      <x:c r="R1976" s="28"/>
      <x:c r="S1976" s="28"/>
      <x:c r="T1976" s="28"/>
      <x:c r="U1976" s="28"/>
      <x:c r="V1976" s="28"/>
      <x:c r="W1976" s="43" t="n">
        <x:f>--AND(N1976=1,OR(O1976="SUPPORTED",O1976="HALLUCINATION"))</x:f>
        <x:v>0</x:v>
      </x:c>
      <x:c r="X1976" s="43" t="n">
        <x:f>--AND(W1976=1,O1976="HALLUCINATION")</x:f>
        <x:v>0</x:v>
      </x:c>
      <x:c r="Y1976" s="43" t="n">
        <x:f>--AND(Q1976=1,O1976="HALLUCINATION")</x:f>
        <x:v>0</x:v>
      </x:c>
      <x:c r="Z1976" s="43" t="n">
        <x:f>--AND(Y1976=1,R1976=1,S1976=1)</x:f>
        <x:v>0</x:v>
      </x:c>
      <x:c r="AC1976" t="str">
        <x:f>IF(OR(AA1976="",AB1976=""),"",--(AA1976&lt;&gt;AB1976))</x:f>
      </x:c>
      <x:c r="AE1976" t="str">
        <x:f>IF(OR(AA1976="",AB1976=""),"PENDING_HUMAN",IF(AA1976=AB1976,AA1976,IF(AD1976&lt;&gt;"",AD1976,"PENDING_HUMAN")))</x:f>
        <x:v>PENDING_HUMAN</x:v>
      </x:c>
      <x:c r="AF1976" t="n">
        <x:f>--AND(A1976&lt;&gt;"",AA1976&lt;&gt;"",AB1976&lt;&gt;"",OR(AA1976=AB1976,AD1976&lt;&gt;""),IF(AE1976="HALLUCINATION",U1976&lt;&gt;"",TRUE))</x:f>
        <x:v>0</x:v>
      </x:c>
      <x:c r="AG1976" t="n">
        <x:f>--AND(N1976=1,AF1976=1,OR(AE1976="SUPPORTED",AE1976="HALLUCINATION"))</x:f>
        <x:v>0</x:v>
      </x:c>
      <x:c r="AH1976" t="n">
        <x:f>--AND(AG1976=1,AE1976="HALLUCINATION")</x:f>
        <x:v>0</x:v>
      </x:c>
      <x:c r="AI1976" t="n">
        <x:f>--AND(Q1976=1,AF1976=1,AE1976="HALLUCINATION")</x:f>
        <x:v>0</x:v>
      </x:c>
      <x:c r="AJ1976" t="n">
        <x:f>--AND(AI1976=1,R1976=1,S1976=1)</x:f>
        <x:v>0</x:v>
      </x:c>
    </x:row>
    <x:row r="1977">
      <x:c r="A1977" s="28"/>
      <x:c r="B1977" s="28"/>
      <x:c r="C1977" s="28"/>
      <x:c r="D1977" s="28"/>
      <x:c r="E1977" s="28"/>
      <x:c r="F1977" s="28"/>
      <x:c r="G1977" s="28"/>
      <x:c r="H1977" s="28"/>
      <x:c r="I1977" s="28"/>
      <x:c r="J1977" s="28"/>
      <x:c r="K1977" s="28"/>
      <x:c r="L1977" s="28"/>
      <x:c r="M1977" s="28"/>
      <x:c r="N1977" s="28"/>
      <x:c r="O1977" s="28"/>
      <x:c r="P1977" s="28"/>
      <x:c r="Q1977" s="28"/>
      <x:c r="R1977" s="28"/>
      <x:c r="S1977" s="28"/>
      <x:c r="T1977" s="28"/>
      <x:c r="U1977" s="28"/>
      <x:c r="V1977" s="28"/>
      <x:c r="W1977" s="43" t="n">
        <x:f>--AND(N1977=1,OR(O1977="SUPPORTED",O1977="HALLUCINATION"))</x:f>
        <x:v>0</x:v>
      </x:c>
      <x:c r="X1977" s="43" t="n">
        <x:f>--AND(W1977=1,O1977="HALLUCINATION")</x:f>
        <x:v>0</x:v>
      </x:c>
      <x:c r="Y1977" s="43" t="n">
        <x:f>--AND(Q1977=1,O1977="HALLUCINATION")</x:f>
        <x:v>0</x:v>
      </x:c>
      <x:c r="Z1977" s="43" t="n">
        <x:f>--AND(Y1977=1,R1977=1,S1977=1)</x:f>
        <x:v>0</x:v>
      </x:c>
      <x:c r="AC1977" t="str">
        <x:f>IF(OR(AA1977="",AB1977=""),"",--(AA1977&lt;&gt;AB1977))</x:f>
      </x:c>
      <x:c r="AE1977" t="str">
        <x:f>IF(OR(AA1977="",AB1977=""),"PENDING_HUMAN",IF(AA1977=AB1977,AA1977,IF(AD1977&lt;&gt;"",AD1977,"PENDING_HUMAN")))</x:f>
        <x:v>PENDING_HUMAN</x:v>
      </x:c>
      <x:c r="AF1977" t="n">
        <x:f>--AND(A1977&lt;&gt;"",AA1977&lt;&gt;"",AB1977&lt;&gt;"",OR(AA1977=AB1977,AD1977&lt;&gt;""),IF(AE1977="HALLUCINATION",U1977&lt;&gt;"",TRUE))</x:f>
        <x:v>0</x:v>
      </x:c>
      <x:c r="AG1977" t="n">
        <x:f>--AND(N1977=1,AF1977=1,OR(AE1977="SUPPORTED",AE1977="HALLUCINATION"))</x:f>
        <x:v>0</x:v>
      </x:c>
      <x:c r="AH1977" t="n">
        <x:f>--AND(AG1977=1,AE1977="HALLUCINATION")</x:f>
        <x:v>0</x:v>
      </x:c>
      <x:c r="AI1977" t="n">
        <x:f>--AND(Q1977=1,AF1977=1,AE1977="HALLUCINATION")</x:f>
        <x:v>0</x:v>
      </x:c>
      <x:c r="AJ1977" t="n">
        <x:f>--AND(AI1977=1,R1977=1,S1977=1)</x:f>
        <x:v>0</x:v>
      </x:c>
    </x:row>
    <x:row r="1978">
      <x:c r="A1978" s="28"/>
      <x:c r="B1978" s="28"/>
      <x:c r="C1978" s="28"/>
      <x:c r="D1978" s="28"/>
      <x:c r="E1978" s="28"/>
      <x:c r="F1978" s="28"/>
      <x:c r="G1978" s="28"/>
      <x:c r="H1978" s="28"/>
      <x:c r="I1978" s="28"/>
      <x:c r="J1978" s="28"/>
      <x:c r="K1978" s="28"/>
      <x:c r="L1978" s="28"/>
      <x:c r="M1978" s="28"/>
      <x:c r="N1978" s="28"/>
      <x:c r="O1978" s="28"/>
      <x:c r="P1978" s="28"/>
      <x:c r="Q1978" s="28"/>
      <x:c r="R1978" s="28"/>
      <x:c r="S1978" s="28"/>
      <x:c r="T1978" s="28"/>
      <x:c r="U1978" s="28"/>
      <x:c r="V1978" s="28"/>
      <x:c r="W1978" s="43" t="n">
        <x:f>--AND(N1978=1,OR(O1978="SUPPORTED",O1978="HALLUCINATION"))</x:f>
        <x:v>0</x:v>
      </x:c>
      <x:c r="X1978" s="43" t="n">
        <x:f>--AND(W1978=1,O1978="HALLUCINATION")</x:f>
        <x:v>0</x:v>
      </x:c>
      <x:c r="Y1978" s="43" t="n">
        <x:f>--AND(Q1978=1,O1978="HALLUCINATION")</x:f>
        <x:v>0</x:v>
      </x:c>
      <x:c r="Z1978" s="43" t="n">
        <x:f>--AND(Y1978=1,R1978=1,S1978=1)</x:f>
        <x:v>0</x:v>
      </x:c>
      <x:c r="AC1978" t="str">
        <x:f>IF(OR(AA1978="",AB1978=""),"",--(AA1978&lt;&gt;AB1978))</x:f>
      </x:c>
      <x:c r="AE1978" t="str">
        <x:f>IF(OR(AA1978="",AB1978=""),"PENDING_HUMAN",IF(AA1978=AB1978,AA1978,IF(AD1978&lt;&gt;"",AD1978,"PENDING_HUMAN")))</x:f>
        <x:v>PENDING_HUMAN</x:v>
      </x:c>
      <x:c r="AF1978" t="n">
        <x:f>--AND(A1978&lt;&gt;"",AA1978&lt;&gt;"",AB1978&lt;&gt;"",OR(AA1978=AB1978,AD1978&lt;&gt;""),IF(AE1978="HALLUCINATION",U1978&lt;&gt;"",TRUE))</x:f>
        <x:v>0</x:v>
      </x:c>
      <x:c r="AG1978" t="n">
        <x:f>--AND(N1978=1,AF1978=1,OR(AE1978="SUPPORTED",AE1978="HALLUCINATION"))</x:f>
        <x:v>0</x:v>
      </x:c>
      <x:c r="AH1978" t="n">
        <x:f>--AND(AG1978=1,AE1978="HALLUCINATION")</x:f>
        <x:v>0</x:v>
      </x:c>
      <x:c r="AI1978" t="n">
        <x:f>--AND(Q1978=1,AF1978=1,AE1978="HALLUCINATION")</x:f>
        <x:v>0</x:v>
      </x:c>
      <x:c r="AJ1978" t="n">
        <x:f>--AND(AI1978=1,R1978=1,S1978=1)</x:f>
        <x:v>0</x:v>
      </x:c>
    </x:row>
    <x:row r="1979">
      <x:c r="A1979" s="28"/>
      <x:c r="B1979" s="28"/>
      <x:c r="C1979" s="28"/>
      <x:c r="D1979" s="28"/>
      <x:c r="E1979" s="28"/>
      <x:c r="F1979" s="28"/>
      <x:c r="G1979" s="28"/>
      <x:c r="H1979" s="28"/>
      <x:c r="I1979" s="28"/>
      <x:c r="J1979" s="28"/>
      <x:c r="K1979" s="28"/>
      <x:c r="L1979" s="28"/>
      <x:c r="M1979" s="28"/>
      <x:c r="N1979" s="28"/>
      <x:c r="O1979" s="28"/>
      <x:c r="P1979" s="28"/>
      <x:c r="Q1979" s="28"/>
      <x:c r="R1979" s="28"/>
      <x:c r="S1979" s="28"/>
      <x:c r="T1979" s="28"/>
      <x:c r="U1979" s="28"/>
      <x:c r="V1979" s="28"/>
      <x:c r="W1979" s="43" t="n">
        <x:f>--AND(N1979=1,OR(O1979="SUPPORTED",O1979="HALLUCINATION"))</x:f>
        <x:v>0</x:v>
      </x:c>
      <x:c r="X1979" s="43" t="n">
        <x:f>--AND(W1979=1,O1979="HALLUCINATION")</x:f>
        <x:v>0</x:v>
      </x:c>
      <x:c r="Y1979" s="43" t="n">
        <x:f>--AND(Q1979=1,O1979="HALLUCINATION")</x:f>
        <x:v>0</x:v>
      </x:c>
      <x:c r="Z1979" s="43" t="n">
        <x:f>--AND(Y1979=1,R1979=1,S1979=1)</x:f>
        <x:v>0</x:v>
      </x:c>
      <x:c r="AC1979" t="str">
        <x:f>IF(OR(AA1979="",AB1979=""),"",--(AA1979&lt;&gt;AB1979))</x:f>
      </x:c>
      <x:c r="AE1979" t="str">
        <x:f>IF(OR(AA1979="",AB1979=""),"PENDING_HUMAN",IF(AA1979=AB1979,AA1979,IF(AD1979&lt;&gt;"",AD1979,"PENDING_HUMAN")))</x:f>
        <x:v>PENDING_HUMAN</x:v>
      </x:c>
      <x:c r="AF1979" t="n">
        <x:f>--AND(A1979&lt;&gt;"",AA1979&lt;&gt;"",AB1979&lt;&gt;"",OR(AA1979=AB1979,AD1979&lt;&gt;""),IF(AE1979="HALLUCINATION",U1979&lt;&gt;"",TRUE))</x:f>
        <x:v>0</x:v>
      </x:c>
      <x:c r="AG1979" t="n">
        <x:f>--AND(N1979=1,AF1979=1,OR(AE1979="SUPPORTED",AE1979="HALLUCINATION"))</x:f>
        <x:v>0</x:v>
      </x:c>
      <x:c r="AH1979" t="n">
        <x:f>--AND(AG1979=1,AE1979="HALLUCINATION")</x:f>
        <x:v>0</x:v>
      </x:c>
      <x:c r="AI1979" t="n">
        <x:f>--AND(Q1979=1,AF1979=1,AE1979="HALLUCINATION")</x:f>
        <x:v>0</x:v>
      </x:c>
      <x:c r="AJ1979" t="n">
        <x:f>--AND(AI1979=1,R1979=1,S1979=1)</x:f>
        <x:v>0</x:v>
      </x:c>
    </x:row>
    <x:row r="1980">
      <x:c r="A1980" s="28"/>
      <x:c r="B1980" s="28"/>
      <x:c r="C1980" s="28"/>
      <x:c r="D1980" s="28"/>
      <x:c r="E1980" s="28"/>
      <x:c r="F1980" s="28"/>
      <x:c r="G1980" s="28"/>
      <x:c r="H1980" s="28"/>
      <x:c r="I1980" s="28"/>
      <x:c r="J1980" s="28"/>
      <x:c r="K1980" s="28"/>
      <x:c r="L1980" s="28"/>
      <x:c r="M1980" s="28"/>
      <x:c r="N1980" s="28"/>
      <x:c r="O1980" s="28"/>
      <x:c r="P1980" s="28"/>
      <x:c r="Q1980" s="28"/>
      <x:c r="R1980" s="28"/>
      <x:c r="S1980" s="28"/>
      <x:c r="T1980" s="28"/>
      <x:c r="U1980" s="28"/>
      <x:c r="V1980" s="28"/>
      <x:c r="W1980" s="43" t="n">
        <x:f>--AND(N1980=1,OR(O1980="SUPPORTED",O1980="HALLUCINATION"))</x:f>
        <x:v>0</x:v>
      </x:c>
      <x:c r="X1980" s="43" t="n">
        <x:f>--AND(W1980=1,O1980="HALLUCINATION")</x:f>
        <x:v>0</x:v>
      </x:c>
      <x:c r="Y1980" s="43" t="n">
        <x:f>--AND(Q1980=1,O1980="HALLUCINATION")</x:f>
        <x:v>0</x:v>
      </x:c>
      <x:c r="Z1980" s="43" t="n">
        <x:f>--AND(Y1980=1,R1980=1,S1980=1)</x:f>
        <x:v>0</x:v>
      </x:c>
      <x:c r="AC1980" t="str">
        <x:f>IF(OR(AA1980="",AB1980=""),"",--(AA1980&lt;&gt;AB1980))</x:f>
      </x:c>
      <x:c r="AE1980" t="str">
        <x:f>IF(OR(AA1980="",AB1980=""),"PENDING_HUMAN",IF(AA1980=AB1980,AA1980,IF(AD1980&lt;&gt;"",AD1980,"PENDING_HUMAN")))</x:f>
        <x:v>PENDING_HUMAN</x:v>
      </x:c>
      <x:c r="AF1980" t="n">
        <x:f>--AND(A1980&lt;&gt;"",AA1980&lt;&gt;"",AB1980&lt;&gt;"",OR(AA1980=AB1980,AD1980&lt;&gt;""),IF(AE1980="HALLUCINATION",U1980&lt;&gt;"",TRUE))</x:f>
        <x:v>0</x:v>
      </x:c>
      <x:c r="AG1980" t="n">
        <x:f>--AND(N1980=1,AF1980=1,OR(AE1980="SUPPORTED",AE1980="HALLUCINATION"))</x:f>
        <x:v>0</x:v>
      </x:c>
      <x:c r="AH1980" t="n">
        <x:f>--AND(AG1980=1,AE1980="HALLUCINATION")</x:f>
        <x:v>0</x:v>
      </x:c>
      <x:c r="AI1980" t="n">
        <x:f>--AND(Q1980=1,AF1980=1,AE1980="HALLUCINATION")</x:f>
        <x:v>0</x:v>
      </x:c>
      <x:c r="AJ1980" t="n">
        <x:f>--AND(AI1980=1,R1980=1,S1980=1)</x:f>
        <x:v>0</x:v>
      </x:c>
    </x:row>
    <x:row r="1981">
      <x:c r="A1981" s="28"/>
      <x:c r="B1981" s="28"/>
      <x:c r="C1981" s="28"/>
      <x:c r="D1981" s="28"/>
      <x:c r="E1981" s="28"/>
      <x:c r="F1981" s="28"/>
      <x:c r="G1981" s="28"/>
      <x:c r="H1981" s="28"/>
      <x:c r="I1981" s="28"/>
      <x:c r="J1981" s="28"/>
      <x:c r="K1981" s="28"/>
      <x:c r="L1981" s="28"/>
      <x:c r="M1981" s="28"/>
      <x:c r="N1981" s="28"/>
      <x:c r="O1981" s="28"/>
      <x:c r="P1981" s="28"/>
      <x:c r="Q1981" s="28"/>
      <x:c r="R1981" s="28"/>
      <x:c r="S1981" s="28"/>
      <x:c r="T1981" s="28"/>
      <x:c r="U1981" s="28"/>
      <x:c r="V1981" s="28"/>
      <x:c r="W1981" s="43" t="n">
        <x:f>--AND(N1981=1,OR(O1981="SUPPORTED",O1981="HALLUCINATION"))</x:f>
        <x:v>0</x:v>
      </x:c>
      <x:c r="X1981" s="43" t="n">
        <x:f>--AND(W1981=1,O1981="HALLUCINATION")</x:f>
        <x:v>0</x:v>
      </x:c>
      <x:c r="Y1981" s="43" t="n">
        <x:f>--AND(Q1981=1,O1981="HALLUCINATION")</x:f>
        <x:v>0</x:v>
      </x:c>
      <x:c r="Z1981" s="43" t="n">
        <x:f>--AND(Y1981=1,R1981=1,S1981=1)</x:f>
        <x:v>0</x:v>
      </x:c>
      <x:c r="AC1981" t="str">
        <x:f>IF(OR(AA1981="",AB1981=""),"",--(AA1981&lt;&gt;AB1981))</x:f>
      </x:c>
      <x:c r="AE1981" t="str">
        <x:f>IF(OR(AA1981="",AB1981=""),"PENDING_HUMAN",IF(AA1981=AB1981,AA1981,IF(AD1981&lt;&gt;"",AD1981,"PENDING_HUMAN")))</x:f>
        <x:v>PENDING_HUMAN</x:v>
      </x:c>
      <x:c r="AF1981" t="n">
        <x:f>--AND(A1981&lt;&gt;"",AA1981&lt;&gt;"",AB1981&lt;&gt;"",OR(AA1981=AB1981,AD1981&lt;&gt;""),IF(AE1981="HALLUCINATION",U1981&lt;&gt;"",TRUE))</x:f>
        <x:v>0</x:v>
      </x:c>
      <x:c r="AG1981" t="n">
        <x:f>--AND(N1981=1,AF1981=1,OR(AE1981="SUPPORTED",AE1981="HALLUCINATION"))</x:f>
        <x:v>0</x:v>
      </x:c>
      <x:c r="AH1981" t="n">
        <x:f>--AND(AG1981=1,AE1981="HALLUCINATION")</x:f>
        <x:v>0</x:v>
      </x:c>
      <x:c r="AI1981" t="n">
        <x:f>--AND(Q1981=1,AF1981=1,AE1981="HALLUCINATION")</x:f>
        <x:v>0</x:v>
      </x:c>
      <x:c r="AJ1981" t="n">
        <x:f>--AND(AI1981=1,R1981=1,S1981=1)</x:f>
        <x:v>0</x:v>
      </x:c>
    </x:row>
    <x:row r="1982">
      <x:c r="A1982" s="28"/>
      <x:c r="B1982" s="28"/>
      <x:c r="C1982" s="28"/>
      <x:c r="D1982" s="28"/>
      <x:c r="E1982" s="28"/>
      <x:c r="F1982" s="28"/>
      <x:c r="G1982" s="28"/>
      <x:c r="H1982" s="28"/>
      <x:c r="I1982" s="28"/>
      <x:c r="J1982" s="28"/>
      <x:c r="K1982" s="28"/>
      <x:c r="L1982" s="28"/>
      <x:c r="M1982" s="28"/>
      <x:c r="N1982" s="28"/>
      <x:c r="O1982" s="28"/>
      <x:c r="P1982" s="28"/>
      <x:c r="Q1982" s="28"/>
      <x:c r="R1982" s="28"/>
      <x:c r="S1982" s="28"/>
      <x:c r="T1982" s="28"/>
      <x:c r="U1982" s="28"/>
      <x:c r="V1982" s="28"/>
      <x:c r="W1982" s="43" t="n">
        <x:f>--AND(N1982=1,OR(O1982="SUPPORTED",O1982="HALLUCINATION"))</x:f>
        <x:v>0</x:v>
      </x:c>
      <x:c r="X1982" s="43" t="n">
        <x:f>--AND(W1982=1,O1982="HALLUCINATION")</x:f>
        <x:v>0</x:v>
      </x:c>
      <x:c r="Y1982" s="43" t="n">
        <x:f>--AND(Q1982=1,O1982="HALLUCINATION")</x:f>
        <x:v>0</x:v>
      </x:c>
      <x:c r="Z1982" s="43" t="n">
        <x:f>--AND(Y1982=1,R1982=1,S1982=1)</x:f>
        <x:v>0</x:v>
      </x:c>
      <x:c r="AC1982" t="str">
        <x:f>IF(OR(AA1982="",AB1982=""),"",--(AA1982&lt;&gt;AB1982))</x:f>
      </x:c>
      <x:c r="AE1982" t="str">
        <x:f>IF(OR(AA1982="",AB1982=""),"PENDING_HUMAN",IF(AA1982=AB1982,AA1982,IF(AD1982&lt;&gt;"",AD1982,"PENDING_HUMAN")))</x:f>
        <x:v>PENDING_HUMAN</x:v>
      </x:c>
      <x:c r="AF1982" t="n">
        <x:f>--AND(A1982&lt;&gt;"",AA1982&lt;&gt;"",AB1982&lt;&gt;"",OR(AA1982=AB1982,AD1982&lt;&gt;""),IF(AE1982="HALLUCINATION",U1982&lt;&gt;"",TRUE))</x:f>
        <x:v>0</x:v>
      </x:c>
      <x:c r="AG1982" t="n">
        <x:f>--AND(N1982=1,AF1982=1,OR(AE1982="SUPPORTED",AE1982="HALLUCINATION"))</x:f>
        <x:v>0</x:v>
      </x:c>
      <x:c r="AH1982" t="n">
        <x:f>--AND(AG1982=1,AE1982="HALLUCINATION")</x:f>
        <x:v>0</x:v>
      </x:c>
      <x:c r="AI1982" t="n">
        <x:f>--AND(Q1982=1,AF1982=1,AE1982="HALLUCINATION")</x:f>
        <x:v>0</x:v>
      </x:c>
      <x:c r="AJ1982" t="n">
        <x:f>--AND(AI1982=1,R1982=1,S1982=1)</x:f>
        <x:v>0</x:v>
      </x:c>
    </x:row>
    <x:row r="1983">
      <x:c r="A1983" s="28"/>
      <x:c r="B1983" s="28"/>
      <x:c r="C1983" s="28"/>
      <x:c r="D1983" s="28"/>
      <x:c r="E1983" s="28"/>
      <x:c r="F1983" s="28"/>
      <x:c r="G1983" s="28"/>
      <x:c r="H1983" s="28"/>
      <x:c r="I1983" s="28"/>
      <x:c r="J1983" s="28"/>
      <x:c r="K1983" s="28"/>
      <x:c r="L1983" s="28"/>
      <x:c r="M1983" s="28"/>
      <x:c r="N1983" s="28"/>
      <x:c r="O1983" s="28"/>
      <x:c r="P1983" s="28"/>
      <x:c r="Q1983" s="28"/>
      <x:c r="R1983" s="28"/>
      <x:c r="S1983" s="28"/>
      <x:c r="T1983" s="28"/>
      <x:c r="U1983" s="28"/>
      <x:c r="V1983" s="28"/>
      <x:c r="W1983" s="43" t="n">
        <x:f>--AND(N1983=1,OR(O1983="SUPPORTED",O1983="HALLUCINATION"))</x:f>
        <x:v>0</x:v>
      </x:c>
      <x:c r="X1983" s="43" t="n">
        <x:f>--AND(W1983=1,O1983="HALLUCINATION")</x:f>
        <x:v>0</x:v>
      </x:c>
      <x:c r="Y1983" s="43" t="n">
        <x:f>--AND(Q1983=1,O1983="HALLUCINATION")</x:f>
        <x:v>0</x:v>
      </x:c>
      <x:c r="Z1983" s="43" t="n">
        <x:f>--AND(Y1983=1,R1983=1,S1983=1)</x:f>
        <x:v>0</x:v>
      </x:c>
      <x:c r="AC1983" t="str">
        <x:f>IF(OR(AA1983="",AB1983=""),"",--(AA1983&lt;&gt;AB1983))</x:f>
      </x:c>
      <x:c r="AE1983" t="str">
        <x:f>IF(OR(AA1983="",AB1983=""),"PENDING_HUMAN",IF(AA1983=AB1983,AA1983,IF(AD1983&lt;&gt;"",AD1983,"PENDING_HUMAN")))</x:f>
        <x:v>PENDING_HUMAN</x:v>
      </x:c>
      <x:c r="AF1983" t="n">
        <x:f>--AND(A1983&lt;&gt;"",AA1983&lt;&gt;"",AB1983&lt;&gt;"",OR(AA1983=AB1983,AD1983&lt;&gt;""),IF(AE1983="HALLUCINATION",U1983&lt;&gt;"",TRUE))</x:f>
        <x:v>0</x:v>
      </x:c>
      <x:c r="AG1983" t="n">
        <x:f>--AND(N1983=1,AF1983=1,OR(AE1983="SUPPORTED",AE1983="HALLUCINATION"))</x:f>
        <x:v>0</x:v>
      </x:c>
      <x:c r="AH1983" t="n">
        <x:f>--AND(AG1983=1,AE1983="HALLUCINATION")</x:f>
        <x:v>0</x:v>
      </x:c>
      <x:c r="AI1983" t="n">
        <x:f>--AND(Q1983=1,AF1983=1,AE1983="HALLUCINATION")</x:f>
        <x:v>0</x:v>
      </x:c>
      <x:c r="AJ1983" t="n">
        <x:f>--AND(AI1983=1,R1983=1,S1983=1)</x:f>
        <x:v>0</x:v>
      </x:c>
    </x:row>
    <x:row r="1984">
      <x:c r="A1984" s="28"/>
      <x:c r="B1984" s="28"/>
      <x:c r="C1984" s="28"/>
      <x:c r="D1984" s="28"/>
      <x:c r="E1984" s="28"/>
      <x:c r="F1984" s="28"/>
      <x:c r="G1984" s="28"/>
      <x:c r="H1984" s="28"/>
      <x:c r="I1984" s="28"/>
      <x:c r="J1984" s="28"/>
      <x:c r="K1984" s="28"/>
      <x:c r="L1984" s="28"/>
      <x:c r="M1984" s="28"/>
      <x:c r="N1984" s="28"/>
      <x:c r="O1984" s="28"/>
      <x:c r="P1984" s="28"/>
      <x:c r="Q1984" s="28"/>
      <x:c r="R1984" s="28"/>
      <x:c r="S1984" s="28"/>
      <x:c r="T1984" s="28"/>
      <x:c r="U1984" s="28"/>
      <x:c r="V1984" s="28"/>
      <x:c r="W1984" s="43" t="n">
        <x:f>--AND(N1984=1,OR(O1984="SUPPORTED",O1984="HALLUCINATION"))</x:f>
        <x:v>0</x:v>
      </x:c>
      <x:c r="X1984" s="43" t="n">
        <x:f>--AND(W1984=1,O1984="HALLUCINATION")</x:f>
        <x:v>0</x:v>
      </x:c>
      <x:c r="Y1984" s="43" t="n">
        <x:f>--AND(Q1984=1,O1984="HALLUCINATION")</x:f>
        <x:v>0</x:v>
      </x:c>
      <x:c r="Z1984" s="43" t="n">
        <x:f>--AND(Y1984=1,R1984=1,S1984=1)</x:f>
        <x:v>0</x:v>
      </x:c>
      <x:c r="AC1984" t="str">
        <x:f>IF(OR(AA1984="",AB1984=""),"",--(AA1984&lt;&gt;AB1984))</x:f>
      </x:c>
      <x:c r="AE1984" t="str">
        <x:f>IF(OR(AA1984="",AB1984=""),"PENDING_HUMAN",IF(AA1984=AB1984,AA1984,IF(AD1984&lt;&gt;"",AD1984,"PENDING_HUMAN")))</x:f>
        <x:v>PENDING_HUMAN</x:v>
      </x:c>
      <x:c r="AF1984" t="n">
        <x:f>--AND(A1984&lt;&gt;"",AA1984&lt;&gt;"",AB1984&lt;&gt;"",OR(AA1984=AB1984,AD1984&lt;&gt;""),IF(AE1984="HALLUCINATION",U1984&lt;&gt;"",TRUE))</x:f>
        <x:v>0</x:v>
      </x:c>
      <x:c r="AG1984" t="n">
        <x:f>--AND(N1984=1,AF1984=1,OR(AE1984="SUPPORTED",AE1984="HALLUCINATION"))</x:f>
        <x:v>0</x:v>
      </x:c>
      <x:c r="AH1984" t="n">
        <x:f>--AND(AG1984=1,AE1984="HALLUCINATION")</x:f>
        <x:v>0</x:v>
      </x:c>
      <x:c r="AI1984" t="n">
        <x:f>--AND(Q1984=1,AF1984=1,AE1984="HALLUCINATION")</x:f>
        <x:v>0</x:v>
      </x:c>
      <x:c r="AJ1984" t="n">
        <x:f>--AND(AI1984=1,R1984=1,S1984=1)</x:f>
        <x:v>0</x:v>
      </x:c>
    </x:row>
    <x:row r="1985">
      <x:c r="A1985" s="28"/>
      <x:c r="B1985" s="28"/>
      <x:c r="C1985" s="28"/>
      <x:c r="D1985" s="28"/>
      <x:c r="E1985" s="28"/>
      <x:c r="F1985" s="28"/>
      <x:c r="G1985" s="28"/>
      <x:c r="H1985" s="28"/>
      <x:c r="I1985" s="28"/>
      <x:c r="J1985" s="28"/>
      <x:c r="K1985" s="28"/>
      <x:c r="L1985" s="28"/>
      <x:c r="M1985" s="28"/>
      <x:c r="N1985" s="28"/>
      <x:c r="O1985" s="28"/>
      <x:c r="P1985" s="28"/>
      <x:c r="Q1985" s="28"/>
      <x:c r="R1985" s="28"/>
      <x:c r="S1985" s="28"/>
      <x:c r="T1985" s="28"/>
      <x:c r="U1985" s="28"/>
      <x:c r="V1985" s="28"/>
      <x:c r="W1985" s="43" t="n">
        <x:f>--AND(N1985=1,OR(O1985="SUPPORTED",O1985="HALLUCINATION"))</x:f>
        <x:v>0</x:v>
      </x:c>
      <x:c r="X1985" s="43" t="n">
        <x:f>--AND(W1985=1,O1985="HALLUCINATION")</x:f>
        <x:v>0</x:v>
      </x:c>
      <x:c r="Y1985" s="43" t="n">
        <x:f>--AND(Q1985=1,O1985="HALLUCINATION")</x:f>
        <x:v>0</x:v>
      </x:c>
      <x:c r="Z1985" s="43" t="n">
        <x:f>--AND(Y1985=1,R1985=1,S1985=1)</x:f>
        <x:v>0</x:v>
      </x:c>
      <x:c r="AC1985" t="str">
        <x:f>IF(OR(AA1985="",AB1985=""),"",--(AA1985&lt;&gt;AB1985))</x:f>
      </x:c>
      <x:c r="AE1985" t="str">
        <x:f>IF(OR(AA1985="",AB1985=""),"PENDING_HUMAN",IF(AA1985=AB1985,AA1985,IF(AD1985&lt;&gt;"",AD1985,"PENDING_HUMAN")))</x:f>
        <x:v>PENDING_HUMAN</x:v>
      </x:c>
      <x:c r="AF1985" t="n">
        <x:f>--AND(A1985&lt;&gt;"",AA1985&lt;&gt;"",AB1985&lt;&gt;"",OR(AA1985=AB1985,AD1985&lt;&gt;""),IF(AE1985="HALLUCINATION",U1985&lt;&gt;"",TRUE))</x:f>
        <x:v>0</x:v>
      </x:c>
      <x:c r="AG1985" t="n">
        <x:f>--AND(N1985=1,AF1985=1,OR(AE1985="SUPPORTED",AE1985="HALLUCINATION"))</x:f>
        <x:v>0</x:v>
      </x:c>
      <x:c r="AH1985" t="n">
        <x:f>--AND(AG1985=1,AE1985="HALLUCINATION")</x:f>
        <x:v>0</x:v>
      </x:c>
      <x:c r="AI1985" t="n">
        <x:f>--AND(Q1985=1,AF1985=1,AE1985="HALLUCINATION")</x:f>
        <x:v>0</x:v>
      </x:c>
      <x:c r="AJ1985" t="n">
        <x:f>--AND(AI1985=1,R1985=1,S1985=1)</x:f>
        <x:v>0</x:v>
      </x:c>
    </x:row>
    <x:row r="1986">
      <x:c r="A1986" s="28"/>
      <x:c r="B1986" s="28"/>
      <x:c r="C1986" s="28"/>
      <x:c r="D1986" s="28"/>
      <x:c r="E1986" s="28"/>
      <x:c r="F1986" s="28"/>
      <x:c r="G1986" s="28"/>
      <x:c r="H1986" s="28"/>
      <x:c r="I1986" s="28"/>
      <x:c r="J1986" s="28"/>
      <x:c r="K1986" s="28"/>
      <x:c r="L1986" s="28"/>
      <x:c r="M1986" s="28"/>
      <x:c r="N1986" s="28"/>
      <x:c r="O1986" s="28"/>
      <x:c r="P1986" s="28"/>
      <x:c r="Q1986" s="28"/>
      <x:c r="R1986" s="28"/>
      <x:c r="S1986" s="28"/>
      <x:c r="T1986" s="28"/>
      <x:c r="U1986" s="28"/>
      <x:c r="V1986" s="28"/>
      <x:c r="W1986" s="43" t="n">
        <x:f>--AND(N1986=1,OR(O1986="SUPPORTED",O1986="HALLUCINATION"))</x:f>
        <x:v>0</x:v>
      </x:c>
      <x:c r="X1986" s="43" t="n">
        <x:f>--AND(W1986=1,O1986="HALLUCINATION")</x:f>
        <x:v>0</x:v>
      </x:c>
      <x:c r="Y1986" s="43" t="n">
        <x:f>--AND(Q1986=1,O1986="HALLUCINATION")</x:f>
        <x:v>0</x:v>
      </x:c>
      <x:c r="Z1986" s="43" t="n">
        <x:f>--AND(Y1986=1,R1986=1,S1986=1)</x:f>
        <x:v>0</x:v>
      </x:c>
      <x:c r="AC1986" t="str">
        <x:f>IF(OR(AA1986="",AB1986=""),"",--(AA1986&lt;&gt;AB1986))</x:f>
      </x:c>
      <x:c r="AE1986" t="str">
        <x:f>IF(OR(AA1986="",AB1986=""),"PENDING_HUMAN",IF(AA1986=AB1986,AA1986,IF(AD1986&lt;&gt;"",AD1986,"PENDING_HUMAN")))</x:f>
        <x:v>PENDING_HUMAN</x:v>
      </x:c>
      <x:c r="AF1986" t="n">
        <x:f>--AND(A1986&lt;&gt;"",AA1986&lt;&gt;"",AB1986&lt;&gt;"",OR(AA1986=AB1986,AD1986&lt;&gt;""),IF(AE1986="HALLUCINATION",U1986&lt;&gt;"",TRUE))</x:f>
        <x:v>0</x:v>
      </x:c>
      <x:c r="AG1986" t="n">
        <x:f>--AND(N1986=1,AF1986=1,OR(AE1986="SUPPORTED",AE1986="HALLUCINATION"))</x:f>
        <x:v>0</x:v>
      </x:c>
      <x:c r="AH1986" t="n">
        <x:f>--AND(AG1986=1,AE1986="HALLUCINATION")</x:f>
        <x:v>0</x:v>
      </x:c>
      <x:c r="AI1986" t="n">
        <x:f>--AND(Q1986=1,AF1986=1,AE1986="HALLUCINATION")</x:f>
        <x:v>0</x:v>
      </x:c>
      <x:c r="AJ1986" t="n">
        <x:f>--AND(AI1986=1,R1986=1,S1986=1)</x:f>
        <x:v>0</x:v>
      </x:c>
    </x:row>
    <x:row r="1987">
      <x:c r="A1987" s="28"/>
      <x:c r="B1987" s="28"/>
      <x:c r="C1987" s="28"/>
      <x:c r="D1987" s="28"/>
      <x:c r="E1987" s="28"/>
      <x:c r="F1987" s="28"/>
      <x:c r="G1987" s="28"/>
      <x:c r="H1987" s="28"/>
      <x:c r="I1987" s="28"/>
      <x:c r="J1987" s="28"/>
      <x:c r="K1987" s="28"/>
      <x:c r="L1987" s="28"/>
      <x:c r="M1987" s="28"/>
      <x:c r="N1987" s="28"/>
      <x:c r="O1987" s="28"/>
      <x:c r="P1987" s="28"/>
      <x:c r="Q1987" s="28"/>
      <x:c r="R1987" s="28"/>
      <x:c r="S1987" s="28"/>
      <x:c r="T1987" s="28"/>
      <x:c r="U1987" s="28"/>
      <x:c r="V1987" s="28"/>
      <x:c r="W1987" s="43" t="n">
        <x:f>--AND(N1987=1,OR(O1987="SUPPORTED",O1987="HALLUCINATION"))</x:f>
        <x:v>0</x:v>
      </x:c>
      <x:c r="X1987" s="43" t="n">
        <x:f>--AND(W1987=1,O1987="HALLUCINATION")</x:f>
        <x:v>0</x:v>
      </x:c>
      <x:c r="Y1987" s="43" t="n">
        <x:f>--AND(Q1987=1,O1987="HALLUCINATION")</x:f>
        <x:v>0</x:v>
      </x:c>
      <x:c r="Z1987" s="43" t="n">
        <x:f>--AND(Y1987=1,R1987=1,S1987=1)</x:f>
        <x:v>0</x:v>
      </x:c>
      <x:c r="AC1987" t="str">
        <x:f>IF(OR(AA1987="",AB1987=""),"",--(AA1987&lt;&gt;AB1987))</x:f>
      </x:c>
      <x:c r="AE1987" t="str">
        <x:f>IF(OR(AA1987="",AB1987=""),"PENDING_HUMAN",IF(AA1987=AB1987,AA1987,IF(AD1987&lt;&gt;"",AD1987,"PENDING_HUMAN")))</x:f>
        <x:v>PENDING_HUMAN</x:v>
      </x:c>
      <x:c r="AF1987" t="n">
        <x:f>--AND(A1987&lt;&gt;"",AA1987&lt;&gt;"",AB1987&lt;&gt;"",OR(AA1987=AB1987,AD1987&lt;&gt;""),IF(AE1987="HALLUCINATION",U1987&lt;&gt;"",TRUE))</x:f>
        <x:v>0</x:v>
      </x:c>
      <x:c r="AG1987" t="n">
        <x:f>--AND(N1987=1,AF1987=1,OR(AE1987="SUPPORTED",AE1987="HALLUCINATION"))</x:f>
        <x:v>0</x:v>
      </x:c>
      <x:c r="AH1987" t="n">
        <x:f>--AND(AG1987=1,AE1987="HALLUCINATION")</x:f>
        <x:v>0</x:v>
      </x:c>
      <x:c r="AI1987" t="n">
        <x:f>--AND(Q1987=1,AF1987=1,AE1987="HALLUCINATION")</x:f>
        <x:v>0</x:v>
      </x:c>
      <x:c r="AJ1987" t="n">
        <x:f>--AND(AI1987=1,R1987=1,S1987=1)</x:f>
        <x:v>0</x:v>
      </x:c>
    </x:row>
    <x:row r="1988">
      <x:c r="A1988" s="28"/>
      <x:c r="B1988" s="28"/>
      <x:c r="C1988" s="28"/>
      <x:c r="D1988" s="28"/>
      <x:c r="E1988" s="28"/>
      <x:c r="F1988" s="28"/>
      <x:c r="G1988" s="28"/>
      <x:c r="H1988" s="28"/>
      <x:c r="I1988" s="28"/>
      <x:c r="J1988" s="28"/>
      <x:c r="K1988" s="28"/>
      <x:c r="L1988" s="28"/>
      <x:c r="M1988" s="28"/>
      <x:c r="N1988" s="28"/>
      <x:c r="O1988" s="28"/>
      <x:c r="P1988" s="28"/>
      <x:c r="Q1988" s="28"/>
      <x:c r="R1988" s="28"/>
      <x:c r="S1988" s="28"/>
      <x:c r="T1988" s="28"/>
      <x:c r="U1988" s="28"/>
      <x:c r="V1988" s="28"/>
      <x:c r="W1988" s="43" t="n">
        <x:f>--AND(N1988=1,OR(O1988="SUPPORTED",O1988="HALLUCINATION"))</x:f>
        <x:v>0</x:v>
      </x:c>
      <x:c r="X1988" s="43" t="n">
        <x:f>--AND(W1988=1,O1988="HALLUCINATION")</x:f>
        <x:v>0</x:v>
      </x:c>
      <x:c r="Y1988" s="43" t="n">
        <x:f>--AND(Q1988=1,O1988="HALLUCINATION")</x:f>
        <x:v>0</x:v>
      </x:c>
      <x:c r="Z1988" s="43" t="n">
        <x:f>--AND(Y1988=1,R1988=1,S1988=1)</x:f>
        <x:v>0</x:v>
      </x:c>
      <x:c r="AC1988" t="str">
        <x:f>IF(OR(AA1988="",AB1988=""),"",--(AA1988&lt;&gt;AB1988))</x:f>
      </x:c>
      <x:c r="AE1988" t="str">
        <x:f>IF(OR(AA1988="",AB1988=""),"PENDING_HUMAN",IF(AA1988=AB1988,AA1988,IF(AD1988&lt;&gt;"",AD1988,"PENDING_HUMAN")))</x:f>
        <x:v>PENDING_HUMAN</x:v>
      </x:c>
      <x:c r="AF1988" t="n">
        <x:f>--AND(A1988&lt;&gt;"",AA1988&lt;&gt;"",AB1988&lt;&gt;"",OR(AA1988=AB1988,AD1988&lt;&gt;""),IF(AE1988="HALLUCINATION",U1988&lt;&gt;"",TRUE))</x:f>
        <x:v>0</x:v>
      </x:c>
      <x:c r="AG1988" t="n">
        <x:f>--AND(N1988=1,AF1988=1,OR(AE1988="SUPPORTED",AE1988="HALLUCINATION"))</x:f>
        <x:v>0</x:v>
      </x:c>
      <x:c r="AH1988" t="n">
        <x:f>--AND(AG1988=1,AE1988="HALLUCINATION")</x:f>
        <x:v>0</x:v>
      </x:c>
      <x:c r="AI1988" t="n">
        <x:f>--AND(Q1988=1,AF1988=1,AE1988="HALLUCINATION")</x:f>
        <x:v>0</x:v>
      </x:c>
      <x:c r="AJ1988" t="n">
        <x:f>--AND(AI1988=1,R1988=1,S1988=1)</x:f>
        <x:v>0</x:v>
      </x:c>
    </x:row>
    <x:row r="1989">
      <x:c r="A1989" s="28"/>
      <x:c r="B1989" s="28"/>
      <x:c r="C1989" s="28"/>
      <x:c r="D1989" s="28"/>
      <x:c r="E1989" s="28"/>
      <x:c r="F1989" s="28"/>
      <x:c r="G1989" s="28"/>
      <x:c r="H1989" s="28"/>
      <x:c r="I1989" s="28"/>
      <x:c r="J1989" s="28"/>
      <x:c r="K1989" s="28"/>
      <x:c r="L1989" s="28"/>
      <x:c r="M1989" s="28"/>
      <x:c r="N1989" s="28"/>
      <x:c r="O1989" s="28"/>
      <x:c r="P1989" s="28"/>
      <x:c r="Q1989" s="28"/>
      <x:c r="R1989" s="28"/>
      <x:c r="S1989" s="28"/>
      <x:c r="T1989" s="28"/>
      <x:c r="U1989" s="28"/>
      <x:c r="V1989" s="28"/>
      <x:c r="W1989" s="43" t="n">
        <x:f>--AND(N1989=1,OR(O1989="SUPPORTED",O1989="HALLUCINATION"))</x:f>
        <x:v>0</x:v>
      </x:c>
      <x:c r="X1989" s="43" t="n">
        <x:f>--AND(W1989=1,O1989="HALLUCINATION")</x:f>
        <x:v>0</x:v>
      </x:c>
      <x:c r="Y1989" s="43" t="n">
        <x:f>--AND(Q1989=1,O1989="HALLUCINATION")</x:f>
        <x:v>0</x:v>
      </x:c>
      <x:c r="Z1989" s="43" t="n">
        <x:f>--AND(Y1989=1,R1989=1,S1989=1)</x:f>
        <x:v>0</x:v>
      </x:c>
      <x:c r="AC1989" t="str">
        <x:f>IF(OR(AA1989="",AB1989=""),"",--(AA1989&lt;&gt;AB1989))</x:f>
      </x:c>
      <x:c r="AE1989" t="str">
        <x:f>IF(OR(AA1989="",AB1989=""),"PENDING_HUMAN",IF(AA1989=AB1989,AA1989,IF(AD1989&lt;&gt;"",AD1989,"PENDING_HUMAN")))</x:f>
        <x:v>PENDING_HUMAN</x:v>
      </x:c>
      <x:c r="AF1989" t="n">
        <x:f>--AND(A1989&lt;&gt;"",AA1989&lt;&gt;"",AB1989&lt;&gt;"",OR(AA1989=AB1989,AD1989&lt;&gt;""),IF(AE1989="HALLUCINATION",U1989&lt;&gt;"",TRUE))</x:f>
        <x:v>0</x:v>
      </x:c>
      <x:c r="AG1989" t="n">
        <x:f>--AND(N1989=1,AF1989=1,OR(AE1989="SUPPORTED",AE1989="HALLUCINATION"))</x:f>
        <x:v>0</x:v>
      </x:c>
      <x:c r="AH1989" t="n">
        <x:f>--AND(AG1989=1,AE1989="HALLUCINATION")</x:f>
        <x:v>0</x:v>
      </x:c>
      <x:c r="AI1989" t="n">
        <x:f>--AND(Q1989=1,AF1989=1,AE1989="HALLUCINATION")</x:f>
        <x:v>0</x:v>
      </x:c>
      <x:c r="AJ1989" t="n">
        <x:f>--AND(AI1989=1,R1989=1,S1989=1)</x:f>
        <x:v>0</x:v>
      </x:c>
    </x:row>
    <x:row r="1990">
      <x:c r="A1990" s="28"/>
      <x:c r="B1990" s="28"/>
      <x:c r="C1990" s="28"/>
      <x:c r="D1990" s="28"/>
      <x:c r="E1990" s="28"/>
      <x:c r="F1990" s="28"/>
      <x:c r="G1990" s="28"/>
      <x:c r="H1990" s="28"/>
      <x:c r="I1990" s="28"/>
      <x:c r="J1990" s="28"/>
      <x:c r="K1990" s="28"/>
      <x:c r="L1990" s="28"/>
      <x:c r="M1990" s="28"/>
      <x:c r="N1990" s="28"/>
      <x:c r="O1990" s="28"/>
      <x:c r="P1990" s="28"/>
      <x:c r="Q1990" s="28"/>
      <x:c r="R1990" s="28"/>
      <x:c r="S1990" s="28"/>
      <x:c r="T1990" s="28"/>
      <x:c r="U1990" s="28"/>
      <x:c r="V1990" s="28"/>
      <x:c r="W1990" s="43" t="n">
        <x:f>--AND(N1990=1,OR(O1990="SUPPORTED",O1990="HALLUCINATION"))</x:f>
        <x:v>0</x:v>
      </x:c>
      <x:c r="X1990" s="43" t="n">
        <x:f>--AND(W1990=1,O1990="HALLUCINATION")</x:f>
        <x:v>0</x:v>
      </x:c>
      <x:c r="Y1990" s="43" t="n">
        <x:f>--AND(Q1990=1,O1990="HALLUCINATION")</x:f>
        <x:v>0</x:v>
      </x:c>
      <x:c r="Z1990" s="43" t="n">
        <x:f>--AND(Y1990=1,R1990=1,S1990=1)</x:f>
        <x:v>0</x:v>
      </x:c>
      <x:c r="AC1990" t="str">
        <x:f>IF(OR(AA1990="",AB1990=""),"",--(AA1990&lt;&gt;AB1990))</x:f>
      </x:c>
      <x:c r="AE1990" t="str">
        <x:f>IF(OR(AA1990="",AB1990=""),"PENDING_HUMAN",IF(AA1990=AB1990,AA1990,IF(AD1990&lt;&gt;"",AD1990,"PENDING_HUMAN")))</x:f>
        <x:v>PENDING_HUMAN</x:v>
      </x:c>
      <x:c r="AF1990" t="n">
        <x:f>--AND(A1990&lt;&gt;"",AA1990&lt;&gt;"",AB1990&lt;&gt;"",OR(AA1990=AB1990,AD1990&lt;&gt;""),IF(AE1990="HALLUCINATION",U1990&lt;&gt;"",TRUE))</x:f>
        <x:v>0</x:v>
      </x:c>
      <x:c r="AG1990" t="n">
        <x:f>--AND(N1990=1,AF1990=1,OR(AE1990="SUPPORTED",AE1990="HALLUCINATION"))</x:f>
        <x:v>0</x:v>
      </x:c>
      <x:c r="AH1990" t="n">
        <x:f>--AND(AG1990=1,AE1990="HALLUCINATION")</x:f>
        <x:v>0</x:v>
      </x:c>
      <x:c r="AI1990" t="n">
        <x:f>--AND(Q1990=1,AF1990=1,AE1990="HALLUCINATION")</x:f>
        <x:v>0</x:v>
      </x:c>
      <x:c r="AJ1990" t="n">
        <x:f>--AND(AI1990=1,R1990=1,S1990=1)</x:f>
        <x:v>0</x:v>
      </x:c>
    </x:row>
    <x:row r="1991">
      <x:c r="A1991" s="28"/>
      <x:c r="B1991" s="28"/>
      <x:c r="C1991" s="28"/>
      <x:c r="D1991" s="28"/>
      <x:c r="E1991" s="28"/>
      <x:c r="F1991" s="28"/>
      <x:c r="G1991" s="28"/>
      <x:c r="H1991" s="28"/>
      <x:c r="I1991" s="28"/>
      <x:c r="J1991" s="28"/>
      <x:c r="K1991" s="28"/>
      <x:c r="L1991" s="28"/>
      <x:c r="M1991" s="28"/>
      <x:c r="N1991" s="28"/>
      <x:c r="O1991" s="28"/>
      <x:c r="P1991" s="28"/>
      <x:c r="Q1991" s="28"/>
      <x:c r="R1991" s="28"/>
      <x:c r="S1991" s="28"/>
      <x:c r="T1991" s="28"/>
      <x:c r="U1991" s="28"/>
      <x:c r="V1991" s="28"/>
      <x:c r="W1991" s="43" t="n">
        <x:f>--AND(N1991=1,OR(O1991="SUPPORTED",O1991="HALLUCINATION"))</x:f>
        <x:v>0</x:v>
      </x:c>
      <x:c r="X1991" s="43" t="n">
        <x:f>--AND(W1991=1,O1991="HALLUCINATION")</x:f>
        <x:v>0</x:v>
      </x:c>
      <x:c r="Y1991" s="43" t="n">
        <x:f>--AND(Q1991=1,O1991="HALLUCINATION")</x:f>
        <x:v>0</x:v>
      </x:c>
      <x:c r="Z1991" s="43" t="n">
        <x:f>--AND(Y1991=1,R1991=1,S1991=1)</x:f>
        <x:v>0</x:v>
      </x:c>
      <x:c r="AC1991" t="str">
        <x:f>IF(OR(AA1991="",AB1991=""),"",--(AA1991&lt;&gt;AB1991))</x:f>
      </x:c>
      <x:c r="AE1991" t="str">
        <x:f>IF(OR(AA1991="",AB1991=""),"PENDING_HUMAN",IF(AA1991=AB1991,AA1991,IF(AD1991&lt;&gt;"",AD1991,"PENDING_HUMAN")))</x:f>
        <x:v>PENDING_HUMAN</x:v>
      </x:c>
      <x:c r="AF1991" t="n">
        <x:f>--AND(A1991&lt;&gt;"",AA1991&lt;&gt;"",AB1991&lt;&gt;"",OR(AA1991=AB1991,AD1991&lt;&gt;""),IF(AE1991="HALLUCINATION",U1991&lt;&gt;"",TRUE))</x:f>
        <x:v>0</x:v>
      </x:c>
      <x:c r="AG1991" t="n">
        <x:f>--AND(N1991=1,AF1991=1,OR(AE1991="SUPPORTED",AE1991="HALLUCINATION"))</x:f>
        <x:v>0</x:v>
      </x:c>
      <x:c r="AH1991" t="n">
        <x:f>--AND(AG1991=1,AE1991="HALLUCINATION")</x:f>
        <x:v>0</x:v>
      </x:c>
      <x:c r="AI1991" t="n">
        <x:f>--AND(Q1991=1,AF1991=1,AE1991="HALLUCINATION")</x:f>
        <x:v>0</x:v>
      </x:c>
      <x:c r="AJ1991" t="n">
        <x:f>--AND(AI1991=1,R1991=1,S1991=1)</x:f>
        <x:v>0</x:v>
      </x:c>
    </x:row>
    <x:row r="1992">
      <x:c r="A1992" s="28"/>
      <x:c r="B1992" s="28"/>
      <x:c r="C1992" s="28"/>
      <x:c r="D1992" s="28"/>
      <x:c r="E1992" s="28"/>
      <x:c r="F1992" s="28"/>
      <x:c r="G1992" s="28"/>
      <x:c r="H1992" s="28"/>
      <x:c r="I1992" s="28"/>
      <x:c r="J1992" s="28"/>
      <x:c r="K1992" s="28"/>
      <x:c r="L1992" s="28"/>
      <x:c r="M1992" s="28"/>
      <x:c r="N1992" s="28"/>
      <x:c r="O1992" s="28"/>
      <x:c r="P1992" s="28"/>
      <x:c r="Q1992" s="28"/>
      <x:c r="R1992" s="28"/>
      <x:c r="S1992" s="28"/>
      <x:c r="T1992" s="28"/>
      <x:c r="U1992" s="28"/>
      <x:c r="V1992" s="28"/>
      <x:c r="W1992" s="43" t="n">
        <x:f>--AND(N1992=1,OR(O1992="SUPPORTED",O1992="HALLUCINATION"))</x:f>
        <x:v>0</x:v>
      </x:c>
      <x:c r="X1992" s="43" t="n">
        <x:f>--AND(W1992=1,O1992="HALLUCINATION")</x:f>
        <x:v>0</x:v>
      </x:c>
      <x:c r="Y1992" s="43" t="n">
        <x:f>--AND(Q1992=1,O1992="HALLUCINATION")</x:f>
        <x:v>0</x:v>
      </x:c>
      <x:c r="Z1992" s="43" t="n">
        <x:f>--AND(Y1992=1,R1992=1,S1992=1)</x:f>
        <x:v>0</x:v>
      </x:c>
      <x:c r="AC1992" t="str">
        <x:f>IF(OR(AA1992="",AB1992=""),"",--(AA1992&lt;&gt;AB1992))</x:f>
      </x:c>
      <x:c r="AE1992" t="str">
        <x:f>IF(OR(AA1992="",AB1992=""),"PENDING_HUMAN",IF(AA1992=AB1992,AA1992,IF(AD1992&lt;&gt;"",AD1992,"PENDING_HUMAN")))</x:f>
        <x:v>PENDING_HUMAN</x:v>
      </x:c>
      <x:c r="AF1992" t="n">
        <x:f>--AND(A1992&lt;&gt;"",AA1992&lt;&gt;"",AB1992&lt;&gt;"",OR(AA1992=AB1992,AD1992&lt;&gt;""),IF(AE1992="HALLUCINATION",U1992&lt;&gt;"",TRUE))</x:f>
        <x:v>0</x:v>
      </x:c>
      <x:c r="AG1992" t="n">
        <x:f>--AND(N1992=1,AF1992=1,OR(AE1992="SUPPORTED",AE1992="HALLUCINATION"))</x:f>
        <x:v>0</x:v>
      </x:c>
      <x:c r="AH1992" t="n">
        <x:f>--AND(AG1992=1,AE1992="HALLUCINATION")</x:f>
        <x:v>0</x:v>
      </x:c>
      <x:c r="AI1992" t="n">
        <x:f>--AND(Q1992=1,AF1992=1,AE1992="HALLUCINATION")</x:f>
        <x:v>0</x:v>
      </x:c>
      <x:c r="AJ1992" t="n">
        <x:f>--AND(AI1992=1,R1992=1,S1992=1)</x:f>
        <x:v>0</x:v>
      </x:c>
    </x:row>
    <x:row r="1993">
      <x:c r="A1993" s="28"/>
      <x:c r="B1993" s="28"/>
      <x:c r="C1993" s="28"/>
      <x:c r="D1993" s="28"/>
      <x:c r="E1993" s="28"/>
      <x:c r="F1993" s="28"/>
      <x:c r="G1993" s="28"/>
      <x:c r="H1993" s="28"/>
      <x:c r="I1993" s="28"/>
      <x:c r="J1993" s="28"/>
      <x:c r="K1993" s="28"/>
      <x:c r="L1993" s="28"/>
      <x:c r="M1993" s="28"/>
      <x:c r="N1993" s="28"/>
      <x:c r="O1993" s="28"/>
      <x:c r="P1993" s="28"/>
      <x:c r="Q1993" s="28"/>
      <x:c r="R1993" s="28"/>
      <x:c r="S1993" s="28"/>
      <x:c r="T1993" s="28"/>
      <x:c r="U1993" s="28"/>
      <x:c r="V1993" s="28"/>
      <x:c r="W1993" s="43" t="n">
        <x:f>--AND(N1993=1,OR(O1993="SUPPORTED",O1993="HALLUCINATION"))</x:f>
        <x:v>0</x:v>
      </x:c>
      <x:c r="X1993" s="43" t="n">
        <x:f>--AND(W1993=1,O1993="HALLUCINATION")</x:f>
        <x:v>0</x:v>
      </x:c>
      <x:c r="Y1993" s="43" t="n">
        <x:f>--AND(Q1993=1,O1993="HALLUCINATION")</x:f>
        <x:v>0</x:v>
      </x:c>
      <x:c r="Z1993" s="43" t="n">
        <x:f>--AND(Y1993=1,R1993=1,S1993=1)</x:f>
        <x:v>0</x:v>
      </x:c>
      <x:c r="AC1993" t="str">
        <x:f>IF(OR(AA1993="",AB1993=""),"",--(AA1993&lt;&gt;AB1993))</x:f>
      </x:c>
      <x:c r="AE1993" t="str">
        <x:f>IF(OR(AA1993="",AB1993=""),"PENDING_HUMAN",IF(AA1993=AB1993,AA1993,IF(AD1993&lt;&gt;"",AD1993,"PENDING_HUMAN")))</x:f>
        <x:v>PENDING_HUMAN</x:v>
      </x:c>
      <x:c r="AF1993" t="n">
        <x:f>--AND(A1993&lt;&gt;"",AA1993&lt;&gt;"",AB1993&lt;&gt;"",OR(AA1993=AB1993,AD1993&lt;&gt;""),IF(AE1993="HALLUCINATION",U1993&lt;&gt;"",TRUE))</x:f>
        <x:v>0</x:v>
      </x:c>
      <x:c r="AG1993" t="n">
        <x:f>--AND(N1993=1,AF1993=1,OR(AE1993="SUPPORTED",AE1993="HALLUCINATION"))</x:f>
        <x:v>0</x:v>
      </x:c>
      <x:c r="AH1993" t="n">
        <x:f>--AND(AG1993=1,AE1993="HALLUCINATION")</x:f>
        <x:v>0</x:v>
      </x:c>
      <x:c r="AI1993" t="n">
        <x:f>--AND(Q1993=1,AF1993=1,AE1993="HALLUCINATION")</x:f>
        <x:v>0</x:v>
      </x:c>
      <x:c r="AJ1993" t="n">
        <x:f>--AND(AI1993=1,R1993=1,S1993=1)</x:f>
        <x:v>0</x:v>
      </x:c>
    </x:row>
    <x:row r="1994">
      <x:c r="A1994" s="28"/>
      <x:c r="B1994" s="28"/>
      <x:c r="C1994" s="28"/>
      <x:c r="D1994" s="28"/>
      <x:c r="E1994" s="28"/>
      <x:c r="F1994" s="28"/>
      <x:c r="G1994" s="28"/>
      <x:c r="H1994" s="28"/>
      <x:c r="I1994" s="28"/>
      <x:c r="J1994" s="28"/>
      <x:c r="K1994" s="28"/>
      <x:c r="L1994" s="28"/>
      <x:c r="M1994" s="28"/>
      <x:c r="N1994" s="28"/>
      <x:c r="O1994" s="28"/>
      <x:c r="P1994" s="28"/>
      <x:c r="Q1994" s="28"/>
      <x:c r="R1994" s="28"/>
      <x:c r="S1994" s="28"/>
      <x:c r="T1994" s="28"/>
      <x:c r="U1994" s="28"/>
      <x:c r="V1994" s="28"/>
      <x:c r="W1994" s="43" t="n">
        <x:f>--AND(N1994=1,OR(O1994="SUPPORTED",O1994="HALLUCINATION"))</x:f>
        <x:v>0</x:v>
      </x:c>
      <x:c r="X1994" s="43" t="n">
        <x:f>--AND(W1994=1,O1994="HALLUCINATION")</x:f>
        <x:v>0</x:v>
      </x:c>
      <x:c r="Y1994" s="43" t="n">
        <x:f>--AND(Q1994=1,O1994="HALLUCINATION")</x:f>
        <x:v>0</x:v>
      </x:c>
      <x:c r="Z1994" s="43" t="n">
        <x:f>--AND(Y1994=1,R1994=1,S1994=1)</x:f>
        <x:v>0</x:v>
      </x:c>
      <x:c r="AC1994" t="str">
        <x:f>IF(OR(AA1994="",AB1994=""),"",--(AA1994&lt;&gt;AB1994))</x:f>
      </x:c>
      <x:c r="AE1994" t="str">
        <x:f>IF(OR(AA1994="",AB1994=""),"PENDING_HUMAN",IF(AA1994=AB1994,AA1994,IF(AD1994&lt;&gt;"",AD1994,"PENDING_HUMAN")))</x:f>
        <x:v>PENDING_HUMAN</x:v>
      </x:c>
      <x:c r="AF1994" t="n">
        <x:f>--AND(A1994&lt;&gt;"",AA1994&lt;&gt;"",AB1994&lt;&gt;"",OR(AA1994=AB1994,AD1994&lt;&gt;""),IF(AE1994="HALLUCINATION",U1994&lt;&gt;"",TRUE))</x:f>
        <x:v>0</x:v>
      </x:c>
      <x:c r="AG1994" t="n">
        <x:f>--AND(N1994=1,AF1994=1,OR(AE1994="SUPPORTED",AE1994="HALLUCINATION"))</x:f>
        <x:v>0</x:v>
      </x:c>
      <x:c r="AH1994" t="n">
        <x:f>--AND(AG1994=1,AE1994="HALLUCINATION")</x:f>
        <x:v>0</x:v>
      </x:c>
      <x:c r="AI1994" t="n">
        <x:f>--AND(Q1994=1,AF1994=1,AE1994="HALLUCINATION")</x:f>
        <x:v>0</x:v>
      </x:c>
      <x:c r="AJ1994" t="n">
        <x:f>--AND(AI1994=1,R1994=1,S1994=1)</x:f>
        <x:v>0</x:v>
      </x:c>
    </x:row>
    <x:row r="1995">
      <x:c r="A1995" s="28"/>
      <x:c r="B1995" s="28"/>
      <x:c r="C1995" s="28"/>
      <x:c r="D1995" s="28"/>
      <x:c r="E1995" s="28"/>
      <x:c r="F1995" s="28"/>
      <x:c r="G1995" s="28"/>
      <x:c r="H1995" s="28"/>
      <x:c r="I1995" s="28"/>
      <x:c r="J1995" s="28"/>
      <x:c r="K1995" s="28"/>
      <x:c r="L1995" s="28"/>
      <x:c r="M1995" s="28"/>
      <x:c r="N1995" s="28"/>
      <x:c r="O1995" s="28"/>
      <x:c r="P1995" s="28"/>
      <x:c r="Q1995" s="28"/>
      <x:c r="R1995" s="28"/>
      <x:c r="S1995" s="28"/>
      <x:c r="T1995" s="28"/>
      <x:c r="U1995" s="28"/>
      <x:c r="V1995" s="28"/>
      <x:c r="W1995" s="43" t="n">
        <x:f>--AND(N1995=1,OR(O1995="SUPPORTED",O1995="HALLUCINATION"))</x:f>
        <x:v>0</x:v>
      </x:c>
      <x:c r="X1995" s="43" t="n">
        <x:f>--AND(W1995=1,O1995="HALLUCINATION")</x:f>
        <x:v>0</x:v>
      </x:c>
      <x:c r="Y1995" s="43" t="n">
        <x:f>--AND(Q1995=1,O1995="HALLUCINATION")</x:f>
        <x:v>0</x:v>
      </x:c>
      <x:c r="Z1995" s="43" t="n">
        <x:f>--AND(Y1995=1,R1995=1,S1995=1)</x:f>
        <x:v>0</x:v>
      </x:c>
      <x:c r="AC1995" t="str">
        <x:f>IF(OR(AA1995="",AB1995=""),"",--(AA1995&lt;&gt;AB1995))</x:f>
      </x:c>
      <x:c r="AE1995" t="str">
        <x:f>IF(OR(AA1995="",AB1995=""),"PENDING_HUMAN",IF(AA1995=AB1995,AA1995,IF(AD1995&lt;&gt;"",AD1995,"PENDING_HUMAN")))</x:f>
        <x:v>PENDING_HUMAN</x:v>
      </x:c>
      <x:c r="AF1995" t="n">
        <x:f>--AND(A1995&lt;&gt;"",AA1995&lt;&gt;"",AB1995&lt;&gt;"",OR(AA1995=AB1995,AD1995&lt;&gt;""),IF(AE1995="HALLUCINATION",U1995&lt;&gt;"",TRUE))</x:f>
        <x:v>0</x:v>
      </x:c>
      <x:c r="AG1995" t="n">
        <x:f>--AND(N1995=1,AF1995=1,OR(AE1995="SUPPORTED",AE1995="HALLUCINATION"))</x:f>
        <x:v>0</x:v>
      </x:c>
      <x:c r="AH1995" t="n">
        <x:f>--AND(AG1995=1,AE1995="HALLUCINATION")</x:f>
        <x:v>0</x:v>
      </x:c>
      <x:c r="AI1995" t="n">
        <x:f>--AND(Q1995=1,AF1995=1,AE1995="HALLUCINATION")</x:f>
        <x:v>0</x:v>
      </x:c>
      <x:c r="AJ1995" t="n">
        <x:f>--AND(AI1995=1,R1995=1,S1995=1)</x:f>
        <x:v>0</x:v>
      </x:c>
    </x:row>
    <x:row r="1996">
      <x:c r="A1996" s="28"/>
      <x:c r="B1996" s="28"/>
      <x:c r="C1996" s="28"/>
      <x:c r="D1996" s="28"/>
      <x:c r="E1996" s="28"/>
      <x:c r="F1996" s="28"/>
      <x:c r="G1996" s="28"/>
      <x:c r="H1996" s="28"/>
      <x:c r="I1996" s="28"/>
      <x:c r="J1996" s="28"/>
      <x:c r="K1996" s="28"/>
      <x:c r="L1996" s="28"/>
      <x:c r="M1996" s="28"/>
      <x:c r="N1996" s="28"/>
      <x:c r="O1996" s="28"/>
      <x:c r="P1996" s="28"/>
      <x:c r="Q1996" s="28"/>
      <x:c r="R1996" s="28"/>
      <x:c r="S1996" s="28"/>
      <x:c r="T1996" s="28"/>
      <x:c r="U1996" s="28"/>
      <x:c r="V1996" s="28"/>
      <x:c r="W1996" s="43" t="n">
        <x:f>--AND(N1996=1,OR(O1996="SUPPORTED",O1996="HALLUCINATION"))</x:f>
        <x:v>0</x:v>
      </x:c>
      <x:c r="X1996" s="43" t="n">
        <x:f>--AND(W1996=1,O1996="HALLUCINATION")</x:f>
        <x:v>0</x:v>
      </x:c>
      <x:c r="Y1996" s="43" t="n">
        <x:f>--AND(Q1996=1,O1996="HALLUCINATION")</x:f>
        <x:v>0</x:v>
      </x:c>
      <x:c r="Z1996" s="43" t="n">
        <x:f>--AND(Y1996=1,R1996=1,S1996=1)</x:f>
        <x:v>0</x:v>
      </x:c>
      <x:c r="AC1996" t="str">
        <x:f>IF(OR(AA1996="",AB1996=""),"",--(AA1996&lt;&gt;AB1996))</x:f>
      </x:c>
      <x:c r="AE1996" t="str">
        <x:f>IF(OR(AA1996="",AB1996=""),"PENDING_HUMAN",IF(AA1996=AB1996,AA1996,IF(AD1996&lt;&gt;"",AD1996,"PENDING_HUMAN")))</x:f>
        <x:v>PENDING_HUMAN</x:v>
      </x:c>
      <x:c r="AF1996" t="n">
        <x:f>--AND(A1996&lt;&gt;"",AA1996&lt;&gt;"",AB1996&lt;&gt;"",OR(AA1996=AB1996,AD1996&lt;&gt;""),IF(AE1996="HALLUCINATION",U1996&lt;&gt;"",TRUE))</x:f>
        <x:v>0</x:v>
      </x:c>
      <x:c r="AG1996" t="n">
        <x:f>--AND(N1996=1,AF1996=1,OR(AE1996="SUPPORTED",AE1996="HALLUCINATION"))</x:f>
        <x:v>0</x:v>
      </x:c>
      <x:c r="AH1996" t="n">
        <x:f>--AND(AG1996=1,AE1996="HALLUCINATION")</x:f>
        <x:v>0</x:v>
      </x:c>
      <x:c r="AI1996" t="n">
        <x:f>--AND(Q1996=1,AF1996=1,AE1996="HALLUCINATION")</x:f>
        <x:v>0</x:v>
      </x:c>
      <x:c r="AJ1996" t="n">
        <x:f>--AND(AI1996=1,R1996=1,S1996=1)</x:f>
        <x:v>0</x:v>
      </x:c>
    </x:row>
    <x:row r="1997">
      <x:c r="A1997" s="28"/>
      <x:c r="B1997" s="28"/>
      <x:c r="C1997" s="28"/>
      <x:c r="D1997" s="28"/>
      <x:c r="E1997" s="28"/>
      <x:c r="F1997" s="28"/>
      <x:c r="G1997" s="28"/>
      <x:c r="H1997" s="28"/>
      <x:c r="I1997" s="28"/>
      <x:c r="J1997" s="28"/>
      <x:c r="K1997" s="28"/>
      <x:c r="L1997" s="28"/>
      <x:c r="M1997" s="28"/>
      <x:c r="N1997" s="28"/>
      <x:c r="O1997" s="28"/>
      <x:c r="P1997" s="28"/>
      <x:c r="Q1997" s="28"/>
      <x:c r="R1997" s="28"/>
      <x:c r="S1997" s="28"/>
      <x:c r="T1997" s="28"/>
      <x:c r="U1997" s="28"/>
      <x:c r="V1997" s="28"/>
      <x:c r="W1997" s="43" t="n">
        <x:f>--AND(N1997=1,OR(O1997="SUPPORTED",O1997="HALLUCINATION"))</x:f>
        <x:v>0</x:v>
      </x:c>
      <x:c r="X1997" s="43" t="n">
        <x:f>--AND(W1997=1,O1997="HALLUCINATION")</x:f>
        <x:v>0</x:v>
      </x:c>
      <x:c r="Y1997" s="43" t="n">
        <x:f>--AND(Q1997=1,O1997="HALLUCINATION")</x:f>
        <x:v>0</x:v>
      </x:c>
      <x:c r="Z1997" s="43" t="n">
        <x:f>--AND(Y1997=1,R1997=1,S1997=1)</x:f>
        <x:v>0</x:v>
      </x:c>
      <x:c r="AC1997" t="str">
        <x:f>IF(OR(AA1997="",AB1997=""),"",--(AA1997&lt;&gt;AB1997))</x:f>
      </x:c>
      <x:c r="AE1997" t="str">
        <x:f>IF(OR(AA1997="",AB1997=""),"PENDING_HUMAN",IF(AA1997=AB1997,AA1997,IF(AD1997&lt;&gt;"",AD1997,"PENDING_HUMAN")))</x:f>
        <x:v>PENDING_HUMAN</x:v>
      </x:c>
      <x:c r="AF1997" t="n">
        <x:f>--AND(A1997&lt;&gt;"",AA1997&lt;&gt;"",AB1997&lt;&gt;"",OR(AA1997=AB1997,AD1997&lt;&gt;""),IF(AE1997="HALLUCINATION",U1997&lt;&gt;"",TRUE))</x:f>
        <x:v>0</x:v>
      </x:c>
      <x:c r="AG1997" t="n">
        <x:f>--AND(N1997=1,AF1997=1,OR(AE1997="SUPPORTED",AE1997="HALLUCINATION"))</x:f>
        <x:v>0</x:v>
      </x:c>
      <x:c r="AH1997" t="n">
        <x:f>--AND(AG1997=1,AE1997="HALLUCINATION")</x:f>
        <x:v>0</x:v>
      </x:c>
      <x:c r="AI1997" t="n">
        <x:f>--AND(Q1997=1,AF1997=1,AE1997="HALLUCINATION")</x:f>
        <x:v>0</x:v>
      </x:c>
      <x:c r="AJ1997" t="n">
        <x:f>--AND(AI1997=1,R1997=1,S1997=1)</x:f>
        <x:v>0</x:v>
      </x:c>
    </x:row>
    <x:row r="1998">
      <x:c r="A1998" s="28"/>
      <x:c r="B1998" s="28"/>
      <x:c r="C1998" s="28"/>
      <x:c r="D1998" s="28"/>
      <x:c r="E1998" s="28"/>
      <x:c r="F1998" s="28"/>
      <x:c r="G1998" s="28"/>
      <x:c r="H1998" s="28"/>
      <x:c r="I1998" s="28"/>
      <x:c r="J1998" s="28"/>
      <x:c r="K1998" s="28"/>
      <x:c r="L1998" s="28"/>
      <x:c r="M1998" s="28"/>
      <x:c r="N1998" s="28"/>
      <x:c r="O1998" s="28"/>
      <x:c r="P1998" s="28"/>
      <x:c r="Q1998" s="28"/>
      <x:c r="R1998" s="28"/>
      <x:c r="S1998" s="28"/>
      <x:c r="T1998" s="28"/>
      <x:c r="U1998" s="28"/>
      <x:c r="V1998" s="28"/>
      <x:c r="W1998" s="43" t="n">
        <x:f>--AND(N1998=1,OR(O1998="SUPPORTED",O1998="HALLUCINATION"))</x:f>
        <x:v>0</x:v>
      </x:c>
      <x:c r="X1998" s="43" t="n">
        <x:f>--AND(W1998=1,O1998="HALLUCINATION")</x:f>
        <x:v>0</x:v>
      </x:c>
      <x:c r="Y1998" s="43" t="n">
        <x:f>--AND(Q1998=1,O1998="HALLUCINATION")</x:f>
        <x:v>0</x:v>
      </x:c>
      <x:c r="Z1998" s="43" t="n">
        <x:f>--AND(Y1998=1,R1998=1,S1998=1)</x:f>
        <x:v>0</x:v>
      </x:c>
      <x:c r="AC1998" t="str">
        <x:f>IF(OR(AA1998="",AB1998=""),"",--(AA1998&lt;&gt;AB1998))</x:f>
      </x:c>
      <x:c r="AE1998" t="str">
        <x:f>IF(OR(AA1998="",AB1998=""),"PENDING_HUMAN",IF(AA1998=AB1998,AA1998,IF(AD1998&lt;&gt;"",AD1998,"PENDING_HUMAN")))</x:f>
        <x:v>PENDING_HUMAN</x:v>
      </x:c>
      <x:c r="AF1998" t="n">
        <x:f>--AND(A1998&lt;&gt;"",AA1998&lt;&gt;"",AB1998&lt;&gt;"",OR(AA1998=AB1998,AD1998&lt;&gt;""),IF(AE1998="HALLUCINATION",U1998&lt;&gt;"",TRUE))</x:f>
        <x:v>0</x:v>
      </x:c>
      <x:c r="AG1998" t="n">
        <x:f>--AND(N1998=1,AF1998=1,OR(AE1998="SUPPORTED",AE1998="HALLUCINATION"))</x:f>
        <x:v>0</x:v>
      </x:c>
      <x:c r="AH1998" t="n">
        <x:f>--AND(AG1998=1,AE1998="HALLUCINATION")</x:f>
        <x:v>0</x:v>
      </x:c>
      <x:c r="AI1998" t="n">
        <x:f>--AND(Q1998=1,AF1998=1,AE1998="HALLUCINATION")</x:f>
        <x:v>0</x:v>
      </x:c>
      <x:c r="AJ1998" t="n">
        <x:f>--AND(AI1998=1,R1998=1,S1998=1)</x:f>
        <x:v>0</x:v>
      </x:c>
    </x:row>
    <x:row r="1999">
      <x:c r="A1999" s="28"/>
      <x:c r="B1999" s="28"/>
      <x:c r="C1999" s="28"/>
      <x:c r="D1999" s="28"/>
      <x:c r="E1999" s="28"/>
      <x:c r="F1999" s="28"/>
      <x:c r="G1999" s="28"/>
      <x:c r="H1999" s="28"/>
      <x:c r="I1999" s="28"/>
      <x:c r="J1999" s="28"/>
      <x:c r="K1999" s="28"/>
      <x:c r="L1999" s="28"/>
      <x:c r="M1999" s="28"/>
      <x:c r="N1999" s="28"/>
      <x:c r="O1999" s="28"/>
      <x:c r="P1999" s="28"/>
      <x:c r="Q1999" s="28"/>
      <x:c r="R1999" s="28"/>
      <x:c r="S1999" s="28"/>
      <x:c r="T1999" s="28"/>
      <x:c r="U1999" s="28"/>
      <x:c r="V1999" s="28"/>
      <x:c r="W1999" s="43" t="n">
        <x:f>--AND(N1999=1,OR(O1999="SUPPORTED",O1999="HALLUCINATION"))</x:f>
        <x:v>0</x:v>
      </x:c>
      <x:c r="X1999" s="43" t="n">
        <x:f>--AND(W1999=1,O1999="HALLUCINATION")</x:f>
        <x:v>0</x:v>
      </x:c>
      <x:c r="Y1999" s="43" t="n">
        <x:f>--AND(Q1999=1,O1999="HALLUCINATION")</x:f>
        <x:v>0</x:v>
      </x:c>
      <x:c r="Z1999" s="43" t="n">
        <x:f>--AND(Y1999=1,R1999=1,S1999=1)</x:f>
        <x:v>0</x:v>
      </x:c>
      <x:c r="AC1999" t="str">
        <x:f>IF(OR(AA1999="",AB1999=""),"",--(AA1999&lt;&gt;AB1999))</x:f>
      </x:c>
      <x:c r="AE1999" t="str">
        <x:f>IF(OR(AA1999="",AB1999=""),"PENDING_HUMAN",IF(AA1999=AB1999,AA1999,IF(AD1999&lt;&gt;"",AD1999,"PENDING_HUMAN")))</x:f>
        <x:v>PENDING_HUMAN</x:v>
      </x:c>
      <x:c r="AF1999" t="n">
        <x:f>--AND(A1999&lt;&gt;"",AA1999&lt;&gt;"",AB1999&lt;&gt;"",OR(AA1999=AB1999,AD1999&lt;&gt;""),IF(AE1999="HALLUCINATION",U1999&lt;&gt;"",TRUE))</x:f>
        <x:v>0</x:v>
      </x:c>
      <x:c r="AG1999" t="n">
        <x:f>--AND(N1999=1,AF1999=1,OR(AE1999="SUPPORTED",AE1999="HALLUCINATION"))</x:f>
        <x:v>0</x:v>
      </x:c>
      <x:c r="AH1999" t="n">
        <x:f>--AND(AG1999=1,AE1999="HALLUCINATION")</x:f>
        <x:v>0</x:v>
      </x:c>
      <x:c r="AI1999" t="n">
        <x:f>--AND(Q1999=1,AF1999=1,AE1999="HALLUCINATION")</x:f>
        <x:v>0</x:v>
      </x:c>
      <x:c r="AJ1999" t="n">
        <x:f>--AND(AI1999=1,R1999=1,S1999=1)</x:f>
        <x:v>0</x:v>
      </x:c>
    </x:row>
    <x:row r="2000">
      <x:c r="A2000" s="28"/>
      <x:c r="B2000" s="28"/>
      <x:c r="C2000" s="28"/>
      <x:c r="D2000" s="28"/>
      <x:c r="E2000" s="28"/>
      <x:c r="F2000" s="28"/>
      <x:c r="G2000" s="28"/>
      <x:c r="H2000" s="28"/>
      <x:c r="I2000" s="28"/>
      <x:c r="J2000" s="28"/>
      <x:c r="K2000" s="28"/>
      <x:c r="L2000" s="28"/>
      <x:c r="M2000" s="28"/>
      <x:c r="N2000" s="28"/>
      <x:c r="O2000" s="28"/>
      <x:c r="P2000" s="28"/>
      <x:c r="Q2000" s="28"/>
      <x:c r="R2000" s="28"/>
      <x:c r="S2000" s="28"/>
      <x:c r="T2000" s="28"/>
      <x:c r="U2000" s="28"/>
      <x:c r="V2000" s="28"/>
      <x:c r="W2000" s="43" t="n">
        <x:f>--AND(N2000=1,OR(O2000="SUPPORTED",O2000="HALLUCINATION"))</x:f>
        <x:v>0</x:v>
      </x:c>
      <x:c r="X2000" s="43" t="n">
        <x:f>--AND(W2000=1,O2000="HALLUCINATION")</x:f>
        <x:v>0</x:v>
      </x:c>
      <x:c r="Y2000" s="43" t="n">
        <x:f>--AND(Q2000=1,O2000="HALLUCINATION")</x:f>
        <x:v>0</x:v>
      </x:c>
      <x:c r="Z2000" s="43" t="n">
        <x:f>--AND(Y2000=1,R2000=1,S2000=1)</x:f>
        <x:v>0</x:v>
      </x:c>
      <x:c r="AC2000" t="str">
        <x:f>IF(OR(AA2000="",AB2000=""),"",--(AA2000&lt;&gt;AB2000))</x:f>
      </x:c>
      <x:c r="AE2000" t="str">
        <x:f>IF(OR(AA2000="",AB2000=""),"PENDING_HUMAN",IF(AA2000=AB2000,AA2000,IF(AD2000&lt;&gt;"",AD2000,"PENDING_HUMAN")))</x:f>
        <x:v>PENDING_HUMAN</x:v>
      </x:c>
      <x:c r="AF2000" t="n">
        <x:f>--AND(A2000&lt;&gt;"",AA2000&lt;&gt;"",AB2000&lt;&gt;"",OR(AA2000=AB2000,AD2000&lt;&gt;""),IF(AE2000="HALLUCINATION",U2000&lt;&gt;"",TRUE))</x:f>
        <x:v>0</x:v>
      </x:c>
      <x:c r="AG2000" t="n">
        <x:f>--AND(N2000=1,AF2000=1,OR(AE2000="SUPPORTED",AE2000="HALLUCINATION"))</x:f>
        <x:v>0</x:v>
      </x:c>
      <x:c r="AH2000" t="n">
        <x:f>--AND(AG2000=1,AE2000="HALLUCINATION")</x:f>
        <x:v>0</x:v>
      </x:c>
      <x:c r="AI2000" t="n">
        <x:f>--AND(Q2000=1,AF2000=1,AE2000="HALLUCINATION")</x:f>
        <x:v>0</x:v>
      </x:c>
      <x:c r="AJ2000" t="n">
        <x:f>--AND(AI2000=1,R2000=1,S2000=1)</x:f>
        <x:v>0</x:v>
      </x:c>
    </x:row>
    <x:row r="2001">
      <x:c r="A2001" s="28"/>
      <x:c r="B2001" s="28"/>
      <x:c r="C2001" s="28"/>
      <x:c r="D2001" s="28"/>
      <x:c r="E2001" s="28"/>
      <x:c r="F2001" s="28"/>
      <x:c r="G2001" s="28"/>
      <x:c r="H2001" s="28"/>
      <x:c r="I2001" s="28"/>
      <x:c r="J2001" s="28"/>
      <x:c r="K2001" s="28"/>
      <x:c r="L2001" s="28"/>
      <x:c r="M2001" s="28"/>
      <x:c r="N2001" s="28"/>
      <x:c r="O2001" s="28"/>
      <x:c r="P2001" s="28"/>
      <x:c r="Q2001" s="28"/>
      <x:c r="R2001" s="28"/>
      <x:c r="S2001" s="28"/>
      <x:c r="T2001" s="28"/>
      <x:c r="U2001" s="28"/>
      <x:c r="V2001" s="28"/>
      <x:c r="W2001" s="43" t="n">
        <x:f>--AND(N2001=1,OR(O2001="SUPPORTED",O2001="HALLUCINATION"))</x:f>
        <x:v>0</x:v>
      </x:c>
      <x:c r="X2001" s="43" t="n">
        <x:f>--AND(W2001=1,O2001="HALLUCINATION")</x:f>
        <x:v>0</x:v>
      </x:c>
      <x:c r="Y2001" s="43" t="n">
        <x:f>--AND(Q2001=1,O2001="HALLUCINATION")</x:f>
        <x:v>0</x:v>
      </x:c>
      <x:c r="Z2001" s="43" t="n">
        <x:f>--AND(Y2001=1,R2001=1,S2001=1)</x:f>
        <x:v>0</x:v>
      </x:c>
      <x:c r="AC2001" t="str">
        <x:f>IF(OR(AA2001="",AB2001=""),"",--(AA2001&lt;&gt;AB2001))</x:f>
      </x:c>
      <x:c r="AE2001" t="str">
        <x:f>IF(OR(AA2001="",AB2001=""),"PENDING_HUMAN",IF(AA2001=AB2001,AA2001,IF(AD2001&lt;&gt;"",AD2001,"PENDING_HUMAN")))</x:f>
        <x:v>PENDING_HUMAN</x:v>
      </x:c>
      <x:c r="AF2001" t="n">
        <x:f>--AND(A2001&lt;&gt;"",AA2001&lt;&gt;"",AB2001&lt;&gt;"",OR(AA2001=AB2001,AD2001&lt;&gt;""),IF(AE2001="HALLUCINATION",U2001&lt;&gt;"",TRUE))</x:f>
        <x:v>0</x:v>
      </x:c>
      <x:c r="AG2001" t="n">
        <x:f>--AND(N2001=1,AF2001=1,OR(AE2001="SUPPORTED",AE2001="HALLUCINATION"))</x:f>
        <x:v>0</x:v>
      </x:c>
      <x:c r="AH2001" t="n">
        <x:f>--AND(AG2001=1,AE2001="HALLUCINATION")</x:f>
        <x:v>0</x:v>
      </x:c>
      <x:c r="AI2001" t="n">
        <x:f>--AND(Q2001=1,AF2001=1,AE2001="HALLUCINATION")</x:f>
        <x:v>0</x:v>
      </x:c>
      <x:c r="AJ2001" t="n">
        <x:f>--AND(AI2001=1,R2001=1,S2001=1)</x:f>
        <x:v>0</x:v>
      </x:c>
    </x:row>
    <x:row r="2002">
      <x:c r="A2002" s="28"/>
      <x:c r="B2002" s="28"/>
      <x:c r="C2002" s="28"/>
      <x:c r="D2002" s="28"/>
      <x:c r="E2002" s="28"/>
      <x:c r="F2002" s="28"/>
      <x:c r="G2002" s="28"/>
      <x:c r="H2002" s="28"/>
      <x:c r="I2002" s="28"/>
      <x:c r="J2002" s="28"/>
      <x:c r="K2002" s="28"/>
      <x:c r="L2002" s="28"/>
      <x:c r="M2002" s="28"/>
      <x:c r="N2002" s="28"/>
      <x:c r="O2002" s="28"/>
      <x:c r="P2002" s="28"/>
      <x:c r="Q2002" s="28"/>
      <x:c r="R2002" s="28"/>
      <x:c r="S2002" s="28"/>
      <x:c r="T2002" s="28"/>
      <x:c r="U2002" s="28"/>
      <x:c r="V2002" s="28"/>
      <x:c r="W2002" s="43" t="n">
        <x:f>--AND(N2002=1,OR(O2002="SUPPORTED",O2002="HALLUCINATION"))</x:f>
        <x:v>0</x:v>
      </x:c>
      <x:c r="X2002" s="43" t="n">
        <x:f>--AND(W2002=1,O2002="HALLUCINATION")</x:f>
        <x:v>0</x:v>
      </x:c>
      <x:c r="Y2002" s="43" t="n">
        <x:f>--AND(Q2002=1,O2002="HALLUCINATION")</x:f>
        <x:v>0</x:v>
      </x:c>
      <x:c r="Z2002" s="43" t="n">
        <x:f>--AND(Y2002=1,R2002=1,S2002=1)</x:f>
        <x:v>0</x:v>
      </x:c>
      <x:c r="AC2002" t="str">
        <x:f>IF(OR(AA2002="",AB2002=""),"",--(AA2002&lt;&gt;AB2002))</x:f>
      </x:c>
      <x:c r="AE2002" t="str">
        <x:f>IF(OR(AA2002="",AB2002=""),"PENDING_HUMAN",IF(AA2002=AB2002,AA2002,IF(AD2002&lt;&gt;"",AD2002,"PENDING_HUMAN")))</x:f>
        <x:v>PENDING_HUMAN</x:v>
      </x:c>
      <x:c r="AF2002" t="n">
        <x:f>--AND(A2002&lt;&gt;"",AA2002&lt;&gt;"",AB2002&lt;&gt;"",OR(AA2002=AB2002,AD2002&lt;&gt;""),IF(AE2002="HALLUCINATION",U2002&lt;&gt;"",TRUE))</x:f>
        <x:v>0</x:v>
      </x:c>
      <x:c r="AG2002" t="n">
        <x:f>--AND(N2002=1,AF2002=1,OR(AE2002="SUPPORTED",AE2002="HALLUCINATION"))</x:f>
        <x:v>0</x:v>
      </x:c>
      <x:c r="AH2002" t="n">
        <x:f>--AND(AG2002=1,AE2002="HALLUCINATION")</x:f>
        <x:v>0</x:v>
      </x:c>
      <x:c r="AI2002" t="n">
        <x:f>--AND(Q2002=1,AF2002=1,AE2002="HALLUCINATION")</x:f>
        <x:v>0</x:v>
      </x:c>
      <x:c r="AJ2002" t="n">
        <x:f>--AND(AI2002=1,R2002=1,S2002=1)</x:f>
        <x:v>0</x:v>
      </x:c>
    </x:row>
    <x:row r="2003">
      <x:c r="A2003" s="28"/>
      <x:c r="B2003" s="28"/>
      <x:c r="C2003" s="28"/>
      <x:c r="D2003" s="28"/>
      <x:c r="E2003" s="28"/>
      <x:c r="F2003" s="28"/>
      <x:c r="G2003" s="28"/>
      <x:c r="H2003" s="28"/>
      <x:c r="I2003" s="28"/>
      <x:c r="J2003" s="28"/>
      <x:c r="K2003" s="28"/>
      <x:c r="L2003" s="28"/>
      <x:c r="M2003" s="28"/>
      <x:c r="N2003" s="28"/>
      <x:c r="O2003" s="28"/>
      <x:c r="P2003" s="28"/>
      <x:c r="Q2003" s="28"/>
      <x:c r="R2003" s="28"/>
      <x:c r="S2003" s="28"/>
      <x:c r="T2003" s="28"/>
      <x:c r="U2003" s="28"/>
      <x:c r="V2003" s="28"/>
      <x:c r="W2003" s="43" t="n">
        <x:f>--AND(N2003=1,OR(O2003="SUPPORTED",O2003="HALLUCINATION"))</x:f>
        <x:v>0</x:v>
      </x:c>
      <x:c r="X2003" s="43" t="n">
        <x:f>--AND(W2003=1,O2003="HALLUCINATION")</x:f>
        <x:v>0</x:v>
      </x:c>
      <x:c r="Y2003" s="43" t="n">
        <x:f>--AND(Q2003=1,O2003="HALLUCINATION")</x:f>
        <x:v>0</x:v>
      </x:c>
      <x:c r="Z2003" s="43" t="n">
        <x:f>--AND(Y2003=1,R2003=1,S2003=1)</x:f>
        <x:v>0</x:v>
      </x:c>
      <x:c r="AC2003" t="str">
        <x:f>IF(OR(AA2003="",AB2003=""),"",--(AA2003&lt;&gt;AB2003))</x:f>
      </x:c>
      <x:c r="AE2003" t="str">
        <x:f>IF(OR(AA2003="",AB2003=""),"PENDING_HUMAN",IF(AA2003=AB2003,AA2003,IF(AD2003&lt;&gt;"",AD2003,"PENDING_HUMAN")))</x:f>
        <x:v>PENDING_HUMAN</x:v>
      </x:c>
      <x:c r="AF2003" t="n">
        <x:f>--AND(A2003&lt;&gt;"",AA2003&lt;&gt;"",AB2003&lt;&gt;"",OR(AA2003=AB2003,AD2003&lt;&gt;""),IF(AE2003="HALLUCINATION",U2003&lt;&gt;"",TRUE))</x:f>
        <x:v>0</x:v>
      </x:c>
      <x:c r="AG2003" t="n">
        <x:f>--AND(N2003=1,AF2003=1,OR(AE2003="SUPPORTED",AE2003="HALLUCINATION"))</x:f>
        <x:v>0</x:v>
      </x:c>
      <x:c r="AH2003" t="n">
        <x:f>--AND(AG2003=1,AE2003="HALLUCINATION")</x:f>
        <x:v>0</x:v>
      </x:c>
      <x:c r="AI2003" t="n">
        <x:f>--AND(Q2003=1,AF2003=1,AE2003="HALLUCINATION")</x:f>
        <x:v>0</x:v>
      </x:c>
      <x:c r="AJ2003" t="n">
        <x:f>--AND(AI2003=1,R2003=1,S2003=1)</x:f>
        <x:v>0</x:v>
      </x:c>
    </x:row>
    <x:row r="2004">
      <x:c r="A2004" s="28"/>
      <x:c r="B2004" s="28"/>
      <x:c r="C2004" s="28"/>
      <x:c r="D2004" s="28"/>
      <x:c r="E2004" s="28"/>
      <x:c r="F2004" s="28"/>
      <x:c r="G2004" s="28"/>
      <x:c r="H2004" s="28"/>
      <x:c r="I2004" s="28"/>
      <x:c r="J2004" s="28"/>
      <x:c r="K2004" s="28"/>
      <x:c r="L2004" s="28"/>
      <x:c r="M2004" s="28"/>
      <x:c r="N2004" s="28"/>
      <x:c r="O2004" s="28"/>
      <x:c r="P2004" s="28"/>
      <x:c r="Q2004" s="28"/>
      <x:c r="R2004" s="28"/>
      <x:c r="S2004" s="28"/>
      <x:c r="T2004" s="28"/>
      <x:c r="U2004" s="28"/>
      <x:c r="V2004" s="28"/>
      <x:c r="W2004" s="43" t="n">
        <x:f>--AND(N2004=1,OR(O2004="SUPPORTED",O2004="HALLUCINATION"))</x:f>
        <x:v>0</x:v>
      </x:c>
      <x:c r="X2004" s="43" t="n">
        <x:f>--AND(W2004=1,O2004="HALLUCINATION")</x:f>
        <x:v>0</x:v>
      </x:c>
      <x:c r="Y2004" s="43" t="n">
        <x:f>--AND(Q2004=1,O2004="HALLUCINATION")</x:f>
        <x:v>0</x:v>
      </x:c>
      <x:c r="Z2004" s="43" t="n">
        <x:f>--AND(Y2004=1,R2004=1,S2004=1)</x:f>
        <x:v>0</x:v>
      </x:c>
      <x:c r="AC2004" t="str">
        <x:f>IF(OR(AA2004="",AB2004=""),"",--(AA2004&lt;&gt;AB2004))</x:f>
      </x:c>
      <x:c r="AE2004" t="str">
        <x:f>IF(OR(AA2004="",AB2004=""),"PENDING_HUMAN",IF(AA2004=AB2004,AA2004,IF(AD2004&lt;&gt;"",AD2004,"PENDING_HUMAN")))</x:f>
        <x:v>PENDING_HUMAN</x:v>
      </x:c>
      <x:c r="AF2004" t="n">
        <x:f>--AND(A2004&lt;&gt;"",AA2004&lt;&gt;"",AB2004&lt;&gt;"",OR(AA2004=AB2004,AD2004&lt;&gt;""),IF(AE2004="HALLUCINATION",U2004&lt;&gt;"",TRUE))</x:f>
        <x:v>0</x:v>
      </x:c>
      <x:c r="AG2004" t="n">
        <x:f>--AND(N2004=1,AF2004=1,OR(AE2004="SUPPORTED",AE2004="HALLUCINATION"))</x:f>
        <x:v>0</x:v>
      </x:c>
      <x:c r="AH2004" t="n">
        <x:f>--AND(AG2004=1,AE2004="HALLUCINATION")</x:f>
        <x:v>0</x:v>
      </x:c>
      <x:c r="AI2004" t="n">
        <x:f>--AND(Q2004=1,AF2004=1,AE2004="HALLUCINATION")</x:f>
        <x:v>0</x:v>
      </x:c>
      <x:c r="AJ2004" t="n">
        <x:f>--AND(AI2004=1,R2004=1,S2004=1)</x:f>
        <x:v>0</x:v>
      </x:c>
    </x:row>
    <x:row r="2005">
      <x:c r="A2005" s="28"/>
      <x:c r="B2005" s="28"/>
      <x:c r="C2005" s="28"/>
      <x:c r="D2005" s="28"/>
      <x:c r="E2005" s="28"/>
      <x:c r="F2005" s="28"/>
      <x:c r="G2005" s="28"/>
      <x:c r="H2005" s="28"/>
      <x:c r="I2005" s="28"/>
      <x:c r="J2005" s="28"/>
      <x:c r="K2005" s="28"/>
      <x:c r="L2005" s="28"/>
      <x:c r="M2005" s="28"/>
      <x:c r="N2005" s="28"/>
      <x:c r="O2005" s="28"/>
      <x:c r="P2005" s="28"/>
      <x:c r="Q2005" s="28"/>
      <x:c r="R2005" s="28"/>
      <x:c r="S2005" s="28"/>
      <x:c r="T2005" s="28"/>
      <x:c r="U2005" s="28"/>
      <x:c r="V2005" s="28"/>
      <x:c r="W2005" s="43" t="n">
        <x:f>--AND(N2005=1,OR(O2005="SUPPORTED",O2005="HALLUCINATION"))</x:f>
        <x:v>0</x:v>
      </x:c>
      <x:c r="X2005" s="43" t="n">
        <x:f>--AND(W2005=1,O2005="HALLUCINATION")</x:f>
        <x:v>0</x:v>
      </x:c>
      <x:c r="Y2005" s="43" t="n">
        <x:f>--AND(Q2005=1,O2005="HALLUCINATION")</x:f>
        <x:v>0</x:v>
      </x:c>
      <x:c r="Z2005" s="43" t="n">
        <x:f>--AND(Y2005=1,R2005=1,S2005=1)</x:f>
        <x:v>0</x:v>
      </x:c>
      <x:c r="AC2005" t="str">
        <x:f>IF(OR(AA2005="",AB2005=""),"",--(AA2005&lt;&gt;AB2005))</x:f>
      </x:c>
      <x:c r="AE2005" t="str">
        <x:f>IF(OR(AA2005="",AB2005=""),"PENDING_HUMAN",IF(AA2005=AB2005,AA2005,IF(AD2005&lt;&gt;"",AD2005,"PENDING_HUMAN")))</x:f>
        <x:v>PENDING_HUMAN</x:v>
      </x:c>
      <x:c r="AF2005" t="n">
        <x:f>--AND(A2005&lt;&gt;"",AA2005&lt;&gt;"",AB2005&lt;&gt;"",OR(AA2005=AB2005,AD2005&lt;&gt;""),IF(AE2005="HALLUCINATION",U2005&lt;&gt;"",TRUE))</x:f>
        <x:v>0</x:v>
      </x:c>
      <x:c r="AG2005" t="n">
        <x:f>--AND(N2005=1,AF2005=1,OR(AE2005="SUPPORTED",AE2005="HALLUCINATION"))</x:f>
        <x:v>0</x:v>
      </x:c>
      <x:c r="AH2005" t="n">
        <x:f>--AND(AG2005=1,AE2005="HALLUCINATION")</x:f>
        <x:v>0</x:v>
      </x:c>
      <x:c r="AI2005" t="n">
        <x:f>--AND(Q2005=1,AF2005=1,AE2005="HALLUCINATION")</x:f>
        <x:v>0</x:v>
      </x:c>
      <x:c r="AJ2005" t="n">
        <x:f>--AND(AI2005=1,R2005=1,S2005=1)</x:f>
        <x:v>0</x:v>
      </x:c>
    </x:row>
    <x:row r="2006">
      <x:c r="A2006" s="28"/>
      <x:c r="B2006" s="28"/>
      <x:c r="C2006" s="28"/>
      <x:c r="D2006" s="28"/>
      <x:c r="E2006" s="28"/>
      <x:c r="F2006" s="28"/>
      <x:c r="G2006" s="28"/>
      <x:c r="H2006" s="28"/>
      <x:c r="I2006" s="28"/>
      <x:c r="J2006" s="28"/>
      <x:c r="K2006" s="28"/>
      <x:c r="L2006" s="28"/>
      <x:c r="M2006" s="28"/>
      <x:c r="N2006" s="28"/>
      <x:c r="O2006" s="28"/>
      <x:c r="P2006" s="28"/>
      <x:c r="Q2006" s="28"/>
      <x:c r="R2006" s="28"/>
      <x:c r="S2006" s="28"/>
      <x:c r="T2006" s="28"/>
      <x:c r="U2006" s="28"/>
      <x:c r="V2006" s="28"/>
      <x:c r="W2006" s="43" t="n">
        <x:f>--AND(N2006=1,OR(O2006="SUPPORTED",O2006="HALLUCINATION"))</x:f>
        <x:v>0</x:v>
      </x:c>
      <x:c r="X2006" s="43" t="n">
        <x:f>--AND(W2006=1,O2006="HALLUCINATION")</x:f>
        <x:v>0</x:v>
      </x:c>
      <x:c r="Y2006" s="43" t="n">
        <x:f>--AND(Q2006=1,O2006="HALLUCINATION")</x:f>
        <x:v>0</x:v>
      </x:c>
      <x:c r="Z2006" s="43" t="n">
        <x:f>--AND(Y2006=1,R2006=1,S2006=1)</x:f>
        <x:v>0</x:v>
      </x:c>
      <x:c r="AC2006" t="str">
        <x:f>IF(OR(AA2006="",AB2006=""),"",--(AA2006&lt;&gt;AB2006))</x:f>
      </x:c>
      <x:c r="AE2006" t="str">
        <x:f>IF(OR(AA2006="",AB2006=""),"PENDING_HUMAN",IF(AA2006=AB2006,AA2006,IF(AD2006&lt;&gt;"",AD2006,"PENDING_HUMAN")))</x:f>
        <x:v>PENDING_HUMAN</x:v>
      </x:c>
      <x:c r="AF2006" t="n">
        <x:f>--AND(A2006&lt;&gt;"",AA2006&lt;&gt;"",AB2006&lt;&gt;"",OR(AA2006=AB2006,AD2006&lt;&gt;""),IF(AE2006="HALLUCINATION",U2006&lt;&gt;"",TRUE))</x:f>
        <x:v>0</x:v>
      </x:c>
      <x:c r="AG2006" t="n">
        <x:f>--AND(N2006=1,AF2006=1,OR(AE2006="SUPPORTED",AE2006="HALLUCINATION"))</x:f>
        <x:v>0</x:v>
      </x:c>
      <x:c r="AH2006" t="n">
        <x:f>--AND(AG2006=1,AE2006="HALLUCINATION")</x:f>
        <x:v>0</x:v>
      </x:c>
      <x:c r="AI2006" t="n">
        <x:f>--AND(Q2006=1,AF2006=1,AE2006="HALLUCINATION")</x:f>
        <x:v>0</x:v>
      </x:c>
      <x:c r="AJ2006" t="n">
        <x:f>--AND(AI2006=1,R2006=1,S2006=1)</x:f>
        <x:v>0</x:v>
      </x:c>
    </x:row>
    <x:row r="2007">
      <x:c r="A2007" s="28"/>
      <x:c r="B2007" s="28"/>
      <x:c r="C2007" s="28"/>
      <x:c r="D2007" s="28"/>
      <x:c r="E2007" s="28"/>
      <x:c r="F2007" s="28"/>
      <x:c r="G2007" s="28"/>
      <x:c r="H2007" s="28"/>
      <x:c r="I2007" s="28"/>
      <x:c r="J2007" s="28"/>
      <x:c r="K2007" s="28"/>
      <x:c r="L2007" s="28"/>
      <x:c r="M2007" s="28"/>
      <x:c r="N2007" s="28"/>
      <x:c r="O2007" s="28"/>
      <x:c r="P2007" s="28"/>
      <x:c r="Q2007" s="28"/>
      <x:c r="R2007" s="28"/>
      <x:c r="S2007" s="28"/>
      <x:c r="T2007" s="28"/>
      <x:c r="U2007" s="28"/>
      <x:c r="V2007" s="28"/>
      <x:c r="W2007" s="43" t="n">
        <x:f>--AND(N2007=1,OR(O2007="SUPPORTED",O2007="HALLUCINATION"))</x:f>
        <x:v>0</x:v>
      </x:c>
      <x:c r="X2007" s="43" t="n">
        <x:f>--AND(W2007=1,O2007="HALLUCINATION")</x:f>
        <x:v>0</x:v>
      </x:c>
      <x:c r="Y2007" s="43" t="n">
        <x:f>--AND(Q2007=1,O2007="HALLUCINATION")</x:f>
        <x:v>0</x:v>
      </x:c>
      <x:c r="Z2007" s="43" t="n">
        <x:f>--AND(Y2007=1,R2007=1,S2007=1)</x:f>
        <x:v>0</x:v>
      </x:c>
      <x:c r="AC2007" t="str">
        <x:f>IF(OR(AA2007="",AB2007=""),"",--(AA2007&lt;&gt;AB2007))</x:f>
      </x:c>
      <x:c r="AE2007" t="str">
        <x:f>IF(OR(AA2007="",AB2007=""),"PENDING_HUMAN",IF(AA2007=AB2007,AA2007,IF(AD2007&lt;&gt;"",AD2007,"PENDING_HUMAN")))</x:f>
        <x:v>PENDING_HUMAN</x:v>
      </x:c>
      <x:c r="AF2007" t="n">
        <x:f>--AND(A2007&lt;&gt;"",AA2007&lt;&gt;"",AB2007&lt;&gt;"",OR(AA2007=AB2007,AD2007&lt;&gt;""),IF(AE2007="HALLUCINATION",U2007&lt;&gt;"",TRUE))</x:f>
        <x:v>0</x:v>
      </x:c>
      <x:c r="AG2007" t="n">
        <x:f>--AND(N2007=1,AF2007=1,OR(AE2007="SUPPORTED",AE2007="HALLUCINATION"))</x:f>
        <x:v>0</x:v>
      </x:c>
      <x:c r="AH2007" t="n">
        <x:f>--AND(AG2007=1,AE2007="HALLUCINATION")</x:f>
        <x:v>0</x:v>
      </x:c>
      <x:c r="AI2007" t="n">
        <x:f>--AND(Q2007=1,AF2007=1,AE2007="HALLUCINATION")</x:f>
        <x:v>0</x:v>
      </x:c>
      <x:c r="AJ2007" t="n">
        <x:f>--AND(AI2007=1,R2007=1,S2007=1)</x:f>
        <x:v>0</x:v>
      </x:c>
    </x:row>
    <x:row r="2008">
      <x:c r="A2008" s="28"/>
      <x:c r="B2008" s="28"/>
      <x:c r="C2008" s="28"/>
      <x:c r="D2008" s="28"/>
      <x:c r="E2008" s="28"/>
      <x:c r="F2008" s="28"/>
      <x:c r="G2008" s="28"/>
      <x:c r="H2008" s="28"/>
      <x:c r="I2008" s="28"/>
      <x:c r="J2008" s="28"/>
      <x:c r="K2008" s="28"/>
      <x:c r="L2008" s="28"/>
      <x:c r="M2008" s="28"/>
      <x:c r="N2008" s="28"/>
      <x:c r="O2008" s="28"/>
      <x:c r="P2008" s="28"/>
      <x:c r="Q2008" s="28"/>
      <x:c r="R2008" s="28"/>
      <x:c r="S2008" s="28"/>
      <x:c r="T2008" s="28"/>
      <x:c r="U2008" s="28"/>
      <x:c r="V2008" s="28"/>
      <x:c r="W2008" s="43" t="n">
        <x:f>--AND(N2008=1,OR(O2008="SUPPORTED",O2008="HALLUCINATION"))</x:f>
        <x:v>0</x:v>
      </x:c>
      <x:c r="X2008" s="43" t="n">
        <x:f>--AND(W2008=1,O2008="HALLUCINATION")</x:f>
        <x:v>0</x:v>
      </x:c>
      <x:c r="Y2008" s="43" t="n">
        <x:f>--AND(Q2008=1,O2008="HALLUCINATION")</x:f>
        <x:v>0</x:v>
      </x:c>
      <x:c r="Z2008" s="43" t="n">
        <x:f>--AND(Y2008=1,R2008=1,S2008=1)</x:f>
        <x:v>0</x:v>
      </x:c>
      <x:c r="AC2008" t="str">
        <x:f>IF(OR(AA2008="",AB2008=""),"",--(AA2008&lt;&gt;AB2008))</x:f>
      </x:c>
      <x:c r="AE2008" t="str">
        <x:f>IF(OR(AA2008="",AB2008=""),"PENDING_HUMAN",IF(AA2008=AB2008,AA2008,IF(AD2008&lt;&gt;"",AD2008,"PENDING_HUMAN")))</x:f>
        <x:v>PENDING_HUMAN</x:v>
      </x:c>
      <x:c r="AF2008" t="n">
        <x:f>--AND(A2008&lt;&gt;"",AA2008&lt;&gt;"",AB2008&lt;&gt;"",OR(AA2008=AB2008,AD2008&lt;&gt;""),IF(AE2008="HALLUCINATION",U2008&lt;&gt;"",TRUE))</x:f>
        <x:v>0</x:v>
      </x:c>
      <x:c r="AG2008" t="n">
        <x:f>--AND(N2008=1,AF2008=1,OR(AE2008="SUPPORTED",AE2008="HALLUCINATION"))</x:f>
        <x:v>0</x:v>
      </x:c>
      <x:c r="AH2008" t="n">
        <x:f>--AND(AG2008=1,AE2008="HALLUCINATION")</x:f>
        <x:v>0</x:v>
      </x:c>
      <x:c r="AI2008" t="n">
        <x:f>--AND(Q2008=1,AF2008=1,AE2008="HALLUCINATION")</x:f>
        <x:v>0</x:v>
      </x:c>
      <x:c r="AJ2008" t="n">
        <x:f>--AND(AI2008=1,R2008=1,S2008=1)</x:f>
        <x:v>0</x:v>
      </x:c>
    </x:row>
    <x:row r="2009">
      <x:c r="A2009" s="28"/>
      <x:c r="B2009" s="28"/>
      <x:c r="C2009" s="28"/>
      <x:c r="D2009" s="28"/>
      <x:c r="E2009" s="28"/>
      <x:c r="F2009" s="28"/>
      <x:c r="G2009" s="28"/>
      <x:c r="H2009" s="28"/>
      <x:c r="I2009" s="28"/>
      <x:c r="J2009" s="28"/>
      <x:c r="K2009" s="28"/>
      <x:c r="L2009" s="28"/>
      <x:c r="M2009" s="28"/>
      <x:c r="N2009" s="28"/>
      <x:c r="O2009" s="28"/>
      <x:c r="P2009" s="28"/>
      <x:c r="Q2009" s="28"/>
      <x:c r="R2009" s="28"/>
      <x:c r="S2009" s="28"/>
      <x:c r="T2009" s="28"/>
      <x:c r="U2009" s="28"/>
      <x:c r="V2009" s="28"/>
      <x:c r="W2009" s="43" t="n">
        <x:f>--AND(N2009=1,OR(O2009="SUPPORTED",O2009="HALLUCINATION"))</x:f>
        <x:v>0</x:v>
      </x:c>
      <x:c r="X2009" s="43" t="n">
        <x:f>--AND(W2009=1,O2009="HALLUCINATION")</x:f>
        <x:v>0</x:v>
      </x:c>
      <x:c r="Y2009" s="43" t="n">
        <x:f>--AND(Q2009=1,O2009="HALLUCINATION")</x:f>
        <x:v>0</x:v>
      </x:c>
      <x:c r="Z2009" s="43" t="n">
        <x:f>--AND(Y2009=1,R2009=1,S2009=1)</x:f>
        <x:v>0</x:v>
      </x:c>
      <x:c r="AC2009" t="str">
        <x:f>IF(OR(AA2009="",AB2009=""),"",--(AA2009&lt;&gt;AB2009))</x:f>
      </x:c>
      <x:c r="AE2009" t="str">
        <x:f>IF(OR(AA2009="",AB2009=""),"PENDING_HUMAN",IF(AA2009=AB2009,AA2009,IF(AD2009&lt;&gt;"",AD2009,"PENDING_HUMAN")))</x:f>
        <x:v>PENDING_HUMAN</x:v>
      </x:c>
      <x:c r="AF2009" t="n">
        <x:f>--AND(A2009&lt;&gt;"",AA2009&lt;&gt;"",AB2009&lt;&gt;"",OR(AA2009=AB2009,AD2009&lt;&gt;""),IF(AE2009="HALLUCINATION",U2009&lt;&gt;"",TRUE))</x:f>
        <x:v>0</x:v>
      </x:c>
      <x:c r="AG2009" t="n">
        <x:f>--AND(N2009=1,AF2009=1,OR(AE2009="SUPPORTED",AE2009="HALLUCINATION"))</x:f>
        <x:v>0</x:v>
      </x:c>
      <x:c r="AH2009" t="n">
        <x:f>--AND(AG2009=1,AE2009="HALLUCINATION")</x:f>
        <x:v>0</x:v>
      </x:c>
      <x:c r="AI2009" t="n">
        <x:f>--AND(Q2009=1,AF2009=1,AE2009="HALLUCINATION")</x:f>
        <x:v>0</x:v>
      </x:c>
      <x:c r="AJ2009" t="n">
        <x:f>--AND(AI2009=1,R2009=1,S2009=1)</x:f>
        <x:v>0</x:v>
      </x:c>
    </x:row>
    <x:row r="2010">
      <x:c r="A2010" s="28"/>
      <x:c r="B2010" s="28"/>
      <x:c r="C2010" s="28"/>
      <x:c r="D2010" s="28"/>
      <x:c r="E2010" s="28"/>
      <x:c r="F2010" s="28"/>
      <x:c r="G2010" s="28"/>
      <x:c r="H2010" s="28"/>
      <x:c r="I2010" s="28"/>
      <x:c r="J2010" s="28"/>
      <x:c r="K2010" s="28"/>
      <x:c r="L2010" s="28"/>
      <x:c r="M2010" s="28"/>
      <x:c r="N2010" s="28"/>
      <x:c r="O2010" s="28"/>
      <x:c r="P2010" s="28"/>
      <x:c r="Q2010" s="28"/>
      <x:c r="R2010" s="28"/>
      <x:c r="S2010" s="28"/>
      <x:c r="T2010" s="28"/>
      <x:c r="U2010" s="28"/>
      <x:c r="V2010" s="28"/>
      <x:c r="W2010" s="43" t="n">
        <x:f>--AND(N2010=1,OR(O2010="SUPPORTED",O2010="HALLUCINATION"))</x:f>
        <x:v>0</x:v>
      </x:c>
      <x:c r="X2010" s="43" t="n">
        <x:f>--AND(W2010=1,O2010="HALLUCINATION")</x:f>
        <x:v>0</x:v>
      </x:c>
      <x:c r="Y2010" s="43" t="n">
        <x:f>--AND(Q2010=1,O2010="HALLUCINATION")</x:f>
        <x:v>0</x:v>
      </x:c>
      <x:c r="Z2010" s="43" t="n">
        <x:f>--AND(Y2010=1,R2010=1,S2010=1)</x:f>
        <x:v>0</x:v>
      </x:c>
      <x:c r="AC2010" t="str">
        <x:f>IF(OR(AA2010="",AB2010=""),"",--(AA2010&lt;&gt;AB2010))</x:f>
      </x:c>
      <x:c r="AE2010" t="str">
        <x:f>IF(OR(AA2010="",AB2010=""),"PENDING_HUMAN",IF(AA2010=AB2010,AA2010,IF(AD2010&lt;&gt;"",AD2010,"PENDING_HUMAN")))</x:f>
        <x:v>PENDING_HUMAN</x:v>
      </x:c>
      <x:c r="AF2010" t="n">
        <x:f>--AND(A2010&lt;&gt;"",AA2010&lt;&gt;"",AB2010&lt;&gt;"",OR(AA2010=AB2010,AD2010&lt;&gt;""),IF(AE2010="HALLUCINATION",U2010&lt;&gt;"",TRUE))</x:f>
        <x:v>0</x:v>
      </x:c>
      <x:c r="AG2010" t="n">
        <x:f>--AND(N2010=1,AF2010=1,OR(AE2010="SUPPORTED",AE2010="HALLUCINATION"))</x:f>
        <x:v>0</x:v>
      </x:c>
      <x:c r="AH2010" t="n">
        <x:f>--AND(AG2010=1,AE2010="HALLUCINATION")</x:f>
        <x:v>0</x:v>
      </x:c>
      <x:c r="AI2010" t="n">
        <x:f>--AND(Q2010=1,AF2010=1,AE2010="HALLUCINATION")</x:f>
        <x:v>0</x:v>
      </x:c>
      <x:c r="AJ2010" t="n">
        <x:f>--AND(AI2010=1,R2010=1,S2010=1)</x:f>
        <x:v>0</x:v>
      </x:c>
    </x:row>
    <x:row r="2011">
      <x:c r="A2011" s="28"/>
      <x:c r="B2011" s="28"/>
      <x:c r="C2011" s="28"/>
      <x:c r="D2011" s="28"/>
      <x:c r="E2011" s="28"/>
      <x:c r="F2011" s="28"/>
      <x:c r="G2011" s="28"/>
      <x:c r="H2011" s="28"/>
      <x:c r="I2011" s="28"/>
      <x:c r="J2011" s="28"/>
      <x:c r="K2011" s="28"/>
      <x:c r="L2011" s="28"/>
      <x:c r="M2011" s="28"/>
      <x:c r="N2011" s="28"/>
      <x:c r="O2011" s="28"/>
      <x:c r="P2011" s="28"/>
      <x:c r="Q2011" s="28"/>
      <x:c r="R2011" s="28"/>
      <x:c r="S2011" s="28"/>
      <x:c r="T2011" s="28"/>
      <x:c r="U2011" s="28"/>
      <x:c r="V2011" s="28"/>
      <x:c r="W2011" s="43" t="n">
        <x:f>--AND(N2011=1,OR(O2011="SUPPORTED",O2011="HALLUCINATION"))</x:f>
        <x:v>0</x:v>
      </x:c>
      <x:c r="X2011" s="43" t="n">
        <x:f>--AND(W2011=1,O2011="HALLUCINATION")</x:f>
        <x:v>0</x:v>
      </x:c>
      <x:c r="Y2011" s="43" t="n">
        <x:f>--AND(Q2011=1,O2011="HALLUCINATION")</x:f>
        <x:v>0</x:v>
      </x:c>
      <x:c r="Z2011" s="43" t="n">
        <x:f>--AND(Y2011=1,R2011=1,S2011=1)</x:f>
        <x:v>0</x:v>
      </x:c>
      <x:c r="AC2011" t="str">
        <x:f>IF(OR(AA2011="",AB2011=""),"",--(AA2011&lt;&gt;AB2011))</x:f>
      </x:c>
      <x:c r="AE2011" t="str">
        <x:f>IF(OR(AA2011="",AB2011=""),"PENDING_HUMAN",IF(AA2011=AB2011,AA2011,IF(AD2011&lt;&gt;"",AD2011,"PENDING_HUMAN")))</x:f>
        <x:v>PENDING_HUMAN</x:v>
      </x:c>
      <x:c r="AF2011" t="n">
        <x:f>--AND(A2011&lt;&gt;"",AA2011&lt;&gt;"",AB2011&lt;&gt;"",OR(AA2011=AB2011,AD2011&lt;&gt;""),IF(AE2011="HALLUCINATION",U2011&lt;&gt;"",TRUE))</x:f>
        <x:v>0</x:v>
      </x:c>
      <x:c r="AG2011" t="n">
        <x:f>--AND(N2011=1,AF2011=1,OR(AE2011="SUPPORTED",AE2011="HALLUCINATION"))</x:f>
        <x:v>0</x:v>
      </x:c>
      <x:c r="AH2011" t="n">
        <x:f>--AND(AG2011=1,AE2011="HALLUCINATION")</x:f>
        <x:v>0</x:v>
      </x:c>
      <x:c r="AI2011" t="n">
        <x:f>--AND(Q2011=1,AF2011=1,AE2011="HALLUCINATION")</x:f>
        <x:v>0</x:v>
      </x:c>
      <x:c r="AJ2011" t="n">
        <x:f>--AND(AI2011=1,R2011=1,S2011=1)</x:f>
        <x:v>0</x:v>
      </x:c>
    </x:row>
    <x:row r="2012">
      <x:c r="A2012" s="28"/>
      <x:c r="B2012" s="28"/>
      <x:c r="C2012" s="28"/>
      <x:c r="D2012" s="28"/>
      <x:c r="E2012" s="28"/>
      <x:c r="F2012" s="28"/>
      <x:c r="G2012" s="28"/>
      <x:c r="H2012" s="28"/>
      <x:c r="I2012" s="28"/>
      <x:c r="J2012" s="28"/>
      <x:c r="K2012" s="28"/>
      <x:c r="L2012" s="28"/>
      <x:c r="M2012" s="28"/>
      <x:c r="N2012" s="28"/>
      <x:c r="O2012" s="28"/>
      <x:c r="P2012" s="28"/>
      <x:c r="Q2012" s="28"/>
      <x:c r="R2012" s="28"/>
      <x:c r="S2012" s="28"/>
      <x:c r="T2012" s="28"/>
      <x:c r="U2012" s="28"/>
      <x:c r="V2012" s="28"/>
      <x:c r="W2012" s="43" t="n">
        <x:f>--AND(N2012=1,OR(O2012="SUPPORTED",O2012="HALLUCINATION"))</x:f>
        <x:v>0</x:v>
      </x:c>
      <x:c r="X2012" s="43" t="n">
        <x:f>--AND(W2012=1,O2012="HALLUCINATION")</x:f>
        <x:v>0</x:v>
      </x:c>
      <x:c r="Y2012" s="43" t="n">
        <x:f>--AND(Q2012=1,O2012="HALLUCINATION")</x:f>
        <x:v>0</x:v>
      </x:c>
      <x:c r="Z2012" s="43" t="n">
        <x:f>--AND(Y2012=1,R2012=1,S2012=1)</x:f>
        <x:v>0</x:v>
      </x:c>
      <x:c r="AC2012" t="str">
        <x:f>IF(OR(AA2012="",AB2012=""),"",--(AA2012&lt;&gt;AB2012))</x:f>
      </x:c>
      <x:c r="AE2012" t="str">
        <x:f>IF(OR(AA2012="",AB2012=""),"PENDING_HUMAN",IF(AA2012=AB2012,AA2012,IF(AD2012&lt;&gt;"",AD2012,"PENDING_HUMAN")))</x:f>
        <x:v>PENDING_HUMAN</x:v>
      </x:c>
      <x:c r="AF2012" t="n">
        <x:f>--AND(A2012&lt;&gt;"",AA2012&lt;&gt;"",AB2012&lt;&gt;"",OR(AA2012=AB2012,AD2012&lt;&gt;""),IF(AE2012="HALLUCINATION",U2012&lt;&gt;"",TRUE))</x:f>
        <x:v>0</x:v>
      </x:c>
      <x:c r="AG2012" t="n">
        <x:f>--AND(N2012=1,AF2012=1,OR(AE2012="SUPPORTED",AE2012="HALLUCINATION"))</x:f>
        <x:v>0</x:v>
      </x:c>
      <x:c r="AH2012" t="n">
        <x:f>--AND(AG2012=1,AE2012="HALLUCINATION")</x:f>
        <x:v>0</x:v>
      </x:c>
      <x:c r="AI2012" t="n">
        <x:f>--AND(Q2012=1,AF2012=1,AE2012="HALLUCINATION")</x:f>
        <x:v>0</x:v>
      </x:c>
      <x:c r="AJ2012" t="n">
        <x:f>--AND(AI2012=1,R2012=1,S2012=1)</x:f>
        <x:v>0</x:v>
      </x:c>
    </x:row>
    <x:row r="2013">
      <x:c r="A2013" s="28"/>
      <x:c r="B2013" s="28"/>
      <x:c r="C2013" s="28"/>
      <x:c r="D2013" s="28"/>
      <x:c r="E2013" s="28"/>
      <x:c r="F2013" s="28"/>
      <x:c r="G2013" s="28"/>
      <x:c r="H2013" s="28"/>
      <x:c r="I2013" s="28"/>
      <x:c r="J2013" s="28"/>
      <x:c r="K2013" s="28"/>
      <x:c r="L2013" s="28"/>
      <x:c r="M2013" s="28"/>
      <x:c r="N2013" s="28"/>
      <x:c r="O2013" s="28"/>
      <x:c r="P2013" s="28"/>
      <x:c r="Q2013" s="28"/>
      <x:c r="R2013" s="28"/>
      <x:c r="S2013" s="28"/>
      <x:c r="T2013" s="28"/>
      <x:c r="U2013" s="28"/>
      <x:c r="V2013" s="28"/>
      <x:c r="W2013" s="43" t="n">
        <x:f>--AND(N2013=1,OR(O2013="SUPPORTED",O2013="HALLUCINATION"))</x:f>
        <x:v>0</x:v>
      </x:c>
      <x:c r="X2013" s="43" t="n">
        <x:f>--AND(W2013=1,O2013="HALLUCINATION")</x:f>
        <x:v>0</x:v>
      </x:c>
      <x:c r="Y2013" s="43" t="n">
        <x:f>--AND(Q2013=1,O2013="HALLUCINATION")</x:f>
        <x:v>0</x:v>
      </x:c>
      <x:c r="Z2013" s="43" t="n">
        <x:f>--AND(Y2013=1,R2013=1,S2013=1)</x:f>
        <x:v>0</x:v>
      </x:c>
      <x:c r="AC2013" t="str">
        <x:f>IF(OR(AA2013="",AB2013=""),"",--(AA2013&lt;&gt;AB2013))</x:f>
      </x:c>
      <x:c r="AE2013" t="str">
        <x:f>IF(OR(AA2013="",AB2013=""),"PENDING_HUMAN",IF(AA2013=AB2013,AA2013,IF(AD2013&lt;&gt;"",AD2013,"PENDING_HUMAN")))</x:f>
        <x:v>PENDING_HUMAN</x:v>
      </x:c>
      <x:c r="AF2013" t="n">
        <x:f>--AND(A2013&lt;&gt;"",AA2013&lt;&gt;"",AB2013&lt;&gt;"",OR(AA2013=AB2013,AD2013&lt;&gt;""),IF(AE2013="HALLUCINATION",U2013&lt;&gt;"",TRUE))</x:f>
        <x:v>0</x:v>
      </x:c>
      <x:c r="AG2013" t="n">
        <x:f>--AND(N2013=1,AF2013=1,OR(AE2013="SUPPORTED",AE2013="HALLUCINATION"))</x:f>
        <x:v>0</x:v>
      </x:c>
      <x:c r="AH2013" t="n">
        <x:f>--AND(AG2013=1,AE2013="HALLUCINATION")</x:f>
        <x:v>0</x:v>
      </x:c>
      <x:c r="AI2013" t="n">
        <x:f>--AND(Q2013=1,AF2013=1,AE2013="HALLUCINATION")</x:f>
        <x:v>0</x:v>
      </x:c>
      <x:c r="AJ2013" t="n">
        <x:f>--AND(AI2013=1,R2013=1,S2013=1)</x:f>
        <x:v>0</x:v>
      </x:c>
    </x:row>
    <x:row r="2014">
      <x:c r="A2014" s="28"/>
      <x:c r="B2014" s="28"/>
      <x:c r="C2014" s="28"/>
      <x:c r="D2014" s="28"/>
      <x:c r="E2014" s="28"/>
      <x:c r="F2014" s="28"/>
      <x:c r="G2014" s="28"/>
      <x:c r="H2014" s="28"/>
      <x:c r="I2014" s="28"/>
      <x:c r="J2014" s="28"/>
      <x:c r="K2014" s="28"/>
      <x:c r="L2014" s="28"/>
      <x:c r="M2014" s="28"/>
      <x:c r="N2014" s="28"/>
      <x:c r="O2014" s="28"/>
      <x:c r="P2014" s="28"/>
      <x:c r="Q2014" s="28"/>
      <x:c r="R2014" s="28"/>
      <x:c r="S2014" s="28"/>
      <x:c r="T2014" s="28"/>
      <x:c r="U2014" s="28"/>
      <x:c r="V2014" s="28"/>
      <x:c r="W2014" s="43" t="n">
        <x:f>--AND(N2014=1,OR(O2014="SUPPORTED",O2014="HALLUCINATION"))</x:f>
        <x:v>0</x:v>
      </x:c>
      <x:c r="X2014" s="43" t="n">
        <x:f>--AND(W2014=1,O2014="HALLUCINATION")</x:f>
        <x:v>0</x:v>
      </x:c>
      <x:c r="Y2014" s="43" t="n">
        <x:f>--AND(Q2014=1,O2014="HALLUCINATION")</x:f>
        <x:v>0</x:v>
      </x:c>
      <x:c r="Z2014" s="43" t="n">
        <x:f>--AND(Y2014=1,R2014=1,S2014=1)</x:f>
        <x:v>0</x:v>
      </x:c>
      <x:c r="AC2014" t="str">
        <x:f>IF(OR(AA2014="",AB2014=""),"",--(AA2014&lt;&gt;AB2014))</x:f>
      </x:c>
      <x:c r="AE2014" t="str">
        <x:f>IF(OR(AA2014="",AB2014=""),"PENDING_HUMAN",IF(AA2014=AB2014,AA2014,IF(AD2014&lt;&gt;"",AD2014,"PENDING_HUMAN")))</x:f>
        <x:v>PENDING_HUMAN</x:v>
      </x:c>
      <x:c r="AF2014" t="n">
        <x:f>--AND(A2014&lt;&gt;"",AA2014&lt;&gt;"",AB2014&lt;&gt;"",OR(AA2014=AB2014,AD2014&lt;&gt;""),IF(AE2014="HALLUCINATION",U2014&lt;&gt;"",TRUE))</x:f>
        <x:v>0</x:v>
      </x:c>
      <x:c r="AG2014" t="n">
        <x:f>--AND(N2014=1,AF2014=1,OR(AE2014="SUPPORTED",AE2014="HALLUCINATION"))</x:f>
        <x:v>0</x:v>
      </x:c>
      <x:c r="AH2014" t="n">
        <x:f>--AND(AG2014=1,AE2014="HALLUCINATION")</x:f>
        <x:v>0</x:v>
      </x:c>
      <x:c r="AI2014" t="n">
        <x:f>--AND(Q2014=1,AF2014=1,AE2014="HALLUCINATION")</x:f>
        <x:v>0</x:v>
      </x:c>
      <x:c r="AJ2014" t="n">
        <x:f>--AND(AI2014=1,R2014=1,S2014=1)</x:f>
        <x:v>0</x:v>
      </x:c>
    </x:row>
    <x:row r="2015">
      <x:c r="A2015" s="28"/>
      <x:c r="B2015" s="28"/>
      <x:c r="C2015" s="28"/>
      <x:c r="D2015" s="28"/>
      <x:c r="E2015" s="28"/>
      <x:c r="F2015" s="28"/>
      <x:c r="G2015" s="28"/>
      <x:c r="H2015" s="28"/>
      <x:c r="I2015" s="28"/>
      <x:c r="J2015" s="28"/>
      <x:c r="K2015" s="28"/>
      <x:c r="L2015" s="28"/>
      <x:c r="M2015" s="28"/>
      <x:c r="N2015" s="28"/>
      <x:c r="O2015" s="28"/>
      <x:c r="P2015" s="28"/>
      <x:c r="Q2015" s="28"/>
      <x:c r="R2015" s="28"/>
      <x:c r="S2015" s="28"/>
      <x:c r="T2015" s="28"/>
      <x:c r="U2015" s="28"/>
      <x:c r="V2015" s="28"/>
      <x:c r="W2015" s="43" t="n">
        <x:f>--AND(N2015=1,OR(O2015="SUPPORTED",O2015="HALLUCINATION"))</x:f>
        <x:v>0</x:v>
      </x:c>
      <x:c r="X2015" s="43" t="n">
        <x:f>--AND(W2015=1,O2015="HALLUCINATION")</x:f>
        <x:v>0</x:v>
      </x:c>
      <x:c r="Y2015" s="43" t="n">
        <x:f>--AND(Q2015=1,O2015="HALLUCINATION")</x:f>
        <x:v>0</x:v>
      </x:c>
      <x:c r="Z2015" s="43" t="n">
        <x:f>--AND(Y2015=1,R2015=1,S2015=1)</x:f>
        <x:v>0</x:v>
      </x:c>
      <x:c r="AC2015" t="str">
        <x:f>IF(OR(AA2015="",AB2015=""),"",--(AA2015&lt;&gt;AB2015))</x:f>
      </x:c>
      <x:c r="AE2015" t="str">
        <x:f>IF(OR(AA2015="",AB2015=""),"PENDING_HUMAN",IF(AA2015=AB2015,AA2015,IF(AD2015&lt;&gt;"",AD2015,"PENDING_HUMAN")))</x:f>
        <x:v>PENDING_HUMAN</x:v>
      </x:c>
      <x:c r="AF2015" t="n">
        <x:f>--AND(A2015&lt;&gt;"",AA2015&lt;&gt;"",AB2015&lt;&gt;"",OR(AA2015=AB2015,AD2015&lt;&gt;""),IF(AE2015="HALLUCINATION",U2015&lt;&gt;"",TRUE))</x:f>
        <x:v>0</x:v>
      </x:c>
      <x:c r="AG2015" t="n">
        <x:f>--AND(N2015=1,AF2015=1,OR(AE2015="SUPPORTED",AE2015="HALLUCINATION"))</x:f>
        <x:v>0</x:v>
      </x:c>
      <x:c r="AH2015" t="n">
        <x:f>--AND(AG2015=1,AE2015="HALLUCINATION")</x:f>
        <x:v>0</x:v>
      </x:c>
      <x:c r="AI2015" t="n">
        <x:f>--AND(Q2015=1,AF2015=1,AE2015="HALLUCINATION")</x:f>
        <x:v>0</x:v>
      </x:c>
      <x:c r="AJ2015" t="n">
        <x:f>--AND(AI2015=1,R2015=1,S2015=1)</x:f>
        <x:v>0</x:v>
      </x:c>
    </x:row>
    <x:row r="2016">
      <x:c r="A2016" s="28"/>
      <x:c r="B2016" s="28"/>
      <x:c r="C2016" s="28"/>
      <x:c r="D2016" s="28"/>
      <x:c r="E2016" s="28"/>
      <x:c r="F2016" s="28"/>
      <x:c r="G2016" s="28"/>
      <x:c r="H2016" s="28"/>
      <x:c r="I2016" s="28"/>
      <x:c r="J2016" s="28"/>
      <x:c r="K2016" s="28"/>
      <x:c r="L2016" s="28"/>
      <x:c r="M2016" s="28"/>
      <x:c r="N2016" s="28"/>
      <x:c r="O2016" s="28"/>
      <x:c r="P2016" s="28"/>
      <x:c r="Q2016" s="28"/>
      <x:c r="R2016" s="28"/>
      <x:c r="S2016" s="28"/>
      <x:c r="T2016" s="28"/>
      <x:c r="U2016" s="28"/>
      <x:c r="V2016" s="28"/>
      <x:c r="W2016" s="43" t="n">
        <x:f>--AND(N2016=1,OR(O2016="SUPPORTED",O2016="HALLUCINATION"))</x:f>
        <x:v>0</x:v>
      </x:c>
      <x:c r="X2016" s="43" t="n">
        <x:f>--AND(W2016=1,O2016="HALLUCINATION")</x:f>
        <x:v>0</x:v>
      </x:c>
      <x:c r="Y2016" s="43" t="n">
        <x:f>--AND(Q2016=1,O2016="HALLUCINATION")</x:f>
        <x:v>0</x:v>
      </x:c>
      <x:c r="Z2016" s="43" t="n">
        <x:f>--AND(Y2016=1,R2016=1,S2016=1)</x:f>
        <x:v>0</x:v>
      </x:c>
      <x:c r="AC2016" t="str">
        <x:f>IF(OR(AA2016="",AB2016=""),"",--(AA2016&lt;&gt;AB2016))</x:f>
      </x:c>
      <x:c r="AE2016" t="str">
        <x:f>IF(OR(AA2016="",AB2016=""),"PENDING_HUMAN",IF(AA2016=AB2016,AA2016,IF(AD2016&lt;&gt;"",AD2016,"PENDING_HUMAN")))</x:f>
        <x:v>PENDING_HUMAN</x:v>
      </x:c>
      <x:c r="AF2016" t="n">
        <x:f>--AND(A2016&lt;&gt;"",AA2016&lt;&gt;"",AB2016&lt;&gt;"",OR(AA2016=AB2016,AD2016&lt;&gt;""),IF(AE2016="HALLUCINATION",U2016&lt;&gt;"",TRUE))</x:f>
        <x:v>0</x:v>
      </x:c>
      <x:c r="AG2016" t="n">
        <x:f>--AND(N2016=1,AF2016=1,OR(AE2016="SUPPORTED",AE2016="HALLUCINATION"))</x:f>
        <x:v>0</x:v>
      </x:c>
      <x:c r="AH2016" t="n">
        <x:f>--AND(AG2016=1,AE2016="HALLUCINATION")</x:f>
        <x:v>0</x:v>
      </x:c>
      <x:c r="AI2016" t="n">
        <x:f>--AND(Q2016=1,AF2016=1,AE2016="HALLUCINATION")</x:f>
        <x:v>0</x:v>
      </x:c>
      <x:c r="AJ2016" t="n">
        <x:f>--AND(AI2016=1,R2016=1,S2016=1)</x:f>
        <x:v>0</x:v>
      </x:c>
    </x:row>
    <x:row r="2017">
      <x:c r="A2017" s="28"/>
      <x:c r="B2017" s="28"/>
      <x:c r="C2017" s="28"/>
      <x:c r="D2017" s="28"/>
      <x:c r="E2017" s="28"/>
      <x:c r="F2017" s="28"/>
      <x:c r="G2017" s="28"/>
      <x:c r="H2017" s="28"/>
      <x:c r="I2017" s="28"/>
      <x:c r="J2017" s="28"/>
      <x:c r="K2017" s="28"/>
      <x:c r="L2017" s="28"/>
      <x:c r="M2017" s="28"/>
      <x:c r="N2017" s="28"/>
      <x:c r="O2017" s="28"/>
      <x:c r="P2017" s="28"/>
      <x:c r="Q2017" s="28"/>
      <x:c r="R2017" s="28"/>
      <x:c r="S2017" s="28"/>
      <x:c r="T2017" s="28"/>
      <x:c r="U2017" s="28"/>
      <x:c r="V2017" s="28"/>
      <x:c r="W2017" s="43" t="n">
        <x:f>--AND(N2017=1,OR(O2017="SUPPORTED",O2017="HALLUCINATION"))</x:f>
        <x:v>0</x:v>
      </x:c>
      <x:c r="X2017" s="43" t="n">
        <x:f>--AND(W2017=1,O2017="HALLUCINATION")</x:f>
        <x:v>0</x:v>
      </x:c>
      <x:c r="Y2017" s="43" t="n">
        <x:f>--AND(Q2017=1,O2017="HALLUCINATION")</x:f>
        <x:v>0</x:v>
      </x:c>
      <x:c r="Z2017" s="43" t="n">
        <x:f>--AND(Y2017=1,R2017=1,S2017=1)</x:f>
        <x:v>0</x:v>
      </x:c>
      <x:c r="AC2017" t="str">
        <x:f>IF(OR(AA2017="",AB2017=""),"",--(AA2017&lt;&gt;AB2017))</x:f>
      </x:c>
      <x:c r="AE2017" t="str">
        <x:f>IF(OR(AA2017="",AB2017=""),"PENDING_HUMAN",IF(AA2017=AB2017,AA2017,IF(AD2017&lt;&gt;"",AD2017,"PENDING_HUMAN")))</x:f>
        <x:v>PENDING_HUMAN</x:v>
      </x:c>
      <x:c r="AF2017" t="n">
        <x:f>--AND(A2017&lt;&gt;"",AA2017&lt;&gt;"",AB2017&lt;&gt;"",OR(AA2017=AB2017,AD2017&lt;&gt;""),IF(AE2017="HALLUCINATION",U2017&lt;&gt;"",TRUE))</x:f>
        <x:v>0</x:v>
      </x:c>
      <x:c r="AG2017" t="n">
        <x:f>--AND(N2017=1,AF2017=1,OR(AE2017="SUPPORTED",AE2017="HALLUCINATION"))</x:f>
        <x:v>0</x:v>
      </x:c>
      <x:c r="AH2017" t="n">
        <x:f>--AND(AG2017=1,AE2017="HALLUCINATION")</x:f>
        <x:v>0</x:v>
      </x:c>
      <x:c r="AI2017" t="n">
        <x:f>--AND(Q2017=1,AF2017=1,AE2017="HALLUCINATION")</x:f>
        <x:v>0</x:v>
      </x:c>
      <x:c r="AJ2017" t="n">
        <x:f>--AND(AI2017=1,R2017=1,S2017=1)</x:f>
        <x:v>0</x:v>
      </x:c>
    </x:row>
    <x:row r="2018">
      <x:c r="A2018" s="28"/>
      <x:c r="B2018" s="28"/>
      <x:c r="C2018" s="28"/>
      <x:c r="D2018" s="28"/>
      <x:c r="E2018" s="28"/>
      <x:c r="F2018" s="28"/>
      <x:c r="G2018" s="28"/>
      <x:c r="H2018" s="28"/>
      <x:c r="I2018" s="28"/>
      <x:c r="J2018" s="28"/>
      <x:c r="K2018" s="28"/>
      <x:c r="L2018" s="28"/>
      <x:c r="M2018" s="28"/>
      <x:c r="N2018" s="28"/>
      <x:c r="O2018" s="28"/>
      <x:c r="P2018" s="28"/>
      <x:c r="Q2018" s="28"/>
      <x:c r="R2018" s="28"/>
      <x:c r="S2018" s="28"/>
      <x:c r="T2018" s="28"/>
      <x:c r="U2018" s="28"/>
      <x:c r="V2018" s="28"/>
      <x:c r="W2018" s="43" t="n">
        <x:f>--AND(N2018=1,OR(O2018="SUPPORTED",O2018="HALLUCINATION"))</x:f>
        <x:v>0</x:v>
      </x:c>
      <x:c r="X2018" s="43" t="n">
        <x:f>--AND(W2018=1,O2018="HALLUCINATION")</x:f>
        <x:v>0</x:v>
      </x:c>
      <x:c r="Y2018" s="43" t="n">
        <x:f>--AND(Q2018=1,O2018="HALLUCINATION")</x:f>
        <x:v>0</x:v>
      </x:c>
      <x:c r="Z2018" s="43" t="n">
        <x:f>--AND(Y2018=1,R2018=1,S2018=1)</x:f>
        <x:v>0</x:v>
      </x:c>
      <x:c r="AC2018" t="str">
        <x:f>IF(OR(AA2018="",AB2018=""),"",--(AA2018&lt;&gt;AB2018))</x:f>
      </x:c>
      <x:c r="AE2018" t="str">
        <x:f>IF(OR(AA2018="",AB2018=""),"PENDING_HUMAN",IF(AA2018=AB2018,AA2018,IF(AD2018&lt;&gt;"",AD2018,"PENDING_HUMAN")))</x:f>
        <x:v>PENDING_HUMAN</x:v>
      </x:c>
      <x:c r="AF2018" t="n">
        <x:f>--AND(A2018&lt;&gt;"",AA2018&lt;&gt;"",AB2018&lt;&gt;"",OR(AA2018=AB2018,AD2018&lt;&gt;""),IF(AE2018="HALLUCINATION",U2018&lt;&gt;"",TRUE))</x:f>
        <x:v>0</x:v>
      </x:c>
      <x:c r="AG2018" t="n">
        <x:f>--AND(N2018=1,AF2018=1,OR(AE2018="SUPPORTED",AE2018="HALLUCINATION"))</x:f>
        <x:v>0</x:v>
      </x:c>
      <x:c r="AH2018" t="n">
        <x:f>--AND(AG2018=1,AE2018="HALLUCINATION")</x:f>
        <x:v>0</x:v>
      </x:c>
      <x:c r="AI2018" t="n">
        <x:f>--AND(Q2018=1,AF2018=1,AE2018="HALLUCINATION")</x:f>
        <x:v>0</x:v>
      </x:c>
      <x:c r="AJ2018" t="n">
        <x:f>--AND(AI2018=1,R2018=1,S2018=1)</x:f>
        <x:v>0</x:v>
      </x:c>
    </x:row>
    <x:row r="2019">
      <x:c r="A2019" s="28"/>
      <x:c r="B2019" s="28"/>
      <x:c r="C2019" s="28"/>
      <x:c r="D2019" s="28"/>
      <x:c r="E2019" s="28"/>
      <x:c r="F2019" s="28"/>
      <x:c r="G2019" s="28"/>
      <x:c r="H2019" s="28"/>
      <x:c r="I2019" s="28"/>
      <x:c r="J2019" s="28"/>
      <x:c r="K2019" s="28"/>
      <x:c r="L2019" s="28"/>
      <x:c r="M2019" s="28"/>
      <x:c r="N2019" s="28"/>
      <x:c r="O2019" s="28"/>
      <x:c r="P2019" s="28"/>
      <x:c r="Q2019" s="28"/>
      <x:c r="R2019" s="28"/>
      <x:c r="S2019" s="28"/>
      <x:c r="T2019" s="28"/>
      <x:c r="U2019" s="28"/>
      <x:c r="V2019" s="28"/>
      <x:c r="W2019" s="43" t="n">
        <x:f>--AND(N2019=1,OR(O2019="SUPPORTED",O2019="HALLUCINATION"))</x:f>
        <x:v>0</x:v>
      </x:c>
      <x:c r="X2019" s="43" t="n">
        <x:f>--AND(W2019=1,O2019="HALLUCINATION")</x:f>
        <x:v>0</x:v>
      </x:c>
      <x:c r="Y2019" s="43" t="n">
        <x:f>--AND(Q2019=1,O2019="HALLUCINATION")</x:f>
        <x:v>0</x:v>
      </x:c>
      <x:c r="Z2019" s="43" t="n">
        <x:f>--AND(Y2019=1,R2019=1,S2019=1)</x:f>
        <x:v>0</x:v>
      </x:c>
      <x:c r="AC2019" t="str">
        <x:f>IF(OR(AA2019="",AB2019=""),"",--(AA2019&lt;&gt;AB2019))</x:f>
      </x:c>
      <x:c r="AE2019" t="str">
        <x:f>IF(OR(AA2019="",AB2019=""),"PENDING_HUMAN",IF(AA2019=AB2019,AA2019,IF(AD2019&lt;&gt;"",AD2019,"PENDING_HUMAN")))</x:f>
        <x:v>PENDING_HUMAN</x:v>
      </x:c>
      <x:c r="AF2019" t="n">
        <x:f>--AND(A2019&lt;&gt;"",AA2019&lt;&gt;"",AB2019&lt;&gt;"",OR(AA2019=AB2019,AD2019&lt;&gt;""),IF(AE2019="HALLUCINATION",U2019&lt;&gt;"",TRUE))</x:f>
        <x:v>0</x:v>
      </x:c>
      <x:c r="AG2019" t="n">
        <x:f>--AND(N2019=1,AF2019=1,OR(AE2019="SUPPORTED",AE2019="HALLUCINATION"))</x:f>
        <x:v>0</x:v>
      </x:c>
      <x:c r="AH2019" t="n">
        <x:f>--AND(AG2019=1,AE2019="HALLUCINATION")</x:f>
        <x:v>0</x:v>
      </x:c>
      <x:c r="AI2019" t="n">
        <x:f>--AND(Q2019=1,AF2019=1,AE2019="HALLUCINATION")</x:f>
        <x:v>0</x:v>
      </x:c>
      <x:c r="AJ2019" t="n">
        <x:f>--AND(AI2019=1,R2019=1,S2019=1)</x:f>
        <x:v>0</x:v>
      </x:c>
    </x:row>
    <x:row r="2020">
      <x:c r="A2020" s="28"/>
      <x:c r="B2020" s="28"/>
      <x:c r="C2020" s="28"/>
      <x:c r="D2020" s="28"/>
      <x:c r="E2020" s="28"/>
      <x:c r="F2020" s="28"/>
      <x:c r="G2020" s="28"/>
      <x:c r="H2020" s="28"/>
      <x:c r="I2020" s="28"/>
      <x:c r="J2020" s="28"/>
      <x:c r="K2020" s="28"/>
      <x:c r="L2020" s="28"/>
      <x:c r="M2020" s="28"/>
      <x:c r="N2020" s="28"/>
      <x:c r="O2020" s="28"/>
      <x:c r="P2020" s="28"/>
      <x:c r="Q2020" s="28"/>
      <x:c r="R2020" s="28"/>
      <x:c r="S2020" s="28"/>
      <x:c r="T2020" s="28"/>
      <x:c r="U2020" s="28"/>
      <x:c r="V2020" s="28"/>
      <x:c r="W2020" s="43" t="n">
        <x:f>--AND(N2020=1,OR(O2020="SUPPORTED",O2020="HALLUCINATION"))</x:f>
        <x:v>0</x:v>
      </x:c>
      <x:c r="X2020" s="43" t="n">
        <x:f>--AND(W2020=1,O2020="HALLUCINATION")</x:f>
        <x:v>0</x:v>
      </x:c>
      <x:c r="Y2020" s="43" t="n">
        <x:f>--AND(Q2020=1,O2020="HALLUCINATION")</x:f>
        <x:v>0</x:v>
      </x:c>
      <x:c r="Z2020" s="43" t="n">
        <x:f>--AND(Y2020=1,R2020=1,S2020=1)</x:f>
        <x:v>0</x:v>
      </x:c>
      <x:c r="AC2020" t="str">
        <x:f>IF(OR(AA2020="",AB2020=""),"",--(AA2020&lt;&gt;AB2020))</x:f>
      </x:c>
      <x:c r="AE2020" t="str">
        <x:f>IF(OR(AA2020="",AB2020=""),"PENDING_HUMAN",IF(AA2020=AB2020,AA2020,IF(AD2020&lt;&gt;"",AD2020,"PENDING_HUMAN")))</x:f>
        <x:v>PENDING_HUMAN</x:v>
      </x:c>
      <x:c r="AF2020" t="n">
        <x:f>--AND(A2020&lt;&gt;"",AA2020&lt;&gt;"",AB2020&lt;&gt;"",OR(AA2020=AB2020,AD2020&lt;&gt;""),IF(AE2020="HALLUCINATION",U2020&lt;&gt;"",TRUE))</x:f>
        <x:v>0</x:v>
      </x:c>
      <x:c r="AG2020" t="n">
        <x:f>--AND(N2020=1,AF2020=1,OR(AE2020="SUPPORTED",AE2020="HALLUCINATION"))</x:f>
        <x:v>0</x:v>
      </x:c>
      <x:c r="AH2020" t="n">
        <x:f>--AND(AG2020=1,AE2020="HALLUCINATION")</x:f>
        <x:v>0</x:v>
      </x:c>
      <x:c r="AI2020" t="n">
        <x:f>--AND(Q2020=1,AF2020=1,AE2020="HALLUCINATION")</x:f>
        <x:v>0</x:v>
      </x:c>
      <x:c r="AJ2020" t="n">
        <x:f>--AND(AI2020=1,R2020=1,S2020=1)</x:f>
        <x:v>0</x:v>
      </x:c>
    </x:row>
    <x:row r="2021">
      <x:c r="A2021" s="28"/>
      <x:c r="B2021" s="28"/>
      <x:c r="C2021" s="28"/>
      <x:c r="D2021" s="28"/>
      <x:c r="E2021" s="28"/>
      <x:c r="F2021" s="28"/>
      <x:c r="G2021" s="28"/>
      <x:c r="H2021" s="28"/>
      <x:c r="I2021" s="28"/>
      <x:c r="J2021" s="28"/>
      <x:c r="K2021" s="28"/>
      <x:c r="L2021" s="28"/>
      <x:c r="M2021" s="28"/>
      <x:c r="N2021" s="28"/>
      <x:c r="O2021" s="28"/>
      <x:c r="P2021" s="28"/>
      <x:c r="Q2021" s="28"/>
      <x:c r="R2021" s="28"/>
      <x:c r="S2021" s="28"/>
      <x:c r="T2021" s="28"/>
      <x:c r="U2021" s="28"/>
      <x:c r="V2021" s="28"/>
      <x:c r="W2021" s="43" t="n">
        <x:f>--AND(N2021=1,OR(O2021="SUPPORTED",O2021="HALLUCINATION"))</x:f>
        <x:v>0</x:v>
      </x:c>
      <x:c r="X2021" s="43" t="n">
        <x:f>--AND(W2021=1,O2021="HALLUCINATION")</x:f>
        <x:v>0</x:v>
      </x:c>
      <x:c r="Y2021" s="43" t="n">
        <x:f>--AND(Q2021=1,O2021="HALLUCINATION")</x:f>
        <x:v>0</x:v>
      </x:c>
      <x:c r="Z2021" s="43" t="n">
        <x:f>--AND(Y2021=1,R2021=1,S2021=1)</x:f>
        <x:v>0</x:v>
      </x:c>
      <x:c r="AC2021" t="str">
        <x:f>IF(OR(AA2021="",AB2021=""),"",--(AA2021&lt;&gt;AB2021))</x:f>
      </x:c>
      <x:c r="AE2021" t="str">
        <x:f>IF(OR(AA2021="",AB2021=""),"PENDING_HUMAN",IF(AA2021=AB2021,AA2021,IF(AD2021&lt;&gt;"",AD2021,"PENDING_HUMAN")))</x:f>
        <x:v>PENDING_HUMAN</x:v>
      </x:c>
      <x:c r="AF2021" t="n">
        <x:f>--AND(A2021&lt;&gt;"",AA2021&lt;&gt;"",AB2021&lt;&gt;"",OR(AA2021=AB2021,AD2021&lt;&gt;""),IF(AE2021="HALLUCINATION",U2021&lt;&gt;"",TRUE))</x:f>
        <x:v>0</x:v>
      </x:c>
      <x:c r="AG2021" t="n">
        <x:f>--AND(N2021=1,AF2021=1,OR(AE2021="SUPPORTED",AE2021="HALLUCINATION"))</x:f>
        <x:v>0</x:v>
      </x:c>
      <x:c r="AH2021" t="n">
        <x:f>--AND(AG2021=1,AE2021="HALLUCINATION")</x:f>
        <x:v>0</x:v>
      </x:c>
      <x:c r="AI2021" t="n">
        <x:f>--AND(Q2021=1,AF2021=1,AE2021="HALLUCINATION")</x:f>
        <x:v>0</x:v>
      </x:c>
      <x:c r="AJ2021" t="n">
        <x:f>--AND(AI2021=1,R2021=1,S2021=1)</x:f>
        <x:v>0</x:v>
      </x:c>
    </x:row>
    <x:row r="2022">
      <x:c r="A2022" s="28"/>
      <x:c r="B2022" s="28"/>
      <x:c r="C2022" s="28"/>
      <x:c r="D2022" s="28"/>
      <x:c r="E2022" s="28"/>
      <x:c r="F2022" s="28"/>
      <x:c r="G2022" s="28"/>
      <x:c r="H2022" s="28"/>
      <x:c r="I2022" s="28"/>
      <x:c r="J2022" s="28"/>
      <x:c r="K2022" s="28"/>
      <x:c r="L2022" s="28"/>
      <x:c r="M2022" s="28"/>
      <x:c r="N2022" s="28"/>
      <x:c r="O2022" s="28"/>
      <x:c r="P2022" s="28"/>
      <x:c r="Q2022" s="28"/>
      <x:c r="R2022" s="28"/>
      <x:c r="S2022" s="28"/>
      <x:c r="T2022" s="28"/>
      <x:c r="U2022" s="28"/>
      <x:c r="V2022" s="28"/>
      <x:c r="W2022" s="43" t="n">
        <x:f>--AND(N2022=1,OR(O2022="SUPPORTED",O2022="HALLUCINATION"))</x:f>
        <x:v>0</x:v>
      </x:c>
      <x:c r="X2022" s="43" t="n">
        <x:f>--AND(W2022=1,O2022="HALLUCINATION")</x:f>
        <x:v>0</x:v>
      </x:c>
      <x:c r="Y2022" s="43" t="n">
        <x:f>--AND(Q2022=1,O2022="HALLUCINATION")</x:f>
        <x:v>0</x:v>
      </x:c>
      <x:c r="Z2022" s="43" t="n">
        <x:f>--AND(Y2022=1,R2022=1,S2022=1)</x:f>
        <x:v>0</x:v>
      </x:c>
      <x:c r="AC2022" t="str">
        <x:f>IF(OR(AA2022="",AB2022=""),"",--(AA2022&lt;&gt;AB2022))</x:f>
      </x:c>
      <x:c r="AE2022" t="str">
        <x:f>IF(OR(AA2022="",AB2022=""),"PENDING_HUMAN",IF(AA2022=AB2022,AA2022,IF(AD2022&lt;&gt;"",AD2022,"PENDING_HUMAN")))</x:f>
        <x:v>PENDING_HUMAN</x:v>
      </x:c>
      <x:c r="AF2022" t="n">
        <x:f>--AND(A2022&lt;&gt;"",AA2022&lt;&gt;"",AB2022&lt;&gt;"",OR(AA2022=AB2022,AD2022&lt;&gt;""),IF(AE2022="HALLUCINATION",U2022&lt;&gt;"",TRUE))</x:f>
        <x:v>0</x:v>
      </x:c>
      <x:c r="AG2022" t="n">
        <x:f>--AND(N2022=1,AF2022=1,OR(AE2022="SUPPORTED",AE2022="HALLUCINATION"))</x:f>
        <x:v>0</x:v>
      </x:c>
      <x:c r="AH2022" t="n">
        <x:f>--AND(AG2022=1,AE2022="HALLUCINATION")</x:f>
        <x:v>0</x:v>
      </x:c>
      <x:c r="AI2022" t="n">
        <x:f>--AND(Q2022=1,AF2022=1,AE2022="HALLUCINATION")</x:f>
        <x:v>0</x:v>
      </x:c>
      <x:c r="AJ2022" t="n">
        <x:f>--AND(AI2022=1,R2022=1,S2022=1)</x:f>
        <x:v>0</x:v>
      </x:c>
    </x:row>
    <x:row r="2023">
      <x:c r="A2023" s="28"/>
      <x:c r="B2023" s="28"/>
      <x:c r="C2023" s="28"/>
      <x:c r="D2023" s="28"/>
      <x:c r="E2023" s="28"/>
      <x:c r="F2023" s="28"/>
      <x:c r="G2023" s="28"/>
      <x:c r="H2023" s="28"/>
      <x:c r="I2023" s="28"/>
      <x:c r="J2023" s="28"/>
      <x:c r="K2023" s="28"/>
      <x:c r="L2023" s="28"/>
      <x:c r="M2023" s="28"/>
      <x:c r="N2023" s="28"/>
      <x:c r="O2023" s="28"/>
      <x:c r="P2023" s="28"/>
      <x:c r="Q2023" s="28"/>
      <x:c r="R2023" s="28"/>
      <x:c r="S2023" s="28"/>
      <x:c r="T2023" s="28"/>
      <x:c r="U2023" s="28"/>
      <x:c r="V2023" s="28"/>
      <x:c r="W2023" s="43" t="n">
        <x:f>--AND(N2023=1,OR(O2023="SUPPORTED",O2023="HALLUCINATION"))</x:f>
        <x:v>0</x:v>
      </x:c>
      <x:c r="X2023" s="43" t="n">
        <x:f>--AND(W2023=1,O2023="HALLUCINATION")</x:f>
        <x:v>0</x:v>
      </x:c>
      <x:c r="Y2023" s="43" t="n">
        <x:f>--AND(Q2023=1,O2023="HALLUCINATION")</x:f>
        <x:v>0</x:v>
      </x:c>
      <x:c r="Z2023" s="43" t="n">
        <x:f>--AND(Y2023=1,R2023=1,S2023=1)</x:f>
        <x:v>0</x:v>
      </x:c>
      <x:c r="AC2023" t="str">
        <x:f>IF(OR(AA2023="",AB2023=""),"",--(AA2023&lt;&gt;AB2023))</x:f>
      </x:c>
      <x:c r="AE2023" t="str">
        <x:f>IF(OR(AA2023="",AB2023=""),"PENDING_HUMAN",IF(AA2023=AB2023,AA2023,IF(AD2023&lt;&gt;"",AD2023,"PENDING_HUMAN")))</x:f>
        <x:v>PENDING_HUMAN</x:v>
      </x:c>
      <x:c r="AF2023" t="n">
        <x:f>--AND(A2023&lt;&gt;"",AA2023&lt;&gt;"",AB2023&lt;&gt;"",OR(AA2023=AB2023,AD2023&lt;&gt;""),IF(AE2023="HALLUCINATION",U2023&lt;&gt;"",TRUE))</x:f>
        <x:v>0</x:v>
      </x:c>
      <x:c r="AG2023" t="n">
        <x:f>--AND(N2023=1,AF2023=1,OR(AE2023="SUPPORTED",AE2023="HALLUCINATION"))</x:f>
        <x:v>0</x:v>
      </x:c>
      <x:c r="AH2023" t="n">
        <x:f>--AND(AG2023=1,AE2023="HALLUCINATION")</x:f>
        <x:v>0</x:v>
      </x:c>
      <x:c r="AI2023" t="n">
        <x:f>--AND(Q2023=1,AF2023=1,AE2023="HALLUCINATION")</x:f>
        <x:v>0</x:v>
      </x:c>
      <x:c r="AJ2023" t="n">
        <x:f>--AND(AI2023=1,R2023=1,S2023=1)</x:f>
        <x:v>0</x:v>
      </x:c>
    </x:row>
    <x:row r="2024">
      <x:c r="A2024" s="28"/>
      <x:c r="B2024" s="28"/>
      <x:c r="C2024" s="28"/>
      <x:c r="D2024" s="28"/>
      <x:c r="E2024" s="28"/>
      <x:c r="F2024" s="28"/>
      <x:c r="G2024" s="28"/>
      <x:c r="H2024" s="28"/>
      <x:c r="I2024" s="28"/>
      <x:c r="J2024" s="28"/>
      <x:c r="K2024" s="28"/>
      <x:c r="L2024" s="28"/>
      <x:c r="M2024" s="28"/>
      <x:c r="N2024" s="28"/>
      <x:c r="O2024" s="28"/>
      <x:c r="P2024" s="28"/>
      <x:c r="Q2024" s="28"/>
      <x:c r="R2024" s="28"/>
      <x:c r="S2024" s="28"/>
      <x:c r="T2024" s="28"/>
      <x:c r="U2024" s="28"/>
      <x:c r="V2024" s="28"/>
      <x:c r="W2024" s="43" t="n">
        <x:f>--AND(N2024=1,OR(O2024="SUPPORTED",O2024="HALLUCINATION"))</x:f>
        <x:v>0</x:v>
      </x:c>
      <x:c r="X2024" s="43" t="n">
        <x:f>--AND(W2024=1,O2024="HALLUCINATION")</x:f>
        <x:v>0</x:v>
      </x:c>
      <x:c r="Y2024" s="43" t="n">
        <x:f>--AND(Q2024=1,O2024="HALLUCINATION")</x:f>
        <x:v>0</x:v>
      </x:c>
      <x:c r="Z2024" s="43" t="n">
        <x:f>--AND(Y2024=1,R2024=1,S2024=1)</x:f>
        <x:v>0</x:v>
      </x:c>
      <x:c r="AC2024" t="str">
        <x:f>IF(OR(AA2024="",AB2024=""),"",--(AA2024&lt;&gt;AB2024))</x:f>
      </x:c>
      <x:c r="AE2024" t="str">
        <x:f>IF(OR(AA2024="",AB2024=""),"PENDING_HUMAN",IF(AA2024=AB2024,AA2024,IF(AD2024&lt;&gt;"",AD2024,"PENDING_HUMAN")))</x:f>
        <x:v>PENDING_HUMAN</x:v>
      </x:c>
      <x:c r="AF2024" t="n">
        <x:f>--AND(A2024&lt;&gt;"",AA2024&lt;&gt;"",AB2024&lt;&gt;"",OR(AA2024=AB2024,AD2024&lt;&gt;""),IF(AE2024="HALLUCINATION",U2024&lt;&gt;"",TRUE))</x:f>
        <x:v>0</x:v>
      </x:c>
      <x:c r="AG2024" t="n">
        <x:f>--AND(N2024=1,AF2024=1,OR(AE2024="SUPPORTED",AE2024="HALLUCINATION"))</x:f>
        <x:v>0</x:v>
      </x:c>
      <x:c r="AH2024" t="n">
        <x:f>--AND(AG2024=1,AE2024="HALLUCINATION")</x:f>
        <x:v>0</x:v>
      </x:c>
      <x:c r="AI2024" t="n">
        <x:f>--AND(Q2024=1,AF2024=1,AE2024="HALLUCINATION")</x:f>
        <x:v>0</x:v>
      </x:c>
      <x:c r="AJ2024" t="n">
        <x:f>--AND(AI2024=1,R2024=1,S2024=1)</x:f>
        <x:v>0</x:v>
      </x:c>
    </x:row>
    <x:row r="2025">
      <x:c r="A2025" s="28"/>
      <x:c r="B2025" s="28"/>
      <x:c r="C2025" s="28"/>
      <x:c r="D2025" s="28"/>
      <x:c r="E2025" s="28"/>
      <x:c r="F2025" s="28"/>
      <x:c r="G2025" s="28"/>
      <x:c r="H2025" s="28"/>
      <x:c r="I2025" s="28"/>
      <x:c r="J2025" s="28"/>
      <x:c r="K2025" s="28"/>
      <x:c r="L2025" s="28"/>
      <x:c r="M2025" s="28"/>
      <x:c r="N2025" s="28"/>
      <x:c r="O2025" s="28"/>
      <x:c r="P2025" s="28"/>
      <x:c r="Q2025" s="28"/>
      <x:c r="R2025" s="28"/>
      <x:c r="S2025" s="28"/>
      <x:c r="T2025" s="28"/>
      <x:c r="U2025" s="28"/>
      <x:c r="V2025" s="28"/>
      <x:c r="W2025" s="43" t="n">
        <x:f>--AND(N2025=1,OR(O2025="SUPPORTED",O2025="HALLUCINATION"))</x:f>
        <x:v>0</x:v>
      </x:c>
      <x:c r="X2025" s="43" t="n">
        <x:f>--AND(W2025=1,O2025="HALLUCINATION")</x:f>
        <x:v>0</x:v>
      </x:c>
      <x:c r="Y2025" s="43" t="n">
        <x:f>--AND(Q2025=1,O2025="HALLUCINATION")</x:f>
        <x:v>0</x:v>
      </x:c>
      <x:c r="Z2025" s="43" t="n">
        <x:f>--AND(Y2025=1,R2025=1,S2025=1)</x:f>
        <x:v>0</x:v>
      </x:c>
      <x:c r="AC2025" t="str">
        <x:f>IF(OR(AA2025="",AB2025=""),"",--(AA2025&lt;&gt;AB2025))</x:f>
      </x:c>
      <x:c r="AE2025" t="str">
        <x:f>IF(OR(AA2025="",AB2025=""),"PENDING_HUMAN",IF(AA2025=AB2025,AA2025,IF(AD2025&lt;&gt;"",AD2025,"PENDING_HUMAN")))</x:f>
        <x:v>PENDING_HUMAN</x:v>
      </x:c>
      <x:c r="AF2025" t="n">
        <x:f>--AND(A2025&lt;&gt;"",AA2025&lt;&gt;"",AB2025&lt;&gt;"",OR(AA2025=AB2025,AD2025&lt;&gt;""),IF(AE2025="HALLUCINATION",U2025&lt;&gt;"",TRUE))</x:f>
        <x:v>0</x:v>
      </x:c>
      <x:c r="AG2025" t="n">
        <x:f>--AND(N2025=1,AF2025=1,OR(AE2025="SUPPORTED",AE2025="HALLUCINATION"))</x:f>
        <x:v>0</x:v>
      </x:c>
      <x:c r="AH2025" t="n">
        <x:f>--AND(AG2025=1,AE2025="HALLUCINATION")</x:f>
        <x:v>0</x:v>
      </x:c>
      <x:c r="AI2025" t="n">
        <x:f>--AND(Q2025=1,AF2025=1,AE2025="HALLUCINATION")</x:f>
        <x:v>0</x:v>
      </x:c>
      <x:c r="AJ2025" t="n">
        <x:f>--AND(AI2025=1,R2025=1,S2025=1)</x:f>
        <x:v>0</x:v>
      </x:c>
    </x:row>
    <x:row r="2026">
      <x:c r="A2026" s="28"/>
      <x:c r="B2026" s="28"/>
      <x:c r="C2026" s="28"/>
      <x:c r="D2026" s="28"/>
      <x:c r="E2026" s="28"/>
      <x:c r="F2026" s="28"/>
      <x:c r="G2026" s="28"/>
      <x:c r="H2026" s="28"/>
      <x:c r="I2026" s="28"/>
      <x:c r="J2026" s="28"/>
      <x:c r="K2026" s="28"/>
      <x:c r="L2026" s="28"/>
      <x:c r="M2026" s="28"/>
      <x:c r="N2026" s="28"/>
      <x:c r="O2026" s="28"/>
      <x:c r="P2026" s="28"/>
      <x:c r="Q2026" s="28"/>
      <x:c r="R2026" s="28"/>
      <x:c r="S2026" s="28"/>
      <x:c r="T2026" s="28"/>
      <x:c r="U2026" s="28"/>
      <x:c r="V2026" s="28"/>
      <x:c r="W2026" s="43" t="n">
        <x:f>--AND(N2026=1,OR(O2026="SUPPORTED",O2026="HALLUCINATION"))</x:f>
        <x:v>0</x:v>
      </x:c>
      <x:c r="X2026" s="43" t="n">
        <x:f>--AND(W2026=1,O2026="HALLUCINATION")</x:f>
        <x:v>0</x:v>
      </x:c>
      <x:c r="Y2026" s="43" t="n">
        <x:f>--AND(Q2026=1,O2026="HALLUCINATION")</x:f>
        <x:v>0</x:v>
      </x:c>
      <x:c r="Z2026" s="43" t="n">
        <x:f>--AND(Y2026=1,R2026=1,S2026=1)</x:f>
        <x:v>0</x:v>
      </x:c>
      <x:c r="AC2026" t="str">
        <x:f>IF(OR(AA2026="",AB2026=""),"",--(AA2026&lt;&gt;AB2026))</x:f>
      </x:c>
      <x:c r="AE2026" t="str">
        <x:f>IF(OR(AA2026="",AB2026=""),"PENDING_HUMAN",IF(AA2026=AB2026,AA2026,IF(AD2026&lt;&gt;"",AD2026,"PENDING_HUMAN")))</x:f>
        <x:v>PENDING_HUMAN</x:v>
      </x:c>
      <x:c r="AF2026" t="n">
        <x:f>--AND(A2026&lt;&gt;"",AA2026&lt;&gt;"",AB2026&lt;&gt;"",OR(AA2026=AB2026,AD2026&lt;&gt;""),IF(AE2026="HALLUCINATION",U2026&lt;&gt;"",TRUE))</x:f>
        <x:v>0</x:v>
      </x:c>
      <x:c r="AG2026" t="n">
        <x:f>--AND(N2026=1,AF2026=1,OR(AE2026="SUPPORTED",AE2026="HALLUCINATION"))</x:f>
        <x:v>0</x:v>
      </x:c>
      <x:c r="AH2026" t="n">
        <x:f>--AND(AG2026=1,AE2026="HALLUCINATION")</x:f>
        <x:v>0</x:v>
      </x:c>
      <x:c r="AI2026" t="n">
        <x:f>--AND(Q2026=1,AF2026=1,AE2026="HALLUCINATION")</x:f>
        <x:v>0</x:v>
      </x:c>
      <x:c r="AJ2026" t="n">
        <x:f>--AND(AI2026=1,R2026=1,S2026=1)</x:f>
        <x:v>0</x:v>
      </x:c>
    </x:row>
    <x:row r="2027">
      <x:c r="A2027" s="28"/>
      <x:c r="B2027" s="28"/>
      <x:c r="C2027" s="28"/>
      <x:c r="D2027" s="28"/>
      <x:c r="E2027" s="28"/>
      <x:c r="F2027" s="28"/>
      <x:c r="G2027" s="28"/>
      <x:c r="H2027" s="28"/>
      <x:c r="I2027" s="28"/>
      <x:c r="J2027" s="28"/>
      <x:c r="K2027" s="28"/>
      <x:c r="L2027" s="28"/>
      <x:c r="M2027" s="28"/>
      <x:c r="N2027" s="28"/>
      <x:c r="O2027" s="28"/>
      <x:c r="P2027" s="28"/>
      <x:c r="Q2027" s="28"/>
      <x:c r="R2027" s="28"/>
      <x:c r="S2027" s="28"/>
      <x:c r="T2027" s="28"/>
      <x:c r="U2027" s="28"/>
      <x:c r="V2027" s="28"/>
      <x:c r="W2027" s="43" t="n">
        <x:f>--AND(N2027=1,OR(O2027="SUPPORTED",O2027="HALLUCINATION"))</x:f>
        <x:v>0</x:v>
      </x:c>
      <x:c r="X2027" s="43" t="n">
        <x:f>--AND(W2027=1,O2027="HALLUCINATION")</x:f>
        <x:v>0</x:v>
      </x:c>
      <x:c r="Y2027" s="43" t="n">
        <x:f>--AND(Q2027=1,O2027="HALLUCINATION")</x:f>
        <x:v>0</x:v>
      </x:c>
      <x:c r="Z2027" s="43" t="n">
        <x:f>--AND(Y2027=1,R2027=1,S2027=1)</x:f>
        <x:v>0</x:v>
      </x:c>
      <x:c r="AC2027" t="str">
        <x:f>IF(OR(AA2027="",AB2027=""),"",--(AA2027&lt;&gt;AB2027))</x:f>
      </x:c>
      <x:c r="AE2027" t="str">
        <x:f>IF(OR(AA2027="",AB2027=""),"PENDING_HUMAN",IF(AA2027=AB2027,AA2027,IF(AD2027&lt;&gt;"",AD2027,"PENDING_HUMAN")))</x:f>
        <x:v>PENDING_HUMAN</x:v>
      </x:c>
      <x:c r="AF2027" t="n">
        <x:f>--AND(A2027&lt;&gt;"",AA2027&lt;&gt;"",AB2027&lt;&gt;"",OR(AA2027=AB2027,AD2027&lt;&gt;""),IF(AE2027="HALLUCINATION",U2027&lt;&gt;"",TRUE))</x:f>
        <x:v>0</x:v>
      </x:c>
      <x:c r="AG2027" t="n">
        <x:f>--AND(N2027=1,AF2027=1,OR(AE2027="SUPPORTED",AE2027="HALLUCINATION"))</x:f>
        <x:v>0</x:v>
      </x:c>
      <x:c r="AH2027" t="n">
        <x:f>--AND(AG2027=1,AE2027="HALLUCINATION")</x:f>
        <x:v>0</x:v>
      </x:c>
      <x:c r="AI2027" t="n">
        <x:f>--AND(Q2027=1,AF2027=1,AE2027="HALLUCINATION")</x:f>
        <x:v>0</x:v>
      </x:c>
      <x:c r="AJ2027" t="n">
        <x:f>--AND(AI2027=1,R2027=1,S2027=1)</x:f>
        <x:v>0</x:v>
      </x:c>
    </x:row>
    <x:row r="2028">
      <x:c r="A2028" s="28"/>
      <x:c r="B2028" s="28"/>
      <x:c r="C2028" s="28"/>
      <x:c r="D2028" s="28"/>
      <x:c r="E2028" s="28"/>
      <x:c r="F2028" s="28"/>
      <x:c r="G2028" s="28"/>
      <x:c r="H2028" s="28"/>
      <x:c r="I2028" s="28"/>
      <x:c r="J2028" s="28"/>
      <x:c r="K2028" s="28"/>
      <x:c r="L2028" s="28"/>
      <x:c r="M2028" s="28"/>
      <x:c r="N2028" s="28"/>
      <x:c r="O2028" s="28"/>
      <x:c r="P2028" s="28"/>
      <x:c r="Q2028" s="28"/>
      <x:c r="R2028" s="28"/>
      <x:c r="S2028" s="28"/>
      <x:c r="T2028" s="28"/>
      <x:c r="U2028" s="28"/>
      <x:c r="V2028" s="28"/>
      <x:c r="W2028" s="43" t="n">
        <x:f>--AND(N2028=1,OR(O2028="SUPPORTED",O2028="HALLUCINATION"))</x:f>
        <x:v>0</x:v>
      </x:c>
      <x:c r="X2028" s="43" t="n">
        <x:f>--AND(W2028=1,O2028="HALLUCINATION")</x:f>
        <x:v>0</x:v>
      </x:c>
      <x:c r="Y2028" s="43" t="n">
        <x:f>--AND(Q2028=1,O2028="HALLUCINATION")</x:f>
        <x:v>0</x:v>
      </x:c>
      <x:c r="Z2028" s="43" t="n">
        <x:f>--AND(Y2028=1,R2028=1,S2028=1)</x:f>
        <x:v>0</x:v>
      </x:c>
      <x:c r="AC2028" t="str">
        <x:f>IF(OR(AA2028="",AB2028=""),"",--(AA2028&lt;&gt;AB2028))</x:f>
      </x:c>
      <x:c r="AE2028" t="str">
        <x:f>IF(OR(AA2028="",AB2028=""),"PENDING_HUMAN",IF(AA2028=AB2028,AA2028,IF(AD2028&lt;&gt;"",AD2028,"PENDING_HUMAN")))</x:f>
        <x:v>PENDING_HUMAN</x:v>
      </x:c>
      <x:c r="AF2028" t="n">
        <x:f>--AND(A2028&lt;&gt;"",AA2028&lt;&gt;"",AB2028&lt;&gt;"",OR(AA2028=AB2028,AD2028&lt;&gt;""),IF(AE2028="HALLUCINATION",U2028&lt;&gt;"",TRUE))</x:f>
        <x:v>0</x:v>
      </x:c>
      <x:c r="AG2028" t="n">
        <x:f>--AND(N2028=1,AF2028=1,OR(AE2028="SUPPORTED",AE2028="HALLUCINATION"))</x:f>
        <x:v>0</x:v>
      </x:c>
      <x:c r="AH2028" t="n">
        <x:f>--AND(AG2028=1,AE2028="HALLUCINATION")</x:f>
        <x:v>0</x:v>
      </x:c>
      <x:c r="AI2028" t="n">
        <x:f>--AND(Q2028=1,AF2028=1,AE2028="HALLUCINATION")</x:f>
        <x:v>0</x:v>
      </x:c>
      <x:c r="AJ2028" t="n">
        <x:f>--AND(AI2028=1,R2028=1,S2028=1)</x:f>
        <x:v>0</x:v>
      </x:c>
    </x:row>
    <x:row r="2029">
      <x:c r="A2029" s="28"/>
      <x:c r="B2029" s="28"/>
      <x:c r="C2029" s="28"/>
      <x:c r="D2029" s="28"/>
      <x:c r="E2029" s="28"/>
      <x:c r="F2029" s="28"/>
      <x:c r="G2029" s="28"/>
      <x:c r="H2029" s="28"/>
      <x:c r="I2029" s="28"/>
      <x:c r="J2029" s="28"/>
      <x:c r="K2029" s="28"/>
      <x:c r="L2029" s="28"/>
      <x:c r="M2029" s="28"/>
      <x:c r="N2029" s="28"/>
      <x:c r="O2029" s="28"/>
      <x:c r="P2029" s="28"/>
      <x:c r="Q2029" s="28"/>
      <x:c r="R2029" s="28"/>
      <x:c r="S2029" s="28"/>
      <x:c r="T2029" s="28"/>
      <x:c r="U2029" s="28"/>
      <x:c r="V2029" s="28"/>
      <x:c r="W2029" s="43" t="n">
        <x:f>--AND(N2029=1,OR(O2029="SUPPORTED",O2029="HALLUCINATION"))</x:f>
        <x:v>0</x:v>
      </x:c>
      <x:c r="X2029" s="43" t="n">
        <x:f>--AND(W2029=1,O2029="HALLUCINATION")</x:f>
        <x:v>0</x:v>
      </x:c>
      <x:c r="Y2029" s="43" t="n">
        <x:f>--AND(Q2029=1,O2029="HALLUCINATION")</x:f>
        <x:v>0</x:v>
      </x:c>
      <x:c r="Z2029" s="43" t="n">
        <x:f>--AND(Y2029=1,R2029=1,S2029=1)</x:f>
        <x:v>0</x:v>
      </x:c>
      <x:c r="AC2029" t="str">
        <x:f>IF(OR(AA2029="",AB2029=""),"",--(AA2029&lt;&gt;AB2029))</x:f>
      </x:c>
      <x:c r="AE2029" t="str">
        <x:f>IF(OR(AA2029="",AB2029=""),"PENDING_HUMAN",IF(AA2029=AB2029,AA2029,IF(AD2029&lt;&gt;"",AD2029,"PENDING_HUMAN")))</x:f>
        <x:v>PENDING_HUMAN</x:v>
      </x:c>
      <x:c r="AF2029" t="n">
        <x:f>--AND(A2029&lt;&gt;"",AA2029&lt;&gt;"",AB2029&lt;&gt;"",OR(AA2029=AB2029,AD2029&lt;&gt;""),IF(AE2029="HALLUCINATION",U2029&lt;&gt;"",TRUE))</x:f>
        <x:v>0</x:v>
      </x:c>
      <x:c r="AG2029" t="n">
        <x:f>--AND(N2029=1,AF2029=1,OR(AE2029="SUPPORTED",AE2029="HALLUCINATION"))</x:f>
        <x:v>0</x:v>
      </x:c>
      <x:c r="AH2029" t="n">
        <x:f>--AND(AG2029=1,AE2029="HALLUCINATION")</x:f>
        <x:v>0</x:v>
      </x:c>
      <x:c r="AI2029" t="n">
        <x:f>--AND(Q2029=1,AF2029=1,AE2029="HALLUCINATION")</x:f>
        <x:v>0</x:v>
      </x:c>
      <x:c r="AJ2029" t="n">
        <x:f>--AND(AI2029=1,R2029=1,S2029=1)</x:f>
        <x:v>0</x:v>
      </x:c>
    </x:row>
    <x:row r="2030">
      <x:c r="A2030" s="28"/>
      <x:c r="B2030" s="28"/>
      <x:c r="C2030" s="28"/>
      <x:c r="D2030" s="28"/>
      <x:c r="E2030" s="28"/>
      <x:c r="F2030" s="28"/>
      <x:c r="G2030" s="28"/>
      <x:c r="H2030" s="28"/>
      <x:c r="I2030" s="28"/>
      <x:c r="J2030" s="28"/>
      <x:c r="K2030" s="28"/>
      <x:c r="L2030" s="28"/>
      <x:c r="M2030" s="28"/>
      <x:c r="N2030" s="28"/>
      <x:c r="O2030" s="28"/>
      <x:c r="P2030" s="28"/>
      <x:c r="Q2030" s="28"/>
      <x:c r="R2030" s="28"/>
      <x:c r="S2030" s="28"/>
      <x:c r="T2030" s="28"/>
      <x:c r="U2030" s="28"/>
      <x:c r="V2030" s="28"/>
      <x:c r="W2030" s="43" t="n">
        <x:f>--AND(N2030=1,OR(O2030="SUPPORTED",O2030="HALLUCINATION"))</x:f>
        <x:v>0</x:v>
      </x:c>
      <x:c r="X2030" s="43" t="n">
        <x:f>--AND(W2030=1,O2030="HALLUCINATION")</x:f>
        <x:v>0</x:v>
      </x:c>
      <x:c r="Y2030" s="43" t="n">
        <x:f>--AND(Q2030=1,O2030="HALLUCINATION")</x:f>
        <x:v>0</x:v>
      </x:c>
      <x:c r="Z2030" s="43" t="n">
        <x:f>--AND(Y2030=1,R2030=1,S2030=1)</x:f>
        <x:v>0</x:v>
      </x:c>
      <x:c r="AC2030" t="str">
        <x:f>IF(OR(AA2030="",AB2030=""),"",--(AA2030&lt;&gt;AB2030))</x:f>
      </x:c>
      <x:c r="AE2030" t="str">
        <x:f>IF(OR(AA2030="",AB2030=""),"PENDING_HUMAN",IF(AA2030=AB2030,AA2030,IF(AD2030&lt;&gt;"",AD2030,"PENDING_HUMAN")))</x:f>
        <x:v>PENDING_HUMAN</x:v>
      </x:c>
      <x:c r="AF2030" t="n">
        <x:f>--AND(A2030&lt;&gt;"",AA2030&lt;&gt;"",AB2030&lt;&gt;"",OR(AA2030=AB2030,AD2030&lt;&gt;""),IF(AE2030="HALLUCINATION",U2030&lt;&gt;"",TRUE))</x:f>
        <x:v>0</x:v>
      </x:c>
      <x:c r="AG2030" t="n">
        <x:f>--AND(N2030=1,AF2030=1,OR(AE2030="SUPPORTED",AE2030="HALLUCINATION"))</x:f>
        <x:v>0</x:v>
      </x:c>
      <x:c r="AH2030" t="n">
        <x:f>--AND(AG2030=1,AE2030="HALLUCINATION")</x:f>
        <x:v>0</x:v>
      </x:c>
      <x:c r="AI2030" t="n">
        <x:f>--AND(Q2030=1,AF2030=1,AE2030="HALLUCINATION")</x:f>
        <x:v>0</x:v>
      </x:c>
      <x:c r="AJ2030" t="n">
        <x:f>--AND(AI2030=1,R2030=1,S2030=1)</x:f>
        <x:v>0</x:v>
      </x:c>
    </x:row>
    <x:row r="2031">
      <x:c r="A2031" s="28"/>
      <x:c r="B2031" s="28"/>
      <x:c r="C2031" s="28"/>
      <x:c r="D2031" s="28"/>
      <x:c r="E2031" s="28"/>
      <x:c r="F2031" s="28"/>
      <x:c r="G2031" s="28"/>
      <x:c r="H2031" s="28"/>
      <x:c r="I2031" s="28"/>
      <x:c r="J2031" s="28"/>
      <x:c r="K2031" s="28"/>
      <x:c r="L2031" s="28"/>
      <x:c r="M2031" s="28"/>
      <x:c r="N2031" s="28"/>
      <x:c r="O2031" s="28"/>
      <x:c r="P2031" s="28"/>
      <x:c r="Q2031" s="28"/>
      <x:c r="R2031" s="28"/>
      <x:c r="S2031" s="28"/>
      <x:c r="T2031" s="28"/>
      <x:c r="U2031" s="28"/>
      <x:c r="V2031" s="28"/>
      <x:c r="W2031" s="43" t="n">
        <x:f>--AND(N2031=1,OR(O2031="SUPPORTED",O2031="HALLUCINATION"))</x:f>
        <x:v>0</x:v>
      </x:c>
      <x:c r="X2031" s="43" t="n">
        <x:f>--AND(W2031=1,O2031="HALLUCINATION")</x:f>
        <x:v>0</x:v>
      </x:c>
      <x:c r="Y2031" s="43" t="n">
        <x:f>--AND(Q2031=1,O2031="HALLUCINATION")</x:f>
        <x:v>0</x:v>
      </x:c>
      <x:c r="Z2031" s="43" t="n">
        <x:f>--AND(Y2031=1,R2031=1,S2031=1)</x:f>
        <x:v>0</x:v>
      </x:c>
      <x:c r="AC2031" t="str">
        <x:f>IF(OR(AA2031="",AB2031=""),"",--(AA2031&lt;&gt;AB2031))</x:f>
      </x:c>
      <x:c r="AE2031" t="str">
        <x:f>IF(OR(AA2031="",AB2031=""),"PENDING_HUMAN",IF(AA2031=AB2031,AA2031,IF(AD2031&lt;&gt;"",AD2031,"PENDING_HUMAN")))</x:f>
        <x:v>PENDING_HUMAN</x:v>
      </x:c>
      <x:c r="AF2031" t="n">
        <x:f>--AND(A2031&lt;&gt;"",AA2031&lt;&gt;"",AB2031&lt;&gt;"",OR(AA2031=AB2031,AD2031&lt;&gt;""),IF(AE2031="HALLUCINATION",U2031&lt;&gt;"",TRUE))</x:f>
        <x:v>0</x:v>
      </x:c>
      <x:c r="AG2031" t="n">
        <x:f>--AND(N2031=1,AF2031=1,OR(AE2031="SUPPORTED",AE2031="HALLUCINATION"))</x:f>
        <x:v>0</x:v>
      </x:c>
      <x:c r="AH2031" t="n">
        <x:f>--AND(AG2031=1,AE2031="HALLUCINATION")</x:f>
        <x:v>0</x:v>
      </x:c>
      <x:c r="AI2031" t="n">
        <x:f>--AND(Q2031=1,AF2031=1,AE2031="HALLUCINATION")</x:f>
        <x:v>0</x:v>
      </x:c>
      <x:c r="AJ2031" t="n">
        <x:f>--AND(AI2031=1,R2031=1,S2031=1)</x:f>
        <x:v>0</x:v>
      </x:c>
    </x:row>
    <x:row r="2032">
      <x:c r="A2032" s="28"/>
      <x:c r="B2032" s="28"/>
      <x:c r="C2032" s="28"/>
      <x:c r="D2032" s="28"/>
      <x:c r="E2032" s="28"/>
      <x:c r="F2032" s="28"/>
      <x:c r="G2032" s="28"/>
      <x:c r="H2032" s="28"/>
      <x:c r="I2032" s="28"/>
      <x:c r="J2032" s="28"/>
      <x:c r="K2032" s="28"/>
      <x:c r="L2032" s="28"/>
      <x:c r="M2032" s="28"/>
      <x:c r="N2032" s="28"/>
      <x:c r="O2032" s="28"/>
      <x:c r="P2032" s="28"/>
      <x:c r="Q2032" s="28"/>
      <x:c r="R2032" s="28"/>
      <x:c r="S2032" s="28"/>
      <x:c r="T2032" s="28"/>
      <x:c r="U2032" s="28"/>
      <x:c r="V2032" s="28"/>
      <x:c r="W2032" s="43" t="n">
        <x:f>--AND(N2032=1,OR(O2032="SUPPORTED",O2032="HALLUCINATION"))</x:f>
        <x:v>0</x:v>
      </x:c>
      <x:c r="X2032" s="43" t="n">
        <x:f>--AND(W2032=1,O2032="HALLUCINATION")</x:f>
        <x:v>0</x:v>
      </x:c>
      <x:c r="Y2032" s="43" t="n">
        <x:f>--AND(Q2032=1,O2032="HALLUCINATION")</x:f>
        <x:v>0</x:v>
      </x:c>
      <x:c r="Z2032" s="43" t="n">
        <x:f>--AND(Y2032=1,R2032=1,S2032=1)</x:f>
        <x:v>0</x:v>
      </x:c>
      <x:c r="AC2032" t="str">
        <x:f>IF(OR(AA2032="",AB2032=""),"",--(AA2032&lt;&gt;AB2032))</x:f>
      </x:c>
      <x:c r="AE2032" t="str">
        <x:f>IF(OR(AA2032="",AB2032=""),"PENDING_HUMAN",IF(AA2032=AB2032,AA2032,IF(AD2032&lt;&gt;"",AD2032,"PENDING_HUMAN")))</x:f>
        <x:v>PENDING_HUMAN</x:v>
      </x:c>
      <x:c r="AF2032" t="n">
        <x:f>--AND(A2032&lt;&gt;"",AA2032&lt;&gt;"",AB2032&lt;&gt;"",OR(AA2032=AB2032,AD2032&lt;&gt;""),IF(AE2032="HALLUCINATION",U2032&lt;&gt;"",TRUE))</x:f>
        <x:v>0</x:v>
      </x:c>
      <x:c r="AG2032" t="n">
        <x:f>--AND(N2032=1,AF2032=1,OR(AE2032="SUPPORTED",AE2032="HALLUCINATION"))</x:f>
        <x:v>0</x:v>
      </x:c>
      <x:c r="AH2032" t="n">
        <x:f>--AND(AG2032=1,AE2032="HALLUCINATION")</x:f>
        <x:v>0</x:v>
      </x:c>
      <x:c r="AI2032" t="n">
        <x:f>--AND(Q2032=1,AF2032=1,AE2032="HALLUCINATION")</x:f>
        <x:v>0</x:v>
      </x:c>
      <x:c r="AJ2032" t="n">
        <x:f>--AND(AI2032=1,R2032=1,S2032=1)</x:f>
        <x:v>0</x:v>
      </x:c>
    </x:row>
    <x:row r="2033">
      <x:c r="A2033" s="28"/>
      <x:c r="B2033" s="28"/>
      <x:c r="C2033" s="28"/>
      <x:c r="D2033" s="28"/>
      <x:c r="E2033" s="28"/>
      <x:c r="F2033" s="28"/>
      <x:c r="G2033" s="28"/>
      <x:c r="H2033" s="28"/>
      <x:c r="I2033" s="28"/>
      <x:c r="J2033" s="28"/>
      <x:c r="K2033" s="28"/>
      <x:c r="L2033" s="28"/>
      <x:c r="M2033" s="28"/>
      <x:c r="N2033" s="28"/>
      <x:c r="O2033" s="28"/>
      <x:c r="P2033" s="28"/>
      <x:c r="Q2033" s="28"/>
      <x:c r="R2033" s="28"/>
      <x:c r="S2033" s="28"/>
      <x:c r="T2033" s="28"/>
      <x:c r="U2033" s="28"/>
      <x:c r="V2033" s="28"/>
      <x:c r="W2033" s="43" t="n">
        <x:f>--AND(N2033=1,OR(O2033="SUPPORTED",O2033="HALLUCINATION"))</x:f>
        <x:v>0</x:v>
      </x:c>
      <x:c r="X2033" s="43" t="n">
        <x:f>--AND(W2033=1,O2033="HALLUCINATION")</x:f>
        <x:v>0</x:v>
      </x:c>
      <x:c r="Y2033" s="43" t="n">
        <x:f>--AND(Q2033=1,O2033="HALLUCINATION")</x:f>
        <x:v>0</x:v>
      </x:c>
      <x:c r="Z2033" s="43" t="n">
        <x:f>--AND(Y2033=1,R2033=1,S2033=1)</x:f>
        <x:v>0</x:v>
      </x:c>
      <x:c r="AC2033" t="str">
        <x:f>IF(OR(AA2033="",AB2033=""),"",--(AA2033&lt;&gt;AB2033))</x:f>
      </x:c>
      <x:c r="AE2033" t="str">
        <x:f>IF(OR(AA2033="",AB2033=""),"PENDING_HUMAN",IF(AA2033=AB2033,AA2033,IF(AD2033&lt;&gt;"",AD2033,"PENDING_HUMAN")))</x:f>
        <x:v>PENDING_HUMAN</x:v>
      </x:c>
      <x:c r="AF2033" t="n">
        <x:f>--AND(A2033&lt;&gt;"",AA2033&lt;&gt;"",AB2033&lt;&gt;"",OR(AA2033=AB2033,AD2033&lt;&gt;""),IF(AE2033="HALLUCINATION",U2033&lt;&gt;"",TRUE))</x:f>
        <x:v>0</x:v>
      </x:c>
      <x:c r="AG2033" t="n">
        <x:f>--AND(N2033=1,AF2033=1,OR(AE2033="SUPPORTED",AE2033="HALLUCINATION"))</x:f>
        <x:v>0</x:v>
      </x:c>
      <x:c r="AH2033" t="n">
        <x:f>--AND(AG2033=1,AE2033="HALLUCINATION")</x:f>
        <x:v>0</x:v>
      </x:c>
      <x:c r="AI2033" t="n">
        <x:f>--AND(Q2033=1,AF2033=1,AE2033="HALLUCINATION")</x:f>
        <x:v>0</x:v>
      </x:c>
      <x:c r="AJ2033" t="n">
        <x:f>--AND(AI2033=1,R2033=1,S2033=1)</x:f>
        <x:v>0</x:v>
      </x:c>
    </x:row>
    <x:row r="2034">
      <x:c r="A2034" s="28"/>
      <x:c r="B2034" s="28"/>
      <x:c r="C2034" s="28"/>
      <x:c r="D2034" s="28"/>
      <x:c r="E2034" s="28"/>
      <x:c r="F2034" s="28"/>
      <x:c r="G2034" s="28"/>
      <x:c r="H2034" s="28"/>
      <x:c r="I2034" s="28"/>
      <x:c r="J2034" s="28"/>
      <x:c r="K2034" s="28"/>
      <x:c r="L2034" s="28"/>
      <x:c r="M2034" s="28"/>
      <x:c r="N2034" s="28"/>
      <x:c r="O2034" s="28"/>
      <x:c r="P2034" s="28"/>
      <x:c r="Q2034" s="28"/>
      <x:c r="R2034" s="28"/>
      <x:c r="S2034" s="28"/>
      <x:c r="T2034" s="28"/>
      <x:c r="U2034" s="28"/>
      <x:c r="V2034" s="28"/>
      <x:c r="W2034" s="43" t="n">
        <x:f>--AND(N2034=1,OR(O2034="SUPPORTED",O2034="HALLUCINATION"))</x:f>
        <x:v>0</x:v>
      </x:c>
      <x:c r="X2034" s="43" t="n">
        <x:f>--AND(W2034=1,O2034="HALLUCINATION")</x:f>
        <x:v>0</x:v>
      </x:c>
      <x:c r="Y2034" s="43" t="n">
        <x:f>--AND(Q2034=1,O2034="HALLUCINATION")</x:f>
        <x:v>0</x:v>
      </x:c>
      <x:c r="Z2034" s="43" t="n">
        <x:f>--AND(Y2034=1,R2034=1,S2034=1)</x:f>
        <x:v>0</x:v>
      </x:c>
      <x:c r="AC2034" t="str">
        <x:f>IF(OR(AA2034="",AB2034=""),"",--(AA2034&lt;&gt;AB2034))</x:f>
      </x:c>
      <x:c r="AE2034" t="str">
        <x:f>IF(OR(AA2034="",AB2034=""),"PENDING_HUMAN",IF(AA2034=AB2034,AA2034,IF(AD2034&lt;&gt;"",AD2034,"PENDING_HUMAN")))</x:f>
        <x:v>PENDING_HUMAN</x:v>
      </x:c>
      <x:c r="AF2034" t="n">
        <x:f>--AND(A2034&lt;&gt;"",AA2034&lt;&gt;"",AB2034&lt;&gt;"",OR(AA2034=AB2034,AD2034&lt;&gt;""),IF(AE2034="HALLUCINATION",U2034&lt;&gt;"",TRUE))</x:f>
        <x:v>0</x:v>
      </x:c>
      <x:c r="AG2034" t="n">
        <x:f>--AND(N2034=1,AF2034=1,OR(AE2034="SUPPORTED",AE2034="HALLUCINATION"))</x:f>
        <x:v>0</x:v>
      </x:c>
      <x:c r="AH2034" t="n">
        <x:f>--AND(AG2034=1,AE2034="HALLUCINATION")</x:f>
        <x:v>0</x:v>
      </x:c>
      <x:c r="AI2034" t="n">
        <x:f>--AND(Q2034=1,AF2034=1,AE2034="HALLUCINATION")</x:f>
        <x:v>0</x:v>
      </x:c>
      <x:c r="AJ2034" t="n">
        <x:f>--AND(AI2034=1,R2034=1,S2034=1)</x:f>
        <x:v>0</x:v>
      </x:c>
    </x:row>
    <x:row r="2035">
      <x:c r="A2035" s="28"/>
      <x:c r="B2035" s="28"/>
      <x:c r="C2035" s="28"/>
      <x:c r="D2035" s="28"/>
      <x:c r="E2035" s="28"/>
      <x:c r="F2035" s="28"/>
      <x:c r="G2035" s="28"/>
      <x:c r="H2035" s="28"/>
      <x:c r="I2035" s="28"/>
      <x:c r="J2035" s="28"/>
      <x:c r="K2035" s="28"/>
      <x:c r="L2035" s="28"/>
      <x:c r="M2035" s="28"/>
      <x:c r="N2035" s="28"/>
      <x:c r="O2035" s="28"/>
      <x:c r="P2035" s="28"/>
      <x:c r="Q2035" s="28"/>
      <x:c r="R2035" s="28"/>
      <x:c r="S2035" s="28"/>
      <x:c r="T2035" s="28"/>
      <x:c r="U2035" s="28"/>
      <x:c r="V2035" s="28"/>
      <x:c r="W2035" s="43" t="n">
        <x:f>--AND(N2035=1,OR(O2035="SUPPORTED",O2035="HALLUCINATION"))</x:f>
        <x:v>0</x:v>
      </x:c>
      <x:c r="X2035" s="43" t="n">
        <x:f>--AND(W2035=1,O2035="HALLUCINATION")</x:f>
        <x:v>0</x:v>
      </x:c>
      <x:c r="Y2035" s="43" t="n">
        <x:f>--AND(Q2035=1,O2035="HALLUCINATION")</x:f>
        <x:v>0</x:v>
      </x:c>
      <x:c r="Z2035" s="43" t="n">
        <x:f>--AND(Y2035=1,R2035=1,S2035=1)</x:f>
        <x:v>0</x:v>
      </x:c>
      <x:c r="AC2035" t="str">
        <x:f>IF(OR(AA2035="",AB2035=""),"",--(AA2035&lt;&gt;AB2035))</x:f>
      </x:c>
      <x:c r="AE2035" t="str">
        <x:f>IF(OR(AA2035="",AB2035=""),"PENDING_HUMAN",IF(AA2035=AB2035,AA2035,IF(AD2035&lt;&gt;"",AD2035,"PENDING_HUMAN")))</x:f>
        <x:v>PENDING_HUMAN</x:v>
      </x:c>
      <x:c r="AF2035" t="n">
        <x:f>--AND(A2035&lt;&gt;"",AA2035&lt;&gt;"",AB2035&lt;&gt;"",OR(AA2035=AB2035,AD2035&lt;&gt;""),IF(AE2035="HALLUCINATION",U2035&lt;&gt;"",TRUE))</x:f>
        <x:v>0</x:v>
      </x:c>
      <x:c r="AG2035" t="n">
        <x:f>--AND(N2035=1,AF2035=1,OR(AE2035="SUPPORTED",AE2035="HALLUCINATION"))</x:f>
        <x:v>0</x:v>
      </x:c>
      <x:c r="AH2035" t="n">
        <x:f>--AND(AG2035=1,AE2035="HALLUCINATION")</x:f>
        <x:v>0</x:v>
      </x:c>
      <x:c r="AI2035" t="n">
        <x:f>--AND(Q2035=1,AF2035=1,AE2035="HALLUCINATION")</x:f>
        <x:v>0</x:v>
      </x:c>
      <x:c r="AJ2035" t="n">
        <x:f>--AND(AI2035=1,R2035=1,S2035=1)</x:f>
        <x:v>0</x:v>
      </x:c>
    </x:row>
    <x:row r="2036">
      <x:c r="A2036" s="28"/>
      <x:c r="B2036" s="28"/>
      <x:c r="C2036" s="28"/>
      <x:c r="D2036" s="28"/>
      <x:c r="E2036" s="28"/>
      <x:c r="F2036" s="28"/>
      <x:c r="G2036" s="28"/>
      <x:c r="H2036" s="28"/>
      <x:c r="I2036" s="28"/>
      <x:c r="J2036" s="28"/>
      <x:c r="K2036" s="28"/>
      <x:c r="L2036" s="28"/>
      <x:c r="M2036" s="28"/>
      <x:c r="N2036" s="28"/>
      <x:c r="O2036" s="28"/>
      <x:c r="P2036" s="28"/>
      <x:c r="Q2036" s="28"/>
      <x:c r="R2036" s="28"/>
      <x:c r="S2036" s="28"/>
      <x:c r="T2036" s="28"/>
      <x:c r="U2036" s="28"/>
      <x:c r="V2036" s="28"/>
      <x:c r="W2036" s="43" t="n">
        <x:f>--AND(N2036=1,OR(O2036="SUPPORTED",O2036="HALLUCINATION"))</x:f>
        <x:v>0</x:v>
      </x:c>
      <x:c r="X2036" s="43" t="n">
        <x:f>--AND(W2036=1,O2036="HALLUCINATION")</x:f>
        <x:v>0</x:v>
      </x:c>
      <x:c r="Y2036" s="43" t="n">
        <x:f>--AND(Q2036=1,O2036="HALLUCINATION")</x:f>
        <x:v>0</x:v>
      </x:c>
      <x:c r="Z2036" s="43" t="n">
        <x:f>--AND(Y2036=1,R2036=1,S2036=1)</x:f>
        <x:v>0</x:v>
      </x:c>
      <x:c r="AC2036" t="str">
        <x:f>IF(OR(AA2036="",AB2036=""),"",--(AA2036&lt;&gt;AB2036))</x:f>
      </x:c>
      <x:c r="AE2036" t="str">
        <x:f>IF(OR(AA2036="",AB2036=""),"PENDING_HUMAN",IF(AA2036=AB2036,AA2036,IF(AD2036&lt;&gt;"",AD2036,"PENDING_HUMAN")))</x:f>
        <x:v>PENDING_HUMAN</x:v>
      </x:c>
      <x:c r="AF2036" t="n">
        <x:f>--AND(A2036&lt;&gt;"",AA2036&lt;&gt;"",AB2036&lt;&gt;"",OR(AA2036=AB2036,AD2036&lt;&gt;""),IF(AE2036="HALLUCINATION",U2036&lt;&gt;"",TRUE))</x:f>
        <x:v>0</x:v>
      </x:c>
      <x:c r="AG2036" t="n">
        <x:f>--AND(N2036=1,AF2036=1,OR(AE2036="SUPPORTED",AE2036="HALLUCINATION"))</x:f>
        <x:v>0</x:v>
      </x:c>
      <x:c r="AH2036" t="n">
        <x:f>--AND(AG2036=1,AE2036="HALLUCINATION")</x:f>
        <x:v>0</x:v>
      </x:c>
      <x:c r="AI2036" t="n">
        <x:f>--AND(Q2036=1,AF2036=1,AE2036="HALLUCINATION")</x:f>
        <x:v>0</x:v>
      </x:c>
      <x:c r="AJ2036" t="n">
        <x:f>--AND(AI2036=1,R2036=1,S2036=1)</x:f>
        <x:v>0</x:v>
      </x:c>
    </x:row>
    <x:row r="2037">
      <x:c r="A2037" s="28"/>
      <x:c r="B2037" s="28"/>
      <x:c r="C2037" s="28"/>
      <x:c r="D2037" s="28"/>
      <x:c r="E2037" s="28"/>
      <x:c r="F2037" s="28"/>
      <x:c r="G2037" s="28"/>
      <x:c r="H2037" s="28"/>
      <x:c r="I2037" s="28"/>
      <x:c r="J2037" s="28"/>
      <x:c r="K2037" s="28"/>
      <x:c r="L2037" s="28"/>
      <x:c r="M2037" s="28"/>
      <x:c r="N2037" s="28"/>
      <x:c r="O2037" s="28"/>
      <x:c r="P2037" s="28"/>
      <x:c r="Q2037" s="28"/>
      <x:c r="R2037" s="28"/>
      <x:c r="S2037" s="28"/>
      <x:c r="T2037" s="28"/>
      <x:c r="U2037" s="28"/>
      <x:c r="V2037" s="28"/>
      <x:c r="W2037" s="43" t="n">
        <x:f>--AND(N2037=1,OR(O2037="SUPPORTED",O2037="HALLUCINATION"))</x:f>
        <x:v>0</x:v>
      </x:c>
      <x:c r="X2037" s="43" t="n">
        <x:f>--AND(W2037=1,O2037="HALLUCINATION")</x:f>
        <x:v>0</x:v>
      </x:c>
      <x:c r="Y2037" s="43" t="n">
        <x:f>--AND(Q2037=1,O2037="HALLUCINATION")</x:f>
        <x:v>0</x:v>
      </x:c>
      <x:c r="Z2037" s="43" t="n">
        <x:f>--AND(Y2037=1,R2037=1,S2037=1)</x:f>
        <x:v>0</x:v>
      </x:c>
      <x:c r="AC2037" t="str">
        <x:f>IF(OR(AA2037="",AB2037=""),"",--(AA2037&lt;&gt;AB2037))</x:f>
      </x:c>
      <x:c r="AE2037" t="str">
        <x:f>IF(OR(AA2037="",AB2037=""),"PENDING_HUMAN",IF(AA2037=AB2037,AA2037,IF(AD2037&lt;&gt;"",AD2037,"PENDING_HUMAN")))</x:f>
        <x:v>PENDING_HUMAN</x:v>
      </x:c>
      <x:c r="AF2037" t="n">
        <x:f>--AND(A2037&lt;&gt;"",AA2037&lt;&gt;"",AB2037&lt;&gt;"",OR(AA2037=AB2037,AD2037&lt;&gt;""),IF(AE2037="HALLUCINATION",U2037&lt;&gt;"",TRUE))</x:f>
        <x:v>0</x:v>
      </x:c>
      <x:c r="AG2037" t="n">
        <x:f>--AND(N2037=1,AF2037=1,OR(AE2037="SUPPORTED",AE2037="HALLUCINATION"))</x:f>
        <x:v>0</x:v>
      </x:c>
      <x:c r="AH2037" t="n">
        <x:f>--AND(AG2037=1,AE2037="HALLUCINATION")</x:f>
        <x:v>0</x:v>
      </x:c>
      <x:c r="AI2037" t="n">
        <x:f>--AND(Q2037=1,AF2037=1,AE2037="HALLUCINATION")</x:f>
        <x:v>0</x:v>
      </x:c>
      <x:c r="AJ2037" t="n">
        <x:f>--AND(AI2037=1,R2037=1,S2037=1)</x:f>
        <x:v>0</x:v>
      </x:c>
    </x:row>
    <x:row r="2038">
      <x:c r="A2038" s="28"/>
      <x:c r="B2038" s="28"/>
      <x:c r="C2038" s="28"/>
      <x:c r="D2038" s="28"/>
      <x:c r="E2038" s="28"/>
      <x:c r="F2038" s="28"/>
      <x:c r="G2038" s="28"/>
      <x:c r="H2038" s="28"/>
      <x:c r="I2038" s="28"/>
      <x:c r="J2038" s="28"/>
      <x:c r="K2038" s="28"/>
      <x:c r="L2038" s="28"/>
      <x:c r="M2038" s="28"/>
      <x:c r="N2038" s="28"/>
      <x:c r="O2038" s="28"/>
      <x:c r="P2038" s="28"/>
      <x:c r="Q2038" s="28"/>
      <x:c r="R2038" s="28"/>
      <x:c r="S2038" s="28"/>
      <x:c r="T2038" s="28"/>
      <x:c r="U2038" s="28"/>
      <x:c r="V2038" s="28"/>
      <x:c r="W2038" s="43" t="n">
        <x:f>--AND(N2038=1,OR(O2038="SUPPORTED",O2038="HALLUCINATION"))</x:f>
        <x:v>0</x:v>
      </x:c>
      <x:c r="X2038" s="43" t="n">
        <x:f>--AND(W2038=1,O2038="HALLUCINATION")</x:f>
        <x:v>0</x:v>
      </x:c>
      <x:c r="Y2038" s="43" t="n">
        <x:f>--AND(Q2038=1,O2038="HALLUCINATION")</x:f>
        <x:v>0</x:v>
      </x:c>
      <x:c r="Z2038" s="43" t="n">
        <x:f>--AND(Y2038=1,R2038=1,S2038=1)</x:f>
        <x:v>0</x:v>
      </x:c>
      <x:c r="AC2038" t="str">
        <x:f>IF(OR(AA2038="",AB2038=""),"",--(AA2038&lt;&gt;AB2038))</x:f>
      </x:c>
      <x:c r="AE2038" t="str">
        <x:f>IF(OR(AA2038="",AB2038=""),"PENDING_HUMAN",IF(AA2038=AB2038,AA2038,IF(AD2038&lt;&gt;"",AD2038,"PENDING_HUMAN")))</x:f>
        <x:v>PENDING_HUMAN</x:v>
      </x:c>
      <x:c r="AF2038" t="n">
        <x:f>--AND(A2038&lt;&gt;"",AA2038&lt;&gt;"",AB2038&lt;&gt;"",OR(AA2038=AB2038,AD2038&lt;&gt;""),IF(AE2038="HALLUCINATION",U2038&lt;&gt;"",TRUE))</x:f>
        <x:v>0</x:v>
      </x:c>
      <x:c r="AG2038" t="n">
        <x:f>--AND(N2038=1,AF2038=1,OR(AE2038="SUPPORTED",AE2038="HALLUCINATION"))</x:f>
        <x:v>0</x:v>
      </x:c>
      <x:c r="AH2038" t="n">
        <x:f>--AND(AG2038=1,AE2038="HALLUCINATION")</x:f>
        <x:v>0</x:v>
      </x:c>
      <x:c r="AI2038" t="n">
        <x:f>--AND(Q2038=1,AF2038=1,AE2038="HALLUCINATION")</x:f>
        <x:v>0</x:v>
      </x:c>
      <x:c r="AJ2038" t="n">
        <x:f>--AND(AI2038=1,R2038=1,S2038=1)</x:f>
        <x:v>0</x:v>
      </x:c>
    </x:row>
    <x:row r="2039">
      <x:c r="A2039" s="28"/>
      <x:c r="B2039" s="28"/>
      <x:c r="C2039" s="28"/>
      <x:c r="D2039" s="28"/>
      <x:c r="E2039" s="28"/>
      <x:c r="F2039" s="28"/>
      <x:c r="G2039" s="28"/>
      <x:c r="H2039" s="28"/>
      <x:c r="I2039" s="28"/>
      <x:c r="J2039" s="28"/>
      <x:c r="K2039" s="28"/>
      <x:c r="L2039" s="28"/>
      <x:c r="M2039" s="28"/>
      <x:c r="N2039" s="28"/>
      <x:c r="O2039" s="28"/>
      <x:c r="P2039" s="28"/>
      <x:c r="Q2039" s="28"/>
      <x:c r="R2039" s="28"/>
      <x:c r="S2039" s="28"/>
      <x:c r="T2039" s="28"/>
      <x:c r="U2039" s="28"/>
      <x:c r="V2039" s="28"/>
      <x:c r="W2039" s="43" t="n">
        <x:f>--AND(N2039=1,OR(O2039="SUPPORTED",O2039="HALLUCINATION"))</x:f>
        <x:v>0</x:v>
      </x:c>
      <x:c r="X2039" s="43" t="n">
        <x:f>--AND(W2039=1,O2039="HALLUCINATION")</x:f>
        <x:v>0</x:v>
      </x:c>
      <x:c r="Y2039" s="43" t="n">
        <x:f>--AND(Q2039=1,O2039="HALLUCINATION")</x:f>
        <x:v>0</x:v>
      </x:c>
      <x:c r="Z2039" s="43" t="n">
        <x:f>--AND(Y2039=1,R2039=1,S2039=1)</x:f>
        <x:v>0</x:v>
      </x:c>
      <x:c r="AC2039" t="str">
        <x:f>IF(OR(AA2039="",AB2039=""),"",--(AA2039&lt;&gt;AB2039))</x:f>
      </x:c>
      <x:c r="AE2039" t="str">
        <x:f>IF(OR(AA2039="",AB2039=""),"PENDING_HUMAN",IF(AA2039=AB2039,AA2039,IF(AD2039&lt;&gt;"",AD2039,"PENDING_HUMAN")))</x:f>
        <x:v>PENDING_HUMAN</x:v>
      </x:c>
      <x:c r="AF2039" t="n">
        <x:f>--AND(A2039&lt;&gt;"",AA2039&lt;&gt;"",AB2039&lt;&gt;"",OR(AA2039=AB2039,AD2039&lt;&gt;""),IF(AE2039="HALLUCINATION",U2039&lt;&gt;"",TRUE))</x:f>
        <x:v>0</x:v>
      </x:c>
      <x:c r="AG2039" t="n">
        <x:f>--AND(N2039=1,AF2039=1,OR(AE2039="SUPPORTED",AE2039="HALLUCINATION"))</x:f>
        <x:v>0</x:v>
      </x:c>
      <x:c r="AH2039" t="n">
        <x:f>--AND(AG2039=1,AE2039="HALLUCINATION")</x:f>
        <x:v>0</x:v>
      </x:c>
      <x:c r="AI2039" t="n">
        <x:f>--AND(Q2039=1,AF2039=1,AE2039="HALLUCINATION")</x:f>
        <x:v>0</x:v>
      </x:c>
      <x:c r="AJ2039" t="n">
        <x:f>--AND(AI2039=1,R2039=1,S2039=1)</x:f>
        <x:v>0</x:v>
      </x:c>
    </x:row>
    <x:row r="2040">
      <x:c r="A2040" s="28"/>
      <x:c r="B2040" s="28"/>
      <x:c r="C2040" s="28"/>
      <x:c r="D2040" s="28"/>
      <x:c r="E2040" s="28"/>
      <x:c r="F2040" s="28"/>
      <x:c r="G2040" s="28"/>
      <x:c r="H2040" s="28"/>
      <x:c r="I2040" s="28"/>
      <x:c r="J2040" s="28"/>
      <x:c r="K2040" s="28"/>
      <x:c r="L2040" s="28"/>
      <x:c r="M2040" s="28"/>
      <x:c r="N2040" s="28"/>
      <x:c r="O2040" s="28"/>
      <x:c r="P2040" s="28"/>
      <x:c r="Q2040" s="28"/>
      <x:c r="R2040" s="28"/>
      <x:c r="S2040" s="28"/>
      <x:c r="T2040" s="28"/>
      <x:c r="U2040" s="28"/>
      <x:c r="V2040" s="28"/>
      <x:c r="W2040" s="43" t="n">
        <x:f>--AND(N2040=1,OR(O2040="SUPPORTED",O2040="HALLUCINATION"))</x:f>
        <x:v>0</x:v>
      </x:c>
      <x:c r="X2040" s="43" t="n">
        <x:f>--AND(W2040=1,O2040="HALLUCINATION")</x:f>
        <x:v>0</x:v>
      </x:c>
      <x:c r="Y2040" s="43" t="n">
        <x:f>--AND(Q2040=1,O2040="HALLUCINATION")</x:f>
        <x:v>0</x:v>
      </x:c>
      <x:c r="Z2040" s="43" t="n">
        <x:f>--AND(Y2040=1,R2040=1,S2040=1)</x:f>
        <x:v>0</x:v>
      </x:c>
      <x:c r="AC2040" t="str">
        <x:f>IF(OR(AA2040="",AB2040=""),"",--(AA2040&lt;&gt;AB2040))</x:f>
      </x:c>
      <x:c r="AE2040" t="str">
        <x:f>IF(OR(AA2040="",AB2040=""),"PENDING_HUMAN",IF(AA2040=AB2040,AA2040,IF(AD2040&lt;&gt;"",AD2040,"PENDING_HUMAN")))</x:f>
        <x:v>PENDING_HUMAN</x:v>
      </x:c>
      <x:c r="AF2040" t="n">
        <x:f>--AND(A2040&lt;&gt;"",AA2040&lt;&gt;"",AB2040&lt;&gt;"",OR(AA2040=AB2040,AD2040&lt;&gt;""),IF(AE2040="HALLUCINATION",U2040&lt;&gt;"",TRUE))</x:f>
        <x:v>0</x:v>
      </x:c>
      <x:c r="AG2040" t="n">
        <x:f>--AND(N2040=1,AF2040=1,OR(AE2040="SUPPORTED",AE2040="HALLUCINATION"))</x:f>
        <x:v>0</x:v>
      </x:c>
      <x:c r="AH2040" t="n">
        <x:f>--AND(AG2040=1,AE2040="HALLUCINATION")</x:f>
        <x:v>0</x:v>
      </x:c>
      <x:c r="AI2040" t="n">
        <x:f>--AND(Q2040=1,AF2040=1,AE2040="HALLUCINATION")</x:f>
        <x:v>0</x:v>
      </x:c>
      <x:c r="AJ2040" t="n">
        <x:f>--AND(AI2040=1,R2040=1,S2040=1)</x:f>
        <x:v>0</x:v>
      </x:c>
    </x:row>
    <x:row r="2041">
      <x:c r="A2041" s="28"/>
      <x:c r="B2041" s="28"/>
      <x:c r="C2041" s="28"/>
      <x:c r="D2041" s="28"/>
      <x:c r="E2041" s="28"/>
      <x:c r="F2041" s="28"/>
      <x:c r="G2041" s="28"/>
      <x:c r="H2041" s="28"/>
      <x:c r="I2041" s="28"/>
      <x:c r="J2041" s="28"/>
      <x:c r="K2041" s="28"/>
      <x:c r="L2041" s="28"/>
      <x:c r="M2041" s="28"/>
      <x:c r="N2041" s="28"/>
      <x:c r="O2041" s="28"/>
      <x:c r="P2041" s="28"/>
      <x:c r="Q2041" s="28"/>
      <x:c r="R2041" s="28"/>
      <x:c r="S2041" s="28"/>
      <x:c r="T2041" s="28"/>
      <x:c r="U2041" s="28"/>
      <x:c r="V2041" s="28"/>
      <x:c r="W2041" s="43" t="n">
        <x:f>--AND(N2041=1,OR(O2041="SUPPORTED",O2041="HALLUCINATION"))</x:f>
        <x:v>0</x:v>
      </x:c>
      <x:c r="X2041" s="43" t="n">
        <x:f>--AND(W2041=1,O2041="HALLUCINATION")</x:f>
        <x:v>0</x:v>
      </x:c>
      <x:c r="Y2041" s="43" t="n">
        <x:f>--AND(Q2041=1,O2041="HALLUCINATION")</x:f>
        <x:v>0</x:v>
      </x:c>
      <x:c r="Z2041" s="43" t="n">
        <x:f>--AND(Y2041=1,R2041=1,S2041=1)</x:f>
        <x:v>0</x:v>
      </x:c>
      <x:c r="AC2041" t="str">
        <x:f>IF(OR(AA2041="",AB2041=""),"",--(AA2041&lt;&gt;AB2041))</x:f>
      </x:c>
      <x:c r="AE2041" t="str">
        <x:f>IF(OR(AA2041="",AB2041=""),"PENDING_HUMAN",IF(AA2041=AB2041,AA2041,IF(AD2041&lt;&gt;"",AD2041,"PENDING_HUMAN")))</x:f>
        <x:v>PENDING_HUMAN</x:v>
      </x:c>
      <x:c r="AF2041" t="n">
        <x:f>--AND(A2041&lt;&gt;"",AA2041&lt;&gt;"",AB2041&lt;&gt;"",OR(AA2041=AB2041,AD2041&lt;&gt;""),IF(AE2041="HALLUCINATION",U2041&lt;&gt;"",TRUE))</x:f>
        <x:v>0</x:v>
      </x:c>
      <x:c r="AG2041" t="n">
        <x:f>--AND(N2041=1,AF2041=1,OR(AE2041="SUPPORTED",AE2041="HALLUCINATION"))</x:f>
        <x:v>0</x:v>
      </x:c>
      <x:c r="AH2041" t="n">
        <x:f>--AND(AG2041=1,AE2041="HALLUCINATION")</x:f>
        <x:v>0</x:v>
      </x:c>
      <x:c r="AI2041" t="n">
        <x:f>--AND(Q2041=1,AF2041=1,AE2041="HALLUCINATION")</x:f>
        <x:v>0</x:v>
      </x:c>
      <x:c r="AJ2041" t="n">
        <x:f>--AND(AI2041=1,R2041=1,S2041=1)</x:f>
        <x:v>0</x:v>
      </x:c>
    </x:row>
    <x:row r="2042">
      <x:c r="A2042" s="28"/>
      <x:c r="B2042" s="28"/>
      <x:c r="C2042" s="28"/>
      <x:c r="D2042" s="28"/>
      <x:c r="E2042" s="28"/>
      <x:c r="F2042" s="28"/>
      <x:c r="G2042" s="28"/>
      <x:c r="H2042" s="28"/>
      <x:c r="I2042" s="28"/>
      <x:c r="J2042" s="28"/>
      <x:c r="K2042" s="28"/>
      <x:c r="L2042" s="28"/>
      <x:c r="M2042" s="28"/>
      <x:c r="N2042" s="28"/>
      <x:c r="O2042" s="28"/>
      <x:c r="P2042" s="28"/>
      <x:c r="Q2042" s="28"/>
      <x:c r="R2042" s="28"/>
      <x:c r="S2042" s="28"/>
      <x:c r="T2042" s="28"/>
      <x:c r="U2042" s="28"/>
      <x:c r="V2042" s="28"/>
      <x:c r="W2042" s="43" t="n">
        <x:f>--AND(N2042=1,OR(O2042="SUPPORTED",O2042="HALLUCINATION"))</x:f>
        <x:v>0</x:v>
      </x:c>
      <x:c r="X2042" s="43" t="n">
        <x:f>--AND(W2042=1,O2042="HALLUCINATION")</x:f>
        <x:v>0</x:v>
      </x:c>
      <x:c r="Y2042" s="43" t="n">
        <x:f>--AND(Q2042=1,O2042="HALLUCINATION")</x:f>
        <x:v>0</x:v>
      </x:c>
      <x:c r="Z2042" s="43" t="n">
        <x:f>--AND(Y2042=1,R2042=1,S2042=1)</x:f>
        <x:v>0</x:v>
      </x:c>
      <x:c r="AC2042" t="str">
        <x:f>IF(OR(AA2042="",AB2042=""),"",--(AA2042&lt;&gt;AB2042))</x:f>
      </x:c>
      <x:c r="AE2042" t="str">
        <x:f>IF(OR(AA2042="",AB2042=""),"PENDING_HUMAN",IF(AA2042=AB2042,AA2042,IF(AD2042&lt;&gt;"",AD2042,"PENDING_HUMAN")))</x:f>
        <x:v>PENDING_HUMAN</x:v>
      </x:c>
      <x:c r="AF2042" t="n">
        <x:f>--AND(A2042&lt;&gt;"",AA2042&lt;&gt;"",AB2042&lt;&gt;"",OR(AA2042=AB2042,AD2042&lt;&gt;""),IF(AE2042="HALLUCINATION",U2042&lt;&gt;"",TRUE))</x:f>
        <x:v>0</x:v>
      </x:c>
      <x:c r="AG2042" t="n">
        <x:f>--AND(N2042=1,AF2042=1,OR(AE2042="SUPPORTED",AE2042="HALLUCINATION"))</x:f>
        <x:v>0</x:v>
      </x:c>
      <x:c r="AH2042" t="n">
        <x:f>--AND(AG2042=1,AE2042="HALLUCINATION")</x:f>
        <x:v>0</x:v>
      </x:c>
      <x:c r="AI2042" t="n">
        <x:f>--AND(Q2042=1,AF2042=1,AE2042="HALLUCINATION")</x:f>
        <x:v>0</x:v>
      </x:c>
      <x:c r="AJ2042" t="n">
        <x:f>--AND(AI2042=1,R2042=1,S2042=1)</x:f>
        <x:v>0</x:v>
      </x:c>
    </x:row>
    <x:row r="2043">
      <x:c r="A2043" s="28"/>
      <x:c r="B2043" s="28"/>
      <x:c r="C2043" s="28"/>
      <x:c r="D2043" s="28"/>
      <x:c r="E2043" s="28"/>
      <x:c r="F2043" s="28"/>
      <x:c r="G2043" s="28"/>
      <x:c r="H2043" s="28"/>
      <x:c r="I2043" s="28"/>
      <x:c r="J2043" s="28"/>
      <x:c r="K2043" s="28"/>
      <x:c r="L2043" s="28"/>
      <x:c r="M2043" s="28"/>
      <x:c r="N2043" s="28"/>
      <x:c r="O2043" s="28"/>
      <x:c r="P2043" s="28"/>
      <x:c r="Q2043" s="28"/>
      <x:c r="R2043" s="28"/>
      <x:c r="S2043" s="28"/>
      <x:c r="T2043" s="28"/>
      <x:c r="U2043" s="28"/>
      <x:c r="V2043" s="28"/>
      <x:c r="W2043" s="43" t="n">
        <x:f>--AND(N2043=1,OR(O2043="SUPPORTED",O2043="HALLUCINATION"))</x:f>
        <x:v>0</x:v>
      </x:c>
      <x:c r="X2043" s="43" t="n">
        <x:f>--AND(W2043=1,O2043="HALLUCINATION")</x:f>
        <x:v>0</x:v>
      </x:c>
      <x:c r="Y2043" s="43" t="n">
        <x:f>--AND(Q2043=1,O2043="HALLUCINATION")</x:f>
        <x:v>0</x:v>
      </x:c>
      <x:c r="Z2043" s="43" t="n">
        <x:f>--AND(Y2043=1,R2043=1,S2043=1)</x:f>
        <x:v>0</x:v>
      </x:c>
      <x:c r="AC2043" t="str">
        <x:f>IF(OR(AA2043="",AB2043=""),"",--(AA2043&lt;&gt;AB2043))</x:f>
      </x:c>
      <x:c r="AE2043" t="str">
        <x:f>IF(OR(AA2043="",AB2043=""),"PENDING_HUMAN",IF(AA2043=AB2043,AA2043,IF(AD2043&lt;&gt;"",AD2043,"PENDING_HUMAN")))</x:f>
        <x:v>PENDING_HUMAN</x:v>
      </x:c>
      <x:c r="AF2043" t="n">
        <x:f>--AND(A2043&lt;&gt;"",AA2043&lt;&gt;"",AB2043&lt;&gt;"",OR(AA2043=AB2043,AD2043&lt;&gt;""),IF(AE2043="HALLUCINATION",U2043&lt;&gt;"",TRUE))</x:f>
        <x:v>0</x:v>
      </x:c>
      <x:c r="AG2043" t="n">
        <x:f>--AND(N2043=1,AF2043=1,OR(AE2043="SUPPORTED",AE2043="HALLUCINATION"))</x:f>
        <x:v>0</x:v>
      </x:c>
      <x:c r="AH2043" t="n">
        <x:f>--AND(AG2043=1,AE2043="HALLUCINATION")</x:f>
        <x:v>0</x:v>
      </x:c>
      <x:c r="AI2043" t="n">
        <x:f>--AND(Q2043=1,AF2043=1,AE2043="HALLUCINATION")</x:f>
        <x:v>0</x:v>
      </x:c>
      <x:c r="AJ2043" t="n">
        <x:f>--AND(AI2043=1,R2043=1,S2043=1)</x:f>
        <x:v>0</x:v>
      </x:c>
    </x:row>
    <x:row r="2044">
      <x:c r="A2044" s="28"/>
      <x:c r="B2044" s="28"/>
      <x:c r="C2044" s="28"/>
      <x:c r="D2044" s="28"/>
      <x:c r="E2044" s="28"/>
      <x:c r="F2044" s="28"/>
      <x:c r="G2044" s="28"/>
      <x:c r="H2044" s="28"/>
      <x:c r="I2044" s="28"/>
      <x:c r="J2044" s="28"/>
      <x:c r="K2044" s="28"/>
      <x:c r="L2044" s="28"/>
      <x:c r="M2044" s="28"/>
      <x:c r="N2044" s="28"/>
      <x:c r="O2044" s="28"/>
      <x:c r="P2044" s="28"/>
      <x:c r="Q2044" s="28"/>
      <x:c r="R2044" s="28"/>
      <x:c r="S2044" s="28"/>
      <x:c r="T2044" s="28"/>
      <x:c r="U2044" s="28"/>
      <x:c r="V2044" s="28"/>
      <x:c r="W2044" s="43" t="n">
        <x:f>--AND(N2044=1,OR(O2044="SUPPORTED",O2044="HALLUCINATION"))</x:f>
        <x:v>0</x:v>
      </x:c>
      <x:c r="X2044" s="43" t="n">
        <x:f>--AND(W2044=1,O2044="HALLUCINATION")</x:f>
        <x:v>0</x:v>
      </x:c>
      <x:c r="Y2044" s="43" t="n">
        <x:f>--AND(Q2044=1,O2044="HALLUCINATION")</x:f>
        <x:v>0</x:v>
      </x:c>
      <x:c r="Z2044" s="43" t="n">
        <x:f>--AND(Y2044=1,R2044=1,S2044=1)</x:f>
        <x:v>0</x:v>
      </x:c>
      <x:c r="AC2044" t="str">
        <x:f>IF(OR(AA2044="",AB2044=""),"",--(AA2044&lt;&gt;AB2044))</x:f>
      </x:c>
      <x:c r="AE2044" t="str">
        <x:f>IF(OR(AA2044="",AB2044=""),"PENDING_HUMAN",IF(AA2044=AB2044,AA2044,IF(AD2044&lt;&gt;"",AD2044,"PENDING_HUMAN")))</x:f>
        <x:v>PENDING_HUMAN</x:v>
      </x:c>
      <x:c r="AF2044" t="n">
        <x:f>--AND(A2044&lt;&gt;"",AA2044&lt;&gt;"",AB2044&lt;&gt;"",OR(AA2044=AB2044,AD2044&lt;&gt;""),IF(AE2044="HALLUCINATION",U2044&lt;&gt;"",TRUE))</x:f>
        <x:v>0</x:v>
      </x:c>
      <x:c r="AG2044" t="n">
        <x:f>--AND(N2044=1,AF2044=1,OR(AE2044="SUPPORTED",AE2044="HALLUCINATION"))</x:f>
        <x:v>0</x:v>
      </x:c>
      <x:c r="AH2044" t="n">
        <x:f>--AND(AG2044=1,AE2044="HALLUCINATION")</x:f>
        <x:v>0</x:v>
      </x:c>
      <x:c r="AI2044" t="n">
        <x:f>--AND(Q2044=1,AF2044=1,AE2044="HALLUCINATION")</x:f>
        <x:v>0</x:v>
      </x:c>
      <x:c r="AJ2044" t="n">
        <x:f>--AND(AI2044=1,R2044=1,S2044=1)</x:f>
        <x:v>0</x:v>
      </x:c>
    </x:row>
    <x:row r="2045">
      <x:c r="A2045" s="28"/>
      <x:c r="B2045" s="28"/>
      <x:c r="C2045" s="28"/>
      <x:c r="D2045" s="28"/>
      <x:c r="E2045" s="28"/>
      <x:c r="F2045" s="28"/>
      <x:c r="G2045" s="28"/>
      <x:c r="H2045" s="28"/>
      <x:c r="I2045" s="28"/>
      <x:c r="J2045" s="28"/>
      <x:c r="K2045" s="28"/>
      <x:c r="L2045" s="28"/>
      <x:c r="M2045" s="28"/>
      <x:c r="N2045" s="28"/>
      <x:c r="O2045" s="28"/>
      <x:c r="P2045" s="28"/>
      <x:c r="Q2045" s="28"/>
      <x:c r="R2045" s="28"/>
      <x:c r="S2045" s="28"/>
      <x:c r="T2045" s="28"/>
      <x:c r="U2045" s="28"/>
      <x:c r="V2045" s="28"/>
      <x:c r="W2045" s="43" t="n">
        <x:f>--AND(N2045=1,OR(O2045="SUPPORTED",O2045="HALLUCINATION"))</x:f>
        <x:v>0</x:v>
      </x:c>
      <x:c r="X2045" s="43" t="n">
        <x:f>--AND(W2045=1,O2045="HALLUCINATION")</x:f>
        <x:v>0</x:v>
      </x:c>
      <x:c r="Y2045" s="43" t="n">
        <x:f>--AND(Q2045=1,O2045="HALLUCINATION")</x:f>
        <x:v>0</x:v>
      </x:c>
      <x:c r="Z2045" s="43" t="n">
        <x:f>--AND(Y2045=1,R2045=1,S2045=1)</x:f>
        <x:v>0</x:v>
      </x:c>
      <x:c r="AC2045" t="str">
        <x:f>IF(OR(AA2045="",AB2045=""),"",--(AA2045&lt;&gt;AB2045))</x:f>
      </x:c>
      <x:c r="AE2045" t="str">
        <x:f>IF(OR(AA2045="",AB2045=""),"PENDING_HUMAN",IF(AA2045=AB2045,AA2045,IF(AD2045&lt;&gt;"",AD2045,"PENDING_HUMAN")))</x:f>
        <x:v>PENDING_HUMAN</x:v>
      </x:c>
      <x:c r="AF2045" t="n">
        <x:f>--AND(A2045&lt;&gt;"",AA2045&lt;&gt;"",AB2045&lt;&gt;"",OR(AA2045=AB2045,AD2045&lt;&gt;""),IF(AE2045="HALLUCINATION",U2045&lt;&gt;"",TRUE))</x:f>
        <x:v>0</x:v>
      </x:c>
      <x:c r="AG2045" t="n">
        <x:f>--AND(N2045=1,AF2045=1,OR(AE2045="SUPPORTED",AE2045="HALLUCINATION"))</x:f>
        <x:v>0</x:v>
      </x:c>
      <x:c r="AH2045" t="n">
        <x:f>--AND(AG2045=1,AE2045="HALLUCINATION")</x:f>
        <x:v>0</x:v>
      </x:c>
      <x:c r="AI2045" t="n">
        <x:f>--AND(Q2045=1,AF2045=1,AE2045="HALLUCINATION")</x:f>
        <x:v>0</x:v>
      </x:c>
      <x:c r="AJ2045" t="n">
        <x:f>--AND(AI2045=1,R2045=1,S2045=1)</x:f>
        <x:v>0</x:v>
      </x:c>
    </x:row>
    <x:row r="2046">
      <x:c r="A2046" s="28"/>
      <x:c r="B2046" s="28"/>
      <x:c r="C2046" s="28"/>
      <x:c r="D2046" s="28"/>
      <x:c r="E2046" s="28"/>
      <x:c r="F2046" s="28"/>
      <x:c r="G2046" s="28"/>
      <x:c r="H2046" s="28"/>
      <x:c r="I2046" s="28"/>
      <x:c r="J2046" s="28"/>
      <x:c r="K2046" s="28"/>
      <x:c r="L2046" s="28"/>
      <x:c r="M2046" s="28"/>
      <x:c r="N2046" s="28"/>
      <x:c r="O2046" s="28"/>
      <x:c r="P2046" s="28"/>
      <x:c r="Q2046" s="28"/>
      <x:c r="R2046" s="28"/>
      <x:c r="S2046" s="28"/>
      <x:c r="T2046" s="28"/>
      <x:c r="U2046" s="28"/>
      <x:c r="V2046" s="28"/>
      <x:c r="W2046" s="43" t="n">
        <x:f>--AND(N2046=1,OR(O2046="SUPPORTED",O2046="HALLUCINATION"))</x:f>
        <x:v>0</x:v>
      </x:c>
      <x:c r="X2046" s="43" t="n">
        <x:f>--AND(W2046=1,O2046="HALLUCINATION")</x:f>
        <x:v>0</x:v>
      </x:c>
      <x:c r="Y2046" s="43" t="n">
        <x:f>--AND(Q2046=1,O2046="HALLUCINATION")</x:f>
        <x:v>0</x:v>
      </x:c>
      <x:c r="Z2046" s="43" t="n">
        <x:f>--AND(Y2046=1,R2046=1,S2046=1)</x:f>
        <x:v>0</x:v>
      </x:c>
      <x:c r="AC2046" t="str">
        <x:f>IF(OR(AA2046="",AB2046=""),"",--(AA2046&lt;&gt;AB2046))</x:f>
      </x:c>
      <x:c r="AE2046" t="str">
        <x:f>IF(OR(AA2046="",AB2046=""),"PENDING_HUMAN",IF(AA2046=AB2046,AA2046,IF(AD2046&lt;&gt;"",AD2046,"PENDING_HUMAN")))</x:f>
        <x:v>PENDING_HUMAN</x:v>
      </x:c>
      <x:c r="AF2046" t="n">
        <x:f>--AND(A2046&lt;&gt;"",AA2046&lt;&gt;"",AB2046&lt;&gt;"",OR(AA2046=AB2046,AD2046&lt;&gt;""),IF(AE2046="HALLUCINATION",U2046&lt;&gt;"",TRUE))</x:f>
        <x:v>0</x:v>
      </x:c>
      <x:c r="AG2046" t="n">
        <x:f>--AND(N2046=1,AF2046=1,OR(AE2046="SUPPORTED",AE2046="HALLUCINATION"))</x:f>
        <x:v>0</x:v>
      </x:c>
      <x:c r="AH2046" t="n">
        <x:f>--AND(AG2046=1,AE2046="HALLUCINATION")</x:f>
        <x:v>0</x:v>
      </x:c>
      <x:c r="AI2046" t="n">
        <x:f>--AND(Q2046=1,AF2046=1,AE2046="HALLUCINATION")</x:f>
        <x:v>0</x:v>
      </x:c>
      <x:c r="AJ2046" t="n">
        <x:f>--AND(AI2046=1,R2046=1,S2046=1)</x:f>
        <x:v>0</x:v>
      </x:c>
    </x:row>
    <x:row r="2047">
      <x:c r="A2047" s="28"/>
      <x:c r="B2047" s="28"/>
      <x:c r="C2047" s="28"/>
      <x:c r="D2047" s="28"/>
      <x:c r="E2047" s="28"/>
      <x:c r="F2047" s="28"/>
      <x:c r="G2047" s="28"/>
      <x:c r="H2047" s="28"/>
      <x:c r="I2047" s="28"/>
      <x:c r="J2047" s="28"/>
      <x:c r="K2047" s="28"/>
      <x:c r="L2047" s="28"/>
      <x:c r="M2047" s="28"/>
      <x:c r="N2047" s="28"/>
      <x:c r="O2047" s="28"/>
      <x:c r="P2047" s="28"/>
      <x:c r="Q2047" s="28"/>
      <x:c r="R2047" s="28"/>
      <x:c r="S2047" s="28"/>
      <x:c r="T2047" s="28"/>
      <x:c r="U2047" s="28"/>
      <x:c r="V2047" s="28"/>
      <x:c r="W2047" s="43" t="n">
        <x:f>--AND(N2047=1,OR(O2047="SUPPORTED",O2047="HALLUCINATION"))</x:f>
        <x:v>0</x:v>
      </x:c>
      <x:c r="X2047" s="43" t="n">
        <x:f>--AND(W2047=1,O2047="HALLUCINATION")</x:f>
        <x:v>0</x:v>
      </x:c>
      <x:c r="Y2047" s="43" t="n">
        <x:f>--AND(Q2047=1,O2047="HALLUCINATION")</x:f>
        <x:v>0</x:v>
      </x:c>
      <x:c r="Z2047" s="43" t="n">
        <x:f>--AND(Y2047=1,R2047=1,S2047=1)</x:f>
        <x:v>0</x:v>
      </x:c>
      <x:c r="AC2047" t="str">
        <x:f>IF(OR(AA2047="",AB2047=""),"",--(AA2047&lt;&gt;AB2047))</x:f>
      </x:c>
      <x:c r="AE2047" t="str">
        <x:f>IF(OR(AA2047="",AB2047=""),"PENDING_HUMAN",IF(AA2047=AB2047,AA2047,IF(AD2047&lt;&gt;"",AD2047,"PENDING_HUMAN")))</x:f>
        <x:v>PENDING_HUMAN</x:v>
      </x:c>
      <x:c r="AF2047" t="n">
        <x:f>--AND(A2047&lt;&gt;"",AA2047&lt;&gt;"",AB2047&lt;&gt;"",OR(AA2047=AB2047,AD2047&lt;&gt;""),IF(AE2047="HALLUCINATION",U2047&lt;&gt;"",TRUE))</x:f>
        <x:v>0</x:v>
      </x:c>
      <x:c r="AG2047" t="n">
        <x:f>--AND(N2047=1,AF2047=1,OR(AE2047="SUPPORTED",AE2047="HALLUCINATION"))</x:f>
        <x:v>0</x:v>
      </x:c>
      <x:c r="AH2047" t="n">
        <x:f>--AND(AG2047=1,AE2047="HALLUCINATION")</x:f>
        <x:v>0</x:v>
      </x:c>
      <x:c r="AI2047" t="n">
        <x:f>--AND(Q2047=1,AF2047=1,AE2047="HALLUCINATION")</x:f>
        <x:v>0</x:v>
      </x:c>
      <x:c r="AJ2047" t="n">
        <x:f>--AND(AI2047=1,R2047=1,S2047=1)</x:f>
        <x:v>0</x:v>
      </x:c>
    </x:row>
    <x:row r="2048">
      <x:c r="A2048" s="28"/>
      <x:c r="B2048" s="28"/>
      <x:c r="C2048" s="28"/>
      <x:c r="D2048" s="28"/>
      <x:c r="E2048" s="28"/>
      <x:c r="F2048" s="28"/>
      <x:c r="G2048" s="28"/>
      <x:c r="H2048" s="28"/>
      <x:c r="I2048" s="28"/>
      <x:c r="J2048" s="28"/>
      <x:c r="K2048" s="28"/>
      <x:c r="L2048" s="28"/>
      <x:c r="M2048" s="28"/>
      <x:c r="N2048" s="28"/>
      <x:c r="O2048" s="28"/>
      <x:c r="P2048" s="28"/>
      <x:c r="Q2048" s="28"/>
      <x:c r="R2048" s="28"/>
      <x:c r="S2048" s="28"/>
      <x:c r="T2048" s="28"/>
      <x:c r="U2048" s="28"/>
      <x:c r="V2048" s="28"/>
      <x:c r="W2048" s="43" t="n">
        <x:f>--AND(N2048=1,OR(O2048="SUPPORTED",O2048="HALLUCINATION"))</x:f>
        <x:v>0</x:v>
      </x:c>
      <x:c r="X2048" s="43" t="n">
        <x:f>--AND(W2048=1,O2048="HALLUCINATION")</x:f>
        <x:v>0</x:v>
      </x:c>
      <x:c r="Y2048" s="43" t="n">
        <x:f>--AND(Q2048=1,O2048="HALLUCINATION")</x:f>
        <x:v>0</x:v>
      </x:c>
      <x:c r="Z2048" s="43" t="n">
        <x:f>--AND(Y2048=1,R2048=1,S2048=1)</x:f>
        <x:v>0</x:v>
      </x:c>
      <x:c r="AC2048" t="str">
        <x:f>IF(OR(AA2048="",AB2048=""),"",--(AA2048&lt;&gt;AB2048))</x:f>
      </x:c>
      <x:c r="AE2048" t="str">
        <x:f>IF(OR(AA2048="",AB2048=""),"PENDING_HUMAN",IF(AA2048=AB2048,AA2048,IF(AD2048&lt;&gt;"",AD2048,"PENDING_HUMAN")))</x:f>
        <x:v>PENDING_HUMAN</x:v>
      </x:c>
      <x:c r="AF2048" t="n">
        <x:f>--AND(A2048&lt;&gt;"",AA2048&lt;&gt;"",AB2048&lt;&gt;"",OR(AA2048=AB2048,AD2048&lt;&gt;""),IF(AE2048="HALLUCINATION",U2048&lt;&gt;"",TRUE))</x:f>
        <x:v>0</x:v>
      </x:c>
      <x:c r="AG2048" t="n">
        <x:f>--AND(N2048=1,AF2048=1,OR(AE2048="SUPPORTED",AE2048="HALLUCINATION"))</x:f>
        <x:v>0</x:v>
      </x:c>
      <x:c r="AH2048" t="n">
        <x:f>--AND(AG2048=1,AE2048="HALLUCINATION")</x:f>
        <x:v>0</x:v>
      </x:c>
      <x:c r="AI2048" t="n">
        <x:f>--AND(Q2048=1,AF2048=1,AE2048="HALLUCINATION")</x:f>
        <x:v>0</x:v>
      </x:c>
      <x:c r="AJ2048" t="n">
        <x:f>--AND(AI2048=1,R2048=1,S2048=1)</x:f>
        <x:v>0</x:v>
      </x:c>
    </x:row>
    <x:row r="2049">
      <x:c r="A2049" s="28"/>
      <x:c r="B2049" s="28"/>
      <x:c r="C2049" s="28"/>
      <x:c r="D2049" s="28"/>
      <x:c r="E2049" s="28"/>
      <x:c r="F2049" s="28"/>
      <x:c r="G2049" s="28"/>
      <x:c r="H2049" s="28"/>
      <x:c r="I2049" s="28"/>
      <x:c r="J2049" s="28"/>
      <x:c r="K2049" s="28"/>
      <x:c r="L2049" s="28"/>
      <x:c r="M2049" s="28"/>
      <x:c r="N2049" s="28"/>
      <x:c r="O2049" s="28"/>
      <x:c r="P2049" s="28"/>
      <x:c r="Q2049" s="28"/>
      <x:c r="R2049" s="28"/>
      <x:c r="S2049" s="28"/>
      <x:c r="T2049" s="28"/>
      <x:c r="U2049" s="28"/>
      <x:c r="V2049" s="28"/>
      <x:c r="W2049" s="43" t="n">
        <x:f>--AND(N2049=1,OR(O2049="SUPPORTED",O2049="HALLUCINATION"))</x:f>
        <x:v>0</x:v>
      </x:c>
      <x:c r="X2049" s="43" t="n">
        <x:f>--AND(W2049=1,O2049="HALLUCINATION")</x:f>
        <x:v>0</x:v>
      </x:c>
      <x:c r="Y2049" s="43" t="n">
        <x:f>--AND(Q2049=1,O2049="HALLUCINATION")</x:f>
        <x:v>0</x:v>
      </x:c>
      <x:c r="Z2049" s="43" t="n">
        <x:f>--AND(Y2049=1,R2049=1,S2049=1)</x:f>
        <x:v>0</x:v>
      </x:c>
      <x:c r="AC2049" t="str">
        <x:f>IF(OR(AA2049="",AB2049=""),"",--(AA2049&lt;&gt;AB2049))</x:f>
      </x:c>
      <x:c r="AE2049" t="str">
        <x:f>IF(OR(AA2049="",AB2049=""),"PENDING_HUMAN",IF(AA2049=AB2049,AA2049,IF(AD2049&lt;&gt;"",AD2049,"PENDING_HUMAN")))</x:f>
        <x:v>PENDING_HUMAN</x:v>
      </x:c>
      <x:c r="AF2049" t="n">
        <x:f>--AND(A2049&lt;&gt;"",AA2049&lt;&gt;"",AB2049&lt;&gt;"",OR(AA2049=AB2049,AD2049&lt;&gt;""),IF(AE2049="HALLUCINATION",U2049&lt;&gt;"",TRUE))</x:f>
        <x:v>0</x:v>
      </x:c>
      <x:c r="AG2049" t="n">
        <x:f>--AND(N2049=1,AF2049=1,OR(AE2049="SUPPORTED",AE2049="HALLUCINATION"))</x:f>
        <x:v>0</x:v>
      </x:c>
      <x:c r="AH2049" t="n">
        <x:f>--AND(AG2049=1,AE2049="HALLUCINATION")</x:f>
        <x:v>0</x:v>
      </x:c>
      <x:c r="AI2049" t="n">
        <x:f>--AND(Q2049=1,AF2049=1,AE2049="HALLUCINATION")</x:f>
        <x:v>0</x:v>
      </x:c>
      <x:c r="AJ2049" t="n">
        <x:f>--AND(AI2049=1,R2049=1,S2049=1)</x:f>
        <x:v>0</x:v>
      </x:c>
    </x:row>
    <x:row r="2050">
      <x:c r="A2050" s="28"/>
      <x:c r="B2050" s="28"/>
      <x:c r="C2050" s="28"/>
      <x:c r="D2050" s="28"/>
      <x:c r="E2050" s="28"/>
      <x:c r="F2050" s="28"/>
      <x:c r="G2050" s="28"/>
      <x:c r="H2050" s="28"/>
      <x:c r="I2050" s="28"/>
      <x:c r="J2050" s="28"/>
      <x:c r="K2050" s="28"/>
      <x:c r="L2050" s="28"/>
      <x:c r="M2050" s="28"/>
      <x:c r="N2050" s="28"/>
      <x:c r="O2050" s="28"/>
      <x:c r="P2050" s="28"/>
      <x:c r="Q2050" s="28"/>
      <x:c r="R2050" s="28"/>
      <x:c r="S2050" s="28"/>
      <x:c r="T2050" s="28"/>
      <x:c r="U2050" s="28"/>
      <x:c r="V2050" s="28"/>
      <x:c r="W2050" s="43" t="n">
        <x:f>--AND(N2050=1,OR(O2050="SUPPORTED",O2050="HALLUCINATION"))</x:f>
        <x:v>0</x:v>
      </x:c>
      <x:c r="X2050" s="43" t="n">
        <x:f>--AND(W2050=1,O2050="HALLUCINATION")</x:f>
        <x:v>0</x:v>
      </x:c>
      <x:c r="Y2050" s="43" t="n">
        <x:f>--AND(Q2050=1,O2050="HALLUCINATION")</x:f>
        <x:v>0</x:v>
      </x:c>
      <x:c r="Z2050" s="43" t="n">
        <x:f>--AND(Y2050=1,R2050=1,S2050=1)</x:f>
        <x:v>0</x:v>
      </x:c>
      <x:c r="AC2050" t="str">
        <x:f>IF(OR(AA2050="",AB2050=""),"",--(AA2050&lt;&gt;AB2050))</x:f>
      </x:c>
      <x:c r="AE2050" t="str">
        <x:f>IF(OR(AA2050="",AB2050=""),"PENDING_HUMAN",IF(AA2050=AB2050,AA2050,IF(AD2050&lt;&gt;"",AD2050,"PENDING_HUMAN")))</x:f>
        <x:v>PENDING_HUMAN</x:v>
      </x:c>
      <x:c r="AF2050" t="n">
        <x:f>--AND(A2050&lt;&gt;"",AA2050&lt;&gt;"",AB2050&lt;&gt;"",OR(AA2050=AB2050,AD2050&lt;&gt;""),IF(AE2050="HALLUCINATION",U2050&lt;&gt;"",TRUE))</x:f>
        <x:v>0</x:v>
      </x:c>
      <x:c r="AG2050" t="n">
        <x:f>--AND(N2050=1,AF2050=1,OR(AE2050="SUPPORTED",AE2050="HALLUCINATION"))</x:f>
        <x:v>0</x:v>
      </x:c>
      <x:c r="AH2050" t="n">
        <x:f>--AND(AG2050=1,AE2050="HALLUCINATION")</x:f>
        <x:v>0</x:v>
      </x:c>
      <x:c r="AI2050" t="n">
        <x:f>--AND(Q2050=1,AF2050=1,AE2050="HALLUCINATION")</x:f>
        <x:v>0</x:v>
      </x:c>
      <x:c r="AJ2050" t="n">
        <x:f>--AND(AI2050=1,R2050=1,S2050=1)</x:f>
        <x:v>0</x:v>
      </x:c>
    </x:row>
    <x:row r="2051">
      <x:c r="A2051" s="28"/>
      <x:c r="B2051" s="28"/>
      <x:c r="C2051" s="28"/>
      <x:c r="D2051" s="28"/>
      <x:c r="E2051" s="28"/>
      <x:c r="F2051" s="28"/>
      <x:c r="G2051" s="28"/>
      <x:c r="H2051" s="28"/>
      <x:c r="I2051" s="28"/>
      <x:c r="J2051" s="28"/>
      <x:c r="K2051" s="28"/>
      <x:c r="L2051" s="28"/>
      <x:c r="M2051" s="28"/>
      <x:c r="N2051" s="28"/>
      <x:c r="O2051" s="28"/>
      <x:c r="P2051" s="28"/>
      <x:c r="Q2051" s="28"/>
      <x:c r="R2051" s="28"/>
      <x:c r="S2051" s="28"/>
      <x:c r="T2051" s="28"/>
      <x:c r="U2051" s="28"/>
      <x:c r="V2051" s="28"/>
      <x:c r="W2051" s="43" t="n">
        <x:f>--AND(N2051=1,OR(O2051="SUPPORTED",O2051="HALLUCINATION"))</x:f>
        <x:v>0</x:v>
      </x:c>
      <x:c r="X2051" s="43" t="n">
        <x:f>--AND(W2051=1,O2051="HALLUCINATION")</x:f>
        <x:v>0</x:v>
      </x:c>
      <x:c r="Y2051" s="43" t="n">
        <x:f>--AND(Q2051=1,O2051="HALLUCINATION")</x:f>
        <x:v>0</x:v>
      </x:c>
      <x:c r="Z2051" s="43" t="n">
        <x:f>--AND(Y2051=1,R2051=1,S2051=1)</x:f>
        <x:v>0</x:v>
      </x:c>
      <x:c r="AC2051" t="str">
        <x:f>IF(OR(AA2051="",AB2051=""),"",--(AA2051&lt;&gt;AB2051))</x:f>
      </x:c>
      <x:c r="AE2051" t="str">
        <x:f>IF(OR(AA2051="",AB2051=""),"PENDING_HUMAN",IF(AA2051=AB2051,AA2051,IF(AD2051&lt;&gt;"",AD2051,"PENDING_HUMAN")))</x:f>
        <x:v>PENDING_HUMAN</x:v>
      </x:c>
      <x:c r="AF2051" t="n">
        <x:f>--AND(A2051&lt;&gt;"",AA2051&lt;&gt;"",AB2051&lt;&gt;"",OR(AA2051=AB2051,AD2051&lt;&gt;""),IF(AE2051="HALLUCINATION",U2051&lt;&gt;"",TRUE))</x:f>
        <x:v>0</x:v>
      </x:c>
      <x:c r="AG2051" t="n">
        <x:f>--AND(N2051=1,AF2051=1,OR(AE2051="SUPPORTED",AE2051="HALLUCINATION"))</x:f>
        <x:v>0</x:v>
      </x:c>
      <x:c r="AH2051" t="n">
        <x:f>--AND(AG2051=1,AE2051="HALLUCINATION")</x:f>
        <x:v>0</x:v>
      </x:c>
      <x:c r="AI2051" t="n">
        <x:f>--AND(Q2051=1,AF2051=1,AE2051="HALLUCINATION")</x:f>
        <x:v>0</x:v>
      </x:c>
      <x:c r="AJ2051" t="n">
        <x:f>--AND(AI2051=1,R2051=1,S2051=1)</x:f>
        <x:v>0</x:v>
      </x:c>
    </x:row>
    <x:row r="2052">
      <x:c r="A2052" s="28"/>
      <x:c r="B2052" s="28"/>
      <x:c r="C2052" s="28"/>
      <x:c r="D2052" s="28"/>
      <x:c r="E2052" s="28"/>
      <x:c r="F2052" s="28"/>
      <x:c r="G2052" s="28"/>
      <x:c r="H2052" s="28"/>
      <x:c r="I2052" s="28"/>
      <x:c r="J2052" s="28"/>
      <x:c r="K2052" s="28"/>
      <x:c r="L2052" s="28"/>
      <x:c r="M2052" s="28"/>
      <x:c r="N2052" s="28"/>
      <x:c r="O2052" s="28"/>
      <x:c r="P2052" s="28"/>
      <x:c r="Q2052" s="28"/>
      <x:c r="R2052" s="28"/>
      <x:c r="S2052" s="28"/>
      <x:c r="T2052" s="28"/>
      <x:c r="U2052" s="28"/>
      <x:c r="V2052" s="28"/>
      <x:c r="W2052" s="43" t="n">
        <x:f>--AND(N2052=1,OR(O2052="SUPPORTED",O2052="HALLUCINATION"))</x:f>
        <x:v>0</x:v>
      </x:c>
      <x:c r="X2052" s="43" t="n">
        <x:f>--AND(W2052=1,O2052="HALLUCINATION")</x:f>
        <x:v>0</x:v>
      </x:c>
      <x:c r="Y2052" s="43" t="n">
        <x:f>--AND(Q2052=1,O2052="HALLUCINATION")</x:f>
        <x:v>0</x:v>
      </x:c>
      <x:c r="Z2052" s="43" t="n">
        <x:f>--AND(Y2052=1,R2052=1,S2052=1)</x:f>
        <x:v>0</x:v>
      </x:c>
      <x:c r="AC2052" t="str">
        <x:f>IF(OR(AA2052="",AB2052=""),"",--(AA2052&lt;&gt;AB2052))</x:f>
      </x:c>
      <x:c r="AE2052" t="str">
        <x:f>IF(OR(AA2052="",AB2052=""),"PENDING_HUMAN",IF(AA2052=AB2052,AA2052,IF(AD2052&lt;&gt;"",AD2052,"PENDING_HUMAN")))</x:f>
        <x:v>PENDING_HUMAN</x:v>
      </x:c>
      <x:c r="AF2052" t="n">
        <x:f>--AND(A2052&lt;&gt;"",AA2052&lt;&gt;"",AB2052&lt;&gt;"",OR(AA2052=AB2052,AD2052&lt;&gt;""),IF(AE2052="HALLUCINATION",U2052&lt;&gt;"",TRUE))</x:f>
        <x:v>0</x:v>
      </x:c>
      <x:c r="AG2052" t="n">
        <x:f>--AND(N2052=1,AF2052=1,OR(AE2052="SUPPORTED",AE2052="HALLUCINATION"))</x:f>
        <x:v>0</x:v>
      </x:c>
      <x:c r="AH2052" t="n">
        <x:f>--AND(AG2052=1,AE2052="HALLUCINATION")</x:f>
        <x:v>0</x:v>
      </x:c>
      <x:c r="AI2052" t="n">
        <x:f>--AND(Q2052=1,AF2052=1,AE2052="HALLUCINATION")</x:f>
        <x:v>0</x:v>
      </x:c>
      <x:c r="AJ2052" t="n">
        <x:f>--AND(AI2052=1,R2052=1,S2052=1)</x:f>
        <x:v>0</x:v>
      </x:c>
    </x:row>
    <x:row r="2053">
      <x:c r="A2053" s="28"/>
      <x:c r="B2053" s="28"/>
      <x:c r="C2053" s="28"/>
      <x:c r="D2053" s="28"/>
      <x:c r="E2053" s="28"/>
      <x:c r="F2053" s="28"/>
      <x:c r="G2053" s="28"/>
      <x:c r="H2053" s="28"/>
      <x:c r="I2053" s="28"/>
      <x:c r="J2053" s="28"/>
      <x:c r="K2053" s="28"/>
      <x:c r="L2053" s="28"/>
      <x:c r="M2053" s="28"/>
      <x:c r="N2053" s="28"/>
      <x:c r="O2053" s="28"/>
      <x:c r="P2053" s="28"/>
      <x:c r="Q2053" s="28"/>
      <x:c r="R2053" s="28"/>
      <x:c r="S2053" s="28"/>
      <x:c r="T2053" s="28"/>
      <x:c r="U2053" s="28"/>
      <x:c r="V2053" s="28"/>
      <x:c r="W2053" s="43" t="n">
        <x:f>--AND(N2053=1,OR(O2053="SUPPORTED",O2053="HALLUCINATION"))</x:f>
        <x:v>0</x:v>
      </x:c>
      <x:c r="X2053" s="43" t="n">
        <x:f>--AND(W2053=1,O2053="HALLUCINATION")</x:f>
        <x:v>0</x:v>
      </x:c>
      <x:c r="Y2053" s="43" t="n">
        <x:f>--AND(Q2053=1,O2053="HALLUCINATION")</x:f>
        <x:v>0</x:v>
      </x:c>
      <x:c r="Z2053" s="43" t="n">
        <x:f>--AND(Y2053=1,R2053=1,S2053=1)</x:f>
        <x:v>0</x:v>
      </x:c>
      <x:c r="AC2053" t="str">
        <x:f>IF(OR(AA2053="",AB2053=""),"",--(AA2053&lt;&gt;AB2053))</x:f>
      </x:c>
      <x:c r="AE2053" t="str">
        <x:f>IF(OR(AA2053="",AB2053=""),"PENDING_HUMAN",IF(AA2053=AB2053,AA2053,IF(AD2053&lt;&gt;"",AD2053,"PENDING_HUMAN")))</x:f>
        <x:v>PENDING_HUMAN</x:v>
      </x:c>
      <x:c r="AF2053" t="n">
        <x:f>--AND(A2053&lt;&gt;"",AA2053&lt;&gt;"",AB2053&lt;&gt;"",OR(AA2053=AB2053,AD2053&lt;&gt;""),IF(AE2053="HALLUCINATION",U2053&lt;&gt;"",TRUE))</x:f>
        <x:v>0</x:v>
      </x:c>
      <x:c r="AG2053" t="n">
        <x:f>--AND(N2053=1,AF2053=1,OR(AE2053="SUPPORTED",AE2053="HALLUCINATION"))</x:f>
        <x:v>0</x:v>
      </x:c>
      <x:c r="AH2053" t="n">
        <x:f>--AND(AG2053=1,AE2053="HALLUCINATION")</x:f>
        <x:v>0</x:v>
      </x:c>
      <x:c r="AI2053" t="n">
        <x:f>--AND(Q2053=1,AF2053=1,AE2053="HALLUCINATION")</x:f>
        <x:v>0</x:v>
      </x:c>
      <x:c r="AJ2053" t="n">
        <x:f>--AND(AI2053=1,R2053=1,S2053=1)</x:f>
        <x:v>0</x:v>
      </x:c>
    </x:row>
    <x:row r="2054">
      <x:c r="A2054" s="28"/>
      <x:c r="B2054" s="28"/>
      <x:c r="C2054" s="28"/>
      <x:c r="D2054" s="28"/>
      <x:c r="E2054" s="28"/>
      <x:c r="F2054" s="28"/>
      <x:c r="G2054" s="28"/>
      <x:c r="H2054" s="28"/>
      <x:c r="I2054" s="28"/>
      <x:c r="J2054" s="28"/>
      <x:c r="K2054" s="28"/>
      <x:c r="L2054" s="28"/>
      <x:c r="M2054" s="28"/>
      <x:c r="N2054" s="28"/>
      <x:c r="O2054" s="28"/>
      <x:c r="P2054" s="28"/>
      <x:c r="Q2054" s="28"/>
      <x:c r="R2054" s="28"/>
      <x:c r="S2054" s="28"/>
      <x:c r="T2054" s="28"/>
      <x:c r="U2054" s="28"/>
      <x:c r="V2054" s="28"/>
      <x:c r="W2054" s="43" t="n">
        <x:f>--AND(N2054=1,OR(O2054="SUPPORTED",O2054="HALLUCINATION"))</x:f>
        <x:v>0</x:v>
      </x:c>
      <x:c r="X2054" s="43" t="n">
        <x:f>--AND(W2054=1,O2054="HALLUCINATION")</x:f>
        <x:v>0</x:v>
      </x:c>
      <x:c r="Y2054" s="43" t="n">
        <x:f>--AND(Q2054=1,O2054="HALLUCINATION")</x:f>
        <x:v>0</x:v>
      </x:c>
      <x:c r="Z2054" s="43" t="n">
        <x:f>--AND(Y2054=1,R2054=1,S2054=1)</x:f>
        <x:v>0</x:v>
      </x:c>
      <x:c r="AC2054" t="str">
        <x:f>IF(OR(AA2054="",AB2054=""),"",--(AA2054&lt;&gt;AB2054))</x:f>
      </x:c>
      <x:c r="AE2054" t="str">
        <x:f>IF(OR(AA2054="",AB2054=""),"PENDING_HUMAN",IF(AA2054=AB2054,AA2054,IF(AD2054&lt;&gt;"",AD2054,"PENDING_HUMAN")))</x:f>
        <x:v>PENDING_HUMAN</x:v>
      </x:c>
      <x:c r="AF2054" t="n">
        <x:f>--AND(A2054&lt;&gt;"",AA2054&lt;&gt;"",AB2054&lt;&gt;"",OR(AA2054=AB2054,AD2054&lt;&gt;""),IF(AE2054="HALLUCINATION",U2054&lt;&gt;"",TRUE))</x:f>
        <x:v>0</x:v>
      </x:c>
      <x:c r="AG2054" t="n">
        <x:f>--AND(N2054=1,AF2054=1,OR(AE2054="SUPPORTED",AE2054="HALLUCINATION"))</x:f>
        <x:v>0</x:v>
      </x:c>
      <x:c r="AH2054" t="n">
        <x:f>--AND(AG2054=1,AE2054="HALLUCINATION")</x:f>
        <x:v>0</x:v>
      </x:c>
      <x:c r="AI2054" t="n">
        <x:f>--AND(Q2054=1,AF2054=1,AE2054="HALLUCINATION")</x:f>
        <x:v>0</x:v>
      </x:c>
      <x:c r="AJ2054" t="n">
        <x:f>--AND(AI2054=1,R2054=1,S2054=1)</x:f>
        <x:v>0</x:v>
      </x:c>
    </x:row>
    <x:row r="2055">
      <x:c r="A2055" s="28"/>
      <x:c r="B2055" s="28"/>
      <x:c r="C2055" s="28"/>
      <x:c r="D2055" s="28"/>
      <x:c r="E2055" s="28"/>
      <x:c r="F2055" s="28"/>
      <x:c r="G2055" s="28"/>
      <x:c r="H2055" s="28"/>
      <x:c r="I2055" s="28"/>
      <x:c r="J2055" s="28"/>
      <x:c r="K2055" s="28"/>
      <x:c r="L2055" s="28"/>
      <x:c r="M2055" s="28"/>
      <x:c r="N2055" s="28"/>
      <x:c r="O2055" s="28"/>
      <x:c r="P2055" s="28"/>
      <x:c r="Q2055" s="28"/>
      <x:c r="R2055" s="28"/>
      <x:c r="S2055" s="28"/>
      <x:c r="T2055" s="28"/>
      <x:c r="U2055" s="28"/>
      <x:c r="V2055" s="28"/>
      <x:c r="W2055" s="43" t="n">
        <x:f>--AND(N2055=1,OR(O2055="SUPPORTED",O2055="HALLUCINATION"))</x:f>
        <x:v>0</x:v>
      </x:c>
      <x:c r="X2055" s="43" t="n">
        <x:f>--AND(W2055=1,O2055="HALLUCINATION")</x:f>
        <x:v>0</x:v>
      </x:c>
      <x:c r="Y2055" s="43" t="n">
        <x:f>--AND(Q2055=1,O2055="HALLUCINATION")</x:f>
        <x:v>0</x:v>
      </x:c>
      <x:c r="Z2055" s="43" t="n">
        <x:f>--AND(Y2055=1,R2055=1,S2055=1)</x:f>
        <x:v>0</x:v>
      </x:c>
      <x:c r="AC2055" t="str">
        <x:f>IF(OR(AA2055="",AB2055=""),"",--(AA2055&lt;&gt;AB2055))</x:f>
      </x:c>
      <x:c r="AE2055" t="str">
        <x:f>IF(OR(AA2055="",AB2055=""),"PENDING_HUMAN",IF(AA2055=AB2055,AA2055,IF(AD2055&lt;&gt;"",AD2055,"PENDING_HUMAN")))</x:f>
        <x:v>PENDING_HUMAN</x:v>
      </x:c>
      <x:c r="AF2055" t="n">
        <x:f>--AND(A2055&lt;&gt;"",AA2055&lt;&gt;"",AB2055&lt;&gt;"",OR(AA2055=AB2055,AD2055&lt;&gt;""),IF(AE2055="HALLUCINATION",U2055&lt;&gt;"",TRUE))</x:f>
        <x:v>0</x:v>
      </x:c>
      <x:c r="AG2055" t="n">
        <x:f>--AND(N2055=1,AF2055=1,OR(AE2055="SUPPORTED",AE2055="HALLUCINATION"))</x:f>
        <x:v>0</x:v>
      </x:c>
      <x:c r="AH2055" t="n">
        <x:f>--AND(AG2055=1,AE2055="HALLUCINATION")</x:f>
        <x:v>0</x:v>
      </x:c>
      <x:c r="AI2055" t="n">
        <x:f>--AND(Q2055=1,AF2055=1,AE2055="HALLUCINATION")</x:f>
        <x:v>0</x:v>
      </x:c>
      <x:c r="AJ2055" t="n">
        <x:f>--AND(AI2055=1,R2055=1,S2055=1)</x:f>
        <x:v>0</x:v>
      </x:c>
    </x:row>
    <x:row r="2056">
      <x:c r="A2056" s="28"/>
      <x:c r="B2056" s="28"/>
      <x:c r="C2056" s="28"/>
      <x:c r="D2056" s="28"/>
      <x:c r="E2056" s="28"/>
      <x:c r="F2056" s="28"/>
      <x:c r="G2056" s="28"/>
      <x:c r="H2056" s="28"/>
      <x:c r="I2056" s="28"/>
      <x:c r="J2056" s="28"/>
      <x:c r="K2056" s="28"/>
      <x:c r="L2056" s="28"/>
      <x:c r="M2056" s="28"/>
      <x:c r="N2056" s="28"/>
      <x:c r="O2056" s="28"/>
      <x:c r="P2056" s="28"/>
      <x:c r="Q2056" s="28"/>
      <x:c r="R2056" s="28"/>
      <x:c r="S2056" s="28"/>
      <x:c r="T2056" s="28"/>
      <x:c r="U2056" s="28"/>
      <x:c r="V2056" s="28"/>
      <x:c r="W2056" s="43" t="n">
        <x:f>--AND(N2056=1,OR(O2056="SUPPORTED",O2056="HALLUCINATION"))</x:f>
        <x:v>0</x:v>
      </x:c>
      <x:c r="X2056" s="43" t="n">
        <x:f>--AND(W2056=1,O2056="HALLUCINATION")</x:f>
        <x:v>0</x:v>
      </x:c>
      <x:c r="Y2056" s="43" t="n">
        <x:f>--AND(Q2056=1,O2056="HALLUCINATION")</x:f>
        <x:v>0</x:v>
      </x:c>
      <x:c r="Z2056" s="43" t="n">
        <x:f>--AND(Y2056=1,R2056=1,S2056=1)</x:f>
        <x:v>0</x:v>
      </x:c>
      <x:c r="AC2056" t="str">
        <x:f>IF(OR(AA2056="",AB2056=""),"",--(AA2056&lt;&gt;AB2056))</x:f>
      </x:c>
      <x:c r="AE2056" t="str">
        <x:f>IF(OR(AA2056="",AB2056=""),"PENDING_HUMAN",IF(AA2056=AB2056,AA2056,IF(AD2056&lt;&gt;"",AD2056,"PENDING_HUMAN")))</x:f>
        <x:v>PENDING_HUMAN</x:v>
      </x:c>
      <x:c r="AF2056" t="n">
        <x:f>--AND(A2056&lt;&gt;"",AA2056&lt;&gt;"",AB2056&lt;&gt;"",OR(AA2056=AB2056,AD2056&lt;&gt;""),IF(AE2056="HALLUCINATION",U2056&lt;&gt;"",TRUE))</x:f>
        <x:v>0</x:v>
      </x:c>
      <x:c r="AG2056" t="n">
        <x:f>--AND(N2056=1,AF2056=1,OR(AE2056="SUPPORTED",AE2056="HALLUCINATION"))</x:f>
        <x:v>0</x:v>
      </x:c>
      <x:c r="AH2056" t="n">
        <x:f>--AND(AG2056=1,AE2056="HALLUCINATION")</x:f>
        <x:v>0</x:v>
      </x:c>
      <x:c r="AI2056" t="n">
        <x:f>--AND(Q2056=1,AF2056=1,AE2056="HALLUCINATION")</x:f>
        <x:v>0</x:v>
      </x:c>
      <x:c r="AJ2056" t="n">
        <x:f>--AND(AI2056=1,R2056=1,S2056=1)</x:f>
        <x:v>0</x:v>
      </x:c>
    </x:row>
    <x:row r="2057">
      <x:c r="A2057" s="28"/>
      <x:c r="B2057" s="28"/>
      <x:c r="C2057" s="28"/>
      <x:c r="D2057" s="28"/>
      <x:c r="E2057" s="28"/>
      <x:c r="F2057" s="28"/>
      <x:c r="G2057" s="28"/>
      <x:c r="H2057" s="28"/>
      <x:c r="I2057" s="28"/>
      <x:c r="J2057" s="28"/>
      <x:c r="K2057" s="28"/>
      <x:c r="L2057" s="28"/>
      <x:c r="M2057" s="28"/>
      <x:c r="N2057" s="28"/>
      <x:c r="O2057" s="28"/>
      <x:c r="P2057" s="28"/>
      <x:c r="Q2057" s="28"/>
      <x:c r="R2057" s="28"/>
      <x:c r="S2057" s="28"/>
      <x:c r="T2057" s="28"/>
      <x:c r="U2057" s="28"/>
      <x:c r="V2057" s="28"/>
      <x:c r="W2057" s="43" t="n">
        <x:f>--AND(N2057=1,OR(O2057="SUPPORTED",O2057="HALLUCINATION"))</x:f>
        <x:v>0</x:v>
      </x:c>
      <x:c r="X2057" s="43" t="n">
        <x:f>--AND(W2057=1,O2057="HALLUCINATION")</x:f>
        <x:v>0</x:v>
      </x:c>
      <x:c r="Y2057" s="43" t="n">
        <x:f>--AND(Q2057=1,O2057="HALLUCINATION")</x:f>
        <x:v>0</x:v>
      </x:c>
      <x:c r="Z2057" s="43" t="n">
        <x:f>--AND(Y2057=1,R2057=1,S2057=1)</x:f>
        <x:v>0</x:v>
      </x:c>
      <x:c r="AC2057" t="str">
        <x:f>IF(OR(AA2057="",AB2057=""),"",--(AA2057&lt;&gt;AB2057))</x:f>
      </x:c>
      <x:c r="AE2057" t="str">
        <x:f>IF(OR(AA2057="",AB2057=""),"PENDING_HUMAN",IF(AA2057=AB2057,AA2057,IF(AD2057&lt;&gt;"",AD2057,"PENDING_HUMAN")))</x:f>
        <x:v>PENDING_HUMAN</x:v>
      </x:c>
      <x:c r="AF2057" t="n">
        <x:f>--AND(A2057&lt;&gt;"",AA2057&lt;&gt;"",AB2057&lt;&gt;"",OR(AA2057=AB2057,AD2057&lt;&gt;""),IF(AE2057="HALLUCINATION",U2057&lt;&gt;"",TRUE))</x:f>
        <x:v>0</x:v>
      </x:c>
      <x:c r="AG2057" t="n">
        <x:f>--AND(N2057=1,AF2057=1,OR(AE2057="SUPPORTED",AE2057="HALLUCINATION"))</x:f>
        <x:v>0</x:v>
      </x:c>
      <x:c r="AH2057" t="n">
        <x:f>--AND(AG2057=1,AE2057="HALLUCINATION")</x:f>
        <x:v>0</x:v>
      </x:c>
      <x:c r="AI2057" t="n">
        <x:f>--AND(Q2057=1,AF2057=1,AE2057="HALLUCINATION")</x:f>
        <x:v>0</x:v>
      </x:c>
      <x:c r="AJ2057" t="n">
        <x:f>--AND(AI2057=1,R2057=1,S2057=1)</x:f>
        <x:v>0</x:v>
      </x:c>
    </x:row>
    <x:row r="2058">
      <x:c r="A2058" s="28"/>
      <x:c r="B2058" s="28"/>
      <x:c r="C2058" s="28"/>
      <x:c r="D2058" s="28"/>
      <x:c r="E2058" s="28"/>
      <x:c r="F2058" s="28"/>
      <x:c r="G2058" s="28"/>
      <x:c r="H2058" s="28"/>
      <x:c r="I2058" s="28"/>
      <x:c r="J2058" s="28"/>
      <x:c r="K2058" s="28"/>
      <x:c r="L2058" s="28"/>
      <x:c r="M2058" s="28"/>
      <x:c r="N2058" s="28"/>
      <x:c r="O2058" s="28"/>
      <x:c r="P2058" s="28"/>
      <x:c r="Q2058" s="28"/>
      <x:c r="R2058" s="28"/>
      <x:c r="S2058" s="28"/>
      <x:c r="T2058" s="28"/>
      <x:c r="U2058" s="28"/>
      <x:c r="V2058" s="28"/>
      <x:c r="W2058" s="43" t="n">
        <x:f>--AND(N2058=1,OR(O2058="SUPPORTED",O2058="HALLUCINATION"))</x:f>
        <x:v>0</x:v>
      </x:c>
      <x:c r="X2058" s="43" t="n">
        <x:f>--AND(W2058=1,O2058="HALLUCINATION")</x:f>
        <x:v>0</x:v>
      </x:c>
      <x:c r="Y2058" s="43" t="n">
        <x:f>--AND(Q2058=1,O2058="HALLUCINATION")</x:f>
        <x:v>0</x:v>
      </x:c>
      <x:c r="Z2058" s="43" t="n">
        <x:f>--AND(Y2058=1,R2058=1,S2058=1)</x:f>
        <x:v>0</x:v>
      </x:c>
      <x:c r="AC2058" t="str">
        <x:f>IF(OR(AA2058="",AB2058=""),"",--(AA2058&lt;&gt;AB2058))</x:f>
      </x:c>
      <x:c r="AE2058" t="str">
        <x:f>IF(OR(AA2058="",AB2058=""),"PENDING_HUMAN",IF(AA2058=AB2058,AA2058,IF(AD2058&lt;&gt;"",AD2058,"PENDING_HUMAN")))</x:f>
        <x:v>PENDING_HUMAN</x:v>
      </x:c>
      <x:c r="AF2058" t="n">
        <x:f>--AND(A2058&lt;&gt;"",AA2058&lt;&gt;"",AB2058&lt;&gt;"",OR(AA2058=AB2058,AD2058&lt;&gt;""),IF(AE2058="HALLUCINATION",U2058&lt;&gt;"",TRUE))</x:f>
        <x:v>0</x:v>
      </x:c>
      <x:c r="AG2058" t="n">
        <x:f>--AND(N2058=1,AF2058=1,OR(AE2058="SUPPORTED",AE2058="HALLUCINATION"))</x:f>
        <x:v>0</x:v>
      </x:c>
      <x:c r="AH2058" t="n">
        <x:f>--AND(AG2058=1,AE2058="HALLUCINATION")</x:f>
        <x:v>0</x:v>
      </x:c>
      <x:c r="AI2058" t="n">
        <x:f>--AND(Q2058=1,AF2058=1,AE2058="HALLUCINATION")</x:f>
        <x:v>0</x:v>
      </x:c>
      <x:c r="AJ2058" t="n">
        <x:f>--AND(AI2058=1,R2058=1,S2058=1)</x:f>
        <x:v>0</x:v>
      </x:c>
    </x:row>
    <x:row r="2059">
      <x:c r="A2059" s="28"/>
      <x:c r="B2059" s="28"/>
      <x:c r="C2059" s="28"/>
      <x:c r="D2059" s="28"/>
      <x:c r="E2059" s="28"/>
      <x:c r="F2059" s="28"/>
      <x:c r="G2059" s="28"/>
      <x:c r="H2059" s="28"/>
      <x:c r="I2059" s="28"/>
      <x:c r="J2059" s="28"/>
      <x:c r="K2059" s="28"/>
      <x:c r="L2059" s="28"/>
      <x:c r="M2059" s="28"/>
      <x:c r="N2059" s="28"/>
      <x:c r="O2059" s="28"/>
      <x:c r="P2059" s="28"/>
      <x:c r="Q2059" s="28"/>
      <x:c r="R2059" s="28"/>
      <x:c r="S2059" s="28"/>
      <x:c r="T2059" s="28"/>
      <x:c r="U2059" s="28"/>
      <x:c r="V2059" s="28"/>
      <x:c r="W2059" s="43" t="n">
        <x:f>--AND(N2059=1,OR(O2059="SUPPORTED",O2059="HALLUCINATION"))</x:f>
        <x:v>0</x:v>
      </x:c>
      <x:c r="X2059" s="43" t="n">
        <x:f>--AND(W2059=1,O2059="HALLUCINATION")</x:f>
        <x:v>0</x:v>
      </x:c>
      <x:c r="Y2059" s="43" t="n">
        <x:f>--AND(Q2059=1,O2059="HALLUCINATION")</x:f>
        <x:v>0</x:v>
      </x:c>
      <x:c r="Z2059" s="43" t="n">
        <x:f>--AND(Y2059=1,R2059=1,S2059=1)</x:f>
        <x:v>0</x:v>
      </x:c>
      <x:c r="AC2059" t="str">
        <x:f>IF(OR(AA2059="",AB2059=""),"",--(AA2059&lt;&gt;AB2059))</x:f>
      </x:c>
      <x:c r="AE2059" t="str">
        <x:f>IF(OR(AA2059="",AB2059=""),"PENDING_HUMAN",IF(AA2059=AB2059,AA2059,IF(AD2059&lt;&gt;"",AD2059,"PENDING_HUMAN")))</x:f>
        <x:v>PENDING_HUMAN</x:v>
      </x:c>
      <x:c r="AF2059" t="n">
        <x:f>--AND(A2059&lt;&gt;"",AA2059&lt;&gt;"",AB2059&lt;&gt;"",OR(AA2059=AB2059,AD2059&lt;&gt;""),IF(AE2059="HALLUCINATION",U2059&lt;&gt;"",TRUE))</x:f>
        <x:v>0</x:v>
      </x:c>
      <x:c r="AG2059" t="n">
        <x:f>--AND(N2059=1,AF2059=1,OR(AE2059="SUPPORTED",AE2059="HALLUCINATION"))</x:f>
        <x:v>0</x:v>
      </x:c>
      <x:c r="AH2059" t="n">
        <x:f>--AND(AG2059=1,AE2059="HALLUCINATION")</x:f>
        <x:v>0</x:v>
      </x:c>
      <x:c r="AI2059" t="n">
        <x:f>--AND(Q2059=1,AF2059=1,AE2059="HALLUCINATION")</x:f>
        <x:v>0</x:v>
      </x:c>
      <x:c r="AJ2059" t="n">
        <x:f>--AND(AI2059=1,R2059=1,S2059=1)</x:f>
        <x:v>0</x:v>
      </x:c>
    </x:row>
    <x:row r="2060">
      <x:c r="A2060" s="28"/>
      <x:c r="B2060" s="28"/>
      <x:c r="C2060" s="28"/>
      <x:c r="D2060" s="28"/>
      <x:c r="E2060" s="28"/>
      <x:c r="F2060" s="28"/>
      <x:c r="G2060" s="28"/>
      <x:c r="H2060" s="28"/>
      <x:c r="I2060" s="28"/>
      <x:c r="J2060" s="28"/>
      <x:c r="K2060" s="28"/>
      <x:c r="L2060" s="28"/>
      <x:c r="M2060" s="28"/>
      <x:c r="N2060" s="28"/>
      <x:c r="O2060" s="28"/>
      <x:c r="P2060" s="28"/>
      <x:c r="Q2060" s="28"/>
      <x:c r="R2060" s="28"/>
      <x:c r="S2060" s="28"/>
      <x:c r="T2060" s="28"/>
      <x:c r="U2060" s="28"/>
      <x:c r="V2060" s="28"/>
      <x:c r="W2060" s="43" t="n">
        <x:f>--AND(N2060=1,OR(O2060="SUPPORTED",O2060="HALLUCINATION"))</x:f>
        <x:v>0</x:v>
      </x:c>
      <x:c r="X2060" s="43" t="n">
        <x:f>--AND(W2060=1,O2060="HALLUCINATION")</x:f>
        <x:v>0</x:v>
      </x:c>
      <x:c r="Y2060" s="43" t="n">
        <x:f>--AND(Q2060=1,O2060="HALLUCINATION")</x:f>
        <x:v>0</x:v>
      </x:c>
      <x:c r="Z2060" s="43" t="n">
        <x:f>--AND(Y2060=1,R2060=1,S2060=1)</x:f>
        <x:v>0</x:v>
      </x:c>
      <x:c r="AC2060" t="str">
        <x:f>IF(OR(AA2060="",AB2060=""),"",--(AA2060&lt;&gt;AB2060))</x:f>
      </x:c>
      <x:c r="AE2060" t="str">
        <x:f>IF(OR(AA2060="",AB2060=""),"PENDING_HUMAN",IF(AA2060=AB2060,AA2060,IF(AD2060&lt;&gt;"",AD2060,"PENDING_HUMAN")))</x:f>
        <x:v>PENDING_HUMAN</x:v>
      </x:c>
      <x:c r="AF2060" t="n">
        <x:f>--AND(A2060&lt;&gt;"",AA2060&lt;&gt;"",AB2060&lt;&gt;"",OR(AA2060=AB2060,AD2060&lt;&gt;""),IF(AE2060="HALLUCINATION",U2060&lt;&gt;"",TRUE))</x:f>
        <x:v>0</x:v>
      </x:c>
      <x:c r="AG2060" t="n">
        <x:f>--AND(N2060=1,AF2060=1,OR(AE2060="SUPPORTED",AE2060="HALLUCINATION"))</x:f>
        <x:v>0</x:v>
      </x:c>
      <x:c r="AH2060" t="n">
        <x:f>--AND(AG2060=1,AE2060="HALLUCINATION")</x:f>
        <x:v>0</x:v>
      </x:c>
      <x:c r="AI2060" t="n">
        <x:f>--AND(Q2060=1,AF2060=1,AE2060="HALLUCINATION")</x:f>
        <x:v>0</x:v>
      </x:c>
      <x:c r="AJ2060" t="n">
        <x:f>--AND(AI2060=1,R2060=1,S2060=1)</x:f>
        <x:v>0</x:v>
      </x:c>
    </x:row>
    <x:row r="2061">
      <x:c r="A2061" s="28"/>
      <x:c r="B2061" s="28"/>
      <x:c r="C2061" s="28"/>
      <x:c r="D2061" s="28"/>
      <x:c r="E2061" s="28"/>
      <x:c r="F2061" s="28"/>
      <x:c r="G2061" s="28"/>
      <x:c r="H2061" s="28"/>
      <x:c r="I2061" s="28"/>
      <x:c r="J2061" s="28"/>
      <x:c r="K2061" s="28"/>
      <x:c r="L2061" s="28"/>
      <x:c r="M2061" s="28"/>
      <x:c r="N2061" s="28"/>
      <x:c r="O2061" s="28"/>
      <x:c r="P2061" s="28"/>
      <x:c r="Q2061" s="28"/>
      <x:c r="R2061" s="28"/>
      <x:c r="S2061" s="28"/>
      <x:c r="T2061" s="28"/>
      <x:c r="U2061" s="28"/>
      <x:c r="V2061" s="28"/>
      <x:c r="W2061" s="43" t="n">
        <x:f>--AND(N2061=1,OR(O2061="SUPPORTED",O2061="HALLUCINATION"))</x:f>
        <x:v>0</x:v>
      </x:c>
      <x:c r="X2061" s="43" t="n">
        <x:f>--AND(W2061=1,O2061="HALLUCINATION")</x:f>
        <x:v>0</x:v>
      </x:c>
      <x:c r="Y2061" s="43" t="n">
        <x:f>--AND(Q2061=1,O2061="HALLUCINATION")</x:f>
        <x:v>0</x:v>
      </x:c>
      <x:c r="Z2061" s="43" t="n">
        <x:f>--AND(Y2061=1,R2061=1,S2061=1)</x:f>
        <x:v>0</x:v>
      </x:c>
      <x:c r="AC2061" t="str">
        <x:f>IF(OR(AA2061="",AB2061=""),"",--(AA2061&lt;&gt;AB2061))</x:f>
      </x:c>
      <x:c r="AE2061" t="str">
        <x:f>IF(OR(AA2061="",AB2061=""),"PENDING_HUMAN",IF(AA2061=AB2061,AA2061,IF(AD2061&lt;&gt;"",AD2061,"PENDING_HUMAN")))</x:f>
        <x:v>PENDING_HUMAN</x:v>
      </x:c>
      <x:c r="AF2061" t="n">
        <x:f>--AND(A2061&lt;&gt;"",AA2061&lt;&gt;"",AB2061&lt;&gt;"",OR(AA2061=AB2061,AD2061&lt;&gt;""),IF(AE2061="HALLUCINATION",U2061&lt;&gt;"",TRUE))</x:f>
        <x:v>0</x:v>
      </x:c>
      <x:c r="AG2061" t="n">
        <x:f>--AND(N2061=1,AF2061=1,OR(AE2061="SUPPORTED",AE2061="HALLUCINATION"))</x:f>
        <x:v>0</x:v>
      </x:c>
      <x:c r="AH2061" t="n">
        <x:f>--AND(AG2061=1,AE2061="HALLUCINATION")</x:f>
        <x:v>0</x:v>
      </x:c>
      <x:c r="AI2061" t="n">
        <x:f>--AND(Q2061=1,AF2061=1,AE2061="HALLUCINATION")</x:f>
        <x:v>0</x:v>
      </x:c>
      <x:c r="AJ2061" t="n">
        <x:f>--AND(AI2061=1,R2061=1,S2061=1)</x:f>
        <x:v>0</x:v>
      </x:c>
    </x:row>
    <x:row r="2062">
      <x:c r="A2062" s="28"/>
      <x:c r="B2062" s="28"/>
      <x:c r="C2062" s="28"/>
      <x:c r="D2062" s="28"/>
      <x:c r="E2062" s="28"/>
      <x:c r="F2062" s="28"/>
      <x:c r="G2062" s="28"/>
      <x:c r="H2062" s="28"/>
      <x:c r="I2062" s="28"/>
      <x:c r="J2062" s="28"/>
      <x:c r="K2062" s="28"/>
      <x:c r="L2062" s="28"/>
      <x:c r="M2062" s="28"/>
      <x:c r="N2062" s="28"/>
      <x:c r="O2062" s="28"/>
      <x:c r="P2062" s="28"/>
      <x:c r="Q2062" s="28"/>
      <x:c r="R2062" s="28"/>
      <x:c r="S2062" s="28"/>
      <x:c r="T2062" s="28"/>
      <x:c r="U2062" s="28"/>
      <x:c r="V2062" s="28"/>
      <x:c r="W2062" s="43" t="n">
        <x:f>--AND(N2062=1,OR(O2062="SUPPORTED",O2062="HALLUCINATION"))</x:f>
        <x:v>0</x:v>
      </x:c>
      <x:c r="X2062" s="43" t="n">
        <x:f>--AND(W2062=1,O2062="HALLUCINATION")</x:f>
        <x:v>0</x:v>
      </x:c>
      <x:c r="Y2062" s="43" t="n">
        <x:f>--AND(Q2062=1,O2062="HALLUCINATION")</x:f>
        <x:v>0</x:v>
      </x:c>
      <x:c r="Z2062" s="43" t="n">
        <x:f>--AND(Y2062=1,R2062=1,S2062=1)</x:f>
        <x:v>0</x:v>
      </x:c>
      <x:c r="AC2062" t="str">
        <x:f>IF(OR(AA2062="",AB2062=""),"",--(AA2062&lt;&gt;AB2062))</x:f>
      </x:c>
      <x:c r="AE2062" t="str">
        <x:f>IF(OR(AA2062="",AB2062=""),"PENDING_HUMAN",IF(AA2062=AB2062,AA2062,IF(AD2062&lt;&gt;"",AD2062,"PENDING_HUMAN")))</x:f>
        <x:v>PENDING_HUMAN</x:v>
      </x:c>
      <x:c r="AF2062" t="n">
        <x:f>--AND(A2062&lt;&gt;"",AA2062&lt;&gt;"",AB2062&lt;&gt;"",OR(AA2062=AB2062,AD2062&lt;&gt;""),IF(AE2062="HALLUCINATION",U2062&lt;&gt;"",TRUE))</x:f>
        <x:v>0</x:v>
      </x:c>
      <x:c r="AG2062" t="n">
        <x:f>--AND(N2062=1,AF2062=1,OR(AE2062="SUPPORTED",AE2062="HALLUCINATION"))</x:f>
        <x:v>0</x:v>
      </x:c>
      <x:c r="AH2062" t="n">
        <x:f>--AND(AG2062=1,AE2062="HALLUCINATION")</x:f>
        <x:v>0</x:v>
      </x:c>
      <x:c r="AI2062" t="n">
        <x:f>--AND(Q2062=1,AF2062=1,AE2062="HALLUCINATION")</x:f>
        <x:v>0</x:v>
      </x:c>
      <x:c r="AJ2062" t="n">
        <x:f>--AND(AI2062=1,R2062=1,S2062=1)</x:f>
        <x:v>0</x:v>
      </x:c>
    </x:row>
    <x:row r="2063">
      <x:c r="A2063" s="28"/>
      <x:c r="B2063" s="28"/>
      <x:c r="C2063" s="28"/>
      <x:c r="D2063" s="28"/>
      <x:c r="E2063" s="28"/>
      <x:c r="F2063" s="28"/>
      <x:c r="G2063" s="28"/>
      <x:c r="H2063" s="28"/>
      <x:c r="I2063" s="28"/>
      <x:c r="J2063" s="28"/>
      <x:c r="K2063" s="28"/>
      <x:c r="L2063" s="28"/>
      <x:c r="M2063" s="28"/>
      <x:c r="N2063" s="28"/>
      <x:c r="O2063" s="28"/>
      <x:c r="P2063" s="28"/>
      <x:c r="Q2063" s="28"/>
      <x:c r="R2063" s="28"/>
      <x:c r="S2063" s="28"/>
      <x:c r="T2063" s="28"/>
      <x:c r="U2063" s="28"/>
      <x:c r="V2063" s="28"/>
      <x:c r="W2063" s="43" t="n">
        <x:f>--AND(N2063=1,OR(O2063="SUPPORTED",O2063="HALLUCINATION"))</x:f>
        <x:v>0</x:v>
      </x:c>
      <x:c r="X2063" s="43" t="n">
        <x:f>--AND(W2063=1,O2063="HALLUCINATION")</x:f>
        <x:v>0</x:v>
      </x:c>
      <x:c r="Y2063" s="43" t="n">
        <x:f>--AND(Q2063=1,O2063="HALLUCINATION")</x:f>
        <x:v>0</x:v>
      </x:c>
      <x:c r="Z2063" s="43" t="n">
        <x:f>--AND(Y2063=1,R2063=1,S2063=1)</x:f>
        <x:v>0</x:v>
      </x:c>
      <x:c r="AC2063" t="str">
        <x:f>IF(OR(AA2063="",AB2063=""),"",--(AA2063&lt;&gt;AB2063))</x:f>
      </x:c>
      <x:c r="AE2063" t="str">
        <x:f>IF(OR(AA2063="",AB2063=""),"PENDING_HUMAN",IF(AA2063=AB2063,AA2063,IF(AD2063&lt;&gt;"",AD2063,"PENDING_HUMAN")))</x:f>
        <x:v>PENDING_HUMAN</x:v>
      </x:c>
      <x:c r="AF2063" t="n">
        <x:f>--AND(A2063&lt;&gt;"",AA2063&lt;&gt;"",AB2063&lt;&gt;"",OR(AA2063=AB2063,AD2063&lt;&gt;""),IF(AE2063="HALLUCINATION",U2063&lt;&gt;"",TRUE))</x:f>
        <x:v>0</x:v>
      </x:c>
      <x:c r="AG2063" t="n">
        <x:f>--AND(N2063=1,AF2063=1,OR(AE2063="SUPPORTED",AE2063="HALLUCINATION"))</x:f>
        <x:v>0</x:v>
      </x:c>
      <x:c r="AH2063" t="n">
        <x:f>--AND(AG2063=1,AE2063="HALLUCINATION")</x:f>
        <x:v>0</x:v>
      </x:c>
      <x:c r="AI2063" t="n">
        <x:f>--AND(Q2063=1,AF2063=1,AE2063="HALLUCINATION")</x:f>
        <x:v>0</x:v>
      </x:c>
      <x:c r="AJ2063" t="n">
        <x:f>--AND(AI2063=1,R2063=1,S2063=1)</x:f>
        <x:v>0</x:v>
      </x:c>
    </x:row>
    <x:row r="2064">
      <x:c r="A2064" s="28"/>
      <x:c r="B2064" s="28"/>
      <x:c r="C2064" s="28"/>
      <x:c r="D2064" s="28"/>
      <x:c r="E2064" s="28"/>
      <x:c r="F2064" s="28"/>
      <x:c r="G2064" s="28"/>
      <x:c r="H2064" s="28"/>
      <x:c r="I2064" s="28"/>
      <x:c r="J2064" s="28"/>
      <x:c r="K2064" s="28"/>
      <x:c r="L2064" s="28"/>
      <x:c r="M2064" s="28"/>
      <x:c r="N2064" s="28"/>
      <x:c r="O2064" s="28"/>
      <x:c r="P2064" s="28"/>
      <x:c r="Q2064" s="28"/>
      <x:c r="R2064" s="28"/>
      <x:c r="S2064" s="28"/>
      <x:c r="T2064" s="28"/>
      <x:c r="U2064" s="28"/>
      <x:c r="V2064" s="28"/>
      <x:c r="W2064" s="43" t="n">
        <x:f>--AND(N2064=1,OR(O2064="SUPPORTED",O2064="HALLUCINATION"))</x:f>
        <x:v>0</x:v>
      </x:c>
      <x:c r="X2064" s="43" t="n">
        <x:f>--AND(W2064=1,O2064="HALLUCINATION")</x:f>
        <x:v>0</x:v>
      </x:c>
      <x:c r="Y2064" s="43" t="n">
        <x:f>--AND(Q2064=1,O2064="HALLUCINATION")</x:f>
        <x:v>0</x:v>
      </x:c>
      <x:c r="Z2064" s="43" t="n">
        <x:f>--AND(Y2064=1,R2064=1,S2064=1)</x:f>
        <x:v>0</x:v>
      </x:c>
      <x:c r="AC2064" t="str">
        <x:f>IF(OR(AA2064="",AB2064=""),"",--(AA2064&lt;&gt;AB2064))</x:f>
      </x:c>
      <x:c r="AE2064" t="str">
        <x:f>IF(OR(AA2064="",AB2064=""),"PENDING_HUMAN",IF(AA2064=AB2064,AA2064,IF(AD2064&lt;&gt;"",AD2064,"PENDING_HUMAN")))</x:f>
        <x:v>PENDING_HUMAN</x:v>
      </x:c>
      <x:c r="AF2064" t="n">
        <x:f>--AND(A2064&lt;&gt;"",AA2064&lt;&gt;"",AB2064&lt;&gt;"",OR(AA2064=AB2064,AD2064&lt;&gt;""),IF(AE2064="HALLUCINATION",U2064&lt;&gt;"",TRUE))</x:f>
        <x:v>0</x:v>
      </x:c>
      <x:c r="AG2064" t="n">
        <x:f>--AND(N2064=1,AF2064=1,OR(AE2064="SUPPORTED",AE2064="HALLUCINATION"))</x:f>
        <x:v>0</x:v>
      </x:c>
      <x:c r="AH2064" t="n">
        <x:f>--AND(AG2064=1,AE2064="HALLUCINATION")</x:f>
        <x:v>0</x:v>
      </x:c>
      <x:c r="AI2064" t="n">
        <x:f>--AND(Q2064=1,AF2064=1,AE2064="HALLUCINATION")</x:f>
        <x:v>0</x:v>
      </x:c>
      <x:c r="AJ2064" t="n">
        <x:f>--AND(AI2064=1,R2064=1,S2064=1)</x:f>
        <x:v>0</x:v>
      </x:c>
    </x:row>
    <x:row r="2065">
      <x:c r="A2065" s="28"/>
      <x:c r="B2065" s="28"/>
      <x:c r="C2065" s="28"/>
      <x:c r="D2065" s="28"/>
      <x:c r="E2065" s="28"/>
      <x:c r="F2065" s="28"/>
      <x:c r="G2065" s="28"/>
      <x:c r="H2065" s="28"/>
      <x:c r="I2065" s="28"/>
      <x:c r="J2065" s="28"/>
      <x:c r="K2065" s="28"/>
      <x:c r="L2065" s="28"/>
      <x:c r="M2065" s="28"/>
      <x:c r="N2065" s="28"/>
      <x:c r="O2065" s="28"/>
      <x:c r="P2065" s="28"/>
      <x:c r="Q2065" s="28"/>
      <x:c r="R2065" s="28"/>
      <x:c r="S2065" s="28"/>
      <x:c r="T2065" s="28"/>
      <x:c r="U2065" s="28"/>
      <x:c r="V2065" s="28"/>
      <x:c r="W2065" s="43" t="n">
        <x:f>--AND(N2065=1,OR(O2065="SUPPORTED",O2065="HALLUCINATION"))</x:f>
        <x:v>0</x:v>
      </x:c>
      <x:c r="X2065" s="43" t="n">
        <x:f>--AND(W2065=1,O2065="HALLUCINATION")</x:f>
        <x:v>0</x:v>
      </x:c>
      <x:c r="Y2065" s="43" t="n">
        <x:f>--AND(Q2065=1,O2065="HALLUCINATION")</x:f>
        <x:v>0</x:v>
      </x:c>
      <x:c r="Z2065" s="43" t="n">
        <x:f>--AND(Y2065=1,R2065=1,S2065=1)</x:f>
        <x:v>0</x:v>
      </x:c>
      <x:c r="AC2065" t="str">
        <x:f>IF(OR(AA2065="",AB2065=""),"",--(AA2065&lt;&gt;AB2065))</x:f>
      </x:c>
      <x:c r="AE2065" t="str">
        <x:f>IF(OR(AA2065="",AB2065=""),"PENDING_HUMAN",IF(AA2065=AB2065,AA2065,IF(AD2065&lt;&gt;"",AD2065,"PENDING_HUMAN")))</x:f>
        <x:v>PENDING_HUMAN</x:v>
      </x:c>
      <x:c r="AF2065" t="n">
        <x:f>--AND(A2065&lt;&gt;"",AA2065&lt;&gt;"",AB2065&lt;&gt;"",OR(AA2065=AB2065,AD2065&lt;&gt;""),IF(AE2065="HALLUCINATION",U2065&lt;&gt;"",TRUE))</x:f>
        <x:v>0</x:v>
      </x:c>
      <x:c r="AG2065" t="n">
        <x:f>--AND(N2065=1,AF2065=1,OR(AE2065="SUPPORTED",AE2065="HALLUCINATION"))</x:f>
        <x:v>0</x:v>
      </x:c>
      <x:c r="AH2065" t="n">
        <x:f>--AND(AG2065=1,AE2065="HALLUCINATION")</x:f>
        <x:v>0</x:v>
      </x:c>
      <x:c r="AI2065" t="n">
        <x:f>--AND(Q2065=1,AF2065=1,AE2065="HALLUCINATION")</x:f>
        <x:v>0</x:v>
      </x:c>
      <x:c r="AJ2065" t="n">
        <x:f>--AND(AI2065=1,R2065=1,S2065=1)</x:f>
        <x:v>0</x:v>
      </x:c>
    </x:row>
    <x:row r="2066">
      <x:c r="A2066" s="28"/>
      <x:c r="B2066" s="28"/>
      <x:c r="C2066" s="28"/>
      <x:c r="D2066" s="28"/>
      <x:c r="E2066" s="28"/>
      <x:c r="F2066" s="28"/>
      <x:c r="G2066" s="28"/>
      <x:c r="H2066" s="28"/>
      <x:c r="I2066" s="28"/>
      <x:c r="J2066" s="28"/>
      <x:c r="K2066" s="28"/>
      <x:c r="L2066" s="28"/>
      <x:c r="M2066" s="28"/>
      <x:c r="N2066" s="28"/>
      <x:c r="O2066" s="28"/>
      <x:c r="P2066" s="28"/>
      <x:c r="Q2066" s="28"/>
      <x:c r="R2066" s="28"/>
      <x:c r="S2066" s="28"/>
      <x:c r="T2066" s="28"/>
      <x:c r="U2066" s="28"/>
      <x:c r="V2066" s="28"/>
      <x:c r="W2066" s="43" t="n">
        <x:f>--AND(N2066=1,OR(O2066="SUPPORTED",O2066="HALLUCINATION"))</x:f>
        <x:v>0</x:v>
      </x:c>
      <x:c r="X2066" s="43" t="n">
        <x:f>--AND(W2066=1,O2066="HALLUCINATION")</x:f>
        <x:v>0</x:v>
      </x:c>
      <x:c r="Y2066" s="43" t="n">
        <x:f>--AND(Q2066=1,O2066="HALLUCINATION")</x:f>
        <x:v>0</x:v>
      </x:c>
      <x:c r="Z2066" s="43" t="n">
        <x:f>--AND(Y2066=1,R2066=1,S2066=1)</x:f>
        <x:v>0</x:v>
      </x:c>
      <x:c r="AC2066" t="str">
        <x:f>IF(OR(AA2066="",AB2066=""),"",--(AA2066&lt;&gt;AB2066))</x:f>
      </x:c>
      <x:c r="AE2066" t="str">
        <x:f>IF(OR(AA2066="",AB2066=""),"PENDING_HUMAN",IF(AA2066=AB2066,AA2066,IF(AD2066&lt;&gt;"",AD2066,"PENDING_HUMAN")))</x:f>
        <x:v>PENDING_HUMAN</x:v>
      </x:c>
      <x:c r="AF2066" t="n">
        <x:f>--AND(A2066&lt;&gt;"",AA2066&lt;&gt;"",AB2066&lt;&gt;"",OR(AA2066=AB2066,AD2066&lt;&gt;""),IF(AE2066="HALLUCINATION",U2066&lt;&gt;"",TRUE))</x:f>
        <x:v>0</x:v>
      </x:c>
      <x:c r="AG2066" t="n">
        <x:f>--AND(N2066=1,AF2066=1,OR(AE2066="SUPPORTED",AE2066="HALLUCINATION"))</x:f>
        <x:v>0</x:v>
      </x:c>
      <x:c r="AH2066" t="n">
        <x:f>--AND(AG2066=1,AE2066="HALLUCINATION")</x:f>
        <x:v>0</x:v>
      </x:c>
      <x:c r="AI2066" t="n">
        <x:f>--AND(Q2066=1,AF2066=1,AE2066="HALLUCINATION")</x:f>
        <x:v>0</x:v>
      </x:c>
      <x:c r="AJ2066" t="n">
        <x:f>--AND(AI2066=1,R2066=1,S2066=1)</x:f>
        <x:v>0</x:v>
      </x:c>
    </x:row>
    <x:row r="2067">
      <x:c r="A2067" s="28"/>
      <x:c r="B2067" s="28"/>
      <x:c r="C2067" s="28"/>
      <x:c r="D2067" s="28"/>
      <x:c r="E2067" s="28"/>
      <x:c r="F2067" s="28"/>
      <x:c r="G2067" s="28"/>
      <x:c r="H2067" s="28"/>
      <x:c r="I2067" s="28"/>
      <x:c r="J2067" s="28"/>
      <x:c r="K2067" s="28"/>
      <x:c r="L2067" s="28"/>
      <x:c r="M2067" s="28"/>
      <x:c r="N2067" s="28"/>
      <x:c r="O2067" s="28"/>
      <x:c r="P2067" s="28"/>
      <x:c r="Q2067" s="28"/>
      <x:c r="R2067" s="28"/>
      <x:c r="S2067" s="28"/>
      <x:c r="T2067" s="28"/>
      <x:c r="U2067" s="28"/>
      <x:c r="V2067" s="28"/>
      <x:c r="W2067" s="43" t="n">
        <x:f>--AND(N2067=1,OR(O2067="SUPPORTED",O2067="HALLUCINATION"))</x:f>
        <x:v>0</x:v>
      </x:c>
      <x:c r="X2067" s="43" t="n">
        <x:f>--AND(W2067=1,O2067="HALLUCINATION")</x:f>
        <x:v>0</x:v>
      </x:c>
      <x:c r="Y2067" s="43" t="n">
        <x:f>--AND(Q2067=1,O2067="HALLUCINATION")</x:f>
        <x:v>0</x:v>
      </x:c>
      <x:c r="Z2067" s="43" t="n">
        <x:f>--AND(Y2067=1,R2067=1,S2067=1)</x:f>
        <x:v>0</x:v>
      </x:c>
      <x:c r="AC2067" t="str">
        <x:f>IF(OR(AA2067="",AB2067=""),"",--(AA2067&lt;&gt;AB2067))</x:f>
      </x:c>
      <x:c r="AE2067" t="str">
        <x:f>IF(OR(AA2067="",AB2067=""),"PENDING_HUMAN",IF(AA2067=AB2067,AA2067,IF(AD2067&lt;&gt;"",AD2067,"PENDING_HUMAN")))</x:f>
        <x:v>PENDING_HUMAN</x:v>
      </x:c>
      <x:c r="AF2067" t="n">
        <x:f>--AND(A2067&lt;&gt;"",AA2067&lt;&gt;"",AB2067&lt;&gt;"",OR(AA2067=AB2067,AD2067&lt;&gt;""),IF(AE2067="HALLUCINATION",U2067&lt;&gt;"",TRUE))</x:f>
        <x:v>0</x:v>
      </x:c>
      <x:c r="AG2067" t="n">
        <x:f>--AND(N2067=1,AF2067=1,OR(AE2067="SUPPORTED",AE2067="HALLUCINATION"))</x:f>
        <x:v>0</x:v>
      </x:c>
      <x:c r="AH2067" t="n">
        <x:f>--AND(AG2067=1,AE2067="HALLUCINATION")</x:f>
        <x:v>0</x:v>
      </x:c>
      <x:c r="AI2067" t="n">
        <x:f>--AND(Q2067=1,AF2067=1,AE2067="HALLUCINATION")</x:f>
        <x:v>0</x:v>
      </x:c>
      <x:c r="AJ2067" t="n">
        <x:f>--AND(AI2067=1,R2067=1,S2067=1)</x:f>
        <x:v>0</x:v>
      </x:c>
    </x:row>
    <x:row r="2068">
      <x:c r="A2068" s="28"/>
      <x:c r="B2068" s="28"/>
      <x:c r="C2068" s="28"/>
      <x:c r="D2068" s="28"/>
      <x:c r="E2068" s="28"/>
      <x:c r="F2068" s="28"/>
      <x:c r="G2068" s="28"/>
      <x:c r="H2068" s="28"/>
      <x:c r="I2068" s="28"/>
      <x:c r="J2068" s="28"/>
      <x:c r="K2068" s="28"/>
      <x:c r="L2068" s="28"/>
      <x:c r="M2068" s="28"/>
      <x:c r="N2068" s="28"/>
      <x:c r="O2068" s="28"/>
      <x:c r="P2068" s="28"/>
      <x:c r="Q2068" s="28"/>
      <x:c r="R2068" s="28"/>
      <x:c r="S2068" s="28"/>
      <x:c r="T2068" s="28"/>
      <x:c r="U2068" s="28"/>
      <x:c r="V2068" s="28"/>
      <x:c r="W2068" s="43" t="n">
        <x:f>--AND(N2068=1,OR(O2068="SUPPORTED",O2068="HALLUCINATION"))</x:f>
        <x:v>0</x:v>
      </x:c>
      <x:c r="X2068" s="43" t="n">
        <x:f>--AND(W2068=1,O2068="HALLUCINATION")</x:f>
        <x:v>0</x:v>
      </x:c>
      <x:c r="Y2068" s="43" t="n">
        <x:f>--AND(Q2068=1,O2068="HALLUCINATION")</x:f>
        <x:v>0</x:v>
      </x:c>
      <x:c r="Z2068" s="43" t="n">
        <x:f>--AND(Y2068=1,R2068=1,S2068=1)</x:f>
        <x:v>0</x:v>
      </x:c>
      <x:c r="AC2068" t="str">
        <x:f>IF(OR(AA2068="",AB2068=""),"",--(AA2068&lt;&gt;AB2068))</x:f>
      </x:c>
      <x:c r="AE2068" t="str">
        <x:f>IF(OR(AA2068="",AB2068=""),"PENDING_HUMAN",IF(AA2068=AB2068,AA2068,IF(AD2068&lt;&gt;"",AD2068,"PENDING_HUMAN")))</x:f>
        <x:v>PENDING_HUMAN</x:v>
      </x:c>
      <x:c r="AF2068" t="n">
        <x:f>--AND(A2068&lt;&gt;"",AA2068&lt;&gt;"",AB2068&lt;&gt;"",OR(AA2068=AB2068,AD2068&lt;&gt;""),IF(AE2068="HALLUCINATION",U2068&lt;&gt;"",TRUE))</x:f>
        <x:v>0</x:v>
      </x:c>
      <x:c r="AG2068" t="n">
        <x:f>--AND(N2068=1,AF2068=1,OR(AE2068="SUPPORTED",AE2068="HALLUCINATION"))</x:f>
        <x:v>0</x:v>
      </x:c>
      <x:c r="AH2068" t="n">
        <x:f>--AND(AG2068=1,AE2068="HALLUCINATION")</x:f>
        <x:v>0</x:v>
      </x:c>
      <x:c r="AI2068" t="n">
        <x:f>--AND(Q2068=1,AF2068=1,AE2068="HALLUCINATION")</x:f>
        <x:v>0</x:v>
      </x:c>
      <x:c r="AJ2068" t="n">
        <x:f>--AND(AI2068=1,R2068=1,S2068=1)</x:f>
        <x:v>0</x:v>
      </x:c>
    </x:row>
    <x:row r="2069">
      <x:c r="A2069" s="28"/>
      <x:c r="B2069" s="28"/>
      <x:c r="C2069" s="28"/>
      <x:c r="D2069" s="28"/>
      <x:c r="E2069" s="28"/>
      <x:c r="F2069" s="28"/>
      <x:c r="G2069" s="28"/>
      <x:c r="H2069" s="28"/>
      <x:c r="I2069" s="28"/>
      <x:c r="J2069" s="28"/>
      <x:c r="K2069" s="28"/>
      <x:c r="L2069" s="28"/>
      <x:c r="M2069" s="28"/>
      <x:c r="N2069" s="28"/>
      <x:c r="O2069" s="28"/>
      <x:c r="P2069" s="28"/>
      <x:c r="Q2069" s="28"/>
      <x:c r="R2069" s="28"/>
      <x:c r="S2069" s="28"/>
      <x:c r="T2069" s="28"/>
      <x:c r="U2069" s="28"/>
      <x:c r="V2069" s="28"/>
      <x:c r="W2069" s="43" t="n">
        <x:f>--AND(N2069=1,OR(O2069="SUPPORTED",O2069="HALLUCINATION"))</x:f>
        <x:v>0</x:v>
      </x:c>
      <x:c r="X2069" s="43" t="n">
        <x:f>--AND(W2069=1,O2069="HALLUCINATION")</x:f>
        <x:v>0</x:v>
      </x:c>
      <x:c r="Y2069" s="43" t="n">
        <x:f>--AND(Q2069=1,O2069="HALLUCINATION")</x:f>
        <x:v>0</x:v>
      </x:c>
      <x:c r="Z2069" s="43" t="n">
        <x:f>--AND(Y2069=1,R2069=1,S2069=1)</x:f>
        <x:v>0</x:v>
      </x:c>
      <x:c r="AC2069" t="str">
        <x:f>IF(OR(AA2069="",AB2069=""),"",--(AA2069&lt;&gt;AB2069))</x:f>
      </x:c>
      <x:c r="AE2069" t="str">
        <x:f>IF(OR(AA2069="",AB2069=""),"PENDING_HUMAN",IF(AA2069=AB2069,AA2069,IF(AD2069&lt;&gt;"",AD2069,"PENDING_HUMAN")))</x:f>
        <x:v>PENDING_HUMAN</x:v>
      </x:c>
      <x:c r="AF2069" t="n">
        <x:f>--AND(A2069&lt;&gt;"",AA2069&lt;&gt;"",AB2069&lt;&gt;"",OR(AA2069=AB2069,AD2069&lt;&gt;""),IF(AE2069="HALLUCINATION",U2069&lt;&gt;"",TRUE))</x:f>
        <x:v>0</x:v>
      </x:c>
      <x:c r="AG2069" t="n">
        <x:f>--AND(N2069=1,AF2069=1,OR(AE2069="SUPPORTED",AE2069="HALLUCINATION"))</x:f>
        <x:v>0</x:v>
      </x:c>
      <x:c r="AH2069" t="n">
        <x:f>--AND(AG2069=1,AE2069="HALLUCINATION")</x:f>
        <x:v>0</x:v>
      </x:c>
      <x:c r="AI2069" t="n">
        <x:f>--AND(Q2069=1,AF2069=1,AE2069="HALLUCINATION")</x:f>
        <x:v>0</x:v>
      </x:c>
      <x:c r="AJ2069" t="n">
        <x:f>--AND(AI2069=1,R2069=1,S2069=1)</x:f>
        <x:v>0</x:v>
      </x:c>
    </x:row>
    <x:row r="2070">
      <x:c r="A2070" s="28"/>
      <x:c r="B2070" s="28"/>
      <x:c r="C2070" s="28"/>
      <x:c r="D2070" s="28"/>
      <x:c r="E2070" s="28"/>
      <x:c r="F2070" s="28"/>
      <x:c r="G2070" s="28"/>
      <x:c r="H2070" s="28"/>
      <x:c r="I2070" s="28"/>
      <x:c r="J2070" s="28"/>
      <x:c r="K2070" s="28"/>
      <x:c r="L2070" s="28"/>
      <x:c r="M2070" s="28"/>
      <x:c r="N2070" s="28"/>
      <x:c r="O2070" s="28"/>
      <x:c r="P2070" s="28"/>
      <x:c r="Q2070" s="28"/>
      <x:c r="R2070" s="28"/>
      <x:c r="S2070" s="28"/>
      <x:c r="T2070" s="28"/>
      <x:c r="U2070" s="28"/>
      <x:c r="V2070" s="28"/>
      <x:c r="W2070" s="43" t="n">
        <x:f>--AND(N2070=1,OR(O2070="SUPPORTED",O2070="HALLUCINATION"))</x:f>
        <x:v>0</x:v>
      </x:c>
      <x:c r="X2070" s="43" t="n">
        <x:f>--AND(W2070=1,O2070="HALLUCINATION")</x:f>
        <x:v>0</x:v>
      </x:c>
      <x:c r="Y2070" s="43" t="n">
        <x:f>--AND(Q2070=1,O2070="HALLUCINATION")</x:f>
        <x:v>0</x:v>
      </x:c>
      <x:c r="Z2070" s="43" t="n">
        <x:f>--AND(Y2070=1,R2070=1,S2070=1)</x:f>
        <x:v>0</x:v>
      </x:c>
      <x:c r="AC2070" t="str">
        <x:f>IF(OR(AA2070="",AB2070=""),"",--(AA2070&lt;&gt;AB2070))</x:f>
      </x:c>
      <x:c r="AE2070" t="str">
        <x:f>IF(OR(AA2070="",AB2070=""),"PENDING_HUMAN",IF(AA2070=AB2070,AA2070,IF(AD2070&lt;&gt;"",AD2070,"PENDING_HUMAN")))</x:f>
        <x:v>PENDING_HUMAN</x:v>
      </x:c>
      <x:c r="AF2070" t="n">
        <x:f>--AND(A2070&lt;&gt;"",AA2070&lt;&gt;"",AB2070&lt;&gt;"",OR(AA2070=AB2070,AD2070&lt;&gt;""),IF(AE2070="HALLUCINATION",U2070&lt;&gt;"",TRUE))</x:f>
        <x:v>0</x:v>
      </x:c>
      <x:c r="AG2070" t="n">
        <x:f>--AND(N2070=1,AF2070=1,OR(AE2070="SUPPORTED",AE2070="HALLUCINATION"))</x:f>
        <x:v>0</x:v>
      </x:c>
      <x:c r="AH2070" t="n">
        <x:f>--AND(AG2070=1,AE2070="HALLUCINATION")</x:f>
        <x:v>0</x:v>
      </x:c>
      <x:c r="AI2070" t="n">
        <x:f>--AND(Q2070=1,AF2070=1,AE2070="HALLUCINATION")</x:f>
        <x:v>0</x:v>
      </x:c>
      <x:c r="AJ2070" t="n">
        <x:f>--AND(AI2070=1,R2070=1,S2070=1)</x:f>
        <x:v>0</x:v>
      </x:c>
    </x:row>
    <x:row r="2071">
      <x:c r="A2071" s="28"/>
      <x:c r="B2071" s="28"/>
      <x:c r="C2071" s="28"/>
      <x:c r="D2071" s="28"/>
      <x:c r="E2071" s="28"/>
      <x:c r="F2071" s="28"/>
      <x:c r="G2071" s="28"/>
      <x:c r="H2071" s="28"/>
      <x:c r="I2071" s="28"/>
      <x:c r="J2071" s="28"/>
      <x:c r="K2071" s="28"/>
      <x:c r="L2071" s="28"/>
      <x:c r="M2071" s="28"/>
      <x:c r="N2071" s="28"/>
      <x:c r="O2071" s="28"/>
      <x:c r="P2071" s="28"/>
      <x:c r="Q2071" s="28"/>
      <x:c r="R2071" s="28"/>
      <x:c r="S2071" s="28"/>
      <x:c r="T2071" s="28"/>
      <x:c r="U2071" s="28"/>
      <x:c r="V2071" s="28"/>
      <x:c r="W2071" s="43" t="n">
        <x:f>--AND(N2071=1,OR(O2071="SUPPORTED",O2071="HALLUCINATION"))</x:f>
        <x:v>0</x:v>
      </x:c>
      <x:c r="X2071" s="43" t="n">
        <x:f>--AND(W2071=1,O2071="HALLUCINATION")</x:f>
        <x:v>0</x:v>
      </x:c>
      <x:c r="Y2071" s="43" t="n">
        <x:f>--AND(Q2071=1,O2071="HALLUCINATION")</x:f>
        <x:v>0</x:v>
      </x:c>
      <x:c r="Z2071" s="43" t="n">
        <x:f>--AND(Y2071=1,R2071=1,S2071=1)</x:f>
        <x:v>0</x:v>
      </x:c>
      <x:c r="AC2071" t="str">
        <x:f>IF(OR(AA2071="",AB2071=""),"",--(AA2071&lt;&gt;AB2071))</x:f>
      </x:c>
      <x:c r="AE2071" t="str">
        <x:f>IF(OR(AA2071="",AB2071=""),"PENDING_HUMAN",IF(AA2071=AB2071,AA2071,IF(AD2071&lt;&gt;"",AD2071,"PENDING_HUMAN")))</x:f>
        <x:v>PENDING_HUMAN</x:v>
      </x:c>
      <x:c r="AF2071" t="n">
        <x:f>--AND(A2071&lt;&gt;"",AA2071&lt;&gt;"",AB2071&lt;&gt;"",OR(AA2071=AB2071,AD2071&lt;&gt;""),IF(AE2071="HALLUCINATION",U2071&lt;&gt;"",TRUE))</x:f>
        <x:v>0</x:v>
      </x:c>
      <x:c r="AG2071" t="n">
        <x:f>--AND(N2071=1,AF2071=1,OR(AE2071="SUPPORTED",AE2071="HALLUCINATION"))</x:f>
        <x:v>0</x:v>
      </x:c>
      <x:c r="AH2071" t="n">
        <x:f>--AND(AG2071=1,AE2071="HALLUCINATION")</x:f>
        <x:v>0</x:v>
      </x:c>
      <x:c r="AI2071" t="n">
        <x:f>--AND(Q2071=1,AF2071=1,AE2071="HALLUCINATION")</x:f>
        <x:v>0</x:v>
      </x:c>
      <x:c r="AJ2071" t="n">
        <x:f>--AND(AI2071=1,R2071=1,S2071=1)</x:f>
        <x:v>0</x:v>
      </x:c>
    </x:row>
    <x:row r="2072">
      <x:c r="A2072" s="28"/>
      <x:c r="B2072" s="28"/>
      <x:c r="C2072" s="28"/>
      <x:c r="D2072" s="28"/>
      <x:c r="E2072" s="28"/>
      <x:c r="F2072" s="28"/>
      <x:c r="G2072" s="28"/>
      <x:c r="H2072" s="28"/>
      <x:c r="I2072" s="28"/>
      <x:c r="J2072" s="28"/>
      <x:c r="K2072" s="28"/>
      <x:c r="L2072" s="28"/>
      <x:c r="M2072" s="28"/>
      <x:c r="N2072" s="28"/>
      <x:c r="O2072" s="28"/>
      <x:c r="P2072" s="28"/>
      <x:c r="Q2072" s="28"/>
      <x:c r="R2072" s="28"/>
      <x:c r="S2072" s="28"/>
      <x:c r="T2072" s="28"/>
      <x:c r="U2072" s="28"/>
      <x:c r="V2072" s="28"/>
      <x:c r="W2072" s="43" t="n">
        <x:f>--AND(N2072=1,OR(O2072="SUPPORTED",O2072="HALLUCINATION"))</x:f>
        <x:v>0</x:v>
      </x:c>
      <x:c r="X2072" s="43" t="n">
        <x:f>--AND(W2072=1,O2072="HALLUCINATION")</x:f>
        <x:v>0</x:v>
      </x:c>
      <x:c r="Y2072" s="43" t="n">
        <x:f>--AND(Q2072=1,O2072="HALLUCINATION")</x:f>
        <x:v>0</x:v>
      </x:c>
      <x:c r="Z2072" s="43" t="n">
        <x:f>--AND(Y2072=1,R2072=1,S2072=1)</x:f>
        <x:v>0</x:v>
      </x:c>
      <x:c r="AC2072" t="str">
        <x:f>IF(OR(AA2072="",AB2072=""),"",--(AA2072&lt;&gt;AB2072))</x:f>
      </x:c>
      <x:c r="AE2072" t="str">
        <x:f>IF(OR(AA2072="",AB2072=""),"PENDING_HUMAN",IF(AA2072=AB2072,AA2072,IF(AD2072&lt;&gt;"",AD2072,"PENDING_HUMAN")))</x:f>
        <x:v>PENDING_HUMAN</x:v>
      </x:c>
      <x:c r="AF2072" t="n">
        <x:f>--AND(A2072&lt;&gt;"",AA2072&lt;&gt;"",AB2072&lt;&gt;"",OR(AA2072=AB2072,AD2072&lt;&gt;""),IF(AE2072="HALLUCINATION",U2072&lt;&gt;"",TRUE))</x:f>
        <x:v>0</x:v>
      </x:c>
      <x:c r="AG2072" t="n">
        <x:f>--AND(N2072=1,AF2072=1,OR(AE2072="SUPPORTED",AE2072="HALLUCINATION"))</x:f>
        <x:v>0</x:v>
      </x:c>
      <x:c r="AH2072" t="n">
        <x:f>--AND(AG2072=1,AE2072="HALLUCINATION")</x:f>
        <x:v>0</x:v>
      </x:c>
      <x:c r="AI2072" t="n">
        <x:f>--AND(Q2072=1,AF2072=1,AE2072="HALLUCINATION")</x:f>
        <x:v>0</x:v>
      </x:c>
      <x:c r="AJ2072" t="n">
        <x:f>--AND(AI2072=1,R2072=1,S2072=1)</x:f>
        <x:v>0</x:v>
      </x:c>
    </x:row>
    <x:row r="2073">
      <x:c r="A2073" s="28"/>
      <x:c r="B2073" s="28"/>
      <x:c r="C2073" s="28"/>
      <x:c r="D2073" s="28"/>
      <x:c r="E2073" s="28"/>
      <x:c r="F2073" s="28"/>
      <x:c r="G2073" s="28"/>
      <x:c r="H2073" s="28"/>
      <x:c r="I2073" s="28"/>
      <x:c r="J2073" s="28"/>
      <x:c r="K2073" s="28"/>
      <x:c r="L2073" s="28"/>
      <x:c r="M2073" s="28"/>
      <x:c r="N2073" s="28"/>
      <x:c r="O2073" s="28"/>
      <x:c r="P2073" s="28"/>
      <x:c r="Q2073" s="28"/>
      <x:c r="R2073" s="28"/>
      <x:c r="S2073" s="28"/>
      <x:c r="T2073" s="28"/>
      <x:c r="U2073" s="28"/>
      <x:c r="V2073" s="28"/>
      <x:c r="W2073" s="43" t="n">
        <x:f>--AND(N2073=1,OR(O2073="SUPPORTED",O2073="HALLUCINATION"))</x:f>
        <x:v>0</x:v>
      </x:c>
      <x:c r="X2073" s="43" t="n">
        <x:f>--AND(W2073=1,O2073="HALLUCINATION")</x:f>
        <x:v>0</x:v>
      </x:c>
      <x:c r="Y2073" s="43" t="n">
        <x:f>--AND(Q2073=1,O2073="HALLUCINATION")</x:f>
        <x:v>0</x:v>
      </x:c>
      <x:c r="Z2073" s="43" t="n">
        <x:f>--AND(Y2073=1,R2073=1,S2073=1)</x:f>
        <x:v>0</x:v>
      </x:c>
      <x:c r="AC2073" t="str">
        <x:f>IF(OR(AA2073="",AB2073=""),"",--(AA2073&lt;&gt;AB2073))</x:f>
      </x:c>
      <x:c r="AE2073" t="str">
        <x:f>IF(OR(AA2073="",AB2073=""),"PENDING_HUMAN",IF(AA2073=AB2073,AA2073,IF(AD2073&lt;&gt;"",AD2073,"PENDING_HUMAN")))</x:f>
        <x:v>PENDING_HUMAN</x:v>
      </x:c>
      <x:c r="AF2073" t="n">
        <x:f>--AND(A2073&lt;&gt;"",AA2073&lt;&gt;"",AB2073&lt;&gt;"",OR(AA2073=AB2073,AD2073&lt;&gt;""),IF(AE2073="HALLUCINATION",U2073&lt;&gt;"",TRUE))</x:f>
        <x:v>0</x:v>
      </x:c>
      <x:c r="AG2073" t="n">
        <x:f>--AND(N2073=1,AF2073=1,OR(AE2073="SUPPORTED",AE2073="HALLUCINATION"))</x:f>
        <x:v>0</x:v>
      </x:c>
      <x:c r="AH2073" t="n">
        <x:f>--AND(AG2073=1,AE2073="HALLUCINATION")</x:f>
        <x:v>0</x:v>
      </x:c>
      <x:c r="AI2073" t="n">
        <x:f>--AND(Q2073=1,AF2073=1,AE2073="HALLUCINATION")</x:f>
        <x:v>0</x:v>
      </x:c>
      <x:c r="AJ2073" t="n">
        <x:f>--AND(AI2073=1,R2073=1,S2073=1)</x:f>
        <x:v>0</x:v>
      </x:c>
    </x:row>
    <x:row r="2074">
      <x:c r="A2074" s="28"/>
      <x:c r="B2074" s="28"/>
      <x:c r="C2074" s="28"/>
      <x:c r="D2074" s="28"/>
      <x:c r="E2074" s="28"/>
      <x:c r="F2074" s="28"/>
      <x:c r="G2074" s="28"/>
      <x:c r="H2074" s="28"/>
      <x:c r="I2074" s="28"/>
      <x:c r="J2074" s="28"/>
      <x:c r="K2074" s="28"/>
      <x:c r="L2074" s="28"/>
      <x:c r="M2074" s="28"/>
      <x:c r="N2074" s="28"/>
      <x:c r="O2074" s="28"/>
      <x:c r="P2074" s="28"/>
      <x:c r="Q2074" s="28"/>
      <x:c r="R2074" s="28"/>
      <x:c r="S2074" s="28"/>
      <x:c r="T2074" s="28"/>
      <x:c r="U2074" s="28"/>
      <x:c r="V2074" s="28"/>
      <x:c r="W2074" s="43" t="n">
        <x:f>--AND(N2074=1,OR(O2074="SUPPORTED",O2074="HALLUCINATION"))</x:f>
        <x:v>0</x:v>
      </x:c>
      <x:c r="X2074" s="43" t="n">
        <x:f>--AND(W2074=1,O2074="HALLUCINATION")</x:f>
        <x:v>0</x:v>
      </x:c>
      <x:c r="Y2074" s="43" t="n">
        <x:f>--AND(Q2074=1,O2074="HALLUCINATION")</x:f>
        <x:v>0</x:v>
      </x:c>
      <x:c r="Z2074" s="43" t="n">
        <x:f>--AND(Y2074=1,R2074=1,S2074=1)</x:f>
        <x:v>0</x:v>
      </x:c>
      <x:c r="AC2074" t="str">
        <x:f>IF(OR(AA2074="",AB2074=""),"",--(AA2074&lt;&gt;AB2074))</x:f>
      </x:c>
      <x:c r="AE2074" t="str">
        <x:f>IF(OR(AA2074="",AB2074=""),"PENDING_HUMAN",IF(AA2074=AB2074,AA2074,IF(AD2074&lt;&gt;"",AD2074,"PENDING_HUMAN")))</x:f>
        <x:v>PENDING_HUMAN</x:v>
      </x:c>
      <x:c r="AF2074" t="n">
        <x:f>--AND(A2074&lt;&gt;"",AA2074&lt;&gt;"",AB2074&lt;&gt;"",OR(AA2074=AB2074,AD2074&lt;&gt;""),IF(AE2074="HALLUCINATION",U2074&lt;&gt;"",TRUE))</x:f>
        <x:v>0</x:v>
      </x:c>
      <x:c r="AG2074" t="n">
        <x:f>--AND(N2074=1,AF2074=1,OR(AE2074="SUPPORTED",AE2074="HALLUCINATION"))</x:f>
        <x:v>0</x:v>
      </x:c>
      <x:c r="AH2074" t="n">
        <x:f>--AND(AG2074=1,AE2074="HALLUCINATION")</x:f>
        <x:v>0</x:v>
      </x:c>
      <x:c r="AI2074" t="n">
        <x:f>--AND(Q2074=1,AF2074=1,AE2074="HALLUCINATION")</x:f>
        <x:v>0</x:v>
      </x:c>
      <x:c r="AJ2074" t="n">
        <x:f>--AND(AI2074=1,R2074=1,S2074=1)</x:f>
        <x:v>0</x:v>
      </x:c>
    </x:row>
    <x:row r="2075">
      <x:c r="A2075" s="28"/>
      <x:c r="B2075" s="28"/>
      <x:c r="C2075" s="28"/>
      <x:c r="D2075" s="28"/>
      <x:c r="E2075" s="28"/>
      <x:c r="F2075" s="28"/>
      <x:c r="G2075" s="28"/>
      <x:c r="H2075" s="28"/>
      <x:c r="I2075" s="28"/>
      <x:c r="J2075" s="28"/>
      <x:c r="K2075" s="28"/>
      <x:c r="L2075" s="28"/>
      <x:c r="M2075" s="28"/>
      <x:c r="N2075" s="28"/>
      <x:c r="O2075" s="28"/>
      <x:c r="P2075" s="28"/>
      <x:c r="Q2075" s="28"/>
      <x:c r="R2075" s="28"/>
      <x:c r="S2075" s="28"/>
      <x:c r="T2075" s="28"/>
      <x:c r="U2075" s="28"/>
      <x:c r="V2075" s="28"/>
      <x:c r="W2075" s="43" t="n">
        <x:f>--AND(N2075=1,OR(O2075="SUPPORTED",O2075="HALLUCINATION"))</x:f>
        <x:v>0</x:v>
      </x:c>
      <x:c r="X2075" s="43" t="n">
        <x:f>--AND(W2075=1,O2075="HALLUCINATION")</x:f>
        <x:v>0</x:v>
      </x:c>
      <x:c r="Y2075" s="43" t="n">
        <x:f>--AND(Q2075=1,O2075="HALLUCINATION")</x:f>
        <x:v>0</x:v>
      </x:c>
      <x:c r="Z2075" s="43" t="n">
        <x:f>--AND(Y2075=1,R2075=1,S2075=1)</x:f>
        <x:v>0</x:v>
      </x:c>
      <x:c r="AC2075" t="str">
        <x:f>IF(OR(AA2075="",AB2075=""),"",--(AA2075&lt;&gt;AB2075))</x:f>
      </x:c>
      <x:c r="AE2075" t="str">
        <x:f>IF(OR(AA2075="",AB2075=""),"PENDING_HUMAN",IF(AA2075=AB2075,AA2075,IF(AD2075&lt;&gt;"",AD2075,"PENDING_HUMAN")))</x:f>
        <x:v>PENDING_HUMAN</x:v>
      </x:c>
      <x:c r="AF2075" t="n">
        <x:f>--AND(A2075&lt;&gt;"",AA2075&lt;&gt;"",AB2075&lt;&gt;"",OR(AA2075=AB2075,AD2075&lt;&gt;""),IF(AE2075="HALLUCINATION",U2075&lt;&gt;"",TRUE))</x:f>
        <x:v>0</x:v>
      </x:c>
      <x:c r="AG2075" t="n">
        <x:f>--AND(N2075=1,AF2075=1,OR(AE2075="SUPPORTED",AE2075="HALLUCINATION"))</x:f>
        <x:v>0</x:v>
      </x:c>
      <x:c r="AH2075" t="n">
        <x:f>--AND(AG2075=1,AE2075="HALLUCINATION")</x:f>
        <x:v>0</x:v>
      </x:c>
      <x:c r="AI2075" t="n">
        <x:f>--AND(Q2075=1,AF2075=1,AE2075="HALLUCINATION")</x:f>
        <x:v>0</x:v>
      </x:c>
      <x:c r="AJ2075" t="n">
        <x:f>--AND(AI2075=1,R2075=1,S2075=1)</x:f>
        <x:v>0</x:v>
      </x:c>
    </x:row>
    <x:row r="2076">
      <x:c r="A2076" s="28"/>
      <x:c r="B2076" s="28"/>
      <x:c r="C2076" s="28"/>
      <x:c r="D2076" s="28"/>
      <x:c r="E2076" s="28"/>
      <x:c r="F2076" s="28"/>
      <x:c r="G2076" s="28"/>
      <x:c r="H2076" s="28"/>
      <x:c r="I2076" s="28"/>
      <x:c r="J2076" s="28"/>
      <x:c r="K2076" s="28"/>
      <x:c r="L2076" s="28"/>
      <x:c r="M2076" s="28"/>
      <x:c r="N2076" s="28"/>
      <x:c r="O2076" s="28"/>
      <x:c r="P2076" s="28"/>
      <x:c r="Q2076" s="28"/>
      <x:c r="R2076" s="28"/>
      <x:c r="S2076" s="28"/>
      <x:c r="T2076" s="28"/>
      <x:c r="U2076" s="28"/>
      <x:c r="V2076" s="28"/>
      <x:c r="W2076" s="43" t="n">
        <x:f>--AND(N2076=1,OR(O2076="SUPPORTED",O2076="HALLUCINATION"))</x:f>
        <x:v>0</x:v>
      </x:c>
      <x:c r="X2076" s="43" t="n">
        <x:f>--AND(W2076=1,O2076="HALLUCINATION")</x:f>
        <x:v>0</x:v>
      </x:c>
      <x:c r="Y2076" s="43" t="n">
        <x:f>--AND(Q2076=1,O2076="HALLUCINATION")</x:f>
        <x:v>0</x:v>
      </x:c>
      <x:c r="Z2076" s="43" t="n">
        <x:f>--AND(Y2076=1,R2076=1,S2076=1)</x:f>
        <x:v>0</x:v>
      </x:c>
      <x:c r="AC2076" t="str">
        <x:f>IF(OR(AA2076="",AB2076=""),"",--(AA2076&lt;&gt;AB2076))</x:f>
      </x:c>
      <x:c r="AE2076" t="str">
        <x:f>IF(OR(AA2076="",AB2076=""),"PENDING_HUMAN",IF(AA2076=AB2076,AA2076,IF(AD2076&lt;&gt;"",AD2076,"PENDING_HUMAN")))</x:f>
        <x:v>PENDING_HUMAN</x:v>
      </x:c>
      <x:c r="AF2076" t="n">
        <x:f>--AND(A2076&lt;&gt;"",AA2076&lt;&gt;"",AB2076&lt;&gt;"",OR(AA2076=AB2076,AD2076&lt;&gt;""),IF(AE2076="HALLUCINATION",U2076&lt;&gt;"",TRUE))</x:f>
        <x:v>0</x:v>
      </x:c>
      <x:c r="AG2076" t="n">
        <x:f>--AND(N2076=1,AF2076=1,OR(AE2076="SUPPORTED",AE2076="HALLUCINATION"))</x:f>
        <x:v>0</x:v>
      </x:c>
      <x:c r="AH2076" t="n">
        <x:f>--AND(AG2076=1,AE2076="HALLUCINATION")</x:f>
        <x:v>0</x:v>
      </x:c>
      <x:c r="AI2076" t="n">
        <x:f>--AND(Q2076=1,AF2076=1,AE2076="HALLUCINATION")</x:f>
        <x:v>0</x:v>
      </x:c>
      <x:c r="AJ2076" t="n">
        <x:f>--AND(AI2076=1,R2076=1,S2076=1)</x:f>
        <x:v>0</x:v>
      </x:c>
    </x:row>
    <x:row r="2077">
      <x:c r="A2077" s="28"/>
      <x:c r="B2077" s="28"/>
      <x:c r="C2077" s="28"/>
      <x:c r="D2077" s="28"/>
      <x:c r="E2077" s="28"/>
      <x:c r="F2077" s="28"/>
      <x:c r="G2077" s="28"/>
      <x:c r="H2077" s="28"/>
      <x:c r="I2077" s="28"/>
      <x:c r="J2077" s="28"/>
      <x:c r="K2077" s="28"/>
      <x:c r="L2077" s="28"/>
      <x:c r="M2077" s="28"/>
      <x:c r="N2077" s="28"/>
      <x:c r="O2077" s="28"/>
      <x:c r="P2077" s="28"/>
      <x:c r="Q2077" s="28"/>
      <x:c r="R2077" s="28"/>
      <x:c r="S2077" s="28"/>
      <x:c r="T2077" s="28"/>
      <x:c r="U2077" s="28"/>
      <x:c r="V2077" s="28"/>
      <x:c r="W2077" s="43" t="n">
        <x:f>--AND(N2077=1,OR(O2077="SUPPORTED",O2077="HALLUCINATION"))</x:f>
        <x:v>0</x:v>
      </x:c>
      <x:c r="X2077" s="43" t="n">
        <x:f>--AND(W2077=1,O2077="HALLUCINATION")</x:f>
        <x:v>0</x:v>
      </x:c>
      <x:c r="Y2077" s="43" t="n">
        <x:f>--AND(Q2077=1,O2077="HALLUCINATION")</x:f>
        <x:v>0</x:v>
      </x:c>
      <x:c r="Z2077" s="43" t="n">
        <x:f>--AND(Y2077=1,R2077=1,S2077=1)</x:f>
        <x:v>0</x:v>
      </x:c>
      <x:c r="AC2077" t="str">
        <x:f>IF(OR(AA2077="",AB2077=""),"",--(AA2077&lt;&gt;AB2077))</x:f>
      </x:c>
      <x:c r="AE2077" t="str">
        <x:f>IF(OR(AA2077="",AB2077=""),"PENDING_HUMAN",IF(AA2077=AB2077,AA2077,IF(AD2077&lt;&gt;"",AD2077,"PENDING_HUMAN")))</x:f>
        <x:v>PENDING_HUMAN</x:v>
      </x:c>
      <x:c r="AF2077" t="n">
        <x:f>--AND(A2077&lt;&gt;"",AA2077&lt;&gt;"",AB2077&lt;&gt;"",OR(AA2077=AB2077,AD2077&lt;&gt;""),IF(AE2077="HALLUCINATION",U2077&lt;&gt;"",TRUE))</x:f>
        <x:v>0</x:v>
      </x:c>
      <x:c r="AG2077" t="n">
        <x:f>--AND(N2077=1,AF2077=1,OR(AE2077="SUPPORTED",AE2077="HALLUCINATION"))</x:f>
        <x:v>0</x:v>
      </x:c>
      <x:c r="AH2077" t="n">
        <x:f>--AND(AG2077=1,AE2077="HALLUCINATION")</x:f>
        <x:v>0</x:v>
      </x:c>
      <x:c r="AI2077" t="n">
        <x:f>--AND(Q2077=1,AF2077=1,AE2077="HALLUCINATION")</x:f>
        <x:v>0</x:v>
      </x:c>
      <x:c r="AJ2077" t="n">
        <x:f>--AND(AI2077=1,R2077=1,S2077=1)</x:f>
        <x:v>0</x:v>
      </x:c>
    </x:row>
    <x:row r="2078">
      <x:c r="A2078" s="28"/>
      <x:c r="B2078" s="28"/>
      <x:c r="C2078" s="28"/>
      <x:c r="D2078" s="28"/>
      <x:c r="E2078" s="28"/>
      <x:c r="F2078" s="28"/>
      <x:c r="G2078" s="28"/>
      <x:c r="H2078" s="28"/>
      <x:c r="I2078" s="28"/>
      <x:c r="J2078" s="28"/>
      <x:c r="K2078" s="28"/>
      <x:c r="L2078" s="28"/>
      <x:c r="M2078" s="28"/>
      <x:c r="N2078" s="28"/>
      <x:c r="O2078" s="28"/>
      <x:c r="P2078" s="28"/>
      <x:c r="Q2078" s="28"/>
      <x:c r="R2078" s="28"/>
      <x:c r="S2078" s="28"/>
      <x:c r="T2078" s="28"/>
      <x:c r="U2078" s="28"/>
      <x:c r="V2078" s="28"/>
      <x:c r="W2078" s="43" t="n">
        <x:f>--AND(N2078=1,OR(O2078="SUPPORTED",O2078="HALLUCINATION"))</x:f>
        <x:v>0</x:v>
      </x:c>
      <x:c r="X2078" s="43" t="n">
        <x:f>--AND(W2078=1,O2078="HALLUCINATION")</x:f>
        <x:v>0</x:v>
      </x:c>
      <x:c r="Y2078" s="43" t="n">
        <x:f>--AND(Q2078=1,O2078="HALLUCINATION")</x:f>
        <x:v>0</x:v>
      </x:c>
      <x:c r="Z2078" s="43" t="n">
        <x:f>--AND(Y2078=1,R2078=1,S2078=1)</x:f>
        <x:v>0</x:v>
      </x:c>
      <x:c r="AC2078" t="str">
        <x:f>IF(OR(AA2078="",AB2078=""),"",--(AA2078&lt;&gt;AB2078))</x:f>
      </x:c>
      <x:c r="AE2078" t="str">
        <x:f>IF(OR(AA2078="",AB2078=""),"PENDING_HUMAN",IF(AA2078=AB2078,AA2078,IF(AD2078&lt;&gt;"",AD2078,"PENDING_HUMAN")))</x:f>
        <x:v>PENDING_HUMAN</x:v>
      </x:c>
      <x:c r="AF2078" t="n">
        <x:f>--AND(A2078&lt;&gt;"",AA2078&lt;&gt;"",AB2078&lt;&gt;"",OR(AA2078=AB2078,AD2078&lt;&gt;""),IF(AE2078="HALLUCINATION",U2078&lt;&gt;"",TRUE))</x:f>
        <x:v>0</x:v>
      </x:c>
      <x:c r="AG2078" t="n">
        <x:f>--AND(N2078=1,AF2078=1,OR(AE2078="SUPPORTED",AE2078="HALLUCINATION"))</x:f>
        <x:v>0</x:v>
      </x:c>
      <x:c r="AH2078" t="n">
        <x:f>--AND(AG2078=1,AE2078="HALLUCINATION")</x:f>
        <x:v>0</x:v>
      </x:c>
      <x:c r="AI2078" t="n">
        <x:f>--AND(Q2078=1,AF2078=1,AE2078="HALLUCINATION")</x:f>
        <x:v>0</x:v>
      </x:c>
      <x:c r="AJ2078" t="n">
        <x:f>--AND(AI2078=1,R2078=1,S2078=1)</x:f>
        <x:v>0</x:v>
      </x:c>
    </x:row>
    <x:row r="2079">
      <x:c r="A2079" s="28"/>
      <x:c r="B2079" s="28"/>
      <x:c r="C2079" s="28"/>
      <x:c r="D2079" s="28"/>
      <x:c r="E2079" s="28"/>
      <x:c r="F2079" s="28"/>
      <x:c r="G2079" s="28"/>
      <x:c r="H2079" s="28"/>
      <x:c r="I2079" s="28"/>
      <x:c r="J2079" s="28"/>
      <x:c r="K2079" s="28"/>
      <x:c r="L2079" s="28"/>
      <x:c r="M2079" s="28"/>
      <x:c r="N2079" s="28"/>
      <x:c r="O2079" s="28"/>
      <x:c r="P2079" s="28"/>
      <x:c r="Q2079" s="28"/>
      <x:c r="R2079" s="28"/>
      <x:c r="S2079" s="28"/>
      <x:c r="T2079" s="28"/>
      <x:c r="U2079" s="28"/>
      <x:c r="V2079" s="28"/>
      <x:c r="W2079" s="43" t="n">
        <x:f>--AND(N2079=1,OR(O2079="SUPPORTED",O2079="HALLUCINATION"))</x:f>
        <x:v>0</x:v>
      </x:c>
      <x:c r="X2079" s="43" t="n">
        <x:f>--AND(W2079=1,O2079="HALLUCINATION")</x:f>
        <x:v>0</x:v>
      </x:c>
      <x:c r="Y2079" s="43" t="n">
        <x:f>--AND(Q2079=1,O2079="HALLUCINATION")</x:f>
        <x:v>0</x:v>
      </x:c>
      <x:c r="Z2079" s="43" t="n">
        <x:f>--AND(Y2079=1,R2079=1,S2079=1)</x:f>
        <x:v>0</x:v>
      </x:c>
      <x:c r="AC2079" t="str">
        <x:f>IF(OR(AA2079="",AB2079=""),"",--(AA2079&lt;&gt;AB2079))</x:f>
      </x:c>
      <x:c r="AE2079" t="str">
        <x:f>IF(OR(AA2079="",AB2079=""),"PENDING_HUMAN",IF(AA2079=AB2079,AA2079,IF(AD2079&lt;&gt;"",AD2079,"PENDING_HUMAN")))</x:f>
        <x:v>PENDING_HUMAN</x:v>
      </x:c>
      <x:c r="AF2079" t="n">
        <x:f>--AND(A2079&lt;&gt;"",AA2079&lt;&gt;"",AB2079&lt;&gt;"",OR(AA2079=AB2079,AD2079&lt;&gt;""),IF(AE2079="HALLUCINATION",U2079&lt;&gt;"",TRUE))</x:f>
        <x:v>0</x:v>
      </x:c>
      <x:c r="AG2079" t="n">
        <x:f>--AND(N2079=1,AF2079=1,OR(AE2079="SUPPORTED",AE2079="HALLUCINATION"))</x:f>
        <x:v>0</x:v>
      </x:c>
      <x:c r="AH2079" t="n">
        <x:f>--AND(AG2079=1,AE2079="HALLUCINATION")</x:f>
        <x:v>0</x:v>
      </x:c>
      <x:c r="AI2079" t="n">
        <x:f>--AND(Q2079=1,AF2079=1,AE2079="HALLUCINATION")</x:f>
        <x:v>0</x:v>
      </x:c>
      <x:c r="AJ2079" t="n">
        <x:f>--AND(AI2079=1,R2079=1,S2079=1)</x:f>
        <x:v>0</x:v>
      </x:c>
    </x:row>
    <x:row r="2080">
      <x:c r="A2080" s="28"/>
      <x:c r="B2080" s="28"/>
      <x:c r="C2080" s="28"/>
      <x:c r="D2080" s="28"/>
      <x:c r="E2080" s="28"/>
      <x:c r="F2080" s="28"/>
      <x:c r="G2080" s="28"/>
      <x:c r="H2080" s="28"/>
      <x:c r="I2080" s="28"/>
      <x:c r="J2080" s="28"/>
      <x:c r="K2080" s="28"/>
      <x:c r="L2080" s="28"/>
      <x:c r="M2080" s="28"/>
      <x:c r="N2080" s="28"/>
      <x:c r="O2080" s="28"/>
      <x:c r="P2080" s="28"/>
      <x:c r="Q2080" s="28"/>
      <x:c r="R2080" s="28"/>
      <x:c r="S2080" s="28"/>
      <x:c r="T2080" s="28"/>
      <x:c r="U2080" s="28"/>
      <x:c r="V2080" s="28"/>
      <x:c r="W2080" s="43" t="n">
        <x:f>--AND(N2080=1,OR(O2080="SUPPORTED",O2080="HALLUCINATION"))</x:f>
        <x:v>0</x:v>
      </x:c>
      <x:c r="X2080" s="43" t="n">
        <x:f>--AND(W2080=1,O2080="HALLUCINATION")</x:f>
        <x:v>0</x:v>
      </x:c>
      <x:c r="Y2080" s="43" t="n">
        <x:f>--AND(Q2080=1,O2080="HALLUCINATION")</x:f>
        <x:v>0</x:v>
      </x:c>
      <x:c r="Z2080" s="43" t="n">
        <x:f>--AND(Y2080=1,R2080=1,S2080=1)</x:f>
        <x:v>0</x:v>
      </x:c>
      <x:c r="AC2080" t="str">
        <x:f>IF(OR(AA2080="",AB2080=""),"",--(AA2080&lt;&gt;AB2080))</x:f>
      </x:c>
      <x:c r="AE2080" t="str">
        <x:f>IF(OR(AA2080="",AB2080=""),"PENDING_HUMAN",IF(AA2080=AB2080,AA2080,IF(AD2080&lt;&gt;"",AD2080,"PENDING_HUMAN")))</x:f>
        <x:v>PENDING_HUMAN</x:v>
      </x:c>
      <x:c r="AF2080" t="n">
        <x:f>--AND(A2080&lt;&gt;"",AA2080&lt;&gt;"",AB2080&lt;&gt;"",OR(AA2080=AB2080,AD2080&lt;&gt;""),IF(AE2080="HALLUCINATION",U2080&lt;&gt;"",TRUE))</x:f>
        <x:v>0</x:v>
      </x:c>
      <x:c r="AG2080" t="n">
        <x:f>--AND(N2080=1,AF2080=1,OR(AE2080="SUPPORTED",AE2080="HALLUCINATION"))</x:f>
        <x:v>0</x:v>
      </x:c>
      <x:c r="AH2080" t="n">
        <x:f>--AND(AG2080=1,AE2080="HALLUCINATION")</x:f>
        <x:v>0</x:v>
      </x:c>
      <x:c r="AI2080" t="n">
        <x:f>--AND(Q2080=1,AF2080=1,AE2080="HALLUCINATION")</x:f>
        <x:v>0</x:v>
      </x:c>
      <x:c r="AJ2080" t="n">
        <x:f>--AND(AI2080=1,R2080=1,S2080=1)</x:f>
        <x:v>0</x:v>
      </x:c>
    </x:row>
    <x:row r="2081">
      <x:c r="A2081" s="28"/>
      <x:c r="B2081" s="28"/>
      <x:c r="C2081" s="28"/>
      <x:c r="D2081" s="28"/>
      <x:c r="E2081" s="28"/>
      <x:c r="F2081" s="28"/>
      <x:c r="G2081" s="28"/>
      <x:c r="H2081" s="28"/>
      <x:c r="I2081" s="28"/>
      <x:c r="J2081" s="28"/>
      <x:c r="K2081" s="28"/>
      <x:c r="L2081" s="28"/>
      <x:c r="M2081" s="28"/>
      <x:c r="N2081" s="28"/>
      <x:c r="O2081" s="28"/>
      <x:c r="P2081" s="28"/>
      <x:c r="Q2081" s="28"/>
      <x:c r="R2081" s="28"/>
      <x:c r="S2081" s="28"/>
      <x:c r="T2081" s="28"/>
      <x:c r="U2081" s="28"/>
      <x:c r="V2081" s="28"/>
      <x:c r="W2081" s="43" t="n">
        <x:f>--AND(N2081=1,OR(O2081="SUPPORTED",O2081="HALLUCINATION"))</x:f>
        <x:v>0</x:v>
      </x:c>
      <x:c r="X2081" s="43" t="n">
        <x:f>--AND(W2081=1,O2081="HALLUCINATION")</x:f>
        <x:v>0</x:v>
      </x:c>
      <x:c r="Y2081" s="43" t="n">
        <x:f>--AND(Q2081=1,O2081="HALLUCINATION")</x:f>
        <x:v>0</x:v>
      </x:c>
      <x:c r="Z2081" s="43" t="n">
        <x:f>--AND(Y2081=1,R2081=1,S2081=1)</x:f>
        <x:v>0</x:v>
      </x:c>
      <x:c r="AC2081" t="str">
        <x:f>IF(OR(AA2081="",AB2081=""),"",--(AA2081&lt;&gt;AB2081))</x:f>
      </x:c>
      <x:c r="AE2081" t="str">
        <x:f>IF(OR(AA2081="",AB2081=""),"PENDING_HUMAN",IF(AA2081=AB2081,AA2081,IF(AD2081&lt;&gt;"",AD2081,"PENDING_HUMAN")))</x:f>
        <x:v>PENDING_HUMAN</x:v>
      </x:c>
      <x:c r="AF2081" t="n">
        <x:f>--AND(A2081&lt;&gt;"",AA2081&lt;&gt;"",AB2081&lt;&gt;"",OR(AA2081=AB2081,AD2081&lt;&gt;""),IF(AE2081="HALLUCINATION",U2081&lt;&gt;"",TRUE))</x:f>
        <x:v>0</x:v>
      </x:c>
      <x:c r="AG2081" t="n">
        <x:f>--AND(N2081=1,AF2081=1,OR(AE2081="SUPPORTED",AE2081="HALLUCINATION"))</x:f>
        <x:v>0</x:v>
      </x:c>
      <x:c r="AH2081" t="n">
        <x:f>--AND(AG2081=1,AE2081="HALLUCINATION")</x:f>
        <x:v>0</x:v>
      </x:c>
      <x:c r="AI2081" t="n">
        <x:f>--AND(Q2081=1,AF2081=1,AE2081="HALLUCINATION")</x:f>
        <x:v>0</x:v>
      </x:c>
      <x:c r="AJ2081" t="n">
        <x:f>--AND(AI2081=1,R2081=1,S2081=1)</x:f>
        <x:v>0</x:v>
      </x:c>
    </x:row>
    <x:row r="2082">
      <x:c r="A2082" s="28"/>
      <x:c r="B2082" s="28"/>
      <x:c r="C2082" s="28"/>
      <x:c r="D2082" s="28"/>
      <x:c r="E2082" s="28"/>
      <x:c r="F2082" s="28"/>
      <x:c r="G2082" s="28"/>
      <x:c r="H2082" s="28"/>
      <x:c r="I2082" s="28"/>
      <x:c r="J2082" s="28"/>
      <x:c r="K2082" s="28"/>
      <x:c r="L2082" s="28"/>
      <x:c r="M2082" s="28"/>
      <x:c r="N2082" s="28"/>
      <x:c r="O2082" s="28"/>
      <x:c r="P2082" s="28"/>
      <x:c r="Q2082" s="28"/>
      <x:c r="R2082" s="28"/>
      <x:c r="S2082" s="28"/>
      <x:c r="T2082" s="28"/>
      <x:c r="U2082" s="28"/>
      <x:c r="V2082" s="28"/>
      <x:c r="W2082" s="43" t="n">
        <x:f>--AND(N2082=1,OR(O2082="SUPPORTED",O2082="HALLUCINATION"))</x:f>
        <x:v>0</x:v>
      </x:c>
      <x:c r="X2082" s="43" t="n">
        <x:f>--AND(W2082=1,O2082="HALLUCINATION")</x:f>
        <x:v>0</x:v>
      </x:c>
      <x:c r="Y2082" s="43" t="n">
        <x:f>--AND(Q2082=1,O2082="HALLUCINATION")</x:f>
        <x:v>0</x:v>
      </x:c>
      <x:c r="Z2082" s="43" t="n">
        <x:f>--AND(Y2082=1,R2082=1,S2082=1)</x:f>
        <x:v>0</x:v>
      </x:c>
      <x:c r="AC2082" t="str">
        <x:f>IF(OR(AA2082="",AB2082=""),"",--(AA2082&lt;&gt;AB2082))</x:f>
      </x:c>
      <x:c r="AE2082" t="str">
        <x:f>IF(OR(AA2082="",AB2082=""),"PENDING_HUMAN",IF(AA2082=AB2082,AA2082,IF(AD2082&lt;&gt;"",AD2082,"PENDING_HUMAN")))</x:f>
        <x:v>PENDING_HUMAN</x:v>
      </x:c>
      <x:c r="AF2082" t="n">
        <x:f>--AND(A2082&lt;&gt;"",AA2082&lt;&gt;"",AB2082&lt;&gt;"",OR(AA2082=AB2082,AD2082&lt;&gt;""),IF(AE2082="HALLUCINATION",U2082&lt;&gt;"",TRUE))</x:f>
        <x:v>0</x:v>
      </x:c>
      <x:c r="AG2082" t="n">
        <x:f>--AND(N2082=1,AF2082=1,OR(AE2082="SUPPORTED",AE2082="HALLUCINATION"))</x:f>
        <x:v>0</x:v>
      </x:c>
      <x:c r="AH2082" t="n">
        <x:f>--AND(AG2082=1,AE2082="HALLUCINATION")</x:f>
        <x:v>0</x:v>
      </x:c>
      <x:c r="AI2082" t="n">
        <x:f>--AND(Q2082=1,AF2082=1,AE2082="HALLUCINATION")</x:f>
        <x:v>0</x:v>
      </x:c>
      <x:c r="AJ2082" t="n">
        <x:f>--AND(AI2082=1,R2082=1,S2082=1)</x:f>
        <x:v>0</x:v>
      </x:c>
    </x:row>
    <x:row r="2083">
      <x:c r="A2083" s="28"/>
      <x:c r="B2083" s="28"/>
      <x:c r="C2083" s="28"/>
      <x:c r="D2083" s="28"/>
      <x:c r="E2083" s="28"/>
      <x:c r="F2083" s="28"/>
      <x:c r="G2083" s="28"/>
      <x:c r="H2083" s="28"/>
      <x:c r="I2083" s="28"/>
      <x:c r="J2083" s="28"/>
      <x:c r="K2083" s="28"/>
      <x:c r="L2083" s="28"/>
      <x:c r="M2083" s="28"/>
      <x:c r="N2083" s="28"/>
      <x:c r="O2083" s="28"/>
      <x:c r="P2083" s="28"/>
      <x:c r="Q2083" s="28"/>
      <x:c r="R2083" s="28"/>
      <x:c r="S2083" s="28"/>
      <x:c r="T2083" s="28"/>
      <x:c r="U2083" s="28"/>
      <x:c r="V2083" s="28"/>
      <x:c r="W2083" s="43" t="n">
        <x:f>--AND(N2083=1,OR(O2083="SUPPORTED",O2083="HALLUCINATION"))</x:f>
        <x:v>0</x:v>
      </x:c>
      <x:c r="X2083" s="43" t="n">
        <x:f>--AND(W2083=1,O2083="HALLUCINATION")</x:f>
        <x:v>0</x:v>
      </x:c>
      <x:c r="Y2083" s="43" t="n">
        <x:f>--AND(Q2083=1,O2083="HALLUCINATION")</x:f>
        <x:v>0</x:v>
      </x:c>
      <x:c r="Z2083" s="43" t="n">
        <x:f>--AND(Y2083=1,R2083=1,S2083=1)</x:f>
        <x:v>0</x:v>
      </x:c>
      <x:c r="AC2083" t="str">
        <x:f>IF(OR(AA2083="",AB2083=""),"",--(AA2083&lt;&gt;AB2083))</x:f>
      </x:c>
      <x:c r="AE2083" t="str">
        <x:f>IF(OR(AA2083="",AB2083=""),"PENDING_HUMAN",IF(AA2083=AB2083,AA2083,IF(AD2083&lt;&gt;"",AD2083,"PENDING_HUMAN")))</x:f>
        <x:v>PENDING_HUMAN</x:v>
      </x:c>
      <x:c r="AF2083" t="n">
        <x:f>--AND(A2083&lt;&gt;"",AA2083&lt;&gt;"",AB2083&lt;&gt;"",OR(AA2083=AB2083,AD2083&lt;&gt;""),IF(AE2083="HALLUCINATION",U2083&lt;&gt;"",TRUE))</x:f>
        <x:v>0</x:v>
      </x:c>
      <x:c r="AG2083" t="n">
        <x:f>--AND(N2083=1,AF2083=1,OR(AE2083="SUPPORTED",AE2083="HALLUCINATION"))</x:f>
        <x:v>0</x:v>
      </x:c>
      <x:c r="AH2083" t="n">
        <x:f>--AND(AG2083=1,AE2083="HALLUCINATION")</x:f>
        <x:v>0</x:v>
      </x:c>
      <x:c r="AI2083" t="n">
        <x:f>--AND(Q2083=1,AF2083=1,AE2083="HALLUCINATION")</x:f>
        <x:v>0</x:v>
      </x:c>
      <x:c r="AJ2083" t="n">
        <x:f>--AND(AI2083=1,R2083=1,S2083=1)</x:f>
        <x:v>0</x:v>
      </x:c>
    </x:row>
    <x:row r="2084">
      <x:c r="A2084" s="28"/>
      <x:c r="B2084" s="28"/>
      <x:c r="C2084" s="28"/>
      <x:c r="D2084" s="28"/>
      <x:c r="E2084" s="28"/>
      <x:c r="F2084" s="28"/>
      <x:c r="G2084" s="28"/>
      <x:c r="H2084" s="28"/>
      <x:c r="I2084" s="28"/>
      <x:c r="J2084" s="28"/>
      <x:c r="K2084" s="28"/>
      <x:c r="L2084" s="28"/>
      <x:c r="M2084" s="28"/>
      <x:c r="N2084" s="28"/>
      <x:c r="O2084" s="28"/>
      <x:c r="P2084" s="28"/>
      <x:c r="Q2084" s="28"/>
      <x:c r="R2084" s="28"/>
      <x:c r="S2084" s="28"/>
      <x:c r="T2084" s="28"/>
      <x:c r="U2084" s="28"/>
      <x:c r="V2084" s="28"/>
      <x:c r="W2084" s="43" t="n">
        <x:f>--AND(N2084=1,OR(O2084="SUPPORTED",O2084="HALLUCINATION"))</x:f>
        <x:v>0</x:v>
      </x:c>
      <x:c r="X2084" s="43" t="n">
        <x:f>--AND(W2084=1,O2084="HALLUCINATION")</x:f>
        <x:v>0</x:v>
      </x:c>
      <x:c r="Y2084" s="43" t="n">
        <x:f>--AND(Q2084=1,O2084="HALLUCINATION")</x:f>
        <x:v>0</x:v>
      </x:c>
      <x:c r="Z2084" s="43" t="n">
        <x:f>--AND(Y2084=1,R2084=1,S2084=1)</x:f>
        <x:v>0</x:v>
      </x:c>
      <x:c r="AC2084" t="str">
        <x:f>IF(OR(AA2084="",AB2084=""),"",--(AA2084&lt;&gt;AB2084))</x:f>
      </x:c>
      <x:c r="AE2084" t="str">
        <x:f>IF(OR(AA2084="",AB2084=""),"PENDING_HUMAN",IF(AA2084=AB2084,AA2084,IF(AD2084&lt;&gt;"",AD2084,"PENDING_HUMAN")))</x:f>
        <x:v>PENDING_HUMAN</x:v>
      </x:c>
      <x:c r="AF2084" t="n">
        <x:f>--AND(A2084&lt;&gt;"",AA2084&lt;&gt;"",AB2084&lt;&gt;"",OR(AA2084=AB2084,AD2084&lt;&gt;""),IF(AE2084="HALLUCINATION",U2084&lt;&gt;"",TRUE))</x:f>
        <x:v>0</x:v>
      </x:c>
      <x:c r="AG2084" t="n">
        <x:f>--AND(N2084=1,AF2084=1,OR(AE2084="SUPPORTED",AE2084="HALLUCINATION"))</x:f>
        <x:v>0</x:v>
      </x:c>
      <x:c r="AH2084" t="n">
        <x:f>--AND(AG2084=1,AE2084="HALLUCINATION")</x:f>
        <x:v>0</x:v>
      </x:c>
      <x:c r="AI2084" t="n">
        <x:f>--AND(Q2084=1,AF2084=1,AE2084="HALLUCINATION")</x:f>
        <x:v>0</x:v>
      </x:c>
      <x:c r="AJ2084" t="n">
        <x:f>--AND(AI2084=1,R2084=1,S2084=1)</x:f>
        <x:v>0</x:v>
      </x:c>
    </x:row>
    <x:row r="2085">
      <x:c r="A2085" s="28"/>
      <x:c r="B2085" s="28"/>
      <x:c r="C2085" s="28"/>
      <x:c r="D2085" s="28"/>
      <x:c r="E2085" s="28"/>
      <x:c r="F2085" s="28"/>
      <x:c r="G2085" s="28"/>
      <x:c r="H2085" s="28"/>
      <x:c r="I2085" s="28"/>
      <x:c r="J2085" s="28"/>
      <x:c r="K2085" s="28"/>
      <x:c r="L2085" s="28"/>
      <x:c r="M2085" s="28"/>
      <x:c r="N2085" s="28"/>
      <x:c r="O2085" s="28"/>
      <x:c r="P2085" s="28"/>
      <x:c r="Q2085" s="28"/>
      <x:c r="R2085" s="28"/>
      <x:c r="S2085" s="28"/>
      <x:c r="T2085" s="28"/>
      <x:c r="U2085" s="28"/>
      <x:c r="V2085" s="28"/>
      <x:c r="W2085" s="43" t="n">
        <x:f>--AND(N2085=1,OR(O2085="SUPPORTED",O2085="HALLUCINATION"))</x:f>
        <x:v>0</x:v>
      </x:c>
      <x:c r="X2085" s="43" t="n">
        <x:f>--AND(W2085=1,O2085="HALLUCINATION")</x:f>
        <x:v>0</x:v>
      </x:c>
      <x:c r="Y2085" s="43" t="n">
        <x:f>--AND(Q2085=1,O2085="HALLUCINATION")</x:f>
        <x:v>0</x:v>
      </x:c>
      <x:c r="Z2085" s="43" t="n">
        <x:f>--AND(Y2085=1,R2085=1,S2085=1)</x:f>
        <x:v>0</x:v>
      </x:c>
      <x:c r="AC2085" t="str">
        <x:f>IF(OR(AA2085="",AB2085=""),"",--(AA2085&lt;&gt;AB2085))</x:f>
      </x:c>
      <x:c r="AE2085" t="str">
        <x:f>IF(OR(AA2085="",AB2085=""),"PENDING_HUMAN",IF(AA2085=AB2085,AA2085,IF(AD2085&lt;&gt;"",AD2085,"PENDING_HUMAN")))</x:f>
        <x:v>PENDING_HUMAN</x:v>
      </x:c>
      <x:c r="AF2085" t="n">
        <x:f>--AND(A2085&lt;&gt;"",AA2085&lt;&gt;"",AB2085&lt;&gt;"",OR(AA2085=AB2085,AD2085&lt;&gt;""),IF(AE2085="HALLUCINATION",U2085&lt;&gt;"",TRUE))</x:f>
        <x:v>0</x:v>
      </x:c>
      <x:c r="AG2085" t="n">
        <x:f>--AND(N2085=1,AF2085=1,OR(AE2085="SUPPORTED",AE2085="HALLUCINATION"))</x:f>
        <x:v>0</x:v>
      </x:c>
      <x:c r="AH2085" t="n">
        <x:f>--AND(AG2085=1,AE2085="HALLUCINATION")</x:f>
        <x:v>0</x:v>
      </x:c>
      <x:c r="AI2085" t="n">
        <x:f>--AND(Q2085=1,AF2085=1,AE2085="HALLUCINATION")</x:f>
        <x:v>0</x:v>
      </x:c>
      <x:c r="AJ2085" t="n">
        <x:f>--AND(AI2085=1,R2085=1,S2085=1)</x:f>
        <x:v>0</x:v>
      </x:c>
    </x:row>
    <x:row r="2086">
      <x:c r="A2086" s="28"/>
      <x:c r="B2086" s="28"/>
      <x:c r="C2086" s="28"/>
      <x:c r="D2086" s="28"/>
      <x:c r="E2086" s="28"/>
      <x:c r="F2086" s="28"/>
      <x:c r="G2086" s="28"/>
      <x:c r="H2086" s="28"/>
      <x:c r="I2086" s="28"/>
      <x:c r="J2086" s="28"/>
      <x:c r="K2086" s="28"/>
      <x:c r="L2086" s="28"/>
      <x:c r="M2086" s="28"/>
      <x:c r="N2086" s="28"/>
      <x:c r="O2086" s="28"/>
      <x:c r="P2086" s="28"/>
      <x:c r="Q2086" s="28"/>
      <x:c r="R2086" s="28"/>
      <x:c r="S2086" s="28"/>
      <x:c r="T2086" s="28"/>
      <x:c r="U2086" s="28"/>
      <x:c r="V2086" s="28"/>
      <x:c r="W2086" s="43" t="n">
        <x:f>--AND(N2086=1,OR(O2086="SUPPORTED",O2086="HALLUCINATION"))</x:f>
        <x:v>0</x:v>
      </x:c>
      <x:c r="X2086" s="43" t="n">
        <x:f>--AND(W2086=1,O2086="HALLUCINATION")</x:f>
        <x:v>0</x:v>
      </x:c>
      <x:c r="Y2086" s="43" t="n">
        <x:f>--AND(Q2086=1,O2086="HALLUCINATION")</x:f>
        <x:v>0</x:v>
      </x:c>
      <x:c r="Z2086" s="43" t="n">
        <x:f>--AND(Y2086=1,R2086=1,S2086=1)</x:f>
        <x:v>0</x:v>
      </x:c>
      <x:c r="AC2086" t="str">
        <x:f>IF(OR(AA2086="",AB2086=""),"",--(AA2086&lt;&gt;AB2086))</x:f>
      </x:c>
      <x:c r="AE2086" t="str">
        <x:f>IF(OR(AA2086="",AB2086=""),"PENDING_HUMAN",IF(AA2086=AB2086,AA2086,IF(AD2086&lt;&gt;"",AD2086,"PENDING_HUMAN")))</x:f>
        <x:v>PENDING_HUMAN</x:v>
      </x:c>
      <x:c r="AF2086" t="n">
        <x:f>--AND(A2086&lt;&gt;"",AA2086&lt;&gt;"",AB2086&lt;&gt;"",OR(AA2086=AB2086,AD2086&lt;&gt;""),IF(AE2086="HALLUCINATION",U2086&lt;&gt;"",TRUE))</x:f>
        <x:v>0</x:v>
      </x:c>
      <x:c r="AG2086" t="n">
        <x:f>--AND(N2086=1,AF2086=1,OR(AE2086="SUPPORTED",AE2086="HALLUCINATION"))</x:f>
        <x:v>0</x:v>
      </x:c>
      <x:c r="AH2086" t="n">
        <x:f>--AND(AG2086=1,AE2086="HALLUCINATION")</x:f>
        <x:v>0</x:v>
      </x:c>
      <x:c r="AI2086" t="n">
        <x:f>--AND(Q2086=1,AF2086=1,AE2086="HALLUCINATION")</x:f>
        <x:v>0</x:v>
      </x:c>
      <x:c r="AJ2086" t="n">
        <x:f>--AND(AI2086=1,R2086=1,S2086=1)</x:f>
        <x:v>0</x:v>
      </x:c>
    </x:row>
    <x:row r="2087">
      <x:c r="A2087" s="28"/>
      <x:c r="B2087" s="28"/>
      <x:c r="C2087" s="28"/>
      <x:c r="D2087" s="28"/>
      <x:c r="E2087" s="28"/>
      <x:c r="F2087" s="28"/>
      <x:c r="G2087" s="28"/>
      <x:c r="H2087" s="28"/>
      <x:c r="I2087" s="28"/>
      <x:c r="J2087" s="28"/>
      <x:c r="K2087" s="28"/>
      <x:c r="L2087" s="28"/>
      <x:c r="M2087" s="28"/>
      <x:c r="N2087" s="28"/>
      <x:c r="O2087" s="28"/>
      <x:c r="P2087" s="28"/>
      <x:c r="Q2087" s="28"/>
      <x:c r="R2087" s="28"/>
      <x:c r="S2087" s="28"/>
      <x:c r="T2087" s="28"/>
      <x:c r="U2087" s="28"/>
      <x:c r="V2087" s="28"/>
      <x:c r="W2087" s="43" t="n">
        <x:f>--AND(N2087=1,OR(O2087="SUPPORTED",O2087="HALLUCINATION"))</x:f>
        <x:v>0</x:v>
      </x:c>
      <x:c r="X2087" s="43" t="n">
        <x:f>--AND(W2087=1,O2087="HALLUCINATION")</x:f>
        <x:v>0</x:v>
      </x:c>
      <x:c r="Y2087" s="43" t="n">
        <x:f>--AND(Q2087=1,O2087="HALLUCINATION")</x:f>
        <x:v>0</x:v>
      </x:c>
      <x:c r="Z2087" s="43" t="n">
        <x:f>--AND(Y2087=1,R2087=1,S2087=1)</x:f>
        <x:v>0</x:v>
      </x:c>
      <x:c r="AC2087" t="str">
        <x:f>IF(OR(AA2087="",AB2087=""),"",--(AA2087&lt;&gt;AB2087))</x:f>
      </x:c>
      <x:c r="AE2087" t="str">
        <x:f>IF(OR(AA2087="",AB2087=""),"PENDING_HUMAN",IF(AA2087=AB2087,AA2087,IF(AD2087&lt;&gt;"",AD2087,"PENDING_HUMAN")))</x:f>
        <x:v>PENDING_HUMAN</x:v>
      </x:c>
      <x:c r="AF2087" t="n">
        <x:f>--AND(A2087&lt;&gt;"",AA2087&lt;&gt;"",AB2087&lt;&gt;"",OR(AA2087=AB2087,AD2087&lt;&gt;""),IF(AE2087="HALLUCINATION",U2087&lt;&gt;"",TRUE))</x:f>
        <x:v>0</x:v>
      </x:c>
      <x:c r="AG2087" t="n">
        <x:f>--AND(N2087=1,AF2087=1,OR(AE2087="SUPPORTED",AE2087="HALLUCINATION"))</x:f>
        <x:v>0</x:v>
      </x:c>
      <x:c r="AH2087" t="n">
        <x:f>--AND(AG2087=1,AE2087="HALLUCINATION")</x:f>
        <x:v>0</x:v>
      </x:c>
      <x:c r="AI2087" t="n">
        <x:f>--AND(Q2087=1,AF2087=1,AE2087="HALLUCINATION")</x:f>
        <x:v>0</x:v>
      </x:c>
      <x:c r="AJ2087" t="n">
        <x:f>--AND(AI2087=1,R2087=1,S2087=1)</x:f>
        <x:v>0</x:v>
      </x:c>
    </x:row>
    <x:row r="2088">
      <x:c r="A2088" s="28"/>
      <x:c r="B2088" s="28"/>
      <x:c r="C2088" s="28"/>
      <x:c r="D2088" s="28"/>
      <x:c r="E2088" s="28"/>
      <x:c r="F2088" s="28"/>
      <x:c r="G2088" s="28"/>
      <x:c r="H2088" s="28"/>
      <x:c r="I2088" s="28"/>
      <x:c r="J2088" s="28"/>
      <x:c r="K2088" s="28"/>
      <x:c r="L2088" s="28"/>
      <x:c r="M2088" s="28"/>
      <x:c r="N2088" s="28"/>
      <x:c r="O2088" s="28"/>
      <x:c r="P2088" s="28"/>
      <x:c r="Q2088" s="28"/>
      <x:c r="R2088" s="28"/>
      <x:c r="S2088" s="28"/>
      <x:c r="T2088" s="28"/>
      <x:c r="U2088" s="28"/>
      <x:c r="V2088" s="28"/>
      <x:c r="W2088" s="43" t="n">
        <x:f>--AND(N2088=1,OR(O2088="SUPPORTED",O2088="HALLUCINATION"))</x:f>
        <x:v>0</x:v>
      </x:c>
      <x:c r="X2088" s="43" t="n">
        <x:f>--AND(W2088=1,O2088="HALLUCINATION")</x:f>
        <x:v>0</x:v>
      </x:c>
      <x:c r="Y2088" s="43" t="n">
        <x:f>--AND(Q2088=1,O2088="HALLUCINATION")</x:f>
        <x:v>0</x:v>
      </x:c>
      <x:c r="Z2088" s="43" t="n">
        <x:f>--AND(Y2088=1,R2088=1,S2088=1)</x:f>
        <x:v>0</x:v>
      </x:c>
      <x:c r="AC2088" t="str">
        <x:f>IF(OR(AA2088="",AB2088=""),"",--(AA2088&lt;&gt;AB2088))</x:f>
      </x:c>
      <x:c r="AE2088" t="str">
        <x:f>IF(OR(AA2088="",AB2088=""),"PENDING_HUMAN",IF(AA2088=AB2088,AA2088,IF(AD2088&lt;&gt;"",AD2088,"PENDING_HUMAN")))</x:f>
        <x:v>PENDING_HUMAN</x:v>
      </x:c>
      <x:c r="AF2088" t="n">
        <x:f>--AND(A2088&lt;&gt;"",AA2088&lt;&gt;"",AB2088&lt;&gt;"",OR(AA2088=AB2088,AD2088&lt;&gt;""),IF(AE2088="HALLUCINATION",U2088&lt;&gt;"",TRUE))</x:f>
        <x:v>0</x:v>
      </x:c>
      <x:c r="AG2088" t="n">
        <x:f>--AND(N2088=1,AF2088=1,OR(AE2088="SUPPORTED",AE2088="HALLUCINATION"))</x:f>
        <x:v>0</x:v>
      </x:c>
      <x:c r="AH2088" t="n">
        <x:f>--AND(AG2088=1,AE2088="HALLUCINATION")</x:f>
        <x:v>0</x:v>
      </x:c>
      <x:c r="AI2088" t="n">
        <x:f>--AND(Q2088=1,AF2088=1,AE2088="HALLUCINATION")</x:f>
        <x:v>0</x:v>
      </x:c>
      <x:c r="AJ2088" t="n">
        <x:f>--AND(AI2088=1,R2088=1,S2088=1)</x:f>
        <x:v>0</x:v>
      </x:c>
    </x:row>
    <x:row r="2089">
      <x:c r="A2089" s="28"/>
      <x:c r="B2089" s="28"/>
      <x:c r="C2089" s="28"/>
      <x:c r="D2089" s="28"/>
      <x:c r="E2089" s="28"/>
      <x:c r="F2089" s="28"/>
      <x:c r="G2089" s="28"/>
      <x:c r="H2089" s="28"/>
      <x:c r="I2089" s="28"/>
      <x:c r="J2089" s="28"/>
      <x:c r="K2089" s="28"/>
      <x:c r="L2089" s="28"/>
      <x:c r="M2089" s="28"/>
      <x:c r="N2089" s="28"/>
      <x:c r="O2089" s="28"/>
      <x:c r="P2089" s="28"/>
      <x:c r="Q2089" s="28"/>
      <x:c r="R2089" s="28"/>
      <x:c r="S2089" s="28"/>
      <x:c r="T2089" s="28"/>
      <x:c r="U2089" s="28"/>
      <x:c r="V2089" s="28"/>
      <x:c r="W2089" s="43" t="n">
        <x:f>--AND(N2089=1,OR(O2089="SUPPORTED",O2089="HALLUCINATION"))</x:f>
        <x:v>0</x:v>
      </x:c>
      <x:c r="X2089" s="43" t="n">
        <x:f>--AND(W2089=1,O2089="HALLUCINATION")</x:f>
        <x:v>0</x:v>
      </x:c>
      <x:c r="Y2089" s="43" t="n">
        <x:f>--AND(Q2089=1,O2089="HALLUCINATION")</x:f>
        <x:v>0</x:v>
      </x:c>
      <x:c r="Z2089" s="43" t="n">
        <x:f>--AND(Y2089=1,R2089=1,S2089=1)</x:f>
        <x:v>0</x:v>
      </x:c>
      <x:c r="AC2089" t="str">
        <x:f>IF(OR(AA2089="",AB2089=""),"",--(AA2089&lt;&gt;AB2089))</x:f>
      </x:c>
      <x:c r="AE2089" t="str">
        <x:f>IF(OR(AA2089="",AB2089=""),"PENDING_HUMAN",IF(AA2089=AB2089,AA2089,IF(AD2089&lt;&gt;"",AD2089,"PENDING_HUMAN")))</x:f>
        <x:v>PENDING_HUMAN</x:v>
      </x:c>
      <x:c r="AF2089" t="n">
        <x:f>--AND(A2089&lt;&gt;"",AA2089&lt;&gt;"",AB2089&lt;&gt;"",OR(AA2089=AB2089,AD2089&lt;&gt;""),IF(AE2089="HALLUCINATION",U2089&lt;&gt;"",TRUE))</x:f>
        <x:v>0</x:v>
      </x:c>
      <x:c r="AG2089" t="n">
        <x:f>--AND(N2089=1,AF2089=1,OR(AE2089="SUPPORTED",AE2089="HALLUCINATION"))</x:f>
        <x:v>0</x:v>
      </x:c>
      <x:c r="AH2089" t="n">
        <x:f>--AND(AG2089=1,AE2089="HALLUCINATION")</x:f>
        <x:v>0</x:v>
      </x:c>
      <x:c r="AI2089" t="n">
        <x:f>--AND(Q2089=1,AF2089=1,AE2089="HALLUCINATION")</x:f>
        <x:v>0</x:v>
      </x:c>
      <x:c r="AJ2089" t="n">
        <x:f>--AND(AI2089=1,R2089=1,S2089=1)</x:f>
        <x:v>0</x:v>
      </x:c>
    </x:row>
    <x:row r="2090">
      <x:c r="A2090" s="28"/>
      <x:c r="B2090" s="28"/>
      <x:c r="C2090" s="28"/>
      <x:c r="D2090" s="28"/>
      <x:c r="E2090" s="28"/>
      <x:c r="F2090" s="28"/>
      <x:c r="G2090" s="28"/>
      <x:c r="H2090" s="28"/>
      <x:c r="I2090" s="28"/>
      <x:c r="J2090" s="28"/>
      <x:c r="K2090" s="28"/>
      <x:c r="L2090" s="28"/>
      <x:c r="M2090" s="28"/>
      <x:c r="N2090" s="28"/>
      <x:c r="O2090" s="28"/>
      <x:c r="P2090" s="28"/>
      <x:c r="Q2090" s="28"/>
      <x:c r="R2090" s="28"/>
      <x:c r="S2090" s="28"/>
      <x:c r="T2090" s="28"/>
      <x:c r="U2090" s="28"/>
      <x:c r="V2090" s="28"/>
      <x:c r="W2090" s="43" t="n">
        <x:f>--AND(N2090=1,OR(O2090="SUPPORTED",O2090="HALLUCINATION"))</x:f>
        <x:v>0</x:v>
      </x:c>
      <x:c r="X2090" s="43" t="n">
        <x:f>--AND(W2090=1,O2090="HALLUCINATION")</x:f>
        <x:v>0</x:v>
      </x:c>
      <x:c r="Y2090" s="43" t="n">
        <x:f>--AND(Q2090=1,O2090="HALLUCINATION")</x:f>
        <x:v>0</x:v>
      </x:c>
      <x:c r="Z2090" s="43" t="n">
        <x:f>--AND(Y2090=1,R2090=1,S2090=1)</x:f>
        <x:v>0</x:v>
      </x:c>
      <x:c r="AC2090" t="str">
        <x:f>IF(OR(AA2090="",AB2090=""),"",--(AA2090&lt;&gt;AB2090))</x:f>
      </x:c>
      <x:c r="AE2090" t="str">
        <x:f>IF(OR(AA2090="",AB2090=""),"PENDING_HUMAN",IF(AA2090=AB2090,AA2090,IF(AD2090&lt;&gt;"",AD2090,"PENDING_HUMAN")))</x:f>
        <x:v>PENDING_HUMAN</x:v>
      </x:c>
      <x:c r="AF2090" t="n">
        <x:f>--AND(A2090&lt;&gt;"",AA2090&lt;&gt;"",AB2090&lt;&gt;"",OR(AA2090=AB2090,AD2090&lt;&gt;""),IF(AE2090="HALLUCINATION",U2090&lt;&gt;"",TRUE))</x:f>
        <x:v>0</x:v>
      </x:c>
      <x:c r="AG2090" t="n">
        <x:f>--AND(N2090=1,AF2090=1,OR(AE2090="SUPPORTED",AE2090="HALLUCINATION"))</x:f>
        <x:v>0</x:v>
      </x:c>
      <x:c r="AH2090" t="n">
        <x:f>--AND(AG2090=1,AE2090="HALLUCINATION")</x:f>
        <x:v>0</x:v>
      </x:c>
      <x:c r="AI2090" t="n">
        <x:f>--AND(Q2090=1,AF2090=1,AE2090="HALLUCINATION")</x:f>
        <x:v>0</x:v>
      </x:c>
      <x:c r="AJ2090" t="n">
        <x:f>--AND(AI2090=1,R2090=1,S2090=1)</x:f>
        <x:v>0</x:v>
      </x:c>
    </x:row>
    <x:row r="2091">
      <x:c r="A2091" s="28"/>
      <x:c r="B2091" s="28"/>
      <x:c r="C2091" s="28"/>
      <x:c r="D2091" s="28"/>
      <x:c r="E2091" s="28"/>
      <x:c r="F2091" s="28"/>
      <x:c r="G2091" s="28"/>
      <x:c r="H2091" s="28"/>
      <x:c r="I2091" s="28"/>
      <x:c r="J2091" s="28"/>
      <x:c r="K2091" s="28"/>
      <x:c r="L2091" s="28"/>
      <x:c r="M2091" s="28"/>
      <x:c r="N2091" s="28"/>
      <x:c r="O2091" s="28"/>
      <x:c r="P2091" s="28"/>
      <x:c r="Q2091" s="28"/>
      <x:c r="R2091" s="28"/>
      <x:c r="S2091" s="28"/>
      <x:c r="T2091" s="28"/>
      <x:c r="U2091" s="28"/>
      <x:c r="V2091" s="28"/>
      <x:c r="W2091" s="43" t="n">
        <x:f>--AND(N2091=1,OR(O2091="SUPPORTED",O2091="HALLUCINATION"))</x:f>
        <x:v>0</x:v>
      </x:c>
      <x:c r="X2091" s="43" t="n">
        <x:f>--AND(W2091=1,O2091="HALLUCINATION")</x:f>
        <x:v>0</x:v>
      </x:c>
      <x:c r="Y2091" s="43" t="n">
        <x:f>--AND(Q2091=1,O2091="HALLUCINATION")</x:f>
        <x:v>0</x:v>
      </x:c>
      <x:c r="Z2091" s="43" t="n">
        <x:f>--AND(Y2091=1,R2091=1,S2091=1)</x:f>
        <x:v>0</x:v>
      </x:c>
      <x:c r="AC2091" t="str">
        <x:f>IF(OR(AA2091="",AB2091=""),"",--(AA2091&lt;&gt;AB2091))</x:f>
      </x:c>
      <x:c r="AE2091" t="str">
        <x:f>IF(OR(AA2091="",AB2091=""),"PENDING_HUMAN",IF(AA2091=AB2091,AA2091,IF(AD2091&lt;&gt;"",AD2091,"PENDING_HUMAN")))</x:f>
        <x:v>PENDING_HUMAN</x:v>
      </x:c>
      <x:c r="AF2091" t="n">
        <x:f>--AND(A2091&lt;&gt;"",AA2091&lt;&gt;"",AB2091&lt;&gt;"",OR(AA2091=AB2091,AD2091&lt;&gt;""),IF(AE2091="HALLUCINATION",U2091&lt;&gt;"",TRUE))</x:f>
        <x:v>0</x:v>
      </x:c>
      <x:c r="AG2091" t="n">
        <x:f>--AND(N2091=1,AF2091=1,OR(AE2091="SUPPORTED",AE2091="HALLUCINATION"))</x:f>
        <x:v>0</x:v>
      </x:c>
      <x:c r="AH2091" t="n">
        <x:f>--AND(AG2091=1,AE2091="HALLUCINATION")</x:f>
        <x:v>0</x:v>
      </x:c>
      <x:c r="AI2091" t="n">
        <x:f>--AND(Q2091=1,AF2091=1,AE2091="HALLUCINATION")</x:f>
        <x:v>0</x:v>
      </x:c>
      <x:c r="AJ2091" t="n">
        <x:f>--AND(AI2091=1,R2091=1,S2091=1)</x:f>
        <x:v>0</x:v>
      </x:c>
    </x:row>
    <x:row r="2092">
      <x:c r="A2092" s="28"/>
      <x:c r="B2092" s="28"/>
      <x:c r="C2092" s="28"/>
      <x:c r="D2092" s="28"/>
      <x:c r="E2092" s="28"/>
      <x:c r="F2092" s="28"/>
      <x:c r="G2092" s="28"/>
      <x:c r="H2092" s="28"/>
      <x:c r="I2092" s="28"/>
      <x:c r="J2092" s="28"/>
      <x:c r="K2092" s="28"/>
      <x:c r="L2092" s="28"/>
      <x:c r="M2092" s="28"/>
      <x:c r="N2092" s="28"/>
      <x:c r="O2092" s="28"/>
      <x:c r="P2092" s="28"/>
      <x:c r="Q2092" s="28"/>
      <x:c r="R2092" s="28"/>
      <x:c r="S2092" s="28"/>
      <x:c r="T2092" s="28"/>
      <x:c r="U2092" s="28"/>
      <x:c r="V2092" s="28"/>
      <x:c r="W2092" s="43" t="n">
        <x:f>--AND(N2092=1,OR(O2092="SUPPORTED",O2092="HALLUCINATION"))</x:f>
        <x:v>0</x:v>
      </x:c>
      <x:c r="X2092" s="43" t="n">
        <x:f>--AND(W2092=1,O2092="HALLUCINATION")</x:f>
        <x:v>0</x:v>
      </x:c>
      <x:c r="Y2092" s="43" t="n">
        <x:f>--AND(Q2092=1,O2092="HALLUCINATION")</x:f>
        <x:v>0</x:v>
      </x:c>
      <x:c r="Z2092" s="43" t="n">
        <x:f>--AND(Y2092=1,R2092=1,S2092=1)</x:f>
        <x:v>0</x:v>
      </x:c>
      <x:c r="AC2092" t="str">
        <x:f>IF(OR(AA2092="",AB2092=""),"",--(AA2092&lt;&gt;AB2092))</x:f>
      </x:c>
      <x:c r="AE2092" t="str">
        <x:f>IF(OR(AA2092="",AB2092=""),"PENDING_HUMAN",IF(AA2092=AB2092,AA2092,IF(AD2092&lt;&gt;"",AD2092,"PENDING_HUMAN")))</x:f>
        <x:v>PENDING_HUMAN</x:v>
      </x:c>
      <x:c r="AF2092" t="n">
        <x:f>--AND(A2092&lt;&gt;"",AA2092&lt;&gt;"",AB2092&lt;&gt;"",OR(AA2092=AB2092,AD2092&lt;&gt;""),IF(AE2092="HALLUCINATION",U2092&lt;&gt;"",TRUE))</x:f>
        <x:v>0</x:v>
      </x:c>
      <x:c r="AG2092" t="n">
        <x:f>--AND(N2092=1,AF2092=1,OR(AE2092="SUPPORTED",AE2092="HALLUCINATION"))</x:f>
        <x:v>0</x:v>
      </x:c>
      <x:c r="AH2092" t="n">
        <x:f>--AND(AG2092=1,AE2092="HALLUCINATION")</x:f>
        <x:v>0</x:v>
      </x:c>
      <x:c r="AI2092" t="n">
        <x:f>--AND(Q2092=1,AF2092=1,AE2092="HALLUCINATION")</x:f>
        <x:v>0</x:v>
      </x:c>
      <x:c r="AJ2092" t="n">
        <x:f>--AND(AI2092=1,R2092=1,S2092=1)</x:f>
        <x:v>0</x:v>
      </x:c>
    </x:row>
    <x:row r="2093">
      <x:c r="A2093" s="28"/>
      <x:c r="B2093" s="28"/>
      <x:c r="C2093" s="28"/>
      <x:c r="D2093" s="28"/>
      <x:c r="E2093" s="28"/>
      <x:c r="F2093" s="28"/>
      <x:c r="G2093" s="28"/>
      <x:c r="H2093" s="28"/>
      <x:c r="I2093" s="28"/>
      <x:c r="J2093" s="28"/>
      <x:c r="K2093" s="28"/>
      <x:c r="L2093" s="28"/>
      <x:c r="M2093" s="28"/>
      <x:c r="N2093" s="28"/>
      <x:c r="O2093" s="28"/>
      <x:c r="P2093" s="28"/>
      <x:c r="Q2093" s="28"/>
      <x:c r="R2093" s="28"/>
      <x:c r="S2093" s="28"/>
      <x:c r="T2093" s="28"/>
      <x:c r="U2093" s="28"/>
      <x:c r="V2093" s="28"/>
      <x:c r="W2093" s="43" t="n">
        <x:f>--AND(N2093=1,OR(O2093="SUPPORTED",O2093="HALLUCINATION"))</x:f>
        <x:v>0</x:v>
      </x:c>
      <x:c r="X2093" s="43" t="n">
        <x:f>--AND(W2093=1,O2093="HALLUCINATION")</x:f>
        <x:v>0</x:v>
      </x:c>
      <x:c r="Y2093" s="43" t="n">
        <x:f>--AND(Q2093=1,O2093="HALLUCINATION")</x:f>
        <x:v>0</x:v>
      </x:c>
      <x:c r="Z2093" s="43" t="n">
        <x:f>--AND(Y2093=1,R2093=1,S2093=1)</x:f>
        <x:v>0</x:v>
      </x:c>
      <x:c r="AC2093" t="str">
        <x:f>IF(OR(AA2093="",AB2093=""),"",--(AA2093&lt;&gt;AB2093))</x:f>
      </x:c>
      <x:c r="AE2093" t="str">
        <x:f>IF(OR(AA2093="",AB2093=""),"PENDING_HUMAN",IF(AA2093=AB2093,AA2093,IF(AD2093&lt;&gt;"",AD2093,"PENDING_HUMAN")))</x:f>
        <x:v>PENDING_HUMAN</x:v>
      </x:c>
      <x:c r="AF2093" t="n">
        <x:f>--AND(A2093&lt;&gt;"",AA2093&lt;&gt;"",AB2093&lt;&gt;"",OR(AA2093=AB2093,AD2093&lt;&gt;""),IF(AE2093="HALLUCINATION",U2093&lt;&gt;"",TRUE))</x:f>
        <x:v>0</x:v>
      </x:c>
      <x:c r="AG2093" t="n">
        <x:f>--AND(N2093=1,AF2093=1,OR(AE2093="SUPPORTED",AE2093="HALLUCINATION"))</x:f>
        <x:v>0</x:v>
      </x:c>
      <x:c r="AH2093" t="n">
        <x:f>--AND(AG2093=1,AE2093="HALLUCINATION")</x:f>
        <x:v>0</x:v>
      </x:c>
      <x:c r="AI2093" t="n">
        <x:f>--AND(Q2093=1,AF2093=1,AE2093="HALLUCINATION")</x:f>
        <x:v>0</x:v>
      </x:c>
      <x:c r="AJ2093" t="n">
        <x:f>--AND(AI2093=1,R2093=1,S2093=1)</x:f>
        <x:v>0</x:v>
      </x:c>
    </x:row>
    <x:row r="2094">
      <x:c r="A2094" s="28"/>
      <x:c r="B2094" s="28"/>
      <x:c r="C2094" s="28"/>
      <x:c r="D2094" s="28"/>
      <x:c r="E2094" s="28"/>
      <x:c r="F2094" s="28"/>
      <x:c r="G2094" s="28"/>
      <x:c r="H2094" s="28"/>
      <x:c r="I2094" s="28"/>
      <x:c r="J2094" s="28"/>
      <x:c r="K2094" s="28"/>
      <x:c r="L2094" s="28"/>
      <x:c r="M2094" s="28"/>
      <x:c r="N2094" s="28"/>
      <x:c r="O2094" s="28"/>
      <x:c r="P2094" s="28"/>
      <x:c r="Q2094" s="28"/>
      <x:c r="R2094" s="28"/>
      <x:c r="S2094" s="28"/>
      <x:c r="T2094" s="28"/>
      <x:c r="U2094" s="28"/>
      <x:c r="V2094" s="28"/>
      <x:c r="W2094" s="43" t="n">
        <x:f>--AND(N2094=1,OR(O2094="SUPPORTED",O2094="HALLUCINATION"))</x:f>
        <x:v>0</x:v>
      </x:c>
      <x:c r="X2094" s="43" t="n">
        <x:f>--AND(W2094=1,O2094="HALLUCINATION")</x:f>
        <x:v>0</x:v>
      </x:c>
      <x:c r="Y2094" s="43" t="n">
        <x:f>--AND(Q2094=1,O2094="HALLUCINATION")</x:f>
        <x:v>0</x:v>
      </x:c>
      <x:c r="Z2094" s="43" t="n">
        <x:f>--AND(Y2094=1,R2094=1,S2094=1)</x:f>
        <x:v>0</x:v>
      </x:c>
      <x:c r="AC2094" t="str">
        <x:f>IF(OR(AA2094="",AB2094=""),"",--(AA2094&lt;&gt;AB2094))</x:f>
      </x:c>
      <x:c r="AE2094" t="str">
        <x:f>IF(OR(AA2094="",AB2094=""),"PENDING_HUMAN",IF(AA2094=AB2094,AA2094,IF(AD2094&lt;&gt;"",AD2094,"PENDING_HUMAN")))</x:f>
        <x:v>PENDING_HUMAN</x:v>
      </x:c>
      <x:c r="AF2094" t="n">
        <x:f>--AND(A2094&lt;&gt;"",AA2094&lt;&gt;"",AB2094&lt;&gt;"",OR(AA2094=AB2094,AD2094&lt;&gt;""),IF(AE2094="HALLUCINATION",U2094&lt;&gt;"",TRUE))</x:f>
        <x:v>0</x:v>
      </x:c>
      <x:c r="AG2094" t="n">
        <x:f>--AND(N2094=1,AF2094=1,OR(AE2094="SUPPORTED",AE2094="HALLUCINATION"))</x:f>
        <x:v>0</x:v>
      </x:c>
      <x:c r="AH2094" t="n">
        <x:f>--AND(AG2094=1,AE2094="HALLUCINATION")</x:f>
        <x:v>0</x:v>
      </x:c>
      <x:c r="AI2094" t="n">
        <x:f>--AND(Q2094=1,AF2094=1,AE2094="HALLUCINATION")</x:f>
        <x:v>0</x:v>
      </x:c>
      <x:c r="AJ2094" t="n">
        <x:f>--AND(AI2094=1,R2094=1,S2094=1)</x:f>
        <x:v>0</x:v>
      </x:c>
    </x:row>
    <x:row r="2095">
      <x:c r="A2095" s="28"/>
      <x:c r="B2095" s="28"/>
      <x:c r="C2095" s="28"/>
      <x:c r="D2095" s="28"/>
      <x:c r="E2095" s="28"/>
      <x:c r="F2095" s="28"/>
      <x:c r="G2095" s="28"/>
      <x:c r="H2095" s="28"/>
      <x:c r="I2095" s="28"/>
      <x:c r="J2095" s="28"/>
      <x:c r="K2095" s="28"/>
      <x:c r="L2095" s="28"/>
      <x:c r="M2095" s="28"/>
      <x:c r="N2095" s="28"/>
      <x:c r="O2095" s="28"/>
      <x:c r="P2095" s="28"/>
      <x:c r="Q2095" s="28"/>
      <x:c r="R2095" s="28"/>
      <x:c r="S2095" s="28"/>
      <x:c r="T2095" s="28"/>
      <x:c r="U2095" s="28"/>
      <x:c r="V2095" s="28"/>
      <x:c r="W2095" s="43" t="n">
        <x:f>--AND(N2095=1,OR(O2095="SUPPORTED",O2095="HALLUCINATION"))</x:f>
        <x:v>0</x:v>
      </x:c>
      <x:c r="X2095" s="43" t="n">
        <x:f>--AND(W2095=1,O2095="HALLUCINATION")</x:f>
        <x:v>0</x:v>
      </x:c>
      <x:c r="Y2095" s="43" t="n">
        <x:f>--AND(Q2095=1,O2095="HALLUCINATION")</x:f>
        <x:v>0</x:v>
      </x:c>
      <x:c r="Z2095" s="43" t="n">
        <x:f>--AND(Y2095=1,R2095=1,S2095=1)</x:f>
        <x:v>0</x:v>
      </x:c>
      <x:c r="AC2095" t="str">
        <x:f>IF(OR(AA2095="",AB2095=""),"",--(AA2095&lt;&gt;AB2095))</x:f>
      </x:c>
      <x:c r="AE2095" t="str">
        <x:f>IF(OR(AA2095="",AB2095=""),"PENDING_HUMAN",IF(AA2095=AB2095,AA2095,IF(AD2095&lt;&gt;"",AD2095,"PENDING_HUMAN")))</x:f>
        <x:v>PENDING_HUMAN</x:v>
      </x:c>
      <x:c r="AF2095" t="n">
        <x:f>--AND(A2095&lt;&gt;"",AA2095&lt;&gt;"",AB2095&lt;&gt;"",OR(AA2095=AB2095,AD2095&lt;&gt;""),IF(AE2095="HALLUCINATION",U2095&lt;&gt;"",TRUE))</x:f>
        <x:v>0</x:v>
      </x:c>
      <x:c r="AG2095" t="n">
        <x:f>--AND(N2095=1,AF2095=1,OR(AE2095="SUPPORTED",AE2095="HALLUCINATION"))</x:f>
        <x:v>0</x:v>
      </x:c>
      <x:c r="AH2095" t="n">
        <x:f>--AND(AG2095=1,AE2095="HALLUCINATION")</x:f>
        <x:v>0</x:v>
      </x:c>
      <x:c r="AI2095" t="n">
        <x:f>--AND(Q2095=1,AF2095=1,AE2095="HALLUCINATION")</x:f>
        <x:v>0</x:v>
      </x:c>
      <x:c r="AJ2095" t="n">
        <x:f>--AND(AI2095=1,R2095=1,S2095=1)</x:f>
        <x:v>0</x:v>
      </x:c>
    </x:row>
    <x:row r="2096">
      <x:c r="A2096" s="28"/>
      <x:c r="B2096" s="28"/>
      <x:c r="C2096" s="28"/>
      <x:c r="D2096" s="28"/>
      <x:c r="E2096" s="28"/>
      <x:c r="F2096" s="28"/>
      <x:c r="G2096" s="28"/>
      <x:c r="H2096" s="28"/>
      <x:c r="I2096" s="28"/>
      <x:c r="J2096" s="28"/>
      <x:c r="K2096" s="28"/>
      <x:c r="L2096" s="28"/>
      <x:c r="M2096" s="28"/>
      <x:c r="N2096" s="28"/>
      <x:c r="O2096" s="28"/>
      <x:c r="P2096" s="28"/>
      <x:c r="Q2096" s="28"/>
      <x:c r="R2096" s="28"/>
      <x:c r="S2096" s="28"/>
      <x:c r="T2096" s="28"/>
      <x:c r="U2096" s="28"/>
      <x:c r="V2096" s="28"/>
      <x:c r="W2096" s="43" t="n">
        <x:f>--AND(N2096=1,OR(O2096="SUPPORTED",O2096="HALLUCINATION"))</x:f>
        <x:v>0</x:v>
      </x:c>
      <x:c r="X2096" s="43" t="n">
        <x:f>--AND(W2096=1,O2096="HALLUCINATION")</x:f>
        <x:v>0</x:v>
      </x:c>
      <x:c r="Y2096" s="43" t="n">
        <x:f>--AND(Q2096=1,O2096="HALLUCINATION")</x:f>
        <x:v>0</x:v>
      </x:c>
      <x:c r="Z2096" s="43" t="n">
        <x:f>--AND(Y2096=1,R2096=1,S2096=1)</x:f>
        <x:v>0</x:v>
      </x:c>
      <x:c r="AC2096" t="str">
        <x:f>IF(OR(AA2096="",AB2096=""),"",--(AA2096&lt;&gt;AB2096))</x:f>
      </x:c>
      <x:c r="AE2096" t="str">
        <x:f>IF(OR(AA2096="",AB2096=""),"PENDING_HUMAN",IF(AA2096=AB2096,AA2096,IF(AD2096&lt;&gt;"",AD2096,"PENDING_HUMAN")))</x:f>
        <x:v>PENDING_HUMAN</x:v>
      </x:c>
      <x:c r="AF2096" t="n">
        <x:f>--AND(A2096&lt;&gt;"",AA2096&lt;&gt;"",AB2096&lt;&gt;"",OR(AA2096=AB2096,AD2096&lt;&gt;""),IF(AE2096="HALLUCINATION",U2096&lt;&gt;"",TRUE))</x:f>
        <x:v>0</x:v>
      </x:c>
      <x:c r="AG2096" t="n">
        <x:f>--AND(N2096=1,AF2096=1,OR(AE2096="SUPPORTED",AE2096="HALLUCINATION"))</x:f>
        <x:v>0</x:v>
      </x:c>
      <x:c r="AH2096" t="n">
        <x:f>--AND(AG2096=1,AE2096="HALLUCINATION")</x:f>
        <x:v>0</x:v>
      </x:c>
      <x:c r="AI2096" t="n">
        <x:f>--AND(Q2096=1,AF2096=1,AE2096="HALLUCINATION")</x:f>
        <x:v>0</x:v>
      </x:c>
      <x:c r="AJ2096" t="n">
        <x:f>--AND(AI2096=1,R2096=1,S2096=1)</x:f>
        <x:v>0</x:v>
      </x:c>
    </x:row>
    <x:row r="2097">
      <x:c r="A2097" s="28"/>
      <x:c r="B2097" s="28"/>
      <x:c r="C2097" s="28"/>
      <x:c r="D2097" s="28"/>
      <x:c r="E2097" s="28"/>
      <x:c r="F2097" s="28"/>
      <x:c r="G2097" s="28"/>
      <x:c r="H2097" s="28"/>
      <x:c r="I2097" s="28"/>
      <x:c r="J2097" s="28"/>
      <x:c r="K2097" s="28"/>
      <x:c r="L2097" s="28"/>
      <x:c r="M2097" s="28"/>
      <x:c r="N2097" s="28"/>
      <x:c r="O2097" s="28"/>
      <x:c r="P2097" s="28"/>
      <x:c r="Q2097" s="28"/>
      <x:c r="R2097" s="28"/>
      <x:c r="S2097" s="28"/>
      <x:c r="T2097" s="28"/>
      <x:c r="U2097" s="28"/>
      <x:c r="V2097" s="28"/>
      <x:c r="W2097" s="43" t="n">
        <x:f>--AND(N2097=1,OR(O2097="SUPPORTED",O2097="HALLUCINATION"))</x:f>
        <x:v>0</x:v>
      </x:c>
      <x:c r="X2097" s="43" t="n">
        <x:f>--AND(W2097=1,O2097="HALLUCINATION")</x:f>
        <x:v>0</x:v>
      </x:c>
      <x:c r="Y2097" s="43" t="n">
        <x:f>--AND(Q2097=1,O2097="HALLUCINATION")</x:f>
        <x:v>0</x:v>
      </x:c>
      <x:c r="Z2097" s="43" t="n">
        <x:f>--AND(Y2097=1,R2097=1,S2097=1)</x:f>
        <x:v>0</x:v>
      </x:c>
      <x:c r="AC2097" t="str">
        <x:f>IF(OR(AA2097="",AB2097=""),"",--(AA2097&lt;&gt;AB2097))</x:f>
      </x:c>
      <x:c r="AE2097" t="str">
        <x:f>IF(OR(AA2097="",AB2097=""),"PENDING_HUMAN",IF(AA2097=AB2097,AA2097,IF(AD2097&lt;&gt;"",AD2097,"PENDING_HUMAN")))</x:f>
        <x:v>PENDING_HUMAN</x:v>
      </x:c>
      <x:c r="AF2097" t="n">
        <x:f>--AND(A2097&lt;&gt;"",AA2097&lt;&gt;"",AB2097&lt;&gt;"",OR(AA2097=AB2097,AD2097&lt;&gt;""),IF(AE2097="HALLUCINATION",U2097&lt;&gt;"",TRUE))</x:f>
        <x:v>0</x:v>
      </x:c>
      <x:c r="AG2097" t="n">
        <x:f>--AND(N2097=1,AF2097=1,OR(AE2097="SUPPORTED",AE2097="HALLUCINATION"))</x:f>
        <x:v>0</x:v>
      </x:c>
      <x:c r="AH2097" t="n">
        <x:f>--AND(AG2097=1,AE2097="HALLUCINATION")</x:f>
        <x:v>0</x:v>
      </x:c>
      <x:c r="AI2097" t="n">
        <x:f>--AND(Q2097=1,AF2097=1,AE2097="HALLUCINATION")</x:f>
        <x:v>0</x:v>
      </x:c>
      <x:c r="AJ2097" t="n">
        <x:f>--AND(AI2097=1,R2097=1,S2097=1)</x:f>
        <x:v>0</x:v>
      </x:c>
    </x:row>
    <x:row r="2098">
      <x:c r="A2098" s="28"/>
      <x:c r="B2098" s="28"/>
      <x:c r="C2098" s="28"/>
      <x:c r="D2098" s="28"/>
      <x:c r="E2098" s="28"/>
      <x:c r="F2098" s="28"/>
      <x:c r="G2098" s="28"/>
      <x:c r="H2098" s="28"/>
      <x:c r="I2098" s="28"/>
      <x:c r="J2098" s="28"/>
      <x:c r="K2098" s="28"/>
      <x:c r="L2098" s="28"/>
      <x:c r="M2098" s="28"/>
      <x:c r="N2098" s="28"/>
      <x:c r="O2098" s="28"/>
      <x:c r="P2098" s="28"/>
      <x:c r="Q2098" s="28"/>
      <x:c r="R2098" s="28"/>
      <x:c r="S2098" s="28"/>
      <x:c r="T2098" s="28"/>
      <x:c r="U2098" s="28"/>
      <x:c r="V2098" s="28"/>
      <x:c r="W2098" s="43" t="n">
        <x:f>--AND(N2098=1,OR(O2098="SUPPORTED",O2098="HALLUCINATION"))</x:f>
        <x:v>0</x:v>
      </x:c>
      <x:c r="X2098" s="43" t="n">
        <x:f>--AND(W2098=1,O2098="HALLUCINATION")</x:f>
        <x:v>0</x:v>
      </x:c>
      <x:c r="Y2098" s="43" t="n">
        <x:f>--AND(Q2098=1,O2098="HALLUCINATION")</x:f>
        <x:v>0</x:v>
      </x:c>
      <x:c r="Z2098" s="43" t="n">
        <x:f>--AND(Y2098=1,R2098=1,S2098=1)</x:f>
        <x:v>0</x:v>
      </x:c>
      <x:c r="AC2098" t="str">
        <x:f>IF(OR(AA2098="",AB2098=""),"",--(AA2098&lt;&gt;AB2098))</x:f>
      </x:c>
      <x:c r="AE2098" t="str">
        <x:f>IF(OR(AA2098="",AB2098=""),"PENDING_HUMAN",IF(AA2098=AB2098,AA2098,IF(AD2098&lt;&gt;"",AD2098,"PENDING_HUMAN")))</x:f>
        <x:v>PENDING_HUMAN</x:v>
      </x:c>
      <x:c r="AF2098" t="n">
        <x:f>--AND(A2098&lt;&gt;"",AA2098&lt;&gt;"",AB2098&lt;&gt;"",OR(AA2098=AB2098,AD2098&lt;&gt;""),IF(AE2098="HALLUCINATION",U2098&lt;&gt;"",TRUE))</x:f>
        <x:v>0</x:v>
      </x:c>
      <x:c r="AG2098" t="n">
        <x:f>--AND(N2098=1,AF2098=1,OR(AE2098="SUPPORTED",AE2098="HALLUCINATION"))</x:f>
        <x:v>0</x:v>
      </x:c>
      <x:c r="AH2098" t="n">
        <x:f>--AND(AG2098=1,AE2098="HALLUCINATION")</x:f>
        <x:v>0</x:v>
      </x:c>
      <x:c r="AI2098" t="n">
        <x:f>--AND(Q2098=1,AF2098=1,AE2098="HALLUCINATION")</x:f>
        <x:v>0</x:v>
      </x:c>
      <x:c r="AJ2098" t="n">
        <x:f>--AND(AI2098=1,R2098=1,S2098=1)</x:f>
        <x:v>0</x:v>
      </x:c>
    </x:row>
    <x:row r="2099">
      <x:c r="A2099" s="28"/>
      <x:c r="B2099" s="28"/>
      <x:c r="C2099" s="28"/>
      <x:c r="D2099" s="28"/>
      <x:c r="E2099" s="28"/>
      <x:c r="F2099" s="28"/>
      <x:c r="G2099" s="28"/>
      <x:c r="H2099" s="28"/>
      <x:c r="I2099" s="28"/>
      <x:c r="J2099" s="28"/>
      <x:c r="K2099" s="28"/>
      <x:c r="L2099" s="28"/>
      <x:c r="M2099" s="28"/>
      <x:c r="N2099" s="28"/>
      <x:c r="O2099" s="28"/>
      <x:c r="P2099" s="28"/>
      <x:c r="Q2099" s="28"/>
      <x:c r="R2099" s="28"/>
      <x:c r="S2099" s="28"/>
      <x:c r="T2099" s="28"/>
      <x:c r="U2099" s="28"/>
      <x:c r="V2099" s="28"/>
      <x:c r="W2099" s="43" t="n">
        <x:f>--AND(N2099=1,OR(O2099="SUPPORTED",O2099="HALLUCINATION"))</x:f>
        <x:v>0</x:v>
      </x:c>
      <x:c r="X2099" s="43" t="n">
        <x:f>--AND(W2099=1,O2099="HALLUCINATION")</x:f>
        <x:v>0</x:v>
      </x:c>
      <x:c r="Y2099" s="43" t="n">
        <x:f>--AND(Q2099=1,O2099="HALLUCINATION")</x:f>
        <x:v>0</x:v>
      </x:c>
      <x:c r="Z2099" s="43" t="n">
        <x:f>--AND(Y2099=1,R2099=1,S2099=1)</x:f>
        <x:v>0</x:v>
      </x:c>
      <x:c r="AC2099" t="str">
        <x:f>IF(OR(AA2099="",AB2099=""),"",--(AA2099&lt;&gt;AB2099))</x:f>
      </x:c>
      <x:c r="AE2099" t="str">
        <x:f>IF(OR(AA2099="",AB2099=""),"PENDING_HUMAN",IF(AA2099=AB2099,AA2099,IF(AD2099&lt;&gt;"",AD2099,"PENDING_HUMAN")))</x:f>
        <x:v>PENDING_HUMAN</x:v>
      </x:c>
      <x:c r="AF2099" t="n">
        <x:f>--AND(A2099&lt;&gt;"",AA2099&lt;&gt;"",AB2099&lt;&gt;"",OR(AA2099=AB2099,AD2099&lt;&gt;""),IF(AE2099="HALLUCINATION",U2099&lt;&gt;"",TRUE))</x:f>
        <x:v>0</x:v>
      </x:c>
      <x:c r="AG2099" t="n">
        <x:f>--AND(N2099=1,AF2099=1,OR(AE2099="SUPPORTED",AE2099="HALLUCINATION"))</x:f>
        <x:v>0</x:v>
      </x:c>
      <x:c r="AH2099" t="n">
        <x:f>--AND(AG2099=1,AE2099="HALLUCINATION")</x:f>
        <x:v>0</x:v>
      </x:c>
      <x:c r="AI2099" t="n">
        <x:f>--AND(Q2099=1,AF2099=1,AE2099="HALLUCINATION")</x:f>
        <x:v>0</x:v>
      </x:c>
      <x:c r="AJ2099" t="n">
        <x:f>--AND(AI2099=1,R2099=1,S2099=1)</x:f>
        <x:v>0</x:v>
      </x:c>
    </x:row>
    <x:row r="2100">
      <x:c r="A2100" s="28"/>
      <x:c r="B2100" s="28"/>
      <x:c r="C2100" s="28"/>
      <x:c r="D2100" s="28"/>
      <x:c r="E2100" s="28"/>
      <x:c r="F2100" s="28"/>
      <x:c r="G2100" s="28"/>
      <x:c r="H2100" s="28"/>
      <x:c r="I2100" s="28"/>
      <x:c r="J2100" s="28"/>
      <x:c r="K2100" s="28"/>
      <x:c r="L2100" s="28"/>
      <x:c r="M2100" s="28"/>
      <x:c r="N2100" s="28"/>
      <x:c r="O2100" s="28"/>
      <x:c r="P2100" s="28"/>
      <x:c r="Q2100" s="28"/>
      <x:c r="R2100" s="28"/>
      <x:c r="S2100" s="28"/>
      <x:c r="T2100" s="28"/>
      <x:c r="U2100" s="28"/>
      <x:c r="V2100" s="28"/>
      <x:c r="W2100" s="43" t="n">
        <x:f>--AND(N2100=1,OR(O2100="SUPPORTED",O2100="HALLUCINATION"))</x:f>
        <x:v>0</x:v>
      </x:c>
      <x:c r="X2100" s="43" t="n">
        <x:f>--AND(W2100=1,O2100="HALLUCINATION")</x:f>
        <x:v>0</x:v>
      </x:c>
      <x:c r="Y2100" s="43" t="n">
        <x:f>--AND(Q2100=1,O2100="HALLUCINATION")</x:f>
        <x:v>0</x:v>
      </x:c>
      <x:c r="Z2100" s="43" t="n">
        <x:f>--AND(Y2100=1,R2100=1,S2100=1)</x:f>
        <x:v>0</x:v>
      </x:c>
      <x:c r="AC2100" t="str">
        <x:f>IF(OR(AA2100="",AB2100=""),"",--(AA2100&lt;&gt;AB2100))</x:f>
      </x:c>
      <x:c r="AE2100" t="str">
        <x:f>IF(OR(AA2100="",AB2100=""),"PENDING_HUMAN",IF(AA2100=AB2100,AA2100,IF(AD2100&lt;&gt;"",AD2100,"PENDING_HUMAN")))</x:f>
        <x:v>PENDING_HUMAN</x:v>
      </x:c>
      <x:c r="AF2100" t="n">
        <x:f>--AND(A2100&lt;&gt;"",AA2100&lt;&gt;"",AB2100&lt;&gt;"",OR(AA2100=AB2100,AD2100&lt;&gt;""),IF(AE2100="HALLUCINATION",U2100&lt;&gt;"",TRUE))</x:f>
        <x:v>0</x:v>
      </x:c>
      <x:c r="AG2100" t="n">
        <x:f>--AND(N2100=1,AF2100=1,OR(AE2100="SUPPORTED",AE2100="HALLUCINATION"))</x:f>
        <x:v>0</x:v>
      </x:c>
      <x:c r="AH2100" t="n">
        <x:f>--AND(AG2100=1,AE2100="HALLUCINATION")</x:f>
        <x:v>0</x:v>
      </x:c>
      <x:c r="AI2100" t="n">
        <x:f>--AND(Q2100=1,AF2100=1,AE2100="HALLUCINATION")</x:f>
        <x:v>0</x:v>
      </x:c>
      <x:c r="AJ2100" t="n">
        <x:f>--AND(AI2100=1,R2100=1,S2100=1)</x:f>
        <x:v>0</x:v>
      </x:c>
    </x:row>
    <x:row r="2101">
      <x:c r="A2101" s="28"/>
      <x:c r="B2101" s="28"/>
      <x:c r="C2101" s="28"/>
      <x:c r="D2101" s="28"/>
      <x:c r="E2101" s="28"/>
      <x:c r="F2101" s="28"/>
      <x:c r="G2101" s="28"/>
      <x:c r="H2101" s="28"/>
      <x:c r="I2101" s="28"/>
      <x:c r="J2101" s="28"/>
      <x:c r="K2101" s="28"/>
      <x:c r="L2101" s="28"/>
      <x:c r="M2101" s="28"/>
      <x:c r="N2101" s="28"/>
      <x:c r="O2101" s="28"/>
      <x:c r="P2101" s="28"/>
      <x:c r="Q2101" s="28"/>
      <x:c r="R2101" s="28"/>
      <x:c r="S2101" s="28"/>
      <x:c r="T2101" s="28"/>
      <x:c r="U2101" s="28"/>
      <x:c r="V2101" s="28"/>
      <x:c r="W2101" s="43" t="n">
        <x:f>--AND(N2101=1,OR(O2101="SUPPORTED",O2101="HALLUCINATION"))</x:f>
        <x:v>0</x:v>
      </x:c>
      <x:c r="X2101" s="43" t="n">
        <x:f>--AND(W2101=1,O2101="HALLUCINATION")</x:f>
        <x:v>0</x:v>
      </x:c>
      <x:c r="Y2101" s="43" t="n">
        <x:f>--AND(Q2101=1,O2101="HALLUCINATION")</x:f>
        <x:v>0</x:v>
      </x:c>
      <x:c r="Z2101" s="43" t="n">
        <x:f>--AND(Y2101=1,R2101=1,S2101=1)</x:f>
        <x:v>0</x:v>
      </x:c>
      <x:c r="AC2101" t="str">
        <x:f>IF(OR(AA2101="",AB2101=""),"",--(AA2101&lt;&gt;AB2101))</x:f>
      </x:c>
      <x:c r="AE2101" t="str">
        <x:f>IF(OR(AA2101="",AB2101=""),"PENDING_HUMAN",IF(AA2101=AB2101,AA2101,IF(AD2101&lt;&gt;"",AD2101,"PENDING_HUMAN")))</x:f>
        <x:v>PENDING_HUMAN</x:v>
      </x:c>
      <x:c r="AF2101" t="n">
        <x:f>--AND(A2101&lt;&gt;"",AA2101&lt;&gt;"",AB2101&lt;&gt;"",OR(AA2101=AB2101,AD2101&lt;&gt;""),IF(AE2101="HALLUCINATION",U2101&lt;&gt;"",TRUE))</x:f>
        <x:v>0</x:v>
      </x:c>
      <x:c r="AG2101" t="n">
        <x:f>--AND(N2101=1,AF2101=1,OR(AE2101="SUPPORTED",AE2101="HALLUCINATION"))</x:f>
        <x:v>0</x:v>
      </x:c>
      <x:c r="AH2101" t="n">
        <x:f>--AND(AG2101=1,AE2101="HALLUCINATION")</x:f>
        <x:v>0</x:v>
      </x:c>
      <x:c r="AI2101" t="n">
        <x:f>--AND(Q2101=1,AF2101=1,AE2101="HALLUCINATION")</x:f>
        <x:v>0</x:v>
      </x:c>
      <x:c r="AJ2101" t="n">
        <x:f>--AND(AI2101=1,R2101=1,S2101=1)</x:f>
        <x:v>0</x:v>
      </x:c>
    </x:row>
    <x:row r="2102">
      <x:c r="A2102" s="28"/>
      <x:c r="B2102" s="28"/>
      <x:c r="C2102" s="28"/>
      <x:c r="D2102" s="28"/>
      <x:c r="E2102" s="28"/>
      <x:c r="F2102" s="28"/>
      <x:c r="G2102" s="28"/>
      <x:c r="H2102" s="28"/>
      <x:c r="I2102" s="28"/>
      <x:c r="J2102" s="28"/>
      <x:c r="K2102" s="28"/>
      <x:c r="L2102" s="28"/>
      <x:c r="M2102" s="28"/>
      <x:c r="N2102" s="28"/>
      <x:c r="O2102" s="28"/>
      <x:c r="P2102" s="28"/>
      <x:c r="Q2102" s="28"/>
      <x:c r="R2102" s="28"/>
      <x:c r="S2102" s="28"/>
      <x:c r="T2102" s="28"/>
      <x:c r="U2102" s="28"/>
      <x:c r="V2102" s="28"/>
      <x:c r="W2102" s="43" t="n">
        <x:f>--AND(N2102=1,OR(O2102="SUPPORTED",O2102="HALLUCINATION"))</x:f>
        <x:v>0</x:v>
      </x:c>
      <x:c r="X2102" s="43" t="n">
        <x:f>--AND(W2102=1,O2102="HALLUCINATION")</x:f>
        <x:v>0</x:v>
      </x:c>
      <x:c r="Y2102" s="43" t="n">
        <x:f>--AND(Q2102=1,O2102="HALLUCINATION")</x:f>
        <x:v>0</x:v>
      </x:c>
      <x:c r="Z2102" s="43" t="n">
        <x:f>--AND(Y2102=1,R2102=1,S2102=1)</x:f>
        <x:v>0</x:v>
      </x:c>
      <x:c r="AC2102" t="str">
        <x:f>IF(OR(AA2102="",AB2102=""),"",--(AA2102&lt;&gt;AB2102))</x:f>
      </x:c>
      <x:c r="AE2102" t="str">
        <x:f>IF(OR(AA2102="",AB2102=""),"PENDING_HUMAN",IF(AA2102=AB2102,AA2102,IF(AD2102&lt;&gt;"",AD2102,"PENDING_HUMAN")))</x:f>
        <x:v>PENDING_HUMAN</x:v>
      </x:c>
      <x:c r="AF2102" t="n">
        <x:f>--AND(A2102&lt;&gt;"",AA2102&lt;&gt;"",AB2102&lt;&gt;"",OR(AA2102=AB2102,AD2102&lt;&gt;""),IF(AE2102="HALLUCINATION",U2102&lt;&gt;"",TRUE))</x:f>
        <x:v>0</x:v>
      </x:c>
      <x:c r="AG2102" t="n">
        <x:f>--AND(N2102=1,AF2102=1,OR(AE2102="SUPPORTED",AE2102="HALLUCINATION"))</x:f>
        <x:v>0</x:v>
      </x:c>
      <x:c r="AH2102" t="n">
        <x:f>--AND(AG2102=1,AE2102="HALLUCINATION")</x:f>
        <x:v>0</x:v>
      </x:c>
      <x:c r="AI2102" t="n">
        <x:f>--AND(Q2102=1,AF2102=1,AE2102="HALLUCINATION")</x:f>
        <x:v>0</x:v>
      </x:c>
      <x:c r="AJ2102" t="n">
        <x:f>--AND(AI2102=1,R2102=1,S2102=1)</x:f>
        <x:v>0</x:v>
      </x:c>
    </x:row>
    <x:row r="2103">
      <x:c r="A2103" s="28"/>
      <x:c r="B2103" s="28"/>
      <x:c r="C2103" s="28"/>
      <x:c r="D2103" s="28"/>
      <x:c r="E2103" s="28"/>
      <x:c r="F2103" s="28"/>
      <x:c r="G2103" s="28"/>
      <x:c r="H2103" s="28"/>
      <x:c r="I2103" s="28"/>
      <x:c r="J2103" s="28"/>
      <x:c r="K2103" s="28"/>
      <x:c r="L2103" s="28"/>
      <x:c r="M2103" s="28"/>
      <x:c r="N2103" s="28"/>
      <x:c r="O2103" s="28"/>
      <x:c r="P2103" s="28"/>
      <x:c r="Q2103" s="28"/>
      <x:c r="R2103" s="28"/>
      <x:c r="S2103" s="28"/>
      <x:c r="T2103" s="28"/>
      <x:c r="U2103" s="28"/>
      <x:c r="V2103" s="28"/>
      <x:c r="W2103" s="43" t="n">
        <x:f>--AND(N2103=1,OR(O2103="SUPPORTED",O2103="HALLUCINATION"))</x:f>
        <x:v>0</x:v>
      </x:c>
      <x:c r="X2103" s="43" t="n">
        <x:f>--AND(W2103=1,O2103="HALLUCINATION")</x:f>
        <x:v>0</x:v>
      </x:c>
      <x:c r="Y2103" s="43" t="n">
        <x:f>--AND(Q2103=1,O2103="HALLUCINATION")</x:f>
        <x:v>0</x:v>
      </x:c>
      <x:c r="Z2103" s="43" t="n">
        <x:f>--AND(Y2103=1,R2103=1,S2103=1)</x:f>
        <x:v>0</x:v>
      </x:c>
      <x:c r="AC2103" t="str">
        <x:f>IF(OR(AA2103="",AB2103=""),"",--(AA2103&lt;&gt;AB2103))</x:f>
      </x:c>
      <x:c r="AE2103" t="str">
        <x:f>IF(OR(AA2103="",AB2103=""),"PENDING_HUMAN",IF(AA2103=AB2103,AA2103,IF(AD2103&lt;&gt;"",AD2103,"PENDING_HUMAN")))</x:f>
        <x:v>PENDING_HUMAN</x:v>
      </x:c>
      <x:c r="AF2103" t="n">
        <x:f>--AND(A2103&lt;&gt;"",AA2103&lt;&gt;"",AB2103&lt;&gt;"",OR(AA2103=AB2103,AD2103&lt;&gt;""),IF(AE2103="HALLUCINATION",U2103&lt;&gt;"",TRUE))</x:f>
        <x:v>0</x:v>
      </x:c>
      <x:c r="AG2103" t="n">
        <x:f>--AND(N2103=1,AF2103=1,OR(AE2103="SUPPORTED",AE2103="HALLUCINATION"))</x:f>
        <x:v>0</x:v>
      </x:c>
      <x:c r="AH2103" t="n">
        <x:f>--AND(AG2103=1,AE2103="HALLUCINATION")</x:f>
        <x:v>0</x:v>
      </x:c>
      <x:c r="AI2103" t="n">
        <x:f>--AND(Q2103=1,AF2103=1,AE2103="HALLUCINATION")</x:f>
        <x:v>0</x:v>
      </x:c>
      <x:c r="AJ2103" t="n">
        <x:f>--AND(AI2103=1,R2103=1,S2103=1)</x:f>
        <x:v>0</x:v>
      </x:c>
    </x:row>
    <x:row r="2104">
      <x:c r="A2104" s="28"/>
      <x:c r="B2104" s="28"/>
      <x:c r="C2104" s="28"/>
      <x:c r="D2104" s="28"/>
      <x:c r="E2104" s="28"/>
      <x:c r="F2104" s="28"/>
      <x:c r="G2104" s="28"/>
      <x:c r="H2104" s="28"/>
      <x:c r="I2104" s="28"/>
      <x:c r="J2104" s="28"/>
      <x:c r="K2104" s="28"/>
      <x:c r="L2104" s="28"/>
      <x:c r="M2104" s="28"/>
      <x:c r="N2104" s="28"/>
      <x:c r="O2104" s="28"/>
      <x:c r="P2104" s="28"/>
      <x:c r="Q2104" s="28"/>
      <x:c r="R2104" s="28"/>
      <x:c r="S2104" s="28"/>
      <x:c r="T2104" s="28"/>
      <x:c r="U2104" s="28"/>
      <x:c r="V2104" s="28"/>
      <x:c r="W2104" s="43" t="n">
        <x:f>--AND(N2104=1,OR(O2104="SUPPORTED",O2104="HALLUCINATION"))</x:f>
        <x:v>0</x:v>
      </x:c>
      <x:c r="X2104" s="43" t="n">
        <x:f>--AND(W2104=1,O2104="HALLUCINATION")</x:f>
        <x:v>0</x:v>
      </x:c>
      <x:c r="Y2104" s="43" t="n">
        <x:f>--AND(Q2104=1,O2104="HALLUCINATION")</x:f>
        <x:v>0</x:v>
      </x:c>
      <x:c r="Z2104" s="43" t="n">
        <x:f>--AND(Y2104=1,R2104=1,S2104=1)</x:f>
        <x:v>0</x:v>
      </x:c>
      <x:c r="AC2104" t="str">
        <x:f>IF(OR(AA2104="",AB2104=""),"",--(AA2104&lt;&gt;AB2104))</x:f>
      </x:c>
      <x:c r="AE2104" t="str">
        <x:f>IF(OR(AA2104="",AB2104=""),"PENDING_HUMAN",IF(AA2104=AB2104,AA2104,IF(AD2104&lt;&gt;"",AD2104,"PENDING_HUMAN")))</x:f>
        <x:v>PENDING_HUMAN</x:v>
      </x:c>
      <x:c r="AF2104" t="n">
        <x:f>--AND(A2104&lt;&gt;"",AA2104&lt;&gt;"",AB2104&lt;&gt;"",OR(AA2104=AB2104,AD2104&lt;&gt;""),IF(AE2104="HALLUCINATION",U2104&lt;&gt;"",TRUE))</x:f>
        <x:v>0</x:v>
      </x:c>
      <x:c r="AG2104" t="n">
        <x:f>--AND(N2104=1,AF2104=1,OR(AE2104="SUPPORTED",AE2104="HALLUCINATION"))</x:f>
        <x:v>0</x:v>
      </x:c>
      <x:c r="AH2104" t="n">
        <x:f>--AND(AG2104=1,AE2104="HALLUCINATION")</x:f>
        <x:v>0</x:v>
      </x:c>
      <x:c r="AI2104" t="n">
        <x:f>--AND(Q2104=1,AF2104=1,AE2104="HALLUCINATION")</x:f>
        <x:v>0</x:v>
      </x:c>
      <x:c r="AJ2104" t="n">
        <x:f>--AND(AI2104=1,R2104=1,S2104=1)</x:f>
        <x:v>0</x:v>
      </x:c>
    </x:row>
    <x:row r="2105">
      <x:c r="A2105" s="28"/>
      <x:c r="B2105" s="28"/>
      <x:c r="C2105" s="28"/>
      <x:c r="D2105" s="28"/>
      <x:c r="E2105" s="28"/>
      <x:c r="F2105" s="28"/>
      <x:c r="G2105" s="28"/>
      <x:c r="H2105" s="28"/>
      <x:c r="I2105" s="28"/>
      <x:c r="J2105" s="28"/>
      <x:c r="K2105" s="28"/>
      <x:c r="L2105" s="28"/>
      <x:c r="M2105" s="28"/>
      <x:c r="N2105" s="28"/>
      <x:c r="O2105" s="28"/>
      <x:c r="P2105" s="28"/>
      <x:c r="Q2105" s="28"/>
      <x:c r="R2105" s="28"/>
      <x:c r="S2105" s="28"/>
      <x:c r="T2105" s="28"/>
      <x:c r="U2105" s="28"/>
      <x:c r="V2105" s="28"/>
      <x:c r="W2105" s="43" t="n">
        <x:f>--AND(N2105=1,OR(O2105="SUPPORTED",O2105="HALLUCINATION"))</x:f>
        <x:v>0</x:v>
      </x:c>
      <x:c r="X2105" s="43" t="n">
        <x:f>--AND(W2105=1,O2105="HALLUCINATION")</x:f>
        <x:v>0</x:v>
      </x:c>
      <x:c r="Y2105" s="43" t="n">
        <x:f>--AND(Q2105=1,O2105="HALLUCINATION")</x:f>
        <x:v>0</x:v>
      </x:c>
      <x:c r="Z2105" s="43" t="n">
        <x:f>--AND(Y2105=1,R2105=1,S2105=1)</x:f>
        <x:v>0</x:v>
      </x:c>
      <x:c r="AC2105" t="str">
        <x:f>IF(OR(AA2105="",AB2105=""),"",--(AA2105&lt;&gt;AB2105))</x:f>
      </x:c>
      <x:c r="AE2105" t="str">
        <x:f>IF(OR(AA2105="",AB2105=""),"PENDING_HUMAN",IF(AA2105=AB2105,AA2105,IF(AD2105&lt;&gt;"",AD2105,"PENDING_HUMAN")))</x:f>
        <x:v>PENDING_HUMAN</x:v>
      </x:c>
      <x:c r="AF2105" t="n">
        <x:f>--AND(A2105&lt;&gt;"",AA2105&lt;&gt;"",AB2105&lt;&gt;"",OR(AA2105=AB2105,AD2105&lt;&gt;""),IF(AE2105="HALLUCINATION",U2105&lt;&gt;"",TRUE))</x:f>
        <x:v>0</x:v>
      </x:c>
      <x:c r="AG2105" t="n">
        <x:f>--AND(N2105=1,AF2105=1,OR(AE2105="SUPPORTED",AE2105="HALLUCINATION"))</x:f>
        <x:v>0</x:v>
      </x:c>
      <x:c r="AH2105" t="n">
        <x:f>--AND(AG2105=1,AE2105="HALLUCINATION")</x:f>
        <x:v>0</x:v>
      </x:c>
      <x:c r="AI2105" t="n">
        <x:f>--AND(Q2105=1,AF2105=1,AE2105="HALLUCINATION")</x:f>
        <x:v>0</x:v>
      </x:c>
      <x:c r="AJ2105" t="n">
        <x:f>--AND(AI2105=1,R2105=1,S2105=1)</x:f>
        <x:v>0</x:v>
      </x:c>
    </x:row>
    <x:row r="2106">
      <x:c r="A2106" s="28"/>
      <x:c r="B2106" s="28"/>
      <x:c r="C2106" s="28"/>
      <x:c r="D2106" s="28"/>
      <x:c r="E2106" s="28"/>
      <x:c r="F2106" s="28"/>
      <x:c r="G2106" s="28"/>
      <x:c r="H2106" s="28"/>
      <x:c r="I2106" s="28"/>
      <x:c r="J2106" s="28"/>
      <x:c r="K2106" s="28"/>
      <x:c r="L2106" s="28"/>
      <x:c r="M2106" s="28"/>
      <x:c r="N2106" s="28"/>
      <x:c r="O2106" s="28"/>
      <x:c r="P2106" s="28"/>
      <x:c r="Q2106" s="28"/>
      <x:c r="R2106" s="28"/>
      <x:c r="S2106" s="28"/>
      <x:c r="T2106" s="28"/>
      <x:c r="U2106" s="28"/>
      <x:c r="V2106" s="28"/>
      <x:c r="W2106" s="43" t="n">
        <x:f>--AND(N2106=1,OR(O2106="SUPPORTED",O2106="HALLUCINATION"))</x:f>
        <x:v>0</x:v>
      </x:c>
      <x:c r="X2106" s="43" t="n">
        <x:f>--AND(W2106=1,O2106="HALLUCINATION")</x:f>
        <x:v>0</x:v>
      </x:c>
      <x:c r="Y2106" s="43" t="n">
        <x:f>--AND(Q2106=1,O2106="HALLUCINATION")</x:f>
        <x:v>0</x:v>
      </x:c>
      <x:c r="Z2106" s="43" t="n">
        <x:f>--AND(Y2106=1,R2106=1,S2106=1)</x:f>
        <x:v>0</x:v>
      </x:c>
      <x:c r="AC2106" t="str">
        <x:f>IF(OR(AA2106="",AB2106=""),"",--(AA2106&lt;&gt;AB2106))</x:f>
      </x:c>
      <x:c r="AE2106" t="str">
        <x:f>IF(OR(AA2106="",AB2106=""),"PENDING_HUMAN",IF(AA2106=AB2106,AA2106,IF(AD2106&lt;&gt;"",AD2106,"PENDING_HUMAN")))</x:f>
        <x:v>PENDING_HUMAN</x:v>
      </x:c>
      <x:c r="AF2106" t="n">
        <x:f>--AND(A2106&lt;&gt;"",AA2106&lt;&gt;"",AB2106&lt;&gt;"",OR(AA2106=AB2106,AD2106&lt;&gt;""),IF(AE2106="HALLUCINATION",U2106&lt;&gt;"",TRUE))</x:f>
        <x:v>0</x:v>
      </x:c>
      <x:c r="AG2106" t="n">
        <x:f>--AND(N2106=1,AF2106=1,OR(AE2106="SUPPORTED",AE2106="HALLUCINATION"))</x:f>
        <x:v>0</x:v>
      </x:c>
      <x:c r="AH2106" t="n">
        <x:f>--AND(AG2106=1,AE2106="HALLUCINATION")</x:f>
        <x:v>0</x:v>
      </x:c>
      <x:c r="AI2106" t="n">
        <x:f>--AND(Q2106=1,AF2106=1,AE2106="HALLUCINATION")</x:f>
        <x:v>0</x:v>
      </x:c>
      <x:c r="AJ2106" t="n">
        <x:f>--AND(AI2106=1,R2106=1,S2106=1)</x:f>
        <x:v>0</x:v>
      </x:c>
    </x:row>
    <x:row r="2107">
      <x:c r="A2107" s="28"/>
      <x:c r="B2107" s="28"/>
      <x:c r="C2107" s="28"/>
      <x:c r="D2107" s="28"/>
      <x:c r="E2107" s="28"/>
      <x:c r="F2107" s="28"/>
      <x:c r="G2107" s="28"/>
      <x:c r="H2107" s="28"/>
      <x:c r="I2107" s="28"/>
      <x:c r="J2107" s="28"/>
      <x:c r="K2107" s="28"/>
      <x:c r="L2107" s="28"/>
      <x:c r="M2107" s="28"/>
      <x:c r="N2107" s="28"/>
      <x:c r="O2107" s="28"/>
      <x:c r="P2107" s="28"/>
      <x:c r="Q2107" s="28"/>
      <x:c r="R2107" s="28"/>
      <x:c r="S2107" s="28"/>
      <x:c r="T2107" s="28"/>
      <x:c r="U2107" s="28"/>
      <x:c r="V2107" s="28"/>
      <x:c r="W2107" s="43" t="n">
        <x:f>--AND(N2107=1,OR(O2107="SUPPORTED",O2107="HALLUCINATION"))</x:f>
        <x:v>0</x:v>
      </x:c>
      <x:c r="X2107" s="43" t="n">
        <x:f>--AND(W2107=1,O2107="HALLUCINATION")</x:f>
        <x:v>0</x:v>
      </x:c>
      <x:c r="Y2107" s="43" t="n">
        <x:f>--AND(Q2107=1,O2107="HALLUCINATION")</x:f>
        <x:v>0</x:v>
      </x:c>
      <x:c r="Z2107" s="43" t="n">
        <x:f>--AND(Y2107=1,R2107=1,S2107=1)</x:f>
        <x:v>0</x:v>
      </x:c>
      <x:c r="AC2107" t="str">
        <x:f>IF(OR(AA2107="",AB2107=""),"",--(AA2107&lt;&gt;AB2107))</x:f>
      </x:c>
      <x:c r="AE2107" t="str">
        <x:f>IF(OR(AA2107="",AB2107=""),"PENDING_HUMAN",IF(AA2107=AB2107,AA2107,IF(AD2107&lt;&gt;"",AD2107,"PENDING_HUMAN")))</x:f>
        <x:v>PENDING_HUMAN</x:v>
      </x:c>
      <x:c r="AF2107" t="n">
        <x:f>--AND(A2107&lt;&gt;"",AA2107&lt;&gt;"",AB2107&lt;&gt;"",OR(AA2107=AB2107,AD2107&lt;&gt;""),IF(AE2107="HALLUCINATION",U2107&lt;&gt;"",TRUE))</x:f>
        <x:v>0</x:v>
      </x:c>
      <x:c r="AG2107" t="n">
        <x:f>--AND(N2107=1,AF2107=1,OR(AE2107="SUPPORTED",AE2107="HALLUCINATION"))</x:f>
        <x:v>0</x:v>
      </x:c>
      <x:c r="AH2107" t="n">
        <x:f>--AND(AG2107=1,AE2107="HALLUCINATION")</x:f>
        <x:v>0</x:v>
      </x:c>
      <x:c r="AI2107" t="n">
        <x:f>--AND(Q2107=1,AF2107=1,AE2107="HALLUCINATION")</x:f>
        <x:v>0</x:v>
      </x:c>
      <x:c r="AJ2107" t="n">
        <x:f>--AND(AI2107=1,R2107=1,S2107=1)</x:f>
        <x:v>0</x:v>
      </x:c>
    </x:row>
    <x:row r="2108">
      <x:c r="A2108" s="28"/>
      <x:c r="B2108" s="28"/>
      <x:c r="C2108" s="28"/>
      <x:c r="D2108" s="28"/>
      <x:c r="E2108" s="28"/>
      <x:c r="F2108" s="28"/>
      <x:c r="G2108" s="28"/>
      <x:c r="H2108" s="28"/>
      <x:c r="I2108" s="28"/>
      <x:c r="J2108" s="28"/>
      <x:c r="K2108" s="28"/>
      <x:c r="L2108" s="28"/>
      <x:c r="M2108" s="28"/>
      <x:c r="N2108" s="28"/>
      <x:c r="O2108" s="28"/>
      <x:c r="P2108" s="28"/>
      <x:c r="Q2108" s="28"/>
      <x:c r="R2108" s="28"/>
      <x:c r="S2108" s="28"/>
      <x:c r="T2108" s="28"/>
      <x:c r="U2108" s="28"/>
      <x:c r="V2108" s="28"/>
      <x:c r="W2108" s="43" t="n">
        <x:f>--AND(N2108=1,OR(O2108="SUPPORTED",O2108="HALLUCINATION"))</x:f>
        <x:v>0</x:v>
      </x:c>
      <x:c r="X2108" s="43" t="n">
        <x:f>--AND(W2108=1,O2108="HALLUCINATION")</x:f>
        <x:v>0</x:v>
      </x:c>
      <x:c r="Y2108" s="43" t="n">
        <x:f>--AND(Q2108=1,O2108="HALLUCINATION")</x:f>
        <x:v>0</x:v>
      </x:c>
      <x:c r="Z2108" s="43" t="n">
        <x:f>--AND(Y2108=1,R2108=1,S2108=1)</x:f>
        <x:v>0</x:v>
      </x:c>
      <x:c r="AC2108" t="str">
        <x:f>IF(OR(AA2108="",AB2108=""),"",--(AA2108&lt;&gt;AB2108))</x:f>
      </x:c>
      <x:c r="AE2108" t="str">
        <x:f>IF(OR(AA2108="",AB2108=""),"PENDING_HUMAN",IF(AA2108=AB2108,AA2108,IF(AD2108&lt;&gt;"",AD2108,"PENDING_HUMAN")))</x:f>
        <x:v>PENDING_HUMAN</x:v>
      </x:c>
      <x:c r="AF2108" t="n">
        <x:f>--AND(A2108&lt;&gt;"",AA2108&lt;&gt;"",AB2108&lt;&gt;"",OR(AA2108=AB2108,AD2108&lt;&gt;""),IF(AE2108="HALLUCINATION",U2108&lt;&gt;"",TRUE))</x:f>
        <x:v>0</x:v>
      </x:c>
      <x:c r="AG2108" t="n">
        <x:f>--AND(N2108=1,AF2108=1,OR(AE2108="SUPPORTED",AE2108="HALLUCINATION"))</x:f>
        <x:v>0</x:v>
      </x:c>
      <x:c r="AH2108" t="n">
        <x:f>--AND(AG2108=1,AE2108="HALLUCINATION")</x:f>
        <x:v>0</x:v>
      </x:c>
      <x:c r="AI2108" t="n">
        <x:f>--AND(Q2108=1,AF2108=1,AE2108="HALLUCINATION")</x:f>
        <x:v>0</x:v>
      </x:c>
      <x:c r="AJ2108" t="n">
        <x:f>--AND(AI2108=1,R2108=1,S2108=1)</x:f>
        <x:v>0</x:v>
      </x:c>
    </x:row>
    <x:row r="2109">
      <x:c r="A2109" s="28"/>
      <x:c r="B2109" s="28"/>
      <x:c r="C2109" s="28"/>
      <x:c r="D2109" s="28"/>
      <x:c r="E2109" s="28"/>
      <x:c r="F2109" s="28"/>
      <x:c r="G2109" s="28"/>
      <x:c r="H2109" s="28"/>
      <x:c r="I2109" s="28"/>
      <x:c r="J2109" s="28"/>
      <x:c r="K2109" s="28"/>
      <x:c r="L2109" s="28"/>
      <x:c r="M2109" s="28"/>
      <x:c r="N2109" s="28"/>
      <x:c r="O2109" s="28"/>
      <x:c r="P2109" s="28"/>
      <x:c r="Q2109" s="28"/>
      <x:c r="R2109" s="28"/>
      <x:c r="S2109" s="28"/>
      <x:c r="T2109" s="28"/>
      <x:c r="U2109" s="28"/>
      <x:c r="V2109" s="28"/>
      <x:c r="W2109" s="43" t="n">
        <x:f>--AND(N2109=1,OR(O2109="SUPPORTED",O2109="HALLUCINATION"))</x:f>
        <x:v>0</x:v>
      </x:c>
      <x:c r="X2109" s="43" t="n">
        <x:f>--AND(W2109=1,O2109="HALLUCINATION")</x:f>
        <x:v>0</x:v>
      </x:c>
      <x:c r="Y2109" s="43" t="n">
        <x:f>--AND(Q2109=1,O2109="HALLUCINATION")</x:f>
        <x:v>0</x:v>
      </x:c>
      <x:c r="Z2109" s="43" t="n">
        <x:f>--AND(Y2109=1,R2109=1,S2109=1)</x:f>
        <x:v>0</x:v>
      </x:c>
      <x:c r="AC2109" t="str">
        <x:f>IF(OR(AA2109="",AB2109=""),"",--(AA2109&lt;&gt;AB2109))</x:f>
      </x:c>
      <x:c r="AE2109" t="str">
        <x:f>IF(OR(AA2109="",AB2109=""),"PENDING_HUMAN",IF(AA2109=AB2109,AA2109,IF(AD2109&lt;&gt;"",AD2109,"PENDING_HUMAN")))</x:f>
        <x:v>PENDING_HUMAN</x:v>
      </x:c>
      <x:c r="AF2109" t="n">
        <x:f>--AND(A2109&lt;&gt;"",AA2109&lt;&gt;"",AB2109&lt;&gt;"",OR(AA2109=AB2109,AD2109&lt;&gt;""),IF(AE2109="HALLUCINATION",U2109&lt;&gt;"",TRUE))</x:f>
        <x:v>0</x:v>
      </x:c>
      <x:c r="AG2109" t="n">
        <x:f>--AND(N2109=1,AF2109=1,OR(AE2109="SUPPORTED",AE2109="HALLUCINATION"))</x:f>
        <x:v>0</x:v>
      </x:c>
      <x:c r="AH2109" t="n">
        <x:f>--AND(AG2109=1,AE2109="HALLUCINATION")</x:f>
        <x:v>0</x:v>
      </x:c>
      <x:c r="AI2109" t="n">
        <x:f>--AND(Q2109=1,AF2109=1,AE2109="HALLUCINATION")</x:f>
        <x:v>0</x:v>
      </x:c>
      <x:c r="AJ2109" t="n">
        <x:f>--AND(AI2109=1,R2109=1,S2109=1)</x:f>
        <x:v>0</x:v>
      </x:c>
    </x:row>
    <x:row r="2110">
      <x:c r="A2110" s="28"/>
      <x:c r="B2110" s="28"/>
      <x:c r="C2110" s="28"/>
      <x:c r="D2110" s="28"/>
      <x:c r="E2110" s="28"/>
      <x:c r="F2110" s="28"/>
      <x:c r="G2110" s="28"/>
      <x:c r="H2110" s="28"/>
      <x:c r="I2110" s="28"/>
      <x:c r="J2110" s="28"/>
      <x:c r="K2110" s="28"/>
      <x:c r="L2110" s="28"/>
      <x:c r="M2110" s="28"/>
      <x:c r="N2110" s="28"/>
      <x:c r="O2110" s="28"/>
      <x:c r="P2110" s="28"/>
      <x:c r="Q2110" s="28"/>
      <x:c r="R2110" s="28"/>
      <x:c r="S2110" s="28"/>
      <x:c r="T2110" s="28"/>
      <x:c r="U2110" s="28"/>
      <x:c r="V2110" s="28"/>
      <x:c r="W2110" s="43" t="n">
        <x:f>--AND(N2110=1,OR(O2110="SUPPORTED",O2110="HALLUCINATION"))</x:f>
        <x:v>0</x:v>
      </x:c>
      <x:c r="X2110" s="43" t="n">
        <x:f>--AND(W2110=1,O2110="HALLUCINATION")</x:f>
        <x:v>0</x:v>
      </x:c>
      <x:c r="Y2110" s="43" t="n">
        <x:f>--AND(Q2110=1,O2110="HALLUCINATION")</x:f>
        <x:v>0</x:v>
      </x:c>
      <x:c r="Z2110" s="43" t="n">
        <x:f>--AND(Y2110=1,R2110=1,S2110=1)</x:f>
        <x:v>0</x:v>
      </x:c>
      <x:c r="AC2110" t="str">
        <x:f>IF(OR(AA2110="",AB2110=""),"",--(AA2110&lt;&gt;AB2110))</x:f>
      </x:c>
      <x:c r="AE2110" t="str">
        <x:f>IF(OR(AA2110="",AB2110=""),"PENDING_HUMAN",IF(AA2110=AB2110,AA2110,IF(AD2110&lt;&gt;"",AD2110,"PENDING_HUMAN")))</x:f>
        <x:v>PENDING_HUMAN</x:v>
      </x:c>
      <x:c r="AF2110" t="n">
        <x:f>--AND(A2110&lt;&gt;"",AA2110&lt;&gt;"",AB2110&lt;&gt;"",OR(AA2110=AB2110,AD2110&lt;&gt;""),IF(AE2110="HALLUCINATION",U2110&lt;&gt;"",TRUE))</x:f>
        <x:v>0</x:v>
      </x:c>
      <x:c r="AG2110" t="n">
        <x:f>--AND(N2110=1,AF2110=1,OR(AE2110="SUPPORTED",AE2110="HALLUCINATION"))</x:f>
        <x:v>0</x:v>
      </x:c>
      <x:c r="AH2110" t="n">
        <x:f>--AND(AG2110=1,AE2110="HALLUCINATION")</x:f>
        <x:v>0</x:v>
      </x:c>
      <x:c r="AI2110" t="n">
        <x:f>--AND(Q2110=1,AF2110=1,AE2110="HALLUCINATION")</x:f>
        <x:v>0</x:v>
      </x:c>
      <x:c r="AJ2110" t="n">
        <x:f>--AND(AI2110=1,R2110=1,S2110=1)</x:f>
        <x:v>0</x:v>
      </x:c>
    </x:row>
    <x:row r="2111">
      <x:c r="A2111" s="28"/>
      <x:c r="B2111" s="28"/>
      <x:c r="C2111" s="28"/>
      <x:c r="D2111" s="28"/>
      <x:c r="E2111" s="28"/>
      <x:c r="F2111" s="28"/>
      <x:c r="G2111" s="28"/>
      <x:c r="H2111" s="28"/>
      <x:c r="I2111" s="28"/>
      <x:c r="J2111" s="28"/>
      <x:c r="K2111" s="28"/>
      <x:c r="L2111" s="28"/>
      <x:c r="M2111" s="28"/>
      <x:c r="N2111" s="28"/>
      <x:c r="O2111" s="28"/>
      <x:c r="P2111" s="28"/>
      <x:c r="Q2111" s="28"/>
      <x:c r="R2111" s="28"/>
      <x:c r="S2111" s="28"/>
      <x:c r="T2111" s="28"/>
      <x:c r="U2111" s="28"/>
      <x:c r="V2111" s="28"/>
      <x:c r="W2111" s="43" t="n">
        <x:f>--AND(N2111=1,OR(O2111="SUPPORTED",O2111="HALLUCINATION"))</x:f>
        <x:v>0</x:v>
      </x:c>
      <x:c r="X2111" s="43" t="n">
        <x:f>--AND(W2111=1,O2111="HALLUCINATION")</x:f>
        <x:v>0</x:v>
      </x:c>
      <x:c r="Y2111" s="43" t="n">
        <x:f>--AND(Q2111=1,O2111="HALLUCINATION")</x:f>
        <x:v>0</x:v>
      </x:c>
      <x:c r="Z2111" s="43" t="n">
        <x:f>--AND(Y2111=1,R2111=1,S2111=1)</x:f>
        <x:v>0</x:v>
      </x:c>
      <x:c r="AC2111" t="str">
        <x:f>IF(OR(AA2111="",AB2111=""),"",--(AA2111&lt;&gt;AB2111))</x:f>
      </x:c>
      <x:c r="AE2111" t="str">
        <x:f>IF(OR(AA2111="",AB2111=""),"PENDING_HUMAN",IF(AA2111=AB2111,AA2111,IF(AD2111&lt;&gt;"",AD2111,"PENDING_HUMAN")))</x:f>
        <x:v>PENDING_HUMAN</x:v>
      </x:c>
      <x:c r="AF2111" t="n">
        <x:f>--AND(A2111&lt;&gt;"",AA2111&lt;&gt;"",AB2111&lt;&gt;"",OR(AA2111=AB2111,AD2111&lt;&gt;""),IF(AE2111="HALLUCINATION",U2111&lt;&gt;"",TRUE))</x:f>
        <x:v>0</x:v>
      </x:c>
      <x:c r="AG2111" t="n">
        <x:f>--AND(N2111=1,AF2111=1,OR(AE2111="SUPPORTED",AE2111="HALLUCINATION"))</x:f>
        <x:v>0</x:v>
      </x:c>
      <x:c r="AH2111" t="n">
        <x:f>--AND(AG2111=1,AE2111="HALLUCINATION")</x:f>
        <x:v>0</x:v>
      </x:c>
      <x:c r="AI2111" t="n">
        <x:f>--AND(Q2111=1,AF2111=1,AE2111="HALLUCINATION")</x:f>
        <x:v>0</x:v>
      </x:c>
      <x:c r="AJ2111" t="n">
        <x:f>--AND(AI2111=1,R2111=1,S2111=1)</x:f>
        <x:v>0</x:v>
      </x:c>
    </x:row>
    <x:row r="2112">
      <x:c r="A2112" s="28"/>
      <x:c r="B2112" s="28"/>
      <x:c r="C2112" s="28"/>
      <x:c r="D2112" s="28"/>
      <x:c r="E2112" s="28"/>
      <x:c r="F2112" s="28"/>
      <x:c r="G2112" s="28"/>
      <x:c r="H2112" s="28"/>
      <x:c r="I2112" s="28"/>
      <x:c r="J2112" s="28"/>
      <x:c r="K2112" s="28"/>
      <x:c r="L2112" s="28"/>
      <x:c r="M2112" s="28"/>
      <x:c r="N2112" s="28"/>
      <x:c r="O2112" s="28"/>
      <x:c r="P2112" s="28"/>
      <x:c r="Q2112" s="28"/>
      <x:c r="R2112" s="28"/>
      <x:c r="S2112" s="28"/>
      <x:c r="T2112" s="28"/>
      <x:c r="U2112" s="28"/>
      <x:c r="V2112" s="28"/>
      <x:c r="W2112" s="43" t="n">
        <x:f>--AND(N2112=1,OR(O2112="SUPPORTED",O2112="HALLUCINATION"))</x:f>
        <x:v>0</x:v>
      </x:c>
      <x:c r="X2112" s="43" t="n">
        <x:f>--AND(W2112=1,O2112="HALLUCINATION")</x:f>
        <x:v>0</x:v>
      </x:c>
      <x:c r="Y2112" s="43" t="n">
        <x:f>--AND(Q2112=1,O2112="HALLUCINATION")</x:f>
        <x:v>0</x:v>
      </x:c>
      <x:c r="Z2112" s="43" t="n">
        <x:f>--AND(Y2112=1,R2112=1,S2112=1)</x:f>
        <x:v>0</x:v>
      </x:c>
      <x:c r="AC2112" t="str">
        <x:f>IF(OR(AA2112="",AB2112=""),"",--(AA2112&lt;&gt;AB2112))</x:f>
      </x:c>
      <x:c r="AE2112" t="str">
        <x:f>IF(OR(AA2112="",AB2112=""),"PENDING_HUMAN",IF(AA2112=AB2112,AA2112,IF(AD2112&lt;&gt;"",AD2112,"PENDING_HUMAN")))</x:f>
        <x:v>PENDING_HUMAN</x:v>
      </x:c>
      <x:c r="AF2112" t="n">
        <x:f>--AND(A2112&lt;&gt;"",AA2112&lt;&gt;"",AB2112&lt;&gt;"",OR(AA2112=AB2112,AD2112&lt;&gt;""),IF(AE2112="HALLUCINATION",U2112&lt;&gt;"",TRUE))</x:f>
        <x:v>0</x:v>
      </x:c>
      <x:c r="AG2112" t="n">
        <x:f>--AND(N2112=1,AF2112=1,OR(AE2112="SUPPORTED",AE2112="HALLUCINATION"))</x:f>
        <x:v>0</x:v>
      </x:c>
      <x:c r="AH2112" t="n">
        <x:f>--AND(AG2112=1,AE2112="HALLUCINATION")</x:f>
        <x:v>0</x:v>
      </x:c>
      <x:c r="AI2112" t="n">
        <x:f>--AND(Q2112=1,AF2112=1,AE2112="HALLUCINATION")</x:f>
        <x:v>0</x:v>
      </x:c>
      <x:c r="AJ2112" t="n">
        <x:f>--AND(AI2112=1,R2112=1,S2112=1)</x:f>
        <x:v>0</x:v>
      </x:c>
    </x:row>
    <x:row r="2113">
      <x:c r="A2113" s="28"/>
      <x:c r="B2113" s="28"/>
      <x:c r="C2113" s="28"/>
      <x:c r="D2113" s="28"/>
      <x:c r="E2113" s="28"/>
      <x:c r="F2113" s="28"/>
      <x:c r="G2113" s="28"/>
      <x:c r="H2113" s="28"/>
      <x:c r="I2113" s="28"/>
      <x:c r="J2113" s="28"/>
      <x:c r="K2113" s="28"/>
      <x:c r="L2113" s="28"/>
      <x:c r="M2113" s="28"/>
      <x:c r="N2113" s="28"/>
      <x:c r="O2113" s="28"/>
      <x:c r="P2113" s="28"/>
      <x:c r="Q2113" s="28"/>
      <x:c r="R2113" s="28"/>
      <x:c r="S2113" s="28"/>
      <x:c r="T2113" s="28"/>
      <x:c r="U2113" s="28"/>
      <x:c r="V2113" s="28"/>
      <x:c r="W2113" s="43" t="n">
        <x:f>--AND(N2113=1,OR(O2113="SUPPORTED",O2113="HALLUCINATION"))</x:f>
        <x:v>0</x:v>
      </x:c>
      <x:c r="X2113" s="43" t="n">
        <x:f>--AND(W2113=1,O2113="HALLUCINATION")</x:f>
        <x:v>0</x:v>
      </x:c>
      <x:c r="Y2113" s="43" t="n">
        <x:f>--AND(Q2113=1,O2113="HALLUCINATION")</x:f>
        <x:v>0</x:v>
      </x:c>
      <x:c r="Z2113" s="43" t="n">
        <x:f>--AND(Y2113=1,R2113=1,S2113=1)</x:f>
        <x:v>0</x:v>
      </x:c>
      <x:c r="AC2113" t="str">
        <x:f>IF(OR(AA2113="",AB2113=""),"",--(AA2113&lt;&gt;AB2113))</x:f>
      </x:c>
      <x:c r="AE2113" t="str">
        <x:f>IF(OR(AA2113="",AB2113=""),"PENDING_HUMAN",IF(AA2113=AB2113,AA2113,IF(AD2113&lt;&gt;"",AD2113,"PENDING_HUMAN")))</x:f>
        <x:v>PENDING_HUMAN</x:v>
      </x:c>
      <x:c r="AF2113" t="n">
        <x:f>--AND(A2113&lt;&gt;"",AA2113&lt;&gt;"",AB2113&lt;&gt;"",OR(AA2113=AB2113,AD2113&lt;&gt;""),IF(AE2113="HALLUCINATION",U2113&lt;&gt;"",TRUE))</x:f>
        <x:v>0</x:v>
      </x:c>
      <x:c r="AG2113" t="n">
        <x:f>--AND(N2113=1,AF2113=1,OR(AE2113="SUPPORTED",AE2113="HALLUCINATION"))</x:f>
        <x:v>0</x:v>
      </x:c>
      <x:c r="AH2113" t="n">
        <x:f>--AND(AG2113=1,AE2113="HALLUCINATION")</x:f>
        <x:v>0</x:v>
      </x:c>
      <x:c r="AI2113" t="n">
        <x:f>--AND(Q2113=1,AF2113=1,AE2113="HALLUCINATION")</x:f>
        <x:v>0</x:v>
      </x:c>
      <x:c r="AJ2113" t="n">
        <x:f>--AND(AI2113=1,R2113=1,S2113=1)</x:f>
        <x:v>0</x:v>
      </x:c>
    </x:row>
    <x:row r="2114">
      <x:c r="A2114" s="28"/>
      <x:c r="B2114" s="28"/>
      <x:c r="C2114" s="28"/>
      <x:c r="D2114" s="28"/>
      <x:c r="E2114" s="28"/>
      <x:c r="F2114" s="28"/>
      <x:c r="G2114" s="28"/>
      <x:c r="H2114" s="28"/>
      <x:c r="I2114" s="28"/>
      <x:c r="J2114" s="28"/>
      <x:c r="K2114" s="28"/>
      <x:c r="L2114" s="28"/>
      <x:c r="M2114" s="28"/>
      <x:c r="N2114" s="28"/>
      <x:c r="O2114" s="28"/>
      <x:c r="P2114" s="28"/>
      <x:c r="Q2114" s="28"/>
      <x:c r="R2114" s="28"/>
      <x:c r="S2114" s="28"/>
      <x:c r="T2114" s="28"/>
      <x:c r="U2114" s="28"/>
      <x:c r="V2114" s="28"/>
      <x:c r="W2114" s="43" t="n">
        <x:f>--AND(N2114=1,OR(O2114="SUPPORTED",O2114="HALLUCINATION"))</x:f>
        <x:v>0</x:v>
      </x:c>
      <x:c r="X2114" s="43" t="n">
        <x:f>--AND(W2114=1,O2114="HALLUCINATION")</x:f>
        <x:v>0</x:v>
      </x:c>
      <x:c r="Y2114" s="43" t="n">
        <x:f>--AND(Q2114=1,O2114="HALLUCINATION")</x:f>
        <x:v>0</x:v>
      </x:c>
      <x:c r="Z2114" s="43" t="n">
        <x:f>--AND(Y2114=1,R2114=1,S2114=1)</x:f>
        <x:v>0</x:v>
      </x:c>
      <x:c r="AC2114" t="str">
        <x:f>IF(OR(AA2114="",AB2114=""),"",--(AA2114&lt;&gt;AB2114))</x:f>
      </x:c>
      <x:c r="AE2114" t="str">
        <x:f>IF(OR(AA2114="",AB2114=""),"PENDING_HUMAN",IF(AA2114=AB2114,AA2114,IF(AD2114&lt;&gt;"",AD2114,"PENDING_HUMAN")))</x:f>
        <x:v>PENDING_HUMAN</x:v>
      </x:c>
      <x:c r="AF2114" t="n">
        <x:f>--AND(A2114&lt;&gt;"",AA2114&lt;&gt;"",AB2114&lt;&gt;"",OR(AA2114=AB2114,AD2114&lt;&gt;""),IF(AE2114="HALLUCINATION",U2114&lt;&gt;"",TRUE))</x:f>
        <x:v>0</x:v>
      </x:c>
      <x:c r="AG2114" t="n">
        <x:f>--AND(N2114=1,AF2114=1,OR(AE2114="SUPPORTED",AE2114="HALLUCINATION"))</x:f>
        <x:v>0</x:v>
      </x:c>
      <x:c r="AH2114" t="n">
        <x:f>--AND(AG2114=1,AE2114="HALLUCINATION")</x:f>
        <x:v>0</x:v>
      </x:c>
      <x:c r="AI2114" t="n">
        <x:f>--AND(Q2114=1,AF2114=1,AE2114="HALLUCINATION")</x:f>
        <x:v>0</x:v>
      </x:c>
      <x:c r="AJ2114" t="n">
        <x:f>--AND(AI2114=1,R2114=1,S2114=1)</x:f>
        <x:v>0</x:v>
      </x:c>
    </x:row>
    <x:row r="2115">
      <x:c r="A2115" s="28"/>
      <x:c r="B2115" s="28"/>
      <x:c r="C2115" s="28"/>
      <x:c r="D2115" s="28"/>
      <x:c r="E2115" s="28"/>
      <x:c r="F2115" s="28"/>
      <x:c r="G2115" s="28"/>
      <x:c r="H2115" s="28"/>
      <x:c r="I2115" s="28"/>
      <x:c r="J2115" s="28"/>
      <x:c r="K2115" s="28"/>
      <x:c r="L2115" s="28"/>
      <x:c r="M2115" s="28"/>
      <x:c r="N2115" s="28"/>
      <x:c r="O2115" s="28"/>
      <x:c r="P2115" s="28"/>
      <x:c r="Q2115" s="28"/>
      <x:c r="R2115" s="28"/>
      <x:c r="S2115" s="28"/>
      <x:c r="T2115" s="28"/>
      <x:c r="U2115" s="28"/>
      <x:c r="V2115" s="28"/>
      <x:c r="W2115" s="43" t="n">
        <x:f>--AND(N2115=1,OR(O2115="SUPPORTED",O2115="HALLUCINATION"))</x:f>
        <x:v>0</x:v>
      </x:c>
      <x:c r="X2115" s="43" t="n">
        <x:f>--AND(W2115=1,O2115="HALLUCINATION")</x:f>
        <x:v>0</x:v>
      </x:c>
      <x:c r="Y2115" s="43" t="n">
        <x:f>--AND(Q2115=1,O2115="HALLUCINATION")</x:f>
        <x:v>0</x:v>
      </x:c>
      <x:c r="Z2115" s="43" t="n">
        <x:f>--AND(Y2115=1,R2115=1,S2115=1)</x:f>
        <x:v>0</x:v>
      </x:c>
      <x:c r="AC2115" t="str">
        <x:f>IF(OR(AA2115="",AB2115=""),"",--(AA2115&lt;&gt;AB2115))</x:f>
      </x:c>
      <x:c r="AE2115" t="str">
        <x:f>IF(OR(AA2115="",AB2115=""),"PENDING_HUMAN",IF(AA2115=AB2115,AA2115,IF(AD2115&lt;&gt;"",AD2115,"PENDING_HUMAN")))</x:f>
        <x:v>PENDING_HUMAN</x:v>
      </x:c>
      <x:c r="AF2115" t="n">
        <x:f>--AND(A2115&lt;&gt;"",AA2115&lt;&gt;"",AB2115&lt;&gt;"",OR(AA2115=AB2115,AD2115&lt;&gt;""),IF(AE2115="HALLUCINATION",U2115&lt;&gt;"",TRUE))</x:f>
        <x:v>0</x:v>
      </x:c>
      <x:c r="AG2115" t="n">
        <x:f>--AND(N2115=1,AF2115=1,OR(AE2115="SUPPORTED",AE2115="HALLUCINATION"))</x:f>
        <x:v>0</x:v>
      </x:c>
      <x:c r="AH2115" t="n">
        <x:f>--AND(AG2115=1,AE2115="HALLUCINATION")</x:f>
        <x:v>0</x:v>
      </x:c>
      <x:c r="AI2115" t="n">
        <x:f>--AND(Q2115=1,AF2115=1,AE2115="HALLUCINATION")</x:f>
        <x:v>0</x:v>
      </x:c>
      <x:c r="AJ2115" t="n">
        <x:f>--AND(AI2115=1,R2115=1,S2115=1)</x:f>
        <x:v>0</x:v>
      </x:c>
    </x:row>
    <x:row r="2116">
      <x:c r="A2116" s="28"/>
      <x:c r="B2116" s="28"/>
      <x:c r="C2116" s="28"/>
      <x:c r="D2116" s="28"/>
      <x:c r="E2116" s="28"/>
      <x:c r="F2116" s="28"/>
      <x:c r="G2116" s="28"/>
      <x:c r="H2116" s="28"/>
      <x:c r="I2116" s="28"/>
      <x:c r="J2116" s="28"/>
      <x:c r="K2116" s="28"/>
      <x:c r="L2116" s="28"/>
      <x:c r="M2116" s="28"/>
      <x:c r="N2116" s="28"/>
      <x:c r="O2116" s="28"/>
      <x:c r="P2116" s="28"/>
      <x:c r="Q2116" s="28"/>
      <x:c r="R2116" s="28"/>
      <x:c r="S2116" s="28"/>
      <x:c r="T2116" s="28"/>
      <x:c r="U2116" s="28"/>
      <x:c r="V2116" s="28"/>
      <x:c r="W2116" s="43" t="n">
        <x:f>--AND(N2116=1,OR(O2116="SUPPORTED",O2116="HALLUCINATION"))</x:f>
        <x:v>0</x:v>
      </x:c>
      <x:c r="X2116" s="43" t="n">
        <x:f>--AND(W2116=1,O2116="HALLUCINATION")</x:f>
        <x:v>0</x:v>
      </x:c>
      <x:c r="Y2116" s="43" t="n">
        <x:f>--AND(Q2116=1,O2116="HALLUCINATION")</x:f>
        <x:v>0</x:v>
      </x:c>
      <x:c r="Z2116" s="43" t="n">
        <x:f>--AND(Y2116=1,R2116=1,S2116=1)</x:f>
        <x:v>0</x:v>
      </x:c>
      <x:c r="AC2116" t="str">
        <x:f>IF(OR(AA2116="",AB2116=""),"",--(AA2116&lt;&gt;AB2116))</x:f>
      </x:c>
      <x:c r="AE2116" t="str">
        <x:f>IF(OR(AA2116="",AB2116=""),"PENDING_HUMAN",IF(AA2116=AB2116,AA2116,IF(AD2116&lt;&gt;"",AD2116,"PENDING_HUMAN")))</x:f>
        <x:v>PENDING_HUMAN</x:v>
      </x:c>
      <x:c r="AF2116" t="n">
        <x:f>--AND(A2116&lt;&gt;"",AA2116&lt;&gt;"",AB2116&lt;&gt;"",OR(AA2116=AB2116,AD2116&lt;&gt;""),IF(AE2116="HALLUCINATION",U2116&lt;&gt;"",TRUE))</x:f>
        <x:v>0</x:v>
      </x:c>
      <x:c r="AG2116" t="n">
        <x:f>--AND(N2116=1,AF2116=1,OR(AE2116="SUPPORTED",AE2116="HALLUCINATION"))</x:f>
        <x:v>0</x:v>
      </x:c>
      <x:c r="AH2116" t="n">
        <x:f>--AND(AG2116=1,AE2116="HALLUCINATION")</x:f>
        <x:v>0</x:v>
      </x:c>
      <x:c r="AI2116" t="n">
        <x:f>--AND(Q2116=1,AF2116=1,AE2116="HALLUCINATION")</x:f>
        <x:v>0</x:v>
      </x:c>
      <x:c r="AJ2116" t="n">
        <x:f>--AND(AI2116=1,R2116=1,S2116=1)</x:f>
        <x:v>0</x:v>
      </x:c>
    </x:row>
    <x:row r="2117">
      <x:c r="A2117" s="28"/>
      <x:c r="B2117" s="28"/>
      <x:c r="C2117" s="28"/>
      <x:c r="D2117" s="28"/>
      <x:c r="E2117" s="28"/>
      <x:c r="F2117" s="28"/>
      <x:c r="G2117" s="28"/>
      <x:c r="H2117" s="28"/>
      <x:c r="I2117" s="28"/>
      <x:c r="J2117" s="28"/>
      <x:c r="K2117" s="28"/>
      <x:c r="L2117" s="28"/>
      <x:c r="M2117" s="28"/>
      <x:c r="N2117" s="28"/>
      <x:c r="O2117" s="28"/>
      <x:c r="P2117" s="28"/>
      <x:c r="Q2117" s="28"/>
      <x:c r="R2117" s="28"/>
      <x:c r="S2117" s="28"/>
      <x:c r="T2117" s="28"/>
      <x:c r="U2117" s="28"/>
      <x:c r="V2117" s="28"/>
      <x:c r="W2117" s="43" t="n">
        <x:f>--AND(N2117=1,OR(O2117="SUPPORTED",O2117="HALLUCINATION"))</x:f>
        <x:v>0</x:v>
      </x:c>
      <x:c r="X2117" s="43" t="n">
        <x:f>--AND(W2117=1,O2117="HALLUCINATION")</x:f>
        <x:v>0</x:v>
      </x:c>
      <x:c r="Y2117" s="43" t="n">
        <x:f>--AND(Q2117=1,O2117="HALLUCINATION")</x:f>
        <x:v>0</x:v>
      </x:c>
      <x:c r="Z2117" s="43" t="n">
        <x:f>--AND(Y2117=1,R2117=1,S2117=1)</x:f>
        <x:v>0</x:v>
      </x:c>
      <x:c r="AC2117" t="str">
        <x:f>IF(OR(AA2117="",AB2117=""),"",--(AA2117&lt;&gt;AB2117))</x:f>
      </x:c>
      <x:c r="AE2117" t="str">
        <x:f>IF(OR(AA2117="",AB2117=""),"PENDING_HUMAN",IF(AA2117=AB2117,AA2117,IF(AD2117&lt;&gt;"",AD2117,"PENDING_HUMAN")))</x:f>
        <x:v>PENDING_HUMAN</x:v>
      </x:c>
      <x:c r="AF2117" t="n">
        <x:f>--AND(A2117&lt;&gt;"",AA2117&lt;&gt;"",AB2117&lt;&gt;"",OR(AA2117=AB2117,AD2117&lt;&gt;""),IF(AE2117="HALLUCINATION",U2117&lt;&gt;"",TRUE))</x:f>
        <x:v>0</x:v>
      </x:c>
      <x:c r="AG2117" t="n">
        <x:f>--AND(N2117=1,AF2117=1,OR(AE2117="SUPPORTED",AE2117="HALLUCINATION"))</x:f>
        <x:v>0</x:v>
      </x:c>
      <x:c r="AH2117" t="n">
        <x:f>--AND(AG2117=1,AE2117="HALLUCINATION")</x:f>
        <x:v>0</x:v>
      </x:c>
      <x:c r="AI2117" t="n">
        <x:f>--AND(Q2117=1,AF2117=1,AE2117="HALLUCINATION")</x:f>
        <x:v>0</x:v>
      </x:c>
      <x:c r="AJ2117" t="n">
        <x:f>--AND(AI2117=1,R2117=1,S2117=1)</x:f>
        <x:v>0</x:v>
      </x:c>
    </x:row>
    <x:row r="2118">
      <x:c r="A2118" s="28"/>
      <x:c r="B2118" s="28"/>
      <x:c r="C2118" s="28"/>
      <x:c r="D2118" s="28"/>
      <x:c r="E2118" s="28"/>
      <x:c r="F2118" s="28"/>
      <x:c r="G2118" s="28"/>
      <x:c r="H2118" s="28"/>
      <x:c r="I2118" s="28"/>
      <x:c r="J2118" s="28"/>
      <x:c r="K2118" s="28"/>
      <x:c r="L2118" s="28"/>
      <x:c r="M2118" s="28"/>
      <x:c r="N2118" s="28"/>
      <x:c r="O2118" s="28"/>
      <x:c r="P2118" s="28"/>
      <x:c r="Q2118" s="28"/>
      <x:c r="R2118" s="28"/>
      <x:c r="S2118" s="28"/>
      <x:c r="T2118" s="28"/>
      <x:c r="U2118" s="28"/>
      <x:c r="V2118" s="28"/>
      <x:c r="W2118" s="43" t="n">
        <x:f>--AND(N2118=1,OR(O2118="SUPPORTED",O2118="HALLUCINATION"))</x:f>
        <x:v>0</x:v>
      </x:c>
      <x:c r="X2118" s="43" t="n">
        <x:f>--AND(W2118=1,O2118="HALLUCINATION")</x:f>
        <x:v>0</x:v>
      </x:c>
      <x:c r="Y2118" s="43" t="n">
        <x:f>--AND(Q2118=1,O2118="HALLUCINATION")</x:f>
        <x:v>0</x:v>
      </x:c>
      <x:c r="Z2118" s="43" t="n">
        <x:f>--AND(Y2118=1,R2118=1,S2118=1)</x:f>
        <x:v>0</x:v>
      </x:c>
      <x:c r="AC2118" t="str">
        <x:f>IF(OR(AA2118="",AB2118=""),"",--(AA2118&lt;&gt;AB2118))</x:f>
      </x:c>
      <x:c r="AE2118" t="str">
        <x:f>IF(OR(AA2118="",AB2118=""),"PENDING_HUMAN",IF(AA2118=AB2118,AA2118,IF(AD2118&lt;&gt;"",AD2118,"PENDING_HUMAN")))</x:f>
        <x:v>PENDING_HUMAN</x:v>
      </x:c>
      <x:c r="AF2118" t="n">
        <x:f>--AND(A2118&lt;&gt;"",AA2118&lt;&gt;"",AB2118&lt;&gt;"",OR(AA2118=AB2118,AD2118&lt;&gt;""),IF(AE2118="HALLUCINATION",U2118&lt;&gt;"",TRUE))</x:f>
        <x:v>0</x:v>
      </x:c>
      <x:c r="AG2118" t="n">
        <x:f>--AND(N2118=1,AF2118=1,OR(AE2118="SUPPORTED",AE2118="HALLUCINATION"))</x:f>
        <x:v>0</x:v>
      </x:c>
      <x:c r="AH2118" t="n">
        <x:f>--AND(AG2118=1,AE2118="HALLUCINATION")</x:f>
        <x:v>0</x:v>
      </x:c>
      <x:c r="AI2118" t="n">
        <x:f>--AND(Q2118=1,AF2118=1,AE2118="HALLUCINATION")</x:f>
        <x:v>0</x:v>
      </x:c>
      <x:c r="AJ2118" t="n">
        <x:f>--AND(AI2118=1,R2118=1,S2118=1)</x:f>
        <x:v>0</x:v>
      </x:c>
    </x:row>
    <x:row r="2119">
      <x:c r="A2119" s="28"/>
      <x:c r="B2119" s="28"/>
      <x:c r="C2119" s="28"/>
      <x:c r="D2119" s="28"/>
      <x:c r="E2119" s="28"/>
      <x:c r="F2119" s="28"/>
      <x:c r="G2119" s="28"/>
      <x:c r="H2119" s="28"/>
      <x:c r="I2119" s="28"/>
      <x:c r="J2119" s="28"/>
      <x:c r="K2119" s="28"/>
      <x:c r="L2119" s="28"/>
      <x:c r="M2119" s="28"/>
      <x:c r="N2119" s="28"/>
      <x:c r="O2119" s="28"/>
      <x:c r="P2119" s="28"/>
      <x:c r="Q2119" s="28"/>
      <x:c r="R2119" s="28"/>
      <x:c r="S2119" s="28"/>
      <x:c r="T2119" s="28"/>
      <x:c r="U2119" s="28"/>
      <x:c r="V2119" s="28"/>
      <x:c r="W2119" s="43" t="n">
        <x:f>--AND(N2119=1,OR(O2119="SUPPORTED",O2119="HALLUCINATION"))</x:f>
        <x:v>0</x:v>
      </x:c>
      <x:c r="X2119" s="43" t="n">
        <x:f>--AND(W2119=1,O2119="HALLUCINATION")</x:f>
        <x:v>0</x:v>
      </x:c>
      <x:c r="Y2119" s="43" t="n">
        <x:f>--AND(Q2119=1,O2119="HALLUCINATION")</x:f>
        <x:v>0</x:v>
      </x:c>
      <x:c r="Z2119" s="43" t="n">
        <x:f>--AND(Y2119=1,R2119=1,S2119=1)</x:f>
        <x:v>0</x:v>
      </x:c>
      <x:c r="AC2119" t="str">
        <x:f>IF(OR(AA2119="",AB2119=""),"",--(AA2119&lt;&gt;AB2119))</x:f>
      </x:c>
      <x:c r="AE2119" t="str">
        <x:f>IF(OR(AA2119="",AB2119=""),"PENDING_HUMAN",IF(AA2119=AB2119,AA2119,IF(AD2119&lt;&gt;"",AD2119,"PENDING_HUMAN")))</x:f>
        <x:v>PENDING_HUMAN</x:v>
      </x:c>
      <x:c r="AF2119" t="n">
        <x:f>--AND(A2119&lt;&gt;"",AA2119&lt;&gt;"",AB2119&lt;&gt;"",OR(AA2119=AB2119,AD2119&lt;&gt;""),IF(AE2119="HALLUCINATION",U2119&lt;&gt;"",TRUE))</x:f>
        <x:v>0</x:v>
      </x:c>
      <x:c r="AG2119" t="n">
        <x:f>--AND(N2119=1,AF2119=1,OR(AE2119="SUPPORTED",AE2119="HALLUCINATION"))</x:f>
        <x:v>0</x:v>
      </x:c>
      <x:c r="AH2119" t="n">
        <x:f>--AND(AG2119=1,AE2119="HALLUCINATION")</x:f>
        <x:v>0</x:v>
      </x:c>
      <x:c r="AI2119" t="n">
        <x:f>--AND(Q2119=1,AF2119=1,AE2119="HALLUCINATION")</x:f>
        <x:v>0</x:v>
      </x:c>
      <x:c r="AJ2119" t="n">
        <x:f>--AND(AI2119=1,R2119=1,S2119=1)</x:f>
        <x:v>0</x:v>
      </x:c>
    </x:row>
    <x:row r="2120">
      <x:c r="A2120" s="28"/>
      <x:c r="B2120" s="28"/>
      <x:c r="C2120" s="28"/>
      <x:c r="D2120" s="28"/>
      <x:c r="E2120" s="28"/>
      <x:c r="F2120" s="28"/>
      <x:c r="G2120" s="28"/>
      <x:c r="H2120" s="28"/>
      <x:c r="I2120" s="28"/>
      <x:c r="J2120" s="28"/>
      <x:c r="K2120" s="28"/>
      <x:c r="L2120" s="28"/>
      <x:c r="M2120" s="28"/>
      <x:c r="N2120" s="28"/>
      <x:c r="O2120" s="28"/>
      <x:c r="P2120" s="28"/>
      <x:c r="Q2120" s="28"/>
      <x:c r="R2120" s="28"/>
      <x:c r="S2120" s="28"/>
      <x:c r="T2120" s="28"/>
      <x:c r="U2120" s="28"/>
      <x:c r="V2120" s="28"/>
      <x:c r="W2120" s="43" t="n">
        <x:f>--AND(N2120=1,OR(O2120="SUPPORTED",O2120="HALLUCINATION"))</x:f>
        <x:v>0</x:v>
      </x:c>
      <x:c r="X2120" s="43" t="n">
        <x:f>--AND(W2120=1,O2120="HALLUCINATION")</x:f>
        <x:v>0</x:v>
      </x:c>
      <x:c r="Y2120" s="43" t="n">
        <x:f>--AND(Q2120=1,O2120="HALLUCINATION")</x:f>
        <x:v>0</x:v>
      </x:c>
      <x:c r="Z2120" s="43" t="n">
        <x:f>--AND(Y2120=1,R2120=1,S2120=1)</x:f>
        <x:v>0</x:v>
      </x:c>
      <x:c r="AC2120" t="str">
        <x:f>IF(OR(AA2120="",AB2120=""),"",--(AA2120&lt;&gt;AB2120))</x:f>
      </x:c>
      <x:c r="AE2120" t="str">
        <x:f>IF(OR(AA2120="",AB2120=""),"PENDING_HUMAN",IF(AA2120=AB2120,AA2120,IF(AD2120&lt;&gt;"",AD2120,"PENDING_HUMAN")))</x:f>
        <x:v>PENDING_HUMAN</x:v>
      </x:c>
      <x:c r="AF2120" t="n">
        <x:f>--AND(A2120&lt;&gt;"",AA2120&lt;&gt;"",AB2120&lt;&gt;"",OR(AA2120=AB2120,AD2120&lt;&gt;""),IF(AE2120="HALLUCINATION",U2120&lt;&gt;"",TRUE))</x:f>
        <x:v>0</x:v>
      </x:c>
      <x:c r="AG2120" t="n">
        <x:f>--AND(N2120=1,AF2120=1,OR(AE2120="SUPPORTED",AE2120="HALLUCINATION"))</x:f>
        <x:v>0</x:v>
      </x:c>
      <x:c r="AH2120" t="n">
        <x:f>--AND(AG2120=1,AE2120="HALLUCINATION")</x:f>
        <x:v>0</x:v>
      </x:c>
      <x:c r="AI2120" t="n">
        <x:f>--AND(Q2120=1,AF2120=1,AE2120="HALLUCINATION")</x:f>
        <x:v>0</x:v>
      </x:c>
      <x:c r="AJ2120" t="n">
        <x:f>--AND(AI2120=1,R2120=1,S2120=1)</x:f>
        <x:v>0</x:v>
      </x:c>
    </x:row>
    <x:row r="2121">
      <x:c r="A2121" s="28"/>
      <x:c r="B2121" s="28"/>
      <x:c r="C2121" s="28"/>
      <x:c r="D2121" s="28"/>
      <x:c r="E2121" s="28"/>
      <x:c r="F2121" s="28"/>
      <x:c r="G2121" s="28"/>
      <x:c r="H2121" s="28"/>
      <x:c r="I2121" s="28"/>
      <x:c r="J2121" s="28"/>
      <x:c r="K2121" s="28"/>
      <x:c r="L2121" s="28"/>
      <x:c r="M2121" s="28"/>
      <x:c r="N2121" s="28"/>
      <x:c r="O2121" s="28"/>
      <x:c r="P2121" s="28"/>
      <x:c r="Q2121" s="28"/>
      <x:c r="R2121" s="28"/>
      <x:c r="S2121" s="28"/>
      <x:c r="T2121" s="28"/>
      <x:c r="U2121" s="28"/>
      <x:c r="V2121" s="28"/>
      <x:c r="W2121" s="43" t="n">
        <x:f>--AND(N2121=1,OR(O2121="SUPPORTED",O2121="HALLUCINATION"))</x:f>
        <x:v>0</x:v>
      </x:c>
      <x:c r="X2121" s="43" t="n">
        <x:f>--AND(W2121=1,O2121="HALLUCINATION")</x:f>
        <x:v>0</x:v>
      </x:c>
      <x:c r="Y2121" s="43" t="n">
        <x:f>--AND(Q2121=1,O2121="HALLUCINATION")</x:f>
        <x:v>0</x:v>
      </x:c>
      <x:c r="Z2121" s="43" t="n">
        <x:f>--AND(Y2121=1,R2121=1,S2121=1)</x:f>
        <x:v>0</x:v>
      </x:c>
      <x:c r="AC2121" t="str">
        <x:f>IF(OR(AA2121="",AB2121=""),"",--(AA2121&lt;&gt;AB2121))</x:f>
      </x:c>
      <x:c r="AE2121" t="str">
        <x:f>IF(OR(AA2121="",AB2121=""),"PENDING_HUMAN",IF(AA2121=AB2121,AA2121,IF(AD2121&lt;&gt;"",AD2121,"PENDING_HUMAN")))</x:f>
        <x:v>PENDING_HUMAN</x:v>
      </x:c>
      <x:c r="AF2121" t="n">
        <x:f>--AND(A2121&lt;&gt;"",AA2121&lt;&gt;"",AB2121&lt;&gt;"",OR(AA2121=AB2121,AD2121&lt;&gt;""),IF(AE2121="HALLUCINATION",U2121&lt;&gt;"",TRUE))</x:f>
        <x:v>0</x:v>
      </x:c>
      <x:c r="AG2121" t="n">
        <x:f>--AND(N2121=1,AF2121=1,OR(AE2121="SUPPORTED",AE2121="HALLUCINATION"))</x:f>
        <x:v>0</x:v>
      </x:c>
      <x:c r="AH2121" t="n">
        <x:f>--AND(AG2121=1,AE2121="HALLUCINATION")</x:f>
        <x:v>0</x:v>
      </x:c>
      <x:c r="AI2121" t="n">
        <x:f>--AND(Q2121=1,AF2121=1,AE2121="HALLUCINATION")</x:f>
        <x:v>0</x:v>
      </x:c>
      <x:c r="AJ2121" t="n">
        <x:f>--AND(AI2121=1,R2121=1,S2121=1)</x:f>
        <x:v>0</x:v>
      </x:c>
    </x:row>
    <x:row r="2122">
      <x:c r="A2122" s="28"/>
      <x:c r="B2122" s="28"/>
      <x:c r="C2122" s="28"/>
      <x:c r="D2122" s="28"/>
      <x:c r="E2122" s="28"/>
      <x:c r="F2122" s="28"/>
      <x:c r="G2122" s="28"/>
      <x:c r="H2122" s="28"/>
      <x:c r="I2122" s="28"/>
      <x:c r="J2122" s="28"/>
      <x:c r="K2122" s="28"/>
      <x:c r="L2122" s="28"/>
      <x:c r="M2122" s="28"/>
      <x:c r="N2122" s="28"/>
      <x:c r="O2122" s="28"/>
      <x:c r="P2122" s="28"/>
      <x:c r="Q2122" s="28"/>
      <x:c r="R2122" s="28"/>
      <x:c r="S2122" s="28"/>
      <x:c r="T2122" s="28"/>
      <x:c r="U2122" s="28"/>
      <x:c r="V2122" s="28"/>
      <x:c r="W2122" s="43" t="n">
        <x:f>--AND(N2122=1,OR(O2122="SUPPORTED",O2122="HALLUCINATION"))</x:f>
        <x:v>0</x:v>
      </x:c>
      <x:c r="X2122" s="43" t="n">
        <x:f>--AND(W2122=1,O2122="HALLUCINATION")</x:f>
        <x:v>0</x:v>
      </x:c>
      <x:c r="Y2122" s="43" t="n">
        <x:f>--AND(Q2122=1,O2122="HALLUCINATION")</x:f>
        <x:v>0</x:v>
      </x:c>
      <x:c r="Z2122" s="43" t="n">
        <x:f>--AND(Y2122=1,R2122=1,S2122=1)</x:f>
        <x:v>0</x:v>
      </x:c>
      <x:c r="AC2122" t="str">
        <x:f>IF(OR(AA2122="",AB2122=""),"",--(AA2122&lt;&gt;AB2122))</x:f>
      </x:c>
      <x:c r="AE2122" t="str">
        <x:f>IF(OR(AA2122="",AB2122=""),"PENDING_HUMAN",IF(AA2122=AB2122,AA2122,IF(AD2122&lt;&gt;"",AD2122,"PENDING_HUMAN")))</x:f>
        <x:v>PENDING_HUMAN</x:v>
      </x:c>
      <x:c r="AF2122" t="n">
        <x:f>--AND(A2122&lt;&gt;"",AA2122&lt;&gt;"",AB2122&lt;&gt;"",OR(AA2122=AB2122,AD2122&lt;&gt;""),IF(AE2122="HALLUCINATION",U2122&lt;&gt;"",TRUE))</x:f>
        <x:v>0</x:v>
      </x:c>
      <x:c r="AG2122" t="n">
        <x:f>--AND(N2122=1,AF2122=1,OR(AE2122="SUPPORTED",AE2122="HALLUCINATION"))</x:f>
        <x:v>0</x:v>
      </x:c>
      <x:c r="AH2122" t="n">
        <x:f>--AND(AG2122=1,AE2122="HALLUCINATION")</x:f>
        <x:v>0</x:v>
      </x:c>
      <x:c r="AI2122" t="n">
        <x:f>--AND(Q2122=1,AF2122=1,AE2122="HALLUCINATION")</x:f>
        <x:v>0</x:v>
      </x:c>
      <x:c r="AJ2122" t="n">
        <x:f>--AND(AI2122=1,R2122=1,S2122=1)</x:f>
        <x:v>0</x:v>
      </x:c>
    </x:row>
    <x:row r="2123">
      <x:c r="A2123" s="28"/>
      <x:c r="B2123" s="28"/>
      <x:c r="C2123" s="28"/>
      <x:c r="D2123" s="28"/>
      <x:c r="E2123" s="28"/>
      <x:c r="F2123" s="28"/>
      <x:c r="G2123" s="28"/>
      <x:c r="H2123" s="28"/>
      <x:c r="I2123" s="28"/>
      <x:c r="J2123" s="28"/>
      <x:c r="K2123" s="28"/>
      <x:c r="L2123" s="28"/>
      <x:c r="M2123" s="28"/>
      <x:c r="N2123" s="28"/>
      <x:c r="O2123" s="28"/>
      <x:c r="P2123" s="28"/>
      <x:c r="Q2123" s="28"/>
      <x:c r="R2123" s="28"/>
      <x:c r="S2123" s="28"/>
      <x:c r="T2123" s="28"/>
      <x:c r="U2123" s="28"/>
      <x:c r="V2123" s="28"/>
      <x:c r="W2123" s="43" t="n">
        <x:f>--AND(N2123=1,OR(O2123="SUPPORTED",O2123="HALLUCINATION"))</x:f>
        <x:v>0</x:v>
      </x:c>
      <x:c r="X2123" s="43" t="n">
        <x:f>--AND(W2123=1,O2123="HALLUCINATION")</x:f>
        <x:v>0</x:v>
      </x:c>
      <x:c r="Y2123" s="43" t="n">
        <x:f>--AND(Q2123=1,O2123="HALLUCINATION")</x:f>
        <x:v>0</x:v>
      </x:c>
      <x:c r="Z2123" s="43" t="n">
        <x:f>--AND(Y2123=1,R2123=1,S2123=1)</x:f>
        <x:v>0</x:v>
      </x:c>
      <x:c r="AC2123" t="str">
        <x:f>IF(OR(AA2123="",AB2123=""),"",--(AA2123&lt;&gt;AB2123))</x:f>
      </x:c>
      <x:c r="AE2123" t="str">
        <x:f>IF(OR(AA2123="",AB2123=""),"PENDING_HUMAN",IF(AA2123=AB2123,AA2123,IF(AD2123&lt;&gt;"",AD2123,"PENDING_HUMAN")))</x:f>
        <x:v>PENDING_HUMAN</x:v>
      </x:c>
      <x:c r="AF2123" t="n">
        <x:f>--AND(A2123&lt;&gt;"",AA2123&lt;&gt;"",AB2123&lt;&gt;"",OR(AA2123=AB2123,AD2123&lt;&gt;""),IF(AE2123="HALLUCINATION",U2123&lt;&gt;"",TRUE))</x:f>
        <x:v>0</x:v>
      </x:c>
      <x:c r="AG2123" t="n">
        <x:f>--AND(N2123=1,AF2123=1,OR(AE2123="SUPPORTED",AE2123="HALLUCINATION"))</x:f>
        <x:v>0</x:v>
      </x:c>
      <x:c r="AH2123" t="n">
        <x:f>--AND(AG2123=1,AE2123="HALLUCINATION")</x:f>
        <x:v>0</x:v>
      </x:c>
      <x:c r="AI2123" t="n">
        <x:f>--AND(Q2123=1,AF2123=1,AE2123="HALLUCINATION")</x:f>
        <x:v>0</x:v>
      </x:c>
      <x:c r="AJ2123" t="n">
        <x:f>--AND(AI2123=1,R2123=1,S2123=1)</x:f>
        <x:v>0</x:v>
      </x:c>
    </x:row>
    <x:row r="2124">
      <x:c r="A2124" s="28"/>
      <x:c r="B2124" s="28"/>
      <x:c r="C2124" s="28"/>
      <x:c r="D2124" s="28"/>
      <x:c r="E2124" s="28"/>
      <x:c r="F2124" s="28"/>
      <x:c r="G2124" s="28"/>
      <x:c r="H2124" s="28"/>
      <x:c r="I2124" s="28"/>
      <x:c r="J2124" s="28"/>
      <x:c r="K2124" s="28"/>
      <x:c r="L2124" s="28"/>
      <x:c r="M2124" s="28"/>
      <x:c r="N2124" s="28"/>
      <x:c r="O2124" s="28"/>
      <x:c r="P2124" s="28"/>
      <x:c r="Q2124" s="28"/>
      <x:c r="R2124" s="28"/>
      <x:c r="S2124" s="28"/>
      <x:c r="T2124" s="28"/>
      <x:c r="U2124" s="28"/>
      <x:c r="V2124" s="28"/>
      <x:c r="W2124" s="43" t="n">
        <x:f>--AND(N2124=1,OR(O2124="SUPPORTED",O2124="HALLUCINATION"))</x:f>
        <x:v>0</x:v>
      </x:c>
      <x:c r="X2124" s="43" t="n">
        <x:f>--AND(W2124=1,O2124="HALLUCINATION")</x:f>
        <x:v>0</x:v>
      </x:c>
      <x:c r="Y2124" s="43" t="n">
        <x:f>--AND(Q2124=1,O2124="HALLUCINATION")</x:f>
        <x:v>0</x:v>
      </x:c>
      <x:c r="Z2124" s="43" t="n">
        <x:f>--AND(Y2124=1,R2124=1,S2124=1)</x:f>
        <x:v>0</x:v>
      </x:c>
      <x:c r="AC2124" t="str">
        <x:f>IF(OR(AA2124="",AB2124=""),"",--(AA2124&lt;&gt;AB2124))</x:f>
      </x:c>
      <x:c r="AE2124" t="str">
        <x:f>IF(OR(AA2124="",AB2124=""),"PENDING_HUMAN",IF(AA2124=AB2124,AA2124,IF(AD2124&lt;&gt;"",AD2124,"PENDING_HUMAN")))</x:f>
        <x:v>PENDING_HUMAN</x:v>
      </x:c>
      <x:c r="AF2124" t="n">
        <x:f>--AND(A2124&lt;&gt;"",AA2124&lt;&gt;"",AB2124&lt;&gt;"",OR(AA2124=AB2124,AD2124&lt;&gt;""),IF(AE2124="HALLUCINATION",U2124&lt;&gt;"",TRUE))</x:f>
        <x:v>0</x:v>
      </x:c>
      <x:c r="AG2124" t="n">
        <x:f>--AND(N2124=1,AF2124=1,OR(AE2124="SUPPORTED",AE2124="HALLUCINATION"))</x:f>
        <x:v>0</x:v>
      </x:c>
      <x:c r="AH2124" t="n">
        <x:f>--AND(AG2124=1,AE2124="HALLUCINATION")</x:f>
        <x:v>0</x:v>
      </x:c>
      <x:c r="AI2124" t="n">
        <x:f>--AND(Q2124=1,AF2124=1,AE2124="HALLUCINATION")</x:f>
        <x:v>0</x:v>
      </x:c>
      <x:c r="AJ2124" t="n">
        <x:f>--AND(AI2124=1,R2124=1,S2124=1)</x:f>
        <x:v>0</x:v>
      </x:c>
    </x:row>
    <x:row r="2125">
      <x:c r="A2125" s="28"/>
      <x:c r="B2125" s="28"/>
      <x:c r="C2125" s="28"/>
      <x:c r="D2125" s="28"/>
      <x:c r="E2125" s="28"/>
      <x:c r="F2125" s="28"/>
      <x:c r="G2125" s="28"/>
      <x:c r="H2125" s="28"/>
      <x:c r="I2125" s="28"/>
      <x:c r="J2125" s="28"/>
      <x:c r="K2125" s="28"/>
      <x:c r="L2125" s="28"/>
      <x:c r="M2125" s="28"/>
      <x:c r="N2125" s="28"/>
      <x:c r="O2125" s="28"/>
      <x:c r="P2125" s="28"/>
      <x:c r="Q2125" s="28"/>
      <x:c r="R2125" s="28"/>
      <x:c r="S2125" s="28"/>
      <x:c r="T2125" s="28"/>
      <x:c r="U2125" s="28"/>
      <x:c r="V2125" s="28"/>
      <x:c r="W2125" s="43" t="n">
        <x:f>--AND(N2125=1,OR(O2125="SUPPORTED",O2125="HALLUCINATION"))</x:f>
        <x:v>0</x:v>
      </x:c>
      <x:c r="X2125" s="43" t="n">
        <x:f>--AND(W2125=1,O2125="HALLUCINATION")</x:f>
        <x:v>0</x:v>
      </x:c>
      <x:c r="Y2125" s="43" t="n">
        <x:f>--AND(Q2125=1,O2125="HALLUCINATION")</x:f>
        <x:v>0</x:v>
      </x:c>
      <x:c r="Z2125" s="43" t="n">
        <x:f>--AND(Y2125=1,R2125=1,S2125=1)</x:f>
        <x:v>0</x:v>
      </x:c>
      <x:c r="AC2125" t="str">
        <x:f>IF(OR(AA2125="",AB2125=""),"",--(AA2125&lt;&gt;AB2125))</x:f>
      </x:c>
      <x:c r="AE2125" t="str">
        <x:f>IF(OR(AA2125="",AB2125=""),"PENDING_HUMAN",IF(AA2125=AB2125,AA2125,IF(AD2125&lt;&gt;"",AD2125,"PENDING_HUMAN")))</x:f>
        <x:v>PENDING_HUMAN</x:v>
      </x:c>
      <x:c r="AF2125" t="n">
        <x:f>--AND(A2125&lt;&gt;"",AA2125&lt;&gt;"",AB2125&lt;&gt;"",OR(AA2125=AB2125,AD2125&lt;&gt;""),IF(AE2125="HALLUCINATION",U2125&lt;&gt;"",TRUE))</x:f>
        <x:v>0</x:v>
      </x:c>
      <x:c r="AG2125" t="n">
        <x:f>--AND(N2125=1,AF2125=1,OR(AE2125="SUPPORTED",AE2125="HALLUCINATION"))</x:f>
        <x:v>0</x:v>
      </x:c>
      <x:c r="AH2125" t="n">
        <x:f>--AND(AG2125=1,AE2125="HALLUCINATION")</x:f>
        <x:v>0</x:v>
      </x:c>
      <x:c r="AI2125" t="n">
        <x:f>--AND(Q2125=1,AF2125=1,AE2125="HALLUCINATION")</x:f>
        <x:v>0</x:v>
      </x:c>
      <x:c r="AJ2125" t="n">
        <x:f>--AND(AI2125=1,R2125=1,S2125=1)</x:f>
        <x:v>0</x:v>
      </x:c>
    </x:row>
    <x:row r="2126">
      <x:c r="A2126" s="28"/>
      <x:c r="B2126" s="28"/>
      <x:c r="C2126" s="28"/>
      <x:c r="D2126" s="28"/>
      <x:c r="E2126" s="28"/>
      <x:c r="F2126" s="28"/>
      <x:c r="G2126" s="28"/>
      <x:c r="H2126" s="28"/>
      <x:c r="I2126" s="28"/>
      <x:c r="J2126" s="28"/>
      <x:c r="K2126" s="28"/>
      <x:c r="L2126" s="28"/>
      <x:c r="M2126" s="28"/>
      <x:c r="N2126" s="28"/>
      <x:c r="O2126" s="28"/>
      <x:c r="P2126" s="28"/>
      <x:c r="Q2126" s="28"/>
      <x:c r="R2126" s="28"/>
      <x:c r="S2126" s="28"/>
      <x:c r="T2126" s="28"/>
      <x:c r="U2126" s="28"/>
      <x:c r="V2126" s="28"/>
      <x:c r="W2126" s="43" t="n">
        <x:f>--AND(N2126=1,OR(O2126="SUPPORTED",O2126="HALLUCINATION"))</x:f>
        <x:v>0</x:v>
      </x:c>
      <x:c r="X2126" s="43" t="n">
        <x:f>--AND(W2126=1,O2126="HALLUCINATION")</x:f>
        <x:v>0</x:v>
      </x:c>
      <x:c r="Y2126" s="43" t="n">
        <x:f>--AND(Q2126=1,O2126="HALLUCINATION")</x:f>
        <x:v>0</x:v>
      </x:c>
      <x:c r="Z2126" s="43" t="n">
        <x:f>--AND(Y2126=1,R2126=1,S2126=1)</x:f>
        <x:v>0</x:v>
      </x:c>
      <x:c r="AC2126" t="str">
        <x:f>IF(OR(AA2126="",AB2126=""),"",--(AA2126&lt;&gt;AB2126))</x:f>
      </x:c>
      <x:c r="AE2126" t="str">
        <x:f>IF(OR(AA2126="",AB2126=""),"PENDING_HUMAN",IF(AA2126=AB2126,AA2126,IF(AD2126&lt;&gt;"",AD2126,"PENDING_HUMAN")))</x:f>
        <x:v>PENDING_HUMAN</x:v>
      </x:c>
      <x:c r="AF2126" t="n">
        <x:f>--AND(A2126&lt;&gt;"",AA2126&lt;&gt;"",AB2126&lt;&gt;"",OR(AA2126=AB2126,AD2126&lt;&gt;""),IF(AE2126="HALLUCINATION",U2126&lt;&gt;"",TRUE))</x:f>
        <x:v>0</x:v>
      </x:c>
      <x:c r="AG2126" t="n">
        <x:f>--AND(N2126=1,AF2126=1,OR(AE2126="SUPPORTED",AE2126="HALLUCINATION"))</x:f>
        <x:v>0</x:v>
      </x:c>
      <x:c r="AH2126" t="n">
        <x:f>--AND(AG2126=1,AE2126="HALLUCINATION")</x:f>
        <x:v>0</x:v>
      </x:c>
      <x:c r="AI2126" t="n">
        <x:f>--AND(Q2126=1,AF2126=1,AE2126="HALLUCINATION")</x:f>
        <x:v>0</x:v>
      </x:c>
      <x:c r="AJ2126" t="n">
        <x:f>--AND(AI2126=1,R2126=1,S2126=1)</x:f>
        <x:v>0</x:v>
      </x:c>
    </x:row>
    <x:row r="2127">
      <x:c r="A2127" s="28"/>
      <x:c r="B2127" s="28"/>
      <x:c r="C2127" s="28"/>
      <x:c r="D2127" s="28"/>
      <x:c r="E2127" s="28"/>
      <x:c r="F2127" s="28"/>
      <x:c r="G2127" s="28"/>
      <x:c r="H2127" s="28"/>
      <x:c r="I2127" s="28"/>
      <x:c r="J2127" s="28"/>
      <x:c r="K2127" s="28"/>
      <x:c r="L2127" s="28"/>
      <x:c r="M2127" s="28"/>
      <x:c r="N2127" s="28"/>
      <x:c r="O2127" s="28"/>
      <x:c r="P2127" s="28"/>
      <x:c r="Q2127" s="28"/>
      <x:c r="R2127" s="28"/>
      <x:c r="S2127" s="28"/>
      <x:c r="T2127" s="28"/>
      <x:c r="U2127" s="28"/>
      <x:c r="V2127" s="28"/>
      <x:c r="W2127" s="43" t="n">
        <x:f>--AND(N2127=1,OR(O2127="SUPPORTED",O2127="HALLUCINATION"))</x:f>
        <x:v>0</x:v>
      </x:c>
      <x:c r="X2127" s="43" t="n">
        <x:f>--AND(W2127=1,O2127="HALLUCINATION")</x:f>
        <x:v>0</x:v>
      </x:c>
      <x:c r="Y2127" s="43" t="n">
        <x:f>--AND(Q2127=1,O2127="HALLUCINATION")</x:f>
        <x:v>0</x:v>
      </x:c>
      <x:c r="Z2127" s="43" t="n">
        <x:f>--AND(Y2127=1,R2127=1,S2127=1)</x:f>
        <x:v>0</x:v>
      </x:c>
      <x:c r="AC2127" t="str">
        <x:f>IF(OR(AA2127="",AB2127=""),"",--(AA2127&lt;&gt;AB2127))</x:f>
      </x:c>
      <x:c r="AE2127" t="str">
        <x:f>IF(OR(AA2127="",AB2127=""),"PENDING_HUMAN",IF(AA2127=AB2127,AA2127,IF(AD2127&lt;&gt;"",AD2127,"PENDING_HUMAN")))</x:f>
        <x:v>PENDING_HUMAN</x:v>
      </x:c>
      <x:c r="AF2127" t="n">
        <x:f>--AND(A2127&lt;&gt;"",AA2127&lt;&gt;"",AB2127&lt;&gt;"",OR(AA2127=AB2127,AD2127&lt;&gt;""),IF(AE2127="HALLUCINATION",U2127&lt;&gt;"",TRUE))</x:f>
        <x:v>0</x:v>
      </x:c>
      <x:c r="AG2127" t="n">
        <x:f>--AND(N2127=1,AF2127=1,OR(AE2127="SUPPORTED",AE2127="HALLUCINATION"))</x:f>
        <x:v>0</x:v>
      </x:c>
      <x:c r="AH2127" t="n">
        <x:f>--AND(AG2127=1,AE2127="HALLUCINATION")</x:f>
        <x:v>0</x:v>
      </x:c>
      <x:c r="AI2127" t="n">
        <x:f>--AND(Q2127=1,AF2127=1,AE2127="HALLUCINATION")</x:f>
        <x:v>0</x:v>
      </x:c>
      <x:c r="AJ2127" t="n">
        <x:f>--AND(AI2127=1,R2127=1,S2127=1)</x:f>
        <x:v>0</x:v>
      </x:c>
    </x:row>
    <x:row r="2128">
      <x:c r="A2128" s="28"/>
      <x:c r="B2128" s="28"/>
      <x:c r="C2128" s="28"/>
      <x:c r="D2128" s="28"/>
      <x:c r="E2128" s="28"/>
      <x:c r="F2128" s="28"/>
      <x:c r="G2128" s="28"/>
      <x:c r="H2128" s="28"/>
      <x:c r="I2128" s="28"/>
      <x:c r="J2128" s="28"/>
      <x:c r="K2128" s="28"/>
      <x:c r="L2128" s="28"/>
      <x:c r="M2128" s="28"/>
      <x:c r="N2128" s="28"/>
      <x:c r="O2128" s="28"/>
      <x:c r="P2128" s="28"/>
      <x:c r="Q2128" s="28"/>
      <x:c r="R2128" s="28"/>
      <x:c r="S2128" s="28"/>
      <x:c r="T2128" s="28"/>
      <x:c r="U2128" s="28"/>
      <x:c r="V2128" s="28"/>
      <x:c r="W2128" s="43" t="n">
        <x:f>--AND(N2128=1,OR(O2128="SUPPORTED",O2128="HALLUCINATION"))</x:f>
        <x:v>0</x:v>
      </x:c>
      <x:c r="X2128" s="43" t="n">
        <x:f>--AND(W2128=1,O2128="HALLUCINATION")</x:f>
        <x:v>0</x:v>
      </x:c>
      <x:c r="Y2128" s="43" t="n">
        <x:f>--AND(Q2128=1,O2128="HALLUCINATION")</x:f>
        <x:v>0</x:v>
      </x:c>
      <x:c r="Z2128" s="43" t="n">
        <x:f>--AND(Y2128=1,R2128=1,S2128=1)</x:f>
        <x:v>0</x:v>
      </x:c>
      <x:c r="AC2128" t="str">
        <x:f>IF(OR(AA2128="",AB2128=""),"",--(AA2128&lt;&gt;AB2128))</x:f>
      </x:c>
      <x:c r="AE2128" t="str">
        <x:f>IF(OR(AA2128="",AB2128=""),"PENDING_HUMAN",IF(AA2128=AB2128,AA2128,IF(AD2128&lt;&gt;"",AD2128,"PENDING_HUMAN")))</x:f>
        <x:v>PENDING_HUMAN</x:v>
      </x:c>
      <x:c r="AF2128" t="n">
        <x:f>--AND(A2128&lt;&gt;"",AA2128&lt;&gt;"",AB2128&lt;&gt;"",OR(AA2128=AB2128,AD2128&lt;&gt;""),IF(AE2128="HALLUCINATION",U2128&lt;&gt;"",TRUE))</x:f>
        <x:v>0</x:v>
      </x:c>
      <x:c r="AG2128" t="n">
        <x:f>--AND(N2128=1,AF2128=1,OR(AE2128="SUPPORTED",AE2128="HALLUCINATION"))</x:f>
        <x:v>0</x:v>
      </x:c>
      <x:c r="AH2128" t="n">
        <x:f>--AND(AG2128=1,AE2128="HALLUCINATION")</x:f>
        <x:v>0</x:v>
      </x:c>
      <x:c r="AI2128" t="n">
        <x:f>--AND(Q2128=1,AF2128=1,AE2128="HALLUCINATION")</x:f>
        <x:v>0</x:v>
      </x:c>
      <x:c r="AJ2128" t="n">
        <x:f>--AND(AI2128=1,R2128=1,S2128=1)</x:f>
        <x:v>0</x:v>
      </x:c>
    </x:row>
    <x:row r="2129">
      <x:c r="A2129" s="28"/>
      <x:c r="B2129" s="28"/>
      <x:c r="C2129" s="28"/>
      <x:c r="D2129" s="28"/>
      <x:c r="E2129" s="28"/>
      <x:c r="F2129" s="28"/>
      <x:c r="G2129" s="28"/>
      <x:c r="H2129" s="28"/>
      <x:c r="I2129" s="28"/>
      <x:c r="J2129" s="28"/>
      <x:c r="K2129" s="28"/>
      <x:c r="L2129" s="28"/>
      <x:c r="M2129" s="28"/>
      <x:c r="N2129" s="28"/>
      <x:c r="O2129" s="28"/>
      <x:c r="P2129" s="28"/>
      <x:c r="Q2129" s="28"/>
      <x:c r="R2129" s="28"/>
      <x:c r="S2129" s="28"/>
      <x:c r="T2129" s="28"/>
      <x:c r="U2129" s="28"/>
      <x:c r="V2129" s="28"/>
      <x:c r="W2129" s="43" t="n">
        <x:f>--AND(N2129=1,OR(O2129="SUPPORTED",O2129="HALLUCINATION"))</x:f>
        <x:v>0</x:v>
      </x:c>
      <x:c r="X2129" s="43" t="n">
        <x:f>--AND(W2129=1,O2129="HALLUCINATION")</x:f>
        <x:v>0</x:v>
      </x:c>
      <x:c r="Y2129" s="43" t="n">
        <x:f>--AND(Q2129=1,O2129="HALLUCINATION")</x:f>
        <x:v>0</x:v>
      </x:c>
      <x:c r="Z2129" s="43" t="n">
        <x:f>--AND(Y2129=1,R2129=1,S2129=1)</x:f>
        <x:v>0</x:v>
      </x:c>
      <x:c r="AC2129" t="str">
        <x:f>IF(OR(AA2129="",AB2129=""),"",--(AA2129&lt;&gt;AB2129))</x:f>
      </x:c>
      <x:c r="AE2129" t="str">
        <x:f>IF(OR(AA2129="",AB2129=""),"PENDING_HUMAN",IF(AA2129=AB2129,AA2129,IF(AD2129&lt;&gt;"",AD2129,"PENDING_HUMAN")))</x:f>
        <x:v>PENDING_HUMAN</x:v>
      </x:c>
      <x:c r="AF2129" t="n">
        <x:f>--AND(A2129&lt;&gt;"",AA2129&lt;&gt;"",AB2129&lt;&gt;"",OR(AA2129=AB2129,AD2129&lt;&gt;""),IF(AE2129="HALLUCINATION",U2129&lt;&gt;"",TRUE))</x:f>
        <x:v>0</x:v>
      </x:c>
      <x:c r="AG2129" t="n">
        <x:f>--AND(N2129=1,AF2129=1,OR(AE2129="SUPPORTED",AE2129="HALLUCINATION"))</x:f>
        <x:v>0</x:v>
      </x:c>
      <x:c r="AH2129" t="n">
        <x:f>--AND(AG2129=1,AE2129="HALLUCINATION")</x:f>
        <x:v>0</x:v>
      </x:c>
      <x:c r="AI2129" t="n">
        <x:f>--AND(Q2129=1,AF2129=1,AE2129="HALLUCINATION")</x:f>
        <x:v>0</x:v>
      </x:c>
      <x:c r="AJ2129" t="n">
        <x:f>--AND(AI2129=1,R2129=1,S2129=1)</x:f>
        <x:v>0</x:v>
      </x:c>
    </x:row>
    <x:row r="2130">
      <x:c r="A2130" s="28"/>
      <x:c r="B2130" s="28"/>
      <x:c r="C2130" s="28"/>
      <x:c r="D2130" s="28"/>
      <x:c r="E2130" s="28"/>
      <x:c r="F2130" s="28"/>
      <x:c r="G2130" s="28"/>
      <x:c r="H2130" s="28"/>
      <x:c r="I2130" s="28"/>
      <x:c r="J2130" s="28"/>
      <x:c r="K2130" s="28"/>
      <x:c r="L2130" s="28"/>
      <x:c r="M2130" s="28"/>
      <x:c r="N2130" s="28"/>
      <x:c r="O2130" s="28"/>
      <x:c r="P2130" s="28"/>
      <x:c r="Q2130" s="28"/>
      <x:c r="R2130" s="28"/>
      <x:c r="S2130" s="28"/>
      <x:c r="T2130" s="28"/>
      <x:c r="U2130" s="28"/>
      <x:c r="V2130" s="28"/>
      <x:c r="W2130" s="43" t="n">
        <x:f>--AND(N2130=1,OR(O2130="SUPPORTED",O2130="HALLUCINATION"))</x:f>
        <x:v>0</x:v>
      </x:c>
      <x:c r="X2130" s="43" t="n">
        <x:f>--AND(W2130=1,O2130="HALLUCINATION")</x:f>
        <x:v>0</x:v>
      </x:c>
      <x:c r="Y2130" s="43" t="n">
        <x:f>--AND(Q2130=1,O2130="HALLUCINATION")</x:f>
        <x:v>0</x:v>
      </x:c>
      <x:c r="Z2130" s="43" t="n">
        <x:f>--AND(Y2130=1,R2130=1,S2130=1)</x:f>
        <x:v>0</x:v>
      </x:c>
      <x:c r="AC2130" t="str">
        <x:f>IF(OR(AA2130="",AB2130=""),"",--(AA2130&lt;&gt;AB2130))</x:f>
      </x:c>
      <x:c r="AE2130" t="str">
        <x:f>IF(OR(AA2130="",AB2130=""),"PENDING_HUMAN",IF(AA2130=AB2130,AA2130,IF(AD2130&lt;&gt;"",AD2130,"PENDING_HUMAN")))</x:f>
        <x:v>PENDING_HUMAN</x:v>
      </x:c>
      <x:c r="AF2130" t="n">
        <x:f>--AND(A2130&lt;&gt;"",AA2130&lt;&gt;"",AB2130&lt;&gt;"",OR(AA2130=AB2130,AD2130&lt;&gt;""),IF(AE2130="HALLUCINATION",U2130&lt;&gt;"",TRUE))</x:f>
        <x:v>0</x:v>
      </x:c>
      <x:c r="AG2130" t="n">
        <x:f>--AND(N2130=1,AF2130=1,OR(AE2130="SUPPORTED",AE2130="HALLUCINATION"))</x:f>
        <x:v>0</x:v>
      </x:c>
      <x:c r="AH2130" t="n">
        <x:f>--AND(AG2130=1,AE2130="HALLUCINATION")</x:f>
        <x:v>0</x:v>
      </x:c>
      <x:c r="AI2130" t="n">
        <x:f>--AND(Q2130=1,AF2130=1,AE2130="HALLUCINATION")</x:f>
        <x:v>0</x:v>
      </x:c>
      <x:c r="AJ2130" t="n">
        <x:f>--AND(AI2130=1,R2130=1,S2130=1)</x:f>
        <x:v>0</x:v>
      </x:c>
    </x:row>
    <x:row r="2131">
      <x:c r="A2131" s="28"/>
      <x:c r="B2131" s="28"/>
      <x:c r="C2131" s="28"/>
      <x:c r="D2131" s="28"/>
      <x:c r="E2131" s="28"/>
      <x:c r="F2131" s="28"/>
      <x:c r="G2131" s="28"/>
      <x:c r="H2131" s="28"/>
      <x:c r="I2131" s="28"/>
      <x:c r="J2131" s="28"/>
      <x:c r="K2131" s="28"/>
      <x:c r="L2131" s="28"/>
      <x:c r="M2131" s="28"/>
      <x:c r="N2131" s="28"/>
      <x:c r="O2131" s="28"/>
      <x:c r="P2131" s="28"/>
      <x:c r="Q2131" s="28"/>
      <x:c r="R2131" s="28"/>
      <x:c r="S2131" s="28"/>
      <x:c r="T2131" s="28"/>
      <x:c r="U2131" s="28"/>
      <x:c r="V2131" s="28"/>
      <x:c r="W2131" s="43" t="n">
        <x:f>--AND(N2131=1,OR(O2131="SUPPORTED",O2131="HALLUCINATION"))</x:f>
        <x:v>0</x:v>
      </x:c>
      <x:c r="X2131" s="43" t="n">
        <x:f>--AND(W2131=1,O2131="HALLUCINATION")</x:f>
        <x:v>0</x:v>
      </x:c>
      <x:c r="Y2131" s="43" t="n">
        <x:f>--AND(Q2131=1,O2131="HALLUCINATION")</x:f>
        <x:v>0</x:v>
      </x:c>
      <x:c r="Z2131" s="43" t="n">
        <x:f>--AND(Y2131=1,R2131=1,S2131=1)</x:f>
        <x:v>0</x:v>
      </x:c>
      <x:c r="AC2131" t="str">
        <x:f>IF(OR(AA2131="",AB2131=""),"",--(AA2131&lt;&gt;AB2131))</x:f>
      </x:c>
      <x:c r="AE2131" t="str">
        <x:f>IF(OR(AA2131="",AB2131=""),"PENDING_HUMAN",IF(AA2131=AB2131,AA2131,IF(AD2131&lt;&gt;"",AD2131,"PENDING_HUMAN")))</x:f>
        <x:v>PENDING_HUMAN</x:v>
      </x:c>
      <x:c r="AF2131" t="n">
        <x:f>--AND(A2131&lt;&gt;"",AA2131&lt;&gt;"",AB2131&lt;&gt;"",OR(AA2131=AB2131,AD2131&lt;&gt;""),IF(AE2131="HALLUCINATION",U2131&lt;&gt;"",TRUE))</x:f>
        <x:v>0</x:v>
      </x:c>
      <x:c r="AG2131" t="n">
        <x:f>--AND(N2131=1,AF2131=1,OR(AE2131="SUPPORTED",AE2131="HALLUCINATION"))</x:f>
        <x:v>0</x:v>
      </x:c>
      <x:c r="AH2131" t="n">
        <x:f>--AND(AG2131=1,AE2131="HALLUCINATION")</x:f>
        <x:v>0</x:v>
      </x:c>
      <x:c r="AI2131" t="n">
        <x:f>--AND(Q2131=1,AF2131=1,AE2131="HALLUCINATION")</x:f>
        <x:v>0</x:v>
      </x:c>
      <x:c r="AJ2131" t="n">
        <x:f>--AND(AI2131=1,R2131=1,S2131=1)</x:f>
        <x:v>0</x:v>
      </x:c>
    </x:row>
    <x:row r="2132">
      <x:c r="A2132" s="28"/>
      <x:c r="B2132" s="28"/>
      <x:c r="C2132" s="28"/>
      <x:c r="D2132" s="28"/>
      <x:c r="E2132" s="28"/>
      <x:c r="F2132" s="28"/>
      <x:c r="G2132" s="28"/>
      <x:c r="H2132" s="28"/>
      <x:c r="I2132" s="28"/>
      <x:c r="J2132" s="28"/>
      <x:c r="K2132" s="28"/>
      <x:c r="L2132" s="28"/>
      <x:c r="M2132" s="28"/>
      <x:c r="N2132" s="28"/>
      <x:c r="O2132" s="28"/>
      <x:c r="P2132" s="28"/>
      <x:c r="Q2132" s="28"/>
      <x:c r="R2132" s="28"/>
      <x:c r="S2132" s="28"/>
      <x:c r="T2132" s="28"/>
      <x:c r="U2132" s="28"/>
      <x:c r="V2132" s="28"/>
      <x:c r="W2132" s="43" t="n">
        <x:f>--AND(N2132=1,OR(O2132="SUPPORTED",O2132="HALLUCINATION"))</x:f>
        <x:v>0</x:v>
      </x:c>
      <x:c r="X2132" s="43" t="n">
        <x:f>--AND(W2132=1,O2132="HALLUCINATION")</x:f>
        <x:v>0</x:v>
      </x:c>
      <x:c r="Y2132" s="43" t="n">
        <x:f>--AND(Q2132=1,O2132="HALLUCINATION")</x:f>
        <x:v>0</x:v>
      </x:c>
      <x:c r="Z2132" s="43" t="n">
        <x:f>--AND(Y2132=1,R2132=1,S2132=1)</x:f>
        <x:v>0</x:v>
      </x:c>
      <x:c r="AC2132" t="str">
        <x:f>IF(OR(AA2132="",AB2132=""),"",--(AA2132&lt;&gt;AB2132))</x:f>
      </x:c>
      <x:c r="AE2132" t="str">
        <x:f>IF(OR(AA2132="",AB2132=""),"PENDING_HUMAN",IF(AA2132=AB2132,AA2132,IF(AD2132&lt;&gt;"",AD2132,"PENDING_HUMAN")))</x:f>
        <x:v>PENDING_HUMAN</x:v>
      </x:c>
      <x:c r="AF2132" t="n">
        <x:f>--AND(A2132&lt;&gt;"",AA2132&lt;&gt;"",AB2132&lt;&gt;"",OR(AA2132=AB2132,AD2132&lt;&gt;""),IF(AE2132="HALLUCINATION",U2132&lt;&gt;"",TRUE))</x:f>
        <x:v>0</x:v>
      </x:c>
      <x:c r="AG2132" t="n">
        <x:f>--AND(N2132=1,AF2132=1,OR(AE2132="SUPPORTED",AE2132="HALLUCINATION"))</x:f>
        <x:v>0</x:v>
      </x:c>
      <x:c r="AH2132" t="n">
        <x:f>--AND(AG2132=1,AE2132="HALLUCINATION")</x:f>
        <x:v>0</x:v>
      </x:c>
      <x:c r="AI2132" t="n">
        <x:f>--AND(Q2132=1,AF2132=1,AE2132="HALLUCINATION")</x:f>
        <x:v>0</x:v>
      </x:c>
      <x:c r="AJ2132" t="n">
        <x:f>--AND(AI2132=1,R2132=1,S2132=1)</x:f>
        <x:v>0</x:v>
      </x:c>
    </x:row>
    <x:row r="2133">
      <x:c r="A2133" s="28"/>
      <x:c r="B2133" s="28"/>
      <x:c r="C2133" s="28"/>
      <x:c r="D2133" s="28"/>
      <x:c r="E2133" s="28"/>
      <x:c r="F2133" s="28"/>
      <x:c r="G2133" s="28"/>
      <x:c r="H2133" s="28"/>
      <x:c r="I2133" s="28"/>
      <x:c r="J2133" s="28"/>
      <x:c r="K2133" s="28"/>
      <x:c r="L2133" s="28"/>
      <x:c r="M2133" s="28"/>
      <x:c r="N2133" s="28"/>
      <x:c r="O2133" s="28"/>
      <x:c r="P2133" s="28"/>
      <x:c r="Q2133" s="28"/>
      <x:c r="R2133" s="28"/>
      <x:c r="S2133" s="28"/>
      <x:c r="T2133" s="28"/>
      <x:c r="U2133" s="28"/>
      <x:c r="V2133" s="28"/>
      <x:c r="W2133" s="43" t="n">
        <x:f>--AND(N2133=1,OR(O2133="SUPPORTED",O2133="HALLUCINATION"))</x:f>
        <x:v>0</x:v>
      </x:c>
      <x:c r="X2133" s="43" t="n">
        <x:f>--AND(W2133=1,O2133="HALLUCINATION")</x:f>
        <x:v>0</x:v>
      </x:c>
      <x:c r="Y2133" s="43" t="n">
        <x:f>--AND(Q2133=1,O2133="HALLUCINATION")</x:f>
        <x:v>0</x:v>
      </x:c>
      <x:c r="Z2133" s="43" t="n">
        <x:f>--AND(Y2133=1,R2133=1,S2133=1)</x:f>
        <x:v>0</x:v>
      </x:c>
      <x:c r="AC2133" t="str">
        <x:f>IF(OR(AA2133="",AB2133=""),"",--(AA2133&lt;&gt;AB2133))</x:f>
      </x:c>
      <x:c r="AE2133" t="str">
        <x:f>IF(OR(AA2133="",AB2133=""),"PENDING_HUMAN",IF(AA2133=AB2133,AA2133,IF(AD2133&lt;&gt;"",AD2133,"PENDING_HUMAN")))</x:f>
        <x:v>PENDING_HUMAN</x:v>
      </x:c>
      <x:c r="AF2133" t="n">
        <x:f>--AND(A2133&lt;&gt;"",AA2133&lt;&gt;"",AB2133&lt;&gt;"",OR(AA2133=AB2133,AD2133&lt;&gt;""),IF(AE2133="HALLUCINATION",U2133&lt;&gt;"",TRUE))</x:f>
        <x:v>0</x:v>
      </x:c>
      <x:c r="AG2133" t="n">
        <x:f>--AND(N2133=1,AF2133=1,OR(AE2133="SUPPORTED",AE2133="HALLUCINATION"))</x:f>
        <x:v>0</x:v>
      </x:c>
      <x:c r="AH2133" t="n">
        <x:f>--AND(AG2133=1,AE2133="HALLUCINATION")</x:f>
        <x:v>0</x:v>
      </x:c>
      <x:c r="AI2133" t="n">
        <x:f>--AND(Q2133=1,AF2133=1,AE2133="HALLUCINATION")</x:f>
        <x:v>0</x:v>
      </x:c>
      <x:c r="AJ2133" t="n">
        <x:f>--AND(AI2133=1,R2133=1,S2133=1)</x:f>
        <x:v>0</x:v>
      </x:c>
    </x:row>
    <x:row r="2134">
      <x:c r="A2134" s="28"/>
      <x:c r="B2134" s="28"/>
      <x:c r="C2134" s="28"/>
      <x:c r="D2134" s="28"/>
      <x:c r="E2134" s="28"/>
      <x:c r="F2134" s="28"/>
      <x:c r="G2134" s="28"/>
      <x:c r="H2134" s="28"/>
      <x:c r="I2134" s="28"/>
      <x:c r="J2134" s="28"/>
      <x:c r="K2134" s="28"/>
      <x:c r="L2134" s="28"/>
      <x:c r="M2134" s="28"/>
      <x:c r="N2134" s="28"/>
      <x:c r="O2134" s="28"/>
      <x:c r="P2134" s="28"/>
      <x:c r="Q2134" s="28"/>
      <x:c r="R2134" s="28"/>
      <x:c r="S2134" s="28"/>
      <x:c r="T2134" s="28"/>
      <x:c r="U2134" s="28"/>
      <x:c r="V2134" s="28"/>
      <x:c r="W2134" s="43" t="n">
        <x:f>--AND(N2134=1,OR(O2134="SUPPORTED",O2134="HALLUCINATION"))</x:f>
        <x:v>0</x:v>
      </x:c>
      <x:c r="X2134" s="43" t="n">
        <x:f>--AND(W2134=1,O2134="HALLUCINATION")</x:f>
        <x:v>0</x:v>
      </x:c>
      <x:c r="Y2134" s="43" t="n">
        <x:f>--AND(Q2134=1,O2134="HALLUCINATION")</x:f>
        <x:v>0</x:v>
      </x:c>
      <x:c r="Z2134" s="43" t="n">
        <x:f>--AND(Y2134=1,R2134=1,S2134=1)</x:f>
        <x:v>0</x:v>
      </x:c>
      <x:c r="AC2134" t="str">
        <x:f>IF(OR(AA2134="",AB2134=""),"",--(AA2134&lt;&gt;AB2134))</x:f>
      </x:c>
      <x:c r="AE2134" t="str">
        <x:f>IF(OR(AA2134="",AB2134=""),"PENDING_HUMAN",IF(AA2134=AB2134,AA2134,IF(AD2134&lt;&gt;"",AD2134,"PENDING_HUMAN")))</x:f>
        <x:v>PENDING_HUMAN</x:v>
      </x:c>
      <x:c r="AF2134" t="n">
        <x:f>--AND(A2134&lt;&gt;"",AA2134&lt;&gt;"",AB2134&lt;&gt;"",OR(AA2134=AB2134,AD2134&lt;&gt;""),IF(AE2134="HALLUCINATION",U2134&lt;&gt;"",TRUE))</x:f>
        <x:v>0</x:v>
      </x:c>
      <x:c r="AG2134" t="n">
        <x:f>--AND(N2134=1,AF2134=1,OR(AE2134="SUPPORTED",AE2134="HALLUCINATION"))</x:f>
        <x:v>0</x:v>
      </x:c>
      <x:c r="AH2134" t="n">
        <x:f>--AND(AG2134=1,AE2134="HALLUCINATION")</x:f>
        <x:v>0</x:v>
      </x:c>
      <x:c r="AI2134" t="n">
        <x:f>--AND(Q2134=1,AF2134=1,AE2134="HALLUCINATION")</x:f>
        <x:v>0</x:v>
      </x:c>
      <x:c r="AJ2134" t="n">
        <x:f>--AND(AI2134=1,R2134=1,S2134=1)</x:f>
        <x:v>0</x:v>
      </x:c>
    </x:row>
    <x:row r="2135">
      <x:c r="A2135" s="28"/>
      <x:c r="B2135" s="28"/>
      <x:c r="C2135" s="28"/>
      <x:c r="D2135" s="28"/>
      <x:c r="E2135" s="28"/>
      <x:c r="F2135" s="28"/>
      <x:c r="G2135" s="28"/>
      <x:c r="H2135" s="28"/>
      <x:c r="I2135" s="28"/>
      <x:c r="J2135" s="28"/>
      <x:c r="K2135" s="28"/>
      <x:c r="L2135" s="28"/>
      <x:c r="M2135" s="28"/>
      <x:c r="N2135" s="28"/>
      <x:c r="O2135" s="28"/>
      <x:c r="P2135" s="28"/>
      <x:c r="Q2135" s="28"/>
      <x:c r="R2135" s="28"/>
      <x:c r="S2135" s="28"/>
      <x:c r="T2135" s="28"/>
      <x:c r="U2135" s="28"/>
      <x:c r="V2135" s="28"/>
      <x:c r="W2135" s="43" t="n">
        <x:f>--AND(N2135=1,OR(O2135="SUPPORTED",O2135="HALLUCINATION"))</x:f>
        <x:v>0</x:v>
      </x:c>
      <x:c r="X2135" s="43" t="n">
        <x:f>--AND(W2135=1,O2135="HALLUCINATION")</x:f>
        <x:v>0</x:v>
      </x:c>
      <x:c r="Y2135" s="43" t="n">
        <x:f>--AND(Q2135=1,O2135="HALLUCINATION")</x:f>
        <x:v>0</x:v>
      </x:c>
      <x:c r="Z2135" s="43" t="n">
        <x:f>--AND(Y2135=1,R2135=1,S2135=1)</x:f>
        <x:v>0</x:v>
      </x:c>
      <x:c r="AC2135" t="str">
        <x:f>IF(OR(AA2135="",AB2135=""),"",--(AA2135&lt;&gt;AB2135))</x:f>
      </x:c>
      <x:c r="AE2135" t="str">
        <x:f>IF(OR(AA2135="",AB2135=""),"PENDING_HUMAN",IF(AA2135=AB2135,AA2135,IF(AD2135&lt;&gt;"",AD2135,"PENDING_HUMAN")))</x:f>
        <x:v>PENDING_HUMAN</x:v>
      </x:c>
      <x:c r="AF2135" t="n">
        <x:f>--AND(A2135&lt;&gt;"",AA2135&lt;&gt;"",AB2135&lt;&gt;"",OR(AA2135=AB2135,AD2135&lt;&gt;""),IF(AE2135="HALLUCINATION",U2135&lt;&gt;"",TRUE))</x:f>
        <x:v>0</x:v>
      </x:c>
      <x:c r="AG2135" t="n">
        <x:f>--AND(N2135=1,AF2135=1,OR(AE2135="SUPPORTED",AE2135="HALLUCINATION"))</x:f>
        <x:v>0</x:v>
      </x:c>
      <x:c r="AH2135" t="n">
        <x:f>--AND(AG2135=1,AE2135="HALLUCINATION")</x:f>
        <x:v>0</x:v>
      </x:c>
      <x:c r="AI2135" t="n">
        <x:f>--AND(Q2135=1,AF2135=1,AE2135="HALLUCINATION")</x:f>
        <x:v>0</x:v>
      </x:c>
      <x:c r="AJ2135" t="n">
        <x:f>--AND(AI2135=1,R2135=1,S2135=1)</x:f>
        <x:v>0</x:v>
      </x:c>
    </x:row>
    <x:row r="2136">
      <x:c r="A2136" s="28"/>
      <x:c r="B2136" s="28"/>
      <x:c r="C2136" s="28"/>
      <x:c r="D2136" s="28"/>
      <x:c r="E2136" s="28"/>
      <x:c r="F2136" s="28"/>
      <x:c r="G2136" s="28"/>
      <x:c r="H2136" s="28"/>
      <x:c r="I2136" s="28"/>
      <x:c r="J2136" s="28"/>
      <x:c r="K2136" s="28"/>
      <x:c r="L2136" s="28"/>
      <x:c r="M2136" s="28"/>
      <x:c r="N2136" s="28"/>
      <x:c r="O2136" s="28"/>
      <x:c r="P2136" s="28"/>
      <x:c r="Q2136" s="28"/>
      <x:c r="R2136" s="28"/>
      <x:c r="S2136" s="28"/>
      <x:c r="T2136" s="28"/>
      <x:c r="U2136" s="28"/>
      <x:c r="V2136" s="28"/>
      <x:c r="W2136" s="43" t="n">
        <x:f>--AND(N2136=1,OR(O2136="SUPPORTED",O2136="HALLUCINATION"))</x:f>
        <x:v>0</x:v>
      </x:c>
      <x:c r="X2136" s="43" t="n">
        <x:f>--AND(W2136=1,O2136="HALLUCINATION")</x:f>
        <x:v>0</x:v>
      </x:c>
      <x:c r="Y2136" s="43" t="n">
        <x:f>--AND(Q2136=1,O2136="HALLUCINATION")</x:f>
        <x:v>0</x:v>
      </x:c>
      <x:c r="Z2136" s="43" t="n">
        <x:f>--AND(Y2136=1,R2136=1,S2136=1)</x:f>
        <x:v>0</x:v>
      </x:c>
      <x:c r="AC2136" t="str">
        <x:f>IF(OR(AA2136="",AB2136=""),"",--(AA2136&lt;&gt;AB2136))</x:f>
      </x:c>
      <x:c r="AE2136" t="str">
        <x:f>IF(OR(AA2136="",AB2136=""),"PENDING_HUMAN",IF(AA2136=AB2136,AA2136,IF(AD2136&lt;&gt;"",AD2136,"PENDING_HUMAN")))</x:f>
        <x:v>PENDING_HUMAN</x:v>
      </x:c>
      <x:c r="AF2136" t="n">
        <x:f>--AND(A2136&lt;&gt;"",AA2136&lt;&gt;"",AB2136&lt;&gt;"",OR(AA2136=AB2136,AD2136&lt;&gt;""),IF(AE2136="HALLUCINATION",U2136&lt;&gt;"",TRUE))</x:f>
        <x:v>0</x:v>
      </x:c>
      <x:c r="AG2136" t="n">
        <x:f>--AND(N2136=1,AF2136=1,OR(AE2136="SUPPORTED",AE2136="HALLUCINATION"))</x:f>
        <x:v>0</x:v>
      </x:c>
      <x:c r="AH2136" t="n">
        <x:f>--AND(AG2136=1,AE2136="HALLUCINATION")</x:f>
        <x:v>0</x:v>
      </x:c>
      <x:c r="AI2136" t="n">
        <x:f>--AND(Q2136=1,AF2136=1,AE2136="HALLUCINATION")</x:f>
        <x:v>0</x:v>
      </x:c>
      <x:c r="AJ2136" t="n">
        <x:f>--AND(AI2136=1,R2136=1,S2136=1)</x:f>
        <x:v>0</x:v>
      </x:c>
    </x:row>
    <x:row r="2137">
      <x:c r="A2137" s="28"/>
      <x:c r="B2137" s="28"/>
      <x:c r="C2137" s="28"/>
      <x:c r="D2137" s="28"/>
      <x:c r="E2137" s="28"/>
      <x:c r="F2137" s="28"/>
      <x:c r="G2137" s="28"/>
      <x:c r="H2137" s="28"/>
      <x:c r="I2137" s="28"/>
      <x:c r="J2137" s="28"/>
      <x:c r="K2137" s="28"/>
      <x:c r="L2137" s="28"/>
      <x:c r="M2137" s="28"/>
      <x:c r="N2137" s="28"/>
      <x:c r="O2137" s="28"/>
      <x:c r="P2137" s="28"/>
      <x:c r="Q2137" s="28"/>
      <x:c r="R2137" s="28"/>
      <x:c r="S2137" s="28"/>
      <x:c r="T2137" s="28"/>
      <x:c r="U2137" s="28"/>
      <x:c r="V2137" s="28"/>
      <x:c r="W2137" s="43" t="n">
        <x:f>--AND(N2137=1,OR(O2137="SUPPORTED",O2137="HALLUCINATION"))</x:f>
        <x:v>0</x:v>
      </x:c>
      <x:c r="X2137" s="43" t="n">
        <x:f>--AND(W2137=1,O2137="HALLUCINATION")</x:f>
        <x:v>0</x:v>
      </x:c>
      <x:c r="Y2137" s="43" t="n">
        <x:f>--AND(Q2137=1,O2137="HALLUCINATION")</x:f>
        <x:v>0</x:v>
      </x:c>
      <x:c r="Z2137" s="43" t="n">
        <x:f>--AND(Y2137=1,R2137=1,S2137=1)</x:f>
        <x:v>0</x:v>
      </x:c>
      <x:c r="AC2137" t="str">
        <x:f>IF(OR(AA2137="",AB2137=""),"",--(AA2137&lt;&gt;AB2137))</x:f>
      </x:c>
      <x:c r="AE2137" t="str">
        <x:f>IF(OR(AA2137="",AB2137=""),"PENDING_HUMAN",IF(AA2137=AB2137,AA2137,IF(AD2137&lt;&gt;"",AD2137,"PENDING_HUMAN")))</x:f>
        <x:v>PENDING_HUMAN</x:v>
      </x:c>
      <x:c r="AF2137" t="n">
        <x:f>--AND(A2137&lt;&gt;"",AA2137&lt;&gt;"",AB2137&lt;&gt;"",OR(AA2137=AB2137,AD2137&lt;&gt;""),IF(AE2137="HALLUCINATION",U2137&lt;&gt;"",TRUE))</x:f>
        <x:v>0</x:v>
      </x:c>
      <x:c r="AG2137" t="n">
        <x:f>--AND(N2137=1,AF2137=1,OR(AE2137="SUPPORTED",AE2137="HALLUCINATION"))</x:f>
        <x:v>0</x:v>
      </x:c>
      <x:c r="AH2137" t="n">
        <x:f>--AND(AG2137=1,AE2137="HALLUCINATION")</x:f>
        <x:v>0</x:v>
      </x:c>
      <x:c r="AI2137" t="n">
        <x:f>--AND(Q2137=1,AF2137=1,AE2137="HALLUCINATION")</x:f>
        <x:v>0</x:v>
      </x:c>
      <x:c r="AJ2137" t="n">
        <x:f>--AND(AI2137=1,R2137=1,S2137=1)</x:f>
        <x:v>0</x:v>
      </x:c>
    </x:row>
    <x:row r="2138">
      <x:c r="A2138" s="28"/>
      <x:c r="B2138" s="28"/>
      <x:c r="C2138" s="28"/>
      <x:c r="D2138" s="28"/>
      <x:c r="E2138" s="28"/>
      <x:c r="F2138" s="28"/>
      <x:c r="G2138" s="28"/>
      <x:c r="H2138" s="28"/>
      <x:c r="I2138" s="28"/>
      <x:c r="J2138" s="28"/>
      <x:c r="K2138" s="28"/>
      <x:c r="L2138" s="28"/>
      <x:c r="M2138" s="28"/>
      <x:c r="N2138" s="28"/>
      <x:c r="O2138" s="28"/>
      <x:c r="P2138" s="28"/>
      <x:c r="Q2138" s="28"/>
      <x:c r="R2138" s="28"/>
      <x:c r="S2138" s="28"/>
      <x:c r="T2138" s="28"/>
      <x:c r="U2138" s="28"/>
      <x:c r="V2138" s="28"/>
      <x:c r="W2138" s="43" t="n">
        <x:f>--AND(N2138=1,OR(O2138="SUPPORTED",O2138="HALLUCINATION"))</x:f>
        <x:v>0</x:v>
      </x:c>
      <x:c r="X2138" s="43" t="n">
        <x:f>--AND(W2138=1,O2138="HALLUCINATION")</x:f>
        <x:v>0</x:v>
      </x:c>
      <x:c r="Y2138" s="43" t="n">
        <x:f>--AND(Q2138=1,O2138="HALLUCINATION")</x:f>
        <x:v>0</x:v>
      </x:c>
      <x:c r="Z2138" s="43" t="n">
        <x:f>--AND(Y2138=1,R2138=1,S2138=1)</x:f>
        <x:v>0</x:v>
      </x:c>
      <x:c r="AC2138" t="str">
        <x:f>IF(OR(AA2138="",AB2138=""),"",--(AA2138&lt;&gt;AB2138))</x:f>
      </x:c>
      <x:c r="AE2138" t="str">
        <x:f>IF(OR(AA2138="",AB2138=""),"PENDING_HUMAN",IF(AA2138=AB2138,AA2138,IF(AD2138&lt;&gt;"",AD2138,"PENDING_HUMAN")))</x:f>
        <x:v>PENDING_HUMAN</x:v>
      </x:c>
      <x:c r="AF2138" t="n">
        <x:f>--AND(A2138&lt;&gt;"",AA2138&lt;&gt;"",AB2138&lt;&gt;"",OR(AA2138=AB2138,AD2138&lt;&gt;""),IF(AE2138="HALLUCINATION",U2138&lt;&gt;"",TRUE))</x:f>
        <x:v>0</x:v>
      </x:c>
      <x:c r="AG2138" t="n">
        <x:f>--AND(N2138=1,AF2138=1,OR(AE2138="SUPPORTED",AE2138="HALLUCINATION"))</x:f>
        <x:v>0</x:v>
      </x:c>
      <x:c r="AH2138" t="n">
        <x:f>--AND(AG2138=1,AE2138="HALLUCINATION")</x:f>
        <x:v>0</x:v>
      </x:c>
      <x:c r="AI2138" t="n">
        <x:f>--AND(Q2138=1,AF2138=1,AE2138="HALLUCINATION")</x:f>
        <x:v>0</x:v>
      </x:c>
      <x:c r="AJ2138" t="n">
        <x:f>--AND(AI2138=1,R2138=1,S2138=1)</x:f>
        <x:v>0</x:v>
      </x:c>
    </x:row>
    <x:row r="2139">
      <x:c r="A2139" s="28"/>
      <x:c r="B2139" s="28"/>
      <x:c r="C2139" s="28"/>
      <x:c r="D2139" s="28"/>
      <x:c r="E2139" s="28"/>
      <x:c r="F2139" s="28"/>
      <x:c r="G2139" s="28"/>
      <x:c r="H2139" s="28"/>
      <x:c r="I2139" s="28"/>
      <x:c r="J2139" s="28"/>
      <x:c r="K2139" s="28"/>
      <x:c r="L2139" s="28"/>
      <x:c r="M2139" s="28"/>
      <x:c r="N2139" s="28"/>
      <x:c r="O2139" s="28"/>
      <x:c r="P2139" s="28"/>
      <x:c r="Q2139" s="28"/>
      <x:c r="R2139" s="28"/>
      <x:c r="S2139" s="28"/>
      <x:c r="T2139" s="28"/>
      <x:c r="U2139" s="28"/>
      <x:c r="V2139" s="28"/>
      <x:c r="W2139" s="43" t="n">
        <x:f>--AND(N2139=1,OR(O2139="SUPPORTED",O2139="HALLUCINATION"))</x:f>
        <x:v>0</x:v>
      </x:c>
      <x:c r="X2139" s="43" t="n">
        <x:f>--AND(W2139=1,O2139="HALLUCINATION")</x:f>
        <x:v>0</x:v>
      </x:c>
      <x:c r="Y2139" s="43" t="n">
        <x:f>--AND(Q2139=1,O2139="HALLUCINATION")</x:f>
        <x:v>0</x:v>
      </x:c>
      <x:c r="Z2139" s="43" t="n">
        <x:f>--AND(Y2139=1,R2139=1,S2139=1)</x:f>
        <x:v>0</x:v>
      </x:c>
      <x:c r="AC2139" t="str">
        <x:f>IF(OR(AA2139="",AB2139=""),"",--(AA2139&lt;&gt;AB2139))</x:f>
      </x:c>
      <x:c r="AE2139" t="str">
        <x:f>IF(OR(AA2139="",AB2139=""),"PENDING_HUMAN",IF(AA2139=AB2139,AA2139,IF(AD2139&lt;&gt;"",AD2139,"PENDING_HUMAN")))</x:f>
        <x:v>PENDING_HUMAN</x:v>
      </x:c>
      <x:c r="AF2139" t="n">
        <x:f>--AND(A2139&lt;&gt;"",AA2139&lt;&gt;"",AB2139&lt;&gt;"",OR(AA2139=AB2139,AD2139&lt;&gt;""),IF(AE2139="HALLUCINATION",U2139&lt;&gt;"",TRUE))</x:f>
        <x:v>0</x:v>
      </x:c>
      <x:c r="AG2139" t="n">
        <x:f>--AND(N2139=1,AF2139=1,OR(AE2139="SUPPORTED",AE2139="HALLUCINATION"))</x:f>
        <x:v>0</x:v>
      </x:c>
      <x:c r="AH2139" t="n">
        <x:f>--AND(AG2139=1,AE2139="HALLUCINATION")</x:f>
        <x:v>0</x:v>
      </x:c>
      <x:c r="AI2139" t="n">
        <x:f>--AND(Q2139=1,AF2139=1,AE2139="HALLUCINATION")</x:f>
        <x:v>0</x:v>
      </x:c>
      <x:c r="AJ2139" t="n">
        <x:f>--AND(AI2139=1,R2139=1,S2139=1)</x:f>
        <x:v>0</x:v>
      </x:c>
    </x:row>
    <x:row r="2140">
      <x:c r="A2140" s="28"/>
      <x:c r="B2140" s="28"/>
      <x:c r="C2140" s="28"/>
      <x:c r="D2140" s="28"/>
      <x:c r="E2140" s="28"/>
      <x:c r="F2140" s="28"/>
      <x:c r="G2140" s="28"/>
      <x:c r="H2140" s="28"/>
      <x:c r="I2140" s="28"/>
      <x:c r="J2140" s="28"/>
      <x:c r="K2140" s="28"/>
      <x:c r="L2140" s="28"/>
      <x:c r="M2140" s="28"/>
      <x:c r="N2140" s="28"/>
      <x:c r="O2140" s="28"/>
      <x:c r="P2140" s="28"/>
      <x:c r="Q2140" s="28"/>
      <x:c r="R2140" s="28"/>
      <x:c r="S2140" s="28"/>
      <x:c r="T2140" s="28"/>
      <x:c r="U2140" s="28"/>
      <x:c r="V2140" s="28"/>
      <x:c r="W2140" s="43" t="n">
        <x:f>--AND(N2140=1,OR(O2140="SUPPORTED",O2140="HALLUCINATION"))</x:f>
        <x:v>0</x:v>
      </x:c>
      <x:c r="X2140" s="43" t="n">
        <x:f>--AND(W2140=1,O2140="HALLUCINATION")</x:f>
        <x:v>0</x:v>
      </x:c>
      <x:c r="Y2140" s="43" t="n">
        <x:f>--AND(Q2140=1,O2140="HALLUCINATION")</x:f>
        <x:v>0</x:v>
      </x:c>
      <x:c r="Z2140" s="43" t="n">
        <x:f>--AND(Y2140=1,R2140=1,S2140=1)</x:f>
        <x:v>0</x:v>
      </x:c>
      <x:c r="AC2140" t="str">
        <x:f>IF(OR(AA2140="",AB2140=""),"",--(AA2140&lt;&gt;AB2140))</x:f>
      </x:c>
      <x:c r="AE2140" t="str">
        <x:f>IF(OR(AA2140="",AB2140=""),"PENDING_HUMAN",IF(AA2140=AB2140,AA2140,IF(AD2140&lt;&gt;"",AD2140,"PENDING_HUMAN")))</x:f>
        <x:v>PENDING_HUMAN</x:v>
      </x:c>
      <x:c r="AF2140" t="n">
        <x:f>--AND(A2140&lt;&gt;"",AA2140&lt;&gt;"",AB2140&lt;&gt;"",OR(AA2140=AB2140,AD2140&lt;&gt;""),IF(AE2140="HALLUCINATION",U2140&lt;&gt;"",TRUE))</x:f>
        <x:v>0</x:v>
      </x:c>
      <x:c r="AG2140" t="n">
        <x:f>--AND(N2140=1,AF2140=1,OR(AE2140="SUPPORTED",AE2140="HALLUCINATION"))</x:f>
        <x:v>0</x:v>
      </x:c>
      <x:c r="AH2140" t="n">
        <x:f>--AND(AG2140=1,AE2140="HALLUCINATION")</x:f>
        <x:v>0</x:v>
      </x:c>
      <x:c r="AI2140" t="n">
        <x:f>--AND(Q2140=1,AF2140=1,AE2140="HALLUCINATION")</x:f>
        <x:v>0</x:v>
      </x:c>
      <x:c r="AJ2140" t="n">
        <x:f>--AND(AI2140=1,R2140=1,S2140=1)</x:f>
        <x:v>0</x:v>
      </x:c>
    </x:row>
    <x:row r="2141">
      <x:c r="A2141" s="28"/>
      <x:c r="B2141" s="28"/>
      <x:c r="C2141" s="28"/>
      <x:c r="D2141" s="28"/>
      <x:c r="E2141" s="28"/>
      <x:c r="F2141" s="28"/>
      <x:c r="G2141" s="28"/>
      <x:c r="H2141" s="28"/>
      <x:c r="I2141" s="28"/>
      <x:c r="J2141" s="28"/>
      <x:c r="K2141" s="28"/>
      <x:c r="L2141" s="28"/>
      <x:c r="M2141" s="28"/>
      <x:c r="N2141" s="28"/>
      <x:c r="O2141" s="28"/>
      <x:c r="P2141" s="28"/>
      <x:c r="Q2141" s="28"/>
      <x:c r="R2141" s="28"/>
      <x:c r="S2141" s="28"/>
      <x:c r="T2141" s="28"/>
      <x:c r="U2141" s="28"/>
      <x:c r="V2141" s="28"/>
      <x:c r="W2141" s="43" t="n">
        <x:f>--AND(N2141=1,OR(O2141="SUPPORTED",O2141="HALLUCINATION"))</x:f>
        <x:v>0</x:v>
      </x:c>
      <x:c r="X2141" s="43" t="n">
        <x:f>--AND(W2141=1,O2141="HALLUCINATION")</x:f>
        <x:v>0</x:v>
      </x:c>
      <x:c r="Y2141" s="43" t="n">
        <x:f>--AND(Q2141=1,O2141="HALLUCINATION")</x:f>
        <x:v>0</x:v>
      </x:c>
      <x:c r="Z2141" s="43" t="n">
        <x:f>--AND(Y2141=1,R2141=1,S2141=1)</x:f>
        <x:v>0</x:v>
      </x:c>
      <x:c r="AC2141" t="str">
        <x:f>IF(OR(AA2141="",AB2141=""),"",--(AA2141&lt;&gt;AB2141))</x:f>
      </x:c>
      <x:c r="AE2141" t="str">
        <x:f>IF(OR(AA2141="",AB2141=""),"PENDING_HUMAN",IF(AA2141=AB2141,AA2141,IF(AD2141&lt;&gt;"",AD2141,"PENDING_HUMAN")))</x:f>
        <x:v>PENDING_HUMAN</x:v>
      </x:c>
      <x:c r="AF2141" t="n">
        <x:f>--AND(A2141&lt;&gt;"",AA2141&lt;&gt;"",AB2141&lt;&gt;"",OR(AA2141=AB2141,AD2141&lt;&gt;""),IF(AE2141="HALLUCINATION",U2141&lt;&gt;"",TRUE))</x:f>
        <x:v>0</x:v>
      </x:c>
      <x:c r="AG2141" t="n">
        <x:f>--AND(N2141=1,AF2141=1,OR(AE2141="SUPPORTED",AE2141="HALLUCINATION"))</x:f>
        <x:v>0</x:v>
      </x:c>
      <x:c r="AH2141" t="n">
        <x:f>--AND(AG2141=1,AE2141="HALLUCINATION")</x:f>
        <x:v>0</x:v>
      </x:c>
      <x:c r="AI2141" t="n">
        <x:f>--AND(Q2141=1,AF2141=1,AE2141="HALLUCINATION")</x:f>
        <x:v>0</x:v>
      </x:c>
      <x:c r="AJ2141" t="n">
        <x:f>--AND(AI2141=1,R2141=1,S2141=1)</x:f>
        <x:v>0</x:v>
      </x:c>
    </x:row>
    <x:row r="2142">
      <x:c r="A2142" s="28"/>
      <x:c r="B2142" s="28"/>
      <x:c r="C2142" s="28"/>
      <x:c r="D2142" s="28"/>
      <x:c r="E2142" s="28"/>
      <x:c r="F2142" s="28"/>
      <x:c r="G2142" s="28"/>
      <x:c r="H2142" s="28"/>
      <x:c r="I2142" s="28"/>
      <x:c r="J2142" s="28"/>
      <x:c r="K2142" s="28"/>
      <x:c r="L2142" s="28"/>
      <x:c r="M2142" s="28"/>
      <x:c r="N2142" s="28"/>
      <x:c r="O2142" s="28"/>
      <x:c r="P2142" s="28"/>
      <x:c r="Q2142" s="28"/>
      <x:c r="R2142" s="28"/>
      <x:c r="S2142" s="28"/>
      <x:c r="T2142" s="28"/>
      <x:c r="U2142" s="28"/>
      <x:c r="V2142" s="28"/>
      <x:c r="W2142" s="43" t="n">
        <x:f>--AND(N2142=1,OR(O2142="SUPPORTED",O2142="HALLUCINATION"))</x:f>
        <x:v>0</x:v>
      </x:c>
      <x:c r="X2142" s="43" t="n">
        <x:f>--AND(W2142=1,O2142="HALLUCINATION")</x:f>
        <x:v>0</x:v>
      </x:c>
      <x:c r="Y2142" s="43" t="n">
        <x:f>--AND(Q2142=1,O2142="HALLUCINATION")</x:f>
        <x:v>0</x:v>
      </x:c>
      <x:c r="Z2142" s="43" t="n">
        <x:f>--AND(Y2142=1,R2142=1,S2142=1)</x:f>
        <x:v>0</x:v>
      </x:c>
      <x:c r="AC2142" t="str">
        <x:f>IF(OR(AA2142="",AB2142=""),"",--(AA2142&lt;&gt;AB2142))</x:f>
      </x:c>
      <x:c r="AE2142" t="str">
        <x:f>IF(OR(AA2142="",AB2142=""),"PENDING_HUMAN",IF(AA2142=AB2142,AA2142,IF(AD2142&lt;&gt;"",AD2142,"PENDING_HUMAN")))</x:f>
        <x:v>PENDING_HUMAN</x:v>
      </x:c>
      <x:c r="AF2142" t="n">
        <x:f>--AND(A2142&lt;&gt;"",AA2142&lt;&gt;"",AB2142&lt;&gt;"",OR(AA2142=AB2142,AD2142&lt;&gt;""),IF(AE2142="HALLUCINATION",U2142&lt;&gt;"",TRUE))</x:f>
        <x:v>0</x:v>
      </x:c>
      <x:c r="AG2142" t="n">
        <x:f>--AND(N2142=1,AF2142=1,OR(AE2142="SUPPORTED",AE2142="HALLUCINATION"))</x:f>
        <x:v>0</x:v>
      </x:c>
      <x:c r="AH2142" t="n">
        <x:f>--AND(AG2142=1,AE2142="HALLUCINATION")</x:f>
        <x:v>0</x:v>
      </x:c>
      <x:c r="AI2142" t="n">
        <x:f>--AND(Q2142=1,AF2142=1,AE2142="HALLUCINATION")</x:f>
        <x:v>0</x:v>
      </x:c>
      <x:c r="AJ2142" t="n">
        <x:f>--AND(AI2142=1,R2142=1,S2142=1)</x:f>
        <x:v>0</x:v>
      </x:c>
    </x:row>
    <x:row r="2143">
      <x:c r="A2143" s="28"/>
      <x:c r="B2143" s="28"/>
      <x:c r="C2143" s="28"/>
      <x:c r="D2143" s="28"/>
      <x:c r="E2143" s="28"/>
      <x:c r="F2143" s="28"/>
      <x:c r="G2143" s="28"/>
      <x:c r="H2143" s="28"/>
      <x:c r="I2143" s="28"/>
      <x:c r="J2143" s="28"/>
      <x:c r="K2143" s="28"/>
      <x:c r="L2143" s="28"/>
      <x:c r="M2143" s="28"/>
      <x:c r="N2143" s="28"/>
      <x:c r="O2143" s="28"/>
      <x:c r="P2143" s="28"/>
      <x:c r="Q2143" s="28"/>
      <x:c r="R2143" s="28"/>
      <x:c r="S2143" s="28"/>
      <x:c r="T2143" s="28"/>
      <x:c r="U2143" s="28"/>
      <x:c r="V2143" s="28"/>
      <x:c r="W2143" s="43" t="n">
        <x:f>--AND(N2143=1,OR(O2143="SUPPORTED",O2143="HALLUCINATION"))</x:f>
        <x:v>0</x:v>
      </x:c>
      <x:c r="X2143" s="43" t="n">
        <x:f>--AND(W2143=1,O2143="HALLUCINATION")</x:f>
        <x:v>0</x:v>
      </x:c>
      <x:c r="Y2143" s="43" t="n">
        <x:f>--AND(Q2143=1,O2143="HALLUCINATION")</x:f>
        <x:v>0</x:v>
      </x:c>
      <x:c r="Z2143" s="43" t="n">
        <x:f>--AND(Y2143=1,R2143=1,S2143=1)</x:f>
        <x:v>0</x:v>
      </x:c>
      <x:c r="AC2143" t="str">
        <x:f>IF(OR(AA2143="",AB2143=""),"",--(AA2143&lt;&gt;AB2143))</x:f>
      </x:c>
      <x:c r="AE2143" t="str">
        <x:f>IF(OR(AA2143="",AB2143=""),"PENDING_HUMAN",IF(AA2143=AB2143,AA2143,IF(AD2143&lt;&gt;"",AD2143,"PENDING_HUMAN")))</x:f>
        <x:v>PENDING_HUMAN</x:v>
      </x:c>
      <x:c r="AF2143" t="n">
        <x:f>--AND(A2143&lt;&gt;"",AA2143&lt;&gt;"",AB2143&lt;&gt;"",OR(AA2143=AB2143,AD2143&lt;&gt;""),IF(AE2143="HALLUCINATION",U2143&lt;&gt;"",TRUE))</x:f>
        <x:v>0</x:v>
      </x:c>
      <x:c r="AG2143" t="n">
        <x:f>--AND(N2143=1,AF2143=1,OR(AE2143="SUPPORTED",AE2143="HALLUCINATION"))</x:f>
        <x:v>0</x:v>
      </x:c>
      <x:c r="AH2143" t="n">
        <x:f>--AND(AG2143=1,AE2143="HALLUCINATION")</x:f>
        <x:v>0</x:v>
      </x:c>
      <x:c r="AI2143" t="n">
        <x:f>--AND(Q2143=1,AF2143=1,AE2143="HALLUCINATION")</x:f>
        <x:v>0</x:v>
      </x:c>
      <x:c r="AJ2143" t="n">
        <x:f>--AND(AI2143=1,R2143=1,S2143=1)</x:f>
        <x:v>0</x:v>
      </x:c>
    </x:row>
    <x:row r="2144">
      <x:c r="A2144" s="28"/>
      <x:c r="B2144" s="28"/>
      <x:c r="C2144" s="28"/>
      <x:c r="D2144" s="28"/>
      <x:c r="E2144" s="28"/>
      <x:c r="F2144" s="28"/>
      <x:c r="G2144" s="28"/>
      <x:c r="H2144" s="28"/>
      <x:c r="I2144" s="28"/>
      <x:c r="J2144" s="28"/>
      <x:c r="K2144" s="28"/>
      <x:c r="L2144" s="28"/>
      <x:c r="M2144" s="28"/>
      <x:c r="N2144" s="28"/>
      <x:c r="O2144" s="28"/>
      <x:c r="P2144" s="28"/>
      <x:c r="Q2144" s="28"/>
      <x:c r="R2144" s="28"/>
      <x:c r="S2144" s="28"/>
      <x:c r="T2144" s="28"/>
      <x:c r="U2144" s="28"/>
      <x:c r="V2144" s="28"/>
      <x:c r="W2144" s="43" t="n">
        <x:f>--AND(N2144=1,OR(O2144="SUPPORTED",O2144="HALLUCINATION"))</x:f>
        <x:v>0</x:v>
      </x:c>
      <x:c r="X2144" s="43" t="n">
        <x:f>--AND(W2144=1,O2144="HALLUCINATION")</x:f>
        <x:v>0</x:v>
      </x:c>
      <x:c r="Y2144" s="43" t="n">
        <x:f>--AND(Q2144=1,O2144="HALLUCINATION")</x:f>
        <x:v>0</x:v>
      </x:c>
      <x:c r="Z2144" s="43" t="n">
        <x:f>--AND(Y2144=1,R2144=1,S2144=1)</x:f>
        <x:v>0</x:v>
      </x:c>
      <x:c r="AC2144" t="str">
        <x:f>IF(OR(AA2144="",AB2144=""),"",--(AA2144&lt;&gt;AB2144))</x:f>
      </x:c>
      <x:c r="AE2144" t="str">
        <x:f>IF(OR(AA2144="",AB2144=""),"PENDING_HUMAN",IF(AA2144=AB2144,AA2144,IF(AD2144&lt;&gt;"",AD2144,"PENDING_HUMAN")))</x:f>
        <x:v>PENDING_HUMAN</x:v>
      </x:c>
      <x:c r="AF2144" t="n">
        <x:f>--AND(A2144&lt;&gt;"",AA2144&lt;&gt;"",AB2144&lt;&gt;"",OR(AA2144=AB2144,AD2144&lt;&gt;""),IF(AE2144="HALLUCINATION",U2144&lt;&gt;"",TRUE))</x:f>
        <x:v>0</x:v>
      </x:c>
      <x:c r="AG2144" t="n">
        <x:f>--AND(N2144=1,AF2144=1,OR(AE2144="SUPPORTED",AE2144="HALLUCINATION"))</x:f>
        <x:v>0</x:v>
      </x:c>
      <x:c r="AH2144" t="n">
        <x:f>--AND(AG2144=1,AE2144="HALLUCINATION")</x:f>
        <x:v>0</x:v>
      </x:c>
      <x:c r="AI2144" t="n">
        <x:f>--AND(Q2144=1,AF2144=1,AE2144="HALLUCINATION")</x:f>
        <x:v>0</x:v>
      </x:c>
      <x:c r="AJ2144" t="n">
        <x:f>--AND(AI2144=1,R2144=1,S2144=1)</x:f>
        <x:v>0</x:v>
      </x:c>
    </x:row>
    <x:row r="2145">
      <x:c r="A2145" s="28"/>
      <x:c r="B2145" s="28"/>
      <x:c r="C2145" s="28"/>
      <x:c r="D2145" s="28"/>
      <x:c r="E2145" s="28"/>
      <x:c r="F2145" s="28"/>
      <x:c r="G2145" s="28"/>
      <x:c r="H2145" s="28"/>
      <x:c r="I2145" s="28"/>
      <x:c r="J2145" s="28"/>
      <x:c r="K2145" s="28"/>
      <x:c r="L2145" s="28"/>
      <x:c r="M2145" s="28"/>
      <x:c r="N2145" s="28"/>
      <x:c r="O2145" s="28"/>
      <x:c r="P2145" s="28"/>
      <x:c r="Q2145" s="28"/>
      <x:c r="R2145" s="28"/>
      <x:c r="S2145" s="28"/>
      <x:c r="T2145" s="28"/>
      <x:c r="U2145" s="28"/>
      <x:c r="V2145" s="28"/>
      <x:c r="W2145" s="43" t="n">
        <x:f>--AND(N2145=1,OR(O2145="SUPPORTED",O2145="HALLUCINATION"))</x:f>
        <x:v>0</x:v>
      </x:c>
      <x:c r="X2145" s="43" t="n">
        <x:f>--AND(W2145=1,O2145="HALLUCINATION")</x:f>
        <x:v>0</x:v>
      </x:c>
      <x:c r="Y2145" s="43" t="n">
        <x:f>--AND(Q2145=1,O2145="HALLUCINATION")</x:f>
        <x:v>0</x:v>
      </x:c>
      <x:c r="Z2145" s="43" t="n">
        <x:f>--AND(Y2145=1,R2145=1,S2145=1)</x:f>
        <x:v>0</x:v>
      </x:c>
      <x:c r="AC2145" t="str">
        <x:f>IF(OR(AA2145="",AB2145=""),"",--(AA2145&lt;&gt;AB2145))</x:f>
      </x:c>
      <x:c r="AE2145" t="str">
        <x:f>IF(OR(AA2145="",AB2145=""),"PENDING_HUMAN",IF(AA2145=AB2145,AA2145,IF(AD2145&lt;&gt;"",AD2145,"PENDING_HUMAN")))</x:f>
        <x:v>PENDING_HUMAN</x:v>
      </x:c>
      <x:c r="AF2145" t="n">
        <x:f>--AND(A2145&lt;&gt;"",AA2145&lt;&gt;"",AB2145&lt;&gt;"",OR(AA2145=AB2145,AD2145&lt;&gt;""),IF(AE2145="HALLUCINATION",U2145&lt;&gt;"",TRUE))</x:f>
        <x:v>0</x:v>
      </x:c>
      <x:c r="AG2145" t="n">
        <x:f>--AND(N2145=1,AF2145=1,OR(AE2145="SUPPORTED",AE2145="HALLUCINATION"))</x:f>
        <x:v>0</x:v>
      </x:c>
      <x:c r="AH2145" t="n">
        <x:f>--AND(AG2145=1,AE2145="HALLUCINATION")</x:f>
        <x:v>0</x:v>
      </x:c>
      <x:c r="AI2145" t="n">
        <x:f>--AND(Q2145=1,AF2145=1,AE2145="HALLUCINATION")</x:f>
        <x:v>0</x:v>
      </x:c>
      <x:c r="AJ2145" t="n">
        <x:f>--AND(AI2145=1,R2145=1,S2145=1)</x:f>
        <x:v>0</x:v>
      </x:c>
    </x:row>
    <x:row r="2146">
      <x:c r="A2146" s="28"/>
      <x:c r="B2146" s="28"/>
      <x:c r="C2146" s="28"/>
      <x:c r="D2146" s="28"/>
      <x:c r="E2146" s="28"/>
      <x:c r="F2146" s="28"/>
      <x:c r="G2146" s="28"/>
      <x:c r="H2146" s="28"/>
      <x:c r="I2146" s="28"/>
      <x:c r="J2146" s="28"/>
      <x:c r="K2146" s="28"/>
      <x:c r="L2146" s="28"/>
      <x:c r="M2146" s="28"/>
      <x:c r="N2146" s="28"/>
      <x:c r="O2146" s="28"/>
      <x:c r="P2146" s="28"/>
      <x:c r="Q2146" s="28"/>
      <x:c r="R2146" s="28"/>
      <x:c r="S2146" s="28"/>
      <x:c r="T2146" s="28"/>
      <x:c r="U2146" s="28"/>
      <x:c r="V2146" s="28"/>
      <x:c r="W2146" s="43" t="n">
        <x:f>--AND(N2146=1,OR(O2146="SUPPORTED",O2146="HALLUCINATION"))</x:f>
        <x:v>0</x:v>
      </x:c>
      <x:c r="X2146" s="43" t="n">
        <x:f>--AND(W2146=1,O2146="HALLUCINATION")</x:f>
        <x:v>0</x:v>
      </x:c>
      <x:c r="Y2146" s="43" t="n">
        <x:f>--AND(Q2146=1,O2146="HALLUCINATION")</x:f>
        <x:v>0</x:v>
      </x:c>
      <x:c r="Z2146" s="43" t="n">
        <x:f>--AND(Y2146=1,R2146=1,S2146=1)</x:f>
        <x:v>0</x:v>
      </x:c>
      <x:c r="AC2146" t="str">
        <x:f>IF(OR(AA2146="",AB2146=""),"",--(AA2146&lt;&gt;AB2146))</x:f>
      </x:c>
      <x:c r="AE2146" t="str">
        <x:f>IF(OR(AA2146="",AB2146=""),"PENDING_HUMAN",IF(AA2146=AB2146,AA2146,IF(AD2146&lt;&gt;"",AD2146,"PENDING_HUMAN")))</x:f>
        <x:v>PENDING_HUMAN</x:v>
      </x:c>
      <x:c r="AF2146" t="n">
        <x:f>--AND(A2146&lt;&gt;"",AA2146&lt;&gt;"",AB2146&lt;&gt;"",OR(AA2146=AB2146,AD2146&lt;&gt;""),IF(AE2146="HALLUCINATION",U2146&lt;&gt;"",TRUE))</x:f>
        <x:v>0</x:v>
      </x:c>
      <x:c r="AG2146" t="n">
        <x:f>--AND(N2146=1,AF2146=1,OR(AE2146="SUPPORTED",AE2146="HALLUCINATION"))</x:f>
        <x:v>0</x:v>
      </x:c>
      <x:c r="AH2146" t="n">
        <x:f>--AND(AG2146=1,AE2146="HALLUCINATION")</x:f>
        <x:v>0</x:v>
      </x:c>
      <x:c r="AI2146" t="n">
        <x:f>--AND(Q2146=1,AF2146=1,AE2146="HALLUCINATION")</x:f>
        <x:v>0</x:v>
      </x:c>
      <x:c r="AJ2146" t="n">
        <x:f>--AND(AI2146=1,R2146=1,S2146=1)</x:f>
        <x:v>0</x:v>
      </x:c>
    </x:row>
    <x:row r="2147">
      <x:c r="A2147" s="28"/>
      <x:c r="B2147" s="28"/>
      <x:c r="C2147" s="28"/>
      <x:c r="D2147" s="28"/>
      <x:c r="E2147" s="28"/>
      <x:c r="F2147" s="28"/>
      <x:c r="G2147" s="28"/>
      <x:c r="H2147" s="28"/>
      <x:c r="I2147" s="28"/>
      <x:c r="J2147" s="28"/>
      <x:c r="K2147" s="28"/>
      <x:c r="L2147" s="28"/>
      <x:c r="M2147" s="28"/>
      <x:c r="N2147" s="28"/>
      <x:c r="O2147" s="28"/>
      <x:c r="P2147" s="28"/>
      <x:c r="Q2147" s="28"/>
      <x:c r="R2147" s="28"/>
      <x:c r="S2147" s="28"/>
      <x:c r="T2147" s="28"/>
      <x:c r="U2147" s="28"/>
      <x:c r="V2147" s="28"/>
      <x:c r="W2147" s="43" t="n">
        <x:f>--AND(N2147=1,OR(O2147="SUPPORTED",O2147="HALLUCINATION"))</x:f>
        <x:v>0</x:v>
      </x:c>
      <x:c r="X2147" s="43" t="n">
        <x:f>--AND(W2147=1,O2147="HALLUCINATION")</x:f>
        <x:v>0</x:v>
      </x:c>
      <x:c r="Y2147" s="43" t="n">
        <x:f>--AND(Q2147=1,O2147="HALLUCINATION")</x:f>
        <x:v>0</x:v>
      </x:c>
      <x:c r="Z2147" s="43" t="n">
        <x:f>--AND(Y2147=1,R2147=1,S2147=1)</x:f>
        <x:v>0</x:v>
      </x:c>
      <x:c r="AC2147" t="str">
        <x:f>IF(OR(AA2147="",AB2147=""),"",--(AA2147&lt;&gt;AB2147))</x:f>
      </x:c>
      <x:c r="AE2147" t="str">
        <x:f>IF(OR(AA2147="",AB2147=""),"PENDING_HUMAN",IF(AA2147=AB2147,AA2147,IF(AD2147&lt;&gt;"",AD2147,"PENDING_HUMAN")))</x:f>
        <x:v>PENDING_HUMAN</x:v>
      </x:c>
      <x:c r="AF2147" t="n">
        <x:f>--AND(A2147&lt;&gt;"",AA2147&lt;&gt;"",AB2147&lt;&gt;"",OR(AA2147=AB2147,AD2147&lt;&gt;""),IF(AE2147="HALLUCINATION",U2147&lt;&gt;"",TRUE))</x:f>
        <x:v>0</x:v>
      </x:c>
      <x:c r="AG2147" t="n">
        <x:f>--AND(N2147=1,AF2147=1,OR(AE2147="SUPPORTED",AE2147="HALLUCINATION"))</x:f>
        <x:v>0</x:v>
      </x:c>
      <x:c r="AH2147" t="n">
        <x:f>--AND(AG2147=1,AE2147="HALLUCINATION")</x:f>
        <x:v>0</x:v>
      </x:c>
      <x:c r="AI2147" t="n">
        <x:f>--AND(Q2147=1,AF2147=1,AE2147="HALLUCINATION")</x:f>
        <x:v>0</x:v>
      </x:c>
      <x:c r="AJ2147" t="n">
        <x:f>--AND(AI2147=1,R2147=1,S2147=1)</x:f>
        <x:v>0</x:v>
      </x:c>
    </x:row>
    <x:row r="2148">
      <x:c r="A2148" s="28"/>
      <x:c r="B2148" s="28"/>
      <x:c r="C2148" s="28"/>
      <x:c r="D2148" s="28"/>
      <x:c r="E2148" s="28"/>
      <x:c r="F2148" s="28"/>
      <x:c r="G2148" s="28"/>
      <x:c r="H2148" s="28"/>
      <x:c r="I2148" s="28"/>
      <x:c r="J2148" s="28"/>
      <x:c r="K2148" s="28"/>
      <x:c r="L2148" s="28"/>
      <x:c r="M2148" s="28"/>
      <x:c r="N2148" s="28"/>
      <x:c r="O2148" s="28"/>
      <x:c r="P2148" s="28"/>
      <x:c r="Q2148" s="28"/>
      <x:c r="R2148" s="28"/>
      <x:c r="S2148" s="28"/>
      <x:c r="T2148" s="28"/>
      <x:c r="U2148" s="28"/>
      <x:c r="V2148" s="28"/>
      <x:c r="W2148" s="43" t="n">
        <x:f>--AND(N2148=1,OR(O2148="SUPPORTED",O2148="HALLUCINATION"))</x:f>
        <x:v>0</x:v>
      </x:c>
      <x:c r="X2148" s="43" t="n">
        <x:f>--AND(W2148=1,O2148="HALLUCINATION")</x:f>
        <x:v>0</x:v>
      </x:c>
      <x:c r="Y2148" s="43" t="n">
        <x:f>--AND(Q2148=1,O2148="HALLUCINATION")</x:f>
        <x:v>0</x:v>
      </x:c>
      <x:c r="Z2148" s="43" t="n">
        <x:f>--AND(Y2148=1,R2148=1,S2148=1)</x:f>
        <x:v>0</x:v>
      </x:c>
      <x:c r="AC2148" t="str">
        <x:f>IF(OR(AA2148="",AB2148=""),"",--(AA2148&lt;&gt;AB2148))</x:f>
      </x:c>
      <x:c r="AE2148" t="str">
        <x:f>IF(OR(AA2148="",AB2148=""),"PENDING_HUMAN",IF(AA2148=AB2148,AA2148,IF(AD2148&lt;&gt;"",AD2148,"PENDING_HUMAN")))</x:f>
        <x:v>PENDING_HUMAN</x:v>
      </x:c>
      <x:c r="AF2148" t="n">
        <x:f>--AND(A2148&lt;&gt;"",AA2148&lt;&gt;"",AB2148&lt;&gt;"",OR(AA2148=AB2148,AD2148&lt;&gt;""),IF(AE2148="HALLUCINATION",U2148&lt;&gt;"",TRUE))</x:f>
        <x:v>0</x:v>
      </x:c>
      <x:c r="AG2148" t="n">
        <x:f>--AND(N2148=1,AF2148=1,OR(AE2148="SUPPORTED",AE2148="HALLUCINATION"))</x:f>
        <x:v>0</x:v>
      </x:c>
      <x:c r="AH2148" t="n">
        <x:f>--AND(AG2148=1,AE2148="HALLUCINATION")</x:f>
        <x:v>0</x:v>
      </x:c>
      <x:c r="AI2148" t="n">
        <x:f>--AND(Q2148=1,AF2148=1,AE2148="HALLUCINATION")</x:f>
        <x:v>0</x:v>
      </x:c>
      <x:c r="AJ2148" t="n">
        <x:f>--AND(AI2148=1,R2148=1,S2148=1)</x:f>
        <x:v>0</x:v>
      </x:c>
    </x:row>
    <x:row r="2149">
      <x:c r="A2149" s="28"/>
      <x:c r="B2149" s="28"/>
      <x:c r="C2149" s="28"/>
      <x:c r="D2149" s="28"/>
      <x:c r="E2149" s="28"/>
      <x:c r="F2149" s="28"/>
      <x:c r="G2149" s="28"/>
      <x:c r="H2149" s="28"/>
      <x:c r="I2149" s="28"/>
      <x:c r="J2149" s="28"/>
      <x:c r="K2149" s="28"/>
      <x:c r="L2149" s="28"/>
      <x:c r="M2149" s="28"/>
      <x:c r="N2149" s="28"/>
      <x:c r="O2149" s="28"/>
      <x:c r="P2149" s="28"/>
      <x:c r="Q2149" s="28"/>
      <x:c r="R2149" s="28"/>
      <x:c r="S2149" s="28"/>
      <x:c r="T2149" s="28"/>
      <x:c r="U2149" s="28"/>
      <x:c r="V2149" s="28"/>
      <x:c r="W2149" s="43" t="n">
        <x:f>--AND(N2149=1,OR(O2149="SUPPORTED",O2149="HALLUCINATION"))</x:f>
        <x:v>0</x:v>
      </x:c>
      <x:c r="X2149" s="43" t="n">
        <x:f>--AND(W2149=1,O2149="HALLUCINATION")</x:f>
        <x:v>0</x:v>
      </x:c>
      <x:c r="Y2149" s="43" t="n">
        <x:f>--AND(Q2149=1,O2149="HALLUCINATION")</x:f>
        <x:v>0</x:v>
      </x:c>
      <x:c r="Z2149" s="43" t="n">
        <x:f>--AND(Y2149=1,R2149=1,S2149=1)</x:f>
        <x:v>0</x:v>
      </x:c>
      <x:c r="AC2149" t="str">
        <x:f>IF(OR(AA2149="",AB2149=""),"",--(AA2149&lt;&gt;AB2149))</x:f>
      </x:c>
      <x:c r="AE2149" t="str">
        <x:f>IF(OR(AA2149="",AB2149=""),"PENDING_HUMAN",IF(AA2149=AB2149,AA2149,IF(AD2149&lt;&gt;"",AD2149,"PENDING_HUMAN")))</x:f>
        <x:v>PENDING_HUMAN</x:v>
      </x:c>
      <x:c r="AF2149" t="n">
        <x:f>--AND(A2149&lt;&gt;"",AA2149&lt;&gt;"",AB2149&lt;&gt;"",OR(AA2149=AB2149,AD2149&lt;&gt;""),IF(AE2149="HALLUCINATION",U2149&lt;&gt;"",TRUE))</x:f>
        <x:v>0</x:v>
      </x:c>
      <x:c r="AG2149" t="n">
        <x:f>--AND(N2149=1,AF2149=1,OR(AE2149="SUPPORTED",AE2149="HALLUCINATION"))</x:f>
        <x:v>0</x:v>
      </x:c>
      <x:c r="AH2149" t="n">
        <x:f>--AND(AG2149=1,AE2149="HALLUCINATION")</x:f>
        <x:v>0</x:v>
      </x:c>
      <x:c r="AI2149" t="n">
        <x:f>--AND(Q2149=1,AF2149=1,AE2149="HALLUCINATION")</x:f>
        <x:v>0</x:v>
      </x:c>
      <x:c r="AJ2149" t="n">
        <x:f>--AND(AI2149=1,R2149=1,S2149=1)</x:f>
        <x:v>0</x:v>
      </x:c>
    </x:row>
    <x:row r="2150">
      <x:c r="A2150" s="28"/>
      <x:c r="B2150" s="28"/>
      <x:c r="C2150" s="28"/>
      <x:c r="D2150" s="28"/>
      <x:c r="E2150" s="28"/>
      <x:c r="F2150" s="28"/>
      <x:c r="G2150" s="28"/>
      <x:c r="H2150" s="28"/>
      <x:c r="I2150" s="28"/>
      <x:c r="J2150" s="28"/>
      <x:c r="K2150" s="28"/>
      <x:c r="L2150" s="28"/>
      <x:c r="M2150" s="28"/>
      <x:c r="N2150" s="28"/>
      <x:c r="O2150" s="28"/>
      <x:c r="P2150" s="28"/>
      <x:c r="Q2150" s="28"/>
      <x:c r="R2150" s="28"/>
      <x:c r="S2150" s="28"/>
      <x:c r="T2150" s="28"/>
      <x:c r="U2150" s="28"/>
      <x:c r="V2150" s="28"/>
      <x:c r="W2150" s="43" t="n">
        <x:f>--AND(N2150=1,OR(O2150="SUPPORTED",O2150="HALLUCINATION"))</x:f>
        <x:v>0</x:v>
      </x:c>
      <x:c r="X2150" s="43" t="n">
        <x:f>--AND(W2150=1,O2150="HALLUCINATION")</x:f>
        <x:v>0</x:v>
      </x:c>
      <x:c r="Y2150" s="43" t="n">
        <x:f>--AND(Q2150=1,O2150="HALLUCINATION")</x:f>
        <x:v>0</x:v>
      </x:c>
      <x:c r="Z2150" s="43" t="n">
        <x:f>--AND(Y2150=1,R2150=1,S2150=1)</x:f>
        <x:v>0</x:v>
      </x:c>
      <x:c r="AC2150" t="str">
        <x:f>IF(OR(AA2150="",AB2150=""),"",--(AA2150&lt;&gt;AB2150))</x:f>
      </x:c>
      <x:c r="AE2150" t="str">
        <x:f>IF(OR(AA2150="",AB2150=""),"PENDING_HUMAN",IF(AA2150=AB2150,AA2150,IF(AD2150&lt;&gt;"",AD2150,"PENDING_HUMAN")))</x:f>
        <x:v>PENDING_HUMAN</x:v>
      </x:c>
      <x:c r="AF2150" t="n">
        <x:f>--AND(A2150&lt;&gt;"",AA2150&lt;&gt;"",AB2150&lt;&gt;"",OR(AA2150=AB2150,AD2150&lt;&gt;""),IF(AE2150="HALLUCINATION",U2150&lt;&gt;"",TRUE))</x:f>
        <x:v>0</x:v>
      </x:c>
      <x:c r="AG2150" t="n">
        <x:f>--AND(N2150=1,AF2150=1,OR(AE2150="SUPPORTED",AE2150="HALLUCINATION"))</x:f>
        <x:v>0</x:v>
      </x:c>
      <x:c r="AH2150" t="n">
        <x:f>--AND(AG2150=1,AE2150="HALLUCINATION")</x:f>
        <x:v>0</x:v>
      </x:c>
      <x:c r="AI2150" t="n">
        <x:f>--AND(Q2150=1,AF2150=1,AE2150="HALLUCINATION")</x:f>
        <x:v>0</x:v>
      </x:c>
      <x:c r="AJ2150" t="n">
        <x:f>--AND(AI2150=1,R2150=1,S2150=1)</x:f>
        <x:v>0</x:v>
      </x:c>
    </x:row>
    <x:row r="2151">
      <x:c r="A2151" s="28"/>
      <x:c r="B2151" s="28"/>
      <x:c r="C2151" s="28"/>
      <x:c r="D2151" s="28"/>
      <x:c r="E2151" s="28"/>
      <x:c r="F2151" s="28"/>
      <x:c r="G2151" s="28"/>
      <x:c r="H2151" s="28"/>
      <x:c r="I2151" s="28"/>
      <x:c r="J2151" s="28"/>
      <x:c r="K2151" s="28"/>
      <x:c r="L2151" s="28"/>
      <x:c r="M2151" s="28"/>
      <x:c r="N2151" s="28"/>
      <x:c r="O2151" s="28"/>
      <x:c r="P2151" s="28"/>
      <x:c r="Q2151" s="28"/>
      <x:c r="R2151" s="28"/>
      <x:c r="S2151" s="28"/>
      <x:c r="T2151" s="28"/>
      <x:c r="U2151" s="28"/>
      <x:c r="V2151" s="28"/>
      <x:c r="W2151" s="43" t="n">
        <x:f>--AND(N2151=1,OR(O2151="SUPPORTED",O2151="HALLUCINATION"))</x:f>
        <x:v>0</x:v>
      </x:c>
      <x:c r="X2151" s="43" t="n">
        <x:f>--AND(W2151=1,O2151="HALLUCINATION")</x:f>
        <x:v>0</x:v>
      </x:c>
      <x:c r="Y2151" s="43" t="n">
        <x:f>--AND(Q2151=1,O2151="HALLUCINATION")</x:f>
        <x:v>0</x:v>
      </x:c>
      <x:c r="Z2151" s="43" t="n">
        <x:f>--AND(Y2151=1,R2151=1,S2151=1)</x:f>
        <x:v>0</x:v>
      </x:c>
      <x:c r="AC2151" t="str">
        <x:f>IF(OR(AA2151="",AB2151=""),"",--(AA2151&lt;&gt;AB2151))</x:f>
      </x:c>
      <x:c r="AE2151" t="str">
        <x:f>IF(OR(AA2151="",AB2151=""),"PENDING_HUMAN",IF(AA2151=AB2151,AA2151,IF(AD2151&lt;&gt;"",AD2151,"PENDING_HUMAN")))</x:f>
        <x:v>PENDING_HUMAN</x:v>
      </x:c>
      <x:c r="AF2151" t="n">
        <x:f>--AND(A2151&lt;&gt;"",AA2151&lt;&gt;"",AB2151&lt;&gt;"",OR(AA2151=AB2151,AD2151&lt;&gt;""),IF(AE2151="HALLUCINATION",U2151&lt;&gt;"",TRUE))</x:f>
        <x:v>0</x:v>
      </x:c>
      <x:c r="AG2151" t="n">
        <x:f>--AND(N2151=1,AF2151=1,OR(AE2151="SUPPORTED",AE2151="HALLUCINATION"))</x:f>
        <x:v>0</x:v>
      </x:c>
      <x:c r="AH2151" t="n">
        <x:f>--AND(AG2151=1,AE2151="HALLUCINATION")</x:f>
        <x:v>0</x:v>
      </x:c>
      <x:c r="AI2151" t="n">
        <x:f>--AND(Q2151=1,AF2151=1,AE2151="HALLUCINATION")</x:f>
        <x:v>0</x:v>
      </x:c>
      <x:c r="AJ2151" t="n">
        <x:f>--AND(AI2151=1,R2151=1,S2151=1)</x:f>
        <x:v>0</x:v>
      </x:c>
    </x:row>
    <x:row r="2152">
      <x:c r="A2152" s="28"/>
      <x:c r="B2152" s="28"/>
      <x:c r="C2152" s="28"/>
      <x:c r="D2152" s="28"/>
      <x:c r="E2152" s="28"/>
      <x:c r="F2152" s="28"/>
      <x:c r="G2152" s="28"/>
      <x:c r="H2152" s="28"/>
      <x:c r="I2152" s="28"/>
      <x:c r="J2152" s="28"/>
      <x:c r="K2152" s="28"/>
      <x:c r="L2152" s="28"/>
      <x:c r="M2152" s="28"/>
      <x:c r="N2152" s="28"/>
      <x:c r="O2152" s="28"/>
      <x:c r="P2152" s="28"/>
      <x:c r="Q2152" s="28"/>
      <x:c r="R2152" s="28"/>
      <x:c r="S2152" s="28"/>
      <x:c r="T2152" s="28"/>
      <x:c r="U2152" s="28"/>
      <x:c r="V2152" s="28"/>
      <x:c r="W2152" s="43" t="n">
        <x:f>--AND(N2152=1,OR(O2152="SUPPORTED",O2152="HALLUCINATION"))</x:f>
        <x:v>0</x:v>
      </x:c>
      <x:c r="X2152" s="43" t="n">
        <x:f>--AND(W2152=1,O2152="HALLUCINATION")</x:f>
        <x:v>0</x:v>
      </x:c>
      <x:c r="Y2152" s="43" t="n">
        <x:f>--AND(Q2152=1,O2152="HALLUCINATION")</x:f>
        <x:v>0</x:v>
      </x:c>
      <x:c r="Z2152" s="43" t="n">
        <x:f>--AND(Y2152=1,R2152=1,S2152=1)</x:f>
        <x:v>0</x:v>
      </x:c>
      <x:c r="AC2152" t="str">
        <x:f>IF(OR(AA2152="",AB2152=""),"",--(AA2152&lt;&gt;AB2152))</x:f>
      </x:c>
      <x:c r="AE2152" t="str">
        <x:f>IF(OR(AA2152="",AB2152=""),"PENDING_HUMAN",IF(AA2152=AB2152,AA2152,IF(AD2152&lt;&gt;"",AD2152,"PENDING_HUMAN")))</x:f>
        <x:v>PENDING_HUMAN</x:v>
      </x:c>
      <x:c r="AF2152" t="n">
        <x:f>--AND(A2152&lt;&gt;"",AA2152&lt;&gt;"",AB2152&lt;&gt;"",OR(AA2152=AB2152,AD2152&lt;&gt;""),IF(AE2152="HALLUCINATION",U2152&lt;&gt;"",TRUE))</x:f>
        <x:v>0</x:v>
      </x:c>
      <x:c r="AG2152" t="n">
        <x:f>--AND(N2152=1,AF2152=1,OR(AE2152="SUPPORTED",AE2152="HALLUCINATION"))</x:f>
        <x:v>0</x:v>
      </x:c>
      <x:c r="AH2152" t="n">
        <x:f>--AND(AG2152=1,AE2152="HALLUCINATION")</x:f>
        <x:v>0</x:v>
      </x:c>
      <x:c r="AI2152" t="n">
        <x:f>--AND(Q2152=1,AF2152=1,AE2152="HALLUCINATION")</x:f>
        <x:v>0</x:v>
      </x:c>
      <x:c r="AJ2152" t="n">
        <x:f>--AND(AI2152=1,R2152=1,S2152=1)</x:f>
        <x:v>0</x:v>
      </x:c>
    </x:row>
    <x:row r="2153">
      <x:c r="A2153" s="28"/>
      <x:c r="B2153" s="28"/>
      <x:c r="C2153" s="28"/>
      <x:c r="D2153" s="28"/>
      <x:c r="E2153" s="28"/>
      <x:c r="F2153" s="28"/>
      <x:c r="G2153" s="28"/>
      <x:c r="H2153" s="28"/>
      <x:c r="I2153" s="28"/>
      <x:c r="J2153" s="28"/>
      <x:c r="K2153" s="28"/>
      <x:c r="L2153" s="28"/>
      <x:c r="M2153" s="28"/>
      <x:c r="N2153" s="28"/>
      <x:c r="O2153" s="28"/>
      <x:c r="P2153" s="28"/>
      <x:c r="Q2153" s="28"/>
      <x:c r="R2153" s="28"/>
      <x:c r="S2153" s="28"/>
      <x:c r="T2153" s="28"/>
      <x:c r="U2153" s="28"/>
      <x:c r="V2153" s="28"/>
      <x:c r="W2153" s="43" t="n">
        <x:f>--AND(N2153=1,OR(O2153="SUPPORTED",O2153="HALLUCINATION"))</x:f>
        <x:v>0</x:v>
      </x:c>
      <x:c r="X2153" s="43" t="n">
        <x:f>--AND(W2153=1,O2153="HALLUCINATION")</x:f>
        <x:v>0</x:v>
      </x:c>
      <x:c r="Y2153" s="43" t="n">
        <x:f>--AND(Q2153=1,O2153="HALLUCINATION")</x:f>
        <x:v>0</x:v>
      </x:c>
      <x:c r="Z2153" s="43" t="n">
        <x:f>--AND(Y2153=1,R2153=1,S2153=1)</x:f>
        <x:v>0</x:v>
      </x:c>
      <x:c r="AC2153" t="str">
        <x:f>IF(OR(AA2153="",AB2153=""),"",--(AA2153&lt;&gt;AB2153))</x:f>
      </x:c>
      <x:c r="AE2153" t="str">
        <x:f>IF(OR(AA2153="",AB2153=""),"PENDING_HUMAN",IF(AA2153=AB2153,AA2153,IF(AD2153&lt;&gt;"",AD2153,"PENDING_HUMAN")))</x:f>
        <x:v>PENDING_HUMAN</x:v>
      </x:c>
      <x:c r="AF2153" t="n">
        <x:f>--AND(A2153&lt;&gt;"",AA2153&lt;&gt;"",AB2153&lt;&gt;"",OR(AA2153=AB2153,AD2153&lt;&gt;""),IF(AE2153="HALLUCINATION",U2153&lt;&gt;"",TRUE))</x:f>
        <x:v>0</x:v>
      </x:c>
      <x:c r="AG2153" t="n">
        <x:f>--AND(N2153=1,AF2153=1,OR(AE2153="SUPPORTED",AE2153="HALLUCINATION"))</x:f>
        <x:v>0</x:v>
      </x:c>
      <x:c r="AH2153" t="n">
        <x:f>--AND(AG2153=1,AE2153="HALLUCINATION")</x:f>
        <x:v>0</x:v>
      </x:c>
      <x:c r="AI2153" t="n">
        <x:f>--AND(Q2153=1,AF2153=1,AE2153="HALLUCINATION")</x:f>
        <x:v>0</x:v>
      </x:c>
      <x:c r="AJ2153" t="n">
        <x:f>--AND(AI2153=1,R2153=1,S2153=1)</x:f>
        <x:v>0</x:v>
      </x:c>
    </x:row>
    <x:row r="2154">
      <x:c r="A2154" s="28"/>
      <x:c r="B2154" s="28"/>
      <x:c r="C2154" s="28"/>
      <x:c r="D2154" s="28"/>
      <x:c r="E2154" s="28"/>
      <x:c r="F2154" s="28"/>
      <x:c r="G2154" s="28"/>
      <x:c r="H2154" s="28"/>
      <x:c r="I2154" s="28"/>
      <x:c r="J2154" s="28"/>
      <x:c r="K2154" s="28"/>
      <x:c r="L2154" s="28"/>
      <x:c r="M2154" s="28"/>
      <x:c r="N2154" s="28"/>
      <x:c r="O2154" s="28"/>
      <x:c r="P2154" s="28"/>
      <x:c r="Q2154" s="28"/>
      <x:c r="R2154" s="28"/>
      <x:c r="S2154" s="28"/>
      <x:c r="T2154" s="28"/>
      <x:c r="U2154" s="28"/>
      <x:c r="V2154" s="28"/>
      <x:c r="W2154" s="43" t="n">
        <x:f>--AND(N2154=1,OR(O2154="SUPPORTED",O2154="HALLUCINATION"))</x:f>
        <x:v>0</x:v>
      </x:c>
      <x:c r="X2154" s="43" t="n">
        <x:f>--AND(W2154=1,O2154="HALLUCINATION")</x:f>
        <x:v>0</x:v>
      </x:c>
      <x:c r="Y2154" s="43" t="n">
        <x:f>--AND(Q2154=1,O2154="HALLUCINATION")</x:f>
        <x:v>0</x:v>
      </x:c>
      <x:c r="Z2154" s="43" t="n">
        <x:f>--AND(Y2154=1,R2154=1,S2154=1)</x:f>
        <x:v>0</x:v>
      </x:c>
      <x:c r="AC2154" t="str">
        <x:f>IF(OR(AA2154="",AB2154=""),"",--(AA2154&lt;&gt;AB2154))</x:f>
      </x:c>
      <x:c r="AE2154" t="str">
        <x:f>IF(OR(AA2154="",AB2154=""),"PENDING_HUMAN",IF(AA2154=AB2154,AA2154,IF(AD2154&lt;&gt;"",AD2154,"PENDING_HUMAN")))</x:f>
        <x:v>PENDING_HUMAN</x:v>
      </x:c>
      <x:c r="AF2154" t="n">
        <x:f>--AND(A2154&lt;&gt;"",AA2154&lt;&gt;"",AB2154&lt;&gt;"",OR(AA2154=AB2154,AD2154&lt;&gt;""),IF(AE2154="HALLUCINATION",U2154&lt;&gt;"",TRUE))</x:f>
        <x:v>0</x:v>
      </x:c>
      <x:c r="AG2154" t="n">
        <x:f>--AND(N2154=1,AF2154=1,OR(AE2154="SUPPORTED",AE2154="HALLUCINATION"))</x:f>
        <x:v>0</x:v>
      </x:c>
      <x:c r="AH2154" t="n">
        <x:f>--AND(AG2154=1,AE2154="HALLUCINATION")</x:f>
        <x:v>0</x:v>
      </x:c>
      <x:c r="AI2154" t="n">
        <x:f>--AND(Q2154=1,AF2154=1,AE2154="HALLUCINATION")</x:f>
        <x:v>0</x:v>
      </x:c>
      <x:c r="AJ2154" t="n">
        <x:f>--AND(AI2154=1,R2154=1,S2154=1)</x:f>
        <x:v>0</x:v>
      </x:c>
    </x:row>
    <x:row r="2155">
      <x:c r="A2155" s="28"/>
      <x:c r="B2155" s="28"/>
      <x:c r="C2155" s="28"/>
      <x:c r="D2155" s="28"/>
      <x:c r="E2155" s="28"/>
      <x:c r="F2155" s="28"/>
      <x:c r="G2155" s="28"/>
      <x:c r="H2155" s="28"/>
      <x:c r="I2155" s="28"/>
      <x:c r="J2155" s="28"/>
      <x:c r="K2155" s="28"/>
      <x:c r="L2155" s="28"/>
      <x:c r="M2155" s="28"/>
      <x:c r="N2155" s="28"/>
      <x:c r="O2155" s="28"/>
      <x:c r="P2155" s="28"/>
      <x:c r="Q2155" s="28"/>
      <x:c r="R2155" s="28"/>
      <x:c r="S2155" s="28"/>
      <x:c r="T2155" s="28"/>
      <x:c r="U2155" s="28"/>
      <x:c r="V2155" s="28"/>
      <x:c r="W2155" s="43" t="n">
        <x:f>--AND(N2155=1,OR(O2155="SUPPORTED",O2155="HALLUCINATION"))</x:f>
        <x:v>0</x:v>
      </x:c>
      <x:c r="X2155" s="43" t="n">
        <x:f>--AND(W2155=1,O2155="HALLUCINATION")</x:f>
        <x:v>0</x:v>
      </x:c>
      <x:c r="Y2155" s="43" t="n">
        <x:f>--AND(Q2155=1,O2155="HALLUCINATION")</x:f>
        <x:v>0</x:v>
      </x:c>
      <x:c r="Z2155" s="43" t="n">
        <x:f>--AND(Y2155=1,R2155=1,S2155=1)</x:f>
        <x:v>0</x:v>
      </x:c>
      <x:c r="AC2155" t="str">
        <x:f>IF(OR(AA2155="",AB2155=""),"",--(AA2155&lt;&gt;AB2155))</x:f>
      </x:c>
      <x:c r="AE2155" t="str">
        <x:f>IF(OR(AA2155="",AB2155=""),"PENDING_HUMAN",IF(AA2155=AB2155,AA2155,IF(AD2155&lt;&gt;"",AD2155,"PENDING_HUMAN")))</x:f>
        <x:v>PENDING_HUMAN</x:v>
      </x:c>
      <x:c r="AF2155" t="n">
        <x:f>--AND(A2155&lt;&gt;"",AA2155&lt;&gt;"",AB2155&lt;&gt;"",OR(AA2155=AB2155,AD2155&lt;&gt;""),IF(AE2155="HALLUCINATION",U2155&lt;&gt;"",TRUE))</x:f>
        <x:v>0</x:v>
      </x:c>
      <x:c r="AG2155" t="n">
        <x:f>--AND(N2155=1,AF2155=1,OR(AE2155="SUPPORTED",AE2155="HALLUCINATION"))</x:f>
        <x:v>0</x:v>
      </x:c>
      <x:c r="AH2155" t="n">
        <x:f>--AND(AG2155=1,AE2155="HALLUCINATION")</x:f>
        <x:v>0</x:v>
      </x:c>
      <x:c r="AI2155" t="n">
        <x:f>--AND(Q2155=1,AF2155=1,AE2155="HALLUCINATION")</x:f>
        <x:v>0</x:v>
      </x:c>
      <x:c r="AJ2155" t="n">
        <x:f>--AND(AI2155=1,R2155=1,S2155=1)</x:f>
        <x:v>0</x:v>
      </x:c>
    </x:row>
    <x:row r="2156">
      <x:c r="A2156" s="28"/>
      <x:c r="B2156" s="28"/>
      <x:c r="C2156" s="28"/>
      <x:c r="D2156" s="28"/>
      <x:c r="E2156" s="28"/>
      <x:c r="F2156" s="28"/>
      <x:c r="G2156" s="28"/>
      <x:c r="H2156" s="28"/>
      <x:c r="I2156" s="28"/>
      <x:c r="J2156" s="28"/>
      <x:c r="K2156" s="28"/>
      <x:c r="L2156" s="28"/>
      <x:c r="M2156" s="28"/>
      <x:c r="N2156" s="28"/>
      <x:c r="O2156" s="28"/>
      <x:c r="P2156" s="28"/>
      <x:c r="Q2156" s="28"/>
      <x:c r="R2156" s="28"/>
      <x:c r="S2156" s="28"/>
      <x:c r="T2156" s="28"/>
      <x:c r="U2156" s="28"/>
      <x:c r="V2156" s="28"/>
      <x:c r="W2156" s="43" t="n">
        <x:f>--AND(N2156=1,OR(O2156="SUPPORTED",O2156="HALLUCINATION"))</x:f>
        <x:v>0</x:v>
      </x:c>
      <x:c r="X2156" s="43" t="n">
        <x:f>--AND(W2156=1,O2156="HALLUCINATION")</x:f>
        <x:v>0</x:v>
      </x:c>
      <x:c r="Y2156" s="43" t="n">
        <x:f>--AND(Q2156=1,O2156="HALLUCINATION")</x:f>
        <x:v>0</x:v>
      </x:c>
      <x:c r="Z2156" s="43" t="n">
        <x:f>--AND(Y2156=1,R2156=1,S2156=1)</x:f>
        <x:v>0</x:v>
      </x:c>
      <x:c r="AC2156" t="str">
        <x:f>IF(OR(AA2156="",AB2156=""),"",--(AA2156&lt;&gt;AB2156))</x:f>
      </x:c>
      <x:c r="AE2156" t="str">
        <x:f>IF(OR(AA2156="",AB2156=""),"PENDING_HUMAN",IF(AA2156=AB2156,AA2156,IF(AD2156&lt;&gt;"",AD2156,"PENDING_HUMAN")))</x:f>
        <x:v>PENDING_HUMAN</x:v>
      </x:c>
      <x:c r="AF2156" t="n">
        <x:f>--AND(A2156&lt;&gt;"",AA2156&lt;&gt;"",AB2156&lt;&gt;"",OR(AA2156=AB2156,AD2156&lt;&gt;""),IF(AE2156="HALLUCINATION",U2156&lt;&gt;"",TRUE))</x:f>
        <x:v>0</x:v>
      </x:c>
      <x:c r="AG2156" t="n">
        <x:f>--AND(N2156=1,AF2156=1,OR(AE2156="SUPPORTED",AE2156="HALLUCINATION"))</x:f>
        <x:v>0</x:v>
      </x:c>
      <x:c r="AH2156" t="n">
        <x:f>--AND(AG2156=1,AE2156="HALLUCINATION")</x:f>
        <x:v>0</x:v>
      </x:c>
      <x:c r="AI2156" t="n">
        <x:f>--AND(Q2156=1,AF2156=1,AE2156="HALLUCINATION")</x:f>
        <x:v>0</x:v>
      </x:c>
      <x:c r="AJ2156" t="n">
        <x:f>--AND(AI2156=1,R2156=1,S2156=1)</x:f>
        <x:v>0</x:v>
      </x:c>
    </x:row>
    <x:row r="2157">
      <x:c r="A2157" s="28"/>
      <x:c r="B2157" s="28"/>
      <x:c r="C2157" s="28"/>
      <x:c r="D2157" s="28"/>
      <x:c r="E2157" s="28"/>
      <x:c r="F2157" s="28"/>
      <x:c r="G2157" s="28"/>
      <x:c r="H2157" s="28"/>
      <x:c r="I2157" s="28"/>
      <x:c r="J2157" s="28"/>
      <x:c r="K2157" s="28"/>
      <x:c r="L2157" s="28"/>
      <x:c r="M2157" s="28"/>
      <x:c r="N2157" s="28"/>
      <x:c r="O2157" s="28"/>
      <x:c r="P2157" s="28"/>
      <x:c r="Q2157" s="28"/>
      <x:c r="R2157" s="28"/>
      <x:c r="S2157" s="28"/>
      <x:c r="T2157" s="28"/>
      <x:c r="U2157" s="28"/>
      <x:c r="V2157" s="28"/>
      <x:c r="W2157" s="43" t="n">
        <x:f>--AND(N2157=1,OR(O2157="SUPPORTED",O2157="HALLUCINATION"))</x:f>
        <x:v>0</x:v>
      </x:c>
      <x:c r="X2157" s="43" t="n">
        <x:f>--AND(W2157=1,O2157="HALLUCINATION")</x:f>
        <x:v>0</x:v>
      </x:c>
      <x:c r="Y2157" s="43" t="n">
        <x:f>--AND(Q2157=1,O2157="HALLUCINATION")</x:f>
        <x:v>0</x:v>
      </x:c>
      <x:c r="Z2157" s="43" t="n">
        <x:f>--AND(Y2157=1,R2157=1,S2157=1)</x:f>
        <x:v>0</x:v>
      </x:c>
      <x:c r="AC2157" t="str">
        <x:f>IF(OR(AA2157="",AB2157=""),"",--(AA2157&lt;&gt;AB2157))</x:f>
      </x:c>
      <x:c r="AE2157" t="str">
        <x:f>IF(OR(AA2157="",AB2157=""),"PENDING_HUMAN",IF(AA2157=AB2157,AA2157,IF(AD2157&lt;&gt;"",AD2157,"PENDING_HUMAN")))</x:f>
        <x:v>PENDING_HUMAN</x:v>
      </x:c>
      <x:c r="AF2157" t="n">
        <x:f>--AND(A2157&lt;&gt;"",AA2157&lt;&gt;"",AB2157&lt;&gt;"",OR(AA2157=AB2157,AD2157&lt;&gt;""),IF(AE2157="HALLUCINATION",U2157&lt;&gt;"",TRUE))</x:f>
        <x:v>0</x:v>
      </x:c>
      <x:c r="AG2157" t="n">
        <x:f>--AND(N2157=1,AF2157=1,OR(AE2157="SUPPORTED",AE2157="HALLUCINATION"))</x:f>
        <x:v>0</x:v>
      </x:c>
      <x:c r="AH2157" t="n">
        <x:f>--AND(AG2157=1,AE2157="HALLUCINATION")</x:f>
        <x:v>0</x:v>
      </x:c>
      <x:c r="AI2157" t="n">
        <x:f>--AND(Q2157=1,AF2157=1,AE2157="HALLUCINATION")</x:f>
        <x:v>0</x:v>
      </x:c>
      <x:c r="AJ2157" t="n">
        <x:f>--AND(AI2157=1,R2157=1,S2157=1)</x:f>
        <x:v>0</x:v>
      </x:c>
    </x:row>
    <x:row r="2158">
      <x:c r="A2158" s="28"/>
      <x:c r="B2158" s="28"/>
      <x:c r="C2158" s="28"/>
      <x:c r="D2158" s="28"/>
      <x:c r="E2158" s="28"/>
      <x:c r="F2158" s="28"/>
      <x:c r="G2158" s="28"/>
      <x:c r="H2158" s="28"/>
      <x:c r="I2158" s="28"/>
      <x:c r="J2158" s="28"/>
      <x:c r="K2158" s="28"/>
      <x:c r="L2158" s="28"/>
      <x:c r="M2158" s="28"/>
      <x:c r="N2158" s="28"/>
      <x:c r="O2158" s="28"/>
      <x:c r="P2158" s="28"/>
      <x:c r="Q2158" s="28"/>
      <x:c r="R2158" s="28"/>
      <x:c r="S2158" s="28"/>
      <x:c r="T2158" s="28"/>
      <x:c r="U2158" s="28"/>
      <x:c r="V2158" s="28"/>
      <x:c r="W2158" s="43" t="n">
        <x:f>--AND(N2158=1,OR(O2158="SUPPORTED",O2158="HALLUCINATION"))</x:f>
        <x:v>0</x:v>
      </x:c>
      <x:c r="X2158" s="43" t="n">
        <x:f>--AND(W2158=1,O2158="HALLUCINATION")</x:f>
        <x:v>0</x:v>
      </x:c>
      <x:c r="Y2158" s="43" t="n">
        <x:f>--AND(Q2158=1,O2158="HALLUCINATION")</x:f>
        <x:v>0</x:v>
      </x:c>
      <x:c r="Z2158" s="43" t="n">
        <x:f>--AND(Y2158=1,R2158=1,S2158=1)</x:f>
        <x:v>0</x:v>
      </x:c>
      <x:c r="AC2158" t="str">
        <x:f>IF(OR(AA2158="",AB2158=""),"",--(AA2158&lt;&gt;AB2158))</x:f>
      </x:c>
      <x:c r="AE2158" t="str">
        <x:f>IF(OR(AA2158="",AB2158=""),"PENDING_HUMAN",IF(AA2158=AB2158,AA2158,IF(AD2158&lt;&gt;"",AD2158,"PENDING_HUMAN")))</x:f>
        <x:v>PENDING_HUMAN</x:v>
      </x:c>
      <x:c r="AF2158" t="n">
        <x:f>--AND(A2158&lt;&gt;"",AA2158&lt;&gt;"",AB2158&lt;&gt;"",OR(AA2158=AB2158,AD2158&lt;&gt;""),IF(AE2158="HALLUCINATION",U2158&lt;&gt;"",TRUE))</x:f>
        <x:v>0</x:v>
      </x:c>
      <x:c r="AG2158" t="n">
        <x:f>--AND(N2158=1,AF2158=1,OR(AE2158="SUPPORTED",AE2158="HALLUCINATION"))</x:f>
        <x:v>0</x:v>
      </x:c>
      <x:c r="AH2158" t="n">
        <x:f>--AND(AG2158=1,AE2158="HALLUCINATION")</x:f>
        <x:v>0</x:v>
      </x:c>
      <x:c r="AI2158" t="n">
        <x:f>--AND(Q2158=1,AF2158=1,AE2158="HALLUCINATION")</x:f>
        <x:v>0</x:v>
      </x:c>
      <x:c r="AJ2158" t="n">
        <x:f>--AND(AI2158=1,R2158=1,S2158=1)</x:f>
        <x:v>0</x:v>
      </x:c>
    </x:row>
    <x:row r="2159">
      <x:c r="A2159" s="28"/>
      <x:c r="B2159" s="28"/>
      <x:c r="C2159" s="28"/>
      <x:c r="D2159" s="28"/>
      <x:c r="E2159" s="28"/>
      <x:c r="F2159" s="28"/>
      <x:c r="G2159" s="28"/>
      <x:c r="H2159" s="28"/>
      <x:c r="I2159" s="28"/>
      <x:c r="J2159" s="28"/>
      <x:c r="K2159" s="28"/>
      <x:c r="L2159" s="28"/>
      <x:c r="M2159" s="28"/>
      <x:c r="N2159" s="28"/>
      <x:c r="O2159" s="28"/>
      <x:c r="P2159" s="28"/>
      <x:c r="Q2159" s="28"/>
      <x:c r="R2159" s="28"/>
      <x:c r="S2159" s="28"/>
      <x:c r="T2159" s="28"/>
      <x:c r="U2159" s="28"/>
      <x:c r="V2159" s="28"/>
      <x:c r="W2159" s="43" t="n">
        <x:f>--AND(N2159=1,OR(O2159="SUPPORTED",O2159="HALLUCINATION"))</x:f>
        <x:v>0</x:v>
      </x:c>
      <x:c r="X2159" s="43" t="n">
        <x:f>--AND(W2159=1,O2159="HALLUCINATION")</x:f>
        <x:v>0</x:v>
      </x:c>
      <x:c r="Y2159" s="43" t="n">
        <x:f>--AND(Q2159=1,O2159="HALLUCINATION")</x:f>
        <x:v>0</x:v>
      </x:c>
      <x:c r="Z2159" s="43" t="n">
        <x:f>--AND(Y2159=1,R2159=1,S2159=1)</x:f>
        <x:v>0</x:v>
      </x:c>
      <x:c r="AC2159" t="str">
        <x:f>IF(OR(AA2159="",AB2159=""),"",--(AA2159&lt;&gt;AB2159))</x:f>
      </x:c>
      <x:c r="AE2159" t="str">
        <x:f>IF(OR(AA2159="",AB2159=""),"PENDING_HUMAN",IF(AA2159=AB2159,AA2159,IF(AD2159&lt;&gt;"",AD2159,"PENDING_HUMAN")))</x:f>
        <x:v>PENDING_HUMAN</x:v>
      </x:c>
      <x:c r="AF2159" t="n">
        <x:f>--AND(A2159&lt;&gt;"",AA2159&lt;&gt;"",AB2159&lt;&gt;"",OR(AA2159=AB2159,AD2159&lt;&gt;""),IF(AE2159="HALLUCINATION",U2159&lt;&gt;"",TRUE))</x:f>
        <x:v>0</x:v>
      </x:c>
      <x:c r="AG2159" t="n">
        <x:f>--AND(N2159=1,AF2159=1,OR(AE2159="SUPPORTED",AE2159="HALLUCINATION"))</x:f>
        <x:v>0</x:v>
      </x:c>
      <x:c r="AH2159" t="n">
        <x:f>--AND(AG2159=1,AE2159="HALLUCINATION")</x:f>
        <x:v>0</x:v>
      </x:c>
      <x:c r="AI2159" t="n">
        <x:f>--AND(Q2159=1,AF2159=1,AE2159="HALLUCINATION")</x:f>
        <x:v>0</x:v>
      </x:c>
      <x:c r="AJ2159" t="n">
        <x:f>--AND(AI2159=1,R2159=1,S2159=1)</x:f>
        <x:v>0</x:v>
      </x:c>
    </x:row>
    <x:row r="2160">
      <x:c r="A2160" s="28"/>
      <x:c r="B2160" s="28"/>
      <x:c r="C2160" s="28"/>
      <x:c r="D2160" s="28"/>
      <x:c r="E2160" s="28"/>
      <x:c r="F2160" s="28"/>
      <x:c r="G2160" s="28"/>
      <x:c r="H2160" s="28"/>
      <x:c r="I2160" s="28"/>
      <x:c r="J2160" s="28"/>
      <x:c r="K2160" s="28"/>
      <x:c r="L2160" s="28"/>
      <x:c r="M2160" s="28"/>
      <x:c r="N2160" s="28"/>
      <x:c r="O2160" s="28"/>
      <x:c r="P2160" s="28"/>
      <x:c r="Q2160" s="28"/>
      <x:c r="R2160" s="28"/>
      <x:c r="S2160" s="28"/>
      <x:c r="T2160" s="28"/>
      <x:c r="U2160" s="28"/>
      <x:c r="V2160" s="28"/>
      <x:c r="W2160" s="43" t="n">
        <x:f>--AND(N2160=1,OR(O2160="SUPPORTED",O2160="HALLUCINATION"))</x:f>
        <x:v>0</x:v>
      </x:c>
      <x:c r="X2160" s="43" t="n">
        <x:f>--AND(W2160=1,O2160="HALLUCINATION")</x:f>
        <x:v>0</x:v>
      </x:c>
      <x:c r="Y2160" s="43" t="n">
        <x:f>--AND(Q2160=1,O2160="HALLUCINATION")</x:f>
        <x:v>0</x:v>
      </x:c>
      <x:c r="Z2160" s="43" t="n">
        <x:f>--AND(Y2160=1,R2160=1,S2160=1)</x:f>
        <x:v>0</x:v>
      </x:c>
      <x:c r="AC2160" t="str">
        <x:f>IF(OR(AA2160="",AB2160=""),"",--(AA2160&lt;&gt;AB2160))</x:f>
      </x:c>
      <x:c r="AE2160" t="str">
        <x:f>IF(OR(AA2160="",AB2160=""),"PENDING_HUMAN",IF(AA2160=AB2160,AA2160,IF(AD2160&lt;&gt;"",AD2160,"PENDING_HUMAN")))</x:f>
        <x:v>PENDING_HUMAN</x:v>
      </x:c>
      <x:c r="AF2160" t="n">
        <x:f>--AND(A2160&lt;&gt;"",AA2160&lt;&gt;"",AB2160&lt;&gt;"",OR(AA2160=AB2160,AD2160&lt;&gt;""),IF(AE2160="HALLUCINATION",U2160&lt;&gt;"",TRUE))</x:f>
        <x:v>0</x:v>
      </x:c>
      <x:c r="AG2160" t="n">
        <x:f>--AND(N2160=1,AF2160=1,OR(AE2160="SUPPORTED",AE2160="HALLUCINATION"))</x:f>
        <x:v>0</x:v>
      </x:c>
      <x:c r="AH2160" t="n">
        <x:f>--AND(AG2160=1,AE2160="HALLUCINATION")</x:f>
        <x:v>0</x:v>
      </x:c>
      <x:c r="AI2160" t="n">
        <x:f>--AND(Q2160=1,AF2160=1,AE2160="HALLUCINATION")</x:f>
        <x:v>0</x:v>
      </x:c>
      <x:c r="AJ2160" t="n">
        <x:f>--AND(AI2160=1,R2160=1,S2160=1)</x:f>
        <x:v>0</x:v>
      </x:c>
    </x:row>
    <x:row r="2161">
      <x:c r="A2161" s="28"/>
      <x:c r="B2161" s="28"/>
      <x:c r="C2161" s="28"/>
      <x:c r="D2161" s="28"/>
      <x:c r="E2161" s="28"/>
      <x:c r="F2161" s="28"/>
      <x:c r="G2161" s="28"/>
      <x:c r="H2161" s="28"/>
      <x:c r="I2161" s="28"/>
      <x:c r="J2161" s="28"/>
      <x:c r="K2161" s="28"/>
      <x:c r="L2161" s="28"/>
      <x:c r="M2161" s="28"/>
      <x:c r="N2161" s="28"/>
      <x:c r="O2161" s="28"/>
      <x:c r="P2161" s="28"/>
      <x:c r="Q2161" s="28"/>
      <x:c r="R2161" s="28"/>
      <x:c r="S2161" s="28"/>
      <x:c r="T2161" s="28"/>
      <x:c r="U2161" s="28"/>
      <x:c r="V2161" s="28"/>
      <x:c r="W2161" s="43" t="n">
        <x:f>--AND(N2161=1,OR(O2161="SUPPORTED",O2161="HALLUCINATION"))</x:f>
        <x:v>0</x:v>
      </x:c>
      <x:c r="X2161" s="43" t="n">
        <x:f>--AND(W2161=1,O2161="HALLUCINATION")</x:f>
        <x:v>0</x:v>
      </x:c>
      <x:c r="Y2161" s="43" t="n">
        <x:f>--AND(Q2161=1,O2161="HALLUCINATION")</x:f>
        <x:v>0</x:v>
      </x:c>
      <x:c r="Z2161" s="43" t="n">
        <x:f>--AND(Y2161=1,R2161=1,S2161=1)</x:f>
        <x:v>0</x:v>
      </x:c>
      <x:c r="AC2161" t="str">
        <x:f>IF(OR(AA2161="",AB2161=""),"",--(AA2161&lt;&gt;AB2161))</x:f>
      </x:c>
      <x:c r="AE2161" t="str">
        <x:f>IF(OR(AA2161="",AB2161=""),"PENDING_HUMAN",IF(AA2161=AB2161,AA2161,IF(AD2161&lt;&gt;"",AD2161,"PENDING_HUMAN")))</x:f>
        <x:v>PENDING_HUMAN</x:v>
      </x:c>
      <x:c r="AF2161" t="n">
        <x:f>--AND(A2161&lt;&gt;"",AA2161&lt;&gt;"",AB2161&lt;&gt;"",OR(AA2161=AB2161,AD2161&lt;&gt;""),IF(AE2161="HALLUCINATION",U2161&lt;&gt;"",TRUE))</x:f>
        <x:v>0</x:v>
      </x:c>
      <x:c r="AG2161" t="n">
        <x:f>--AND(N2161=1,AF2161=1,OR(AE2161="SUPPORTED",AE2161="HALLUCINATION"))</x:f>
        <x:v>0</x:v>
      </x:c>
      <x:c r="AH2161" t="n">
        <x:f>--AND(AG2161=1,AE2161="HALLUCINATION")</x:f>
        <x:v>0</x:v>
      </x:c>
      <x:c r="AI2161" t="n">
        <x:f>--AND(Q2161=1,AF2161=1,AE2161="HALLUCINATION")</x:f>
        <x:v>0</x:v>
      </x:c>
      <x:c r="AJ2161" t="n">
        <x:f>--AND(AI2161=1,R2161=1,S2161=1)</x:f>
        <x:v>0</x:v>
      </x:c>
    </x:row>
    <x:row r="2162">
      <x:c r="A2162" s="28"/>
      <x:c r="B2162" s="28"/>
      <x:c r="C2162" s="28"/>
      <x:c r="D2162" s="28"/>
      <x:c r="E2162" s="28"/>
      <x:c r="F2162" s="28"/>
      <x:c r="G2162" s="28"/>
      <x:c r="H2162" s="28"/>
      <x:c r="I2162" s="28"/>
      <x:c r="J2162" s="28"/>
      <x:c r="K2162" s="28"/>
      <x:c r="L2162" s="28"/>
      <x:c r="M2162" s="28"/>
      <x:c r="N2162" s="28"/>
      <x:c r="O2162" s="28"/>
      <x:c r="P2162" s="28"/>
      <x:c r="Q2162" s="28"/>
      <x:c r="R2162" s="28"/>
      <x:c r="S2162" s="28"/>
      <x:c r="T2162" s="28"/>
      <x:c r="U2162" s="28"/>
      <x:c r="V2162" s="28"/>
      <x:c r="W2162" s="43" t="n">
        <x:f>--AND(N2162=1,OR(O2162="SUPPORTED",O2162="HALLUCINATION"))</x:f>
        <x:v>0</x:v>
      </x:c>
      <x:c r="X2162" s="43" t="n">
        <x:f>--AND(W2162=1,O2162="HALLUCINATION")</x:f>
        <x:v>0</x:v>
      </x:c>
      <x:c r="Y2162" s="43" t="n">
        <x:f>--AND(Q2162=1,O2162="HALLUCINATION")</x:f>
        <x:v>0</x:v>
      </x:c>
      <x:c r="Z2162" s="43" t="n">
        <x:f>--AND(Y2162=1,R2162=1,S2162=1)</x:f>
        <x:v>0</x:v>
      </x:c>
      <x:c r="AC2162" t="str">
        <x:f>IF(OR(AA2162="",AB2162=""),"",--(AA2162&lt;&gt;AB2162))</x:f>
      </x:c>
      <x:c r="AE2162" t="str">
        <x:f>IF(OR(AA2162="",AB2162=""),"PENDING_HUMAN",IF(AA2162=AB2162,AA2162,IF(AD2162&lt;&gt;"",AD2162,"PENDING_HUMAN")))</x:f>
        <x:v>PENDING_HUMAN</x:v>
      </x:c>
      <x:c r="AF2162" t="n">
        <x:f>--AND(A2162&lt;&gt;"",AA2162&lt;&gt;"",AB2162&lt;&gt;"",OR(AA2162=AB2162,AD2162&lt;&gt;""),IF(AE2162="HALLUCINATION",U2162&lt;&gt;"",TRUE))</x:f>
        <x:v>0</x:v>
      </x:c>
      <x:c r="AG2162" t="n">
        <x:f>--AND(N2162=1,AF2162=1,OR(AE2162="SUPPORTED",AE2162="HALLUCINATION"))</x:f>
        <x:v>0</x:v>
      </x:c>
      <x:c r="AH2162" t="n">
        <x:f>--AND(AG2162=1,AE2162="HALLUCINATION")</x:f>
        <x:v>0</x:v>
      </x:c>
      <x:c r="AI2162" t="n">
        <x:f>--AND(Q2162=1,AF2162=1,AE2162="HALLUCINATION")</x:f>
        <x:v>0</x:v>
      </x:c>
      <x:c r="AJ2162" t="n">
        <x:f>--AND(AI2162=1,R2162=1,S2162=1)</x:f>
        <x:v>0</x:v>
      </x:c>
    </x:row>
    <x:row r="2163">
      <x:c r="A2163" s="28"/>
      <x:c r="B2163" s="28"/>
      <x:c r="C2163" s="28"/>
      <x:c r="D2163" s="28"/>
      <x:c r="E2163" s="28"/>
      <x:c r="F2163" s="28"/>
      <x:c r="G2163" s="28"/>
      <x:c r="H2163" s="28"/>
      <x:c r="I2163" s="28"/>
      <x:c r="J2163" s="28"/>
      <x:c r="K2163" s="28"/>
      <x:c r="L2163" s="28"/>
      <x:c r="M2163" s="28"/>
      <x:c r="N2163" s="28"/>
      <x:c r="O2163" s="28"/>
      <x:c r="P2163" s="28"/>
      <x:c r="Q2163" s="28"/>
      <x:c r="R2163" s="28"/>
      <x:c r="S2163" s="28"/>
      <x:c r="T2163" s="28"/>
      <x:c r="U2163" s="28"/>
      <x:c r="V2163" s="28"/>
      <x:c r="W2163" s="43" t="n">
        <x:f>--AND(N2163=1,OR(O2163="SUPPORTED",O2163="HALLUCINATION"))</x:f>
        <x:v>0</x:v>
      </x:c>
      <x:c r="X2163" s="43" t="n">
        <x:f>--AND(W2163=1,O2163="HALLUCINATION")</x:f>
        <x:v>0</x:v>
      </x:c>
      <x:c r="Y2163" s="43" t="n">
        <x:f>--AND(Q2163=1,O2163="HALLUCINATION")</x:f>
        <x:v>0</x:v>
      </x:c>
      <x:c r="Z2163" s="43" t="n">
        <x:f>--AND(Y2163=1,R2163=1,S2163=1)</x:f>
        <x:v>0</x:v>
      </x:c>
      <x:c r="AC2163" t="str">
        <x:f>IF(OR(AA2163="",AB2163=""),"",--(AA2163&lt;&gt;AB2163))</x:f>
      </x:c>
      <x:c r="AE2163" t="str">
        <x:f>IF(OR(AA2163="",AB2163=""),"PENDING_HUMAN",IF(AA2163=AB2163,AA2163,IF(AD2163&lt;&gt;"",AD2163,"PENDING_HUMAN")))</x:f>
        <x:v>PENDING_HUMAN</x:v>
      </x:c>
      <x:c r="AF2163" t="n">
        <x:f>--AND(A2163&lt;&gt;"",AA2163&lt;&gt;"",AB2163&lt;&gt;"",OR(AA2163=AB2163,AD2163&lt;&gt;""),IF(AE2163="HALLUCINATION",U2163&lt;&gt;"",TRUE))</x:f>
        <x:v>0</x:v>
      </x:c>
      <x:c r="AG2163" t="n">
        <x:f>--AND(N2163=1,AF2163=1,OR(AE2163="SUPPORTED",AE2163="HALLUCINATION"))</x:f>
        <x:v>0</x:v>
      </x:c>
      <x:c r="AH2163" t="n">
        <x:f>--AND(AG2163=1,AE2163="HALLUCINATION")</x:f>
        <x:v>0</x:v>
      </x:c>
      <x:c r="AI2163" t="n">
        <x:f>--AND(Q2163=1,AF2163=1,AE2163="HALLUCINATION")</x:f>
        <x:v>0</x:v>
      </x:c>
      <x:c r="AJ2163" t="n">
        <x:f>--AND(AI2163=1,R2163=1,S2163=1)</x:f>
        <x:v>0</x:v>
      </x:c>
    </x:row>
    <x:row r="2164">
      <x:c r="A2164" s="28"/>
      <x:c r="B2164" s="28"/>
      <x:c r="C2164" s="28"/>
      <x:c r="D2164" s="28"/>
      <x:c r="E2164" s="28"/>
      <x:c r="F2164" s="28"/>
      <x:c r="G2164" s="28"/>
      <x:c r="H2164" s="28"/>
      <x:c r="I2164" s="28"/>
      <x:c r="J2164" s="28"/>
      <x:c r="K2164" s="28"/>
      <x:c r="L2164" s="28"/>
      <x:c r="M2164" s="28"/>
      <x:c r="N2164" s="28"/>
      <x:c r="O2164" s="28"/>
      <x:c r="P2164" s="28"/>
      <x:c r="Q2164" s="28"/>
      <x:c r="R2164" s="28"/>
      <x:c r="S2164" s="28"/>
      <x:c r="T2164" s="28"/>
      <x:c r="U2164" s="28"/>
      <x:c r="V2164" s="28"/>
      <x:c r="W2164" s="43" t="n">
        <x:f>--AND(N2164=1,OR(O2164="SUPPORTED",O2164="HALLUCINATION"))</x:f>
        <x:v>0</x:v>
      </x:c>
      <x:c r="X2164" s="43" t="n">
        <x:f>--AND(W2164=1,O2164="HALLUCINATION")</x:f>
        <x:v>0</x:v>
      </x:c>
      <x:c r="Y2164" s="43" t="n">
        <x:f>--AND(Q2164=1,O2164="HALLUCINATION")</x:f>
        <x:v>0</x:v>
      </x:c>
      <x:c r="Z2164" s="43" t="n">
        <x:f>--AND(Y2164=1,R2164=1,S2164=1)</x:f>
        <x:v>0</x:v>
      </x:c>
      <x:c r="AC2164" t="str">
        <x:f>IF(OR(AA2164="",AB2164=""),"",--(AA2164&lt;&gt;AB2164))</x:f>
      </x:c>
      <x:c r="AE2164" t="str">
        <x:f>IF(OR(AA2164="",AB2164=""),"PENDING_HUMAN",IF(AA2164=AB2164,AA2164,IF(AD2164&lt;&gt;"",AD2164,"PENDING_HUMAN")))</x:f>
        <x:v>PENDING_HUMAN</x:v>
      </x:c>
      <x:c r="AF2164" t="n">
        <x:f>--AND(A2164&lt;&gt;"",AA2164&lt;&gt;"",AB2164&lt;&gt;"",OR(AA2164=AB2164,AD2164&lt;&gt;""),IF(AE2164="HALLUCINATION",U2164&lt;&gt;"",TRUE))</x:f>
        <x:v>0</x:v>
      </x:c>
      <x:c r="AG2164" t="n">
        <x:f>--AND(N2164=1,AF2164=1,OR(AE2164="SUPPORTED",AE2164="HALLUCINATION"))</x:f>
        <x:v>0</x:v>
      </x:c>
      <x:c r="AH2164" t="n">
        <x:f>--AND(AG2164=1,AE2164="HALLUCINATION")</x:f>
        <x:v>0</x:v>
      </x:c>
      <x:c r="AI2164" t="n">
        <x:f>--AND(Q2164=1,AF2164=1,AE2164="HALLUCINATION")</x:f>
        <x:v>0</x:v>
      </x:c>
      <x:c r="AJ2164" t="n">
        <x:f>--AND(AI2164=1,R2164=1,S2164=1)</x:f>
        <x:v>0</x:v>
      </x:c>
    </x:row>
    <x:row r="2165">
      <x:c r="A2165" s="28"/>
      <x:c r="B2165" s="28"/>
      <x:c r="C2165" s="28"/>
      <x:c r="D2165" s="28"/>
      <x:c r="E2165" s="28"/>
      <x:c r="F2165" s="28"/>
      <x:c r="G2165" s="28"/>
      <x:c r="H2165" s="28"/>
      <x:c r="I2165" s="28"/>
      <x:c r="J2165" s="28"/>
      <x:c r="K2165" s="28"/>
      <x:c r="L2165" s="28"/>
      <x:c r="M2165" s="28"/>
      <x:c r="N2165" s="28"/>
      <x:c r="O2165" s="28"/>
      <x:c r="P2165" s="28"/>
      <x:c r="Q2165" s="28"/>
      <x:c r="R2165" s="28"/>
      <x:c r="S2165" s="28"/>
      <x:c r="T2165" s="28"/>
      <x:c r="U2165" s="28"/>
      <x:c r="V2165" s="28"/>
      <x:c r="W2165" s="43" t="n">
        <x:f>--AND(N2165=1,OR(O2165="SUPPORTED",O2165="HALLUCINATION"))</x:f>
        <x:v>0</x:v>
      </x:c>
      <x:c r="X2165" s="43" t="n">
        <x:f>--AND(W2165=1,O2165="HALLUCINATION")</x:f>
        <x:v>0</x:v>
      </x:c>
      <x:c r="Y2165" s="43" t="n">
        <x:f>--AND(Q2165=1,O2165="HALLUCINATION")</x:f>
        <x:v>0</x:v>
      </x:c>
      <x:c r="Z2165" s="43" t="n">
        <x:f>--AND(Y2165=1,R2165=1,S2165=1)</x:f>
        <x:v>0</x:v>
      </x:c>
      <x:c r="AC2165" t="str">
        <x:f>IF(OR(AA2165="",AB2165=""),"",--(AA2165&lt;&gt;AB2165))</x:f>
      </x:c>
      <x:c r="AE2165" t="str">
        <x:f>IF(OR(AA2165="",AB2165=""),"PENDING_HUMAN",IF(AA2165=AB2165,AA2165,IF(AD2165&lt;&gt;"",AD2165,"PENDING_HUMAN")))</x:f>
        <x:v>PENDING_HUMAN</x:v>
      </x:c>
      <x:c r="AF2165" t="n">
        <x:f>--AND(A2165&lt;&gt;"",AA2165&lt;&gt;"",AB2165&lt;&gt;"",OR(AA2165=AB2165,AD2165&lt;&gt;""),IF(AE2165="HALLUCINATION",U2165&lt;&gt;"",TRUE))</x:f>
        <x:v>0</x:v>
      </x:c>
      <x:c r="AG2165" t="n">
        <x:f>--AND(N2165=1,AF2165=1,OR(AE2165="SUPPORTED",AE2165="HALLUCINATION"))</x:f>
        <x:v>0</x:v>
      </x:c>
      <x:c r="AH2165" t="n">
        <x:f>--AND(AG2165=1,AE2165="HALLUCINATION")</x:f>
        <x:v>0</x:v>
      </x:c>
      <x:c r="AI2165" t="n">
        <x:f>--AND(Q2165=1,AF2165=1,AE2165="HALLUCINATION")</x:f>
        <x:v>0</x:v>
      </x:c>
      <x:c r="AJ2165" t="n">
        <x:f>--AND(AI2165=1,R2165=1,S2165=1)</x:f>
        <x:v>0</x:v>
      </x:c>
    </x:row>
    <x:row r="2166">
      <x:c r="A2166" s="28"/>
      <x:c r="B2166" s="28"/>
      <x:c r="C2166" s="28"/>
      <x:c r="D2166" s="28"/>
      <x:c r="E2166" s="28"/>
      <x:c r="F2166" s="28"/>
      <x:c r="G2166" s="28"/>
      <x:c r="H2166" s="28"/>
      <x:c r="I2166" s="28"/>
      <x:c r="J2166" s="28"/>
      <x:c r="K2166" s="28"/>
      <x:c r="L2166" s="28"/>
      <x:c r="M2166" s="28"/>
      <x:c r="N2166" s="28"/>
      <x:c r="O2166" s="28"/>
      <x:c r="P2166" s="28"/>
      <x:c r="Q2166" s="28"/>
      <x:c r="R2166" s="28"/>
      <x:c r="S2166" s="28"/>
      <x:c r="T2166" s="28"/>
      <x:c r="U2166" s="28"/>
      <x:c r="V2166" s="28"/>
      <x:c r="W2166" s="43" t="n">
        <x:f>--AND(N2166=1,OR(O2166="SUPPORTED",O2166="HALLUCINATION"))</x:f>
        <x:v>0</x:v>
      </x:c>
      <x:c r="X2166" s="43" t="n">
        <x:f>--AND(W2166=1,O2166="HALLUCINATION")</x:f>
        <x:v>0</x:v>
      </x:c>
      <x:c r="Y2166" s="43" t="n">
        <x:f>--AND(Q2166=1,O2166="HALLUCINATION")</x:f>
        <x:v>0</x:v>
      </x:c>
      <x:c r="Z2166" s="43" t="n">
        <x:f>--AND(Y2166=1,R2166=1,S2166=1)</x:f>
        <x:v>0</x:v>
      </x:c>
      <x:c r="AC2166" t="str">
        <x:f>IF(OR(AA2166="",AB2166=""),"",--(AA2166&lt;&gt;AB2166))</x:f>
      </x:c>
      <x:c r="AE2166" t="str">
        <x:f>IF(OR(AA2166="",AB2166=""),"PENDING_HUMAN",IF(AA2166=AB2166,AA2166,IF(AD2166&lt;&gt;"",AD2166,"PENDING_HUMAN")))</x:f>
        <x:v>PENDING_HUMAN</x:v>
      </x:c>
      <x:c r="AF2166" t="n">
        <x:f>--AND(A2166&lt;&gt;"",AA2166&lt;&gt;"",AB2166&lt;&gt;"",OR(AA2166=AB2166,AD2166&lt;&gt;""),IF(AE2166="HALLUCINATION",U2166&lt;&gt;"",TRUE))</x:f>
        <x:v>0</x:v>
      </x:c>
      <x:c r="AG2166" t="n">
        <x:f>--AND(N2166=1,AF2166=1,OR(AE2166="SUPPORTED",AE2166="HALLUCINATION"))</x:f>
        <x:v>0</x:v>
      </x:c>
      <x:c r="AH2166" t="n">
        <x:f>--AND(AG2166=1,AE2166="HALLUCINATION")</x:f>
        <x:v>0</x:v>
      </x:c>
      <x:c r="AI2166" t="n">
        <x:f>--AND(Q2166=1,AF2166=1,AE2166="HALLUCINATION")</x:f>
        <x:v>0</x:v>
      </x:c>
      <x:c r="AJ2166" t="n">
        <x:f>--AND(AI2166=1,R2166=1,S2166=1)</x:f>
        <x:v>0</x:v>
      </x:c>
    </x:row>
    <x:row r="2167">
      <x:c r="A2167" s="28"/>
      <x:c r="B2167" s="28"/>
      <x:c r="C2167" s="28"/>
      <x:c r="D2167" s="28"/>
      <x:c r="E2167" s="28"/>
      <x:c r="F2167" s="28"/>
      <x:c r="G2167" s="28"/>
      <x:c r="H2167" s="28"/>
      <x:c r="I2167" s="28"/>
      <x:c r="J2167" s="28"/>
      <x:c r="K2167" s="28"/>
      <x:c r="L2167" s="28"/>
      <x:c r="M2167" s="28"/>
      <x:c r="N2167" s="28"/>
      <x:c r="O2167" s="28"/>
      <x:c r="P2167" s="28"/>
      <x:c r="Q2167" s="28"/>
      <x:c r="R2167" s="28"/>
      <x:c r="S2167" s="28"/>
      <x:c r="T2167" s="28"/>
      <x:c r="U2167" s="28"/>
      <x:c r="V2167" s="28"/>
      <x:c r="W2167" s="43" t="n">
        <x:f>--AND(N2167=1,OR(O2167="SUPPORTED",O2167="HALLUCINATION"))</x:f>
        <x:v>0</x:v>
      </x:c>
      <x:c r="X2167" s="43" t="n">
        <x:f>--AND(W2167=1,O2167="HALLUCINATION")</x:f>
        <x:v>0</x:v>
      </x:c>
      <x:c r="Y2167" s="43" t="n">
        <x:f>--AND(Q2167=1,O2167="HALLUCINATION")</x:f>
        <x:v>0</x:v>
      </x:c>
      <x:c r="Z2167" s="43" t="n">
        <x:f>--AND(Y2167=1,R2167=1,S2167=1)</x:f>
        <x:v>0</x:v>
      </x:c>
      <x:c r="AC2167" t="str">
        <x:f>IF(OR(AA2167="",AB2167=""),"",--(AA2167&lt;&gt;AB2167))</x:f>
      </x:c>
      <x:c r="AE2167" t="str">
        <x:f>IF(OR(AA2167="",AB2167=""),"PENDING_HUMAN",IF(AA2167=AB2167,AA2167,IF(AD2167&lt;&gt;"",AD2167,"PENDING_HUMAN")))</x:f>
        <x:v>PENDING_HUMAN</x:v>
      </x:c>
      <x:c r="AF2167" t="n">
        <x:f>--AND(A2167&lt;&gt;"",AA2167&lt;&gt;"",AB2167&lt;&gt;"",OR(AA2167=AB2167,AD2167&lt;&gt;""),IF(AE2167="HALLUCINATION",U2167&lt;&gt;"",TRUE))</x:f>
        <x:v>0</x:v>
      </x:c>
      <x:c r="AG2167" t="n">
        <x:f>--AND(N2167=1,AF2167=1,OR(AE2167="SUPPORTED",AE2167="HALLUCINATION"))</x:f>
        <x:v>0</x:v>
      </x:c>
      <x:c r="AH2167" t="n">
        <x:f>--AND(AG2167=1,AE2167="HALLUCINATION")</x:f>
        <x:v>0</x:v>
      </x:c>
      <x:c r="AI2167" t="n">
        <x:f>--AND(Q2167=1,AF2167=1,AE2167="HALLUCINATION")</x:f>
        <x:v>0</x:v>
      </x:c>
      <x:c r="AJ2167" t="n">
        <x:f>--AND(AI2167=1,R2167=1,S2167=1)</x:f>
        <x:v>0</x:v>
      </x:c>
    </x:row>
    <x:row r="2168">
      <x:c r="A2168" s="28"/>
      <x:c r="B2168" s="28"/>
      <x:c r="C2168" s="28"/>
      <x:c r="D2168" s="28"/>
      <x:c r="E2168" s="28"/>
      <x:c r="F2168" s="28"/>
      <x:c r="G2168" s="28"/>
      <x:c r="H2168" s="28"/>
      <x:c r="I2168" s="28"/>
      <x:c r="J2168" s="28"/>
      <x:c r="K2168" s="28"/>
      <x:c r="L2168" s="28"/>
      <x:c r="M2168" s="28"/>
      <x:c r="N2168" s="28"/>
      <x:c r="O2168" s="28"/>
      <x:c r="P2168" s="28"/>
      <x:c r="Q2168" s="28"/>
      <x:c r="R2168" s="28"/>
      <x:c r="S2168" s="28"/>
      <x:c r="T2168" s="28"/>
      <x:c r="U2168" s="28"/>
      <x:c r="V2168" s="28"/>
      <x:c r="W2168" s="43" t="n">
        <x:f>--AND(N2168=1,OR(O2168="SUPPORTED",O2168="HALLUCINATION"))</x:f>
        <x:v>0</x:v>
      </x:c>
      <x:c r="X2168" s="43" t="n">
        <x:f>--AND(W2168=1,O2168="HALLUCINATION")</x:f>
        <x:v>0</x:v>
      </x:c>
      <x:c r="Y2168" s="43" t="n">
        <x:f>--AND(Q2168=1,O2168="HALLUCINATION")</x:f>
        <x:v>0</x:v>
      </x:c>
      <x:c r="Z2168" s="43" t="n">
        <x:f>--AND(Y2168=1,R2168=1,S2168=1)</x:f>
        <x:v>0</x:v>
      </x:c>
      <x:c r="AC2168" t="str">
        <x:f>IF(OR(AA2168="",AB2168=""),"",--(AA2168&lt;&gt;AB2168))</x:f>
      </x:c>
      <x:c r="AE2168" t="str">
        <x:f>IF(OR(AA2168="",AB2168=""),"PENDING_HUMAN",IF(AA2168=AB2168,AA2168,IF(AD2168&lt;&gt;"",AD2168,"PENDING_HUMAN")))</x:f>
        <x:v>PENDING_HUMAN</x:v>
      </x:c>
      <x:c r="AF2168" t="n">
        <x:f>--AND(A2168&lt;&gt;"",AA2168&lt;&gt;"",AB2168&lt;&gt;"",OR(AA2168=AB2168,AD2168&lt;&gt;""),IF(AE2168="HALLUCINATION",U2168&lt;&gt;"",TRUE))</x:f>
        <x:v>0</x:v>
      </x:c>
      <x:c r="AG2168" t="n">
        <x:f>--AND(N2168=1,AF2168=1,OR(AE2168="SUPPORTED",AE2168="HALLUCINATION"))</x:f>
        <x:v>0</x:v>
      </x:c>
      <x:c r="AH2168" t="n">
        <x:f>--AND(AG2168=1,AE2168="HALLUCINATION")</x:f>
        <x:v>0</x:v>
      </x:c>
      <x:c r="AI2168" t="n">
        <x:f>--AND(Q2168=1,AF2168=1,AE2168="HALLUCINATION")</x:f>
        <x:v>0</x:v>
      </x:c>
      <x:c r="AJ2168" t="n">
        <x:f>--AND(AI2168=1,R2168=1,S2168=1)</x:f>
        <x:v>0</x:v>
      </x:c>
    </x:row>
    <x:row r="2169">
      <x:c r="A2169" s="28"/>
      <x:c r="B2169" s="28"/>
      <x:c r="C2169" s="28"/>
      <x:c r="D2169" s="28"/>
      <x:c r="E2169" s="28"/>
      <x:c r="F2169" s="28"/>
      <x:c r="G2169" s="28"/>
      <x:c r="H2169" s="28"/>
      <x:c r="I2169" s="28"/>
      <x:c r="J2169" s="28"/>
      <x:c r="K2169" s="28"/>
      <x:c r="L2169" s="28"/>
      <x:c r="M2169" s="28"/>
      <x:c r="N2169" s="28"/>
      <x:c r="O2169" s="28"/>
      <x:c r="P2169" s="28"/>
      <x:c r="Q2169" s="28"/>
      <x:c r="R2169" s="28"/>
      <x:c r="S2169" s="28"/>
      <x:c r="T2169" s="28"/>
      <x:c r="U2169" s="28"/>
      <x:c r="V2169" s="28"/>
      <x:c r="W2169" s="43" t="n">
        <x:f>--AND(N2169=1,OR(O2169="SUPPORTED",O2169="HALLUCINATION"))</x:f>
        <x:v>0</x:v>
      </x:c>
      <x:c r="X2169" s="43" t="n">
        <x:f>--AND(W2169=1,O2169="HALLUCINATION")</x:f>
        <x:v>0</x:v>
      </x:c>
      <x:c r="Y2169" s="43" t="n">
        <x:f>--AND(Q2169=1,O2169="HALLUCINATION")</x:f>
        <x:v>0</x:v>
      </x:c>
      <x:c r="Z2169" s="43" t="n">
        <x:f>--AND(Y2169=1,R2169=1,S2169=1)</x:f>
        <x:v>0</x:v>
      </x:c>
      <x:c r="AC2169" t="str">
        <x:f>IF(OR(AA2169="",AB2169=""),"",--(AA2169&lt;&gt;AB2169))</x:f>
      </x:c>
      <x:c r="AE2169" t="str">
        <x:f>IF(OR(AA2169="",AB2169=""),"PENDING_HUMAN",IF(AA2169=AB2169,AA2169,IF(AD2169&lt;&gt;"",AD2169,"PENDING_HUMAN")))</x:f>
        <x:v>PENDING_HUMAN</x:v>
      </x:c>
      <x:c r="AF2169" t="n">
        <x:f>--AND(A2169&lt;&gt;"",AA2169&lt;&gt;"",AB2169&lt;&gt;"",OR(AA2169=AB2169,AD2169&lt;&gt;""),IF(AE2169="HALLUCINATION",U2169&lt;&gt;"",TRUE))</x:f>
        <x:v>0</x:v>
      </x:c>
      <x:c r="AG2169" t="n">
        <x:f>--AND(N2169=1,AF2169=1,OR(AE2169="SUPPORTED",AE2169="HALLUCINATION"))</x:f>
        <x:v>0</x:v>
      </x:c>
      <x:c r="AH2169" t="n">
        <x:f>--AND(AG2169=1,AE2169="HALLUCINATION")</x:f>
        <x:v>0</x:v>
      </x:c>
      <x:c r="AI2169" t="n">
        <x:f>--AND(Q2169=1,AF2169=1,AE2169="HALLUCINATION")</x:f>
        <x:v>0</x:v>
      </x:c>
      <x:c r="AJ2169" t="n">
        <x:f>--AND(AI2169=1,R2169=1,S2169=1)</x:f>
        <x:v>0</x:v>
      </x:c>
    </x:row>
    <x:row r="2170">
      <x:c r="A2170" s="28"/>
      <x:c r="B2170" s="28"/>
      <x:c r="C2170" s="28"/>
      <x:c r="D2170" s="28"/>
      <x:c r="E2170" s="28"/>
      <x:c r="F2170" s="28"/>
      <x:c r="G2170" s="28"/>
      <x:c r="H2170" s="28"/>
      <x:c r="I2170" s="28"/>
      <x:c r="J2170" s="28"/>
      <x:c r="K2170" s="28"/>
      <x:c r="L2170" s="28"/>
      <x:c r="M2170" s="28"/>
      <x:c r="N2170" s="28"/>
      <x:c r="O2170" s="28"/>
      <x:c r="P2170" s="28"/>
      <x:c r="Q2170" s="28"/>
      <x:c r="R2170" s="28"/>
      <x:c r="S2170" s="28"/>
      <x:c r="T2170" s="28"/>
      <x:c r="U2170" s="28"/>
      <x:c r="V2170" s="28"/>
      <x:c r="W2170" s="43" t="n">
        <x:f>--AND(N2170=1,OR(O2170="SUPPORTED",O2170="HALLUCINATION"))</x:f>
        <x:v>0</x:v>
      </x:c>
      <x:c r="X2170" s="43" t="n">
        <x:f>--AND(W2170=1,O2170="HALLUCINATION")</x:f>
        <x:v>0</x:v>
      </x:c>
      <x:c r="Y2170" s="43" t="n">
        <x:f>--AND(Q2170=1,O2170="HALLUCINATION")</x:f>
        <x:v>0</x:v>
      </x:c>
      <x:c r="Z2170" s="43" t="n">
        <x:f>--AND(Y2170=1,R2170=1,S2170=1)</x:f>
        <x:v>0</x:v>
      </x:c>
      <x:c r="AC2170" t="str">
        <x:f>IF(OR(AA2170="",AB2170=""),"",--(AA2170&lt;&gt;AB2170))</x:f>
      </x:c>
      <x:c r="AE2170" t="str">
        <x:f>IF(OR(AA2170="",AB2170=""),"PENDING_HUMAN",IF(AA2170=AB2170,AA2170,IF(AD2170&lt;&gt;"",AD2170,"PENDING_HUMAN")))</x:f>
        <x:v>PENDING_HUMAN</x:v>
      </x:c>
      <x:c r="AF2170" t="n">
        <x:f>--AND(A2170&lt;&gt;"",AA2170&lt;&gt;"",AB2170&lt;&gt;"",OR(AA2170=AB2170,AD2170&lt;&gt;""),IF(AE2170="HALLUCINATION",U2170&lt;&gt;"",TRUE))</x:f>
        <x:v>0</x:v>
      </x:c>
      <x:c r="AG2170" t="n">
        <x:f>--AND(N2170=1,AF2170=1,OR(AE2170="SUPPORTED",AE2170="HALLUCINATION"))</x:f>
        <x:v>0</x:v>
      </x:c>
      <x:c r="AH2170" t="n">
        <x:f>--AND(AG2170=1,AE2170="HALLUCINATION")</x:f>
        <x:v>0</x:v>
      </x:c>
      <x:c r="AI2170" t="n">
        <x:f>--AND(Q2170=1,AF2170=1,AE2170="HALLUCINATION")</x:f>
        <x:v>0</x:v>
      </x:c>
      <x:c r="AJ2170" t="n">
        <x:f>--AND(AI2170=1,R2170=1,S2170=1)</x:f>
        <x:v>0</x:v>
      </x:c>
    </x:row>
    <x:row r="2171">
      <x:c r="A2171" s="28"/>
      <x:c r="B2171" s="28"/>
      <x:c r="C2171" s="28"/>
      <x:c r="D2171" s="28"/>
      <x:c r="E2171" s="28"/>
      <x:c r="F2171" s="28"/>
      <x:c r="G2171" s="28"/>
      <x:c r="H2171" s="28"/>
      <x:c r="I2171" s="28"/>
      <x:c r="J2171" s="28"/>
      <x:c r="K2171" s="28"/>
      <x:c r="L2171" s="28"/>
      <x:c r="M2171" s="28"/>
      <x:c r="N2171" s="28"/>
      <x:c r="O2171" s="28"/>
      <x:c r="P2171" s="28"/>
      <x:c r="Q2171" s="28"/>
      <x:c r="R2171" s="28"/>
      <x:c r="S2171" s="28"/>
      <x:c r="T2171" s="28"/>
      <x:c r="U2171" s="28"/>
      <x:c r="V2171" s="28"/>
      <x:c r="W2171" s="43" t="n">
        <x:f>--AND(N2171=1,OR(O2171="SUPPORTED",O2171="HALLUCINATION"))</x:f>
        <x:v>0</x:v>
      </x:c>
      <x:c r="X2171" s="43" t="n">
        <x:f>--AND(W2171=1,O2171="HALLUCINATION")</x:f>
        <x:v>0</x:v>
      </x:c>
      <x:c r="Y2171" s="43" t="n">
        <x:f>--AND(Q2171=1,O2171="HALLUCINATION")</x:f>
        <x:v>0</x:v>
      </x:c>
      <x:c r="Z2171" s="43" t="n">
        <x:f>--AND(Y2171=1,R2171=1,S2171=1)</x:f>
        <x:v>0</x:v>
      </x:c>
      <x:c r="AC2171" t="str">
        <x:f>IF(OR(AA2171="",AB2171=""),"",--(AA2171&lt;&gt;AB2171))</x:f>
      </x:c>
      <x:c r="AE2171" t="str">
        <x:f>IF(OR(AA2171="",AB2171=""),"PENDING_HUMAN",IF(AA2171=AB2171,AA2171,IF(AD2171&lt;&gt;"",AD2171,"PENDING_HUMAN")))</x:f>
        <x:v>PENDING_HUMAN</x:v>
      </x:c>
      <x:c r="AF2171" t="n">
        <x:f>--AND(A2171&lt;&gt;"",AA2171&lt;&gt;"",AB2171&lt;&gt;"",OR(AA2171=AB2171,AD2171&lt;&gt;""),IF(AE2171="HALLUCINATION",U2171&lt;&gt;"",TRUE))</x:f>
        <x:v>0</x:v>
      </x:c>
      <x:c r="AG2171" t="n">
        <x:f>--AND(N2171=1,AF2171=1,OR(AE2171="SUPPORTED",AE2171="HALLUCINATION"))</x:f>
        <x:v>0</x:v>
      </x:c>
      <x:c r="AH2171" t="n">
        <x:f>--AND(AG2171=1,AE2171="HALLUCINATION")</x:f>
        <x:v>0</x:v>
      </x:c>
      <x:c r="AI2171" t="n">
        <x:f>--AND(Q2171=1,AF2171=1,AE2171="HALLUCINATION")</x:f>
        <x:v>0</x:v>
      </x:c>
      <x:c r="AJ2171" t="n">
        <x:f>--AND(AI2171=1,R2171=1,S2171=1)</x:f>
        <x:v>0</x:v>
      </x:c>
    </x:row>
    <x:row r="2172">
      <x:c r="A2172" s="28"/>
      <x:c r="B2172" s="28"/>
      <x:c r="C2172" s="28"/>
      <x:c r="D2172" s="28"/>
      <x:c r="E2172" s="28"/>
      <x:c r="F2172" s="28"/>
      <x:c r="G2172" s="28"/>
      <x:c r="H2172" s="28"/>
      <x:c r="I2172" s="28"/>
      <x:c r="J2172" s="28"/>
      <x:c r="K2172" s="28"/>
      <x:c r="L2172" s="28"/>
      <x:c r="M2172" s="28"/>
      <x:c r="N2172" s="28"/>
      <x:c r="O2172" s="28"/>
      <x:c r="P2172" s="28"/>
      <x:c r="Q2172" s="28"/>
      <x:c r="R2172" s="28"/>
      <x:c r="S2172" s="28"/>
      <x:c r="T2172" s="28"/>
      <x:c r="U2172" s="28"/>
      <x:c r="V2172" s="28"/>
      <x:c r="W2172" s="43" t="n">
        <x:f>--AND(N2172=1,OR(O2172="SUPPORTED",O2172="HALLUCINATION"))</x:f>
        <x:v>0</x:v>
      </x:c>
      <x:c r="X2172" s="43" t="n">
        <x:f>--AND(W2172=1,O2172="HALLUCINATION")</x:f>
        <x:v>0</x:v>
      </x:c>
      <x:c r="Y2172" s="43" t="n">
        <x:f>--AND(Q2172=1,O2172="HALLUCINATION")</x:f>
        <x:v>0</x:v>
      </x:c>
      <x:c r="Z2172" s="43" t="n">
        <x:f>--AND(Y2172=1,R2172=1,S2172=1)</x:f>
        <x:v>0</x:v>
      </x:c>
      <x:c r="AC2172" t="str">
        <x:f>IF(OR(AA2172="",AB2172=""),"",--(AA2172&lt;&gt;AB2172))</x:f>
      </x:c>
      <x:c r="AE2172" t="str">
        <x:f>IF(OR(AA2172="",AB2172=""),"PENDING_HUMAN",IF(AA2172=AB2172,AA2172,IF(AD2172&lt;&gt;"",AD2172,"PENDING_HUMAN")))</x:f>
        <x:v>PENDING_HUMAN</x:v>
      </x:c>
      <x:c r="AF2172" t="n">
        <x:f>--AND(A2172&lt;&gt;"",AA2172&lt;&gt;"",AB2172&lt;&gt;"",OR(AA2172=AB2172,AD2172&lt;&gt;""),IF(AE2172="HALLUCINATION",U2172&lt;&gt;"",TRUE))</x:f>
        <x:v>0</x:v>
      </x:c>
      <x:c r="AG2172" t="n">
        <x:f>--AND(N2172=1,AF2172=1,OR(AE2172="SUPPORTED",AE2172="HALLUCINATION"))</x:f>
        <x:v>0</x:v>
      </x:c>
      <x:c r="AH2172" t="n">
        <x:f>--AND(AG2172=1,AE2172="HALLUCINATION")</x:f>
        <x:v>0</x:v>
      </x:c>
      <x:c r="AI2172" t="n">
        <x:f>--AND(Q2172=1,AF2172=1,AE2172="HALLUCINATION")</x:f>
        <x:v>0</x:v>
      </x:c>
      <x:c r="AJ2172" t="n">
        <x:f>--AND(AI2172=1,R2172=1,S2172=1)</x:f>
        <x:v>0</x:v>
      </x:c>
    </x:row>
    <x:row r="2173">
      <x:c r="A2173" s="28"/>
      <x:c r="B2173" s="28"/>
      <x:c r="C2173" s="28"/>
      <x:c r="D2173" s="28"/>
      <x:c r="E2173" s="28"/>
      <x:c r="F2173" s="28"/>
      <x:c r="G2173" s="28"/>
      <x:c r="H2173" s="28"/>
      <x:c r="I2173" s="28"/>
      <x:c r="J2173" s="28"/>
      <x:c r="K2173" s="28"/>
      <x:c r="L2173" s="28"/>
      <x:c r="M2173" s="28"/>
      <x:c r="N2173" s="28"/>
      <x:c r="O2173" s="28"/>
      <x:c r="P2173" s="28"/>
      <x:c r="Q2173" s="28"/>
      <x:c r="R2173" s="28"/>
      <x:c r="S2173" s="28"/>
      <x:c r="T2173" s="28"/>
      <x:c r="U2173" s="28"/>
      <x:c r="V2173" s="28"/>
      <x:c r="W2173" s="43" t="n">
        <x:f>--AND(N2173=1,OR(O2173="SUPPORTED",O2173="HALLUCINATION"))</x:f>
        <x:v>0</x:v>
      </x:c>
      <x:c r="X2173" s="43" t="n">
        <x:f>--AND(W2173=1,O2173="HALLUCINATION")</x:f>
        <x:v>0</x:v>
      </x:c>
      <x:c r="Y2173" s="43" t="n">
        <x:f>--AND(Q2173=1,O2173="HALLUCINATION")</x:f>
        <x:v>0</x:v>
      </x:c>
      <x:c r="Z2173" s="43" t="n">
        <x:f>--AND(Y2173=1,R2173=1,S2173=1)</x:f>
        <x:v>0</x:v>
      </x:c>
      <x:c r="AC2173" t="str">
        <x:f>IF(OR(AA2173="",AB2173=""),"",--(AA2173&lt;&gt;AB2173))</x:f>
      </x:c>
      <x:c r="AE2173" t="str">
        <x:f>IF(OR(AA2173="",AB2173=""),"PENDING_HUMAN",IF(AA2173=AB2173,AA2173,IF(AD2173&lt;&gt;"",AD2173,"PENDING_HUMAN")))</x:f>
        <x:v>PENDING_HUMAN</x:v>
      </x:c>
      <x:c r="AF2173" t="n">
        <x:f>--AND(A2173&lt;&gt;"",AA2173&lt;&gt;"",AB2173&lt;&gt;"",OR(AA2173=AB2173,AD2173&lt;&gt;""),IF(AE2173="HALLUCINATION",U2173&lt;&gt;"",TRUE))</x:f>
        <x:v>0</x:v>
      </x:c>
      <x:c r="AG2173" t="n">
        <x:f>--AND(N2173=1,AF2173=1,OR(AE2173="SUPPORTED",AE2173="HALLUCINATION"))</x:f>
        <x:v>0</x:v>
      </x:c>
      <x:c r="AH2173" t="n">
        <x:f>--AND(AG2173=1,AE2173="HALLUCINATION")</x:f>
        <x:v>0</x:v>
      </x:c>
      <x:c r="AI2173" t="n">
        <x:f>--AND(Q2173=1,AF2173=1,AE2173="HALLUCINATION")</x:f>
        <x:v>0</x:v>
      </x:c>
      <x:c r="AJ2173" t="n">
        <x:f>--AND(AI2173=1,R2173=1,S2173=1)</x:f>
        <x:v>0</x:v>
      </x:c>
    </x:row>
    <x:row r="2174">
      <x:c r="A2174" s="28"/>
      <x:c r="B2174" s="28"/>
      <x:c r="C2174" s="28"/>
      <x:c r="D2174" s="28"/>
      <x:c r="E2174" s="28"/>
      <x:c r="F2174" s="28"/>
      <x:c r="G2174" s="28"/>
      <x:c r="H2174" s="28"/>
      <x:c r="I2174" s="28"/>
      <x:c r="J2174" s="28"/>
      <x:c r="K2174" s="28"/>
      <x:c r="L2174" s="28"/>
      <x:c r="M2174" s="28"/>
      <x:c r="N2174" s="28"/>
      <x:c r="O2174" s="28"/>
      <x:c r="P2174" s="28"/>
      <x:c r="Q2174" s="28"/>
      <x:c r="R2174" s="28"/>
      <x:c r="S2174" s="28"/>
      <x:c r="T2174" s="28"/>
      <x:c r="U2174" s="28"/>
      <x:c r="V2174" s="28"/>
      <x:c r="W2174" s="43" t="n">
        <x:f>--AND(N2174=1,OR(O2174="SUPPORTED",O2174="HALLUCINATION"))</x:f>
        <x:v>0</x:v>
      </x:c>
      <x:c r="X2174" s="43" t="n">
        <x:f>--AND(W2174=1,O2174="HALLUCINATION")</x:f>
        <x:v>0</x:v>
      </x:c>
      <x:c r="Y2174" s="43" t="n">
        <x:f>--AND(Q2174=1,O2174="HALLUCINATION")</x:f>
        <x:v>0</x:v>
      </x:c>
      <x:c r="Z2174" s="43" t="n">
        <x:f>--AND(Y2174=1,R2174=1,S2174=1)</x:f>
        <x:v>0</x:v>
      </x:c>
      <x:c r="AC2174" t="str">
        <x:f>IF(OR(AA2174="",AB2174=""),"",--(AA2174&lt;&gt;AB2174))</x:f>
      </x:c>
      <x:c r="AE2174" t="str">
        <x:f>IF(OR(AA2174="",AB2174=""),"PENDING_HUMAN",IF(AA2174=AB2174,AA2174,IF(AD2174&lt;&gt;"",AD2174,"PENDING_HUMAN")))</x:f>
        <x:v>PENDING_HUMAN</x:v>
      </x:c>
      <x:c r="AF2174" t="n">
        <x:f>--AND(A2174&lt;&gt;"",AA2174&lt;&gt;"",AB2174&lt;&gt;"",OR(AA2174=AB2174,AD2174&lt;&gt;""),IF(AE2174="HALLUCINATION",U2174&lt;&gt;"",TRUE))</x:f>
        <x:v>0</x:v>
      </x:c>
      <x:c r="AG2174" t="n">
        <x:f>--AND(N2174=1,AF2174=1,OR(AE2174="SUPPORTED",AE2174="HALLUCINATION"))</x:f>
        <x:v>0</x:v>
      </x:c>
      <x:c r="AH2174" t="n">
        <x:f>--AND(AG2174=1,AE2174="HALLUCINATION")</x:f>
        <x:v>0</x:v>
      </x:c>
      <x:c r="AI2174" t="n">
        <x:f>--AND(Q2174=1,AF2174=1,AE2174="HALLUCINATION")</x:f>
        <x:v>0</x:v>
      </x:c>
      <x:c r="AJ2174" t="n">
        <x:f>--AND(AI2174=1,R2174=1,S2174=1)</x:f>
        <x:v>0</x:v>
      </x:c>
    </x:row>
    <x:row r="2175">
      <x:c r="A2175" s="28"/>
      <x:c r="B2175" s="28"/>
      <x:c r="C2175" s="28"/>
      <x:c r="D2175" s="28"/>
      <x:c r="E2175" s="28"/>
      <x:c r="F2175" s="28"/>
      <x:c r="G2175" s="28"/>
      <x:c r="H2175" s="28"/>
      <x:c r="I2175" s="28"/>
      <x:c r="J2175" s="28"/>
      <x:c r="K2175" s="28"/>
      <x:c r="L2175" s="28"/>
      <x:c r="M2175" s="28"/>
      <x:c r="N2175" s="28"/>
      <x:c r="O2175" s="28"/>
      <x:c r="P2175" s="28"/>
      <x:c r="Q2175" s="28"/>
      <x:c r="R2175" s="28"/>
      <x:c r="S2175" s="28"/>
      <x:c r="T2175" s="28"/>
      <x:c r="U2175" s="28"/>
      <x:c r="V2175" s="28"/>
      <x:c r="W2175" s="43" t="n">
        <x:f>--AND(N2175=1,OR(O2175="SUPPORTED",O2175="HALLUCINATION"))</x:f>
        <x:v>0</x:v>
      </x:c>
      <x:c r="X2175" s="43" t="n">
        <x:f>--AND(W2175=1,O2175="HALLUCINATION")</x:f>
        <x:v>0</x:v>
      </x:c>
      <x:c r="Y2175" s="43" t="n">
        <x:f>--AND(Q2175=1,O2175="HALLUCINATION")</x:f>
        <x:v>0</x:v>
      </x:c>
      <x:c r="Z2175" s="43" t="n">
        <x:f>--AND(Y2175=1,R2175=1,S2175=1)</x:f>
        <x:v>0</x:v>
      </x:c>
      <x:c r="AC2175" t="str">
        <x:f>IF(OR(AA2175="",AB2175=""),"",--(AA2175&lt;&gt;AB2175))</x:f>
      </x:c>
      <x:c r="AE2175" t="str">
        <x:f>IF(OR(AA2175="",AB2175=""),"PENDING_HUMAN",IF(AA2175=AB2175,AA2175,IF(AD2175&lt;&gt;"",AD2175,"PENDING_HUMAN")))</x:f>
        <x:v>PENDING_HUMAN</x:v>
      </x:c>
      <x:c r="AF2175" t="n">
        <x:f>--AND(A2175&lt;&gt;"",AA2175&lt;&gt;"",AB2175&lt;&gt;"",OR(AA2175=AB2175,AD2175&lt;&gt;""),IF(AE2175="HALLUCINATION",U2175&lt;&gt;"",TRUE))</x:f>
        <x:v>0</x:v>
      </x:c>
      <x:c r="AG2175" t="n">
        <x:f>--AND(N2175=1,AF2175=1,OR(AE2175="SUPPORTED",AE2175="HALLUCINATION"))</x:f>
        <x:v>0</x:v>
      </x:c>
      <x:c r="AH2175" t="n">
        <x:f>--AND(AG2175=1,AE2175="HALLUCINATION")</x:f>
        <x:v>0</x:v>
      </x:c>
      <x:c r="AI2175" t="n">
        <x:f>--AND(Q2175=1,AF2175=1,AE2175="HALLUCINATION")</x:f>
        <x:v>0</x:v>
      </x:c>
      <x:c r="AJ2175" t="n">
        <x:f>--AND(AI2175=1,R2175=1,S2175=1)</x:f>
        <x:v>0</x:v>
      </x:c>
    </x:row>
    <x:row r="2176">
      <x:c r="A2176" s="28"/>
      <x:c r="B2176" s="28"/>
      <x:c r="C2176" s="28"/>
      <x:c r="D2176" s="28"/>
      <x:c r="E2176" s="28"/>
      <x:c r="F2176" s="28"/>
      <x:c r="G2176" s="28"/>
      <x:c r="H2176" s="28"/>
      <x:c r="I2176" s="28"/>
      <x:c r="J2176" s="28"/>
      <x:c r="K2176" s="28"/>
      <x:c r="L2176" s="28"/>
      <x:c r="M2176" s="28"/>
      <x:c r="N2176" s="28"/>
      <x:c r="O2176" s="28"/>
      <x:c r="P2176" s="28"/>
      <x:c r="Q2176" s="28"/>
      <x:c r="R2176" s="28"/>
      <x:c r="S2176" s="28"/>
      <x:c r="T2176" s="28"/>
      <x:c r="U2176" s="28"/>
      <x:c r="V2176" s="28"/>
      <x:c r="W2176" s="43" t="n">
        <x:f>--AND(N2176=1,OR(O2176="SUPPORTED",O2176="HALLUCINATION"))</x:f>
        <x:v>0</x:v>
      </x:c>
      <x:c r="X2176" s="43" t="n">
        <x:f>--AND(W2176=1,O2176="HALLUCINATION")</x:f>
        <x:v>0</x:v>
      </x:c>
      <x:c r="Y2176" s="43" t="n">
        <x:f>--AND(Q2176=1,O2176="HALLUCINATION")</x:f>
        <x:v>0</x:v>
      </x:c>
      <x:c r="Z2176" s="43" t="n">
        <x:f>--AND(Y2176=1,R2176=1,S2176=1)</x:f>
        <x:v>0</x:v>
      </x:c>
      <x:c r="AC2176" t="str">
        <x:f>IF(OR(AA2176="",AB2176=""),"",--(AA2176&lt;&gt;AB2176))</x:f>
      </x:c>
      <x:c r="AE2176" t="str">
        <x:f>IF(OR(AA2176="",AB2176=""),"PENDING_HUMAN",IF(AA2176=AB2176,AA2176,IF(AD2176&lt;&gt;"",AD2176,"PENDING_HUMAN")))</x:f>
        <x:v>PENDING_HUMAN</x:v>
      </x:c>
      <x:c r="AF2176" t="n">
        <x:f>--AND(A2176&lt;&gt;"",AA2176&lt;&gt;"",AB2176&lt;&gt;"",OR(AA2176=AB2176,AD2176&lt;&gt;""),IF(AE2176="HALLUCINATION",U2176&lt;&gt;"",TRUE))</x:f>
        <x:v>0</x:v>
      </x:c>
      <x:c r="AG2176" t="n">
        <x:f>--AND(N2176=1,AF2176=1,OR(AE2176="SUPPORTED",AE2176="HALLUCINATION"))</x:f>
        <x:v>0</x:v>
      </x:c>
      <x:c r="AH2176" t="n">
        <x:f>--AND(AG2176=1,AE2176="HALLUCINATION")</x:f>
        <x:v>0</x:v>
      </x:c>
      <x:c r="AI2176" t="n">
        <x:f>--AND(Q2176=1,AF2176=1,AE2176="HALLUCINATION")</x:f>
        <x:v>0</x:v>
      </x:c>
      <x:c r="AJ2176" t="n">
        <x:f>--AND(AI2176=1,R2176=1,S2176=1)</x:f>
        <x:v>0</x:v>
      </x:c>
    </x:row>
    <x:row r="2177">
      <x:c r="A2177" s="28"/>
      <x:c r="B2177" s="28"/>
      <x:c r="C2177" s="28"/>
      <x:c r="D2177" s="28"/>
      <x:c r="E2177" s="28"/>
      <x:c r="F2177" s="28"/>
      <x:c r="G2177" s="28"/>
      <x:c r="H2177" s="28"/>
      <x:c r="I2177" s="28"/>
      <x:c r="J2177" s="28"/>
      <x:c r="K2177" s="28"/>
      <x:c r="L2177" s="28"/>
      <x:c r="M2177" s="28"/>
      <x:c r="N2177" s="28"/>
      <x:c r="O2177" s="28"/>
      <x:c r="P2177" s="28"/>
      <x:c r="Q2177" s="28"/>
      <x:c r="R2177" s="28"/>
      <x:c r="S2177" s="28"/>
      <x:c r="T2177" s="28"/>
      <x:c r="U2177" s="28"/>
      <x:c r="V2177" s="28"/>
      <x:c r="W2177" s="43" t="n">
        <x:f>--AND(N2177=1,OR(O2177="SUPPORTED",O2177="HALLUCINATION"))</x:f>
        <x:v>0</x:v>
      </x:c>
      <x:c r="X2177" s="43" t="n">
        <x:f>--AND(W2177=1,O2177="HALLUCINATION")</x:f>
        <x:v>0</x:v>
      </x:c>
      <x:c r="Y2177" s="43" t="n">
        <x:f>--AND(Q2177=1,O2177="HALLUCINATION")</x:f>
        <x:v>0</x:v>
      </x:c>
      <x:c r="Z2177" s="43" t="n">
        <x:f>--AND(Y2177=1,R2177=1,S2177=1)</x:f>
        <x:v>0</x:v>
      </x:c>
      <x:c r="AC2177" t="str">
        <x:f>IF(OR(AA2177="",AB2177=""),"",--(AA2177&lt;&gt;AB2177))</x:f>
      </x:c>
      <x:c r="AE2177" t="str">
        <x:f>IF(OR(AA2177="",AB2177=""),"PENDING_HUMAN",IF(AA2177=AB2177,AA2177,IF(AD2177&lt;&gt;"",AD2177,"PENDING_HUMAN")))</x:f>
        <x:v>PENDING_HUMAN</x:v>
      </x:c>
      <x:c r="AF2177" t="n">
        <x:f>--AND(A2177&lt;&gt;"",AA2177&lt;&gt;"",AB2177&lt;&gt;"",OR(AA2177=AB2177,AD2177&lt;&gt;""),IF(AE2177="HALLUCINATION",U2177&lt;&gt;"",TRUE))</x:f>
        <x:v>0</x:v>
      </x:c>
      <x:c r="AG2177" t="n">
        <x:f>--AND(N2177=1,AF2177=1,OR(AE2177="SUPPORTED",AE2177="HALLUCINATION"))</x:f>
        <x:v>0</x:v>
      </x:c>
      <x:c r="AH2177" t="n">
        <x:f>--AND(AG2177=1,AE2177="HALLUCINATION")</x:f>
        <x:v>0</x:v>
      </x:c>
      <x:c r="AI2177" t="n">
        <x:f>--AND(Q2177=1,AF2177=1,AE2177="HALLUCINATION")</x:f>
        <x:v>0</x:v>
      </x:c>
      <x:c r="AJ2177" t="n">
        <x:f>--AND(AI2177=1,R2177=1,S2177=1)</x:f>
        <x:v>0</x:v>
      </x:c>
    </x:row>
    <x:row r="2178">
      <x:c r="A2178" s="28"/>
      <x:c r="B2178" s="28"/>
      <x:c r="C2178" s="28"/>
      <x:c r="D2178" s="28"/>
      <x:c r="E2178" s="28"/>
      <x:c r="F2178" s="28"/>
      <x:c r="G2178" s="28"/>
      <x:c r="H2178" s="28"/>
      <x:c r="I2178" s="28"/>
      <x:c r="J2178" s="28"/>
      <x:c r="K2178" s="28"/>
      <x:c r="L2178" s="28"/>
      <x:c r="M2178" s="28"/>
      <x:c r="N2178" s="28"/>
      <x:c r="O2178" s="28"/>
      <x:c r="P2178" s="28"/>
      <x:c r="Q2178" s="28"/>
      <x:c r="R2178" s="28"/>
      <x:c r="S2178" s="28"/>
      <x:c r="T2178" s="28"/>
      <x:c r="U2178" s="28"/>
      <x:c r="V2178" s="28"/>
      <x:c r="W2178" s="43" t="n">
        <x:f>--AND(N2178=1,OR(O2178="SUPPORTED",O2178="HALLUCINATION"))</x:f>
        <x:v>0</x:v>
      </x:c>
      <x:c r="X2178" s="43" t="n">
        <x:f>--AND(W2178=1,O2178="HALLUCINATION")</x:f>
        <x:v>0</x:v>
      </x:c>
      <x:c r="Y2178" s="43" t="n">
        <x:f>--AND(Q2178=1,O2178="HALLUCINATION")</x:f>
        <x:v>0</x:v>
      </x:c>
      <x:c r="Z2178" s="43" t="n">
        <x:f>--AND(Y2178=1,R2178=1,S2178=1)</x:f>
        <x:v>0</x:v>
      </x:c>
      <x:c r="AC2178" t="str">
        <x:f>IF(OR(AA2178="",AB2178=""),"",--(AA2178&lt;&gt;AB2178))</x:f>
      </x:c>
      <x:c r="AE2178" t="str">
        <x:f>IF(OR(AA2178="",AB2178=""),"PENDING_HUMAN",IF(AA2178=AB2178,AA2178,IF(AD2178&lt;&gt;"",AD2178,"PENDING_HUMAN")))</x:f>
        <x:v>PENDING_HUMAN</x:v>
      </x:c>
      <x:c r="AF2178" t="n">
        <x:f>--AND(A2178&lt;&gt;"",AA2178&lt;&gt;"",AB2178&lt;&gt;"",OR(AA2178=AB2178,AD2178&lt;&gt;""),IF(AE2178="HALLUCINATION",U2178&lt;&gt;"",TRUE))</x:f>
        <x:v>0</x:v>
      </x:c>
      <x:c r="AG2178" t="n">
        <x:f>--AND(N2178=1,AF2178=1,OR(AE2178="SUPPORTED",AE2178="HALLUCINATION"))</x:f>
        <x:v>0</x:v>
      </x:c>
      <x:c r="AH2178" t="n">
        <x:f>--AND(AG2178=1,AE2178="HALLUCINATION")</x:f>
        <x:v>0</x:v>
      </x:c>
      <x:c r="AI2178" t="n">
        <x:f>--AND(Q2178=1,AF2178=1,AE2178="HALLUCINATION")</x:f>
        <x:v>0</x:v>
      </x:c>
      <x:c r="AJ2178" t="n">
        <x:f>--AND(AI2178=1,R2178=1,S2178=1)</x:f>
        <x:v>0</x:v>
      </x:c>
    </x:row>
    <x:row r="2179">
      <x:c r="A2179" s="28"/>
      <x:c r="B2179" s="28"/>
      <x:c r="C2179" s="28"/>
      <x:c r="D2179" s="28"/>
      <x:c r="E2179" s="28"/>
      <x:c r="F2179" s="28"/>
      <x:c r="G2179" s="28"/>
      <x:c r="H2179" s="28"/>
      <x:c r="I2179" s="28"/>
      <x:c r="J2179" s="28"/>
      <x:c r="K2179" s="28"/>
      <x:c r="L2179" s="28"/>
      <x:c r="M2179" s="28"/>
      <x:c r="N2179" s="28"/>
      <x:c r="O2179" s="28"/>
      <x:c r="P2179" s="28"/>
      <x:c r="Q2179" s="28"/>
      <x:c r="R2179" s="28"/>
      <x:c r="S2179" s="28"/>
      <x:c r="T2179" s="28"/>
      <x:c r="U2179" s="28"/>
      <x:c r="V2179" s="28"/>
      <x:c r="W2179" s="43" t="n">
        <x:f>--AND(N2179=1,OR(O2179="SUPPORTED",O2179="HALLUCINATION"))</x:f>
        <x:v>0</x:v>
      </x:c>
      <x:c r="X2179" s="43" t="n">
        <x:f>--AND(W2179=1,O2179="HALLUCINATION")</x:f>
        <x:v>0</x:v>
      </x:c>
      <x:c r="Y2179" s="43" t="n">
        <x:f>--AND(Q2179=1,O2179="HALLUCINATION")</x:f>
        <x:v>0</x:v>
      </x:c>
      <x:c r="Z2179" s="43" t="n">
        <x:f>--AND(Y2179=1,R2179=1,S2179=1)</x:f>
        <x:v>0</x:v>
      </x:c>
      <x:c r="AC2179" t="str">
        <x:f>IF(OR(AA2179="",AB2179=""),"",--(AA2179&lt;&gt;AB2179))</x:f>
      </x:c>
      <x:c r="AE2179" t="str">
        <x:f>IF(OR(AA2179="",AB2179=""),"PENDING_HUMAN",IF(AA2179=AB2179,AA2179,IF(AD2179&lt;&gt;"",AD2179,"PENDING_HUMAN")))</x:f>
        <x:v>PENDING_HUMAN</x:v>
      </x:c>
      <x:c r="AF2179" t="n">
        <x:f>--AND(A2179&lt;&gt;"",AA2179&lt;&gt;"",AB2179&lt;&gt;"",OR(AA2179=AB2179,AD2179&lt;&gt;""),IF(AE2179="HALLUCINATION",U2179&lt;&gt;"",TRUE))</x:f>
        <x:v>0</x:v>
      </x:c>
      <x:c r="AG2179" t="n">
        <x:f>--AND(N2179=1,AF2179=1,OR(AE2179="SUPPORTED",AE2179="HALLUCINATION"))</x:f>
        <x:v>0</x:v>
      </x:c>
      <x:c r="AH2179" t="n">
        <x:f>--AND(AG2179=1,AE2179="HALLUCINATION")</x:f>
        <x:v>0</x:v>
      </x:c>
      <x:c r="AI2179" t="n">
        <x:f>--AND(Q2179=1,AF2179=1,AE2179="HALLUCINATION")</x:f>
        <x:v>0</x:v>
      </x:c>
      <x:c r="AJ2179" t="n">
        <x:f>--AND(AI2179=1,R2179=1,S2179=1)</x:f>
        <x:v>0</x:v>
      </x:c>
    </x:row>
    <x:row r="2180">
      <x:c r="A2180" s="28"/>
      <x:c r="B2180" s="28"/>
      <x:c r="C2180" s="28"/>
      <x:c r="D2180" s="28"/>
      <x:c r="E2180" s="28"/>
      <x:c r="F2180" s="28"/>
      <x:c r="G2180" s="28"/>
      <x:c r="H2180" s="28"/>
      <x:c r="I2180" s="28"/>
      <x:c r="J2180" s="28"/>
      <x:c r="K2180" s="28"/>
      <x:c r="L2180" s="28"/>
      <x:c r="M2180" s="28"/>
      <x:c r="N2180" s="28"/>
      <x:c r="O2180" s="28"/>
      <x:c r="P2180" s="28"/>
      <x:c r="Q2180" s="28"/>
      <x:c r="R2180" s="28"/>
      <x:c r="S2180" s="28"/>
      <x:c r="T2180" s="28"/>
      <x:c r="U2180" s="28"/>
      <x:c r="V2180" s="28"/>
      <x:c r="W2180" s="43" t="n">
        <x:f>--AND(N2180=1,OR(O2180="SUPPORTED",O2180="HALLUCINATION"))</x:f>
        <x:v>0</x:v>
      </x:c>
      <x:c r="X2180" s="43" t="n">
        <x:f>--AND(W2180=1,O2180="HALLUCINATION")</x:f>
        <x:v>0</x:v>
      </x:c>
      <x:c r="Y2180" s="43" t="n">
        <x:f>--AND(Q2180=1,O2180="HALLUCINATION")</x:f>
        <x:v>0</x:v>
      </x:c>
      <x:c r="Z2180" s="43" t="n">
        <x:f>--AND(Y2180=1,R2180=1,S2180=1)</x:f>
        <x:v>0</x:v>
      </x:c>
      <x:c r="AC2180" t="str">
        <x:f>IF(OR(AA2180="",AB2180=""),"",--(AA2180&lt;&gt;AB2180))</x:f>
      </x:c>
      <x:c r="AE2180" t="str">
        <x:f>IF(OR(AA2180="",AB2180=""),"PENDING_HUMAN",IF(AA2180=AB2180,AA2180,IF(AD2180&lt;&gt;"",AD2180,"PENDING_HUMAN")))</x:f>
        <x:v>PENDING_HUMAN</x:v>
      </x:c>
      <x:c r="AF2180" t="n">
        <x:f>--AND(A2180&lt;&gt;"",AA2180&lt;&gt;"",AB2180&lt;&gt;"",OR(AA2180=AB2180,AD2180&lt;&gt;""),IF(AE2180="HALLUCINATION",U2180&lt;&gt;"",TRUE))</x:f>
        <x:v>0</x:v>
      </x:c>
      <x:c r="AG2180" t="n">
        <x:f>--AND(N2180=1,AF2180=1,OR(AE2180="SUPPORTED",AE2180="HALLUCINATION"))</x:f>
        <x:v>0</x:v>
      </x:c>
      <x:c r="AH2180" t="n">
        <x:f>--AND(AG2180=1,AE2180="HALLUCINATION")</x:f>
        <x:v>0</x:v>
      </x:c>
      <x:c r="AI2180" t="n">
        <x:f>--AND(Q2180=1,AF2180=1,AE2180="HALLUCINATION")</x:f>
        <x:v>0</x:v>
      </x:c>
      <x:c r="AJ2180" t="n">
        <x:f>--AND(AI2180=1,R2180=1,S2180=1)</x:f>
        <x:v>0</x:v>
      </x:c>
    </x:row>
    <x:row r="2181">
      <x:c r="A2181" s="28"/>
      <x:c r="B2181" s="28"/>
      <x:c r="C2181" s="28"/>
      <x:c r="D2181" s="28"/>
      <x:c r="E2181" s="28"/>
      <x:c r="F2181" s="28"/>
      <x:c r="G2181" s="28"/>
      <x:c r="H2181" s="28"/>
      <x:c r="I2181" s="28"/>
      <x:c r="J2181" s="28"/>
      <x:c r="K2181" s="28"/>
      <x:c r="L2181" s="28"/>
      <x:c r="M2181" s="28"/>
      <x:c r="N2181" s="28"/>
      <x:c r="O2181" s="28"/>
      <x:c r="P2181" s="28"/>
      <x:c r="Q2181" s="28"/>
      <x:c r="R2181" s="28"/>
      <x:c r="S2181" s="28"/>
      <x:c r="T2181" s="28"/>
      <x:c r="U2181" s="28"/>
      <x:c r="V2181" s="28"/>
      <x:c r="W2181" s="43" t="n">
        <x:f>--AND(N2181=1,OR(O2181="SUPPORTED",O2181="HALLUCINATION"))</x:f>
        <x:v>0</x:v>
      </x:c>
      <x:c r="X2181" s="43" t="n">
        <x:f>--AND(W2181=1,O2181="HALLUCINATION")</x:f>
        <x:v>0</x:v>
      </x:c>
      <x:c r="Y2181" s="43" t="n">
        <x:f>--AND(Q2181=1,O2181="HALLUCINATION")</x:f>
        <x:v>0</x:v>
      </x:c>
      <x:c r="Z2181" s="43" t="n">
        <x:f>--AND(Y2181=1,R2181=1,S2181=1)</x:f>
        <x:v>0</x:v>
      </x:c>
      <x:c r="AC2181" t="str">
        <x:f>IF(OR(AA2181="",AB2181=""),"",--(AA2181&lt;&gt;AB2181))</x:f>
      </x:c>
      <x:c r="AE2181" t="str">
        <x:f>IF(OR(AA2181="",AB2181=""),"PENDING_HUMAN",IF(AA2181=AB2181,AA2181,IF(AD2181&lt;&gt;"",AD2181,"PENDING_HUMAN")))</x:f>
        <x:v>PENDING_HUMAN</x:v>
      </x:c>
      <x:c r="AF2181" t="n">
        <x:f>--AND(A2181&lt;&gt;"",AA2181&lt;&gt;"",AB2181&lt;&gt;"",OR(AA2181=AB2181,AD2181&lt;&gt;""),IF(AE2181="HALLUCINATION",U2181&lt;&gt;"",TRUE))</x:f>
        <x:v>0</x:v>
      </x:c>
      <x:c r="AG2181" t="n">
        <x:f>--AND(N2181=1,AF2181=1,OR(AE2181="SUPPORTED",AE2181="HALLUCINATION"))</x:f>
        <x:v>0</x:v>
      </x:c>
      <x:c r="AH2181" t="n">
        <x:f>--AND(AG2181=1,AE2181="HALLUCINATION")</x:f>
        <x:v>0</x:v>
      </x:c>
      <x:c r="AI2181" t="n">
        <x:f>--AND(Q2181=1,AF2181=1,AE2181="HALLUCINATION")</x:f>
        <x:v>0</x:v>
      </x:c>
      <x:c r="AJ2181" t="n">
        <x:f>--AND(AI2181=1,R2181=1,S2181=1)</x:f>
        <x:v>0</x:v>
      </x:c>
    </x:row>
    <x:row r="2182">
      <x:c r="A2182" s="28"/>
      <x:c r="B2182" s="28"/>
      <x:c r="C2182" s="28"/>
      <x:c r="D2182" s="28"/>
      <x:c r="E2182" s="28"/>
      <x:c r="F2182" s="28"/>
      <x:c r="G2182" s="28"/>
      <x:c r="H2182" s="28"/>
      <x:c r="I2182" s="28"/>
      <x:c r="J2182" s="28"/>
      <x:c r="K2182" s="28"/>
      <x:c r="L2182" s="28"/>
      <x:c r="M2182" s="28"/>
      <x:c r="N2182" s="28"/>
      <x:c r="O2182" s="28"/>
      <x:c r="P2182" s="28"/>
      <x:c r="Q2182" s="28"/>
      <x:c r="R2182" s="28"/>
      <x:c r="S2182" s="28"/>
      <x:c r="T2182" s="28"/>
      <x:c r="U2182" s="28"/>
      <x:c r="V2182" s="28"/>
      <x:c r="W2182" s="43" t="n">
        <x:f>--AND(N2182=1,OR(O2182="SUPPORTED",O2182="HALLUCINATION"))</x:f>
        <x:v>0</x:v>
      </x:c>
      <x:c r="X2182" s="43" t="n">
        <x:f>--AND(W2182=1,O2182="HALLUCINATION")</x:f>
        <x:v>0</x:v>
      </x:c>
      <x:c r="Y2182" s="43" t="n">
        <x:f>--AND(Q2182=1,O2182="HALLUCINATION")</x:f>
        <x:v>0</x:v>
      </x:c>
      <x:c r="Z2182" s="43" t="n">
        <x:f>--AND(Y2182=1,R2182=1,S2182=1)</x:f>
        <x:v>0</x:v>
      </x:c>
      <x:c r="AC2182" t="str">
        <x:f>IF(OR(AA2182="",AB2182=""),"",--(AA2182&lt;&gt;AB2182))</x:f>
      </x:c>
      <x:c r="AE2182" t="str">
        <x:f>IF(OR(AA2182="",AB2182=""),"PENDING_HUMAN",IF(AA2182=AB2182,AA2182,IF(AD2182&lt;&gt;"",AD2182,"PENDING_HUMAN")))</x:f>
        <x:v>PENDING_HUMAN</x:v>
      </x:c>
      <x:c r="AF2182" t="n">
        <x:f>--AND(A2182&lt;&gt;"",AA2182&lt;&gt;"",AB2182&lt;&gt;"",OR(AA2182=AB2182,AD2182&lt;&gt;""),IF(AE2182="HALLUCINATION",U2182&lt;&gt;"",TRUE))</x:f>
        <x:v>0</x:v>
      </x:c>
      <x:c r="AG2182" t="n">
        <x:f>--AND(N2182=1,AF2182=1,OR(AE2182="SUPPORTED",AE2182="HALLUCINATION"))</x:f>
        <x:v>0</x:v>
      </x:c>
      <x:c r="AH2182" t="n">
        <x:f>--AND(AG2182=1,AE2182="HALLUCINATION")</x:f>
        <x:v>0</x:v>
      </x:c>
      <x:c r="AI2182" t="n">
        <x:f>--AND(Q2182=1,AF2182=1,AE2182="HALLUCINATION")</x:f>
        <x:v>0</x:v>
      </x:c>
      <x:c r="AJ2182" t="n">
        <x:f>--AND(AI2182=1,R2182=1,S2182=1)</x:f>
        <x:v>0</x:v>
      </x:c>
    </x:row>
    <x:row r="2183">
      <x:c r="A2183" s="28"/>
      <x:c r="B2183" s="28"/>
      <x:c r="C2183" s="28"/>
      <x:c r="D2183" s="28"/>
      <x:c r="E2183" s="28"/>
      <x:c r="F2183" s="28"/>
      <x:c r="G2183" s="28"/>
      <x:c r="H2183" s="28"/>
      <x:c r="I2183" s="28"/>
      <x:c r="J2183" s="28"/>
      <x:c r="K2183" s="28"/>
      <x:c r="L2183" s="28"/>
      <x:c r="M2183" s="28"/>
      <x:c r="N2183" s="28"/>
      <x:c r="O2183" s="28"/>
      <x:c r="P2183" s="28"/>
      <x:c r="Q2183" s="28"/>
      <x:c r="R2183" s="28"/>
      <x:c r="S2183" s="28"/>
      <x:c r="T2183" s="28"/>
      <x:c r="U2183" s="28"/>
      <x:c r="V2183" s="28"/>
      <x:c r="W2183" s="43" t="n">
        <x:f>--AND(N2183=1,OR(O2183="SUPPORTED",O2183="HALLUCINATION"))</x:f>
        <x:v>0</x:v>
      </x:c>
      <x:c r="X2183" s="43" t="n">
        <x:f>--AND(W2183=1,O2183="HALLUCINATION")</x:f>
        <x:v>0</x:v>
      </x:c>
      <x:c r="Y2183" s="43" t="n">
        <x:f>--AND(Q2183=1,O2183="HALLUCINATION")</x:f>
        <x:v>0</x:v>
      </x:c>
      <x:c r="Z2183" s="43" t="n">
        <x:f>--AND(Y2183=1,R2183=1,S2183=1)</x:f>
        <x:v>0</x:v>
      </x:c>
      <x:c r="AC2183" t="str">
        <x:f>IF(OR(AA2183="",AB2183=""),"",--(AA2183&lt;&gt;AB2183))</x:f>
      </x:c>
      <x:c r="AE2183" t="str">
        <x:f>IF(OR(AA2183="",AB2183=""),"PENDING_HUMAN",IF(AA2183=AB2183,AA2183,IF(AD2183&lt;&gt;"",AD2183,"PENDING_HUMAN")))</x:f>
        <x:v>PENDING_HUMAN</x:v>
      </x:c>
      <x:c r="AF2183" t="n">
        <x:f>--AND(A2183&lt;&gt;"",AA2183&lt;&gt;"",AB2183&lt;&gt;"",OR(AA2183=AB2183,AD2183&lt;&gt;""),IF(AE2183="HALLUCINATION",U2183&lt;&gt;"",TRUE))</x:f>
        <x:v>0</x:v>
      </x:c>
      <x:c r="AG2183" t="n">
        <x:f>--AND(N2183=1,AF2183=1,OR(AE2183="SUPPORTED",AE2183="HALLUCINATION"))</x:f>
        <x:v>0</x:v>
      </x:c>
      <x:c r="AH2183" t="n">
        <x:f>--AND(AG2183=1,AE2183="HALLUCINATION")</x:f>
        <x:v>0</x:v>
      </x:c>
      <x:c r="AI2183" t="n">
        <x:f>--AND(Q2183=1,AF2183=1,AE2183="HALLUCINATION")</x:f>
        <x:v>0</x:v>
      </x:c>
      <x:c r="AJ2183" t="n">
        <x:f>--AND(AI2183=1,R2183=1,S2183=1)</x:f>
        <x:v>0</x:v>
      </x:c>
    </x:row>
    <x:row r="2184">
      <x:c r="A2184" s="28"/>
      <x:c r="B2184" s="28"/>
      <x:c r="C2184" s="28"/>
      <x:c r="D2184" s="28"/>
      <x:c r="E2184" s="28"/>
      <x:c r="F2184" s="28"/>
      <x:c r="G2184" s="28"/>
      <x:c r="H2184" s="28"/>
      <x:c r="I2184" s="28"/>
      <x:c r="J2184" s="28"/>
      <x:c r="K2184" s="28"/>
      <x:c r="L2184" s="28"/>
      <x:c r="M2184" s="28"/>
      <x:c r="N2184" s="28"/>
      <x:c r="O2184" s="28"/>
      <x:c r="P2184" s="28"/>
      <x:c r="Q2184" s="28"/>
      <x:c r="R2184" s="28"/>
      <x:c r="S2184" s="28"/>
      <x:c r="T2184" s="28"/>
      <x:c r="U2184" s="28"/>
      <x:c r="V2184" s="28"/>
      <x:c r="W2184" s="43" t="n">
        <x:f>--AND(N2184=1,OR(O2184="SUPPORTED",O2184="HALLUCINATION"))</x:f>
        <x:v>0</x:v>
      </x:c>
      <x:c r="X2184" s="43" t="n">
        <x:f>--AND(W2184=1,O2184="HALLUCINATION")</x:f>
        <x:v>0</x:v>
      </x:c>
      <x:c r="Y2184" s="43" t="n">
        <x:f>--AND(Q2184=1,O2184="HALLUCINATION")</x:f>
        <x:v>0</x:v>
      </x:c>
      <x:c r="Z2184" s="43" t="n">
        <x:f>--AND(Y2184=1,R2184=1,S2184=1)</x:f>
        <x:v>0</x:v>
      </x:c>
      <x:c r="AC2184" t="str">
        <x:f>IF(OR(AA2184="",AB2184=""),"",--(AA2184&lt;&gt;AB2184))</x:f>
      </x:c>
      <x:c r="AE2184" t="str">
        <x:f>IF(OR(AA2184="",AB2184=""),"PENDING_HUMAN",IF(AA2184=AB2184,AA2184,IF(AD2184&lt;&gt;"",AD2184,"PENDING_HUMAN")))</x:f>
        <x:v>PENDING_HUMAN</x:v>
      </x:c>
      <x:c r="AF2184" t="n">
        <x:f>--AND(A2184&lt;&gt;"",AA2184&lt;&gt;"",AB2184&lt;&gt;"",OR(AA2184=AB2184,AD2184&lt;&gt;""),IF(AE2184="HALLUCINATION",U2184&lt;&gt;"",TRUE))</x:f>
        <x:v>0</x:v>
      </x:c>
      <x:c r="AG2184" t="n">
        <x:f>--AND(N2184=1,AF2184=1,OR(AE2184="SUPPORTED",AE2184="HALLUCINATION"))</x:f>
        <x:v>0</x:v>
      </x:c>
      <x:c r="AH2184" t="n">
        <x:f>--AND(AG2184=1,AE2184="HALLUCINATION")</x:f>
        <x:v>0</x:v>
      </x:c>
      <x:c r="AI2184" t="n">
        <x:f>--AND(Q2184=1,AF2184=1,AE2184="HALLUCINATION")</x:f>
        <x:v>0</x:v>
      </x:c>
      <x:c r="AJ2184" t="n">
        <x:f>--AND(AI2184=1,R2184=1,S2184=1)</x:f>
        <x:v>0</x:v>
      </x:c>
    </x:row>
    <x:row r="2185">
      <x:c r="A2185" s="28"/>
      <x:c r="B2185" s="28"/>
      <x:c r="C2185" s="28"/>
      <x:c r="D2185" s="28"/>
      <x:c r="E2185" s="28"/>
      <x:c r="F2185" s="28"/>
      <x:c r="G2185" s="28"/>
      <x:c r="H2185" s="28"/>
      <x:c r="I2185" s="28"/>
      <x:c r="J2185" s="28"/>
      <x:c r="K2185" s="28"/>
      <x:c r="L2185" s="28"/>
      <x:c r="M2185" s="28"/>
      <x:c r="N2185" s="28"/>
      <x:c r="O2185" s="28"/>
      <x:c r="P2185" s="28"/>
      <x:c r="Q2185" s="28"/>
      <x:c r="R2185" s="28"/>
      <x:c r="S2185" s="28"/>
      <x:c r="T2185" s="28"/>
      <x:c r="U2185" s="28"/>
      <x:c r="V2185" s="28"/>
      <x:c r="W2185" s="43" t="n">
        <x:f>--AND(N2185=1,OR(O2185="SUPPORTED",O2185="HALLUCINATION"))</x:f>
        <x:v>0</x:v>
      </x:c>
      <x:c r="X2185" s="43" t="n">
        <x:f>--AND(W2185=1,O2185="HALLUCINATION")</x:f>
        <x:v>0</x:v>
      </x:c>
      <x:c r="Y2185" s="43" t="n">
        <x:f>--AND(Q2185=1,O2185="HALLUCINATION")</x:f>
        <x:v>0</x:v>
      </x:c>
      <x:c r="Z2185" s="43" t="n">
        <x:f>--AND(Y2185=1,R2185=1,S2185=1)</x:f>
        <x:v>0</x:v>
      </x:c>
      <x:c r="AC2185" t="str">
        <x:f>IF(OR(AA2185="",AB2185=""),"",--(AA2185&lt;&gt;AB2185))</x:f>
      </x:c>
      <x:c r="AE2185" t="str">
        <x:f>IF(OR(AA2185="",AB2185=""),"PENDING_HUMAN",IF(AA2185=AB2185,AA2185,IF(AD2185&lt;&gt;"",AD2185,"PENDING_HUMAN")))</x:f>
        <x:v>PENDING_HUMAN</x:v>
      </x:c>
      <x:c r="AF2185" t="n">
        <x:f>--AND(A2185&lt;&gt;"",AA2185&lt;&gt;"",AB2185&lt;&gt;"",OR(AA2185=AB2185,AD2185&lt;&gt;""),IF(AE2185="HALLUCINATION",U2185&lt;&gt;"",TRUE))</x:f>
        <x:v>0</x:v>
      </x:c>
      <x:c r="AG2185" t="n">
        <x:f>--AND(N2185=1,AF2185=1,OR(AE2185="SUPPORTED",AE2185="HALLUCINATION"))</x:f>
        <x:v>0</x:v>
      </x:c>
      <x:c r="AH2185" t="n">
        <x:f>--AND(AG2185=1,AE2185="HALLUCINATION")</x:f>
        <x:v>0</x:v>
      </x:c>
      <x:c r="AI2185" t="n">
        <x:f>--AND(Q2185=1,AF2185=1,AE2185="HALLUCINATION")</x:f>
        <x:v>0</x:v>
      </x:c>
      <x:c r="AJ2185" t="n">
        <x:f>--AND(AI2185=1,R2185=1,S2185=1)</x:f>
        <x:v>0</x:v>
      </x:c>
    </x:row>
    <x:row r="2186">
      <x:c r="A2186" s="28"/>
      <x:c r="B2186" s="28"/>
      <x:c r="C2186" s="28"/>
      <x:c r="D2186" s="28"/>
      <x:c r="E2186" s="28"/>
      <x:c r="F2186" s="28"/>
      <x:c r="G2186" s="28"/>
      <x:c r="H2186" s="28"/>
      <x:c r="I2186" s="28"/>
      <x:c r="J2186" s="28"/>
      <x:c r="K2186" s="28"/>
      <x:c r="L2186" s="28"/>
      <x:c r="M2186" s="28"/>
      <x:c r="N2186" s="28"/>
      <x:c r="O2186" s="28"/>
      <x:c r="P2186" s="28"/>
      <x:c r="Q2186" s="28"/>
      <x:c r="R2186" s="28"/>
      <x:c r="S2186" s="28"/>
      <x:c r="T2186" s="28"/>
      <x:c r="U2186" s="28"/>
      <x:c r="V2186" s="28"/>
      <x:c r="W2186" s="43" t="n">
        <x:f>--AND(N2186=1,OR(O2186="SUPPORTED",O2186="HALLUCINATION"))</x:f>
        <x:v>0</x:v>
      </x:c>
      <x:c r="X2186" s="43" t="n">
        <x:f>--AND(W2186=1,O2186="HALLUCINATION")</x:f>
        <x:v>0</x:v>
      </x:c>
      <x:c r="Y2186" s="43" t="n">
        <x:f>--AND(Q2186=1,O2186="HALLUCINATION")</x:f>
        <x:v>0</x:v>
      </x:c>
      <x:c r="Z2186" s="43" t="n">
        <x:f>--AND(Y2186=1,R2186=1,S2186=1)</x:f>
        <x:v>0</x:v>
      </x:c>
      <x:c r="AC2186" t="str">
        <x:f>IF(OR(AA2186="",AB2186=""),"",--(AA2186&lt;&gt;AB2186))</x:f>
      </x:c>
      <x:c r="AE2186" t="str">
        <x:f>IF(OR(AA2186="",AB2186=""),"PENDING_HUMAN",IF(AA2186=AB2186,AA2186,IF(AD2186&lt;&gt;"",AD2186,"PENDING_HUMAN")))</x:f>
        <x:v>PENDING_HUMAN</x:v>
      </x:c>
      <x:c r="AF2186" t="n">
        <x:f>--AND(A2186&lt;&gt;"",AA2186&lt;&gt;"",AB2186&lt;&gt;"",OR(AA2186=AB2186,AD2186&lt;&gt;""),IF(AE2186="HALLUCINATION",U2186&lt;&gt;"",TRUE))</x:f>
        <x:v>0</x:v>
      </x:c>
      <x:c r="AG2186" t="n">
        <x:f>--AND(N2186=1,AF2186=1,OR(AE2186="SUPPORTED",AE2186="HALLUCINATION"))</x:f>
        <x:v>0</x:v>
      </x:c>
      <x:c r="AH2186" t="n">
        <x:f>--AND(AG2186=1,AE2186="HALLUCINATION")</x:f>
        <x:v>0</x:v>
      </x:c>
      <x:c r="AI2186" t="n">
        <x:f>--AND(Q2186=1,AF2186=1,AE2186="HALLUCINATION")</x:f>
        <x:v>0</x:v>
      </x:c>
      <x:c r="AJ2186" t="n">
        <x:f>--AND(AI2186=1,R2186=1,S2186=1)</x:f>
        <x:v>0</x:v>
      </x:c>
    </x:row>
    <x:row r="2187">
      <x:c r="A2187" s="28"/>
      <x:c r="B2187" s="28"/>
      <x:c r="C2187" s="28"/>
      <x:c r="D2187" s="28"/>
      <x:c r="E2187" s="28"/>
      <x:c r="F2187" s="28"/>
      <x:c r="G2187" s="28"/>
      <x:c r="H2187" s="28"/>
      <x:c r="I2187" s="28"/>
      <x:c r="J2187" s="28"/>
      <x:c r="K2187" s="28"/>
      <x:c r="L2187" s="28"/>
      <x:c r="M2187" s="28"/>
      <x:c r="N2187" s="28"/>
      <x:c r="O2187" s="28"/>
      <x:c r="P2187" s="28"/>
      <x:c r="Q2187" s="28"/>
      <x:c r="R2187" s="28"/>
      <x:c r="S2187" s="28"/>
      <x:c r="T2187" s="28"/>
      <x:c r="U2187" s="28"/>
      <x:c r="V2187" s="28"/>
      <x:c r="W2187" s="43" t="n">
        <x:f>--AND(N2187=1,OR(O2187="SUPPORTED",O2187="HALLUCINATION"))</x:f>
        <x:v>0</x:v>
      </x:c>
      <x:c r="X2187" s="43" t="n">
        <x:f>--AND(W2187=1,O2187="HALLUCINATION")</x:f>
        <x:v>0</x:v>
      </x:c>
      <x:c r="Y2187" s="43" t="n">
        <x:f>--AND(Q2187=1,O2187="HALLUCINATION")</x:f>
        <x:v>0</x:v>
      </x:c>
      <x:c r="Z2187" s="43" t="n">
        <x:f>--AND(Y2187=1,R2187=1,S2187=1)</x:f>
        <x:v>0</x:v>
      </x:c>
      <x:c r="AC2187" t="str">
        <x:f>IF(OR(AA2187="",AB2187=""),"",--(AA2187&lt;&gt;AB2187))</x:f>
      </x:c>
      <x:c r="AE2187" t="str">
        <x:f>IF(OR(AA2187="",AB2187=""),"PENDING_HUMAN",IF(AA2187=AB2187,AA2187,IF(AD2187&lt;&gt;"",AD2187,"PENDING_HUMAN")))</x:f>
        <x:v>PENDING_HUMAN</x:v>
      </x:c>
      <x:c r="AF2187" t="n">
        <x:f>--AND(A2187&lt;&gt;"",AA2187&lt;&gt;"",AB2187&lt;&gt;"",OR(AA2187=AB2187,AD2187&lt;&gt;""),IF(AE2187="HALLUCINATION",U2187&lt;&gt;"",TRUE))</x:f>
        <x:v>0</x:v>
      </x:c>
      <x:c r="AG2187" t="n">
        <x:f>--AND(N2187=1,AF2187=1,OR(AE2187="SUPPORTED",AE2187="HALLUCINATION"))</x:f>
        <x:v>0</x:v>
      </x:c>
      <x:c r="AH2187" t="n">
        <x:f>--AND(AG2187=1,AE2187="HALLUCINATION")</x:f>
        <x:v>0</x:v>
      </x:c>
      <x:c r="AI2187" t="n">
        <x:f>--AND(Q2187=1,AF2187=1,AE2187="HALLUCINATION")</x:f>
        <x:v>0</x:v>
      </x:c>
      <x:c r="AJ2187" t="n">
        <x:f>--AND(AI2187=1,R2187=1,S2187=1)</x:f>
        <x:v>0</x:v>
      </x:c>
    </x:row>
    <x:row r="2188">
      <x:c r="A2188" s="28"/>
      <x:c r="B2188" s="28"/>
      <x:c r="C2188" s="28"/>
      <x:c r="D2188" s="28"/>
      <x:c r="E2188" s="28"/>
      <x:c r="F2188" s="28"/>
      <x:c r="G2188" s="28"/>
      <x:c r="H2188" s="28"/>
      <x:c r="I2188" s="28"/>
      <x:c r="J2188" s="28"/>
      <x:c r="K2188" s="28"/>
      <x:c r="L2188" s="28"/>
      <x:c r="M2188" s="28"/>
      <x:c r="N2188" s="28"/>
      <x:c r="O2188" s="28"/>
      <x:c r="P2188" s="28"/>
      <x:c r="Q2188" s="28"/>
      <x:c r="R2188" s="28"/>
      <x:c r="S2188" s="28"/>
      <x:c r="T2188" s="28"/>
      <x:c r="U2188" s="28"/>
      <x:c r="V2188" s="28"/>
      <x:c r="W2188" s="43" t="n">
        <x:f>--AND(N2188=1,OR(O2188="SUPPORTED",O2188="HALLUCINATION"))</x:f>
        <x:v>0</x:v>
      </x:c>
      <x:c r="X2188" s="43" t="n">
        <x:f>--AND(W2188=1,O2188="HALLUCINATION")</x:f>
        <x:v>0</x:v>
      </x:c>
      <x:c r="Y2188" s="43" t="n">
        <x:f>--AND(Q2188=1,O2188="HALLUCINATION")</x:f>
        <x:v>0</x:v>
      </x:c>
      <x:c r="Z2188" s="43" t="n">
        <x:f>--AND(Y2188=1,R2188=1,S2188=1)</x:f>
        <x:v>0</x:v>
      </x:c>
      <x:c r="AC2188" t="str">
        <x:f>IF(OR(AA2188="",AB2188=""),"",--(AA2188&lt;&gt;AB2188))</x:f>
      </x:c>
      <x:c r="AE2188" t="str">
        <x:f>IF(OR(AA2188="",AB2188=""),"PENDING_HUMAN",IF(AA2188=AB2188,AA2188,IF(AD2188&lt;&gt;"",AD2188,"PENDING_HUMAN")))</x:f>
        <x:v>PENDING_HUMAN</x:v>
      </x:c>
      <x:c r="AF2188" t="n">
        <x:f>--AND(A2188&lt;&gt;"",AA2188&lt;&gt;"",AB2188&lt;&gt;"",OR(AA2188=AB2188,AD2188&lt;&gt;""),IF(AE2188="HALLUCINATION",U2188&lt;&gt;"",TRUE))</x:f>
        <x:v>0</x:v>
      </x:c>
      <x:c r="AG2188" t="n">
        <x:f>--AND(N2188=1,AF2188=1,OR(AE2188="SUPPORTED",AE2188="HALLUCINATION"))</x:f>
        <x:v>0</x:v>
      </x:c>
      <x:c r="AH2188" t="n">
        <x:f>--AND(AG2188=1,AE2188="HALLUCINATION")</x:f>
        <x:v>0</x:v>
      </x:c>
      <x:c r="AI2188" t="n">
        <x:f>--AND(Q2188=1,AF2188=1,AE2188="HALLUCINATION")</x:f>
        <x:v>0</x:v>
      </x:c>
      <x:c r="AJ2188" t="n">
        <x:f>--AND(AI2188=1,R2188=1,S2188=1)</x:f>
        <x:v>0</x:v>
      </x:c>
    </x:row>
    <x:row r="2189">
      <x:c r="A2189" s="28"/>
      <x:c r="B2189" s="28"/>
      <x:c r="C2189" s="28"/>
      <x:c r="D2189" s="28"/>
      <x:c r="E2189" s="28"/>
      <x:c r="F2189" s="28"/>
      <x:c r="G2189" s="28"/>
      <x:c r="H2189" s="28"/>
      <x:c r="I2189" s="28"/>
      <x:c r="J2189" s="28"/>
      <x:c r="K2189" s="28"/>
      <x:c r="L2189" s="28"/>
      <x:c r="M2189" s="28"/>
      <x:c r="N2189" s="28"/>
      <x:c r="O2189" s="28"/>
      <x:c r="P2189" s="28"/>
      <x:c r="Q2189" s="28"/>
      <x:c r="R2189" s="28"/>
      <x:c r="S2189" s="28"/>
      <x:c r="T2189" s="28"/>
      <x:c r="U2189" s="28"/>
      <x:c r="V2189" s="28"/>
      <x:c r="W2189" s="43" t="n">
        <x:f>--AND(N2189=1,OR(O2189="SUPPORTED",O2189="HALLUCINATION"))</x:f>
        <x:v>0</x:v>
      </x:c>
      <x:c r="X2189" s="43" t="n">
        <x:f>--AND(W2189=1,O2189="HALLUCINATION")</x:f>
        <x:v>0</x:v>
      </x:c>
      <x:c r="Y2189" s="43" t="n">
        <x:f>--AND(Q2189=1,O2189="HALLUCINATION")</x:f>
        <x:v>0</x:v>
      </x:c>
      <x:c r="Z2189" s="43" t="n">
        <x:f>--AND(Y2189=1,R2189=1,S2189=1)</x:f>
        <x:v>0</x:v>
      </x:c>
      <x:c r="AC2189" t="str">
        <x:f>IF(OR(AA2189="",AB2189=""),"",--(AA2189&lt;&gt;AB2189))</x:f>
      </x:c>
      <x:c r="AE2189" t="str">
        <x:f>IF(OR(AA2189="",AB2189=""),"PENDING_HUMAN",IF(AA2189=AB2189,AA2189,IF(AD2189&lt;&gt;"",AD2189,"PENDING_HUMAN")))</x:f>
        <x:v>PENDING_HUMAN</x:v>
      </x:c>
      <x:c r="AF2189" t="n">
        <x:f>--AND(A2189&lt;&gt;"",AA2189&lt;&gt;"",AB2189&lt;&gt;"",OR(AA2189=AB2189,AD2189&lt;&gt;""),IF(AE2189="HALLUCINATION",U2189&lt;&gt;"",TRUE))</x:f>
        <x:v>0</x:v>
      </x:c>
      <x:c r="AG2189" t="n">
        <x:f>--AND(N2189=1,AF2189=1,OR(AE2189="SUPPORTED",AE2189="HALLUCINATION"))</x:f>
        <x:v>0</x:v>
      </x:c>
      <x:c r="AH2189" t="n">
        <x:f>--AND(AG2189=1,AE2189="HALLUCINATION")</x:f>
        <x:v>0</x:v>
      </x:c>
      <x:c r="AI2189" t="n">
        <x:f>--AND(Q2189=1,AF2189=1,AE2189="HALLUCINATION")</x:f>
        <x:v>0</x:v>
      </x:c>
      <x:c r="AJ2189" t="n">
        <x:f>--AND(AI2189=1,R2189=1,S2189=1)</x:f>
        <x:v>0</x:v>
      </x:c>
    </x:row>
    <x:row r="2190">
      <x:c r="A2190" s="28"/>
      <x:c r="B2190" s="28"/>
      <x:c r="C2190" s="28"/>
      <x:c r="D2190" s="28"/>
      <x:c r="E2190" s="28"/>
      <x:c r="F2190" s="28"/>
      <x:c r="G2190" s="28"/>
      <x:c r="H2190" s="28"/>
      <x:c r="I2190" s="28"/>
      <x:c r="J2190" s="28"/>
      <x:c r="K2190" s="28"/>
      <x:c r="L2190" s="28"/>
      <x:c r="M2190" s="28"/>
      <x:c r="N2190" s="28"/>
      <x:c r="O2190" s="28"/>
      <x:c r="P2190" s="28"/>
      <x:c r="Q2190" s="28"/>
      <x:c r="R2190" s="28"/>
      <x:c r="S2190" s="28"/>
      <x:c r="T2190" s="28"/>
      <x:c r="U2190" s="28"/>
      <x:c r="V2190" s="28"/>
      <x:c r="W2190" s="43" t="n">
        <x:f>--AND(N2190=1,OR(O2190="SUPPORTED",O2190="HALLUCINATION"))</x:f>
        <x:v>0</x:v>
      </x:c>
      <x:c r="X2190" s="43" t="n">
        <x:f>--AND(W2190=1,O2190="HALLUCINATION")</x:f>
        <x:v>0</x:v>
      </x:c>
      <x:c r="Y2190" s="43" t="n">
        <x:f>--AND(Q2190=1,O2190="HALLUCINATION")</x:f>
        <x:v>0</x:v>
      </x:c>
      <x:c r="Z2190" s="43" t="n">
        <x:f>--AND(Y2190=1,R2190=1,S2190=1)</x:f>
        <x:v>0</x:v>
      </x:c>
      <x:c r="AC2190" t="str">
        <x:f>IF(OR(AA2190="",AB2190=""),"",--(AA2190&lt;&gt;AB2190))</x:f>
      </x:c>
      <x:c r="AE2190" t="str">
        <x:f>IF(OR(AA2190="",AB2190=""),"PENDING_HUMAN",IF(AA2190=AB2190,AA2190,IF(AD2190&lt;&gt;"",AD2190,"PENDING_HUMAN")))</x:f>
        <x:v>PENDING_HUMAN</x:v>
      </x:c>
      <x:c r="AF2190" t="n">
        <x:f>--AND(A2190&lt;&gt;"",AA2190&lt;&gt;"",AB2190&lt;&gt;"",OR(AA2190=AB2190,AD2190&lt;&gt;""),IF(AE2190="HALLUCINATION",U2190&lt;&gt;"",TRUE))</x:f>
        <x:v>0</x:v>
      </x:c>
      <x:c r="AG2190" t="n">
        <x:f>--AND(N2190=1,AF2190=1,OR(AE2190="SUPPORTED",AE2190="HALLUCINATION"))</x:f>
        <x:v>0</x:v>
      </x:c>
      <x:c r="AH2190" t="n">
        <x:f>--AND(AG2190=1,AE2190="HALLUCINATION")</x:f>
        <x:v>0</x:v>
      </x:c>
      <x:c r="AI2190" t="n">
        <x:f>--AND(Q2190=1,AF2190=1,AE2190="HALLUCINATION")</x:f>
        <x:v>0</x:v>
      </x:c>
      <x:c r="AJ2190" t="n">
        <x:f>--AND(AI2190=1,R2190=1,S2190=1)</x:f>
        <x:v>0</x:v>
      </x:c>
    </x:row>
    <x:row r="2191">
      <x:c r="A2191" s="28"/>
      <x:c r="B2191" s="28"/>
      <x:c r="C2191" s="28"/>
      <x:c r="D2191" s="28"/>
      <x:c r="E2191" s="28"/>
      <x:c r="F2191" s="28"/>
      <x:c r="G2191" s="28"/>
      <x:c r="H2191" s="28"/>
      <x:c r="I2191" s="28"/>
      <x:c r="J2191" s="28"/>
      <x:c r="K2191" s="28"/>
      <x:c r="L2191" s="28"/>
      <x:c r="M2191" s="28"/>
      <x:c r="N2191" s="28"/>
      <x:c r="O2191" s="28"/>
      <x:c r="P2191" s="28"/>
      <x:c r="Q2191" s="28"/>
      <x:c r="R2191" s="28"/>
      <x:c r="S2191" s="28"/>
      <x:c r="T2191" s="28"/>
      <x:c r="U2191" s="28"/>
      <x:c r="V2191" s="28"/>
      <x:c r="W2191" s="43" t="n">
        <x:f>--AND(N2191=1,OR(O2191="SUPPORTED",O2191="HALLUCINATION"))</x:f>
        <x:v>0</x:v>
      </x:c>
      <x:c r="X2191" s="43" t="n">
        <x:f>--AND(W2191=1,O2191="HALLUCINATION")</x:f>
        <x:v>0</x:v>
      </x:c>
      <x:c r="Y2191" s="43" t="n">
        <x:f>--AND(Q2191=1,O2191="HALLUCINATION")</x:f>
        <x:v>0</x:v>
      </x:c>
      <x:c r="Z2191" s="43" t="n">
        <x:f>--AND(Y2191=1,R2191=1,S2191=1)</x:f>
        <x:v>0</x:v>
      </x:c>
      <x:c r="AC2191" t="str">
        <x:f>IF(OR(AA2191="",AB2191=""),"",--(AA2191&lt;&gt;AB2191))</x:f>
      </x:c>
      <x:c r="AE2191" t="str">
        <x:f>IF(OR(AA2191="",AB2191=""),"PENDING_HUMAN",IF(AA2191=AB2191,AA2191,IF(AD2191&lt;&gt;"",AD2191,"PENDING_HUMAN")))</x:f>
        <x:v>PENDING_HUMAN</x:v>
      </x:c>
      <x:c r="AF2191" t="n">
        <x:f>--AND(A2191&lt;&gt;"",AA2191&lt;&gt;"",AB2191&lt;&gt;"",OR(AA2191=AB2191,AD2191&lt;&gt;""),IF(AE2191="HALLUCINATION",U2191&lt;&gt;"",TRUE))</x:f>
        <x:v>0</x:v>
      </x:c>
      <x:c r="AG2191" t="n">
        <x:f>--AND(N2191=1,AF2191=1,OR(AE2191="SUPPORTED",AE2191="HALLUCINATION"))</x:f>
        <x:v>0</x:v>
      </x:c>
      <x:c r="AH2191" t="n">
        <x:f>--AND(AG2191=1,AE2191="HALLUCINATION")</x:f>
        <x:v>0</x:v>
      </x:c>
      <x:c r="AI2191" t="n">
        <x:f>--AND(Q2191=1,AF2191=1,AE2191="HALLUCINATION")</x:f>
        <x:v>0</x:v>
      </x:c>
      <x:c r="AJ2191" t="n">
        <x:f>--AND(AI2191=1,R2191=1,S2191=1)</x:f>
        <x:v>0</x:v>
      </x:c>
    </x:row>
    <x:row r="2192">
      <x:c r="A2192" s="28"/>
      <x:c r="B2192" s="28"/>
      <x:c r="C2192" s="28"/>
      <x:c r="D2192" s="28"/>
      <x:c r="E2192" s="28"/>
      <x:c r="F2192" s="28"/>
      <x:c r="G2192" s="28"/>
      <x:c r="H2192" s="28"/>
      <x:c r="I2192" s="28"/>
      <x:c r="J2192" s="28"/>
      <x:c r="K2192" s="28"/>
      <x:c r="L2192" s="28"/>
      <x:c r="M2192" s="28"/>
      <x:c r="N2192" s="28"/>
      <x:c r="O2192" s="28"/>
      <x:c r="P2192" s="28"/>
      <x:c r="Q2192" s="28"/>
      <x:c r="R2192" s="28"/>
      <x:c r="S2192" s="28"/>
      <x:c r="T2192" s="28"/>
      <x:c r="U2192" s="28"/>
      <x:c r="V2192" s="28"/>
      <x:c r="W2192" s="43" t="n">
        <x:f>--AND(N2192=1,OR(O2192="SUPPORTED",O2192="HALLUCINATION"))</x:f>
        <x:v>0</x:v>
      </x:c>
      <x:c r="X2192" s="43" t="n">
        <x:f>--AND(W2192=1,O2192="HALLUCINATION")</x:f>
        <x:v>0</x:v>
      </x:c>
      <x:c r="Y2192" s="43" t="n">
        <x:f>--AND(Q2192=1,O2192="HALLUCINATION")</x:f>
        <x:v>0</x:v>
      </x:c>
      <x:c r="Z2192" s="43" t="n">
        <x:f>--AND(Y2192=1,R2192=1,S2192=1)</x:f>
        <x:v>0</x:v>
      </x:c>
      <x:c r="AC2192" t="str">
        <x:f>IF(OR(AA2192="",AB2192=""),"",--(AA2192&lt;&gt;AB2192))</x:f>
      </x:c>
      <x:c r="AE2192" t="str">
        <x:f>IF(OR(AA2192="",AB2192=""),"PENDING_HUMAN",IF(AA2192=AB2192,AA2192,IF(AD2192&lt;&gt;"",AD2192,"PENDING_HUMAN")))</x:f>
        <x:v>PENDING_HUMAN</x:v>
      </x:c>
      <x:c r="AF2192" t="n">
        <x:f>--AND(A2192&lt;&gt;"",AA2192&lt;&gt;"",AB2192&lt;&gt;"",OR(AA2192=AB2192,AD2192&lt;&gt;""),IF(AE2192="HALLUCINATION",U2192&lt;&gt;"",TRUE))</x:f>
        <x:v>0</x:v>
      </x:c>
      <x:c r="AG2192" t="n">
        <x:f>--AND(N2192=1,AF2192=1,OR(AE2192="SUPPORTED",AE2192="HALLUCINATION"))</x:f>
        <x:v>0</x:v>
      </x:c>
      <x:c r="AH2192" t="n">
        <x:f>--AND(AG2192=1,AE2192="HALLUCINATION")</x:f>
        <x:v>0</x:v>
      </x:c>
      <x:c r="AI2192" t="n">
        <x:f>--AND(Q2192=1,AF2192=1,AE2192="HALLUCINATION")</x:f>
        <x:v>0</x:v>
      </x:c>
      <x:c r="AJ2192" t="n">
        <x:f>--AND(AI2192=1,R2192=1,S2192=1)</x:f>
        <x:v>0</x:v>
      </x:c>
    </x:row>
    <x:row r="2193">
      <x:c r="A2193" s="28"/>
      <x:c r="B2193" s="28"/>
      <x:c r="C2193" s="28"/>
      <x:c r="D2193" s="28"/>
      <x:c r="E2193" s="28"/>
      <x:c r="F2193" s="28"/>
      <x:c r="G2193" s="28"/>
      <x:c r="H2193" s="28"/>
      <x:c r="I2193" s="28"/>
      <x:c r="J2193" s="28"/>
      <x:c r="K2193" s="28"/>
      <x:c r="L2193" s="28"/>
      <x:c r="M2193" s="28"/>
      <x:c r="N2193" s="28"/>
      <x:c r="O2193" s="28"/>
      <x:c r="P2193" s="28"/>
      <x:c r="Q2193" s="28"/>
      <x:c r="R2193" s="28"/>
      <x:c r="S2193" s="28"/>
      <x:c r="T2193" s="28"/>
      <x:c r="U2193" s="28"/>
      <x:c r="V2193" s="28"/>
      <x:c r="W2193" s="43" t="n">
        <x:f>--AND(N2193=1,OR(O2193="SUPPORTED",O2193="HALLUCINATION"))</x:f>
        <x:v>0</x:v>
      </x:c>
      <x:c r="X2193" s="43" t="n">
        <x:f>--AND(W2193=1,O2193="HALLUCINATION")</x:f>
        <x:v>0</x:v>
      </x:c>
      <x:c r="Y2193" s="43" t="n">
        <x:f>--AND(Q2193=1,O2193="HALLUCINATION")</x:f>
        <x:v>0</x:v>
      </x:c>
      <x:c r="Z2193" s="43" t="n">
        <x:f>--AND(Y2193=1,R2193=1,S2193=1)</x:f>
        <x:v>0</x:v>
      </x:c>
      <x:c r="AC2193" t="str">
        <x:f>IF(OR(AA2193="",AB2193=""),"",--(AA2193&lt;&gt;AB2193))</x:f>
      </x:c>
      <x:c r="AE2193" t="str">
        <x:f>IF(OR(AA2193="",AB2193=""),"PENDING_HUMAN",IF(AA2193=AB2193,AA2193,IF(AD2193&lt;&gt;"",AD2193,"PENDING_HUMAN")))</x:f>
        <x:v>PENDING_HUMAN</x:v>
      </x:c>
      <x:c r="AF2193" t="n">
        <x:f>--AND(A2193&lt;&gt;"",AA2193&lt;&gt;"",AB2193&lt;&gt;"",OR(AA2193=AB2193,AD2193&lt;&gt;""),IF(AE2193="HALLUCINATION",U2193&lt;&gt;"",TRUE))</x:f>
        <x:v>0</x:v>
      </x:c>
      <x:c r="AG2193" t="n">
        <x:f>--AND(N2193=1,AF2193=1,OR(AE2193="SUPPORTED",AE2193="HALLUCINATION"))</x:f>
        <x:v>0</x:v>
      </x:c>
      <x:c r="AH2193" t="n">
        <x:f>--AND(AG2193=1,AE2193="HALLUCINATION")</x:f>
        <x:v>0</x:v>
      </x:c>
      <x:c r="AI2193" t="n">
        <x:f>--AND(Q2193=1,AF2193=1,AE2193="HALLUCINATION")</x:f>
        <x:v>0</x:v>
      </x:c>
      <x:c r="AJ2193" t="n">
        <x:f>--AND(AI2193=1,R2193=1,S2193=1)</x:f>
        <x:v>0</x:v>
      </x:c>
    </x:row>
    <x:row r="2194">
      <x:c r="A2194" s="28"/>
      <x:c r="B2194" s="28"/>
      <x:c r="C2194" s="28"/>
      <x:c r="D2194" s="28"/>
      <x:c r="E2194" s="28"/>
      <x:c r="F2194" s="28"/>
      <x:c r="G2194" s="28"/>
      <x:c r="H2194" s="28"/>
      <x:c r="I2194" s="28"/>
      <x:c r="J2194" s="28"/>
      <x:c r="K2194" s="28"/>
      <x:c r="L2194" s="28"/>
      <x:c r="M2194" s="28"/>
      <x:c r="N2194" s="28"/>
      <x:c r="O2194" s="28"/>
      <x:c r="P2194" s="28"/>
      <x:c r="Q2194" s="28"/>
      <x:c r="R2194" s="28"/>
      <x:c r="S2194" s="28"/>
      <x:c r="T2194" s="28"/>
      <x:c r="U2194" s="28"/>
      <x:c r="V2194" s="28"/>
      <x:c r="W2194" s="43" t="n">
        <x:f>--AND(N2194=1,OR(O2194="SUPPORTED",O2194="HALLUCINATION"))</x:f>
        <x:v>0</x:v>
      </x:c>
      <x:c r="X2194" s="43" t="n">
        <x:f>--AND(W2194=1,O2194="HALLUCINATION")</x:f>
        <x:v>0</x:v>
      </x:c>
      <x:c r="Y2194" s="43" t="n">
        <x:f>--AND(Q2194=1,O2194="HALLUCINATION")</x:f>
        <x:v>0</x:v>
      </x:c>
      <x:c r="Z2194" s="43" t="n">
        <x:f>--AND(Y2194=1,R2194=1,S2194=1)</x:f>
        <x:v>0</x:v>
      </x:c>
      <x:c r="AC2194" t="str">
        <x:f>IF(OR(AA2194="",AB2194=""),"",--(AA2194&lt;&gt;AB2194))</x:f>
      </x:c>
      <x:c r="AE2194" t="str">
        <x:f>IF(OR(AA2194="",AB2194=""),"PENDING_HUMAN",IF(AA2194=AB2194,AA2194,IF(AD2194&lt;&gt;"",AD2194,"PENDING_HUMAN")))</x:f>
        <x:v>PENDING_HUMAN</x:v>
      </x:c>
      <x:c r="AF2194" t="n">
        <x:f>--AND(A2194&lt;&gt;"",AA2194&lt;&gt;"",AB2194&lt;&gt;"",OR(AA2194=AB2194,AD2194&lt;&gt;""),IF(AE2194="HALLUCINATION",U2194&lt;&gt;"",TRUE))</x:f>
        <x:v>0</x:v>
      </x:c>
      <x:c r="AG2194" t="n">
        <x:f>--AND(N2194=1,AF2194=1,OR(AE2194="SUPPORTED",AE2194="HALLUCINATION"))</x:f>
        <x:v>0</x:v>
      </x:c>
      <x:c r="AH2194" t="n">
        <x:f>--AND(AG2194=1,AE2194="HALLUCINATION")</x:f>
        <x:v>0</x:v>
      </x:c>
      <x:c r="AI2194" t="n">
        <x:f>--AND(Q2194=1,AF2194=1,AE2194="HALLUCINATION")</x:f>
        <x:v>0</x:v>
      </x:c>
      <x:c r="AJ2194" t="n">
        <x:f>--AND(AI2194=1,R2194=1,S2194=1)</x:f>
        <x:v>0</x:v>
      </x:c>
    </x:row>
    <x:row r="2195">
      <x:c r="A2195" s="28"/>
      <x:c r="B2195" s="28"/>
      <x:c r="C2195" s="28"/>
      <x:c r="D2195" s="28"/>
      <x:c r="E2195" s="28"/>
      <x:c r="F2195" s="28"/>
      <x:c r="G2195" s="28"/>
      <x:c r="H2195" s="28"/>
      <x:c r="I2195" s="28"/>
      <x:c r="J2195" s="28"/>
      <x:c r="K2195" s="28"/>
      <x:c r="L2195" s="28"/>
      <x:c r="M2195" s="28"/>
      <x:c r="N2195" s="28"/>
      <x:c r="O2195" s="28"/>
      <x:c r="P2195" s="28"/>
      <x:c r="Q2195" s="28"/>
      <x:c r="R2195" s="28"/>
      <x:c r="S2195" s="28"/>
      <x:c r="T2195" s="28"/>
      <x:c r="U2195" s="28"/>
      <x:c r="V2195" s="28"/>
      <x:c r="W2195" s="43" t="n">
        <x:f>--AND(N2195=1,OR(O2195="SUPPORTED",O2195="HALLUCINATION"))</x:f>
        <x:v>0</x:v>
      </x:c>
      <x:c r="X2195" s="43" t="n">
        <x:f>--AND(W2195=1,O2195="HALLUCINATION")</x:f>
        <x:v>0</x:v>
      </x:c>
      <x:c r="Y2195" s="43" t="n">
        <x:f>--AND(Q2195=1,O2195="HALLUCINATION")</x:f>
        <x:v>0</x:v>
      </x:c>
      <x:c r="Z2195" s="43" t="n">
        <x:f>--AND(Y2195=1,R2195=1,S2195=1)</x:f>
        <x:v>0</x:v>
      </x:c>
      <x:c r="AC2195" t="str">
        <x:f>IF(OR(AA2195="",AB2195=""),"",--(AA2195&lt;&gt;AB2195))</x:f>
      </x:c>
      <x:c r="AE2195" t="str">
        <x:f>IF(OR(AA2195="",AB2195=""),"PENDING_HUMAN",IF(AA2195=AB2195,AA2195,IF(AD2195&lt;&gt;"",AD2195,"PENDING_HUMAN")))</x:f>
        <x:v>PENDING_HUMAN</x:v>
      </x:c>
      <x:c r="AF2195" t="n">
        <x:f>--AND(A2195&lt;&gt;"",AA2195&lt;&gt;"",AB2195&lt;&gt;"",OR(AA2195=AB2195,AD2195&lt;&gt;""),IF(AE2195="HALLUCINATION",U2195&lt;&gt;"",TRUE))</x:f>
        <x:v>0</x:v>
      </x:c>
      <x:c r="AG2195" t="n">
        <x:f>--AND(N2195=1,AF2195=1,OR(AE2195="SUPPORTED",AE2195="HALLUCINATION"))</x:f>
        <x:v>0</x:v>
      </x:c>
      <x:c r="AH2195" t="n">
        <x:f>--AND(AG2195=1,AE2195="HALLUCINATION")</x:f>
        <x:v>0</x:v>
      </x:c>
      <x:c r="AI2195" t="n">
        <x:f>--AND(Q2195=1,AF2195=1,AE2195="HALLUCINATION")</x:f>
        <x:v>0</x:v>
      </x:c>
      <x:c r="AJ2195" t="n">
        <x:f>--AND(AI2195=1,R2195=1,S2195=1)</x:f>
        <x:v>0</x:v>
      </x:c>
    </x:row>
    <x:row r="2196">
      <x:c r="A2196" s="28"/>
      <x:c r="B2196" s="28"/>
      <x:c r="C2196" s="28"/>
      <x:c r="D2196" s="28"/>
      <x:c r="E2196" s="28"/>
      <x:c r="F2196" s="28"/>
      <x:c r="G2196" s="28"/>
      <x:c r="H2196" s="28"/>
      <x:c r="I2196" s="28"/>
      <x:c r="J2196" s="28"/>
      <x:c r="K2196" s="28"/>
      <x:c r="L2196" s="28"/>
      <x:c r="M2196" s="28"/>
      <x:c r="N2196" s="28"/>
      <x:c r="O2196" s="28"/>
      <x:c r="P2196" s="28"/>
      <x:c r="Q2196" s="28"/>
      <x:c r="R2196" s="28"/>
      <x:c r="S2196" s="28"/>
      <x:c r="T2196" s="28"/>
      <x:c r="U2196" s="28"/>
      <x:c r="V2196" s="28"/>
      <x:c r="W2196" s="43" t="n">
        <x:f>--AND(N2196=1,OR(O2196="SUPPORTED",O2196="HALLUCINATION"))</x:f>
        <x:v>0</x:v>
      </x:c>
      <x:c r="X2196" s="43" t="n">
        <x:f>--AND(W2196=1,O2196="HALLUCINATION")</x:f>
        <x:v>0</x:v>
      </x:c>
      <x:c r="Y2196" s="43" t="n">
        <x:f>--AND(Q2196=1,O2196="HALLUCINATION")</x:f>
        <x:v>0</x:v>
      </x:c>
      <x:c r="Z2196" s="43" t="n">
        <x:f>--AND(Y2196=1,R2196=1,S2196=1)</x:f>
        <x:v>0</x:v>
      </x:c>
      <x:c r="AC2196" t="str">
        <x:f>IF(OR(AA2196="",AB2196=""),"",--(AA2196&lt;&gt;AB2196))</x:f>
      </x:c>
      <x:c r="AE2196" t="str">
        <x:f>IF(OR(AA2196="",AB2196=""),"PENDING_HUMAN",IF(AA2196=AB2196,AA2196,IF(AD2196&lt;&gt;"",AD2196,"PENDING_HUMAN")))</x:f>
        <x:v>PENDING_HUMAN</x:v>
      </x:c>
      <x:c r="AF2196" t="n">
        <x:f>--AND(A2196&lt;&gt;"",AA2196&lt;&gt;"",AB2196&lt;&gt;"",OR(AA2196=AB2196,AD2196&lt;&gt;""),IF(AE2196="HALLUCINATION",U2196&lt;&gt;"",TRUE))</x:f>
        <x:v>0</x:v>
      </x:c>
      <x:c r="AG2196" t="n">
        <x:f>--AND(N2196=1,AF2196=1,OR(AE2196="SUPPORTED",AE2196="HALLUCINATION"))</x:f>
        <x:v>0</x:v>
      </x:c>
      <x:c r="AH2196" t="n">
        <x:f>--AND(AG2196=1,AE2196="HALLUCINATION")</x:f>
        <x:v>0</x:v>
      </x:c>
      <x:c r="AI2196" t="n">
        <x:f>--AND(Q2196=1,AF2196=1,AE2196="HALLUCINATION")</x:f>
        <x:v>0</x:v>
      </x:c>
      <x:c r="AJ2196" t="n">
        <x:f>--AND(AI2196=1,R2196=1,S2196=1)</x:f>
        <x:v>0</x:v>
      </x:c>
    </x:row>
    <x:row r="2197">
      <x:c r="A2197" s="28"/>
      <x:c r="B2197" s="28"/>
      <x:c r="C2197" s="28"/>
      <x:c r="D2197" s="28"/>
      <x:c r="E2197" s="28"/>
      <x:c r="F2197" s="28"/>
      <x:c r="G2197" s="28"/>
      <x:c r="H2197" s="28"/>
      <x:c r="I2197" s="28"/>
      <x:c r="J2197" s="28"/>
      <x:c r="K2197" s="28"/>
      <x:c r="L2197" s="28"/>
      <x:c r="M2197" s="28"/>
      <x:c r="N2197" s="28"/>
      <x:c r="O2197" s="28"/>
      <x:c r="P2197" s="28"/>
      <x:c r="Q2197" s="28"/>
      <x:c r="R2197" s="28"/>
      <x:c r="S2197" s="28"/>
      <x:c r="T2197" s="28"/>
      <x:c r="U2197" s="28"/>
      <x:c r="V2197" s="28"/>
      <x:c r="W2197" s="43" t="n">
        <x:f>--AND(N2197=1,OR(O2197="SUPPORTED",O2197="HALLUCINATION"))</x:f>
        <x:v>0</x:v>
      </x:c>
      <x:c r="X2197" s="43" t="n">
        <x:f>--AND(W2197=1,O2197="HALLUCINATION")</x:f>
        <x:v>0</x:v>
      </x:c>
      <x:c r="Y2197" s="43" t="n">
        <x:f>--AND(Q2197=1,O2197="HALLUCINATION")</x:f>
        <x:v>0</x:v>
      </x:c>
      <x:c r="Z2197" s="43" t="n">
        <x:f>--AND(Y2197=1,R2197=1,S2197=1)</x:f>
        <x:v>0</x:v>
      </x:c>
      <x:c r="AC2197" t="str">
        <x:f>IF(OR(AA2197="",AB2197=""),"",--(AA2197&lt;&gt;AB2197))</x:f>
      </x:c>
      <x:c r="AE2197" t="str">
        <x:f>IF(OR(AA2197="",AB2197=""),"PENDING_HUMAN",IF(AA2197=AB2197,AA2197,IF(AD2197&lt;&gt;"",AD2197,"PENDING_HUMAN")))</x:f>
        <x:v>PENDING_HUMAN</x:v>
      </x:c>
      <x:c r="AF2197" t="n">
        <x:f>--AND(A2197&lt;&gt;"",AA2197&lt;&gt;"",AB2197&lt;&gt;"",OR(AA2197=AB2197,AD2197&lt;&gt;""),IF(AE2197="HALLUCINATION",U2197&lt;&gt;"",TRUE))</x:f>
        <x:v>0</x:v>
      </x:c>
      <x:c r="AG2197" t="n">
        <x:f>--AND(N2197=1,AF2197=1,OR(AE2197="SUPPORTED",AE2197="HALLUCINATION"))</x:f>
        <x:v>0</x:v>
      </x:c>
      <x:c r="AH2197" t="n">
        <x:f>--AND(AG2197=1,AE2197="HALLUCINATION")</x:f>
        <x:v>0</x:v>
      </x:c>
      <x:c r="AI2197" t="n">
        <x:f>--AND(Q2197=1,AF2197=1,AE2197="HALLUCINATION")</x:f>
        <x:v>0</x:v>
      </x:c>
      <x:c r="AJ2197" t="n">
        <x:f>--AND(AI2197=1,R2197=1,S2197=1)</x:f>
        <x:v>0</x:v>
      </x:c>
    </x:row>
    <x:row r="2198">
      <x:c r="A2198" s="28"/>
      <x:c r="B2198" s="28"/>
      <x:c r="C2198" s="28"/>
      <x:c r="D2198" s="28"/>
      <x:c r="E2198" s="28"/>
      <x:c r="F2198" s="28"/>
      <x:c r="G2198" s="28"/>
      <x:c r="H2198" s="28"/>
      <x:c r="I2198" s="28"/>
      <x:c r="J2198" s="28"/>
      <x:c r="K2198" s="28"/>
      <x:c r="L2198" s="28"/>
      <x:c r="M2198" s="28"/>
      <x:c r="N2198" s="28"/>
      <x:c r="O2198" s="28"/>
      <x:c r="P2198" s="28"/>
      <x:c r="Q2198" s="28"/>
      <x:c r="R2198" s="28"/>
      <x:c r="S2198" s="28"/>
      <x:c r="T2198" s="28"/>
      <x:c r="U2198" s="28"/>
      <x:c r="V2198" s="28"/>
      <x:c r="W2198" s="43" t="n">
        <x:f>--AND(N2198=1,OR(O2198="SUPPORTED",O2198="HALLUCINATION"))</x:f>
        <x:v>0</x:v>
      </x:c>
      <x:c r="X2198" s="43" t="n">
        <x:f>--AND(W2198=1,O2198="HALLUCINATION")</x:f>
        <x:v>0</x:v>
      </x:c>
      <x:c r="Y2198" s="43" t="n">
        <x:f>--AND(Q2198=1,O2198="HALLUCINATION")</x:f>
        <x:v>0</x:v>
      </x:c>
      <x:c r="Z2198" s="43" t="n">
        <x:f>--AND(Y2198=1,R2198=1,S2198=1)</x:f>
        <x:v>0</x:v>
      </x:c>
      <x:c r="AC2198" t="str">
        <x:f>IF(OR(AA2198="",AB2198=""),"",--(AA2198&lt;&gt;AB2198))</x:f>
      </x:c>
      <x:c r="AE2198" t="str">
        <x:f>IF(OR(AA2198="",AB2198=""),"PENDING_HUMAN",IF(AA2198=AB2198,AA2198,IF(AD2198&lt;&gt;"",AD2198,"PENDING_HUMAN")))</x:f>
        <x:v>PENDING_HUMAN</x:v>
      </x:c>
      <x:c r="AF2198" t="n">
        <x:f>--AND(A2198&lt;&gt;"",AA2198&lt;&gt;"",AB2198&lt;&gt;"",OR(AA2198=AB2198,AD2198&lt;&gt;""),IF(AE2198="HALLUCINATION",U2198&lt;&gt;"",TRUE))</x:f>
        <x:v>0</x:v>
      </x:c>
      <x:c r="AG2198" t="n">
        <x:f>--AND(N2198=1,AF2198=1,OR(AE2198="SUPPORTED",AE2198="HALLUCINATION"))</x:f>
        <x:v>0</x:v>
      </x:c>
      <x:c r="AH2198" t="n">
        <x:f>--AND(AG2198=1,AE2198="HALLUCINATION")</x:f>
        <x:v>0</x:v>
      </x:c>
      <x:c r="AI2198" t="n">
        <x:f>--AND(Q2198=1,AF2198=1,AE2198="HALLUCINATION")</x:f>
        <x:v>0</x:v>
      </x:c>
      <x:c r="AJ2198" t="n">
        <x:f>--AND(AI2198=1,R2198=1,S2198=1)</x:f>
        <x:v>0</x:v>
      </x:c>
    </x:row>
    <x:row r="2199">
      <x:c r="A2199" s="28"/>
      <x:c r="B2199" s="28"/>
      <x:c r="C2199" s="28"/>
      <x:c r="D2199" s="28"/>
      <x:c r="E2199" s="28"/>
      <x:c r="F2199" s="28"/>
      <x:c r="G2199" s="28"/>
      <x:c r="H2199" s="28"/>
      <x:c r="I2199" s="28"/>
      <x:c r="J2199" s="28"/>
      <x:c r="K2199" s="28"/>
      <x:c r="L2199" s="28"/>
      <x:c r="M2199" s="28"/>
      <x:c r="N2199" s="28"/>
      <x:c r="O2199" s="28"/>
      <x:c r="P2199" s="28"/>
      <x:c r="Q2199" s="28"/>
      <x:c r="R2199" s="28"/>
      <x:c r="S2199" s="28"/>
      <x:c r="T2199" s="28"/>
      <x:c r="U2199" s="28"/>
      <x:c r="V2199" s="28"/>
      <x:c r="W2199" s="43" t="n">
        <x:f>--AND(N2199=1,OR(O2199="SUPPORTED",O2199="HALLUCINATION"))</x:f>
        <x:v>0</x:v>
      </x:c>
      <x:c r="X2199" s="43" t="n">
        <x:f>--AND(W2199=1,O2199="HALLUCINATION")</x:f>
        <x:v>0</x:v>
      </x:c>
      <x:c r="Y2199" s="43" t="n">
        <x:f>--AND(Q2199=1,O2199="HALLUCINATION")</x:f>
        <x:v>0</x:v>
      </x:c>
      <x:c r="Z2199" s="43" t="n">
        <x:f>--AND(Y2199=1,R2199=1,S2199=1)</x:f>
        <x:v>0</x:v>
      </x:c>
      <x:c r="AC2199" t="str">
        <x:f>IF(OR(AA2199="",AB2199=""),"",--(AA2199&lt;&gt;AB2199))</x:f>
      </x:c>
      <x:c r="AE2199" t="str">
        <x:f>IF(OR(AA2199="",AB2199=""),"PENDING_HUMAN",IF(AA2199=AB2199,AA2199,IF(AD2199&lt;&gt;"",AD2199,"PENDING_HUMAN")))</x:f>
        <x:v>PENDING_HUMAN</x:v>
      </x:c>
      <x:c r="AF2199" t="n">
        <x:f>--AND(A2199&lt;&gt;"",AA2199&lt;&gt;"",AB2199&lt;&gt;"",OR(AA2199=AB2199,AD2199&lt;&gt;""),IF(AE2199="HALLUCINATION",U2199&lt;&gt;"",TRUE))</x:f>
        <x:v>0</x:v>
      </x:c>
      <x:c r="AG2199" t="n">
        <x:f>--AND(N2199=1,AF2199=1,OR(AE2199="SUPPORTED",AE2199="HALLUCINATION"))</x:f>
        <x:v>0</x:v>
      </x:c>
      <x:c r="AH2199" t="n">
        <x:f>--AND(AG2199=1,AE2199="HALLUCINATION")</x:f>
        <x:v>0</x:v>
      </x:c>
      <x:c r="AI2199" t="n">
        <x:f>--AND(Q2199=1,AF2199=1,AE2199="HALLUCINATION")</x:f>
        <x:v>0</x:v>
      </x:c>
      <x:c r="AJ2199" t="n">
        <x:f>--AND(AI2199=1,R2199=1,S2199=1)</x:f>
        <x:v>0</x:v>
      </x:c>
    </x:row>
    <x:row r="2200">
      <x:c r="A2200" s="28"/>
      <x:c r="B2200" s="28"/>
      <x:c r="C2200" s="28"/>
      <x:c r="D2200" s="28"/>
      <x:c r="E2200" s="28"/>
      <x:c r="F2200" s="28"/>
      <x:c r="G2200" s="28"/>
      <x:c r="H2200" s="28"/>
      <x:c r="I2200" s="28"/>
      <x:c r="J2200" s="28"/>
      <x:c r="K2200" s="28"/>
      <x:c r="L2200" s="28"/>
      <x:c r="M2200" s="28"/>
      <x:c r="N2200" s="28"/>
      <x:c r="O2200" s="28"/>
      <x:c r="P2200" s="28"/>
      <x:c r="Q2200" s="28"/>
      <x:c r="R2200" s="28"/>
      <x:c r="S2200" s="28"/>
      <x:c r="T2200" s="28"/>
      <x:c r="U2200" s="28"/>
      <x:c r="V2200" s="28"/>
      <x:c r="W2200" s="43" t="n">
        <x:f>--AND(N2200=1,OR(O2200="SUPPORTED",O2200="HALLUCINATION"))</x:f>
        <x:v>0</x:v>
      </x:c>
      <x:c r="X2200" s="43" t="n">
        <x:f>--AND(W2200=1,O2200="HALLUCINATION")</x:f>
        <x:v>0</x:v>
      </x:c>
      <x:c r="Y2200" s="43" t="n">
        <x:f>--AND(Q2200=1,O2200="HALLUCINATION")</x:f>
        <x:v>0</x:v>
      </x:c>
      <x:c r="Z2200" s="43" t="n">
        <x:f>--AND(Y2200=1,R2200=1,S2200=1)</x:f>
        <x:v>0</x:v>
      </x:c>
      <x:c r="AC2200" t="str">
        <x:f>IF(OR(AA2200="",AB2200=""),"",--(AA2200&lt;&gt;AB2200))</x:f>
      </x:c>
      <x:c r="AE2200" t="str">
        <x:f>IF(OR(AA2200="",AB2200=""),"PENDING_HUMAN",IF(AA2200=AB2200,AA2200,IF(AD2200&lt;&gt;"",AD2200,"PENDING_HUMAN")))</x:f>
        <x:v>PENDING_HUMAN</x:v>
      </x:c>
      <x:c r="AF2200" t="n">
        <x:f>--AND(A2200&lt;&gt;"",AA2200&lt;&gt;"",AB2200&lt;&gt;"",OR(AA2200=AB2200,AD2200&lt;&gt;""),IF(AE2200="HALLUCINATION",U2200&lt;&gt;"",TRUE))</x:f>
        <x:v>0</x:v>
      </x:c>
      <x:c r="AG2200" t="n">
        <x:f>--AND(N2200=1,AF2200=1,OR(AE2200="SUPPORTED",AE2200="HALLUCINATION"))</x:f>
        <x:v>0</x:v>
      </x:c>
      <x:c r="AH2200" t="n">
        <x:f>--AND(AG2200=1,AE2200="HALLUCINATION")</x:f>
        <x:v>0</x:v>
      </x:c>
      <x:c r="AI2200" t="n">
        <x:f>--AND(Q2200=1,AF2200=1,AE2200="HALLUCINATION")</x:f>
        <x:v>0</x:v>
      </x:c>
      <x:c r="AJ2200" t="n">
        <x:f>--AND(AI2200=1,R2200=1,S2200=1)</x:f>
        <x:v>0</x:v>
      </x:c>
    </x:row>
    <x:row r="2201">
      <x:c r="A2201" s="28"/>
      <x:c r="B2201" s="28"/>
      <x:c r="C2201" s="28"/>
      <x:c r="D2201" s="28"/>
      <x:c r="E2201" s="28"/>
      <x:c r="F2201" s="28"/>
      <x:c r="G2201" s="28"/>
      <x:c r="H2201" s="28"/>
      <x:c r="I2201" s="28"/>
      <x:c r="J2201" s="28"/>
      <x:c r="K2201" s="28"/>
      <x:c r="L2201" s="28"/>
      <x:c r="M2201" s="28"/>
      <x:c r="N2201" s="28"/>
      <x:c r="O2201" s="28"/>
      <x:c r="P2201" s="28"/>
      <x:c r="Q2201" s="28"/>
      <x:c r="R2201" s="28"/>
      <x:c r="S2201" s="28"/>
      <x:c r="T2201" s="28"/>
      <x:c r="U2201" s="28"/>
      <x:c r="V2201" s="28"/>
      <x:c r="W2201" s="43" t="n">
        <x:f>--AND(N2201=1,OR(O2201="SUPPORTED",O2201="HALLUCINATION"))</x:f>
        <x:v>0</x:v>
      </x:c>
      <x:c r="X2201" s="43" t="n">
        <x:f>--AND(W2201=1,O2201="HALLUCINATION")</x:f>
        <x:v>0</x:v>
      </x:c>
      <x:c r="Y2201" s="43" t="n">
        <x:f>--AND(Q2201=1,O2201="HALLUCINATION")</x:f>
        <x:v>0</x:v>
      </x:c>
      <x:c r="Z2201" s="43" t="n">
        <x:f>--AND(Y2201=1,R2201=1,S2201=1)</x:f>
        <x:v>0</x:v>
      </x:c>
      <x:c r="AC2201" t="str">
        <x:f>IF(OR(AA2201="",AB2201=""),"",--(AA2201&lt;&gt;AB2201))</x:f>
      </x:c>
      <x:c r="AE2201" t="str">
        <x:f>IF(OR(AA2201="",AB2201=""),"PENDING_HUMAN",IF(AA2201=AB2201,AA2201,IF(AD2201&lt;&gt;"",AD2201,"PENDING_HUMAN")))</x:f>
        <x:v>PENDING_HUMAN</x:v>
      </x:c>
      <x:c r="AF2201" t="n">
        <x:f>--AND(A2201&lt;&gt;"",AA2201&lt;&gt;"",AB2201&lt;&gt;"",OR(AA2201=AB2201,AD2201&lt;&gt;""),IF(AE2201="HALLUCINATION",U2201&lt;&gt;"",TRUE))</x:f>
        <x:v>0</x:v>
      </x:c>
      <x:c r="AG2201" t="n">
        <x:f>--AND(N2201=1,AF2201=1,OR(AE2201="SUPPORTED",AE2201="HALLUCINATION"))</x:f>
        <x:v>0</x:v>
      </x:c>
      <x:c r="AH2201" t="n">
        <x:f>--AND(AG2201=1,AE2201="HALLUCINATION")</x:f>
        <x:v>0</x:v>
      </x:c>
      <x:c r="AI2201" t="n">
        <x:f>--AND(Q2201=1,AF2201=1,AE2201="HALLUCINATION")</x:f>
        <x:v>0</x:v>
      </x:c>
      <x:c r="AJ2201" t="n">
        <x:f>--AND(AI2201=1,R2201=1,S2201=1)</x:f>
        <x:v>0</x:v>
      </x:c>
    </x:row>
    <x:row r="2202">
      <x:c r="A2202" s="28"/>
      <x:c r="B2202" s="28"/>
      <x:c r="C2202" s="28"/>
      <x:c r="D2202" s="28"/>
      <x:c r="E2202" s="28"/>
      <x:c r="F2202" s="28"/>
      <x:c r="G2202" s="28"/>
      <x:c r="H2202" s="28"/>
      <x:c r="I2202" s="28"/>
      <x:c r="J2202" s="28"/>
      <x:c r="K2202" s="28"/>
      <x:c r="L2202" s="28"/>
      <x:c r="M2202" s="28"/>
      <x:c r="N2202" s="28"/>
      <x:c r="O2202" s="28"/>
      <x:c r="P2202" s="28"/>
      <x:c r="Q2202" s="28"/>
      <x:c r="R2202" s="28"/>
      <x:c r="S2202" s="28"/>
      <x:c r="T2202" s="28"/>
      <x:c r="U2202" s="28"/>
      <x:c r="V2202" s="28"/>
      <x:c r="W2202" s="43" t="n">
        <x:f>--AND(N2202=1,OR(O2202="SUPPORTED",O2202="HALLUCINATION"))</x:f>
        <x:v>0</x:v>
      </x:c>
      <x:c r="X2202" s="43" t="n">
        <x:f>--AND(W2202=1,O2202="HALLUCINATION")</x:f>
        <x:v>0</x:v>
      </x:c>
      <x:c r="Y2202" s="43" t="n">
        <x:f>--AND(Q2202=1,O2202="HALLUCINATION")</x:f>
        <x:v>0</x:v>
      </x:c>
      <x:c r="Z2202" s="43" t="n">
        <x:f>--AND(Y2202=1,R2202=1,S2202=1)</x:f>
        <x:v>0</x:v>
      </x:c>
      <x:c r="AC2202" t="str">
        <x:f>IF(OR(AA2202="",AB2202=""),"",--(AA2202&lt;&gt;AB2202))</x:f>
      </x:c>
      <x:c r="AE2202" t="str">
        <x:f>IF(OR(AA2202="",AB2202=""),"PENDING_HUMAN",IF(AA2202=AB2202,AA2202,IF(AD2202&lt;&gt;"",AD2202,"PENDING_HUMAN")))</x:f>
        <x:v>PENDING_HUMAN</x:v>
      </x:c>
      <x:c r="AF2202" t="n">
        <x:f>--AND(A2202&lt;&gt;"",AA2202&lt;&gt;"",AB2202&lt;&gt;"",OR(AA2202=AB2202,AD2202&lt;&gt;""),IF(AE2202="HALLUCINATION",U2202&lt;&gt;"",TRUE))</x:f>
        <x:v>0</x:v>
      </x:c>
      <x:c r="AG2202" t="n">
        <x:f>--AND(N2202=1,AF2202=1,OR(AE2202="SUPPORTED",AE2202="HALLUCINATION"))</x:f>
        <x:v>0</x:v>
      </x:c>
      <x:c r="AH2202" t="n">
        <x:f>--AND(AG2202=1,AE2202="HALLUCINATION")</x:f>
        <x:v>0</x:v>
      </x:c>
      <x:c r="AI2202" t="n">
        <x:f>--AND(Q2202=1,AF2202=1,AE2202="HALLUCINATION")</x:f>
        <x:v>0</x:v>
      </x:c>
      <x:c r="AJ2202" t="n">
        <x:f>--AND(AI2202=1,R2202=1,S2202=1)</x:f>
        <x:v>0</x:v>
      </x:c>
    </x:row>
    <x:row r="2203">
      <x:c r="A2203" s="28"/>
      <x:c r="B2203" s="28"/>
      <x:c r="C2203" s="28"/>
      <x:c r="D2203" s="28"/>
      <x:c r="E2203" s="28"/>
      <x:c r="F2203" s="28"/>
      <x:c r="G2203" s="28"/>
      <x:c r="H2203" s="28"/>
      <x:c r="I2203" s="28"/>
      <x:c r="J2203" s="28"/>
      <x:c r="K2203" s="28"/>
      <x:c r="L2203" s="28"/>
      <x:c r="M2203" s="28"/>
      <x:c r="N2203" s="28"/>
      <x:c r="O2203" s="28"/>
      <x:c r="P2203" s="28"/>
      <x:c r="Q2203" s="28"/>
      <x:c r="R2203" s="28"/>
      <x:c r="S2203" s="28"/>
      <x:c r="T2203" s="28"/>
      <x:c r="U2203" s="28"/>
      <x:c r="V2203" s="28"/>
      <x:c r="W2203" s="43" t="n">
        <x:f>--AND(N2203=1,OR(O2203="SUPPORTED",O2203="HALLUCINATION"))</x:f>
        <x:v>0</x:v>
      </x:c>
      <x:c r="X2203" s="43" t="n">
        <x:f>--AND(W2203=1,O2203="HALLUCINATION")</x:f>
        <x:v>0</x:v>
      </x:c>
      <x:c r="Y2203" s="43" t="n">
        <x:f>--AND(Q2203=1,O2203="HALLUCINATION")</x:f>
        <x:v>0</x:v>
      </x:c>
      <x:c r="Z2203" s="43" t="n">
        <x:f>--AND(Y2203=1,R2203=1,S2203=1)</x:f>
        <x:v>0</x:v>
      </x:c>
      <x:c r="AC2203" t="str">
        <x:f>IF(OR(AA2203="",AB2203=""),"",--(AA2203&lt;&gt;AB2203))</x:f>
      </x:c>
      <x:c r="AE2203" t="str">
        <x:f>IF(OR(AA2203="",AB2203=""),"PENDING_HUMAN",IF(AA2203=AB2203,AA2203,IF(AD2203&lt;&gt;"",AD2203,"PENDING_HUMAN")))</x:f>
        <x:v>PENDING_HUMAN</x:v>
      </x:c>
      <x:c r="AF2203" t="n">
        <x:f>--AND(A2203&lt;&gt;"",AA2203&lt;&gt;"",AB2203&lt;&gt;"",OR(AA2203=AB2203,AD2203&lt;&gt;""),IF(AE2203="HALLUCINATION",U2203&lt;&gt;"",TRUE))</x:f>
        <x:v>0</x:v>
      </x:c>
      <x:c r="AG2203" t="n">
        <x:f>--AND(N2203=1,AF2203=1,OR(AE2203="SUPPORTED",AE2203="HALLUCINATION"))</x:f>
        <x:v>0</x:v>
      </x:c>
      <x:c r="AH2203" t="n">
        <x:f>--AND(AG2203=1,AE2203="HALLUCINATION")</x:f>
        <x:v>0</x:v>
      </x:c>
      <x:c r="AI2203" t="n">
        <x:f>--AND(Q2203=1,AF2203=1,AE2203="HALLUCINATION")</x:f>
        <x:v>0</x:v>
      </x:c>
      <x:c r="AJ2203" t="n">
        <x:f>--AND(AI2203=1,R2203=1,S2203=1)</x:f>
        <x:v>0</x:v>
      </x:c>
    </x:row>
    <x:row r="2204">
      <x:c r="A2204" s="28"/>
      <x:c r="B2204" s="28"/>
      <x:c r="C2204" s="28"/>
      <x:c r="D2204" s="28"/>
      <x:c r="E2204" s="28"/>
      <x:c r="F2204" s="28"/>
      <x:c r="G2204" s="28"/>
      <x:c r="H2204" s="28"/>
      <x:c r="I2204" s="28"/>
      <x:c r="J2204" s="28"/>
      <x:c r="K2204" s="28"/>
      <x:c r="L2204" s="28"/>
      <x:c r="M2204" s="28"/>
      <x:c r="N2204" s="28"/>
      <x:c r="O2204" s="28"/>
      <x:c r="P2204" s="28"/>
      <x:c r="Q2204" s="28"/>
      <x:c r="R2204" s="28"/>
      <x:c r="S2204" s="28"/>
      <x:c r="T2204" s="28"/>
      <x:c r="U2204" s="28"/>
      <x:c r="V2204" s="28"/>
      <x:c r="W2204" s="43" t="n">
        <x:f>--AND(N2204=1,OR(O2204="SUPPORTED",O2204="HALLUCINATION"))</x:f>
        <x:v>0</x:v>
      </x:c>
      <x:c r="X2204" s="43" t="n">
        <x:f>--AND(W2204=1,O2204="HALLUCINATION")</x:f>
        <x:v>0</x:v>
      </x:c>
      <x:c r="Y2204" s="43" t="n">
        <x:f>--AND(Q2204=1,O2204="HALLUCINATION")</x:f>
        <x:v>0</x:v>
      </x:c>
      <x:c r="Z2204" s="43" t="n">
        <x:f>--AND(Y2204=1,R2204=1,S2204=1)</x:f>
        <x:v>0</x:v>
      </x:c>
      <x:c r="AC2204" t="str">
        <x:f>IF(OR(AA2204="",AB2204=""),"",--(AA2204&lt;&gt;AB2204))</x:f>
      </x:c>
      <x:c r="AE2204" t="str">
        <x:f>IF(OR(AA2204="",AB2204=""),"PENDING_HUMAN",IF(AA2204=AB2204,AA2204,IF(AD2204&lt;&gt;"",AD2204,"PENDING_HUMAN")))</x:f>
        <x:v>PENDING_HUMAN</x:v>
      </x:c>
      <x:c r="AF2204" t="n">
        <x:f>--AND(A2204&lt;&gt;"",AA2204&lt;&gt;"",AB2204&lt;&gt;"",OR(AA2204=AB2204,AD2204&lt;&gt;""),IF(AE2204="HALLUCINATION",U2204&lt;&gt;"",TRUE))</x:f>
        <x:v>0</x:v>
      </x:c>
      <x:c r="AG2204" t="n">
        <x:f>--AND(N2204=1,AF2204=1,OR(AE2204="SUPPORTED",AE2204="HALLUCINATION"))</x:f>
        <x:v>0</x:v>
      </x:c>
      <x:c r="AH2204" t="n">
        <x:f>--AND(AG2204=1,AE2204="HALLUCINATION")</x:f>
        <x:v>0</x:v>
      </x:c>
      <x:c r="AI2204" t="n">
        <x:f>--AND(Q2204=1,AF2204=1,AE2204="HALLUCINATION")</x:f>
        <x:v>0</x:v>
      </x:c>
      <x:c r="AJ2204" t="n">
        <x:f>--AND(AI2204=1,R2204=1,S2204=1)</x:f>
        <x:v>0</x:v>
      </x:c>
    </x:row>
    <x:row r="2205">
      <x:c r="A2205" s="28"/>
      <x:c r="B2205" s="28"/>
      <x:c r="C2205" s="28"/>
      <x:c r="D2205" s="28"/>
      <x:c r="E2205" s="28"/>
      <x:c r="F2205" s="28"/>
      <x:c r="G2205" s="28"/>
      <x:c r="H2205" s="28"/>
      <x:c r="I2205" s="28"/>
      <x:c r="J2205" s="28"/>
      <x:c r="K2205" s="28"/>
      <x:c r="L2205" s="28"/>
      <x:c r="M2205" s="28"/>
      <x:c r="N2205" s="28"/>
      <x:c r="O2205" s="28"/>
      <x:c r="P2205" s="28"/>
      <x:c r="Q2205" s="28"/>
      <x:c r="R2205" s="28"/>
      <x:c r="S2205" s="28"/>
      <x:c r="T2205" s="28"/>
      <x:c r="U2205" s="28"/>
      <x:c r="V2205" s="28"/>
      <x:c r="W2205" s="43" t="n">
        <x:f>--AND(N2205=1,OR(O2205="SUPPORTED",O2205="HALLUCINATION"))</x:f>
        <x:v>0</x:v>
      </x:c>
      <x:c r="X2205" s="43" t="n">
        <x:f>--AND(W2205=1,O2205="HALLUCINATION")</x:f>
        <x:v>0</x:v>
      </x:c>
      <x:c r="Y2205" s="43" t="n">
        <x:f>--AND(Q2205=1,O2205="HALLUCINATION")</x:f>
        <x:v>0</x:v>
      </x:c>
      <x:c r="Z2205" s="43" t="n">
        <x:f>--AND(Y2205=1,R2205=1,S2205=1)</x:f>
        <x:v>0</x:v>
      </x:c>
      <x:c r="AC2205" t="str">
        <x:f>IF(OR(AA2205="",AB2205=""),"",--(AA2205&lt;&gt;AB2205))</x:f>
      </x:c>
      <x:c r="AE2205" t="str">
        <x:f>IF(OR(AA2205="",AB2205=""),"PENDING_HUMAN",IF(AA2205=AB2205,AA2205,IF(AD2205&lt;&gt;"",AD2205,"PENDING_HUMAN")))</x:f>
        <x:v>PENDING_HUMAN</x:v>
      </x:c>
      <x:c r="AF2205" t="n">
        <x:f>--AND(A2205&lt;&gt;"",AA2205&lt;&gt;"",AB2205&lt;&gt;"",OR(AA2205=AB2205,AD2205&lt;&gt;""),IF(AE2205="HALLUCINATION",U2205&lt;&gt;"",TRUE))</x:f>
        <x:v>0</x:v>
      </x:c>
      <x:c r="AG2205" t="n">
        <x:f>--AND(N2205=1,AF2205=1,OR(AE2205="SUPPORTED",AE2205="HALLUCINATION"))</x:f>
        <x:v>0</x:v>
      </x:c>
      <x:c r="AH2205" t="n">
        <x:f>--AND(AG2205=1,AE2205="HALLUCINATION")</x:f>
        <x:v>0</x:v>
      </x:c>
      <x:c r="AI2205" t="n">
        <x:f>--AND(Q2205=1,AF2205=1,AE2205="HALLUCINATION")</x:f>
        <x:v>0</x:v>
      </x:c>
      <x:c r="AJ2205" t="n">
        <x:f>--AND(AI2205=1,R2205=1,S2205=1)</x:f>
        <x:v>0</x:v>
      </x:c>
    </x:row>
    <x:row r="2206">
      <x:c r="A2206" s="28"/>
      <x:c r="B2206" s="28"/>
      <x:c r="C2206" s="28"/>
      <x:c r="D2206" s="28"/>
      <x:c r="E2206" s="28"/>
      <x:c r="F2206" s="28"/>
      <x:c r="G2206" s="28"/>
      <x:c r="H2206" s="28"/>
      <x:c r="I2206" s="28"/>
      <x:c r="J2206" s="28"/>
      <x:c r="K2206" s="28"/>
      <x:c r="L2206" s="28"/>
      <x:c r="M2206" s="28"/>
      <x:c r="N2206" s="28"/>
      <x:c r="O2206" s="28"/>
      <x:c r="P2206" s="28"/>
      <x:c r="Q2206" s="28"/>
      <x:c r="R2206" s="28"/>
      <x:c r="S2206" s="28"/>
      <x:c r="T2206" s="28"/>
      <x:c r="U2206" s="28"/>
      <x:c r="V2206" s="28"/>
      <x:c r="W2206" s="43" t="n">
        <x:f>--AND(N2206=1,OR(O2206="SUPPORTED",O2206="HALLUCINATION"))</x:f>
        <x:v>0</x:v>
      </x:c>
      <x:c r="X2206" s="43" t="n">
        <x:f>--AND(W2206=1,O2206="HALLUCINATION")</x:f>
        <x:v>0</x:v>
      </x:c>
      <x:c r="Y2206" s="43" t="n">
        <x:f>--AND(Q2206=1,O2206="HALLUCINATION")</x:f>
        <x:v>0</x:v>
      </x:c>
      <x:c r="Z2206" s="43" t="n">
        <x:f>--AND(Y2206=1,R2206=1,S2206=1)</x:f>
        <x:v>0</x:v>
      </x:c>
      <x:c r="AC2206" t="str">
        <x:f>IF(OR(AA2206="",AB2206=""),"",--(AA2206&lt;&gt;AB2206))</x:f>
      </x:c>
      <x:c r="AE2206" t="str">
        <x:f>IF(OR(AA2206="",AB2206=""),"PENDING_HUMAN",IF(AA2206=AB2206,AA2206,IF(AD2206&lt;&gt;"",AD2206,"PENDING_HUMAN")))</x:f>
        <x:v>PENDING_HUMAN</x:v>
      </x:c>
      <x:c r="AF2206" t="n">
        <x:f>--AND(A2206&lt;&gt;"",AA2206&lt;&gt;"",AB2206&lt;&gt;"",OR(AA2206=AB2206,AD2206&lt;&gt;""),IF(AE2206="HALLUCINATION",U2206&lt;&gt;"",TRUE))</x:f>
        <x:v>0</x:v>
      </x:c>
      <x:c r="AG2206" t="n">
        <x:f>--AND(N2206=1,AF2206=1,OR(AE2206="SUPPORTED",AE2206="HALLUCINATION"))</x:f>
        <x:v>0</x:v>
      </x:c>
      <x:c r="AH2206" t="n">
        <x:f>--AND(AG2206=1,AE2206="HALLUCINATION")</x:f>
        <x:v>0</x:v>
      </x:c>
      <x:c r="AI2206" t="n">
        <x:f>--AND(Q2206=1,AF2206=1,AE2206="HALLUCINATION")</x:f>
        <x:v>0</x:v>
      </x:c>
      <x:c r="AJ2206" t="n">
        <x:f>--AND(AI2206=1,R2206=1,S2206=1)</x:f>
        <x:v>0</x:v>
      </x:c>
    </x:row>
    <x:row r="2207">
      <x:c r="A2207" s="28"/>
      <x:c r="B2207" s="28"/>
      <x:c r="C2207" s="28"/>
      <x:c r="D2207" s="28"/>
      <x:c r="E2207" s="28"/>
      <x:c r="F2207" s="28"/>
      <x:c r="G2207" s="28"/>
      <x:c r="H2207" s="28"/>
      <x:c r="I2207" s="28"/>
      <x:c r="J2207" s="28"/>
      <x:c r="K2207" s="28"/>
      <x:c r="L2207" s="28"/>
      <x:c r="M2207" s="28"/>
      <x:c r="N2207" s="28"/>
      <x:c r="O2207" s="28"/>
      <x:c r="P2207" s="28"/>
      <x:c r="Q2207" s="28"/>
      <x:c r="R2207" s="28"/>
      <x:c r="S2207" s="28"/>
      <x:c r="T2207" s="28"/>
      <x:c r="U2207" s="28"/>
      <x:c r="V2207" s="28"/>
      <x:c r="W2207" s="43" t="n">
        <x:f>--AND(N2207=1,OR(O2207="SUPPORTED",O2207="HALLUCINATION"))</x:f>
        <x:v>0</x:v>
      </x:c>
      <x:c r="X2207" s="43" t="n">
        <x:f>--AND(W2207=1,O2207="HALLUCINATION")</x:f>
        <x:v>0</x:v>
      </x:c>
      <x:c r="Y2207" s="43" t="n">
        <x:f>--AND(Q2207=1,O2207="HALLUCINATION")</x:f>
        <x:v>0</x:v>
      </x:c>
      <x:c r="Z2207" s="43" t="n">
        <x:f>--AND(Y2207=1,R2207=1,S2207=1)</x:f>
        <x:v>0</x:v>
      </x:c>
      <x:c r="AC2207" t="str">
        <x:f>IF(OR(AA2207="",AB2207=""),"",--(AA2207&lt;&gt;AB2207))</x:f>
      </x:c>
      <x:c r="AE2207" t="str">
        <x:f>IF(OR(AA2207="",AB2207=""),"PENDING_HUMAN",IF(AA2207=AB2207,AA2207,IF(AD2207&lt;&gt;"",AD2207,"PENDING_HUMAN")))</x:f>
        <x:v>PENDING_HUMAN</x:v>
      </x:c>
      <x:c r="AF2207" t="n">
        <x:f>--AND(A2207&lt;&gt;"",AA2207&lt;&gt;"",AB2207&lt;&gt;"",OR(AA2207=AB2207,AD2207&lt;&gt;""),IF(AE2207="HALLUCINATION",U2207&lt;&gt;"",TRUE))</x:f>
        <x:v>0</x:v>
      </x:c>
      <x:c r="AG2207" t="n">
        <x:f>--AND(N2207=1,AF2207=1,OR(AE2207="SUPPORTED",AE2207="HALLUCINATION"))</x:f>
        <x:v>0</x:v>
      </x:c>
      <x:c r="AH2207" t="n">
        <x:f>--AND(AG2207=1,AE2207="HALLUCINATION")</x:f>
        <x:v>0</x:v>
      </x:c>
      <x:c r="AI2207" t="n">
        <x:f>--AND(Q2207=1,AF2207=1,AE2207="HALLUCINATION")</x:f>
        <x:v>0</x:v>
      </x:c>
      <x:c r="AJ2207" t="n">
        <x:f>--AND(AI2207=1,R2207=1,S2207=1)</x:f>
        <x:v>0</x:v>
      </x:c>
    </x:row>
    <x:row r="2208">
      <x:c r="A2208" s="28"/>
      <x:c r="B2208" s="28"/>
      <x:c r="C2208" s="28"/>
      <x:c r="D2208" s="28"/>
      <x:c r="E2208" s="28"/>
      <x:c r="F2208" s="28"/>
      <x:c r="G2208" s="28"/>
      <x:c r="H2208" s="28"/>
      <x:c r="I2208" s="28"/>
      <x:c r="J2208" s="28"/>
      <x:c r="K2208" s="28"/>
      <x:c r="L2208" s="28"/>
      <x:c r="M2208" s="28"/>
      <x:c r="N2208" s="28"/>
      <x:c r="O2208" s="28"/>
      <x:c r="P2208" s="28"/>
      <x:c r="Q2208" s="28"/>
      <x:c r="R2208" s="28"/>
      <x:c r="S2208" s="28"/>
      <x:c r="T2208" s="28"/>
      <x:c r="U2208" s="28"/>
      <x:c r="V2208" s="28"/>
      <x:c r="W2208" s="43" t="n">
        <x:f>--AND(N2208=1,OR(O2208="SUPPORTED",O2208="HALLUCINATION"))</x:f>
        <x:v>0</x:v>
      </x:c>
      <x:c r="X2208" s="43" t="n">
        <x:f>--AND(W2208=1,O2208="HALLUCINATION")</x:f>
        <x:v>0</x:v>
      </x:c>
      <x:c r="Y2208" s="43" t="n">
        <x:f>--AND(Q2208=1,O2208="HALLUCINATION")</x:f>
        <x:v>0</x:v>
      </x:c>
      <x:c r="Z2208" s="43" t="n">
        <x:f>--AND(Y2208=1,R2208=1,S2208=1)</x:f>
        <x:v>0</x:v>
      </x:c>
      <x:c r="AC2208" t="str">
        <x:f>IF(OR(AA2208="",AB2208=""),"",--(AA2208&lt;&gt;AB2208))</x:f>
      </x:c>
      <x:c r="AE2208" t="str">
        <x:f>IF(OR(AA2208="",AB2208=""),"PENDING_HUMAN",IF(AA2208=AB2208,AA2208,IF(AD2208&lt;&gt;"",AD2208,"PENDING_HUMAN")))</x:f>
        <x:v>PENDING_HUMAN</x:v>
      </x:c>
      <x:c r="AF2208" t="n">
        <x:f>--AND(A2208&lt;&gt;"",AA2208&lt;&gt;"",AB2208&lt;&gt;"",OR(AA2208=AB2208,AD2208&lt;&gt;""),IF(AE2208="HALLUCINATION",U2208&lt;&gt;"",TRUE))</x:f>
        <x:v>0</x:v>
      </x:c>
      <x:c r="AG2208" t="n">
        <x:f>--AND(N2208=1,AF2208=1,OR(AE2208="SUPPORTED",AE2208="HALLUCINATION"))</x:f>
        <x:v>0</x:v>
      </x:c>
      <x:c r="AH2208" t="n">
        <x:f>--AND(AG2208=1,AE2208="HALLUCINATION")</x:f>
        <x:v>0</x:v>
      </x:c>
      <x:c r="AI2208" t="n">
        <x:f>--AND(Q2208=1,AF2208=1,AE2208="HALLUCINATION")</x:f>
        <x:v>0</x:v>
      </x:c>
      <x:c r="AJ2208" t="n">
        <x:f>--AND(AI2208=1,R2208=1,S2208=1)</x:f>
        <x:v>0</x:v>
      </x:c>
    </x:row>
    <x:row r="2209">
      <x:c r="A2209" s="28"/>
      <x:c r="B2209" s="28"/>
      <x:c r="C2209" s="28"/>
      <x:c r="D2209" s="28"/>
      <x:c r="E2209" s="28"/>
      <x:c r="F2209" s="28"/>
      <x:c r="G2209" s="28"/>
      <x:c r="H2209" s="28"/>
      <x:c r="I2209" s="28"/>
      <x:c r="J2209" s="28"/>
      <x:c r="K2209" s="28"/>
      <x:c r="L2209" s="28"/>
      <x:c r="M2209" s="28"/>
      <x:c r="N2209" s="28"/>
      <x:c r="O2209" s="28"/>
      <x:c r="P2209" s="28"/>
      <x:c r="Q2209" s="28"/>
      <x:c r="R2209" s="28"/>
      <x:c r="S2209" s="28"/>
      <x:c r="T2209" s="28"/>
      <x:c r="U2209" s="28"/>
      <x:c r="V2209" s="28"/>
      <x:c r="W2209" s="43" t="n">
        <x:f>--AND(N2209=1,OR(O2209="SUPPORTED",O2209="HALLUCINATION"))</x:f>
        <x:v>0</x:v>
      </x:c>
      <x:c r="X2209" s="43" t="n">
        <x:f>--AND(W2209=1,O2209="HALLUCINATION")</x:f>
        <x:v>0</x:v>
      </x:c>
      <x:c r="Y2209" s="43" t="n">
        <x:f>--AND(Q2209=1,O2209="HALLUCINATION")</x:f>
        <x:v>0</x:v>
      </x:c>
      <x:c r="Z2209" s="43" t="n">
        <x:f>--AND(Y2209=1,R2209=1,S2209=1)</x:f>
        <x:v>0</x:v>
      </x:c>
      <x:c r="AC2209" t="str">
        <x:f>IF(OR(AA2209="",AB2209=""),"",--(AA2209&lt;&gt;AB2209))</x:f>
      </x:c>
      <x:c r="AE2209" t="str">
        <x:f>IF(OR(AA2209="",AB2209=""),"PENDING_HUMAN",IF(AA2209=AB2209,AA2209,IF(AD2209&lt;&gt;"",AD2209,"PENDING_HUMAN")))</x:f>
        <x:v>PENDING_HUMAN</x:v>
      </x:c>
      <x:c r="AF2209" t="n">
        <x:f>--AND(A2209&lt;&gt;"",AA2209&lt;&gt;"",AB2209&lt;&gt;"",OR(AA2209=AB2209,AD2209&lt;&gt;""),IF(AE2209="HALLUCINATION",U2209&lt;&gt;"",TRUE))</x:f>
        <x:v>0</x:v>
      </x:c>
      <x:c r="AG2209" t="n">
        <x:f>--AND(N2209=1,AF2209=1,OR(AE2209="SUPPORTED",AE2209="HALLUCINATION"))</x:f>
        <x:v>0</x:v>
      </x:c>
      <x:c r="AH2209" t="n">
        <x:f>--AND(AG2209=1,AE2209="HALLUCINATION")</x:f>
        <x:v>0</x:v>
      </x:c>
      <x:c r="AI2209" t="n">
        <x:f>--AND(Q2209=1,AF2209=1,AE2209="HALLUCINATION")</x:f>
        <x:v>0</x:v>
      </x:c>
      <x:c r="AJ2209" t="n">
        <x:f>--AND(AI2209=1,R2209=1,S2209=1)</x:f>
        <x:v>0</x:v>
      </x:c>
    </x:row>
    <x:row r="2210">
      <x:c r="A2210" s="28"/>
      <x:c r="B2210" s="28"/>
      <x:c r="C2210" s="28"/>
      <x:c r="D2210" s="28"/>
      <x:c r="E2210" s="28"/>
      <x:c r="F2210" s="28"/>
      <x:c r="G2210" s="28"/>
      <x:c r="H2210" s="28"/>
      <x:c r="I2210" s="28"/>
      <x:c r="J2210" s="28"/>
      <x:c r="K2210" s="28"/>
      <x:c r="L2210" s="28"/>
      <x:c r="M2210" s="28"/>
      <x:c r="N2210" s="28"/>
      <x:c r="O2210" s="28"/>
      <x:c r="P2210" s="28"/>
      <x:c r="Q2210" s="28"/>
      <x:c r="R2210" s="28"/>
      <x:c r="S2210" s="28"/>
      <x:c r="T2210" s="28"/>
      <x:c r="U2210" s="28"/>
      <x:c r="V2210" s="28"/>
      <x:c r="W2210" s="43" t="n">
        <x:f>--AND(N2210=1,OR(O2210="SUPPORTED",O2210="HALLUCINATION"))</x:f>
        <x:v>0</x:v>
      </x:c>
      <x:c r="X2210" s="43" t="n">
        <x:f>--AND(W2210=1,O2210="HALLUCINATION")</x:f>
        <x:v>0</x:v>
      </x:c>
      <x:c r="Y2210" s="43" t="n">
        <x:f>--AND(Q2210=1,O2210="HALLUCINATION")</x:f>
        <x:v>0</x:v>
      </x:c>
      <x:c r="Z2210" s="43" t="n">
        <x:f>--AND(Y2210=1,R2210=1,S2210=1)</x:f>
        <x:v>0</x:v>
      </x:c>
      <x:c r="AC2210" t="str">
        <x:f>IF(OR(AA2210="",AB2210=""),"",--(AA2210&lt;&gt;AB2210))</x:f>
      </x:c>
      <x:c r="AE2210" t="str">
        <x:f>IF(OR(AA2210="",AB2210=""),"PENDING_HUMAN",IF(AA2210=AB2210,AA2210,IF(AD2210&lt;&gt;"",AD2210,"PENDING_HUMAN")))</x:f>
        <x:v>PENDING_HUMAN</x:v>
      </x:c>
      <x:c r="AF2210" t="n">
        <x:f>--AND(A2210&lt;&gt;"",AA2210&lt;&gt;"",AB2210&lt;&gt;"",OR(AA2210=AB2210,AD2210&lt;&gt;""),IF(AE2210="HALLUCINATION",U2210&lt;&gt;"",TRUE))</x:f>
        <x:v>0</x:v>
      </x:c>
      <x:c r="AG2210" t="n">
        <x:f>--AND(N2210=1,AF2210=1,OR(AE2210="SUPPORTED",AE2210="HALLUCINATION"))</x:f>
        <x:v>0</x:v>
      </x:c>
      <x:c r="AH2210" t="n">
        <x:f>--AND(AG2210=1,AE2210="HALLUCINATION")</x:f>
        <x:v>0</x:v>
      </x:c>
      <x:c r="AI2210" t="n">
        <x:f>--AND(Q2210=1,AF2210=1,AE2210="HALLUCINATION")</x:f>
        <x:v>0</x:v>
      </x:c>
      <x:c r="AJ2210" t="n">
        <x:f>--AND(AI2210=1,R2210=1,S2210=1)</x:f>
        <x:v>0</x:v>
      </x:c>
    </x:row>
    <x:row r="2211">
      <x:c r="A2211" s="28"/>
      <x:c r="B2211" s="28"/>
      <x:c r="C2211" s="28"/>
      <x:c r="D2211" s="28"/>
      <x:c r="E2211" s="28"/>
      <x:c r="F2211" s="28"/>
      <x:c r="G2211" s="28"/>
      <x:c r="H2211" s="28"/>
      <x:c r="I2211" s="28"/>
      <x:c r="J2211" s="28"/>
      <x:c r="K2211" s="28"/>
      <x:c r="L2211" s="28"/>
      <x:c r="M2211" s="28"/>
      <x:c r="N2211" s="28"/>
      <x:c r="O2211" s="28"/>
      <x:c r="P2211" s="28"/>
      <x:c r="Q2211" s="28"/>
      <x:c r="R2211" s="28"/>
      <x:c r="S2211" s="28"/>
      <x:c r="T2211" s="28"/>
      <x:c r="U2211" s="28"/>
      <x:c r="V2211" s="28"/>
      <x:c r="W2211" s="43" t="n">
        <x:f>--AND(N2211=1,OR(O2211="SUPPORTED",O2211="HALLUCINATION"))</x:f>
        <x:v>0</x:v>
      </x:c>
      <x:c r="X2211" s="43" t="n">
        <x:f>--AND(W2211=1,O2211="HALLUCINATION")</x:f>
        <x:v>0</x:v>
      </x:c>
      <x:c r="Y2211" s="43" t="n">
        <x:f>--AND(Q2211=1,O2211="HALLUCINATION")</x:f>
        <x:v>0</x:v>
      </x:c>
      <x:c r="Z2211" s="43" t="n">
        <x:f>--AND(Y2211=1,R2211=1,S2211=1)</x:f>
        <x:v>0</x:v>
      </x:c>
      <x:c r="AC2211" t="str">
        <x:f>IF(OR(AA2211="",AB2211=""),"",--(AA2211&lt;&gt;AB2211))</x:f>
      </x:c>
      <x:c r="AE2211" t="str">
        <x:f>IF(OR(AA2211="",AB2211=""),"PENDING_HUMAN",IF(AA2211=AB2211,AA2211,IF(AD2211&lt;&gt;"",AD2211,"PENDING_HUMAN")))</x:f>
        <x:v>PENDING_HUMAN</x:v>
      </x:c>
      <x:c r="AF2211" t="n">
        <x:f>--AND(A2211&lt;&gt;"",AA2211&lt;&gt;"",AB2211&lt;&gt;"",OR(AA2211=AB2211,AD2211&lt;&gt;""),IF(AE2211="HALLUCINATION",U2211&lt;&gt;"",TRUE))</x:f>
        <x:v>0</x:v>
      </x:c>
      <x:c r="AG2211" t="n">
        <x:f>--AND(N2211=1,AF2211=1,OR(AE2211="SUPPORTED",AE2211="HALLUCINATION"))</x:f>
        <x:v>0</x:v>
      </x:c>
      <x:c r="AH2211" t="n">
        <x:f>--AND(AG2211=1,AE2211="HALLUCINATION")</x:f>
        <x:v>0</x:v>
      </x:c>
      <x:c r="AI2211" t="n">
        <x:f>--AND(Q2211=1,AF2211=1,AE2211="HALLUCINATION")</x:f>
        <x:v>0</x:v>
      </x:c>
      <x:c r="AJ2211" t="n">
        <x:f>--AND(AI2211=1,R2211=1,S2211=1)</x:f>
        <x:v>0</x:v>
      </x:c>
    </x:row>
    <x:row r="2212">
      <x:c r="A2212" s="28"/>
      <x:c r="B2212" s="28"/>
      <x:c r="C2212" s="28"/>
      <x:c r="D2212" s="28"/>
      <x:c r="E2212" s="28"/>
      <x:c r="F2212" s="28"/>
      <x:c r="G2212" s="28"/>
      <x:c r="H2212" s="28"/>
      <x:c r="I2212" s="28"/>
      <x:c r="J2212" s="28"/>
      <x:c r="K2212" s="28"/>
      <x:c r="L2212" s="28"/>
      <x:c r="M2212" s="28"/>
      <x:c r="N2212" s="28"/>
      <x:c r="O2212" s="28"/>
      <x:c r="P2212" s="28"/>
      <x:c r="Q2212" s="28"/>
      <x:c r="R2212" s="28"/>
      <x:c r="S2212" s="28"/>
      <x:c r="T2212" s="28"/>
      <x:c r="U2212" s="28"/>
      <x:c r="V2212" s="28"/>
      <x:c r="W2212" s="43" t="n">
        <x:f>--AND(N2212=1,OR(O2212="SUPPORTED",O2212="HALLUCINATION"))</x:f>
        <x:v>0</x:v>
      </x:c>
      <x:c r="X2212" s="43" t="n">
        <x:f>--AND(W2212=1,O2212="HALLUCINATION")</x:f>
        <x:v>0</x:v>
      </x:c>
      <x:c r="Y2212" s="43" t="n">
        <x:f>--AND(Q2212=1,O2212="HALLUCINATION")</x:f>
        <x:v>0</x:v>
      </x:c>
      <x:c r="Z2212" s="43" t="n">
        <x:f>--AND(Y2212=1,R2212=1,S2212=1)</x:f>
        <x:v>0</x:v>
      </x:c>
      <x:c r="AC2212" t="str">
        <x:f>IF(OR(AA2212="",AB2212=""),"",--(AA2212&lt;&gt;AB2212))</x:f>
      </x:c>
      <x:c r="AE2212" t="str">
        <x:f>IF(OR(AA2212="",AB2212=""),"PENDING_HUMAN",IF(AA2212=AB2212,AA2212,IF(AD2212&lt;&gt;"",AD2212,"PENDING_HUMAN")))</x:f>
        <x:v>PENDING_HUMAN</x:v>
      </x:c>
      <x:c r="AF2212" t="n">
        <x:f>--AND(A2212&lt;&gt;"",AA2212&lt;&gt;"",AB2212&lt;&gt;"",OR(AA2212=AB2212,AD2212&lt;&gt;""),IF(AE2212="HALLUCINATION",U2212&lt;&gt;"",TRUE))</x:f>
        <x:v>0</x:v>
      </x:c>
      <x:c r="AG2212" t="n">
        <x:f>--AND(N2212=1,AF2212=1,OR(AE2212="SUPPORTED",AE2212="HALLUCINATION"))</x:f>
        <x:v>0</x:v>
      </x:c>
      <x:c r="AH2212" t="n">
        <x:f>--AND(AG2212=1,AE2212="HALLUCINATION")</x:f>
        <x:v>0</x:v>
      </x:c>
      <x:c r="AI2212" t="n">
        <x:f>--AND(Q2212=1,AF2212=1,AE2212="HALLUCINATION")</x:f>
        <x:v>0</x:v>
      </x:c>
      <x:c r="AJ2212" t="n">
        <x:f>--AND(AI2212=1,R2212=1,S2212=1)</x:f>
        <x:v>0</x:v>
      </x:c>
    </x:row>
    <x:row r="2213">
      <x:c r="A2213" s="28"/>
      <x:c r="B2213" s="28"/>
      <x:c r="C2213" s="28"/>
      <x:c r="D2213" s="28"/>
      <x:c r="E2213" s="28"/>
      <x:c r="F2213" s="28"/>
      <x:c r="G2213" s="28"/>
      <x:c r="H2213" s="28"/>
      <x:c r="I2213" s="28"/>
      <x:c r="J2213" s="28"/>
      <x:c r="K2213" s="28"/>
      <x:c r="L2213" s="28"/>
      <x:c r="M2213" s="28"/>
      <x:c r="N2213" s="28"/>
      <x:c r="O2213" s="28"/>
      <x:c r="P2213" s="28"/>
      <x:c r="Q2213" s="28"/>
      <x:c r="R2213" s="28"/>
      <x:c r="S2213" s="28"/>
      <x:c r="T2213" s="28"/>
      <x:c r="U2213" s="28"/>
      <x:c r="V2213" s="28"/>
      <x:c r="W2213" s="43" t="n">
        <x:f>--AND(N2213=1,OR(O2213="SUPPORTED",O2213="HALLUCINATION"))</x:f>
        <x:v>0</x:v>
      </x:c>
      <x:c r="X2213" s="43" t="n">
        <x:f>--AND(W2213=1,O2213="HALLUCINATION")</x:f>
        <x:v>0</x:v>
      </x:c>
      <x:c r="Y2213" s="43" t="n">
        <x:f>--AND(Q2213=1,O2213="HALLUCINATION")</x:f>
        <x:v>0</x:v>
      </x:c>
      <x:c r="Z2213" s="43" t="n">
        <x:f>--AND(Y2213=1,R2213=1,S2213=1)</x:f>
        <x:v>0</x:v>
      </x:c>
      <x:c r="AC2213" t="str">
        <x:f>IF(OR(AA2213="",AB2213=""),"",--(AA2213&lt;&gt;AB2213))</x:f>
      </x:c>
      <x:c r="AE2213" t="str">
        <x:f>IF(OR(AA2213="",AB2213=""),"PENDING_HUMAN",IF(AA2213=AB2213,AA2213,IF(AD2213&lt;&gt;"",AD2213,"PENDING_HUMAN")))</x:f>
        <x:v>PENDING_HUMAN</x:v>
      </x:c>
      <x:c r="AF2213" t="n">
        <x:f>--AND(A2213&lt;&gt;"",AA2213&lt;&gt;"",AB2213&lt;&gt;"",OR(AA2213=AB2213,AD2213&lt;&gt;""),IF(AE2213="HALLUCINATION",U2213&lt;&gt;"",TRUE))</x:f>
        <x:v>0</x:v>
      </x:c>
      <x:c r="AG2213" t="n">
        <x:f>--AND(N2213=1,AF2213=1,OR(AE2213="SUPPORTED",AE2213="HALLUCINATION"))</x:f>
        <x:v>0</x:v>
      </x:c>
      <x:c r="AH2213" t="n">
        <x:f>--AND(AG2213=1,AE2213="HALLUCINATION")</x:f>
        <x:v>0</x:v>
      </x:c>
      <x:c r="AI2213" t="n">
        <x:f>--AND(Q2213=1,AF2213=1,AE2213="HALLUCINATION")</x:f>
        <x:v>0</x:v>
      </x:c>
      <x:c r="AJ2213" t="n">
        <x:f>--AND(AI2213=1,R2213=1,S2213=1)</x:f>
        <x:v>0</x:v>
      </x:c>
    </x:row>
    <x:row r="2214">
      <x:c r="A2214" s="28"/>
      <x:c r="B2214" s="28"/>
      <x:c r="C2214" s="28"/>
      <x:c r="D2214" s="28"/>
      <x:c r="E2214" s="28"/>
      <x:c r="F2214" s="28"/>
      <x:c r="G2214" s="28"/>
      <x:c r="H2214" s="28"/>
      <x:c r="I2214" s="28"/>
      <x:c r="J2214" s="28"/>
      <x:c r="K2214" s="28"/>
      <x:c r="L2214" s="28"/>
      <x:c r="M2214" s="28"/>
      <x:c r="N2214" s="28"/>
      <x:c r="O2214" s="28"/>
      <x:c r="P2214" s="28"/>
      <x:c r="Q2214" s="28"/>
      <x:c r="R2214" s="28"/>
      <x:c r="S2214" s="28"/>
      <x:c r="T2214" s="28"/>
      <x:c r="U2214" s="28"/>
      <x:c r="V2214" s="28"/>
      <x:c r="W2214" s="43" t="n">
        <x:f>--AND(N2214=1,OR(O2214="SUPPORTED",O2214="HALLUCINATION"))</x:f>
        <x:v>0</x:v>
      </x:c>
      <x:c r="X2214" s="43" t="n">
        <x:f>--AND(W2214=1,O2214="HALLUCINATION")</x:f>
        <x:v>0</x:v>
      </x:c>
      <x:c r="Y2214" s="43" t="n">
        <x:f>--AND(Q2214=1,O2214="HALLUCINATION")</x:f>
        <x:v>0</x:v>
      </x:c>
      <x:c r="Z2214" s="43" t="n">
        <x:f>--AND(Y2214=1,R2214=1,S2214=1)</x:f>
        <x:v>0</x:v>
      </x:c>
      <x:c r="AC2214" t="str">
        <x:f>IF(OR(AA2214="",AB2214=""),"",--(AA2214&lt;&gt;AB2214))</x:f>
      </x:c>
      <x:c r="AE2214" t="str">
        <x:f>IF(OR(AA2214="",AB2214=""),"PENDING_HUMAN",IF(AA2214=AB2214,AA2214,IF(AD2214&lt;&gt;"",AD2214,"PENDING_HUMAN")))</x:f>
        <x:v>PENDING_HUMAN</x:v>
      </x:c>
      <x:c r="AF2214" t="n">
        <x:f>--AND(A2214&lt;&gt;"",AA2214&lt;&gt;"",AB2214&lt;&gt;"",OR(AA2214=AB2214,AD2214&lt;&gt;""),IF(AE2214="HALLUCINATION",U2214&lt;&gt;"",TRUE))</x:f>
        <x:v>0</x:v>
      </x:c>
      <x:c r="AG2214" t="n">
        <x:f>--AND(N2214=1,AF2214=1,OR(AE2214="SUPPORTED",AE2214="HALLUCINATION"))</x:f>
        <x:v>0</x:v>
      </x:c>
      <x:c r="AH2214" t="n">
        <x:f>--AND(AG2214=1,AE2214="HALLUCINATION")</x:f>
        <x:v>0</x:v>
      </x:c>
      <x:c r="AI2214" t="n">
        <x:f>--AND(Q2214=1,AF2214=1,AE2214="HALLUCINATION")</x:f>
        <x:v>0</x:v>
      </x:c>
      <x:c r="AJ2214" t="n">
        <x:f>--AND(AI2214=1,R2214=1,S2214=1)</x:f>
        <x:v>0</x:v>
      </x:c>
    </x:row>
    <x:row r="2215">
      <x:c r="A2215" s="28"/>
      <x:c r="B2215" s="28"/>
      <x:c r="C2215" s="28"/>
      <x:c r="D2215" s="28"/>
      <x:c r="E2215" s="28"/>
      <x:c r="F2215" s="28"/>
      <x:c r="G2215" s="28"/>
      <x:c r="H2215" s="28"/>
      <x:c r="I2215" s="28"/>
      <x:c r="J2215" s="28"/>
      <x:c r="K2215" s="28"/>
      <x:c r="L2215" s="28"/>
      <x:c r="M2215" s="28"/>
      <x:c r="N2215" s="28"/>
      <x:c r="O2215" s="28"/>
      <x:c r="P2215" s="28"/>
      <x:c r="Q2215" s="28"/>
      <x:c r="R2215" s="28"/>
      <x:c r="S2215" s="28"/>
      <x:c r="T2215" s="28"/>
      <x:c r="U2215" s="28"/>
      <x:c r="V2215" s="28"/>
      <x:c r="W2215" s="43" t="n">
        <x:f>--AND(N2215=1,OR(O2215="SUPPORTED",O2215="HALLUCINATION"))</x:f>
        <x:v>0</x:v>
      </x:c>
      <x:c r="X2215" s="43" t="n">
        <x:f>--AND(W2215=1,O2215="HALLUCINATION")</x:f>
        <x:v>0</x:v>
      </x:c>
      <x:c r="Y2215" s="43" t="n">
        <x:f>--AND(Q2215=1,O2215="HALLUCINATION")</x:f>
        <x:v>0</x:v>
      </x:c>
      <x:c r="Z2215" s="43" t="n">
        <x:f>--AND(Y2215=1,R2215=1,S2215=1)</x:f>
        <x:v>0</x:v>
      </x:c>
      <x:c r="AC2215" t="str">
        <x:f>IF(OR(AA2215="",AB2215=""),"",--(AA2215&lt;&gt;AB2215))</x:f>
      </x:c>
      <x:c r="AE2215" t="str">
        <x:f>IF(OR(AA2215="",AB2215=""),"PENDING_HUMAN",IF(AA2215=AB2215,AA2215,IF(AD2215&lt;&gt;"",AD2215,"PENDING_HUMAN")))</x:f>
        <x:v>PENDING_HUMAN</x:v>
      </x:c>
      <x:c r="AF2215" t="n">
        <x:f>--AND(A2215&lt;&gt;"",AA2215&lt;&gt;"",AB2215&lt;&gt;"",OR(AA2215=AB2215,AD2215&lt;&gt;""),IF(AE2215="HALLUCINATION",U2215&lt;&gt;"",TRUE))</x:f>
        <x:v>0</x:v>
      </x:c>
      <x:c r="AG2215" t="n">
        <x:f>--AND(N2215=1,AF2215=1,OR(AE2215="SUPPORTED",AE2215="HALLUCINATION"))</x:f>
        <x:v>0</x:v>
      </x:c>
      <x:c r="AH2215" t="n">
        <x:f>--AND(AG2215=1,AE2215="HALLUCINATION")</x:f>
        <x:v>0</x:v>
      </x:c>
      <x:c r="AI2215" t="n">
        <x:f>--AND(Q2215=1,AF2215=1,AE2215="HALLUCINATION")</x:f>
        <x:v>0</x:v>
      </x:c>
      <x:c r="AJ2215" t="n">
        <x:f>--AND(AI2215=1,R2215=1,S2215=1)</x:f>
        <x:v>0</x:v>
      </x:c>
    </x:row>
    <x:row r="2216">
      <x:c r="A2216" s="28"/>
      <x:c r="B2216" s="28"/>
      <x:c r="C2216" s="28"/>
      <x:c r="D2216" s="28"/>
      <x:c r="E2216" s="28"/>
      <x:c r="F2216" s="28"/>
      <x:c r="G2216" s="28"/>
      <x:c r="H2216" s="28"/>
      <x:c r="I2216" s="28"/>
      <x:c r="J2216" s="28"/>
      <x:c r="K2216" s="28"/>
      <x:c r="L2216" s="28"/>
      <x:c r="M2216" s="28"/>
      <x:c r="N2216" s="28"/>
      <x:c r="O2216" s="28"/>
      <x:c r="P2216" s="28"/>
      <x:c r="Q2216" s="28"/>
      <x:c r="R2216" s="28"/>
      <x:c r="S2216" s="28"/>
      <x:c r="T2216" s="28"/>
      <x:c r="U2216" s="28"/>
      <x:c r="V2216" s="28"/>
      <x:c r="W2216" s="43" t="n">
        <x:f>--AND(N2216=1,OR(O2216="SUPPORTED",O2216="HALLUCINATION"))</x:f>
        <x:v>0</x:v>
      </x:c>
      <x:c r="X2216" s="43" t="n">
        <x:f>--AND(W2216=1,O2216="HALLUCINATION")</x:f>
        <x:v>0</x:v>
      </x:c>
      <x:c r="Y2216" s="43" t="n">
        <x:f>--AND(Q2216=1,O2216="HALLUCINATION")</x:f>
        <x:v>0</x:v>
      </x:c>
      <x:c r="Z2216" s="43" t="n">
        <x:f>--AND(Y2216=1,R2216=1,S2216=1)</x:f>
        <x:v>0</x:v>
      </x:c>
      <x:c r="AC2216" t="str">
        <x:f>IF(OR(AA2216="",AB2216=""),"",--(AA2216&lt;&gt;AB2216))</x:f>
      </x:c>
      <x:c r="AE2216" t="str">
        <x:f>IF(OR(AA2216="",AB2216=""),"PENDING_HUMAN",IF(AA2216=AB2216,AA2216,IF(AD2216&lt;&gt;"",AD2216,"PENDING_HUMAN")))</x:f>
        <x:v>PENDING_HUMAN</x:v>
      </x:c>
      <x:c r="AF2216" t="n">
        <x:f>--AND(A2216&lt;&gt;"",AA2216&lt;&gt;"",AB2216&lt;&gt;"",OR(AA2216=AB2216,AD2216&lt;&gt;""),IF(AE2216="HALLUCINATION",U2216&lt;&gt;"",TRUE))</x:f>
        <x:v>0</x:v>
      </x:c>
      <x:c r="AG2216" t="n">
        <x:f>--AND(N2216=1,AF2216=1,OR(AE2216="SUPPORTED",AE2216="HALLUCINATION"))</x:f>
        <x:v>0</x:v>
      </x:c>
      <x:c r="AH2216" t="n">
        <x:f>--AND(AG2216=1,AE2216="HALLUCINATION")</x:f>
        <x:v>0</x:v>
      </x:c>
      <x:c r="AI2216" t="n">
        <x:f>--AND(Q2216=1,AF2216=1,AE2216="HALLUCINATION")</x:f>
        <x:v>0</x:v>
      </x:c>
      <x:c r="AJ2216" t="n">
        <x:f>--AND(AI2216=1,R2216=1,S2216=1)</x:f>
        <x:v>0</x:v>
      </x:c>
    </x:row>
    <x:row r="2217">
      <x:c r="A2217" s="28"/>
      <x:c r="B2217" s="28"/>
      <x:c r="C2217" s="28"/>
      <x:c r="D2217" s="28"/>
      <x:c r="E2217" s="28"/>
      <x:c r="F2217" s="28"/>
      <x:c r="G2217" s="28"/>
      <x:c r="H2217" s="28"/>
      <x:c r="I2217" s="28"/>
      <x:c r="J2217" s="28"/>
      <x:c r="K2217" s="28"/>
      <x:c r="L2217" s="28"/>
      <x:c r="M2217" s="28"/>
      <x:c r="N2217" s="28"/>
      <x:c r="O2217" s="28"/>
      <x:c r="P2217" s="28"/>
      <x:c r="Q2217" s="28"/>
      <x:c r="R2217" s="28"/>
      <x:c r="S2217" s="28"/>
      <x:c r="T2217" s="28"/>
      <x:c r="U2217" s="28"/>
      <x:c r="V2217" s="28"/>
      <x:c r="W2217" s="43" t="n">
        <x:f>--AND(N2217=1,OR(O2217="SUPPORTED",O2217="HALLUCINATION"))</x:f>
        <x:v>0</x:v>
      </x:c>
      <x:c r="X2217" s="43" t="n">
        <x:f>--AND(W2217=1,O2217="HALLUCINATION")</x:f>
        <x:v>0</x:v>
      </x:c>
      <x:c r="Y2217" s="43" t="n">
        <x:f>--AND(Q2217=1,O2217="HALLUCINATION")</x:f>
        <x:v>0</x:v>
      </x:c>
      <x:c r="Z2217" s="43" t="n">
        <x:f>--AND(Y2217=1,R2217=1,S2217=1)</x:f>
        <x:v>0</x:v>
      </x:c>
      <x:c r="AC2217" t="str">
        <x:f>IF(OR(AA2217="",AB2217=""),"",--(AA2217&lt;&gt;AB2217))</x:f>
      </x:c>
      <x:c r="AE2217" t="str">
        <x:f>IF(OR(AA2217="",AB2217=""),"PENDING_HUMAN",IF(AA2217=AB2217,AA2217,IF(AD2217&lt;&gt;"",AD2217,"PENDING_HUMAN")))</x:f>
        <x:v>PENDING_HUMAN</x:v>
      </x:c>
      <x:c r="AF2217" t="n">
        <x:f>--AND(A2217&lt;&gt;"",AA2217&lt;&gt;"",AB2217&lt;&gt;"",OR(AA2217=AB2217,AD2217&lt;&gt;""),IF(AE2217="HALLUCINATION",U2217&lt;&gt;"",TRUE))</x:f>
        <x:v>0</x:v>
      </x:c>
      <x:c r="AG2217" t="n">
        <x:f>--AND(N2217=1,AF2217=1,OR(AE2217="SUPPORTED",AE2217="HALLUCINATION"))</x:f>
        <x:v>0</x:v>
      </x:c>
      <x:c r="AH2217" t="n">
        <x:f>--AND(AG2217=1,AE2217="HALLUCINATION")</x:f>
        <x:v>0</x:v>
      </x:c>
      <x:c r="AI2217" t="n">
        <x:f>--AND(Q2217=1,AF2217=1,AE2217="HALLUCINATION")</x:f>
        <x:v>0</x:v>
      </x:c>
      <x:c r="AJ2217" t="n">
        <x:f>--AND(AI2217=1,R2217=1,S2217=1)</x:f>
        <x:v>0</x:v>
      </x:c>
    </x:row>
    <x:row r="2218">
      <x:c r="A2218" s="28"/>
      <x:c r="B2218" s="28"/>
      <x:c r="C2218" s="28"/>
      <x:c r="D2218" s="28"/>
      <x:c r="E2218" s="28"/>
      <x:c r="F2218" s="28"/>
      <x:c r="G2218" s="28"/>
      <x:c r="H2218" s="28"/>
      <x:c r="I2218" s="28"/>
      <x:c r="J2218" s="28"/>
      <x:c r="K2218" s="28"/>
      <x:c r="L2218" s="28"/>
      <x:c r="M2218" s="28"/>
      <x:c r="N2218" s="28"/>
      <x:c r="O2218" s="28"/>
      <x:c r="P2218" s="28"/>
      <x:c r="Q2218" s="28"/>
      <x:c r="R2218" s="28"/>
      <x:c r="S2218" s="28"/>
      <x:c r="T2218" s="28"/>
      <x:c r="U2218" s="28"/>
      <x:c r="V2218" s="28"/>
      <x:c r="W2218" s="43" t="n">
        <x:f>--AND(N2218=1,OR(O2218="SUPPORTED",O2218="HALLUCINATION"))</x:f>
        <x:v>0</x:v>
      </x:c>
      <x:c r="X2218" s="43" t="n">
        <x:f>--AND(W2218=1,O2218="HALLUCINATION")</x:f>
        <x:v>0</x:v>
      </x:c>
      <x:c r="Y2218" s="43" t="n">
        <x:f>--AND(Q2218=1,O2218="HALLUCINATION")</x:f>
        <x:v>0</x:v>
      </x:c>
      <x:c r="Z2218" s="43" t="n">
        <x:f>--AND(Y2218=1,R2218=1,S2218=1)</x:f>
        <x:v>0</x:v>
      </x:c>
      <x:c r="AC2218" t="str">
        <x:f>IF(OR(AA2218="",AB2218=""),"",--(AA2218&lt;&gt;AB2218))</x:f>
      </x:c>
      <x:c r="AE2218" t="str">
        <x:f>IF(OR(AA2218="",AB2218=""),"PENDING_HUMAN",IF(AA2218=AB2218,AA2218,IF(AD2218&lt;&gt;"",AD2218,"PENDING_HUMAN")))</x:f>
        <x:v>PENDING_HUMAN</x:v>
      </x:c>
      <x:c r="AF2218" t="n">
        <x:f>--AND(A2218&lt;&gt;"",AA2218&lt;&gt;"",AB2218&lt;&gt;"",OR(AA2218=AB2218,AD2218&lt;&gt;""),IF(AE2218="HALLUCINATION",U2218&lt;&gt;"",TRUE))</x:f>
        <x:v>0</x:v>
      </x:c>
      <x:c r="AG2218" t="n">
        <x:f>--AND(N2218=1,AF2218=1,OR(AE2218="SUPPORTED",AE2218="HALLUCINATION"))</x:f>
        <x:v>0</x:v>
      </x:c>
      <x:c r="AH2218" t="n">
        <x:f>--AND(AG2218=1,AE2218="HALLUCINATION")</x:f>
        <x:v>0</x:v>
      </x:c>
      <x:c r="AI2218" t="n">
        <x:f>--AND(Q2218=1,AF2218=1,AE2218="HALLUCINATION")</x:f>
        <x:v>0</x:v>
      </x:c>
      <x:c r="AJ2218" t="n">
        <x:f>--AND(AI2218=1,R2218=1,S2218=1)</x:f>
        <x:v>0</x:v>
      </x:c>
    </x:row>
    <x:row r="2219">
      <x:c r="A2219" s="28"/>
      <x:c r="B2219" s="28"/>
      <x:c r="C2219" s="28"/>
      <x:c r="D2219" s="28"/>
      <x:c r="E2219" s="28"/>
      <x:c r="F2219" s="28"/>
      <x:c r="G2219" s="28"/>
      <x:c r="H2219" s="28"/>
      <x:c r="I2219" s="28"/>
      <x:c r="J2219" s="28"/>
      <x:c r="K2219" s="28"/>
      <x:c r="L2219" s="28"/>
      <x:c r="M2219" s="28"/>
      <x:c r="N2219" s="28"/>
      <x:c r="O2219" s="28"/>
      <x:c r="P2219" s="28"/>
      <x:c r="Q2219" s="28"/>
      <x:c r="R2219" s="28"/>
      <x:c r="S2219" s="28"/>
      <x:c r="T2219" s="28"/>
      <x:c r="U2219" s="28"/>
      <x:c r="V2219" s="28"/>
      <x:c r="W2219" s="43" t="n">
        <x:f>--AND(N2219=1,OR(O2219="SUPPORTED",O2219="HALLUCINATION"))</x:f>
        <x:v>0</x:v>
      </x:c>
      <x:c r="X2219" s="43" t="n">
        <x:f>--AND(W2219=1,O2219="HALLUCINATION")</x:f>
        <x:v>0</x:v>
      </x:c>
      <x:c r="Y2219" s="43" t="n">
        <x:f>--AND(Q2219=1,O2219="HALLUCINATION")</x:f>
        <x:v>0</x:v>
      </x:c>
      <x:c r="Z2219" s="43" t="n">
        <x:f>--AND(Y2219=1,R2219=1,S2219=1)</x:f>
        <x:v>0</x:v>
      </x:c>
      <x:c r="AC2219" t="str">
        <x:f>IF(OR(AA2219="",AB2219=""),"",--(AA2219&lt;&gt;AB2219))</x:f>
      </x:c>
      <x:c r="AE2219" t="str">
        <x:f>IF(OR(AA2219="",AB2219=""),"PENDING_HUMAN",IF(AA2219=AB2219,AA2219,IF(AD2219&lt;&gt;"",AD2219,"PENDING_HUMAN")))</x:f>
        <x:v>PENDING_HUMAN</x:v>
      </x:c>
      <x:c r="AF2219" t="n">
        <x:f>--AND(A2219&lt;&gt;"",AA2219&lt;&gt;"",AB2219&lt;&gt;"",OR(AA2219=AB2219,AD2219&lt;&gt;""),IF(AE2219="HALLUCINATION",U2219&lt;&gt;"",TRUE))</x:f>
        <x:v>0</x:v>
      </x:c>
      <x:c r="AG2219" t="n">
        <x:f>--AND(N2219=1,AF2219=1,OR(AE2219="SUPPORTED",AE2219="HALLUCINATION"))</x:f>
        <x:v>0</x:v>
      </x:c>
      <x:c r="AH2219" t="n">
        <x:f>--AND(AG2219=1,AE2219="HALLUCINATION")</x:f>
        <x:v>0</x:v>
      </x:c>
      <x:c r="AI2219" t="n">
        <x:f>--AND(Q2219=1,AF2219=1,AE2219="HALLUCINATION")</x:f>
        <x:v>0</x:v>
      </x:c>
      <x:c r="AJ2219" t="n">
        <x:f>--AND(AI2219=1,R2219=1,S2219=1)</x:f>
        <x:v>0</x:v>
      </x:c>
    </x:row>
    <x:row r="2220">
      <x:c r="A2220" s="28"/>
      <x:c r="B2220" s="28"/>
      <x:c r="C2220" s="28"/>
      <x:c r="D2220" s="28"/>
      <x:c r="E2220" s="28"/>
      <x:c r="F2220" s="28"/>
      <x:c r="G2220" s="28"/>
      <x:c r="H2220" s="28"/>
      <x:c r="I2220" s="28"/>
      <x:c r="J2220" s="28"/>
      <x:c r="K2220" s="28"/>
      <x:c r="L2220" s="28"/>
      <x:c r="M2220" s="28"/>
      <x:c r="N2220" s="28"/>
      <x:c r="O2220" s="28"/>
      <x:c r="P2220" s="28"/>
      <x:c r="Q2220" s="28"/>
      <x:c r="R2220" s="28"/>
      <x:c r="S2220" s="28"/>
      <x:c r="T2220" s="28"/>
      <x:c r="U2220" s="28"/>
      <x:c r="V2220" s="28"/>
      <x:c r="W2220" s="43" t="n">
        <x:f>--AND(N2220=1,OR(O2220="SUPPORTED",O2220="HALLUCINATION"))</x:f>
        <x:v>0</x:v>
      </x:c>
      <x:c r="X2220" s="43" t="n">
        <x:f>--AND(W2220=1,O2220="HALLUCINATION")</x:f>
        <x:v>0</x:v>
      </x:c>
      <x:c r="Y2220" s="43" t="n">
        <x:f>--AND(Q2220=1,O2220="HALLUCINATION")</x:f>
        <x:v>0</x:v>
      </x:c>
      <x:c r="Z2220" s="43" t="n">
        <x:f>--AND(Y2220=1,R2220=1,S2220=1)</x:f>
        <x:v>0</x:v>
      </x:c>
      <x:c r="AC2220" t="str">
        <x:f>IF(OR(AA2220="",AB2220=""),"",--(AA2220&lt;&gt;AB2220))</x:f>
      </x:c>
      <x:c r="AE2220" t="str">
        <x:f>IF(OR(AA2220="",AB2220=""),"PENDING_HUMAN",IF(AA2220=AB2220,AA2220,IF(AD2220&lt;&gt;"",AD2220,"PENDING_HUMAN")))</x:f>
        <x:v>PENDING_HUMAN</x:v>
      </x:c>
      <x:c r="AF2220" t="n">
        <x:f>--AND(A2220&lt;&gt;"",AA2220&lt;&gt;"",AB2220&lt;&gt;"",OR(AA2220=AB2220,AD2220&lt;&gt;""),IF(AE2220="HALLUCINATION",U2220&lt;&gt;"",TRUE))</x:f>
        <x:v>0</x:v>
      </x:c>
      <x:c r="AG2220" t="n">
        <x:f>--AND(N2220=1,AF2220=1,OR(AE2220="SUPPORTED",AE2220="HALLUCINATION"))</x:f>
        <x:v>0</x:v>
      </x:c>
      <x:c r="AH2220" t="n">
        <x:f>--AND(AG2220=1,AE2220="HALLUCINATION")</x:f>
        <x:v>0</x:v>
      </x:c>
      <x:c r="AI2220" t="n">
        <x:f>--AND(Q2220=1,AF2220=1,AE2220="HALLUCINATION")</x:f>
        <x:v>0</x:v>
      </x:c>
      <x:c r="AJ2220" t="n">
        <x:f>--AND(AI2220=1,R2220=1,S2220=1)</x:f>
        <x:v>0</x:v>
      </x:c>
    </x:row>
    <x:row r="2221">
      <x:c r="A2221" s="28"/>
      <x:c r="B2221" s="28"/>
      <x:c r="C2221" s="28"/>
      <x:c r="D2221" s="28"/>
      <x:c r="E2221" s="28"/>
      <x:c r="F2221" s="28"/>
      <x:c r="G2221" s="28"/>
      <x:c r="H2221" s="28"/>
      <x:c r="I2221" s="28"/>
      <x:c r="J2221" s="28"/>
      <x:c r="K2221" s="28"/>
      <x:c r="L2221" s="28"/>
      <x:c r="M2221" s="28"/>
      <x:c r="N2221" s="28"/>
      <x:c r="O2221" s="28"/>
      <x:c r="P2221" s="28"/>
      <x:c r="Q2221" s="28"/>
      <x:c r="R2221" s="28"/>
      <x:c r="S2221" s="28"/>
      <x:c r="T2221" s="28"/>
      <x:c r="U2221" s="28"/>
      <x:c r="V2221" s="28"/>
      <x:c r="W2221" s="43" t="n">
        <x:f>--AND(N2221=1,OR(O2221="SUPPORTED",O2221="HALLUCINATION"))</x:f>
        <x:v>0</x:v>
      </x:c>
      <x:c r="X2221" s="43" t="n">
        <x:f>--AND(W2221=1,O2221="HALLUCINATION")</x:f>
        <x:v>0</x:v>
      </x:c>
      <x:c r="Y2221" s="43" t="n">
        <x:f>--AND(Q2221=1,O2221="HALLUCINATION")</x:f>
        <x:v>0</x:v>
      </x:c>
      <x:c r="Z2221" s="43" t="n">
        <x:f>--AND(Y2221=1,R2221=1,S2221=1)</x:f>
        <x:v>0</x:v>
      </x:c>
      <x:c r="AC2221" t="str">
        <x:f>IF(OR(AA2221="",AB2221=""),"",--(AA2221&lt;&gt;AB2221))</x:f>
      </x:c>
      <x:c r="AE2221" t="str">
        <x:f>IF(OR(AA2221="",AB2221=""),"PENDING_HUMAN",IF(AA2221=AB2221,AA2221,IF(AD2221&lt;&gt;"",AD2221,"PENDING_HUMAN")))</x:f>
        <x:v>PENDING_HUMAN</x:v>
      </x:c>
      <x:c r="AF2221" t="n">
        <x:f>--AND(A2221&lt;&gt;"",AA2221&lt;&gt;"",AB2221&lt;&gt;"",OR(AA2221=AB2221,AD2221&lt;&gt;""),IF(AE2221="HALLUCINATION",U2221&lt;&gt;"",TRUE))</x:f>
        <x:v>0</x:v>
      </x:c>
      <x:c r="AG2221" t="n">
        <x:f>--AND(N2221=1,AF2221=1,OR(AE2221="SUPPORTED",AE2221="HALLUCINATION"))</x:f>
        <x:v>0</x:v>
      </x:c>
      <x:c r="AH2221" t="n">
        <x:f>--AND(AG2221=1,AE2221="HALLUCINATION")</x:f>
        <x:v>0</x:v>
      </x:c>
      <x:c r="AI2221" t="n">
        <x:f>--AND(Q2221=1,AF2221=1,AE2221="HALLUCINATION")</x:f>
        <x:v>0</x:v>
      </x:c>
      <x:c r="AJ2221" t="n">
        <x:f>--AND(AI2221=1,R2221=1,S2221=1)</x:f>
        <x:v>0</x:v>
      </x:c>
    </x:row>
    <x:row r="2222">
      <x:c r="A2222" s="28"/>
      <x:c r="B2222" s="28"/>
      <x:c r="C2222" s="28"/>
      <x:c r="D2222" s="28"/>
      <x:c r="E2222" s="28"/>
      <x:c r="F2222" s="28"/>
      <x:c r="G2222" s="28"/>
      <x:c r="H2222" s="28"/>
      <x:c r="I2222" s="28"/>
      <x:c r="J2222" s="28"/>
      <x:c r="K2222" s="28"/>
      <x:c r="L2222" s="28"/>
      <x:c r="M2222" s="28"/>
      <x:c r="N2222" s="28"/>
      <x:c r="O2222" s="28"/>
      <x:c r="P2222" s="28"/>
      <x:c r="Q2222" s="28"/>
      <x:c r="R2222" s="28"/>
      <x:c r="S2222" s="28"/>
      <x:c r="T2222" s="28"/>
      <x:c r="U2222" s="28"/>
      <x:c r="V2222" s="28"/>
      <x:c r="W2222" s="43" t="n">
        <x:f>--AND(N2222=1,OR(O2222="SUPPORTED",O2222="HALLUCINATION"))</x:f>
        <x:v>0</x:v>
      </x:c>
      <x:c r="X2222" s="43" t="n">
        <x:f>--AND(W2222=1,O2222="HALLUCINATION")</x:f>
        <x:v>0</x:v>
      </x:c>
      <x:c r="Y2222" s="43" t="n">
        <x:f>--AND(Q2222=1,O2222="HALLUCINATION")</x:f>
        <x:v>0</x:v>
      </x:c>
      <x:c r="Z2222" s="43" t="n">
        <x:f>--AND(Y2222=1,R2222=1,S2222=1)</x:f>
        <x:v>0</x:v>
      </x:c>
      <x:c r="AC2222" t="str">
        <x:f>IF(OR(AA2222="",AB2222=""),"",--(AA2222&lt;&gt;AB2222))</x:f>
      </x:c>
      <x:c r="AE2222" t="str">
        <x:f>IF(OR(AA2222="",AB2222=""),"PENDING_HUMAN",IF(AA2222=AB2222,AA2222,IF(AD2222&lt;&gt;"",AD2222,"PENDING_HUMAN")))</x:f>
        <x:v>PENDING_HUMAN</x:v>
      </x:c>
      <x:c r="AF2222" t="n">
        <x:f>--AND(A2222&lt;&gt;"",AA2222&lt;&gt;"",AB2222&lt;&gt;"",OR(AA2222=AB2222,AD2222&lt;&gt;""),IF(AE2222="HALLUCINATION",U2222&lt;&gt;"",TRUE))</x:f>
        <x:v>0</x:v>
      </x:c>
      <x:c r="AG2222" t="n">
        <x:f>--AND(N2222=1,AF2222=1,OR(AE2222="SUPPORTED",AE2222="HALLUCINATION"))</x:f>
        <x:v>0</x:v>
      </x:c>
      <x:c r="AH2222" t="n">
        <x:f>--AND(AG2222=1,AE2222="HALLUCINATION")</x:f>
        <x:v>0</x:v>
      </x:c>
      <x:c r="AI2222" t="n">
        <x:f>--AND(Q2222=1,AF2222=1,AE2222="HALLUCINATION")</x:f>
        <x:v>0</x:v>
      </x:c>
      <x:c r="AJ2222" t="n">
        <x:f>--AND(AI2222=1,R2222=1,S2222=1)</x:f>
        <x:v>0</x:v>
      </x:c>
    </x:row>
    <x:row r="2223">
      <x:c r="A2223" s="28"/>
      <x:c r="B2223" s="28"/>
      <x:c r="C2223" s="28"/>
      <x:c r="D2223" s="28"/>
      <x:c r="E2223" s="28"/>
      <x:c r="F2223" s="28"/>
      <x:c r="G2223" s="28"/>
      <x:c r="H2223" s="28"/>
      <x:c r="I2223" s="28"/>
      <x:c r="J2223" s="28"/>
      <x:c r="K2223" s="28"/>
      <x:c r="L2223" s="28"/>
      <x:c r="M2223" s="28"/>
      <x:c r="N2223" s="28"/>
      <x:c r="O2223" s="28"/>
      <x:c r="P2223" s="28"/>
      <x:c r="Q2223" s="28"/>
      <x:c r="R2223" s="28"/>
      <x:c r="S2223" s="28"/>
      <x:c r="T2223" s="28"/>
      <x:c r="U2223" s="28"/>
      <x:c r="V2223" s="28"/>
      <x:c r="W2223" s="43" t="n">
        <x:f>--AND(N2223=1,OR(O2223="SUPPORTED",O2223="HALLUCINATION"))</x:f>
        <x:v>0</x:v>
      </x:c>
      <x:c r="X2223" s="43" t="n">
        <x:f>--AND(W2223=1,O2223="HALLUCINATION")</x:f>
        <x:v>0</x:v>
      </x:c>
      <x:c r="Y2223" s="43" t="n">
        <x:f>--AND(Q2223=1,O2223="HALLUCINATION")</x:f>
        <x:v>0</x:v>
      </x:c>
      <x:c r="Z2223" s="43" t="n">
        <x:f>--AND(Y2223=1,R2223=1,S2223=1)</x:f>
        <x:v>0</x:v>
      </x:c>
      <x:c r="AC2223" t="str">
        <x:f>IF(OR(AA2223="",AB2223=""),"",--(AA2223&lt;&gt;AB2223))</x:f>
      </x:c>
      <x:c r="AE2223" t="str">
        <x:f>IF(OR(AA2223="",AB2223=""),"PENDING_HUMAN",IF(AA2223=AB2223,AA2223,IF(AD2223&lt;&gt;"",AD2223,"PENDING_HUMAN")))</x:f>
        <x:v>PENDING_HUMAN</x:v>
      </x:c>
      <x:c r="AF2223" t="n">
        <x:f>--AND(A2223&lt;&gt;"",AA2223&lt;&gt;"",AB2223&lt;&gt;"",OR(AA2223=AB2223,AD2223&lt;&gt;""),IF(AE2223="HALLUCINATION",U2223&lt;&gt;"",TRUE))</x:f>
        <x:v>0</x:v>
      </x:c>
      <x:c r="AG2223" t="n">
        <x:f>--AND(N2223=1,AF2223=1,OR(AE2223="SUPPORTED",AE2223="HALLUCINATION"))</x:f>
        <x:v>0</x:v>
      </x:c>
      <x:c r="AH2223" t="n">
        <x:f>--AND(AG2223=1,AE2223="HALLUCINATION")</x:f>
        <x:v>0</x:v>
      </x:c>
      <x:c r="AI2223" t="n">
        <x:f>--AND(Q2223=1,AF2223=1,AE2223="HALLUCINATION")</x:f>
        <x:v>0</x:v>
      </x:c>
      <x:c r="AJ2223" t="n">
        <x:f>--AND(AI2223=1,R2223=1,S2223=1)</x:f>
        <x:v>0</x:v>
      </x:c>
    </x:row>
    <x:row r="2224">
      <x:c r="A2224" s="28"/>
      <x:c r="B2224" s="28"/>
      <x:c r="C2224" s="28"/>
      <x:c r="D2224" s="28"/>
      <x:c r="E2224" s="28"/>
      <x:c r="F2224" s="28"/>
      <x:c r="G2224" s="28"/>
      <x:c r="H2224" s="28"/>
      <x:c r="I2224" s="28"/>
      <x:c r="J2224" s="28"/>
      <x:c r="K2224" s="28"/>
      <x:c r="L2224" s="28"/>
      <x:c r="M2224" s="28"/>
      <x:c r="N2224" s="28"/>
      <x:c r="O2224" s="28"/>
      <x:c r="P2224" s="28"/>
      <x:c r="Q2224" s="28"/>
      <x:c r="R2224" s="28"/>
      <x:c r="S2224" s="28"/>
      <x:c r="T2224" s="28"/>
      <x:c r="U2224" s="28"/>
      <x:c r="V2224" s="28"/>
      <x:c r="W2224" s="43" t="n">
        <x:f>--AND(N2224=1,OR(O2224="SUPPORTED",O2224="HALLUCINATION"))</x:f>
        <x:v>0</x:v>
      </x:c>
      <x:c r="X2224" s="43" t="n">
        <x:f>--AND(W2224=1,O2224="HALLUCINATION")</x:f>
        <x:v>0</x:v>
      </x:c>
      <x:c r="Y2224" s="43" t="n">
        <x:f>--AND(Q2224=1,O2224="HALLUCINATION")</x:f>
        <x:v>0</x:v>
      </x:c>
      <x:c r="Z2224" s="43" t="n">
        <x:f>--AND(Y2224=1,R2224=1,S2224=1)</x:f>
        <x:v>0</x:v>
      </x:c>
      <x:c r="AC2224" t="str">
        <x:f>IF(OR(AA2224="",AB2224=""),"",--(AA2224&lt;&gt;AB2224))</x:f>
      </x:c>
      <x:c r="AE2224" t="str">
        <x:f>IF(OR(AA2224="",AB2224=""),"PENDING_HUMAN",IF(AA2224=AB2224,AA2224,IF(AD2224&lt;&gt;"",AD2224,"PENDING_HUMAN")))</x:f>
        <x:v>PENDING_HUMAN</x:v>
      </x:c>
      <x:c r="AF2224" t="n">
        <x:f>--AND(A2224&lt;&gt;"",AA2224&lt;&gt;"",AB2224&lt;&gt;"",OR(AA2224=AB2224,AD2224&lt;&gt;""),IF(AE2224="HALLUCINATION",U2224&lt;&gt;"",TRUE))</x:f>
        <x:v>0</x:v>
      </x:c>
      <x:c r="AG2224" t="n">
        <x:f>--AND(N2224=1,AF2224=1,OR(AE2224="SUPPORTED",AE2224="HALLUCINATION"))</x:f>
        <x:v>0</x:v>
      </x:c>
      <x:c r="AH2224" t="n">
        <x:f>--AND(AG2224=1,AE2224="HALLUCINATION")</x:f>
        <x:v>0</x:v>
      </x:c>
      <x:c r="AI2224" t="n">
        <x:f>--AND(Q2224=1,AF2224=1,AE2224="HALLUCINATION")</x:f>
        <x:v>0</x:v>
      </x:c>
      <x:c r="AJ2224" t="n">
        <x:f>--AND(AI2224=1,R2224=1,S2224=1)</x:f>
        <x:v>0</x:v>
      </x:c>
    </x:row>
    <x:row r="2225">
      <x:c r="A2225" s="28"/>
      <x:c r="B2225" s="28"/>
      <x:c r="C2225" s="28"/>
      <x:c r="D2225" s="28"/>
      <x:c r="E2225" s="28"/>
      <x:c r="F2225" s="28"/>
      <x:c r="G2225" s="28"/>
      <x:c r="H2225" s="28"/>
      <x:c r="I2225" s="28"/>
      <x:c r="J2225" s="28"/>
      <x:c r="K2225" s="28"/>
      <x:c r="L2225" s="28"/>
      <x:c r="M2225" s="28"/>
      <x:c r="N2225" s="28"/>
      <x:c r="O2225" s="28"/>
      <x:c r="P2225" s="28"/>
      <x:c r="Q2225" s="28"/>
      <x:c r="R2225" s="28"/>
      <x:c r="S2225" s="28"/>
      <x:c r="T2225" s="28"/>
      <x:c r="U2225" s="28"/>
      <x:c r="V2225" s="28"/>
      <x:c r="W2225" s="43" t="n">
        <x:f>--AND(N2225=1,OR(O2225="SUPPORTED",O2225="HALLUCINATION"))</x:f>
        <x:v>0</x:v>
      </x:c>
      <x:c r="X2225" s="43" t="n">
        <x:f>--AND(W2225=1,O2225="HALLUCINATION")</x:f>
        <x:v>0</x:v>
      </x:c>
      <x:c r="Y2225" s="43" t="n">
        <x:f>--AND(Q2225=1,O2225="HALLUCINATION")</x:f>
        <x:v>0</x:v>
      </x:c>
      <x:c r="Z2225" s="43" t="n">
        <x:f>--AND(Y2225=1,R2225=1,S2225=1)</x:f>
        <x:v>0</x:v>
      </x:c>
      <x:c r="AC2225" t="str">
        <x:f>IF(OR(AA2225="",AB2225=""),"",--(AA2225&lt;&gt;AB2225))</x:f>
      </x:c>
      <x:c r="AE2225" t="str">
        <x:f>IF(OR(AA2225="",AB2225=""),"PENDING_HUMAN",IF(AA2225=AB2225,AA2225,IF(AD2225&lt;&gt;"",AD2225,"PENDING_HUMAN")))</x:f>
        <x:v>PENDING_HUMAN</x:v>
      </x:c>
      <x:c r="AF2225" t="n">
        <x:f>--AND(A2225&lt;&gt;"",AA2225&lt;&gt;"",AB2225&lt;&gt;"",OR(AA2225=AB2225,AD2225&lt;&gt;""),IF(AE2225="HALLUCINATION",U2225&lt;&gt;"",TRUE))</x:f>
        <x:v>0</x:v>
      </x:c>
      <x:c r="AG2225" t="n">
        <x:f>--AND(N2225=1,AF2225=1,OR(AE2225="SUPPORTED",AE2225="HALLUCINATION"))</x:f>
        <x:v>0</x:v>
      </x:c>
      <x:c r="AH2225" t="n">
        <x:f>--AND(AG2225=1,AE2225="HALLUCINATION")</x:f>
        <x:v>0</x:v>
      </x:c>
      <x:c r="AI2225" t="n">
        <x:f>--AND(Q2225=1,AF2225=1,AE2225="HALLUCINATION")</x:f>
        <x:v>0</x:v>
      </x:c>
      <x:c r="AJ2225" t="n">
        <x:f>--AND(AI2225=1,R2225=1,S2225=1)</x:f>
        <x:v>0</x:v>
      </x:c>
    </x:row>
    <x:row r="2226">
      <x:c r="A2226" s="28"/>
      <x:c r="B2226" s="28"/>
      <x:c r="C2226" s="28"/>
      <x:c r="D2226" s="28"/>
      <x:c r="E2226" s="28"/>
      <x:c r="F2226" s="28"/>
      <x:c r="G2226" s="28"/>
      <x:c r="H2226" s="28"/>
      <x:c r="I2226" s="28"/>
      <x:c r="J2226" s="28"/>
      <x:c r="K2226" s="28"/>
      <x:c r="L2226" s="28"/>
      <x:c r="M2226" s="28"/>
      <x:c r="N2226" s="28"/>
      <x:c r="O2226" s="28"/>
      <x:c r="P2226" s="28"/>
      <x:c r="Q2226" s="28"/>
      <x:c r="R2226" s="28"/>
      <x:c r="S2226" s="28"/>
      <x:c r="T2226" s="28"/>
      <x:c r="U2226" s="28"/>
      <x:c r="V2226" s="28"/>
      <x:c r="W2226" s="43" t="n">
        <x:f>--AND(N2226=1,OR(O2226="SUPPORTED",O2226="HALLUCINATION"))</x:f>
        <x:v>0</x:v>
      </x:c>
      <x:c r="X2226" s="43" t="n">
        <x:f>--AND(W2226=1,O2226="HALLUCINATION")</x:f>
        <x:v>0</x:v>
      </x:c>
      <x:c r="Y2226" s="43" t="n">
        <x:f>--AND(Q2226=1,O2226="HALLUCINATION")</x:f>
        <x:v>0</x:v>
      </x:c>
      <x:c r="Z2226" s="43" t="n">
        <x:f>--AND(Y2226=1,R2226=1,S2226=1)</x:f>
        <x:v>0</x:v>
      </x:c>
      <x:c r="AC2226" t="str">
        <x:f>IF(OR(AA2226="",AB2226=""),"",--(AA2226&lt;&gt;AB2226))</x:f>
      </x:c>
      <x:c r="AE2226" t="str">
        <x:f>IF(OR(AA2226="",AB2226=""),"PENDING_HUMAN",IF(AA2226=AB2226,AA2226,IF(AD2226&lt;&gt;"",AD2226,"PENDING_HUMAN")))</x:f>
        <x:v>PENDING_HUMAN</x:v>
      </x:c>
      <x:c r="AF2226" t="n">
        <x:f>--AND(A2226&lt;&gt;"",AA2226&lt;&gt;"",AB2226&lt;&gt;"",OR(AA2226=AB2226,AD2226&lt;&gt;""),IF(AE2226="HALLUCINATION",U2226&lt;&gt;"",TRUE))</x:f>
        <x:v>0</x:v>
      </x:c>
      <x:c r="AG2226" t="n">
        <x:f>--AND(N2226=1,AF2226=1,OR(AE2226="SUPPORTED",AE2226="HALLUCINATION"))</x:f>
        <x:v>0</x:v>
      </x:c>
      <x:c r="AH2226" t="n">
        <x:f>--AND(AG2226=1,AE2226="HALLUCINATION")</x:f>
        <x:v>0</x:v>
      </x:c>
      <x:c r="AI2226" t="n">
        <x:f>--AND(Q2226=1,AF2226=1,AE2226="HALLUCINATION")</x:f>
        <x:v>0</x:v>
      </x:c>
      <x:c r="AJ2226" t="n">
        <x:f>--AND(AI2226=1,R2226=1,S2226=1)</x:f>
        <x:v>0</x:v>
      </x:c>
    </x:row>
    <x:row r="2227">
      <x:c r="A2227" s="28"/>
      <x:c r="B2227" s="28"/>
      <x:c r="C2227" s="28"/>
      <x:c r="D2227" s="28"/>
      <x:c r="E2227" s="28"/>
      <x:c r="F2227" s="28"/>
      <x:c r="G2227" s="28"/>
      <x:c r="H2227" s="28"/>
      <x:c r="I2227" s="28"/>
      <x:c r="J2227" s="28"/>
      <x:c r="K2227" s="28"/>
      <x:c r="L2227" s="28"/>
      <x:c r="M2227" s="28"/>
      <x:c r="N2227" s="28"/>
      <x:c r="O2227" s="28"/>
      <x:c r="P2227" s="28"/>
      <x:c r="Q2227" s="28"/>
      <x:c r="R2227" s="28"/>
      <x:c r="S2227" s="28"/>
      <x:c r="T2227" s="28"/>
      <x:c r="U2227" s="28"/>
      <x:c r="V2227" s="28"/>
      <x:c r="W2227" s="43" t="n">
        <x:f>--AND(N2227=1,OR(O2227="SUPPORTED",O2227="HALLUCINATION"))</x:f>
        <x:v>0</x:v>
      </x:c>
      <x:c r="X2227" s="43" t="n">
        <x:f>--AND(W2227=1,O2227="HALLUCINATION")</x:f>
        <x:v>0</x:v>
      </x:c>
      <x:c r="Y2227" s="43" t="n">
        <x:f>--AND(Q2227=1,O2227="HALLUCINATION")</x:f>
        <x:v>0</x:v>
      </x:c>
      <x:c r="Z2227" s="43" t="n">
        <x:f>--AND(Y2227=1,R2227=1,S2227=1)</x:f>
        <x:v>0</x:v>
      </x:c>
      <x:c r="AC2227" t="str">
        <x:f>IF(OR(AA2227="",AB2227=""),"",--(AA2227&lt;&gt;AB2227))</x:f>
      </x:c>
      <x:c r="AE2227" t="str">
        <x:f>IF(OR(AA2227="",AB2227=""),"PENDING_HUMAN",IF(AA2227=AB2227,AA2227,IF(AD2227&lt;&gt;"",AD2227,"PENDING_HUMAN")))</x:f>
        <x:v>PENDING_HUMAN</x:v>
      </x:c>
      <x:c r="AF2227" t="n">
        <x:f>--AND(A2227&lt;&gt;"",AA2227&lt;&gt;"",AB2227&lt;&gt;"",OR(AA2227=AB2227,AD2227&lt;&gt;""),IF(AE2227="HALLUCINATION",U2227&lt;&gt;"",TRUE))</x:f>
        <x:v>0</x:v>
      </x:c>
      <x:c r="AG2227" t="n">
        <x:f>--AND(N2227=1,AF2227=1,OR(AE2227="SUPPORTED",AE2227="HALLUCINATION"))</x:f>
        <x:v>0</x:v>
      </x:c>
      <x:c r="AH2227" t="n">
        <x:f>--AND(AG2227=1,AE2227="HALLUCINATION")</x:f>
        <x:v>0</x:v>
      </x:c>
      <x:c r="AI2227" t="n">
        <x:f>--AND(Q2227=1,AF2227=1,AE2227="HALLUCINATION")</x:f>
        <x:v>0</x:v>
      </x:c>
      <x:c r="AJ2227" t="n">
        <x:f>--AND(AI2227=1,R2227=1,S2227=1)</x:f>
        <x:v>0</x:v>
      </x:c>
    </x:row>
    <x:row r="2228">
      <x:c r="A2228" s="28"/>
      <x:c r="B2228" s="28"/>
      <x:c r="C2228" s="28"/>
      <x:c r="D2228" s="28"/>
      <x:c r="E2228" s="28"/>
      <x:c r="F2228" s="28"/>
      <x:c r="G2228" s="28"/>
      <x:c r="H2228" s="28"/>
      <x:c r="I2228" s="28"/>
      <x:c r="J2228" s="28"/>
      <x:c r="K2228" s="28"/>
      <x:c r="L2228" s="28"/>
      <x:c r="M2228" s="28"/>
      <x:c r="N2228" s="28"/>
      <x:c r="O2228" s="28"/>
      <x:c r="P2228" s="28"/>
      <x:c r="Q2228" s="28"/>
      <x:c r="R2228" s="28"/>
      <x:c r="S2228" s="28"/>
      <x:c r="T2228" s="28"/>
      <x:c r="U2228" s="28"/>
      <x:c r="V2228" s="28"/>
      <x:c r="W2228" s="43" t="n">
        <x:f>--AND(N2228=1,OR(O2228="SUPPORTED",O2228="HALLUCINATION"))</x:f>
        <x:v>0</x:v>
      </x:c>
      <x:c r="X2228" s="43" t="n">
        <x:f>--AND(W2228=1,O2228="HALLUCINATION")</x:f>
        <x:v>0</x:v>
      </x:c>
      <x:c r="Y2228" s="43" t="n">
        <x:f>--AND(Q2228=1,O2228="HALLUCINATION")</x:f>
        <x:v>0</x:v>
      </x:c>
      <x:c r="Z2228" s="43" t="n">
        <x:f>--AND(Y2228=1,R2228=1,S2228=1)</x:f>
        <x:v>0</x:v>
      </x:c>
      <x:c r="AC2228" t="str">
        <x:f>IF(OR(AA2228="",AB2228=""),"",--(AA2228&lt;&gt;AB2228))</x:f>
      </x:c>
      <x:c r="AE2228" t="str">
        <x:f>IF(OR(AA2228="",AB2228=""),"PENDING_HUMAN",IF(AA2228=AB2228,AA2228,IF(AD2228&lt;&gt;"",AD2228,"PENDING_HUMAN")))</x:f>
        <x:v>PENDING_HUMAN</x:v>
      </x:c>
      <x:c r="AF2228" t="n">
        <x:f>--AND(A2228&lt;&gt;"",AA2228&lt;&gt;"",AB2228&lt;&gt;"",OR(AA2228=AB2228,AD2228&lt;&gt;""),IF(AE2228="HALLUCINATION",U2228&lt;&gt;"",TRUE))</x:f>
        <x:v>0</x:v>
      </x:c>
      <x:c r="AG2228" t="n">
        <x:f>--AND(N2228=1,AF2228=1,OR(AE2228="SUPPORTED",AE2228="HALLUCINATION"))</x:f>
        <x:v>0</x:v>
      </x:c>
      <x:c r="AH2228" t="n">
        <x:f>--AND(AG2228=1,AE2228="HALLUCINATION")</x:f>
        <x:v>0</x:v>
      </x:c>
      <x:c r="AI2228" t="n">
        <x:f>--AND(Q2228=1,AF2228=1,AE2228="HALLUCINATION")</x:f>
        <x:v>0</x:v>
      </x:c>
      <x:c r="AJ2228" t="n">
        <x:f>--AND(AI2228=1,R2228=1,S2228=1)</x:f>
        <x:v>0</x:v>
      </x:c>
    </x:row>
    <x:row r="2229">
      <x:c r="A2229" s="28"/>
      <x:c r="B2229" s="28"/>
      <x:c r="C2229" s="28"/>
      <x:c r="D2229" s="28"/>
      <x:c r="E2229" s="28"/>
      <x:c r="F2229" s="28"/>
      <x:c r="G2229" s="28"/>
      <x:c r="H2229" s="28"/>
      <x:c r="I2229" s="28"/>
      <x:c r="J2229" s="28"/>
      <x:c r="K2229" s="28"/>
      <x:c r="L2229" s="28"/>
      <x:c r="M2229" s="28"/>
      <x:c r="N2229" s="28"/>
      <x:c r="O2229" s="28"/>
      <x:c r="P2229" s="28"/>
      <x:c r="Q2229" s="28"/>
      <x:c r="R2229" s="28"/>
      <x:c r="S2229" s="28"/>
      <x:c r="T2229" s="28"/>
      <x:c r="U2229" s="28"/>
      <x:c r="V2229" s="28"/>
      <x:c r="W2229" s="43" t="n">
        <x:f>--AND(N2229=1,OR(O2229="SUPPORTED",O2229="HALLUCINATION"))</x:f>
        <x:v>0</x:v>
      </x:c>
      <x:c r="X2229" s="43" t="n">
        <x:f>--AND(W2229=1,O2229="HALLUCINATION")</x:f>
        <x:v>0</x:v>
      </x:c>
      <x:c r="Y2229" s="43" t="n">
        <x:f>--AND(Q2229=1,O2229="HALLUCINATION")</x:f>
        <x:v>0</x:v>
      </x:c>
      <x:c r="Z2229" s="43" t="n">
        <x:f>--AND(Y2229=1,R2229=1,S2229=1)</x:f>
        <x:v>0</x:v>
      </x:c>
      <x:c r="AC2229" t="str">
        <x:f>IF(OR(AA2229="",AB2229=""),"",--(AA2229&lt;&gt;AB2229))</x:f>
      </x:c>
      <x:c r="AE2229" t="str">
        <x:f>IF(OR(AA2229="",AB2229=""),"PENDING_HUMAN",IF(AA2229=AB2229,AA2229,IF(AD2229&lt;&gt;"",AD2229,"PENDING_HUMAN")))</x:f>
        <x:v>PENDING_HUMAN</x:v>
      </x:c>
      <x:c r="AF2229" t="n">
        <x:f>--AND(A2229&lt;&gt;"",AA2229&lt;&gt;"",AB2229&lt;&gt;"",OR(AA2229=AB2229,AD2229&lt;&gt;""),IF(AE2229="HALLUCINATION",U2229&lt;&gt;"",TRUE))</x:f>
        <x:v>0</x:v>
      </x:c>
      <x:c r="AG2229" t="n">
        <x:f>--AND(N2229=1,AF2229=1,OR(AE2229="SUPPORTED",AE2229="HALLUCINATION"))</x:f>
        <x:v>0</x:v>
      </x:c>
      <x:c r="AH2229" t="n">
        <x:f>--AND(AG2229=1,AE2229="HALLUCINATION")</x:f>
        <x:v>0</x:v>
      </x:c>
      <x:c r="AI2229" t="n">
        <x:f>--AND(Q2229=1,AF2229=1,AE2229="HALLUCINATION")</x:f>
        <x:v>0</x:v>
      </x:c>
      <x:c r="AJ2229" t="n">
        <x:f>--AND(AI2229=1,R2229=1,S2229=1)</x:f>
        <x:v>0</x:v>
      </x:c>
    </x:row>
    <x:row r="2230">
      <x:c r="A2230" s="28"/>
      <x:c r="B2230" s="28"/>
      <x:c r="C2230" s="28"/>
      <x:c r="D2230" s="28"/>
      <x:c r="E2230" s="28"/>
      <x:c r="F2230" s="28"/>
      <x:c r="G2230" s="28"/>
      <x:c r="H2230" s="28"/>
      <x:c r="I2230" s="28"/>
      <x:c r="J2230" s="28"/>
      <x:c r="K2230" s="28"/>
      <x:c r="L2230" s="28"/>
      <x:c r="M2230" s="28"/>
      <x:c r="N2230" s="28"/>
      <x:c r="O2230" s="28"/>
      <x:c r="P2230" s="28"/>
      <x:c r="Q2230" s="28"/>
      <x:c r="R2230" s="28"/>
      <x:c r="S2230" s="28"/>
      <x:c r="T2230" s="28"/>
      <x:c r="U2230" s="28"/>
      <x:c r="V2230" s="28"/>
      <x:c r="W2230" s="43" t="n">
        <x:f>--AND(N2230=1,OR(O2230="SUPPORTED",O2230="HALLUCINATION"))</x:f>
        <x:v>0</x:v>
      </x:c>
      <x:c r="X2230" s="43" t="n">
        <x:f>--AND(W2230=1,O2230="HALLUCINATION")</x:f>
        <x:v>0</x:v>
      </x:c>
      <x:c r="Y2230" s="43" t="n">
        <x:f>--AND(Q2230=1,O2230="HALLUCINATION")</x:f>
        <x:v>0</x:v>
      </x:c>
      <x:c r="Z2230" s="43" t="n">
        <x:f>--AND(Y2230=1,R2230=1,S2230=1)</x:f>
        <x:v>0</x:v>
      </x:c>
      <x:c r="AC2230" t="str">
        <x:f>IF(OR(AA2230="",AB2230=""),"",--(AA2230&lt;&gt;AB2230))</x:f>
      </x:c>
      <x:c r="AE2230" t="str">
        <x:f>IF(OR(AA2230="",AB2230=""),"PENDING_HUMAN",IF(AA2230=AB2230,AA2230,IF(AD2230&lt;&gt;"",AD2230,"PENDING_HUMAN")))</x:f>
        <x:v>PENDING_HUMAN</x:v>
      </x:c>
      <x:c r="AF2230" t="n">
        <x:f>--AND(A2230&lt;&gt;"",AA2230&lt;&gt;"",AB2230&lt;&gt;"",OR(AA2230=AB2230,AD2230&lt;&gt;""),IF(AE2230="HALLUCINATION",U2230&lt;&gt;"",TRUE))</x:f>
        <x:v>0</x:v>
      </x:c>
      <x:c r="AG2230" t="n">
        <x:f>--AND(N2230=1,AF2230=1,OR(AE2230="SUPPORTED",AE2230="HALLUCINATION"))</x:f>
        <x:v>0</x:v>
      </x:c>
      <x:c r="AH2230" t="n">
        <x:f>--AND(AG2230=1,AE2230="HALLUCINATION")</x:f>
        <x:v>0</x:v>
      </x:c>
      <x:c r="AI2230" t="n">
        <x:f>--AND(Q2230=1,AF2230=1,AE2230="HALLUCINATION")</x:f>
        <x:v>0</x:v>
      </x:c>
      <x:c r="AJ2230" t="n">
        <x:f>--AND(AI2230=1,R2230=1,S2230=1)</x:f>
        <x:v>0</x:v>
      </x:c>
    </x:row>
    <x:row r="2231">
      <x:c r="A2231" s="28"/>
      <x:c r="B2231" s="28"/>
      <x:c r="C2231" s="28"/>
      <x:c r="D2231" s="28"/>
      <x:c r="E2231" s="28"/>
      <x:c r="F2231" s="28"/>
      <x:c r="G2231" s="28"/>
      <x:c r="H2231" s="28"/>
      <x:c r="I2231" s="28"/>
      <x:c r="J2231" s="28"/>
      <x:c r="K2231" s="28"/>
      <x:c r="L2231" s="28"/>
      <x:c r="M2231" s="28"/>
      <x:c r="N2231" s="28"/>
      <x:c r="O2231" s="28"/>
      <x:c r="P2231" s="28"/>
      <x:c r="Q2231" s="28"/>
      <x:c r="R2231" s="28"/>
      <x:c r="S2231" s="28"/>
      <x:c r="T2231" s="28"/>
      <x:c r="U2231" s="28"/>
      <x:c r="V2231" s="28"/>
      <x:c r="W2231" s="43" t="n">
        <x:f>--AND(N2231=1,OR(O2231="SUPPORTED",O2231="HALLUCINATION"))</x:f>
        <x:v>0</x:v>
      </x:c>
      <x:c r="X2231" s="43" t="n">
        <x:f>--AND(W2231=1,O2231="HALLUCINATION")</x:f>
        <x:v>0</x:v>
      </x:c>
      <x:c r="Y2231" s="43" t="n">
        <x:f>--AND(Q2231=1,O2231="HALLUCINATION")</x:f>
        <x:v>0</x:v>
      </x:c>
      <x:c r="Z2231" s="43" t="n">
        <x:f>--AND(Y2231=1,R2231=1,S2231=1)</x:f>
        <x:v>0</x:v>
      </x:c>
      <x:c r="AC2231" t="str">
        <x:f>IF(OR(AA2231="",AB2231=""),"",--(AA2231&lt;&gt;AB2231))</x:f>
      </x:c>
      <x:c r="AE2231" t="str">
        <x:f>IF(OR(AA2231="",AB2231=""),"PENDING_HUMAN",IF(AA2231=AB2231,AA2231,IF(AD2231&lt;&gt;"",AD2231,"PENDING_HUMAN")))</x:f>
        <x:v>PENDING_HUMAN</x:v>
      </x:c>
      <x:c r="AF2231" t="n">
        <x:f>--AND(A2231&lt;&gt;"",AA2231&lt;&gt;"",AB2231&lt;&gt;"",OR(AA2231=AB2231,AD2231&lt;&gt;""),IF(AE2231="HALLUCINATION",U2231&lt;&gt;"",TRUE))</x:f>
        <x:v>0</x:v>
      </x:c>
      <x:c r="AG2231" t="n">
        <x:f>--AND(N2231=1,AF2231=1,OR(AE2231="SUPPORTED",AE2231="HALLUCINATION"))</x:f>
        <x:v>0</x:v>
      </x:c>
      <x:c r="AH2231" t="n">
        <x:f>--AND(AG2231=1,AE2231="HALLUCINATION")</x:f>
        <x:v>0</x:v>
      </x:c>
      <x:c r="AI2231" t="n">
        <x:f>--AND(Q2231=1,AF2231=1,AE2231="HALLUCINATION")</x:f>
        <x:v>0</x:v>
      </x:c>
      <x:c r="AJ2231" t="n">
        <x:f>--AND(AI2231=1,R2231=1,S2231=1)</x:f>
        <x:v>0</x:v>
      </x:c>
    </x:row>
    <x:row r="2232">
      <x:c r="A2232" s="28"/>
      <x:c r="B2232" s="28"/>
      <x:c r="C2232" s="28"/>
      <x:c r="D2232" s="28"/>
      <x:c r="E2232" s="28"/>
      <x:c r="F2232" s="28"/>
      <x:c r="G2232" s="28"/>
      <x:c r="H2232" s="28"/>
      <x:c r="I2232" s="28"/>
      <x:c r="J2232" s="28"/>
      <x:c r="K2232" s="28"/>
      <x:c r="L2232" s="28"/>
      <x:c r="M2232" s="28"/>
      <x:c r="N2232" s="28"/>
      <x:c r="O2232" s="28"/>
      <x:c r="P2232" s="28"/>
      <x:c r="Q2232" s="28"/>
      <x:c r="R2232" s="28"/>
      <x:c r="S2232" s="28"/>
      <x:c r="T2232" s="28"/>
      <x:c r="U2232" s="28"/>
      <x:c r="V2232" s="28"/>
      <x:c r="W2232" s="43" t="n">
        <x:f>--AND(N2232=1,OR(O2232="SUPPORTED",O2232="HALLUCINATION"))</x:f>
        <x:v>0</x:v>
      </x:c>
      <x:c r="X2232" s="43" t="n">
        <x:f>--AND(W2232=1,O2232="HALLUCINATION")</x:f>
        <x:v>0</x:v>
      </x:c>
      <x:c r="Y2232" s="43" t="n">
        <x:f>--AND(Q2232=1,O2232="HALLUCINATION")</x:f>
        <x:v>0</x:v>
      </x:c>
      <x:c r="Z2232" s="43" t="n">
        <x:f>--AND(Y2232=1,R2232=1,S2232=1)</x:f>
        <x:v>0</x:v>
      </x:c>
      <x:c r="AC2232" t="str">
        <x:f>IF(OR(AA2232="",AB2232=""),"",--(AA2232&lt;&gt;AB2232))</x:f>
      </x:c>
      <x:c r="AE2232" t="str">
        <x:f>IF(OR(AA2232="",AB2232=""),"PENDING_HUMAN",IF(AA2232=AB2232,AA2232,IF(AD2232&lt;&gt;"",AD2232,"PENDING_HUMAN")))</x:f>
        <x:v>PENDING_HUMAN</x:v>
      </x:c>
      <x:c r="AF2232" t="n">
        <x:f>--AND(A2232&lt;&gt;"",AA2232&lt;&gt;"",AB2232&lt;&gt;"",OR(AA2232=AB2232,AD2232&lt;&gt;""),IF(AE2232="HALLUCINATION",U2232&lt;&gt;"",TRUE))</x:f>
        <x:v>0</x:v>
      </x:c>
      <x:c r="AG2232" t="n">
        <x:f>--AND(N2232=1,AF2232=1,OR(AE2232="SUPPORTED",AE2232="HALLUCINATION"))</x:f>
        <x:v>0</x:v>
      </x:c>
      <x:c r="AH2232" t="n">
        <x:f>--AND(AG2232=1,AE2232="HALLUCINATION")</x:f>
        <x:v>0</x:v>
      </x:c>
      <x:c r="AI2232" t="n">
        <x:f>--AND(Q2232=1,AF2232=1,AE2232="HALLUCINATION")</x:f>
        <x:v>0</x:v>
      </x:c>
      <x:c r="AJ2232" t="n">
        <x:f>--AND(AI2232=1,R2232=1,S2232=1)</x:f>
        <x:v>0</x:v>
      </x:c>
    </x:row>
    <x:row r="2233">
      <x:c r="A2233" s="28"/>
      <x:c r="B2233" s="28"/>
      <x:c r="C2233" s="28"/>
      <x:c r="D2233" s="28"/>
      <x:c r="E2233" s="28"/>
      <x:c r="F2233" s="28"/>
      <x:c r="G2233" s="28"/>
      <x:c r="H2233" s="28"/>
      <x:c r="I2233" s="28"/>
      <x:c r="J2233" s="28"/>
      <x:c r="K2233" s="28"/>
      <x:c r="L2233" s="28"/>
      <x:c r="M2233" s="28"/>
      <x:c r="N2233" s="28"/>
      <x:c r="O2233" s="28"/>
      <x:c r="P2233" s="28"/>
      <x:c r="Q2233" s="28"/>
      <x:c r="R2233" s="28"/>
      <x:c r="S2233" s="28"/>
      <x:c r="T2233" s="28"/>
      <x:c r="U2233" s="28"/>
      <x:c r="V2233" s="28"/>
      <x:c r="W2233" s="43" t="n">
        <x:f>--AND(N2233=1,OR(O2233="SUPPORTED",O2233="HALLUCINATION"))</x:f>
        <x:v>0</x:v>
      </x:c>
      <x:c r="X2233" s="43" t="n">
        <x:f>--AND(W2233=1,O2233="HALLUCINATION")</x:f>
        <x:v>0</x:v>
      </x:c>
      <x:c r="Y2233" s="43" t="n">
        <x:f>--AND(Q2233=1,O2233="HALLUCINATION")</x:f>
        <x:v>0</x:v>
      </x:c>
      <x:c r="Z2233" s="43" t="n">
        <x:f>--AND(Y2233=1,R2233=1,S2233=1)</x:f>
        <x:v>0</x:v>
      </x:c>
      <x:c r="AC2233" t="str">
        <x:f>IF(OR(AA2233="",AB2233=""),"",--(AA2233&lt;&gt;AB2233))</x:f>
      </x:c>
      <x:c r="AE2233" t="str">
        <x:f>IF(OR(AA2233="",AB2233=""),"PENDING_HUMAN",IF(AA2233=AB2233,AA2233,IF(AD2233&lt;&gt;"",AD2233,"PENDING_HUMAN")))</x:f>
        <x:v>PENDING_HUMAN</x:v>
      </x:c>
      <x:c r="AF2233" t="n">
        <x:f>--AND(A2233&lt;&gt;"",AA2233&lt;&gt;"",AB2233&lt;&gt;"",OR(AA2233=AB2233,AD2233&lt;&gt;""),IF(AE2233="HALLUCINATION",U2233&lt;&gt;"",TRUE))</x:f>
        <x:v>0</x:v>
      </x:c>
      <x:c r="AG2233" t="n">
        <x:f>--AND(N2233=1,AF2233=1,OR(AE2233="SUPPORTED",AE2233="HALLUCINATION"))</x:f>
        <x:v>0</x:v>
      </x:c>
      <x:c r="AH2233" t="n">
        <x:f>--AND(AG2233=1,AE2233="HALLUCINATION")</x:f>
        <x:v>0</x:v>
      </x:c>
      <x:c r="AI2233" t="n">
        <x:f>--AND(Q2233=1,AF2233=1,AE2233="HALLUCINATION")</x:f>
        <x:v>0</x:v>
      </x:c>
      <x:c r="AJ2233" t="n">
        <x:f>--AND(AI2233=1,R2233=1,S2233=1)</x:f>
        <x:v>0</x:v>
      </x:c>
    </x:row>
    <x:row r="2234">
      <x:c r="A2234" s="28"/>
      <x:c r="B2234" s="28"/>
      <x:c r="C2234" s="28"/>
      <x:c r="D2234" s="28"/>
      <x:c r="E2234" s="28"/>
      <x:c r="F2234" s="28"/>
      <x:c r="G2234" s="28"/>
      <x:c r="H2234" s="28"/>
      <x:c r="I2234" s="28"/>
      <x:c r="J2234" s="28"/>
      <x:c r="K2234" s="28"/>
      <x:c r="L2234" s="28"/>
      <x:c r="M2234" s="28"/>
      <x:c r="N2234" s="28"/>
      <x:c r="O2234" s="28"/>
      <x:c r="P2234" s="28"/>
      <x:c r="Q2234" s="28"/>
      <x:c r="R2234" s="28"/>
      <x:c r="S2234" s="28"/>
      <x:c r="T2234" s="28"/>
      <x:c r="U2234" s="28"/>
      <x:c r="V2234" s="28"/>
      <x:c r="W2234" s="43" t="n">
        <x:f>--AND(N2234=1,OR(O2234="SUPPORTED",O2234="HALLUCINATION"))</x:f>
        <x:v>0</x:v>
      </x:c>
      <x:c r="X2234" s="43" t="n">
        <x:f>--AND(W2234=1,O2234="HALLUCINATION")</x:f>
        <x:v>0</x:v>
      </x:c>
      <x:c r="Y2234" s="43" t="n">
        <x:f>--AND(Q2234=1,O2234="HALLUCINATION")</x:f>
        <x:v>0</x:v>
      </x:c>
      <x:c r="Z2234" s="43" t="n">
        <x:f>--AND(Y2234=1,R2234=1,S2234=1)</x:f>
        <x:v>0</x:v>
      </x:c>
      <x:c r="AC2234" t="str">
        <x:f>IF(OR(AA2234="",AB2234=""),"",--(AA2234&lt;&gt;AB2234))</x:f>
      </x:c>
      <x:c r="AE2234" t="str">
        <x:f>IF(OR(AA2234="",AB2234=""),"PENDING_HUMAN",IF(AA2234=AB2234,AA2234,IF(AD2234&lt;&gt;"",AD2234,"PENDING_HUMAN")))</x:f>
        <x:v>PENDING_HUMAN</x:v>
      </x:c>
      <x:c r="AF2234" t="n">
        <x:f>--AND(A2234&lt;&gt;"",AA2234&lt;&gt;"",AB2234&lt;&gt;"",OR(AA2234=AB2234,AD2234&lt;&gt;""),IF(AE2234="HALLUCINATION",U2234&lt;&gt;"",TRUE))</x:f>
        <x:v>0</x:v>
      </x:c>
      <x:c r="AG2234" t="n">
        <x:f>--AND(N2234=1,AF2234=1,OR(AE2234="SUPPORTED",AE2234="HALLUCINATION"))</x:f>
        <x:v>0</x:v>
      </x:c>
      <x:c r="AH2234" t="n">
        <x:f>--AND(AG2234=1,AE2234="HALLUCINATION")</x:f>
        <x:v>0</x:v>
      </x:c>
      <x:c r="AI2234" t="n">
        <x:f>--AND(Q2234=1,AF2234=1,AE2234="HALLUCINATION")</x:f>
        <x:v>0</x:v>
      </x:c>
      <x:c r="AJ2234" t="n">
        <x:f>--AND(AI2234=1,R2234=1,S2234=1)</x:f>
        <x:v>0</x:v>
      </x:c>
    </x:row>
    <x:row r="2235">
      <x:c r="A2235" s="28"/>
      <x:c r="B2235" s="28"/>
      <x:c r="C2235" s="28"/>
      <x:c r="D2235" s="28"/>
      <x:c r="E2235" s="28"/>
      <x:c r="F2235" s="28"/>
      <x:c r="G2235" s="28"/>
      <x:c r="H2235" s="28"/>
      <x:c r="I2235" s="28"/>
      <x:c r="J2235" s="28"/>
      <x:c r="K2235" s="28"/>
      <x:c r="L2235" s="28"/>
      <x:c r="M2235" s="28"/>
      <x:c r="N2235" s="28"/>
      <x:c r="O2235" s="28"/>
      <x:c r="P2235" s="28"/>
      <x:c r="Q2235" s="28"/>
      <x:c r="R2235" s="28"/>
      <x:c r="S2235" s="28"/>
      <x:c r="T2235" s="28"/>
      <x:c r="U2235" s="28"/>
      <x:c r="V2235" s="28"/>
      <x:c r="W2235" s="43" t="n">
        <x:f>--AND(N2235=1,OR(O2235="SUPPORTED",O2235="HALLUCINATION"))</x:f>
        <x:v>0</x:v>
      </x:c>
      <x:c r="X2235" s="43" t="n">
        <x:f>--AND(W2235=1,O2235="HALLUCINATION")</x:f>
        <x:v>0</x:v>
      </x:c>
      <x:c r="Y2235" s="43" t="n">
        <x:f>--AND(Q2235=1,O2235="HALLUCINATION")</x:f>
        <x:v>0</x:v>
      </x:c>
      <x:c r="Z2235" s="43" t="n">
        <x:f>--AND(Y2235=1,R2235=1,S2235=1)</x:f>
        <x:v>0</x:v>
      </x:c>
      <x:c r="AC2235" t="str">
        <x:f>IF(OR(AA2235="",AB2235=""),"",--(AA2235&lt;&gt;AB2235))</x:f>
      </x:c>
      <x:c r="AE2235" t="str">
        <x:f>IF(OR(AA2235="",AB2235=""),"PENDING_HUMAN",IF(AA2235=AB2235,AA2235,IF(AD2235&lt;&gt;"",AD2235,"PENDING_HUMAN")))</x:f>
        <x:v>PENDING_HUMAN</x:v>
      </x:c>
      <x:c r="AF2235" t="n">
        <x:f>--AND(A2235&lt;&gt;"",AA2235&lt;&gt;"",AB2235&lt;&gt;"",OR(AA2235=AB2235,AD2235&lt;&gt;""),IF(AE2235="HALLUCINATION",U2235&lt;&gt;"",TRUE))</x:f>
        <x:v>0</x:v>
      </x:c>
      <x:c r="AG2235" t="n">
        <x:f>--AND(N2235=1,AF2235=1,OR(AE2235="SUPPORTED",AE2235="HALLUCINATION"))</x:f>
        <x:v>0</x:v>
      </x:c>
      <x:c r="AH2235" t="n">
        <x:f>--AND(AG2235=1,AE2235="HALLUCINATION")</x:f>
        <x:v>0</x:v>
      </x:c>
      <x:c r="AI2235" t="n">
        <x:f>--AND(Q2235=1,AF2235=1,AE2235="HALLUCINATION")</x:f>
        <x:v>0</x:v>
      </x:c>
      <x:c r="AJ2235" t="n">
        <x:f>--AND(AI2235=1,R2235=1,S2235=1)</x:f>
        <x:v>0</x:v>
      </x:c>
    </x:row>
    <x:row r="2236">
      <x:c r="A2236" s="28"/>
      <x:c r="B2236" s="28"/>
      <x:c r="C2236" s="28"/>
      <x:c r="D2236" s="28"/>
      <x:c r="E2236" s="28"/>
      <x:c r="F2236" s="28"/>
      <x:c r="G2236" s="28"/>
      <x:c r="H2236" s="28"/>
      <x:c r="I2236" s="28"/>
      <x:c r="J2236" s="28"/>
      <x:c r="K2236" s="28"/>
      <x:c r="L2236" s="28"/>
      <x:c r="M2236" s="28"/>
      <x:c r="N2236" s="28"/>
      <x:c r="O2236" s="28"/>
      <x:c r="P2236" s="28"/>
      <x:c r="Q2236" s="28"/>
      <x:c r="R2236" s="28"/>
      <x:c r="S2236" s="28"/>
      <x:c r="T2236" s="28"/>
      <x:c r="U2236" s="28"/>
      <x:c r="V2236" s="28"/>
      <x:c r="W2236" s="43" t="n">
        <x:f>--AND(N2236=1,OR(O2236="SUPPORTED",O2236="HALLUCINATION"))</x:f>
        <x:v>0</x:v>
      </x:c>
      <x:c r="X2236" s="43" t="n">
        <x:f>--AND(W2236=1,O2236="HALLUCINATION")</x:f>
        <x:v>0</x:v>
      </x:c>
      <x:c r="Y2236" s="43" t="n">
        <x:f>--AND(Q2236=1,O2236="HALLUCINATION")</x:f>
        <x:v>0</x:v>
      </x:c>
      <x:c r="Z2236" s="43" t="n">
        <x:f>--AND(Y2236=1,R2236=1,S2236=1)</x:f>
        <x:v>0</x:v>
      </x:c>
      <x:c r="AC2236" t="str">
        <x:f>IF(OR(AA2236="",AB2236=""),"",--(AA2236&lt;&gt;AB2236))</x:f>
      </x:c>
      <x:c r="AE2236" t="str">
        <x:f>IF(OR(AA2236="",AB2236=""),"PENDING_HUMAN",IF(AA2236=AB2236,AA2236,IF(AD2236&lt;&gt;"",AD2236,"PENDING_HUMAN")))</x:f>
        <x:v>PENDING_HUMAN</x:v>
      </x:c>
      <x:c r="AF2236" t="n">
        <x:f>--AND(A2236&lt;&gt;"",AA2236&lt;&gt;"",AB2236&lt;&gt;"",OR(AA2236=AB2236,AD2236&lt;&gt;""),IF(AE2236="HALLUCINATION",U2236&lt;&gt;"",TRUE))</x:f>
        <x:v>0</x:v>
      </x:c>
      <x:c r="AG2236" t="n">
        <x:f>--AND(N2236=1,AF2236=1,OR(AE2236="SUPPORTED",AE2236="HALLUCINATION"))</x:f>
        <x:v>0</x:v>
      </x:c>
      <x:c r="AH2236" t="n">
        <x:f>--AND(AG2236=1,AE2236="HALLUCINATION")</x:f>
        <x:v>0</x:v>
      </x:c>
      <x:c r="AI2236" t="n">
        <x:f>--AND(Q2236=1,AF2236=1,AE2236="HALLUCINATION")</x:f>
        <x:v>0</x:v>
      </x:c>
      <x:c r="AJ2236" t="n">
        <x:f>--AND(AI2236=1,R2236=1,S2236=1)</x:f>
        <x:v>0</x:v>
      </x:c>
    </x:row>
    <x:row r="2237">
      <x:c r="A2237" s="28"/>
      <x:c r="B2237" s="28"/>
      <x:c r="C2237" s="28"/>
      <x:c r="D2237" s="28"/>
      <x:c r="E2237" s="28"/>
      <x:c r="F2237" s="28"/>
      <x:c r="G2237" s="28"/>
      <x:c r="H2237" s="28"/>
      <x:c r="I2237" s="28"/>
      <x:c r="J2237" s="28"/>
      <x:c r="K2237" s="28"/>
      <x:c r="L2237" s="28"/>
      <x:c r="M2237" s="28"/>
      <x:c r="N2237" s="28"/>
      <x:c r="O2237" s="28"/>
      <x:c r="P2237" s="28"/>
      <x:c r="Q2237" s="28"/>
      <x:c r="R2237" s="28"/>
      <x:c r="S2237" s="28"/>
      <x:c r="T2237" s="28"/>
      <x:c r="U2237" s="28"/>
      <x:c r="V2237" s="28"/>
      <x:c r="W2237" s="43" t="n">
        <x:f>--AND(N2237=1,OR(O2237="SUPPORTED",O2237="HALLUCINATION"))</x:f>
        <x:v>0</x:v>
      </x:c>
      <x:c r="X2237" s="43" t="n">
        <x:f>--AND(W2237=1,O2237="HALLUCINATION")</x:f>
        <x:v>0</x:v>
      </x:c>
      <x:c r="Y2237" s="43" t="n">
        <x:f>--AND(Q2237=1,O2237="HALLUCINATION")</x:f>
        <x:v>0</x:v>
      </x:c>
      <x:c r="Z2237" s="43" t="n">
        <x:f>--AND(Y2237=1,R2237=1,S2237=1)</x:f>
        <x:v>0</x:v>
      </x:c>
      <x:c r="AC2237" t="str">
        <x:f>IF(OR(AA2237="",AB2237=""),"",--(AA2237&lt;&gt;AB2237))</x:f>
      </x:c>
      <x:c r="AE2237" t="str">
        <x:f>IF(OR(AA2237="",AB2237=""),"PENDING_HUMAN",IF(AA2237=AB2237,AA2237,IF(AD2237&lt;&gt;"",AD2237,"PENDING_HUMAN")))</x:f>
        <x:v>PENDING_HUMAN</x:v>
      </x:c>
      <x:c r="AF2237" t="n">
        <x:f>--AND(A2237&lt;&gt;"",AA2237&lt;&gt;"",AB2237&lt;&gt;"",OR(AA2237=AB2237,AD2237&lt;&gt;""),IF(AE2237="HALLUCINATION",U2237&lt;&gt;"",TRUE))</x:f>
        <x:v>0</x:v>
      </x:c>
      <x:c r="AG2237" t="n">
        <x:f>--AND(N2237=1,AF2237=1,OR(AE2237="SUPPORTED",AE2237="HALLUCINATION"))</x:f>
        <x:v>0</x:v>
      </x:c>
      <x:c r="AH2237" t="n">
        <x:f>--AND(AG2237=1,AE2237="HALLUCINATION")</x:f>
        <x:v>0</x:v>
      </x:c>
      <x:c r="AI2237" t="n">
        <x:f>--AND(Q2237=1,AF2237=1,AE2237="HALLUCINATION")</x:f>
        <x:v>0</x:v>
      </x:c>
      <x:c r="AJ2237" t="n">
        <x:f>--AND(AI2237=1,R2237=1,S2237=1)</x:f>
        <x:v>0</x:v>
      </x:c>
    </x:row>
    <x:row r="2238">
      <x:c r="A2238" s="28"/>
      <x:c r="B2238" s="28"/>
      <x:c r="C2238" s="28"/>
      <x:c r="D2238" s="28"/>
      <x:c r="E2238" s="28"/>
      <x:c r="F2238" s="28"/>
      <x:c r="G2238" s="28"/>
      <x:c r="H2238" s="28"/>
      <x:c r="I2238" s="28"/>
      <x:c r="J2238" s="28"/>
      <x:c r="K2238" s="28"/>
      <x:c r="L2238" s="28"/>
      <x:c r="M2238" s="28"/>
      <x:c r="N2238" s="28"/>
      <x:c r="O2238" s="28"/>
      <x:c r="P2238" s="28"/>
      <x:c r="Q2238" s="28"/>
      <x:c r="R2238" s="28"/>
      <x:c r="S2238" s="28"/>
      <x:c r="T2238" s="28"/>
      <x:c r="U2238" s="28"/>
      <x:c r="V2238" s="28"/>
      <x:c r="W2238" s="43" t="n">
        <x:f>--AND(N2238=1,OR(O2238="SUPPORTED",O2238="HALLUCINATION"))</x:f>
        <x:v>0</x:v>
      </x:c>
      <x:c r="X2238" s="43" t="n">
        <x:f>--AND(W2238=1,O2238="HALLUCINATION")</x:f>
        <x:v>0</x:v>
      </x:c>
      <x:c r="Y2238" s="43" t="n">
        <x:f>--AND(Q2238=1,O2238="HALLUCINATION")</x:f>
        <x:v>0</x:v>
      </x:c>
      <x:c r="Z2238" s="43" t="n">
        <x:f>--AND(Y2238=1,R2238=1,S2238=1)</x:f>
        <x:v>0</x:v>
      </x:c>
      <x:c r="AC2238" t="str">
        <x:f>IF(OR(AA2238="",AB2238=""),"",--(AA2238&lt;&gt;AB2238))</x:f>
      </x:c>
      <x:c r="AE2238" t="str">
        <x:f>IF(OR(AA2238="",AB2238=""),"PENDING_HUMAN",IF(AA2238=AB2238,AA2238,IF(AD2238&lt;&gt;"",AD2238,"PENDING_HUMAN")))</x:f>
        <x:v>PENDING_HUMAN</x:v>
      </x:c>
      <x:c r="AF2238" t="n">
        <x:f>--AND(A2238&lt;&gt;"",AA2238&lt;&gt;"",AB2238&lt;&gt;"",OR(AA2238=AB2238,AD2238&lt;&gt;""),IF(AE2238="HALLUCINATION",U2238&lt;&gt;"",TRUE))</x:f>
        <x:v>0</x:v>
      </x:c>
      <x:c r="AG2238" t="n">
        <x:f>--AND(N2238=1,AF2238=1,OR(AE2238="SUPPORTED",AE2238="HALLUCINATION"))</x:f>
        <x:v>0</x:v>
      </x:c>
      <x:c r="AH2238" t="n">
        <x:f>--AND(AG2238=1,AE2238="HALLUCINATION")</x:f>
        <x:v>0</x:v>
      </x:c>
      <x:c r="AI2238" t="n">
        <x:f>--AND(Q2238=1,AF2238=1,AE2238="HALLUCINATION")</x:f>
        <x:v>0</x:v>
      </x:c>
      <x:c r="AJ2238" t="n">
        <x:f>--AND(AI2238=1,R2238=1,S2238=1)</x:f>
        <x:v>0</x:v>
      </x:c>
    </x:row>
    <x:row r="2239">
      <x:c r="A2239" s="28"/>
      <x:c r="B2239" s="28"/>
      <x:c r="C2239" s="28"/>
      <x:c r="D2239" s="28"/>
      <x:c r="E2239" s="28"/>
      <x:c r="F2239" s="28"/>
      <x:c r="G2239" s="28"/>
      <x:c r="H2239" s="28"/>
      <x:c r="I2239" s="28"/>
      <x:c r="J2239" s="28"/>
      <x:c r="K2239" s="28"/>
      <x:c r="L2239" s="28"/>
      <x:c r="M2239" s="28"/>
      <x:c r="N2239" s="28"/>
      <x:c r="O2239" s="28"/>
      <x:c r="P2239" s="28"/>
      <x:c r="Q2239" s="28"/>
      <x:c r="R2239" s="28"/>
      <x:c r="S2239" s="28"/>
      <x:c r="T2239" s="28"/>
      <x:c r="U2239" s="28"/>
      <x:c r="V2239" s="28"/>
      <x:c r="W2239" s="43" t="n">
        <x:f>--AND(N2239=1,OR(O2239="SUPPORTED",O2239="HALLUCINATION"))</x:f>
        <x:v>0</x:v>
      </x:c>
      <x:c r="X2239" s="43" t="n">
        <x:f>--AND(W2239=1,O2239="HALLUCINATION")</x:f>
        <x:v>0</x:v>
      </x:c>
      <x:c r="Y2239" s="43" t="n">
        <x:f>--AND(Q2239=1,O2239="HALLUCINATION")</x:f>
        <x:v>0</x:v>
      </x:c>
      <x:c r="Z2239" s="43" t="n">
        <x:f>--AND(Y2239=1,R2239=1,S2239=1)</x:f>
        <x:v>0</x:v>
      </x:c>
      <x:c r="AC2239" t="str">
        <x:f>IF(OR(AA2239="",AB2239=""),"",--(AA2239&lt;&gt;AB2239))</x:f>
      </x:c>
      <x:c r="AE2239" t="str">
        <x:f>IF(OR(AA2239="",AB2239=""),"PENDING_HUMAN",IF(AA2239=AB2239,AA2239,IF(AD2239&lt;&gt;"",AD2239,"PENDING_HUMAN")))</x:f>
        <x:v>PENDING_HUMAN</x:v>
      </x:c>
      <x:c r="AF2239" t="n">
        <x:f>--AND(A2239&lt;&gt;"",AA2239&lt;&gt;"",AB2239&lt;&gt;"",OR(AA2239=AB2239,AD2239&lt;&gt;""),IF(AE2239="HALLUCINATION",U2239&lt;&gt;"",TRUE))</x:f>
        <x:v>0</x:v>
      </x:c>
      <x:c r="AG2239" t="n">
        <x:f>--AND(N2239=1,AF2239=1,OR(AE2239="SUPPORTED",AE2239="HALLUCINATION"))</x:f>
        <x:v>0</x:v>
      </x:c>
      <x:c r="AH2239" t="n">
        <x:f>--AND(AG2239=1,AE2239="HALLUCINATION")</x:f>
        <x:v>0</x:v>
      </x:c>
      <x:c r="AI2239" t="n">
        <x:f>--AND(Q2239=1,AF2239=1,AE2239="HALLUCINATION")</x:f>
        <x:v>0</x:v>
      </x:c>
      <x:c r="AJ2239" t="n">
        <x:f>--AND(AI2239=1,R2239=1,S2239=1)</x:f>
        <x:v>0</x:v>
      </x:c>
    </x:row>
    <x:row r="2240">
      <x:c r="A2240" s="28"/>
      <x:c r="B2240" s="28"/>
      <x:c r="C2240" s="28"/>
      <x:c r="D2240" s="28"/>
      <x:c r="E2240" s="28"/>
      <x:c r="F2240" s="28"/>
      <x:c r="G2240" s="28"/>
      <x:c r="H2240" s="28"/>
      <x:c r="I2240" s="28"/>
      <x:c r="J2240" s="28"/>
      <x:c r="K2240" s="28"/>
      <x:c r="L2240" s="28"/>
      <x:c r="M2240" s="28"/>
      <x:c r="N2240" s="28"/>
      <x:c r="O2240" s="28"/>
      <x:c r="P2240" s="28"/>
      <x:c r="Q2240" s="28"/>
      <x:c r="R2240" s="28"/>
      <x:c r="S2240" s="28"/>
      <x:c r="T2240" s="28"/>
      <x:c r="U2240" s="28"/>
      <x:c r="V2240" s="28"/>
      <x:c r="W2240" s="43" t="n">
        <x:f>--AND(N2240=1,OR(O2240="SUPPORTED",O2240="HALLUCINATION"))</x:f>
        <x:v>0</x:v>
      </x:c>
      <x:c r="X2240" s="43" t="n">
        <x:f>--AND(W2240=1,O2240="HALLUCINATION")</x:f>
        <x:v>0</x:v>
      </x:c>
      <x:c r="Y2240" s="43" t="n">
        <x:f>--AND(Q2240=1,O2240="HALLUCINATION")</x:f>
        <x:v>0</x:v>
      </x:c>
      <x:c r="Z2240" s="43" t="n">
        <x:f>--AND(Y2240=1,R2240=1,S2240=1)</x:f>
        <x:v>0</x:v>
      </x:c>
      <x:c r="AC2240" t="str">
        <x:f>IF(OR(AA2240="",AB2240=""),"",--(AA2240&lt;&gt;AB2240))</x:f>
      </x:c>
      <x:c r="AE2240" t="str">
        <x:f>IF(OR(AA2240="",AB2240=""),"PENDING_HUMAN",IF(AA2240=AB2240,AA2240,IF(AD2240&lt;&gt;"",AD2240,"PENDING_HUMAN")))</x:f>
        <x:v>PENDING_HUMAN</x:v>
      </x:c>
      <x:c r="AF2240" t="n">
        <x:f>--AND(A2240&lt;&gt;"",AA2240&lt;&gt;"",AB2240&lt;&gt;"",OR(AA2240=AB2240,AD2240&lt;&gt;""),IF(AE2240="HALLUCINATION",U2240&lt;&gt;"",TRUE))</x:f>
        <x:v>0</x:v>
      </x:c>
      <x:c r="AG2240" t="n">
        <x:f>--AND(N2240=1,AF2240=1,OR(AE2240="SUPPORTED",AE2240="HALLUCINATION"))</x:f>
        <x:v>0</x:v>
      </x:c>
      <x:c r="AH2240" t="n">
        <x:f>--AND(AG2240=1,AE2240="HALLUCINATION")</x:f>
        <x:v>0</x:v>
      </x:c>
      <x:c r="AI2240" t="n">
        <x:f>--AND(Q2240=1,AF2240=1,AE2240="HALLUCINATION")</x:f>
        <x:v>0</x:v>
      </x:c>
      <x:c r="AJ2240" t="n">
        <x:f>--AND(AI2240=1,R2240=1,S2240=1)</x:f>
        <x:v>0</x:v>
      </x:c>
    </x:row>
    <x:row r="2241">
      <x:c r="A2241" s="28"/>
      <x:c r="B2241" s="28"/>
      <x:c r="C2241" s="28"/>
      <x:c r="D2241" s="28"/>
      <x:c r="E2241" s="28"/>
      <x:c r="F2241" s="28"/>
      <x:c r="G2241" s="28"/>
      <x:c r="H2241" s="28"/>
      <x:c r="I2241" s="28"/>
      <x:c r="J2241" s="28"/>
      <x:c r="K2241" s="28"/>
      <x:c r="L2241" s="28"/>
      <x:c r="M2241" s="28"/>
      <x:c r="N2241" s="28"/>
      <x:c r="O2241" s="28"/>
      <x:c r="P2241" s="28"/>
      <x:c r="Q2241" s="28"/>
      <x:c r="R2241" s="28"/>
      <x:c r="S2241" s="28"/>
      <x:c r="T2241" s="28"/>
      <x:c r="U2241" s="28"/>
      <x:c r="V2241" s="28"/>
      <x:c r="W2241" s="43" t="n">
        <x:f>--AND(N2241=1,OR(O2241="SUPPORTED",O2241="HALLUCINATION"))</x:f>
        <x:v>0</x:v>
      </x:c>
      <x:c r="X2241" s="43" t="n">
        <x:f>--AND(W2241=1,O2241="HALLUCINATION")</x:f>
        <x:v>0</x:v>
      </x:c>
      <x:c r="Y2241" s="43" t="n">
        <x:f>--AND(Q2241=1,O2241="HALLUCINATION")</x:f>
        <x:v>0</x:v>
      </x:c>
      <x:c r="Z2241" s="43" t="n">
        <x:f>--AND(Y2241=1,R2241=1,S2241=1)</x:f>
        <x:v>0</x:v>
      </x:c>
      <x:c r="AC2241" t="str">
        <x:f>IF(OR(AA2241="",AB2241=""),"",--(AA2241&lt;&gt;AB2241))</x:f>
      </x:c>
      <x:c r="AE2241" t="str">
        <x:f>IF(OR(AA2241="",AB2241=""),"PENDING_HUMAN",IF(AA2241=AB2241,AA2241,IF(AD2241&lt;&gt;"",AD2241,"PENDING_HUMAN")))</x:f>
        <x:v>PENDING_HUMAN</x:v>
      </x:c>
      <x:c r="AF2241" t="n">
        <x:f>--AND(A2241&lt;&gt;"",AA2241&lt;&gt;"",AB2241&lt;&gt;"",OR(AA2241=AB2241,AD2241&lt;&gt;""),IF(AE2241="HALLUCINATION",U2241&lt;&gt;"",TRUE))</x:f>
        <x:v>0</x:v>
      </x:c>
      <x:c r="AG2241" t="n">
        <x:f>--AND(N2241=1,AF2241=1,OR(AE2241="SUPPORTED",AE2241="HALLUCINATION"))</x:f>
        <x:v>0</x:v>
      </x:c>
      <x:c r="AH2241" t="n">
        <x:f>--AND(AG2241=1,AE2241="HALLUCINATION")</x:f>
        <x:v>0</x:v>
      </x:c>
      <x:c r="AI2241" t="n">
        <x:f>--AND(Q2241=1,AF2241=1,AE2241="HALLUCINATION")</x:f>
        <x:v>0</x:v>
      </x:c>
      <x:c r="AJ2241" t="n">
        <x:f>--AND(AI2241=1,R2241=1,S2241=1)</x:f>
        <x:v>0</x:v>
      </x:c>
    </x:row>
    <x:row r="2242">
      <x:c r="A2242" s="28"/>
      <x:c r="B2242" s="28"/>
      <x:c r="C2242" s="28"/>
      <x:c r="D2242" s="28"/>
      <x:c r="E2242" s="28"/>
      <x:c r="F2242" s="28"/>
      <x:c r="G2242" s="28"/>
      <x:c r="H2242" s="28"/>
      <x:c r="I2242" s="28"/>
      <x:c r="J2242" s="28"/>
      <x:c r="K2242" s="28"/>
      <x:c r="L2242" s="28"/>
      <x:c r="M2242" s="28"/>
      <x:c r="N2242" s="28"/>
      <x:c r="O2242" s="28"/>
      <x:c r="P2242" s="28"/>
      <x:c r="Q2242" s="28"/>
      <x:c r="R2242" s="28"/>
      <x:c r="S2242" s="28"/>
      <x:c r="T2242" s="28"/>
      <x:c r="U2242" s="28"/>
      <x:c r="V2242" s="28"/>
      <x:c r="W2242" s="43" t="n">
        <x:f>--AND(N2242=1,OR(O2242="SUPPORTED",O2242="HALLUCINATION"))</x:f>
        <x:v>0</x:v>
      </x:c>
      <x:c r="X2242" s="43" t="n">
        <x:f>--AND(W2242=1,O2242="HALLUCINATION")</x:f>
        <x:v>0</x:v>
      </x:c>
      <x:c r="Y2242" s="43" t="n">
        <x:f>--AND(Q2242=1,O2242="HALLUCINATION")</x:f>
        <x:v>0</x:v>
      </x:c>
      <x:c r="Z2242" s="43" t="n">
        <x:f>--AND(Y2242=1,R2242=1,S2242=1)</x:f>
        <x:v>0</x:v>
      </x:c>
      <x:c r="AC2242" t="str">
        <x:f>IF(OR(AA2242="",AB2242=""),"",--(AA2242&lt;&gt;AB2242))</x:f>
      </x:c>
      <x:c r="AE2242" t="str">
        <x:f>IF(OR(AA2242="",AB2242=""),"PENDING_HUMAN",IF(AA2242=AB2242,AA2242,IF(AD2242&lt;&gt;"",AD2242,"PENDING_HUMAN")))</x:f>
        <x:v>PENDING_HUMAN</x:v>
      </x:c>
      <x:c r="AF2242" t="n">
        <x:f>--AND(A2242&lt;&gt;"",AA2242&lt;&gt;"",AB2242&lt;&gt;"",OR(AA2242=AB2242,AD2242&lt;&gt;""),IF(AE2242="HALLUCINATION",U2242&lt;&gt;"",TRUE))</x:f>
        <x:v>0</x:v>
      </x:c>
      <x:c r="AG2242" t="n">
        <x:f>--AND(N2242=1,AF2242=1,OR(AE2242="SUPPORTED",AE2242="HALLUCINATION"))</x:f>
        <x:v>0</x:v>
      </x:c>
      <x:c r="AH2242" t="n">
        <x:f>--AND(AG2242=1,AE2242="HALLUCINATION")</x:f>
        <x:v>0</x:v>
      </x:c>
      <x:c r="AI2242" t="n">
        <x:f>--AND(Q2242=1,AF2242=1,AE2242="HALLUCINATION")</x:f>
        <x:v>0</x:v>
      </x:c>
      <x:c r="AJ2242" t="n">
        <x:f>--AND(AI2242=1,R2242=1,S2242=1)</x:f>
        <x:v>0</x:v>
      </x:c>
    </x:row>
    <x:row r="2243">
      <x:c r="A2243" s="28"/>
      <x:c r="B2243" s="28"/>
      <x:c r="C2243" s="28"/>
      <x:c r="D2243" s="28"/>
      <x:c r="E2243" s="28"/>
      <x:c r="F2243" s="28"/>
      <x:c r="G2243" s="28"/>
      <x:c r="H2243" s="28"/>
      <x:c r="I2243" s="28"/>
      <x:c r="J2243" s="28"/>
      <x:c r="K2243" s="28"/>
      <x:c r="L2243" s="28"/>
      <x:c r="M2243" s="28"/>
      <x:c r="N2243" s="28"/>
      <x:c r="O2243" s="28"/>
      <x:c r="P2243" s="28"/>
      <x:c r="Q2243" s="28"/>
      <x:c r="R2243" s="28"/>
      <x:c r="S2243" s="28"/>
      <x:c r="T2243" s="28"/>
      <x:c r="U2243" s="28"/>
      <x:c r="V2243" s="28"/>
      <x:c r="W2243" s="43" t="n">
        <x:f>--AND(N2243=1,OR(O2243="SUPPORTED",O2243="HALLUCINATION"))</x:f>
        <x:v>0</x:v>
      </x:c>
      <x:c r="X2243" s="43" t="n">
        <x:f>--AND(W2243=1,O2243="HALLUCINATION")</x:f>
        <x:v>0</x:v>
      </x:c>
      <x:c r="Y2243" s="43" t="n">
        <x:f>--AND(Q2243=1,O2243="HALLUCINATION")</x:f>
        <x:v>0</x:v>
      </x:c>
      <x:c r="Z2243" s="43" t="n">
        <x:f>--AND(Y2243=1,R2243=1,S2243=1)</x:f>
        <x:v>0</x:v>
      </x:c>
      <x:c r="AC2243" t="str">
        <x:f>IF(OR(AA2243="",AB2243=""),"",--(AA2243&lt;&gt;AB2243))</x:f>
      </x:c>
      <x:c r="AE2243" t="str">
        <x:f>IF(OR(AA2243="",AB2243=""),"PENDING_HUMAN",IF(AA2243=AB2243,AA2243,IF(AD2243&lt;&gt;"",AD2243,"PENDING_HUMAN")))</x:f>
        <x:v>PENDING_HUMAN</x:v>
      </x:c>
      <x:c r="AF2243" t="n">
        <x:f>--AND(A2243&lt;&gt;"",AA2243&lt;&gt;"",AB2243&lt;&gt;"",OR(AA2243=AB2243,AD2243&lt;&gt;""),IF(AE2243="HALLUCINATION",U2243&lt;&gt;"",TRUE))</x:f>
        <x:v>0</x:v>
      </x:c>
      <x:c r="AG2243" t="n">
        <x:f>--AND(N2243=1,AF2243=1,OR(AE2243="SUPPORTED",AE2243="HALLUCINATION"))</x:f>
        <x:v>0</x:v>
      </x:c>
      <x:c r="AH2243" t="n">
        <x:f>--AND(AG2243=1,AE2243="HALLUCINATION")</x:f>
        <x:v>0</x:v>
      </x:c>
      <x:c r="AI2243" t="n">
        <x:f>--AND(Q2243=1,AF2243=1,AE2243="HALLUCINATION")</x:f>
        <x:v>0</x:v>
      </x:c>
      <x:c r="AJ2243" t="n">
        <x:f>--AND(AI2243=1,R2243=1,S2243=1)</x:f>
        <x:v>0</x:v>
      </x:c>
    </x:row>
    <x:row r="2244">
      <x:c r="A2244" s="28"/>
      <x:c r="B2244" s="28"/>
      <x:c r="C2244" s="28"/>
      <x:c r="D2244" s="28"/>
      <x:c r="E2244" s="28"/>
      <x:c r="F2244" s="28"/>
      <x:c r="G2244" s="28"/>
      <x:c r="H2244" s="28"/>
      <x:c r="I2244" s="28"/>
      <x:c r="J2244" s="28"/>
      <x:c r="K2244" s="28"/>
      <x:c r="L2244" s="28"/>
      <x:c r="M2244" s="28"/>
      <x:c r="N2244" s="28"/>
      <x:c r="O2244" s="28"/>
      <x:c r="P2244" s="28"/>
      <x:c r="Q2244" s="28"/>
      <x:c r="R2244" s="28"/>
      <x:c r="S2244" s="28"/>
      <x:c r="T2244" s="28"/>
      <x:c r="U2244" s="28"/>
      <x:c r="V2244" s="28"/>
      <x:c r="W2244" s="43" t="n">
        <x:f>--AND(N2244=1,OR(O2244="SUPPORTED",O2244="HALLUCINATION"))</x:f>
        <x:v>0</x:v>
      </x:c>
      <x:c r="X2244" s="43" t="n">
        <x:f>--AND(W2244=1,O2244="HALLUCINATION")</x:f>
        <x:v>0</x:v>
      </x:c>
      <x:c r="Y2244" s="43" t="n">
        <x:f>--AND(Q2244=1,O2244="HALLUCINATION")</x:f>
        <x:v>0</x:v>
      </x:c>
      <x:c r="Z2244" s="43" t="n">
        <x:f>--AND(Y2244=1,R2244=1,S2244=1)</x:f>
        <x:v>0</x:v>
      </x:c>
      <x:c r="AC2244" t="str">
        <x:f>IF(OR(AA2244="",AB2244=""),"",--(AA2244&lt;&gt;AB2244))</x:f>
      </x:c>
      <x:c r="AE2244" t="str">
        <x:f>IF(OR(AA2244="",AB2244=""),"PENDING_HUMAN",IF(AA2244=AB2244,AA2244,IF(AD2244&lt;&gt;"",AD2244,"PENDING_HUMAN")))</x:f>
        <x:v>PENDING_HUMAN</x:v>
      </x:c>
      <x:c r="AF2244" t="n">
        <x:f>--AND(A2244&lt;&gt;"",AA2244&lt;&gt;"",AB2244&lt;&gt;"",OR(AA2244=AB2244,AD2244&lt;&gt;""),IF(AE2244="HALLUCINATION",U2244&lt;&gt;"",TRUE))</x:f>
        <x:v>0</x:v>
      </x:c>
      <x:c r="AG2244" t="n">
        <x:f>--AND(N2244=1,AF2244=1,OR(AE2244="SUPPORTED",AE2244="HALLUCINATION"))</x:f>
        <x:v>0</x:v>
      </x:c>
      <x:c r="AH2244" t="n">
        <x:f>--AND(AG2244=1,AE2244="HALLUCINATION")</x:f>
        <x:v>0</x:v>
      </x:c>
      <x:c r="AI2244" t="n">
        <x:f>--AND(Q2244=1,AF2244=1,AE2244="HALLUCINATION")</x:f>
        <x:v>0</x:v>
      </x:c>
      <x:c r="AJ2244" t="n">
        <x:f>--AND(AI2244=1,R2244=1,S2244=1)</x:f>
        <x:v>0</x:v>
      </x:c>
    </x:row>
    <x:row r="2245">
      <x:c r="A2245" s="28"/>
      <x:c r="B2245" s="28"/>
      <x:c r="C2245" s="28"/>
      <x:c r="D2245" s="28"/>
      <x:c r="E2245" s="28"/>
      <x:c r="F2245" s="28"/>
      <x:c r="G2245" s="28"/>
      <x:c r="H2245" s="28"/>
      <x:c r="I2245" s="28"/>
      <x:c r="J2245" s="28"/>
      <x:c r="K2245" s="28"/>
      <x:c r="L2245" s="28"/>
      <x:c r="M2245" s="28"/>
      <x:c r="N2245" s="28"/>
      <x:c r="O2245" s="28"/>
      <x:c r="P2245" s="28"/>
      <x:c r="Q2245" s="28"/>
      <x:c r="R2245" s="28"/>
      <x:c r="S2245" s="28"/>
      <x:c r="T2245" s="28"/>
      <x:c r="U2245" s="28"/>
      <x:c r="V2245" s="28"/>
      <x:c r="W2245" s="43" t="n">
        <x:f>--AND(N2245=1,OR(O2245="SUPPORTED",O2245="HALLUCINATION"))</x:f>
        <x:v>0</x:v>
      </x:c>
      <x:c r="X2245" s="43" t="n">
        <x:f>--AND(W2245=1,O2245="HALLUCINATION")</x:f>
        <x:v>0</x:v>
      </x:c>
      <x:c r="Y2245" s="43" t="n">
        <x:f>--AND(Q2245=1,O2245="HALLUCINATION")</x:f>
        <x:v>0</x:v>
      </x:c>
      <x:c r="Z2245" s="43" t="n">
        <x:f>--AND(Y2245=1,R2245=1,S2245=1)</x:f>
        <x:v>0</x:v>
      </x:c>
      <x:c r="AC2245" t="str">
        <x:f>IF(OR(AA2245="",AB2245=""),"",--(AA2245&lt;&gt;AB2245))</x:f>
      </x:c>
      <x:c r="AE2245" t="str">
        <x:f>IF(OR(AA2245="",AB2245=""),"PENDING_HUMAN",IF(AA2245=AB2245,AA2245,IF(AD2245&lt;&gt;"",AD2245,"PENDING_HUMAN")))</x:f>
        <x:v>PENDING_HUMAN</x:v>
      </x:c>
      <x:c r="AF2245" t="n">
        <x:f>--AND(A2245&lt;&gt;"",AA2245&lt;&gt;"",AB2245&lt;&gt;"",OR(AA2245=AB2245,AD2245&lt;&gt;""),IF(AE2245="HALLUCINATION",U2245&lt;&gt;"",TRUE))</x:f>
        <x:v>0</x:v>
      </x:c>
      <x:c r="AG2245" t="n">
        <x:f>--AND(N2245=1,AF2245=1,OR(AE2245="SUPPORTED",AE2245="HALLUCINATION"))</x:f>
        <x:v>0</x:v>
      </x:c>
      <x:c r="AH2245" t="n">
        <x:f>--AND(AG2245=1,AE2245="HALLUCINATION")</x:f>
        <x:v>0</x:v>
      </x:c>
      <x:c r="AI2245" t="n">
        <x:f>--AND(Q2245=1,AF2245=1,AE2245="HALLUCINATION")</x:f>
        <x:v>0</x:v>
      </x:c>
      <x:c r="AJ2245" t="n">
        <x:f>--AND(AI2245=1,R2245=1,S2245=1)</x:f>
        <x:v>0</x:v>
      </x:c>
    </x:row>
    <x:row r="2246">
      <x:c r="A2246" s="28"/>
      <x:c r="B2246" s="28"/>
      <x:c r="C2246" s="28"/>
      <x:c r="D2246" s="28"/>
      <x:c r="E2246" s="28"/>
      <x:c r="F2246" s="28"/>
      <x:c r="G2246" s="28"/>
      <x:c r="H2246" s="28"/>
      <x:c r="I2246" s="28"/>
      <x:c r="J2246" s="28"/>
      <x:c r="K2246" s="28"/>
      <x:c r="L2246" s="28"/>
      <x:c r="M2246" s="28"/>
      <x:c r="N2246" s="28"/>
      <x:c r="O2246" s="28"/>
      <x:c r="P2246" s="28"/>
      <x:c r="Q2246" s="28"/>
      <x:c r="R2246" s="28"/>
      <x:c r="S2246" s="28"/>
      <x:c r="T2246" s="28"/>
      <x:c r="U2246" s="28"/>
      <x:c r="V2246" s="28"/>
      <x:c r="W2246" s="43" t="n">
        <x:f>--AND(N2246=1,OR(O2246="SUPPORTED",O2246="HALLUCINATION"))</x:f>
        <x:v>0</x:v>
      </x:c>
      <x:c r="X2246" s="43" t="n">
        <x:f>--AND(W2246=1,O2246="HALLUCINATION")</x:f>
        <x:v>0</x:v>
      </x:c>
      <x:c r="Y2246" s="43" t="n">
        <x:f>--AND(Q2246=1,O2246="HALLUCINATION")</x:f>
        <x:v>0</x:v>
      </x:c>
      <x:c r="Z2246" s="43" t="n">
        <x:f>--AND(Y2246=1,R2246=1,S2246=1)</x:f>
        <x:v>0</x:v>
      </x:c>
      <x:c r="AC2246" t="str">
        <x:f>IF(OR(AA2246="",AB2246=""),"",--(AA2246&lt;&gt;AB2246))</x:f>
      </x:c>
      <x:c r="AE2246" t="str">
        <x:f>IF(OR(AA2246="",AB2246=""),"PENDING_HUMAN",IF(AA2246=AB2246,AA2246,IF(AD2246&lt;&gt;"",AD2246,"PENDING_HUMAN")))</x:f>
        <x:v>PENDING_HUMAN</x:v>
      </x:c>
      <x:c r="AF2246" t="n">
        <x:f>--AND(A2246&lt;&gt;"",AA2246&lt;&gt;"",AB2246&lt;&gt;"",OR(AA2246=AB2246,AD2246&lt;&gt;""),IF(AE2246="HALLUCINATION",U2246&lt;&gt;"",TRUE))</x:f>
        <x:v>0</x:v>
      </x:c>
      <x:c r="AG2246" t="n">
        <x:f>--AND(N2246=1,AF2246=1,OR(AE2246="SUPPORTED",AE2246="HALLUCINATION"))</x:f>
        <x:v>0</x:v>
      </x:c>
      <x:c r="AH2246" t="n">
        <x:f>--AND(AG2246=1,AE2246="HALLUCINATION")</x:f>
        <x:v>0</x:v>
      </x:c>
      <x:c r="AI2246" t="n">
        <x:f>--AND(Q2246=1,AF2246=1,AE2246="HALLUCINATION")</x:f>
        <x:v>0</x:v>
      </x:c>
      <x:c r="AJ2246" t="n">
        <x:f>--AND(AI2246=1,R2246=1,S2246=1)</x:f>
        <x:v>0</x:v>
      </x:c>
    </x:row>
    <x:row r="2247">
      <x:c r="A2247" s="28"/>
      <x:c r="B2247" s="28"/>
      <x:c r="C2247" s="28"/>
      <x:c r="D2247" s="28"/>
      <x:c r="E2247" s="28"/>
      <x:c r="F2247" s="28"/>
      <x:c r="G2247" s="28"/>
      <x:c r="H2247" s="28"/>
      <x:c r="I2247" s="28"/>
      <x:c r="J2247" s="28"/>
      <x:c r="K2247" s="28"/>
      <x:c r="L2247" s="28"/>
      <x:c r="M2247" s="28"/>
      <x:c r="N2247" s="28"/>
      <x:c r="O2247" s="28"/>
      <x:c r="P2247" s="28"/>
      <x:c r="Q2247" s="28"/>
      <x:c r="R2247" s="28"/>
      <x:c r="S2247" s="28"/>
      <x:c r="T2247" s="28"/>
      <x:c r="U2247" s="28"/>
      <x:c r="V2247" s="28"/>
      <x:c r="W2247" s="43" t="n">
        <x:f>--AND(N2247=1,OR(O2247="SUPPORTED",O2247="HALLUCINATION"))</x:f>
        <x:v>0</x:v>
      </x:c>
      <x:c r="X2247" s="43" t="n">
        <x:f>--AND(W2247=1,O2247="HALLUCINATION")</x:f>
        <x:v>0</x:v>
      </x:c>
      <x:c r="Y2247" s="43" t="n">
        <x:f>--AND(Q2247=1,O2247="HALLUCINATION")</x:f>
        <x:v>0</x:v>
      </x:c>
      <x:c r="Z2247" s="43" t="n">
        <x:f>--AND(Y2247=1,R2247=1,S2247=1)</x:f>
        <x:v>0</x:v>
      </x:c>
      <x:c r="AC2247" t="str">
        <x:f>IF(OR(AA2247="",AB2247=""),"",--(AA2247&lt;&gt;AB2247))</x:f>
      </x:c>
      <x:c r="AE2247" t="str">
        <x:f>IF(OR(AA2247="",AB2247=""),"PENDING_HUMAN",IF(AA2247=AB2247,AA2247,IF(AD2247&lt;&gt;"",AD2247,"PENDING_HUMAN")))</x:f>
        <x:v>PENDING_HUMAN</x:v>
      </x:c>
      <x:c r="AF2247" t="n">
        <x:f>--AND(A2247&lt;&gt;"",AA2247&lt;&gt;"",AB2247&lt;&gt;"",OR(AA2247=AB2247,AD2247&lt;&gt;""),IF(AE2247="HALLUCINATION",U2247&lt;&gt;"",TRUE))</x:f>
        <x:v>0</x:v>
      </x:c>
      <x:c r="AG2247" t="n">
        <x:f>--AND(N2247=1,AF2247=1,OR(AE2247="SUPPORTED",AE2247="HALLUCINATION"))</x:f>
        <x:v>0</x:v>
      </x:c>
      <x:c r="AH2247" t="n">
        <x:f>--AND(AG2247=1,AE2247="HALLUCINATION")</x:f>
        <x:v>0</x:v>
      </x:c>
      <x:c r="AI2247" t="n">
        <x:f>--AND(Q2247=1,AF2247=1,AE2247="HALLUCINATION")</x:f>
        <x:v>0</x:v>
      </x:c>
      <x:c r="AJ2247" t="n">
        <x:f>--AND(AI2247=1,R2247=1,S2247=1)</x:f>
        <x:v>0</x:v>
      </x:c>
    </x:row>
    <x:row r="2248">
      <x:c r="A2248" s="28"/>
      <x:c r="B2248" s="28"/>
      <x:c r="C2248" s="28"/>
      <x:c r="D2248" s="28"/>
      <x:c r="E2248" s="28"/>
      <x:c r="F2248" s="28"/>
      <x:c r="G2248" s="28"/>
      <x:c r="H2248" s="28"/>
      <x:c r="I2248" s="28"/>
      <x:c r="J2248" s="28"/>
      <x:c r="K2248" s="28"/>
      <x:c r="L2248" s="28"/>
      <x:c r="M2248" s="28"/>
      <x:c r="N2248" s="28"/>
      <x:c r="O2248" s="28"/>
      <x:c r="P2248" s="28"/>
      <x:c r="Q2248" s="28"/>
      <x:c r="R2248" s="28"/>
      <x:c r="S2248" s="28"/>
      <x:c r="T2248" s="28"/>
      <x:c r="U2248" s="28"/>
      <x:c r="V2248" s="28"/>
      <x:c r="W2248" s="43" t="n">
        <x:f>--AND(N2248=1,OR(O2248="SUPPORTED",O2248="HALLUCINATION"))</x:f>
        <x:v>0</x:v>
      </x:c>
      <x:c r="X2248" s="43" t="n">
        <x:f>--AND(W2248=1,O2248="HALLUCINATION")</x:f>
        <x:v>0</x:v>
      </x:c>
      <x:c r="Y2248" s="43" t="n">
        <x:f>--AND(Q2248=1,O2248="HALLUCINATION")</x:f>
        <x:v>0</x:v>
      </x:c>
      <x:c r="Z2248" s="43" t="n">
        <x:f>--AND(Y2248=1,R2248=1,S2248=1)</x:f>
        <x:v>0</x:v>
      </x:c>
      <x:c r="AC2248" t="str">
        <x:f>IF(OR(AA2248="",AB2248=""),"",--(AA2248&lt;&gt;AB2248))</x:f>
      </x:c>
      <x:c r="AE2248" t="str">
        <x:f>IF(OR(AA2248="",AB2248=""),"PENDING_HUMAN",IF(AA2248=AB2248,AA2248,IF(AD2248&lt;&gt;"",AD2248,"PENDING_HUMAN")))</x:f>
        <x:v>PENDING_HUMAN</x:v>
      </x:c>
      <x:c r="AF2248" t="n">
        <x:f>--AND(A2248&lt;&gt;"",AA2248&lt;&gt;"",AB2248&lt;&gt;"",OR(AA2248=AB2248,AD2248&lt;&gt;""),IF(AE2248="HALLUCINATION",U2248&lt;&gt;"",TRUE))</x:f>
        <x:v>0</x:v>
      </x:c>
      <x:c r="AG2248" t="n">
        <x:f>--AND(N2248=1,AF2248=1,OR(AE2248="SUPPORTED",AE2248="HALLUCINATION"))</x:f>
        <x:v>0</x:v>
      </x:c>
      <x:c r="AH2248" t="n">
        <x:f>--AND(AG2248=1,AE2248="HALLUCINATION")</x:f>
        <x:v>0</x:v>
      </x:c>
      <x:c r="AI2248" t="n">
        <x:f>--AND(Q2248=1,AF2248=1,AE2248="HALLUCINATION")</x:f>
        <x:v>0</x:v>
      </x:c>
      <x:c r="AJ2248" t="n">
        <x:f>--AND(AI2248=1,R2248=1,S2248=1)</x:f>
        <x:v>0</x:v>
      </x:c>
    </x:row>
    <x:row r="2249">
      <x:c r="A2249" s="28"/>
      <x:c r="B2249" s="28"/>
      <x:c r="C2249" s="28"/>
      <x:c r="D2249" s="28"/>
      <x:c r="E2249" s="28"/>
      <x:c r="F2249" s="28"/>
      <x:c r="G2249" s="28"/>
      <x:c r="H2249" s="28"/>
      <x:c r="I2249" s="28"/>
      <x:c r="J2249" s="28"/>
      <x:c r="K2249" s="28"/>
      <x:c r="L2249" s="28"/>
      <x:c r="M2249" s="28"/>
      <x:c r="N2249" s="28"/>
      <x:c r="O2249" s="28"/>
      <x:c r="P2249" s="28"/>
      <x:c r="Q2249" s="28"/>
      <x:c r="R2249" s="28"/>
      <x:c r="S2249" s="28"/>
      <x:c r="T2249" s="28"/>
      <x:c r="U2249" s="28"/>
      <x:c r="V2249" s="28"/>
      <x:c r="W2249" s="43" t="n">
        <x:f>--AND(N2249=1,OR(O2249="SUPPORTED",O2249="HALLUCINATION"))</x:f>
        <x:v>0</x:v>
      </x:c>
      <x:c r="X2249" s="43" t="n">
        <x:f>--AND(W2249=1,O2249="HALLUCINATION")</x:f>
        <x:v>0</x:v>
      </x:c>
      <x:c r="Y2249" s="43" t="n">
        <x:f>--AND(Q2249=1,O2249="HALLUCINATION")</x:f>
        <x:v>0</x:v>
      </x:c>
      <x:c r="Z2249" s="43" t="n">
        <x:f>--AND(Y2249=1,R2249=1,S2249=1)</x:f>
        <x:v>0</x:v>
      </x:c>
      <x:c r="AC2249" t="str">
        <x:f>IF(OR(AA2249="",AB2249=""),"",--(AA2249&lt;&gt;AB2249))</x:f>
      </x:c>
      <x:c r="AE2249" t="str">
        <x:f>IF(OR(AA2249="",AB2249=""),"PENDING_HUMAN",IF(AA2249=AB2249,AA2249,IF(AD2249&lt;&gt;"",AD2249,"PENDING_HUMAN")))</x:f>
        <x:v>PENDING_HUMAN</x:v>
      </x:c>
      <x:c r="AF2249" t="n">
        <x:f>--AND(A2249&lt;&gt;"",AA2249&lt;&gt;"",AB2249&lt;&gt;"",OR(AA2249=AB2249,AD2249&lt;&gt;""),IF(AE2249="HALLUCINATION",U2249&lt;&gt;"",TRUE))</x:f>
        <x:v>0</x:v>
      </x:c>
      <x:c r="AG2249" t="n">
        <x:f>--AND(N2249=1,AF2249=1,OR(AE2249="SUPPORTED",AE2249="HALLUCINATION"))</x:f>
        <x:v>0</x:v>
      </x:c>
      <x:c r="AH2249" t="n">
        <x:f>--AND(AG2249=1,AE2249="HALLUCINATION")</x:f>
        <x:v>0</x:v>
      </x:c>
      <x:c r="AI2249" t="n">
        <x:f>--AND(Q2249=1,AF2249=1,AE2249="HALLUCINATION")</x:f>
        <x:v>0</x:v>
      </x:c>
      <x:c r="AJ2249" t="n">
        <x:f>--AND(AI2249=1,R2249=1,S2249=1)</x:f>
        <x:v>0</x:v>
      </x:c>
    </x:row>
    <x:row r="2250">
      <x:c r="A2250" s="28"/>
      <x:c r="B2250" s="28"/>
      <x:c r="C2250" s="28"/>
      <x:c r="D2250" s="28"/>
      <x:c r="E2250" s="28"/>
      <x:c r="F2250" s="28"/>
      <x:c r="G2250" s="28"/>
      <x:c r="H2250" s="28"/>
      <x:c r="I2250" s="28"/>
      <x:c r="J2250" s="28"/>
      <x:c r="K2250" s="28"/>
      <x:c r="L2250" s="28"/>
      <x:c r="M2250" s="28"/>
      <x:c r="N2250" s="28"/>
      <x:c r="O2250" s="28"/>
      <x:c r="P2250" s="28"/>
      <x:c r="Q2250" s="28"/>
      <x:c r="R2250" s="28"/>
      <x:c r="S2250" s="28"/>
      <x:c r="T2250" s="28"/>
      <x:c r="U2250" s="28"/>
      <x:c r="V2250" s="28"/>
      <x:c r="W2250" s="43" t="n">
        <x:f>--AND(N2250=1,OR(O2250="SUPPORTED",O2250="HALLUCINATION"))</x:f>
        <x:v>0</x:v>
      </x:c>
      <x:c r="X2250" s="43" t="n">
        <x:f>--AND(W2250=1,O2250="HALLUCINATION")</x:f>
        <x:v>0</x:v>
      </x:c>
      <x:c r="Y2250" s="43" t="n">
        <x:f>--AND(Q2250=1,O2250="HALLUCINATION")</x:f>
        <x:v>0</x:v>
      </x:c>
      <x:c r="Z2250" s="43" t="n">
        <x:f>--AND(Y2250=1,R2250=1,S2250=1)</x:f>
        <x:v>0</x:v>
      </x:c>
      <x:c r="AC2250" t="str">
        <x:f>IF(OR(AA2250="",AB2250=""),"",--(AA2250&lt;&gt;AB2250))</x:f>
      </x:c>
      <x:c r="AE2250" t="str">
        <x:f>IF(OR(AA2250="",AB2250=""),"PENDING_HUMAN",IF(AA2250=AB2250,AA2250,IF(AD2250&lt;&gt;"",AD2250,"PENDING_HUMAN")))</x:f>
        <x:v>PENDING_HUMAN</x:v>
      </x:c>
      <x:c r="AF2250" t="n">
        <x:f>--AND(A2250&lt;&gt;"",AA2250&lt;&gt;"",AB2250&lt;&gt;"",OR(AA2250=AB2250,AD2250&lt;&gt;""),IF(AE2250="HALLUCINATION",U2250&lt;&gt;"",TRUE))</x:f>
        <x:v>0</x:v>
      </x:c>
      <x:c r="AG2250" t="n">
        <x:f>--AND(N2250=1,AF2250=1,OR(AE2250="SUPPORTED",AE2250="HALLUCINATION"))</x:f>
        <x:v>0</x:v>
      </x:c>
      <x:c r="AH2250" t="n">
        <x:f>--AND(AG2250=1,AE2250="HALLUCINATION")</x:f>
        <x:v>0</x:v>
      </x:c>
      <x:c r="AI2250" t="n">
        <x:f>--AND(Q2250=1,AF2250=1,AE2250="HALLUCINATION")</x:f>
        <x:v>0</x:v>
      </x:c>
      <x:c r="AJ2250" t="n">
        <x:f>--AND(AI2250=1,R2250=1,S2250=1)</x:f>
        <x:v>0</x:v>
      </x:c>
    </x:row>
    <x:row r="2251">
      <x:c r="A2251" s="28"/>
      <x:c r="B2251" s="28"/>
      <x:c r="C2251" s="28"/>
      <x:c r="D2251" s="28"/>
      <x:c r="E2251" s="28"/>
      <x:c r="F2251" s="28"/>
      <x:c r="G2251" s="28"/>
      <x:c r="H2251" s="28"/>
      <x:c r="I2251" s="28"/>
      <x:c r="J2251" s="28"/>
      <x:c r="K2251" s="28"/>
      <x:c r="L2251" s="28"/>
      <x:c r="M2251" s="28"/>
      <x:c r="N2251" s="28"/>
      <x:c r="O2251" s="28"/>
      <x:c r="P2251" s="28"/>
      <x:c r="Q2251" s="28"/>
      <x:c r="R2251" s="28"/>
      <x:c r="S2251" s="28"/>
      <x:c r="T2251" s="28"/>
      <x:c r="U2251" s="28"/>
      <x:c r="V2251" s="28"/>
      <x:c r="W2251" s="43" t="n">
        <x:f>--AND(N2251=1,OR(O2251="SUPPORTED",O2251="HALLUCINATION"))</x:f>
        <x:v>0</x:v>
      </x:c>
      <x:c r="X2251" s="43" t="n">
        <x:f>--AND(W2251=1,O2251="HALLUCINATION")</x:f>
        <x:v>0</x:v>
      </x:c>
      <x:c r="Y2251" s="43" t="n">
        <x:f>--AND(Q2251=1,O2251="HALLUCINATION")</x:f>
        <x:v>0</x:v>
      </x:c>
      <x:c r="Z2251" s="43" t="n">
        <x:f>--AND(Y2251=1,R2251=1,S2251=1)</x:f>
        <x:v>0</x:v>
      </x:c>
      <x:c r="AC2251" t="str">
        <x:f>IF(OR(AA2251="",AB2251=""),"",--(AA2251&lt;&gt;AB2251))</x:f>
      </x:c>
      <x:c r="AE2251" t="str">
        <x:f>IF(OR(AA2251="",AB2251=""),"PENDING_HUMAN",IF(AA2251=AB2251,AA2251,IF(AD2251&lt;&gt;"",AD2251,"PENDING_HUMAN")))</x:f>
        <x:v>PENDING_HUMAN</x:v>
      </x:c>
      <x:c r="AF2251" t="n">
        <x:f>--AND(A2251&lt;&gt;"",AA2251&lt;&gt;"",AB2251&lt;&gt;"",OR(AA2251=AB2251,AD2251&lt;&gt;""),IF(AE2251="HALLUCINATION",U2251&lt;&gt;"",TRUE))</x:f>
        <x:v>0</x:v>
      </x:c>
      <x:c r="AG2251" t="n">
        <x:f>--AND(N2251=1,AF2251=1,OR(AE2251="SUPPORTED",AE2251="HALLUCINATION"))</x:f>
        <x:v>0</x:v>
      </x:c>
      <x:c r="AH2251" t="n">
        <x:f>--AND(AG2251=1,AE2251="HALLUCINATION")</x:f>
        <x:v>0</x:v>
      </x:c>
      <x:c r="AI2251" t="n">
        <x:f>--AND(Q2251=1,AF2251=1,AE2251="HALLUCINATION")</x:f>
        <x:v>0</x:v>
      </x:c>
      <x:c r="AJ2251" t="n">
        <x:f>--AND(AI2251=1,R2251=1,S2251=1)</x:f>
        <x:v>0</x:v>
      </x:c>
    </x:row>
    <x:row r="2252">
      <x:c r="A2252" s="28"/>
      <x:c r="B2252" s="28"/>
      <x:c r="C2252" s="28"/>
      <x:c r="D2252" s="28"/>
      <x:c r="E2252" s="28"/>
      <x:c r="F2252" s="28"/>
      <x:c r="G2252" s="28"/>
      <x:c r="H2252" s="28"/>
      <x:c r="I2252" s="28"/>
      <x:c r="J2252" s="28"/>
      <x:c r="K2252" s="28"/>
      <x:c r="L2252" s="28"/>
      <x:c r="M2252" s="28"/>
      <x:c r="N2252" s="28"/>
      <x:c r="O2252" s="28"/>
      <x:c r="P2252" s="28"/>
      <x:c r="Q2252" s="28"/>
      <x:c r="R2252" s="28"/>
      <x:c r="S2252" s="28"/>
      <x:c r="T2252" s="28"/>
      <x:c r="U2252" s="28"/>
      <x:c r="V2252" s="28"/>
      <x:c r="W2252" s="43" t="n">
        <x:f>--AND(N2252=1,OR(O2252="SUPPORTED",O2252="HALLUCINATION"))</x:f>
        <x:v>0</x:v>
      </x:c>
      <x:c r="X2252" s="43" t="n">
        <x:f>--AND(W2252=1,O2252="HALLUCINATION")</x:f>
        <x:v>0</x:v>
      </x:c>
      <x:c r="Y2252" s="43" t="n">
        <x:f>--AND(Q2252=1,O2252="HALLUCINATION")</x:f>
        <x:v>0</x:v>
      </x:c>
      <x:c r="Z2252" s="43" t="n">
        <x:f>--AND(Y2252=1,R2252=1,S2252=1)</x:f>
        <x:v>0</x:v>
      </x:c>
      <x:c r="AC2252" t="str">
        <x:f>IF(OR(AA2252="",AB2252=""),"",--(AA2252&lt;&gt;AB2252))</x:f>
      </x:c>
      <x:c r="AE2252" t="str">
        <x:f>IF(OR(AA2252="",AB2252=""),"PENDING_HUMAN",IF(AA2252=AB2252,AA2252,IF(AD2252&lt;&gt;"",AD2252,"PENDING_HUMAN")))</x:f>
        <x:v>PENDING_HUMAN</x:v>
      </x:c>
      <x:c r="AF2252" t="n">
        <x:f>--AND(A2252&lt;&gt;"",AA2252&lt;&gt;"",AB2252&lt;&gt;"",OR(AA2252=AB2252,AD2252&lt;&gt;""),IF(AE2252="HALLUCINATION",U2252&lt;&gt;"",TRUE))</x:f>
        <x:v>0</x:v>
      </x:c>
      <x:c r="AG2252" t="n">
        <x:f>--AND(N2252=1,AF2252=1,OR(AE2252="SUPPORTED",AE2252="HALLUCINATION"))</x:f>
        <x:v>0</x:v>
      </x:c>
      <x:c r="AH2252" t="n">
        <x:f>--AND(AG2252=1,AE2252="HALLUCINATION")</x:f>
        <x:v>0</x:v>
      </x:c>
      <x:c r="AI2252" t="n">
        <x:f>--AND(Q2252=1,AF2252=1,AE2252="HALLUCINATION")</x:f>
        <x:v>0</x:v>
      </x:c>
      <x:c r="AJ2252" t="n">
        <x:f>--AND(AI2252=1,R2252=1,S2252=1)</x:f>
        <x:v>0</x:v>
      </x:c>
    </x:row>
    <x:row r="2253">
      <x:c r="A2253" s="28"/>
      <x:c r="B2253" s="28"/>
      <x:c r="C2253" s="28"/>
      <x:c r="D2253" s="28"/>
      <x:c r="E2253" s="28"/>
      <x:c r="F2253" s="28"/>
      <x:c r="G2253" s="28"/>
      <x:c r="H2253" s="28"/>
      <x:c r="I2253" s="28"/>
      <x:c r="J2253" s="28"/>
      <x:c r="K2253" s="28"/>
      <x:c r="L2253" s="28"/>
      <x:c r="M2253" s="28"/>
      <x:c r="N2253" s="28"/>
      <x:c r="O2253" s="28"/>
      <x:c r="P2253" s="28"/>
      <x:c r="Q2253" s="28"/>
      <x:c r="R2253" s="28"/>
      <x:c r="S2253" s="28"/>
      <x:c r="T2253" s="28"/>
      <x:c r="U2253" s="28"/>
      <x:c r="V2253" s="28"/>
      <x:c r="W2253" s="43" t="n">
        <x:f>--AND(N2253=1,OR(O2253="SUPPORTED",O2253="HALLUCINATION"))</x:f>
        <x:v>0</x:v>
      </x:c>
      <x:c r="X2253" s="43" t="n">
        <x:f>--AND(W2253=1,O2253="HALLUCINATION")</x:f>
        <x:v>0</x:v>
      </x:c>
      <x:c r="Y2253" s="43" t="n">
        <x:f>--AND(Q2253=1,O2253="HALLUCINATION")</x:f>
        <x:v>0</x:v>
      </x:c>
      <x:c r="Z2253" s="43" t="n">
        <x:f>--AND(Y2253=1,R2253=1,S2253=1)</x:f>
        <x:v>0</x:v>
      </x:c>
      <x:c r="AC2253" t="str">
        <x:f>IF(OR(AA2253="",AB2253=""),"",--(AA2253&lt;&gt;AB2253))</x:f>
      </x:c>
      <x:c r="AE2253" t="str">
        <x:f>IF(OR(AA2253="",AB2253=""),"PENDING_HUMAN",IF(AA2253=AB2253,AA2253,IF(AD2253&lt;&gt;"",AD2253,"PENDING_HUMAN")))</x:f>
        <x:v>PENDING_HUMAN</x:v>
      </x:c>
      <x:c r="AF2253" t="n">
        <x:f>--AND(A2253&lt;&gt;"",AA2253&lt;&gt;"",AB2253&lt;&gt;"",OR(AA2253=AB2253,AD2253&lt;&gt;""),IF(AE2253="HALLUCINATION",U2253&lt;&gt;"",TRUE))</x:f>
        <x:v>0</x:v>
      </x:c>
      <x:c r="AG2253" t="n">
        <x:f>--AND(N2253=1,AF2253=1,OR(AE2253="SUPPORTED",AE2253="HALLUCINATION"))</x:f>
        <x:v>0</x:v>
      </x:c>
      <x:c r="AH2253" t="n">
        <x:f>--AND(AG2253=1,AE2253="HALLUCINATION")</x:f>
        <x:v>0</x:v>
      </x:c>
      <x:c r="AI2253" t="n">
        <x:f>--AND(Q2253=1,AF2253=1,AE2253="HALLUCINATION")</x:f>
        <x:v>0</x:v>
      </x:c>
      <x:c r="AJ2253" t="n">
        <x:f>--AND(AI2253=1,R2253=1,S2253=1)</x:f>
        <x:v>0</x:v>
      </x:c>
    </x:row>
    <x:row r="2254">
      <x:c r="A2254" s="28"/>
      <x:c r="B2254" s="28"/>
      <x:c r="C2254" s="28"/>
      <x:c r="D2254" s="28"/>
      <x:c r="E2254" s="28"/>
      <x:c r="F2254" s="28"/>
      <x:c r="G2254" s="28"/>
      <x:c r="H2254" s="28"/>
      <x:c r="I2254" s="28"/>
      <x:c r="J2254" s="28"/>
      <x:c r="K2254" s="28"/>
      <x:c r="L2254" s="28"/>
      <x:c r="M2254" s="28"/>
      <x:c r="N2254" s="28"/>
      <x:c r="O2254" s="28"/>
      <x:c r="P2254" s="28"/>
      <x:c r="Q2254" s="28"/>
      <x:c r="R2254" s="28"/>
      <x:c r="S2254" s="28"/>
      <x:c r="T2254" s="28"/>
      <x:c r="U2254" s="28"/>
      <x:c r="V2254" s="28"/>
      <x:c r="W2254" s="43" t="n">
        <x:f>--AND(N2254=1,OR(O2254="SUPPORTED",O2254="HALLUCINATION"))</x:f>
        <x:v>0</x:v>
      </x:c>
      <x:c r="X2254" s="43" t="n">
        <x:f>--AND(W2254=1,O2254="HALLUCINATION")</x:f>
        <x:v>0</x:v>
      </x:c>
      <x:c r="Y2254" s="43" t="n">
        <x:f>--AND(Q2254=1,O2254="HALLUCINATION")</x:f>
        <x:v>0</x:v>
      </x:c>
      <x:c r="Z2254" s="43" t="n">
        <x:f>--AND(Y2254=1,R2254=1,S2254=1)</x:f>
        <x:v>0</x:v>
      </x:c>
      <x:c r="AC2254" t="str">
        <x:f>IF(OR(AA2254="",AB2254=""),"",--(AA2254&lt;&gt;AB2254))</x:f>
      </x:c>
      <x:c r="AE2254" t="str">
        <x:f>IF(OR(AA2254="",AB2254=""),"PENDING_HUMAN",IF(AA2254=AB2254,AA2254,IF(AD2254&lt;&gt;"",AD2254,"PENDING_HUMAN")))</x:f>
        <x:v>PENDING_HUMAN</x:v>
      </x:c>
      <x:c r="AF2254" t="n">
        <x:f>--AND(A2254&lt;&gt;"",AA2254&lt;&gt;"",AB2254&lt;&gt;"",OR(AA2254=AB2254,AD2254&lt;&gt;""),IF(AE2254="HALLUCINATION",U2254&lt;&gt;"",TRUE))</x:f>
        <x:v>0</x:v>
      </x:c>
      <x:c r="AG2254" t="n">
        <x:f>--AND(N2254=1,AF2254=1,OR(AE2254="SUPPORTED",AE2254="HALLUCINATION"))</x:f>
        <x:v>0</x:v>
      </x:c>
      <x:c r="AH2254" t="n">
        <x:f>--AND(AG2254=1,AE2254="HALLUCINATION")</x:f>
        <x:v>0</x:v>
      </x:c>
      <x:c r="AI2254" t="n">
        <x:f>--AND(Q2254=1,AF2254=1,AE2254="HALLUCINATION")</x:f>
        <x:v>0</x:v>
      </x:c>
      <x:c r="AJ2254" t="n">
        <x:f>--AND(AI2254=1,R2254=1,S2254=1)</x:f>
        <x:v>0</x:v>
      </x:c>
    </x:row>
    <x:row r="2255">
      <x:c r="A2255" s="28"/>
      <x:c r="B2255" s="28"/>
      <x:c r="C2255" s="28"/>
      <x:c r="D2255" s="28"/>
      <x:c r="E2255" s="28"/>
      <x:c r="F2255" s="28"/>
      <x:c r="G2255" s="28"/>
      <x:c r="H2255" s="28"/>
      <x:c r="I2255" s="28"/>
      <x:c r="J2255" s="28"/>
      <x:c r="K2255" s="28"/>
      <x:c r="L2255" s="28"/>
      <x:c r="M2255" s="28"/>
      <x:c r="N2255" s="28"/>
      <x:c r="O2255" s="28"/>
      <x:c r="P2255" s="28"/>
      <x:c r="Q2255" s="28"/>
      <x:c r="R2255" s="28"/>
      <x:c r="S2255" s="28"/>
      <x:c r="T2255" s="28"/>
      <x:c r="U2255" s="28"/>
      <x:c r="V2255" s="28"/>
      <x:c r="W2255" s="43" t="n">
        <x:f>--AND(N2255=1,OR(O2255="SUPPORTED",O2255="HALLUCINATION"))</x:f>
        <x:v>0</x:v>
      </x:c>
      <x:c r="X2255" s="43" t="n">
        <x:f>--AND(W2255=1,O2255="HALLUCINATION")</x:f>
        <x:v>0</x:v>
      </x:c>
      <x:c r="Y2255" s="43" t="n">
        <x:f>--AND(Q2255=1,O2255="HALLUCINATION")</x:f>
        <x:v>0</x:v>
      </x:c>
      <x:c r="Z2255" s="43" t="n">
        <x:f>--AND(Y2255=1,R2255=1,S2255=1)</x:f>
        <x:v>0</x:v>
      </x:c>
      <x:c r="AC2255" t="str">
        <x:f>IF(OR(AA2255="",AB2255=""),"",--(AA2255&lt;&gt;AB2255))</x:f>
      </x:c>
      <x:c r="AE2255" t="str">
        <x:f>IF(OR(AA2255="",AB2255=""),"PENDING_HUMAN",IF(AA2255=AB2255,AA2255,IF(AD2255&lt;&gt;"",AD2255,"PENDING_HUMAN")))</x:f>
        <x:v>PENDING_HUMAN</x:v>
      </x:c>
      <x:c r="AF2255" t="n">
        <x:f>--AND(A2255&lt;&gt;"",AA2255&lt;&gt;"",AB2255&lt;&gt;"",OR(AA2255=AB2255,AD2255&lt;&gt;""),IF(AE2255="HALLUCINATION",U2255&lt;&gt;"",TRUE))</x:f>
        <x:v>0</x:v>
      </x:c>
      <x:c r="AG2255" t="n">
        <x:f>--AND(N2255=1,AF2255=1,OR(AE2255="SUPPORTED",AE2255="HALLUCINATION"))</x:f>
        <x:v>0</x:v>
      </x:c>
      <x:c r="AH2255" t="n">
        <x:f>--AND(AG2255=1,AE2255="HALLUCINATION")</x:f>
        <x:v>0</x:v>
      </x:c>
      <x:c r="AI2255" t="n">
        <x:f>--AND(Q2255=1,AF2255=1,AE2255="HALLUCINATION")</x:f>
        <x:v>0</x:v>
      </x:c>
      <x:c r="AJ2255" t="n">
        <x:f>--AND(AI2255=1,R2255=1,S2255=1)</x:f>
        <x:v>0</x:v>
      </x:c>
    </x:row>
    <x:row r="2256">
      <x:c r="A2256" s="28"/>
      <x:c r="B2256" s="28"/>
      <x:c r="C2256" s="28"/>
      <x:c r="D2256" s="28"/>
      <x:c r="E2256" s="28"/>
      <x:c r="F2256" s="28"/>
      <x:c r="G2256" s="28"/>
      <x:c r="H2256" s="28"/>
      <x:c r="I2256" s="28"/>
      <x:c r="J2256" s="28"/>
      <x:c r="K2256" s="28"/>
      <x:c r="L2256" s="28"/>
      <x:c r="M2256" s="28"/>
      <x:c r="N2256" s="28"/>
      <x:c r="O2256" s="28"/>
      <x:c r="P2256" s="28"/>
      <x:c r="Q2256" s="28"/>
      <x:c r="R2256" s="28"/>
      <x:c r="S2256" s="28"/>
      <x:c r="T2256" s="28"/>
      <x:c r="U2256" s="28"/>
      <x:c r="V2256" s="28"/>
      <x:c r="W2256" s="43" t="n">
        <x:f>--AND(N2256=1,OR(O2256="SUPPORTED",O2256="HALLUCINATION"))</x:f>
        <x:v>0</x:v>
      </x:c>
      <x:c r="X2256" s="43" t="n">
        <x:f>--AND(W2256=1,O2256="HALLUCINATION")</x:f>
        <x:v>0</x:v>
      </x:c>
      <x:c r="Y2256" s="43" t="n">
        <x:f>--AND(Q2256=1,O2256="HALLUCINATION")</x:f>
        <x:v>0</x:v>
      </x:c>
      <x:c r="Z2256" s="43" t="n">
        <x:f>--AND(Y2256=1,R2256=1,S2256=1)</x:f>
        <x:v>0</x:v>
      </x:c>
      <x:c r="AC2256" t="str">
        <x:f>IF(OR(AA2256="",AB2256=""),"",--(AA2256&lt;&gt;AB2256))</x:f>
      </x:c>
      <x:c r="AE2256" t="str">
        <x:f>IF(OR(AA2256="",AB2256=""),"PENDING_HUMAN",IF(AA2256=AB2256,AA2256,IF(AD2256&lt;&gt;"",AD2256,"PENDING_HUMAN")))</x:f>
        <x:v>PENDING_HUMAN</x:v>
      </x:c>
      <x:c r="AF2256" t="n">
        <x:f>--AND(A2256&lt;&gt;"",AA2256&lt;&gt;"",AB2256&lt;&gt;"",OR(AA2256=AB2256,AD2256&lt;&gt;""),IF(AE2256="HALLUCINATION",U2256&lt;&gt;"",TRUE))</x:f>
        <x:v>0</x:v>
      </x:c>
      <x:c r="AG2256" t="n">
        <x:f>--AND(N2256=1,AF2256=1,OR(AE2256="SUPPORTED",AE2256="HALLUCINATION"))</x:f>
        <x:v>0</x:v>
      </x:c>
      <x:c r="AH2256" t="n">
        <x:f>--AND(AG2256=1,AE2256="HALLUCINATION")</x:f>
        <x:v>0</x:v>
      </x:c>
      <x:c r="AI2256" t="n">
        <x:f>--AND(Q2256=1,AF2256=1,AE2256="HALLUCINATION")</x:f>
        <x:v>0</x:v>
      </x:c>
      <x:c r="AJ2256" t="n">
        <x:f>--AND(AI2256=1,R2256=1,S2256=1)</x:f>
        <x:v>0</x:v>
      </x:c>
    </x:row>
    <x:row r="2257">
      <x:c r="A2257" s="28"/>
      <x:c r="B2257" s="28"/>
      <x:c r="C2257" s="28"/>
      <x:c r="D2257" s="28"/>
      <x:c r="E2257" s="28"/>
      <x:c r="F2257" s="28"/>
      <x:c r="G2257" s="28"/>
      <x:c r="H2257" s="28"/>
      <x:c r="I2257" s="28"/>
      <x:c r="J2257" s="28"/>
      <x:c r="K2257" s="28"/>
      <x:c r="L2257" s="28"/>
      <x:c r="M2257" s="28"/>
      <x:c r="N2257" s="28"/>
      <x:c r="O2257" s="28"/>
      <x:c r="P2257" s="28"/>
      <x:c r="Q2257" s="28"/>
      <x:c r="R2257" s="28"/>
      <x:c r="S2257" s="28"/>
      <x:c r="T2257" s="28"/>
      <x:c r="U2257" s="28"/>
      <x:c r="V2257" s="28"/>
      <x:c r="W2257" s="43" t="n">
        <x:f>--AND(N2257=1,OR(O2257="SUPPORTED",O2257="HALLUCINATION"))</x:f>
        <x:v>0</x:v>
      </x:c>
      <x:c r="X2257" s="43" t="n">
        <x:f>--AND(W2257=1,O2257="HALLUCINATION")</x:f>
        <x:v>0</x:v>
      </x:c>
      <x:c r="Y2257" s="43" t="n">
        <x:f>--AND(Q2257=1,O2257="HALLUCINATION")</x:f>
        <x:v>0</x:v>
      </x:c>
      <x:c r="Z2257" s="43" t="n">
        <x:f>--AND(Y2257=1,R2257=1,S2257=1)</x:f>
        <x:v>0</x:v>
      </x:c>
      <x:c r="AC2257" t="str">
        <x:f>IF(OR(AA2257="",AB2257=""),"",--(AA2257&lt;&gt;AB2257))</x:f>
      </x:c>
      <x:c r="AE2257" t="str">
        <x:f>IF(OR(AA2257="",AB2257=""),"PENDING_HUMAN",IF(AA2257=AB2257,AA2257,IF(AD2257&lt;&gt;"",AD2257,"PENDING_HUMAN")))</x:f>
        <x:v>PENDING_HUMAN</x:v>
      </x:c>
      <x:c r="AF2257" t="n">
        <x:f>--AND(A2257&lt;&gt;"",AA2257&lt;&gt;"",AB2257&lt;&gt;"",OR(AA2257=AB2257,AD2257&lt;&gt;""),IF(AE2257="HALLUCINATION",U2257&lt;&gt;"",TRUE))</x:f>
        <x:v>0</x:v>
      </x:c>
      <x:c r="AG2257" t="n">
        <x:f>--AND(N2257=1,AF2257=1,OR(AE2257="SUPPORTED",AE2257="HALLUCINATION"))</x:f>
        <x:v>0</x:v>
      </x:c>
      <x:c r="AH2257" t="n">
        <x:f>--AND(AG2257=1,AE2257="HALLUCINATION")</x:f>
        <x:v>0</x:v>
      </x:c>
      <x:c r="AI2257" t="n">
        <x:f>--AND(Q2257=1,AF2257=1,AE2257="HALLUCINATION")</x:f>
        <x:v>0</x:v>
      </x:c>
      <x:c r="AJ2257" t="n">
        <x:f>--AND(AI2257=1,R2257=1,S2257=1)</x:f>
        <x:v>0</x:v>
      </x:c>
    </x:row>
    <x:row r="2258">
      <x:c r="A2258" s="28"/>
      <x:c r="B2258" s="28"/>
      <x:c r="C2258" s="28"/>
      <x:c r="D2258" s="28"/>
      <x:c r="E2258" s="28"/>
      <x:c r="F2258" s="28"/>
      <x:c r="G2258" s="28"/>
      <x:c r="H2258" s="28"/>
      <x:c r="I2258" s="28"/>
      <x:c r="J2258" s="28"/>
      <x:c r="K2258" s="28"/>
      <x:c r="L2258" s="28"/>
      <x:c r="M2258" s="28"/>
      <x:c r="N2258" s="28"/>
      <x:c r="O2258" s="28"/>
      <x:c r="P2258" s="28"/>
      <x:c r="Q2258" s="28"/>
      <x:c r="R2258" s="28"/>
      <x:c r="S2258" s="28"/>
      <x:c r="T2258" s="28"/>
      <x:c r="U2258" s="28"/>
      <x:c r="V2258" s="28"/>
      <x:c r="W2258" s="43" t="n">
        <x:f>--AND(N2258=1,OR(O2258="SUPPORTED",O2258="HALLUCINATION"))</x:f>
        <x:v>0</x:v>
      </x:c>
      <x:c r="X2258" s="43" t="n">
        <x:f>--AND(W2258=1,O2258="HALLUCINATION")</x:f>
        <x:v>0</x:v>
      </x:c>
      <x:c r="Y2258" s="43" t="n">
        <x:f>--AND(Q2258=1,O2258="HALLUCINATION")</x:f>
        <x:v>0</x:v>
      </x:c>
      <x:c r="Z2258" s="43" t="n">
        <x:f>--AND(Y2258=1,R2258=1,S2258=1)</x:f>
        <x:v>0</x:v>
      </x:c>
      <x:c r="AC2258" t="str">
        <x:f>IF(OR(AA2258="",AB2258=""),"",--(AA2258&lt;&gt;AB2258))</x:f>
      </x:c>
      <x:c r="AE2258" t="str">
        <x:f>IF(OR(AA2258="",AB2258=""),"PENDING_HUMAN",IF(AA2258=AB2258,AA2258,IF(AD2258&lt;&gt;"",AD2258,"PENDING_HUMAN")))</x:f>
        <x:v>PENDING_HUMAN</x:v>
      </x:c>
      <x:c r="AF2258" t="n">
        <x:f>--AND(A2258&lt;&gt;"",AA2258&lt;&gt;"",AB2258&lt;&gt;"",OR(AA2258=AB2258,AD2258&lt;&gt;""),IF(AE2258="HALLUCINATION",U2258&lt;&gt;"",TRUE))</x:f>
        <x:v>0</x:v>
      </x:c>
      <x:c r="AG2258" t="n">
        <x:f>--AND(N2258=1,AF2258=1,OR(AE2258="SUPPORTED",AE2258="HALLUCINATION"))</x:f>
        <x:v>0</x:v>
      </x:c>
      <x:c r="AH2258" t="n">
        <x:f>--AND(AG2258=1,AE2258="HALLUCINATION")</x:f>
        <x:v>0</x:v>
      </x:c>
      <x:c r="AI2258" t="n">
        <x:f>--AND(Q2258=1,AF2258=1,AE2258="HALLUCINATION")</x:f>
        <x:v>0</x:v>
      </x:c>
      <x:c r="AJ2258" t="n">
        <x:f>--AND(AI2258=1,R2258=1,S2258=1)</x:f>
        <x:v>0</x:v>
      </x:c>
    </x:row>
    <x:row r="2259">
      <x:c r="A2259" s="28"/>
      <x:c r="B2259" s="28"/>
      <x:c r="C2259" s="28"/>
      <x:c r="D2259" s="28"/>
      <x:c r="E2259" s="28"/>
      <x:c r="F2259" s="28"/>
      <x:c r="G2259" s="28"/>
      <x:c r="H2259" s="28"/>
      <x:c r="I2259" s="28"/>
      <x:c r="J2259" s="28"/>
      <x:c r="K2259" s="28"/>
      <x:c r="L2259" s="28"/>
      <x:c r="M2259" s="28"/>
      <x:c r="N2259" s="28"/>
      <x:c r="O2259" s="28"/>
      <x:c r="P2259" s="28"/>
      <x:c r="Q2259" s="28"/>
      <x:c r="R2259" s="28"/>
      <x:c r="S2259" s="28"/>
      <x:c r="T2259" s="28"/>
      <x:c r="U2259" s="28"/>
      <x:c r="V2259" s="28"/>
      <x:c r="W2259" s="43" t="n">
        <x:f>--AND(N2259=1,OR(O2259="SUPPORTED",O2259="HALLUCINATION"))</x:f>
        <x:v>0</x:v>
      </x:c>
      <x:c r="X2259" s="43" t="n">
        <x:f>--AND(W2259=1,O2259="HALLUCINATION")</x:f>
        <x:v>0</x:v>
      </x:c>
      <x:c r="Y2259" s="43" t="n">
        <x:f>--AND(Q2259=1,O2259="HALLUCINATION")</x:f>
        <x:v>0</x:v>
      </x:c>
      <x:c r="Z2259" s="43" t="n">
        <x:f>--AND(Y2259=1,R2259=1,S2259=1)</x:f>
        <x:v>0</x:v>
      </x:c>
      <x:c r="AC2259" t="str">
        <x:f>IF(OR(AA2259="",AB2259=""),"",--(AA2259&lt;&gt;AB2259))</x:f>
      </x:c>
      <x:c r="AE2259" t="str">
        <x:f>IF(OR(AA2259="",AB2259=""),"PENDING_HUMAN",IF(AA2259=AB2259,AA2259,IF(AD2259&lt;&gt;"",AD2259,"PENDING_HUMAN")))</x:f>
        <x:v>PENDING_HUMAN</x:v>
      </x:c>
      <x:c r="AF2259" t="n">
        <x:f>--AND(A2259&lt;&gt;"",AA2259&lt;&gt;"",AB2259&lt;&gt;"",OR(AA2259=AB2259,AD2259&lt;&gt;""),IF(AE2259="HALLUCINATION",U2259&lt;&gt;"",TRUE))</x:f>
        <x:v>0</x:v>
      </x:c>
      <x:c r="AG2259" t="n">
        <x:f>--AND(N2259=1,AF2259=1,OR(AE2259="SUPPORTED",AE2259="HALLUCINATION"))</x:f>
        <x:v>0</x:v>
      </x:c>
      <x:c r="AH2259" t="n">
        <x:f>--AND(AG2259=1,AE2259="HALLUCINATION")</x:f>
        <x:v>0</x:v>
      </x:c>
      <x:c r="AI2259" t="n">
        <x:f>--AND(Q2259=1,AF2259=1,AE2259="HALLUCINATION")</x:f>
        <x:v>0</x:v>
      </x:c>
      <x:c r="AJ2259" t="n">
        <x:f>--AND(AI2259=1,R2259=1,S2259=1)</x:f>
        <x:v>0</x:v>
      </x:c>
    </x:row>
    <x:row r="2260">
      <x:c r="A2260" s="28"/>
      <x:c r="B2260" s="28"/>
      <x:c r="C2260" s="28"/>
      <x:c r="D2260" s="28"/>
      <x:c r="E2260" s="28"/>
      <x:c r="F2260" s="28"/>
      <x:c r="G2260" s="28"/>
      <x:c r="H2260" s="28"/>
      <x:c r="I2260" s="28"/>
      <x:c r="J2260" s="28"/>
      <x:c r="K2260" s="28"/>
      <x:c r="L2260" s="28"/>
      <x:c r="M2260" s="28"/>
      <x:c r="N2260" s="28"/>
      <x:c r="O2260" s="28"/>
      <x:c r="P2260" s="28"/>
      <x:c r="Q2260" s="28"/>
      <x:c r="R2260" s="28"/>
      <x:c r="S2260" s="28"/>
      <x:c r="T2260" s="28"/>
      <x:c r="U2260" s="28"/>
      <x:c r="V2260" s="28"/>
      <x:c r="W2260" s="43" t="n">
        <x:f>--AND(N2260=1,OR(O2260="SUPPORTED",O2260="HALLUCINATION"))</x:f>
        <x:v>0</x:v>
      </x:c>
      <x:c r="X2260" s="43" t="n">
        <x:f>--AND(W2260=1,O2260="HALLUCINATION")</x:f>
        <x:v>0</x:v>
      </x:c>
      <x:c r="Y2260" s="43" t="n">
        <x:f>--AND(Q2260=1,O2260="HALLUCINATION")</x:f>
        <x:v>0</x:v>
      </x:c>
      <x:c r="Z2260" s="43" t="n">
        <x:f>--AND(Y2260=1,R2260=1,S2260=1)</x:f>
        <x:v>0</x:v>
      </x:c>
      <x:c r="AC2260" t="str">
        <x:f>IF(OR(AA2260="",AB2260=""),"",--(AA2260&lt;&gt;AB2260))</x:f>
      </x:c>
      <x:c r="AE2260" t="str">
        <x:f>IF(OR(AA2260="",AB2260=""),"PENDING_HUMAN",IF(AA2260=AB2260,AA2260,IF(AD2260&lt;&gt;"",AD2260,"PENDING_HUMAN")))</x:f>
        <x:v>PENDING_HUMAN</x:v>
      </x:c>
      <x:c r="AF2260" t="n">
        <x:f>--AND(A2260&lt;&gt;"",AA2260&lt;&gt;"",AB2260&lt;&gt;"",OR(AA2260=AB2260,AD2260&lt;&gt;""),IF(AE2260="HALLUCINATION",U2260&lt;&gt;"",TRUE))</x:f>
        <x:v>0</x:v>
      </x:c>
      <x:c r="AG2260" t="n">
        <x:f>--AND(N2260=1,AF2260=1,OR(AE2260="SUPPORTED",AE2260="HALLUCINATION"))</x:f>
        <x:v>0</x:v>
      </x:c>
      <x:c r="AH2260" t="n">
        <x:f>--AND(AG2260=1,AE2260="HALLUCINATION")</x:f>
        <x:v>0</x:v>
      </x:c>
      <x:c r="AI2260" t="n">
        <x:f>--AND(Q2260=1,AF2260=1,AE2260="HALLUCINATION")</x:f>
        <x:v>0</x:v>
      </x:c>
      <x:c r="AJ2260" t="n">
        <x:f>--AND(AI2260=1,R2260=1,S2260=1)</x:f>
        <x:v>0</x:v>
      </x:c>
    </x:row>
    <x:row r="2261">
      <x:c r="A2261" s="28"/>
      <x:c r="B2261" s="28"/>
      <x:c r="C2261" s="28"/>
      <x:c r="D2261" s="28"/>
      <x:c r="E2261" s="28"/>
      <x:c r="F2261" s="28"/>
      <x:c r="G2261" s="28"/>
      <x:c r="H2261" s="28"/>
      <x:c r="I2261" s="28"/>
      <x:c r="J2261" s="28"/>
      <x:c r="K2261" s="28"/>
      <x:c r="L2261" s="28"/>
      <x:c r="M2261" s="28"/>
      <x:c r="N2261" s="28"/>
      <x:c r="O2261" s="28"/>
      <x:c r="P2261" s="28"/>
      <x:c r="Q2261" s="28"/>
      <x:c r="R2261" s="28"/>
      <x:c r="S2261" s="28"/>
      <x:c r="T2261" s="28"/>
      <x:c r="U2261" s="28"/>
      <x:c r="V2261" s="28"/>
      <x:c r="W2261" s="43" t="n">
        <x:f>--AND(N2261=1,OR(O2261="SUPPORTED",O2261="HALLUCINATION"))</x:f>
        <x:v>0</x:v>
      </x:c>
      <x:c r="X2261" s="43" t="n">
        <x:f>--AND(W2261=1,O2261="HALLUCINATION")</x:f>
        <x:v>0</x:v>
      </x:c>
      <x:c r="Y2261" s="43" t="n">
        <x:f>--AND(Q2261=1,O2261="HALLUCINATION")</x:f>
        <x:v>0</x:v>
      </x:c>
      <x:c r="Z2261" s="43" t="n">
        <x:f>--AND(Y2261=1,R2261=1,S2261=1)</x:f>
        <x:v>0</x:v>
      </x:c>
      <x:c r="AC2261" t="str">
        <x:f>IF(OR(AA2261="",AB2261=""),"",--(AA2261&lt;&gt;AB2261))</x:f>
      </x:c>
      <x:c r="AE2261" t="str">
        <x:f>IF(OR(AA2261="",AB2261=""),"PENDING_HUMAN",IF(AA2261=AB2261,AA2261,IF(AD2261&lt;&gt;"",AD2261,"PENDING_HUMAN")))</x:f>
        <x:v>PENDING_HUMAN</x:v>
      </x:c>
      <x:c r="AF2261" t="n">
        <x:f>--AND(A2261&lt;&gt;"",AA2261&lt;&gt;"",AB2261&lt;&gt;"",OR(AA2261=AB2261,AD2261&lt;&gt;""),IF(AE2261="HALLUCINATION",U2261&lt;&gt;"",TRUE))</x:f>
        <x:v>0</x:v>
      </x:c>
      <x:c r="AG2261" t="n">
        <x:f>--AND(N2261=1,AF2261=1,OR(AE2261="SUPPORTED",AE2261="HALLUCINATION"))</x:f>
        <x:v>0</x:v>
      </x:c>
      <x:c r="AH2261" t="n">
        <x:f>--AND(AG2261=1,AE2261="HALLUCINATION")</x:f>
        <x:v>0</x:v>
      </x:c>
      <x:c r="AI2261" t="n">
        <x:f>--AND(Q2261=1,AF2261=1,AE2261="HALLUCINATION")</x:f>
        <x:v>0</x:v>
      </x:c>
      <x:c r="AJ2261" t="n">
        <x:f>--AND(AI2261=1,R2261=1,S2261=1)</x:f>
        <x:v>0</x:v>
      </x:c>
    </x:row>
    <x:row r="2262">
      <x:c r="A2262" s="28"/>
      <x:c r="B2262" s="28"/>
      <x:c r="C2262" s="28"/>
      <x:c r="D2262" s="28"/>
      <x:c r="E2262" s="28"/>
      <x:c r="F2262" s="28"/>
      <x:c r="G2262" s="28"/>
      <x:c r="H2262" s="28"/>
      <x:c r="I2262" s="28"/>
      <x:c r="J2262" s="28"/>
      <x:c r="K2262" s="28"/>
      <x:c r="L2262" s="28"/>
      <x:c r="M2262" s="28"/>
      <x:c r="N2262" s="28"/>
      <x:c r="O2262" s="28"/>
      <x:c r="P2262" s="28"/>
      <x:c r="Q2262" s="28"/>
      <x:c r="R2262" s="28"/>
      <x:c r="S2262" s="28"/>
      <x:c r="T2262" s="28"/>
      <x:c r="U2262" s="28"/>
      <x:c r="V2262" s="28"/>
      <x:c r="W2262" s="43" t="n">
        <x:f>--AND(N2262=1,OR(O2262="SUPPORTED",O2262="HALLUCINATION"))</x:f>
        <x:v>0</x:v>
      </x:c>
      <x:c r="X2262" s="43" t="n">
        <x:f>--AND(W2262=1,O2262="HALLUCINATION")</x:f>
        <x:v>0</x:v>
      </x:c>
      <x:c r="Y2262" s="43" t="n">
        <x:f>--AND(Q2262=1,O2262="HALLUCINATION")</x:f>
        <x:v>0</x:v>
      </x:c>
      <x:c r="Z2262" s="43" t="n">
        <x:f>--AND(Y2262=1,R2262=1,S2262=1)</x:f>
        <x:v>0</x:v>
      </x:c>
      <x:c r="AC2262" t="str">
        <x:f>IF(OR(AA2262="",AB2262=""),"",--(AA2262&lt;&gt;AB2262))</x:f>
      </x:c>
      <x:c r="AE2262" t="str">
        <x:f>IF(OR(AA2262="",AB2262=""),"PENDING_HUMAN",IF(AA2262=AB2262,AA2262,IF(AD2262&lt;&gt;"",AD2262,"PENDING_HUMAN")))</x:f>
        <x:v>PENDING_HUMAN</x:v>
      </x:c>
      <x:c r="AF2262" t="n">
        <x:f>--AND(A2262&lt;&gt;"",AA2262&lt;&gt;"",AB2262&lt;&gt;"",OR(AA2262=AB2262,AD2262&lt;&gt;""),IF(AE2262="HALLUCINATION",U2262&lt;&gt;"",TRUE))</x:f>
        <x:v>0</x:v>
      </x:c>
      <x:c r="AG2262" t="n">
        <x:f>--AND(N2262=1,AF2262=1,OR(AE2262="SUPPORTED",AE2262="HALLUCINATION"))</x:f>
        <x:v>0</x:v>
      </x:c>
      <x:c r="AH2262" t="n">
        <x:f>--AND(AG2262=1,AE2262="HALLUCINATION")</x:f>
        <x:v>0</x:v>
      </x:c>
      <x:c r="AI2262" t="n">
        <x:f>--AND(Q2262=1,AF2262=1,AE2262="HALLUCINATION")</x:f>
        <x:v>0</x:v>
      </x:c>
      <x:c r="AJ2262" t="n">
        <x:f>--AND(AI2262=1,R2262=1,S2262=1)</x:f>
        <x:v>0</x:v>
      </x:c>
    </x:row>
    <x:row r="2263">
      <x:c r="A2263" s="28"/>
      <x:c r="B2263" s="28"/>
      <x:c r="C2263" s="28"/>
      <x:c r="D2263" s="28"/>
      <x:c r="E2263" s="28"/>
      <x:c r="F2263" s="28"/>
      <x:c r="G2263" s="28"/>
      <x:c r="H2263" s="28"/>
      <x:c r="I2263" s="28"/>
      <x:c r="J2263" s="28"/>
      <x:c r="K2263" s="28"/>
      <x:c r="L2263" s="28"/>
      <x:c r="M2263" s="28"/>
      <x:c r="N2263" s="28"/>
      <x:c r="O2263" s="28"/>
      <x:c r="P2263" s="28"/>
      <x:c r="Q2263" s="28"/>
      <x:c r="R2263" s="28"/>
      <x:c r="S2263" s="28"/>
      <x:c r="T2263" s="28"/>
      <x:c r="U2263" s="28"/>
      <x:c r="V2263" s="28"/>
      <x:c r="W2263" s="43" t="n">
        <x:f>--AND(N2263=1,OR(O2263="SUPPORTED",O2263="HALLUCINATION"))</x:f>
        <x:v>0</x:v>
      </x:c>
      <x:c r="X2263" s="43" t="n">
        <x:f>--AND(W2263=1,O2263="HALLUCINATION")</x:f>
        <x:v>0</x:v>
      </x:c>
      <x:c r="Y2263" s="43" t="n">
        <x:f>--AND(Q2263=1,O2263="HALLUCINATION")</x:f>
        <x:v>0</x:v>
      </x:c>
      <x:c r="Z2263" s="43" t="n">
        <x:f>--AND(Y2263=1,R2263=1,S2263=1)</x:f>
        <x:v>0</x:v>
      </x:c>
      <x:c r="AC2263" t="str">
        <x:f>IF(OR(AA2263="",AB2263=""),"",--(AA2263&lt;&gt;AB2263))</x:f>
      </x:c>
      <x:c r="AE2263" t="str">
        <x:f>IF(OR(AA2263="",AB2263=""),"PENDING_HUMAN",IF(AA2263=AB2263,AA2263,IF(AD2263&lt;&gt;"",AD2263,"PENDING_HUMAN")))</x:f>
        <x:v>PENDING_HUMAN</x:v>
      </x:c>
      <x:c r="AF2263" t="n">
        <x:f>--AND(A2263&lt;&gt;"",AA2263&lt;&gt;"",AB2263&lt;&gt;"",OR(AA2263=AB2263,AD2263&lt;&gt;""),IF(AE2263="HALLUCINATION",U2263&lt;&gt;"",TRUE))</x:f>
        <x:v>0</x:v>
      </x:c>
      <x:c r="AG2263" t="n">
        <x:f>--AND(N2263=1,AF2263=1,OR(AE2263="SUPPORTED",AE2263="HALLUCINATION"))</x:f>
        <x:v>0</x:v>
      </x:c>
      <x:c r="AH2263" t="n">
        <x:f>--AND(AG2263=1,AE2263="HALLUCINATION")</x:f>
        <x:v>0</x:v>
      </x:c>
      <x:c r="AI2263" t="n">
        <x:f>--AND(Q2263=1,AF2263=1,AE2263="HALLUCINATION")</x:f>
        <x:v>0</x:v>
      </x:c>
      <x:c r="AJ2263" t="n">
        <x:f>--AND(AI2263=1,R2263=1,S2263=1)</x:f>
        <x:v>0</x:v>
      </x:c>
    </x:row>
    <x:row r="2264">
      <x:c r="A2264" s="28"/>
      <x:c r="B2264" s="28"/>
      <x:c r="C2264" s="28"/>
      <x:c r="D2264" s="28"/>
      <x:c r="E2264" s="28"/>
      <x:c r="F2264" s="28"/>
      <x:c r="G2264" s="28"/>
      <x:c r="H2264" s="28"/>
      <x:c r="I2264" s="28"/>
      <x:c r="J2264" s="28"/>
      <x:c r="K2264" s="28"/>
      <x:c r="L2264" s="28"/>
      <x:c r="M2264" s="28"/>
      <x:c r="N2264" s="28"/>
      <x:c r="O2264" s="28"/>
      <x:c r="P2264" s="28"/>
      <x:c r="Q2264" s="28"/>
      <x:c r="R2264" s="28"/>
      <x:c r="S2264" s="28"/>
      <x:c r="T2264" s="28"/>
      <x:c r="U2264" s="28"/>
      <x:c r="V2264" s="28"/>
      <x:c r="W2264" s="43" t="n">
        <x:f>--AND(N2264=1,OR(O2264="SUPPORTED",O2264="HALLUCINATION"))</x:f>
        <x:v>0</x:v>
      </x:c>
      <x:c r="X2264" s="43" t="n">
        <x:f>--AND(W2264=1,O2264="HALLUCINATION")</x:f>
        <x:v>0</x:v>
      </x:c>
      <x:c r="Y2264" s="43" t="n">
        <x:f>--AND(Q2264=1,O2264="HALLUCINATION")</x:f>
        <x:v>0</x:v>
      </x:c>
      <x:c r="Z2264" s="43" t="n">
        <x:f>--AND(Y2264=1,R2264=1,S2264=1)</x:f>
        <x:v>0</x:v>
      </x:c>
      <x:c r="AC2264" t="str">
        <x:f>IF(OR(AA2264="",AB2264=""),"",--(AA2264&lt;&gt;AB2264))</x:f>
      </x:c>
      <x:c r="AE2264" t="str">
        <x:f>IF(OR(AA2264="",AB2264=""),"PENDING_HUMAN",IF(AA2264=AB2264,AA2264,IF(AD2264&lt;&gt;"",AD2264,"PENDING_HUMAN")))</x:f>
        <x:v>PENDING_HUMAN</x:v>
      </x:c>
      <x:c r="AF2264" t="n">
        <x:f>--AND(A2264&lt;&gt;"",AA2264&lt;&gt;"",AB2264&lt;&gt;"",OR(AA2264=AB2264,AD2264&lt;&gt;""),IF(AE2264="HALLUCINATION",U2264&lt;&gt;"",TRUE))</x:f>
        <x:v>0</x:v>
      </x:c>
      <x:c r="AG2264" t="n">
        <x:f>--AND(N2264=1,AF2264=1,OR(AE2264="SUPPORTED",AE2264="HALLUCINATION"))</x:f>
        <x:v>0</x:v>
      </x:c>
      <x:c r="AH2264" t="n">
        <x:f>--AND(AG2264=1,AE2264="HALLUCINATION")</x:f>
        <x:v>0</x:v>
      </x:c>
      <x:c r="AI2264" t="n">
        <x:f>--AND(Q2264=1,AF2264=1,AE2264="HALLUCINATION")</x:f>
        <x:v>0</x:v>
      </x:c>
      <x:c r="AJ2264" t="n">
        <x:f>--AND(AI2264=1,R2264=1,S2264=1)</x:f>
        <x:v>0</x:v>
      </x:c>
    </x:row>
    <x:row r="2265">
      <x:c r="A2265" s="28"/>
      <x:c r="B2265" s="28"/>
      <x:c r="C2265" s="28"/>
      <x:c r="D2265" s="28"/>
      <x:c r="E2265" s="28"/>
      <x:c r="F2265" s="28"/>
      <x:c r="G2265" s="28"/>
      <x:c r="H2265" s="28"/>
      <x:c r="I2265" s="28"/>
      <x:c r="J2265" s="28"/>
      <x:c r="K2265" s="28"/>
      <x:c r="L2265" s="28"/>
      <x:c r="M2265" s="28"/>
      <x:c r="N2265" s="28"/>
      <x:c r="O2265" s="28"/>
      <x:c r="P2265" s="28"/>
      <x:c r="Q2265" s="28"/>
      <x:c r="R2265" s="28"/>
      <x:c r="S2265" s="28"/>
      <x:c r="T2265" s="28"/>
      <x:c r="U2265" s="28"/>
      <x:c r="V2265" s="28"/>
      <x:c r="W2265" s="43" t="n">
        <x:f>--AND(N2265=1,OR(O2265="SUPPORTED",O2265="HALLUCINATION"))</x:f>
        <x:v>0</x:v>
      </x:c>
      <x:c r="X2265" s="43" t="n">
        <x:f>--AND(W2265=1,O2265="HALLUCINATION")</x:f>
        <x:v>0</x:v>
      </x:c>
      <x:c r="Y2265" s="43" t="n">
        <x:f>--AND(Q2265=1,O2265="HALLUCINATION")</x:f>
        <x:v>0</x:v>
      </x:c>
      <x:c r="Z2265" s="43" t="n">
        <x:f>--AND(Y2265=1,R2265=1,S2265=1)</x:f>
        <x:v>0</x:v>
      </x:c>
      <x:c r="AC2265" t="str">
        <x:f>IF(OR(AA2265="",AB2265=""),"",--(AA2265&lt;&gt;AB2265))</x:f>
      </x:c>
      <x:c r="AE2265" t="str">
        <x:f>IF(OR(AA2265="",AB2265=""),"PENDING_HUMAN",IF(AA2265=AB2265,AA2265,IF(AD2265&lt;&gt;"",AD2265,"PENDING_HUMAN")))</x:f>
        <x:v>PENDING_HUMAN</x:v>
      </x:c>
      <x:c r="AF2265" t="n">
        <x:f>--AND(A2265&lt;&gt;"",AA2265&lt;&gt;"",AB2265&lt;&gt;"",OR(AA2265=AB2265,AD2265&lt;&gt;""),IF(AE2265="HALLUCINATION",U2265&lt;&gt;"",TRUE))</x:f>
        <x:v>0</x:v>
      </x:c>
      <x:c r="AG2265" t="n">
        <x:f>--AND(N2265=1,AF2265=1,OR(AE2265="SUPPORTED",AE2265="HALLUCINATION"))</x:f>
        <x:v>0</x:v>
      </x:c>
      <x:c r="AH2265" t="n">
        <x:f>--AND(AG2265=1,AE2265="HALLUCINATION")</x:f>
        <x:v>0</x:v>
      </x:c>
      <x:c r="AI2265" t="n">
        <x:f>--AND(Q2265=1,AF2265=1,AE2265="HALLUCINATION")</x:f>
        <x:v>0</x:v>
      </x:c>
      <x:c r="AJ2265" t="n">
        <x:f>--AND(AI2265=1,R2265=1,S2265=1)</x:f>
        <x:v>0</x:v>
      </x:c>
    </x:row>
    <x:row r="2266">
      <x:c r="A2266" s="28"/>
      <x:c r="B2266" s="28"/>
      <x:c r="C2266" s="28"/>
      <x:c r="D2266" s="28"/>
      <x:c r="E2266" s="28"/>
      <x:c r="F2266" s="28"/>
      <x:c r="G2266" s="28"/>
      <x:c r="H2266" s="28"/>
      <x:c r="I2266" s="28"/>
      <x:c r="J2266" s="28"/>
      <x:c r="K2266" s="28"/>
      <x:c r="L2266" s="28"/>
      <x:c r="M2266" s="28"/>
      <x:c r="N2266" s="28"/>
      <x:c r="O2266" s="28"/>
      <x:c r="P2266" s="28"/>
      <x:c r="Q2266" s="28"/>
      <x:c r="R2266" s="28"/>
      <x:c r="S2266" s="28"/>
      <x:c r="T2266" s="28"/>
      <x:c r="U2266" s="28"/>
      <x:c r="V2266" s="28"/>
      <x:c r="W2266" s="43" t="n">
        <x:f>--AND(N2266=1,OR(O2266="SUPPORTED",O2266="HALLUCINATION"))</x:f>
        <x:v>0</x:v>
      </x:c>
      <x:c r="X2266" s="43" t="n">
        <x:f>--AND(W2266=1,O2266="HALLUCINATION")</x:f>
        <x:v>0</x:v>
      </x:c>
      <x:c r="Y2266" s="43" t="n">
        <x:f>--AND(Q2266=1,O2266="HALLUCINATION")</x:f>
        <x:v>0</x:v>
      </x:c>
      <x:c r="Z2266" s="43" t="n">
        <x:f>--AND(Y2266=1,R2266=1,S2266=1)</x:f>
        <x:v>0</x:v>
      </x:c>
      <x:c r="AC2266" t="str">
        <x:f>IF(OR(AA2266="",AB2266=""),"",--(AA2266&lt;&gt;AB2266))</x:f>
      </x:c>
      <x:c r="AE2266" t="str">
        <x:f>IF(OR(AA2266="",AB2266=""),"PENDING_HUMAN",IF(AA2266=AB2266,AA2266,IF(AD2266&lt;&gt;"",AD2266,"PENDING_HUMAN")))</x:f>
        <x:v>PENDING_HUMAN</x:v>
      </x:c>
      <x:c r="AF2266" t="n">
        <x:f>--AND(A2266&lt;&gt;"",AA2266&lt;&gt;"",AB2266&lt;&gt;"",OR(AA2266=AB2266,AD2266&lt;&gt;""),IF(AE2266="HALLUCINATION",U2266&lt;&gt;"",TRUE))</x:f>
        <x:v>0</x:v>
      </x:c>
      <x:c r="AG2266" t="n">
        <x:f>--AND(N2266=1,AF2266=1,OR(AE2266="SUPPORTED",AE2266="HALLUCINATION"))</x:f>
        <x:v>0</x:v>
      </x:c>
      <x:c r="AH2266" t="n">
        <x:f>--AND(AG2266=1,AE2266="HALLUCINATION")</x:f>
        <x:v>0</x:v>
      </x:c>
      <x:c r="AI2266" t="n">
        <x:f>--AND(Q2266=1,AF2266=1,AE2266="HALLUCINATION")</x:f>
        <x:v>0</x:v>
      </x:c>
      <x:c r="AJ2266" t="n">
        <x:f>--AND(AI2266=1,R2266=1,S2266=1)</x:f>
        <x:v>0</x:v>
      </x:c>
    </x:row>
    <x:row r="2267">
      <x:c r="A2267" s="28"/>
      <x:c r="B2267" s="28"/>
      <x:c r="C2267" s="28"/>
      <x:c r="D2267" s="28"/>
      <x:c r="E2267" s="28"/>
      <x:c r="F2267" s="28"/>
      <x:c r="G2267" s="28"/>
      <x:c r="H2267" s="28"/>
      <x:c r="I2267" s="28"/>
      <x:c r="J2267" s="28"/>
      <x:c r="K2267" s="28"/>
      <x:c r="L2267" s="28"/>
      <x:c r="M2267" s="28"/>
      <x:c r="N2267" s="28"/>
      <x:c r="O2267" s="28"/>
      <x:c r="P2267" s="28"/>
      <x:c r="Q2267" s="28"/>
      <x:c r="R2267" s="28"/>
      <x:c r="S2267" s="28"/>
      <x:c r="T2267" s="28"/>
      <x:c r="U2267" s="28"/>
      <x:c r="V2267" s="28"/>
      <x:c r="W2267" s="43" t="n">
        <x:f>--AND(N2267=1,OR(O2267="SUPPORTED",O2267="HALLUCINATION"))</x:f>
        <x:v>0</x:v>
      </x:c>
      <x:c r="X2267" s="43" t="n">
        <x:f>--AND(W2267=1,O2267="HALLUCINATION")</x:f>
        <x:v>0</x:v>
      </x:c>
      <x:c r="Y2267" s="43" t="n">
        <x:f>--AND(Q2267=1,O2267="HALLUCINATION")</x:f>
        <x:v>0</x:v>
      </x:c>
      <x:c r="Z2267" s="43" t="n">
        <x:f>--AND(Y2267=1,R2267=1,S2267=1)</x:f>
        <x:v>0</x:v>
      </x:c>
      <x:c r="AC2267" t="str">
        <x:f>IF(OR(AA2267="",AB2267=""),"",--(AA2267&lt;&gt;AB2267))</x:f>
      </x:c>
      <x:c r="AE2267" t="str">
        <x:f>IF(OR(AA2267="",AB2267=""),"PENDING_HUMAN",IF(AA2267=AB2267,AA2267,IF(AD2267&lt;&gt;"",AD2267,"PENDING_HUMAN")))</x:f>
        <x:v>PENDING_HUMAN</x:v>
      </x:c>
      <x:c r="AF2267" t="n">
        <x:f>--AND(A2267&lt;&gt;"",AA2267&lt;&gt;"",AB2267&lt;&gt;"",OR(AA2267=AB2267,AD2267&lt;&gt;""),IF(AE2267="HALLUCINATION",U2267&lt;&gt;"",TRUE))</x:f>
        <x:v>0</x:v>
      </x:c>
      <x:c r="AG2267" t="n">
        <x:f>--AND(N2267=1,AF2267=1,OR(AE2267="SUPPORTED",AE2267="HALLUCINATION"))</x:f>
        <x:v>0</x:v>
      </x:c>
      <x:c r="AH2267" t="n">
        <x:f>--AND(AG2267=1,AE2267="HALLUCINATION")</x:f>
        <x:v>0</x:v>
      </x:c>
      <x:c r="AI2267" t="n">
        <x:f>--AND(Q2267=1,AF2267=1,AE2267="HALLUCINATION")</x:f>
        <x:v>0</x:v>
      </x:c>
      <x:c r="AJ2267" t="n">
        <x:f>--AND(AI2267=1,R2267=1,S2267=1)</x:f>
        <x:v>0</x:v>
      </x:c>
    </x:row>
    <x:row r="2268">
      <x:c r="A2268" s="28"/>
      <x:c r="B2268" s="28"/>
      <x:c r="C2268" s="28"/>
      <x:c r="D2268" s="28"/>
      <x:c r="E2268" s="28"/>
      <x:c r="F2268" s="28"/>
      <x:c r="G2268" s="28"/>
      <x:c r="H2268" s="28"/>
      <x:c r="I2268" s="28"/>
      <x:c r="J2268" s="28"/>
      <x:c r="K2268" s="28"/>
      <x:c r="L2268" s="28"/>
      <x:c r="M2268" s="28"/>
      <x:c r="N2268" s="28"/>
      <x:c r="O2268" s="28"/>
      <x:c r="P2268" s="28"/>
      <x:c r="Q2268" s="28"/>
      <x:c r="R2268" s="28"/>
      <x:c r="S2268" s="28"/>
      <x:c r="T2268" s="28"/>
      <x:c r="U2268" s="28"/>
      <x:c r="V2268" s="28"/>
      <x:c r="W2268" s="43" t="n">
        <x:f>--AND(N2268=1,OR(O2268="SUPPORTED",O2268="HALLUCINATION"))</x:f>
        <x:v>0</x:v>
      </x:c>
      <x:c r="X2268" s="43" t="n">
        <x:f>--AND(W2268=1,O2268="HALLUCINATION")</x:f>
        <x:v>0</x:v>
      </x:c>
      <x:c r="Y2268" s="43" t="n">
        <x:f>--AND(Q2268=1,O2268="HALLUCINATION")</x:f>
        <x:v>0</x:v>
      </x:c>
      <x:c r="Z2268" s="43" t="n">
        <x:f>--AND(Y2268=1,R2268=1,S2268=1)</x:f>
        <x:v>0</x:v>
      </x:c>
      <x:c r="AC2268" t="str">
        <x:f>IF(OR(AA2268="",AB2268=""),"",--(AA2268&lt;&gt;AB2268))</x:f>
      </x:c>
      <x:c r="AE2268" t="str">
        <x:f>IF(OR(AA2268="",AB2268=""),"PENDING_HUMAN",IF(AA2268=AB2268,AA2268,IF(AD2268&lt;&gt;"",AD2268,"PENDING_HUMAN")))</x:f>
        <x:v>PENDING_HUMAN</x:v>
      </x:c>
      <x:c r="AF2268" t="n">
        <x:f>--AND(A2268&lt;&gt;"",AA2268&lt;&gt;"",AB2268&lt;&gt;"",OR(AA2268=AB2268,AD2268&lt;&gt;""),IF(AE2268="HALLUCINATION",U2268&lt;&gt;"",TRUE))</x:f>
        <x:v>0</x:v>
      </x:c>
      <x:c r="AG2268" t="n">
        <x:f>--AND(N2268=1,AF2268=1,OR(AE2268="SUPPORTED",AE2268="HALLUCINATION"))</x:f>
        <x:v>0</x:v>
      </x:c>
      <x:c r="AH2268" t="n">
        <x:f>--AND(AG2268=1,AE2268="HALLUCINATION")</x:f>
        <x:v>0</x:v>
      </x:c>
      <x:c r="AI2268" t="n">
        <x:f>--AND(Q2268=1,AF2268=1,AE2268="HALLUCINATION")</x:f>
        <x:v>0</x:v>
      </x:c>
      <x:c r="AJ2268" t="n">
        <x:f>--AND(AI2268=1,R2268=1,S2268=1)</x:f>
        <x:v>0</x:v>
      </x:c>
    </x:row>
    <x:row r="2269">
      <x:c r="A2269" s="28"/>
      <x:c r="B2269" s="28"/>
      <x:c r="C2269" s="28"/>
      <x:c r="D2269" s="28"/>
      <x:c r="E2269" s="28"/>
      <x:c r="F2269" s="28"/>
      <x:c r="G2269" s="28"/>
      <x:c r="H2269" s="28"/>
      <x:c r="I2269" s="28"/>
      <x:c r="J2269" s="28"/>
      <x:c r="K2269" s="28"/>
      <x:c r="L2269" s="28"/>
      <x:c r="M2269" s="28"/>
      <x:c r="N2269" s="28"/>
      <x:c r="O2269" s="28"/>
      <x:c r="P2269" s="28"/>
      <x:c r="Q2269" s="28"/>
      <x:c r="R2269" s="28"/>
      <x:c r="S2269" s="28"/>
      <x:c r="T2269" s="28"/>
      <x:c r="U2269" s="28"/>
      <x:c r="V2269" s="28"/>
      <x:c r="W2269" s="43" t="n">
        <x:f>--AND(N2269=1,OR(O2269="SUPPORTED",O2269="HALLUCINATION"))</x:f>
        <x:v>0</x:v>
      </x:c>
      <x:c r="X2269" s="43" t="n">
        <x:f>--AND(W2269=1,O2269="HALLUCINATION")</x:f>
        <x:v>0</x:v>
      </x:c>
      <x:c r="Y2269" s="43" t="n">
        <x:f>--AND(Q2269=1,O2269="HALLUCINATION")</x:f>
        <x:v>0</x:v>
      </x:c>
      <x:c r="Z2269" s="43" t="n">
        <x:f>--AND(Y2269=1,R2269=1,S2269=1)</x:f>
        <x:v>0</x:v>
      </x:c>
      <x:c r="AC2269" t="str">
        <x:f>IF(OR(AA2269="",AB2269=""),"",--(AA2269&lt;&gt;AB2269))</x:f>
      </x:c>
      <x:c r="AE2269" t="str">
        <x:f>IF(OR(AA2269="",AB2269=""),"PENDING_HUMAN",IF(AA2269=AB2269,AA2269,IF(AD2269&lt;&gt;"",AD2269,"PENDING_HUMAN")))</x:f>
        <x:v>PENDING_HUMAN</x:v>
      </x:c>
      <x:c r="AF2269" t="n">
        <x:f>--AND(A2269&lt;&gt;"",AA2269&lt;&gt;"",AB2269&lt;&gt;"",OR(AA2269=AB2269,AD2269&lt;&gt;""),IF(AE2269="HALLUCINATION",U2269&lt;&gt;"",TRUE))</x:f>
        <x:v>0</x:v>
      </x:c>
      <x:c r="AG2269" t="n">
        <x:f>--AND(N2269=1,AF2269=1,OR(AE2269="SUPPORTED",AE2269="HALLUCINATION"))</x:f>
        <x:v>0</x:v>
      </x:c>
      <x:c r="AH2269" t="n">
        <x:f>--AND(AG2269=1,AE2269="HALLUCINATION")</x:f>
        <x:v>0</x:v>
      </x:c>
      <x:c r="AI2269" t="n">
        <x:f>--AND(Q2269=1,AF2269=1,AE2269="HALLUCINATION")</x:f>
        <x:v>0</x:v>
      </x:c>
      <x:c r="AJ2269" t="n">
        <x:f>--AND(AI2269=1,R2269=1,S2269=1)</x:f>
        <x:v>0</x:v>
      </x:c>
    </x:row>
    <x:row r="2270">
      <x:c r="A2270" s="28"/>
      <x:c r="B2270" s="28"/>
      <x:c r="C2270" s="28"/>
      <x:c r="D2270" s="28"/>
      <x:c r="E2270" s="28"/>
      <x:c r="F2270" s="28"/>
      <x:c r="G2270" s="28"/>
      <x:c r="H2270" s="28"/>
      <x:c r="I2270" s="28"/>
      <x:c r="J2270" s="28"/>
      <x:c r="K2270" s="28"/>
      <x:c r="L2270" s="28"/>
      <x:c r="M2270" s="28"/>
      <x:c r="N2270" s="28"/>
      <x:c r="O2270" s="28"/>
      <x:c r="P2270" s="28"/>
      <x:c r="Q2270" s="28"/>
      <x:c r="R2270" s="28"/>
      <x:c r="S2270" s="28"/>
      <x:c r="T2270" s="28"/>
      <x:c r="U2270" s="28"/>
      <x:c r="V2270" s="28"/>
      <x:c r="W2270" s="43" t="n">
        <x:f>--AND(N2270=1,OR(O2270="SUPPORTED",O2270="HALLUCINATION"))</x:f>
        <x:v>0</x:v>
      </x:c>
      <x:c r="X2270" s="43" t="n">
        <x:f>--AND(W2270=1,O2270="HALLUCINATION")</x:f>
        <x:v>0</x:v>
      </x:c>
      <x:c r="Y2270" s="43" t="n">
        <x:f>--AND(Q2270=1,O2270="HALLUCINATION")</x:f>
        <x:v>0</x:v>
      </x:c>
      <x:c r="Z2270" s="43" t="n">
        <x:f>--AND(Y2270=1,R2270=1,S2270=1)</x:f>
        <x:v>0</x:v>
      </x:c>
      <x:c r="AC2270" t="str">
        <x:f>IF(OR(AA2270="",AB2270=""),"",--(AA2270&lt;&gt;AB2270))</x:f>
      </x:c>
      <x:c r="AE2270" t="str">
        <x:f>IF(OR(AA2270="",AB2270=""),"PENDING_HUMAN",IF(AA2270=AB2270,AA2270,IF(AD2270&lt;&gt;"",AD2270,"PENDING_HUMAN")))</x:f>
        <x:v>PENDING_HUMAN</x:v>
      </x:c>
      <x:c r="AF2270" t="n">
        <x:f>--AND(A2270&lt;&gt;"",AA2270&lt;&gt;"",AB2270&lt;&gt;"",OR(AA2270=AB2270,AD2270&lt;&gt;""),IF(AE2270="HALLUCINATION",U2270&lt;&gt;"",TRUE))</x:f>
        <x:v>0</x:v>
      </x:c>
      <x:c r="AG2270" t="n">
        <x:f>--AND(N2270=1,AF2270=1,OR(AE2270="SUPPORTED",AE2270="HALLUCINATION"))</x:f>
        <x:v>0</x:v>
      </x:c>
      <x:c r="AH2270" t="n">
        <x:f>--AND(AG2270=1,AE2270="HALLUCINATION")</x:f>
        <x:v>0</x:v>
      </x:c>
      <x:c r="AI2270" t="n">
        <x:f>--AND(Q2270=1,AF2270=1,AE2270="HALLUCINATION")</x:f>
        <x:v>0</x:v>
      </x:c>
      <x:c r="AJ2270" t="n">
        <x:f>--AND(AI2270=1,R2270=1,S2270=1)</x:f>
        <x:v>0</x:v>
      </x:c>
    </x:row>
    <x:row r="2271">
      <x:c r="A2271" s="28"/>
      <x:c r="B2271" s="28"/>
      <x:c r="C2271" s="28"/>
      <x:c r="D2271" s="28"/>
      <x:c r="E2271" s="28"/>
      <x:c r="F2271" s="28"/>
      <x:c r="G2271" s="28"/>
      <x:c r="H2271" s="28"/>
      <x:c r="I2271" s="28"/>
      <x:c r="J2271" s="28"/>
      <x:c r="K2271" s="28"/>
      <x:c r="L2271" s="28"/>
      <x:c r="M2271" s="28"/>
      <x:c r="N2271" s="28"/>
      <x:c r="O2271" s="28"/>
      <x:c r="P2271" s="28"/>
      <x:c r="Q2271" s="28"/>
      <x:c r="R2271" s="28"/>
      <x:c r="S2271" s="28"/>
      <x:c r="T2271" s="28"/>
      <x:c r="U2271" s="28"/>
      <x:c r="V2271" s="28"/>
      <x:c r="W2271" s="43" t="n">
        <x:f>--AND(N2271=1,OR(O2271="SUPPORTED",O2271="HALLUCINATION"))</x:f>
        <x:v>0</x:v>
      </x:c>
      <x:c r="X2271" s="43" t="n">
        <x:f>--AND(W2271=1,O2271="HALLUCINATION")</x:f>
        <x:v>0</x:v>
      </x:c>
      <x:c r="Y2271" s="43" t="n">
        <x:f>--AND(Q2271=1,O2271="HALLUCINATION")</x:f>
        <x:v>0</x:v>
      </x:c>
      <x:c r="Z2271" s="43" t="n">
        <x:f>--AND(Y2271=1,R2271=1,S2271=1)</x:f>
        <x:v>0</x:v>
      </x:c>
      <x:c r="AC2271" t="str">
        <x:f>IF(OR(AA2271="",AB2271=""),"",--(AA2271&lt;&gt;AB2271))</x:f>
      </x:c>
      <x:c r="AE2271" t="str">
        <x:f>IF(OR(AA2271="",AB2271=""),"PENDING_HUMAN",IF(AA2271=AB2271,AA2271,IF(AD2271&lt;&gt;"",AD2271,"PENDING_HUMAN")))</x:f>
        <x:v>PENDING_HUMAN</x:v>
      </x:c>
      <x:c r="AF2271" t="n">
        <x:f>--AND(A2271&lt;&gt;"",AA2271&lt;&gt;"",AB2271&lt;&gt;"",OR(AA2271=AB2271,AD2271&lt;&gt;""),IF(AE2271="HALLUCINATION",U2271&lt;&gt;"",TRUE))</x:f>
        <x:v>0</x:v>
      </x:c>
      <x:c r="AG2271" t="n">
        <x:f>--AND(N2271=1,AF2271=1,OR(AE2271="SUPPORTED",AE2271="HALLUCINATION"))</x:f>
        <x:v>0</x:v>
      </x:c>
      <x:c r="AH2271" t="n">
        <x:f>--AND(AG2271=1,AE2271="HALLUCINATION")</x:f>
        <x:v>0</x:v>
      </x:c>
      <x:c r="AI2271" t="n">
        <x:f>--AND(Q2271=1,AF2271=1,AE2271="HALLUCINATION")</x:f>
        <x:v>0</x:v>
      </x:c>
      <x:c r="AJ2271" t="n">
        <x:f>--AND(AI2271=1,R2271=1,S2271=1)</x:f>
        <x:v>0</x:v>
      </x:c>
    </x:row>
    <x:row r="2272">
      <x:c r="A2272" s="28"/>
      <x:c r="B2272" s="28"/>
      <x:c r="C2272" s="28"/>
      <x:c r="D2272" s="28"/>
      <x:c r="E2272" s="28"/>
      <x:c r="F2272" s="28"/>
      <x:c r="G2272" s="28"/>
      <x:c r="H2272" s="28"/>
      <x:c r="I2272" s="28"/>
      <x:c r="J2272" s="28"/>
      <x:c r="K2272" s="28"/>
      <x:c r="L2272" s="28"/>
      <x:c r="M2272" s="28"/>
      <x:c r="N2272" s="28"/>
      <x:c r="O2272" s="28"/>
      <x:c r="P2272" s="28"/>
      <x:c r="Q2272" s="28"/>
      <x:c r="R2272" s="28"/>
      <x:c r="S2272" s="28"/>
      <x:c r="T2272" s="28"/>
      <x:c r="U2272" s="28"/>
      <x:c r="V2272" s="28"/>
      <x:c r="W2272" s="43" t="n">
        <x:f>--AND(N2272=1,OR(O2272="SUPPORTED",O2272="HALLUCINATION"))</x:f>
        <x:v>0</x:v>
      </x:c>
      <x:c r="X2272" s="43" t="n">
        <x:f>--AND(W2272=1,O2272="HALLUCINATION")</x:f>
        <x:v>0</x:v>
      </x:c>
      <x:c r="Y2272" s="43" t="n">
        <x:f>--AND(Q2272=1,O2272="HALLUCINATION")</x:f>
        <x:v>0</x:v>
      </x:c>
      <x:c r="Z2272" s="43" t="n">
        <x:f>--AND(Y2272=1,R2272=1,S2272=1)</x:f>
        <x:v>0</x:v>
      </x:c>
      <x:c r="AC2272" t="str">
        <x:f>IF(OR(AA2272="",AB2272=""),"",--(AA2272&lt;&gt;AB2272))</x:f>
      </x:c>
      <x:c r="AE2272" t="str">
        <x:f>IF(OR(AA2272="",AB2272=""),"PENDING_HUMAN",IF(AA2272=AB2272,AA2272,IF(AD2272&lt;&gt;"",AD2272,"PENDING_HUMAN")))</x:f>
        <x:v>PENDING_HUMAN</x:v>
      </x:c>
      <x:c r="AF2272" t="n">
        <x:f>--AND(A2272&lt;&gt;"",AA2272&lt;&gt;"",AB2272&lt;&gt;"",OR(AA2272=AB2272,AD2272&lt;&gt;""),IF(AE2272="HALLUCINATION",U2272&lt;&gt;"",TRUE))</x:f>
        <x:v>0</x:v>
      </x:c>
      <x:c r="AG2272" t="n">
        <x:f>--AND(N2272=1,AF2272=1,OR(AE2272="SUPPORTED",AE2272="HALLUCINATION"))</x:f>
        <x:v>0</x:v>
      </x:c>
      <x:c r="AH2272" t="n">
        <x:f>--AND(AG2272=1,AE2272="HALLUCINATION")</x:f>
        <x:v>0</x:v>
      </x:c>
      <x:c r="AI2272" t="n">
        <x:f>--AND(Q2272=1,AF2272=1,AE2272="HALLUCINATION")</x:f>
        <x:v>0</x:v>
      </x:c>
      <x:c r="AJ2272" t="n">
        <x:f>--AND(AI2272=1,R2272=1,S2272=1)</x:f>
        <x:v>0</x:v>
      </x:c>
    </x:row>
    <x:row r="2273">
      <x:c r="A2273" s="28"/>
      <x:c r="B2273" s="28"/>
      <x:c r="C2273" s="28"/>
      <x:c r="D2273" s="28"/>
      <x:c r="E2273" s="28"/>
      <x:c r="F2273" s="28"/>
      <x:c r="G2273" s="28"/>
      <x:c r="H2273" s="28"/>
      <x:c r="I2273" s="28"/>
      <x:c r="J2273" s="28"/>
      <x:c r="K2273" s="28"/>
      <x:c r="L2273" s="28"/>
      <x:c r="M2273" s="28"/>
      <x:c r="N2273" s="28"/>
      <x:c r="O2273" s="28"/>
      <x:c r="P2273" s="28"/>
      <x:c r="Q2273" s="28"/>
      <x:c r="R2273" s="28"/>
      <x:c r="S2273" s="28"/>
      <x:c r="T2273" s="28"/>
      <x:c r="U2273" s="28"/>
      <x:c r="V2273" s="28"/>
      <x:c r="W2273" s="43" t="n">
        <x:f>--AND(N2273=1,OR(O2273="SUPPORTED",O2273="HALLUCINATION"))</x:f>
        <x:v>0</x:v>
      </x:c>
      <x:c r="X2273" s="43" t="n">
        <x:f>--AND(W2273=1,O2273="HALLUCINATION")</x:f>
        <x:v>0</x:v>
      </x:c>
      <x:c r="Y2273" s="43" t="n">
        <x:f>--AND(Q2273=1,O2273="HALLUCINATION")</x:f>
        <x:v>0</x:v>
      </x:c>
      <x:c r="Z2273" s="43" t="n">
        <x:f>--AND(Y2273=1,R2273=1,S2273=1)</x:f>
        <x:v>0</x:v>
      </x:c>
      <x:c r="AC2273" t="str">
        <x:f>IF(OR(AA2273="",AB2273=""),"",--(AA2273&lt;&gt;AB2273))</x:f>
      </x:c>
      <x:c r="AE2273" t="str">
        <x:f>IF(OR(AA2273="",AB2273=""),"PENDING_HUMAN",IF(AA2273=AB2273,AA2273,IF(AD2273&lt;&gt;"",AD2273,"PENDING_HUMAN")))</x:f>
        <x:v>PENDING_HUMAN</x:v>
      </x:c>
      <x:c r="AF2273" t="n">
        <x:f>--AND(A2273&lt;&gt;"",AA2273&lt;&gt;"",AB2273&lt;&gt;"",OR(AA2273=AB2273,AD2273&lt;&gt;""),IF(AE2273="HALLUCINATION",U2273&lt;&gt;"",TRUE))</x:f>
        <x:v>0</x:v>
      </x:c>
      <x:c r="AG2273" t="n">
        <x:f>--AND(N2273=1,AF2273=1,OR(AE2273="SUPPORTED",AE2273="HALLUCINATION"))</x:f>
        <x:v>0</x:v>
      </x:c>
      <x:c r="AH2273" t="n">
        <x:f>--AND(AG2273=1,AE2273="HALLUCINATION")</x:f>
        <x:v>0</x:v>
      </x:c>
      <x:c r="AI2273" t="n">
        <x:f>--AND(Q2273=1,AF2273=1,AE2273="HALLUCINATION")</x:f>
        <x:v>0</x:v>
      </x:c>
      <x:c r="AJ2273" t="n">
        <x:f>--AND(AI2273=1,R2273=1,S2273=1)</x:f>
        <x:v>0</x:v>
      </x:c>
    </x:row>
    <x:row r="2274">
      <x:c r="A2274" s="28"/>
      <x:c r="B2274" s="28"/>
      <x:c r="C2274" s="28"/>
      <x:c r="D2274" s="28"/>
      <x:c r="E2274" s="28"/>
      <x:c r="F2274" s="28"/>
      <x:c r="G2274" s="28"/>
      <x:c r="H2274" s="28"/>
      <x:c r="I2274" s="28"/>
      <x:c r="J2274" s="28"/>
      <x:c r="K2274" s="28"/>
      <x:c r="L2274" s="28"/>
      <x:c r="M2274" s="28"/>
      <x:c r="N2274" s="28"/>
      <x:c r="O2274" s="28"/>
      <x:c r="P2274" s="28"/>
      <x:c r="Q2274" s="28"/>
      <x:c r="R2274" s="28"/>
      <x:c r="S2274" s="28"/>
      <x:c r="T2274" s="28"/>
      <x:c r="U2274" s="28"/>
      <x:c r="V2274" s="28"/>
      <x:c r="W2274" s="43" t="n">
        <x:f>--AND(N2274=1,OR(O2274="SUPPORTED",O2274="HALLUCINATION"))</x:f>
        <x:v>0</x:v>
      </x:c>
      <x:c r="X2274" s="43" t="n">
        <x:f>--AND(W2274=1,O2274="HALLUCINATION")</x:f>
        <x:v>0</x:v>
      </x:c>
      <x:c r="Y2274" s="43" t="n">
        <x:f>--AND(Q2274=1,O2274="HALLUCINATION")</x:f>
        <x:v>0</x:v>
      </x:c>
      <x:c r="Z2274" s="43" t="n">
        <x:f>--AND(Y2274=1,R2274=1,S2274=1)</x:f>
        <x:v>0</x:v>
      </x:c>
      <x:c r="AC2274" t="str">
        <x:f>IF(OR(AA2274="",AB2274=""),"",--(AA2274&lt;&gt;AB2274))</x:f>
      </x:c>
      <x:c r="AE2274" t="str">
        <x:f>IF(OR(AA2274="",AB2274=""),"PENDING_HUMAN",IF(AA2274=AB2274,AA2274,IF(AD2274&lt;&gt;"",AD2274,"PENDING_HUMAN")))</x:f>
        <x:v>PENDING_HUMAN</x:v>
      </x:c>
      <x:c r="AF2274" t="n">
        <x:f>--AND(A2274&lt;&gt;"",AA2274&lt;&gt;"",AB2274&lt;&gt;"",OR(AA2274=AB2274,AD2274&lt;&gt;""),IF(AE2274="HALLUCINATION",U2274&lt;&gt;"",TRUE))</x:f>
        <x:v>0</x:v>
      </x:c>
      <x:c r="AG2274" t="n">
        <x:f>--AND(N2274=1,AF2274=1,OR(AE2274="SUPPORTED",AE2274="HALLUCINATION"))</x:f>
        <x:v>0</x:v>
      </x:c>
      <x:c r="AH2274" t="n">
        <x:f>--AND(AG2274=1,AE2274="HALLUCINATION")</x:f>
        <x:v>0</x:v>
      </x:c>
      <x:c r="AI2274" t="n">
        <x:f>--AND(Q2274=1,AF2274=1,AE2274="HALLUCINATION")</x:f>
        <x:v>0</x:v>
      </x:c>
      <x:c r="AJ2274" t="n">
        <x:f>--AND(AI2274=1,R2274=1,S2274=1)</x:f>
        <x:v>0</x:v>
      </x:c>
    </x:row>
    <x:row r="2275">
      <x:c r="A2275" s="28"/>
      <x:c r="B2275" s="28"/>
      <x:c r="C2275" s="28"/>
      <x:c r="D2275" s="28"/>
      <x:c r="E2275" s="28"/>
      <x:c r="F2275" s="28"/>
      <x:c r="G2275" s="28"/>
      <x:c r="H2275" s="28"/>
      <x:c r="I2275" s="28"/>
      <x:c r="J2275" s="28"/>
      <x:c r="K2275" s="28"/>
      <x:c r="L2275" s="28"/>
      <x:c r="M2275" s="28"/>
      <x:c r="N2275" s="28"/>
      <x:c r="O2275" s="28"/>
      <x:c r="P2275" s="28"/>
      <x:c r="Q2275" s="28"/>
      <x:c r="R2275" s="28"/>
      <x:c r="S2275" s="28"/>
      <x:c r="T2275" s="28"/>
      <x:c r="U2275" s="28"/>
      <x:c r="V2275" s="28"/>
      <x:c r="W2275" s="43" t="n">
        <x:f>--AND(N2275=1,OR(O2275="SUPPORTED",O2275="HALLUCINATION"))</x:f>
        <x:v>0</x:v>
      </x:c>
      <x:c r="X2275" s="43" t="n">
        <x:f>--AND(W2275=1,O2275="HALLUCINATION")</x:f>
        <x:v>0</x:v>
      </x:c>
      <x:c r="Y2275" s="43" t="n">
        <x:f>--AND(Q2275=1,O2275="HALLUCINATION")</x:f>
        <x:v>0</x:v>
      </x:c>
      <x:c r="Z2275" s="43" t="n">
        <x:f>--AND(Y2275=1,R2275=1,S2275=1)</x:f>
        <x:v>0</x:v>
      </x:c>
      <x:c r="AC2275" t="str">
        <x:f>IF(OR(AA2275="",AB2275=""),"",--(AA2275&lt;&gt;AB2275))</x:f>
      </x:c>
      <x:c r="AE2275" t="str">
        <x:f>IF(OR(AA2275="",AB2275=""),"PENDING_HUMAN",IF(AA2275=AB2275,AA2275,IF(AD2275&lt;&gt;"",AD2275,"PENDING_HUMAN")))</x:f>
        <x:v>PENDING_HUMAN</x:v>
      </x:c>
      <x:c r="AF2275" t="n">
        <x:f>--AND(A2275&lt;&gt;"",AA2275&lt;&gt;"",AB2275&lt;&gt;"",OR(AA2275=AB2275,AD2275&lt;&gt;""),IF(AE2275="HALLUCINATION",U2275&lt;&gt;"",TRUE))</x:f>
        <x:v>0</x:v>
      </x:c>
      <x:c r="AG2275" t="n">
        <x:f>--AND(N2275=1,AF2275=1,OR(AE2275="SUPPORTED",AE2275="HALLUCINATION"))</x:f>
        <x:v>0</x:v>
      </x:c>
      <x:c r="AH2275" t="n">
        <x:f>--AND(AG2275=1,AE2275="HALLUCINATION")</x:f>
        <x:v>0</x:v>
      </x:c>
      <x:c r="AI2275" t="n">
        <x:f>--AND(Q2275=1,AF2275=1,AE2275="HALLUCINATION")</x:f>
        <x:v>0</x:v>
      </x:c>
      <x:c r="AJ2275" t="n">
        <x:f>--AND(AI2275=1,R2275=1,S2275=1)</x:f>
        <x:v>0</x:v>
      </x:c>
    </x:row>
    <x:row r="2276">
      <x:c r="A2276" s="28"/>
      <x:c r="B2276" s="28"/>
      <x:c r="C2276" s="28"/>
      <x:c r="D2276" s="28"/>
      <x:c r="E2276" s="28"/>
      <x:c r="F2276" s="28"/>
      <x:c r="G2276" s="28"/>
      <x:c r="H2276" s="28"/>
      <x:c r="I2276" s="28"/>
      <x:c r="J2276" s="28"/>
      <x:c r="K2276" s="28"/>
      <x:c r="L2276" s="28"/>
      <x:c r="M2276" s="28"/>
      <x:c r="N2276" s="28"/>
      <x:c r="O2276" s="28"/>
      <x:c r="P2276" s="28"/>
      <x:c r="Q2276" s="28"/>
      <x:c r="R2276" s="28"/>
      <x:c r="S2276" s="28"/>
      <x:c r="T2276" s="28"/>
      <x:c r="U2276" s="28"/>
      <x:c r="V2276" s="28"/>
      <x:c r="W2276" s="43" t="n">
        <x:f>--AND(N2276=1,OR(O2276="SUPPORTED",O2276="HALLUCINATION"))</x:f>
        <x:v>0</x:v>
      </x:c>
      <x:c r="X2276" s="43" t="n">
        <x:f>--AND(W2276=1,O2276="HALLUCINATION")</x:f>
        <x:v>0</x:v>
      </x:c>
      <x:c r="Y2276" s="43" t="n">
        <x:f>--AND(Q2276=1,O2276="HALLUCINATION")</x:f>
        <x:v>0</x:v>
      </x:c>
      <x:c r="Z2276" s="43" t="n">
        <x:f>--AND(Y2276=1,R2276=1,S2276=1)</x:f>
        <x:v>0</x:v>
      </x:c>
      <x:c r="AC2276" t="str">
        <x:f>IF(OR(AA2276="",AB2276=""),"",--(AA2276&lt;&gt;AB2276))</x:f>
      </x:c>
      <x:c r="AE2276" t="str">
        <x:f>IF(OR(AA2276="",AB2276=""),"PENDING_HUMAN",IF(AA2276=AB2276,AA2276,IF(AD2276&lt;&gt;"",AD2276,"PENDING_HUMAN")))</x:f>
        <x:v>PENDING_HUMAN</x:v>
      </x:c>
      <x:c r="AF2276" t="n">
        <x:f>--AND(A2276&lt;&gt;"",AA2276&lt;&gt;"",AB2276&lt;&gt;"",OR(AA2276=AB2276,AD2276&lt;&gt;""),IF(AE2276="HALLUCINATION",U2276&lt;&gt;"",TRUE))</x:f>
        <x:v>0</x:v>
      </x:c>
      <x:c r="AG2276" t="n">
        <x:f>--AND(N2276=1,AF2276=1,OR(AE2276="SUPPORTED",AE2276="HALLUCINATION"))</x:f>
        <x:v>0</x:v>
      </x:c>
      <x:c r="AH2276" t="n">
        <x:f>--AND(AG2276=1,AE2276="HALLUCINATION")</x:f>
        <x:v>0</x:v>
      </x:c>
      <x:c r="AI2276" t="n">
        <x:f>--AND(Q2276=1,AF2276=1,AE2276="HALLUCINATION")</x:f>
        <x:v>0</x:v>
      </x:c>
      <x:c r="AJ2276" t="n">
        <x:f>--AND(AI2276=1,R2276=1,S2276=1)</x:f>
        <x:v>0</x:v>
      </x:c>
    </x:row>
    <x:row r="2277">
      <x:c r="A2277" s="28"/>
      <x:c r="B2277" s="28"/>
      <x:c r="C2277" s="28"/>
      <x:c r="D2277" s="28"/>
      <x:c r="E2277" s="28"/>
      <x:c r="F2277" s="28"/>
      <x:c r="G2277" s="28"/>
      <x:c r="H2277" s="28"/>
      <x:c r="I2277" s="28"/>
      <x:c r="J2277" s="28"/>
      <x:c r="K2277" s="28"/>
      <x:c r="L2277" s="28"/>
      <x:c r="M2277" s="28"/>
      <x:c r="N2277" s="28"/>
      <x:c r="O2277" s="28"/>
      <x:c r="P2277" s="28"/>
      <x:c r="Q2277" s="28"/>
      <x:c r="R2277" s="28"/>
      <x:c r="S2277" s="28"/>
      <x:c r="T2277" s="28"/>
      <x:c r="U2277" s="28"/>
      <x:c r="V2277" s="28"/>
      <x:c r="W2277" s="43" t="n">
        <x:f>--AND(N2277=1,OR(O2277="SUPPORTED",O2277="HALLUCINATION"))</x:f>
        <x:v>0</x:v>
      </x:c>
      <x:c r="X2277" s="43" t="n">
        <x:f>--AND(W2277=1,O2277="HALLUCINATION")</x:f>
        <x:v>0</x:v>
      </x:c>
      <x:c r="Y2277" s="43" t="n">
        <x:f>--AND(Q2277=1,O2277="HALLUCINATION")</x:f>
        <x:v>0</x:v>
      </x:c>
      <x:c r="Z2277" s="43" t="n">
        <x:f>--AND(Y2277=1,R2277=1,S2277=1)</x:f>
        <x:v>0</x:v>
      </x:c>
      <x:c r="AC2277" t="str">
        <x:f>IF(OR(AA2277="",AB2277=""),"",--(AA2277&lt;&gt;AB2277))</x:f>
      </x:c>
      <x:c r="AE2277" t="str">
        <x:f>IF(OR(AA2277="",AB2277=""),"PENDING_HUMAN",IF(AA2277=AB2277,AA2277,IF(AD2277&lt;&gt;"",AD2277,"PENDING_HUMAN")))</x:f>
        <x:v>PENDING_HUMAN</x:v>
      </x:c>
      <x:c r="AF2277" t="n">
        <x:f>--AND(A2277&lt;&gt;"",AA2277&lt;&gt;"",AB2277&lt;&gt;"",OR(AA2277=AB2277,AD2277&lt;&gt;""),IF(AE2277="HALLUCINATION",U2277&lt;&gt;"",TRUE))</x:f>
        <x:v>0</x:v>
      </x:c>
      <x:c r="AG2277" t="n">
        <x:f>--AND(N2277=1,AF2277=1,OR(AE2277="SUPPORTED",AE2277="HALLUCINATION"))</x:f>
        <x:v>0</x:v>
      </x:c>
      <x:c r="AH2277" t="n">
        <x:f>--AND(AG2277=1,AE2277="HALLUCINATION")</x:f>
        <x:v>0</x:v>
      </x:c>
      <x:c r="AI2277" t="n">
        <x:f>--AND(Q2277=1,AF2277=1,AE2277="HALLUCINATION")</x:f>
        <x:v>0</x:v>
      </x:c>
      <x:c r="AJ2277" t="n">
        <x:f>--AND(AI2277=1,R2277=1,S2277=1)</x:f>
        <x:v>0</x:v>
      </x:c>
    </x:row>
    <x:row r="2278">
      <x:c r="A2278" s="28"/>
      <x:c r="B2278" s="28"/>
      <x:c r="C2278" s="28"/>
      <x:c r="D2278" s="28"/>
      <x:c r="E2278" s="28"/>
      <x:c r="F2278" s="28"/>
      <x:c r="G2278" s="28"/>
      <x:c r="H2278" s="28"/>
      <x:c r="I2278" s="28"/>
      <x:c r="J2278" s="28"/>
      <x:c r="K2278" s="28"/>
      <x:c r="L2278" s="28"/>
      <x:c r="M2278" s="28"/>
      <x:c r="N2278" s="28"/>
      <x:c r="O2278" s="28"/>
      <x:c r="P2278" s="28"/>
      <x:c r="Q2278" s="28"/>
      <x:c r="R2278" s="28"/>
      <x:c r="S2278" s="28"/>
      <x:c r="T2278" s="28"/>
      <x:c r="U2278" s="28"/>
      <x:c r="V2278" s="28"/>
      <x:c r="W2278" s="43" t="n">
        <x:f>--AND(N2278=1,OR(O2278="SUPPORTED",O2278="HALLUCINATION"))</x:f>
        <x:v>0</x:v>
      </x:c>
      <x:c r="X2278" s="43" t="n">
        <x:f>--AND(W2278=1,O2278="HALLUCINATION")</x:f>
        <x:v>0</x:v>
      </x:c>
      <x:c r="Y2278" s="43" t="n">
        <x:f>--AND(Q2278=1,O2278="HALLUCINATION")</x:f>
        <x:v>0</x:v>
      </x:c>
      <x:c r="Z2278" s="43" t="n">
        <x:f>--AND(Y2278=1,R2278=1,S2278=1)</x:f>
        <x:v>0</x:v>
      </x:c>
      <x:c r="AC2278" t="str">
        <x:f>IF(OR(AA2278="",AB2278=""),"",--(AA2278&lt;&gt;AB2278))</x:f>
      </x:c>
      <x:c r="AE2278" t="str">
        <x:f>IF(OR(AA2278="",AB2278=""),"PENDING_HUMAN",IF(AA2278=AB2278,AA2278,IF(AD2278&lt;&gt;"",AD2278,"PENDING_HUMAN")))</x:f>
        <x:v>PENDING_HUMAN</x:v>
      </x:c>
      <x:c r="AF2278" t="n">
        <x:f>--AND(A2278&lt;&gt;"",AA2278&lt;&gt;"",AB2278&lt;&gt;"",OR(AA2278=AB2278,AD2278&lt;&gt;""),IF(AE2278="HALLUCINATION",U2278&lt;&gt;"",TRUE))</x:f>
        <x:v>0</x:v>
      </x:c>
      <x:c r="AG2278" t="n">
        <x:f>--AND(N2278=1,AF2278=1,OR(AE2278="SUPPORTED",AE2278="HALLUCINATION"))</x:f>
        <x:v>0</x:v>
      </x:c>
      <x:c r="AH2278" t="n">
        <x:f>--AND(AG2278=1,AE2278="HALLUCINATION")</x:f>
        <x:v>0</x:v>
      </x:c>
      <x:c r="AI2278" t="n">
        <x:f>--AND(Q2278=1,AF2278=1,AE2278="HALLUCINATION")</x:f>
        <x:v>0</x:v>
      </x:c>
      <x:c r="AJ2278" t="n">
        <x:f>--AND(AI2278=1,R2278=1,S2278=1)</x:f>
        <x:v>0</x:v>
      </x:c>
    </x:row>
    <x:row r="2279">
      <x:c r="A2279" s="28"/>
      <x:c r="B2279" s="28"/>
      <x:c r="C2279" s="28"/>
      <x:c r="D2279" s="28"/>
      <x:c r="E2279" s="28"/>
      <x:c r="F2279" s="28"/>
      <x:c r="G2279" s="28"/>
      <x:c r="H2279" s="28"/>
      <x:c r="I2279" s="28"/>
      <x:c r="J2279" s="28"/>
      <x:c r="K2279" s="28"/>
      <x:c r="L2279" s="28"/>
      <x:c r="M2279" s="28"/>
      <x:c r="N2279" s="28"/>
      <x:c r="O2279" s="28"/>
      <x:c r="P2279" s="28"/>
      <x:c r="Q2279" s="28"/>
      <x:c r="R2279" s="28"/>
      <x:c r="S2279" s="28"/>
      <x:c r="T2279" s="28"/>
      <x:c r="U2279" s="28"/>
      <x:c r="V2279" s="28"/>
      <x:c r="W2279" s="43" t="n">
        <x:f>--AND(N2279=1,OR(O2279="SUPPORTED",O2279="HALLUCINATION"))</x:f>
        <x:v>0</x:v>
      </x:c>
      <x:c r="X2279" s="43" t="n">
        <x:f>--AND(W2279=1,O2279="HALLUCINATION")</x:f>
        <x:v>0</x:v>
      </x:c>
      <x:c r="Y2279" s="43" t="n">
        <x:f>--AND(Q2279=1,O2279="HALLUCINATION")</x:f>
        <x:v>0</x:v>
      </x:c>
      <x:c r="Z2279" s="43" t="n">
        <x:f>--AND(Y2279=1,R2279=1,S2279=1)</x:f>
        <x:v>0</x:v>
      </x:c>
      <x:c r="AC2279" t="str">
        <x:f>IF(OR(AA2279="",AB2279=""),"",--(AA2279&lt;&gt;AB2279))</x:f>
      </x:c>
      <x:c r="AE2279" t="str">
        <x:f>IF(OR(AA2279="",AB2279=""),"PENDING_HUMAN",IF(AA2279=AB2279,AA2279,IF(AD2279&lt;&gt;"",AD2279,"PENDING_HUMAN")))</x:f>
        <x:v>PENDING_HUMAN</x:v>
      </x:c>
      <x:c r="AF2279" t="n">
        <x:f>--AND(A2279&lt;&gt;"",AA2279&lt;&gt;"",AB2279&lt;&gt;"",OR(AA2279=AB2279,AD2279&lt;&gt;""),IF(AE2279="HALLUCINATION",U2279&lt;&gt;"",TRUE))</x:f>
        <x:v>0</x:v>
      </x:c>
      <x:c r="AG2279" t="n">
        <x:f>--AND(N2279=1,AF2279=1,OR(AE2279="SUPPORTED",AE2279="HALLUCINATION"))</x:f>
        <x:v>0</x:v>
      </x:c>
      <x:c r="AH2279" t="n">
        <x:f>--AND(AG2279=1,AE2279="HALLUCINATION")</x:f>
        <x:v>0</x:v>
      </x:c>
      <x:c r="AI2279" t="n">
        <x:f>--AND(Q2279=1,AF2279=1,AE2279="HALLUCINATION")</x:f>
        <x:v>0</x:v>
      </x:c>
      <x:c r="AJ2279" t="n">
        <x:f>--AND(AI2279=1,R2279=1,S2279=1)</x:f>
        <x:v>0</x:v>
      </x:c>
    </x:row>
    <x:row r="2280">
      <x:c r="A2280" s="28"/>
      <x:c r="B2280" s="28"/>
      <x:c r="C2280" s="28"/>
      <x:c r="D2280" s="28"/>
      <x:c r="E2280" s="28"/>
      <x:c r="F2280" s="28"/>
      <x:c r="G2280" s="28"/>
      <x:c r="H2280" s="28"/>
      <x:c r="I2280" s="28"/>
      <x:c r="J2280" s="28"/>
      <x:c r="K2280" s="28"/>
      <x:c r="L2280" s="28"/>
      <x:c r="M2280" s="28"/>
      <x:c r="N2280" s="28"/>
      <x:c r="O2280" s="28"/>
      <x:c r="P2280" s="28"/>
      <x:c r="Q2280" s="28"/>
      <x:c r="R2280" s="28"/>
      <x:c r="S2280" s="28"/>
      <x:c r="T2280" s="28"/>
      <x:c r="U2280" s="28"/>
      <x:c r="V2280" s="28"/>
      <x:c r="W2280" s="43" t="n">
        <x:f>--AND(N2280=1,OR(O2280="SUPPORTED",O2280="HALLUCINATION"))</x:f>
        <x:v>0</x:v>
      </x:c>
      <x:c r="X2280" s="43" t="n">
        <x:f>--AND(W2280=1,O2280="HALLUCINATION")</x:f>
        <x:v>0</x:v>
      </x:c>
      <x:c r="Y2280" s="43" t="n">
        <x:f>--AND(Q2280=1,O2280="HALLUCINATION")</x:f>
        <x:v>0</x:v>
      </x:c>
      <x:c r="Z2280" s="43" t="n">
        <x:f>--AND(Y2280=1,R2280=1,S2280=1)</x:f>
        <x:v>0</x:v>
      </x:c>
      <x:c r="AC2280" t="str">
        <x:f>IF(OR(AA2280="",AB2280=""),"",--(AA2280&lt;&gt;AB2280))</x:f>
      </x:c>
      <x:c r="AE2280" t="str">
        <x:f>IF(OR(AA2280="",AB2280=""),"PENDING_HUMAN",IF(AA2280=AB2280,AA2280,IF(AD2280&lt;&gt;"",AD2280,"PENDING_HUMAN")))</x:f>
        <x:v>PENDING_HUMAN</x:v>
      </x:c>
      <x:c r="AF2280" t="n">
        <x:f>--AND(A2280&lt;&gt;"",AA2280&lt;&gt;"",AB2280&lt;&gt;"",OR(AA2280=AB2280,AD2280&lt;&gt;""),IF(AE2280="HALLUCINATION",U2280&lt;&gt;"",TRUE))</x:f>
        <x:v>0</x:v>
      </x:c>
      <x:c r="AG2280" t="n">
        <x:f>--AND(N2280=1,AF2280=1,OR(AE2280="SUPPORTED",AE2280="HALLUCINATION"))</x:f>
        <x:v>0</x:v>
      </x:c>
      <x:c r="AH2280" t="n">
        <x:f>--AND(AG2280=1,AE2280="HALLUCINATION")</x:f>
        <x:v>0</x:v>
      </x:c>
      <x:c r="AI2280" t="n">
        <x:f>--AND(Q2280=1,AF2280=1,AE2280="HALLUCINATION")</x:f>
        <x:v>0</x:v>
      </x:c>
      <x:c r="AJ2280" t="n">
        <x:f>--AND(AI2280=1,R2280=1,S2280=1)</x:f>
        <x:v>0</x:v>
      </x:c>
    </x:row>
    <x:row r="2281">
      <x:c r="A2281" s="28"/>
      <x:c r="B2281" s="28"/>
      <x:c r="C2281" s="28"/>
      <x:c r="D2281" s="28"/>
      <x:c r="E2281" s="28"/>
      <x:c r="F2281" s="28"/>
      <x:c r="G2281" s="28"/>
      <x:c r="H2281" s="28"/>
      <x:c r="I2281" s="28"/>
      <x:c r="J2281" s="28"/>
      <x:c r="K2281" s="28"/>
      <x:c r="L2281" s="28"/>
      <x:c r="M2281" s="28"/>
      <x:c r="N2281" s="28"/>
      <x:c r="O2281" s="28"/>
      <x:c r="P2281" s="28"/>
      <x:c r="Q2281" s="28"/>
      <x:c r="R2281" s="28"/>
      <x:c r="S2281" s="28"/>
      <x:c r="T2281" s="28"/>
      <x:c r="U2281" s="28"/>
      <x:c r="V2281" s="28"/>
      <x:c r="W2281" s="43" t="n">
        <x:f>--AND(N2281=1,OR(O2281="SUPPORTED",O2281="HALLUCINATION"))</x:f>
        <x:v>0</x:v>
      </x:c>
      <x:c r="X2281" s="43" t="n">
        <x:f>--AND(W2281=1,O2281="HALLUCINATION")</x:f>
        <x:v>0</x:v>
      </x:c>
      <x:c r="Y2281" s="43" t="n">
        <x:f>--AND(Q2281=1,O2281="HALLUCINATION")</x:f>
        <x:v>0</x:v>
      </x:c>
      <x:c r="Z2281" s="43" t="n">
        <x:f>--AND(Y2281=1,R2281=1,S2281=1)</x:f>
        <x:v>0</x:v>
      </x:c>
      <x:c r="AC2281" t="str">
        <x:f>IF(OR(AA2281="",AB2281=""),"",--(AA2281&lt;&gt;AB2281))</x:f>
      </x:c>
      <x:c r="AE2281" t="str">
        <x:f>IF(OR(AA2281="",AB2281=""),"PENDING_HUMAN",IF(AA2281=AB2281,AA2281,IF(AD2281&lt;&gt;"",AD2281,"PENDING_HUMAN")))</x:f>
        <x:v>PENDING_HUMAN</x:v>
      </x:c>
      <x:c r="AF2281" t="n">
        <x:f>--AND(A2281&lt;&gt;"",AA2281&lt;&gt;"",AB2281&lt;&gt;"",OR(AA2281=AB2281,AD2281&lt;&gt;""),IF(AE2281="HALLUCINATION",U2281&lt;&gt;"",TRUE))</x:f>
        <x:v>0</x:v>
      </x:c>
      <x:c r="AG2281" t="n">
        <x:f>--AND(N2281=1,AF2281=1,OR(AE2281="SUPPORTED",AE2281="HALLUCINATION"))</x:f>
        <x:v>0</x:v>
      </x:c>
      <x:c r="AH2281" t="n">
        <x:f>--AND(AG2281=1,AE2281="HALLUCINATION")</x:f>
        <x:v>0</x:v>
      </x:c>
      <x:c r="AI2281" t="n">
        <x:f>--AND(Q2281=1,AF2281=1,AE2281="HALLUCINATION")</x:f>
        <x:v>0</x:v>
      </x:c>
      <x:c r="AJ2281" t="n">
        <x:f>--AND(AI2281=1,R2281=1,S2281=1)</x:f>
        <x:v>0</x:v>
      </x:c>
    </x:row>
    <x:row r="2282">
      <x:c r="A2282" s="28"/>
      <x:c r="B2282" s="28"/>
      <x:c r="C2282" s="28"/>
      <x:c r="D2282" s="28"/>
      <x:c r="E2282" s="28"/>
      <x:c r="F2282" s="28"/>
      <x:c r="G2282" s="28"/>
      <x:c r="H2282" s="28"/>
      <x:c r="I2282" s="28"/>
      <x:c r="J2282" s="28"/>
      <x:c r="K2282" s="28"/>
      <x:c r="L2282" s="28"/>
      <x:c r="M2282" s="28"/>
      <x:c r="N2282" s="28"/>
      <x:c r="O2282" s="28"/>
      <x:c r="P2282" s="28"/>
      <x:c r="Q2282" s="28"/>
      <x:c r="R2282" s="28"/>
      <x:c r="S2282" s="28"/>
      <x:c r="T2282" s="28"/>
      <x:c r="U2282" s="28"/>
      <x:c r="V2282" s="28"/>
      <x:c r="W2282" s="43" t="n">
        <x:f>--AND(N2282=1,OR(O2282="SUPPORTED",O2282="HALLUCINATION"))</x:f>
        <x:v>0</x:v>
      </x:c>
      <x:c r="X2282" s="43" t="n">
        <x:f>--AND(W2282=1,O2282="HALLUCINATION")</x:f>
        <x:v>0</x:v>
      </x:c>
      <x:c r="Y2282" s="43" t="n">
        <x:f>--AND(Q2282=1,O2282="HALLUCINATION")</x:f>
        <x:v>0</x:v>
      </x:c>
      <x:c r="Z2282" s="43" t="n">
        <x:f>--AND(Y2282=1,R2282=1,S2282=1)</x:f>
        <x:v>0</x:v>
      </x:c>
      <x:c r="AC2282" t="str">
        <x:f>IF(OR(AA2282="",AB2282=""),"",--(AA2282&lt;&gt;AB2282))</x:f>
      </x:c>
      <x:c r="AE2282" t="str">
        <x:f>IF(OR(AA2282="",AB2282=""),"PENDING_HUMAN",IF(AA2282=AB2282,AA2282,IF(AD2282&lt;&gt;"",AD2282,"PENDING_HUMAN")))</x:f>
        <x:v>PENDING_HUMAN</x:v>
      </x:c>
      <x:c r="AF2282" t="n">
        <x:f>--AND(A2282&lt;&gt;"",AA2282&lt;&gt;"",AB2282&lt;&gt;"",OR(AA2282=AB2282,AD2282&lt;&gt;""),IF(AE2282="HALLUCINATION",U2282&lt;&gt;"",TRUE))</x:f>
        <x:v>0</x:v>
      </x:c>
      <x:c r="AG2282" t="n">
        <x:f>--AND(N2282=1,AF2282=1,OR(AE2282="SUPPORTED",AE2282="HALLUCINATION"))</x:f>
        <x:v>0</x:v>
      </x:c>
      <x:c r="AH2282" t="n">
        <x:f>--AND(AG2282=1,AE2282="HALLUCINATION")</x:f>
        <x:v>0</x:v>
      </x:c>
      <x:c r="AI2282" t="n">
        <x:f>--AND(Q2282=1,AF2282=1,AE2282="HALLUCINATION")</x:f>
        <x:v>0</x:v>
      </x:c>
      <x:c r="AJ2282" t="n">
        <x:f>--AND(AI2282=1,R2282=1,S2282=1)</x:f>
        <x:v>0</x:v>
      </x:c>
    </x:row>
    <x:row r="2283">
      <x:c r="A2283" s="28"/>
      <x:c r="B2283" s="28"/>
      <x:c r="C2283" s="28"/>
      <x:c r="D2283" s="28"/>
      <x:c r="E2283" s="28"/>
      <x:c r="F2283" s="28"/>
      <x:c r="G2283" s="28"/>
      <x:c r="H2283" s="28"/>
      <x:c r="I2283" s="28"/>
      <x:c r="J2283" s="28"/>
      <x:c r="K2283" s="28"/>
      <x:c r="L2283" s="28"/>
      <x:c r="M2283" s="28"/>
      <x:c r="N2283" s="28"/>
      <x:c r="O2283" s="28"/>
      <x:c r="P2283" s="28"/>
      <x:c r="Q2283" s="28"/>
      <x:c r="R2283" s="28"/>
      <x:c r="S2283" s="28"/>
      <x:c r="T2283" s="28"/>
      <x:c r="U2283" s="28"/>
      <x:c r="V2283" s="28"/>
      <x:c r="W2283" s="43" t="n">
        <x:f>--AND(N2283=1,OR(O2283="SUPPORTED",O2283="HALLUCINATION"))</x:f>
        <x:v>0</x:v>
      </x:c>
      <x:c r="X2283" s="43" t="n">
        <x:f>--AND(W2283=1,O2283="HALLUCINATION")</x:f>
        <x:v>0</x:v>
      </x:c>
      <x:c r="Y2283" s="43" t="n">
        <x:f>--AND(Q2283=1,O2283="HALLUCINATION")</x:f>
        <x:v>0</x:v>
      </x:c>
      <x:c r="Z2283" s="43" t="n">
        <x:f>--AND(Y2283=1,R2283=1,S2283=1)</x:f>
        <x:v>0</x:v>
      </x:c>
      <x:c r="AC2283" t="str">
        <x:f>IF(OR(AA2283="",AB2283=""),"",--(AA2283&lt;&gt;AB2283))</x:f>
      </x:c>
      <x:c r="AE2283" t="str">
        <x:f>IF(OR(AA2283="",AB2283=""),"PENDING_HUMAN",IF(AA2283=AB2283,AA2283,IF(AD2283&lt;&gt;"",AD2283,"PENDING_HUMAN")))</x:f>
        <x:v>PENDING_HUMAN</x:v>
      </x:c>
      <x:c r="AF2283" t="n">
        <x:f>--AND(A2283&lt;&gt;"",AA2283&lt;&gt;"",AB2283&lt;&gt;"",OR(AA2283=AB2283,AD2283&lt;&gt;""),IF(AE2283="HALLUCINATION",U2283&lt;&gt;"",TRUE))</x:f>
        <x:v>0</x:v>
      </x:c>
      <x:c r="AG2283" t="n">
        <x:f>--AND(N2283=1,AF2283=1,OR(AE2283="SUPPORTED",AE2283="HALLUCINATION"))</x:f>
        <x:v>0</x:v>
      </x:c>
      <x:c r="AH2283" t="n">
        <x:f>--AND(AG2283=1,AE2283="HALLUCINATION")</x:f>
        <x:v>0</x:v>
      </x:c>
      <x:c r="AI2283" t="n">
        <x:f>--AND(Q2283=1,AF2283=1,AE2283="HALLUCINATION")</x:f>
        <x:v>0</x:v>
      </x:c>
      <x:c r="AJ2283" t="n">
        <x:f>--AND(AI2283=1,R2283=1,S2283=1)</x:f>
        <x:v>0</x:v>
      </x:c>
    </x:row>
    <x:row r="2284">
      <x:c r="A2284" s="28"/>
      <x:c r="B2284" s="28"/>
      <x:c r="C2284" s="28"/>
      <x:c r="D2284" s="28"/>
      <x:c r="E2284" s="28"/>
      <x:c r="F2284" s="28"/>
      <x:c r="G2284" s="28"/>
      <x:c r="H2284" s="28"/>
      <x:c r="I2284" s="28"/>
      <x:c r="J2284" s="28"/>
      <x:c r="K2284" s="28"/>
      <x:c r="L2284" s="28"/>
      <x:c r="M2284" s="28"/>
      <x:c r="N2284" s="28"/>
      <x:c r="O2284" s="28"/>
      <x:c r="P2284" s="28"/>
      <x:c r="Q2284" s="28"/>
      <x:c r="R2284" s="28"/>
      <x:c r="S2284" s="28"/>
      <x:c r="T2284" s="28"/>
      <x:c r="U2284" s="28"/>
      <x:c r="V2284" s="28"/>
      <x:c r="W2284" s="43" t="n">
        <x:f>--AND(N2284=1,OR(O2284="SUPPORTED",O2284="HALLUCINATION"))</x:f>
        <x:v>0</x:v>
      </x:c>
      <x:c r="X2284" s="43" t="n">
        <x:f>--AND(W2284=1,O2284="HALLUCINATION")</x:f>
        <x:v>0</x:v>
      </x:c>
      <x:c r="Y2284" s="43" t="n">
        <x:f>--AND(Q2284=1,O2284="HALLUCINATION")</x:f>
        <x:v>0</x:v>
      </x:c>
      <x:c r="Z2284" s="43" t="n">
        <x:f>--AND(Y2284=1,R2284=1,S2284=1)</x:f>
        <x:v>0</x:v>
      </x:c>
      <x:c r="AC2284" t="str">
        <x:f>IF(OR(AA2284="",AB2284=""),"",--(AA2284&lt;&gt;AB2284))</x:f>
      </x:c>
      <x:c r="AE2284" t="str">
        <x:f>IF(OR(AA2284="",AB2284=""),"PENDING_HUMAN",IF(AA2284=AB2284,AA2284,IF(AD2284&lt;&gt;"",AD2284,"PENDING_HUMAN")))</x:f>
        <x:v>PENDING_HUMAN</x:v>
      </x:c>
      <x:c r="AF2284" t="n">
        <x:f>--AND(A2284&lt;&gt;"",AA2284&lt;&gt;"",AB2284&lt;&gt;"",OR(AA2284=AB2284,AD2284&lt;&gt;""),IF(AE2284="HALLUCINATION",U2284&lt;&gt;"",TRUE))</x:f>
        <x:v>0</x:v>
      </x:c>
      <x:c r="AG2284" t="n">
        <x:f>--AND(N2284=1,AF2284=1,OR(AE2284="SUPPORTED",AE2284="HALLUCINATION"))</x:f>
        <x:v>0</x:v>
      </x:c>
      <x:c r="AH2284" t="n">
        <x:f>--AND(AG2284=1,AE2284="HALLUCINATION")</x:f>
        <x:v>0</x:v>
      </x:c>
      <x:c r="AI2284" t="n">
        <x:f>--AND(Q2284=1,AF2284=1,AE2284="HALLUCINATION")</x:f>
        <x:v>0</x:v>
      </x:c>
      <x:c r="AJ2284" t="n">
        <x:f>--AND(AI2284=1,R2284=1,S2284=1)</x:f>
        <x:v>0</x:v>
      </x:c>
    </x:row>
    <x:row r="2285">
      <x:c r="A2285" s="28"/>
      <x:c r="B2285" s="28"/>
      <x:c r="C2285" s="28"/>
      <x:c r="D2285" s="28"/>
      <x:c r="E2285" s="28"/>
      <x:c r="F2285" s="28"/>
      <x:c r="G2285" s="28"/>
      <x:c r="H2285" s="28"/>
      <x:c r="I2285" s="28"/>
      <x:c r="J2285" s="28"/>
      <x:c r="K2285" s="28"/>
      <x:c r="L2285" s="28"/>
      <x:c r="M2285" s="28"/>
      <x:c r="N2285" s="28"/>
      <x:c r="O2285" s="28"/>
      <x:c r="P2285" s="28"/>
      <x:c r="Q2285" s="28"/>
      <x:c r="R2285" s="28"/>
      <x:c r="S2285" s="28"/>
      <x:c r="T2285" s="28"/>
      <x:c r="U2285" s="28"/>
      <x:c r="V2285" s="28"/>
      <x:c r="W2285" s="43" t="n">
        <x:f>--AND(N2285=1,OR(O2285="SUPPORTED",O2285="HALLUCINATION"))</x:f>
        <x:v>0</x:v>
      </x:c>
      <x:c r="X2285" s="43" t="n">
        <x:f>--AND(W2285=1,O2285="HALLUCINATION")</x:f>
        <x:v>0</x:v>
      </x:c>
      <x:c r="Y2285" s="43" t="n">
        <x:f>--AND(Q2285=1,O2285="HALLUCINATION")</x:f>
        <x:v>0</x:v>
      </x:c>
      <x:c r="Z2285" s="43" t="n">
        <x:f>--AND(Y2285=1,R2285=1,S2285=1)</x:f>
        <x:v>0</x:v>
      </x:c>
      <x:c r="AC2285" t="str">
        <x:f>IF(OR(AA2285="",AB2285=""),"",--(AA2285&lt;&gt;AB2285))</x:f>
      </x:c>
      <x:c r="AE2285" t="str">
        <x:f>IF(OR(AA2285="",AB2285=""),"PENDING_HUMAN",IF(AA2285=AB2285,AA2285,IF(AD2285&lt;&gt;"",AD2285,"PENDING_HUMAN")))</x:f>
        <x:v>PENDING_HUMAN</x:v>
      </x:c>
      <x:c r="AF2285" t="n">
        <x:f>--AND(A2285&lt;&gt;"",AA2285&lt;&gt;"",AB2285&lt;&gt;"",OR(AA2285=AB2285,AD2285&lt;&gt;""),IF(AE2285="HALLUCINATION",U2285&lt;&gt;"",TRUE))</x:f>
        <x:v>0</x:v>
      </x:c>
      <x:c r="AG2285" t="n">
        <x:f>--AND(N2285=1,AF2285=1,OR(AE2285="SUPPORTED",AE2285="HALLUCINATION"))</x:f>
        <x:v>0</x:v>
      </x:c>
      <x:c r="AH2285" t="n">
        <x:f>--AND(AG2285=1,AE2285="HALLUCINATION")</x:f>
        <x:v>0</x:v>
      </x:c>
      <x:c r="AI2285" t="n">
        <x:f>--AND(Q2285=1,AF2285=1,AE2285="HALLUCINATION")</x:f>
        <x:v>0</x:v>
      </x:c>
      <x:c r="AJ2285" t="n">
        <x:f>--AND(AI2285=1,R2285=1,S2285=1)</x:f>
        <x:v>0</x:v>
      </x:c>
    </x:row>
    <x:row r="2286">
      <x:c r="A2286" s="28"/>
      <x:c r="B2286" s="28"/>
      <x:c r="C2286" s="28"/>
      <x:c r="D2286" s="28"/>
      <x:c r="E2286" s="28"/>
      <x:c r="F2286" s="28"/>
      <x:c r="G2286" s="28"/>
      <x:c r="H2286" s="28"/>
      <x:c r="I2286" s="28"/>
      <x:c r="J2286" s="28"/>
      <x:c r="K2286" s="28"/>
      <x:c r="L2286" s="28"/>
      <x:c r="M2286" s="28"/>
      <x:c r="N2286" s="28"/>
      <x:c r="O2286" s="28"/>
      <x:c r="P2286" s="28"/>
      <x:c r="Q2286" s="28"/>
      <x:c r="R2286" s="28"/>
      <x:c r="S2286" s="28"/>
      <x:c r="T2286" s="28"/>
      <x:c r="U2286" s="28"/>
      <x:c r="V2286" s="28"/>
      <x:c r="W2286" s="43" t="n">
        <x:f>--AND(N2286=1,OR(O2286="SUPPORTED",O2286="HALLUCINATION"))</x:f>
        <x:v>0</x:v>
      </x:c>
      <x:c r="X2286" s="43" t="n">
        <x:f>--AND(W2286=1,O2286="HALLUCINATION")</x:f>
        <x:v>0</x:v>
      </x:c>
      <x:c r="Y2286" s="43" t="n">
        <x:f>--AND(Q2286=1,O2286="HALLUCINATION")</x:f>
        <x:v>0</x:v>
      </x:c>
      <x:c r="Z2286" s="43" t="n">
        <x:f>--AND(Y2286=1,R2286=1,S2286=1)</x:f>
        <x:v>0</x:v>
      </x:c>
      <x:c r="AC2286" t="str">
        <x:f>IF(OR(AA2286="",AB2286=""),"",--(AA2286&lt;&gt;AB2286))</x:f>
      </x:c>
      <x:c r="AE2286" t="str">
        <x:f>IF(OR(AA2286="",AB2286=""),"PENDING_HUMAN",IF(AA2286=AB2286,AA2286,IF(AD2286&lt;&gt;"",AD2286,"PENDING_HUMAN")))</x:f>
        <x:v>PENDING_HUMAN</x:v>
      </x:c>
      <x:c r="AF2286" t="n">
        <x:f>--AND(A2286&lt;&gt;"",AA2286&lt;&gt;"",AB2286&lt;&gt;"",OR(AA2286=AB2286,AD2286&lt;&gt;""),IF(AE2286="HALLUCINATION",U2286&lt;&gt;"",TRUE))</x:f>
        <x:v>0</x:v>
      </x:c>
      <x:c r="AG2286" t="n">
        <x:f>--AND(N2286=1,AF2286=1,OR(AE2286="SUPPORTED",AE2286="HALLUCINATION"))</x:f>
        <x:v>0</x:v>
      </x:c>
      <x:c r="AH2286" t="n">
        <x:f>--AND(AG2286=1,AE2286="HALLUCINATION")</x:f>
        <x:v>0</x:v>
      </x:c>
      <x:c r="AI2286" t="n">
        <x:f>--AND(Q2286=1,AF2286=1,AE2286="HALLUCINATION")</x:f>
        <x:v>0</x:v>
      </x:c>
      <x:c r="AJ2286" t="n">
        <x:f>--AND(AI2286=1,R2286=1,S2286=1)</x:f>
        <x:v>0</x:v>
      </x:c>
    </x:row>
    <x:row r="2287">
      <x:c r="A2287" s="28"/>
      <x:c r="B2287" s="28"/>
      <x:c r="C2287" s="28"/>
      <x:c r="D2287" s="28"/>
      <x:c r="E2287" s="28"/>
      <x:c r="F2287" s="28"/>
      <x:c r="G2287" s="28"/>
      <x:c r="H2287" s="28"/>
      <x:c r="I2287" s="28"/>
      <x:c r="J2287" s="28"/>
      <x:c r="K2287" s="28"/>
      <x:c r="L2287" s="28"/>
      <x:c r="M2287" s="28"/>
      <x:c r="N2287" s="28"/>
      <x:c r="O2287" s="28"/>
      <x:c r="P2287" s="28"/>
      <x:c r="Q2287" s="28"/>
      <x:c r="R2287" s="28"/>
      <x:c r="S2287" s="28"/>
      <x:c r="T2287" s="28"/>
      <x:c r="U2287" s="28"/>
      <x:c r="V2287" s="28"/>
      <x:c r="W2287" s="43" t="n">
        <x:f>--AND(N2287=1,OR(O2287="SUPPORTED",O2287="HALLUCINATION"))</x:f>
        <x:v>0</x:v>
      </x:c>
      <x:c r="X2287" s="43" t="n">
        <x:f>--AND(W2287=1,O2287="HALLUCINATION")</x:f>
        <x:v>0</x:v>
      </x:c>
      <x:c r="Y2287" s="43" t="n">
        <x:f>--AND(Q2287=1,O2287="HALLUCINATION")</x:f>
        <x:v>0</x:v>
      </x:c>
      <x:c r="Z2287" s="43" t="n">
        <x:f>--AND(Y2287=1,R2287=1,S2287=1)</x:f>
        <x:v>0</x:v>
      </x:c>
      <x:c r="AC2287" t="str">
        <x:f>IF(OR(AA2287="",AB2287=""),"",--(AA2287&lt;&gt;AB2287))</x:f>
      </x:c>
      <x:c r="AE2287" t="str">
        <x:f>IF(OR(AA2287="",AB2287=""),"PENDING_HUMAN",IF(AA2287=AB2287,AA2287,IF(AD2287&lt;&gt;"",AD2287,"PENDING_HUMAN")))</x:f>
        <x:v>PENDING_HUMAN</x:v>
      </x:c>
      <x:c r="AF2287" t="n">
        <x:f>--AND(A2287&lt;&gt;"",AA2287&lt;&gt;"",AB2287&lt;&gt;"",OR(AA2287=AB2287,AD2287&lt;&gt;""),IF(AE2287="HALLUCINATION",U2287&lt;&gt;"",TRUE))</x:f>
        <x:v>0</x:v>
      </x:c>
      <x:c r="AG2287" t="n">
        <x:f>--AND(N2287=1,AF2287=1,OR(AE2287="SUPPORTED",AE2287="HALLUCINATION"))</x:f>
        <x:v>0</x:v>
      </x:c>
      <x:c r="AH2287" t="n">
        <x:f>--AND(AG2287=1,AE2287="HALLUCINATION")</x:f>
        <x:v>0</x:v>
      </x:c>
      <x:c r="AI2287" t="n">
        <x:f>--AND(Q2287=1,AF2287=1,AE2287="HALLUCINATION")</x:f>
        <x:v>0</x:v>
      </x:c>
      <x:c r="AJ2287" t="n">
        <x:f>--AND(AI2287=1,R2287=1,S2287=1)</x:f>
        <x:v>0</x:v>
      </x:c>
    </x:row>
    <x:row r="2288">
      <x:c r="A2288" s="28"/>
      <x:c r="B2288" s="28"/>
      <x:c r="C2288" s="28"/>
      <x:c r="D2288" s="28"/>
      <x:c r="E2288" s="28"/>
      <x:c r="F2288" s="28"/>
      <x:c r="G2288" s="28"/>
      <x:c r="H2288" s="28"/>
      <x:c r="I2288" s="28"/>
      <x:c r="J2288" s="28"/>
      <x:c r="K2288" s="28"/>
      <x:c r="L2288" s="28"/>
      <x:c r="M2288" s="28"/>
      <x:c r="N2288" s="28"/>
      <x:c r="O2288" s="28"/>
      <x:c r="P2288" s="28"/>
      <x:c r="Q2288" s="28"/>
      <x:c r="R2288" s="28"/>
      <x:c r="S2288" s="28"/>
      <x:c r="T2288" s="28"/>
      <x:c r="U2288" s="28"/>
      <x:c r="V2288" s="28"/>
      <x:c r="W2288" s="43" t="n">
        <x:f>--AND(N2288=1,OR(O2288="SUPPORTED",O2288="HALLUCINATION"))</x:f>
        <x:v>0</x:v>
      </x:c>
      <x:c r="X2288" s="43" t="n">
        <x:f>--AND(W2288=1,O2288="HALLUCINATION")</x:f>
        <x:v>0</x:v>
      </x:c>
      <x:c r="Y2288" s="43" t="n">
        <x:f>--AND(Q2288=1,O2288="HALLUCINATION")</x:f>
        <x:v>0</x:v>
      </x:c>
      <x:c r="Z2288" s="43" t="n">
        <x:f>--AND(Y2288=1,R2288=1,S2288=1)</x:f>
        <x:v>0</x:v>
      </x:c>
      <x:c r="AC2288" t="str">
        <x:f>IF(OR(AA2288="",AB2288=""),"",--(AA2288&lt;&gt;AB2288))</x:f>
      </x:c>
      <x:c r="AE2288" t="str">
        <x:f>IF(OR(AA2288="",AB2288=""),"PENDING_HUMAN",IF(AA2288=AB2288,AA2288,IF(AD2288&lt;&gt;"",AD2288,"PENDING_HUMAN")))</x:f>
        <x:v>PENDING_HUMAN</x:v>
      </x:c>
      <x:c r="AF2288" t="n">
        <x:f>--AND(A2288&lt;&gt;"",AA2288&lt;&gt;"",AB2288&lt;&gt;"",OR(AA2288=AB2288,AD2288&lt;&gt;""),IF(AE2288="HALLUCINATION",U2288&lt;&gt;"",TRUE))</x:f>
        <x:v>0</x:v>
      </x:c>
      <x:c r="AG2288" t="n">
        <x:f>--AND(N2288=1,AF2288=1,OR(AE2288="SUPPORTED",AE2288="HALLUCINATION"))</x:f>
        <x:v>0</x:v>
      </x:c>
      <x:c r="AH2288" t="n">
        <x:f>--AND(AG2288=1,AE2288="HALLUCINATION")</x:f>
        <x:v>0</x:v>
      </x:c>
      <x:c r="AI2288" t="n">
        <x:f>--AND(Q2288=1,AF2288=1,AE2288="HALLUCINATION")</x:f>
        <x:v>0</x:v>
      </x:c>
      <x:c r="AJ2288" t="n">
        <x:f>--AND(AI2288=1,R2288=1,S2288=1)</x:f>
        <x:v>0</x:v>
      </x:c>
    </x:row>
    <x:row r="2289">
      <x:c r="A2289" s="28"/>
      <x:c r="B2289" s="28"/>
      <x:c r="C2289" s="28"/>
      <x:c r="D2289" s="28"/>
      <x:c r="E2289" s="28"/>
      <x:c r="F2289" s="28"/>
      <x:c r="G2289" s="28"/>
      <x:c r="H2289" s="28"/>
      <x:c r="I2289" s="28"/>
      <x:c r="J2289" s="28"/>
      <x:c r="K2289" s="28"/>
      <x:c r="L2289" s="28"/>
      <x:c r="M2289" s="28"/>
      <x:c r="N2289" s="28"/>
      <x:c r="O2289" s="28"/>
      <x:c r="P2289" s="28"/>
      <x:c r="Q2289" s="28"/>
      <x:c r="R2289" s="28"/>
      <x:c r="S2289" s="28"/>
      <x:c r="T2289" s="28"/>
      <x:c r="U2289" s="28"/>
      <x:c r="V2289" s="28"/>
      <x:c r="W2289" s="43" t="n">
        <x:f>--AND(N2289=1,OR(O2289="SUPPORTED",O2289="HALLUCINATION"))</x:f>
        <x:v>0</x:v>
      </x:c>
      <x:c r="X2289" s="43" t="n">
        <x:f>--AND(W2289=1,O2289="HALLUCINATION")</x:f>
        <x:v>0</x:v>
      </x:c>
      <x:c r="Y2289" s="43" t="n">
        <x:f>--AND(Q2289=1,O2289="HALLUCINATION")</x:f>
        <x:v>0</x:v>
      </x:c>
      <x:c r="Z2289" s="43" t="n">
        <x:f>--AND(Y2289=1,R2289=1,S2289=1)</x:f>
        <x:v>0</x:v>
      </x:c>
      <x:c r="AC2289" t="str">
        <x:f>IF(OR(AA2289="",AB2289=""),"",--(AA2289&lt;&gt;AB2289))</x:f>
      </x:c>
      <x:c r="AE2289" t="str">
        <x:f>IF(OR(AA2289="",AB2289=""),"PENDING_HUMAN",IF(AA2289=AB2289,AA2289,IF(AD2289&lt;&gt;"",AD2289,"PENDING_HUMAN")))</x:f>
        <x:v>PENDING_HUMAN</x:v>
      </x:c>
      <x:c r="AF2289" t="n">
        <x:f>--AND(A2289&lt;&gt;"",AA2289&lt;&gt;"",AB2289&lt;&gt;"",OR(AA2289=AB2289,AD2289&lt;&gt;""),IF(AE2289="HALLUCINATION",U2289&lt;&gt;"",TRUE))</x:f>
        <x:v>0</x:v>
      </x:c>
      <x:c r="AG2289" t="n">
        <x:f>--AND(N2289=1,AF2289=1,OR(AE2289="SUPPORTED",AE2289="HALLUCINATION"))</x:f>
        <x:v>0</x:v>
      </x:c>
      <x:c r="AH2289" t="n">
        <x:f>--AND(AG2289=1,AE2289="HALLUCINATION")</x:f>
        <x:v>0</x:v>
      </x:c>
      <x:c r="AI2289" t="n">
        <x:f>--AND(Q2289=1,AF2289=1,AE2289="HALLUCINATION")</x:f>
        <x:v>0</x:v>
      </x:c>
      <x:c r="AJ2289" t="n">
        <x:f>--AND(AI2289=1,R2289=1,S2289=1)</x:f>
        <x:v>0</x:v>
      </x:c>
    </x:row>
    <x:row r="2290">
      <x:c r="A2290" s="28"/>
      <x:c r="B2290" s="28"/>
      <x:c r="C2290" s="28"/>
      <x:c r="D2290" s="28"/>
      <x:c r="E2290" s="28"/>
      <x:c r="F2290" s="28"/>
      <x:c r="G2290" s="28"/>
      <x:c r="H2290" s="28"/>
      <x:c r="I2290" s="28"/>
      <x:c r="J2290" s="28"/>
      <x:c r="K2290" s="28"/>
      <x:c r="L2290" s="28"/>
      <x:c r="M2290" s="28"/>
      <x:c r="N2290" s="28"/>
      <x:c r="O2290" s="28"/>
      <x:c r="P2290" s="28"/>
      <x:c r="Q2290" s="28"/>
      <x:c r="R2290" s="28"/>
      <x:c r="S2290" s="28"/>
      <x:c r="T2290" s="28"/>
      <x:c r="U2290" s="28"/>
      <x:c r="V2290" s="28"/>
      <x:c r="W2290" s="43" t="n">
        <x:f>--AND(N2290=1,OR(O2290="SUPPORTED",O2290="HALLUCINATION"))</x:f>
        <x:v>0</x:v>
      </x:c>
      <x:c r="X2290" s="43" t="n">
        <x:f>--AND(W2290=1,O2290="HALLUCINATION")</x:f>
        <x:v>0</x:v>
      </x:c>
      <x:c r="Y2290" s="43" t="n">
        <x:f>--AND(Q2290=1,O2290="HALLUCINATION")</x:f>
        <x:v>0</x:v>
      </x:c>
      <x:c r="Z2290" s="43" t="n">
        <x:f>--AND(Y2290=1,R2290=1,S2290=1)</x:f>
        <x:v>0</x:v>
      </x:c>
      <x:c r="AC2290" t="str">
        <x:f>IF(OR(AA2290="",AB2290=""),"",--(AA2290&lt;&gt;AB2290))</x:f>
      </x:c>
      <x:c r="AE2290" t="str">
        <x:f>IF(OR(AA2290="",AB2290=""),"PENDING_HUMAN",IF(AA2290=AB2290,AA2290,IF(AD2290&lt;&gt;"",AD2290,"PENDING_HUMAN")))</x:f>
        <x:v>PENDING_HUMAN</x:v>
      </x:c>
      <x:c r="AF2290" t="n">
        <x:f>--AND(A2290&lt;&gt;"",AA2290&lt;&gt;"",AB2290&lt;&gt;"",OR(AA2290=AB2290,AD2290&lt;&gt;""),IF(AE2290="HALLUCINATION",U2290&lt;&gt;"",TRUE))</x:f>
        <x:v>0</x:v>
      </x:c>
      <x:c r="AG2290" t="n">
        <x:f>--AND(N2290=1,AF2290=1,OR(AE2290="SUPPORTED",AE2290="HALLUCINATION"))</x:f>
        <x:v>0</x:v>
      </x:c>
      <x:c r="AH2290" t="n">
        <x:f>--AND(AG2290=1,AE2290="HALLUCINATION")</x:f>
        <x:v>0</x:v>
      </x:c>
      <x:c r="AI2290" t="n">
        <x:f>--AND(Q2290=1,AF2290=1,AE2290="HALLUCINATION")</x:f>
        <x:v>0</x:v>
      </x:c>
      <x:c r="AJ2290" t="n">
        <x:f>--AND(AI2290=1,R2290=1,S2290=1)</x:f>
        <x:v>0</x:v>
      </x:c>
    </x:row>
    <x:row r="2291">
      <x:c r="A2291" s="28"/>
      <x:c r="B2291" s="28"/>
      <x:c r="C2291" s="28"/>
      <x:c r="D2291" s="28"/>
      <x:c r="E2291" s="28"/>
      <x:c r="F2291" s="28"/>
      <x:c r="G2291" s="28"/>
      <x:c r="H2291" s="28"/>
      <x:c r="I2291" s="28"/>
      <x:c r="J2291" s="28"/>
      <x:c r="K2291" s="28"/>
      <x:c r="L2291" s="28"/>
      <x:c r="M2291" s="28"/>
      <x:c r="N2291" s="28"/>
      <x:c r="O2291" s="28"/>
      <x:c r="P2291" s="28"/>
      <x:c r="Q2291" s="28"/>
      <x:c r="R2291" s="28"/>
      <x:c r="S2291" s="28"/>
      <x:c r="T2291" s="28"/>
      <x:c r="U2291" s="28"/>
      <x:c r="V2291" s="28"/>
      <x:c r="W2291" s="43" t="n">
        <x:f>--AND(N2291=1,OR(O2291="SUPPORTED",O2291="HALLUCINATION"))</x:f>
        <x:v>0</x:v>
      </x:c>
      <x:c r="X2291" s="43" t="n">
        <x:f>--AND(W2291=1,O2291="HALLUCINATION")</x:f>
        <x:v>0</x:v>
      </x:c>
      <x:c r="Y2291" s="43" t="n">
        <x:f>--AND(Q2291=1,O2291="HALLUCINATION")</x:f>
        <x:v>0</x:v>
      </x:c>
      <x:c r="Z2291" s="43" t="n">
        <x:f>--AND(Y2291=1,R2291=1,S2291=1)</x:f>
        <x:v>0</x:v>
      </x:c>
      <x:c r="AC2291" t="str">
        <x:f>IF(OR(AA2291="",AB2291=""),"",--(AA2291&lt;&gt;AB2291))</x:f>
      </x:c>
      <x:c r="AE2291" t="str">
        <x:f>IF(OR(AA2291="",AB2291=""),"PENDING_HUMAN",IF(AA2291=AB2291,AA2291,IF(AD2291&lt;&gt;"",AD2291,"PENDING_HUMAN")))</x:f>
        <x:v>PENDING_HUMAN</x:v>
      </x:c>
      <x:c r="AF2291" t="n">
        <x:f>--AND(A2291&lt;&gt;"",AA2291&lt;&gt;"",AB2291&lt;&gt;"",OR(AA2291=AB2291,AD2291&lt;&gt;""),IF(AE2291="HALLUCINATION",U2291&lt;&gt;"",TRUE))</x:f>
        <x:v>0</x:v>
      </x:c>
      <x:c r="AG2291" t="n">
        <x:f>--AND(N2291=1,AF2291=1,OR(AE2291="SUPPORTED",AE2291="HALLUCINATION"))</x:f>
        <x:v>0</x:v>
      </x:c>
      <x:c r="AH2291" t="n">
        <x:f>--AND(AG2291=1,AE2291="HALLUCINATION")</x:f>
        <x:v>0</x:v>
      </x:c>
      <x:c r="AI2291" t="n">
        <x:f>--AND(Q2291=1,AF2291=1,AE2291="HALLUCINATION")</x:f>
        <x:v>0</x:v>
      </x:c>
      <x:c r="AJ2291" t="n">
        <x:f>--AND(AI2291=1,R2291=1,S2291=1)</x:f>
        <x:v>0</x:v>
      </x:c>
    </x:row>
    <x:row r="2292">
      <x:c r="A2292" s="28"/>
      <x:c r="B2292" s="28"/>
      <x:c r="C2292" s="28"/>
      <x:c r="D2292" s="28"/>
      <x:c r="E2292" s="28"/>
      <x:c r="F2292" s="28"/>
      <x:c r="G2292" s="28"/>
      <x:c r="H2292" s="28"/>
      <x:c r="I2292" s="28"/>
      <x:c r="J2292" s="28"/>
      <x:c r="K2292" s="28"/>
      <x:c r="L2292" s="28"/>
      <x:c r="M2292" s="28"/>
      <x:c r="N2292" s="28"/>
      <x:c r="O2292" s="28"/>
      <x:c r="P2292" s="28"/>
      <x:c r="Q2292" s="28"/>
      <x:c r="R2292" s="28"/>
      <x:c r="S2292" s="28"/>
      <x:c r="T2292" s="28"/>
      <x:c r="U2292" s="28"/>
      <x:c r="V2292" s="28"/>
      <x:c r="W2292" s="43" t="n">
        <x:f>--AND(N2292=1,OR(O2292="SUPPORTED",O2292="HALLUCINATION"))</x:f>
        <x:v>0</x:v>
      </x:c>
      <x:c r="X2292" s="43" t="n">
        <x:f>--AND(W2292=1,O2292="HALLUCINATION")</x:f>
        <x:v>0</x:v>
      </x:c>
      <x:c r="Y2292" s="43" t="n">
        <x:f>--AND(Q2292=1,O2292="HALLUCINATION")</x:f>
        <x:v>0</x:v>
      </x:c>
      <x:c r="Z2292" s="43" t="n">
        <x:f>--AND(Y2292=1,R2292=1,S2292=1)</x:f>
        <x:v>0</x:v>
      </x:c>
      <x:c r="AC2292" t="str">
        <x:f>IF(OR(AA2292="",AB2292=""),"",--(AA2292&lt;&gt;AB2292))</x:f>
      </x:c>
      <x:c r="AE2292" t="str">
        <x:f>IF(OR(AA2292="",AB2292=""),"PENDING_HUMAN",IF(AA2292=AB2292,AA2292,IF(AD2292&lt;&gt;"",AD2292,"PENDING_HUMAN")))</x:f>
        <x:v>PENDING_HUMAN</x:v>
      </x:c>
      <x:c r="AF2292" t="n">
        <x:f>--AND(A2292&lt;&gt;"",AA2292&lt;&gt;"",AB2292&lt;&gt;"",OR(AA2292=AB2292,AD2292&lt;&gt;""),IF(AE2292="HALLUCINATION",U2292&lt;&gt;"",TRUE))</x:f>
        <x:v>0</x:v>
      </x:c>
      <x:c r="AG2292" t="n">
        <x:f>--AND(N2292=1,AF2292=1,OR(AE2292="SUPPORTED",AE2292="HALLUCINATION"))</x:f>
        <x:v>0</x:v>
      </x:c>
      <x:c r="AH2292" t="n">
        <x:f>--AND(AG2292=1,AE2292="HALLUCINATION")</x:f>
        <x:v>0</x:v>
      </x:c>
      <x:c r="AI2292" t="n">
        <x:f>--AND(Q2292=1,AF2292=1,AE2292="HALLUCINATION")</x:f>
        <x:v>0</x:v>
      </x:c>
      <x:c r="AJ2292" t="n">
        <x:f>--AND(AI2292=1,R2292=1,S2292=1)</x:f>
        <x:v>0</x:v>
      </x:c>
    </x:row>
    <x:row r="2293">
      <x:c r="A2293" s="28"/>
      <x:c r="B2293" s="28"/>
      <x:c r="C2293" s="28"/>
      <x:c r="D2293" s="28"/>
      <x:c r="E2293" s="28"/>
      <x:c r="F2293" s="28"/>
      <x:c r="G2293" s="28"/>
      <x:c r="H2293" s="28"/>
      <x:c r="I2293" s="28"/>
      <x:c r="J2293" s="28"/>
      <x:c r="K2293" s="28"/>
      <x:c r="L2293" s="28"/>
      <x:c r="M2293" s="28"/>
      <x:c r="N2293" s="28"/>
      <x:c r="O2293" s="28"/>
      <x:c r="P2293" s="28"/>
      <x:c r="Q2293" s="28"/>
      <x:c r="R2293" s="28"/>
      <x:c r="S2293" s="28"/>
      <x:c r="T2293" s="28"/>
      <x:c r="U2293" s="28"/>
      <x:c r="V2293" s="28"/>
      <x:c r="W2293" s="43" t="n">
        <x:f>--AND(N2293=1,OR(O2293="SUPPORTED",O2293="HALLUCINATION"))</x:f>
        <x:v>0</x:v>
      </x:c>
      <x:c r="X2293" s="43" t="n">
        <x:f>--AND(W2293=1,O2293="HALLUCINATION")</x:f>
        <x:v>0</x:v>
      </x:c>
      <x:c r="Y2293" s="43" t="n">
        <x:f>--AND(Q2293=1,O2293="HALLUCINATION")</x:f>
        <x:v>0</x:v>
      </x:c>
      <x:c r="Z2293" s="43" t="n">
        <x:f>--AND(Y2293=1,R2293=1,S2293=1)</x:f>
        <x:v>0</x:v>
      </x:c>
      <x:c r="AC2293" t="str">
        <x:f>IF(OR(AA2293="",AB2293=""),"",--(AA2293&lt;&gt;AB2293))</x:f>
      </x:c>
      <x:c r="AE2293" t="str">
        <x:f>IF(OR(AA2293="",AB2293=""),"PENDING_HUMAN",IF(AA2293=AB2293,AA2293,IF(AD2293&lt;&gt;"",AD2293,"PENDING_HUMAN")))</x:f>
        <x:v>PENDING_HUMAN</x:v>
      </x:c>
      <x:c r="AF2293" t="n">
        <x:f>--AND(A2293&lt;&gt;"",AA2293&lt;&gt;"",AB2293&lt;&gt;"",OR(AA2293=AB2293,AD2293&lt;&gt;""),IF(AE2293="HALLUCINATION",U2293&lt;&gt;"",TRUE))</x:f>
        <x:v>0</x:v>
      </x:c>
      <x:c r="AG2293" t="n">
        <x:f>--AND(N2293=1,AF2293=1,OR(AE2293="SUPPORTED",AE2293="HALLUCINATION"))</x:f>
        <x:v>0</x:v>
      </x:c>
      <x:c r="AH2293" t="n">
        <x:f>--AND(AG2293=1,AE2293="HALLUCINATION")</x:f>
        <x:v>0</x:v>
      </x:c>
      <x:c r="AI2293" t="n">
        <x:f>--AND(Q2293=1,AF2293=1,AE2293="HALLUCINATION")</x:f>
        <x:v>0</x:v>
      </x:c>
      <x:c r="AJ2293" t="n">
        <x:f>--AND(AI2293=1,R2293=1,S2293=1)</x:f>
        <x:v>0</x:v>
      </x:c>
    </x:row>
    <x:row r="2294">
      <x:c r="A2294" s="28"/>
      <x:c r="B2294" s="28"/>
      <x:c r="C2294" s="28"/>
      <x:c r="D2294" s="28"/>
      <x:c r="E2294" s="28"/>
      <x:c r="F2294" s="28"/>
      <x:c r="G2294" s="28"/>
      <x:c r="H2294" s="28"/>
      <x:c r="I2294" s="28"/>
      <x:c r="J2294" s="28"/>
      <x:c r="K2294" s="28"/>
      <x:c r="L2294" s="28"/>
      <x:c r="M2294" s="28"/>
      <x:c r="N2294" s="28"/>
      <x:c r="O2294" s="28"/>
      <x:c r="P2294" s="28"/>
      <x:c r="Q2294" s="28"/>
      <x:c r="R2294" s="28"/>
      <x:c r="S2294" s="28"/>
      <x:c r="T2294" s="28"/>
      <x:c r="U2294" s="28"/>
      <x:c r="V2294" s="28"/>
      <x:c r="W2294" s="43" t="n">
        <x:f>--AND(N2294=1,OR(O2294="SUPPORTED",O2294="HALLUCINATION"))</x:f>
        <x:v>0</x:v>
      </x:c>
      <x:c r="X2294" s="43" t="n">
        <x:f>--AND(W2294=1,O2294="HALLUCINATION")</x:f>
        <x:v>0</x:v>
      </x:c>
      <x:c r="Y2294" s="43" t="n">
        <x:f>--AND(Q2294=1,O2294="HALLUCINATION")</x:f>
        <x:v>0</x:v>
      </x:c>
      <x:c r="Z2294" s="43" t="n">
        <x:f>--AND(Y2294=1,R2294=1,S2294=1)</x:f>
        <x:v>0</x:v>
      </x:c>
      <x:c r="AC2294" t="str">
        <x:f>IF(OR(AA2294="",AB2294=""),"",--(AA2294&lt;&gt;AB2294))</x:f>
      </x:c>
      <x:c r="AE2294" t="str">
        <x:f>IF(OR(AA2294="",AB2294=""),"PENDING_HUMAN",IF(AA2294=AB2294,AA2294,IF(AD2294&lt;&gt;"",AD2294,"PENDING_HUMAN")))</x:f>
        <x:v>PENDING_HUMAN</x:v>
      </x:c>
      <x:c r="AF2294" t="n">
        <x:f>--AND(A2294&lt;&gt;"",AA2294&lt;&gt;"",AB2294&lt;&gt;"",OR(AA2294=AB2294,AD2294&lt;&gt;""),IF(AE2294="HALLUCINATION",U2294&lt;&gt;"",TRUE))</x:f>
        <x:v>0</x:v>
      </x:c>
      <x:c r="AG2294" t="n">
        <x:f>--AND(N2294=1,AF2294=1,OR(AE2294="SUPPORTED",AE2294="HALLUCINATION"))</x:f>
        <x:v>0</x:v>
      </x:c>
      <x:c r="AH2294" t="n">
        <x:f>--AND(AG2294=1,AE2294="HALLUCINATION")</x:f>
        <x:v>0</x:v>
      </x:c>
      <x:c r="AI2294" t="n">
        <x:f>--AND(Q2294=1,AF2294=1,AE2294="HALLUCINATION")</x:f>
        <x:v>0</x:v>
      </x:c>
      <x:c r="AJ2294" t="n">
        <x:f>--AND(AI2294=1,R2294=1,S2294=1)</x:f>
        <x:v>0</x:v>
      </x:c>
    </x:row>
    <x:row r="2295">
      <x:c r="A2295" s="28"/>
      <x:c r="B2295" s="28"/>
      <x:c r="C2295" s="28"/>
      <x:c r="D2295" s="28"/>
      <x:c r="E2295" s="28"/>
      <x:c r="F2295" s="28"/>
      <x:c r="G2295" s="28"/>
      <x:c r="H2295" s="28"/>
      <x:c r="I2295" s="28"/>
      <x:c r="J2295" s="28"/>
      <x:c r="K2295" s="28"/>
      <x:c r="L2295" s="28"/>
      <x:c r="M2295" s="28"/>
      <x:c r="N2295" s="28"/>
      <x:c r="O2295" s="28"/>
      <x:c r="P2295" s="28"/>
      <x:c r="Q2295" s="28"/>
      <x:c r="R2295" s="28"/>
      <x:c r="S2295" s="28"/>
      <x:c r="T2295" s="28"/>
      <x:c r="U2295" s="28"/>
      <x:c r="V2295" s="28"/>
      <x:c r="W2295" s="43" t="n">
        <x:f>--AND(N2295=1,OR(O2295="SUPPORTED",O2295="HALLUCINATION"))</x:f>
        <x:v>0</x:v>
      </x:c>
      <x:c r="X2295" s="43" t="n">
        <x:f>--AND(W2295=1,O2295="HALLUCINATION")</x:f>
        <x:v>0</x:v>
      </x:c>
      <x:c r="Y2295" s="43" t="n">
        <x:f>--AND(Q2295=1,O2295="HALLUCINATION")</x:f>
        <x:v>0</x:v>
      </x:c>
      <x:c r="Z2295" s="43" t="n">
        <x:f>--AND(Y2295=1,R2295=1,S2295=1)</x:f>
        <x:v>0</x:v>
      </x:c>
      <x:c r="AC2295" t="str">
        <x:f>IF(OR(AA2295="",AB2295=""),"",--(AA2295&lt;&gt;AB2295))</x:f>
      </x:c>
      <x:c r="AE2295" t="str">
        <x:f>IF(OR(AA2295="",AB2295=""),"PENDING_HUMAN",IF(AA2295=AB2295,AA2295,IF(AD2295&lt;&gt;"",AD2295,"PENDING_HUMAN")))</x:f>
        <x:v>PENDING_HUMAN</x:v>
      </x:c>
      <x:c r="AF2295" t="n">
        <x:f>--AND(A2295&lt;&gt;"",AA2295&lt;&gt;"",AB2295&lt;&gt;"",OR(AA2295=AB2295,AD2295&lt;&gt;""),IF(AE2295="HALLUCINATION",U2295&lt;&gt;"",TRUE))</x:f>
        <x:v>0</x:v>
      </x:c>
      <x:c r="AG2295" t="n">
        <x:f>--AND(N2295=1,AF2295=1,OR(AE2295="SUPPORTED",AE2295="HALLUCINATION"))</x:f>
        <x:v>0</x:v>
      </x:c>
      <x:c r="AH2295" t="n">
        <x:f>--AND(AG2295=1,AE2295="HALLUCINATION")</x:f>
        <x:v>0</x:v>
      </x:c>
      <x:c r="AI2295" t="n">
        <x:f>--AND(Q2295=1,AF2295=1,AE2295="HALLUCINATION")</x:f>
        <x:v>0</x:v>
      </x:c>
      <x:c r="AJ2295" t="n">
        <x:f>--AND(AI2295=1,R2295=1,S2295=1)</x:f>
        <x:v>0</x:v>
      </x:c>
    </x:row>
    <x:row r="2296">
      <x:c r="A2296" s="28"/>
      <x:c r="B2296" s="28"/>
      <x:c r="C2296" s="28"/>
      <x:c r="D2296" s="28"/>
      <x:c r="E2296" s="28"/>
      <x:c r="F2296" s="28"/>
      <x:c r="G2296" s="28"/>
      <x:c r="H2296" s="28"/>
      <x:c r="I2296" s="28"/>
      <x:c r="J2296" s="28"/>
      <x:c r="K2296" s="28"/>
      <x:c r="L2296" s="28"/>
      <x:c r="M2296" s="28"/>
      <x:c r="N2296" s="28"/>
      <x:c r="O2296" s="28"/>
      <x:c r="P2296" s="28"/>
      <x:c r="Q2296" s="28"/>
      <x:c r="R2296" s="28"/>
      <x:c r="S2296" s="28"/>
      <x:c r="T2296" s="28"/>
      <x:c r="U2296" s="28"/>
      <x:c r="V2296" s="28"/>
      <x:c r="W2296" s="43" t="n">
        <x:f>--AND(N2296=1,OR(O2296="SUPPORTED",O2296="HALLUCINATION"))</x:f>
        <x:v>0</x:v>
      </x:c>
      <x:c r="X2296" s="43" t="n">
        <x:f>--AND(W2296=1,O2296="HALLUCINATION")</x:f>
        <x:v>0</x:v>
      </x:c>
      <x:c r="Y2296" s="43" t="n">
        <x:f>--AND(Q2296=1,O2296="HALLUCINATION")</x:f>
        <x:v>0</x:v>
      </x:c>
      <x:c r="Z2296" s="43" t="n">
        <x:f>--AND(Y2296=1,R2296=1,S2296=1)</x:f>
        <x:v>0</x:v>
      </x:c>
      <x:c r="AC2296" t="str">
        <x:f>IF(OR(AA2296="",AB2296=""),"",--(AA2296&lt;&gt;AB2296))</x:f>
      </x:c>
      <x:c r="AE2296" t="str">
        <x:f>IF(OR(AA2296="",AB2296=""),"PENDING_HUMAN",IF(AA2296=AB2296,AA2296,IF(AD2296&lt;&gt;"",AD2296,"PENDING_HUMAN")))</x:f>
        <x:v>PENDING_HUMAN</x:v>
      </x:c>
      <x:c r="AF2296" t="n">
        <x:f>--AND(A2296&lt;&gt;"",AA2296&lt;&gt;"",AB2296&lt;&gt;"",OR(AA2296=AB2296,AD2296&lt;&gt;""),IF(AE2296="HALLUCINATION",U2296&lt;&gt;"",TRUE))</x:f>
        <x:v>0</x:v>
      </x:c>
      <x:c r="AG2296" t="n">
        <x:f>--AND(N2296=1,AF2296=1,OR(AE2296="SUPPORTED",AE2296="HALLUCINATION"))</x:f>
        <x:v>0</x:v>
      </x:c>
      <x:c r="AH2296" t="n">
        <x:f>--AND(AG2296=1,AE2296="HALLUCINATION")</x:f>
        <x:v>0</x:v>
      </x:c>
      <x:c r="AI2296" t="n">
        <x:f>--AND(Q2296=1,AF2296=1,AE2296="HALLUCINATION")</x:f>
        <x:v>0</x:v>
      </x:c>
      <x:c r="AJ2296" t="n">
        <x:f>--AND(AI2296=1,R2296=1,S2296=1)</x:f>
        <x:v>0</x:v>
      </x:c>
    </x:row>
    <x:row r="2297">
      <x:c r="A2297" s="28"/>
      <x:c r="B2297" s="28"/>
      <x:c r="C2297" s="28"/>
      <x:c r="D2297" s="28"/>
      <x:c r="E2297" s="28"/>
      <x:c r="F2297" s="28"/>
      <x:c r="G2297" s="28"/>
      <x:c r="H2297" s="28"/>
      <x:c r="I2297" s="28"/>
      <x:c r="J2297" s="28"/>
      <x:c r="K2297" s="28"/>
      <x:c r="L2297" s="28"/>
      <x:c r="M2297" s="28"/>
      <x:c r="N2297" s="28"/>
      <x:c r="O2297" s="28"/>
      <x:c r="P2297" s="28"/>
      <x:c r="Q2297" s="28"/>
      <x:c r="R2297" s="28"/>
      <x:c r="S2297" s="28"/>
      <x:c r="T2297" s="28"/>
      <x:c r="U2297" s="28"/>
      <x:c r="V2297" s="28"/>
      <x:c r="W2297" s="43" t="n">
        <x:f>--AND(N2297=1,OR(O2297="SUPPORTED",O2297="HALLUCINATION"))</x:f>
        <x:v>0</x:v>
      </x:c>
      <x:c r="X2297" s="43" t="n">
        <x:f>--AND(W2297=1,O2297="HALLUCINATION")</x:f>
        <x:v>0</x:v>
      </x:c>
      <x:c r="Y2297" s="43" t="n">
        <x:f>--AND(Q2297=1,O2297="HALLUCINATION")</x:f>
        <x:v>0</x:v>
      </x:c>
      <x:c r="Z2297" s="43" t="n">
        <x:f>--AND(Y2297=1,R2297=1,S2297=1)</x:f>
        <x:v>0</x:v>
      </x:c>
      <x:c r="AC2297" t="str">
        <x:f>IF(OR(AA2297="",AB2297=""),"",--(AA2297&lt;&gt;AB2297))</x:f>
      </x:c>
      <x:c r="AE2297" t="str">
        <x:f>IF(OR(AA2297="",AB2297=""),"PENDING_HUMAN",IF(AA2297=AB2297,AA2297,IF(AD2297&lt;&gt;"",AD2297,"PENDING_HUMAN")))</x:f>
        <x:v>PENDING_HUMAN</x:v>
      </x:c>
      <x:c r="AF2297" t="n">
        <x:f>--AND(A2297&lt;&gt;"",AA2297&lt;&gt;"",AB2297&lt;&gt;"",OR(AA2297=AB2297,AD2297&lt;&gt;""),IF(AE2297="HALLUCINATION",U2297&lt;&gt;"",TRUE))</x:f>
        <x:v>0</x:v>
      </x:c>
      <x:c r="AG2297" t="n">
        <x:f>--AND(N2297=1,AF2297=1,OR(AE2297="SUPPORTED",AE2297="HALLUCINATION"))</x:f>
        <x:v>0</x:v>
      </x:c>
      <x:c r="AH2297" t="n">
        <x:f>--AND(AG2297=1,AE2297="HALLUCINATION")</x:f>
        <x:v>0</x:v>
      </x:c>
      <x:c r="AI2297" t="n">
        <x:f>--AND(Q2297=1,AF2297=1,AE2297="HALLUCINATION")</x:f>
        <x:v>0</x:v>
      </x:c>
      <x:c r="AJ2297" t="n">
        <x:f>--AND(AI2297=1,R2297=1,S2297=1)</x:f>
        <x:v>0</x:v>
      </x:c>
    </x:row>
    <x:row r="2298">
      <x:c r="A2298" s="28"/>
      <x:c r="B2298" s="28"/>
      <x:c r="C2298" s="28"/>
      <x:c r="D2298" s="28"/>
      <x:c r="E2298" s="28"/>
      <x:c r="F2298" s="28"/>
      <x:c r="G2298" s="28"/>
      <x:c r="H2298" s="28"/>
      <x:c r="I2298" s="28"/>
      <x:c r="J2298" s="28"/>
      <x:c r="K2298" s="28"/>
      <x:c r="L2298" s="28"/>
      <x:c r="M2298" s="28"/>
      <x:c r="N2298" s="28"/>
      <x:c r="O2298" s="28"/>
      <x:c r="P2298" s="28"/>
      <x:c r="Q2298" s="28"/>
      <x:c r="R2298" s="28"/>
      <x:c r="S2298" s="28"/>
      <x:c r="T2298" s="28"/>
      <x:c r="U2298" s="28"/>
      <x:c r="V2298" s="28"/>
      <x:c r="W2298" s="43" t="n">
        <x:f>--AND(N2298=1,OR(O2298="SUPPORTED",O2298="HALLUCINATION"))</x:f>
        <x:v>0</x:v>
      </x:c>
      <x:c r="X2298" s="43" t="n">
        <x:f>--AND(W2298=1,O2298="HALLUCINATION")</x:f>
        <x:v>0</x:v>
      </x:c>
      <x:c r="Y2298" s="43" t="n">
        <x:f>--AND(Q2298=1,O2298="HALLUCINATION")</x:f>
        <x:v>0</x:v>
      </x:c>
      <x:c r="Z2298" s="43" t="n">
        <x:f>--AND(Y2298=1,R2298=1,S2298=1)</x:f>
        <x:v>0</x:v>
      </x:c>
      <x:c r="AC2298" t="str">
        <x:f>IF(OR(AA2298="",AB2298=""),"",--(AA2298&lt;&gt;AB2298))</x:f>
      </x:c>
      <x:c r="AE2298" t="str">
        <x:f>IF(OR(AA2298="",AB2298=""),"PENDING_HUMAN",IF(AA2298=AB2298,AA2298,IF(AD2298&lt;&gt;"",AD2298,"PENDING_HUMAN")))</x:f>
        <x:v>PENDING_HUMAN</x:v>
      </x:c>
      <x:c r="AF2298" t="n">
        <x:f>--AND(A2298&lt;&gt;"",AA2298&lt;&gt;"",AB2298&lt;&gt;"",OR(AA2298=AB2298,AD2298&lt;&gt;""),IF(AE2298="HALLUCINATION",U2298&lt;&gt;"",TRUE))</x:f>
        <x:v>0</x:v>
      </x:c>
      <x:c r="AG2298" t="n">
        <x:f>--AND(N2298=1,AF2298=1,OR(AE2298="SUPPORTED",AE2298="HALLUCINATION"))</x:f>
        <x:v>0</x:v>
      </x:c>
      <x:c r="AH2298" t="n">
        <x:f>--AND(AG2298=1,AE2298="HALLUCINATION")</x:f>
        <x:v>0</x:v>
      </x:c>
      <x:c r="AI2298" t="n">
        <x:f>--AND(Q2298=1,AF2298=1,AE2298="HALLUCINATION")</x:f>
        <x:v>0</x:v>
      </x:c>
      <x:c r="AJ2298" t="n">
        <x:f>--AND(AI2298=1,R2298=1,S2298=1)</x:f>
        <x:v>0</x:v>
      </x:c>
    </x:row>
    <x:row r="2299">
      <x:c r="A2299" s="28"/>
      <x:c r="B2299" s="28"/>
      <x:c r="C2299" s="28"/>
      <x:c r="D2299" s="28"/>
      <x:c r="E2299" s="28"/>
      <x:c r="F2299" s="28"/>
      <x:c r="G2299" s="28"/>
      <x:c r="H2299" s="28"/>
      <x:c r="I2299" s="28"/>
      <x:c r="J2299" s="28"/>
      <x:c r="K2299" s="28"/>
      <x:c r="L2299" s="28"/>
      <x:c r="M2299" s="28"/>
      <x:c r="N2299" s="28"/>
      <x:c r="O2299" s="28"/>
      <x:c r="P2299" s="28"/>
      <x:c r="Q2299" s="28"/>
      <x:c r="R2299" s="28"/>
      <x:c r="S2299" s="28"/>
      <x:c r="T2299" s="28"/>
      <x:c r="U2299" s="28"/>
      <x:c r="V2299" s="28"/>
      <x:c r="W2299" s="43" t="n">
        <x:f>--AND(N2299=1,OR(O2299="SUPPORTED",O2299="HALLUCINATION"))</x:f>
        <x:v>0</x:v>
      </x:c>
      <x:c r="X2299" s="43" t="n">
        <x:f>--AND(W2299=1,O2299="HALLUCINATION")</x:f>
        <x:v>0</x:v>
      </x:c>
      <x:c r="Y2299" s="43" t="n">
        <x:f>--AND(Q2299=1,O2299="HALLUCINATION")</x:f>
        <x:v>0</x:v>
      </x:c>
      <x:c r="Z2299" s="43" t="n">
        <x:f>--AND(Y2299=1,R2299=1,S2299=1)</x:f>
        <x:v>0</x:v>
      </x:c>
      <x:c r="AC2299" t="str">
        <x:f>IF(OR(AA2299="",AB2299=""),"",--(AA2299&lt;&gt;AB2299))</x:f>
      </x:c>
      <x:c r="AE2299" t="str">
        <x:f>IF(OR(AA2299="",AB2299=""),"PENDING_HUMAN",IF(AA2299=AB2299,AA2299,IF(AD2299&lt;&gt;"",AD2299,"PENDING_HUMAN")))</x:f>
        <x:v>PENDING_HUMAN</x:v>
      </x:c>
      <x:c r="AF2299" t="n">
        <x:f>--AND(A2299&lt;&gt;"",AA2299&lt;&gt;"",AB2299&lt;&gt;"",OR(AA2299=AB2299,AD2299&lt;&gt;""),IF(AE2299="HALLUCINATION",U2299&lt;&gt;"",TRUE))</x:f>
        <x:v>0</x:v>
      </x:c>
      <x:c r="AG2299" t="n">
        <x:f>--AND(N2299=1,AF2299=1,OR(AE2299="SUPPORTED",AE2299="HALLUCINATION"))</x:f>
        <x:v>0</x:v>
      </x:c>
      <x:c r="AH2299" t="n">
        <x:f>--AND(AG2299=1,AE2299="HALLUCINATION")</x:f>
        <x:v>0</x:v>
      </x:c>
      <x:c r="AI2299" t="n">
        <x:f>--AND(Q2299=1,AF2299=1,AE2299="HALLUCINATION")</x:f>
        <x:v>0</x:v>
      </x:c>
      <x:c r="AJ2299" t="n">
        <x:f>--AND(AI2299=1,R2299=1,S2299=1)</x:f>
        <x:v>0</x:v>
      </x:c>
    </x:row>
    <x:row r="2300">
      <x:c r="A2300" s="28"/>
      <x:c r="B2300" s="28"/>
      <x:c r="C2300" s="28"/>
      <x:c r="D2300" s="28"/>
      <x:c r="E2300" s="28"/>
      <x:c r="F2300" s="28"/>
      <x:c r="G2300" s="28"/>
      <x:c r="H2300" s="28"/>
      <x:c r="I2300" s="28"/>
      <x:c r="J2300" s="28"/>
      <x:c r="K2300" s="28"/>
      <x:c r="L2300" s="28"/>
      <x:c r="M2300" s="28"/>
      <x:c r="N2300" s="28"/>
      <x:c r="O2300" s="28"/>
      <x:c r="P2300" s="28"/>
      <x:c r="Q2300" s="28"/>
      <x:c r="R2300" s="28"/>
      <x:c r="S2300" s="28"/>
      <x:c r="T2300" s="28"/>
      <x:c r="U2300" s="28"/>
      <x:c r="V2300" s="28"/>
      <x:c r="W2300" s="43" t="n">
        <x:f>--AND(N2300=1,OR(O2300="SUPPORTED",O2300="HALLUCINATION"))</x:f>
        <x:v>0</x:v>
      </x:c>
      <x:c r="X2300" s="43" t="n">
        <x:f>--AND(W2300=1,O2300="HALLUCINATION")</x:f>
        <x:v>0</x:v>
      </x:c>
      <x:c r="Y2300" s="43" t="n">
        <x:f>--AND(Q2300=1,O2300="HALLUCINATION")</x:f>
        <x:v>0</x:v>
      </x:c>
      <x:c r="Z2300" s="43" t="n">
        <x:f>--AND(Y2300=1,R2300=1,S2300=1)</x:f>
        <x:v>0</x:v>
      </x:c>
      <x:c r="AC2300" t="str">
        <x:f>IF(OR(AA2300="",AB2300=""),"",--(AA2300&lt;&gt;AB2300))</x:f>
      </x:c>
      <x:c r="AE2300" t="str">
        <x:f>IF(OR(AA2300="",AB2300=""),"PENDING_HUMAN",IF(AA2300=AB2300,AA2300,IF(AD2300&lt;&gt;"",AD2300,"PENDING_HUMAN")))</x:f>
        <x:v>PENDING_HUMAN</x:v>
      </x:c>
      <x:c r="AF2300" t="n">
        <x:f>--AND(A2300&lt;&gt;"",AA2300&lt;&gt;"",AB2300&lt;&gt;"",OR(AA2300=AB2300,AD2300&lt;&gt;""),IF(AE2300="HALLUCINATION",U2300&lt;&gt;"",TRUE))</x:f>
        <x:v>0</x:v>
      </x:c>
      <x:c r="AG2300" t="n">
        <x:f>--AND(N2300=1,AF2300=1,OR(AE2300="SUPPORTED",AE2300="HALLUCINATION"))</x:f>
        <x:v>0</x:v>
      </x:c>
      <x:c r="AH2300" t="n">
        <x:f>--AND(AG2300=1,AE2300="HALLUCINATION")</x:f>
        <x:v>0</x:v>
      </x:c>
      <x:c r="AI2300" t="n">
        <x:f>--AND(Q2300=1,AF2300=1,AE2300="HALLUCINATION")</x:f>
        <x:v>0</x:v>
      </x:c>
      <x:c r="AJ2300" t="n">
        <x:f>--AND(AI2300=1,R2300=1,S2300=1)</x:f>
        <x:v>0</x:v>
      </x:c>
    </x:row>
    <x:row r="2301">
      <x:c r="A2301" s="28"/>
      <x:c r="B2301" s="28"/>
      <x:c r="C2301" s="28"/>
      <x:c r="D2301" s="28"/>
      <x:c r="E2301" s="28"/>
      <x:c r="F2301" s="28"/>
      <x:c r="G2301" s="28"/>
      <x:c r="H2301" s="28"/>
      <x:c r="I2301" s="28"/>
      <x:c r="J2301" s="28"/>
      <x:c r="K2301" s="28"/>
      <x:c r="L2301" s="28"/>
      <x:c r="M2301" s="28"/>
      <x:c r="N2301" s="28"/>
      <x:c r="O2301" s="28"/>
      <x:c r="P2301" s="28"/>
      <x:c r="Q2301" s="28"/>
      <x:c r="R2301" s="28"/>
      <x:c r="S2301" s="28"/>
      <x:c r="T2301" s="28"/>
      <x:c r="U2301" s="28"/>
      <x:c r="V2301" s="28"/>
      <x:c r="W2301" s="43" t="n">
        <x:f>--AND(N2301=1,OR(O2301="SUPPORTED",O2301="HALLUCINATION"))</x:f>
        <x:v>0</x:v>
      </x:c>
      <x:c r="X2301" s="43" t="n">
        <x:f>--AND(W2301=1,O2301="HALLUCINATION")</x:f>
        <x:v>0</x:v>
      </x:c>
      <x:c r="Y2301" s="43" t="n">
        <x:f>--AND(Q2301=1,O2301="HALLUCINATION")</x:f>
        <x:v>0</x:v>
      </x:c>
      <x:c r="Z2301" s="43" t="n">
        <x:f>--AND(Y2301=1,R2301=1,S2301=1)</x:f>
        <x:v>0</x:v>
      </x:c>
      <x:c r="AC2301" t="str">
        <x:f>IF(OR(AA2301="",AB2301=""),"",--(AA2301&lt;&gt;AB2301))</x:f>
      </x:c>
      <x:c r="AE2301" t="str">
        <x:f>IF(OR(AA2301="",AB2301=""),"PENDING_HUMAN",IF(AA2301=AB2301,AA2301,IF(AD2301&lt;&gt;"",AD2301,"PENDING_HUMAN")))</x:f>
        <x:v>PENDING_HUMAN</x:v>
      </x:c>
      <x:c r="AF2301" t="n">
        <x:f>--AND(A2301&lt;&gt;"",AA2301&lt;&gt;"",AB2301&lt;&gt;"",OR(AA2301=AB2301,AD2301&lt;&gt;""),IF(AE2301="HALLUCINATION",U2301&lt;&gt;"",TRUE))</x:f>
        <x:v>0</x:v>
      </x:c>
      <x:c r="AG2301" t="n">
        <x:f>--AND(N2301=1,AF2301=1,OR(AE2301="SUPPORTED",AE2301="HALLUCINATION"))</x:f>
        <x:v>0</x:v>
      </x:c>
      <x:c r="AH2301" t="n">
        <x:f>--AND(AG2301=1,AE2301="HALLUCINATION")</x:f>
        <x:v>0</x:v>
      </x:c>
      <x:c r="AI2301" t="n">
        <x:f>--AND(Q2301=1,AF2301=1,AE2301="HALLUCINATION")</x:f>
        <x:v>0</x:v>
      </x:c>
      <x:c r="AJ2301" t="n">
        <x:f>--AND(AI2301=1,R2301=1,S2301=1)</x:f>
        <x:v>0</x:v>
      </x:c>
    </x:row>
    <x:row r="2302">
      <x:c r="A2302" s="28"/>
      <x:c r="B2302" s="28"/>
      <x:c r="C2302" s="28"/>
      <x:c r="D2302" s="28"/>
      <x:c r="E2302" s="28"/>
      <x:c r="F2302" s="28"/>
      <x:c r="G2302" s="28"/>
      <x:c r="H2302" s="28"/>
      <x:c r="I2302" s="28"/>
      <x:c r="J2302" s="28"/>
      <x:c r="K2302" s="28"/>
      <x:c r="L2302" s="28"/>
      <x:c r="M2302" s="28"/>
      <x:c r="N2302" s="28"/>
      <x:c r="O2302" s="28"/>
      <x:c r="P2302" s="28"/>
      <x:c r="Q2302" s="28"/>
      <x:c r="R2302" s="28"/>
      <x:c r="S2302" s="28"/>
      <x:c r="T2302" s="28"/>
      <x:c r="U2302" s="28"/>
      <x:c r="V2302" s="28"/>
      <x:c r="W2302" s="43" t="n">
        <x:f>--AND(N2302=1,OR(O2302="SUPPORTED",O2302="HALLUCINATION"))</x:f>
        <x:v>0</x:v>
      </x:c>
      <x:c r="X2302" s="43" t="n">
        <x:f>--AND(W2302=1,O2302="HALLUCINATION")</x:f>
        <x:v>0</x:v>
      </x:c>
      <x:c r="Y2302" s="43" t="n">
        <x:f>--AND(Q2302=1,O2302="HALLUCINATION")</x:f>
        <x:v>0</x:v>
      </x:c>
      <x:c r="Z2302" s="43" t="n">
        <x:f>--AND(Y2302=1,R2302=1,S2302=1)</x:f>
        <x:v>0</x:v>
      </x:c>
      <x:c r="AC2302" t="str">
        <x:f>IF(OR(AA2302="",AB2302=""),"",--(AA2302&lt;&gt;AB2302))</x:f>
      </x:c>
      <x:c r="AE2302" t="str">
        <x:f>IF(OR(AA2302="",AB2302=""),"PENDING_HUMAN",IF(AA2302=AB2302,AA2302,IF(AD2302&lt;&gt;"",AD2302,"PENDING_HUMAN")))</x:f>
        <x:v>PENDING_HUMAN</x:v>
      </x:c>
      <x:c r="AF2302" t="n">
        <x:f>--AND(A2302&lt;&gt;"",AA2302&lt;&gt;"",AB2302&lt;&gt;"",OR(AA2302=AB2302,AD2302&lt;&gt;""),IF(AE2302="HALLUCINATION",U2302&lt;&gt;"",TRUE))</x:f>
        <x:v>0</x:v>
      </x:c>
      <x:c r="AG2302" t="n">
        <x:f>--AND(N2302=1,AF2302=1,OR(AE2302="SUPPORTED",AE2302="HALLUCINATION"))</x:f>
        <x:v>0</x:v>
      </x:c>
      <x:c r="AH2302" t="n">
        <x:f>--AND(AG2302=1,AE2302="HALLUCINATION")</x:f>
        <x:v>0</x:v>
      </x:c>
      <x:c r="AI2302" t="n">
        <x:f>--AND(Q2302=1,AF2302=1,AE2302="HALLUCINATION")</x:f>
        <x:v>0</x:v>
      </x:c>
      <x:c r="AJ2302" t="n">
        <x:f>--AND(AI2302=1,R2302=1,S2302=1)</x:f>
        <x:v>0</x:v>
      </x:c>
    </x:row>
    <x:row r="2303">
      <x:c r="A2303" s="28"/>
      <x:c r="B2303" s="28"/>
      <x:c r="C2303" s="28"/>
      <x:c r="D2303" s="28"/>
      <x:c r="E2303" s="28"/>
      <x:c r="F2303" s="28"/>
      <x:c r="G2303" s="28"/>
      <x:c r="H2303" s="28"/>
      <x:c r="I2303" s="28"/>
      <x:c r="J2303" s="28"/>
      <x:c r="K2303" s="28"/>
      <x:c r="L2303" s="28"/>
      <x:c r="M2303" s="28"/>
      <x:c r="N2303" s="28"/>
      <x:c r="O2303" s="28"/>
      <x:c r="P2303" s="28"/>
      <x:c r="Q2303" s="28"/>
      <x:c r="R2303" s="28"/>
      <x:c r="S2303" s="28"/>
      <x:c r="T2303" s="28"/>
      <x:c r="U2303" s="28"/>
      <x:c r="V2303" s="28"/>
      <x:c r="W2303" s="43" t="n">
        <x:f>--AND(N2303=1,OR(O2303="SUPPORTED",O2303="HALLUCINATION"))</x:f>
        <x:v>0</x:v>
      </x:c>
      <x:c r="X2303" s="43" t="n">
        <x:f>--AND(W2303=1,O2303="HALLUCINATION")</x:f>
        <x:v>0</x:v>
      </x:c>
      <x:c r="Y2303" s="43" t="n">
        <x:f>--AND(Q2303=1,O2303="HALLUCINATION")</x:f>
        <x:v>0</x:v>
      </x:c>
      <x:c r="Z2303" s="43" t="n">
        <x:f>--AND(Y2303=1,R2303=1,S2303=1)</x:f>
        <x:v>0</x:v>
      </x:c>
      <x:c r="AC2303" t="str">
        <x:f>IF(OR(AA2303="",AB2303=""),"",--(AA2303&lt;&gt;AB2303))</x:f>
      </x:c>
      <x:c r="AE2303" t="str">
        <x:f>IF(OR(AA2303="",AB2303=""),"PENDING_HUMAN",IF(AA2303=AB2303,AA2303,IF(AD2303&lt;&gt;"",AD2303,"PENDING_HUMAN")))</x:f>
        <x:v>PENDING_HUMAN</x:v>
      </x:c>
      <x:c r="AF2303" t="n">
        <x:f>--AND(A2303&lt;&gt;"",AA2303&lt;&gt;"",AB2303&lt;&gt;"",OR(AA2303=AB2303,AD2303&lt;&gt;""),IF(AE2303="HALLUCINATION",U2303&lt;&gt;"",TRUE))</x:f>
        <x:v>0</x:v>
      </x:c>
      <x:c r="AG2303" t="n">
        <x:f>--AND(N2303=1,AF2303=1,OR(AE2303="SUPPORTED",AE2303="HALLUCINATION"))</x:f>
        <x:v>0</x:v>
      </x:c>
      <x:c r="AH2303" t="n">
        <x:f>--AND(AG2303=1,AE2303="HALLUCINATION")</x:f>
        <x:v>0</x:v>
      </x:c>
      <x:c r="AI2303" t="n">
        <x:f>--AND(Q2303=1,AF2303=1,AE2303="HALLUCINATION")</x:f>
        <x:v>0</x:v>
      </x:c>
      <x:c r="AJ2303" t="n">
        <x:f>--AND(AI2303=1,R2303=1,S2303=1)</x:f>
        <x:v>0</x:v>
      </x:c>
    </x:row>
    <x:row r="2304">
      <x:c r="A2304" s="28"/>
      <x:c r="B2304" s="28"/>
      <x:c r="C2304" s="28"/>
      <x:c r="D2304" s="28"/>
      <x:c r="E2304" s="28"/>
      <x:c r="F2304" s="28"/>
      <x:c r="G2304" s="28"/>
      <x:c r="H2304" s="28"/>
      <x:c r="I2304" s="28"/>
      <x:c r="J2304" s="28"/>
      <x:c r="K2304" s="28"/>
      <x:c r="L2304" s="28"/>
      <x:c r="M2304" s="28"/>
      <x:c r="N2304" s="28"/>
      <x:c r="O2304" s="28"/>
      <x:c r="P2304" s="28"/>
      <x:c r="Q2304" s="28"/>
      <x:c r="R2304" s="28"/>
      <x:c r="S2304" s="28"/>
      <x:c r="T2304" s="28"/>
      <x:c r="U2304" s="28"/>
      <x:c r="V2304" s="28"/>
      <x:c r="W2304" s="43" t="n">
        <x:f>--AND(N2304=1,OR(O2304="SUPPORTED",O2304="HALLUCINATION"))</x:f>
        <x:v>0</x:v>
      </x:c>
      <x:c r="X2304" s="43" t="n">
        <x:f>--AND(W2304=1,O2304="HALLUCINATION")</x:f>
        <x:v>0</x:v>
      </x:c>
      <x:c r="Y2304" s="43" t="n">
        <x:f>--AND(Q2304=1,O2304="HALLUCINATION")</x:f>
        <x:v>0</x:v>
      </x:c>
      <x:c r="Z2304" s="43" t="n">
        <x:f>--AND(Y2304=1,R2304=1,S2304=1)</x:f>
        <x:v>0</x:v>
      </x:c>
      <x:c r="AC2304" t="str">
        <x:f>IF(OR(AA2304="",AB2304=""),"",--(AA2304&lt;&gt;AB2304))</x:f>
      </x:c>
      <x:c r="AE2304" t="str">
        <x:f>IF(OR(AA2304="",AB2304=""),"PENDING_HUMAN",IF(AA2304=AB2304,AA2304,IF(AD2304&lt;&gt;"",AD2304,"PENDING_HUMAN")))</x:f>
        <x:v>PENDING_HUMAN</x:v>
      </x:c>
      <x:c r="AF2304" t="n">
        <x:f>--AND(A2304&lt;&gt;"",AA2304&lt;&gt;"",AB2304&lt;&gt;"",OR(AA2304=AB2304,AD2304&lt;&gt;""),IF(AE2304="HALLUCINATION",U2304&lt;&gt;"",TRUE))</x:f>
        <x:v>0</x:v>
      </x:c>
      <x:c r="AG2304" t="n">
        <x:f>--AND(N2304=1,AF2304=1,OR(AE2304="SUPPORTED",AE2304="HALLUCINATION"))</x:f>
        <x:v>0</x:v>
      </x:c>
      <x:c r="AH2304" t="n">
        <x:f>--AND(AG2304=1,AE2304="HALLUCINATION")</x:f>
        <x:v>0</x:v>
      </x:c>
      <x:c r="AI2304" t="n">
        <x:f>--AND(Q2304=1,AF2304=1,AE2304="HALLUCINATION")</x:f>
        <x:v>0</x:v>
      </x:c>
      <x:c r="AJ2304" t="n">
        <x:f>--AND(AI2304=1,R2304=1,S2304=1)</x:f>
        <x:v>0</x:v>
      </x:c>
    </x:row>
    <x:row r="2305">
      <x:c r="A2305" s="28"/>
      <x:c r="B2305" s="28"/>
      <x:c r="C2305" s="28"/>
      <x:c r="D2305" s="28"/>
      <x:c r="E2305" s="28"/>
      <x:c r="F2305" s="28"/>
      <x:c r="G2305" s="28"/>
      <x:c r="H2305" s="28"/>
      <x:c r="I2305" s="28"/>
      <x:c r="J2305" s="28"/>
      <x:c r="K2305" s="28"/>
      <x:c r="L2305" s="28"/>
      <x:c r="M2305" s="28"/>
      <x:c r="N2305" s="28"/>
      <x:c r="O2305" s="28"/>
      <x:c r="P2305" s="28"/>
      <x:c r="Q2305" s="28"/>
      <x:c r="R2305" s="28"/>
      <x:c r="S2305" s="28"/>
      <x:c r="T2305" s="28"/>
      <x:c r="U2305" s="28"/>
      <x:c r="V2305" s="28"/>
      <x:c r="W2305" s="43" t="n">
        <x:f>--AND(N2305=1,OR(O2305="SUPPORTED",O2305="HALLUCINATION"))</x:f>
        <x:v>0</x:v>
      </x:c>
      <x:c r="X2305" s="43" t="n">
        <x:f>--AND(W2305=1,O2305="HALLUCINATION")</x:f>
        <x:v>0</x:v>
      </x:c>
      <x:c r="Y2305" s="43" t="n">
        <x:f>--AND(Q2305=1,O2305="HALLUCINATION")</x:f>
        <x:v>0</x:v>
      </x:c>
      <x:c r="Z2305" s="43" t="n">
        <x:f>--AND(Y2305=1,R2305=1,S2305=1)</x:f>
        <x:v>0</x:v>
      </x:c>
      <x:c r="AC2305" t="str">
        <x:f>IF(OR(AA2305="",AB2305=""),"",--(AA2305&lt;&gt;AB2305))</x:f>
      </x:c>
      <x:c r="AE2305" t="str">
        <x:f>IF(OR(AA2305="",AB2305=""),"PENDING_HUMAN",IF(AA2305=AB2305,AA2305,IF(AD2305&lt;&gt;"",AD2305,"PENDING_HUMAN")))</x:f>
        <x:v>PENDING_HUMAN</x:v>
      </x:c>
      <x:c r="AF2305" t="n">
        <x:f>--AND(A2305&lt;&gt;"",AA2305&lt;&gt;"",AB2305&lt;&gt;"",OR(AA2305=AB2305,AD2305&lt;&gt;""),IF(AE2305="HALLUCINATION",U2305&lt;&gt;"",TRUE))</x:f>
        <x:v>0</x:v>
      </x:c>
      <x:c r="AG2305" t="n">
        <x:f>--AND(N2305=1,AF2305=1,OR(AE2305="SUPPORTED",AE2305="HALLUCINATION"))</x:f>
        <x:v>0</x:v>
      </x:c>
      <x:c r="AH2305" t="n">
        <x:f>--AND(AG2305=1,AE2305="HALLUCINATION")</x:f>
        <x:v>0</x:v>
      </x:c>
      <x:c r="AI2305" t="n">
        <x:f>--AND(Q2305=1,AF2305=1,AE2305="HALLUCINATION")</x:f>
        <x:v>0</x:v>
      </x:c>
      <x:c r="AJ2305" t="n">
        <x:f>--AND(AI2305=1,R2305=1,S2305=1)</x:f>
        <x:v>0</x:v>
      </x:c>
    </x:row>
    <x:row r="2306">
      <x:c r="A2306" s="28"/>
      <x:c r="B2306" s="28"/>
      <x:c r="C2306" s="28"/>
      <x:c r="D2306" s="28"/>
      <x:c r="E2306" s="28"/>
      <x:c r="F2306" s="28"/>
      <x:c r="G2306" s="28"/>
      <x:c r="H2306" s="28"/>
      <x:c r="I2306" s="28"/>
      <x:c r="J2306" s="28"/>
      <x:c r="K2306" s="28"/>
      <x:c r="L2306" s="28"/>
      <x:c r="M2306" s="28"/>
      <x:c r="N2306" s="28"/>
      <x:c r="O2306" s="28"/>
      <x:c r="P2306" s="28"/>
      <x:c r="Q2306" s="28"/>
      <x:c r="R2306" s="28"/>
      <x:c r="S2306" s="28"/>
      <x:c r="T2306" s="28"/>
      <x:c r="U2306" s="28"/>
      <x:c r="V2306" s="28"/>
      <x:c r="W2306" s="43" t="n">
        <x:f>--AND(N2306=1,OR(O2306="SUPPORTED",O2306="HALLUCINATION"))</x:f>
        <x:v>0</x:v>
      </x:c>
      <x:c r="X2306" s="43" t="n">
        <x:f>--AND(W2306=1,O2306="HALLUCINATION")</x:f>
        <x:v>0</x:v>
      </x:c>
      <x:c r="Y2306" s="43" t="n">
        <x:f>--AND(Q2306=1,O2306="HALLUCINATION")</x:f>
        <x:v>0</x:v>
      </x:c>
      <x:c r="Z2306" s="43" t="n">
        <x:f>--AND(Y2306=1,R2306=1,S2306=1)</x:f>
        <x:v>0</x:v>
      </x:c>
      <x:c r="AC2306" t="str">
        <x:f>IF(OR(AA2306="",AB2306=""),"",--(AA2306&lt;&gt;AB2306))</x:f>
      </x:c>
      <x:c r="AE2306" t="str">
        <x:f>IF(OR(AA2306="",AB2306=""),"PENDING_HUMAN",IF(AA2306=AB2306,AA2306,IF(AD2306&lt;&gt;"",AD2306,"PENDING_HUMAN")))</x:f>
        <x:v>PENDING_HUMAN</x:v>
      </x:c>
      <x:c r="AF2306" t="n">
        <x:f>--AND(A2306&lt;&gt;"",AA2306&lt;&gt;"",AB2306&lt;&gt;"",OR(AA2306=AB2306,AD2306&lt;&gt;""),IF(AE2306="HALLUCINATION",U2306&lt;&gt;"",TRUE))</x:f>
        <x:v>0</x:v>
      </x:c>
      <x:c r="AG2306" t="n">
        <x:f>--AND(N2306=1,AF2306=1,OR(AE2306="SUPPORTED",AE2306="HALLUCINATION"))</x:f>
        <x:v>0</x:v>
      </x:c>
      <x:c r="AH2306" t="n">
        <x:f>--AND(AG2306=1,AE2306="HALLUCINATION")</x:f>
        <x:v>0</x:v>
      </x:c>
      <x:c r="AI2306" t="n">
        <x:f>--AND(Q2306=1,AF2306=1,AE2306="HALLUCINATION")</x:f>
        <x:v>0</x:v>
      </x:c>
      <x:c r="AJ2306" t="n">
        <x:f>--AND(AI2306=1,R2306=1,S2306=1)</x:f>
        <x:v>0</x:v>
      </x:c>
    </x:row>
    <x:row r="2307">
      <x:c r="A2307" s="28"/>
      <x:c r="B2307" s="28"/>
      <x:c r="C2307" s="28"/>
      <x:c r="D2307" s="28"/>
      <x:c r="E2307" s="28"/>
      <x:c r="F2307" s="28"/>
      <x:c r="G2307" s="28"/>
      <x:c r="H2307" s="28"/>
      <x:c r="I2307" s="28"/>
      <x:c r="J2307" s="28"/>
      <x:c r="K2307" s="28"/>
      <x:c r="L2307" s="28"/>
      <x:c r="M2307" s="28"/>
      <x:c r="N2307" s="28"/>
      <x:c r="O2307" s="28"/>
      <x:c r="P2307" s="28"/>
      <x:c r="Q2307" s="28"/>
      <x:c r="R2307" s="28"/>
      <x:c r="S2307" s="28"/>
      <x:c r="T2307" s="28"/>
      <x:c r="U2307" s="28"/>
      <x:c r="V2307" s="28"/>
      <x:c r="W2307" s="43" t="n">
        <x:f>--AND(N2307=1,OR(O2307="SUPPORTED",O2307="HALLUCINATION"))</x:f>
        <x:v>0</x:v>
      </x:c>
      <x:c r="X2307" s="43" t="n">
        <x:f>--AND(W2307=1,O2307="HALLUCINATION")</x:f>
        <x:v>0</x:v>
      </x:c>
      <x:c r="Y2307" s="43" t="n">
        <x:f>--AND(Q2307=1,O2307="HALLUCINATION")</x:f>
        <x:v>0</x:v>
      </x:c>
      <x:c r="Z2307" s="43" t="n">
        <x:f>--AND(Y2307=1,R2307=1,S2307=1)</x:f>
        <x:v>0</x:v>
      </x:c>
      <x:c r="AC2307" t="str">
        <x:f>IF(OR(AA2307="",AB2307=""),"",--(AA2307&lt;&gt;AB2307))</x:f>
      </x:c>
      <x:c r="AE2307" t="str">
        <x:f>IF(OR(AA2307="",AB2307=""),"PENDING_HUMAN",IF(AA2307=AB2307,AA2307,IF(AD2307&lt;&gt;"",AD2307,"PENDING_HUMAN")))</x:f>
        <x:v>PENDING_HUMAN</x:v>
      </x:c>
      <x:c r="AF2307" t="n">
        <x:f>--AND(A2307&lt;&gt;"",AA2307&lt;&gt;"",AB2307&lt;&gt;"",OR(AA2307=AB2307,AD2307&lt;&gt;""),IF(AE2307="HALLUCINATION",U2307&lt;&gt;"",TRUE))</x:f>
        <x:v>0</x:v>
      </x:c>
      <x:c r="AG2307" t="n">
        <x:f>--AND(N2307=1,AF2307=1,OR(AE2307="SUPPORTED",AE2307="HALLUCINATION"))</x:f>
        <x:v>0</x:v>
      </x:c>
      <x:c r="AH2307" t="n">
        <x:f>--AND(AG2307=1,AE2307="HALLUCINATION")</x:f>
        <x:v>0</x:v>
      </x:c>
      <x:c r="AI2307" t="n">
        <x:f>--AND(Q2307=1,AF2307=1,AE2307="HALLUCINATION")</x:f>
        <x:v>0</x:v>
      </x:c>
      <x:c r="AJ2307" t="n">
        <x:f>--AND(AI2307=1,R2307=1,S2307=1)</x:f>
        <x:v>0</x:v>
      </x:c>
    </x:row>
    <x:row r="2308">
      <x:c r="A2308" s="28"/>
      <x:c r="B2308" s="28"/>
      <x:c r="C2308" s="28"/>
      <x:c r="D2308" s="28"/>
      <x:c r="E2308" s="28"/>
      <x:c r="F2308" s="28"/>
      <x:c r="G2308" s="28"/>
      <x:c r="H2308" s="28"/>
      <x:c r="I2308" s="28"/>
      <x:c r="J2308" s="28"/>
      <x:c r="K2308" s="28"/>
      <x:c r="L2308" s="28"/>
      <x:c r="M2308" s="28"/>
      <x:c r="N2308" s="28"/>
      <x:c r="O2308" s="28"/>
      <x:c r="P2308" s="28"/>
      <x:c r="Q2308" s="28"/>
      <x:c r="R2308" s="28"/>
      <x:c r="S2308" s="28"/>
      <x:c r="T2308" s="28"/>
      <x:c r="U2308" s="28"/>
      <x:c r="V2308" s="28"/>
      <x:c r="W2308" s="43" t="n">
        <x:f>--AND(N2308=1,OR(O2308="SUPPORTED",O2308="HALLUCINATION"))</x:f>
        <x:v>0</x:v>
      </x:c>
      <x:c r="X2308" s="43" t="n">
        <x:f>--AND(W2308=1,O2308="HALLUCINATION")</x:f>
        <x:v>0</x:v>
      </x:c>
      <x:c r="Y2308" s="43" t="n">
        <x:f>--AND(Q2308=1,O2308="HALLUCINATION")</x:f>
        <x:v>0</x:v>
      </x:c>
      <x:c r="Z2308" s="43" t="n">
        <x:f>--AND(Y2308=1,R2308=1,S2308=1)</x:f>
        <x:v>0</x:v>
      </x:c>
      <x:c r="AC2308" t="str">
        <x:f>IF(OR(AA2308="",AB2308=""),"",--(AA2308&lt;&gt;AB2308))</x:f>
      </x:c>
      <x:c r="AE2308" t="str">
        <x:f>IF(OR(AA2308="",AB2308=""),"PENDING_HUMAN",IF(AA2308=AB2308,AA2308,IF(AD2308&lt;&gt;"",AD2308,"PENDING_HUMAN")))</x:f>
        <x:v>PENDING_HUMAN</x:v>
      </x:c>
      <x:c r="AF2308" t="n">
        <x:f>--AND(A2308&lt;&gt;"",AA2308&lt;&gt;"",AB2308&lt;&gt;"",OR(AA2308=AB2308,AD2308&lt;&gt;""),IF(AE2308="HALLUCINATION",U2308&lt;&gt;"",TRUE))</x:f>
        <x:v>0</x:v>
      </x:c>
      <x:c r="AG2308" t="n">
        <x:f>--AND(N2308=1,AF2308=1,OR(AE2308="SUPPORTED",AE2308="HALLUCINATION"))</x:f>
        <x:v>0</x:v>
      </x:c>
      <x:c r="AH2308" t="n">
        <x:f>--AND(AG2308=1,AE2308="HALLUCINATION")</x:f>
        <x:v>0</x:v>
      </x:c>
      <x:c r="AI2308" t="n">
        <x:f>--AND(Q2308=1,AF2308=1,AE2308="HALLUCINATION")</x:f>
        <x:v>0</x:v>
      </x:c>
      <x:c r="AJ2308" t="n">
        <x:f>--AND(AI2308=1,R2308=1,S2308=1)</x:f>
        <x:v>0</x:v>
      </x:c>
    </x:row>
    <x:row r="2309">
      <x:c r="A2309" s="28"/>
      <x:c r="B2309" s="28"/>
      <x:c r="C2309" s="28"/>
      <x:c r="D2309" s="28"/>
      <x:c r="E2309" s="28"/>
      <x:c r="F2309" s="28"/>
      <x:c r="G2309" s="28"/>
      <x:c r="H2309" s="28"/>
      <x:c r="I2309" s="28"/>
      <x:c r="J2309" s="28"/>
      <x:c r="K2309" s="28"/>
      <x:c r="L2309" s="28"/>
      <x:c r="M2309" s="28"/>
      <x:c r="N2309" s="28"/>
      <x:c r="O2309" s="28"/>
      <x:c r="P2309" s="28"/>
      <x:c r="Q2309" s="28"/>
      <x:c r="R2309" s="28"/>
      <x:c r="S2309" s="28"/>
      <x:c r="T2309" s="28"/>
      <x:c r="U2309" s="28"/>
      <x:c r="V2309" s="28"/>
      <x:c r="W2309" s="43" t="n">
        <x:f>--AND(N2309=1,OR(O2309="SUPPORTED",O2309="HALLUCINATION"))</x:f>
        <x:v>0</x:v>
      </x:c>
      <x:c r="X2309" s="43" t="n">
        <x:f>--AND(W2309=1,O2309="HALLUCINATION")</x:f>
        <x:v>0</x:v>
      </x:c>
      <x:c r="Y2309" s="43" t="n">
        <x:f>--AND(Q2309=1,O2309="HALLUCINATION")</x:f>
        <x:v>0</x:v>
      </x:c>
      <x:c r="Z2309" s="43" t="n">
        <x:f>--AND(Y2309=1,R2309=1,S2309=1)</x:f>
        <x:v>0</x:v>
      </x:c>
      <x:c r="AC2309" t="str">
        <x:f>IF(OR(AA2309="",AB2309=""),"",--(AA2309&lt;&gt;AB2309))</x:f>
      </x:c>
      <x:c r="AE2309" t="str">
        <x:f>IF(OR(AA2309="",AB2309=""),"PENDING_HUMAN",IF(AA2309=AB2309,AA2309,IF(AD2309&lt;&gt;"",AD2309,"PENDING_HUMAN")))</x:f>
        <x:v>PENDING_HUMAN</x:v>
      </x:c>
      <x:c r="AF2309" t="n">
        <x:f>--AND(A2309&lt;&gt;"",AA2309&lt;&gt;"",AB2309&lt;&gt;"",OR(AA2309=AB2309,AD2309&lt;&gt;""),IF(AE2309="HALLUCINATION",U2309&lt;&gt;"",TRUE))</x:f>
        <x:v>0</x:v>
      </x:c>
      <x:c r="AG2309" t="n">
        <x:f>--AND(N2309=1,AF2309=1,OR(AE2309="SUPPORTED",AE2309="HALLUCINATION"))</x:f>
        <x:v>0</x:v>
      </x:c>
      <x:c r="AH2309" t="n">
        <x:f>--AND(AG2309=1,AE2309="HALLUCINATION")</x:f>
        <x:v>0</x:v>
      </x:c>
      <x:c r="AI2309" t="n">
        <x:f>--AND(Q2309=1,AF2309=1,AE2309="HALLUCINATION")</x:f>
        <x:v>0</x:v>
      </x:c>
      <x:c r="AJ2309" t="n">
        <x:f>--AND(AI2309=1,R2309=1,S2309=1)</x:f>
        <x:v>0</x:v>
      </x:c>
    </x:row>
    <x:row r="2310">
      <x:c r="A2310" s="28"/>
      <x:c r="B2310" s="28"/>
      <x:c r="C2310" s="28"/>
      <x:c r="D2310" s="28"/>
      <x:c r="E2310" s="28"/>
      <x:c r="F2310" s="28"/>
      <x:c r="G2310" s="28"/>
      <x:c r="H2310" s="28"/>
      <x:c r="I2310" s="28"/>
      <x:c r="J2310" s="28"/>
      <x:c r="K2310" s="28"/>
      <x:c r="L2310" s="28"/>
      <x:c r="M2310" s="28"/>
      <x:c r="N2310" s="28"/>
      <x:c r="O2310" s="28"/>
      <x:c r="P2310" s="28"/>
      <x:c r="Q2310" s="28"/>
      <x:c r="R2310" s="28"/>
      <x:c r="S2310" s="28"/>
      <x:c r="T2310" s="28"/>
      <x:c r="U2310" s="28"/>
      <x:c r="V2310" s="28"/>
      <x:c r="W2310" s="43" t="n">
        <x:f>--AND(N2310=1,OR(O2310="SUPPORTED",O2310="HALLUCINATION"))</x:f>
        <x:v>0</x:v>
      </x:c>
      <x:c r="X2310" s="43" t="n">
        <x:f>--AND(W2310=1,O2310="HALLUCINATION")</x:f>
        <x:v>0</x:v>
      </x:c>
      <x:c r="Y2310" s="43" t="n">
        <x:f>--AND(Q2310=1,O2310="HALLUCINATION")</x:f>
        <x:v>0</x:v>
      </x:c>
      <x:c r="Z2310" s="43" t="n">
        <x:f>--AND(Y2310=1,R2310=1,S2310=1)</x:f>
        <x:v>0</x:v>
      </x:c>
      <x:c r="AC2310" t="str">
        <x:f>IF(OR(AA2310="",AB2310=""),"",--(AA2310&lt;&gt;AB2310))</x:f>
      </x:c>
      <x:c r="AE2310" t="str">
        <x:f>IF(OR(AA2310="",AB2310=""),"PENDING_HUMAN",IF(AA2310=AB2310,AA2310,IF(AD2310&lt;&gt;"",AD2310,"PENDING_HUMAN")))</x:f>
        <x:v>PENDING_HUMAN</x:v>
      </x:c>
      <x:c r="AF2310" t="n">
        <x:f>--AND(A2310&lt;&gt;"",AA2310&lt;&gt;"",AB2310&lt;&gt;"",OR(AA2310=AB2310,AD2310&lt;&gt;""),IF(AE2310="HALLUCINATION",U2310&lt;&gt;"",TRUE))</x:f>
        <x:v>0</x:v>
      </x:c>
      <x:c r="AG2310" t="n">
        <x:f>--AND(N2310=1,AF2310=1,OR(AE2310="SUPPORTED",AE2310="HALLUCINATION"))</x:f>
        <x:v>0</x:v>
      </x:c>
      <x:c r="AH2310" t="n">
        <x:f>--AND(AG2310=1,AE2310="HALLUCINATION")</x:f>
        <x:v>0</x:v>
      </x:c>
      <x:c r="AI2310" t="n">
        <x:f>--AND(Q2310=1,AF2310=1,AE2310="HALLUCINATION")</x:f>
        <x:v>0</x:v>
      </x:c>
      <x:c r="AJ2310" t="n">
        <x:f>--AND(AI2310=1,R2310=1,S2310=1)</x:f>
        <x:v>0</x:v>
      </x:c>
    </x:row>
    <x:row r="2311">
      <x:c r="A2311" s="28"/>
      <x:c r="B2311" s="28"/>
      <x:c r="C2311" s="28"/>
      <x:c r="D2311" s="28"/>
      <x:c r="E2311" s="28"/>
      <x:c r="F2311" s="28"/>
      <x:c r="G2311" s="28"/>
      <x:c r="H2311" s="28"/>
      <x:c r="I2311" s="28"/>
      <x:c r="J2311" s="28"/>
      <x:c r="K2311" s="28"/>
      <x:c r="L2311" s="28"/>
      <x:c r="M2311" s="28"/>
      <x:c r="N2311" s="28"/>
      <x:c r="O2311" s="28"/>
      <x:c r="P2311" s="28"/>
      <x:c r="Q2311" s="28"/>
      <x:c r="R2311" s="28"/>
      <x:c r="S2311" s="28"/>
      <x:c r="T2311" s="28"/>
      <x:c r="U2311" s="28"/>
      <x:c r="V2311" s="28"/>
      <x:c r="W2311" s="43" t="n">
        <x:f>--AND(N2311=1,OR(O2311="SUPPORTED",O2311="HALLUCINATION"))</x:f>
        <x:v>0</x:v>
      </x:c>
      <x:c r="X2311" s="43" t="n">
        <x:f>--AND(W2311=1,O2311="HALLUCINATION")</x:f>
        <x:v>0</x:v>
      </x:c>
      <x:c r="Y2311" s="43" t="n">
        <x:f>--AND(Q2311=1,O2311="HALLUCINATION")</x:f>
        <x:v>0</x:v>
      </x:c>
      <x:c r="Z2311" s="43" t="n">
        <x:f>--AND(Y2311=1,R2311=1,S2311=1)</x:f>
        <x:v>0</x:v>
      </x:c>
      <x:c r="AC2311" t="str">
        <x:f>IF(OR(AA2311="",AB2311=""),"",--(AA2311&lt;&gt;AB2311))</x:f>
      </x:c>
      <x:c r="AE2311" t="str">
        <x:f>IF(OR(AA2311="",AB2311=""),"PENDING_HUMAN",IF(AA2311=AB2311,AA2311,IF(AD2311&lt;&gt;"",AD2311,"PENDING_HUMAN")))</x:f>
        <x:v>PENDING_HUMAN</x:v>
      </x:c>
      <x:c r="AF2311" t="n">
        <x:f>--AND(A2311&lt;&gt;"",AA2311&lt;&gt;"",AB2311&lt;&gt;"",OR(AA2311=AB2311,AD2311&lt;&gt;""),IF(AE2311="HALLUCINATION",U2311&lt;&gt;"",TRUE))</x:f>
        <x:v>0</x:v>
      </x:c>
      <x:c r="AG2311" t="n">
        <x:f>--AND(N2311=1,AF2311=1,OR(AE2311="SUPPORTED",AE2311="HALLUCINATION"))</x:f>
        <x:v>0</x:v>
      </x:c>
      <x:c r="AH2311" t="n">
        <x:f>--AND(AG2311=1,AE2311="HALLUCINATION")</x:f>
        <x:v>0</x:v>
      </x:c>
      <x:c r="AI2311" t="n">
        <x:f>--AND(Q2311=1,AF2311=1,AE2311="HALLUCINATION")</x:f>
        <x:v>0</x:v>
      </x:c>
      <x:c r="AJ2311" t="n">
        <x:f>--AND(AI2311=1,R2311=1,S2311=1)</x:f>
        <x:v>0</x:v>
      </x:c>
    </x:row>
    <x:row r="2312">
      <x:c r="A2312" s="28"/>
      <x:c r="B2312" s="28"/>
      <x:c r="C2312" s="28"/>
      <x:c r="D2312" s="28"/>
      <x:c r="E2312" s="28"/>
      <x:c r="F2312" s="28"/>
      <x:c r="G2312" s="28"/>
      <x:c r="H2312" s="28"/>
      <x:c r="I2312" s="28"/>
      <x:c r="J2312" s="28"/>
      <x:c r="K2312" s="28"/>
      <x:c r="L2312" s="28"/>
      <x:c r="M2312" s="28"/>
      <x:c r="N2312" s="28"/>
      <x:c r="O2312" s="28"/>
      <x:c r="P2312" s="28"/>
      <x:c r="Q2312" s="28"/>
      <x:c r="R2312" s="28"/>
      <x:c r="S2312" s="28"/>
      <x:c r="T2312" s="28"/>
      <x:c r="U2312" s="28"/>
      <x:c r="V2312" s="28"/>
      <x:c r="W2312" s="43" t="n">
        <x:f>--AND(N2312=1,OR(O2312="SUPPORTED",O2312="HALLUCINATION"))</x:f>
        <x:v>0</x:v>
      </x:c>
      <x:c r="X2312" s="43" t="n">
        <x:f>--AND(W2312=1,O2312="HALLUCINATION")</x:f>
        <x:v>0</x:v>
      </x:c>
      <x:c r="Y2312" s="43" t="n">
        <x:f>--AND(Q2312=1,O2312="HALLUCINATION")</x:f>
        <x:v>0</x:v>
      </x:c>
      <x:c r="Z2312" s="43" t="n">
        <x:f>--AND(Y2312=1,R2312=1,S2312=1)</x:f>
        <x:v>0</x:v>
      </x:c>
      <x:c r="AC2312" t="str">
        <x:f>IF(OR(AA2312="",AB2312=""),"",--(AA2312&lt;&gt;AB2312))</x:f>
      </x:c>
      <x:c r="AE2312" t="str">
        <x:f>IF(OR(AA2312="",AB2312=""),"PENDING_HUMAN",IF(AA2312=AB2312,AA2312,IF(AD2312&lt;&gt;"",AD2312,"PENDING_HUMAN")))</x:f>
        <x:v>PENDING_HUMAN</x:v>
      </x:c>
      <x:c r="AF2312" t="n">
        <x:f>--AND(A2312&lt;&gt;"",AA2312&lt;&gt;"",AB2312&lt;&gt;"",OR(AA2312=AB2312,AD2312&lt;&gt;""),IF(AE2312="HALLUCINATION",U2312&lt;&gt;"",TRUE))</x:f>
        <x:v>0</x:v>
      </x:c>
      <x:c r="AG2312" t="n">
        <x:f>--AND(N2312=1,AF2312=1,OR(AE2312="SUPPORTED",AE2312="HALLUCINATION"))</x:f>
        <x:v>0</x:v>
      </x:c>
      <x:c r="AH2312" t="n">
        <x:f>--AND(AG2312=1,AE2312="HALLUCINATION")</x:f>
        <x:v>0</x:v>
      </x:c>
      <x:c r="AI2312" t="n">
        <x:f>--AND(Q2312=1,AF2312=1,AE2312="HALLUCINATION")</x:f>
        <x:v>0</x:v>
      </x:c>
      <x:c r="AJ2312" t="n">
        <x:f>--AND(AI2312=1,R2312=1,S2312=1)</x:f>
        <x:v>0</x:v>
      </x:c>
    </x:row>
    <x:row r="2313">
      <x:c r="A2313" s="28"/>
      <x:c r="B2313" s="28"/>
      <x:c r="C2313" s="28"/>
      <x:c r="D2313" s="28"/>
      <x:c r="E2313" s="28"/>
      <x:c r="F2313" s="28"/>
      <x:c r="G2313" s="28"/>
      <x:c r="H2313" s="28"/>
      <x:c r="I2313" s="28"/>
      <x:c r="J2313" s="28"/>
      <x:c r="K2313" s="28"/>
      <x:c r="L2313" s="28"/>
      <x:c r="M2313" s="28"/>
      <x:c r="N2313" s="28"/>
      <x:c r="O2313" s="28"/>
      <x:c r="P2313" s="28"/>
      <x:c r="Q2313" s="28"/>
      <x:c r="R2313" s="28"/>
      <x:c r="S2313" s="28"/>
      <x:c r="T2313" s="28"/>
      <x:c r="U2313" s="28"/>
      <x:c r="V2313" s="28"/>
      <x:c r="W2313" s="43" t="n">
        <x:f>--AND(N2313=1,OR(O2313="SUPPORTED",O2313="HALLUCINATION"))</x:f>
        <x:v>0</x:v>
      </x:c>
      <x:c r="X2313" s="43" t="n">
        <x:f>--AND(W2313=1,O2313="HALLUCINATION")</x:f>
        <x:v>0</x:v>
      </x:c>
      <x:c r="Y2313" s="43" t="n">
        <x:f>--AND(Q2313=1,O2313="HALLUCINATION")</x:f>
        <x:v>0</x:v>
      </x:c>
      <x:c r="Z2313" s="43" t="n">
        <x:f>--AND(Y2313=1,R2313=1,S2313=1)</x:f>
        <x:v>0</x:v>
      </x:c>
      <x:c r="AC2313" t="str">
        <x:f>IF(OR(AA2313="",AB2313=""),"",--(AA2313&lt;&gt;AB2313))</x:f>
      </x:c>
      <x:c r="AE2313" t="str">
        <x:f>IF(OR(AA2313="",AB2313=""),"PENDING_HUMAN",IF(AA2313=AB2313,AA2313,IF(AD2313&lt;&gt;"",AD2313,"PENDING_HUMAN")))</x:f>
        <x:v>PENDING_HUMAN</x:v>
      </x:c>
      <x:c r="AF2313" t="n">
        <x:f>--AND(A2313&lt;&gt;"",AA2313&lt;&gt;"",AB2313&lt;&gt;"",OR(AA2313=AB2313,AD2313&lt;&gt;""),IF(AE2313="HALLUCINATION",U2313&lt;&gt;"",TRUE))</x:f>
        <x:v>0</x:v>
      </x:c>
      <x:c r="AG2313" t="n">
        <x:f>--AND(N2313=1,AF2313=1,OR(AE2313="SUPPORTED",AE2313="HALLUCINATION"))</x:f>
        <x:v>0</x:v>
      </x:c>
      <x:c r="AH2313" t="n">
        <x:f>--AND(AG2313=1,AE2313="HALLUCINATION")</x:f>
        <x:v>0</x:v>
      </x:c>
      <x:c r="AI2313" t="n">
        <x:f>--AND(Q2313=1,AF2313=1,AE2313="HALLUCINATION")</x:f>
        <x:v>0</x:v>
      </x:c>
      <x:c r="AJ2313" t="n">
        <x:f>--AND(AI2313=1,R2313=1,S2313=1)</x:f>
        <x:v>0</x:v>
      </x:c>
    </x:row>
    <x:row r="2314">
      <x:c r="A2314" s="28"/>
      <x:c r="B2314" s="28"/>
      <x:c r="C2314" s="28"/>
      <x:c r="D2314" s="28"/>
      <x:c r="E2314" s="28"/>
      <x:c r="F2314" s="28"/>
      <x:c r="G2314" s="28"/>
      <x:c r="H2314" s="28"/>
      <x:c r="I2314" s="28"/>
      <x:c r="J2314" s="28"/>
      <x:c r="K2314" s="28"/>
      <x:c r="L2314" s="28"/>
      <x:c r="M2314" s="28"/>
      <x:c r="N2314" s="28"/>
      <x:c r="O2314" s="28"/>
      <x:c r="P2314" s="28"/>
      <x:c r="Q2314" s="28"/>
      <x:c r="R2314" s="28"/>
      <x:c r="S2314" s="28"/>
      <x:c r="T2314" s="28"/>
      <x:c r="U2314" s="28"/>
      <x:c r="V2314" s="28"/>
      <x:c r="W2314" s="43" t="n">
        <x:f>--AND(N2314=1,OR(O2314="SUPPORTED",O2314="HALLUCINATION"))</x:f>
        <x:v>0</x:v>
      </x:c>
      <x:c r="X2314" s="43" t="n">
        <x:f>--AND(W2314=1,O2314="HALLUCINATION")</x:f>
        <x:v>0</x:v>
      </x:c>
      <x:c r="Y2314" s="43" t="n">
        <x:f>--AND(Q2314=1,O2314="HALLUCINATION")</x:f>
        <x:v>0</x:v>
      </x:c>
      <x:c r="Z2314" s="43" t="n">
        <x:f>--AND(Y2314=1,R2314=1,S2314=1)</x:f>
        <x:v>0</x:v>
      </x:c>
      <x:c r="AC2314" t="str">
        <x:f>IF(OR(AA2314="",AB2314=""),"",--(AA2314&lt;&gt;AB2314))</x:f>
      </x:c>
      <x:c r="AE2314" t="str">
        <x:f>IF(OR(AA2314="",AB2314=""),"PENDING_HUMAN",IF(AA2314=AB2314,AA2314,IF(AD2314&lt;&gt;"",AD2314,"PENDING_HUMAN")))</x:f>
        <x:v>PENDING_HUMAN</x:v>
      </x:c>
      <x:c r="AF2314" t="n">
        <x:f>--AND(A2314&lt;&gt;"",AA2314&lt;&gt;"",AB2314&lt;&gt;"",OR(AA2314=AB2314,AD2314&lt;&gt;""),IF(AE2314="HALLUCINATION",U2314&lt;&gt;"",TRUE))</x:f>
        <x:v>0</x:v>
      </x:c>
      <x:c r="AG2314" t="n">
        <x:f>--AND(N2314=1,AF2314=1,OR(AE2314="SUPPORTED",AE2314="HALLUCINATION"))</x:f>
        <x:v>0</x:v>
      </x:c>
      <x:c r="AH2314" t="n">
        <x:f>--AND(AG2314=1,AE2314="HALLUCINATION")</x:f>
        <x:v>0</x:v>
      </x:c>
      <x:c r="AI2314" t="n">
        <x:f>--AND(Q2314=1,AF2314=1,AE2314="HALLUCINATION")</x:f>
        <x:v>0</x:v>
      </x:c>
      <x:c r="AJ2314" t="n">
        <x:f>--AND(AI2314=1,R2314=1,S2314=1)</x:f>
        <x:v>0</x:v>
      </x:c>
    </x:row>
    <x:row r="2315">
      <x:c r="A2315" s="28"/>
      <x:c r="B2315" s="28"/>
      <x:c r="C2315" s="28"/>
      <x:c r="D2315" s="28"/>
      <x:c r="E2315" s="28"/>
      <x:c r="F2315" s="28"/>
      <x:c r="G2315" s="28"/>
      <x:c r="H2315" s="28"/>
      <x:c r="I2315" s="28"/>
      <x:c r="J2315" s="28"/>
      <x:c r="K2315" s="28"/>
      <x:c r="L2315" s="28"/>
      <x:c r="M2315" s="28"/>
      <x:c r="N2315" s="28"/>
      <x:c r="O2315" s="28"/>
      <x:c r="P2315" s="28"/>
      <x:c r="Q2315" s="28"/>
      <x:c r="R2315" s="28"/>
      <x:c r="S2315" s="28"/>
      <x:c r="T2315" s="28"/>
      <x:c r="U2315" s="28"/>
      <x:c r="V2315" s="28"/>
      <x:c r="W2315" s="43" t="n">
        <x:f>--AND(N2315=1,OR(O2315="SUPPORTED",O2315="HALLUCINATION"))</x:f>
        <x:v>0</x:v>
      </x:c>
      <x:c r="X2315" s="43" t="n">
        <x:f>--AND(W2315=1,O2315="HALLUCINATION")</x:f>
        <x:v>0</x:v>
      </x:c>
      <x:c r="Y2315" s="43" t="n">
        <x:f>--AND(Q2315=1,O2315="HALLUCINATION")</x:f>
        <x:v>0</x:v>
      </x:c>
      <x:c r="Z2315" s="43" t="n">
        <x:f>--AND(Y2315=1,R2315=1,S2315=1)</x:f>
        <x:v>0</x:v>
      </x:c>
      <x:c r="AC2315" t="str">
        <x:f>IF(OR(AA2315="",AB2315=""),"",--(AA2315&lt;&gt;AB2315))</x:f>
      </x:c>
      <x:c r="AE2315" t="str">
        <x:f>IF(OR(AA2315="",AB2315=""),"PENDING_HUMAN",IF(AA2315=AB2315,AA2315,IF(AD2315&lt;&gt;"",AD2315,"PENDING_HUMAN")))</x:f>
        <x:v>PENDING_HUMAN</x:v>
      </x:c>
      <x:c r="AF2315" t="n">
        <x:f>--AND(A2315&lt;&gt;"",AA2315&lt;&gt;"",AB2315&lt;&gt;"",OR(AA2315=AB2315,AD2315&lt;&gt;""),IF(AE2315="HALLUCINATION",U2315&lt;&gt;"",TRUE))</x:f>
        <x:v>0</x:v>
      </x:c>
      <x:c r="AG2315" t="n">
        <x:f>--AND(N2315=1,AF2315=1,OR(AE2315="SUPPORTED",AE2315="HALLUCINATION"))</x:f>
        <x:v>0</x:v>
      </x:c>
      <x:c r="AH2315" t="n">
        <x:f>--AND(AG2315=1,AE2315="HALLUCINATION")</x:f>
        <x:v>0</x:v>
      </x:c>
      <x:c r="AI2315" t="n">
        <x:f>--AND(Q2315=1,AF2315=1,AE2315="HALLUCINATION")</x:f>
        <x:v>0</x:v>
      </x:c>
      <x:c r="AJ2315" t="n">
        <x:f>--AND(AI2315=1,R2315=1,S2315=1)</x:f>
        <x:v>0</x:v>
      </x:c>
    </x:row>
    <x:row r="2316">
      <x:c r="A2316" s="28"/>
      <x:c r="B2316" s="28"/>
      <x:c r="C2316" s="28"/>
      <x:c r="D2316" s="28"/>
      <x:c r="E2316" s="28"/>
      <x:c r="F2316" s="28"/>
      <x:c r="G2316" s="28"/>
      <x:c r="H2316" s="28"/>
      <x:c r="I2316" s="28"/>
      <x:c r="J2316" s="28"/>
      <x:c r="K2316" s="28"/>
      <x:c r="L2316" s="28"/>
      <x:c r="M2316" s="28"/>
      <x:c r="N2316" s="28"/>
      <x:c r="O2316" s="28"/>
      <x:c r="P2316" s="28"/>
      <x:c r="Q2316" s="28"/>
      <x:c r="R2316" s="28"/>
      <x:c r="S2316" s="28"/>
      <x:c r="T2316" s="28"/>
      <x:c r="U2316" s="28"/>
      <x:c r="V2316" s="28"/>
      <x:c r="W2316" s="43" t="n">
        <x:f>--AND(N2316=1,OR(O2316="SUPPORTED",O2316="HALLUCINATION"))</x:f>
        <x:v>0</x:v>
      </x:c>
      <x:c r="X2316" s="43" t="n">
        <x:f>--AND(W2316=1,O2316="HALLUCINATION")</x:f>
        <x:v>0</x:v>
      </x:c>
      <x:c r="Y2316" s="43" t="n">
        <x:f>--AND(Q2316=1,O2316="HALLUCINATION")</x:f>
        <x:v>0</x:v>
      </x:c>
      <x:c r="Z2316" s="43" t="n">
        <x:f>--AND(Y2316=1,R2316=1,S2316=1)</x:f>
        <x:v>0</x:v>
      </x:c>
      <x:c r="AC2316" t="str">
        <x:f>IF(OR(AA2316="",AB2316=""),"",--(AA2316&lt;&gt;AB2316))</x:f>
      </x:c>
      <x:c r="AE2316" t="str">
        <x:f>IF(OR(AA2316="",AB2316=""),"PENDING_HUMAN",IF(AA2316=AB2316,AA2316,IF(AD2316&lt;&gt;"",AD2316,"PENDING_HUMAN")))</x:f>
        <x:v>PENDING_HUMAN</x:v>
      </x:c>
      <x:c r="AF2316" t="n">
        <x:f>--AND(A2316&lt;&gt;"",AA2316&lt;&gt;"",AB2316&lt;&gt;"",OR(AA2316=AB2316,AD2316&lt;&gt;""),IF(AE2316="HALLUCINATION",U2316&lt;&gt;"",TRUE))</x:f>
        <x:v>0</x:v>
      </x:c>
      <x:c r="AG2316" t="n">
        <x:f>--AND(N2316=1,AF2316=1,OR(AE2316="SUPPORTED",AE2316="HALLUCINATION"))</x:f>
        <x:v>0</x:v>
      </x:c>
      <x:c r="AH2316" t="n">
        <x:f>--AND(AG2316=1,AE2316="HALLUCINATION")</x:f>
        <x:v>0</x:v>
      </x:c>
      <x:c r="AI2316" t="n">
        <x:f>--AND(Q2316=1,AF2316=1,AE2316="HALLUCINATION")</x:f>
        <x:v>0</x:v>
      </x:c>
      <x:c r="AJ2316" t="n">
        <x:f>--AND(AI2316=1,R2316=1,S2316=1)</x:f>
        <x:v>0</x:v>
      </x:c>
    </x:row>
    <x:row r="2317">
      <x:c r="A2317" s="28"/>
      <x:c r="B2317" s="28"/>
      <x:c r="C2317" s="28"/>
      <x:c r="D2317" s="28"/>
      <x:c r="E2317" s="28"/>
      <x:c r="F2317" s="28"/>
      <x:c r="G2317" s="28"/>
      <x:c r="H2317" s="28"/>
      <x:c r="I2317" s="28"/>
      <x:c r="J2317" s="28"/>
      <x:c r="K2317" s="28"/>
      <x:c r="L2317" s="28"/>
      <x:c r="M2317" s="28"/>
      <x:c r="N2317" s="28"/>
      <x:c r="O2317" s="28"/>
      <x:c r="P2317" s="28"/>
      <x:c r="Q2317" s="28"/>
      <x:c r="R2317" s="28"/>
      <x:c r="S2317" s="28"/>
      <x:c r="T2317" s="28"/>
      <x:c r="U2317" s="28"/>
      <x:c r="V2317" s="28"/>
      <x:c r="W2317" s="43" t="n">
        <x:f>--AND(N2317=1,OR(O2317="SUPPORTED",O2317="HALLUCINATION"))</x:f>
        <x:v>0</x:v>
      </x:c>
      <x:c r="X2317" s="43" t="n">
        <x:f>--AND(W2317=1,O2317="HALLUCINATION")</x:f>
        <x:v>0</x:v>
      </x:c>
      <x:c r="Y2317" s="43" t="n">
        <x:f>--AND(Q2317=1,O2317="HALLUCINATION")</x:f>
        <x:v>0</x:v>
      </x:c>
      <x:c r="Z2317" s="43" t="n">
        <x:f>--AND(Y2317=1,R2317=1,S2317=1)</x:f>
        <x:v>0</x:v>
      </x:c>
      <x:c r="AC2317" t="str">
        <x:f>IF(OR(AA2317="",AB2317=""),"",--(AA2317&lt;&gt;AB2317))</x:f>
      </x:c>
      <x:c r="AE2317" t="str">
        <x:f>IF(OR(AA2317="",AB2317=""),"PENDING_HUMAN",IF(AA2317=AB2317,AA2317,IF(AD2317&lt;&gt;"",AD2317,"PENDING_HUMAN")))</x:f>
        <x:v>PENDING_HUMAN</x:v>
      </x:c>
      <x:c r="AF2317" t="n">
        <x:f>--AND(A2317&lt;&gt;"",AA2317&lt;&gt;"",AB2317&lt;&gt;"",OR(AA2317=AB2317,AD2317&lt;&gt;""),IF(AE2317="HALLUCINATION",U2317&lt;&gt;"",TRUE))</x:f>
        <x:v>0</x:v>
      </x:c>
      <x:c r="AG2317" t="n">
        <x:f>--AND(N2317=1,AF2317=1,OR(AE2317="SUPPORTED",AE2317="HALLUCINATION"))</x:f>
        <x:v>0</x:v>
      </x:c>
      <x:c r="AH2317" t="n">
        <x:f>--AND(AG2317=1,AE2317="HALLUCINATION")</x:f>
        <x:v>0</x:v>
      </x:c>
      <x:c r="AI2317" t="n">
        <x:f>--AND(Q2317=1,AF2317=1,AE2317="HALLUCINATION")</x:f>
        <x:v>0</x:v>
      </x:c>
      <x:c r="AJ2317" t="n">
        <x:f>--AND(AI2317=1,R2317=1,S2317=1)</x:f>
        <x:v>0</x:v>
      </x:c>
    </x:row>
    <x:row r="2318">
      <x:c r="A2318" s="28"/>
      <x:c r="B2318" s="28"/>
      <x:c r="C2318" s="28"/>
      <x:c r="D2318" s="28"/>
      <x:c r="E2318" s="28"/>
      <x:c r="F2318" s="28"/>
      <x:c r="G2318" s="28"/>
      <x:c r="H2318" s="28"/>
      <x:c r="I2318" s="28"/>
      <x:c r="J2318" s="28"/>
      <x:c r="K2318" s="28"/>
      <x:c r="L2318" s="28"/>
      <x:c r="M2318" s="28"/>
      <x:c r="N2318" s="28"/>
      <x:c r="O2318" s="28"/>
      <x:c r="P2318" s="28"/>
      <x:c r="Q2318" s="28"/>
      <x:c r="R2318" s="28"/>
      <x:c r="S2318" s="28"/>
      <x:c r="T2318" s="28"/>
      <x:c r="U2318" s="28"/>
      <x:c r="V2318" s="28"/>
      <x:c r="W2318" s="43" t="n">
        <x:f>--AND(N2318=1,OR(O2318="SUPPORTED",O2318="HALLUCINATION"))</x:f>
        <x:v>0</x:v>
      </x:c>
      <x:c r="X2318" s="43" t="n">
        <x:f>--AND(W2318=1,O2318="HALLUCINATION")</x:f>
        <x:v>0</x:v>
      </x:c>
      <x:c r="Y2318" s="43" t="n">
        <x:f>--AND(Q2318=1,O2318="HALLUCINATION")</x:f>
        <x:v>0</x:v>
      </x:c>
      <x:c r="Z2318" s="43" t="n">
        <x:f>--AND(Y2318=1,R2318=1,S2318=1)</x:f>
        <x:v>0</x:v>
      </x:c>
      <x:c r="AC2318" t="str">
        <x:f>IF(OR(AA2318="",AB2318=""),"",--(AA2318&lt;&gt;AB2318))</x:f>
      </x:c>
      <x:c r="AE2318" t="str">
        <x:f>IF(OR(AA2318="",AB2318=""),"PENDING_HUMAN",IF(AA2318=AB2318,AA2318,IF(AD2318&lt;&gt;"",AD2318,"PENDING_HUMAN")))</x:f>
        <x:v>PENDING_HUMAN</x:v>
      </x:c>
      <x:c r="AF2318" t="n">
        <x:f>--AND(A2318&lt;&gt;"",AA2318&lt;&gt;"",AB2318&lt;&gt;"",OR(AA2318=AB2318,AD2318&lt;&gt;""),IF(AE2318="HALLUCINATION",U2318&lt;&gt;"",TRUE))</x:f>
        <x:v>0</x:v>
      </x:c>
      <x:c r="AG2318" t="n">
        <x:f>--AND(N2318=1,AF2318=1,OR(AE2318="SUPPORTED",AE2318="HALLUCINATION"))</x:f>
        <x:v>0</x:v>
      </x:c>
      <x:c r="AH2318" t="n">
        <x:f>--AND(AG2318=1,AE2318="HALLUCINATION")</x:f>
        <x:v>0</x:v>
      </x:c>
      <x:c r="AI2318" t="n">
        <x:f>--AND(Q2318=1,AF2318=1,AE2318="HALLUCINATION")</x:f>
        <x:v>0</x:v>
      </x:c>
      <x:c r="AJ2318" t="n">
        <x:f>--AND(AI2318=1,R2318=1,S2318=1)</x:f>
        <x:v>0</x:v>
      </x:c>
    </x:row>
    <x:row r="2319">
      <x:c r="A2319" s="28"/>
      <x:c r="B2319" s="28"/>
      <x:c r="C2319" s="28"/>
      <x:c r="D2319" s="28"/>
      <x:c r="E2319" s="28"/>
      <x:c r="F2319" s="28"/>
      <x:c r="G2319" s="28"/>
      <x:c r="H2319" s="28"/>
      <x:c r="I2319" s="28"/>
      <x:c r="J2319" s="28"/>
      <x:c r="K2319" s="28"/>
      <x:c r="L2319" s="28"/>
      <x:c r="M2319" s="28"/>
      <x:c r="N2319" s="28"/>
      <x:c r="O2319" s="28"/>
      <x:c r="P2319" s="28"/>
      <x:c r="Q2319" s="28"/>
      <x:c r="R2319" s="28"/>
      <x:c r="S2319" s="28"/>
      <x:c r="T2319" s="28"/>
      <x:c r="U2319" s="28"/>
      <x:c r="V2319" s="28"/>
      <x:c r="W2319" s="43" t="n">
        <x:f>--AND(N2319=1,OR(O2319="SUPPORTED",O2319="HALLUCINATION"))</x:f>
        <x:v>0</x:v>
      </x:c>
      <x:c r="X2319" s="43" t="n">
        <x:f>--AND(W2319=1,O2319="HALLUCINATION")</x:f>
        <x:v>0</x:v>
      </x:c>
      <x:c r="Y2319" s="43" t="n">
        <x:f>--AND(Q2319=1,O2319="HALLUCINATION")</x:f>
        <x:v>0</x:v>
      </x:c>
      <x:c r="Z2319" s="43" t="n">
        <x:f>--AND(Y2319=1,R2319=1,S2319=1)</x:f>
        <x:v>0</x:v>
      </x:c>
      <x:c r="AC2319" t="str">
        <x:f>IF(OR(AA2319="",AB2319=""),"",--(AA2319&lt;&gt;AB2319))</x:f>
      </x:c>
      <x:c r="AE2319" t="str">
        <x:f>IF(OR(AA2319="",AB2319=""),"PENDING_HUMAN",IF(AA2319=AB2319,AA2319,IF(AD2319&lt;&gt;"",AD2319,"PENDING_HUMAN")))</x:f>
        <x:v>PENDING_HUMAN</x:v>
      </x:c>
      <x:c r="AF2319" t="n">
        <x:f>--AND(A2319&lt;&gt;"",AA2319&lt;&gt;"",AB2319&lt;&gt;"",OR(AA2319=AB2319,AD2319&lt;&gt;""),IF(AE2319="HALLUCINATION",U2319&lt;&gt;"",TRUE))</x:f>
        <x:v>0</x:v>
      </x:c>
      <x:c r="AG2319" t="n">
        <x:f>--AND(N2319=1,AF2319=1,OR(AE2319="SUPPORTED",AE2319="HALLUCINATION"))</x:f>
        <x:v>0</x:v>
      </x:c>
      <x:c r="AH2319" t="n">
        <x:f>--AND(AG2319=1,AE2319="HALLUCINATION")</x:f>
        <x:v>0</x:v>
      </x:c>
      <x:c r="AI2319" t="n">
        <x:f>--AND(Q2319=1,AF2319=1,AE2319="HALLUCINATION")</x:f>
        <x:v>0</x:v>
      </x:c>
      <x:c r="AJ2319" t="n">
        <x:f>--AND(AI2319=1,R2319=1,S2319=1)</x:f>
        <x:v>0</x:v>
      </x:c>
    </x:row>
    <x:row r="2320">
      <x:c r="A2320" s="28"/>
      <x:c r="B2320" s="28"/>
      <x:c r="C2320" s="28"/>
      <x:c r="D2320" s="28"/>
      <x:c r="E2320" s="28"/>
      <x:c r="F2320" s="28"/>
      <x:c r="G2320" s="28"/>
      <x:c r="H2320" s="28"/>
      <x:c r="I2320" s="28"/>
      <x:c r="J2320" s="28"/>
      <x:c r="K2320" s="28"/>
      <x:c r="L2320" s="28"/>
      <x:c r="M2320" s="28"/>
      <x:c r="N2320" s="28"/>
      <x:c r="O2320" s="28"/>
      <x:c r="P2320" s="28"/>
      <x:c r="Q2320" s="28"/>
      <x:c r="R2320" s="28"/>
      <x:c r="S2320" s="28"/>
      <x:c r="T2320" s="28"/>
      <x:c r="U2320" s="28"/>
      <x:c r="V2320" s="28"/>
      <x:c r="W2320" s="43" t="n">
        <x:f>--AND(N2320=1,OR(O2320="SUPPORTED",O2320="HALLUCINATION"))</x:f>
        <x:v>0</x:v>
      </x:c>
      <x:c r="X2320" s="43" t="n">
        <x:f>--AND(W2320=1,O2320="HALLUCINATION")</x:f>
        <x:v>0</x:v>
      </x:c>
      <x:c r="Y2320" s="43" t="n">
        <x:f>--AND(Q2320=1,O2320="HALLUCINATION")</x:f>
        <x:v>0</x:v>
      </x:c>
      <x:c r="Z2320" s="43" t="n">
        <x:f>--AND(Y2320=1,R2320=1,S2320=1)</x:f>
        <x:v>0</x:v>
      </x:c>
      <x:c r="AC2320" t="str">
        <x:f>IF(OR(AA2320="",AB2320=""),"",--(AA2320&lt;&gt;AB2320))</x:f>
      </x:c>
      <x:c r="AE2320" t="str">
        <x:f>IF(OR(AA2320="",AB2320=""),"PENDING_HUMAN",IF(AA2320=AB2320,AA2320,IF(AD2320&lt;&gt;"",AD2320,"PENDING_HUMAN")))</x:f>
        <x:v>PENDING_HUMAN</x:v>
      </x:c>
      <x:c r="AF2320" t="n">
        <x:f>--AND(A2320&lt;&gt;"",AA2320&lt;&gt;"",AB2320&lt;&gt;"",OR(AA2320=AB2320,AD2320&lt;&gt;""),IF(AE2320="HALLUCINATION",U2320&lt;&gt;"",TRUE))</x:f>
        <x:v>0</x:v>
      </x:c>
      <x:c r="AG2320" t="n">
        <x:f>--AND(N2320=1,AF2320=1,OR(AE2320="SUPPORTED",AE2320="HALLUCINATION"))</x:f>
        <x:v>0</x:v>
      </x:c>
      <x:c r="AH2320" t="n">
        <x:f>--AND(AG2320=1,AE2320="HALLUCINATION")</x:f>
        <x:v>0</x:v>
      </x:c>
      <x:c r="AI2320" t="n">
        <x:f>--AND(Q2320=1,AF2320=1,AE2320="HALLUCINATION")</x:f>
        <x:v>0</x:v>
      </x:c>
      <x:c r="AJ2320" t="n">
        <x:f>--AND(AI2320=1,R2320=1,S2320=1)</x:f>
        <x:v>0</x:v>
      </x:c>
    </x:row>
    <x:row r="2321">
      <x:c r="A2321" s="28"/>
      <x:c r="B2321" s="28"/>
      <x:c r="C2321" s="28"/>
      <x:c r="D2321" s="28"/>
      <x:c r="E2321" s="28"/>
      <x:c r="F2321" s="28"/>
      <x:c r="G2321" s="28"/>
      <x:c r="H2321" s="28"/>
      <x:c r="I2321" s="28"/>
      <x:c r="J2321" s="28"/>
      <x:c r="K2321" s="28"/>
      <x:c r="L2321" s="28"/>
      <x:c r="M2321" s="28"/>
      <x:c r="N2321" s="28"/>
      <x:c r="O2321" s="28"/>
      <x:c r="P2321" s="28"/>
      <x:c r="Q2321" s="28"/>
      <x:c r="R2321" s="28"/>
      <x:c r="S2321" s="28"/>
      <x:c r="T2321" s="28"/>
      <x:c r="U2321" s="28"/>
      <x:c r="V2321" s="28"/>
      <x:c r="W2321" s="43" t="n">
        <x:f>--AND(N2321=1,OR(O2321="SUPPORTED",O2321="HALLUCINATION"))</x:f>
        <x:v>0</x:v>
      </x:c>
      <x:c r="X2321" s="43" t="n">
        <x:f>--AND(W2321=1,O2321="HALLUCINATION")</x:f>
        <x:v>0</x:v>
      </x:c>
      <x:c r="Y2321" s="43" t="n">
        <x:f>--AND(Q2321=1,O2321="HALLUCINATION")</x:f>
        <x:v>0</x:v>
      </x:c>
      <x:c r="Z2321" s="43" t="n">
        <x:f>--AND(Y2321=1,R2321=1,S2321=1)</x:f>
        <x:v>0</x:v>
      </x:c>
      <x:c r="AC2321" t="str">
        <x:f>IF(OR(AA2321="",AB2321=""),"",--(AA2321&lt;&gt;AB2321))</x:f>
      </x:c>
      <x:c r="AE2321" t="str">
        <x:f>IF(OR(AA2321="",AB2321=""),"PENDING_HUMAN",IF(AA2321=AB2321,AA2321,IF(AD2321&lt;&gt;"",AD2321,"PENDING_HUMAN")))</x:f>
        <x:v>PENDING_HUMAN</x:v>
      </x:c>
      <x:c r="AF2321" t="n">
        <x:f>--AND(A2321&lt;&gt;"",AA2321&lt;&gt;"",AB2321&lt;&gt;"",OR(AA2321=AB2321,AD2321&lt;&gt;""),IF(AE2321="HALLUCINATION",U2321&lt;&gt;"",TRUE))</x:f>
        <x:v>0</x:v>
      </x:c>
      <x:c r="AG2321" t="n">
        <x:f>--AND(N2321=1,AF2321=1,OR(AE2321="SUPPORTED",AE2321="HALLUCINATION"))</x:f>
        <x:v>0</x:v>
      </x:c>
      <x:c r="AH2321" t="n">
        <x:f>--AND(AG2321=1,AE2321="HALLUCINATION")</x:f>
        <x:v>0</x:v>
      </x:c>
      <x:c r="AI2321" t="n">
        <x:f>--AND(Q2321=1,AF2321=1,AE2321="HALLUCINATION")</x:f>
        <x:v>0</x:v>
      </x:c>
      <x:c r="AJ2321" t="n">
        <x:f>--AND(AI2321=1,R2321=1,S2321=1)</x:f>
        <x:v>0</x:v>
      </x:c>
    </x:row>
    <x:row r="2322">
      <x:c r="A2322" s="28"/>
      <x:c r="B2322" s="28"/>
      <x:c r="C2322" s="28"/>
      <x:c r="D2322" s="28"/>
      <x:c r="E2322" s="28"/>
      <x:c r="F2322" s="28"/>
      <x:c r="G2322" s="28"/>
      <x:c r="H2322" s="28"/>
      <x:c r="I2322" s="28"/>
      <x:c r="J2322" s="28"/>
      <x:c r="K2322" s="28"/>
      <x:c r="L2322" s="28"/>
      <x:c r="M2322" s="28"/>
      <x:c r="N2322" s="28"/>
      <x:c r="O2322" s="28"/>
      <x:c r="P2322" s="28"/>
      <x:c r="Q2322" s="28"/>
      <x:c r="R2322" s="28"/>
      <x:c r="S2322" s="28"/>
      <x:c r="T2322" s="28"/>
      <x:c r="U2322" s="28"/>
      <x:c r="V2322" s="28"/>
      <x:c r="W2322" s="43" t="n">
        <x:f>--AND(N2322=1,OR(O2322="SUPPORTED",O2322="HALLUCINATION"))</x:f>
        <x:v>0</x:v>
      </x:c>
      <x:c r="X2322" s="43" t="n">
        <x:f>--AND(W2322=1,O2322="HALLUCINATION")</x:f>
        <x:v>0</x:v>
      </x:c>
      <x:c r="Y2322" s="43" t="n">
        <x:f>--AND(Q2322=1,O2322="HALLUCINATION")</x:f>
        <x:v>0</x:v>
      </x:c>
      <x:c r="Z2322" s="43" t="n">
        <x:f>--AND(Y2322=1,R2322=1,S2322=1)</x:f>
        <x:v>0</x:v>
      </x:c>
      <x:c r="AC2322" t="str">
        <x:f>IF(OR(AA2322="",AB2322=""),"",--(AA2322&lt;&gt;AB2322))</x:f>
      </x:c>
      <x:c r="AE2322" t="str">
        <x:f>IF(OR(AA2322="",AB2322=""),"PENDING_HUMAN",IF(AA2322=AB2322,AA2322,IF(AD2322&lt;&gt;"",AD2322,"PENDING_HUMAN")))</x:f>
        <x:v>PENDING_HUMAN</x:v>
      </x:c>
      <x:c r="AF2322" t="n">
        <x:f>--AND(A2322&lt;&gt;"",AA2322&lt;&gt;"",AB2322&lt;&gt;"",OR(AA2322=AB2322,AD2322&lt;&gt;""),IF(AE2322="HALLUCINATION",U2322&lt;&gt;"",TRUE))</x:f>
        <x:v>0</x:v>
      </x:c>
      <x:c r="AG2322" t="n">
        <x:f>--AND(N2322=1,AF2322=1,OR(AE2322="SUPPORTED",AE2322="HALLUCINATION"))</x:f>
        <x:v>0</x:v>
      </x:c>
      <x:c r="AH2322" t="n">
        <x:f>--AND(AG2322=1,AE2322="HALLUCINATION")</x:f>
        <x:v>0</x:v>
      </x:c>
      <x:c r="AI2322" t="n">
        <x:f>--AND(Q2322=1,AF2322=1,AE2322="HALLUCINATION")</x:f>
        <x:v>0</x:v>
      </x:c>
      <x:c r="AJ2322" t="n">
        <x:f>--AND(AI2322=1,R2322=1,S2322=1)</x:f>
        <x:v>0</x:v>
      </x:c>
    </x:row>
    <x:row r="2323">
      <x:c r="A2323" s="28"/>
      <x:c r="B2323" s="28"/>
      <x:c r="C2323" s="28"/>
      <x:c r="D2323" s="28"/>
      <x:c r="E2323" s="28"/>
      <x:c r="F2323" s="28"/>
      <x:c r="G2323" s="28"/>
      <x:c r="H2323" s="28"/>
      <x:c r="I2323" s="28"/>
      <x:c r="J2323" s="28"/>
      <x:c r="K2323" s="28"/>
      <x:c r="L2323" s="28"/>
      <x:c r="M2323" s="28"/>
      <x:c r="N2323" s="28"/>
      <x:c r="O2323" s="28"/>
      <x:c r="P2323" s="28"/>
      <x:c r="Q2323" s="28"/>
      <x:c r="R2323" s="28"/>
      <x:c r="S2323" s="28"/>
      <x:c r="T2323" s="28"/>
      <x:c r="U2323" s="28"/>
      <x:c r="V2323" s="28"/>
      <x:c r="W2323" s="43" t="n">
        <x:f>--AND(N2323=1,OR(O2323="SUPPORTED",O2323="HALLUCINATION"))</x:f>
        <x:v>0</x:v>
      </x:c>
      <x:c r="X2323" s="43" t="n">
        <x:f>--AND(W2323=1,O2323="HALLUCINATION")</x:f>
        <x:v>0</x:v>
      </x:c>
      <x:c r="Y2323" s="43" t="n">
        <x:f>--AND(Q2323=1,O2323="HALLUCINATION")</x:f>
        <x:v>0</x:v>
      </x:c>
      <x:c r="Z2323" s="43" t="n">
        <x:f>--AND(Y2323=1,R2323=1,S2323=1)</x:f>
        <x:v>0</x:v>
      </x:c>
      <x:c r="AC2323" t="str">
        <x:f>IF(OR(AA2323="",AB2323=""),"",--(AA2323&lt;&gt;AB2323))</x:f>
      </x:c>
      <x:c r="AE2323" t="str">
        <x:f>IF(OR(AA2323="",AB2323=""),"PENDING_HUMAN",IF(AA2323=AB2323,AA2323,IF(AD2323&lt;&gt;"",AD2323,"PENDING_HUMAN")))</x:f>
        <x:v>PENDING_HUMAN</x:v>
      </x:c>
      <x:c r="AF2323" t="n">
        <x:f>--AND(A2323&lt;&gt;"",AA2323&lt;&gt;"",AB2323&lt;&gt;"",OR(AA2323=AB2323,AD2323&lt;&gt;""),IF(AE2323="HALLUCINATION",U2323&lt;&gt;"",TRUE))</x:f>
        <x:v>0</x:v>
      </x:c>
      <x:c r="AG2323" t="n">
        <x:f>--AND(N2323=1,AF2323=1,OR(AE2323="SUPPORTED",AE2323="HALLUCINATION"))</x:f>
        <x:v>0</x:v>
      </x:c>
      <x:c r="AH2323" t="n">
        <x:f>--AND(AG2323=1,AE2323="HALLUCINATION")</x:f>
        <x:v>0</x:v>
      </x:c>
      <x:c r="AI2323" t="n">
        <x:f>--AND(Q2323=1,AF2323=1,AE2323="HALLUCINATION")</x:f>
        <x:v>0</x:v>
      </x:c>
      <x:c r="AJ2323" t="n">
        <x:f>--AND(AI2323=1,R2323=1,S2323=1)</x:f>
        <x:v>0</x:v>
      </x:c>
    </x:row>
    <x:row r="2324">
      <x:c r="A2324" s="28"/>
      <x:c r="B2324" s="28"/>
      <x:c r="C2324" s="28"/>
      <x:c r="D2324" s="28"/>
      <x:c r="E2324" s="28"/>
      <x:c r="F2324" s="28"/>
      <x:c r="G2324" s="28"/>
      <x:c r="H2324" s="28"/>
      <x:c r="I2324" s="28"/>
      <x:c r="J2324" s="28"/>
      <x:c r="K2324" s="28"/>
      <x:c r="L2324" s="28"/>
      <x:c r="M2324" s="28"/>
      <x:c r="N2324" s="28"/>
      <x:c r="O2324" s="28"/>
      <x:c r="P2324" s="28"/>
      <x:c r="Q2324" s="28"/>
      <x:c r="R2324" s="28"/>
      <x:c r="S2324" s="28"/>
      <x:c r="T2324" s="28"/>
      <x:c r="U2324" s="28"/>
      <x:c r="V2324" s="28"/>
      <x:c r="W2324" s="43" t="n">
        <x:f>--AND(N2324=1,OR(O2324="SUPPORTED",O2324="HALLUCINATION"))</x:f>
        <x:v>0</x:v>
      </x:c>
      <x:c r="X2324" s="43" t="n">
        <x:f>--AND(W2324=1,O2324="HALLUCINATION")</x:f>
        <x:v>0</x:v>
      </x:c>
      <x:c r="Y2324" s="43" t="n">
        <x:f>--AND(Q2324=1,O2324="HALLUCINATION")</x:f>
        <x:v>0</x:v>
      </x:c>
      <x:c r="Z2324" s="43" t="n">
        <x:f>--AND(Y2324=1,R2324=1,S2324=1)</x:f>
        <x:v>0</x:v>
      </x:c>
      <x:c r="AC2324" t="str">
        <x:f>IF(OR(AA2324="",AB2324=""),"",--(AA2324&lt;&gt;AB2324))</x:f>
      </x:c>
      <x:c r="AE2324" t="str">
        <x:f>IF(OR(AA2324="",AB2324=""),"PENDING_HUMAN",IF(AA2324=AB2324,AA2324,IF(AD2324&lt;&gt;"",AD2324,"PENDING_HUMAN")))</x:f>
        <x:v>PENDING_HUMAN</x:v>
      </x:c>
      <x:c r="AF2324" t="n">
        <x:f>--AND(A2324&lt;&gt;"",AA2324&lt;&gt;"",AB2324&lt;&gt;"",OR(AA2324=AB2324,AD2324&lt;&gt;""),IF(AE2324="HALLUCINATION",U2324&lt;&gt;"",TRUE))</x:f>
        <x:v>0</x:v>
      </x:c>
      <x:c r="AG2324" t="n">
        <x:f>--AND(N2324=1,AF2324=1,OR(AE2324="SUPPORTED",AE2324="HALLUCINATION"))</x:f>
        <x:v>0</x:v>
      </x:c>
      <x:c r="AH2324" t="n">
        <x:f>--AND(AG2324=1,AE2324="HALLUCINATION")</x:f>
        <x:v>0</x:v>
      </x:c>
      <x:c r="AI2324" t="n">
        <x:f>--AND(Q2324=1,AF2324=1,AE2324="HALLUCINATION")</x:f>
        <x:v>0</x:v>
      </x:c>
      <x:c r="AJ2324" t="n">
        <x:f>--AND(AI2324=1,R2324=1,S2324=1)</x:f>
        <x:v>0</x:v>
      </x:c>
    </x:row>
    <x:row r="2325">
      <x:c r="A2325" s="28"/>
      <x:c r="B2325" s="28"/>
      <x:c r="C2325" s="28"/>
      <x:c r="D2325" s="28"/>
      <x:c r="E2325" s="28"/>
      <x:c r="F2325" s="28"/>
      <x:c r="G2325" s="28"/>
      <x:c r="H2325" s="28"/>
      <x:c r="I2325" s="28"/>
      <x:c r="J2325" s="28"/>
      <x:c r="K2325" s="28"/>
      <x:c r="L2325" s="28"/>
      <x:c r="M2325" s="28"/>
      <x:c r="N2325" s="28"/>
      <x:c r="O2325" s="28"/>
      <x:c r="P2325" s="28"/>
      <x:c r="Q2325" s="28"/>
      <x:c r="R2325" s="28"/>
      <x:c r="S2325" s="28"/>
      <x:c r="T2325" s="28"/>
      <x:c r="U2325" s="28"/>
      <x:c r="V2325" s="28"/>
      <x:c r="W2325" s="43" t="n">
        <x:f>--AND(N2325=1,OR(O2325="SUPPORTED",O2325="HALLUCINATION"))</x:f>
        <x:v>0</x:v>
      </x:c>
      <x:c r="X2325" s="43" t="n">
        <x:f>--AND(W2325=1,O2325="HALLUCINATION")</x:f>
        <x:v>0</x:v>
      </x:c>
      <x:c r="Y2325" s="43" t="n">
        <x:f>--AND(Q2325=1,O2325="HALLUCINATION")</x:f>
        <x:v>0</x:v>
      </x:c>
      <x:c r="Z2325" s="43" t="n">
        <x:f>--AND(Y2325=1,R2325=1,S2325=1)</x:f>
        <x:v>0</x:v>
      </x:c>
      <x:c r="AC2325" t="str">
        <x:f>IF(OR(AA2325="",AB2325=""),"",--(AA2325&lt;&gt;AB2325))</x:f>
      </x:c>
      <x:c r="AE2325" t="str">
        <x:f>IF(OR(AA2325="",AB2325=""),"PENDING_HUMAN",IF(AA2325=AB2325,AA2325,IF(AD2325&lt;&gt;"",AD2325,"PENDING_HUMAN")))</x:f>
        <x:v>PENDING_HUMAN</x:v>
      </x:c>
      <x:c r="AF2325" t="n">
        <x:f>--AND(A2325&lt;&gt;"",AA2325&lt;&gt;"",AB2325&lt;&gt;"",OR(AA2325=AB2325,AD2325&lt;&gt;""),IF(AE2325="HALLUCINATION",U2325&lt;&gt;"",TRUE))</x:f>
        <x:v>0</x:v>
      </x:c>
      <x:c r="AG2325" t="n">
        <x:f>--AND(N2325=1,AF2325=1,OR(AE2325="SUPPORTED",AE2325="HALLUCINATION"))</x:f>
        <x:v>0</x:v>
      </x:c>
      <x:c r="AH2325" t="n">
        <x:f>--AND(AG2325=1,AE2325="HALLUCINATION")</x:f>
        <x:v>0</x:v>
      </x:c>
      <x:c r="AI2325" t="n">
        <x:f>--AND(Q2325=1,AF2325=1,AE2325="HALLUCINATION")</x:f>
        <x:v>0</x:v>
      </x:c>
      <x:c r="AJ2325" t="n">
        <x:f>--AND(AI2325=1,R2325=1,S2325=1)</x:f>
        <x:v>0</x:v>
      </x:c>
    </x:row>
    <x:row r="2326">
      <x:c r="A2326" s="28"/>
      <x:c r="B2326" s="28"/>
      <x:c r="C2326" s="28"/>
      <x:c r="D2326" s="28"/>
      <x:c r="E2326" s="28"/>
      <x:c r="F2326" s="28"/>
      <x:c r="G2326" s="28"/>
      <x:c r="H2326" s="28"/>
      <x:c r="I2326" s="28"/>
      <x:c r="J2326" s="28"/>
      <x:c r="K2326" s="28"/>
      <x:c r="L2326" s="28"/>
      <x:c r="M2326" s="28"/>
      <x:c r="N2326" s="28"/>
      <x:c r="O2326" s="28"/>
      <x:c r="P2326" s="28"/>
      <x:c r="Q2326" s="28"/>
      <x:c r="R2326" s="28"/>
      <x:c r="S2326" s="28"/>
      <x:c r="T2326" s="28"/>
      <x:c r="U2326" s="28"/>
      <x:c r="V2326" s="28"/>
      <x:c r="W2326" s="43" t="n">
        <x:f>--AND(N2326=1,OR(O2326="SUPPORTED",O2326="HALLUCINATION"))</x:f>
        <x:v>0</x:v>
      </x:c>
      <x:c r="X2326" s="43" t="n">
        <x:f>--AND(W2326=1,O2326="HALLUCINATION")</x:f>
        <x:v>0</x:v>
      </x:c>
      <x:c r="Y2326" s="43" t="n">
        <x:f>--AND(Q2326=1,O2326="HALLUCINATION")</x:f>
        <x:v>0</x:v>
      </x:c>
      <x:c r="Z2326" s="43" t="n">
        <x:f>--AND(Y2326=1,R2326=1,S2326=1)</x:f>
        <x:v>0</x:v>
      </x:c>
      <x:c r="AC2326" t="str">
        <x:f>IF(OR(AA2326="",AB2326=""),"",--(AA2326&lt;&gt;AB2326))</x:f>
      </x:c>
      <x:c r="AE2326" t="str">
        <x:f>IF(OR(AA2326="",AB2326=""),"PENDING_HUMAN",IF(AA2326=AB2326,AA2326,IF(AD2326&lt;&gt;"",AD2326,"PENDING_HUMAN")))</x:f>
        <x:v>PENDING_HUMAN</x:v>
      </x:c>
      <x:c r="AF2326" t="n">
        <x:f>--AND(A2326&lt;&gt;"",AA2326&lt;&gt;"",AB2326&lt;&gt;"",OR(AA2326=AB2326,AD2326&lt;&gt;""),IF(AE2326="HALLUCINATION",U2326&lt;&gt;"",TRUE))</x:f>
        <x:v>0</x:v>
      </x:c>
      <x:c r="AG2326" t="n">
        <x:f>--AND(N2326=1,AF2326=1,OR(AE2326="SUPPORTED",AE2326="HALLUCINATION"))</x:f>
        <x:v>0</x:v>
      </x:c>
      <x:c r="AH2326" t="n">
        <x:f>--AND(AG2326=1,AE2326="HALLUCINATION")</x:f>
        <x:v>0</x:v>
      </x:c>
      <x:c r="AI2326" t="n">
        <x:f>--AND(Q2326=1,AF2326=1,AE2326="HALLUCINATION")</x:f>
        <x:v>0</x:v>
      </x:c>
      <x:c r="AJ2326" t="n">
        <x:f>--AND(AI2326=1,R2326=1,S2326=1)</x:f>
        <x:v>0</x:v>
      </x:c>
    </x:row>
    <x:row r="2327">
      <x:c r="A2327" s="28"/>
      <x:c r="B2327" s="28"/>
      <x:c r="C2327" s="28"/>
      <x:c r="D2327" s="28"/>
      <x:c r="E2327" s="28"/>
      <x:c r="F2327" s="28"/>
      <x:c r="G2327" s="28"/>
      <x:c r="H2327" s="28"/>
      <x:c r="I2327" s="28"/>
      <x:c r="J2327" s="28"/>
      <x:c r="K2327" s="28"/>
      <x:c r="L2327" s="28"/>
      <x:c r="M2327" s="28"/>
      <x:c r="N2327" s="28"/>
      <x:c r="O2327" s="28"/>
      <x:c r="P2327" s="28"/>
      <x:c r="Q2327" s="28"/>
      <x:c r="R2327" s="28"/>
      <x:c r="S2327" s="28"/>
      <x:c r="T2327" s="28"/>
      <x:c r="U2327" s="28"/>
      <x:c r="V2327" s="28"/>
      <x:c r="W2327" s="43" t="n">
        <x:f>--AND(N2327=1,OR(O2327="SUPPORTED",O2327="HALLUCINATION"))</x:f>
        <x:v>0</x:v>
      </x:c>
      <x:c r="X2327" s="43" t="n">
        <x:f>--AND(W2327=1,O2327="HALLUCINATION")</x:f>
        <x:v>0</x:v>
      </x:c>
      <x:c r="Y2327" s="43" t="n">
        <x:f>--AND(Q2327=1,O2327="HALLUCINATION")</x:f>
        <x:v>0</x:v>
      </x:c>
      <x:c r="Z2327" s="43" t="n">
        <x:f>--AND(Y2327=1,R2327=1,S2327=1)</x:f>
        <x:v>0</x:v>
      </x:c>
      <x:c r="AC2327" t="str">
        <x:f>IF(OR(AA2327="",AB2327=""),"",--(AA2327&lt;&gt;AB2327))</x:f>
      </x:c>
      <x:c r="AE2327" t="str">
        <x:f>IF(OR(AA2327="",AB2327=""),"PENDING_HUMAN",IF(AA2327=AB2327,AA2327,IF(AD2327&lt;&gt;"",AD2327,"PENDING_HUMAN")))</x:f>
        <x:v>PENDING_HUMAN</x:v>
      </x:c>
      <x:c r="AF2327" t="n">
        <x:f>--AND(A2327&lt;&gt;"",AA2327&lt;&gt;"",AB2327&lt;&gt;"",OR(AA2327=AB2327,AD2327&lt;&gt;""),IF(AE2327="HALLUCINATION",U2327&lt;&gt;"",TRUE))</x:f>
        <x:v>0</x:v>
      </x:c>
      <x:c r="AG2327" t="n">
        <x:f>--AND(N2327=1,AF2327=1,OR(AE2327="SUPPORTED",AE2327="HALLUCINATION"))</x:f>
        <x:v>0</x:v>
      </x:c>
      <x:c r="AH2327" t="n">
        <x:f>--AND(AG2327=1,AE2327="HALLUCINATION")</x:f>
        <x:v>0</x:v>
      </x:c>
      <x:c r="AI2327" t="n">
        <x:f>--AND(Q2327=1,AF2327=1,AE2327="HALLUCINATION")</x:f>
        <x:v>0</x:v>
      </x:c>
      <x:c r="AJ2327" t="n">
        <x:f>--AND(AI2327=1,R2327=1,S2327=1)</x:f>
        <x:v>0</x:v>
      </x:c>
    </x:row>
    <x:row r="2328">
      <x:c r="A2328" s="28"/>
      <x:c r="B2328" s="28"/>
      <x:c r="C2328" s="28"/>
      <x:c r="D2328" s="28"/>
      <x:c r="E2328" s="28"/>
      <x:c r="F2328" s="28"/>
      <x:c r="G2328" s="28"/>
      <x:c r="H2328" s="28"/>
      <x:c r="I2328" s="28"/>
      <x:c r="J2328" s="28"/>
      <x:c r="K2328" s="28"/>
      <x:c r="L2328" s="28"/>
      <x:c r="M2328" s="28"/>
      <x:c r="N2328" s="28"/>
      <x:c r="O2328" s="28"/>
      <x:c r="P2328" s="28"/>
      <x:c r="Q2328" s="28"/>
      <x:c r="R2328" s="28"/>
      <x:c r="S2328" s="28"/>
      <x:c r="T2328" s="28"/>
      <x:c r="U2328" s="28"/>
      <x:c r="V2328" s="28"/>
      <x:c r="W2328" s="43" t="n">
        <x:f>--AND(N2328=1,OR(O2328="SUPPORTED",O2328="HALLUCINATION"))</x:f>
        <x:v>0</x:v>
      </x:c>
      <x:c r="X2328" s="43" t="n">
        <x:f>--AND(W2328=1,O2328="HALLUCINATION")</x:f>
        <x:v>0</x:v>
      </x:c>
      <x:c r="Y2328" s="43" t="n">
        <x:f>--AND(Q2328=1,O2328="HALLUCINATION")</x:f>
        <x:v>0</x:v>
      </x:c>
      <x:c r="Z2328" s="43" t="n">
        <x:f>--AND(Y2328=1,R2328=1,S2328=1)</x:f>
        <x:v>0</x:v>
      </x:c>
      <x:c r="AC2328" t="str">
        <x:f>IF(OR(AA2328="",AB2328=""),"",--(AA2328&lt;&gt;AB2328))</x:f>
      </x:c>
      <x:c r="AE2328" t="str">
        <x:f>IF(OR(AA2328="",AB2328=""),"PENDING_HUMAN",IF(AA2328=AB2328,AA2328,IF(AD2328&lt;&gt;"",AD2328,"PENDING_HUMAN")))</x:f>
        <x:v>PENDING_HUMAN</x:v>
      </x:c>
      <x:c r="AF2328" t="n">
        <x:f>--AND(A2328&lt;&gt;"",AA2328&lt;&gt;"",AB2328&lt;&gt;"",OR(AA2328=AB2328,AD2328&lt;&gt;""),IF(AE2328="HALLUCINATION",U2328&lt;&gt;"",TRUE))</x:f>
        <x:v>0</x:v>
      </x:c>
      <x:c r="AG2328" t="n">
        <x:f>--AND(N2328=1,AF2328=1,OR(AE2328="SUPPORTED",AE2328="HALLUCINATION"))</x:f>
        <x:v>0</x:v>
      </x:c>
      <x:c r="AH2328" t="n">
        <x:f>--AND(AG2328=1,AE2328="HALLUCINATION")</x:f>
        <x:v>0</x:v>
      </x:c>
      <x:c r="AI2328" t="n">
        <x:f>--AND(Q2328=1,AF2328=1,AE2328="HALLUCINATION")</x:f>
        <x:v>0</x:v>
      </x:c>
      <x:c r="AJ2328" t="n">
        <x:f>--AND(AI2328=1,R2328=1,S2328=1)</x:f>
        <x:v>0</x:v>
      </x:c>
    </x:row>
    <x:row r="2329">
      <x:c r="A2329" s="28"/>
      <x:c r="B2329" s="28"/>
      <x:c r="C2329" s="28"/>
      <x:c r="D2329" s="28"/>
      <x:c r="E2329" s="28"/>
      <x:c r="F2329" s="28"/>
      <x:c r="G2329" s="28"/>
      <x:c r="H2329" s="28"/>
      <x:c r="I2329" s="28"/>
      <x:c r="J2329" s="28"/>
      <x:c r="K2329" s="28"/>
      <x:c r="L2329" s="28"/>
      <x:c r="M2329" s="28"/>
      <x:c r="N2329" s="28"/>
      <x:c r="O2329" s="28"/>
      <x:c r="P2329" s="28"/>
      <x:c r="Q2329" s="28"/>
      <x:c r="R2329" s="28"/>
      <x:c r="S2329" s="28"/>
      <x:c r="T2329" s="28"/>
      <x:c r="U2329" s="28"/>
      <x:c r="V2329" s="28"/>
      <x:c r="W2329" s="43" t="n">
        <x:f>--AND(N2329=1,OR(O2329="SUPPORTED",O2329="HALLUCINATION"))</x:f>
        <x:v>0</x:v>
      </x:c>
      <x:c r="X2329" s="43" t="n">
        <x:f>--AND(W2329=1,O2329="HALLUCINATION")</x:f>
        <x:v>0</x:v>
      </x:c>
      <x:c r="Y2329" s="43" t="n">
        <x:f>--AND(Q2329=1,O2329="HALLUCINATION")</x:f>
        <x:v>0</x:v>
      </x:c>
      <x:c r="Z2329" s="43" t="n">
        <x:f>--AND(Y2329=1,R2329=1,S2329=1)</x:f>
        <x:v>0</x:v>
      </x:c>
      <x:c r="AC2329" t="str">
        <x:f>IF(OR(AA2329="",AB2329=""),"",--(AA2329&lt;&gt;AB2329))</x:f>
      </x:c>
      <x:c r="AE2329" t="str">
        <x:f>IF(OR(AA2329="",AB2329=""),"PENDING_HUMAN",IF(AA2329=AB2329,AA2329,IF(AD2329&lt;&gt;"",AD2329,"PENDING_HUMAN")))</x:f>
        <x:v>PENDING_HUMAN</x:v>
      </x:c>
      <x:c r="AF2329" t="n">
        <x:f>--AND(A2329&lt;&gt;"",AA2329&lt;&gt;"",AB2329&lt;&gt;"",OR(AA2329=AB2329,AD2329&lt;&gt;""),IF(AE2329="HALLUCINATION",U2329&lt;&gt;"",TRUE))</x:f>
        <x:v>0</x:v>
      </x:c>
      <x:c r="AG2329" t="n">
        <x:f>--AND(N2329=1,AF2329=1,OR(AE2329="SUPPORTED",AE2329="HALLUCINATION"))</x:f>
        <x:v>0</x:v>
      </x:c>
      <x:c r="AH2329" t="n">
        <x:f>--AND(AG2329=1,AE2329="HALLUCINATION")</x:f>
        <x:v>0</x:v>
      </x:c>
      <x:c r="AI2329" t="n">
        <x:f>--AND(Q2329=1,AF2329=1,AE2329="HALLUCINATION")</x:f>
        <x:v>0</x:v>
      </x:c>
      <x:c r="AJ2329" t="n">
        <x:f>--AND(AI2329=1,R2329=1,S2329=1)</x:f>
        <x:v>0</x:v>
      </x:c>
    </x:row>
    <x:row r="2330">
      <x:c r="A2330" s="28"/>
      <x:c r="B2330" s="28"/>
      <x:c r="C2330" s="28"/>
      <x:c r="D2330" s="28"/>
      <x:c r="E2330" s="28"/>
      <x:c r="F2330" s="28"/>
      <x:c r="G2330" s="28"/>
      <x:c r="H2330" s="28"/>
      <x:c r="I2330" s="28"/>
      <x:c r="J2330" s="28"/>
      <x:c r="K2330" s="28"/>
      <x:c r="L2330" s="28"/>
      <x:c r="M2330" s="28"/>
      <x:c r="N2330" s="28"/>
      <x:c r="O2330" s="28"/>
      <x:c r="P2330" s="28"/>
      <x:c r="Q2330" s="28"/>
      <x:c r="R2330" s="28"/>
      <x:c r="S2330" s="28"/>
      <x:c r="T2330" s="28"/>
      <x:c r="U2330" s="28"/>
      <x:c r="V2330" s="28"/>
      <x:c r="W2330" s="43" t="n">
        <x:f>--AND(N2330=1,OR(O2330="SUPPORTED",O2330="HALLUCINATION"))</x:f>
        <x:v>0</x:v>
      </x:c>
      <x:c r="X2330" s="43" t="n">
        <x:f>--AND(W2330=1,O2330="HALLUCINATION")</x:f>
        <x:v>0</x:v>
      </x:c>
      <x:c r="Y2330" s="43" t="n">
        <x:f>--AND(Q2330=1,O2330="HALLUCINATION")</x:f>
        <x:v>0</x:v>
      </x:c>
      <x:c r="Z2330" s="43" t="n">
        <x:f>--AND(Y2330=1,R2330=1,S2330=1)</x:f>
        <x:v>0</x:v>
      </x:c>
      <x:c r="AC2330" t="str">
        <x:f>IF(OR(AA2330="",AB2330=""),"",--(AA2330&lt;&gt;AB2330))</x:f>
      </x:c>
      <x:c r="AE2330" t="str">
        <x:f>IF(OR(AA2330="",AB2330=""),"PENDING_HUMAN",IF(AA2330=AB2330,AA2330,IF(AD2330&lt;&gt;"",AD2330,"PENDING_HUMAN")))</x:f>
        <x:v>PENDING_HUMAN</x:v>
      </x:c>
      <x:c r="AF2330" t="n">
        <x:f>--AND(A2330&lt;&gt;"",AA2330&lt;&gt;"",AB2330&lt;&gt;"",OR(AA2330=AB2330,AD2330&lt;&gt;""),IF(AE2330="HALLUCINATION",U2330&lt;&gt;"",TRUE))</x:f>
        <x:v>0</x:v>
      </x:c>
      <x:c r="AG2330" t="n">
        <x:f>--AND(N2330=1,AF2330=1,OR(AE2330="SUPPORTED",AE2330="HALLUCINATION"))</x:f>
        <x:v>0</x:v>
      </x:c>
      <x:c r="AH2330" t="n">
        <x:f>--AND(AG2330=1,AE2330="HALLUCINATION")</x:f>
        <x:v>0</x:v>
      </x:c>
      <x:c r="AI2330" t="n">
        <x:f>--AND(Q2330=1,AF2330=1,AE2330="HALLUCINATION")</x:f>
        <x:v>0</x:v>
      </x:c>
      <x:c r="AJ2330" t="n">
        <x:f>--AND(AI2330=1,R2330=1,S2330=1)</x:f>
        <x:v>0</x:v>
      </x:c>
    </x:row>
    <x:row r="2331">
      <x:c r="A2331" s="28"/>
      <x:c r="B2331" s="28"/>
      <x:c r="C2331" s="28"/>
      <x:c r="D2331" s="28"/>
      <x:c r="E2331" s="28"/>
      <x:c r="F2331" s="28"/>
      <x:c r="G2331" s="28"/>
      <x:c r="H2331" s="28"/>
      <x:c r="I2331" s="28"/>
      <x:c r="J2331" s="28"/>
      <x:c r="K2331" s="28"/>
      <x:c r="L2331" s="28"/>
      <x:c r="M2331" s="28"/>
      <x:c r="N2331" s="28"/>
      <x:c r="O2331" s="28"/>
      <x:c r="P2331" s="28"/>
      <x:c r="Q2331" s="28"/>
      <x:c r="R2331" s="28"/>
      <x:c r="S2331" s="28"/>
      <x:c r="T2331" s="28"/>
      <x:c r="U2331" s="28"/>
      <x:c r="V2331" s="28"/>
      <x:c r="W2331" s="43" t="n">
        <x:f>--AND(N2331=1,OR(O2331="SUPPORTED",O2331="HALLUCINATION"))</x:f>
        <x:v>0</x:v>
      </x:c>
      <x:c r="X2331" s="43" t="n">
        <x:f>--AND(W2331=1,O2331="HALLUCINATION")</x:f>
        <x:v>0</x:v>
      </x:c>
      <x:c r="Y2331" s="43" t="n">
        <x:f>--AND(Q2331=1,O2331="HALLUCINATION")</x:f>
        <x:v>0</x:v>
      </x:c>
      <x:c r="Z2331" s="43" t="n">
        <x:f>--AND(Y2331=1,R2331=1,S2331=1)</x:f>
        <x:v>0</x:v>
      </x:c>
      <x:c r="AC2331" t="str">
        <x:f>IF(OR(AA2331="",AB2331=""),"",--(AA2331&lt;&gt;AB2331))</x:f>
      </x:c>
      <x:c r="AE2331" t="str">
        <x:f>IF(OR(AA2331="",AB2331=""),"PENDING_HUMAN",IF(AA2331=AB2331,AA2331,IF(AD2331&lt;&gt;"",AD2331,"PENDING_HUMAN")))</x:f>
        <x:v>PENDING_HUMAN</x:v>
      </x:c>
      <x:c r="AF2331" t="n">
        <x:f>--AND(A2331&lt;&gt;"",AA2331&lt;&gt;"",AB2331&lt;&gt;"",OR(AA2331=AB2331,AD2331&lt;&gt;""),IF(AE2331="HALLUCINATION",U2331&lt;&gt;"",TRUE))</x:f>
        <x:v>0</x:v>
      </x:c>
      <x:c r="AG2331" t="n">
        <x:f>--AND(N2331=1,AF2331=1,OR(AE2331="SUPPORTED",AE2331="HALLUCINATION"))</x:f>
        <x:v>0</x:v>
      </x:c>
      <x:c r="AH2331" t="n">
        <x:f>--AND(AG2331=1,AE2331="HALLUCINATION")</x:f>
        <x:v>0</x:v>
      </x:c>
      <x:c r="AI2331" t="n">
        <x:f>--AND(Q2331=1,AF2331=1,AE2331="HALLUCINATION")</x:f>
        <x:v>0</x:v>
      </x:c>
      <x:c r="AJ2331" t="n">
        <x:f>--AND(AI2331=1,R2331=1,S2331=1)</x:f>
        <x:v>0</x:v>
      </x:c>
    </x:row>
    <x:row r="2332">
      <x:c r="A2332" s="28"/>
      <x:c r="B2332" s="28"/>
      <x:c r="C2332" s="28"/>
      <x:c r="D2332" s="28"/>
      <x:c r="E2332" s="28"/>
      <x:c r="F2332" s="28"/>
      <x:c r="G2332" s="28"/>
      <x:c r="H2332" s="28"/>
      <x:c r="I2332" s="28"/>
      <x:c r="J2332" s="28"/>
      <x:c r="K2332" s="28"/>
      <x:c r="L2332" s="28"/>
      <x:c r="M2332" s="28"/>
      <x:c r="N2332" s="28"/>
      <x:c r="O2332" s="28"/>
      <x:c r="P2332" s="28"/>
      <x:c r="Q2332" s="28"/>
      <x:c r="R2332" s="28"/>
      <x:c r="S2332" s="28"/>
      <x:c r="T2332" s="28"/>
      <x:c r="U2332" s="28"/>
      <x:c r="V2332" s="28"/>
      <x:c r="W2332" s="43" t="n">
        <x:f>--AND(N2332=1,OR(O2332="SUPPORTED",O2332="HALLUCINATION"))</x:f>
        <x:v>0</x:v>
      </x:c>
      <x:c r="X2332" s="43" t="n">
        <x:f>--AND(W2332=1,O2332="HALLUCINATION")</x:f>
        <x:v>0</x:v>
      </x:c>
      <x:c r="Y2332" s="43" t="n">
        <x:f>--AND(Q2332=1,O2332="HALLUCINATION")</x:f>
        <x:v>0</x:v>
      </x:c>
      <x:c r="Z2332" s="43" t="n">
        <x:f>--AND(Y2332=1,R2332=1,S2332=1)</x:f>
        <x:v>0</x:v>
      </x:c>
      <x:c r="AC2332" t="str">
        <x:f>IF(OR(AA2332="",AB2332=""),"",--(AA2332&lt;&gt;AB2332))</x:f>
      </x:c>
      <x:c r="AE2332" t="str">
        <x:f>IF(OR(AA2332="",AB2332=""),"PENDING_HUMAN",IF(AA2332=AB2332,AA2332,IF(AD2332&lt;&gt;"",AD2332,"PENDING_HUMAN")))</x:f>
        <x:v>PENDING_HUMAN</x:v>
      </x:c>
      <x:c r="AF2332" t="n">
        <x:f>--AND(A2332&lt;&gt;"",AA2332&lt;&gt;"",AB2332&lt;&gt;"",OR(AA2332=AB2332,AD2332&lt;&gt;""),IF(AE2332="HALLUCINATION",U2332&lt;&gt;"",TRUE))</x:f>
        <x:v>0</x:v>
      </x:c>
      <x:c r="AG2332" t="n">
        <x:f>--AND(N2332=1,AF2332=1,OR(AE2332="SUPPORTED",AE2332="HALLUCINATION"))</x:f>
        <x:v>0</x:v>
      </x:c>
      <x:c r="AH2332" t="n">
        <x:f>--AND(AG2332=1,AE2332="HALLUCINATION")</x:f>
        <x:v>0</x:v>
      </x:c>
      <x:c r="AI2332" t="n">
        <x:f>--AND(Q2332=1,AF2332=1,AE2332="HALLUCINATION")</x:f>
        <x:v>0</x:v>
      </x:c>
      <x:c r="AJ2332" t="n">
        <x:f>--AND(AI2332=1,R2332=1,S2332=1)</x:f>
        <x:v>0</x:v>
      </x:c>
    </x:row>
    <x:row r="2333">
      <x:c r="A2333" s="28"/>
      <x:c r="B2333" s="28"/>
      <x:c r="C2333" s="28"/>
      <x:c r="D2333" s="28"/>
      <x:c r="E2333" s="28"/>
      <x:c r="F2333" s="28"/>
      <x:c r="G2333" s="28"/>
      <x:c r="H2333" s="28"/>
      <x:c r="I2333" s="28"/>
      <x:c r="J2333" s="28"/>
      <x:c r="K2333" s="28"/>
      <x:c r="L2333" s="28"/>
      <x:c r="M2333" s="28"/>
      <x:c r="N2333" s="28"/>
      <x:c r="O2333" s="28"/>
      <x:c r="P2333" s="28"/>
      <x:c r="Q2333" s="28"/>
      <x:c r="R2333" s="28"/>
      <x:c r="S2333" s="28"/>
      <x:c r="T2333" s="28"/>
      <x:c r="U2333" s="28"/>
      <x:c r="V2333" s="28"/>
      <x:c r="W2333" s="43" t="n">
        <x:f>--AND(N2333=1,OR(O2333="SUPPORTED",O2333="HALLUCINATION"))</x:f>
        <x:v>0</x:v>
      </x:c>
      <x:c r="X2333" s="43" t="n">
        <x:f>--AND(W2333=1,O2333="HALLUCINATION")</x:f>
        <x:v>0</x:v>
      </x:c>
      <x:c r="Y2333" s="43" t="n">
        <x:f>--AND(Q2333=1,O2333="HALLUCINATION")</x:f>
        <x:v>0</x:v>
      </x:c>
      <x:c r="Z2333" s="43" t="n">
        <x:f>--AND(Y2333=1,R2333=1,S2333=1)</x:f>
        <x:v>0</x:v>
      </x:c>
      <x:c r="AC2333" t="str">
        <x:f>IF(OR(AA2333="",AB2333=""),"",--(AA2333&lt;&gt;AB2333))</x:f>
      </x:c>
      <x:c r="AE2333" t="str">
        <x:f>IF(OR(AA2333="",AB2333=""),"PENDING_HUMAN",IF(AA2333=AB2333,AA2333,IF(AD2333&lt;&gt;"",AD2333,"PENDING_HUMAN")))</x:f>
        <x:v>PENDING_HUMAN</x:v>
      </x:c>
      <x:c r="AF2333" t="n">
        <x:f>--AND(A2333&lt;&gt;"",AA2333&lt;&gt;"",AB2333&lt;&gt;"",OR(AA2333=AB2333,AD2333&lt;&gt;""),IF(AE2333="HALLUCINATION",U2333&lt;&gt;"",TRUE))</x:f>
        <x:v>0</x:v>
      </x:c>
      <x:c r="AG2333" t="n">
        <x:f>--AND(N2333=1,AF2333=1,OR(AE2333="SUPPORTED",AE2333="HALLUCINATION"))</x:f>
        <x:v>0</x:v>
      </x:c>
      <x:c r="AH2333" t="n">
        <x:f>--AND(AG2333=1,AE2333="HALLUCINATION")</x:f>
        <x:v>0</x:v>
      </x:c>
      <x:c r="AI2333" t="n">
        <x:f>--AND(Q2333=1,AF2333=1,AE2333="HALLUCINATION")</x:f>
        <x:v>0</x:v>
      </x:c>
      <x:c r="AJ2333" t="n">
        <x:f>--AND(AI2333=1,R2333=1,S2333=1)</x:f>
        <x:v>0</x:v>
      </x:c>
    </x:row>
    <x:row r="2334">
      <x:c r="A2334" s="28"/>
      <x:c r="B2334" s="28"/>
      <x:c r="C2334" s="28"/>
      <x:c r="D2334" s="28"/>
      <x:c r="E2334" s="28"/>
      <x:c r="F2334" s="28"/>
      <x:c r="G2334" s="28"/>
      <x:c r="H2334" s="28"/>
      <x:c r="I2334" s="28"/>
      <x:c r="J2334" s="28"/>
      <x:c r="K2334" s="28"/>
      <x:c r="L2334" s="28"/>
      <x:c r="M2334" s="28"/>
      <x:c r="N2334" s="28"/>
      <x:c r="O2334" s="28"/>
      <x:c r="P2334" s="28"/>
      <x:c r="Q2334" s="28"/>
      <x:c r="R2334" s="28"/>
      <x:c r="S2334" s="28"/>
      <x:c r="T2334" s="28"/>
      <x:c r="U2334" s="28"/>
      <x:c r="V2334" s="28"/>
      <x:c r="W2334" s="43" t="n">
        <x:f>--AND(N2334=1,OR(O2334="SUPPORTED",O2334="HALLUCINATION"))</x:f>
        <x:v>0</x:v>
      </x:c>
      <x:c r="X2334" s="43" t="n">
        <x:f>--AND(W2334=1,O2334="HALLUCINATION")</x:f>
        <x:v>0</x:v>
      </x:c>
      <x:c r="Y2334" s="43" t="n">
        <x:f>--AND(Q2334=1,O2334="HALLUCINATION")</x:f>
        <x:v>0</x:v>
      </x:c>
      <x:c r="Z2334" s="43" t="n">
        <x:f>--AND(Y2334=1,R2334=1,S2334=1)</x:f>
        <x:v>0</x:v>
      </x:c>
      <x:c r="AC2334" t="str">
        <x:f>IF(OR(AA2334="",AB2334=""),"",--(AA2334&lt;&gt;AB2334))</x:f>
      </x:c>
      <x:c r="AE2334" t="str">
        <x:f>IF(OR(AA2334="",AB2334=""),"PENDING_HUMAN",IF(AA2334=AB2334,AA2334,IF(AD2334&lt;&gt;"",AD2334,"PENDING_HUMAN")))</x:f>
        <x:v>PENDING_HUMAN</x:v>
      </x:c>
      <x:c r="AF2334" t="n">
        <x:f>--AND(A2334&lt;&gt;"",AA2334&lt;&gt;"",AB2334&lt;&gt;"",OR(AA2334=AB2334,AD2334&lt;&gt;""),IF(AE2334="HALLUCINATION",U2334&lt;&gt;"",TRUE))</x:f>
        <x:v>0</x:v>
      </x:c>
      <x:c r="AG2334" t="n">
        <x:f>--AND(N2334=1,AF2334=1,OR(AE2334="SUPPORTED",AE2334="HALLUCINATION"))</x:f>
        <x:v>0</x:v>
      </x:c>
      <x:c r="AH2334" t="n">
        <x:f>--AND(AG2334=1,AE2334="HALLUCINATION")</x:f>
        <x:v>0</x:v>
      </x:c>
      <x:c r="AI2334" t="n">
        <x:f>--AND(Q2334=1,AF2334=1,AE2334="HALLUCINATION")</x:f>
        <x:v>0</x:v>
      </x:c>
      <x:c r="AJ2334" t="n">
        <x:f>--AND(AI2334=1,R2334=1,S2334=1)</x:f>
        <x:v>0</x:v>
      </x:c>
    </x:row>
    <x:row r="2335">
      <x:c r="A2335" s="28"/>
      <x:c r="B2335" s="28"/>
      <x:c r="C2335" s="28"/>
      <x:c r="D2335" s="28"/>
      <x:c r="E2335" s="28"/>
      <x:c r="F2335" s="28"/>
      <x:c r="G2335" s="28"/>
      <x:c r="H2335" s="28"/>
      <x:c r="I2335" s="28"/>
      <x:c r="J2335" s="28"/>
      <x:c r="K2335" s="28"/>
      <x:c r="L2335" s="28"/>
      <x:c r="M2335" s="28"/>
      <x:c r="N2335" s="28"/>
      <x:c r="O2335" s="28"/>
      <x:c r="P2335" s="28"/>
      <x:c r="Q2335" s="28"/>
      <x:c r="R2335" s="28"/>
      <x:c r="S2335" s="28"/>
      <x:c r="T2335" s="28"/>
      <x:c r="U2335" s="28"/>
      <x:c r="V2335" s="28"/>
      <x:c r="W2335" s="43" t="n">
        <x:f>--AND(N2335=1,OR(O2335="SUPPORTED",O2335="HALLUCINATION"))</x:f>
        <x:v>0</x:v>
      </x:c>
      <x:c r="X2335" s="43" t="n">
        <x:f>--AND(W2335=1,O2335="HALLUCINATION")</x:f>
        <x:v>0</x:v>
      </x:c>
      <x:c r="Y2335" s="43" t="n">
        <x:f>--AND(Q2335=1,O2335="HALLUCINATION")</x:f>
        <x:v>0</x:v>
      </x:c>
      <x:c r="Z2335" s="43" t="n">
        <x:f>--AND(Y2335=1,R2335=1,S2335=1)</x:f>
        <x:v>0</x:v>
      </x:c>
      <x:c r="AC2335" t="str">
        <x:f>IF(OR(AA2335="",AB2335=""),"",--(AA2335&lt;&gt;AB2335))</x:f>
      </x:c>
      <x:c r="AE2335" t="str">
        <x:f>IF(OR(AA2335="",AB2335=""),"PENDING_HUMAN",IF(AA2335=AB2335,AA2335,IF(AD2335&lt;&gt;"",AD2335,"PENDING_HUMAN")))</x:f>
        <x:v>PENDING_HUMAN</x:v>
      </x:c>
      <x:c r="AF2335" t="n">
        <x:f>--AND(A2335&lt;&gt;"",AA2335&lt;&gt;"",AB2335&lt;&gt;"",OR(AA2335=AB2335,AD2335&lt;&gt;""),IF(AE2335="HALLUCINATION",U2335&lt;&gt;"",TRUE))</x:f>
        <x:v>0</x:v>
      </x:c>
      <x:c r="AG2335" t="n">
        <x:f>--AND(N2335=1,AF2335=1,OR(AE2335="SUPPORTED",AE2335="HALLUCINATION"))</x:f>
        <x:v>0</x:v>
      </x:c>
      <x:c r="AH2335" t="n">
        <x:f>--AND(AG2335=1,AE2335="HALLUCINATION")</x:f>
        <x:v>0</x:v>
      </x:c>
      <x:c r="AI2335" t="n">
        <x:f>--AND(Q2335=1,AF2335=1,AE2335="HALLUCINATION")</x:f>
        <x:v>0</x:v>
      </x:c>
      <x:c r="AJ2335" t="n">
        <x:f>--AND(AI2335=1,R2335=1,S2335=1)</x:f>
        <x:v>0</x:v>
      </x:c>
    </x:row>
    <x:row r="2336">
      <x:c r="A2336" s="28"/>
      <x:c r="B2336" s="28"/>
      <x:c r="C2336" s="28"/>
      <x:c r="D2336" s="28"/>
      <x:c r="E2336" s="28"/>
      <x:c r="F2336" s="28"/>
      <x:c r="G2336" s="28"/>
      <x:c r="H2336" s="28"/>
      <x:c r="I2336" s="28"/>
      <x:c r="J2336" s="28"/>
      <x:c r="K2336" s="28"/>
      <x:c r="L2336" s="28"/>
      <x:c r="M2336" s="28"/>
      <x:c r="N2336" s="28"/>
      <x:c r="O2336" s="28"/>
      <x:c r="P2336" s="28"/>
      <x:c r="Q2336" s="28"/>
      <x:c r="R2336" s="28"/>
      <x:c r="S2336" s="28"/>
      <x:c r="T2336" s="28"/>
      <x:c r="U2336" s="28"/>
      <x:c r="V2336" s="28"/>
      <x:c r="W2336" s="43" t="n">
        <x:f>--AND(N2336=1,OR(O2336="SUPPORTED",O2336="HALLUCINATION"))</x:f>
        <x:v>0</x:v>
      </x:c>
      <x:c r="X2336" s="43" t="n">
        <x:f>--AND(W2336=1,O2336="HALLUCINATION")</x:f>
        <x:v>0</x:v>
      </x:c>
      <x:c r="Y2336" s="43" t="n">
        <x:f>--AND(Q2336=1,O2336="HALLUCINATION")</x:f>
        <x:v>0</x:v>
      </x:c>
      <x:c r="Z2336" s="43" t="n">
        <x:f>--AND(Y2336=1,R2336=1,S2336=1)</x:f>
        <x:v>0</x:v>
      </x:c>
      <x:c r="AC2336" t="str">
        <x:f>IF(OR(AA2336="",AB2336=""),"",--(AA2336&lt;&gt;AB2336))</x:f>
      </x:c>
      <x:c r="AE2336" t="str">
        <x:f>IF(OR(AA2336="",AB2336=""),"PENDING_HUMAN",IF(AA2336=AB2336,AA2336,IF(AD2336&lt;&gt;"",AD2336,"PENDING_HUMAN")))</x:f>
        <x:v>PENDING_HUMAN</x:v>
      </x:c>
      <x:c r="AF2336" t="n">
        <x:f>--AND(A2336&lt;&gt;"",AA2336&lt;&gt;"",AB2336&lt;&gt;"",OR(AA2336=AB2336,AD2336&lt;&gt;""),IF(AE2336="HALLUCINATION",U2336&lt;&gt;"",TRUE))</x:f>
        <x:v>0</x:v>
      </x:c>
      <x:c r="AG2336" t="n">
        <x:f>--AND(N2336=1,AF2336=1,OR(AE2336="SUPPORTED",AE2336="HALLUCINATION"))</x:f>
        <x:v>0</x:v>
      </x:c>
      <x:c r="AH2336" t="n">
        <x:f>--AND(AG2336=1,AE2336="HALLUCINATION")</x:f>
        <x:v>0</x:v>
      </x:c>
      <x:c r="AI2336" t="n">
        <x:f>--AND(Q2336=1,AF2336=1,AE2336="HALLUCINATION")</x:f>
        <x:v>0</x:v>
      </x:c>
      <x:c r="AJ2336" t="n">
        <x:f>--AND(AI2336=1,R2336=1,S2336=1)</x:f>
        <x:v>0</x:v>
      </x:c>
    </x:row>
    <x:row r="2337">
      <x:c r="A2337" s="28"/>
      <x:c r="B2337" s="28"/>
      <x:c r="C2337" s="28"/>
      <x:c r="D2337" s="28"/>
      <x:c r="E2337" s="28"/>
      <x:c r="F2337" s="28"/>
      <x:c r="G2337" s="28"/>
      <x:c r="H2337" s="28"/>
      <x:c r="I2337" s="28"/>
      <x:c r="J2337" s="28"/>
      <x:c r="K2337" s="28"/>
      <x:c r="L2337" s="28"/>
      <x:c r="M2337" s="28"/>
      <x:c r="N2337" s="28"/>
      <x:c r="O2337" s="28"/>
      <x:c r="P2337" s="28"/>
      <x:c r="Q2337" s="28"/>
      <x:c r="R2337" s="28"/>
      <x:c r="S2337" s="28"/>
      <x:c r="T2337" s="28"/>
      <x:c r="U2337" s="28"/>
      <x:c r="V2337" s="28"/>
      <x:c r="W2337" s="43" t="n">
        <x:f>--AND(N2337=1,OR(O2337="SUPPORTED",O2337="HALLUCINATION"))</x:f>
        <x:v>0</x:v>
      </x:c>
      <x:c r="X2337" s="43" t="n">
        <x:f>--AND(W2337=1,O2337="HALLUCINATION")</x:f>
        <x:v>0</x:v>
      </x:c>
      <x:c r="Y2337" s="43" t="n">
        <x:f>--AND(Q2337=1,O2337="HALLUCINATION")</x:f>
        <x:v>0</x:v>
      </x:c>
      <x:c r="Z2337" s="43" t="n">
        <x:f>--AND(Y2337=1,R2337=1,S2337=1)</x:f>
        <x:v>0</x:v>
      </x:c>
      <x:c r="AC2337" t="str">
        <x:f>IF(OR(AA2337="",AB2337=""),"",--(AA2337&lt;&gt;AB2337))</x:f>
      </x:c>
      <x:c r="AE2337" t="str">
        <x:f>IF(OR(AA2337="",AB2337=""),"PENDING_HUMAN",IF(AA2337=AB2337,AA2337,IF(AD2337&lt;&gt;"",AD2337,"PENDING_HUMAN")))</x:f>
        <x:v>PENDING_HUMAN</x:v>
      </x:c>
      <x:c r="AF2337" t="n">
        <x:f>--AND(A2337&lt;&gt;"",AA2337&lt;&gt;"",AB2337&lt;&gt;"",OR(AA2337=AB2337,AD2337&lt;&gt;""),IF(AE2337="HALLUCINATION",U2337&lt;&gt;"",TRUE))</x:f>
        <x:v>0</x:v>
      </x:c>
      <x:c r="AG2337" t="n">
        <x:f>--AND(N2337=1,AF2337=1,OR(AE2337="SUPPORTED",AE2337="HALLUCINATION"))</x:f>
        <x:v>0</x:v>
      </x:c>
      <x:c r="AH2337" t="n">
        <x:f>--AND(AG2337=1,AE2337="HALLUCINATION")</x:f>
        <x:v>0</x:v>
      </x:c>
      <x:c r="AI2337" t="n">
        <x:f>--AND(Q2337=1,AF2337=1,AE2337="HALLUCINATION")</x:f>
        <x:v>0</x:v>
      </x:c>
      <x:c r="AJ2337" t="n">
        <x:f>--AND(AI2337=1,R2337=1,S2337=1)</x:f>
        <x:v>0</x:v>
      </x:c>
    </x:row>
    <x:row r="2338">
      <x:c r="A2338" s="28"/>
      <x:c r="B2338" s="28"/>
      <x:c r="C2338" s="28"/>
      <x:c r="D2338" s="28"/>
      <x:c r="E2338" s="28"/>
      <x:c r="F2338" s="28"/>
      <x:c r="G2338" s="28"/>
      <x:c r="H2338" s="28"/>
      <x:c r="I2338" s="28"/>
      <x:c r="J2338" s="28"/>
      <x:c r="K2338" s="28"/>
      <x:c r="L2338" s="28"/>
      <x:c r="M2338" s="28"/>
      <x:c r="N2338" s="28"/>
      <x:c r="O2338" s="28"/>
      <x:c r="P2338" s="28"/>
      <x:c r="Q2338" s="28"/>
      <x:c r="R2338" s="28"/>
      <x:c r="S2338" s="28"/>
      <x:c r="T2338" s="28"/>
      <x:c r="U2338" s="28"/>
      <x:c r="V2338" s="28"/>
      <x:c r="W2338" s="43" t="n">
        <x:f>--AND(N2338=1,OR(O2338="SUPPORTED",O2338="HALLUCINATION"))</x:f>
        <x:v>0</x:v>
      </x:c>
      <x:c r="X2338" s="43" t="n">
        <x:f>--AND(W2338=1,O2338="HALLUCINATION")</x:f>
        <x:v>0</x:v>
      </x:c>
      <x:c r="Y2338" s="43" t="n">
        <x:f>--AND(Q2338=1,O2338="HALLUCINATION")</x:f>
        <x:v>0</x:v>
      </x:c>
      <x:c r="Z2338" s="43" t="n">
        <x:f>--AND(Y2338=1,R2338=1,S2338=1)</x:f>
        <x:v>0</x:v>
      </x:c>
      <x:c r="AC2338" t="str">
        <x:f>IF(OR(AA2338="",AB2338=""),"",--(AA2338&lt;&gt;AB2338))</x:f>
      </x:c>
      <x:c r="AE2338" t="str">
        <x:f>IF(OR(AA2338="",AB2338=""),"PENDING_HUMAN",IF(AA2338=AB2338,AA2338,IF(AD2338&lt;&gt;"",AD2338,"PENDING_HUMAN")))</x:f>
        <x:v>PENDING_HUMAN</x:v>
      </x:c>
      <x:c r="AF2338" t="n">
        <x:f>--AND(A2338&lt;&gt;"",AA2338&lt;&gt;"",AB2338&lt;&gt;"",OR(AA2338=AB2338,AD2338&lt;&gt;""),IF(AE2338="HALLUCINATION",U2338&lt;&gt;"",TRUE))</x:f>
        <x:v>0</x:v>
      </x:c>
      <x:c r="AG2338" t="n">
        <x:f>--AND(N2338=1,AF2338=1,OR(AE2338="SUPPORTED",AE2338="HALLUCINATION"))</x:f>
        <x:v>0</x:v>
      </x:c>
      <x:c r="AH2338" t="n">
        <x:f>--AND(AG2338=1,AE2338="HALLUCINATION")</x:f>
        <x:v>0</x:v>
      </x:c>
      <x:c r="AI2338" t="n">
        <x:f>--AND(Q2338=1,AF2338=1,AE2338="HALLUCINATION")</x:f>
        <x:v>0</x:v>
      </x:c>
      <x:c r="AJ2338" t="n">
        <x:f>--AND(AI2338=1,R2338=1,S2338=1)</x:f>
        <x:v>0</x:v>
      </x:c>
    </x:row>
    <x:row r="2339">
      <x:c r="A2339" s="28"/>
      <x:c r="B2339" s="28"/>
      <x:c r="C2339" s="28"/>
      <x:c r="D2339" s="28"/>
      <x:c r="E2339" s="28"/>
      <x:c r="F2339" s="28"/>
      <x:c r="G2339" s="28"/>
      <x:c r="H2339" s="28"/>
      <x:c r="I2339" s="28"/>
      <x:c r="J2339" s="28"/>
      <x:c r="K2339" s="28"/>
      <x:c r="L2339" s="28"/>
      <x:c r="M2339" s="28"/>
      <x:c r="N2339" s="28"/>
      <x:c r="O2339" s="28"/>
      <x:c r="P2339" s="28"/>
      <x:c r="Q2339" s="28"/>
      <x:c r="R2339" s="28"/>
      <x:c r="S2339" s="28"/>
      <x:c r="T2339" s="28"/>
      <x:c r="U2339" s="28"/>
      <x:c r="V2339" s="28"/>
      <x:c r="W2339" s="43" t="n">
        <x:f>--AND(N2339=1,OR(O2339="SUPPORTED",O2339="HALLUCINATION"))</x:f>
        <x:v>0</x:v>
      </x:c>
      <x:c r="X2339" s="43" t="n">
        <x:f>--AND(W2339=1,O2339="HALLUCINATION")</x:f>
        <x:v>0</x:v>
      </x:c>
      <x:c r="Y2339" s="43" t="n">
        <x:f>--AND(Q2339=1,O2339="HALLUCINATION")</x:f>
        <x:v>0</x:v>
      </x:c>
      <x:c r="Z2339" s="43" t="n">
        <x:f>--AND(Y2339=1,R2339=1,S2339=1)</x:f>
        <x:v>0</x:v>
      </x:c>
      <x:c r="AC2339" t="str">
        <x:f>IF(OR(AA2339="",AB2339=""),"",--(AA2339&lt;&gt;AB2339))</x:f>
      </x:c>
      <x:c r="AE2339" t="str">
        <x:f>IF(OR(AA2339="",AB2339=""),"PENDING_HUMAN",IF(AA2339=AB2339,AA2339,IF(AD2339&lt;&gt;"",AD2339,"PENDING_HUMAN")))</x:f>
        <x:v>PENDING_HUMAN</x:v>
      </x:c>
      <x:c r="AF2339" t="n">
        <x:f>--AND(A2339&lt;&gt;"",AA2339&lt;&gt;"",AB2339&lt;&gt;"",OR(AA2339=AB2339,AD2339&lt;&gt;""),IF(AE2339="HALLUCINATION",U2339&lt;&gt;"",TRUE))</x:f>
        <x:v>0</x:v>
      </x:c>
      <x:c r="AG2339" t="n">
        <x:f>--AND(N2339=1,AF2339=1,OR(AE2339="SUPPORTED",AE2339="HALLUCINATION"))</x:f>
        <x:v>0</x:v>
      </x:c>
      <x:c r="AH2339" t="n">
        <x:f>--AND(AG2339=1,AE2339="HALLUCINATION")</x:f>
        <x:v>0</x:v>
      </x:c>
      <x:c r="AI2339" t="n">
        <x:f>--AND(Q2339=1,AF2339=1,AE2339="HALLUCINATION")</x:f>
        <x:v>0</x:v>
      </x:c>
      <x:c r="AJ2339" t="n">
        <x:f>--AND(AI2339=1,R2339=1,S2339=1)</x:f>
        <x:v>0</x:v>
      </x:c>
    </x:row>
    <x:row r="2340">
      <x:c r="A2340" s="28"/>
      <x:c r="B2340" s="28"/>
      <x:c r="C2340" s="28"/>
      <x:c r="D2340" s="28"/>
      <x:c r="E2340" s="28"/>
      <x:c r="F2340" s="28"/>
      <x:c r="G2340" s="28"/>
      <x:c r="H2340" s="28"/>
      <x:c r="I2340" s="28"/>
      <x:c r="J2340" s="28"/>
      <x:c r="K2340" s="28"/>
      <x:c r="L2340" s="28"/>
      <x:c r="M2340" s="28"/>
      <x:c r="N2340" s="28"/>
      <x:c r="O2340" s="28"/>
      <x:c r="P2340" s="28"/>
      <x:c r="Q2340" s="28"/>
      <x:c r="R2340" s="28"/>
      <x:c r="S2340" s="28"/>
      <x:c r="T2340" s="28"/>
      <x:c r="U2340" s="28"/>
      <x:c r="V2340" s="28"/>
      <x:c r="W2340" s="43" t="n">
        <x:f>--AND(N2340=1,OR(O2340="SUPPORTED",O2340="HALLUCINATION"))</x:f>
        <x:v>0</x:v>
      </x:c>
      <x:c r="X2340" s="43" t="n">
        <x:f>--AND(W2340=1,O2340="HALLUCINATION")</x:f>
        <x:v>0</x:v>
      </x:c>
      <x:c r="Y2340" s="43" t="n">
        <x:f>--AND(Q2340=1,O2340="HALLUCINATION")</x:f>
        <x:v>0</x:v>
      </x:c>
      <x:c r="Z2340" s="43" t="n">
        <x:f>--AND(Y2340=1,R2340=1,S2340=1)</x:f>
        <x:v>0</x:v>
      </x:c>
      <x:c r="AC2340" t="str">
        <x:f>IF(OR(AA2340="",AB2340=""),"",--(AA2340&lt;&gt;AB2340))</x:f>
      </x:c>
      <x:c r="AE2340" t="str">
        <x:f>IF(OR(AA2340="",AB2340=""),"PENDING_HUMAN",IF(AA2340=AB2340,AA2340,IF(AD2340&lt;&gt;"",AD2340,"PENDING_HUMAN")))</x:f>
        <x:v>PENDING_HUMAN</x:v>
      </x:c>
      <x:c r="AF2340" t="n">
        <x:f>--AND(A2340&lt;&gt;"",AA2340&lt;&gt;"",AB2340&lt;&gt;"",OR(AA2340=AB2340,AD2340&lt;&gt;""),IF(AE2340="HALLUCINATION",U2340&lt;&gt;"",TRUE))</x:f>
        <x:v>0</x:v>
      </x:c>
      <x:c r="AG2340" t="n">
        <x:f>--AND(N2340=1,AF2340=1,OR(AE2340="SUPPORTED",AE2340="HALLUCINATION"))</x:f>
        <x:v>0</x:v>
      </x:c>
      <x:c r="AH2340" t="n">
        <x:f>--AND(AG2340=1,AE2340="HALLUCINATION")</x:f>
        <x:v>0</x:v>
      </x:c>
      <x:c r="AI2340" t="n">
        <x:f>--AND(Q2340=1,AF2340=1,AE2340="HALLUCINATION")</x:f>
        <x:v>0</x:v>
      </x:c>
      <x:c r="AJ2340" t="n">
        <x:f>--AND(AI2340=1,R2340=1,S2340=1)</x:f>
        <x:v>0</x:v>
      </x:c>
    </x:row>
    <x:row r="2341">
      <x:c r="A2341" s="28"/>
      <x:c r="B2341" s="28"/>
      <x:c r="C2341" s="28"/>
      <x:c r="D2341" s="28"/>
      <x:c r="E2341" s="28"/>
      <x:c r="F2341" s="28"/>
      <x:c r="G2341" s="28"/>
      <x:c r="H2341" s="28"/>
      <x:c r="I2341" s="28"/>
      <x:c r="J2341" s="28"/>
      <x:c r="K2341" s="28"/>
      <x:c r="L2341" s="28"/>
      <x:c r="M2341" s="28"/>
      <x:c r="N2341" s="28"/>
      <x:c r="O2341" s="28"/>
      <x:c r="P2341" s="28"/>
      <x:c r="Q2341" s="28"/>
      <x:c r="R2341" s="28"/>
      <x:c r="S2341" s="28"/>
      <x:c r="T2341" s="28"/>
      <x:c r="U2341" s="28"/>
      <x:c r="V2341" s="28"/>
      <x:c r="W2341" s="43" t="n">
        <x:f>--AND(N2341=1,OR(O2341="SUPPORTED",O2341="HALLUCINATION"))</x:f>
        <x:v>0</x:v>
      </x:c>
      <x:c r="X2341" s="43" t="n">
        <x:f>--AND(W2341=1,O2341="HALLUCINATION")</x:f>
        <x:v>0</x:v>
      </x:c>
      <x:c r="Y2341" s="43" t="n">
        <x:f>--AND(Q2341=1,O2341="HALLUCINATION")</x:f>
        <x:v>0</x:v>
      </x:c>
      <x:c r="Z2341" s="43" t="n">
        <x:f>--AND(Y2341=1,R2341=1,S2341=1)</x:f>
        <x:v>0</x:v>
      </x:c>
      <x:c r="AC2341" t="str">
        <x:f>IF(OR(AA2341="",AB2341=""),"",--(AA2341&lt;&gt;AB2341))</x:f>
      </x:c>
      <x:c r="AE2341" t="str">
        <x:f>IF(OR(AA2341="",AB2341=""),"PENDING_HUMAN",IF(AA2341=AB2341,AA2341,IF(AD2341&lt;&gt;"",AD2341,"PENDING_HUMAN")))</x:f>
        <x:v>PENDING_HUMAN</x:v>
      </x:c>
      <x:c r="AF2341" t="n">
        <x:f>--AND(A2341&lt;&gt;"",AA2341&lt;&gt;"",AB2341&lt;&gt;"",OR(AA2341=AB2341,AD2341&lt;&gt;""),IF(AE2341="HALLUCINATION",U2341&lt;&gt;"",TRUE))</x:f>
        <x:v>0</x:v>
      </x:c>
      <x:c r="AG2341" t="n">
        <x:f>--AND(N2341=1,AF2341=1,OR(AE2341="SUPPORTED",AE2341="HALLUCINATION"))</x:f>
        <x:v>0</x:v>
      </x:c>
      <x:c r="AH2341" t="n">
        <x:f>--AND(AG2341=1,AE2341="HALLUCINATION")</x:f>
        <x:v>0</x:v>
      </x:c>
      <x:c r="AI2341" t="n">
        <x:f>--AND(Q2341=1,AF2341=1,AE2341="HALLUCINATION")</x:f>
        <x:v>0</x:v>
      </x:c>
      <x:c r="AJ2341" t="n">
        <x:f>--AND(AI2341=1,R2341=1,S2341=1)</x:f>
        <x:v>0</x:v>
      </x:c>
    </x:row>
    <x:row r="2342">
      <x:c r="A2342" s="28"/>
      <x:c r="B2342" s="28"/>
      <x:c r="C2342" s="28"/>
      <x:c r="D2342" s="28"/>
      <x:c r="E2342" s="28"/>
      <x:c r="F2342" s="28"/>
      <x:c r="G2342" s="28"/>
      <x:c r="H2342" s="28"/>
      <x:c r="I2342" s="28"/>
      <x:c r="J2342" s="28"/>
      <x:c r="K2342" s="28"/>
      <x:c r="L2342" s="28"/>
      <x:c r="M2342" s="28"/>
      <x:c r="N2342" s="28"/>
      <x:c r="O2342" s="28"/>
      <x:c r="P2342" s="28"/>
      <x:c r="Q2342" s="28"/>
      <x:c r="R2342" s="28"/>
      <x:c r="S2342" s="28"/>
      <x:c r="T2342" s="28"/>
      <x:c r="U2342" s="28"/>
      <x:c r="V2342" s="28"/>
      <x:c r="W2342" s="43" t="n">
        <x:f>--AND(N2342=1,OR(O2342="SUPPORTED",O2342="HALLUCINATION"))</x:f>
        <x:v>0</x:v>
      </x:c>
      <x:c r="X2342" s="43" t="n">
        <x:f>--AND(W2342=1,O2342="HALLUCINATION")</x:f>
        <x:v>0</x:v>
      </x:c>
      <x:c r="Y2342" s="43" t="n">
        <x:f>--AND(Q2342=1,O2342="HALLUCINATION")</x:f>
        <x:v>0</x:v>
      </x:c>
      <x:c r="Z2342" s="43" t="n">
        <x:f>--AND(Y2342=1,R2342=1,S2342=1)</x:f>
        <x:v>0</x:v>
      </x:c>
      <x:c r="AC2342" t="str">
        <x:f>IF(OR(AA2342="",AB2342=""),"",--(AA2342&lt;&gt;AB2342))</x:f>
      </x:c>
      <x:c r="AE2342" t="str">
        <x:f>IF(OR(AA2342="",AB2342=""),"PENDING_HUMAN",IF(AA2342=AB2342,AA2342,IF(AD2342&lt;&gt;"",AD2342,"PENDING_HUMAN")))</x:f>
        <x:v>PENDING_HUMAN</x:v>
      </x:c>
      <x:c r="AF2342" t="n">
        <x:f>--AND(A2342&lt;&gt;"",AA2342&lt;&gt;"",AB2342&lt;&gt;"",OR(AA2342=AB2342,AD2342&lt;&gt;""),IF(AE2342="HALLUCINATION",U2342&lt;&gt;"",TRUE))</x:f>
        <x:v>0</x:v>
      </x:c>
      <x:c r="AG2342" t="n">
        <x:f>--AND(N2342=1,AF2342=1,OR(AE2342="SUPPORTED",AE2342="HALLUCINATION"))</x:f>
        <x:v>0</x:v>
      </x:c>
      <x:c r="AH2342" t="n">
        <x:f>--AND(AG2342=1,AE2342="HALLUCINATION")</x:f>
        <x:v>0</x:v>
      </x:c>
      <x:c r="AI2342" t="n">
        <x:f>--AND(Q2342=1,AF2342=1,AE2342="HALLUCINATION")</x:f>
        <x:v>0</x:v>
      </x:c>
      <x:c r="AJ2342" t="n">
        <x:f>--AND(AI2342=1,R2342=1,S2342=1)</x:f>
        <x:v>0</x:v>
      </x:c>
    </x:row>
    <x:row r="2343">
      <x:c r="A2343" s="28"/>
      <x:c r="B2343" s="28"/>
      <x:c r="C2343" s="28"/>
      <x:c r="D2343" s="28"/>
      <x:c r="E2343" s="28"/>
      <x:c r="F2343" s="28"/>
      <x:c r="G2343" s="28"/>
      <x:c r="H2343" s="28"/>
      <x:c r="I2343" s="28"/>
      <x:c r="J2343" s="28"/>
      <x:c r="K2343" s="28"/>
      <x:c r="L2343" s="28"/>
      <x:c r="M2343" s="28"/>
      <x:c r="N2343" s="28"/>
      <x:c r="O2343" s="28"/>
      <x:c r="P2343" s="28"/>
      <x:c r="Q2343" s="28"/>
      <x:c r="R2343" s="28"/>
      <x:c r="S2343" s="28"/>
      <x:c r="T2343" s="28"/>
      <x:c r="U2343" s="28"/>
      <x:c r="V2343" s="28"/>
      <x:c r="W2343" s="43" t="n">
        <x:f>--AND(N2343=1,OR(O2343="SUPPORTED",O2343="HALLUCINATION"))</x:f>
        <x:v>0</x:v>
      </x:c>
      <x:c r="X2343" s="43" t="n">
        <x:f>--AND(W2343=1,O2343="HALLUCINATION")</x:f>
        <x:v>0</x:v>
      </x:c>
      <x:c r="Y2343" s="43" t="n">
        <x:f>--AND(Q2343=1,O2343="HALLUCINATION")</x:f>
        <x:v>0</x:v>
      </x:c>
      <x:c r="Z2343" s="43" t="n">
        <x:f>--AND(Y2343=1,R2343=1,S2343=1)</x:f>
        <x:v>0</x:v>
      </x:c>
      <x:c r="AC2343" t="str">
        <x:f>IF(OR(AA2343="",AB2343=""),"",--(AA2343&lt;&gt;AB2343))</x:f>
      </x:c>
      <x:c r="AE2343" t="str">
        <x:f>IF(OR(AA2343="",AB2343=""),"PENDING_HUMAN",IF(AA2343=AB2343,AA2343,IF(AD2343&lt;&gt;"",AD2343,"PENDING_HUMAN")))</x:f>
        <x:v>PENDING_HUMAN</x:v>
      </x:c>
      <x:c r="AF2343" t="n">
        <x:f>--AND(A2343&lt;&gt;"",AA2343&lt;&gt;"",AB2343&lt;&gt;"",OR(AA2343=AB2343,AD2343&lt;&gt;""),IF(AE2343="HALLUCINATION",U2343&lt;&gt;"",TRUE))</x:f>
        <x:v>0</x:v>
      </x:c>
      <x:c r="AG2343" t="n">
        <x:f>--AND(N2343=1,AF2343=1,OR(AE2343="SUPPORTED",AE2343="HALLUCINATION"))</x:f>
        <x:v>0</x:v>
      </x:c>
      <x:c r="AH2343" t="n">
        <x:f>--AND(AG2343=1,AE2343="HALLUCINATION")</x:f>
        <x:v>0</x:v>
      </x:c>
      <x:c r="AI2343" t="n">
        <x:f>--AND(Q2343=1,AF2343=1,AE2343="HALLUCINATION")</x:f>
        <x:v>0</x:v>
      </x:c>
      <x:c r="AJ2343" t="n">
        <x:f>--AND(AI2343=1,R2343=1,S2343=1)</x:f>
        <x:v>0</x:v>
      </x:c>
    </x:row>
    <x:row r="2344">
      <x:c r="A2344" s="28"/>
      <x:c r="B2344" s="28"/>
      <x:c r="C2344" s="28"/>
      <x:c r="D2344" s="28"/>
      <x:c r="E2344" s="28"/>
      <x:c r="F2344" s="28"/>
      <x:c r="G2344" s="28"/>
      <x:c r="H2344" s="28"/>
      <x:c r="I2344" s="28"/>
      <x:c r="J2344" s="28"/>
      <x:c r="K2344" s="28"/>
      <x:c r="L2344" s="28"/>
      <x:c r="M2344" s="28"/>
      <x:c r="N2344" s="28"/>
      <x:c r="O2344" s="28"/>
      <x:c r="P2344" s="28"/>
      <x:c r="Q2344" s="28"/>
      <x:c r="R2344" s="28"/>
      <x:c r="S2344" s="28"/>
      <x:c r="T2344" s="28"/>
      <x:c r="U2344" s="28"/>
      <x:c r="V2344" s="28"/>
      <x:c r="W2344" s="43" t="n">
        <x:f>--AND(N2344=1,OR(O2344="SUPPORTED",O2344="HALLUCINATION"))</x:f>
        <x:v>0</x:v>
      </x:c>
      <x:c r="X2344" s="43" t="n">
        <x:f>--AND(W2344=1,O2344="HALLUCINATION")</x:f>
        <x:v>0</x:v>
      </x:c>
      <x:c r="Y2344" s="43" t="n">
        <x:f>--AND(Q2344=1,O2344="HALLUCINATION")</x:f>
        <x:v>0</x:v>
      </x:c>
      <x:c r="Z2344" s="43" t="n">
        <x:f>--AND(Y2344=1,R2344=1,S2344=1)</x:f>
        <x:v>0</x:v>
      </x:c>
      <x:c r="AC2344" t="str">
        <x:f>IF(OR(AA2344="",AB2344=""),"",--(AA2344&lt;&gt;AB2344))</x:f>
      </x:c>
      <x:c r="AE2344" t="str">
        <x:f>IF(OR(AA2344="",AB2344=""),"PENDING_HUMAN",IF(AA2344=AB2344,AA2344,IF(AD2344&lt;&gt;"",AD2344,"PENDING_HUMAN")))</x:f>
        <x:v>PENDING_HUMAN</x:v>
      </x:c>
      <x:c r="AF2344" t="n">
        <x:f>--AND(A2344&lt;&gt;"",AA2344&lt;&gt;"",AB2344&lt;&gt;"",OR(AA2344=AB2344,AD2344&lt;&gt;""),IF(AE2344="HALLUCINATION",U2344&lt;&gt;"",TRUE))</x:f>
        <x:v>0</x:v>
      </x:c>
      <x:c r="AG2344" t="n">
        <x:f>--AND(N2344=1,AF2344=1,OR(AE2344="SUPPORTED",AE2344="HALLUCINATION"))</x:f>
        <x:v>0</x:v>
      </x:c>
      <x:c r="AH2344" t="n">
        <x:f>--AND(AG2344=1,AE2344="HALLUCINATION")</x:f>
        <x:v>0</x:v>
      </x:c>
      <x:c r="AI2344" t="n">
        <x:f>--AND(Q2344=1,AF2344=1,AE2344="HALLUCINATION")</x:f>
        <x:v>0</x:v>
      </x:c>
      <x:c r="AJ2344" t="n">
        <x:f>--AND(AI2344=1,R2344=1,S2344=1)</x:f>
        <x:v>0</x:v>
      </x:c>
    </x:row>
    <x:row r="2345">
      <x:c r="A2345" s="28"/>
      <x:c r="B2345" s="28"/>
      <x:c r="C2345" s="28"/>
      <x:c r="D2345" s="28"/>
      <x:c r="E2345" s="28"/>
      <x:c r="F2345" s="28"/>
      <x:c r="G2345" s="28"/>
      <x:c r="H2345" s="28"/>
      <x:c r="I2345" s="28"/>
      <x:c r="J2345" s="28"/>
      <x:c r="K2345" s="28"/>
      <x:c r="L2345" s="28"/>
      <x:c r="M2345" s="28"/>
      <x:c r="N2345" s="28"/>
      <x:c r="O2345" s="28"/>
      <x:c r="P2345" s="28"/>
      <x:c r="Q2345" s="28"/>
      <x:c r="R2345" s="28"/>
      <x:c r="S2345" s="28"/>
      <x:c r="T2345" s="28"/>
      <x:c r="U2345" s="28"/>
      <x:c r="V2345" s="28"/>
      <x:c r="W2345" s="43" t="n">
        <x:f>--AND(N2345=1,OR(O2345="SUPPORTED",O2345="HALLUCINATION"))</x:f>
        <x:v>0</x:v>
      </x:c>
      <x:c r="X2345" s="43" t="n">
        <x:f>--AND(W2345=1,O2345="HALLUCINATION")</x:f>
        <x:v>0</x:v>
      </x:c>
      <x:c r="Y2345" s="43" t="n">
        <x:f>--AND(Q2345=1,O2345="HALLUCINATION")</x:f>
        <x:v>0</x:v>
      </x:c>
      <x:c r="Z2345" s="43" t="n">
        <x:f>--AND(Y2345=1,R2345=1,S2345=1)</x:f>
        <x:v>0</x:v>
      </x:c>
      <x:c r="AC2345" t="str">
        <x:f>IF(OR(AA2345="",AB2345=""),"",--(AA2345&lt;&gt;AB2345))</x:f>
      </x:c>
      <x:c r="AE2345" t="str">
        <x:f>IF(OR(AA2345="",AB2345=""),"PENDING_HUMAN",IF(AA2345=AB2345,AA2345,IF(AD2345&lt;&gt;"",AD2345,"PENDING_HUMAN")))</x:f>
        <x:v>PENDING_HUMAN</x:v>
      </x:c>
      <x:c r="AF2345" t="n">
        <x:f>--AND(A2345&lt;&gt;"",AA2345&lt;&gt;"",AB2345&lt;&gt;"",OR(AA2345=AB2345,AD2345&lt;&gt;""),IF(AE2345="HALLUCINATION",U2345&lt;&gt;"",TRUE))</x:f>
        <x:v>0</x:v>
      </x:c>
      <x:c r="AG2345" t="n">
        <x:f>--AND(N2345=1,AF2345=1,OR(AE2345="SUPPORTED",AE2345="HALLUCINATION"))</x:f>
        <x:v>0</x:v>
      </x:c>
      <x:c r="AH2345" t="n">
        <x:f>--AND(AG2345=1,AE2345="HALLUCINATION")</x:f>
        <x:v>0</x:v>
      </x:c>
      <x:c r="AI2345" t="n">
        <x:f>--AND(Q2345=1,AF2345=1,AE2345="HALLUCINATION")</x:f>
        <x:v>0</x:v>
      </x:c>
      <x:c r="AJ2345" t="n">
        <x:f>--AND(AI2345=1,R2345=1,S2345=1)</x:f>
        <x:v>0</x:v>
      </x:c>
    </x:row>
    <x:row r="2346">
      <x:c r="A2346" s="28"/>
      <x:c r="B2346" s="28"/>
      <x:c r="C2346" s="28"/>
      <x:c r="D2346" s="28"/>
      <x:c r="E2346" s="28"/>
      <x:c r="F2346" s="28"/>
      <x:c r="G2346" s="28"/>
      <x:c r="H2346" s="28"/>
      <x:c r="I2346" s="28"/>
      <x:c r="J2346" s="28"/>
      <x:c r="K2346" s="28"/>
      <x:c r="L2346" s="28"/>
      <x:c r="M2346" s="28"/>
      <x:c r="N2346" s="28"/>
      <x:c r="O2346" s="28"/>
      <x:c r="P2346" s="28"/>
      <x:c r="Q2346" s="28"/>
      <x:c r="R2346" s="28"/>
      <x:c r="S2346" s="28"/>
      <x:c r="T2346" s="28"/>
      <x:c r="U2346" s="28"/>
      <x:c r="V2346" s="28"/>
      <x:c r="W2346" s="43" t="n">
        <x:f>--AND(N2346=1,OR(O2346="SUPPORTED",O2346="HALLUCINATION"))</x:f>
        <x:v>0</x:v>
      </x:c>
      <x:c r="X2346" s="43" t="n">
        <x:f>--AND(W2346=1,O2346="HALLUCINATION")</x:f>
        <x:v>0</x:v>
      </x:c>
      <x:c r="Y2346" s="43" t="n">
        <x:f>--AND(Q2346=1,O2346="HALLUCINATION")</x:f>
        <x:v>0</x:v>
      </x:c>
      <x:c r="Z2346" s="43" t="n">
        <x:f>--AND(Y2346=1,R2346=1,S2346=1)</x:f>
        <x:v>0</x:v>
      </x:c>
      <x:c r="AC2346" t="str">
        <x:f>IF(OR(AA2346="",AB2346=""),"",--(AA2346&lt;&gt;AB2346))</x:f>
      </x:c>
      <x:c r="AE2346" t="str">
        <x:f>IF(OR(AA2346="",AB2346=""),"PENDING_HUMAN",IF(AA2346=AB2346,AA2346,IF(AD2346&lt;&gt;"",AD2346,"PENDING_HUMAN")))</x:f>
        <x:v>PENDING_HUMAN</x:v>
      </x:c>
      <x:c r="AF2346" t="n">
        <x:f>--AND(A2346&lt;&gt;"",AA2346&lt;&gt;"",AB2346&lt;&gt;"",OR(AA2346=AB2346,AD2346&lt;&gt;""),IF(AE2346="HALLUCINATION",U2346&lt;&gt;"",TRUE))</x:f>
        <x:v>0</x:v>
      </x:c>
      <x:c r="AG2346" t="n">
        <x:f>--AND(N2346=1,AF2346=1,OR(AE2346="SUPPORTED",AE2346="HALLUCINATION"))</x:f>
        <x:v>0</x:v>
      </x:c>
      <x:c r="AH2346" t="n">
        <x:f>--AND(AG2346=1,AE2346="HALLUCINATION")</x:f>
        <x:v>0</x:v>
      </x:c>
      <x:c r="AI2346" t="n">
        <x:f>--AND(Q2346=1,AF2346=1,AE2346="HALLUCINATION")</x:f>
        <x:v>0</x:v>
      </x:c>
      <x:c r="AJ2346" t="n">
        <x:f>--AND(AI2346=1,R2346=1,S2346=1)</x:f>
        <x:v>0</x:v>
      </x:c>
    </x:row>
    <x:row r="2347">
      <x:c r="A2347" s="28"/>
      <x:c r="B2347" s="28"/>
      <x:c r="C2347" s="28"/>
      <x:c r="D2347" s="28"/>
      <x:c r="E2347" s="28"/>
      <x:c r="F2347" s="28"/>
      <x:c r="G2347" s="28"/>
      <x:c r="H2347" s="28"/>
      <x:c r="I2347" s="28"/>
      <x:c r="J2347" s="28"/>
      <x:c r="K2347" s="28"/>
      <x:c r="L2347" s="28"/>
      <x:c r="M2347" s="28"/>
      <x:c r="N2347" s="28"/>
      <x:c r="O2347" s="28"/>
      <x:c r="P2347" s="28"/>
      <x:c r="Q2347" s="28"/>
      <x:c r="R2347" s="28"/>
      <x:c r="S2347" s="28"/>
      <x:c r="T2347" s="28"/>
      <x:c r="U2347" s="28"/>
      <x:c r="V2347" s="28"/>
      <x:c r="W2347" s="43" t="n">
        <x:f>--AND(N2347=1,OR(O2347="SUPPORTED",O2347="HALLUCINATION"))</x:f>
        <x:v>0</x:v>
      </x:c>
      <x:c r="X2347" s="43" t="n">
        <x:f>--AND(W2347=1,O2347="HALLUCINATION")</x:f>
        <x:v>0</x:v>
      </x:c>
      <x:c r="Y2347" s="43" t="n">
        <x:f>--AND(Q2347=1,O2347="HALLUCINATION")</x:f>
        <x:v>0</x:v>
      </x:c>
      <x:c r="Z2347" s="43" t="n">
        <x:f>--AND(Y2347=1,R2347=1,S2347=1)</x:f>
        <x:v>0</x:v>
      </x:c>
      <x:c r="AC2347" t="str">
        <x:f>IF(OR(AA2347="",AB2347=""),"",--(AA2347&lt;&gt;AB2347))</x:f>
      </x:c>
      <x:c r="AE2347" t="str">
        <x:f>IF(OR(AA2347="",AB2347=""),"PENDING_HUMAN",IF(AA2347=AB2347,AA2347,IF(AD2347&lt;&gt;"",AD2347,"PENDING_HUMAN")))</x:f>
        <x:v>PENDING_HUMAN</x:v>
      </x:c>
      <x:c r="AF2347" t="n">
        <x:f>--AND(A2347&lt;&gt;"",AA2347&lt;&gt;"",AB2347&lt;&gt;"",OR(AA2347=AB2347,AD2347&lt;&gt;""),IF(AE2347="HALLUCINATION",U2347&lt;&gt;"",TRUE))</x:f>
        <x:v>0</x:v>
      </x:c>
      <x:c r="AG2347" t="n">
        <x:f>--AND(N2347=1,AF2347=1,OR(AE2347="SUPPORTED",AE2347="HALLUCINATION"))</x:f>
        <x:v>0</x:v>
      </x:c>
      <x:c r="AH2347" t="n">
        <x:f>--AND(AG2347=1,AE2347="HALLUCINATION")</x:f>
        <x:v>0</x:v>
      </x:c>
      <x:c r="AI2347" t="n">
        <x:f>--AND(Q2347=1,AF2347=1,AE2347="HALLUCINATION")</x:f>
        <x:v>0</x:v>
      </x:c>
      <x:c r="AJ2347" t="n">
        <x:f>--AND(AI2347=1,R2347=1,S2347=1)</x:f>
        <x:v>0</x:v>
      </x:c>
    </x:row>
    <x:row r="2348">
      <x:c r="A2348" s="28"/>
      <x:c r="B2348" s="28"/>
      <x:c r="C2348" s="28"/>
      <x:c r="D2348" s="28"/>
      <x:c r="E2348" s="28"/>
      <x:c r="F2348" s="28"/>
      <x:c r="G2348" s="28"/>
      <x:c r="H2348" s="28"/>
      <x:c r="I2348" s="28"/>
      <x:c r="J2348" s="28"/>
      <x:c r="K2348" s="28"/>
      <x:c r="L2348" s="28"/>
      <x:c r="M2348" s="28"/>
      <x:c r="N2348" s="28"/>
      <x:c r="O2348" s="28"/>
      <x:c r="P2348" s="28"/>
      <x:c r="Q2348" s="28"/>
      <x:c r="R2348" s="28"/>
      <x:c r="S2348" s="28"/>
      <x:c r="T2348" s="28"/>
      <x:c r="U2348" s="28"/>
      <x:c r="V2348" s="28"/>
      <x:c r="W2348" s="43" t="n">
        <x:f>--AND(N2348=1,OR(O2348="SUPPORTED",O2348="HALLUCINATION"))</x:f>
        <x:v>0</x:v>
      </x:c>
      <x:c r="X2348" s="43" t="n">
        <x:f>--AND(W2348=1,O2348="HALLUCINATION")</x:f>
        <x:v>0</x:v>
      </x:c>
      <x:c r="Y2348" s="43" t="n">
        <x:f>--AND(Q2348=1,O2348="HALLUCINATION")</x:f>
        <x:v>0</x:v>
      </x:c>
      <x:c r="Z2348" s="43" t="n">
        <x:f>--AND(Y2348=1,R2348=1,S2348=1)</x:f>
        <x:v>0</x:v>
      </x:c>
      <x:c r="AC2348" t="str">
        <x:f>IF(OR(AA2348="",AB2348=""),"",--(AA2348&lt;&gt;AB2348))</x:f>
      </x:c>
      <x:c r="AE2348" t="str">
        <x:f>IF(OR(AA2348="",AB2348=""),"PENDING_HUMAN",IF(AA2348=AB2348,AA2348,IF(AD2348&lt;&gt;"",AD2348,"PENDING_HUMAN")))</x:f>
        <x:v>PENDING_HUMAN</x:v>
      </x:c>
      <x:c r="AF2348" t="n">
        <x:f>--AND(A2348&lt;&gt;"",AA2348&lt;&gt;"",AB2348&lt;&gt;"",OR(AA2348=AB2348,AD2348&lt;&gt;""),IF(AE2348="HALLUCINATION",U2348&lt;&gt;"",TRUE))</x:f>
        <x:v>0</x:v>
      </x:c>
      <x:c r="AG2348" t="n">
        <x:f>--AND(N2348=1,AF2348=1,OR(AE2348="SUPPORTED",AE2348="HALLUCINATION"))</x:f>
        <x:v>0</x:v>
      </x:c>
      <x:c r="AH2348" t="n">
        <x:f>--AND(AG2348=1,AE2348="HALLUCINATION")</x:f>
        <x:v>0</x:v>
      </x:c>
      <x:c r="AI2348" t="n">
        <x:f>--AND(Q2348=1,AF2348=1,AE2348="HALLUCINATION")</x:f>
        <x:v>0</x:v>
      </x:c>
      <x:c r="AJ2348" t="n">
        <x:f>--AND(AI2348=1,R2348=1,S2348=1)</x:f>
        <x:v>0</x:v>
      </x:c>
    </x:row>
    <x:row r="2349">
      <x:c r="A2349" s="28"/>
      <x:c r="B2349" s="28"/>
      <x:c r="C2349" s="28"/>
      <x:c r="D2349" s="28"/>
      <x:c r="E2349" s="28"/>
      <x:c r="F2349" s="28"/>
      <x:c r="G2349" s="28"/>
      <x:c r="H2349" s="28"/>
      <x:c r="I2349" s="28"/>
      <x:c r="J2349" s="28"/>
      <x:c r="K2349" s="28"/>
      <x:c r="L2349" s="28"/>
      <x:c r="M2349" s="28"/>
      <x:c r="N2349" s="28"/>
      <x:c r="O2349" s="28"/>
      <x:c r="P2349" s="28"/>
      <x:c r="Q2349" s="28"/>
      <x:c r="R2349" s="28"/>
      <x:c r="S2349" s="28"/>
      <x:c r="T2349" s="28"/>
      <x:c r="U2349" s="28"/>
      <x:c r="V2349" s="28"/>
      <x:c r="W2349" s="43" t="n">
        <x:f>--AND(N2349=1,OR(O2349="SUPPORTED",O2349="HALLUCINATION"))</x:f>
        <x:v>0</x:v>
      </x:c>
      <x:c r="X2349" s="43" t="n">
        <x:f>--AND(W2349=1,O2349="HALLUCINATION")</x:f>
        <x:v>0</x:v>
      </x:c>
      <x:c r="Y2349" s="43" t="n">
        <x:f>--AND(Q2349=1,O2349="HALLUCINATION")</x:f>
        <x:v>0</x:v>
      </x:c>
      <x:c r="Z2349" s="43" t="n">
        <x:f>--AND(Y2349=1,R2349=1,S2349=1)</x:f>
        <x:v>0</x:v>
      </x:c>
      <x:c r="AC2349" t="str">
        <x:f>IF(OR(AA2349="",AB2349=""),"",--(AA2349&lt;&gt;AB2349))</x:f>
      </x:c>
      <x:c r="AE2349" t="str">
        <x:f>IF(OR(AA2349="",AB2349=""),"PENDING_HUMAN",IF(AA2349=AB2349,AA2349,IF(AD2349&lt;&gt;"",AD2349,"PENDING_HUMAN")))</x:f>
        <x:v>PENDING_HUMAN</x:v>
      </x:c>
      <x:c r="AF2349" t="n">
        <x:f>--AND(A2349&lt;&gt;"",AA2349&lt;&gt;"",AB2349&lt;&gt;"",OR(AA2349=AB2349,AD2349&lt;&gt;""),IF(AE2349="HALLUCINATION",U2349&lt;&gt;"",TRUE))</x:f>
        <x:v>0</x:v>
      </x:c>
      <x:c r="AG2349" t="n">
        <x:f>--AND(N2349=1,AF2349=1,OR(AE2349="SUPPORTED",AE2349="HALLUCINATION"))</x:f>
        <x:v>0</x:v>
      </x:c>
      <x:c r="AH2349" t="n">
        <x:f>--AND(AG2349=1,AE2349="HALLUCINATION")</x:f>
        <x:v>0</x:v>
      </x:c>
      <x:c r="AI2349" t="n">
        <x:f>--AND(Q2349=1,AF2349=1,AE2349="HALLUCINATION")</x:f>
        <x:v>0</x:v>
      </x:c>
      <x:c r="AJ2349" t="n">
        <x:f>--AND(AI2349=1,R2349=1,S2349=1)</x:f>
        <x:v>0</x:v>
      </x:c>
    </x:row>
    <x:row r="2350">
      <x:c r="A2350" s="28"/>
      <x:c r="B2350" s="28"/>
      <x:c r="C2350" s="28"/>
      <x:c r="D2350" s="28"/>
      <x:c r="E2350" s="28"/>
      <x:c r="F2350" s="28"/>
      <x:c r="G2350" s="28"/>
      <x:c r="H2350" s="28"/>
      <x:c r="I2350" s="28"/>
      <x:c r="J2350" s="28"/>
      <x:c r="K2350" s="28"/>
      <x:c r="L2350" s="28"/>
      <x:c r="M2350" s="28"/>
      <x:c r="N2350" s="28"/>
      <x:c r="O2350" s="28"/>
      <x:c r="P2350" s="28"/>
      <x:c r="Q2350" s="28"/>
      <x:c r="R2350" s="28"/>
      <x:c r="S2350" s="28"/>
      <x:c r="T2350" s="28"/>
      <x:c r="U2350" s="28"/>
      <x:c r="V2350" s="28"/>
      <x:c r="W2350" s="43" t="n">
        <x:f>--AND(N2350=1,OR(O2350="SUPPORTED",O2350="HALLUCINATION"))</x:f>
        <x:v>0</x:v>
      </x:c>
      <x:c r="X2350" s="43" t="n">
        <x:f>--AND(W2350=1,O2350="HALLUCINATION")</x:f>
        <x:v>0</x:v>
      </x:c>
      <x:c r="Y2350" s="43" t="n">
        <x:f>--AND(Q2350=1,O2350="HALLUCINATION")</x:f>
        <x:v>0</x:v>
      </x:c>
      <x:c r="Z2350" s="43" t="n">
        <x:f>--AND(Y2350=1,R2350=1,S2350=1)</x:f>
        <x:v>0</x:v>
      </x:c>
      <x:c r="AC2350" t="str">
        <x:f>IF(OR(AA2350="",AB2350=""),"",--(AA2350&lt;&gt;AB2350))</x:f>
      </x:c>
      <x:c r="AE2350" t="str">
        <x:f>IF(OR(AA2350="",AB2350=""),"PENDING_HUMAN",IF(AA2350=AB2350,AA2350,IF(AD2350&lt;&gt;"",AD2350,"PENDING_HUMAN")))</x:f>
        <x:v>PENDING_HUMAN</x:v>
      </x:c>
      <x:c r="AF2350" t="n">
        <x:f>--AND(A2350&lt;&gt;"",AA2350&lt;&gt;"",AB2350&lt;&gt;"",OR(AA2350=AB2350,AD2350&lt;&gt;""),IF(AE2350="HALLUCINATION",U2350&lt;&gt;"",TRUE))</x:f>
        <x:v>0</x:v>
      </x:c>
      <x:c r="AG2350" t="n">
        <x:f>--AND(N2350=1,AF2350=1,OR(AE2350="SUPPORTED",AE2350="HALLUCINATION"))</x:f>
        <x:v>0</x:v>
      </x:c>
      <x:c r="AH2350" t="n">
        <x:f>--AND(AG2350=1,AE2350="HALLUCINATION")</x:f>
        <x:v>0</x:v>
      </x:c>
      <x:c r="AI2350" t="n">
        <x:f>--AND(Q2350=1,AF2350=1,AE2350="HALLUCINATION")</x:f>
        <x:v>0</x:v>
      </x:c>
      <x:c r="AJ2350" t="n">
        <x:f>--AND(AI2350=1,R2350=1,S2350=1)</x:f>
        <x:v>0</x:v>
      </x:c>
    </x:row>
    <x:row r="2351">
      <x:c r="A2351" s="28"/>
      <x:c r="B2351" s="28"/>
      <x:c r="C2351" s="28"/>
      <x:c r="D2351" s="28"/>
      <x:c r="E2351" s="28"/>
      <x:c r="F2351" s="28"/>
      <x:c r="G2351" s="28"/>
      <x:c r="H2351" s="28"/>
      <x:c r="I2351" s="28"/>
      <x:c r="J2351" s="28"/>
      <x:c r="K2351" s="28"/>
      <x:c r="L2351" s="28"/>
      <x:c r="M2351" s="28"/>
      <x:c r="N2351" s="28"/>
      <x:c r="O2351" s="28"/>
      <x:c r="P2351" s="28"/>
      <x:c r="Q2351" s="28"/>
      <x:c r="R2351" s="28"/>
      <x:c r="S2351" s="28"/>
      <x:c r="T2351" s="28"/>
      <x:c r="U2351" s="28"/>
      <x:c r="V2351" s="28"/>
      <x:c r="W2351" s="43" t="n">
        <x:f>--AND(N2351=1,OR(O2351="SUPPORTED",O2351="HALLUCINATION"))</x:f>
        <x:v>0</x:v>
      </x:c>
      <x:c r="X2351" s="43" t="n">
        <x:f>--AND(W2351=1,O2351="HALLUCINATION")</x:f>
        <x:v>0</x:v>
      </x:c>
      <x:c r="Y2351" s="43" t="n">
        <x:f>--AND(Q2351=1,O2351="HALLUCINATION")</x:f>
        <x:v>0</x:v>
      </x:c>
      <x:c r="Z2351" s="43" t="n">
        <x:f>--AND(Y2351=1,R2351=1,S2351=1)</x:f>
        <x:v>0</x:v>
      </x:c>
      <x:c r="AC2351" t="str">
        <x:f>IF(OR(AA2351="",AB2351=""),"",--(AA2351&lt;&gt;AB2351))</x:f>
      </x:c>
      <x:c r="AE2351" t="str">
        <x:f>IF(OR(AA2351="",AB2351=""),"PENDING_HUMAN",IF(AA2351=AB2351,AA2351,IF(AD2351&lt;&gt;"",AD2351,"PENDING_HUMAN")))</x:f>
        <x:v>PENDING_HUMAN</x:v>
      </x:c>
      <x:c r="AF2351" t="n">
        <x:f>--AND(A2351&lt;&gt;"",AA2351&lt;&gt;"",AB2351&lt;&gt;"",OR(AA2351=AB2351,AD2351&lt;&gt;""),IF(AE2351="HALLUCINATION",U2351&lt;&gt;"",TRUE))</x:f>
        <x:v>0</x:v>
      </x:c>
      <x:c r="AG2351" t="n">
        <x:f>--AND(N2351=1,AF2351=1,OR(AE2351="SUPPORTED",AE2351="HALLUCINATION"))</x:f>
        <x:v>0</x:v>
      </x:c>
      <x:c r="AH2351" t="n">
        <x:f>--AND(AG2351=1,AE2351="HALLUCINATION")</x:f>
        <x:v>0</x:v>
      </x:c>
      <x:c r="AI2351" t="n">
        <x:f>--AND(Q2351=1,AF2351=1,AE2351="HALLUCINATION")</x:f>
        <x:v>0</x:v>
      </x:c>
      <x:c r="AJ2351" t="n">
        <x:f>--AND(AI2351=1,R2351=1,S2351=1)</x:f>
        <x:v>0</x:v>
      </x:c>
    </x:row>
    <x:row r="2352">
      <x:c r="A2352" s="28"/>
      <x:c r="B2352" s="28"/>
      <x:c r="C2352" s="28"/>
      <x:c r="D2352" s="28"/>
      <x:c r="E2352" s="28"/>
      <x:c r="F2352" s="28"/>
      <x:c r="G2352" s="28"/>
      <x:c r="H2352" s="28"/>
      <x:c r="I2352" s="28"/>
      <x:c r="J2352" s="28"/>
      <x:c r="K2352" s="28"/>
      <x:c r="L2352" s="28"/>
      <x:c r="M2352" s="28"/>
      <x:c r="N2352" s="28"/>
      <x:c r="O2352" s="28"/>
      <x:c r="P2352" s="28"/>
      <x:c r="Q2352" s="28"/>
      <x:c r="R2352" s="28"/>
      <x:c r="S2352" s="28"/>
      <x:c r="T2352" s="28"/>
      <x:c r="U2352" s="28"/>
      <x:c r="V2352" s="28"/>
      <x:c r="W2352" s="43" t="n">
        <x:f>--AND(N2352=1,OR(O2352="SUPPORTED",O2352="HALLUCINATION"))</x:f>
        <x:v>0</x:v>
      </x:c>
      <x:c r="X2352" s="43" t="n">
        <x:f>--AND(W2352=1,O2352="HALLUCINATION")</x:f>
        <x:v>0</x:v>
      </x:c>
      <x:c r="Y2352" s="43" t="n">
        <x:f>--AND(Q2352=1,O2352="HALLUCINATION")</x:f>
        <x:v>0</x:v>
      </x:c>
      <x:c r="Z2352" s="43" t="n">
        <x:f>--AND(Y2352=1,R2352=1,S2352=1)</x:f>
        <x:v>0</x:v>
      </x:c>
      <x:c r="AC2352" t="str">
        <x:f>IF(OR(AA2352="",AB2352=""),"",--(AA2352&lt;&gt;AB2352))</x:f>
      </x:c>
      <x:c r="AE2352" t="str">
        <x:f>IF(OR(AA2352="",AB2352=""),"PENDING_HUMAN",IF(AA2352=AB2352,AA2352,IF(AD2352&lt;&gt;"",AD2352,"PENDING_HUMAN")))</x:f>
        <x:v>PENDING_HUMAN</x:v>
      </x:c>
      <x:c r="AF2352" t="n">
        <x:f>--AND(A2352&lt;&gt;"",AA2352&lt;&gt;"",AB2352&lt;&gt;"",OR(AA2352=AB2352,AD2352&lt;&gt;""),IF(AE2352="HALLUCINATION",U2352&lt;&gt;"",TRUE))</x:f>
        <x:v>0</x:v>
      </x:c>
      <x:c r="AG2352" t="n">
        <x:f>--AND(N2352=1,AF2352=1,OR(AE2352="SUPPORTED",AE2352="HALLUCINATION"))</x:f>
        <x:v>0</x:v>
      </x:c>
      <x:c r="AH2352" t="n">
        <x:f>--AND(AG2352=1,AE2352="HALLUCINATION")</x:f>
        <x:v>0</x:v>
      </x:c>
      <x:c r="AI2352" t="n">
        <x:f>--AND(Q2352=1,AF2352=1,AE2352="HALLUCINATION")</x:f>
        <x:v>0</x:v>
      </x:c>
      <x:c r="AJ2352" t="n">
        <x:f>--AND(AI2352=1,R2352=1,S2352=1)</x:f>
        <x:v>0</x:v>
      </x:c>
    </x:row>
    <x:row r="2353">
      <x:c r="A2353" s="28"/>
      <x:c r="B2353" s="28"/>
      <x:c r="C2353" s="28"/>
      <x:c r="D2353" s="28"/>
      <x:c r="E2353" s="28"/>
      <x:c r="F2353" s="28"/>
      <x:c r="G2353" s="28"/>
      <x:c r="H2353" s="28"/>
      <x:c r="I2353" s="28"/>
      <x:c r="J2353" s="28"/>
      <x:c r="K2353" s="28"/>
      <x:c r="L2353" s="28"/>
      <x:c r="M2353" s="28"/>
      <x:c r="N2353" s="28"/>
      <x:c r="O2353" s="28"/>
      <x:c r="P2353" s="28"/>
      <x:c r="Q2353" s="28"/>
      <x:c r="R2353" s="28"/>
      <x:c r="S2353" s="28"/>
      <x:c r="T2353" s="28"/>
      <x:c r="U2353" s="28"/>
      <x:c r="V2353" s="28"/>
      <x:c r="W2353" s="43" t="n">
        <x:f>--AND(N2353=1,OR(O2353="SUPPORTED",O2353="HALLUCINATION"))</x:f>
        <x:v>0</x:v>
      </x:c>
      <x:c r="X2353" s="43" t="n">
        <x:f>--AND(W2353=1,O2353="HALLUCINATION")</x:f>
        <x:v>0</x:v>
      </x:c>
      <x:c r="Y2353" s="43" t="n">
        <x:f>--AND(Q2353=1,O2353="HALLUCINATION")</x:f>
        <x:v>0</x:v>
      </x:c>
      <x:c r="Z2353" s="43" t="n">
        <x:f>--AND(Y2353=1,R2353=1,S2353=1)</x:f>
        <x:v>0</x:v>
      </x:c>
      <x:c r="AC2353" t="str">
        <x:f>IF(OR(AA2353="",AB2353=""),"",--(AA2353&lt;&gt;AB2353))</x:f>
      </x:c>
      <x:c r="AE2353" t="str">
        <x:f>IF(OR(AA2353="",AB2353=""),"PENDING_HUMAN",IF(AA2353=AB2353,AA2353,IF(AD2353&lt;&gt;"",AD2353,"PENDING_HUMAN")))</x:f>
        <x:v>PENDING_HUMAN</x:v>
      </x:c>
      <x:c r="AF2353" t="n">
        <x:f>--AND(A2353&lt;&gt;"",AA2353&lt;&gt;"",AB2353&lt;&gt;"",OR(AA2353=AB2353,AD2353&lt;&gt;""),IF(AE2353="HALLUCINATION",U2353&lt;&gt;"",TRUE))</x:f>
        <x:v>0</x:v>
      </x:c>
      <x:c r="AG2353" t="n">
        <x:f>--AND(N2353=1,AF2353=1,OR(AE2353="SUPPORTED",AE2353="HALLUCINATION"))</x:f>
        <x:v>0</x:v>
      </x:c>
      <x:c r="AH2353" t="n">
        <x:f>--AND(AG2353=1,AE2353="HALLUCINATION")</x:f>
        <x:v>0</x:v>
      </x:c>
      <x:c r="AI2353" t="n">
        <x:f>--AND(Q2353=1,AF2353=1,AE2353="HALLUCINATION")</x:f>
        <x:v>0</x:v>
      </x:c>
      <x:c r="AJ2353" t="n">
        <x:f>--AND(AI2353=1,R2353=1,S2353=1)</x:f>
        <x:v>0</x:v>
      </x:c>
    </x:row>
    <x:row r="2354">
      <x:c r="A2354" s="28"/>
      <x:c r="B2354" s="28"/>
      <x:c r="C2354" s="28"/>
      <x:c r="D2354" s="28"/>
      <x:c r="E2354" s="28"/>
      <x:c r="F2354" s="28"/>
      <x:c r="G2354" s="28"/>
      <x:c r="H2354" s="28"/>
      <x:c r="I2354" s="28"/>
      <x:c r="J2354" s="28"/>
      <x:c r="K2354" s="28"/>
      <x:c r="L2354" s="28"/>
      <x:c r="M2354" s="28"/>
      <x:c r="N2354" s="28"/>
      <x:c r="O2354" s="28"/>
      <x:c r="P2354" s="28"/>
      <x:c r="Q2354" s="28"/>
      <x:c r="R2354" s="28"/>
      <x:c r="S2354" s="28"/>
      <x:c r="T2354" s="28"/>
      <x:c r="U2354" s="28"/>
      <x:c r="V2354" s="28"/>
      <x:c r="W2354" s="43" t="n">
        <x:f>--AND(N2354=1,OR(O2354="SUPPORTED",O2354="HALLUCINATION"))</x:f>
        <x:v>0</x:v>
      </x:c>
      <x:c r="X2354" s="43" t="n">
        <x:f>--AND(W2354=1,O2354="HALLUCINATION")</x:f>
        <x:v>0</x:v>
      </x:c>
      <x:c r="Y2354" s="43" t="n">
        <x:f>--AND(Q2354=1,O2354="HALLUCINATION")</x:f>
        <x:v>0</x:v>
      </x:c>
      <x:c r="Z2354" s="43" t="n">
        <x:f>--AND(Y2354=1,R2354=1,S2354=1)</x:f>
        <x:v>0</x:v>
      </x:c>
      <x:c r="AC2354" t="str">
        <x:f>IF(OR(AA2354="",AB2354=""),"",--(AA2354&lt;&gt;AB2354))</x:f>
      </x:c>
      <x:c r="AE2354" t="str">
        <x:f>IF(OR(AA2354="",AB2354=""),"PENDING_HUMAN",IF(AA2354=AB2354,AA2354,IF(AD2354&lt;&gt;"",AD2354,"PENDING_HUMAN")))</x:f>
        <x:v>PENDING_HUMAN</x:v>
      </x:c>
      <x:c r="AF2354" t="n">
        <x:f>--AND(A2354&lt;&gt;"",AA2354&lt;&gt;"",AB2354&lt;&gt;"",OR(AA2354=AB2354,AD2354&lt;&gt;""),IF(AE2354="HALLUCINATION",U2354&lt;&gt;"",TRUE))</x:f>
        <x:v>0</x:v>
      </x:c>
      <x:c r="AG2354" t="n">
        <x:f>--AND(N2354=1,AF2354=1,OR(AE2354="SUPPORTED",AE2354="HALLUCINATION"))</x:f>
        <x:v>0</x:v>
      </x:c>
      <x:c r="AH2354" t="n">
        <x:f>--AND(AG2354=1,AE2354="HALLUCINATION")</x:f>
        <x:v>0</x:v>
      </x:c>
      <x:c r="AI2354" t="n">
        <x:f>--AND(Q2354=1,AF2354=1,AE2354="HALLUCINATION")</x:f>
        <x:v>0</x:v>
      </x:c>
      <x:c r="AJ2354" t="n">
        <x:f>--AND(AI2354=1,R2354=1,S2354=1)</x:f>
        <x:v>0</x:v>
      </x:c>
    </x:row>
    <x:row r="2355">
      <x:c r="A2355" s="28"/>
      <x:c r="B2355" s="28"/>
      <x:c r="C2355" s="28"/>
      <x:c r="D2355" s="28"/>
      <x:c r="E2355" s="28"/>
      <x:c r="F2355" s="28"/>
      <x:c r="G2355" s="28"/>
      <x:c r="H2355" s="28"/>
      <x:c r="I2355" s="28"/>
      <x:c r="J2355" s="28"/>
      <x:c r="K2355" s="28"/>
      <x:c r="L2355" s="28"/>
      <x:c r="M2355" s="28"/>
      <x:c r="N2355" s="28"/>
      <x:c r="O2355" s="28"/>
      <x:c r="P2355" s="28"/>
      <x:c r="Q2355" s="28"/>
      <x:c r="R2355" s="28"/>
      <x:c r="S2355" s="28"/>
      <x:c r="T2355" s="28"/>
      <x:c r="U2355" s="28"/>
      <x:c r="V2355" s="28"/>
      <x:c r="W2355" s="43" t="n">
        <x:f>--AND(N2355=1,OR(O2355="SUPPORTED",O2355="HALLUCINATION"))</x:f>
        <x:v>0</x:v>
      </x:c>
      <x:c r="X2355" s="43" t="n">
        <x:f>--AND(W2355=1,O2355="HALLUCINATION")</x:f>
        <x:v>0</x:v>
      </x:c>
      <x:c r="Y2355" s="43" t="n">
        <x:f>--AND(Q2355=1,O2355="HALLUCINATION")</x:f>
        <x:v>0</x:v>
      </x:c>
      <x:c r="Z2355" s="43" t="n">
        <x:f>--AND(Y2355=1,R2355=1,S2355=1)</x:f>
        <x:v>0</x:v>
      </x:c>
      <x:c r="AC2355" t="str">
        <x:f>IF(OR(AA2355="",AB2355=""),"",--(AA2355&lt;&gt;AB2355))</x:f>
      </x:c>
      <x:c r="AE2355" t="str">
        <x:f>IF(OR(AA2355="",AB2355=""),"PENDING_HUMAN",IF(AA2355=AB2355,AA2355,IF(AD2355&lt;&gt;"",AD2355,"PENDING_HUMAN")))</x:f>
        <x:v>PENDING_HUMAN</x:v>
      </x:c>
      <x:c r="AF2355" t="n">
        <x:f>--AND(A2355&lt;&gt;"",AA2355&lt;&gt;"",AB2355&lt;&gt;"",OR(AA2355=AB2355,AD2355&lt;&gt;""),IF(AE2355="HALLUCINATION",U2355&lt;&gt;"",TRUE))</x:f>
        <x:v>0</x:v>
      </x:c>
      <x:c r="AG2355" t="n">
        <x:f>--AND(N2355=1,AF2355=1,OR(AE2355="SUPPORTED",AE2355="HALLUCINATION"))</x:f>
        <x:v>0</x:v>
      </x:c>
      <x:c r="AH2355" t="n">
        <x:f>--AND(AG2355=1,AE2355="HALLUCINATION")</x:f>
        <x:v>0</x:v>
      </x:c>
      <x:c r="AI2355" t="n">
        <x:f>--AND(Q2355=1,AF2355=1,AE2355="HALLUCINATION")</x:f>
        <x:v>0</x:v>
      </x:c>
      <x:c r="AJ2355" t="n">
        <x:f>--AND(AI2355=1,R2355=1,S2355=1)</x:f>
        <x:v>0</x:v>
      </x:c>
    </x:row>
    <x:row r="2356">
      <x:c r="A2356" s="28"/>
      <x:c r="B2356" s="28"/>
      <x:c r="C2356" s="28"/>
      <x:c r="D2356" s="28"/>
      <x:c r="E2356" s="28"/>
      <x:c r="F2356" s="28"/>
      <x:c r="G2356" s="28"/>
      <x:c r="H2356" s="28"/>
      <x:c r="I2356" s="28"/>
      <x:c r="J2356" s="28"/>
      <x:c r="K2356" s="28"/>
      <x:c r="L2356" s="28"/>
      <x:c r="M2356" s="28"/>
      <x:c r="N2356" s="28"/>
      <x:c r="O2356" s="28"/>
      <x:c r="P2356" s="28"/>
      <x:c r="Q2356" s="28"/>
      <x:c r="R2356" s="28"/>
      <x:c r="S2356" s="28"/>
      <x:c r="T2356" s="28"/>
      <x:c r="U2356" s="28"/>
      <x:c r="V2356" s="28"/>
      <x:c r="W2356" s="43" t="n">
        <x:f>--AND(N2356=1,OR(O2356="SUPPORTED",O2356="HALLUCINATION"))</x:f>
        <x:v>0</x:v>
      </x:c>
      <x:c r="X2356" s="43" t="n">
        <x:f>--AND(W2356=1,O2356="HALLUCINATION")</x:f>
        <x:v>0</x:v>
      </x:c>
      <x:c r="Y2356" s="43" t="n">
        <x:f>--AND(Q2356=1,O2356="HALLUCINATION")</x:f>
        <x:v>0</x:v>
      </x:c>
      <x:c r="Z2356" s="43" t="n">
        <x:f>--AND(Y2356=1,R2356=1,S2356=1)</x:f>
        <x:v>0</x:v>
      </x:c>
      <x:c r="AC2356" t="str">
        <x:f>IF(OR(AA2356="",AB2356=""),"",--(AA2356&lt;&gt;AB2356))</x:f>
      </x:c>
      <x:c r="AE2356" t="str">
        <x:f>IF(OR(AA2356="",AB2356=""),"PENDING_HUMAN",IF(AA2356=AB2356,AA2356,IF(AD2356&lt;&gt;"",AD2356,"PENDING_HUMAN")))</x:f>
        <x:v>PENDING_HUMAN</x:v>
      </x:c>
      <x:c r="AF2356" t="n">
        <x:f>--AND(A2356&lt;&gt;"",AA2356&lt;&gt;"",AB2356&lt;&gt;"",OR(AA2356=AB2356,AD2356&lt;&gt;""),IF(AE2356="HALLUCINATION",U2356&lt;&gt;"",TRUE))</x:f>
        <x:v>0</x:v>
      </x:c>
      <x:c r="AG2356" t="n">
        <x:f>--AND(N2356=1,AF2356=1,OR(AE2356="SUPPORTED",AE2356="HALLUCINATION"))</x:f>
        <x:v>0</x:v>
      </x:c>
      <x:c r="AH2356" t="n">
        <x:f>--AND(AG2356=1,AE2356="HALLUCINATION")</x:f>
        <x:v>0</x:v>
      </x:c>
      <x:c r="AI2356" t="n">
        <x:f>--AND(Q2356=1,AF2356=1,AE2356="HALLUCINATION")</x:f>
        <x:v>0</x:v>
      </x:c>
      <x:c r="AJ2356" t="n">
        <x:f>--AND(AI2356=1,R2356=1,S2356=1)</x:f>
        <x:v>0</x:v>
      </x:c>
    </x:row>
    <x:row r="2357">
      <x:c r="A2357" s="28"/>
      <x:c r="B2357" s="28"/>
      <x:c r="C2357" s="28"/>
      <x:c r="D2357" s="28"/>
      <x:c r="E2357" s="28"/>
      <x:c r="F2357" s="28"/>
      <x:c r="G2357" s="28"/>
      <x:c r="H2357" s="28"/>
      <x:c r="I2357" s="28"/>
      <x:c r="J2357" s="28"/>
      <x:c r="K2357" s="28"/>
      <x:c r="L2357" s="28"/>
      <x:c r="M2357" s="28"/>
      <x:c r="N2357" s="28"/>
      <x:c r="O2357" s="28"/>
      <x:c r="P2357" s="28"/>
      <x:c r="Q2357" s="28"/>
      <x:c r="R2357" s="28"/>
      <x:c r="S2357" s="28"/>
      <x:c r="T2357" s="28"/>
      <x:c r="U2357" s="28"/>
      <x:c r="V2357" s="28"/>
      <x:c r="W2357" s="43" t="n">
        <x:f>--AND(N2357=1,OR(O2357="SUPPORTED",O2357="HALLUCINATION"))</x:f>
        <x:v>0</x:v>
      </x:c>
      <x:c r="X2357" s="43" t="n">
        <x:f>--AND(W2357=1,O2357="HALLUCINATION")</x:f>
        <x:v>0</x:v>
      </x:c>
      <x:c r="Y2357" s="43" t="n">
        <x:f>--AND(Q2357=1,O2357="HALLUCINATION")</x:f>
        <x:v>0</x:v>
      </x:c>
      <x:c r="Z2357" s="43" t="n">
        <x:f>--AND(Y2357=1,R2357=1,S2357=1)</x:f>
        <x:v>0</x:v>
      </x:c>
      <x:c r="AC2357" t="str">
        <x:f>IF(OR(AA2357="",AB2357=""),"",--(AA2357&lt;&gt;AB2357))</x:f>
      </x:c>
      <x:c r="AE2357" t="str">
        <x:f>IF(OR(AA2357="",AB2357=""),"PENDING_HUMAN",IF(AA2357=AB2357,AA2357,IF(AD2357&lt;&gt;"",AD2357,"PENDING_HUMAN")))</x:f>
        <x:v>PENDING_HUMAN</x:v>
      </x:c>
      <x:c r="AF2357" t="n">
        <x:f>--AND(A2357&lt;&gt;"",AA2357&lt;&gt;"",AB2357&lt;&gt;"",OR(AA2357=AB2357,AD2357&lt;&gt;""),IF(AE2357="HALLUCINATION",U2357&lt;&gt;"",TRUE))</x:f>
        <x:v>0</x:v>
      </x:c>
      <x:c r="AG2357" t="n">
        <x:f>--AND(N2357=1,AF2357=1,OR(AE2357="SUPPORTED",AE2357="HALLUCINATION"))</x:f>
        <x:v>0</x:v>
      </x:c>
      <x:c r="AH2357" t="n">
        <x:f>--AND(AG2357=1,AE2357="HALLUCINATION")</x:f>
        <x:v>0</x:v>
      </x:c>
      <x:c r="AI2357" t="n">
        <x:f>--AND(Q2357=1,AF2357=1,AE2357="HALLUCINATION")</x:f>
        <x:v>0</x:v>
      </x:c>
      <x:c r="AJ2357" t="n">
        <x:f>--AND(AI2357=1,R2357=1,S2357=1)</x:f>
        <x:v>0</x:v>
      </x:c>
    </x:row>
    <x:row r="2358">
      <x:c r="A2358" s="28"/>
      <x:c r="B2358" s="28"/>
      <x:c r="C2358" s="28"/>
      <x:c r="D2358" s="28"/>
      <x:c r="E2358" s="28"/>
      <x:c r="F2358" s="28"/>
      <x:c r="G2358" s="28"/>
      <x:c r="H2358" s="28"/>
      <x:c r="I2358" s="28"/>
      <x:c r="J2358" s="28"/>
      <x:c r="K2358" s="28"/>
      <x:c r="L2358" s="28"/>
      <x:c r="M2358" s="28"/>
      <x:c r="N2358" s="28"/>
      <x:c r="O2358" s="28"/>
      <x:c r="P2358" s="28"/>
      <x:c r="Q2358" s="28"/>
      <x:c r="R2358" s="28"/>
      <x:c r="S2358" s="28"/>
      <x:c r="T2358" s="28"/>
      <x:c r="U2358" s="28"/>
      <x:c r="V2358" s="28"/>
      <x:c r="W2358" s="43" t="n">
        <x:f>--AND(N2358=1,OR(O2358="SUPPORTED",O2358="HALLUCINATION"))</x:f>
        <x:v>0</x:v>
      </x:c>
      <x:c r="X2358" s="43" t="n">
        <x:f>--AND(W2358=1,O2358="HALLUCINATION")</x:f>
        <x:v>0</x:v>
      </x:c>
      <x:c r="Y2358" s="43" t="n">
        <x:f>--AND(Q2358=1,O2358="HALLUCINATION")</x:f>
        <x:v>0</x:v>
      </x:c>
      <x:c r="Z2358" s="43" t="n">
        <x:f>--AND(Y2358=1,R2358=1,S2358=1)</x:f>
        <x:v>0</x:v>
      </x:c>
      <x:c r="AC2358" t="str">
        <x:f>IF(OR(AA2358="",AB2358=""),"",--(AA2358&lt;&gt;AB2358))</x:f>
      </x:c>
      <x:c r="AE2358" t="str">
        <x:f>IF(OR(AA2358="",AB2358=""),"PENDING_HUMAN",IF(AA2358=AB2358,AA2358,IF(AD2358&lt;&gt;"",AD2358,"PENDING_HUMAN")))</x:f>
        <x:v>PENDING_HUMAN</x:v>
      </x:c>
      <x:c r="AF2358" t="n">
        <x:f>--AND(A2358&lt;&gt;"",AA2358&lt;&gt;"",AB2358&lt;&gt;"",OR(AA2358=AB2358,AD2358&lt;&gt;""),IF(AE2358="HALLUCINATION",U2358&lt;&gt;"",TRUE))</x:f>
        <x:v>0</x:v>
      </x:c>
      <x:c r="AG2358" t="n">
        <x:f>--AND(N2358=1,AF2358=1,OR(AE2358="SUPPORTED",AE2358="HALLUCINATION"))</x:f>
        <x:v>0</x:v>
      </x:c>
      <x:c r="AH2358" t="n">
        <x:f>--AND(AG2358=1,AE2358="HALLUCINATION")</x:f>
        <x:v>0</x:v>
      </x:c>
      <x:c r="AI2358" t="n">
        <x:f>--AND(Q2358=1,AF2358=1,AE2358="HALLUCINATION")</x:f>
        <x:v>0</x:v>
      </x:c>
      <x:c r="AJ2358" t="n">
        <x:f>--AND(AI2358=1,R2358=1,S2358=1)</x:f>
        <x:v>0</x:v>
      </x:c>
    </x:row>
    <x:row r="2359">
      <x:c r="A2359" s="28"/>
      <x:c r="B2359" s="28"/>
      <x:c r="C2359" s="28"/>
      <x:c r="D2359" s="28"/>
      <x:c r="E2359" s="28"/>
      <x:c r="F2359" s="28"/>
      <x:c r="G2359" s="28"/>
      <x:c r="H2359" s="28"/>
      <x:c r="I2359" s="28"/>
      <x:c r="J2359" s="28"/>
      <x:c r="K2359" s="28"/>
      <x:c r="L2359" s="28"/>
      <x:c r="M2359" s="28"/>
      <x:c r="N2359" s="28"/>
      <x:c r="O2359" s="28"/>
      <x:c r="P2359" s="28"/>
      <x:c r="Q2359" s="28"/>
      <x:c r="R2359" s="28"/>
      <x:c r="S2359" s="28"/>
      <x:c r="T2359" s="28"/>
      <x:c r="U2359" s="28"/>
      <x:c r="V2359" s="28"/>
      <x:c r="W2359" s="43" t="n">
        <x:f>--AND(N2359=1,OR(O2359="SUPPORTED",O2359="HALLUCINATION"))</x:f>
        <x:v>0</x:v>
      </x:c>
      <x:c r="X2359" s="43" t="n">
        <x:f>--AND(W2359=1,O2359="HALLUCINATION")</x:f>
        <x:v>0</x:v>
      </x:c>
      <x:c r="Y2359" s="43" t="n">
        <x:f>--AND(Q2359=1,O2359="HALLUCINATION")</x:f>
        <x:v>0</x:v>
      </x:c>
      <x:c r="Z2359" s="43" t="n">
        <x:f>--AND(Y2359=1,R2359=1,S2359=1)</x:f>
        <x:v>0</x:v>
      </x:c>
      <x:c r="AC2359" t="str">
        <x:f>IF(OR(AA2359="",AB2359=""),"",--(AA2359&lt;&gt;AB2359))</x:f>
      </x:c>
      <x:c r="AE2359" t="str">
        <x:f>IF(OR(AA2359="",AB2359=""),"PENDING_HUMAN",IF(AA2359=AB2359,AA2359,IF(AD2359&lt;&gt;"",AD2359,"PENDING_HUMAN")))</x:f>
        <x:v>PENDING_HUMAN</x:v>
      </x:c>
      <x:c r="AF2359" t="n">
        <x:f>--AND(A2359&lt;&gt;"",AA2359&lt;&gt;"",AB2359&lt;&gt;"",OR(AA2359=AB2359,AD2359&lt;&gt;""),IF(AE2359="HALLUCINATION",U2359&lt;&gt;"",TRUE))</x:f>
        <x:v>0</x:v>
      </x:c>
      <x:c r="AG2359" t="n">
        <x:f>--AND(N2359=1,AF2359=1,OR(AE2359="SUPPORTED",AE2359="HALLUCINATION"))</x:f>
        <x:v>0</x:v>
      </x:c>
      <x:c r="AH2359" t="n">
        <x:f>--AND(AG2359=1,AE2359="HALLUCINATION")</x:f>
        <x:v>0</x:v>
      </x:c>
      <x:c r="AI2359" t="n">
        <x:f>--AND(Q2359=1,AF2359=1,AE2359="HALLUCINATION")</x:f>
        <x:v>0</x:v>
      </x:c>
      <x:c r="AJ2359" t="n">
        <x:f>--AND(AI2359=1,R2359=1,S2359=1)</x:f>
        <x:v>0</x:v>
      </x:c>
    </x:row>
    <x:row r="2360">
      <x:c r="A2360" s="28"/>
      <x:c r="B2360" s="28"/>
      <x:c r="C2360" s="28"/>
      <x:c r="D2360" s="28"/>
      <x:c r="E2360" s="28"/>
      <x:c r="F2360" s="28"/>
      <x:c r="G2360" s="28"/>
      <x:c r="H2360" s="28"/>
      <x:c r="I2360" s="28"/>
      <x:c r="J2360" s="28"/>
      <x:c r="K2360" s="28"/>
      <x:c r="L2360" s="28"/>
      <x:c r="M2360" s="28"/>
      <x:c r="N2360" s="28"/>
      <x:c r="O2360" s="28"/>
      <x:c r="P2360" s="28"/>
      <x:c r="Q2360" s="28"/>
      <x:c r="R2360" s="28"/>
      <x:c r="S2360" s="28"/>
      <x:c r="T2360" s="28"/>
      <x:c r="U2360" s="28"/>
      <x:c r="V2360" s="28"/>
      <x:c r="W2360" s="43" t="n">
        <x:f>--AND(N2360=1,OR(O2360="SUPPORTED",O2360="HALLUCINATION"))</x:f>
        <x:v>0</x:v>
      </x:c>
      <x:c r="X2360" s="43" t="n">
        <x:f>--AND(W2360=1,O2360="HALLUCINATION")</x:f>
        <x:v>0</x:v>
      </x:c>
      <x:c r="Y2360" s="43" t="n">
        <x:f>--AND(Q2360=1,O2360="HALLUCINATION")</x:f>
        <x:v>0</x:v>
      </x:c>
      <x:c r="Z2360" s="43" t="n">
        <x:f>--AND(Y2360=1,R2360=1,S2360=1)</x:f>
        <x:v>0</x:v>
      </x:c>
      <x:c r="AC2360" t="str">
        <x:f>IF(OR(AA2360="",AB2360=""),"",--(AA2360&lt;&gt;AB2360))</x:f>
      </x:c>
      <x:c r="AE2360" t="str">
        <x:f>IF(OR(AA2360="",AB2360=""),"PENDING_HUMAN",IF(AA2360=AB2360,AA2360,IF(AD2360&lt;&gt;"",AD2360,"PENDING_HUMAN")))</x:f>
        <x:v>PENDING_HUMAN</x:v>
      </x:c>
      <x:c r="AF2360" t="n">
        <x:f>--AND(A2360&lt;&gt;"",AA2360&lt;&gt;"",AB2360&lt;&gt;"",OR(AA2360=AB2360,AD2360&lt;&gt;""),IF(AE2360="HALLUCINATION",U2360&lt;&gt;"",TRUE))</x:f>
        <x:v>0</x:v>
      </x:c>
      <x:c r="AG2360" t="n">
        <x:f>--AND(N2360=1,AF2360=1,OR(AE2360="SUPPORTED",AE2360="HALLUCINATION"))</x:f>
        <x:v>0</x:v>
      </x:c>
      <x:c r="AH2360" t="n">
        <x:f>--AND(AG2360=1,AE2360="HALLUCINATION")</x:f>
        <x:v>0</x:v>
      </x:c>
      <x:c r="AI2360" t="n">
        <x:f>--AND(Q2360=1,AF2360=1,AE2360="HALLUCINATION")</x:f>
        <x:v>0</x:v>
      </x:c>
      <x:c r="AJ2360" t="n">
        <x:f>--AND(AI2360=1,R2360=1,S2360=1)</x:f>
        <x:v>0</x:v>
      </x:c>
    </x:row>
    <x:row r="2361">
      <x:c r="A2361" s="28"/>
      <x:c r="B2361" s="28"/>
      <x:c r="C2361" s="28"/>
      <x:c r="D2361" s="28"/>
      <x:c r="E2361" s="28"/>
      <x:c r="F2361" s="28"/>
      <x:c r="G2361" s="28"/>
      <x:c r="H2361" s="28"/>
      <x:c r="I2361" s="28"/>
      <x:c r="J2361" s="28"/>
      <x:c r="K2361" s="28"/>
      <x:c r="L2361" s="28"/>
      <x:c r="M2361" s="28"/>
      <x:c r="N2361" s="28"/>
      <x:c r="O2361" s="28"/>
      <x:c r="P2361" s="28"/>
      <x:c r="Q2361" s="28"/>
      <x:c r="R2361" s="28"/>
      <x:c r="S2361" s="28"/>
      <x:c r="T2361" s="28"/>
      <x:c r="U2361" s="28"/>
      <x:c r="V2361" s="28"/>
      <x:c r="W2361" s="43" t="n">
        <x:f>--AND(N2361=1,OR(O2361="SUPPORTED",O2361="HALLUCINATION"))</x:f>
        <x:v>0</x:v>
      </x:c>
      <x:c r="X2361" s="43" t="n">
        <x:f>--AND(W2361=1,O2361="HALLUCINATION")</x:f>
        <x:v>0</x:v>
      </x:c>
      <x:c r="Y2361" s="43" t="n">
        <x:f>--AND(Q2361=1,O2361="HALLUCINATION")</x:f>
        <x:v>0</x:v>
      </x:c>
      <x:c r="Z2361" s="43" t="n">
        <x:f>--AND(Y2361=1,R2361=1,S2361=1)</x:f>
        <x:v>0</x:v>
      </x:c>
      <x:c r="AC2361" t="str">
        <x:f>IF(OR(AA2361="",AB2361=""),"",--(AA2361&lt;&gt;AB2361))</x:f>
      </x:c>
      <x:c r="AE2361" t="str">
        <x:f>IF(OR(AA2361="",AB2361=""),"PENDING_HUMAN",IF(AA2361=AB2361,AA2361,IF(AD2361&lt;&gt;"",AD2361,"PENDING_HUMAN")))</x:f>
        <x:v>PENDING_HUMAN</x:v>
      </x:c>
      <x:c r="AF2361" t="n">
        <x:f>--AND(A2361&lt;&gt;"",AA2361&lt;&gt;"",AB2361&lt;&gt;"",OR(AA2361=AB2361,AD2361&lt;&gt;""),IF(AE2361="HALLUCINATION",U2361&lt;&gt;"",TRUE))</x:f>
        <x:v>0</x:v>
      </x:c>
      <x:c r="AG2361" t="n">
        <x:f>--AND(N2361=1,AF2361=1,OR(AE2361="SUPPORTED",AE2361="HALLUCINATION"))</x:f>
        <x:v>0</x:v>
      </x:c>
      <x:c r="AH2361" t="n">
        <x:f>--AND(AG2361=1,AE2361="HALLUCINATION")</x:f>
        <x:v>0</x:v>
      </x:c>
      <x:c r="AI2361" t="n">
        <x:f>--AND(Q2361=1,AF2361=1,AE2361="HALLUCINATION")</x:f>
        <x:v>0</x:v>
      </x:c>
      <x:c r="AJ2361" t="n">
        <x:f>--AND(AI2361=1,R2361=1,S2361=1)</x:f>
        <x:v>0</x:v>
      </x:c>
    </x:row>
    <x:row r="2362">
      <x:c r="A2362" s="28"/>
      <x:c r="B2362" s="28"/>
      <x:c r="C2362" s="28"/>
      <x:c r="D2362" s="28"/>
      <x:c r="E2362" s="28"/>
      <x:c r="F2362" s="28"/>
      <x:c r="G2362" s="28"/>
      <x:c r="H2362" s="28"/>
      <x:c r="I2362" s="28"/>
      <x:c r="J2362" s="28"/>
      <x:c r="K2362" s="28"/>
      <x:c r="L2362" s="28"/>
      <x:c r="M2362" s="28"/>
      <x:c r="N2362" s="28"/>
      <x:c r="O2362" s="28"/>
      <x:c r="P2362" s="28"/>
      <x:c r="Q2362" s="28"/>
      <x:c r="R2362" s="28"/>
      <x:c r="S2362" s="28"/>
      <x:c r="T2362" s="28"/>
      <x:c r="U2362" s="28"/>
      <x:c r="V2362" s="28"/>
      <x:c r="W2362" s="43" t="n">
        <x:f>--AND(N2362=1,OR(O2362="SUPPORTED",O2362="HALLUCINATION"))</x:f>
        <x:v>0</x:v>
      </x:c>
      <x:c r="X2362" s="43" t="n">
        <x:f>--AND(W2362=1,O2362="HALLUCINATION")</x:f>
        <x:v>0</x:v>
      </x:c>
      <x:c r="Y2362" s="43" t="n">
        <x:f>--AND(Q2362=1,O2362="HALLUCINATION")</x:f>
        <x:v>0</x:v>
      </x:c>
      <x:c r="Z2362" s="43" t="n">
        <x:f>--AND(Y2362=1,R2362=1,S2362=1)</x:f>
        <x:v>0</x:v>
      </x:c>
      <x:c r="AC2362" t="str">
        <x:f>IF(OR(AA2362="",AB2362=""),"",--(AA2362&lt;&gt;AB2362))</x:f>
      </x:c>
      <x:c r="AE2362" t="str">
        <x:f>IF(OR(AA2362="",AB2362=""),"PENDING_HUMAN",IF(AA2362=AB2362,AA2362,IF(AD2362&lt;&gt;"",AD2362,"PENDING_HUMAN")))</x:f>
        <x:v>PENDING_HUMAN</x:v>
      </x:c>
      <x:c r="AF2362" t="n">
        <x:f>--AND(A2362&lt;&gt;"",AA2362&lt;&gt;"",AB2362&lt;&gt;"",OR(AA2362=AB2362,AD2362&lt;&gt;""),IF(AE2362="HALLUCINATION",U2362&lt;&gt;"",TRUE))</x:f>
        <x:v>0</x:v>
      </x:c>
      <x:c r="AG2362" t="n">
        <x:f>--AND(N2362=1,AF2362=1,OR(AE2362="SUPPORTED",AE2362="HALLUCINATION"))</x:f>
        <x:v>0</x:v>
      </x:c>
      <x:c r="AH2362" t="n">
        <x:f>--AND(AG2362=1,AE2362="HALLUCINATION")</x:f>
        <x:v>0</x:v>
      </x:c>
      <x:c r="AI2362" t="n">
        <x:f>--AND(Q2362=1,AF2362=1,AE2362="HALLUCINATION")</x:f>
        <x:v>0</x:v>
      </x:c>
      <x:c r="AJ2362" t="n">
        <x:f>--AND(AI2362=1,R2362=1,S2362=1)</x:f>
        <x:v>0</x:v>
      </x:c>
    </x:row>
    <x:row r="2363">
      <x:c r="A2363" s="28"/>
      <x:c r="B2363" s="28"/>
      <x:c r="C2363" s="28"/>
      <x:c r="D2363" s="28"/>
      <x:c r="E2363" s="28"/>
      <x:c r="F2363" s="28"/>
      <x:c r="G2363" s="28"/>
      <x:c r="H2363" s="28"/>
      <x:c r="I2363" s="28"/>
      <x:c r="J2363" s="28"/>
      <x:c r="K2363" s="28"/>
      <x:c r="L2363" s="28"/>
      <x:c r="M2363" s="28"/>
      <x:c r="N2363" s="28"/>
      <x:c r="O2363" s="28"/>
      <x:c r="P2363" s="28"/>
      <x:c r="Q2363" s="28"/>
      <x:c r="R2363" s="28"/>
      <x:c r="S2363" s="28"/>
      <x:c r="T2363" s="28"/>
      <x:c r="U2363" s="28"/>
      <x:c r="V2363" s="28"/>
      <x:c r="W2363" s="43" t="n">
        <x:f>--AND(N2363=1,OR(O2363="SUPPORTED",O2363="HALLUCINATION"))</x:f>
        <x:v>0</x:v>
      </x:c>
      <x:c r="X2363" s="43" t="n">
        <x:f>--AND(W2363=1,O2363="HALLUCINATION")</x:f>
        <x:v>0</x:v>
      </x:c>
      <x:c r="Y2363" s="43" t="n">
        <x:f>--AND(Q2363=1,O2363="HALLUCINATION")</x:f>
        <x:v>0</x:v>
      </x:c>
      <x:c r="Z2363" s="43" t="n">
        <x:f>--AND(Y2363=1,R2363=1,S2363=1)</x:f>
        <x:v>0</x:v>
      </x:c>
      <x:c r="AC2363" t="str">
        <x:f>IF(OR(AA2363="",AB2363=""),"",--(AA2363&lt;&gt;AB2363))</x:f>
      </x:c>
      <x:c r="AE2363" t="str">
        <x:f>IF(OR(AA2363="",AB2363=""),"PENDING_HUMAN",IF(AA2363=AB2363,AA2363,IF(AD2363&lt;&gt;"",AD2363,"PENDING_HUMAN")))</x:f>
        <x:v>PENDING_HUMAN</x:v>
      </x:c>
      <x:c r="AF2363" t="n">
        <x:f>--AND(A2363&lt;&gt;"",AA2363&lt;&gt;"",AB2363&lt;&gt;"",OR(AA2363=AB2363,AD2363&lt;&gt;""),IF(AE2363="HALLUCINATION",U2363&lt;&gt;"",TRUE))</x:f>
        <x:v>0</x:v>
      </x:c>
      <x:c r="AG2363" t="n">
        <x:f>--AND(N2363=1,AF2363=1,OR(AE2363="SUPPORTED",AE2363="HALLUCINATION"))</x:f>
        <x:v>0</x:v>
      </x:c>
      <x:c r="AH2363" t="n">
        <x:f>--AND(AG2363=1,AE2363="HALLUCINATION")</x:f>
        <x:v>0</x:v>
      </x:c>
      <x:c r="AI2363" t="n">
        <x:f>--AND(Q2363=1,AF2363=1,AE2363="HALLUCINATION")</x:f>
        <x:v>0</x:v>
      </x:c>
      <x:c r="AJ2363" t="n">
        <x:f>--AND(AI2363=1,R2363=1,S2363=1)</x:f>
        <x:v>0</x:v>
      </x:c>
    </x:row>
    <x:row r="2364">
      <x:c r="A2364" s="28"/>
      <x:c r="B2364" s="28"/>
      <x:c r="C2364" s="28"/>
      <x:c r="D2364" s="28"/>
      <x:c r="E2364" s="28"/>
      <x:c r="F2364" s="28"/>
      <x:c r="G2364" s="28"/>
      <x:c r="H2364" s="28"/>
      <x:c r="I2364" s="28"/>
      <x:c r="J2364" s="28"/>
      <x:c r="K2364" s="28"/>
      <x:c r="L2364" s="28"/>
      <x:c r="M2364" s="28"/>
      <x:c r="N2364" s="28"/>
      <x:c r="O2364" s="28"/>
      <x:c r="P2364" s="28"/>
      <x:c r="Q2364" s="28"/>
      <x:c r="R2364" s="28"/>
      <x:c r="S2364" s="28"/>
      <x:c r="T2364" s="28"/>
      <x:c r="U2364" s="28"/>
      <x:c r="V2364" s="28"/>
      <x:c r="W2364" s="43" t="n">
        <x:f>--AND(N2364=1,OR(O2364="SUPPORTED",O2364="HALLUCINATION"))</x:f>
        <x:v>0</x:v>
      </x:c>
      <x:c r="X2364" s="43" t="n">
        <x:f>--AND(W2364=1,O2364="HALLUCINATION")</x:f>
        <x:v>0</x:v>
      </x:c>
      <x:c r="Y2364" s="43" t="n">
        <x:f>--AND(Q2364=1,O2364="HALLUCINATION")</x:f>
        <x:v>0</x:v>
      </x:c>
      <x:c r="Z2364" s="43" t="n">
        <x:f>--AND(Y2364=1,R2364=1,S2364=1)</x:f>
        <x:v>0</x:v>
      </x:c>
      <x:c r="AC2364" t="str">
        <x:f>IF(OR(AA2364="",AB2364=""),"",--(AA2364&lt;&gt;AB2364))</x:f>
      </x:c>
      <x:c r="AE2364" t="str">
        <x:f>IF(OR(AA2364="",AB2364=""),"PENDING_HUMAN",IF(AA2364=AB2364,AA2364,IF(AD2364&lt;&gt;"",AD2364,"PENDING_HUMAN")))</x:f>
        <x:v>PENDING_HUMAN</x:v>
      </x:c>
      <x:c r="AF2364" t="n">
        <x:f>--AND(A2364&lt;&gt;"",AA2364&lt;&gt;"",AB2364&lt;&gt;"",OR(AA2364=AB2364,AD2364&lt;&gt;""),IF(AE2364="HALLUCINATION",U2364&lt;&gt;"",TRUE))</x:f>
        <x:v>0</x:v>
      </x:c>
      <x:c r="AG2364" t="n">
        <x:f>--AND(N2364=1,AF2364=1,OR(AE2364="SUPPORTED",AE2364="HALLUCINATION"))</x:f>
        <x:v>0</x:v>
      </x:c>
      <x:c r="AH2364" t="n">
        <x:f>--AND(AG2364=1,AE2364="HALLUCINATION")</x:f>
        <x:v>0</x:v>
      </x:c>
      <x:c r="AI2364" t="n">
        <x:f>--AND(Q2364=1,AF2364=1,AE2364="HALLUCINATION")</x:f>
        <x:v>0</x:v>
      </x:c>
      <x:c r="AJ2364" t="n">
        <x:f>--AND(AI2364=1,R2364=1,S2364=1)</x:f>
        <x:v>0</x:v>
      </x:c>
    </x:row>
    <x:row r="2365">
      <x:c r="A2365" s="28"/>
      <x:c r="B2365" s="28"/>
      <x:c r="C2365" s="28"/>
      <x:c r="D2365" s="28"/>
      <x:c r="E2365" s="28"/>
      <x:c r="F2365" s="28"/>
      <x:c r="G2365" s="28"/>
      <x:c r="H2365" s="28"/>
      <x:c r="I2365" s="28"/>
      <x:c r="J2365" s="28"/>
      <x:c r="K2365" s="28"/>
      <x:c r="L2365" s="28"/>
      <x:c r="M2365" s="28"/>
      <x:c r="N2365" s="28"/>
      <x:c r="O2365" s="28"/>
      <x:c r="P2365" s="28"/>
      <x:c r="Q2365" s="28"/>
      <x:c r="R2365" s="28"/>
      <x:c r="S2365" s="28"/>
      <x:c r="T2365" s="28"/>
      <x:c r="U2365" s="28"/>
      <x:c r="V2365" s="28"/>
      <x:c r="W2365" s="43" t="n">
        <x:f>--AND(N2365=1,OR(O2365="SUPPORTED",O2365="HALLUCINATION"))</x:f>
        <x:v>0</x:v>
      </x:c>
      <x:c r="X2365" s="43" t="n">
        <x:f>--AND(W2365=1,O2365="HALLUCINATION")</x:f>
        <x:v>0</x:v>
      </x:c>
      <x:c r="Y2365" s="43" t="n">
        <x:f>--AND(Q2365=1,O2365="HALLUCINATION")</x:f>
        <x:v>0</x:v>
      </x:c>
      <x:c r="Z2365" s="43" t="n">
        <x:f>--AND(Y2365=1,R2365=1,S2365=1)</x:f>
        <x:v>0</x:v>
      </x:c>
      <x:c r="AC2365" t="str">
        <x:f>IF(OR(AA2365="",AB2365=""),"",--(AA2365&lt;&gt;AB2365))</x:f>
      </x:c>
      <x:c r="AE2365" t="str">
        <x:f>IF(OR(AA2365="",AB2365=""),"PENDING_HUMAN",IF(AA2365=AB2365,AA2365,IF(AD2365&lt;&gt;"",AD2365,"PENDING_HUMAN")))</x:f>
        <x:v>PENDING_HUMAN</x:v>
      </x:c>
      <x:c r="AF2365" t="n">
        <x:f>--AND(A2365&lt;&gt;"",AA2365&lt;&gt;"",AB2365&lt;&gt;"",OR(AA2365=AB2365,AD2365&lt;&gt;""),IF(AE2365="HALLUCINATION",U2365&lt;&gt;"",TRUE))</x:f>
        <x:v>0</x:v>
      </x:c>
      <x:c r="AG2365" t="n">
        <x:f>--AND(N2365=1,AF2365=1,OR(AE2365="SUPPORTED",AE2365="HALLUCINATION"))</x:f>
        <x:v>0</x:v>
      </x:c>
      <x:c r="AH2365" t="n">
        <x:f>--AND(AG2365=1,AE2365="HALLUCINATION")</x:f>
        <x:v>0</x:v>
      </x:c>
      <x:c r="AI2365" t="n">
        <x:f>--AND(Q2365=1,AF2365=1,AE2365="HALLUCINATION")</x:f>
        <x:v>0</x:v>
      </x:c>
      <x:c r="AJ2365" t="n">
        <x:f>--AND(AI2365=1,R2365=1,S2365=1)</x:f>
        <x:v>0</x:v>
      </x:c>
    </x:row>
    <x:row r="2366">
      <x:c r="A2366" s="28"/>
      <x:c r="B2366" s="28"/>
      <x:c r="C2366" s="28"/>
      <x:c r="D2366" s="28"/>
      <x:c r="E2366" s="28"/>
      <x:c r="F2366" s="28"/>
      <x:c r="G2366" s="28"/>
      <x:c r="H2366" s="28"/>
      <x:c r="I2366" s="28"/>
      <x:c r="J2366" s="28"/>
      <x:c r="K2366" s="28"/>
      <x:c r="L2366" s="28"/>
      <x:c r="M2366" s="28"/>
      <x:c r="N2366" s="28"/>
      <x:c r="O2366" s="28"/>
      <x:c r="P2366" s="28"/>
      <x:c r="Q2366" s="28"/>
      <x:c r="R2366" s="28"/>
      <x:c r="S2366" s="28"/>
      <x:c r="T2366" s="28"/>
      <x:c r="U2366" s="28"/>
      <x:c r="V2366" s="28"/>
      <x:c r="W2366" s="43" t="n">
        <x:f>--AND(N2366=1,OR(O2366="SUPPORTED",O2366="HALLUCINATION"))</x:f>
        <x:v>0</x:v>
      </x:c>
      <x:c r="X2366" s="43" t="n">
        <x:f>--AND(W2366=1,O2366="HALLUCINATION")</x:f>
        <x:v>0</x:v>
      </x:c>
      <x:c r="Y2366" s="43" t="n">
        <x:f>--AND(Q2366=1,O2366="HALLUCINATION")</x:f>
        <x:v>0</x:v>
      </x:c>
      <x:c r="Z2366" s="43" t="n">
        <x:f>--AND(Y2366=1,R2366=1,S2366=1)</x:f>
        <x:v>0</x:v>
      </x:c>
      <x:c r="AC2366" t="str">
        <x:f>IF(OR(AA2366="",AB2366=""),"",--(AA2366&lt;&gt;AB2366))</x:f>
      </x:c>
      <x:c r="AE2366" t="str">
        <x:f>IF(OR(AA2366="",AB2366=""),"PENDING_HUMAN",IF(AA2366=AB2366,AA2366,IF(AD2366&lt;&gt;"",AD2366,"PENDING_HUMAN")))</x:f>
        <x:v>PENDING_HUMAN</x:v>
      </x:c>
      <x:c r="AF2366" t="n">
        <x:f>--AND(A2366&lt;&gt;"",AA2366&lt;&gt;"",AB2366&lt;&gt;"",OR(AA2366=AB2366,AD2366&lt;&gt;""),IF(AE2366="HALLUCINATION",U2366&lt;&gt;"",TRUE))</x:f>
        <x:v>0</x:v>
      </x:c>
      <x:c r="AG2366" t="n">
        <x:f>--AND(N2366=1,AF2366=1,OR(AE2366="SUPPORTED",AE2366="HALLUCINATION"))</x:f>
        <x:v>0</x:v>
      </x:c>
      <x:c r="AH2366" t="n">
        <x:f>--AND(AG2366=1,AE2366="HALLUCINATION")</x:f>
        <x:v>0</x:v>
      </x:c>
      <x:c r="AI2366" t="n">
        <x:f>--AND(Q2366=1,AF2366=1,AE2366="HALLUCINATION")</x:f>
        <x:v>0</x:v>
      </x:c>
      <x:c r="AJ2366" t="n">
        <x:f>--AND(AI2366=1,R2366=1,S2366=1)</x:f>
        <x:v>0</x:v>
      </x:c>
    </x:row>
    <x:row r="2367">
      <x:c r="A2367" s="28"/>
      <x:c r="B2367" s="28"/>
      <x:c r="C2367" s="28"/>
      <x:c r="D2367" s="28"/>
      <x:c r="E2367" s="28"/>
      <x:c r="F2367" s="28"/>
      <x:c r="G2367" s="28"/>
      <x:c r="H2367" s="28"/>
      <x:c r="I2367" s="28"/>
      <x:c r="J2367" s="28"/>
      <x:c r="K2367" s="28"/>
      <x:c r="L2367" s="28"/>
      <x:c r="M2367" s="28"/>
      <x:c r="N2367" s="28"/>
      <x:c r="O2367" s="28"/>
      <x:c r="P2367" s="28"/>
      <x:c r="Q2367" s="28"/>
      <x:c r="R2367" s="28"/>
      <x:c r="S2367" s="28"/>
      <x:c r="T2367" s="28"/>
      <x:c r="U2367" s="28"/>
      <x:c r="V2367" s="28"/>
      <x:c r="W2367" s="43" t="n">
        <x:f>--AND(N2367=1,OR(O2367="SUPPORTED",O2367="HALLUCINATION"))</x:f>
        <x:v>0</x:v>
      </x:c>
      <x:c r="X2367" s="43" t="n">
        <x:f>--AND(W2367=1,O2367="HALLUCINATION")</x:f>
        <x:v>0</x:v>
      </x:c>
      <x:c r="Y2367" s="43" t="n">
        <x:f>--AND(Q2367=1,O2367="HALLUCINATION")</x:f>
        <x:v>0</x:v>
      </x:c>
      <x:c r="Z2367" s="43" t="n">
        <x:f>--AND(Y2367=1,R2367=1,S2367=1)</x:f>
        <x:v>0</x:v>
      </x:c>
      <x:c r="AC2367" t="str">
        <x:f>IF(OR(AA2367="",AB2367=""),"",--(AA2367&lt;&gt;AB2367))</x:f>
      </x:c>
      <x:c r="AE2367" t="str">
        <x:f>IF(OR(AA2367="",AB2367=""),"PENDING_HUMAN",IF(AA2367=AB2367,AA2367,IF(AD2367&lt;&gt;"",AD2367,"PENDING_HUMAN")))</x:f>
        <x:v>PENDING_HUMAN</x:v>
      </x:c>
      <x:c r="AF2367" t="n">
        <x:f>--AND(A2367&lt;&gt;"",AA2367&lt;&gt;"",AB2367&lt;&gt;"",OR(AA2367=AB2367,AD2367&lt;&gt;""),IF(AE2367="HALLUCINATION",U2367&lt;&gt;"",TRUE))</x:f>
        <x:v>0</x:v>
      </x:c>
      <x:c r="AG2367" t="n">
        <x:f>--AND(N2367=1,AF2367=1,OR(AE2367="SUPPORTED",AE2367="HALLUCINATION"))</x:f>
        <x:v>0</x:v>
      </x:c>
      <x:c r="AH2367" t="n">
        <x:f>--AND(AG2367=1,AE2367="HALLUCINATION")</x:f>
        <x:v>0</x:v>
      </x:c>
      <x:c r="AI2367" t="n">
        <x:f>--AND(Q2367=1,AF2367=1,AE2367="HALLUCINATION")</x:f>
        <x:v>0</x:v>
      </x:c>
      <x:c r="AJ2367" t="n">
        <x:f>--AND(AI2367=1,R2367=1,S2367=1)</x:f>
        <x:v>0</x:v>
      </x:c>
    </x:row>
    <x:row r="2368">
      <x:c r="A2368" s="28"/>
      <x:c r="B2368" s="28"/>
      <x:c r="C2368" s="28"/>
      <x:c r="D2368" s="28"/>
      <x:c r="E2368" s="28"/>
      <x:c r="F2368" s="28"/>
      <x:c r="G2368" s="28"/>
      <x:c r="H2368" s="28"/>
      <x:c r="I2368" s="28"/>
      <x:c r="J2368" s="28"/>
      <x:c r="K2368" s="28"/>
      <x:c r="L2368" s="28"/>
      <x:c r="M2368" s="28"/>
      <x:c r="N2368" s="28"/>
      <x:c r="O2368" s="28"/>
      <x:c r="P2368" s="28"/>
      <x:c r="Q2368" s="28"/>
      <x:c r="R2368" s="28"/>
      <x:c r="S2368" s="28"/>
      <x:c r="T2368" s="28"/>
      <x:c r="U2368" s="28"/>
      <x:c r="V2368" s="28"/>
      <x:c r="W2368" s="43" t="n">
        <x:f>--AND(N2368=1,OR(O2368="SUPPORTED",O2368="HALLUCINATION"))</x:f>
        <x:v>0</x:v>
      </x:c>
      <x:c r="X2368" s="43" t="n">
        <x:f>--AND(W2368=1,O2368="HALLUCINATION")</x:f>
        <x:v>0</x:v>
      </x:c>
      <x:c r="Y2368" s="43" t="n">
        <x:f>--AND(Q2368=1,O2368="HALLUCINATION")</x:f>
        <x:v>0</x:v>
      </x:c>
      <x:c r="Z2368" s="43" t="n">
        <x:f>--AND(Y2368=1,R2368=1,S2368=1)</x:f>
        <x:v>0</x:v>
      </x:c>
      <x:c r="AC2368" t="str">
        <x:f>IF(OR(AA2368="",AB2368=""),"",--(AA2368&lt;&gt;AB2368))</x:f>
      </x:c>
      <x:c r="AE2368" t="str">
        <x:f>IF(OR(AA2368="",AB2368=""),"PENDING_HUMAN",IF(AA2368=AB2368,AA2368,IF(AD2368&lt;&gt;"",AD2368,"PENDING_HUMAN")))</x:f>
        <x:v>PENDING_HUMAN</x:v>
      </x:c>
      <x:c r="AF2368" t="n">
        <x:f>--AND(A2368&lt;&gt;"",AA2368&lt;&gt;"",AB2368&lt;&gt;"",OR(AA2368=AB2368,AD2368&lt;&gt;""),IF(AE2368="HALLUCINATION",U2368&lt;&gt;"",TRUE))</x:f>
        <x:v>0</x:v>
      </x:c>
      <x:c r="AG2368" t="n">
        <x:f>--AND(N2368=1,AF2368=1,OR(AE2368="SUPPORTED",AE2368="HALLUCINATION"))</x:f>
        <x:v>0</x:v>
      </x:c>
      <x:c r="AH2368" t="n">
        <x:f>--AND(AG2368=1,AE2368="HALLUCINATION")</x:f>
        <x:v>0</x:v>
      </x:c>
      <x:c r="AI2368" t="n">
        <x:f>--AND(Q2368=1,AF2368=1,AE2368="HALLUCINATION")</x:f>
        <x:v>0</x:v>
      </x:c>
      <x:c r="AJ2368" t="n">
        <x:f>--AND(AI2368=1,R2368=1,S2368=1)</x:f>
        <x:v>0</x:v>
      </x:c>
    </x:row>
    <x:row r="2369">
      <x:c r="A2369" s="28"/>
      <x:c r="B2369" s="28"/>
      <x:c r="C2369" s="28"/>
      <x:c r="D2369" s="28"/>
      <x:c r="E2369" s="28"/>
      <x:c r="F2369" s="28"/>
      <x:c r="G2369" s="28"/>
      <x:c r="H2369" s="28"/>
      <x:c r="I2369" s="28"/>
      <x:c r="J2369" s="28"/>
      <x:c r="K2369" s="28"/>
      <x:c r="L2369" s="28"/>
      <x:c r="M2369" s="28"/>
      <x:c r="N2369" s="28"/>
      <x:c r="O2369" s="28"/>
      <x:c r="P2369" s="28"/>
      <x:c r="Q2369" s="28"/>
      <x:c r="R2369" s="28"/>
      <x:c r="S2369" s="28"/>
      <x:c r="T2369" s="28"/>
      <x:c r="U2369" s="28"/>
      <x:c r="V2369" s="28"/>
      <x:c r="W2369" s="43" t="n">
        <x:f>--AND(N2369=1,OR(O2369="SUPPORTED",O2369="HALLUCINATION"))</x:f>
        <x:v>0</x:v>
      </x:c>
      <x:c r="X2369" s="43" t="n">
        <x:f>--AND(W2369=1,O2369="HALLUCINATION")</x:f>
        <x:v>0</x:v>
      </x:c>
      <x:c r="Y2369" s="43" t="n">
        <x:f>--AND(Q2369=1,O2369="HALLUCINATION")</x:f>
        <x:v>0</x:v>
      </x:c>
      <x:c r="Z2369" s="43" t="n">
        <x:f>--AND(Y2369=1,R2369=1,S2369=1)</x:f>
        <x:v>0</x:v>
      </x:c>
      <x:c r="AC2369" t="str">
        <x:f>IF(OR(AA2369="",AB2369=""),"",--(AA2369&lt;&gt;AB2369))</x:f>
      </x:c>
      <x:c r="AE2369" t="str">
        <x:f>IF(OR(AA2369="",AB2369=""),"PENDING_HUMAN",IF(AA2369=AB2369,AA2369,IF(AD2369&lt;&gt;"",AD2369,"PENDING_HUMAN")))</x:f>
        <x:v>PENDING_HUMAN</x:v>
      </x:c>
      <x:c r="AF2369" t="n">
        <x:f>--AND(A2369&lt;&gt;"",AA2369&lt;&gt;"",AB2369&lt;&gt;"",OR(AA2369=AB2369,AD2369&lt;&gt;""),IF(AE2369="HALLUCINATION",U2369&lt;&gt;"",TRUE))</x:f>
        <x:v>0</x:v>
      </x:c>
      <x:c r="AG2369" t="n">
        <x:f>--AND(N2369=1,AF2369=1,OR(AE2369="SUPPORTED",AE2369="HALLUCINATION"))</x:f>
        <x:v>0</x:v>
      </x:c>
      <x:c r="AH2369" t="n">
        <x:f>--AND(AG2369=1,AE2369="HALLUCINATION")</x:f>
        <x:v>0</x:v>
      </x:c>
      <x:c r="AI2369" t="n">
        <x:f>--AND(Q2369=1,AF2369=1,AE2369="HALLUCINATION")</x:f>
        <x:v>0</x:v>
      </x:c>
      <x:c r="AJ2369" t="n">
        <x:f>--AND(AI2369=1,R2369=1,S2369=1)</x:f>
        <x:v>0</x:v>
      </x:c>
    </x:row>
    <x:row r="2370">
      <x:c r="A2370" s="28"/>
      <x:c r="B2370" s="28"/>
      <x:c r="C2370" s="28"/>
      <x:c r="D2370" s="28"/>
      <x:c r="E2370" s="28"/>
      <x:c r="F2370" s="28"/>
      <x:c r="G2370" s="28"/>
      <x:c r="H2370" s="28"/>
      <x:c r="I2370" s="28"/>
      <x:c r="J2370" s="28"/>
      <x:c r="K2370" s="28"/>
      <x:c r="L2370" s="28"/>
      <x:c r="M2370" s="28"/>
      <x:c r="N2370" s="28"/>
      <x:c r="O2370" s="28"/>
      <x:c r="P2370" s="28"/>
      <x:c r="Q2370" s="28"/>
      <x:c r="R2370" s="28"/>
      <x:c r="S2370" s="28"/>
      <x:c r="T2370" s="28"/>
      <x:c r="U2370" s="28"/>
      <x:c r="V2370" s="28"/>
      <x:c r="W2370" s="43" t="n">
        <x:f>--AND(N2370=1,OR(O2370="SUPPORTED",O2370="HALLUCINATION"))</x:f>
        <x:v>0</x:v>
      </x:c>
      <x:c r="X2370" s="43" t="n">
        <x:f>--AND(W2370=1,O2370="HALLUCINATION")</x:f>
        <x:v>0</x:v>
      </x:c>
      <x:c r="Y2370" s="43" t="n">
        <x:f>--AND(Q2370=1,O2370="HALLUCINATION")</x:f>
        <x:v>0</x:v>
      </x:c>
      <x:c r="Z2370" s="43" t="n">
        <x:f>--AND(Y2370=1,R2370=1,S2370=1)</x:f>
        <x:v>0</x:v>
      </x:c>
      <x:c r="AC2370" t="str">
        <x:f>IF(OR(AA2370="",AB2370=""),"",--(AA2370&lt;&gt;AB2370))</x:f>
      </x:c>
      <x:c r="AE2370" t="str">
        <x:f>IF(OR(AA2370="",AB2370=""),"PENDING_HUMAN",IF(AA2370=AB2370,AA2370,IF(AD2370&lt;&gt;"",AD2370,"PENDING_HUMAN")))</x:f>
        <x:v>PENDING_HUMAN</x:v>
      </x:c>
      <x:c r="AF2370" t="n">
        <x:f>--AND(A2370&lt;&gt;"",AA2370&lt;&gt;"",AB2370&lt;&gt;"",OR(AA2370=AB2370,AD2370&lt;&gt;""),IF(AE2370="HALLUCINATION",U2370&lt;&gt;"",TRUE))</x:f>
        <x:v>0</x:v>
      </x:c>
      <x:c r="AG2370" t="n">
        <x:f>--AND(N2370=1,AF2370=1,OR(AE2370="SUPPORTED",AE2370="HALLUCINATION"))</x:f>
        <x:v>0</x:v>
      </x:c>
      <x:c r="AH2370" t="n">
        <x:f>--AND(AG2370=1,AE2370="HALLUCINATION")</x:f>
        <x:v>0</x:v>
      </x:c>
      <x:c r="AI2370" t="n">
        <x:f>--AND(Q2370=1,AF2370=1,AE2370="HALLUCINATION")</x:f>
        <x:v>0</x:v>
      </x:c>
      <x:c r="AJ2370" t="n">
        <x:f>--AND(AI2370=1,R2370=1,S2370=1)</x:f>
        <x:v>0</x:v>
      </x:c>
    </x:row>
    <x:row r="2371">
      <x:c r="A2371" s="28"/>
      <x:c r="B2371" s="28"/>
      <x:c r="C2371" s="28"/>
      <x:c r="D2371" s="28"/>
      <x:c r="E2371" s="28"/>
      <x:c r="F2371" s="28"/>
      <x:c r="G2371" s="28"/>
      <x:c r="H2371" s="28"/>
      <x:c r="I2371" s="28"/>
      <x:c r="J2371" s="28"/>
      <x:c r="K2371" s="28"/>
      <x:c r="L2371" s="28"/>
      <x:c r="M2371" s="28"/>
      <x:c r="N2371" s="28"/>
      <x:c r="O2371" s="28"/>
      <x:c r="P2371" s="28"/>
      <x:c r="Q2371" s="28"/>
      <x:c r="R2371" s="28"/>
      <x:c r="S2371" s="28"/>
      <x:c r="T2371" s="28"/>
      <x:c r="U2371" s="28"/>
      <x:c r="V2371" s="28"/>
      <x:c r="W2371" s="43" t="n">
        <x:f>--AND(N2371=1,OR(O2371="SUPPORTED",O2371="HALLUCINATION"))</x:f>
        <x:v>0</x:v>
      </x:c>
      <x:c r="X2371" s="43" t="n">
        <x:f>--AND(W2371=1,O2371="HALLUCINATION")</x:f>
        <x:v>0</x:v>
      </x:c>
      <x:c r="Y2371" s="43" t="n">
        <x:f>--AND(Q2371=1,O2371="HALLUCINATION")</x:f>
        <x:v>0</x:v>
      </x:c>
      <x:c r="Z2371" s="43" t="n">
        <x:f>--AND(Y2371=1,R2371=1,S2371=1)</x:f>
        <x:v>0</x:v>
      </x:c>
      <x:c r="AC2371" t="str">
        <x:f>IF(OR(AA2371="",AB2371=""),"",--(AA2371&lt;&gt;AB2371))</x:f>
      </x:c>
      <x:c r="AE2371" t="str">
        <x:f>IF(OR(AA2371="",AB2371=""),"PENDING_HUMAN",IF(AA2371=AB2371,AA2371,IF(AD2371&lt;&gt;"",AD2371,"PENDING_HUMAN")))</x:f>
        <x:v>PENDING_HUMAN</x:v>
      </x:c>
      <x:c r="AF2371" t="n">
        <x:f>--AND(A2371&lt;&gt;"",AA2371&lt;&gt;"",AB2371&lt;&gt;"",OR(AA2371=AB2371,AD2371&lt;&gt;""),IF(AE2371="HALLUCINATION",U2371&lt;&gt;"",TRUE))</x:f>
        <x:v>0</x:v>
      </x:c>
      <x:c r="AG2371" t="n">
        <x:f>--AND(N2371=1,AF2371=1,OR(AE2371="SUPPORTED",AE2371="HALLUCINATION"))</x:f>
        <x:v>0</x:v>
      </x:c>
      <x:c r="AH2371" t="n">
        <x:f>--AND(AG2371=1,AE2371="HALLUCINATION")</x:f>
        <x:v>0</x:v>
      </x:c>
      <x:c r="AI2371" t="n">
        <x:f>--AND(Q2371=1,AF2371=1,AE2371="HALLUCINATION")</x:f>
        <x:v>0</x:v>
      </x:c>
      <x:c r="AJ2371" t="n">
        <x:f>--AND(AI2371=1,R2371=1,S2371=1)</x:f>
        <x:v>0</x:v>
      </x:c>
    </x:row>
    <x:row r="2372">
      <x:c r="A2372" s="28"/>
      <x:c r="B2372" s="28"/>
      <x:c r="C2372" s="28"/>
      <x:c r="D2372" s="28"/>
      <x:c r="E2372" s="28"/>
      <x:c r="F2372" s="28"/>
      <x:c r="G2372" s="28"/>
      <x:c r="H2372" s="28"/>
      <x:c r="I2372" s="28"/>
      <x:c r="J2372" s="28"/>
      <x:c r="K2372" s="28"/>
      <x:c r="L2372" s="28"/>
      <x:c r="M2372" s="28"/>
      <x:c r="N2372" s="28"/>
      <x:c r="O2372" s="28"/>
      <x:c r="P2372" s="28"/>
      <x:c r="Q2372" s="28"/>
      <x:c r="R2372" s="28"/>
      <x:c r="S2372" s="28"/>
      <x:c r="T2372" s="28"/>
      <x:c r="U2372" s="28"/>
      <x:c r="V2372" s="28"/>
      <x:c r="W2372" s="43" t="n">
        <x:f>--AND(N2372=1,OR(O2372="SUPPORTED",O2372="HALLUCINATION"))</x:f>
        <x:v>0</x:v>
      </x:c>
      <x:c r="X2372" s="43" t="n">
        <x:f>--AND(W2372=1,O2372="HALLUCINATION")</x:f>
        <x:v>0</x:v>
      </x:c>
      <x:c r="Y2372" s="43" t="n">
        <x:f>--AND(Q2372=1,O2372="HALLUCINATION")</x:f>
        <x:v>0</x:v>
      </x:c>
      <x:c r="Z2372" s="43" t="n">
        <x:f>--AND(Y2372=1,R2372=1,S2372=1)</x:f>
        <x:v>0</x:v>
      </x:c>
      <x:c r="AC2372" t="str">
        <x:f>IF(OR(AA2372="",AB2372=""),"",--(AA2372&lt;&gt;AB2372))</x:f>
      </x:c>
      <x:c r="AE2372" t="str">
        <x:f>IF(OR(AA2372="",AB2372=""),"PENDING_HUMAN",IF(AA2372=AB2372,AA2372,IF(AD2372&lt;&gt;"",AD2372,"PENDING_HUMAN")))</x:f>
        <x:v>PENDING_HUMAN</x:v>
      </x:c>
      <x:c r="AF2372" t="n">
        <x:f>--AND(A2372&lt;&gt;"",AA2372&lt;&gt;"",AB2372&lt;&gt;"",OR(AA2372=AB2372,AD2372&lt;&gt;""),IF(AE2372="HALLUCINATION",U2372&lt;&gt;"",TRUE))</x:f>
        <x:v>0</x:v>
      </x:c>
      <x:c r="AG2372" t="n">
        <x:f>--AND(N2372=1,AF2372=1,OR(AE2372="SUPPORTED",AE2372="HALLUCINATION"))</x:f>
        <x:v>0</x:v>
      </x:c>
      <x:c r="AH2372" t="n">
        <x:f>--AND(AG2372=1,AE2372="HALLUCINATION")</x:f>
        <x:v>0</x:v>
      </x:c>
      <x:c r="AI2372" t="n">
        <x:f>--AND(Q2372=1,AF2372=1,AE2372="HALLUCINATION")</x:f>
        <x:v>0</x:v>
      </x:c>
      <x:c r="AJ2372" t="n">
        <x:f>--AND(AI2372=1,R2372=1,S2372=1)</x:f>
        <x:v>0</x:v>
      </x:c>
    </x:row>
    <x:row r="2373">
      <x:c r="A2373" s="28"/>
      <x:c r="B2373" s="28"/>
      <x:c r="C2373" s="28"/>
      <x:c r="D2373" s="28"/>
      <x:c r="E2373" s="28"/>
      <x:c r="F2373" s="28"/>
      <x:c r="G2373" s="28"/>
      <x:c r="H2373" s="28"/>
      <x:c r="I2373" s="28"/>
      <x:c r="J2373" s="28"/>
      <x:c r="K2373" s="28"/>
      <x:c r="L2373" s="28"/>
      <x:c r="M2373" s="28"/>
      <x:c r="N2373" s="28"/>
      <x:c r="O2373" s="28"/>
      <x:c r="P2373" s="28"/>
      <x:c r="Q2373" s="28"/>
      <x:c r="R2373" s="28"/>
      <x:c r="S2373" s="28"/>
      <x:c r="T2373" s="28"/>
      <x:c r="U2373" s="28"/>
      <x:c r="V2373" s="28"/>
      <x:c r="W2373" s="43" t="n">
        <x:f>--AND(N2373=1,OR(O2373="SUPPORTED",O2373="HALLUCINATION"))</x:f>
        <x:v>0</x:v>
      </x:c>
      <x:c r="X2373" s="43" t="n">
        <x:f>--AND(W2373=1,O2373="HALLUCINATION")</x:f>
        <x:v>0</x:v>
      </x:c>
      <x:c r="Y2373" s="43" t="n">
        <x:f>--AND(Q2373=1,O2373="HALLUCINATION")</x:f>
        <x:v>0</x:v>
      </x:c>
      <x:c r="Z2373" s="43" t="n">
        <x:f>--AND(Y2373=1,R2373=1,S2373=1)</x:f>
        <x:v>0</x:v>
      </x:c>
      <x:c r="AC2373" t="str">
        <x:f>IF(OR(AA2373="",AB2373=""),"",--(AA2373&lt;&gt;AB2373))</x:f>
      </x:c>
      <x:c r="AE2373" t="str">
        <x:f>IF(OR(AA2373="",AB2373=""),"PENDING_HUMAN",IF(AA2373=AB2373,AA2373,IF(AD2373&lt;&gt;"",AD2373,"PENDING_HUMAN")))</x:f>
        <x:v>PENDING_HUMAN</x:v>
      </x:c>
      <x:c r="AF2373" t="n">
        <x:f>--AND(A2373&lt;&gt;"",AA2373&lt;&gt;"",AB2373&lt;&gt;"",OR(AA2373=AB2373,AD2373&lt;&gt;""),IF(AE2373="HALLUCINATION",U2373&lt;&gt;"",TRUE))</x:f>
        <x:v>0</x:v>
      </x:c>
      <x:c r="AG2373" t="n">
        <x:f>--AND(N2373=1,AF2373=1,OR(AE2373="SUPPORTED",AE2373="HALLUCINATION"))</x:f>
        <x:v>0</x:v>
      </x:c>
      <x:c r="AH2373" t="n">
        <x:f>--AND(AG2373=1,AE2373="HALLUCINATION")</x:f>
        <x:v>0</x:v>
      </x:c>
      <x:c r="AI2373" t="n">
        <x:f>--AND(Q2373=1,AF2373=1,AE2373="HALLUCINATION")</x:f>
        <x:v>0</x:v>
      </x:c>
      <x:c r="AJ2373" t="n">
        <x:f>--AND(AI2373=1,R2373=1,S2373=1)</x:f>
        <x:v>0</x:v>
      </x:c>
    </x:row>
    <x:row r="2374">
      <x:c r="A2374" s="28"/>
      <x:c r="B2374" s="28"/>
      <x:c r="C2374" s="28"/>
      <x:c r="D2374" s="28"/>
      <x:c r="E2374" s="28"/>
      <x:c r="F2374" s="28"/>
      <x:c r="G2374" s="28"/>
      <x:c r="H2374" s="28"/>
      <x:c r="I2374" s="28"/>
      <x:c r="J2374" s="28"/>
      <x:c r="K2374" s="28"/>
      <x:c r="L2374" s="28"/>
      <x:c r="M2374" s="28"/>
      <x:c r="N2374" s="28"/>
      <x:c r="O2374" s="28"/>
      <x:c r="P2374" s="28"/>
      <x:c r="Q2374" s="28"/>
      <x:c r="R2374" s="28"/>
      <x:c r="S2374" s="28"/>
      <x:c r="T2374" s="28"/>
      <x:c r="U2374" s="28"/>
      <x:c r="V2374" s="28"/>
      <x:c r="W2374" s="43" t="n">
        <x:f>--AND(N2374=1,OR(O2374="SUPPORTED",O2374="HALLUCINATION"))</x:f>
        <x:v>0</x:v>
      </x:c>
      <x:c r="X2374" s="43" t="n">
        <x:f>--AND(W2374=1,O2374="HALLUCINATION")</x:f>
        <x:v>0</x:v>
      </x:c>
      <x:c r="Y2374" s="43" t="n">
        <x:f>--AND(Q2374=1,O2374="HALLUCINATION")</x:f>
        <x:v>0</x:v>
      </x:c>
      <x:c r="Z2374" s="43" t="n">
        <x:f>--AND(Y2374=1,R2374=1,S2374=1)</x:f>
        <x:v>0</x:v>
      </x:c>
      <x:c r="AC2374" t="str">
        <x:f>IF(OR(AA2374="",AB2374=""),"",--(AA2374&lt;&gt;AB2374))</x:f>
      </x:c>
      <x:c r="AE2374" t="str">
        <x:f>IF(OR(AA2374="",AB2374=""),"PENDING_HUMAN",IF(AA2374=AB2374,AA2374,IF(AD2374&lt;&gt;"",AD2374,"PENDING_HUMAN")))</x:f>
        <x:v>PENDING_HUMAN</x:v>
      </x:c>
      <x:c r="AF2374" t="n">
        <x:f>--AND(A2374&lt;&gt;"",AA2374&lt;&gt;"",AB2374&lt;&gt;"",OR(AA2374=AB2374,AD2374&lt;&gt;""),IF(AE2374="HALLUCINATION",U2374&lt;&gt;"",TRUE))</x:f>
        <x:v>0</x:v>
      </x:c>
      <x:c r="AG2374" t="n">
        <x:f>--AND(N2374=1,AF2374=1,OR(AE2374="SUPPORTED",AE2374="HALLUCINATION"))</x:f>
        <x:v>0</x:v>
      </x:c>
      <x:c r="AH2374" t="n">
        <x:f>--AND(AG2374=1,AE2374="HALLUCINATION")</x:f>
        <x:v>0</x:v>
      </x:c>
      <x:c r="AI2374" t="n">
        <x:f>--AND(Q2374=1,AF2374=1,AE2374="HALLUCINATION")</x:f>
        <x:v>0</x:v>
      </x:c>
      <x:c r="AJ2374" t="n">
        <x:f>--AND(AI2374=1,R2374=1,S2374=1)</x:f>
        <x:v>0</x:v>
      </x:c>
    </x:row>
    <x:row r="2375">
      <x:c r="A2375" s="28"/>
      <x:c r="B2375" s="28"/>
      <x:c r="C2375" s="28"/>
      <x:c r="D2375" s="28"/>
      <x:c r="E2375" s="28"/>
      <x:c r="F2375" s="28"/>
      <x:c r="G2375" s="28"/>
      <x:c r="H2375" s="28"/>
      <x:c r="I2375" s="28"/>
      <x:c r="J2375" s="28"/>
      <x:c r="K2375" s="28"/>
      <x:c r="L2375" s="28"/>
      <x:c r="M2375" s="28"/>
      <x:c r="N2375" s="28"/>
      <x:c r="O2375" s="28"/>
      <x:c r="P2375" s="28"/>
      <x:c r="Q2375" s="28"/>
      <x:c r="R2375" s="28"/>
      <x:c r="S2375" s="28"/>
      <x:c r="T2375" s="28"/>
      <x:c r="U2375" s="28"/>
      <x:c r="V2375" s="28"/>
      <x:c r="W2375" s="43" t="n">
        <x:f>--AND(N2375=1,OR(O2375="SUPPORTED",O2375="HALLUCINATION"))</x:f>
        <x:v>0</x:v>
      </x:c>
      <x:c r="X2375" s="43" t="n">
        <x:f>--AND(W2375=1,O2375="HALLUCINATION")</x:f>
        <x:v>0</x:v>
      </x:c>
      <x:c r="Y2375" s="43" t="n">
        <x:f>--AND(Q2375=1,O2375="HALLUCINATION")</x:f>
        <x:v>0</x:v>
      </x:c>
      <x:c r="Z2375" s="43" t="n">
        <x:f>--AND(Y2375=1,R2375=1,S2375=1)</x:f>
        <x:v>0</x:v>
      </x:c>
      <x:c r="AC2375" t="str">
        <x:f>IF(OR(AA2375="",AB2375=""),"",--(AA2375&lt;&gt;AB2375))</x:f>
      </x:c>
      <x:c r="AE2375" t="str">
        <x:f>IF(OR(AA2375="",AB2375=""),"PENDING_HUMAN",IF(AA2375=AB2375,AA2375,IF(AD2375&lt;&gt;"",AD2375,"PENDING_HUMAN")))</x:f>
        <x:v>PENDING_HUMAN</x:v>
      </x:c>
      <x:c r="AF2375" t="n">
        <x:f>--AND(A2375&lt;&gt;"",AA2375&lt;&gt;"",AB2375&lt;&gt;"",OR(AA2375=AB2375,AD2375&lt;&gt;""),IF(AE2375="HALLUCINATION",U2375&lt;&gt;"",TRUE))</x:f>
        <x:v>0</x:v>
      </x:c>
      <x:c r="AG2375" t="n">
        <x:f>--AND(N2375=1,AF2375=1,OR(AE2375="SUPPORTED",AE2375="HALLUCINATION"))</x:f>
        <x:v>0</x:v>
      </x:c>
      <x:c r="AH2375" t="n">
        <x:f>--AND(AG2375=1,AE2375="HALLUCINATION")</x:f>
        <x:v>0</x:v>
      </x:c>
      <x:c r="AI2375" t="n">
        <x:f>--AND(Q2375=1,AF2375=1,AE2375="HALLUCINATION")</x:f>
        <x:v>0</x:v>
      </x:c>
      <x:c r="AJ2375" t="n">
        <x:f>--AND(AI2375=1,R2375=1,S2375=1)</x:f>
        <x:v>0</x:v>
      </x:c>
    </x:row>
    <x:row r="2376">
      <x:c r="A2376" s="28"/>
      <x:c r="B2376" s="28"/>
      <x:c r="C2376" s="28"/>
      <x:c r="D2376" s="28"/>
      <x:c r="E2376" s="28"/>
      <x:c r="F2376" s="28"/>
      <x:c r="G2376" s="28"/>
      <x:c r="H2376" s="28"/>
      <x:c r="I2376" s="28"/>
      <x:c r="J2376" s="28"/>
      <x:c r="K2376" s="28"/>
      <x:c r="L2376" s="28"/>
      <x:c r="M2376" s="28"/>
      <x:c r="N2376" s="28"/>
      <x:c r="O2376" s="28"/>
      <x:c r="P2376" s="28"/>
      <x:c r="Q2376" s="28"/>
      <x:c r="R2376" s="28"/>
      <x:c r="S2376" s="28"/>
      <x:c r="T2376" s="28"/>
      <x:c r="U2376" s="28"/>
      <x:c r="V2376" s="28"/>
      <x:c r="W2376" s="43" t="n">
        <x:f>--AND(N2376=1,OR(O2376="SUPPORTED",O2376="HALLUCINATION"))</x:f>
        <x:v>0</x:v>
      </x:c>
      <x:c r="X2376" s="43" t="n">
        <x:f>--AND(W2376=1,O2376="HALLUCINATION")</x:f>
        <x:v>0</x:v>
      </x:c>
      <x:c r="Y2376" s="43" t="n">
        <x:f>--AND(Q2376=1,O2376="HALLUCINATION")</x:f>
        <x:v>0</x:v>
      </x:c>
      <x:c r="Z2376" s="43" t="n">
        <x:f>--AND(Y2376=1,R2376=1,S2376=1)</x:f>
        <x:v>0</x:v>
      </x:c>
      <x:c r="AC2376" t="str">
        <x:f>IF(OR(AA2376="",AB2376=""),"",--(AA2376&lt;&gt;AB2376))</x:f>
      </x:c>
      <x:c r="AE2376" t="str">
        <x:f>IF(OR(AA2376="",AB2376=""),"PENDING_HUMAN",IF(AA2376=AB2376,AA2376,IF(AD2376&lt;&gt;"",AD2376,"PENDING_HUMAN")))</x:f>
        <x:v>PENDING_HUMAN</x:v>
      </x:c>
      <x:c r="AF2376" t="n">
        <x:f>--AND(A2376&lt;&gt;"",AA2376&lt;&gt;"",AB2376&lt;&gt;"",OR(AA2376=AB2376,AD2376&lt;&gt;""),IF(AE2376="HALLUCINATION",U2376&lt;&gt;"",TRUE))</x:f>
        <x:v>0</x:v>
      </x:c>
      <x:c r="AG2376" t="n">
        <x:f>--AND(N2376=1,AF2376=1,OR(AE2376="SUPPORTED",AE2376="HALLUCINATION"))</x:f>
        <x:v>0</x:v>
      </x:c>
      <x:c r="AH2376" t="n">
        <x:f>--AND(AG2376=1,AE2376="HALLUCINATION")</x:f>
        <x:v>0</x:v>
      </x:c>
      <x:c r="AI2376" t="n">
        <x:f>--AND(Q2376=1,AF2376=1,AE2376="HALLUCINATION")</x:f>
        <x:v>0</x:v>
      </x:c>
      <x:c r="AJ2376" t="n">
        <x:f>--AND(AI2376=1,R2376=1,S2376=1)</x:f>
        <x:v>0</x:v>
      </x:c>
    </x:row>
    <x:row r="2377">
      <x:c r="A2377" s="28"/>
      <x:c r="B2377" s="28"/>
      <x:c r="C2377" s="28"/>
      <x:c r="D2377" s="28"/>
      <x:c r="E2377" s="28"/>
      <x:c r="F2377" s="28"/>
      <x:c r="G2377" s="28"/>
      <x:c r="H2377" s="28"/>
      <x:c r="I2377" s="28"/>
      <x:c r="J2377" s="28"/>
      <x:c r="K2377" s="28"/>
      <x:c r="L2377" s="28"/>
      <x:c r="M2377" s="28"/>
      <x:c r="N2377" s="28"/>
      <x:c r="O2377" s="28"/>
      <x:c r="P2377" s="28"/>
      <x:c r="Q2377" s="28"/>
      <x:c r="R2377" s="28"/>
      <x:c r="S2377" s="28"/>
      <x:c r="T2377" s="28"/>
      <x:c r="U2377" s="28"/>
      <x:c r="V2377" s="28"/>
      <x:c r="W2377" s="43" t="n">
        <x:f>--AND(N2377=1,OR(O2377="SUPPORTED",O2377="HALLUCINATION"))</x:f>
        <x:v>0</x:v>
      </x:c>
      <x:c r="X2377" s="43" t="n">
        <x:f>--AND(W2377=1,O2377="HALLUCINATION")</x:f>
        <x:v>0</x:v>
      </x:c>
      <x:c r="Y2377" s="43" t="n">
        <x:f>--AND(Q2377=1,O2377="HALLUCINATION")</x:f>
        <x:v>0</x:v>
      </x:c>
      <x:c r="Z2377" s="43" t="n">
        <x:f>--AND(Y2377=1,R2377=1,S2377=1)</x:f>
        <x:v>0</x:v>
      </x:c>
      <x:c r="AC2377" t="str">
        <x:f>IF(OR(AA2377="",AB2377=""),"",--(AA2377&lt;&gt;AB2377))</x:f>
      </x:c>
      <x:c r="AE2377" t="str">
        <x:f>IF(OR(AA2377="",AB2377=""),"PENDING_HUMAN",IF(AA2377=AB2377,AA2377,IF(AD2377&lt;&gt;"",AD2377,"PENDING_HUMAN")))</x:f>
        <x:v>PENDING_HUMAN</x:v>
      </x:c>
      <x:c r="AF2377" t="n">
        <x:f>--AND(A2377&lt;&gt;"",AA2377&lt;&gt;"",AB2377&lt;&gt;"",OR(AA2377=AB2377,AD2377&lt;&gt;""),IF(AE2377="HALLUCINATION",U2377&lt;&gt;"",TRUE))</x:f>
        <x:v>0</x:v>
      </x:c>
      <x:c r="AG2377" t="n">
        <x:f>--AND(N2377=1,AF2377=1,OR(AE2377="SUPPORTED",AE2377="HALLUCINATION"))</x:f>
        <x:v>0</x:v>
      </x:c>
      <x:c r="AH2377" t="n">
        <x:f>--AND(AG2377=1,AE2377="HALLUCINATION")</x:f>
        <x:v>0</x:v>
      </x:c>
      <x:c r="AI2377" t="n">
        <x:f>--AND(Q2377=1,AF2377=1,AE2377="HALLUCINATION")</x:f>
        <x:v>0</x:v>
      </x:c>
      <x:c r="AJ2377" t="n">
        <x:f>--AND(AI2377=1,R2377=1,S2377=1)</x:f>
        <x:v>0</x:v>
      </x:c>
    </x:row>
    <x:row r="2378">
      <x:c r="A2378" s="28"/>
      <x:c r="B2378" s="28"/>
      <x:c r="C2378" s="28"/>
      <x:c r="D2378" s="28"/>
      <x:c r="E2378" s="28"/>
      <x:c r="F2378" s="28"/>
      <x:c r="G2378" s="28"/>
      <x:c r="H2378" s="28"/>
      <x:c r="I2378" s="28"/>
      <x:c r="J2378" s="28"/>
      <x:c r="K2378" s="28"/>
      <x:c r="L2378" s="28"/>
      <x:c r="M2378" s="28"/>
      <x:c r="N2378" s="28"/>
      <x:c r="O2378" s="28"/>
      <x:c r="P2378" s="28"/>
      <x:c r="Q2378" s="28"/>
      <x:c r="R2378" s="28"/>
      <x:c r="S2378" s="28"/>
      <x:c r="T2378" s="28"/>
      <x:c r="U2378" s="28"/>
      <x:c r="V2378" s="28"/>
      <x:c r="W2378" s="43" t="n">
        <x:f>--AND(N2378=1,OR(O2378="SUPPORTED",O2378="HALLUCINATION"))</x:f>
        <x:v>0</x:v>
      </x:c>
      <x:c r="X2378" s="43" t="n">
        <x:f>--AND(W2378=1,O2378="HALLUCINATION")</x:f>
        <x:v>0</x:v>
      </x:c>
      <x:c r="Y2378" s="43" t="n">
        <x:f>--AND(Q2378=1,O2378="HALLUCINATION")</x:f>
        <x:v>0</x:v>
      </x:c>
      <x:c r="Z2378" s="43" t="n">
        <x:f>--AND(Y2378=1,R2378=1,S2378=1)</x:f>
        <x:v>0</x:v>
      </x:c>
      <x:c r="AC2378" t="str">
        <x:f>IF(OR(AA2378="",AB2378=""),"",--(AA2378&lt;&gt;AB2378))</x:f>
      </x:c>
      <x:c r="AE2378" t="str">
        <x:f>IF(OR(AA2378="",AB2378=""),"PENDING_HUMAN",IF(AA2378=AB2378,AA2378,IF(AD2378&lt;&gt;"",AD2378,"PENDING_HUMAN")))</x:f>
        <x:v>PENDING_HUMAN</x:v>
      </x:c>
      <x:c r="AF2378" t="n">
        <x:f>--AND(A2378&lt;&gt;"",AA2378&lt;&gt;"",AB2378&lt;&gt;"",OR(AA2378=AB2378,AD2378&lt;&gt;""),IF(AE2378="HALLUCINATION",U2378&lt;&gt;"",TRUE))</x:f>
        <x:v>0</x:v>
      </x:c>
      <x:c r="AG2378" t="n">
        <x:f>--AND(N2378=1,AF2378=1,OR(AE2378="SUPPORTED",AE2378="HALLUCINATION"))</x:f>
        <x:v>0</x:v>
      </x:c>
      <x:c r="AH2378" t="n">
        <x:f>--AND(AG2378=1,AE2378="HALLUCINATION")</x:f>
        <x:v>0</x:v>
      </x:c>
      <x:c r="AI2378" t="n">
        <x:f>--AND(Q2378=1,AF2378=1,AE2378="HALLUCINATION")</x:f>
        <x:v>0</x:v>
      </x:c>
      <x:c r="AJ2378" t="n">
        <x:f>--AND(AI2378=1,R2378=1,S2378=1)</x:f>
        <x:v>0</x:v>
      </x:c>
    </x:row>
    <x:row r="2379">
      <x:c r="A2379" s="28"/>
      <x:c r="B2379" s="28"/>
      <x:c r="C2379" s="28"/>
      <x:c r="D2379" s="28"/>
      <x:c r="E2379" s="28"/>
      <x:c r="F2379" s="28"/>
      <x:c r="G2379" s="28"/>
      <x:c r="H2379" s="28"/>
      <x:c r="I2379" s="28"/>
      <x:c r="J2379" s="28"/>
      <x:c r="K2379" s="28"/>
      <x:c r="L2379" s="28"/>
      <x:c r="M2379" s="28"/>
      <x:c r="N2379" s="28"/>
      <x:c r="O2379" s="28"/>
      <x:c r="P2379" s="28"/>
      <x:c r="Q2379" s="28"/>
      <x:c r="R2379" s="28"/>
      <x:c r="S2379" s="28"/>
      <x:c r="T2379" s="28"/>
      <x:c r="U2379" s="28"/>
      <x:c r="V2379" s="28"/>
      <x:c r="W2379" s="43" t="n">
        <x:f>--AND(N2379=1,OR(O2379="SUPPORTED",O2379="HALLUCINATION"))</x:f>
        <x:v>0</x:v>
      </x:c>
      <x:c r="X2379" s="43" t="n">
        <x:f>--AND(W2379=1,O2379="HALLUCINATION")</x:f>
        <x:v>0</x:v>
      </x:c>
      <x:c r="Y2379" s="43" t="n">
        <x:f>--AND(Q2379=1,O2379="HALLUCINATION")</x:f>
        <x:v>0</x:v>
      </x:c>
      <x:c r="Z2379" s="43" t="n">
        <x:f>--AND(Y2379=1,R2379=1,S2379=1)</x:f>
        <x:v>0</x:v>
      </x:c>
      <x:c r="AC2379" t="str">
        <x:f>IF(OR(AA2379="",AB2379=""),"",--(AA2379&lt;&gt;AB2379))</x:f>
      </x:c>
      <x:c r="AE2379" t="str">
        <x:f>IF(OR(AA2379="",AB2379=""),"PENDING_HUMAN",IF(AA2379=AB2379,AA2379,IF(AD2379&lt;&gt;"",AD2379,"PENDING_HUMAN")))</x:f>
        <x:v>PENDING_HUMAN</x:v>
      </x:c>
      <x:c r="AF2379" t="n">
        <x:f>--AND(A2379&lt;&gt;"",AA2379&lt;&gt;"",AB2379&lt;&gt;"",OR(AA2379=AB2379,AD2379&lt;&gt;""),IF(AE2379="HALLUCINATION",U2379&lt;&gt;"",TRUE))</x:f>
        <x:v>0</x:v>
      </x:c>
      <x:c r="AG2379" t="n">
        <x:f>--AND(N2379=1,AF2379=1,OR(AE2379="SUPPORTED",AE2379="HALLUCINATION"))</x:f>
        <x:v>0</x:v>
      </x:c>
      <x:c r="AH2379" t="n">
        <x:f>--AND(AG2379=1,AE2379="HALLUCINATION")</x:f>
        <x:v>0</x:v>
      </x:c>
      <x:c r="AI2379" t="n">
        <x:f>--AND(Q2379=1,AF2379=1,AE2379="HALLUCINATION")</x:f>
        <x:v>0</x:v>
      </x:c>
      <x:c r="AJ2379" t="n">
        <x:f>--AND(AI2379=1,R2379=1,S2379=1)</x:f>
        <x:v>0</x:v>
      </x:c>
    </x:row>
    <x:row r="2380">
      <x:c r="A2380" s="28"/>
      <x:c r="B2380" s="28"/>
      <x:c r="C2380" s="28"/>
      <x:c r="D2380" s="28"/>
      <x:c r="E2380" s="28"/>
      <x:c r="F2380" s="28"/>
      <x:c r="G2380" s="28"/>
      <x:c r="H2380" s="28"/>
      <x:c r="I2380" s="28"/>
      <x:c r="J2380" s="28"/>
      <x:c r="K2380" s="28"/>
      <x:c r="L2380" s="28"/>
      <x:c r="M2380" s="28"/>
      <x:c r="N2380" s="28"/>
      <x:c r="O2380" s="28"/>
      <x:c r="P2380" s="28"/>
      <x:c r="Q2380" s="28"/>
      <x:c r="R2380" s="28"/>
      <x:c r="S2380" s="28"/>
      <x:c r="T2380" s="28"/>
      <x:c r="U2380" s="28"/>
      <x:c r="V2380" s="28"/>
      <x:c r="W2380" s="43" t="n">
        <x:f>--AND(N2380=1,OR(O2380="SUPPORTED",O2380="HALLUCINATION"))</x:f>
        <x:v>0</x:v>
      </x:c>
      <x:c r="X2380" s="43" t="n">
        <x:f>--AND(W2380=1,O2380="HALLUCINATION")</x:f>
        <x:v>0</x:v>
      </x:c>
      <x:c r="Y2380" s="43" t="n">
        <x:f>--AND(Q2380=1,O2380="HALLUCINATION")</x:f>
        <x:v>0</x:v>
      </x:c>
      <x:c r="Z2380" s="43" t="n">
        <x:f>--AND(Y2380=1,R2380=1,S2380=1)</x:f>
        <x:v>0</x:v>
      </x:c>
      <x:c r="AC2380" t="str">
        <x:f>IF(OR(AA2380="",AB2380=""),"",--(AA2380&lt;&gt;AB2380))</x:f>
      </x:c>
      <x:c r="AE2380" t="str">
        <x:f>IF(OR(AA2380="",AB2380=""),"PENDING_HUMAN",IF(AA2380=AB2380,AA2380,IF(AD2380&lt;&gt;"",AD2380,"PENDING_HUMAN")))</x:f>
        <x:v>PENDING_HUMAN</x:v>
      </x:c>
      <x:c r="AF2380" t="n">
        <x:f>--AND(A2380&lt;&gt;"",AA2380&lt;&gt;"",AB2380&lt;&gt;"",OR(AA2380=AB2380,AD2380&lt;&gt;""),IF(AE2380="HALLUCINATION",U2380&lt;&gt;"",TRUE))</x:f>
        <x:v>0</x:v>
      </x:c>
      <x:c r="AG2380" t="n">
        <x:f>--AND(N2380=1,AF2380=1,OR(AE2380="SUPPORTED",AE2380="HALLUCINATION"))</x:f>
        <x:v>0</x:v>
      </x:c>
      <x:c r="AH2380" t="n">
        <x:f>--AND(AG2380=1,AE2380="HALLUCINATION")</x:f>
        <x:v>0</x:v>
      </x:c>
      <x:c r="AI2380" t="n">
        <x:f>--AND(Q2380=1,AF2380=1,AE2380="HALLUCINATION")</x:f>
        <x:v>0</x:v>
      </x:c>
      <x:c r="AJ2380" t="n">
        <x:f>--AND(AI2380=1,R2380=1,S2380=1)</x:f>
        <x:v>0</x:v>
      </x:c>
    </x:row>
    <x:row r="2381">
      <x:c r="A2381" s="28"/>
      <x:c r="B2381" s="28"/>
      <x:c r="C2381" s="28"/>
      <x:c r="D2381" s="28"/>
      <x:c r="E2381" s="28"/>
      <x:c r="F2381" s="28"/>
      <x:c r="G2381" s="28"/>
      <x:c r="H2381" s="28"/>
      <x:c r="I2381" s="28"/>
      <x:c r="J2381" s="28"/>
      <x:c r="K2381" s="28"/>
      <x:c r="L2381" s="28"/>
      <x:c r="M2381" s="28"/>
      <x:c r="N2381" s="28"/>
      <x:c r="O2381" s="28"/>
      <x:c r="P2381" s="28"/>
      <x:c r="Q2381" s="28"/>
      <x:c r="R2381" s="28"/>
      <x:c r="S2381" s="28"/>
      <x:c r="T2381" s="28"/>
      <x:c r="U2381" s="28"/>
      <x:c r="V2381" s="28"/>
      <x:c r="W2381" s="43" t="n">
        <x:f>--AND(N2381=1,OR(O2381="SUPPORTED",O2381="HALLUCINATION"))</x:f>
        <x:v>0</x:v>
      </x:c>
      <x:c r="X2381" s="43" t="n">
        <x:f>--AND(W2381=1,O2381="HALLUCINATION")</x:f>
        <x:v>0</x:v>
      </x:c>
      <x:c r="Y2381" s="43" t="n">
        <x:f>--AND(Q2381=1,O2381="HALLUCINATION")</x:f>
        <x:v>0</x:v>
      </x:c>
      <x:c r="Z2381" s="43" t="n">
        <x:f>--AND(Y2381=1,R2381=1,S2381=1)</x:f>
        <x:v>0</x:v>
      </x:c>
      <x:c r="AC2381" t="str">
        <x:f>IF(OR(AA2381="",AB2381=""),"",--(AA2381&lt;&gt;AB2381))</x:f>
      </x:c>
      <x:c r="AE2381" t="str">
        <x:f>IF(OR(AA2381="",AB2381=""),"PENDING_HUMAN",IF(AA2381=AB2381,AA2381,IF(AD2381&lt;&gt;"",AD2381,"PENDING_HUMAN")))</x:f>
        <x:v>PENDING_HUMAN</x:v>
      </x:c>
      <x:c r="AF2381" t="n">
        <x:f>--AND(A2381&lt;&gt;"",AA2381&lt;&gt;"",AB2381&lt;&gt;"",OR(AA2381=AB2381,AD2381&lt;&gt;""),IF(AE2381="HALLUCINATION",U2381&lt;&gt;"",TRUE))</x:f>
        <x:v>0</x:v>
      </x:c>
      <x:c r="AG2381" t="n">
        <x:f>--AND(N2381=1,AF2381=1,OR(AE2381="SUPPORTED",AE2381="HALLUCINATION"))</x:f>
        <x:v>0</x:v>
      </x:c>
      <x:c r="AH2381" t="n">
        <x:f>--AND(AG2381=1,AE2381="HALLUCINATION")</x:f>
        <x:v>0</x:v>
      </x:c>
      <x:c r="AI2381" t="n">
        <x:f>--AND(Q2381=1,AF2381=1,AE2381="HALLUCINATION")</x:f>
        <x:v>0</x:v>
      </x:c>
      <x:c r="AJ2381" t="n">
        <x:f>--AND(AI2381=1,R2381=1,S2381=1)</x:f>
        <x:v>0</x:v>
      </x:c>
    </x:row>
    <x:row r="2382">
      <x:c r="A2382" s="28"/>
      <x:c r="B2382" s="28"/>
      <x:c r="C2382" s="28"/>
      <x:c r="D2382" s="28"/>
      <x:c r="E2382" s="28"/>
      <x:c r="F2382" s="28"/>
      <x:c r="G2382" s="28"/>
      <x:c r="H2382" s="28"/>
      <x:c r="I2382" s="28"/>
      <x:c r="J2382" s="28"/>
      <x:c r="K2382" s="28"/>
      <x:c r="L2382" s="28"/>
      <x:c r="M2382" s="28"/>
      <x:c r="N2382" s="28"/>
      <x:c r="O2382" s="28"/>
      <x:c r="P2382" s="28"/>
      <x:c r="Q2382" s="28"/>
      <x:c r="R2382" s="28"/>
      <x:c r="S2382" s="28"/>
      <x:c r="T2382" s="28"/>
      <x:c r="U2382" s="28"/>
      <x:c r="V2382" s="28"/>
      <x:c r="W2382" s="43" t="n">
        <x:f>--AND(N2382=1,OR(O2382="SUPPORTED",O2382="HALLUCINATION"))</x:f>
        <x:v>0</x:v>
      </x:c>
      <x:c r="X2382" s="43" t="n">
        <x:f>--AND(W2382=1,O2382="HALLUCINATION")</x:f>
        <x:v>0</x:v>
      </x:c>
      <x:c r="Y2382" s="43" t="n">
        <x:f>--AND(Q2382=1,O2382="HALLUCINATION")</x:f>
        <x:v>0</x:v>
      </x:c>
      <x:c r="Z2382" s="43" t="n">
        <x:f>--AND(Y2382=1,R2382=1,S2382=1)</x:f>
        <x:v>0</x:v>
      </x:c>
      <x:c r="AC2382" t="str">
        <x:f>IF(OR(AA2382="",AB2382=""),"",--(AA2382&lt;&gt;AB2382))</x:f>
      </x:c>
      <x:c r="AE2382" t="str">
        <x:f>IF(OR(AA2382="",AB2382=""),"PENDING_HUMAN",IF(AA2382=AB2382,AA2382,IF(AD2382&lt;&gt;"",AD2382,"PENDING_HUMAN")))</x:f>
        <x:v>PENDING_HUMAN</x:v>
      </x:c>
      <x:c r="AF2382" t="n">
        <x:f>--AND(A2382&lt;&gt;"",AA2382&lt;&gt;"",AB2382&lt;&gt;"",OR(AA2382=AB2382,AD2382&lt;&gt;""),IF(AE2382="HALLUCINATION",U2382&lt;&gt;"",TRUE))</x:f>
        <x:v>0</x:v>
      </x:c>
      <x:c r="AG2382" t="n">
        <x:f>--AND(N2382=1,AF2382=1,OR(AE2382="SUPPORTED",AE2382="HALLUCINATION"))</x:f>
        <x:v>0</x:v>
      </x:c>
      <x:c r="AH2382" t="n">
        <x:f>--AND(AG2382=1,AE2382="HALLUCINATION")</x:f>
        <x:v>0</x:v>
      </x:c>
      <x:c r="AI2382" t="n">
        <x:f>--AND(Q2382=1,AF2382=1,AE2382="HALLUCINATION")</x:f>
        <x:v>0</x:v>
      </x:c>
      <x:c r="AJ2382" t="n">
        <x:f>--AND(AI2382=1,R2382=1,S2382=1)</x:f>
        <x:v>0</x:v>
      </x:c>
    </x:row>
    <x:row r="2383">
      <x:c r="A2383" s="28"/>
      <x:c r="B2383" s="28"/>
      <x:c r="C2383" s="28"/>
      <x:c r="D2383" s="28"/>
      <x:c r="E2383" s="28"/>
      <x:c r="F2383" s="28"/>
      <x:c r="G2383" s="28"/>
      <x:c r="H2383" s="28"/>
      <x:c r="I2383" s="28"/>
      <x:c r="J2383" s="28"/>
      <x:c r="K2383" s="28"/>
      <x:c r="L2383" s="28"/>
      <x:c r="M2383" s="28"/>
      <x:c r="N2383" s="28"/>
      <x:c r="O2383" s="28"/>
      <x:c r="P2383" s="28"/>
      <x:c r="Q2383" s="28"/>
      <x:c r="R2383" s="28"/>
      <x:c r="S2383" s="28"/>
      <x:c r="T2383" s="28"/>
      <x:c r="U2383" s="28"/>
      <x:c r="V2383" s="28"/>
      <x:c r="W2383" s="43" t="n">
        <x:f>--AND(N2383=1,OR(O2383="SUPPORTED",O2383="HALLUCINATION"))</x:f>
        <x:v>0</x:v>
      </x:c>
      <x:c r="X2383" s="43" t="n">
        <x:f>--AND(W2383=1,O2383="HALLUCINATION")</x:f>
        <x:v>0</x:v>
      </x:c>
      <x:c r="Y2383" s="43" t="n">
        <x:f>--AND(Q2383=1,O2383="HALLUCINATION")</x:f>
        <x:v>0</x:v>
      </x:c>
      <x:c r="Z2383" s="43" t="n">
        <x:f>--AND(Y2383=1,R2383=1,S2383=1)</x:f>
        <x:v>0</x:v>
      </x:c>
      <x:c r="AC2383" t="str">
        <x:f>IF(OR(AA2383="",AB2383=""),"",--(AA2383&lt;&gt;AB2383))</x:f>
      </x:c>
      <x:c r="AE2383" t="str">
        <x:f>IF(OR(AA2383="",AB2383=""),"PENDING_HUMAN",IF(AA2383=AB2383,AA2383,IF(AD2383&lt;&gt;"",AD2383,"PENDING_HUMAN")))</x:f>
        <x:v>PENDING_HUMAN</x:v>
      </x:c>
      <x:c r="AF2383" t="n">
        <x:f>--AND(A2383&lt;&gt;"",AA2383&lt;&gt;"",AB2383&lt;&gt;"",OR(AA2383=AB2383,AD2383&lt;&gt;""),IF(AE2383="HALLUCINATION",U2383&lt;&gt;"",TRUE))</x:f>
        <x:v>0</x:v>
      </x:c>
      <x:c r="AG2383" t="n">
        <x:f>--AND(N2383=1,AF2383=1,OR(AE2383="SUPPORTED",AE2383="HALLUCINATION"))</x:f>
        <x:v>0</x:v>
      </x:c>
      <x:c r="AH2383" t="n">
        <x:f>--AND(AG2383=1,AE2383="HALLUCINATION")</x:f>
        <x:v>0</x:v>
      </x:c>
      <x:c r="AI2383" t="n">
        <x:f>--AND(Q2383=1,AF2383=1,AE2383="HALLUCINATION")</x:f>
        <x:v>0</x:v>
      </x:c>
      <x:c r="AJ2383" t="n">
        <x:f>--AND(AI2383=1,R2383=1,S2383=1)</x:f>
        <x:v>0</x:v>
      </x:c>
    </x:row>
    <x:row r="2384">
      <x:c r="A2384" s="28"/>
      <x:c r="B2384" s="28"/>
      <x:c r="C2384" s="28"/>
      <x:c r="D2384" s="28"/>
      <x:c r="E2384" s="28"/>
      <x:c r="F2384" s="28"/>
      <x:c r="G2384" s="28"/>
      <x:c r="H2384" s="28"/>
      <x:c r="I2384" s="28"/>
      <x:c r="J2384" s="28"/>
      <x:c r="K2384" s="28"/>
      <x:c r="L2384" s="28"/>
      <x:c r="M2384" s="28"/>
      <x:c r="N2384" s="28"/>
      <x:c r="O2384" s="28"/>
      <x:c r="P2384" s="28"/>
      <x:c r="Q2384" s="28"/>
      <x:c r="R2384" s="28"/>
      <x:c r="S2384" s="28"/>
      <x:c r="T2384" s="28"/>
      <x:c r="U2384" s="28"/>
      <x:c r="V2384" s="28"/>
      <x:c r="W2384" s="43" t="n">
        <x:f>--AND(N2384=1,OR(O2384="SUPPORTED",O2384="HALLUCINATION"))</x:f>
        <x:v>0</x:v>
      </x:c>
      <x:c r="X2384" s="43" t="n">
        <x:f>--AND(W2384=1,O2384="HALLUCINATION")</x:f>
        <x:v>0</x:v>
      </x:c>
      <x:c r="Y2384" s="43" t="n">
        <x:f>--AND(Q2384=1,O2384="HALLUCINATION")</x:f>
        <x:v>0</x:v>
      </x:c>
      <x:c r="Z2384" s="43" t="n">
        <x:f>--AND(Y2384=1,R2384=1,S2384=1)</x:f>
        <x:v>0</x:v>
      </x:c>
      <x:c r="AC2384" t="str">
        <x:f>IF(OR(AA2384="",AB2384=""),"",--(AA2384&lt;&gt;AB2384))</x:f>
      </x:c>
      <x:c r="AE2384" t="str">
        <x:f>IF(OR(AA2384="",AB2384=""),"PENDING_HUMAN",IF(AA2384=AB2384,AA2384,IF(AD2384&lt;&gt;"",AD2384,"PENDING_HUMAN")))</x:f>
        <x:v>PENDING_HUMAN</x:v>
      </x:c>
      <x:c r="AF2384" t="n">
        <x:f>--AND(A2384&lt;&gt;"",AA2384&lt;&gt;"",AB2384&lt;&gt;"",OR(AA2384=AB2384,AD2384&lt;&gt;""),IF(AE2384="HALLUCINATION",U2384&lt;&gt;"",TRUE))</x:f>
        <x:v>0</x:v>
      </x:c>
      <x:c r="AG2384" t="n">
        <x:f>--AND(N2384=1,AF2384=1,OR(AE2384="SUPPORTED",AE2384="HALLUCINATION"))</x:f>
        <x:v>0</x:v>
      </x:c>
      <x:c r="AH2384" t="n">
        <x:f>--AND(AG2384=1,AE2384="HALLUCINATION")</x:f>
        <x:v>0</x:v>
      </x:c>
      <x:c r="AI2384" t="n">
        <x:f>--AND(Q2384=1,AF2384=1,AE2384="HALLUCINATION")</x:f>
        <x:v>0</x:v>
      </x:c>
      <x:c r="AJ2384" t="n">
        <x:f>--AND(AI2384=1,R2384=1,S2384=1)</x:f>
        <x:v>0</x:v>
      </x:c>
    </x:row>
    <x:row r="2385">
      <x:c r="A2385" s="28"/>
      <x:c r="B2385" s="28"/>
      <x:c r="C2385" s="28"/>
      <x:c r="D2385" s="28"/>
      <x:c r="E2385" s="28"/>
      <x:c r="F2385" s="28"/>
      <x:c r="G2385" s="28"/>
      <x:c r="H2385" s="28"/>
      <x:c r="I2385" s="28"/>
      <x:c r="J2385" s="28"/>
      <x:c r="K2385" s="28"/>
      <x:c r="L2385" s="28"/>
      <x:c r="M2385" s="28"/>
      <x:c r="N2385" s="28"/>
      <x:c r="O2385" s="28"/>
      <x:c r="P2385" s="28"/>
      <x:c r="Q2385" s="28"/>
      <x:c r="R2385" s="28"/>
      <x:c r="S2385" s="28"/>
      <x:c r="T2385" s="28"/>
      <x:c r="U2385" s="28"/>
      <x:c r="V2385" s="28"/>
      <x:c r="W2385" s="43" t="n">
        <x:f>--AND(N2385=1,OR(O2385="SUPPORTED",O2385="HALLUCINATION"))</x:f>
        <x:v>0</x:v>
      </x:c>
      <x:c r="X2385" s="43" t="n">
        <x:f>--AND(W2385=1,O2385="HALLUCINATION")</x:f>
        <x:v>0</x:v>
      </x:c>
      <x:c r="Y2385" s="43" t="n">
        <x:f>--AND(Q2385=1,O2385="HALLUCINATION")</x:f>
        <x:v>0</x:v>
      </x:c>
      <x:c r="Z2385" s="43" t="n">
        <x:f>--AND(Y2385=1,R2385=1,S2385=1)</x:f>
        <x:v>0</x:v>
      </x:c>
      <x:c r="AC2385" t="str">
        <x:f>IF(OR(AA2385="",AB2385=""),"",--(AA2385&lt;&gt;AB2385))</x:f>
      </x:c>
      <x:c r="AE2385" t="str">
        <x:f>IF(OR(AA2385="",AB2385=""),"PENDING_HUMAN",IF(AA2385=AB2385,AA2385,IF(AD2385&lt;&gt;"",AD2385,"PENDING_HUMAN")))</x:f>
        <x:v>PENDING_HUMAN</x:v>
      </x:c>
      <x:c r="AF2385" t="n">
        <x:f>--AND(A2385&lt;&gt;"",AA2385&lt;&gt;"",AB2385&lt;&gt;"",OR(AA2385=AB2385,AD2385&lt;&gt;""),IF(AE2385="HALLUCINATION",U2385&lt;&gt;"",TRUE))</x:f>
        <x:v>0</x:v>
      </x:c>
      <x:c r="AG2385" t="n">
        <x:f>--AND(N2385=1,AF2385=1,OR(AE2385="SUPPORTED",AE2385="HALLUCINATION"))</x:f>
        <x:v>0</x:v>
      </x:c>
      <x:c r="AH2385" t="n">
        <x:f>--AND(AG2385=1,AE2385="HALLUCINATION")</x:f>
        <x:v>0</x:v>
      </x:c>
      <x:c r="AI2385" t="n">
        <x:f>--AND(Q2385=1,AF2385=1,AE2385="HALLUCINATION")</x:f>
        <x:v>0</x:v>
      </x:c>
      <x:c r="AJ2385" t="n">
        <x:f>--AND(AI2385=1,R2385=1,S2385=1)</x:f>
        <x:v>0</x:v>
      </x:c>
    </x:row>
    <x:row r="2386">
      <x:c r="A2386" s="28"/>
      <x:c r="B2386" s="28"/>
      <x:c r="C2386" s="28"/>
      <x:c r="D2386" s="28"/>
      <x:c r="E2386" s="28"/>
      <x:c r="F2386" s="28"/>
      <x:c r="G2386" s="28"/>
      <x:c r="H2386" s="28"/>
      <x:c r="I2386" s="28"/>
      <x:c r="J2386" s="28"/>
      <x:c r="K2386" s="28"/>
      <x:c r="L2386" s="28"/>
      <x:c r="M2386" s="28"/>
      <x:c r="N2386" s="28"/>
      <x:c r="O2386" s="28"/>
      <x:c r="P2386" s="28"/>
      <x:c r="Q2386" s="28"/>
      <x:c r="R2386" s="28"/>
      <x:c r="S2386" s="28"/>
      <x:c r="T2386" s="28"/>
      <x:c r="U2386" s="28"/>
      <x:c r="V2386" s="28"/>
      <x:c r="W2386" s="43" t="n">
        <x:f>--AND(N2386=1,OR(O2386="SUPPORTED",O2386="HALLUCINATION"))</x:f>
        <x:v>0</x:v>
      </x:c>
      <x:c r="X2386" s="43" t="n">
        <x:f>--AND(W2386=1,O2386="HALLUCINATION")</x:f>
        <x:v>0</x:v>
      </x:c>
      <x:c r="Y2386" s="43" t="n">
        <x:f>--AND(Q2386=1,O2386="HALLUCINATION")</x:f>
        <x:v>0</x:v>
      </x:c>
      <x:c r="Z2386" s="43" t="n">
        <x:f>--AND(Y2386=1,R2386=1,S2386=1)</x:f>
        <x:v>0</x:v>
      </x:c>
      <x:c r="AC2386" t="str">
        <x:f>IF(OR(AA2386="",AB2386=""),"",--(AA2386&lt;&gt;AB2386))</x:f>
      </x:c>
      <x:c r="AE2386" t="str">
        <x:f>IF(OR(AA2386="",AB2386=""),"PENDING_HUMAN",IF(AA2386=AB2386,AA2386,IF(AD2386&lt;&gt;"",AD2386,"PENDING_HUMAN")))</x:f>
        <x:v>PENDING_HUMAN</x:v>
      </x:c>
      <x:c r="AF2386" t="n">
        <x:f>--AND(A2386&lt;&gt;"",AA2386&lt;&gt;"",AB2386&lt;&gt;"",OR(AA2386=AB2386,AD2386&lt;&gt;""),IF(AE2386="HALLUCINATION",U2386&lt;&gt;"",TRUE))</x:f>
        <x:v>0</x:v>
      </x:c>
      <x:c r="AG2386" t="n">
        <x:f>--AND(N2386=1,AF2386=1,OR(AE2386="SUPPORTED",AE2386="HALLUCINATION"))</x:f>
        <x:v>0</x:v>
      </x:c>
      <x:c r="AH2386" t="n">
        <x:f>--AND(AG2386=1,AE2386="HALLUCINATION")</x:f>
        <x:v>0</x:v>
      </x:c>
      <x:c r="AI2386" t="n">
        <x:f>--AND(Q2386=1,AF2386=1,AE2386="HALLUCINATION")</x:f>
        <x:v>0</x:v>
      </x:c>
      <x:c r="AJ2386" t="n">
        <x:f>--AND(AI2386=1,R2386=1,S2386=1)</x:f>
        <x:v>0</x:v>
      </x:c>
    </x:row>
    <x:row r="2387">
      <x:c r="A2387" s="28"/>
      <x:c r="B2387" s="28"/>
      <x:c r="C2387" s="28"/>
      <x:c r="D2387" s="28"/>
      <x:c r="E2387" s="28"/>
      <x:c r="F2387" s="28"/>
      <x:c r="G2387" s="28"/>
      <x:c r="H2387" s="28"/>
      <x:c r="I2387" s="28"/>
      <x:c r="J2387" s="28"/>
      <x:c r="K2387" s="28"/>
      <x:c r="L2387" s="28"/>
      <x:c r="M2387" s="28"/>
      <x:c r="N2387" s="28"/>
      <x:c r="O2387" s="28"/>
      <x:c r="P2387" s="28"/>
      <x:c r="Q2387" s="28"/>
      <x:c r="R2387" s="28"/>
      <x:c r="S2387" s="28"/>
      <x:c r="T2387" s="28"/>
      <x:c r="U2387" s="28"/>
      <x:c r="V2387" s="28"/>
      <x:c r="W2387" s="43" t="n">
        <x:f>--AND(N2387=1,OR(O2387="SUPPORTED",O2387="HALLUCINATION"))</x:f>
        <x:v>0</x:v>
      </x:c>
      <x:c r="X2387" s="43" t="n">
        <x:f>--AND(W2387=1,O2387="HALLUCINATION")</x:f>
        <x:v>0</x:v>
      </x:c>
      <x:c r="Y2387" s="43" t="n">
        <x:f>--AND(Q2387=1,O2387="HALLUCINATION")</x:f>
        <x:v>0</x:v>
      </x:c>
      <x:c r="Z2387" s="43" t="n">
        <x:f>--AND(Y2387=1,R2387=1,S2387=1)</x:f>
        <x:v>0</x:v>
      </x:c>
      <x:c r="AC2387" t="str">
        <x:f>IF(OR(AA2387="",AB2387=""),"",--(AA2387&lt;&gt;AB2387))</x:f>
      </x:c>
      <x:c r="AE2387" t="str">
        <x:f>IF(OR(AA2387="",AB2387=""),"PENDING_HUMAN",IF(AA2387=AB2387,AA2387,IF(AD2387&lt;&gt;"",AD2387,"PENDING_HUMAN")))</x:f>
        <x:v>PENDING_HUMAN</x:v>
      </x:c>
      <x:c r="AF2387" t="n">
        <x:f>--AND(A2387&lt;&gt;"",AA2387&lt;&gt;"",AB2387&lt;&gt;"",OR(AA2387=AB2387,AD2387&lt;&gt;""),IF(AE2387="HALLUCINATION",U2387&lt;&gt;"",TRUE))</x:f>
        <x:v>0</x:v>
      </x:c>
      <x:c r="AG2387" t="n">
        <x:f>--AND(N2387=1,AF2387=1,OR(AE2387="SUPPORTED",AE2387="HALLUCINATION"))</x:f>
        <x:v>0</x:v>
      </x:c>
      <x:c r="AH2387" t="n">
        <x:f>--AND(AG2387=1,AE2387="HALLUCINATION")</x:f>
        <x:v>0</x:v>
      </x:c>
      <x:c r="AI2387" t="n">
        <x:f>--AND(Q2387=1,AF2387=1,AE2387="HALLUCINATION")</x:f>
        <x:v>0</x:v>
      </x:c>
      <x:c r="AJ2387" t="n">
        <x:f>--AND(AI2387=1,R2387=1,S2387=1)</x:f>
        <x:v>0</x:v>
      </x:c>
    </x:row>
    <x:row r="2388">
      <x:c r="A2388" s="28"/>
      <x:c r="B2388" s="28"/>
      <x:c r="C2388" s="28"/>
      <x:c r="D2388" s="28"/>
      <x:c r="E2388" s="28"/>
      <x:c r="F2388" s="28"/>
      <x:c r="G2388" s="28"/>
      <x:c r="H2388" s="28"/>
      <x:c r="I2388" s="28"/>
      <x:c r="J2388" s="28"/>
      <x:c r="K2388" s="28"/>
      <x:c r="L2388" s="28"/>
      <x:c r="M2388" s="28"/>
      <x:c r="N2388" s="28"/>
      <x:c r="O2388" s="28"/>
      <x:c r="P2388" s="28"/>
      <x:c r="Q2388" s="28"/>
      <x:c r="R2388" s="28"/>
      <x:c r="S2388" s="28"/>
      <x:c r="T2388" s="28"/>
      <x:c r="U2388" s="28"/>
      <x:c r="V2388" s="28"/>
      <x:c r="W2388" s="43" t="n">
        <x:f>--AND(N2388=1,OR(O2388="SUPPORTED",O2388="HALLUCINATION"))</x:f>
        <x:v>0</x:v>
      </x:c>
      <x:c r="X2388" s="43" t="n">
        <x:f>--AND(W2388=1,O2388="HALLUCINATION")</x:f>
        <x:v>0</x:v>
      </x:c>
      <x:c r="Y2388" s="43" t="n">
        <x:f>--AND(Q2388=1,O2388="HALLUCINATION")</x:f>
        <x:v>0</x:v>
      </x:c>
      <x:c r="Z2388" s="43" t="n">
        <x:f>--AND(Y2388=1,R2388=1,S2388=1)</x:f>
        <x:v>0</x:v>
      </x:c>
      <x:c r="AC2388" t="str">
        <x:f>IF(OR(AA2388="",AB2388=""),"",--(AA2388&lt;&gt;AB2388))</x:f>
      </x:c>
      <x:c r="AE2388" t="str">
        <x:f>IF(OR(AA2388="",AB2388=""),"PENDING_HUMAN",IF(AA2388=AB2388,AA2388,IF(AD2388&lt;&gt;"",AD2388,"PENDING_HUMAN")))</x:f>
        <x:v>PENDING_HUMAN</x:v>
      </x:c>
      <x:c r="AF2388" t="n">
        <x:f>--AND(A2388&lt;&gt;"",AA2388&lt;&gt;"",AB2388&lt;&gt;"",OR(AA2388=AB2388,AD2388&lt;&gt;""),IF(AE2388="HALLUCINATION",U2388&lt;&gt;"",TRUE))</x:f>
        <x:v>0</x:v>
      </x:c>
      <x:c r="AG2388" t="n">
        <x:f>--AND(N2388=1,AF2388=1,OR(AE2388="SUPPORTED",AE2388="HALLUCINATION"))</x:f>
        <x:v>0</x:v>
      </x:c>
      <x:c r="AH2388" t="n">
        <x:f>--AND(AG2388=1,AE2388="HALLUCINATION")</x:f>
        <x:v>0</x:v>
      </x:c>
      <x:c r="AI2388" t="n">
        <x:f>--AND(Q2388=1,AF2388=1,AE2388="HALLUCINATION")</x:f>
        <x:v>0</x:v>
      </x:c>
      <x:c r="AJ2388" t="n">
        <x:f>--AND(AI2388=1,R2388=1,S2388=1)</x:f>
        <x:v>0</x:v>
      </x:c>
    </x:row>
    <x:row r="2389">
      <x:c r="A2389" s="28"/>
      <x:c r="B2389" s="28"/>
      <x:c r="C2389" s="28"/>
      <x:c r="D2389" s="28"/>
      <x:c r="E2389" s="28"/>
      <x:c r="F2389" s="28"/>
      <x:c r="G2389" s="28"/>
      <x:c r="H2389" s="28"/>
      <x:c r="I2389" s="28"/>
      <x:c r="J2389" s="28"/>
      <x:c r="K2389" s="28"/>
      <x:c r="L2389" s="28"/>
      <x:c r="M2389" s="28"/>
      <x:c r="N2389" s="28"/>
      <x:c r="O2389" s="28"/>
      <x:c r="P2389" s="28"/>
      <x:c r="Q2389" s="28"/>
      <x:c r="R2389" s="28"/>
      <x:c r="S2389" s="28"/>
      <x:c r="T2389" s="28"/>
      <x:c r="U2389" s="28"/>
      <x:c r="V2389" s="28"/>
      <x:c r="W2389" s="43" t="n">
        <x:f>--AND(N2389=1,OR(O2389="SUPPORTED",O2389="HALLUCINATION"))</x:f>
        <x:v>0</x:v>
      </x:c>
      <x:c r="X2389" s="43" t="n">
        <x:f>--AND(W2389=1,O2389="HALLUCINATION")</x:f>
        <x:v>0</x:v>
      </x:c>
      <x:c r="Y2389" s="43" t="n">
        <x:f>--AND(Q2389=1,O2389="HALLUCINATION")</x:f>
        <x:v>0</x:v>
      </x:c>
      <x:c r="Z2389" s="43" t="n">
        <x:f>--AND(Y2389=1,R2389=1,S2389=1)</x:f>
        <x:v>0</x:v>
      </x:c>
      <x:c r="AC2389" t="str">
        <x:f>IF(OR(AA2389="",AB2389=""),"",--(AA2389&lt;&gt;AB2389))</x:f>
      </x:c>
      <x:c r="AE2389" t="str">
        <x:f>IF(OR(AA2389="",AB2389=""),"PENDING_HUMAN",IF(AA2389=AB2389,AA2389,IF(AD2389&lt;&gt;"",AD2389,"PENDING_HUMAN")))</x:f>
        <x:v>PENDING_HUMAN</x:v>
      </x:c>
      <x:c r="AF2389" t="n">
        <x:f>--AND(A2389&lt;&gt;"",AA2389&lt;&gt;"",AB2389&lt;&gt;"",OR(AA2389=AB2389,AD2389&lt;&gt;""),IF(AE2389="HALLUCINATION",U2389&lt;&gt;"",TRUE))</x:f>
        <x:v>0</x:v>
      </x:c>
      <x:c r="AG2389" t="n">
        <x:f>--AND(N2389=1,AF2389=1,OR(AE2389="SUPPORTED",AE2389="HALLUCINATION"))</x:f>
        <x:v>0</x:v>
      </x:c>
      <x:c r="AH2389" t="n">
        <x:f>--AND(AG2389=1,AE2389="HALLUCINATION")</x:f>
        <x:v>0</x:v>
      </x:c>
      <x:c r="AI2389" t="n">
        <x:f>--AND(Q2389=1,AF2389=1,AE2389="HALLUCINATION")</x:f>
        <x:v>0</x:v>
      </x:c>
      <x:c r="AJ2389" t="n">
        <x:f>--AND(AI2389=1,R2389=1,S2389=1)</x:f>
        <x:v>0</x:v>
      </x:c>
    </x:row>
    <x:row r="2390">
      <x:c r="A2390" s="28"/>
      <x:c r="B2390" s="28"/>
      <x:c r="C2390" s="28"/>
      <x:c r="D2390" s="28"/>
      <x:c r="E2390" s="28"/>
      <x:c r="F2390" s="28"/>
      <x:c r="G2390" s="28"/>
      <x:c r="H2390" s="28"/>
      <x:c r="I2390" s="28"/>
      <x:c r="J2390" s="28"/>
      <x:c r="K2390" s="28"/>
      <x:c r="L2390" s="28"/>
      <x:c r="M2390" s="28"/>
      <x:c r="N2390" s="28"/>
      <x:c r="O2390" s="28"/>
      <x:c r="P2390" s="28"/>
      <x:c r="Q2390" s="28"/>
      <x:c r="R2390" s="28"/>
      <x:c r="S2390" s="28"/>
      <x:c r="T2390" s="28"/>
      <x:c r="U2390" s="28"/>
      <x:c r="V2390" s="28"/>
      <x:c r="W2390" s="43" t="n">
        <x:f>--AND(N2390=1,OR(O2390="SUPPORTED",O2390="HALLUCINATION"))</x:f>
        <x:v>0</x:v>
      </x:c>
      <x:c r="X2390" s="43" t="n">
        <x:f>--AND(W2390=1,O2390="HALLUCINATION")</x:f>
        <x:v>0</x:v>
      </x:c>
      <x:c r="Y2390" s="43" t="n">
        <x:f>--AND(Q2390=1,O2390="HALLUCINATION")</x:f>
        <x:v>0</x:v>
      </x:c>
      <x:c r="Z2390" s="43" t="n">
        <x:f>--AND(Y2390=1,R2390=1,S2390=1)</x:f>
        <x:v>0</x:v>
      </x:c>
      <x:c r="AC2390" t="str">
        <x:f>IF(OR(AA2390="",AB2390=""),"",--(AA2390&lt;&gt;AB2390))</x:f>
      </x:c>
      <x:c r="AE2390" t="str">
        <x:f>IF(OR(AA2390="",AB2390=""),"PENDING_HUMAN",IF(AA2390=AB2390,AA2390,IF(AD2390&lt;&gt;"",AD2390,"PENDING_HUMAN")))</x:f>
        <x:v>PENDING_HUMAN</x:v>
      </x:c>
      <x:c r="AF2390" t="n">
        <x:f>--AND(A2390&lt;&gt;"",AA2390&lt;&gt;"",AB2390&lt;&gt;"",OR(AA2390=AB2390,AD2390&lt;&gt;""),IF(AE2390="HALLUCINATION",U2390&lt;&gt;"",TRUE))</x:f>
        <x:v>0</x:v>
      </x:c>
      <x:c r="AG2390" t="n">
        <x:f>--AND(N2390=1,AF2390=1,OR(AE2390="SUPPORTED",AE2390="HALLUCINATION"))</x:f>
        <x:v>0</x:v>
      </x:c>
      <x:c r="AH2390" t="n">
        <x:f>--AND(AG2390=1,AE2390="HALLUCINATION")</x:f>
        <x:v>0</x:v>
      </x:c>
      <x:c r="AI2390" t="n">
        <x:f>--AND(Q2390=1,AF2390=1,AE2390="HALLUCINATION")</x:f>
        <x:v>0</x:v>
      </x:c>
      <x:c r="AJ2390" t="n">
        <x:f>--AND(AI2390=1,R2390=1,S2390=1)</x:f>
        <x:v>0</x:v>
      </x:c>
    </x:row>
    <x:row r="2391">
      <x:c r="A2391" s="28"/>
      <x:c r="B2391" s="28"/>
      <x:c r="C2391" s="28"/>
      <x:c r="D2391" s="28"/>
      <x:c r="E2391" s="28"/>
      <x:c r="F2391" s="28"/>
      <x:c r="G2391" s="28"/>
      <x:c r="H2391" s="28"/>
      <x:c r="I2391" s="28"/>
      <x:c r="J2391" s="28"/>
      <x:c r="K2391" s="28"/>
      <x:c r="L2391" s="28"/>
      <x:c r="M2391" s="28"/>
      <x:c r="N2391" s="28"/>
      <x:c r="O2391" s="28"/>
      <x:c r="P2391" s="28"/>
      <x:c r="Q2391" s="28"/>
      <x:c r="R2391" s="28"/>
      <x:c r="S2391" s="28"/>
      <x:c r="T2391" s="28"/>
      <x:c r="U2391" s="28"/>
      <x:c r="V2391" s="28"/>
      <x:c r="W2391" s="43" t="n">
        <x:f>--AND(N2391=1,OR(O2391="SUPPORTED",O2391="HALLUCINATION"))</x:f>
        <x:v>0</x:v>
      </x:c>
      <x:c r="X2391" s="43" t="n">
        <x:f>--AND(W2391=1,O2391="HALLUCINATION")</x:f>
        <x:v>0</x:v>
      </x:c>
      <x:c r="Y2391" s="43" t="n">
        <x:f>--AND(Q2391=1,O2391="HALLUCINATION")</x:f>
        <x:v>0</x:v>
      </x:c>
      <x:c r="Z2391" s="43" t="n">
        <x:f>--AND(Y2391=1,R2391=1,S2391=1)</x:f>
        <x:v>0</x:v>
      </x:c>
      <x:c r="AC2391" t="str">
        <x:f>IF(OR(AA2391="",AB2391=""),"",--(AA2391&lt;&gt;AB2391))</x:f>
      </x:c>
      <x:c r="AE2391" t="str">
        <x:f>IF(OR(AA2391="",AB2391=""),"PENDING_HUMAN",IF(AA2391=AB2391,AA2391,IF(AD2391&lt;&gt;"",AD2391,"PENDING_HUMAN")))</x:f>
        <x:v>PENDING_HUMAN</x:v>
      </x:c>
      <x:c r="AF2391" t="n">
        <x:f>--AND(A2391&lt;&gt;"",AA2391&lt;&gt;"",AB2391&lt;&gt;"",OR(AA2391=AB2391,AD2391&lt;&gt;""),IF(AE2391="HALLUCINATION",U2391&lt;&gt;"",TRUE))</x:f>
        <x:v>0</x:v>
      </x:c>
      <x:c r="AG2391" t="n">
        <x:f>--AND(N2391=1,AF2391=1,OR(AE2391="SUPPORTED",AE2391="HALLUCINATION"))</x:f>
        <x:v>0</x:v>
      </x:c>
      <x:c r="AH2391" t="n">
        <x:f>--AND(AG2391=1,AE2391="HALLUCINATION")</x:f>
        <x:v>0</x:v>
      </x:c>
      <x:c r="AI2391" t="n">
        <x:f>--AND(Q2391=1,AF2391=1,AE2391="HALLUCINATION")</x:f>
        <x:v>0</x:v>
      </x:c>
      <x:c r="AJ2391" t="n">
        <x:f>--AND(AI2391=1,R2391=1,S2391=1)</x:f>
        <x:v>0</x:v>
      </x:c>
    </x:row>
    <x:row r="2392">
      <x:c r="A2392" s="28"/>
      <x:c r="B2392" s="28"/>
      <x:c r="C2392" s="28"/>
      <x:c r="D2392" s="28"/>
      <x:c r="E2392" s="28"/>
      <x:c r="F2392" s="28"/>
      <x:c r="G2392" s="28"/>
      <x:c r="H2392" s="28"/>
      <x:c r="I2392" s="28"/>
      <x:c r="J2392" s="28"/>
      <x:c r="K2392" s="28"/>
      <x:c r="L2392" s="28"/>
      <x:c r="M2392" s="28"/>
      <x:c r="N2392" s="28"/>
      <x:c r="O2392" s="28"/>
      <x:c r="P2392" s="28"/>
      <x:c r="Q2392" s="28"/>
      <x:c r="R2392" s="28"/>
      <x:c r="S2392" s="28"/>
      <x:c r="T2392" s="28"/>
      <x:c r="U2392" s="28"/>
      <x:c r="V2392" s="28"/>
      <x:c r="W2392" s="43" t="n">
        <x:f>--AND(N2392=1,OR(O2392="SUPPORTED",O2392="HALLUCINATION"))</x:f>
        <x:v>0</x:v>
      </x:c>
      <x:c r="X2392" s="43" t="n">
        <x:f>--AND(W2392=1,O2392="HALLUCINATION")</x:f>
        <x:v>0</x:v>
      </x:c>
      <x:c r="Y2392" s="43" t="n">
        <x:f>--AND(Q2392=1,O2392="HALLUCINATION")</x:f>
        <x:v>0</x:v>
      </x:c>
      <x:c r="Z2392" s="43" t="n">
        <x:f>--AND(Y2392=1,R2392=1,S2392=1)</x:f>
        <x:v>0</x:v>
      </x:c>
      <x:c r="AC2392" t="str">
        <x:f>IF(OR(AA2392="",AB2392=""),"",--(AA2392&lt;&gt;AB2392))</x:f>
      </x:c>
      <x:c r="AE2392" t="str">
        <x:f>IF(OR(AA2392="",AB2392=""),"PENDING_HUMAN",IF(AA2392=AB2392,AA2392,IF(AD2392&lt;&gt;"",AD2392,"PENDING_HUMAN")))</x:f>
        <x:v>PENDING_HUMAN</x:v>
      </x:c>
      <x:c r="AF2392" t="n">
        <x:f>--AND(A2392&lt;&gt;"",AA2392&lt;&gt;"",AB2392&lt;&gt;"",OR(AA2392=AB2392,AD2392&lt;&gt;""),IF(AE2392="HALLUCINATION",U2392&lt;&gt;"",TRUE))</x:f>
        <x:v>0</x:v>
      </x:c>
      <x:c r="AG2392" t="n">
        <x:f>--AND(N2392=1,AF2392=1,OR(AE2392="SUPPORTED",AE2392="HALLUCINATION"))</x:f>
        <x:v>0</x:v>
      </x:c>
      <x:c r="AH2392" t="n">
        <x:f>--AND(AG2392=1,AE2392="HALLUCINATION")</x:f>
        <x:v>0</x:v>
      </x:c>
      <x:c r="AI2392" t="n">
        <x:f>--AND(Q2392=1,AF2392=1,AE2392="HALLUCINATION")</x:f>
        <x:v>0</x:v>
      </x:c>
      <x:c r="AJ2392" t="n">
        <x:f>--AND(AI2392=1,R2392=1,S2392=1)</x:f>
        <x:v>0</x:v>
      </x:c>
    </x:row>
    <x:row r="2393">
      <x:c r="A2393" s="28"/>
      <x:c r="B2393" s="28"/>
      <x:c r="C2393" s="28"/>
      <x:c r="D2393" s="28"/>
      <x:c r="E2393" s="28"/>
      <x:c r="F2393" s="28"/>
      <x:c r="G2393" s="28"/>
      <x:c r="H2393" s="28"/>
      <x:c r="I2393" s="28"/>
      <x:c r="J2393" s="28"/>
      <x:c r="K2393" s="28"/>
      <x:c r="L2393" s="28"/>
      <x:c r="M2393" s="28"/>
      <x:c r="N2393" s="28"/>
      <x:c r="O2393" s="28"/>
      <x:c r="P2393" s="28"/>
      <x:c r="Q2393" s="28"/>
      <x:c r="R2393" s="28"/>
      <x:c r="S2393" s="28"/>
      <x:c r="T2393" s="28"/>
      <x:c r="U2393" s="28"/>
      <x:c r="V2393" s="28"/>
      <x:c r="W2393" s="43" t="n">
        <x:f>--AND(N2393=1,OR(O2393="SUPPORTED",O2393="HALLUCINATION"))</x:f>
        <x:v>0</x:v>
      </x:c>
      <x:c r="X2393" s="43" t="n">
        <x:f>--AND(W2393=1,O2393="HALLUCINATION")</x:f>
        <x:v>0</x:v>
      </x:c>
      <x:c r="Y2393" s="43" t="n">
        <x:f>--AND(Q2393=1,O2393="HALLUCINATION")</x:f>
        <x:v>0</x:v>
      </x:c>
      <x:c r="Z2393" s="43" t="n">
        <x:f>--AND(Y2393=1,R2393=1,S2393=1)</x:f>
        <x:v>0</x:v>
      </x:c>
      <x:c r="AC2393" t="str">
        <x:f>IF(OR(AA2393="",AB2393=""),"",--(AA2393&lt;&gt;AB2393))</x:f>
      </x:c>
      <x:c r="AE2393" t="str">
        <x:f>IF(OR(AA2393="",AB2393=""),"PENDING_HUMAN",IF(AA2393=AB2393,AA2393,IF(AD2393&lt;&gt;"",AD2393,"PENDING_HUMAN")))</x:f>
        <x:v>PENDING_HUMAN</x:v>
      </x:c>
      <x:c r="AF2393" t="n">
        <x:f>--AND(A2393&lt;&gt;"",AA2393&lt;&gt;"",AB2393&lt;&gt;"",OR(AA2393=AB2393,AD2393&lt;&gt;""),IF(AE2393="HALLUCINATION",U2393&lt;&gt;"",TRUE))</x:f>
        <x:v>0</x:v>
      </x:c>
      <x:c r="AG2393" t="n">
        <x:f>--AND(N2393=1,AF2393=1,OR(AE2393="SUPPORTED",AE2393="HALLUCINATION"))</x:f>
        <x:v>0</x:v>
      </x:c>
      <x:c r="AH2393" t="n">
        <x:f>--AND(AG2393=1,AE2393="HALLUCINATION")</x:f>
        <x:v>0</x:v>
      </x:c>
      <x:c r="AI2393" t="n">
        <x:f>--AND(Q2393=1,AF2393=1,AE2393="HALLUCINATION")</x:f>
        <x:v>0</x:v>
      </x:c>
      <x:c r="AJ2393" t="n">
        <x:f>--AND(AI2393=1,R2393=1,S2393=1)</x:f>
        <x:v>0</x:v>
      </x:c>
    </x:row>
    <x:row r="2394">
      <x:c r="A2394" s="28"/>
      <x:c r="B2394" s="28"/>
      <x:c r="C2394" s="28"/>
      <x:c r="D2394" s="28"/>
      <x:c r="E2394" s="28"/>
      <x:c r="F2394" s="28"/>
      <x:c r="G2394" s="28"/>
      <x:c r="H2394" s="28"/>
      <x:c r="I2394" s="28"/>
      <x:c r="J2394" s="28"/>
      <x:c r="K2394" s="28"/>
      <x:c r="L2394" s="28"/>
      <x:c r="M2394" s="28"/>
      <x:c r="N2394" s="28"/>
      <x:c r="O2394" s="28"/>
      <x:c r="P2394" s="28"/>
      <x:c r="Q2394" s="28"/>
      <x:c r="R2394" s="28"/>
      <x:c r="S2394" s="28"/>
      <x:c r="T2394" s="28"/>
      <x:c r="U2394" s="28"/>
      <x:c r="V2394" s="28"/>
      <x:c r="W2394" s="43" t="n">
        <x:f>--AND(N2394=1,OR(O2394="SUPPORTED",O2394="HALLUCINATION"))</x:f>
        <x:v>0</x:v>
      </x:c>
      <x:c r="X2394" s="43" t="n">
        <x:f>--AND(W2394=1,O2394="HALLUCINATION")</x:f>
        <x:v>0</x:v>
      </x:c>
      <x:c r="Y2394" s="43" t="n">
        <x:f>--AND(Q2394=1,O2394="HALLUCINATION")</x:f>
        <x:v>0</x:v>
      </x:c>
      <x:c r="Z2394" s="43" t="n">
        <x:f>--AND(Y2394=1,R2394=1,S2394=1)</x:f>
        <x:v>0</x:v>
      </x:c>
      <x:c r="AC2394" t="str">
        <x:f>IF(OR(AA2394="",AB2394=""),"",--(AA2394&lt;&gt;AB2394))</x:f>
      </x:c>
      <x:c r="AE2394" t="str">
        <x:f>IF(OR(AA2394="",AB2394=""),"PENDING_HUMAN",IF(AA2394=AB2394,AA2394,IF(AD2394&lt;&gt;"",AD2394,"PENDING_HUMAN")))</x:f>
        <x:v>PENDING_HUMAN</x:v>
      </x:c>
      <x:c r="AF2394" t="n">
        <x:f>--AND(A2394&lt;&gt;"",AA2394&lt;&gt;"",AB2394&lt;&gt;"",OR(AA2394=AB2394,AD2394&lt;&gt;""),IF(AE2394="HALLUCINATION",U2394&lt;&gt;"",TRUE))</x:f>
        <x:v>0</x:v>
      </x:c>
      <x:c r="AG2394" t="n">
        <x:f>--AND(N2394=1,AF2394=1,OR(AE2394="SUPPORTED",AE2394="HALLUCINATION"))</x:f>
        <x:v>0</x:v>
      </x:c>
      <x:c r="AH2394" t="n">
        <x:f>--AND(AG2394=1,AE2394="HALLUCINATION")</x:f>
        <x:v>0</x:v>
      </x:c>
      <x:c r="AI2394" t="n">
        <x:f>--AND(Q2394=1,AF2394=1,AE2394="HALLUCINATION")</x:f>
        <x:v>0</x:v>
      </x:c>
      <x:c r="AJ2394" t="n">
        <x:f>--AND(AI2394=1,R2394=1,S2394=1)</x:f>
        <x:v>0</x:v>
      </x:c>
    </x:row>
    <x:row r="2395">
      <x:c r="A2395" s="28"/>
      <x:c r="B2395" s="28"/>
      <x:c r="C2395" s="28"/>
      <x:c r="D2395" s="28"/>
      <x:c r="E2395" s="28"/>
      <x:c r="F2395" s="28"/>
      <x:c r="G2395" s="28"/>
      <x:c r="H2395" s="28"/>
      <x:c r="I2395" s="28"/>
      <x:c r="J2395" s="28"/>
      <x:c r="K2395" s="28"/>
      <x:c r="L2395" s="28"/>
      <x:c r="M2395" s="28"/>
      <x:c r="N2395" s="28"/>
      <x:c r="O2395" s="28"/>
      <x:c r="P2395" s="28"/>
      <x:c r="Q2395" s="28"/>
      <x:c r="R2395" s="28"/>
      <x:c r="S2395" s="28"/>
      <x:c r="T2395" s="28"/>
      <x:c r="U2395" s="28"/>
      <x:c r="V2395" s="28"/>
      <x:c r="W2395" s="43" t="n">
        <x:f>--AND(N2395=1,OR(O2395="SUPPORTED",O2395="HALLUCINATION"))</x:f>
        <x:v>0</x:v>
      </x:c>
      <x:c r="X2395" s="43" t="n">
        <x:f>--AND(W2395=1,O2395="HALLUCINATION")</x:f>
        <x:v>0</x:v>
      </x:c>
      <x:c r="Y2395" s="43" t="n">
        <x:f>--AND(Q2395=1,O2395="HALLUCINATION")</x:f>
        <x:v>0</x:v>
      </x:c>
      <x:c r="Z2395" s="43" t="n">
        <x:f>--AND(Y2395=1,R2395=1,S2395=1)</x:f>
        <x:v>0</x:v>
      </x:c>
      <x:c r="AC2395" t="str">
        <x:f>IF(OR(AA2395="",AB2395=""),"",--(AA2395&lt;&gt;AB2395))</x:f>
      </x:c>
      <x:c r="AE2395" t="str">
        <x:f>IF(OR(AA2395="",AB2395=""),"PENDING_HUMAN",IF(AA2395=AB2395,AA2395,IF(AD2395&lt;&gt;"",AD2395,"PENDING_HUMAN")))</x:f>
        <x:v>PENDING_HUMAN</x:v>
      </x:c>
      <x:c r="AF2395" t="n">
        <x:f>--AND(A2395&lt;&gt;"",AA2395&lt;&gt;"",AB2395&lt;&gt;"",OR(AA2395=AB2395,AD2395&lt;&gt;""),IF(AE2395="HALLUCINATION",U2395&lt;&gt;"",TRUE))</x:f>
        <x:v>0</x:v>
      </x:c>
      <x:c r="AG2395" t="n">
        <x:f>--AND(N2395=1,AF2395=1,OR(AE2395="SUPPORTED",AE2395="HALLUCINATION"))</x:f>
        <x:v>0</x:v>
      </x:c>
      <x:c r="AH2395" t="n">
        <x:f>--AND(AG2395=1,AE2395="HALLUCINATION")</x:f>
        <x:v>0</x:v>
      </x:c>
      <x:c r="AI2395" t="n">
        <x:f>--AND(Q2395=1,AF2395=1,AE2395="HALLUCINATION")</x:f>
        <x:v>0</x:v>
      </x:c>
      <x:c r="AJ2395" t="n">
        <x:f>--AND(AI2395=1,R2395=1,S2395=1)</x:f>
        <x:v>0</x:v>
      </x:c>
    </x:row>
    <x:row r="2396">
      <x:c r="A2396" s="28"/>
      <x:c r="B2396" s="28"/>
      <x:c r="C2396" s="28"/>
      <x:c r="D2396" s="28"/>
      <x:c r="E2396" s="28"/>
      <x:c r="F2396" s="28"/>
      <x:c r="G2396" s="28"/>
      <x:c r="H2396" s="28"/>
      <x:c r="I2396" s="28"/>
      <x:c r="J2396" s="28"/>
      <x:c r="K2396" s="28"/>
      <x:c r="L2396" s="28"/>
      <x:c r="M2396" s="28"/>
      <x:c r="N2396" s="28"/>
      <x:c r="O2396" s="28"/>
      <x:c r="P2396" s="28"/>
      <x:c r="Q2396" s="28"/>
      <x:c r="R2396" s="28"/>
      <x:c r="S2396" s="28"/>
      <x:c r="T2396" s="28"/>
      <x:c r="U2396" s="28"/>
      <x:c r="V2396" s="28"/>
      <x:c r="W2396" s="43" t="n">
        <x:f>--AND(N2396=1,OR(O2396="SUPPORTED",O2396="HALLUCINATION"))</x:f>
        <x:v>0</x:v>
      </x:c>
      <x:c r="X2396" s="43" t="n">
        <x:f>--AND(W2396=1,O2396="HALLUCINATION")</x:f>
        <x:v>0</x:v>
      </x:c>
      <x:c r="Y2396" s="43" t="n">
        <x:f>--AND(Q2396=1,O2396="HALLUCINATION")</x:f>
        <x:v>0</x:v>
      </x:c>
      <x:c r="Z2396" s="43" t="n">
        <x:f>--AND(Y2396=1,R2396=1,S2396=1)</x:f>
        <x:v>0</x:v>
      </x:c>
      <x:c r="AC2396" t="str">
        <x:f>IF(OR(AA2396="",AB2396=""),"",--(AA2396&lt;&gt;AB2396))</x:f>
      </x:c>
      <x:c r="AE2396" t="str">
        <x:f>IF(OR(AA2396="",AB2396=""),"PENDING_HUMAN",IF(AA2396=AB2396,AA2396,IF(AD2396&lt;&gt;"",AD2396,"PENDING_HUMAN")))</x:f>
        <x:v>PENDING_HUMAN</x:v>
      </x:c>
      <x:c r="AF2396" t="n">
        <x:f>--AND(A2396&lt;&gt;"",AA2396&lt;&gt;"",AB2396&lt;&gt;"",OR(AA2396=AB2396,AD2396&lt;&gt;""),IF(AE2396="HALLUCINATION",U2396&lt;&gt;"",TRUE))</x:f>
        <x:v>0</x:v>
      </x:c>
      <x:c r="AG2396" t="n">
        <x:f>--AND(N2396=1,AF2396=1,OR(AE2396="SUPPORTED",AE2396="HALLUCINATION"))</x:f>
        <x:v>0</x:v>
      </x:c>
      <x:c r="AH2396" t="n">
        <x:f>--AND(AG2396=1,AE2396="HALLUCINATION")</x:f>
        <x:v>0</x:v>
      </x:c>
      <x:c r="AI2396" t="n">
        <x:f>--AND(Q2396=1,AF2396=1,AE2396="HALLUCINATION")</x:f>
        <x:v>0</x:v>
      </x:c>
      <x:c r="AJ2396" t="n">
        <x:f>--AND(AI2396=1,R2396=1,S2396=1)</x:f>
        <x:v>0</x:v>
      </x:c>
    </x:row>
    <x:row r="2397">
      <x:c r="A2397" s="28"/>
      <x:c r="B2397" s="28"/>
      <x:c r="C2397" s="28"/>
      <x:c r="D2397" s="28"/>
      <x:c r="E2397" s="28"/>
      <x:c r="F2397" s="28"/>
      <x:c r="G2397" s="28"/>
      <x:c r="H2397" s="28"/>
      <x:c r="I2397" s="28"/>
      <x:c r="J2397" s="28"/>
      <x:c r="K2397" s="28"/>
      <x:c r="L2397" s="28"/>
      <x:c r="M2397" s="28"/>
      <x:c r="N2397" s="28"/>
      <x:c r="O2397" s="28"/>
      <x:c r="P2397" s="28"/>
      <x:c r="Q2397" s="28"/>
      <x:c r="R2397" s="28"/>
      <x:c r="S2397" s="28"/>
      <x:c r="T2397" s="28"/>
      <x:c r="U2397" s="28"/>
      <x:c r="V2397" s="28"/>
      <x:c r="W2397" s="43" t="n">
        <x:f>--AND(N2397=1,OR(O2397="SUPPORTED",O2397="HALLUCINATION"))</x:f>
        <x:v>0</x:v>
      </x:c>
      <x:c r="X2397" s="43" t="n">
        <x:f>--AND(W2397=1,O2397="HALLUCINATION")</x:f>
        <x:v>0</x:v>
      </x:c>
      <x:c r="Y2397" s="43" t="n">
        <x:f>--AND(Q2397=1,O2397="HALLUCINATION")</x:f>
        <x:v>0</x:v>
      </x:c>
      <x:c r="Z2397" s="43" t="n">
        <x:f>--AND(Y2397=1,R2397=1,S2397=1)</x:f>
        <x:v>0</x:v>
      </x:c>
      <x:c r="AC2397" t="str">
        <x:f>IF(OR(AA2397="",AB2397=""),"",--(AA2397&lt;&gt;AB2397))</x:f>
      </x:c>
      <x:c r="AE2397" t="str">
        <x:f>IF(OR(AA2397="",AB2397=""),"PENDING_HUMAN",IF(AA2397=AB2397,AA2397,IF(AD2397&lt;&gt;"",AD2397,"PENDING_HUMAN")))</x:f>
        <x:v>PENDING_HUMAN</x:v>
      </x:c>
      <x:c r="AF2397" t="n">
        <x:f>--AND(A2397&lt;&gt;"",AA2397&lt;&gt;"",AB2397&lt;&gt;"",OR(AA2397=AB2397,AD2397&lt;&gt;""),IF(AE2397="HALLUCINATION",U2397&lt;&gt;"",TRUE))</x:f>
        <x:v>0</x:v>
      </x:c>
      <x:c r="AG2397" t="n">
        <x:f>--AND(N2397=1,AF2397=1,OR(AE2397="SUPPORTED",AE2397="HALLUCINATION"))</x:f>
        <x:v>0</x:v>
      </x:c>
      <x:c r="AH2397" t="n">
        <x:f>--AND(AG2397=1,AE2397="HALLUCINATION")</x:f>
        <x:v>0</x:v>
      </x:c>
      <x:c r="AI2397" t="n">
        <x:f>--AND(Q2397=1,AF2397=1,AE2397="HALLUCINATION")</x:f>
        <x:v>0</x:v>
      </x:c>
      <x:c r="AJ2397" t="n">
        <x:f>--AND(AI2397=1,R2397=1,S2397=1)</x:f>
        <x:v>0</x:v>
      </x:c>
    </x:row>
    <x:row r="2398">
      <x:c r="A2398" s="28"/>
      <x:c r="B2398" s="28"/>
      <x:c r="C2398" s="28"/>
      <x:c r="D2398" s="28"/>
      <x:c r="E2398" s="28"/>
      <x:c r="F2398" s="28"/>
      <x:c r="G2398" s="28"/>
      <x:c r="H2398" s="28"/>
      <x:c r="I2398" s="28"/>
      <x:c r="J2398" s="28"/>
      <x:c r="K2398" s="28"/>
      <x:c r="L2398" s="28"/>
      <x:c r="M2398" s="28"/>
      <x:c r="N2398" s="28"/>
      <x:c r="O2398" s="28"/>
      <x:c r="P2398" s="28"/>
      <x:c r="Q2398" s="28"/>
      <x:c r="R2398" s="28"/>
      <x:c r="S2398" s="28"/>
      <x:c r="T2398" s="28"/>
      <x:c r="U2398" s="28"/>
      <x:c r="V2398" s="28"/>
      <x:c r="W2398" s="43" t="n">
        <x:f>--AND(N2398=1,OR(O2398="SUPPORTED",O2398="HALLUCINATION"))</x:f>
        <x:v>0</x:v>
      </x:c>
      <x:c r="X2398" s="43" t="n">
        <x:f>--AND(W2398=1,O2398="HALLUCINATION")</x:f>
        <x:v>0</x:v>
      </x:c>
      <x:c r="Y2398" s="43" t="n">
        <x:f>--AND(Q2398=1,O2398="HALLUCINATION")</x:f>
        <x:v>0</x:v>
      </x:c>
      <x:c r="Z2398" s="43" t="n">
        <x:f>--AND(Y2398=1,R2398=1,S2398=1)</x:f>
        <x:v>0</x:v>
      </x:c>
      <x:c r="AC2398" t="str">
        <x:f>IF(OR(AA2398="",AB2398=""),"",--(AA2398&lt;&gt;AB2398))</x:f>
      </x:c>
      <x:c r="AE2398" t="str">
        <x:f>IF(OR(AA2398="",AB2398=""),"PENDING_HUMAN",IF(AA2398=AB2398,AA2398,IF(AD2398&lt;&gt;"",AD2398,"PENDING_HUMAN")))</x:f>
        <x:v>PENDING_HUMAN</x:v>
      </x:c>
      <x:c r="AF2398" t="n">
        <x:f>--AND(A2398&lt;&gt;"",AA2398&lt;&gt;"",AB2398&lt;&gt;"",OR(AA2398=AB2398,AD2398&lt;&gt;""),IF(AE2398="HALLUCINATION",U2398&lt;&gt;"",TRUE))</x:f>
        <x:v>0</x:v>
      </x:c>
      <x:c r="AG2398" t="n">
        <x:f>--AND(N2398=1,AF2398=1,OR(AE2398="SUPPORTED",AE2398="HALLUCINATION"))</x:f>
        <x:v>0</x:v>
      </x:c>
      <x:c r="AH2398" t="n">
        <x:f>--AND(AG2398=1,AE2398="HALLUCINATION")</x:f>
        <x:v>0</x:v>
      </x:c>
      <x:c r="AI2398" t="n">
        <x:f>--AND(Q2398=1,AF2398=1,AE2398="HALLUCINATION")</x:f>
        <x:v>0</x:v>
      </x:c>
      <x:c r="AJ2398" t="n">
        <x:f>--AND(AI2398=1,R2398=1,S2398=1)</x:f>
        <x:v>0</x:v>
      </x:c>
    </x:row>
    <x:row r="2399">
      <x:c r="A2399" s="28"/>
      <x:c r="B2399" s="28"/>
      <x:c r="C2399" s="28"/>
      <x:c r="D2399" s="28"/>
      <x:c r="E2399" s="28"/>
      <x:c r="F2399" s="28"/>
      <x:c r="G2399" s="28"/>
      <x:c r="H2399" s="28"/>
      <x:c r="I2399" s="28"/>
      <x:c r="J2399" s="28"/>
      <x:c r="K2399" s="28"/>
      <x:c r="L2399" s="28"/>
      <x:c r="M2399" s="28"/>
      <x:c r="N2399" s="28"/>
      <x:c r="O2399" s="28"/>
      <x:c r="P2399" s="28"/>
      <x:c r="Q2399" s="28"/>
      <x:c r="R2399" s="28"/>
      <x:c r="S2399" s="28"/>
      <x:c r="T2399" s="28"/>
      <x:c r="U2399" s="28"/>
      <x:c r="V2399" s="28"/>
      <x:c r="W2399" s="43" t="n">
        <x:f>--AND(N2399=1,OR(O2399="SUPPORTED",O2399="HALLUCINATION"))</x:f>
        <x:v>0</x:v>
      </x:c>
      <x:c r="X2399" s="43" t="n">
        <x:f>--AND(W2399=1,O2399="HALLUCINATION")</x:f>
        <x:v>0</x:v>
      </x:c>
      <x:c r="Y2399" s="43" t="n">
        <x:f>--AND(Q2399=1,O2399="HALLUCINATION")</x:f>
        <x:v>0</x:v>
      </x:c>
      <x:c r="Z2399" s="43" t="n">
        <x:f>--AND(Y2399=1,R2399=1,S2399=1)</x:f>
        <x:v>0</x:v>
      </x:c>
      <x:c r="AC2399" t="str">
        <x:f>IF(OR(AA2399="",AB2399=""),"",--(AA2399&lt;&gt;AB2399))</x:f>
      </x:c>
      <x:c r="AE2399" t="str">
        <x:f>IF(OR(AA2399="",AB2399=""),"PENDING_HUMAN",IF(AA2399=AB2399,AA2399,IF(AD2399&lt;&gt;"",AD2399,"PENDING_HUMAN")))</x:f>
        <x:v>PENDING_HUMAN</x:v>
      </x:c>
      <x:c r="AF2399" t="n">
        <x:f>--AND(A2399&lt;&gt;"",AA2399&lt;&gt;"",AB2399&lt;&gt;"",OR(AA2399=AB2399,AD2399&lt;&gt;""),IF(AE2399="HALLUCINATION",U2399&lt;&gt;"",TRUE))</x:f>
        <x:v>0</x:v>
      </x:c>
      <x:c r="AG2399" t="n">
        <x:f>--AND(N2399=1,AF2399=1,OR(AE2399="SUPPORTED",AE2399="HALLUCINATION"))</x:f>
        <x:v>0</x:v>
      </x:c>
      <x:c r="AH2399" t="n">
        <x:f>--AND(AG2399=1,AE2399="HALLUCINATION")</x:f>
        <x:v>0</x:v>
      </x:c>
      <x:c r="AI2399" t="n">
        <x:f>--AND(Q2399=1,AF2399=1,AE2399="HALLUCINATION")</x:f>
        <x:v>0</x:v>
      </x:c>
      <x:c r="AJ2399" t="n">
        <x:f>--AND(AI2399=1,R2399=1,S2399=1)</x:f>
        <x:v>0</x:v>
      </x:c>
    </x:row>
    <x:row r="2400">
      <x:c r="A2400" s="28"/>
      <x:c r="B2400" s="28"/>
      <x:c r="C2400" s="28"/>
      <x:c r="D2400" s="28"/>
      <x:c r="E2400" s="28"/>
      <x:c r="F2400" s="28"/>
      <x:c r="G2400" s="28"/>
      <x:c r="H2400" s="28"/>
      <x:c r="I2400" s="28"/>
      <x:c r="J2400" s="28"/>
      <x:c r="K2400" s="28"/>
      <x:c r="L2400" s="28"/>
      <x:c r="M2400" s="28"/>
      <x:c r="N2400" s="28"/>
      <x:c r="O2400" s="28"/>
      <x:c r="P2400" s="28"/>
      <x:c r="Q2400" s="28"/>
      <x:c r="R2400" s="28"/>
      <x:c r="S2400" s="28"/>
      <x:c r="T2400" s="28"/>
      <x:c r="U2400" s="28"/>
      <x:c r="V2400" s="28"/>
      <x:c r="W2400" s="43" t="n">
        <x:f>--AND(N2400=1,OR(O2400="SUPPORTED",O2400="HALLUCINATION"))</x:f>
        <x:v>0</x:v>
      </x:c>
      <x:c r="X2400" s="43" t="n">
        <x:f>--AND(W2400=1,O2400="HALLUCINATION")</x:f>
        <x:v>0</x:v>
      </x:c>
      <x:c r="Y2400" s="43" t="n">
        <x:f>--AND(Q2400=1,O2400="HALLUCINATION")</x:f>
        <x:v>0</x:v>
      </x:c>
      <x:c r="Z2400" s="43" t="n">
        <x:f>--AND(Y2400=1,R2400=1,S2400=1)</x:f>
        <x:v>0</x:v>
      </x:c>
      <x:c r="AC2400" t="str">
        <x:f>IF(OR(AA2400="",AB2400=""),"",--(AA2400&lt;&gt;AB2400))</x:f>
      </x:c>
      <x:c r="AE2400" t="str">
        <x:f>IF(OR(AA2400="",AB2400=""),"PENDING_HUMAN",IF(AA2400=AB2400,AA2400,IF(AD2400&lt;&gt;"",AD2400,"PENDING_HUMAN")))</x:f>
        <x:v>PENDING_HUMAN</x:v>
      </x:c>
      <x:c r="AF2400" t="n">
        <x:f>--AND(A2400&lt;&gt;"",AA2400&lt;&gt;"",AB2400&lt;&gt;"",OR(AA2400=AB2400,AD2400&lt;&gt;""),IF(AE2400="HALLUCINATION",U2400&lt;&gt;"",TRUE))</x:f>
        <x:v>0</x:v>
      </x:c>
      <x:c r="AG2400" t="n">
        <x:f>--AND(N2400=1,AF2400=1,OR(AE2400="SUPPORTED",AE2400="HALLUCINATION"))</x:f>
        <x:v>0</x:v>
      </x:c>
      <x:c r="AH2400" t="n">
        <x:f>--AND(AG2400=1,AE2400="HALLUCINATION")</x:f>
        <x:v>0</x:v>
      </x:c>
      <x:c r="AI2400" t="n">
        <x:f>--AND(Q2400=1,AF2400=1,AE2400="HALLUCINATION")</x:f>
        <x:v>0</x:v>
      </x:c>
      <x:c r="AJ2400" t="n">
        <x:f>--AND(AI2400=1,R2400=1,S2400=1)</x:f>
        <x:v>0</x:v>
      </x:c>
    </x:row>
    <x:row r="2401">
      <x:c r="A2401" s="28"/>
      <x:c r="B2401" s="28"/>
      <x:c r="C2401" s="28"/>
      <x:c r="D2401" s="28"/>
      <x:c r="E2401" s="28"/>
      <x:c r="F2401" s="28"/>
      <x:c r="G2401" s="28"/>
      <x:c r="H2401" s="28"/>
      <x:c r="I2401" s="28"/>
      <x:c r="J2401" s="28"/>
      <x:c r="K2401" s="28"/>
      <x:c r="L2401" s="28"/>
      <x:c r="M2401" s="28"/>
      <x:c r="N2401" s="28"/>
      <x:c r="O2401" s="28"/>
      <x:c r="P2401" s="28"/>
      <x:c r="Q2401" s="28"/>
      <x:c r="R2401" s="28"/>
      <x:c r="S2401" s="28"/>
      <x:c r="T2401" s="28"/>
      <x:c r="U2401" s="28"/>
      <x:c r="V2401" s="28"/>
      <x:c r="W2401" s="43" t="n">
        <x:f>--AND(N2401=1,OR(O2401="SUPPORTED",O2401="HALLUCINATION"))</x:f>
        <x:v>0</x:v>
      </x:c>
      <x:c r="X2401" s="43" t="n">
        <x:f>--AND(W2401=1,O2401="HALLUCINATION")</x:f>
        <x:v>0</x:v>
      </x:c>
      <x:c r="Y2401" s="43" t="n">
        <x:f>--AND(Q2401=1,O2401="HALLUCINATION")</x:f>
        <x:v>0</x:v>
      </x:c>
      <x:c r="Z2401" s="43" t="n">
        <x:f>--AND(Y2401=1,R2401=1,S2401=1)</x:f>
        <x:v>0</x:v>
      </x:c>
      <x:c r="AC2401" t="str">
        <x:f>IF(OR(AA2401="",AB2401=""),"",--(AA2401&lt;&gt;AB2401))</x:f>
      </x:c>
      <x:c r="AE2401" t="str">
        <x:f>IF(OR(AA2401="",AB2401=""),"PENDING_HUMAN",IF(AA2401=AB2401,AA2401,IF(AD2401&lt;&gt;"",AD2401,"PENDING_HUMAN")))</x:f>
        <x:v>PENDING_HUMAN</x:v>
      </x:c>
      <x:c r="AF2401" t="n">
        <x:f>--AND(A2401&lt;&gt;"",AA2401&lt;&gt;"",AB2401&lt;&gt;"",OR(AA2401=AB2401,AD2401&lt;&gt;""),IF(AE2401="HALLUCINATION",U2401&lt;&gt;"",TRUE))</x:f>
        <x:v>0</x:v>
      </x:c>
      <x:c r="AG2401" t="n">
        <x:f>--AND(N2401=1,AF2401=1,OR(AE2401="SUPPORTED",AE2401="HALLUCINATION"))</x:f>
        <x:v>0</x:v>
      </x:c>
      <x:c r="AH2401" t="n">
        <x:f>--AND(AG2401=1,AE2401="HALLUCINATION")</x:f>
        <x:v>0</x:v>
      </x:c>
      <x:c r="AI2401" t="n">
        <x:f>--AND(Q2401=1,AF2401=1,AE2401="HALLUCINATION")</x:f>
        <x:v>0</x:v>
      </x:c>
      <x:c r="AJ2401" t="n">
        <x:f>--AND(AI2401=1,R2401=1,S2401=1)</x:f>
        <x:v>0</x:v>
      </x:c>
    </x:row>
    <x:row r="2402">
      <x:c r="A2402" s="28"/>
      <x:c r="B2402" s="28"/>
      <x:c r="C2402" s="28"/>
      <x:c r="D2402" s="28"/>
      <x:c r="E2402" s="28"/>
      <x:c r="F2402" s="28"/>
      <x:c r="G2402" s="28"/>
      <x:c r="H2402" s="28"/>
      <x:c r="I2402" s="28"/>
      <x:c r="J2402" s="28"/>
      <x:c r="K2402" s="28"/>
      <x:c r="L2402" s="28"/>
      <x:c r="M2402" s="28"/>
      <x:c r="N2402" s="28"/>
      <x:c r="O2402" s="28"/>
      <x:c r="P2402" s="28"/>
      <x:c r="Q2402" s="28"/>
      <x:c r="R2402" s="28"/>
      <x:c r="S2402" s="28"/>
      <x:c r="T2402" s="28"/>
      <x:c r="U2402" s="28"/>
      <x:c r="V2402" s="28"/>
      <x:c r="W2402" s="43" t="n">
        <x:f>--AND(N2402=1,OR(O2402="SUPPORTED",O2402="HALLUCINATION"))</x:f>
        <x:v>0</x:v>
      </x:c>
      <x:c r="X2402" s="43" t="n">
        <x:f>--AND(W2402=1,O2402="HALLUCINATION")</x:f>
        <x:v>0</x:v>
      </x:c>
      <x:c r="Y2402" s="43" t="n">
        <x:f>--AND(Q2402=1,O2402="HALLUCINATION")</x:f>
        <x:v>0</x:v>
      </x:c>
      <x:c r="Z2402" s="43" t="n">
        <x:f>--AND(Y2402=1,R2402=1,S2402=1)</x:f>
        <x:v>0</x:v>
      </x:c>
      <x:c r="AC2402" t="str">
        <x:f>IF(OR(AA2402="",AB2402=""),"",--(AA2402&lt;&gt;AB2402))</x:f>
      </x:c>
      <x:c r="AE2402" t="str">
        <x:f>IF(OR(AA2402="",AB2402=""),"PENDING_HUMAN",IF(AA2402=AB2402,AA2402,IF(AD2402&lt;&gt;"",AD2402,"PENDING_HUMAN")))</x:f>
        <x:v>PENDING_HUMAN</x:v>
      </x:c>
      <x:c r="AF2402" t="n">
        <x:f>--AND(A2402&lt;&gt;"",AA2402&lt;&gt;"",AB2402&lt;&gt;"",OR(AA2402=AB2402,AD2402&lt;&gt;""),IF(AE2402="HALLUCINATION",U2402&lt;&gt;"",TRUE))</x:f>
        <x:v>0</x:v>
      </x:c>
      <x:c r="AG2402" t="n">
        <x:f>--AND(N2402=1,AF2402=1,OR(AE2402="SUPPORTED",AE2402="HALLUCINATION"))</x:f>
        <x:v>0</x:v>
      </x:c>
      <x:c r="AH2402" t="n">
        <x:f>--AND(AG2402=1,AE2402="HALLUCINATION")</x:f>
        <x:v>0</x:v>
      </x:c>
      <x:c r="AI2402" t="n">
        <x:f>--AND(Q2402=1,AF2402=1,AE2402="HALLUCINATION")</x:f>
        <x:v>0</x:v>
      </x:c>
      <x:c r="AJ2402" t="n">
        <x:f>--AND(AI2402=1,R2402=1,S2402=1)</x:f>
        <x:v>0</x:v>
      </x:c>
    </x:row>
    <x:row r="2403">
      <x:c r="A2403" s="28"/>
      <x:c r="B2403" s="28"/>
      <x:c r="C2403" s="28"/>
      <x:c r="D2403" s="28"/>
      <x:c r="E2403" s="28"/>
      <x:c r="F2403" s="28"/>
      <x:c r="G2403" s="28"/>
      <x:c r="H2403" s="28"/>
      <x:c r="I2403" s="28"/>
      <x:c r="J2403" s="28"/>
      <x:c r="K2403" s="28"/>
      <x:c r="L2403" s="28"/>
      <x:c r="M2403" s="28"/>
      <x:c r="N2403" s="28"/>
      <x:c r="O2403" s="28"/>
      <x:c r="P2403" s="28"/>
      <x:c r="Q2403" s="28"/>
      <x:c r="R2403" s="28"/>
      <x:c r="S2403" s="28"/>
      <x:c r="T2403" s="28"/>
      <x:c r="U2403" s="28"/>
      <x:c r="V2403" s="28"/>
      <x:c r="W2403" s="43" t="n">
        <x:f>--AND(N2403=1,OR(O2403="SUPPORTED",O2403="HALLUCINATION"))</x:f>
        <x:v>0</x:v>
      </x:c>
      <x:c r="X2403" s="43" t="n">
        <x:f>--AND(W2403=1,O2403="HALLUCINATION")</x:f>
        <x:v>0</x:v>
      </x:c>
      <x:c r="Y2403" s="43" t="n">
        <x:f>--AND(Q2403=1,O2403="HALLUCINATION")</x:f>
        <x:v>0</x:v>
      </x:c>
      <x:c r="Z2403" s="43" t="n">
        <x:f>--AND(Y2403=1,R2403=1,S2403=1)</x:f>
        <x:v>0</x:v>
      </x:c>
      <x:c r="AC2403" t="str">
        <x:f>IF(OR(AA2403="",AB2403=""),"",--(AA2403&lt;&gt;AB2403))</x:f>
      </x:c>
      <x:c r="AE2403" t="str">
        <x:f>IF(OR(AA2403="",AB2403=""),"PENDING_HUMAN",IF(AA2403=AB2403,AA2403,IF(AD2403&lt;&gt;"",AD2403,"PENDING_HUMAN")))</x:f>
        <x:v>PENDING_HUMAN</x:v>
      </x:c>
      <x:c r="AF2403" t="n">
        <x:f>--AND(A2403&lt;&gt;"",AA2403&lt;&gt;"",AB2403&lt;&gt;"",OR(AA2403=AB2403,AD2403&lt;&gt;""),IF(AE2403="HALLUCINATION",U2403&lt;&gt;"",TRUE))</x:f>
        <x:v>0</x:v>
      </x:c>
      <x:c r="AG2403" t="n">
        <x:f>--AND(N2403=1,AF2403=1,OR(AE2403="SUPPORTED",AE2403="HALLUCINATION"))</x:f>
        <x:v>0</x:v>
      </x:c>
      <x:c r="AH2403" t="n">
        <x:f>--AND(AG2403=1,AE2403="HALLUCINATION")</x:f>
        <x:v>0</x:v>
      </x:c>
      <x:c r="AI2403" t="n">
        <x:f>--AND(Q2403=1,AF2403=1,AE2403="HALLUCINATION")</x:f>
        <x:v>0</x:v>
      </x:c>
      <x:c r="AJ2403" t="n">
        <x:f>--AND(AI2403=1,R2403=1,S2403=1)</x:f>
        <x:v>0</x:v>
      </x:c>
    </x:row>
    <x:row r="2404">
      <x:c r="A2404" s="28"/>
      <x:c r="B2404" s="28"/>
      <x:c r="C2404" s="28"/>
      <x:c r="D2404" s="28"/>
      <x:c r="E2404" s="28"/>
      <x:c r="F2404" s="28"/>
      <x:c r="G2404" s="28"/>
      <x:c r="H2404" s="28"/>
      <x:c r="I2404" s="28"/>
      <x:c r="J2404" s="28"/>
      <x:c r="K2404" s="28"/>
      <x:c r="L2404" s="28"/>
      <x:c r="M2404" s="28"/>
      <x:c r="N2404" s="28"/>
      <x:c r="O2404" s="28"/>
      <x:c r="P2404" s="28"/>
      <x:c r="Q2404" s="28"/>
      <x:c r="R2404" s="28"/>
      <x:c r="S2404" s="28"/>
      <x:c r="T2404" s="28"/>
      <x:c r="U2404" s="28"/>
      <x:c r="V2404" s="28"/>
      <x:c r="W2404" s="43" t="n">
        <x:f>--AND(N2404=1,OR(O2404="SUPPORTED",O2404="HALLUCINATION"))</x:f>
        <x:v>0</x:v>
      </x:c>
      <x:c r="X2404" s="43" t="n">
        <x:f>--AND(W2404=1,O2404="HALLUCINATION")</x:f>
        <x:v>0</x:v>
      </x:c>
      <x:c r="Y2404" s="43" t="n">
        <x:f>--AND(Q2404=1,O2404="HALLUCINATION")</x:f>
        <x:v>0</x:v>
      </x:c>
      <x:c r="Z2404" s="43" t="n">
        <x:f>--AND(Y2404=1,R2404=1,S2404=1)</x:f>
        <x:v>0</x:v>
      </x:c>
      <x:c r="AC2404" t="str">
        <x:f>IF(OR(AA2404="",AB2404=""),"",--(AA2404&lt;&gt;AB2404))</x:f>
      </x:c>
      <x:c r="AE2404" t="str">
        <x:f>IF(OR(AA2404="",AB2404=""),"PENDING_HUMAN",IF(AA2404=AB2404,AA2404,IF(AD2404&lt;&gt;"",AD2404,"PENDING_HUMAN")))</x:f>
        <x:v>PENDING_HUMAN</x:v>
      </x:c>
      <x:c r="AF2404" t="n">
        <x:f>--AND(A2404&lt;&gt;"",AA2404&lt;&gt;"",AB2404&lt;&gt;"",OR(AA2404=AB2404,AD2404&lt;&gt;""),IF(AE2404="HALLUCINATION",U2404&lt;&gt;"",TRUE))</x:f>
        <x:v>0</x:v>
      </x:c>
      <x:c r="AG2404" t="n">
        <x:f>--AND(N2404=1,AF2404=1,OR(AE2404="SUPPORTED",AE2404="HALLUCINATION"))</x:f>
        <x:v>0</x:v>
      </x:c>
      <x:c r="AH2404" t="n">
        <x:f>--AND(AG2404=1,AE2404="HALLUCINATION")</x:f>
        <x:v>0</x:v>
      </x:c>
      <x:c r="AI2404" t="n">
        <x:f>--AND(Q2404=1,AF2404=1,AE2404="HALLUCINATION")</x:f>
        <x:v>0</x:v>
      </x:c>
      <x:c r="AJ2404" t="n">
        <x:f>--AND(AI2404=1,R2404=1,S2404=1)</x:f>
        <x:v>0</x:v>
      </x:c>
    </x:row>
    <x:row r="2405">
      <x:c r="A2405" s="28"/>
      <x:c r="B2405" s="28"/>
      <x:c r="C2405" s="28"/>
      <x:c r="D2405" s="28"/>
      <x:c r="E2405" s="28"/>
      <x:c r="F2405" s="28"/>
      <x:c r="G2405" s="28"/>
      <x:c r="H2405" s="28"/>
      <x:c r="I2405" s="28"/>
      <x:c r="J2405" s="28"/>
      <x:c r="K2405" s="28"/>
      <x:c r="L2405" s="28"/>
      <x:c r="M2405" s="28"/>
      <x:c r="N2405" s="28"/>
      <x:c r="O2405" s="28"/>
      <x:c r="P2405" s="28"/>
      <x:c r="Q2405" s="28"/>
      <x:c r="R2405" s="28"/>
      <x:c r="S2405" s="28"/>
      <x:c r="T2405" s="28"/>
      <x:c r="U2405" s="28"/>
      <x:c r="V2405" s="28"/>
      <x:c r="W2405" s="43" t="n">
        <x:f>--AND(N2405=1,OR(O2405="SUPPORTED",O2405="HALLUCINATION"))</x:f>
        <x:v>0</x:v>
      </x:c>
      <x:c r="X2405" s="43" t="n">
        <x:f>--AND(W2405=1,O2405="HALLUCINATION")</x:f>
        <x:v>0</x:v>
      </x:c>
      <x:c r="Y2405" s="43" t="n">
        <x:f>--AND(Q2405=1,O2405="HALLUCINATION")</x:f>
        <x:v>0</x:v>
      </x:c>
      <x:c r="Z2405" s="43" t="n">
        <x:f>--AND(Y2405=1,R2405=1,S2405=1)</x:f>
        <x:v>0</x:v>
      </x:c>
      <x:c r="AC2405" t="str">
        <x:f>IF(OR(AA2405="",AB2405=""),"",--(AA2405&lt;&gt;AB2405))</x:f>
      </x:c>
      <x:c r="AE2405" t="str">
        <x:f>IF(OR(AA2405="",AB2405=""),"PENDING_HUMAN",IF(AA2405=AB2405,AA2405,IF(AD2405&lt;&gt;"",AD2405,"PENDING_HUMAN")))</x:f>
        <x:v>PENDING_HUMAN</x:v>
      </x:c>
      <x:c r="AF2405" t="n">
        <x:f>--AND(A2405&lt;&gt;"",AA2405&lt;&gt;"",AB2405&lt;&gt;"",OR(AA2405=AB2405,AD2405&lt;&gt;""),IF(AE2405="HALLUCINATION",U2405&lt;&gt;"",TRUE))</x:f>
        <x:v>0</x:v>
      </x:c>
      <x:c r="AG2405" t="n">
        <x:f>--AND(N2405=1,AF2405=1,OR(AE2405="SUPPORTED",AE2405="HALLUCINATION"))</x:f>
        <x:v>0</x:v>
      </x:c>
      <x:c r="AH2405" t="n">
        <x:f>--AND(AG2405=1,AE2405="HALLUCINATION")</x:f>
        <x:v>0</x:v>
      </x:c>
      <x:c r="AI2405" t="n">
        <x:f>--AND(Q2405=1,AF2405=1,AE2405="HALLUCINATION")</x:f>
        <x:v>0</x:v>
      </x:c>
      <x:c r="AJ2405" t="n">
        <x:f>--AND(AI2405=1,R2405=1,S2405=1)</x:f>
        <x:v>0</x:v>
      </x:c>
    </x:row>
    <x:row r="2406">
      <x:c r="A2406" s="28"/>
      <x:c r="B2406" s="28"/>
      <x:c r="C2406" s="28"/>
      <x:c r="D2406" s="28"/>
      <x:c r="E2406" s="28"/>
      <x:c r="F2406" s="28"/>
      <x:c r="G2406" s="28"/>
      <x:c r="H2406" s="28"/>
      <x:c r="I2406" s="28"/>
      <x:c r="J2406" s="28"/>
      <x:c r="K2406" s="28"/>
      <x:c r="L2406" s="28"/>
      <x:c r="M2406" s="28"/>
      <x:c r="N2406" s="28"/>
      <x:c r="O2406" s="28"/>
      <x:c r="P2406" s="28"/>
      <x:c r="Q2406" s="28"/>
      <x:c r="R2406" s="28"/>
      <x:c r="S2406" s="28"/>
      <x:c r="T2406" s="28"/>
      <x:c r="U2406" s="28"/>
      <x:c r="V2406" s="28"/>
      <x:c r="W2406" s="43" t="n">
        <x:f>--AND(N2406=1,OR(O2406="SUPPORTED",O2406="HALLUCINATION"))</x:f>
        <x:v>0</x:v>
      </x:c>
      <x:c r="X2406" s="43" t="n">
        <x:f>--AND(W2406=1,O2406="HALLUCINATION")</x:f>
        <x:v>0</x:v>
      </x:c>
      <x:c r="Y2406" s="43" t="n">
        <x:f>--AND(Q2406=1,O2406="HALLUCINATION")</x:f>
        <x:v>0</x:v>
      </x:c>
      <x:c r="Z2406" s="43" t="n">
        <x:f>--AND(Y2406=1,R2406=1,S2406=1)</x:f>
        <x:v>0</x:v>
      </x:c>
      <x:c r="AC2406" t="str">
        <x:f>IF(OR(AA2406="",AB2406=""),"",--(AA2406&lt;&gt;AB2406))</x:f>
      </x:c>
      <x:c r="AE2406" t="str">
        <x:f>IF(OR(AA2406="",AB2406=""),"PENDING_HUMAN",IF(AA2406=AB2406,AA2406,IF(AD2406&lt;&gt;"",AD2406,"PENDING_HUMAN")))</x:f>
        <x:v>PENDING_HUMAN</x:v>
      </x:c>
      <x:c r="AF2406" t="n">
        <x:f>--AND(A2406&lt;&gt;"",AA2406&lt;&gt;"",AB2406&lt;&gt;"",OR(AA2406=AB2406,AD2406&lt;&gt;""),IF(AE2406="HALLUCINATION",U2406&lt;&gt;"",TRUE))</x:f>
        <x:v>0</x:v>
      </x:c>
      <x:c r="AG2406" t="n">
        <x:f>--AND(N2406=1,AF2406=1,OR(AE2406="SUPPORTED",AE2406="HALLUCINATION"))</x:f>
        <x:v>0</x:v>
      </x:c>
      <x:c r="AH2406" t="n">
        <x:f>--AND(AG2406=1,AE2406="HALLUCINATION")</x:f>
        <x:v>0</x:v>
      </x:c>
      <x:c r="AI2406" t="n">
        <x:f>--AND(Q2406=1,AF2406=1,AE2406="HALLUCINATION")</x:f>
        <x:v>0</x:v>
      </x:c>
      <x:c r="AJ2406" t="n">
        <x:f>--AND(AI2406=1,R2406=1,S2406=1)</x:f>
        <x:v>0</x:v>
      </x:c>
    </x:row>
    <x:row r="2407">
      <x:c r="A2407" s="28"/>
      <x:c r="B2407" s="28"/>
      <x:c r="C2407" s="28"/>
      <x:c r="D2407" s="28"/>
      <x:c r="E2407" s="28"/>
      <x:c r="F2407" s="28"/>
      <x:c r="G2407" s="28"/>
      <x:c r="H2407" s="28"/>
      <x:c r="I2407" s="28"/>
      <x:c r="J2407" s="28"/>
      <x:c r="K2407" s="28"/>
      <x:c r="L2407" s="28"/>
      <x:c r="M2407" s="28"/>
      <x:c r="N2407" s="28"/>
      <x:c r="O2407" s="28"/>
      <x:c r="P2407" s="28"/>
      <x:c r="Q2407" s="28"/>
      <x:c r="R2407" s="28"/>
      <x:c r="S2407" s="28"/>
      <x:c r="T2407" s="28"/>
      <x:c r="U2407" s="28"/>
      <x:c r="V2407" s="28"/>
      <x:c r="W2407" s="43" t="n">
        <x:f>--AND(N2407=1,OR(O2407="SUPPORTED",O2407="HALLUCINATION"))</x:f>
        <x:v>0</x:v>
      </x:c>
      <x:c r="X2407" s="43" t="n">
        <x:f>--AND(W2407=1,O2407="HALLUCINATION")</x:f>
        <x:v>0</x:v>
      </x:c>
      <x:c r="Y2407" s="43" t="n">
        <x:f>--AND(Q2407=1,O2407="HALLUCINATION")</x:f>
        <x:v>0</x:v>
      </x:c>
      <x:c r="Z2407" s="43" t="n">
        <x:f>--AND(Y2407=1,R2407=1,S2407=1)</x:f>
        <x:v>0</x:v>
      </x:c>
      <x:c r="AC2407" t="str">
        <x:f>IF(OR(AA2407="",AB2407=""),"",--(AA2407&lt;&gt;AB2407))</x:f>
      </x:c>
      <x:c r="AE2407" t="str">
        <x:f>IF(OR(AA2407="",AB2407=""),"PENDING_HUMAN",IF(AA2407=AB2407,AA2407,IF(AD2407&lt;&gt;"",AD2407,"PENDING_HUMAN")))</x:f>
        <x:v>PENDING_HUMAN</x:v>
      </x:c>
      <x:c r="AF2407" t="n">
        <x:f>--AND(A2407&lt;&gt;"",AA2407&lt;&gt;"",AB2407&lt;&gt;"",OR(AA2407=AB2407,AD2407&lt;&gt;""),IF(AE2407="HALLUCINATION",U2407&lt;&gt;"",TRUE))</x:f>
        <x:v>0</x:v>
      </x:c>
      <x:c r="AG2407" t="n">
        <x:f>--AND(N2407=1,AF2407=1,OR(AE2407="SUPPORTED",AE2407="HALLUCINATION"))</x:f>
        <x:v>0</x:v>
      </x:c>
      <x:c r="AH2407" t="n">
        <x:f>--AND(AG2407=1,AE2407="HALLUCINATION")</x:f>
        <x:v>0</x:v>
      </x:c>
      <x:c r="AI2407" t="n">
        <x:f>--AND(Q2407=1,AF2407=1,AE2407="HALLUCINATION")</x:f>
        <x:v>0</x:v>
      </x:c>
      <x:c r="AJ2407" t="n">
        <x:f>--AND(AI2407=1,R2407=1,S2407=1)</x:f>
        <x:v>0</x:v>
      </x:c>
    </x:row>
    <x:row r="2408">
      <x:c r="A2408" s="28"/>
      <x:c r="B2408" s="28"/>
      <x:c r="C2408" s="28"/>
      <x:c r="D2408" s="28"/>
      <x:c r="E2408" s="28"/>
      <x:c r="F2408" s="28"/>
      <x:c r="G2408" s="28"/>
      <x:c r="H2408" s="28"/>
      <x:c r="I2408" s="28"/>
      <x:c r="J2408" s="28"/>
      <x:c r="K2408" s="28"/>
      <x:c r="L2408" s="28"/>
      <x:c r="M2408" s="28"/>
      <x:c r="N2408" s="28"/>
      <x:c r="O2408" s="28"/>
      <x:c r="P2408" s="28"/>
      <x:c r="Q2408" s="28"/>
      <x:c r="R2408" s="28"/>
      <x:c r="S2408" s="28"/>
      <x:c r="T2408" s="28"/>
      <x:c r="U2408" s="28"/>
      <x:c r="V2408" s="28"/>
      <x:c r="W2408" s="43" t="n">
        <x:f>--AND(N2408=1,OR(O2408="SUPPORTED",O2408="HALLUCINATION"))</x:f>
        <x:v>0</x:v>
      </x:c>
      <x:c r="X2408" s="43" t="n">
        <x:f>--AND(W2408=1,O2408="HALLUCINATION")</x:f>
        <x:v>0</x:v>
      </x:c>
      <x:c r="Y2408" s="43" t="n">
        <x:f>--AND(Q2408=1,O2408="HALLUCINATION")</x:f>
        <x:v>0</x:v>
      </x:c>
      <x:c r="Z2408" s="43" t="n">
        <x:f>--AND(Y2408=1,R2408=1,S2408=1)</x:f>
        <x:v>0</x:v>
      </x:c>
      <x:c r="AC2408" t="str">
        <x:f>IF(OR(AA2408="",AB2408=""),"",--(AA2408&lt;&gt;AB2408))</x:f>
      </x:c>
      <x:c r="AE2408" t="str">
        <x:f>IF(OR(AA2408="",AB2408=""),"PENDING_HUMAN",IF(AA2408=AB2408,AA2408,IF(AD2408&lt;&gt;"",AD2408,"PENDING_HUMAN")))</x:f>
        <x:v>PENDING_HUMAN</x:v>
      </x:c>
      <x:c r="AF2408" t="n">
        <x:f>--AND(A2408&lt;&gt;"",AA2408&lt;&gt;"",AB2408&lt;&gt;"",OR(AA2408=AB2408,AD2408&lt;&gt;""),IF(AE2408="HALLUCINATION",U2408&lt;&gt;"",TRUE))</x:f>
        <x:v>0</x:v>
      </x:c>
      <x:c r="AG2408" t="n">
        <x:f>--AND(N2408=1,AF2408=1,OR(AE2408="SUPPORTED",AE2408="HALLUCINATION"))</x:f>
        <x:v>0</x:v>
      </x:c>
      <x:c r="AH2408" t="n">
        <x:f>--AND(AG2408=1,AE2408="HALLUCINATION")</x:f>
        <x:v>0</x:v>
      </x:c>
      <x:c r="AI2408" t="n">
        <x:f>--AND(Q2408=1,AF2408=1,AE2408="HALLUCINATION")</x:f>
        <x:v>0</x:v>
      </x:c>
      <x:c r="AJ2408" t="n">
        <x:f>--AND(AI2408=1,R2408=1,S2408=1)</x:f>
        <x:v>0</x:v>
      </x:c>
    </x:row>
    <x:row r="2409">
      <x:c r="A2409" s="28"/>
      <x:c r="B2409" s="28"/>
      <x:c r="C2409" s="28"/>
      <x:c r="D2409" s="28"/>
      <x:c r="E2409" s="28"/>
      <x:c r="F2409" s="28"/>
      <x:c r="G2409" s="28"/>
      <x:c r="H2409" s="28"/>
      <x:c r="I2409" s="28"/>
      <x:c r="J2409" s="28"/>
      <x:c r="K2409" s="28"/>
      <x:c r="L2409" s="28"/>
      <x:c r="M2409" s="28"/>
      <x:c r="N2409" s="28"/>
      <x:c r="O2409" s="28"/>
      <x:c r="P2409" s="28"/>
      <x:c r="Q2409" s="28"/>
      <x:c r="R2409" s="28"/>
      <x:c r="S2409" s="28"/>
      <x:c r="T2409" s="28"/>
      <x:c r="U2409" s="28"/>
      <x:c r="V2409" s="28"/>
      <x:c r="W2409" s="43" t="n">
        <x:f>--AND(N2409=1,OR(O2409="SUPPORTED",O2409="HALLUCINATION"))</x:f>
        <x:v>0</x:v>
      </x:c>
      <x:c r="X2409" s="43" t="n">
        <x:f>--AND(W2409=1,O2409="HALLUCINATION")</x:f>
        <x:v>0</x:v>
      </x:c>
      <x:c r="Y2409" s="43" t="n">
        <x:f>--AND(Q2409=1,O2409="HALLUCINATION")</x:f>
        <x:v>0</x:v>
      </x:c>
      <x:c r="Z2409" s="43" t="n">
        <x:f>--AND(Y2409=1,R2409=1,S2409=1)</x:f>
        <x:v>0</x:v>
      </x:c>
      <x:c r="AC2409" t="str">
        <x:f>IF(OR(AA2409="",AB2409=""),"",--(AA2409&lt;&gt;AB2409))</x:f>
      </x:c>
      <x:c r="AE2409" t="str">
        <x:f>IF(OR(AA2409="",AB2409=""),"PENDING_HUMAN",IF(AA2409=AB2409,AA2409,IF(AD2409&lt;&gt;"",AD2409,"PENDING_HUMAN")))</x:f>
        <x:v>PENDING_HUMAN</x:v>
      </x:c>
      <x:c r="AF2409" t="n">
        <x:f>--AND(A2409&lt;&gt;"",AA2409&lt;&gt;"",AB2409&lt;&gt;"",OR(AA2409=AB2409,AD2409&lt;&gt;""),IF(AE2409="HALLUCINATION",U2409&lt;&gt;"",TRUE))</x:f>
        <x:v>0</x:v>
      </x:c>
      <x:c r="AG2409" t="n">
        <x:f>--AND(N2409=1,AF2409=1,OR(AE2409="SUPPORTED",AE2409="HALLUCINATION"))</x:f>
        <x:v>0</x:v>
      </x:c>
      <x:c r="AH2409" t="n">
        <x:f>--AND(AG2409=1,AE2409="HALLUCINATION")</x:f>
        <x:v>0</x:v>
      </x:c>
      <x:c r="AI2409" t="n">
        <x:f>--AND(Q2409=1,AF2409=1,AE2409="HALLUCINATION")</x:f>
        <x:v>0</x:v>
      </x:c>
      <x:c r="AJ2409" t="n">
        <x:f>--AND(AI2409=1,R2409=1,S2409=1)</x:f>
        <x:v>0</x:v>
      </x:c>
    </x:row>
    <x:row r="2410">
      <x:c r="A2410" s="28"/>
      <x:c r="B2410" s="28"/>
      <x:c r="C2410" s="28"/>
      <x:c r="D2410" s="28"/>
      <x:c r="E2410" s="28"/>
      <x:c r="F2410" s="28"/>
      <x:c r="G2410" s="28"/>
      <x:c r="H2410" s="28"/>
      <x:c r="I2410" s="28"/>
      <x:c r="J2410" s="28"/>
      <x:c r="K2410" s="28"/>
      <x:c r="L2410" s="28"/>
      <x:c r="M2410" s="28"/>
      <x:c r="N2410" s="28"/>
      <x:c r="O2410" s="28"/>
      <x:c r="P2410" s="28"/>
      <x:c r="Q2410" s="28"/>
      <x:c r="R2410" s="28"/>
      <x:c r="S2410" s="28"/>
      <x:c r="T2410" s="28"/>
      <x:c r="U2410" s="28"/>
      <x:c r="V2410" s="28"/>
      <x:c r="W2410" s="43" t="n">
        <x:f>--AND(N2410=1,OR(O2410="SUPPORTED",O2410="HALLUCINATION"))</x:f>
        <x:v>0</x:v>
      </x:c>
      <x:c r="X2410" s="43" t="n">
        <x:f>--AND(W2410=1,O2410="HALLUCINATION")</x:f>
        <x:v>0</x:v>
      </x:c>
      <x:c r="Y2410" s="43" t="n">
        <x:f>--AND(Q2410=1,O2410="HALLUCINATION")</x:f>
        <x:v>0</x:v>
      </x:c>
      <x:c r="Z2410" s="43" t="n">
        <x:f>--AND(Y2410=1,R2410=1,S2410=1)</x:f>
        <x:v>0</x:v>
      </x:c>
      <x:c r="AC2410" t="str">
        <x:f>IF(OR(AA2410="",AB2410=""),"",--(AA2410&lt;&gt;AB2410))</x:f>
      </x:c>
      <x:c r="AE2410" t="str">
        <x:f>IF(OR(AA2410="",AB2410=""),"PENDING_HUMAN",IF(AA2410=AB2410,AA2410,IF(AD2410&lt;&gt;"",AD2410,"PENDING_HUMAN")))</x:f>
        <x:v>PENDING_HUMAN</x:v>
      </x:c>
      <x:c r="AF2410" t="n">
        <x:f>--AND(A2410&lt;&gt;"",AA2410&lt;&gt;"",AB2410&lt;&gt;"",OR(AA2410=AB2410,AD2410&lt;&gt;""),IF(AE2410="HALLUCINATION",U2410&lt;&gt;"",TRUE))</x:f>
        <x:v>0</x:v>
      </x:c>
      <x:c r="AG2410" t="n">
        <x:f>--AND(N2410=1,AF2410=1,OR(AE2410="SUPPORTED",AE2410="HALLUCINATION"))</x:f>
        <x:v>0</x:v>
      </x:c>
      <x:c r="AH2410" t="n">
        <x:f>--AND(AG2410=1,AE2410="HALLUCINATION")</x:f>
        <x:v>0</x:v>
      </x:c>
      <x:c r="AI2410" t="n">
        <x:f>--AND(Q2410=1,AF2410=1,AE2410="HALLUCINATION")</x:f>
        <x:v>0</x:v>
      </x:c>
      <x:c r="AJ2410" t="n">
        <x:f>--AND(AI2410=1,R2410=1,S2410=1)</x:f>
        <x:v>0</x:v>
      </x:c>
    </x:row>
    <x:row r="2411">
      <x:c r="A2411" s="28"/>
      <x:c r="B2411" s="28"/>
      <x:c r="C2411" s="28"/>
      <x:c r="D2411" s="28"/>
      <x:c r="E2411" s="28"/>
      <x:c r="F2411" s="28"/>
      <x:c r="G2411" s="28"/>
      <x:c r="H2411" s="28"/>
      <x:c r="I2411" s="28"/>
      <x:c r="J2411" s="28"/>
      <x:c r="K2411" s="28"/>
      <x:c r="L2411" s="28"/>
      <x:c r="M2411" s="28"/>
      <x:c r="N2411" s="28"/>
      <x:c r="O2411" s="28"/>
      <x:c r="P2411" s="28"/>
      <x:c r="Q2411" s="28"/>
      <x:c r="R2411" s="28"/>
      <x:c r="S2411" s="28"/>
      <x:c r="T2411" s="28"/>
      <x:c r="U2411" s="28"/>
      <x:c r="V2411" s="28"/>
      <x:c r="W2411" s="43" t="n">
        <x:f>--AND(N2411=1,OR(O2411="SUPPORTED",O2411="HALLUCINATION"))</x:f>
        <x:v>0</x:v>
      </x:c>
      <x:c r="X2411" s="43" t="n">
        <x:f>--AND(W2411=1,O2411="HALLUCINATION")</x:f>
        <x:v>0</x:v>
      </x:c>
      <x:c r="Y2411" s="43" t="n">
        <x:f>--AND(Q2411=1,O2411="HALLUCINATION")</x:f>
        <x:v>0</x:v>
      </x:c>
      <x:c r="Z2411" s="43" t="n">
        <x:f>--AND(Y2411=1,R2411=1,S2411=1)</x:f>
        <x:v>0</x:v>
      </x:c>
      <x:c r="AC2411" t="str">
        <x:f>IF(OR(AA2411="",AB2411=""),"",--(AA2411&lt;&gt;AB2411))</x:f>
      </x:c>
      <x:c r="AE2411" t="str">
        <x:f>IF(OR(AA2411="",AB2411=""),"PENDING_HUMAN",IF(AA2411=AB2411,AA2411,IF(AD2411&lt;&gt;"",AD2411,"PENDING_HUMAN")))</x:f>
        <x:v>PENDING_HUMAN</x:v>
      </x:c>
      <x:c r="AF2411" t="n">
        <x:f>--AND(A2411&lt;&gt;"",AA2411&lt;&gt;"",AB2411&lt;&gt;"",OR(AA2411=AB2411,AD2411&lt;&gt;""),IF(AE2411="HALLUCINATION",U2411&lt;&gt;"",TRUE))</x:f>
        <x:v>0</x:v>
      </x:c>
      <x:c r="AG2411" t="n">
        <x:f>--AND(N2411=1,AF2411=1,OR(AE2411="SUPPORTED",AE2411="HALLUCINATION"))</x:f>
        <x:v>0</x:v>
      </x:c>
      <x:c r="AH2411" t="n">
        <x:f>--AND(AG2411=1,AE2411="HALLUCINATION")</x:f>
        <x:v>0</x:v>
      </x:c>
      <x:c r="AI2411" t="n">
        <x:f>--AND(Q2411=1,AF2411=1,AE2411="HALLUCINATION")</x:f>
        <x:v>0</x:v>
      </x:c>
      <x:c r="AJ2411" t="n">
        <x:f>--AND(AI2411=1,R2411=1,S2411=1)</x:f>
        <x:v>0</x:v>
      </x:c>
    </x:row>
    <x:row r="2412">
      <x:c r="A2412" s="28"/>
      <x:c r="B2412" s="28"/>
      <x:c r="C2412" s="28"/>
      <x:c r="D2412" s="28"/>
      <x:c r="E2412" s="28"/>
      <x:c r="F2412" s="28"/>
      <x:c r="G2412" s="28"/>
      <x:c r="H2412" s="28"/>
      <x:c r="I2412" s="28"/>
      <x:c r="J2412" s="28"/>
      <x:c r="K2412" s="28"/>
      <x:c r="L2412" s="28"/>
      <x:c r="M2412" s="28"/>
      <x:c r="N2412" s="28"/>
      <x:c r="O2412" s="28"/>
      <x:c r="P2412" s="28"/>
      <x:c r="Q2412" s="28"/>
      <x:c r="R2412" s="28"/>
      <x:c r="S2412" s="28"/>
      <x:c r="T2412" s="28"/>
      <x:c r="U2412" s="28"/>
      <x:c r="V2412" s="28"/>
      <x:c r="W2412" s="43" t="n">
        <x:f>--AND(N2412=1,OR(O2412="SUPPORTED",O2412="HALLUCINATION"))</x:f>
        <x:v>0</x:v>
      </x:c>
      <x:c r="X2412" s="43" t="n">
        <x:f>--AND(W2412=1,O2412="HALLUCINATION")</x:f>
        <x:v>0</x:v>
      </x:c>
      <x:c r="Y2412" s="43" t="n">
        <x:f>--AND(Q2412=1,O2412="HALLUCINATION")</x:f>
        <x:v>0</x:v>
      </x:c>
      <x:c r="Z2412" s="43" t="n">
        <x:f>--AND(Y2412=1,R2412=1,S2412=1)</x:f>
        <x:v>0</x:v>
      </x:c>
      <x:c r="AC2412" t="str">
        <x:f>IF(OR(AA2412="",AB2412=""),"",--(AA2412&lt;&gt;AB2412))</x:f>
      </x:c>
      <x:c r="AE2412" t="str">
        <x:f>IF(OR(AA2412="",AB2412=""),"PENDING_HUMAN",IF(AA2412=AB2412,AA2412,IF(AD2412&lt;&gt;"",AD2412,"PENDING_HUMAN")))</x:f>
        <x:v>PENDING_HUMAN</x:v>
      </x:c>
      <x:c r="AF2412" t="n">
        <x:f>--AND(A2412&lt;&gt;"",AA2412&lt;&gt;"",AB2412&lt;&gt;"",OR(AA2412=AB2412,AD2412&lt;&gt;""),IF(AE2412="HALLUCINATION",U2412&lt;&gt;"",TRUE))</x:f>
        <x:v>0</x:v>
      </x:c>
      <x:c r="AG2412" t="n">
        <x:f>--AND(N2412=1,AF2412=1,OR(AE2412="SUPPORTED",AE2412="HALLUCINATION"))</x:f>
        <x:v>0</x:v>
      </x:c>
      <x:c r="AH2412" t="n">
        <x:f>--AND(AG2412=1,AE2412="HALLUCINATION")</x:f>
        <x:v>0</x:v>
      </x:c>
      <x:c r="AI2412" t="n">
        <x:f>--AND(Q2412=1,AF2412=1,AE2412="HALLUCINATION")</x:f>
        <x:v>0</x:v>
      </x:c>
      <x:c r="AJ2412" t="n">
        <x:f>--AND(AI2412=1,R2412=1,S2412=1)</x:f>
        <x:v>0</x:v>
      </x:c>
    </x:row>
    <x:row r="2413">
      <x:c r="A2413" s="28"/>
      <x:c r="B2413" s="28"/>
      <x:c r="C2413" s="28"/>
      <x:c r="D2413" s="28"/>
      <x:c r="E2413" s="28"/>
      <x:c r="F2413" s="28"/>
      <x:c r="G2413" s="28"/>
      <x:c r="H2413" s="28"/>
      <x:c r="I2413" s="28"/>
      <x:c r="J2413" s="28"/>
      <x:c r="K2413" s="28"/>
      <x:c r="L2413" s="28"/>
      <x:c r="M2413" s="28"/>
      <x:c r="N2413" s="28"/>
      <x:c r="O2413" s="28"/>
      <x:c r="P2413" s="28"/>
      <x:c r="Q2413" s="28"/>
      <x:c r="R2413" s="28"/>
      <x:c r="S2413" s="28"/>
      <x:c r="T2413" s="28"/>
      <x:c r="U2413" s="28"/>
      <x:c r="V2413" s="28"/>
      <x:c r="W2413" s="43" t="n">
        <x:f>--AND(N2413=1,OR(O2413="SUPPORTED",O2413="HALLUCINATION"))</x:f>
        <x:v>0</x:v>
      </x:c>
      <x:c r="X2413" s="43" t="n">
        <x:f>--AND(W2413=1,O2413="HALLUCINATION")</x:f>
        <x:v>0</x:v>
      </x:c>
      <x:c r="Y2413" s="43" t="n">
        <x:f>--AND(Q2413=1,O2413="HALLUCINATION")</x:f>
        <x:v>0</x:v>
      </x:c>
      <x:c r="Z2413" s="43" t="n">
        <x:f>--AND(Y2413=1,R2413=1,S2413=1)</x:f>
        <x:v>0</x:v>
      </x:c>
      <x:c r="AC2413" t="str">
        <x:f>IF(OR(AA2413="",AB2413=""),"",--(AA2413&lt;&gt;AB2413))</x:f>
      </x:c>
      <x:c r="AE2413" t="str">
        <x:f>IF(OR(AA2413="",AB2413=""),"PENDING_HUMAN",IF(AA2413=AB2413,AA2413,IF(AD2413&lt;&gt;"",AD2413,"PENDING_HUMAN")))</x:f>
        <x:v>PENDING_HUMAN</x:v>
      </x:c>
      <x:c r="AF2413" t="n">
        <x:f>--AND(A2413&lt;&gt;"",AA2413&lt;&gt;"",AB2413&lt;&gt;"",OR(AA2413=AB2413,AD2413&lt;&gt;""),IF(AE2413="HALLUCINATION",U2413&lt;&gt;"",TRUE))</x:f>
        <x:v>0</x:v>
      </x:c>
      <x:c r="AG2413" t="n">
        <x:f>--AND(N2413=1,AF2413=1,OR(AE2413="SUPPORTED",AE2413="HALLUCINATION"))</x:f>
        <x:v>0</x:v>
      </x:c>
      <x:c r="AH2413" t="n">
        <x:f>--AND(AG2413=1,AE2413="HALLUCINATION")</x:f>
        <x:v>0</x:v>
      </x:c>
      <x:c r="AI2413" t="n">
        <x:f>--AND(Q2413=1,AF2413=1,AE2413="HALLUCINATION")</x:f>
        <x:v>0</x:v>
      </x:c>
      <x:c r="AJ2413" t="n">
        <x:f>--AND(AI2413=1,R2413=1,S2413=1)</x:f>
        <x:v>0</x:v>
      </x:c>
    </x:row>
    <x:row r="2414">
      <x:c r="A2414" s="28"/>
      <x:c r="B2414" s="28"/>
      <x:c r="C2414" s="28"/>
      <x:c r="D2414" s="28"/>
      <x:c r="E2414" s="28"/>
      <x:c r="F2414" s="28"/>
      <x:c r="G2414" s="28"/>
      <x:c r="H2414" s="28"/>
      <x:c r="I2414" s="28"/>
      <x:c r="J2414" s="28"/>
      <x:c r="K2414" s="28"/>
      <x:c r="L2414" s="28"/>
      <x:c r="M2414" s="28"/>
      <x:c r="N2414" s="28"/>
      <x:c r="O2414" s="28"/>
      <x:c r="P2414" s="28"/>
      <x:c r="Q2414" s="28"/>
      <x:c r="R2414" s="28"/>
      <x:c r="S2414" s="28"/>
      <x:c r="T2414" s="28"/>
      <x:c r="U2414" s="28"/>
      <x:c r="V2414" s="28"/>
      <x:c r="W2414" s="43" t="n">
        <x:f>--AND(N2414=1,OR(O2414="SUPPORTED",O2414="HALLUCINATION"))</x:f>
        <x:v>0</x:v>
      </x:c>
      <x:c r="X2414" s="43" t="n">
        <x:f>--AND(W2414=1,O2414="HALLUCINATION")</x:f>
        <x:v>0</x:v>
      </x:c>
      <x:c r="Y2414" s="43" t="n">
        <x:f>--AND(Q2414=1,O2414="HALLUCINATION")</x:f>
        <x:v>0</x:v>
      </x:c>
      <x:c r="Z2414" s="43" t="n">
        <x:f>--AND(Y2414=1,R2414=1,S2414=1)</x:f>
        <x:v>0</x:v>
      </x:c>
      <x:c r="AC2414" t="str">
        <x:f>IF(OR(AA2414="",AB2414=""),"",--(AA2414&lt;&gt;AB2414))</x:f>
      </x:c>
      <x:c r="AE2414" t="str">
        <x:f>IF(OR(AA2414="",AB2414=""),"PENDING_HUMAN",IF(AA2414=AB2414,AA2414,IF(AD2414&lt;&gt;"",AD2414,"PENDING_HUMAN")))</x:f>
        <x:v>PENDING_HUMAN</x:v>
      </x:c>
      <x:c r="AF2414" t="n">
        <x:f>--AND(A2414&lt;&gt;"",AA2414&lt;&gt;"",AB2414&lt;&gt;"",OR(AA2414=AB2414,AD2414&lt;&gt;""),IF(AE2414="HALLUCINATION",U2414&lt;&gt;"",TRUE))</x:f>
        <x:v>0</x:v>
      </x:c>
      <x:c r="AG2414" t="n">
        <x:f>--AND(N2414=1,AF2414=1,OR(AE2414="SUPPORTED",AE2414="HALLUCINATION"))</x:f>
        <x:v>0</x:v>
      </x:c>
      <x:c r="AH2414" t="n">
        <x:f>--AND(AG2414=1,AE2414="HALLUCINATION")</x:f>
        <x:v>0</x:v>
      </x:c>
      <x:c r="AI2414" t="n">
        <x:f>--AND(Q2414=1,AF2414=1,AE2414="HALLUCINATION")</x:f>
        <x:v>0</x:v>
      </x:c>
      <x:c r="AJ2414" t="n">
        <x:f>--AND(AI2414=1,R2414=1,S2414=1)</x:f>
        <x:v>0</x:v>
      </x:c>
    </x:row>
    <x:row r="2415">
      <x:c r="A2415" s="28"/>
      <x:c r="B2415" s="28"/>
      <x:c r="C2415" s="28"/>
      <x:c r="D2415" s="28"/>
      <x:c r="E2415" s="28"/>
      <x:c r="F2415" s="28"/>
      <x:c r="G2415" s="28"/>
      <x:c r="H2415" s="28"/>
      <x:c r="I2415" s="28"/>
      <x:c r="J2415" s="28"/>
      <x:c r="K2415" s="28"/>
      <x:c r="L2415" s="28"/>
      <x:c r="M2415" s="28"/>
      <x:c r="N2415" s="28"/>
      <x:c r="O2415" s="28"/>
      <x:c r="P2415" s="28"/>
      <x:c r="Q2415" s="28"/>
      <x:c r="R2415" s="28"/>
      <x:c r="S2415" s="28"/>
      <x:c r="T2415" s="28"/>
      <x:c r="U2415" s="28"/>
      <x:c r="V2415" s="28"/>
      <x:c r="W2415" s="43" t="n">
        <x:f>--AND(N2415=1,OR(O2415="SUPPORTED",O2415="HALLUCINATION"))</x:f>
        <x:v>0</x:v>
      </x:c>
      <x:c r="X2415" s="43" t="n">
        <x:f>--AND(W2415=1,O2415="HALLUCINATION")</x:f>
        <x:v>0</x:v>
      </x:c>
      <x:c r="Y2415" s="43" t="n">
        <x:f>--AND(Q2415=1,O2415="HALLUCINATION")</x:f>
        <x:v>0</x:v>
      </x:c>
      <x:c r="Z2415" s="43" t="n">
        <x:f>--AND(Y2415=1,R2415=1,S2415=1)</x:f>
        <x:v>0</x:v>
      </x:c>
      <x:c r="AC2415" t="str">
        <x:f>IF(OR(AA2415="",AB2415=""),"",--(AA2415&lt;&gt;AB2415))</x:f>
      </x:c>
      <x:c r="AE2415" t="str">
        <x:f>IF(OR(AA2415="",AB2415=""),"PENDING_HUMAN",IF(AA2415=AB2415,AA2415,IF(AD2415&lt;&gt;"",AD2415,"PENDING_HUMAN")))</x:f>
        <x:v>PENDING_HUMAN</x:v>
      </x:c>
      <x:c r="AF2415" t="n">
        <x:f>--AND(A2415&lt;&gt;"",AA2415&lt;&gt;"",AB2415&lt;&gt;"",OR(AA2415=AB2415,AD2415&lt;&gt;""),IF(AE2415="HALLUCINATION",U2415&lt;&gt;"",TRUE))</x:f>
        <x:v>0</x:v>
      </x:c>
      <x:c r="AG2415" t="n">
        <x:f>--AND(N2415=1,AF2415=1,OR(AE2415="SUPPORTED",AE2415="HALLUCINATION"))</x:f>
        <x:v>0</x:v>
      </x:c>
      <x:c r="AH2415" t="n">
        <x:f>--AND(AG2415=1,AE2415="HALLUCINATION")</x:f>
        <x:v>0</x:v>
      </x:c>
      <x:c r="AI2415" t="n">
        <x:f>--AND(Q2415=1,AF2415=1,AE2415="HALLUCINATION")</x:f>
        <x:v>0</x:v>
      </x:c>
      <x:c r="AJ2415" t="n">
        <x:f>--AND(AI2415=1,R2415=1,S2415=1)</x:f>
        <x:v>0</x:v>
      </x:c>
    </x:row>
    <x:row r="2416">
      <x:c r="A2416" s="28"/>
      <x:c r="B2416" s="28"/>
      <x:c r="C2416" s="28"/>
      <x:c r="D2416" s="28"/>
      <x:c r="E2416" s="28"/>
      <x:c r="F2416" s="28"/>
      <x:c r="G2416" s="28"/>
      <x:c r="H2416" s="28"/>
      <x:c r="I2416" s="28"/>
      <x:c r="J2416" s="28"/>
      <x:c r="K2416" s="28"/>
      <x:c r="L2416" s="28"/>
      <x:c r="M2416" s="28"/>
      <x:c r="N2416" s="28"/>
      <x:c r="O2416" s="28"/>
      <x:c r="P2416" s="28"/>
      <x:c r="Q2416" s="28"/>
      <x:c r="R2416" s="28"/>
      <x:c r="S2416" s="28"/>
      <x:c r="T2416" s="28"/>
      <x:c r="U2416" s="28"/>
      <x:c r="V2416" s="28"/>
      <x:c r="W2416" s="43" t="n">
        <x:f>--AND(N2416=1,OR(O2416="SUPPORTED",O2416="HALLUCINATION"))</x:f>
        <x:v>0</x:v>
      </x:c>
      <x:c r="X2416" s="43" t="n">
        <x:f>--AND(W2416=1,O2416="HALLUCINATION")</x:f>
        <x:v>0</x:v>
      </x:c>
      <x:c r="Y2416" s="43" t="n">
        <x:f>--AND(Q2416=1,O2416="HALLUCINATION")</x:f>
        <x:v>0</x:v>
      </x:c>
      <x:c r="Z2416" s="43" t="n">
        <x:f>--AND(Y2416=1,R2416=1,S2416=1)</x:f>
        <x:v>0</x:v>
      </x:c>
      <x:c r="AC2416" t="str">
        <x:f>IF(OR(AA2416="",AB2416=""),"",--(AA2416&lt;&gt;AB2416))</x:f>
      </x:c>
      <x:c r="AE2416" t="str">
        <x:f>IF(OR(AA2416="",AB2416=""),"PENDING_HUMAN",IF(AA2416=AB2416,AA2416,IF(AD2416&lt;&gt;"",AD2416,"PENDING_HUMAN")))</x:f>
        <x:v>PENDING_HUMAN</x:v>
      </x:c>
      <x:c r="AF2416" t="n">
        <x:f>--AND(A2416&lt;&gt;"",AA2416&lt;&gt;"",AB2416&lt;&gt;"",OR(AA2416=AB2416,AD2416&lt;&gt;""),IF(AE2416="HALLUCINATION",U2416&lt;&gt;"",TRUE))</x:f>
        <x:v>0</x:v>
      </x:c>
      <x:c r="AG2416" t="n">
        <x:f>--AND(N2416=1,AF2416=1,OR(AE2416="SUPPORTED",AE2416="HALLUCINATION"))</x:f>
        <x:v>0</x:v>
      </x:c>
      <x:c r="AH2416" t="n">
        <x:f>--AND(AG2416=1,AE2416="HALLUCINATION")</x:f>
        <x:v>0</x:v>
      </x:c>
      <x:c r="AI2416" t="n">
        <x:f>--AND(Q2416=1,AF2416=1,AE2416="HALLUCINATION")</x:f>
        <x:v>0</x:v>
      </x:c>
      <x:c r="AJ2416" t="n">
        <x:f>--AND(AI2416=1,R2416=1,S2416=1)</x:f>
        <x:v>0</x:v>
      </x:c>
    </x:row>
    <x:row r="2417">
      <x:c r="A2417" s="28"/>
      <x:c r="B2417" s="28"/>
      <x:c r="C2417" s="28"/>
      <x:c r="D2417" s="28"/>
      <x:c r="E2417" s="28"/>
      <x:c r="F2417" s="28"/>
      <x:c r="G2417" s="28"/>
      <x:c r="H2417" s="28"/>
      <x:c r="I2417" s="28"/>
      <x:c r="J2417" s="28"/>
      <x:c r="K2417" s="28"/>
      <x:c r="L2417" s="28"/>
      <x:c r="M2417" s="28"/>
      <x:c r="N2417" s="28"/>
      <x:c r="O2417" s="28"/>
      <x:c r="P2417" s="28"/>
      <x:c r="Q2417" s="28"/>
      <x:c r="R2417" s="28"/>
      <x:c r="S2417" s="28"/>
      <x:c r="T2417" s="28"/>
      <x:c r="U2417" s="28"/>
      <x:c r="V2417" s="28"/>
      <x:c r="W2417" s="43" t="n">
        <x:f>--AND(N2417=1,OR(O2417="SUPPORTED",O2417="HALLUCINATION"))</x:f>
        <x:v>0</x:v>
      </x:c>
      <x:c r="X2417" s="43" t="n">
        <x:f>--AND(W2417=1,O2417="HALLUCINATION")</x:f>
        <x:v>0</x:v>
      </x:c>
      <x:c r="Y2417" s="43" t="n">
        <x:f>--AND(Q2417=1,O2417="HALLUCINATION")</x:f>
        <x:v>0</x:v>
      </x:c>
      <x:c r="Z2417" s="43" t="n">
        <x:f>--AND(Y2417=1,R2417=1,S2417=1)</x:f>
        <x:v>0</x:v>
      </x:c>
      <x:c r="AC2417" t="str">
        <x:f>IF(OR(AA2417="",AB2417=""),"",--(AA2417&lt;&gt;AB2417))</x:f>
      </x:c>
      <x:c r="AE2417" t="str">
        <x:f>IF(OR(AA2417="",AB2417=""),"PENDING_HUMAN",IF(AA2417=AB2417,AA2417,IF(AD2417&lt;&gt;"",AD2417,"PENDING_HUMAN")))</x:f>
        <x:v>PENDING_HUMAN</x:v>
      </x:c>
      <x:c r="AF2417" t="n">
        <x:f>--AND(A2417&lt;&gt;"",AA2417&lt;&gt;"",AB2417&lt;&gt;"",OR(AA2417=AB2417,AD2417&lt;&gt;""),IF(AE2417="HALLUCINATION",U2417&lt;&gt;"",TRUE))</x:f>
        <x:v>0</x:v>
      </x:c>
      <x:c r="AG2417" t="n">
        <x:f>--AND(N2417=1,AF2417=1,OR(AE2417="SUPPORTED",AE2417="HALLUCINATION"))</x:f>
        <x:v>0</x:v>
      </x:c>
      <x:c r="AH2417" t="n">
        <x:f>--AND(AG2417=1,AE2417="HALLUCINATION")</x:f>
        <x:v>0</x:v>
      </x:c>
      <x:c r="AI2417" t="n">
        <x:f>--AND(Q2417=1,AF2417=1,AE2417="HALLUCINATION")</x:f>
        <x:v>0</x:v>
      </x:c>
      <x:c r="AJ2417" t="n">
        <x:f>--AND(AI2417=1,R2417=1,S2417=1)</x:f>
        <x:v>0</x:v>
      </x:c>
    </x:row>
    <x:row r="2418">
      <x:c r="A2418" s="28"/>
      <x:c r="B2418" s="28"/>
      <x:c r="C2418" s="28"/>
      <x:c r="D2418" s="28"/>
      <x:c r="E2418" s="28"/>
      <x:c r="F2418" s="28"/>
      <x:c r="G2418" s="28"/>
      <x:c r="H2418" s="28"/>
      <x:c r="I2418" s="28"/>
      <x:c r="J2418" s="28"/>
      <x:c r="K2418" s="28"/>
      <x:c r="L2418" s="28"/>
      <x:c r="M2418" s="28"/>
      <x:c r="N2418" s="28"/>
      <x:c r="O2418" s="28"/>
      <x:c r="P2418" s="28"/>
      <x:c r="Q2418" s="28"/>
      <x:c r="R2418" s="28"/>
      <x:c r="S2418" s="28"/>
      <x:c r="T2418" s="28"/>
      <x:c r="U2418" s="28"/>
      <x:c r="V2418" s="28"/>
      <x:c r="W2418" s="43" t="n">
        <x:f>--AND(N2418=1,OR(O2418="SUPPORTED",O2418="HALLUCINATION"))</x:f>
        <x:v>0</x:v>
      </x:c>
      <x:c r="X2418" s="43" t="n">
        <x:f>--AND(W2418=1,O2418="HALLUCINATION")</x:f>
        <x:v>0</x:v>
      </x:c>
      <x:c r="Y2418" s="43" t="n">
        <x:f>--AND(Q2418=1,O2418="HALLUCINATION")</x:f>
        <x:v>0</x:v>
      </x:c>
      <x:c r="Z2418" s="43" t="n">
        <x:f>--AND(Y2418=1,R2418=1,S2418=1)</x:f>
        <x:v>0</x:v>
      </x:c>
      <x:c r="AC2418" t="str">
        <x:f>IF(OR(AA2418="",AB2418=""),"",--(AA2418&lt;&gt;AB2418))</x:f>
      </x:c>
      <x:c r="AE2418" t="str">
        <x:f>IF(OR(AA2418="",AB2418=""),"PENDING_HUMAN",IF(AA2418=AB2418,AA2418,IF(AD2418&lt;&gt;"",AD2418,"PENDING_HUMAN")))</x:f>
        <x:v>PENDING_HUMAN</x:v>
      </x:c>
      <x:c r="AF2418" t="n">
        <x:f>--AND(A2418&lt;&gt;"",AA2418&lt;&gt;"",AB2418&lt;&gt;"",OR(AA2418=AB2418,AD2418&lt;&gt;""),IF(AE2418="HALLUCINATION",U2418&lt;&gt;"",TRUE))</x:f>
        <x:v>0</x:v>
      </x:c>
      <x:c r="AG2418" t="n">
        <x:f>--AND(N2418=1,AF2418=1,OR(AE2418="SUPPORTED",AE2418="HALLUCINATION"))</x:f>
        <x:v>0</x:v>
      </x:c>
      <x:c r="AH2418" t="n">
        <x:f>--AND(AG2418=1,AE2418="HALLUCINATION")</x:f>
        <x:v>0</x:v>
      </x:c>
      <x:c r="AI2418" t="n">
        <x:f>--AND(Q2418=1,AF2418=1,AE2418="HALLUCINATION")</x:f>
        <x:v>0</x:v>
      </x:c>
      <x:c r="AJ2418" t="n">
        <x:f>--AND(AI2418=1,R2418=1,S2418=1)</x:f>
        <x:v>0</x:v>
      </x:c>
    </x:row>
    <x:row r="2419">
      <x:c r="A2419" s="28"/>
      <x:c r="B2419" s="28"/>
      <x:c r="C2419" s="28"/>
      <x:c r="D2419" s="28"/>
      <x:c r="E2419" s="28"/>
      <x:c r="F2419" s="28"/>
      <x:c r="G2419" s="28"/>
      <x:c r="H2419" s="28"/>
      <x:c r="I2419" s="28"/>
      <x:c r="J2419" s="28"/>
      <x:c r="K2419" s="28"/>
      <x:c r="L2419" s="28"/>
      <x:c r="M2419" s="28"/>
      <x:c r="N2419" s="28"/>
      <x:c r="O2419" s="28"/>
      <x:c r="P2419" s="28"/>
      <x:c r="Q2419" s="28"/>
      <x:c r="R2419" s="28"/>
      <x:c r="S2419" s="28"/>
      <x:c r="T2419" s="28"/>
      <x:c r="U2419" s="28"/>
      <x:c r="V2419" s="28"/>
      <x:c r="W2419" s="43" t="n">
        <x:f>--AND(N2419=1,OR(O2419="SUPPORTED",O2419="HALLUCINATION"))</x:f>
        <x:v>0</x:v>
      </x:c>
      <x:c r="X2419" s="43" t="n">
        <x:f>--AND(W2419=1,O2419="HALLUCINATION")</x:f>
        <x:v>0</x:v>
      </x:c>
      <x:c r="Y2419" s="43" t="n">
        <x:f>--AND(Q2419=1,O2419="HALLUCINATION")</x:f>
        <x:v>0</x:v>
      </x:c>
      <x:c r="Z2419" s="43" t="n">
        <x:f>--AND(Y2419=1,R2419=1,S2419=1)</x:f>
        <x:v>0</x:v>
      </x:c>
      <x:c r="AC2419" t="str">
        <x:f>IF(OR(AA2419="",AB2419=""),"",--(AA2419&lt;&gt;AB2419))</x:f>
      </x:c>
      <x:c r="AE2419" t="str">
        <x:f>IF(OR(AA2419="",AB2419=""),"PENDING_HUMAN",IF(AA2419=AB2419,AA2419,IF(AD2419&lt;&gt;"",AD2419,"PENDING_HUMAN")))</x:f>
        <x:v>PENDING_HUMAN</x:v>
      </x:c>
      <x:c r="AF2419" t="n">
        <x:f>--AND(A2419&lt;&gt;"",AA2419&lt;&gt;"",AB2419&lt;&gt;"",OR(AA2419=AB2419,AD2419&lt;&gt;""),IF(AE2419="HALLUCINATION",U2419&lt;&gt;"",TRUE))</x:f>
        <x:v>0</x:v>
      </x:c>
      <x:c r="AG2419" t="n">
        <x:f>--AND(N2419=1,AF2419=1,OR(AE2419="SUPPORTED",AE2419="HALLUCINATION"))</x:f>
        <x:v>0</x:v>
      </x:c>
      <x:c r="AH2419" t="n">
        <x:f>--AND(AG2419=1,AE2419="HALLUCINATION")</x:f>
        <x:v>0</x:v>
      </x:c>
      <x:c r="AI2419" t="n">
        <x:f>--AND(Q2419=1,AF2419=1,AE2419="HALLUCINATION")</x:f>
        <x:v>0</x:v>
      </x:c>
      <x:c r="AJ2419" t="n">
        <x:f>--AND(AI2419=1,R2419=1,S2419=1)</x:f>
        <x:v>0</x:v>
      </x:c>
    </x:row>
    <x:row r="2420">
      <x:c r="A2420" s="28"/>
      <x:c r="B2420" s="28"/>
      <x:c r="C2420" s="28"/>
      <x:c r="D2420" s="28"/>
      <x:c r="E2420" s="28"/>
      <x:c r="F2420" s="28"/>
      <x:c r="G2420" s="28"/>
      <x:c r="H2420" s="28"/>
      <x:c r="I2420" s="28"/>
      <x:c r="J2420" s="28"/>
      <x:c r="K2420" s="28"/>
      <x:c r="L2420" s="28"/>
      <x:c r="M2420" s="28"/>
      <x:c r="N2420" s="28"/>
      <x:c r="O2420" s="28"/>
      <x:c r="P2420" s="28"/>
      <x:c r="Q2420" s="28"/>
      <x:c r="R2420" s="28"/>
      <x:c r="S2420" s="28"/>
      <x:c r="T2420" s="28"/>
      <x:c r="U2420" s="28"/>
      <x:c r="V2420" s="28"/>
      <x:c r="W2420" s="43" t="n">
        <x:f>--AND(N2420=1,OR(O2420="SUPPORTED",O2420="HALLUCINATION"))</x:f>
        <x:v>0</x:v>
      </x:c>
      <x:c r="X2420" s="43" t="n">
        <x:f>--AND(W2420=1,O2420="HALLUCINATION")</x:f>
        <x:v>0</x:v>
      </x:c>
      <x:c r="Y2420" s="43" t="n">
        <x:f>--AND(Q2420=1,O2420="HALLUCINATION")</x:f>
        <x:v>0</x:v>
      </x:c>
      <x:c r="Z2420" s="43" t="n">
        <x:f>--AND(Y2420=1,R2420=1,S2420=1)</x:f>
        <x:v>0</x:v>
      </x:c>
      <x:c r="AC2420" t="str">
        <x:f>IF(OR(AA2420="",AB2420=""),"",--(AA2420&lt;&gt;AB2420))</x:f>
      </x:c>
      <x:c r="AE2420" t="str">
        <x:f>IF(OR(AA2420="",AB2420=""),"PENDING_HUMAN",IF(AA2420=AB2420,AA2420,IF(AD2420&lt;&gt;"",AD2420,"PENDING_HUMAN")))</x:f>
        <x:v>PENDING_HUMAN</x:v>
      </x:c>
      <x:c r="AF2420" t="n">
        <x:f>--AND(A2420&lt;&gt;"",AA2420&lt;&gt;"",AB2420&lt;&gt;"",OR(AA2420=AB2420,AD2420&lt;&gt;""),IF(AE2420="HALLUCINATION",U2420&lt;&gt;"",TRUE))</x:f>
        <x:v>0</x:v>
      </x:c>
      <x:c r="AG2420" t="n">
        <x:f>--AND(N2420=1,AF2420=1,OR(AE2420="SUPPORTED",AE2420="HALLUCINATION"))</x:f>
        <x:v>0</x:v>
      </x:c>
      <x:c r="AH2420" t="n">
        <x:f>--AND(AG2420=1,AE2420="HALLUCINATION")</x:f>
        <x:v>0</x:v>
      </x:c>
      <x:c r="AI2420" t="n">
        <x:f>--AND(Q2420=1,AF2420=1,AE2420="HALLUCINATION")</x:f>
        <x:v>0</x:v>
      </x:c>
      <x:c r="AJ2420" t="n">
        <x:f>--AND(AI2420=1,R2420=1,S2420=1)</x:f>
        <x:v>0</x:v>
      </x:c>
    </x:row>
    <x:row r="2421">
      <x:c r="A2421" s="28"/>
      <x:c r="B2421" s="28"/>
      <x:c r="C2421" s="28"/>
      <x:c r="D2421" s="28"/>
      <x:c r="E2421" s="28"/>
      <x:c r="F2421" s="28"/>
      <x:c r="G2421" s="28"/>
      <x:c r="H2421" s="28"/>
      <x:c r="I2421" s="28"/>
      <x:c r="J2421" s="28"/>
      <x:c r="K2421" s="28"/>
      <x:c r="L2421" s="28"/>
      <x:c r="M2421" s="28"/>
      <x:c r="N2421" s="28"/>
      <x:c r="O2421" s="28"/>
      <x:c r="P2421" s="28"/>
      <x:c r="Q2421" s="28"/>
      <x:c r="R2421" s="28"/>
      <x:c r="S2421" s="28"/>
      <x:c r="T2421" s="28"/>
      <x:c r="U2421" s="28"/>
      <x:c r="V2421" s="28"/>
      <x:c r="W2421" s="43" t="n">
        <x:f>--AND(N2421=1,OR(O2421="SUPPORTED",O2421="HALLUCINATION"))</x:f>
        <x:v>0</x:v>
      </x:c>
      <x:c r="X2421" s="43" t="n">
        <x:f>--AND(W2421=1,O2421="HALLUCINATION")</x:f>
        <x:v>0</x:v>
      </x:c>
      <x:c r="Y2421" s="43" t="n">
        <x:f>--AND(Q2421=1,O2421="HALLUCINATION")</x:f>
        <x:v>0</x:v>
      </x:c>
      <x:c r="Z2421" s="43" t="n">
        <x:f>--AND(Y2421=1,R2421=1,S2421=1)</x:f>
        <x:v>0</x:v>
      </x:c>
      <x:c r="AC2421" t="str">
        <x:f>IF(OR(AA2421="",AB2421=""),"",--(AA2421&lt;&gt;AB2421))</x:f>
      </x:c>
      <x:c r="AE2421" t="str">
        <x:f>IF(OR(AA2421="",AB2421=""),"PENDING_HUMAN",IF(AA2421=AB2421,AA2421,IF(AD2421&lt;&gt;"",AD2421,"PENDING_HUMAN")))</x:f>
        <x:v>PENDING_HUMAN</x:v>
      </x:c>
      <x:c r="AF2421" t="n">
        <x:f>--AND(A2421&lt;&gt;"",AA2421&lt;&gt;"",AB2421&lt;&gt;"",OR(AA2421=AB2421,AD2421&lt;&gt;""),IF(AE2421="HALLUCINATION",U2421&lt;&gt;"",TRUE))</x:f>
        <x:v>0</x:v>
      </x:c>
      <x:c r="AG2421" t="n">
        <x:f>--AND(N2421=1,AF2421=1,OR(AE2421="SUPPORTED",AE2421="HALLUCINATION"))</x:f>
        <x:v>0</x:v>
      </x:c>
      <x:c r="AH2421" t="n">
        <x:f>--AND(AG2421=1,AE2421="HALLUCINATION")</x:f>
        <x:v>0</x:v>
      </x:c>
      <x:c r="AI2421" t="n">
        <x:f>--AND(Q2421=1,AF2421=1,AE2421="HALLUCINATION")</x:f>
        <x:v>0</x:v>
      </x:c>
      <x:c r="AJ2421" t="n">
        <x:f>--AND(AI2421=1,R2421=1,S2421=1)</x:f>
        <x:v>0</x:v>
      </x:c>
    </x:row>
    <x:row r="2422">
      <x:c r="A2422" s="28"/>
      <x:c r="B2422" s="28"/>
      <x:c r="C2422" s="28"/>
      <x:c r="D2422" s="28"/>
      <x:c r="E2422" s="28"/>
      <x:c r="F2422" s="28"/>
      <x:c r="G2422" s="28"/>
      <x:c r="H2422" s="28"/>
      <x:c r="I2422" s="28"/>
      <x:c r="J2422" s="28"/>
      <x:c r="K2422" s="28"/>
      <x:c r="L2422" s="28"/>
      <x:c r="M2422" s="28"/>
      <x:c r="N2422" s="28"/>
      <x:c r="O2422" s="28"/>
      <x:c r="P2422" s="28"/>
      <x:c r="Q2422" s="28"/>
      <x:c r="R2422" s="28"/>
      <x:c r="S2422" s="28"/>
      <x:c r="T2422" s="28"/>
      <x:c r="U2422" s="28"/>
      <x:c r="V2422" s="28"/>
      <x:c r="W2422" s="43" t="n">
        <x:f>--AND(N2422=1,OR(O2422="SUPPORTED",O2422="HALLUCINATION"))</x:f>
        <x:v>0</x:v>
      </x:c>
      <x:c r="X2422" s="43" t="n">
        <x:f>--AND(W2422=1,O2422="HALLUCINATION")</x:f>
        <x:v>0</x:v>
      </x:c>
      <x:c r="Y2422" s="43" t="n">
        <x:f>--AND(Q2422=1,O2422="HALLUCINATION")</x:f>
        <x:v>0</x:v>
      </x:c>
      <x:c r="Z2422" s="43" t="n">
        <x:f>--AND(Y2422=1,R2422=1,S2422=1)</x:f>
        <x:v>0</x:v>
      </x:c>
      <x:c r="AC2422" t="str">
        <x:f>IF(OR(AA2422="",AB2422=""),"",--(AA2422&lt;&gt;AB2422))</x:f>
      </x:c>
      <x:c r="AE2422" t="str">
        <x:f>IF(OR(AA2422="",AB2422=""),"PENDING_HUMAN",IF(AA2422=AB2422,AA2422,IF(AD2422&lt;&gt;"",AD2422,"PENDING_HUMAN")))</x:f>
        <x:v>PENDING_HUMAN</x:v>
      </x:c>
      <x:c r="AF2422" t="n">
        <x:f>--AND(A2422&lt;&gt;"",AA2422&lt;&gt;"",AB2422&lt;&gt;"",OR(AA2422=AB2422,AD2422&lt;&gt;""),IF(AE2422="HALLUCINATION",U2422&lt;&gt;"",TRUE))</x:f>
        <x:v>0</x:v>
      </x:c>
      <x:c r="AG2422" t="n">
        <x:f>--AND(N2422=1,AF2422=1,OR(AE2422="SUPPORTED",AE2422="HALLUCINATION"))</x:f>
        <x:v>0</x:v>
      </x:c>
      <x:c r="AH2422" t="n">
        <x:f>--AND(AG2422=1,AE2422="HALLUCINATION")</x:f>
        <x:v>0</x:v>
      </x:c>
      <x:c r="AI2422" t="n">
        <x:f>--AND(Q2422=1,AF2422=1,AE2422="HALLUCINATION")</x:f>
        <x:v>0</x:v>
      </x:c>
      <x:c r="AJ2422" t="n">
        <x:f>--AND(AI2422=1,R2422=1,S2422=1)</x:f>
        <x:v>0</x:v>
      </x:c>
    </x:row>
    <x:row r="2423">
      <x:c r="A2423" s="28"/>
      <x:c r="B2423" s="28"/>
      <x:c r="C2423" s="28"/>
      <x:c r="D2423" s="28"/>
      <x:c r="E2423" s="28"/>
      <x:c r="F2423" s="28"/>
      <x:c r="G2423" s="28"/>
      <x:c r="H2423" s="28"/>
      <x:c r="I2423" s="28"/>
      <x:c r="J2423" s="28"/>
      <x:c r="K2423" s="28"/>
      <x:c r="L2423" s="28"/>
      <x:c r="M2423" s="28"/>
      <x:c r="N2423" s="28"/>
      <x:c r="O2423" s="28"/>
      <x:c r="P2423" s="28"/>
      <x:c r="Q2423" s="28"/>
      <x:c r="R2423" s="28"/>
      <x:c r="S2423" s="28"/>
      <x:c r="T2423" s="28"/>
      <x:c r="U2423" s="28"/>
      <x:c r="V2423" s="28"/>
      <x:c r="W2423" s="43" t="n">
        <x:f>--AND(N2423=1,OR(O2423="SUPPORTED",O2423="HALLUCINATION"))</x:f>
        <x:v>0</x:v>
      </x:c>
      <x:c r="X2423" s="43" t="n">
        <x:f>--AND(W2423=1,O2423="HALLUCINATION")</x:f>
        <x:v>0</x:v>
      </x:c>
      <x:c r="Y2423" s="43" t="n">
        <x:f>--AND(Q2423=1,O2423="HALLUCINATION")</x:f>
        <x:v>0</x:v>
      </x:c>
      <x:c r="Z2423" s="43" t="n">
        <x:f>--AND(Y2423=1,R2423=1,S2423=1)</x:f>
        <x:v>0</x:v>
      </x:c>
      <x:c r="AC2423" t="str">
        <x:f>IF(OR(AA2423="",AB2423=""),"",--(AA2423&lt;&gt;AB2423))</x:f>
      </x:c>
      <x:c r="AE2423" t="str">
        <x:f>IF(OR(AA2423="",AB2423=""),"PENDING_HUMAN",IF(AA2423=AB2423,AA2423,IF(AD2423&lt;&gt;"",AD2423,"PENDING_HUMAN")))</x:f>
        <x:v>PENDING_HUMAN</x:v>
      </x:c>
      <x:c r="AF2423" t="n">
        <x:f>--AND(A2423&lt;&gt;"",AA2423&lt;&gt;"",AB2423&lt;&gt;"",OR(AA2423=AB2423,AD2423&lt;&gt;""),IF(AE2423="HALLUCINATION",U2423&lt;&gt;"",TRUE))</x:f>
        <x:v>0</x:v>
      </x:c>
      <x:c r="AG2423" t="n">
        <x:f>--AND(N2423=1,AF2423=1,OR(AE2423="SUPPORTED",AE2423="HALLUCINATION"))</x:f>
        <x:v>0</x:v>
      </x:c>
      <x:c r="AH2423" t="n">
        <x:f>--AND(AG2423=1,AE2423="HALLUCINATION")</x:f>
        <x:v>0</x:v>
      </x:c>
      <x:c r="AI2423" t="n">
        <x:f>--AND(Q2423=1,AF2423=1,AE2423="HALLUCINATION")</x:f>
        <x:v>0</x:v>
      </x:c>
      <x:c r="AJ2423" t="n">
        <x:f>--AND(AI2423=1,R2423=1,S2423=1)</x:f>
        <x:v>0</x:v>
      </x:c>
    </x:row>
    <x:row r="2424">
      <x:c r="A2424" s="28"/>
      <x:c r="B2424" s="28"/>
      <x:c r="C2424" s="28"/>
      <x:c r="D2424" s="28"/>
      <x:c r="E2424" s="28"/>
      <x:c r="F2424" s="28"/>
      <x:c r="G2424" s="28"/>
      <x:c r="H2424" s="28"/>
      <x:c r="I2424" s="28"/>
      <x:c r="J2424" s="28"/>
      <x:c r="K2424" s="28"/>
      <x:c r="L2424" s="28"/>
      <x:c r="M2424" s="28"/>
      <x:c r="N2424" s="28"/>
      <x:c r="O2424" s="28"/>
      <x:c r="P2424" s="28"/>
      <x:c r="Q2424" s="28"/>
      <x:c r="R2424" s="28"/>
      <x:c r="S2424" s="28"/>
      <x:c r="T2424" s="28"/>
      <x:c r="U2424" s="28"/>
      <x:c r="V2424" s="28"/>
      <x:c r="W2424" s="43" t="n">
        <x:f>--AND(N2424=1,OR(O2424="SUPPORTED",O2424="HALLUCINATION"))</x:f>
        <x:v>0</x:v>
      </x:c>
      <x:c r="X2424" s="43" t="n">
        <x:f>--AND(W2424=1,O2424="HALLUCINATION")</x:f>
        <x:v>0</x:v>
      </x:c>
      <x:c r="Y2424" s="43" t="n">
        <x:f>--AND(Q2424=1,O2424="HALLUCINATION")</x:f>
        <x:v>0</x:v>
      </x:c>
      <x:c r="Z2424" s="43" t="n">
        <x:f>--AND(Y2424=1,R2424=1,S2424=1)</x:f>
        <x:v>0</x:v>
      </x:c>
      <x:c r="AC2424" t="str">
        <x:f>IF(OR(AA2424="",AB2424=""),"",--(AA2424&lt;&gt;AB2424))</x:f>
      </x:c>
      <x:c r="AE2424" t="str">
        <x:f>IF(OR(AA2424="",AB2424=""),"PENDING_HUMAN",IF(AA2424=AB2424,AA2424,IF(AD2424&lt;&gt;"",AD2424,"PENDING_HUMAN")))</x:f>
        <x:v>PENDING_HUMAN</x:v>
      </x:c>
      <x:c r="AF2424" t="n">
        <x:f>--AND(A2424&lt;&gt;"",AA2424&lt;&gt;"",AB2424&lt;&gt;"",OR(AA2424=AB2424,AD2424&lt;&gt;""),IF(AE2424="HALLUCINATION",U2424&lt;&gt;"",TRUE))</x:f>
        <x:v>0</x:v>
      </x:c>
      <x:c r="AG2424" t="n">
        <x:f>--AND(N2424=1,AF2424=1,OR(AE2424="SUPPORTED",AE2424="HALLUCINATION"))</x:f>
        <x:v>0</x:v>
      </x:c>
      <x:c r="AH2424" t="n">
        <x:f>--AND(AG2424=1,AE2424="HALLUCINATION")</x:f>
        <x:v>0</x:v>
      </x:c>
      <x:c r="AI2424" t="n">
        <x:f>--AND(Q2424=1,AF2424=1,AE2424="HALLUCINATION")</x:f>
        <x:v>0</x:v>
      </x:c>
      <x:c r="AJ2424" t="n">
        <x:f>--AND(AI2424=1,R2424=1,S2424=1)</x:f>
        <x:v>0</x:v>
      </x:c>
    </x:row>
    <x:row r="2425">
      <x:c r="A2425" s="28"/>
      <x:c r="B2425" s="28"/>
      <x:c r="C2425" s="28"/>
      <x:c r="D2425" s="28"/>
      <x:c r="E2425" s="28"/>
      <x:c r="F2425" s="28"/>
      <x:c r="G2425" s="28"/>
      <x:c r="H2425" s="28"/>
      <x:c r="I2425" s="28"/>
      <x:c r="J2425" s="28"/>
      <x:c r="K2425" s="28"/>
      <x:c r="L2425" s="28"/>
      <x:c r="M2425" s="28"/>
      <x:c r="N2425" s="28"/>
      <x:c r="O2425" s="28"/>
      <x:c r="P2425" s="28"/>
      <x:c r="Q2425" s="28"/>
      <x:c r="R2425" s="28"/>
      <x:c r="S2425" s="28"/>
      <x:c r="T2425" s="28"/>
      <x:c r="U2425" s="28"/>
      <x:c r="V2425" s="28"/>
      <x:c r="W2425" s="43" t="n">
        <x:f>--AND(N2425=1,OR(O2425="SUPPORTED",O2425="HALLUCINATION"))</x:f>
        <x:v>0</x:v>
      </x:c>
      <x:c r="X2425" s="43" t="n">
        <x:f>--AND(W2425=1,O2425="HALLUCINATION")</x:f>
        <x:v>0</x:v>
      </x:c>
      <x:c r="Y2425" s="43" t="n">
        <x:f>--AND(Q2425=1,O2425="HALLUCINATION")</x:f>
        <x:v>0</x:v>
      </x:c>
      <x:c r="Z2425" s="43" t="n">
        <x:f>--AND(Y2425=1,R2425=1,S2425=1)</x:f>
        <x:v>0</x:v>
      </x:c>
      <x:c r="AC2425" t="str">
        <x:f>IF(OR(AA2425="",AB2425=""),"",--(AA2425&lt;&gt;AB2425))</x:f>
      </x:c>
      <x:c r="AE2425" t="str">
        <x:f>IF(OR(AA2425="",AB2425=""),"PENDING_HUMAN",IF(AA2425=AB2425,AA2425,IF(AD2425&lt;&gt;"",AD2425,"PENDING_HUMAN")))</x:f>
        <x:v>PENDING_HUMAN</x:v>
      </x:c>
      <x:c r="AF2425" t="n">
        <x:f>--AND(A2425&lt;&gt;"",AA2425&lt;&gt;"",AB2425&lt;&gt;"",OR(AA2425=AB2425,AD2425&lt;&gt;""),IF(AE2425="HALLUCINATION",U2425&lt;&gt;"",TRUE))</x:f>
        <x:v>0</x:v>
      </x:c>
      <x:c r="AG2425" t="n">
        <x:f>--AND(N2425=1,AF2425=1,OR(AE2425="SUPPORTED",AE2425="HALLUCINATION"))</x:f>
        <x:v>0</x:v>
      </x:c>
      <x:c r="AH2425" t="n">
        <x:f>--AND(AG2425=1,AE2425="HALLUCINATION")</x:f>
        <x:v>0</x:v>
      </x:c>
      <x:c r="AI2425" t="n">
        <x:f>--AND(Q2425=1,AF2425=1,AE2425="HALLUCINATION")</x:f>
        <x:v>0</x:v>
      </x:c>
      <x:c r="AJ2425" t="n">
        <x:f>--AND(AI2425=1,R2425=1,S2425=1)</x:f>
        <x:v>0</x:v>
      </x:c>
    </x:row>
    <x:row r="2426">
      <x:c r="A2426" s="28"/>
      <x:c r="B2426" s="28"/>
      <x:c r="C2426" s="28"/>
      <x:c r="D2426" s="28"/>
      <x:c r="E2426" s="28"/>
      <x:c r="F2426" s="28"/>
      <x:c r="G2426" s="28"/>
      <x:c r="H2426" s="28"/>
      <x:c r="I2426" s="28"/>
      <x:c r="J2426" s="28"/>
      <x:c r="K2426" s="28"/>
      <x:c r="L2426" s="28"/>
      <x:c r="M2426" s="28"/>
      <x:c r="N2426" s="28"/>
      <x:c r="O2426" s="28"/>
      <x:c r="P2426" s="28"/>
      <x:c r="Q2426" s="28"/>
      <x:c r="R2426" s="28"/>
      <x:c r="S2426" s="28"/>
      <x:c r="T2426" s="28"/>
      <x:c r="U2426" s="28"/>
      <x:c r="V2426" s="28"/>
      <x:c r="W2426" s="43" t="n">
        <x:f>--AND(N2426=1,OR(O2426="SUPPORTED",O2426="HALLUCINATION"))</x:f>
        <x:v>0</x:v>
      </x:c>
      <x:c r="X2426" s="43" t="n">
        <x:f>--AND(W2426=1,O2426="HALLUCINATION")</x:f>
        <x:v>0</x:v>
      </x:c>
      <x:c r="Y2426" s="43" t="n">
        <x:f>--AND(Q2426=1,O2426="HALLUCINATION")</x:f>
        <x:v>0</x:v>
      </x:c>
      <x:c r="Z2426" s="43" t="n">
        <x:f>--AND(Y2426=1,R2426=1,S2426=1)</x:f>
        <x:v>0</x:v>
      </x:c>
      <x:c r="AC2426" t="str">
        <x:f>IF(OR(AA2426="",AB2426=""),"",--(AA2426&lt;&gt;AB2426))</x:f>
      </x:c>
      <x:c r="AE2426" t="str">
        <x:f>IF(OR(AA2426="",AB2426=""),"PENDING_HUMAN",IF(AA2426=AB2426,AA2426,IF(AD2426&lt;&gt;"",AD2426,"PENDING_HUMAN")))</x:f>
        <x:v>PENDING_HUMAN</x:v>
      </x:c>
      <x:c r="AF2426" t="n">
        <x:f>--AND(A2426&lt;&gt;"",AA2426&lt;&gt;"",AB2426&lt;&gt;"",OR(AA2426=AB2426,AD2426&lt;&gt;""),IF(AE2426="HALLUCINATION",U2426&lt;&gt;"",TRUE))</x:f>
        <x:v>0</x:v>
      </x:c>
      <x:c r="AG2426" t="n">
        <x:f>--AND(N2426=1,AF2426=1,OR(AE2426="SUPPORTED",AE2426="HALLUCINATION"))</x:f>
        <x:v>0</x:v>
      </x:c>
      <x:c r="AH2426" t="n">
        <x:f>--AND(AG2426=1,AE2426="HALLUCINATION")</x:f>
        <x:v>0</x:v>
      </x:c>
      <x:c r="AI2426" t="n">
        <x:f>--AND(Q2426=1,AF2426=1,AE2426="HALLUCINATION")</x:f>
        <x:v>0</x:v>
      </x:c>
      <x:c r="AJ2426" t="n">
        <x:f>--AND(AI2426=1,R2426=1,S2426=1)</x:f>
        <x:v>0</x:v>
      </x:c>
    </x:row>
    <x:row r="2427">
      <x:c r="A2427" s="28"/>
      <x:c r="B2427" s="28"/>
      <x:c r="C2427" s="28"/>
      <x:c r="D2427" s="28"/>
      <x:c r="E2427" s="28"/>
      <x:c r="F2427" s="28"/>
      <x:c r="G2427" s="28"/>
      <x:c r="H2427" s="28"/>
      <x:c r="I2427" s="28"/>
      <x:c r="J2427" s="28"/>
      <x:c r="K2427" s="28"/>
      <x:c r="L2427" s="28"/>
      <x:c r="M2427" s="28"/>
      <x:c r="N2427" s="28"/>
      <x:c r="O2427" s="28"/>
      <x:c r="P2427" s="28"/>
      <x:c r="Q2427" s="28"/>
      <x:c r="R2427" s="28"/>
      <x:c r="S2427" s="28"/>
      <x:c r="T2427" s="28"/>
      <x:c r="U2427" s="28"/>
      <x:c r="V2427" s="28"/>
      <x:c r="W2427" s="43" t="n">
        <x:f>--AND(N2427=1,OR(O2427="SUPPORTED",O2427="HALLUCINATION"))</x:f>
        <x:v>0</x:v>
      </x:c>
      <x:c r="X2427" s="43" t="n">
        <x:f>--AND(W2427=1,O2427="HALLUCINATION")</x:f>
        <x:v>0</x:v>
      </x:c>
      <x:c r="Y2427" s="43" t="n">
        <x:f>--AND(Q2427=1,O2427="HALLUCINATION")</x:f>
        <x:v>0</x:v>
      </x:c>
      <x:c r="Z2427" s="43" t="n">
        <x:f>--AND(Y2427=1,R2427=1,S2427=1)</x:f>
        <x:v>0</x:v>
      </x:c>
      <x:c r="AC2427" t="str">
        <x:f>IF(OR(AA2427="",AB2427=""),"",--(AA2427&lt;&gt;AB2427))</x:f>
      </x:c>
      <x:c r="AE2427" t="str">
        <x:f>IF(OR(AA2427="",AB2427=""),"PENDING_HUMAN",IF(AA2427=AB2427,AA2427,IF(AD2427&lt;&gt;"",AD2427,"PENDING_HUMAN")))</x:f>
        <x:v>PENDING_HUMAN</x:v>
      </x:c>
      <x:c r="AF2427" t="n">
        <x:f>--AND(A2427&lt;&gt;"",AA2427&lt;&gt;"",AB2427&lt;&gt;"",OR(AA2427=AB2427,AD2427&lt;&gt;""),IF(AE2427="HALLUCINATION",U2427&lt;&gt;"",TRUE))</x:f>
        <x:v>0</x:v>
      </x:c>
      <x:c r="AG2427" t="n">
        <x:f>--AND(N2427=1,AF2427=1,OR(AE2427="SUPPORTED",AE2427="HALLUCINATION"))</x:f>
        <x:v>0</x:v>
      </x:c>
      <x:c r="AH2427" t="n">
        <x:f>--AND(AG2427=1,AE2427="HALLUCINATION")</x:f>
        <x:v>0</x:v>
      </x:c>
      <x:c r="AI2427" t="n">
        <x:f>--AND(Q2427=1,AF2427=1,AE2427="HALLUCINATION")</x:f>
        <x:v>0</x:v>
      </x:c>
      <x:c r="AJ2427" t="n">
        <x:f>--AND(AI2427=1,R2427=1,S2427=1)</x:f>
        <x:v>0</x:v>
      </x:c>
    </x:row>
    <x:row r="2428">
      <x:c r="A2428" s="28"/>
      <x:c r="B2428" s="28"/>
      <x:c r="C2428" s="28"/>
      <x:c r="D2428" s="28"/>
      <x:c r="E2428" s="28"/>
      <x:c r="F2428" s="28"/>
      <x:c r="G2428" s="28"/>
      <x:c r="H2428" s="28"/>
      <x:c r="I2428" s="28"/>
      <x:c r="J2428" s="28"/>
      <x:c r="K2428" s="28"/>
      <x:c r="L2428" s="28"/>
      <x:c r="M2428" s="28"/>
      <x:c r="N2428" s="28"/>
      <x:c r="O2428" s="28"/>
      <x:c r="P2428" s="28"/>
      <x:c r="Q2428" s="28"/>
      <x:c r="R2428" s="28"/>
      <x:c r="S2428" s="28"/>
      <x:c r="T2428" s="28"/>
      <x:c r="U2428" s="28"/>
      <x:c r="V2428" s="28"/>
      <x:c r="W2428" s="43" t="n">
        <x:f>--AND(N2428=1,OR(O2428="SUPPORTED",O2428="HALLUCINATION"))</x:f>
        <x:v>0</x:v>
      </x:c>
      <x:c r="X2428" s="43" t="n">
        <x:f>--AND(W2428=1,O2428="HALLUCINATION")</x:f>
        <x:v>0</x:v>
      </x:c>
      <x:c r="Y2428" s="43" t="n">
        <x:f>--AND(Q2428=1,O2428="HALLUCINATION")</x:f>
        <x:v>0</x:v>
      </x:c>
      <x:c r="Z2428" s="43" t="n">
        <x:f>--AND(Y2428=1,R2428=1,S2428=1)</x:f>
        <x:v>0</x:v>
      </x:c>
      <x:c r="AC2428" t="str">
        <x:f>IF(OR(AA2428="",AB2428=""),"",--(AA2428&lt;&gt;AB2428))</x:f>
      </x:c>
      <x:c r="AE2428" t="str">
        <x:f>IF(OR(AA2428="",AB2428=""),"PENDING_HUMAN",IF(AA2428=AB2428,AA2428,IF(AD2428&lt;&gt;"",AD2428,"PENDING_HUMAN")))</x:f>
        <x:v>PENDING_HUMAN</x:v>
      </x:c>
      <x:c r="AF2428" t="n">
        <x:f>--AND(A2428&lt;&gt;"",AA2428&lt;&gt;"",AB2428&lt;&gt;"",OR(AA2428=AB2428,AD2428&lt;&gt;""),IF(AE2428="HALLUCINATION",U2428&lt;&gt;"",TRUE))</x:f>
        <x:v>0</x:v>
      </x:c>
      <x:c r="AG2428" t="n">
        <x:f>--AND(N2428=1,AF2428=1,OR(AE2428="SUPPORTED",AE2428="HALLUCINATION"))</x:f>
        <x:v>0</x:v>
      </x:c>
      <x:c r="AH2428" t="n">
        <x:f>--AND(AG2428=1,AE2428="HALLUCINATION")</x:f>
        <x:v>0</x:v>
      </x:c>
      <x:c r="AI2428" t="n">
        <x:f>--AND(Q2428=1,AF2428=1,AE2428="HALLUCINATION")</x:f>
        <x:v>0</x:v>
      </x:c>
      <x:c r="AJ2428" t="n">
        <x:f>--AND(AI2428=1,R2428=1,S2428=1)</x:f>
        <x:v>0</x:v>
      </x:c>
    </x:row>
    <x:row r="2429">
      <x:c r="A2429" s="28"/>
      <x:c r="B2429" s="28"/>
      <x:c r="C2429" s="28"/>
      <x:c r="D2429" s="28"/>
      <x:c r="E2429" s="28"/>
      <x:c r="F2429" s="28"/>
      <x:c r="G2429" s="28"/>
      <x:c r="H2429" s="28"/>
      <x:c r="I2429" s="28"/>
      <x:c r="J2429" s="28"/>
      <x:c r="K2429" s="28"/>
      <x:c r="L2429" s="28"/>
      <x:c r="M2429" s="28"/>
      <x:c r="N2429" s="28"/>
      <x:c r="O2429" s="28"/>
      <x:c r="P2429" s="28"/>
      <x:c r="Q2429" s="28"/>
      <x:c r="R2429" s="28"/>
      <x:c r="S2429" s="28"/>
      <x:c r="T2429" s="28"/>
      <x:c r="U2429" s="28"/>
      <x:c r="V2429" s="28"/>
      <x:c r="W2429" s="43" t="n">
        <x:f>--AND(N2429=1,OR(O2429="SUPPORTED",O2429="HALLUCINATION"))</x:f>
        <x:v>0</x:v>
      </x:c>
      <x:c r="X2429" s="43" t="n">
        <x:f>--AND(W2429=1,O2429="HALLUCINATION")</x:f>
        <x:v>0</x:v>
      </x:c>
      <x:c r="Y2429" s="43" t="n">
        <x:f>--AND(Q2429=1,O2429="HALLUCINATION")</x:f>
        <x:v>0</x:v>
      </x:c>
      <x:c r="Z2429" s="43" t="n">
        <x:f>--AND(Y2429=1,R2429=1,S2429=1)</x:f>
        <x:v>0</x:v>
      </x:c>
      <x:c r="AC2429" t="str">
        <x:f>IF(OR(AA2429="",AB2429=""),"",--(AA2429&lt;&gt;AB2429))</x:f>
      </x:c>
      <x:c r="AE2429" t="str">
        <x:f>IF(OR(AA2429="",AB2429=""),"PENDING_HUMAN",IF(AA2429=AB2429,AA2429,IF(AD2429&lt;&gt;"",AD2429,"PENDING_HUMAN")))</x:f>
        <x:v>PENDING_HUMAN</x:v>
      </x:c>
      <x:c r="AF2429" t="n">
        <x:f>--AND(A2429&lt;&gt;"",AA2429&lt;&gt;"",AB2429&lt;&gt;"",OR(AA2429=AB2429,AD2429&lt;&gt;""),IF(AE2429="HALLUCINATION",U2429&lt;&gt;"",TRUE))</x:f>
        <x:v>0</x:v>
      </x:c>
      <x:c r="AG2429" t="n">
        <x:f>--AND(N2429=1,AF2429=1,OR(AE2429="SUPPORTED",AE2429="HALLUCINATION"))</x:f>
        <x:v>0</x:v>
      </x:c>
      <x:c r="AH2429" t="n">
        <x:f>--AND(AG2429=1,AE2429="HALLUCINATION")</x:f>
        <x:v>0</x:v>
      </x:c>
      <x:c r="AI2429" t="n">
        <x:f>--AND(Q2429=1,AF2429=1,AE2429="HALLUCINATION")</x:f>
        <x:v>0</x:v>
      </x:c>
      <x:c r="AJ2429" t="n">
        <x:f>--AND(AI2429=1,R2429=1,S2429=1)</x:f>
        <x:v>0</x:v>
      </x:c>
    </x:row>
    <x:row r="2430">
      <x:c r="A2430" s="28"/>
      <x:c r="B2430" s="28"/>
      <x:c r="C2430" s="28"/>
      <x:c r="D2430" s="28"/>
      <x:c r="E2430" s="28"/>
      <x:c r="F2430" s="28"/>
      <x:c r="G2430" s="28"/>
      <x:c r="H2430" s="28"/>
      <x:c r="I2430" s="28"/>
      <x:c r="J2430" s="28"/>
      <x:c r="K2430" s="28"/>
      <x:c r="L2430" s="28"/>
      <x:c r="M2430" s="28"/>
      <x:c r="N2430" s="28"/>
      <x:c r="O2430" s="28"/>
      <x:c r="P2430" s="28"/>
      <x:c r="Q2430" s="28"/>
      <x:c r="R2430" s="28"/>
      <x:c r="S2430" s="28"/>
      <x:c r="T2430" s="28"/>
      <x:c r="U2430" s="28"/>
      <x:c r="V2430" s="28"/>
      <x:c r="W2430" s="43" t="n">
        <x:f>--AND(N2430=1,OR(O2430="SUPPORTED",O2430="HALLUCINATION"))</x:f>
        <x:v>0</x:v>
      </x:c>
      <x:c r="X2430" s="43" t="n">
        <x:f>--AND(W2430=1,O2430="HALLUCINATION")</x:f>
        <x:v>0</x:v>
      </x:c>
      <x:c r="Y2430" s="43" t="n">
        <x:f>--AND(Q2430=1,O2430="HALLUCINATION")</x:f>
        <x:v>0</x:v>
      </x:c>
      <x:c r="Z2430" s="43" t="n">
        <x:f>--AND(Y2430=1,R2430=1,S2430=1)</x:f>
        <x:v>0</x:v>
      </x:c>
      <x:c r="AC2430" t="str">
        <x:f>IF(OR(AA2430="",AB2430=""),"",--(AA2430&lt;&gt;AB2430))</x:f>
      </x:c>
      <x:c r="AE2430" t="str">
        <x:f>IF(OR(AA2430="",AB2430=""),"PENDING_HUMAN",IF(AA2430=AB2430,AA2430,IF(AD2430&lt;&gt;"",AD2430,"PENDING_HUMAN")))</x:f>
        <x:v>PENDING_HUMAN</x:v>
      </x:c>
      <x:c r="AF2430" t="n">
        <x:f>--AND(A2430&lt;&gt;"",AA2430&lt;&gt;"",AB2430&lt;&gt;"",OR(AA2430=AB2430,AD2430&lt;&gt;""),IF(AE2430="HALLUCINATION",U2430&lt;&gt;"",TRUE))</x:f>
        <x:v>0</x:v>
      </x:c>
      <x:c r="AG2430" t="n">
        <x:f>--AND(N2430=1,AF2430=1,OR(AE2430="SUPPORTED",AE2430="HALLUCINATION"))</x:f>
        <x:v>0</x:v>
      </x:c>
      <x:c r="AH2430" t="n">
        <x:f>--AND(AG2430=1,AE2430="HALLUCINATION")</x:f>
        <x:v>0</x:v>
      </x:c>
      <x:c r="AI2430" t="n">
        <x:f>--AND(Q2430=1,AF2430=1,AE2430="HALLUCINATION")</x:f>
        <x:v>0</x:v>
      </x:c>
      <x:c r="AJ2430" t="n">
        <x:f>--AND(AI2430=1,R2430=1,S2430=1)</x:f>
        <x:v>0</x:v>
      </x:c>
    </x:row>
    <x:row r="2431">
      <x:c r="A2431" s="28"/>
      <x:c r="B2431" s="28"/>
      <x:c r="C2431" s="28"/>
      <x:c r="D2431" s="28"/>
      <x:c r="E2431" s="28"/>
      <x:c r="F2431" s="28"/>
      <x:c r="G2431" s="28"/>
      <x:c r="H2431" s="28"/>
      <x:c r="I2431" s="28"/>
      <x:c r="J2431" s="28"/>
      <x:c r="K2431" s="28"/>
      <x:c r="L2431" s="28"/>
      <x:c r="M2431" s="28"/>
      <x:c r="N2431" s="28"/>
      <x:c r="O2431" s="28"/>
      <x:c r="P2431" s="28"/>
      <x:c r="Q2431" s="28"/>
      <x:c r="R2431" s="28"/>
      <x:c r="S2431" s="28"/>
      <x:c r="T2431" s="28"/>
      <x:c r="U2431" s="28"/>
      <x:c r="V2431" s="28"/>
      <x:c r="W2431" s="43" t="n">
        <x:f>--AND(N2431=1,OR(O2431="SUPPORTED",O2431="HALLUCINATION"))</x:f>
        <x:v>0</x:v>
      </x:c>
      <x:c r="X2431" s="43" t="n">
        <x:f>--AND(W2431=1,O2431="HALLUCINATION")</x:f>
        <x:v>0</x:v>
      </x:c>
      <x:c r="Y2431" s="43" t="n">
        <x:f>--AND(Q2431=1,O2431="HALLUCINATION")</x:f>
        <x:v>0</x:v>
      </x:c>
      <x:c r="Z2431" s="43" t="n">
        <x:f>--AND(Y2431=1,R2431=1,S2431=1)</x:f>
        <x:v>0</x:v>
      </x:c>
      <x:c r="AC2431" t="str">
        <x:f>IF(OR(AA2431="",AB2431=""),"",--(AA2431&lt;&gt;AB2431))</x:f>
      </x:c>
      <x:c r="AE2431" t="str">
        <x:f>IF(OR(AA2431="",AB2431=""),"PENDING_HUMAN",IF(AA2431=AB2431,AA2431,IF(AD2431&lt;&gt;"",AD2431,"PENDING_HUMAN")))</x:f>
        <x:v>PENDING_HUMAN</x:v>
      </x:c>
      <x:c r="AF2431" t="n">
        <x:f>--AND(A2431&lt;&gt;"",AA2431&lt;&gt;"",AB2431&lt;&gt;"",OR(AA2431=AB2431,AD2431&lt;&gt;""),IF(AE2431="HALLUCINATION",U2431&lt;&gt;"",TRUE))</x:f>
        <x:v>0</x:v>
      </x:c>
      <x:c r="AG2431" t="n">
        <x:f>--AND(N2431=1,AF2431=1,OR(AE2431="SUPPORTED",AE2431="HALLUCINATION"))</x:f>
        <x:v>0</x:v>
      </x:c>
      <x:c r="AH2431" t="n">
        <x:f>--AND(AG2431=1,AE2431="HALLUCINATION")</x:f>
        <x:v>0</x:v>
      </x:c>
      <x:c r="AI2431" t="n">
        <x:f>--AND(Q2431=1,AF2431=1,AE2431="HALLUCINATION")</x:f>
        <x:v>0</x:v>
      </x:c>
      <x:c r="AJ2431" t="n">
        <x:f>--AND(AI2431=1,R2431=1,S2431=1)</x:f>
        <x:v>0</x:v>
      </x:c>
    </x:row>
    <x:row r="2432">
      <x:c r="A2432" s="28"/>
      <x:c r="B2432" s="28"/>
      <x:c r="C2432" s="28"/>
      <x:c r="D2432" s="28"/>
      <x:c r="E2432" s="28"/>
      <x:c r="F2432" s="28"/>
      <x:c r="G2432" s="28"/>
      <x:c r="H2432" s="28"/>
      <x:c r="I2432" s="28"/>
      <x:c r="J2432" s="28"/>
      <x:c r="K2432" s="28"/>
      <x:c r="L2432" s="28"/>
      <x:c r="M2432" s="28"/>
      <x:c r="N2432" s="28"/>
      <x:c r="O2432" s="28"/>
      <x:c r="P2432" s="28"/>
      <x:c r="Q2432" s="28"/>
      <x:c r="R2432" s="28"/>
      <x:c r="S2432" s="28"/>
      <x:c r="T2432" s="28"/>
      <x:c r="U2432" s="28"/>
      <x:c r="V2432" s="28"/>
      <x:c r="W2432" s="43" t="n">
        <x:f>--AND(N2432=1,OR(O2432="SUPPORTED",O2432="HALLUCINATION"))</x:f>
        <x:v>0</x:v>
      </x:c>
      <x:c r="X2432" s="43" t="n">
        <x:f>--AND(W2432=1,O2432="HALLUCINATION")</x:f>
        <x:v>0</x:v>
      </x:c>
      <x:c r="Y2432" s="43" t="n">
        <x:f>--AND(Q2432=1,O2432="HALLUCINATION")</x:f>
        <x:v>0</x:v>
      </x:c>
      <x:c r="Z2432" s="43" t="n">
        <x:f>--AND(Y2432=1,R2432=1,S2432=1)</x:f>
        <x:v>0</x:v>
      </x:c>
      <x:c r="AC2432" t="str">
        <x:f>IF(OR(AA2432="",AB2432=""),"",--(AA2432&lt;&gt;AB2432))</x:f>
      </x:c>
      <x:c r="AE2432" t="str">
        <x:f>IF(OR(AA2432="",AB2432=""),"PENDING_HUMAN",IF(AA2432=AB2432,AA2432,IF(AD2432&lt;&gt;"",AD2432,"PENDING_HUMAN")))</x:f>
        <x:v>PENDING_HUMAN</x:v>
      </x:c>
      <x:c r="AF2432" t="n">
        <x:f>--AND(A2432&lt;&gt;"",AA2432&lt;&gt;"",AB2432&lt;&gt;"",OR(AA2432=AB2432,AD2432&lt;&gt;""),IF(AE2432="HALLUCINATION",U2432&lt;&gt;"",TRUE))</x:f>
        <x:v>0</x:v>
      </x:c>
      <x:c r="AG2432" t="n">
        <x:f>--AND(N2432=1,AF2432=1,OR(AE2432="SUPPORTED",AE2432="HALLUCINATION"))</x:f>
        <x:v>0</x:v>
      </x:c>
      <x:c r="AH2432" t="n">
        <x:f>--AND(AG2432=1,AE2432="HALLUCINATION")</x:f>
        <x:v>0</x:v>
      </x:c>
      <x:c r="AI2432" t="n">
        <x:f>--AND(Q2432=1,AF2432=1,AE2432="HALLUCINATION")</x:f>
        <x:v>0</x:v>
      </x:c>
      <x:c r="AJ2432" t="n">
        <x:f>--AND(AI2432=1,R2432=1,S2432=1)</x:f>
        <x:v>0</x:v>
      </x:c>
    </x:row>
    <x:row r="2433">
      <x:c r="A2433" s="28"/>
      <x:c r="B2433" s="28"/>
      <x:c r="C2433" s="28"/>
      <x:c r="D2433" s="28"/>
      <x:c r="E2433" s="28"/>
      <x:c r="F2433" s="28"/>
      <x:c r="G2433" s="28"/>
      <x:c r="H2433" s="28"/>
      <x:c r="I2433" s="28"/>
      <x:c r="J2433" s="28"/>
      <x:c r="K2433" s="28"/>
      <x:c r="L2433" s="28"/>
      <x:c r="M2433" s="28"/>
      <x:c r="N2433" s="28"/>
      <x:c r="O2433" s="28"/>
      <x:c r="P2433" s="28"/>
      <x:c r="Q2433" s="28"/>
      <x:c r="R2433" s="28"/>
      <x:c r="S2433" s="28"/>
      <x:c r="T2433" s="28"/>
      <x:c r="U2433" s="28"/>
      <x:c r="V2433" s="28"/>
      <x:c r="W2433" s="43" t="n">
        <x:f>--AND(N2433=1,OR(O2433="SUPPORTED",O2433="HALLUCINATION"))</x:f>
        <x:v>0</x:v>
      </x:c>
      <x:c r="X2433" s="43" t="n">
        <x:f>--AND(W2433=1,O2433="HALLUCINATION")</x:f>
        <x:v>0</x:v>
      </x:c>
      <x:c r="Y2433" s="43" t="n">
        <x:f>--AND(Q2433=1,O2433="HALLUCINATION")</x:f>
        <x:v>0</x:v>
      </x:c>
      <x:c r="Z2433" s="43" t="n">
        <x:f>--AND(Y2433=1,R2433=1,S2433=1)</x:f>
        <x:v>0</x:v>
      </x:c>
      <x:c r="AC2433" t="str">
        <x:f>IF(OR(AA2433="",AB2433=""),"",--(AA2433&lt;&gt;AB2433))</x:f>
      </x:c>
      <x:c r="AE2433" t="str">
        <x:f>IF(OR(AA2433="",AB2433=""),"PENDING_HUMAN",IF(AA2433=AB2433,AA2433,IF(AD2433&lt;&gt;"",AD2433,"PENDING_HUMAN")))</x:f>
        <x:v>PENDING_HUMAN</x:v>
      </x:c>
      <x:c r="AF2433" t="n">
        <x:f>--AND(A2433&lt;&gt;"",AA2433&lt;&gt;"",AB2433&lt;&gt;"",OR(AA2433=AB2433,AD2433&lt;&gt;""),IF(AE2433="HALLUCINATION",U2433&lt;&gt;"",TRUE))</x:f>
        <x:v>0</x:v>
      </x:c>
      <x:c r="AG2433" t="n">
        <x:f>--AND(N2433=1,AF2433=1,OR(AE2433="SUPPORTED",AE2433="HALLUCINATION"))</x:f>
        <x:v>0</x:v>
      </x:c>
      <x:c r="AH2433" t="n">
        <x:f>--AND(AG2433=1,AE2433="HALLUCINATION")</x:f>
        <x:v>0</x:v>
      </x:c>
      <x:c r="AI2433" t="n">
        <x:f>--AND(Q2433=1,AF2433=1,AE2433="HALLUCINATION")</x:f>
        <x:v>0</x:v>
      </x:c>
      <x:c r="AJ2433" t="n">
        <x:f>--AND(AI2433=1,R2433=1,S2433=1)</x:f>
        <x:v>0</x:v>
      </x:c>
    </x:row>
    <x:row r="2434">
      <x:c r="A2434" s="28"/>
      <x:c r="B2434" s="28"/>
      <x:c r="C2434" s="28"/>
      <x:c r="D2434" s="28"/>
      <x:c r="E2434" s="28"/>
      <x:c r="F2434" s="28"/>
      <x:c r="G2434" s="28"/>
      <x:c r="H2434" s="28"/>
      <x:c r="I2434" s="28"/>
      <x:c r="J2434" s="28"/>
      <x:c r="K2434" s="28"/>
      <x:c r="L2434" s="28"/>
      <x:c r="M2434" s="28"/>
      <x:c r="N2434" s="28"/>
      <x:c r="O2434" s="28"/>
      <x:c r="P2434" s="28"/>
      <x:c r="Q2434" s="28"/>
      <x:c r="R2434" s="28"/>
      <x:c r="S2434" s="28"/>
      <x:c r="T2434" s="28"/>
      <x:c r="U2434" s="28"/>
      <x:c r="V2434" s="28"/>
      <x:c r="W2434" s="43" t="n">
        <x:f>--AND(N2434=1,OR(O2434="SUPPORTED",O2434="HALLUCINATION"))</x:f>
        <x:v>0</x:v>
      </x:c>
      <x:c r="X2434" s="43" t="n">
        <x:f>--AND(W2434=1,O2434="HALLUCINATION")</x:f>
        <x:v>0</x:v>
      </x:c>
      <x:c r="Y2434" s="43" t="n">
        <x:f>--AND(Q2434=1,O2434="HALLUCINATION")</x:f>
        <x:v>0</x:v>
      </x:c>
      <x:c r="Z2434" s="43" t="n">
        <x:f>--AND(Y2434=1,R2434=1,S2434=1)</x:f>
        <x:v>0</x:v>
      </x:c>
      <x:c r="AC2434" t="str">
        <x:f>IF(OR(AA2434="",AB2434=""),"",--(AA2434&lt;&gt;AB2434))</x:f>
      </x:c>
      <x:c r="AE2434" t="str">
        <x:f>IF(OR(AA2434="",AB2434=""),"PENDING_HUMAN",IF(AA2434=AB2434,AA2434,IF(AD2434&lt;&gt;"",AD2434,"PENDING_HUMAN")))</x:f>
        <x:v>PENDING_HUMAN</x:v>
      </x:c>
      <x:c r="AF2434" t="n">
        <x:f>--AND(A2434&lt;&gt;"",AA2434&lt;&gt;"",AB2434&lt;&gt;"",OR(AA2434=AB2434,AD2434&lt;&gt;""),IF(AE2434="HALLUCINATION",U2434&lt;&gt;"",TRUE))</x:f>
        <x:v>0</x:v>
      </x:c>
      <x:c r="AG2434" t="n">
        <x:f>--AND(N2434=1,AF2434=1,OR(AE2434="SUPPORTED",AE2434="HALLUCINATION"))</x:f>
        <x:v>0</x:v>
      </x:c>
      <x:c r="AH2434" t="n">
        <x:f>--AND(AG2434=1,AE2434="HALLUCINATION")</x:f>
        <x:v>0</x:v>
      </x:c>
      <x:c r="AI2434" t="n">
        <x:f>--AND(Q2434=1,AF2434=1,AE2434="HALLUCINATION")</x:f>
        <x:v>0</x:v>
      </x:c>
      <x:c r="AJ2434" t="n">
        <x:f>--AND(AI2434=1,R2434=1,S2434=1)</x:f>
        <x:v>0</x:v>
      </x:c>
    </x:row>
    <x:row r="2435">
      <x:c r="A2435" s="28"/>
      <x:c r="B2435" s="28"/>
      <x:c r="C2435" s="28"/>
      <x:c r="D2435" s="28"/>
      <x:c r="E2435" s="28"/>
      <x:c r="F2435" s="28"/>
      <x:c r="G2435" s="28"/>
      <x:c r="H2435" s="28"/>
      <x:c r="I2435" s="28"/>
      <x:c r="J2435" s="28"/>
      <x:c r="K2435" s="28"/>
      <x:c r="L2435" s="28"/>
      <x:c r="M2435" s="28"/>
      <x:c r="N2435" s="28"/>
      <x:c r="O2435" s="28"/>
      <x:c r="P2435" s="28"/>
      <x:c r="Q2435" s="28"/>
      <x:c r="R2435" s="28"/>
      <x:c r="S2435" s="28"/>
      <x:c r="T2435" s="28"/>
      <x:c r="U2435" s="28"/>
      <x:c r="V2435" s="28"/>
      <x:c r="W2435" s="43" t="n">
        <x:f>--AND(N2435=1,OR(O2435="SUPPORTED",O2435="HALLUCINATION"))</x:f>
        <x:v>0</x:v>
      </x:c>
      <x:c r="X2435" s="43" t="n">
        <x:f>--AND(W2435=1,O2435="HALLUCINATION")</x:f>
        <x:v>0</x:v>
      </x:c>
      <x:c r="Y2435" s="43" t="n">
        <x:f>--AND(Q2435=1,O2435="HALLUCINATION")</x:f>
        <x:v>0</x:v>
      </x:c>
      <x:c r="Z2435" s="43" t="n">
        <x:f>--AND(Y2435=1,R2435=1,S2435=1)</x:f>
        <x:v>0</x:v>
      </x:c>
      <x:c r="AC2435" t="str">
        <x:f>IF(OR(AA2435="",AB2435=""),"",--(AA2435&lt;&gt;AB2435))</x:f>
      </x:c>
      <x:c r="AE2435" t="str">
        <x:f>IF(OR(AA2435="",AB2435=""),"PENDING_HUMAN",IF(AA2435=AB2435,AA2435,IF(AD2435&lt;&gt;"",AD2435,"PENDING_HUMAN")))</x:f>
        <x:v>PENDING_HUMAN</x:v>
      </x:c>
      <x:c r="AF2435" t="n">
        <x:f>--AND(A2435&lt;&gt;"",AA2435&lt;&gt;"",AB2435&lt;&gt;"",OR(AA2435=AB2435,AD2435&lt;&gt;""),IF(AE2435="HALLUCINATION",U2435&lt;&gt;"",TRUE))</x:f>
        <x:v>0</x:v>
      </x:c>
      <x:c r="AG2435" t="n">
        <x:f>--AND(N2435=1,AF2435=1,OR(AE2435="SUPPORTED",AE2435="HALLUCINATION"))</x:f>
        <x:v>0</x:v>
      </x:c>
      <x:c r="AH2435" t="n">
        <x:f>--AND(AG2435=1,AE2435="HALLUCINATION")</x:f>
        <x:v>0</x:v>
      </x:c>
      <x:c r="AI2435" t="n">
        <x:f>--AND(Q2435=1,AF2435=1,AE2435="HALLUCINATION")</x:f>
        <x:v>0</x:v>
      </x:c>
      <x:c r="AJ2435" t="n">
        <x:f>--AND(AI2435=1,R2435=1,S2435=1)</x:f>
        <x:v>0</x:v>
      </x:c>
    </x:row>
    <x:row r="2436">
      <x:c r="A2436" s="28"/>
      <x:c r="B2436" s="28"/>
      <x:c r="C2436" s="28"/>
      <x:c r="D2436" s="28"/>
      <x:c r="E2436" s="28"/>
      <x:c r="F2436" s="28"/>
      <x:c r="G2436" s="28"/>
      <x:c r="H2436" s="28"/>
      <x:c r="I2436" s="28"/>
      <x:c r="J2436" s="28"/>
      <x:c r="K2436" s="28"/>
      <x:c r="L2436" s="28"/>
      <x:c r="M2436" s="28"/>
      <x:c r="N2436" s="28"/>
      <x:c r="O2436" s="28"/>
      <x:c r="P2436" s="28"/>
      <x:c r="Q2436" s="28"/>
      <x:c r="R2436" s="28"/>
      <x:c r="S2436" s="28"/>
      <x:c r="T2436" s="28"/>
      <x:c r="U2436" s="28"/>
      <x:c r="V2436" s="28"/>
      <x:c r="W2436" s="43" t="n">
        <x:f>--AND(N2436=1,OR(O2436="SUPPORTED",O2436="HALLUCINATION"))</x:f>
        <x:v>0</x:v>
      </x:c>
      <x:c r="X2436" s="43" t="n">
        <x:f>--AND(W2436=1,O2436="HALLUCINATION")</x:f>
        <x:v>0</x:v>
      </x:c>
      <x:c r="Y2436" s="43" t="n">
        <x:f>--AND(Q2436=1,O2436="HALLUCINATION")</x:f>
        <x:v>0</x:v>
      </x:c>
      <x:c r="Z2436" s="43" t="n">
        <x:f>--AND(Y2436=1,R2436=1,S2436=1)</x:f>
        <x:v>0</x:v>
      </x:c>
      <x:c r="AC2436" t="str">
        <x:f>IF(OR(AA2436="",AB2436=""),"",--(AA2436&lt;&gt;AB2436))</x:f>
      </x:c>
      <x:c r="AE2436" t="str">
        <x:f>IF(OR(AA2436="",AB2436=""),"PENDING_HUMAN",IF(AA2436=AB2436,AA2436,IF(AD2436&lt;&gt;"",AD2436,"PENDING_HUMAN")))</x:f>
        <x:v>PENDING_HUMAN</x:v>
      </x:c>
      <x:c r="AF2436" t="n">
        <x:f>--AND(A2436&lt;&gt;"",AA2436&lt;&gt;"",AB2436&lt;&gt;"",OR(AA2436=AB2436,AD2436&lt;&gt;""),IF(AE2436="HALLUCINATION",U2436&lt;&gt;"",TRUE))</x:f>
        <x:v>0</x:v>
      </x:c>
      <x:c r="AG2436" t="n">
        <x:f>--AND(N2436=1,AF2436=1,OR(AE2436="SUPPORTED",AE2436="HALLUCINATION"))</x:f>
        <x:v>0</x:v>
      </x:c>
      <x:c r="AH2436" t="n">
        <x:f>--AND(AG2436=1,AE2436="HALLUCINATION")</x:f>
        <x:v>0</x:v>
      </x:c>
      <x:c r="AI2436" t="n">
        <x:f>--AND(Q2436=1,AF2436=1,AE2436="HALLUCINATION")</x:f>
        <x:v>0</x:v>
      </x:c>
      <x:c r="AJ2436" t="n">
        <x:f>--AND(AI2436=1,R2436=1,S2436=1)</x:f>
        <x:v>0</x:v>
      </x:c>
    </x:row>
    <x:row r="2437">
      <x:c r="A2437" s="28"/>
      <x:c r="B2437" s="28"/>
      <x:c r="C2437" s="28"/>
      <x:c r="D2437" s="28"/>
      <x:c r="E2437" s="28"/>
      <x:c r="F2437" s="28"/>
      <x:c r="G2437" s="28"/>
      <x:c r="H2437" s="28"/>
      <x:c r="I2437" s="28"/>
      <x:c r="J2437" s="28"/>
      <x:c r="K2437" s="28"/>
      <x:c r="L2437" s="28"/>
      <x:c r="M2437" s="28"/>
      <x:c r="N2437" s="28"/>
      <x:c r="O2437" s="28"/>
      <x:c r="P2437" s="28"/>
      <x:c r="Q2437" s="28"/>
      <x:c r="R2437" s="28"/>
      <x:c r="S2437" s="28"/>
      <x:c r="T2437" s="28"/>
      <x:c r="U2437" s="28"/>
      <x:c r="V2437" s="28"/>
      <x:c r="W2437" s="43" t="n">
        <x:f>--AND(N2437=1,OR(O2437="SUPPORTED",O2437="HALLUCINATION"))</x:f>
        <x:v>0</x:v>
      </x:c>
      <x:c r="X2437" s="43" t="n">
        <x:f>--AND(W2437=1,O2437="HALLUCINATION")</x:f>
        <x:v>0</x:v>
      </x:c>
      <x:c r="Y2437" s="43" t="n">
        <x:f>--AND(Q2437=1,O2437="HALLUCINATION")</x:f>
        <x:v>0</x:v>
      </x:c>
      <x:c r="Z2437" s="43" t="n">
        <x:f>--AND(Y2437=1,R2437=1,S2437=1)</x:f>
        <x:v>0</x:v>
      </x:c>
      <x:c r="AC2437" t="str">
        <x:f>IF(OR(AA2437="",AB2437=""),"",--(AA2437&lt;&gt;AB2437))</x:f>
      </x:c>
      <x:c r="AE2437" t="str">
        <x:f>IF(OR(AA2437="",AB2437=""),"PENDING_HUMAN",IF(AA2437=AB2437,AA2437,IF(AD2437&lt;&gt;"",AD2437,"PENDING_HUMAN")))</x:f>
        <x:v>PENDING_HUMAN</x:v>
      </x:c>
      <x:c r="AF2437" t="n">
        <x:f>--AND(A2437&lt;&gt;"",AA2437&lt;&gt;"",AB2437&lt;&gt;"",OR(AA2437=AB2437,AD2437&lt;&gt;""),IF(AE2437="HALLUCINATION",U2437&lt;&gt;"",TRUE))</x:f>
        <x:v>0</x:v>
      </x:c>
      <x:c r="AG2437" t="n">
        <x:f>--AND(N2437=1,AF2437=1,OR(AE2437="SUPPORTED",AE2437="HALLUCINATION"))</x:f>
        <x:v>0</x:v>
      </x:c>
      <x:c r="AH2437" t="n">
        <x:f>--AND(AG2437=1,AE2437="HALLUCINATION")</x:f>
        <x:v>0</x:v>
      </x:c>
      <x:c r="AI2437" t="n">
        <x:f>--AND(Q2437=1,AF2437=1,AE2437="HALLUCINATION")</x:f>
        <x:v>0</x:v>
      </x:c>
      <x:c r="AJ2437" t="n">
        <x:f>--AND(AI2437=1,R2437=1,S2437=1)</x:f>
        <x:v>0</x:v>
      </x:c>
    </x:row>
    <x:row r="2438">
      <x:c r="A2438" s="28"/>
      <x:c r="B2438" s="28"/>
      <x:c r="C2438" s="28"/>
      <x:c r="D2438" s="28"/>
      <x:c r="E2438" s="28"/>
      <x:c r="F2438" s="28"/>
      <x:c r="G2438" s="28"/>
      <x:c r="H2438" s="28"/>
      <x:c r="I2438" s="28"/>
      <x:c r="J2438" s="28"/>
      <x:c r="K2438" s="28"/>
      <x:c r="L2438" s="28"/>
      <x:c r="M2438" s="28"/>
      <x:c r="N2438" s="28"/>
      <x:c r="O2438" s="28"/>
      <x:c r="P2438" s="28"/>
      <x:c r="Q2438" s="28"/>
      <x:c r="R2438" s="28"/>
      <x:c r="S2438" s="28"/>
      <x:c r="T2438" s="28"/>
      <x:c r="U2438" s="28"/>
      <x:c r="V2438" s="28"/>
      <x:c r="W2438" s="43" t="n">
        <x:f>--AND(N2438=1,OR(O2438="SUPPORTED",O2438="HALLUCINATION"))</x:f>
        <x:v>0</x:v>
      </x:c>
      <x:c r="X2438" s="43" t="n">
        <x:f>--AND(W2438=1,O2438="HALLUCINATION")</x:f>
        <x:v>0</x:v>
      </x:c>
      <x:c r="Y2438" s="43" t="n">
        <x:f>--AND(Q2438=1,O2438="HALLUCINATION")</x:f>
        <x:v>0</x:v>
      </x:c>
      <x:c r="Z2438" s="43" t="n">
        <x:f>--AND(Y2438=1,R2438=1,S2438=1)</x:f>
        <x:v>0</x:v>
      </x:c>
      <x:c r="AC2438" t="str">
        <x:f>IF(OR(AA2438="",AB2438=""),"",--(AA2438&lt;&gt;AB2438))</x:f>
      </x:c>
      <x:c r="AE2438" t="str">
        <x:f>IF(OR(AA2438="",AB2438=""),"PENDING_HUMAN",IF(AA2438=AB2438,AA2438,IF(AD2438&lt;&gt;"",AD2438,"PENDING_HUMAN")))</x:f>
        <x:v>PENDING_HUMAN</x:v>
      </x:c>
      <x:c r="AF2438" t="n">
        <x:f>--AND(A2438&lt;&gt;"",AA2438&lt;&gt;"",AB2438&lt;&gt;"",OR(AA2438=AB2438,AD2438&lt;&gt;""),IF(AE2438="HALLUCINATION",U2438&lt;&gt;"",TRUE))</x:f>
        <x:v>0</x:v>
      </x:c>
      <x:c r="AG2438" t="n">
        <x:f>--AND(N2438=1,AF2438=1,OR(AE2438="SUPPORTED",AE2438="HALLUCINATION"))</x:f>
        <x:v>0</x:v>
      </x:c>
      <x:c r="AH2438" t="n">
        <x:f>--AND(AG2438=1,AE2438="HALLUCINATION")</x:f>
        <x:v>0</x:v>
      </x:c>
      <x:c r="AI2438" t="n">
        <x:f>--AND(Q2438=1,AF2438=1,AE2438="HALLUCINATION")</x:f>
        <x:v>0</x:v>
      </x:c>
      <x:c r="AJ2438" t="n">
        <x:f>--AND(AI2438=1,R2438=1,S2438=1)</x:f>
        <x:v>0</x:v>
      </x:c>
    </x:row>
    <x:row r="2439">
      <x:c r="A2439" s="28"/>
      <x:c r="B2439" s="28"/>
      <x:c r="C2439" s="28"/>
      <x:c r="D2439" s="28"/>
      <x:c r="E2439" s="28"/>
      <x:c r="F2439" s="28"/>
      <x:c r="G2439" s="28"/>
      <x:c r="H2439" s="28"/>
      <x:c r="I2439" s="28"/>
      <x:c r="J2439" s="28"/>
      <x:c r="K2439" s="28"/>
      <x:c r="L2439" s="28"/>
      <x:c r="M2439" s="28"/>
      <x:c r="N2439" s="28"/>
      <x:c r="O2439" s="28"/>
      <x:c r="P2439" s="28"/>
      <x:c r="Q2439" s="28"/>
      <x:c r="R2439" s="28"/>
      <x:c r="S2439" s="28"/>
      <x:c r="T2439" s="28"/>
      <x:c r="U2439" s="28"/>
      <x:c r="V2439" s="28"/>
      <x:c r="W2439" s="43" t="n">
        <x:f>--AND(N2439=1,OR(O2439="SUPPORTED",O2439="HALLUCINATION"))</x:f>
        <x:v>0</x:v>
      </x:c>
      <x:c r="X2439" s="43" t="n">
        <x:f>--AND(W2439=1,O2439="HALLUCINATION")</x:f>
        <x:v>0</x:v>
      </x:c>
      <x:c r="Y2439" s="43" t="n">
        <x:f>--AND(Q2439=1,O2439="HALLUCINATION")</x:f>
        <x:v>0</x:v>
      </x:c>
      <x:c r="Z2439" s="43" t="n">
        <x:f>--AND(Y2439=1,R2439=1,S2439=1)</x:f>
        <x:v>0</x:v>
      </x:c>
      <x:c r="AC2439" t="str">
        <x:f>IF(OR(AA2439="",AB2439=""),"",--(AA2439&lt;&gt;AB2439))</x:f>
      </x:c>
      <x:c r="AE2439" t="str">
        <x:f>IF(OR(AA2439="",AB2439=""),"PENDING_HUMAN",IF(AA2439=AB2439,AA2439,IF(AD2439&lt;&gt;"",AD2439,"PENDING_HUMAN")))</x:f>
        <x:v>PENDING_HUMAN</x:v>
      </x:c>
      <x:c r="AF2439" t="n">
        <x:f>--AND(A2439&lt;&gt;"",AA2439&lt;&gt;"",AB2439&lt;&gt;"",OR(AA2439=AB2439,AD2439&lt;&gt;""),IF(AE2439="HALLUCINATION",U2439&lt;&gt;"",TRUE))</x:f>
        <x:v>0</x:v>
      </x:c>
      <x:c r="AG2439" t="n">
        <x:f>--AND(N2439=1,AF2439=1,OR(AE2439="SUPPORTED",AE2439="HALLUCINATION"))</x:f>
        <x:v>0</x:v>
      </x:c>
      <x:c r="AH2439" t="n">
        <x:f>--AND(AG2439=1,AE2439="HALLUCINATION")</x:f>
        <x:v>0</x:v>
      </x:c>
      <x:c r="AI2439" t="n">
        <x:f>--AND(Q2439=1,AF2439=1,AE2439="HALLUCINATION")</x:f>
        <x:v>0</x:v>
      </x:c>
      <x:c r="AJ2439" t="n">
        <x:f>--AND(AI2439=1,R2439=1,S2439=1)</x:f>
        <x:v>0</x:v>
      </x:c>
    </x:row>
    <x:row r="2440">
      <x:c r="A2440" s="28"/>
      <x:c r="B2440" s="28"/>
      <x:c r="C2440" s="28"/>
      <x:c r="D2440" s="28"/>
      <x:c r="E2440" s="28"/>
      <x:c r="F2440" s="28"/>
      <x:c r="G2440" s="28"/>
      <x:c r="H2440" s="28"/>
      <x:c r="I2440" s="28"/>
      <x:c r="J2440" s="28"/>
      <x:c r="K2440" s="28"/>
      <x:c r="L2440" s="28"/>
      <x:c r="M2440" s="28"/>
      <x:c r="N2440" s="28"/>
      <x:c r="O2440" s="28"/>
      <x:c r="P2440" s="28"/>
      <x:c r="Q2440" s="28"/>
      <x:c r="R2440" s="28"/>
      <x:c r="S2440" s="28"/>
      <x:c r="T2440" s="28"/>
      <x:c r="U2440" s="28"/>
      <x:c r="V2440" s="28"/>
      <x:c r="W2440" s="43" t="n">
        <x:f>--AND(N2440=1,OR(O2440="SUPPORTED",O2440="HALLUCINATION"))</x:f>
        <x:v>0</x:v>
      </x:c>
      <x:c r="X2440" s="43" t="n">
        <x:f>--AND(W2440=1,O2440="HALLUCINATION")</x:f>
        <x:v>0</x:v>
      </x:c>
      <x:c r="Y2440" s="43" t="n">
        <x:f>--AND(Q2440=1,O2440="HALLUCINATION")</x:f>
        <x:v>0</x:v>
      </x:c>
      <x:c r="Z2440" s="43" t="n">
        <x:f>--AND(Y2440=1,R2440=1,S2440=1)</x:f>
        <x:v>0</x:v>
      </x:c>
      <x:c r="AC2440" t="str">
        <x:f>IF(OR(AA2440="",AB2440=""),"",--(AA2440&lt;&gt;AB2440))</x:f>
      </x:c>
      <x:c r="AE2440" t="str">
        <x:f>IF(OR(AA2440="",AB2440=""),"PENDING_HUMAN",IF(AA2440=AB2440,AA2440,IF(AD2440&lt;&gt;"",AD2440,"PENDING_HUMAN")))</x:f>
        <x:v>PENDING_HUMAN</x:v>
      </x:c>
      <x:c r="AF2440" t="n">
        <x:f>--AND(A2440&lt;&gt;"",AA2440&lt;&gt;"",AB2440&lt;&gt;"",OR(AA2440=AB2440,AD2440&lt;&gt;""),IF(AE2440="HALLUCINATION",U2440&lt;&gt;"",TRUE))</x:f>
        <x:v>0</x:v>
      </x:c>
      <x:c r="AG2440" t="n">
        <x:f>--AND(N2440=1,AF2440=1,OR(AE2440="SUPPORTED",AE2440="HALLUCINATION"))</x:f>
        <x:v>0</x:v>
      </x:c>
      <x:c r="AH2440" t="n">
        <x:f>--AND(AG2440=1,AE2440="HALLUCINATION")</x:f>
        <x:v>0</x:v>
      </x:c>
      <x:c r="AI2440" t="n">
        <x:f>--AND(Q2440=1,AF2440=1,AE2440="HALLUCINATION")</x:f>
        <x:v>0</x:v>
      </x:c>
      <x:c r="AJ2440" t="n">
        <x:f>--AND(AI2440=1,R2440=1,S2440=1)</x:f>
        <x:v>0</x:v>
      </x:c>
    </x:row>
    <x:row r="2441">
      <x:c r="A2441" s="28"/>
      <x:c r="B2441" s="28"/>
      <x:c r="C2441" s="28"/>
      <x:c r="D2441" s="28"/>
      <x:c r="E2441" s="28"/>
      <x:c r="F2441" s="28"/>
      <x:c r="G2441" s="28"/>
      <x:c r="H2441" s="28"/>
      <x:c r="I2441" s="28"/>
      <x:c r="J2441" s="28"/>
      <x:c r="K2441" s="28"/>
      <x:c r="L2441" s="28"/>
      <x:c r="M2441" s="28"/>
      <x:c r="N2441" s="28"/>
      <x:c r="O2441" s="28"/>
      <x:c r="P2441" s="28"/>
      <x:c r="Q2441" s="28"/>
      <x:c r="R2441" s="28"/>
      <x:c r="S2441" s="28"/>
      <x:c r="T2441" s="28"/>
      <x:c r="U2441" s="28"/>
      <x:c r="V2441" s="28"/>
      <x:c r="W2441" s="43" t="n">
        <x:f>--AND(N2441=1,OR(O2441="SUPPORTED",O2441="HALLUCINATION"))</x:f>
        <x:v>0</x:v>
      </x:c>
      <x:c r="X2441" s="43" t="n">
        <x:f>--AND(W2441=1,O2441="HALLUCINATION")</x:f>
        <x:v>0</x:v>
      </x:c>
      <x:c r="Y2441" s="43" t="n">
        <x:f>--AND(Q2441=1,O2441="HALLUCINATION")</x:f>
        <x:v>0</x:v>
      </x:c>
      <x:c r="Z2441" s="43" t="n">
        <x:f>--AND(Y2441=1,R2441=1,S2441=1)</x:f>
        <x:v>0</x:v>
      </x:c>
      <x:c r="AC2441" t="str">
        <x:f>IF(OR(AA2441="",AB2441=""),"",--(AA2441&lt;&gt;AB2441))</x:f>
      </x:c>
      <x:c r="AE2441" t="str">
        <x:f>IF(OR(AA2441="",AB2441=""),"PENDING_HUMAN",IF(AA2441=AB2441,AA2441,IF(AD2441&lt;&gt;"",AD2441,"PENDING_HUMAN")))</x:f>
        <x:v>PENDING_HUMAN</x:v>
      </x:c>
      <x:c r="AF2441" t="n">
        <x:f>--AND(A2441&lt;&gt;"",AA2441&lt;&gt;"",AB2441&lt;&gt;"",OR(AA2441=AB2441,AD2441&lt;&gt;""),IF(AE2441="HALLUCINATION",U2441&lt;&gt;"",TRUE))</x:f>
        <x:v>0</x:v>
      </x:c>
      <x:c r="AG2441" t="n">
        <x:f>--AND(N2441=1,AF2441=1,OR(AE2441="SUPPORTED",AE2441="HALLUCINATION"))</x:f>
        <x:v>0</x:v>
      </x:c>
      <x:c r="AH2441" t="n">
        <x:f>--AND(AG2441=1,AE2441="HALLUCINATION")</x:f>
        <x:v>0</x:v>
      </x:c>
      <x:c r="AI2441" t="n">
        <x:f>--AND(Q2441=1,AF2441=1,AE2441="HALLUCINATION")</x:f>
        <x:v>0</x:v>
      </x:c>
      <x:c r="AJ2441" t="n">
        <x:f>--AND(AI2441=1,R2441=1,S2441=1)</x:f>
        <x:v>0</x:v>
      </x:c>
    </x:row>
    <x:row r="2442">
      <x:c r="A2442" s="28"/>
      <x:c r="B2442" s="28"/>
      <x:c r="C2442" s="28"/>
      <x:c r="D2442" s="28"/>
      <x:c r="E2442" s="28"/>
      <x:c r="F2442" s="28"/>
      <x:c r="G2442" s="28"/>
      <x:c r="H2442" s="28"/>
      <x:c r="I2442" s="28"/>
      <x:c r="J2442" s="28"/>
      <x:c r="K2442" s="28"/>
      <x:c r="L2442" s="28"/>
      <x:c r="M2442" s="28"/>
      <x:c r="N2442" s="28"/>
      <x:c r="O2442" s="28"/>
      <x:c r="P2442" s="28"/>
      <x:c r="Q2442" s="28"/>
      <x:c r="R2442" s="28"/>
      <x:c r="S2442" s="28"/>
      <x:c r="T2442" s="28"/>
      <x:c r="U2442" s="28"/>
      <x:c r="V2442" s="28"/>
      <x:c r="W2442" s="43" t="n">
        <x:f>--AND(N2442=1,OR(O2442="SUPPORTED",O2442="HALLUCINATION"))</x:f>
        <x:v>0</x:v>
      </x:c>
      <x:c r="X2442" s="43" t="n">
        <x:f>--AND(W2442=1,O2442="HALLUCINATION")</x:f>
        <x:v>0</x:v>
      </x:c>
      <x:c r="Y2442" s="43" t="n">
        <x:f>--AND(Q2442=1,O2442="HALLUCINATION")</x:f>
        <x:v>0</x:v>
      </x:c>
      <x:c r="Z2442" s="43" t="n">
        <x:f>--AND(Y2442=1,R2442=1,S2442=1)</x:f>
        <x:v>0</x:v>
      </x:c>
      <x:c r="AC2442" t="str">
        <x:f>IF(OR(AA2442="",AB2442=""),"",--(AA2442&lt;&gt;AB2442))</x:f>
      </x:c>
      <x:c r="AE2442" t="str">
        <x:f>IF(OR(AA2442="",AB2442=""),"PENDING_HUMAN",IF(AA2442=AB2442,AA2442,IF(AD2442&lt;&gt;"",AD2442,"PENDING_HUMAN")))</x:f>
        <x:v>PENDING_HUMAN</x:v>
      </x:c>
      <x:c r="AF2442" t="n">
        <x:f>--AND(A2442&lt;&gt;"",AA2442&lt;&gt;"",AB2442&lt;&gt;"",OR(AA2442=AB2442,AD2442&lt;&gt;""),IF(AE2442="HALLUCINATION",U2442&lt;&gt;"",TRUE))</x:f>
        <x:v>0</x:v>
      </x:c>
      <x:c r="AG2442" t="n">
        <x:f>--AND(N2442=1,AF2442=1,OR(AE2442="SUPPORTED",AE2442="HALLUCINATION"))</x:f>
        <x:v>0</x:v>
      </x:c>
      <x:c r="AH2442" t="n">
        <x:f>--AND(AG2442=1,AE2442="HALLUCINATION")</x:f>
        <x:v>0</x:v>
      </x:c>
      <x:c r="AI2442" t="n">
        <x:f>--AND(Q2442=1,AF2442=1,AE2442="HALLUCINATION")</x:f>
        <x:v>0</x:v>
      </x:c>
      <x:c r="AJ2442" t="n">
        <x:f>--AND(AI2442=1,R2442=1,S2442=1)</x:f>
        <x:v>0</x:v>
      </x:c>
    </x:row>
    <x:row r="2443">
      <x:c r="A2443" s="28"/>
      <x:c r="B2443" s="28"/>
      <x:c r="C2443" s="28"/>
      <x:c r="D2443" s="28"/>
      <x:c r="E2443" s="28"/>
      <x:c r="F2443" s="28"/>
      <x:c r="G2443" s="28"/>
      <x:c r="H2443" s="28"/>
      <x:c r="I2443" s="28"/>
      <x:c r="J2443" s="28"/>
      <x:c r="K2443" s="28"/>
      <x:c r="L2443" s="28"/>
      <x:c r="M2443" s="28"/>
      <x:c r="N2443" s="28"/>
      <x:c r="O2443" s="28"/>
      <x:c r="P2443" s="28"/>
      <x:c r="Q2443" s="28"/>
      <x:c r="R2443" s="28"/>
      <x:c r="S2443" s="28"/>
      <x:c r="T2443" s="28"/>
      <x:c r="U2443" s="28"/>
      <x:c r="V2443" s="28"/>
      <x:c r="W2443" s="43" t="n">
        <x:f>--AND(N2443=1,OR(O2443="SUPPORTED",O2443="HALLUCINATION"))</x:f>
        <x:v>0</x:v>
      </x:c>
      <x:c r="X2443" s="43" t="n">
        <x:f>--AND(W2443=1,O2443="HALLUCINATION")</x:f>
        <x:v>0</x:v>
      </x:c>
      <x:c r="Y2443" s="43" t="n">
        <x:f>--AND(Q2443=1,O2443="HALLUCINATION")</x:f>
        <x:v>0</x:v>
      </x:c>
      <x:c r="Z2443" s="43" t="n">
        <x:f>--AND(Y2443=1,R2443=1,S2443=1)</x:f>
        <x:v>0</x:v>
      </x:c>
      <x:c r="AC2443" t="str">
        <x:f>IF(OR(AA2443="",AB2443=""),"",--(AA2443&lt;&gt;AB2443))</x:f>
      </x:c>
      <x:c r="AE2443" t="str">
        <x:f>IF(OR(AA2443="",AB2443=""),"PENDING_HUMAN",IF(AA2443=AB2443,AA2443,IF(AD2443&lt;&gt;"",AD2443,"PENDING_HUMAN")))</x:f>
        <x:v>PENDING_HUMAN</x:v>
      </x:c>
      <x:c r="AF2443" t="n">
        <x:f>--AND(A2443&lt;&gt;"",AA2443&lt;&gt;"",AB2443&lt;&gt;"",OR(AA2443=AB2443,AD2443&lt;&gt;""),IF(AE2443="HALLUCINATION",U2443&lt;&gt;"",TRUE))</x:f>
        <x:v>0</x:v>
      </x:c>
      <x:c r="AG2443" t="n">
        <x:f>--AND(N2443=1,AF2443=1,OR(AE2443="SUPPORTED",AE2443="HALLUCINATION"))</x:f>
        <x:v>0</x:v>
      </x:c>
      <x:c r="AH2443" t="n">
        <x:f>--AND(AG2443=1,AE2443="HALLUCINATION")</x:f>
        <x:v>0</x:v>
      </x:c>
      <x:c r="AI2443" t="n">
        <x:f>--AND(Q2443=1,AF2443=1,AE2443="HALLUCINATION")</x:f>
        <x:v>0</x:v>
      </x:c>
      <x:c r="AJ2443" t="n">
        <x:f>--AND(AI2443=1,R2443=1,S2443=1)</x:f>
        <x:v>0</x:v>
      </x:c>
    </x:row>
    <x:row r="2444">
      <x:c r="A2444" s="28"/>
      <x:c r="B2444" s="28"/>
      <x:c r="C2444" s="28"/>
      <x:c r="D2444" s="28"/>
      <x:c r="E2444" s="28"/>
      <x:c r="F2444" s="28"/>
      <x:c r="G2444" s="28"/>
      <x:c r="H2444" s="28"/>
      <x:c r="I2444" s="28"/>
      <x:c r="J2444" s="28"/>
      <x:c r="K2444" s="28"/>
      <x:c r="L2444" s="28"/>
      <x:c r="M2444" s="28"/>
      <x:c r="N2444" s="28"/>
      <x:c r="O2444" s="28"/>
      <x:c r="P2444" s="28"/>
      <x:c r="Q2444" s="28"/>
      <x:c r="R2444" s="28"/>
      <x:c r="S2444" s="28"/>
      <x:c r="T2444" s="28"/>
      <x:c r="U2444" s="28"/>
      <x:c r="V2444" s="28"/>
      <x:c r="W2444" s="43" t="n">
        <x:f>--AND(N2444=1,OR(O2444="SUPPORTED",O2444="HALLUCINATION"))</x:f>
        <x:v>0</x:v>
      </x:c>
      <x:c r="X2444" s="43" t="n">
        <x:f>--AND(W2444=1,O2444="HALLUCINATION")</x:f>
        <x:v>0</x:v>
      </x:c>
      <x:c r="Y2444" s="43" t="n">
        <x:f>--AND(Q2444=1,O2444="HALLUCINATION")</x:f>
        <x:v>0</x:v>
      </x:c>
      <x:c r="Z2444" s="43" t="n">
        <x:f>--AND(Y2444=1,R2444=1,S2444=1)</x:f>
        <x:v>0</x:v>
      </x:c>
      <x:c r="AC2444" t="str">
        <x:f>IF(OR(AA2444="",AB2444=""),"",--(AA2444&lt;&gt;AB2444))</x:f>
      </x:c>
      <x:c r="AE2444" t="str">
        <x:f>IF(OR(AA2444="",AB2444=""),"PENDING_HUMAN",IF(AA2444=AB2444,AA2444,IF(AD2444&lt;&gt;"",AD2444,"PENDING_HUMAN")))</x:f>
        <x:v>PENDING_HUMAN</x:v>
      </x:c>
      <x:c r="AF2444" t="n">
        <x:f>--AND(A2444&lt;&gt;"",AA2444&lt;&gt;"",AB2444&lt;&gt;"",OR(AA2444=AB2444,AD2444&lt;&gt;""),IF(AE2444="HALLUCINATION",U2444&lt;&gt;"",TRUE))</x:f>
        <x:v>0</x:v>
      </x:c>
      <x:c r="AG2444" t="n">
        <x:f>--AND(N2444=1,AF2444=1,OR(AE2444="SUPPORTED",AE2444="HALLUCINATION"))</x:f>
        <x:v>0</x:v>
      </x:c>
      <x:c r="AH2444" t="n">
        <x:f>--AND(AG2444=1,AE2444="HALLUCINATION")</x:f>
        <x:v>0</x:v>
      </x:c>
      <x:c r="AI2444" t="n">
        <x:f>--AND(Q2444=1,AF2444=1,AE2444="HALLUCINATION")</x:f>
        <x:v>0</x:v>
      </x:c>
      <x:c r="AJ2444" t="n">
        <x:f>--AND(AI2444=1,R2444=1,S2444=1)</x:f>
        <x:v>0</x:v>
      </x:c>
    </x:row>
    <x:row r="2445">
      <x:c r="A2445" s="28"/>
      <x:c r="B2445" s="28"/>
      <x:c r="C2445" s="28"/>
      <x:c r="D2445" s="28"/>
      <x:c r="E2445" s="28"/>
      <x:c r="F2445" s="28"/>
      <x:c r="G2445" s="28"/>
      <x:c r="H2445" s="28"/>
      <x:c r="I2445" s="28"/>
      <x:c r="J2445" s="28"/>
      <x:c r="K2445" s="28"/>
      <x:c r="L2445" s="28"/>
      <x:c r="M2445" s="28"/>
      <x:c r="N2445" s="28"/>
      <x:c r="O2445" s="28"/>
      <x:c r="P2445" s="28"/>
      <x:c r="Q2445" s="28"/>
      <x:c r="R2445" s="28"/>
      <x:c r="S2445" s="28"/>
      <x:c r="T2445" s="28"/>
      <x:c r="U2445" s="28"/>
      <x:c r="V2445" s="28"/>
      <x:c r="W2445" s="43" t="n">
        <x:f>--AND(N2445=1,OR(O2445="SUPPORTED",O2445="HALLUCINATION"))</x:f>
        <x:v>0</x:v>
      </x:c>
      <x:c r="X2445" s="43" t="n">
        <x:f>--AND(W2445=1,O2445="HALLUCINATION")</x:f>
        <x:v>0</x:v>
      </x:c>
      <x:c r="Y2445" s="43" t="n">
        <x:f>--AND(Q2445=1,O2445="HALLUCINATION")</x:f>
        <x:v>0</x:v>
      </x:c>
      <x:c r="Z2445" s="43" t="n">
        <x:f>--AND(Y2445=1,R2445=1,S2445=1)</x:f>
        <x:v>0</x:v>
      </x:c>
      <x:c r="AC2445" t="str">
        <x:f>IF(OR(AA2445="",AB2445=""),"",--(AA2445&lt;&gt;AB2445))</x:f>
      </x:c>
      <x:c r="AE2445" t="str">
        <x:f>IF(OR(AA2445="",AB2445=""),"PENDING_HUMAN",IF(AA2445=AB2445,AA2445,IF(AD2445&lt;&gt;"",AD2445,"PENDING_HUMAN")))</x:f>
        <x:v>PENDING_HUMAN</x:v>
      </x:c>
      <x:c r="AF2445" t="n">
        <x:f>--AND(A2445&lt;&gt;"",AA2445&lt;&gt;"",AB2445&lt;&gt;"",OR(AA2445=AB2445,AD2445&lt;&gt;""),IF(AE2445="HALLUCINATION",U2445&lt;&gt;"",TRUE))</x:f>
        <x:v>0</x:v>
      </x:c>
      <x:c r="AG2445" t="n">
        <x:f>--AND(N2445=1,AF2445=1,OR(AE2445="SUPPORTED",AE2445="HALLUCINATION"))</x:f>
        <x:v>0</x:v>
      </x:c>
      <x:c r="AH2445" t="n">
        <x:f>--AND(AG2445=1,AE2445="HALLUCINATION")</x:f>
        <x:v>0</x:v>
      </x:c>
      <x:c r="AI2445" t="n">
        <x:f>--AND(Q2445=1,AF2445=1,AE2445="HALLUCINATION")</x:f>
        <x:v>0</x:v>
      </x:c>
      <x:c r="AJ2445" t="n">
        <x:f>--AND(AI2445=1,R2445=1,S2445=1)</x:f>
        <x:v>0</x:v>
      </x:c>
    </x:row>
    <x:row r="2446">
      <x:c r="A2446" s="28"/>
      <x:c r="B2446" s="28"/>
      <x:c r="C2446" s="28"/>
      <x:c r="D2446" s="28"/>
      <x:c r="E2446" s="28"/>
      <x:c r="F2446" s="28"/>
      <x:c r="G2446" s="28"/>
      <x:c r="H2446" s="28"/>
      <x:c r="I2446" s="28"/>
      <x:c r="J2446" s="28"/>
      <x:c r="K2446" s="28"/>
      <x:c r="L2446" s="28"/>
      <x:c r="M2446" s="28"/>
      <x:c r="N2446" s="28"/>
      <x:c r="O2446" s="28"/>
      <x:c r="P2446" s="28"/>
      <x:c r="Q2446" s="28"/>
      <x:c r="R2446" s="28"/>
      <x:c r="S2446" s="28"/>
      <x:c r="T2446" s="28"/>
      <x:c r="U2446" s="28"/>
      <x:c r="V2446" s="28"/>
      <x:c r="W2446" s="43" t="n">
        <x:f>--AND(N2446=1,OR(O2446="SUPPORTED",O2446="HALLUCINATION"))</x:f>
        <x:v>0</x:v>
      </x:c>
      <x:c r="X2446" s="43" t="n">
        <x:f>--AND(W2446=1,O2446="HALLUCINATION")</x:f>
        <x:v>0</x:v>
      </x:c>
      <x:c r="Y2446" s="43" t="n">
        <x:f>--AND(Q2446=1,O2446="HALLUCINATION")</x:f>
        <x:v>0</x:v>
      </x:c>
      <x:c r="Z2446" s="43" t="n">
        <x:f>--AND(Y2446=1,R2446=1,S2446=1)</x:f>
        <x:v>0</x:v>
      </x:c>
      <x:c r="AC2446" t="str">
        <x:f>IF(OR(AA2446="",AB2446=""),"",--(AA2446&lt;&gt;AB2446))</x:f>
      </x:c>
      <x:c r="AE2446" t="str">
        <x:f>IF(OR(AA2446="",AB2446=""),"PENDING_HUMAN",IF(AA2446=AB2446,AA2446,IF(AD2446&lt;&gt;"",AD2446,"PENDING_HUMAN")))</x:f>
        <x:v>PENDING_HUMAN</x:v>
      </x:c>
      <x:c r="AF2446" t="n">
        <x:f>--AND(A2446&lt;&gt;"",AA2446&lt;&gt;"",AB2446&lt;&gt;"",OR(AA2446=AB2446,AD2446&lt;&gt;""),IF(AE2446="HALLUCINATION",U2446&lt;&gt;"",TRUE))</x:f>
        <x:v>0</x:v>
      </x:c>
      <x:c r="AG2446" t="n">
        <x:f>--AND(N2446=1,AF2446=1,OR(AE2446="SUPPORTED",AE2446="HALLUCINATION"))</x:f>
        <x:v>0</x:v>
      </x:c>
      <x:c r="AH2446" t="n">
        <x:f>--AND(AG2446=1,AE2446="HALLUCINATION")</x:f>
        <x:v>0</x:v>
      </x:c>
      <x:c r="AI2446" t="n">
        <x:f>--AND(Q2446=1,AF2446=1,AE2446="HALLUCINATION")</x:f>
        <x:v>0</x:v>
      </x:c>
      <x:c r="AJ2446" t="n">
        <x:f>--AND(AI2446=1,R2446=1,S2446=1)</x:f>
        <x:v>0</x:v>
      </x:c>
    </x:row>
    <x:row r="2447">
      <x:c r="A2447" s="28"/>
      <x:c r="B2447" s="28"/>
      <x:c r="C2447" s="28"/>
      <x:c r="D2447" s="28"/>
      <x:c r="E2447" s="28"/>
      <x:c r="F2447" s="28"/>
      <x:c r="G2447" s="28"/>
      <x:c r="H2447" s="28"/>
      <x:c r="I2447" s="28"/>
      <x:c r="J2447" s="28"/>
      <x:c r="K2447" s="28"/>
      <x:c r="L2447" s="28"/>
      <x:c r="M2447" s="28"/>
      <x:c r="N2447" s="28"/>
      <x:c r="O2447" s="28"/>
      <x:c r="P2447" s="28"/>
      <x:c r="Q2447" s="28"/>
      <x:c r="R2447" s="28"/>
      <x:c r="S2447" s="28"/>
      <x:c r="T2447" s="28"/>
      <x:c r="U2447" s="28"/>
      <x:c r="V2447" s="28"/>
      <x:c r="W2447" s="43" t="n">
        <x:f>--AND(N2447=1,OR(O2447="SUPPORTED",O2447="HALLUCINATION"))</x:f>
        <x:v>0</x:v>
      </x:c>
      <x:c r="X2447" s="43" t="n">
        <x:f>--AND(W2447=1,O2447="HALLUCINATION")</x:f>
        <x:v>0</x:v>
      </x:c>
      <x:c r="Y2447" s="43" t="n">
        <x:f>--AND(Q2447=1,O2447="HALLUCINATION")</x:f>
        <x:v>0</x:v>
      </x:c>
      <x:c r="Z2447" s="43" t="n">
        <x:f>--AND(Y2447=1,R2447=1,S2447=1)</x:f>
        <x:v>0</x:v>
      </x:c>
      <x:c r="AC2447" t="str">
        <x:f>IF(OR(AA2447="",AB2447=""),"",--(AA2447&lt;&gt;AB2447))</x:f>
      </x:c>
      <x:c r="AE2447" t="str">
        <x:f>IF(OR(AA2447="",AB2447=""),"PENDING_HUMAN",IF(AA2447=AB2447,AA2447,IF(AD2447&lt;&gt;"",AD2447,"PENDING_HUMAN")))</x:f>
        <x:v>PENDING_HUMAN</x:v>
      </x:c>
      <x:c r="AF2447" t="n">
        <x:f>--AND(A2447&lt;&gt;"",AA2447&lt;&gt;"",AB2447&lt;&gt;"",OR(AA2447=AB2447,AD2447&lt;&gt;""),IF(AE2447="HALLUCINATION",U2447&lt;&gt;"",TRUE))</x:f>
        <x:v>0</x:v>
      </x:c>
      <x:c r="AG2447" t="n">
        <x:f>--AND(N2447=1,AF2447=1,OR(AE2447="SUPPORTED",AE2447="HALLUCINATION"))</x:f>
        <x:v>0</x:v>
      </x:c>
      <x:c r="AH2447" t="n">
        <x:f>--AND(AG2447=1,AE2447="HALLUCINATION")</x:f>
        <x:v>0</x:v>
      </x:c>
      <x:c r="AI2447" t="n">
        <x:f>--AND(Q2447=1,AF2447=1,AE2447="HALLUCINATION")</x:f>
        <x:v>0</x:v>
      </x:c>
      <x:c r="AJ2447" t="n">
        <x:f>--AND(AI2447=1,R2447=1,S2447=1)</x:f>
        <x:v>0</x:v>
      </x:c>
    </x:row>
    <x:row r="2448">
      <x:c r="A2448" s="28"/>
      <x:c r="B2448" s="28"/>
      <x:c r="C2448" s="28"/>
      <x:c r="D2448" s="28"/>
      <x:c r="E2448" s="28"/>
      <x:c r="F2448" s="28"/>
      <x:c r="G2448" s="28"/>
      <x:c r="H2448" s="28"/>
      <x:c r="I2448" s="28"/>
      <x:c r="J2448" s="28"/>
      <x:c r="K2448" s="28"/>
      <x:c r="L2448" s="28"/>
      <x:c r="M2448" s="28"/>
      <x:c r="N2448" s="28"/>
      <x:c r="O2448" s="28"/>
      <x:c r="P2448" s="28"/>
      <x:c r="Q2448" s="28"/>
      <x:c r="R2448" s="28"/>
      <x:c r="S2448" s="28"/>
      <x:c r="T2448" s="28"/>
      <x:c r="U2448" s="28"/>
      <x:c r="V2448" s="28"/>
      <x:c r="W2448" s="43" t="n">
        <x:f>--AND(N2448=1,OR(O2448="SUPPORTED",O2448="HALLUCINATION"))</x:f>
        <x:v>0</x:v>
      </x:c>
      <x:c r="X2448" s="43" t="n">
        <x:f>--AND(W2448=1,O2448="HALLUCINATION")</x:f>
        <x:v>0</x:v>
      </x:c>
      <x:c r="Y2448" s="43" t="n">
        <x:f>--AND(Q2448=1,O2448="HALLUCINATION")</x:f>
        <x:v>0</x:v>
      </x:c>
      <x:c r="Z2448" s="43" t="n">
        <x:f>--AND(Y2448=1,R2448=1,S2448=1)</x:f>
        <x:v>0</x:v>
      </x:c>
      <x:c r="AC2448" t="str">
        <x:f>IF(OR(AA2448="",AB2448=""),"",--(AA2448&lt;&gt;AB2448))</x:f>
      </x:c>
      <x:c r="AE2448" t="str">
        <x:f>IF(OR(AA2448="",AB2448=""),"PENDING_HUMAN",IF(AA2448=AB2448,AA2448,IF(AD2448&lt;&gt;"",AD2448,"PENDING_HUMAN")))</x:f>
        <x:v>PENDING_HUMAN</x:v>
      </x:c>
      <x:c r="AF2448" t="n">
        <x:f>--AND(A2448&lt;&gt;"",AA2448&lt;&gt;"",AB2448&lt;&gt;"",OR(AA2448=AB2448,AD2448&lt;&gt;""),IF(AE2448="HALLUCINATION",U2448&lt;&gt;"",TRUE))</x:f>
        <x:v>0</x:v>
      </x:c>
      <x:c r="AG2448" t="n">
        <x:f>--AND(N2448=1,AF2448=1,OR(AE2448="SUPPORTED",AE2448="HALLUCINATION"))</x:f>
        <x:v>0</x:v>
      </x:c>
      <x:c r="AH2448" t="n">
        <x:f>--AND(AG2448=1,AE2448="HALLUCINATION")</x:f>
        <x:v>0</x:v>
      </x:c>
      <x:c r="AI2448" t="n">
        <x:f>--AND(Q2448=1,AF2448=1,AE2448="HALLUCINATION")</x:f>
        <x:v>0</x:v>
      </x:c>
      <x:c r="AJ2448" t="n">
        <x:f>--AND(AI2448=1,R2448=1,S2448=1)</x:f>
        <x:v>0</x:v>
      </x:c>
    </x:row>
    <x:row r="2449">
      <x:c r="A2449" s="28"/>
      <x:c r="B2449" s="28"/>
      <x:c r="C2449" s="28"/>
      <x:c r="D2449" s="28"/>
      <x:c r="E2449" s="28"/>
      <x:c r="F2449" s="28"/>
      <x:c r="G2449" s="28"/>
      <x:c r="H2449" s="28"/>
      <x:c r="I2449" s="28"/>
      <x:c r="J2449" s="28"/>
      <x:c r="K2449" s="28"/>
      <x:c r="L2449" s="28"/>
      <x:c r="M2449" s="28"/>
      <x:c r="N2449" s="28"/>
      <x:c r="O2449" s="28"/>
      <x:c r="P2449" s="28"/>
      <x:c r="Q2449" s="28"/>
      <x:c r="R2449" s="28"/>
      <x:c r="S2449" s="28"/>
      <x:c r="T2449" s="28"/>
      <x:c r="U2449" s="28"/>
      <x:c r="V2449" s="28"/>
      <x:c r="W2449" s="43" t="n">
        <x:f>--AND(N2449=1,OR(O2449="SUPPORTED",O2449="HALLUCINATION"))</x:f>
        <x:v>0</x:v>
      </x:c>
      <x:c r="X2449" s="43" t="n">
        <x:f>--AND(W2449=1,O2449="HALLUCINATION")</x:f>
        <x:v>0</x:v>
      </x:c>
      <x:c r="Y2449" s="43" t="n">
        <x:f>--AND(Q2449=1,O2449="HALLUCINATION")</x:f>
        <x:v>0</x:v>
      </x:c>
      <x:c r="Z2449" s="43" t="n">
        <x:f>--AND(Y2449=1,R2449=1,S2449=1)</x:f>
        <x:v>0</x:v>
      </x:c>
      <x:c r="AC2449" t="str">
        <x:f>IF(OR(AA2449="",AB2449=""),"",--(AA2449&lt;&gt;AB2449))</x:f>
      </x:c>
      <x:c r="AE2449" t="str">
        <x:f>IF(OR(AA2449="",AB2449=""),"PENDING_HUMAN",IF(AA2449=AB2449,AA2449,IF(AD2449&lt;&gt;"",AD2449,"PENDING_HUMAN")))</x:f>
        <x:v>PENDING_HUMAN</x:v>
      </x:c>
      <x:c r="AF2449" t="n">
        <x:f>--AND(A2449&lt;&gt;"",AA2449&lt;&gt;"",AB2449&lt;&gt;"",OR(AA2449=AB2449,AD2449&lt;&gt;""),IF(AE2449="HALLUCINATION",U2449&lt;&gt;"",TRUE))</x:f>
        <x:v>0</x:v>
      </x:c>
      <x:c r="AG2449" t="n">
        <x:f>--AND(N2449=1,AF2449=1,OR(AE2449="SUPPORTED",AE2449="HALLUCINATION"))</x:f>
        <x:v>0</x:v>
      </x:c>
      <x:c r="AH2449" t="n">
        <x:f>--AND(AG2449=1,AE2449="HALLUCINATION")</x:f>
        <x:v>0</x:v>
      </x:c>
      <x:c r="AI2449" t="n">
        <x:f>--AND(Q2449=1,AF2449=1,AE2449="HALLUCINATION")</x:f>
        <x:v>0</x:v>
      </x:c>
      <x:c r="AJ2449" t="n">
        <x:f>--AND(AI2449=1,R2449=1,S2449=1)</x:f>
        <x:v>0</x:v>
      </x:c>
    </x:row>
    <x:row r="2450">
      <x:c r="A2450" s="28"/>
      <x:c r="B2450" s="28"/>
      <x:c r="C2450" s="28"/>
      <x:c r="D2450" s="28"/>
      <x:c r="E2450" s="28"/>
      <x:c r="F2450" s="28"/>
      <x:c r="G2450" s="28"/>
      <x:c r="H2450" s="28"/>
      <x:c r="I2450" s="28"/>
      <x:c r="J2450" s="28"/>
      <x:c r="K2450" s="28"/>
      <x:c r="L2450" s="28"/>
      <x:c r="M2450" s="28"/>
      <x:c r="N2450" s="28"/>
      <x:c r="O2450" s="28"/>
      <x:c r="P2450" s="28"/>
      <x:c r="Q2450" s="28"/>
      <x:c r="R2450" s="28"/>
      <x:c r="S2450" s="28"/>
      <x:c r="T2450" s="28"/>
      <x:c r="U2450" s="28"/>
      <x:c r="V2450" s="28"/>
      <x:c r="W2450" s="43" t="n">
        <x:f>--AND(N2450=1,OR(O2450="SUPPORTED",O2450="HALLUCINATION"))</x:f>
        <x:v>0</x:v>
      </x:c>
      <x:c r="X2450" s="43" t="n">
        <x:f>--AND(W2450=1,O2450="HALLUCINATION")</x:f>
        <x:v>0</x:v>
      </x:c>
      <x:c r="Y2450" s="43" t="n">
        <x:f>--AND(Q2450=1,O2450="HALLUCINATION")</x:f>
        <x:v>0</x:v>
      </x:c>
      <x:c r="Z2450" s="43" t="n">
        <x:f>--AND(Y2450=1,R2450=1,S2450=1)</x:f>
        <x:v>0</x:v>
      </x:c>
      <x:c r="AC2450" t="str">
        <x:f>IF(OR(AA2450="",AB2450=""),"",--(AA2450&lt;&gt;AB2450))</x:f>
      </x:c>
      <x:c r="AE2450" t="str">
        <x:f>IF(OR(AA2450="",AB2450=""),"PENDING_HUMAN",IF(AA2450=AB2450,AA2450,IF(AD2450&lt;&gt;"",AD2450,"PENDING_HUMAN")))</x:f>
        <x:v>PENDING_HUMAN</x:v>
      </x:c>
      <x:c r="AF2450" t="n">
        <x:f>--AND(A2450&lt;&gt;"",AA2450&lt;&gt;"",AB2450&lt;&gt;"",OR(AA2450=AB2450,AD2450&lt;&gt;""),IF(AE2450="HALLUCINATION",U2450&lt;&gt;"",TRUE))</x:f>
        <x:v>0</x:v>
      </x:c>
      <x:c r="AG2450" t="n">
        <x:f>--AND(N2450=1,AF2450=1,OR(AE2450="SUPPORTED",AE2450="HALLUCINATION"))</x:f>
        <x:v>0</x:v>
      </x:c>
      <x:c r="AH2450" t="n">
        <x:f>--AND(AG2450=1,AE2450="HALLUCINATION")</x:f>
        <x:v>0</x:v>
      </x:c>
      <x:c r="AI2450" t="n">
        <x:f>--AND(Q2450=1,AF2450=1,AE2450="HALLUCINATION")</x:f>
        <x:v>0</x:v>
      </x:c>
      <x:c r="AJ2450" t="n">
        <x:f>--AND(AI2450=1,R2450=1,S2450=1)</x:f>
        <x:v>0</x:v>
      </x:c>
    </x:row>
    <x:row r="2451">
      <x:c r="A2451" s="28"/>
      <x:c r="B2451" s="28"/>
      <x:c r="C2451" s="28"/>
      <x:c r="D2451" s="28"/>
      <x:c r="E2451" s="28"/>
      <x:c r="F2451" s="28"/>
      <x:c r="G2451" s="28"/>
      <x:c r="H2451" s="28"/>
      <x:c r="I2451" s="28"/>
      <x:c r="J2451" s="28"/>
      <x:c r="K2451" s="28"/>
      <x:c r="L2451" s="28"/>
      <x:c r="M2451" s="28"/>
      <x:c r="N2451" s="28"/>
      <x:c r="O2451" s="28"/>
      <x:c r="P2451" s="28"/>
      <x:c r="Q2451" s="28"/>
      <x:c r="R2451" s="28"/>
      <x:c r="S2451" s="28"/>
      <x:c r="T2451" s="28"/>
      <x:c r="U2451" s="28"/>
      <x:c r="V2451" s="28"/>
      <x:c r="W2451" s="43" t="n">
        <x:f>--AND(N2451=1,OR(O2451="SUPPORTED",O2451="HALLUCINATION"))</x:f>
        <x:v>0</x:v>
      </x:c>
      <x:c r="X2451" s="43" t="n">
        <x:f>--AND(W2451=1,O2451="HALLUCINATION")</x:f>
        <x:v>0</x:v>
      </x:c>
      <x:c r="Y2451" s="43" t="n">
        <x:f>--AND(Q2451=1,O2451="HALLUCINATION")</x:f>
        <x:v>0</x:v>
      </x:c>
      <x:c r="Z2451" s="43" t="n">
        <x:f>--AND(Y2451=1,R2451=1,S2451=1)</x:f>
        <x:v>0</x:v>
      </x:c>
      <x:c r="AC2451" t="str">
        <x:f>IF(OR(AA2451="",AB2451=""),"",--(AA2451&lt;&gt;AB2451))</x:f>
      </x:c>
      <x:c r="AE2451" t="str">
        <x:f>IF(OR(AA2451="",AB2451=""),"PENDING_HUMAN",IF(AA2451=AB2451,AA2451,IF(AD2451&lt;&gt;"",AD2451,"PENDING_HUMAN")))</x:f>
        <x:v>PENDING_HUMAN</x:v>
      </x:c>
      <x:c r="AF2451" t="n">
        <x:f>--AND(A2451&lt;&gt;"",AA2451&lt;&gt;"",AB2451&lt;&gt;"",OR(AA2451=AB2451,AD2451&lt;&gt;""),IF(AE2451="HALLUCINATION",U2451&lt;&gt;"",TRUE))</x:f>
        <x:v>0</x:v>
      </x:c>
      <x:c r="AG2451" t="n">
        <x:f>--AND(N2451=1,AF2451=1,OR(AE2451="SUPPORTED",AE2451="HALLUCINATION"))</x:f>
        <x:v>0</x:v>
      </x:c>
      <x:c r="AH2451" t="n">
        <x:f>--AND(AG2451=1,AE2451="HALLUCINATION")</x:f>
        <x:v>0</x:v>
      </x:c>
      <x:c r="AI2451" t="n">
        <x:f>--AND(Q2451=1,AF2451=1,AE2451="HALLUCINATION")</x:f>
        <x:v>0</x:v>
      </x:c>
      <x:c r="AJ2451" t="n">
        <x:f>--AND(AI2451=1,R2451=1,S2451=1)</x:f>
        <x:v>0</x:v>
      </x:c>
    </x:row>
    <x:row r="2452">
      <x:c r="A2452" s="28"/>
      <x:c r="B2452" s="28"/>
      <x:c r="C2452" s="28"/>
      <x:c r="D2452" s="28"/>
      <x:c r="E2452" s="28"/>
      <x:c r="F2452" s="28"/>
      <x:c r="G2452" s="28"/>
      <x:c r="H2452" s="28"/>
      <x:c r="I2452" s="28"/>
      <x:c r="J2452" s="28"/>
      <x:c r="K2452" s="28"/>
      <x:c r="L2452" s="28"/>
      <x:c r="M2452" s="28"/>
      <x:c r="N2452" s="28"/>
      <x:c r="O2452" s="28"/>
      <x:c r="P2452" s="28"/>
      <x:c r="Q2452" s="28"/>
      <x:c r="R2452" s="28"/>
      <x:c r="S2452" s="28"/>
      <x:c r="T2452" s="28"/>
      <x:c r="U2452" s="28"/>
      <x:c r="V2452" s="28"/>
      <x:c r="W2452" s="43" t="n">
        <x:f>--AND(N2452=1,OR(O2452="SUPPORTED",O2452="HALLUCINATION"))</x:f>
        <x:v>0</x:v>
      </x:c>
      <x:c r="X2452" s="43" t="n">
        <x:f>--AND(W2452=1,O2452="HALLUCINATION")</x:f>
        <x:v>0</x:v>
      </x:c>
      <x:c r="Y2452" s="43" t="n">
        <x:f>--AND(Q2452=1,O2452="HALLUCINATION")</x:f>
        <x:v>0</x:v>
      </x:c>
      <x:c r="Z2452" s="43" t="n">
        <x:f>--AND(Y2452=1,R2452=1,S2452=1)</x:f>
        <x:v>0</x:v>
      </x:c>
      <x:c r="AC2452" t="str">
        <x:f>IF(OR(AA2452="",AB2452=""),"",--(AA2452&lt;&gt;AB2452))</x:f>
      </x:c>
      <x:c r="AE2452" t="str">
        <x:f>IF(OR(AA2452="",AB2452=""),"PENDING_HUMAN",IF(AA2452=AB2452,AA2452,IF(AD2452&lt;&gt;"",AD2452,"PENDING_HUMAN")))</x:f>
        <x:v>PENDING_HUMAN</x:v>
      </x:c>
      <x:c r="AF2452" t="n">
        <x:f>--AND(A2452&lt;&gt;"",AA2452&lt;&gt;"",AB2452&lt;&gt;"",OR(AA2452=AB2452,AD2452&lt;&gt;""),IF(AE2452="HALLUCINATION",U2452&lt;&gt;"",TRUE))</x:f>
        <x:v>0</x:v>
      </x:c>
      <x:c r="AG2452" t="n">
        <x:f>--AND(N2452=1,AF2452=1,OR(AE2452="SUPPORTED",AE2452="HALLUCINATION"))</x:f>
        <x:v>0</x:v>
      </x:c>
      <x:c r="AH2452" t="n">
        <x:f>--AND(AG2452=1,AE2452="HALLUCINATION")</x:f>
        <x:v>0</x:v>
      </x:c>
      <x:c r="AI2452" t="n">
        <x:f>--AND(Q2452=1,AF2452=1,AE2452="HALLUCINATION")</x:f>
        <x:v>0</x:v>
      </x:c>
      <x:c r="AJ2452" t="n">
        <x:f>--AND(AI2452=1,R2452=1,S2452=1)</x:f>
        <x:v>0</x:v>
      </x:c>
    </x:row>
    <x:row r="2453">
      <x:c r="A2453" s="28"/>
      <x:c r="B2453" s="28"/>
      <x:c r="C2453" s="28"/>
      <x:c r="D2453" s="28"/>
      <x:c r="E2453" s="28"/>
      <x:c r="F2453" s="28"/>
      <x:c r="G2453" s="28"/>
      <x:c r="H2453" s="28"/>
      <x:c r="I2453" s="28"/>
      <x:c r="J2453" s="28"/>
      <x:c r="K2453" s="28"/>
      <x:c r="L2453" s="28"/>
      <x:c r="M2453" s="28"/>
      <x:c r="N2453" s="28"/>
      <x:c r="O2453" s="28"/>
      <x:c r="P2453" s="28"/>
      <x:c r="Q2453" s="28"/>
      <x:c r="R2453" s="28"/>
      <x:c r="S2453" s="28"/>
      <x:c r="T2453" s="28"/>
      <x:c r="U2453" s="28"/>
      <x:c r="V2453" s="28"/>
      <x:c r="W2453" s="43" t="n">
        <x:f>--AND(N2453=1,OR(O2453="SUPPORTED",O2453="HALLUCINATION"))</x:f>
        <x:v>0</x:v>
      </x:c>
      <x:c r="X2453" s="43" t="n">
        <x:f>--AND(W2453=1,O2453="HALLUCINATION")</x:f>
        <x:v>0</x:v>
      </x:c>
      <x:c r="Y2453" s="43" t="n">
        <x:f>--AND(Q2453=1,O2453="HALLUCINATION")</x:f>
        <x:v>0</x:v>
      </x:c>
      <x:c r="Z2453" s="43" t="n">
        <x:f>--AND(Y2453=1,R2453=1,S2453=1)</x:f>
        <x:v>0</x:v>
      </x:c>
      <x:c r="AC2453" t="str">
        <x:f>IF(OR(AA2453="",AB2453=""),"",--(AA2453&lt;&gt;AB2453))</x:f>
      </x:c>
      <x:c r="AE2453" t="str">
        <x:f>IF(OR(AA2453="",AB2453=""),"PENDING_HUMAN",IF(AA2453=AB2453,AA2453,IF(AD2453&lt;&gt;"",AD2453,"PENDING_HUMAN")))</x:f>
        <x:v>PENDING_HUMAN</x:v>
      </x:c>
      <x:c r="AF2453" t="n">
        <x:f>--AND(A2453&lt;&gt;"",AA2453&lt;&gt;"",AB2453&lt;&gt;"",OR(AA2453=AB2453,AD2453&lt;&gt;""),IF(AE2453="HALLUCINATION",U2453&lt;&gt;"",TRUE))</x:f>
        <x:v>0</x:v>
      </x:c>
      <x:c r="AG2453" t="n">
        <x:f>--AND(N2453=1,AF2453=1,OR(AE2453="SUPPORTED",AE2453="HALLUCINATION"))</x:f>
        <x:v>0</x:v>
      </x:c>
      <x:c r="AH2453" t="n">
        <x:f>--AND(AG2453=1,AE2453="HALLUCINATION")</x:f>
        <x:v>0</x:v>
      </x:c>
      <x:c r="AI2453" t="n">
        <x:f>--AND(Q2453=1,AF2453=1,AE2453="HALLUCINATION")</x:f>
        <x:v>0</x:v>
      </x:c>
      <x:c r="AJ2453" t="n">
        <x:f>--AND(AI2453=1,R2453=1,S2453=1)</x:f>
        <x:v>0</x:v>
      </x:c>
    </x:row>
    <x:row r="2454">
      <x:c r="A2454" s="28"/>
      <x:c r="B2454" s="28"/>
      <x:c r="C2454" s="28"/>
      <x:c r="D2454" s="28"/>
      <x:c r="E2454" s="28"/>
      <x:c r="F2454" s="28"/>
      <x:c r="G2454" s="28"/>
      <x:c r="H2454" s="28"/>
      <x:c r="I2454" s="28"/>
      <x:c r="J2454" s="28"/>
      <x:c r="K2454" s="28"/>
      <x:c r="L2454" s="28"/>
      <x:c r="M2454" s="28"/>
      <x:c r="N2454" s="28"/>
      <x:c r="O2454" s="28"/>
      <x:c r="P2454" s="28"/>
      <x:c r="Q2454" s="28"/>
      <x:c r="R2454" s="28"/>
      <x:c r="S2454" s="28"/>
      <x:c r="T2454" s="28"/>
      <x:c r="U2454" s="28"/>
      <x:c r="V2454" s="28"/>
      <x:c r="W2454" s="43" t="n">
        <x:f>--AND(N2454=1,OR(O2454="SUPPORTED",O2454="HALLUCINATION"))</x:f>
        <x:v>0</x:v>
      </x:c>
      <x:c r="X2454" s="43" t="n">
        <x:f>--AND(W2454=1,O2454="HALLUCINATION")</x:f>
        <x:v>0</x:v>
      </x:c>
      <x:c r="Y2454" s="43" t="n">
        <x:f>--AND(Q2454=1,O2454="HALLUCINATION")</x:f>
        <x:v>0</x:v>
      </x:c>
      <x:c r="Z2454" s="43" t="n">
        <x:f>--AND(Y2454=1,R2454=1,S2454=1)</x:f>
        <x:v>0</x:v>
      </x:c>
      <x:c r="AC2454" t="str">
        <x:f>IF(OR(AA2454="",AB2454=""),"",--(AA2454&lt;&gt;AB2454))</x:f>
      </x:c>
      <x:c r="AE2454" t="str">
        <x:f>IF(OR(AA2454="",AB2454=""),"PENDING_HUMAN",IF(AA2454=AB2454,AA2454,IF(AD2454&lt;&gt;"",AD2454,"PENDING_HUMAN")))</x:f>
        <x:v>PENDING_HUMAN</x:v>
      </x:c>
      <x:c r="AF2454" t="n">
        <x:f>--AND(A2454&lt;&gt;"",AA2454&lt;&gt;"",AB2454&lt;&gt;"",OR(AA2454=AB2454,AD2454&lt;&gt;""),IF(AE2454="HALLUCINATION",U2454&lt;&gt;"",TRUE))</x:f>
        <x:v>0</x:v>
      </x:c>
      <x:c r="AG2454" t="n">
        <x:f>--AND(N2454=1,AF2454=1,OR(AE2454="SUPPORTED",AE2454="HALLUCINATION"))</x:f>
        <x:v>0</x:v>
      </x:c>
      <x:c r="AH2454" t="n">
        <x:f>--AND(AG2454=1,AE2454="HALLUCINATION")</x:f>
        <x:v>0</x:v>
      </x:c>
      <x:c r="AI2454" t="n">
        <x:f>--AND(Q2454=1,AF2454=1,AE2454="HALLUCINATION")</x:f>
        <x:v>0</x:v>
      </x:c>
      <x:c r="AJ2454" t="n">
        <x:f>--AND(AI2454=1,R2454=1,S2454=1)</x:f>
        <x:v>0</x:v>
      </x:c>
    </x:row>
    <x:row r="2455">
      <x:c r="A2455" s="28"/>
      <x:c r="B2455" s="28"/>
      <x:c r="C2455" s="28"/>
      <x:c r="D2455" s="28"/>
      <x:c r="E2455" s="28"/>
      <x:c r="F2455" s="28"/>
      <x:c r="G2455" s="28"/>
      <x:c r="H2455" s="28"/>
      <x:c r="I2455" s="28"/>
      <x:c r="J2455" s="28"/>
      <x:c r="K2455" s="28"/>
      <x:c r="L2455" s="28"/>
      <x:c r="M2455" s="28"/>
      <x:c r="N2455" s="28"/>
      <x:c r="O2455" s="28"/>
      <x:c r="P2455" s="28"/>
      <x:c r="Q2455" s="28"/>
      <x:c r="R2455" s="28"/>
      <x:c r="S2455" s="28"/>
      <x:c r="T2455" s="28"/>
      <x:c r="U2455" s="28"/>
      <x:c r="V2455" s="28"/>
      <x:c r="W2455" s="43" t="n">
        <x:f>--AND(N2455=1,OR(O2455="SUPPORTED",O2455="HALLUCINATION"))</x:f>
        <x:v>0</x:v>
      </x:c>
      <x:c r="X2455" s="43" t="n">
        <x:f>--AND(W2455=1,O2455="HALLUCINATION")</x:f>
        <x:v>0</x:v>
      </x:c>
      <x:c r="Y2455" s="43" t="n">
        <x:f>--AND(Q2455=1,O2455="HALLUCINATION")</x:f>
        <x:v>0</x:v>
      </x:c>
      <x:c r="Z2455" s="43" t="n">
        <x:f>--AND(Y2455=1,R2455=1,S2455=1)</x:f>
        <x:v>0</x:v>
      </x:c>
      <x:c r="AC2455" t="str">
        <x:f>IF(OR(AA2455="",AB2455=""),"",--(AA2455&lt;&gt;AB2455))</x:f>
      </x:c>
      <x:c r="AE2455" t="str">
        <x:f>IF(OR(AA2455="",AB2455=""),"PENDING_HUMAN",IF(AA2455=AB2455,AA2455,IF(AD2455&lt;&gt;"",AD2455,"PENDING_HUMAN")))</x:f>
        <x:v>PENDING_HUMAN</x:v>
      </x:c>
      <x:c r="AF2455" t="n">
        <x:f>--AND(A2455&lt;&gt;"",AA2455&lt;&gt;"",AB2455&lt;&gt;"",OR(AA2455=AB2455,AD2455&lt;&gt;""),IF(AE2455="HALLUCINATION",U2455&lt;&gt;"",TRUE))</x:f>
        <x:v>0</x:v>
      </x:c>
      <x:c r="AG2455" t="n">
        <x:f>--AND(N2455=1,AF2455=1,OR(AE2455="SUPPORTED",AE2455="HALLUCINATION"))</x:f>
        <x:v>0</x:v>
      </x:c>
      <x:c r="AH2455" t="n">
        <x:f>--AND(AG2455=1,AE2455="HALLUCINATION")</x:f>
        <x:v>0</x:v>
      </x:c>
      <x:c r="AI2455" t="n">
        <x:f>--AND(Q2455=1,AF2455=1,AE2455="HALLUCINATION")</x:f>
        <x:v>0</x:v>
      </x:c>
      <x:c r="AJ2455" t="n">
        <x:f>--AND(AI2455=1,R2455=1,S2455=1)</x:f>
        <x:v>0</x:v>
      </x:c>
    </x:row>
    <x:row r="2456">
      <x:c r="A2456" s="28"/>
      <x:c r="B2456" s="28"/>
      <x:c r="C2456" s="28"/>
      <x:c r="D2456" s="28"/>
      <x:c r="E2456" s="28"/>
      <x:c r="F2456" s="28"/>
      <x:c r="G2456" s="28"/>
      <x:c r="H2456" s="28"/>
      <x:c r="I2456" s="28"/>
      <x:c r="J2456" s="28"/>
      <x:c r="K2456" s="28"/>
      <x:c r="L2456" s="28"/>
      <x:c r="M2456" s="28"/>
      <x:c r="N2456" s="28"/>
      <x:c r="O2456" s="28"/>
      <x:c r="P2456" s="28"/>
      <x:c r="Q2456" s="28"/>
      <x:c r="R2456" s="28"/>
      <x:c r="S2456" s="28"/>
      <x:c r="T2456" s="28"/>
      <x:c r="U2456" s="28"/>
      <x:c r="V2456" s="28"/>
      <x:c r="W2456" s="43" t="n">
        <x:f>--AND(N2456=1,OR(O2456="SUPPORTED",O2456="HALLUCINATION"))</x:f>
        <x:v>0</x:v>
      </x:c>
      <x:c r="X2456" s="43" t="n">
        <x:f>--AND(W2456=1,O2456="HALLUCINATION")</x:f>
        <x:v>0</x:v>
      </x:c>
      <x:c r="Y2456" s="43" t="n">
        <x:f>--AND(Q2456=1,O2456="HALLUCINATION")</x:f>
        <x:v>0</x:v>
      </x:c>
      <x:c r="Z2456" s="43" t="n">
        <x:f>--AND(Y2456=1,R2456=1,S2456=1)</x:f>
        <x:v>0</x:v>
      </x:c>
      <x:c r="AC2456" t="str">
        <x:f>IF(OR(AA2456="",AB2456=""),"",--(AA2456&lt;&gt;AB2456))</x:f>
      </x:c>
      <x:c r="AE2456" t="str">
        <x:f>IF(OR(AA2456="",AB2456=""),"PENDING_HUMAN",IF(AA2456=AB2456,AA2456,IF(AD2456&lt;&gt;"",AD2456,"PENDING_HUMAN")))</x:f>
        <x:v>PENDING_HUMAN</x:v>
      </x:c>
      <x:c r="AF2456" t="n">
        <x:f>--AND(A2456&lt;&gt;"",AA2456&lt;&gt;"",AB2456&lt;&gt;"",OR(AA2456=AB2456,AD2456&lt;&gt;""),IF(AE2456="HALLUCINATION",U2456&lt;&gt;"",TRUE))</x:f>
        <x:v>0</x:v>
      </x:c>
      <x:c r="AG2456" t="n">
        <x:f>--AND(N2456=1,AF2456=1,OR(AE2456="SUPPORTED",AE2456="HALLUCINATION"))</x:f>
        <x:v>0</x:v>
      </x:c>
      <x:c r="AH2456" t="n">
        <x:f>--AND(AG2456=1,AE2456="HALLUCINATION")</x:f>
        <x:v>0</x:v>
      </x:c>
      <x:c r="AI2456" t="n">
        <x:f>--AND(Q2456=1,AF2456=1,AE2456="HALLUCINATION")</x:f>
        <x:v>0</x:v>
      </x:c>
      <x:c r="AJ2456" t="n">
        <x:f>--AND(AI2456=1,R2456=1,S2456=1)</x:f>
        <x:v>0</x:v>
      </x:c>
    </x:row>
    <x:row r="2457">
      <x:c r="A2457" s="28"/>
      <x:c r="B2457" s="28"/>
      <x:c r="C2457" s="28"/>
      <x:c r="D2457" s="28"/>
      <x:c r="E2457" s="28"/>
      <x:c r="F2457" s="28"/>
      <x:c r="G2457" s="28"/>
      <x:c r="H2457" s="28"/>
      <x:c r="I2457" s="28"/>
      <x:c r="J2457" s="28"/>
      <x:c r="K2457" s="28"/>
      <x:c r="L2457" s="28"/>
      <x:c r="M2457" s="28"/>
      <x:c r="N2457" s="28"/>
      <x:c r="O2457" s="28"/>
      <x:c r="P2457" s="28"/>
      <x:c r="Q2457" s="28"/>
      <x:c r="R2457" s="28"/>
      <x:c r="S2457" s="28"/>
      <x:c r="T2457" s="28"/>
      <x:c r="U2457" s="28"/>
      <x:c r="V2457" s="28"/>
      <x:c r="W2457" s="43" t="n">
        <x:f>--AND(N2457=1,OR(O2457="SUPPORTED",O2457="HALLUCINATION"))</x:f>
        <x:v>0</x:v>
      </x:c>
      <x:c r="X2457" s="43" t="n">
        <x:f>--AND(W2457=1,O2457="HALLUCINATION")</x:f>
        <x:v>0</x:v>
      </x:c>
      <x:c r="Y2457" s="43" t="n">
        <x:f>--AND(Q2457=1,O2457="HALLUCINATION")</x:f>
        <x:v>0</x:v>
      </x:c>
      <x:c r="Z2457" s="43" t="n">
        <x:f>--AND(Y2457=1,R2457=1,S2457=1)</x:f>
        <x:v>0</x:v>
      </x:c>
      <x:c r="AC2457" t="str">
        <x:f>IF(OR(AA2457="",AB2457=""),"",--(AA2457&lt;&gt;AB2457))</x:f>
      </x:c>
      <x:c r="AE2457" t="str">
        <x:f>IF(OR(AA2457="",AB2457=""),"PENDING_HUMAN",IF(AA2457=AB2457,AA2457,IF(AD2457&lt;&gt;"",AD2457,"PENDING_HUMAN")))</x:f>
        <x:v>PENDING_HUMAN</x:v>
      </x:c>
      <x:c r="AF2457" t="n">
        <x:f>--AND(A2457&lt;&gt;"",AA2457&lt;&gt;"",AB2457&lt;&gt;"",OR(AA2457=AB2457,AD2457&lt;&gt;""),IF(AE2457="HALLUCINATION",U2457&lt;&gt;"",TRUE))</x:f>
        <x:v>0</x:v>
      </x:c>
      <x:c r="AG2457" t="n">
        <x:f>--AND(N2457=1,AF2457=1,OR(AE2457="SUPPORTED",AE2457="HALLUCINATION"))</x:f>
        <x:v>0</x:v>
      </x:c>
      <x:c r="AH2457" t="n">
        <x:f>--AND(AG2457=1,AE2457="HALLUCINATION")</x:f>
        <x:v>0</x:v>
      </x:c>
      <x:c r="AI2457" t="n">
        <x:f>--AND(Q2457=1,AF2457=1,AE2457="HALLUCINATION")</x:f>
        <x:v>0</x:v>
      </x:c>
      <x:c r="AJ2457" t="n">
        <x:f>--AND(AI2457=1,R2457=1,S2457=1)</x:f>
        <x:v>0</x:v>
      </x:c>
    </x:row>
    <x:row r="2458">
      <x:c r="A2458" s="28"/>
      <x:c r="B2458" s="28"/>
      <x:c r="C2458" s="28"/>
      <x:c r="D2458" s="28"/>
      <x:c r="E2458" s="28"/>
      <x:c r="F2458" s="28"/>
      <x:c r="G2458" s="28"/>
      <x:c r="H2458" s="28"/>
      <x:c r="I2458" s="28"/>
      <x:c r="J2458" s="28"/>
      <x:c r="K2458" s="28"/>
      <x:c r="L2458" s="28"/>
      <x:c r="M2458" s="28"/>
      <x:c r="N2458" s="28"/>
      <x:c r="O2458" s="28"/>
      <x:c r="P2458" s="28"/>
      <x:c r="Q2458" s="28"/>
      <x:c r="R2458" s="28"/>
      <x:c r="S2458" s="28"/>
      <x:c r="T2458" s="28"/>
      <x:c r="U2458" s="28"/>
      <x:c r="V2458" s="28"/>
      <x:c r="W2458" s="43" t="n">
        <x:f>--AND(N2458=1,OR(O2458="SUPPORTED",O2458="HALLUCINATION"))</x:f>
        <x:v>0</x:v>
      </x:c>
      <x:c r="X2458" s="43" t="n">
        <x:f>--AND(W2458=1,O2458="HALLUCINATION")</x:f>
        <x:v>0</x:v>
      </x:c>
      <x:c r="Y2458" s="43" t="n">
        <x:f>--AND(Q2458=1,O2458="HALLUCINATION")</x:f>
        <x:v>0</x:v>
      </x:c>
      <x:c r="Z2458" s="43" t="n">
        <x:f>--AND(Y2458=1,R2458=1,S2458=1)</x:f>
        <x:v>0</x:v>
      </x:c>
      <x:c r="AC2458" t="str">
        <x:f>IF(OR(AA2458="",AB2458=""),"",--(AA2458&lt;&gt;AB2458))</x:f>
      </x:c>
      <x:c r="AE2458" t="str">
        <x:f>IF(OR(AA2458="",AB2458=""),"PENDING_HUMAN",IF(AA2458=AB2458,AA2458,IF(AD2458&lt;&gt;"",AD2458,"PENDING_HUMAN")))</x:f>
        <x:v>PENDING_HUMAN</x:v>
      </x:c>
      <x:c r="AF2458" t="n">
        <x:f>--AND(A2458&lt;&gt;"",AA2458&lt;&gt;"",AB2458&lt;&gt;"",OR(AA2458=AB2458,AD2458&lt;&gt;""),IF(AE2458="HALLUCINATION",U2458&lt;&gt;"",TRUE))</x:f>
        <x:v>0</x:v>
      </x:c>
      <x:c r="AG2458" t="n">
        <x:f>--AND(N2458=1,AF2458=1,OR(AE2458="SUPPORTED",AE2458="HALLUCINATION"))</x:f>
        <x:v>0</x:v>
      </x:c>
      <x:c r="AH2458" t="n">
        <x:f>--AND(AG2458=1,AE2458="HALLUCINATION")</x:f>
        <x:v>0</x:v>
      </x:c>
      <x:c r="AI2458" t="n">
        <x:f>--AND(Q2458=1,AF2458=1,AE2458="HALLUCINATION")</x:f>
        <x:v>0</x:v>
      </x:c>
      <x:c r="AJ2458" t="n">
        <x:f>--AND(AI2458=1,R2458=1,S2458=1)</x:f>
        <x:v>0</x:v>
      </x:c>
    </x:row>
    <x:row r="2459">
      <x:c r="A2459" s="28"/>
      <x:c r="B2459" s="28"/>
      <x:c r="C2459" s="28"/>
      <x:c r="D2459" s="28"/>
      <x:c r="E2459" s="28"/>
      <x:c r="F2459" s="28"/>
      <x:c r="G2459" s="28"/>
      <x:c r="H2459" s="28"/>
      <x:c r="I2459" s="28"/>
      <x:c r="J2459" s="28"/>
      <x:c r="K2459" s="28"/>
      <x:c r="L2459" s="28"/>
      <x:c r="M2459" s="28"/>
      <x:c r="N2459" s="28"/>
      <x:c r="O2459" s="28"/>
      <x:c r="P2459" s="28"/>
      <x:c r="Q2459" s="28"/>
      <x:c r="R2459" s="28"/>
      <x:c r="S2459" s="28"/>
      <x:c r="T2459" s="28"/>
      <x:c r="U2459" s="28"/>
      <x:c r="V2459" s="28"/>
      <x:c r="W2459" s="43" t="n">
        <x:f>--AND(N2459=1,OR(O2459="SUPPORTED",O2459="HALLUCINATION"))</x:f>
        <x:v>0</x:v>
      </x:c>
      <x:c r="X2459" s="43" t="n">
        <x:f>--AND(W2459=1,O2459="HALLUCINATION")</x:f>
        <x:v>0</x:v>
      </x:c>
      <x:c r="Y2459" s="43" t="n">
        <x:f>--AND(Q2459=1,O2459="HALLUCINATION")</x:f>
        <x:v>0</x:v>
      </x:c>
      <x:c r="Z2459" s="43" t="n">
        <x:f>--AND(Y2459=1,R2459=1,S2459=1)</x:f>
        <x:v>0</x:v>
      </x:c>
      <x:c r="AC2459" t="str">
        <x:f>IF(OR(AA2459="",AB2459=""),"",--(AA2459&lt;&gt;AB2459))</x:f>
      </x:c>
      <x:c r="AE2459" t="str">
        <x:f>IF(OR(AA2459="",AB2459=""),"PENDING_HUMAN",IF(AA2459=AB2459,AA2459,IF(AD2459&lt;&gt;"",AD2459,"PENDING_HUMAN")))</x:f>
        <x:v>PENDING_HUMAN</x:v>
      </x:c>
      <x:c r="AF2459" t="n">
        <x:f>--AND(A2459&lt;&gt;"",AA2459&lt;&gt;"",AB2459&lt;&gt;"",OR(AA2459=AB2459,AD2459&lt;&gt;""),IF(AE2459="HALLUCINATION",U2459&lt;&gt;"",TRUE))</x:f>
        <x:v>0</x:v>
      </x:c>
      <x:c r="AG2459" t="n">
        <x:f>--AND(N2459=1,AF2459=1,OR(AE2459="SUPPORTED",AE2459="HALLUCINATION"))</x:f>
        <x:v>0</x:v>
      </x:c>
      <x:c r="AH2459" t="n">
        <x:f>--AND(AG2459=1,AE2459="HALLUCINATION")</x:f>
        <x:v>0</x:v>
      </x:c>
      <x:c r="AI2459" t="n">
        <x:f>--AND(Q2459=1,AF2459=1,AE2459="HALLUCINATION")</x:f>
        <x:v>0</x:v>
      </x:c>
      <x:c r="AJ2459" t="n">
        <x:f>--AND(AI2459=1,R2459=1,S2459=1)</x:f>
        <x:v>0</x:v>
      </x:c>
    </x:row>
    <x:row r="2460">
      <x:c r="A2460" s="28"/>
      <x:c r="B2460" s="28"/>
      <x:c r="C2460" s="28"/>
      <x:c r="D2460" s="28"/>
      <x:c r="E2460" s="28"/>
      <x:c r="F2460" s="28"/>
      <x:c r="G2460" s="28"/>
      <x:c r="H2460" s="28"/>
      <x:c r="I2460" s="28"/>
      <x:c r="J2460" s="28"/>
      <x:c r="K2460" s="28"/>
      <x:c r="L2460" s="28"/>
      <x:c r="M2460" s="28"/>
      <x:c r="N2460" s="28"/>
      <x:c r="O2460" s="28"/>
      <x:c r="P2460" s="28"/>
      <x:c r="Q2460" s="28"/>
      <x:c r="R2460" s="28"/>
      <x:c r="S2460" s="28"/>
      <x:c r="T2460" s="28"/>
      <x:c r="U2460" s="28"/>
      <x:c r="V2460" s="28"/>
      <x:c r="W2460" s="43" t="n">
        <x:f>--AND(N2460=1,OR(O2460="SUPPORTED",O2460="HALLUCINATION"))</x:f>
        <x:v>0</x:v>
      </x:c>
      <x:c r="X2460" s="43" t="n">
        <x:f>--AND(W2460=1,O2460="HALLUCINATION")</x:f>
        <x:v>0</x:v>
      </x:c>
      <x:c r="Y2460" s="43" t="n">
        <x:f>--AND(Q2460=1,O2460="HALLUCINATION")</x:f>
        <x:v>0</x:v>
      </x:c>
      <x:c r="Z2460" s="43" t="n">
        <x:f>--AND(Y2460=1,R2460=1,S2460=1)</x:f>
        <x:v>0</x:v>
      </x:c>
      <x:c r="AC2460" t="str">
        <x:f>IF(OR(AA2460="",AB2460=""),"",--(AA2460&lt;&gt;AB2460))</x:f>
      </x:c>
      <x:c r="AE2460" t="str">
        <x:f>IF(OR(AA2460="",AB2460=""),"PENDING_HUMAN",IF(AA2460=AB2460,AA2460,IF(AD2460&lt;&gt;"",AD2460,"PENDING_HUMAN")))</x:f>
        <x:v>PENDING_HUMAN</x:v>
      </x:c>
      <x:c r="AF2460" t="n">
        <x:f>--AND(A2460&lt;&gt;"",AA2460&lt;&gt;"",AB2460&lt;&gt;"",OR(AA2460=AB2460,AD2460&lt;&gt;""),IF(AE2460="HALLUCINATION",U2460&lt;&gt;"",TRUE))</x:f>
        <x:v>0</x:v>
      </x:c>
      <x:c r="AG2460" t="n">
        <x:f>--AND(N2460=1,AF2460=1,OR(AE2460="SUPPORTED",AE2460="HALLUCINATION"))</x:f>
        <x:v>0</x:v>
      </x:c>
      <x:c r="AH2460" t="n">
        <x:f>--AND(AG2460=1,AE2460="HALLUCINATION")</x:f>
        <x:v>0</x:v>
      </x:c>
      <x:c r="AI2460" t="n">
        <x:f>--AND(Q2460=1,AF2460=1,AE2460="HALLUCINATION")</x:f>
        <x:v>0</x:v>
      </x:c>
      <x:c r="AJ2460" t="n">
        <x:f>--AND(AI2460=1,R2460=1,S2460=1)</x:f>
        <x:v>0</x:v>
      </x:c>
    </x:row>
    <x:row r="2461">
      <x:c r="A2461" s="28"/>
      <x:c r="B2461" s="28"/>
      <x:c r="C2461" s="28"/>
      <x:c r="D2461" s="28"/>
      <x:c r="E2461" s="28"/>
      <x:c r="F2461" s="28"/>
      <x:c r="G2461" s="28"/>
      <x:c r="H2461" s="28"/>
      <x:c r="I2461" s="28"/>
      <x:c r="J2461" s="28"/>
      <x:c r="K2461" s="28"/>
      <x:c r="L2461" s="28"/>
      <x:c r="M2461" s="28"/>
      <x:c r="N2461" s="28"/>
      <x:c r="O2461" s="28"/>
      <x:c r="P2461" s="28"/>
      <x:c r="Q2461" s="28"/>
      <x:c r="R2461" s="28"/>
      <x:c r="S2461" s="28"/>
      <x:c r="T2461" s="28"/>
      <x:c r="U2461" s="28"/>
      <x:c r="V2461" s="28"/>
      <x:c r="W2461" s="43" t="n">
        <x:f>--AND(N2461=1,OR(O2461="SUPPORTED",O2461="HALLUCINATION"))</x:f>
        <x:v>0</x:v>
      </x:c>
      <x:c r="X2461" s="43" t="n">
        <x:f>--AND(W2461=1,O2461="HALLUCINATION")</x:f>
        <x:v>0</x:v>
      </x:c>
      <x:c r="Y2461" s="43" t="n">
        <x:f>--AND(Q2461=1,O2461="HALLUCINATION")</x:f>
        <x:v>0</x:v>
      </x:c>
      <x:c r="Z2461" s="43" t="n">
        <x:f>--AND(Y2461=1,R2461=1,S2461=1)</x:f>
        <x:v>0</x:v>
      </x:c>
      <x:c r="AC2461" t="str">
        <x:f>IF(OR(AA2461="",AB2461=""),"",--(AA2461&lt;&gt;AB2461))</x:f>
      </x:c>
      <x:c r="AE2461" t="str">
        <x:f>IF(OR(AA2461="",AB2461=""),"PENDING_HUMAN",IF(AA2461=AB2461,AA2461,IF(AD2461&lt;&gt;"",AD2461,"PENDING_HUMAN")))</x:f>
        <x:v>PENDING_HUMAN</x:v>
      </x:c>
      <x:c r="AF2461" t="n">
        <x:f>--AND(A2461&lt;&gt;"",AA2461&lt;&gt;"",AB2461&lt;&gt;"",OR(AA2461=AB2461,AD2461&lt;&gt;""),IF(AE2461="HALLUCINATION",U2461&lt;&gt;"",TRUE))</x:f>
        <x:v>0</x:v>
      </x:c>
      <x:c r="AG2461" t="n">
        <x:f>--AND(N2461=1,AF2461=1,OR(AE2461="SUPPORTED",AE2461="HALLUCINATION"))</x:f>
        <x:v>0</x:v>
      </x:c>
      <x:c r="AH2461" t="n">
        <x:f>--AND(AG2461=1,AE2461="HALLUCINATION")</x:f>
        <x:v>0</x:v>
      </x:c>
      <x:c r="AI2461" t="n">
        <x:f>--AND(Q2461=1,AF2461=1,AE2461="HALLUCINATION")</x:f>
        <x:v>0</x:v>
      </x:c>
      <x:c r="AJ2461" t="n">
        <x:f>--AND(AI2461=1,R2461=1,S2461=1)</x:f>
        <x:v>0</x:v>
      </x:c>
    </x:row>
    <x:row r="2462">
      <x:c r="A2462" s="28"/>
      <x:c r="B2462" s="28"/>
      <x:c r="C2462" s="28"/>
      <x:c r="D2462" s="28"/>
      <x:c r="E2462" s="28"/>
      <x:c r="F2462" s="28"/>
      <x:c r="G2462" s="28"/>
      <x:c r="H2462" s="28"/>
      <x:c r="I2462" s="28"/>
      <x:c r="J2462" s="28"/>
      <x:c r="K2462" s="28"/>
      <x:c r="L2462" s="28"/>
      <x:c r="M2462" s="28"/>
      <x:c r="N2462" s="28"/>
      <x:c r="O2462" s="28"/>
      <x:c r="P2462" s="28"/>
      <x:c r="Q2462" s="28"/>
      <x:c r="R2462" s="28"/>
      <x:c r="S2462" s="28"/>
      <x:c r="T2462" s="28"/>
      <x:c r="U2462" s="28"/>
      <x:c r="V2462" s="28"/>
      <x:c r="W2462" s="43" t="n">
        <x:f>--AND(N2462=1,OR(O2462="SUPPORTED",O2462="HALLUCINATION"))</x:f>
        <x:v>0</x:v>
      </x:c>
      <x:c r="X2462" s="43" t="n">
        <x:f>--AND(W2462=1,O2462="HALLUCINATION")</x:f>
        <x:v>0</x:v>
      </x:c>
      <x:c r="Y2462" s="43" t="n">
        <x:f>--AND(Q2462=1,O2462="HALLUCINATION")</x:f>
        <x:v>0</x:v>
      </x:c>
      <x:c r="Z2462" s="43" t="n">
        <x:f>--AND(Y2462=1,R2462=1,S2462=1)</x:f>
        <x:v>0</x:v>
      </x:c>
      <x:c r="AC2462" t="str">
        <x:f>IF(OR(AA2462="",AB2462=""),"",--(AA2462&lt;&gt;AB2462))</x:f>
      </x:c>
      <x:c r="AE2462" t="str">
        <x:f>IF(OR(AA2462="",AB2462=""),"PENDING_HUMAN",IF(AA2462=AB2462,AA2462,IF(AD2462&lt;&gt;"",AD2462,"PENDING_HUMAN")))</x:f>
        <x:v>PENDING_HUMAN</x:v>
      </x:c>
      <x:c r="AF2462" t="n">
        <x:f>--AND(A2462&lt;&gt;"",AA2462&lt;&gt;"",AB2462&lt;&gt;"",OR(AA2462=AB2462,AD2462&lt;&gt;""),IF(AE2462="HALLUCINATION",U2462&lt;&gt;"",TRUE))</x:f>
        <x:v>0</x:v>
      </x:c>
      <x:c r="AG2462" t="n">
        <x:f>--AND(N2462=1,AF2462=1,OR(AE2462="SUPPORTED",AE2462="HALLUCINATION"))</x:f>
        <x:v>0</x:v>
      </x:c>
      <x:c r="AH2462" t="n">
        <x:f>--AND(AG2462=1,AE2462="HALLUCINATION")</x:f>
        <x:v>0</x:v>
      </x:c>
      <x:c r="AI2462" t="n">
        <x:f>--AND(Q2462=1,AF2462=1,AE2462="HALLUCINATION")</x:f>
        <x:v>0</x:v>
      </x:c>
      <x:c r="AJ2462" t="n">
        <x:f>--AND(AI2462=1,R2462=1,S2462=1)</x:f>
        <x:v>0</x:v>
      </x:c>
    </x:row>
    <x:row r="2463">
      <x:c r="A2463" s="28"/>
      <x:c r="B2463" s="28"/>
      <x:c r="C2463" s="28"/>
      <x:c r="D2463" s="28"/>
      <x:c r="E2463" s="28"/>
      <x:c r="F2463" s="28"/>
      <x:c r="G2463" s="28"/>
      <x:c r="H2463" s="28"/>
      <x:c r="I2463" s="28"/>
      <x:c r="J2463" s="28"/>
      <x:c r="K2463" s="28"/>
      <x:c r="L2463" s="28"/>
      <x:c r="M2463" s="28"/>
      <x:c r="N2463" s="28"/>
      <x:c r="O2463" s="28"/>
      <x:c r="P2463" s="28"/>
      <x:c r="Q2463" s="28"/>
      <x:c r="R2463" s="28"/>
      <x:c r="S2463" s="28"/>
      <x:c r="T2463" s="28"/>
      <x:c r="U2463" s="28"/>
      <x:c r="V2463" s="28"/>
      <x:c r="W2463" s="43" t="n">
        <x:f>--AND(N2463=1,OR(O2463="SUPPORTED",O2463="HALLUCINATION"))</x:f>
        <x:v>0</x:v>
      </x:c>
      <x:c r="X2463" s="43" t="n">
        <x:f>--AND(W2463=1,O2463="HALLUCINATION")</x:f>
        <x:v>0</x:v>
      </x:c>
      <x:c r="Y2463" s="43" t="n">
        <x:f>--AND(Q2463=1,O2463="HALLUCINATION")</x:f>
        <x:v>0</x:v>
      </x:c>
      <x:c r="Z2463" s="43" t="n">
        <x:f>--AND(Y2463=1,R2463=1,S2463=1)</x:f>
        <x:v>0</x:v>
      </x:c>
      <x:c r="AC2463" t="str">
        <x:f>IF(OR(AA2463="",AB2463=""),"",--(AA2463&lt;&gt;AB2463))</x:f>
      </x:c>
      <x:c r="AE2463" t="str">
        <x:f>IF(OR(AA2463="",AB2463=""),"PENDING_HUMAN",IF(AA2463=AB2463,AA2463,IF(AD2463&lt;&gt;"",AD2463,"PENDING_HUMAN")))</x:f>
        <x:v>PENDING_HUMAN</x:v>
      </x:c>
      <x:c r="AF2463" t="n">
        <x:f>--AND(A2463&lt;&gt;"",AA2463&lt;&gt;"",AB2463&lt;&gt;"",OR(AA2463=AB2463,AD2463&lt;&gt;""),IF(AE2463="HALLUCINATION",U2463&lt;&gt;"",TRUE))</x:f>
        <x:v>0</x:v>
      </x:c>
      <x:c r="AG2463" t="n">
        <x:f>--AND(N2463=1,AF2463=1,OR(AE2463="SUPPORTED",AE2463="HALLUCINATION"))</x:f>
        <x:v>0</x:v>
      </x:c>
      <x:c r="AH2463" t="n">
        <x:f>--AND(AG2463=1,AE2463="HALLUCINATION")</x:f>
        <x:v>0</x:v>
      </x:c>
      <x:c r="AI2463" t="n">
        <x:f>--AND(Q2463=1,AF2463=1,AE2463="HALLUCINATION")</x:f>
        <x:v>0</x:v>
      </x:c>
      <x:c r="AJ2463" t="n">
        <x:f>--AND(AI2463=1,R2463=1,S2463=1)</x:f>
        <x:v>0</x:v>
      </x:c>
    </x:row>
    <x:row r="2464">
      <x:c r="A2464" s="28"/>
      <x:c r="B2464" s="28"/>
      <x:c r="C2464" s="28"/>
      <x:c r="D2464" s="28"/>
      <x:c r="E2464" s="28"/>
      <x:c r="F2464" s="28"/>
      <x:c r="G2464" s="28"/>
      <x:c r="H2464" s="28"/>
      <x:c r="I2464" s="28"/>
      <x:c r="J2464" s="28"/>
      <x:c r="K2464" s="28"/>
      <x:c r="L2464" s="28"/>
      <x:c r="M2464" s="28"/>
      <x:c r="N2464" s="28"/>
      <x:c r="O2464" s="28"/>
      <x:c r="P2464" s="28"/>
      <x:c r="Q2464" s="28"/>
      <x:c r="R2464" s="28"/>
      <x:c r="S2464" s="28"/>
      <x:c r="T2464" s="28"/>
      <x:c r="U2464" s="28"/>
      <x:c r="V2464" s="28"/>
      <x:c r="W2464" s="43" t="n">
        <x:f>--AND(N2464=1,OR(O2464="SUPPORTED",O2464="HALLUCINATION"))</x:f>
        <x:v>0</x:v>
      </x:c>
      <x:c r="X2464" s="43" t="n">
        <x:f>--AND(W2464=1,O2464="HALLUCINATION")</x:f>
        <x:v>0</x:v>
      </x:c>
      <x:c r="Y2464" s="43" t="n">
        <x:f>--AND(Q2464=1,O2464="HALLUCINATION")</x:f>
        <x:v>0</x:v>
      </x:c>
      <x:c r="Z2464" s="43" t="n">
        <x:f>--AND(Y2464=1,R2464=1,S2464=1)</x:f>
        <x:v>0</x:v>
      </x:c>
      <x:c r="AC2464" t="str">
        <x:f>IF(OR(AA2464="",AB2464=""),"",--(AA2464&lt;&gt;AB2464))</x:f>
      </x:c>
      <x:c r="AE2464" t="str">
        <x:f>IF(OR(AA2464="",AB2464=""),"PENDING_HUMAN",IF(AA2464=AB2464,AA2464,IF(AD2464&lt;&gt;"",AD2464,"PENDING_HUMAN")))</x:f>
        <x:v>PENDING_HUMAN</x:v>
      </x:c>
      <x:c r="AF2464" t="n">
        <x:f>--AND(A2464&lt;&gt;"",AA2464&lt;&gt;"",AB2464&lt;&gt;"",OR(AA2464=AB2464,AD2464&lt;&gt;""),IF(AE2464="HALLUCINATION",U2464&lt;&gt;"",TRUE))</x:f>
        <x:v>0</x:v>
      </x:c>
      <x:c r="AG2464" t="n">
        <x:f>--AND(N2464=1,AF2464=1,OR(AE2464="SUPPORTED",AE2464="HALLUCINATION"))</x:f>
        <x:v>0</x:v>
      </x:c>
      <x:c r="AH2464" t="n">
        <x:f>--AND(AG2464=1,AE2464="HALLUCINATION")</x:f>
        <x:v>0</x:v>
      </x:c>
      <x:c r="AI2464" t="n">
        <x:f>--AND(Q2464=1,AF2464=1,AE2464="HALLUCINATION")</x:f>
        <x:v>0</x:v>
      </x:c>
      <x:c r="AJ2464" t="n">
        <x:f>--AND(AI2464=1,R2464=1,S2464=1)</x:f>
        <x:v>0</x:v>
      </x:c>
    </x:row>
    <x:row r="2465">
      <x:c r="A2465" s="28"/>
      <x:c r="B2465" s="28"/>
      <x:c r="C2465" s="28"/>
      <x:c r="D2465" s="28"/>
      <x:c r="E2465" s="28"/>
      <x:c r="F2465" s="28"/>
      <x:c r="G2465" s="28"/>
      <x:c r="H2465" s="28"/>
      <x:c r="I2465" s="28"/>
      <x:c r="J2465" s="28"/>
      <x:c r="K2465" s="28"/>
      <x:c r="L2465" s="28"/>
      <x:c r="M2465" s="28"/>
      <x:c r="N2465" s="28"/>
      <x:c r="O2465" s="28"/>
      <x:c r="P2465" s="28"/>
      <x:c r="Q2465" s="28"/>
      <x:c r="R2465" s="28"/>
      <x:c r="S2465" s="28"/>
      <x:c r="T2465" s="28"/>
      <x:c r="U2465" s="28"/>
      <x:c r="V2465" s="28"/>
      <x:c r="W2465" s="43" t="n">
        <x:f>--AND(N2465=1,OR(O2465="SUPPORTED",O2465="HALLUCINATION"))</x:f>
        <x:v>0</x:v>
      </x:c>
      <x:c r="X2465" s="43" t="n">
        <x:f>--AND(W2465=1,O2465="HALLUCINATION")</x:f>
        <x:v>0</x:v>
      </x:c>
      <x:c r="Y2465" s="43" t="n">
        <x:f>--AND(Q2465=1,O2465="HALLUCINATION")</x:f>
        <x:v>0</x:v>
      </x:c>
      <x:c r="Z2465" s="43" t="n">
        <x:f>--AND(Y2465=1,R2465=1,S2465=1)</x:f>
        <x:v>0</x:v>
      </x:c>
      <x:c r="AC2465" t="str">
        <x:f>IF(OR(AA2465="",AB2465=""),"",--(AA2465&lt;&gt;AB2465))</x:f>
      </x:c>
      <x:c r="AE2465" t="str">
        <x:f>IF(OR(AA2465="",AB2465=""),"PENDING_HUMAN",IF(AA2465=AB2465,AA2465,IF(AD2465&lt;&gt;"",AD2465,"PENDING_HUMAN")))</x:f>
        <x:v>PENDING_HUMAN</x:v>
      </x:c>
      <x:c r="AF2465" t="n">
        <x:f>--AND(A2465&lt;&gt;"",AA2465&lt;&gt;"",AB2465&lt;&gt;"",OR(AA2465=AB2465,AD2465&lt;&gt;""),IF(AE2465="HALLUCINATION",U2465&lt;&gt;"",TRUE))</x:f>
        <x:v>0</x:v>
      </x:c>
      <x:c r="AG2465" t="n">
        <x:f>--AND(N2465=1,AF2465=1,OR(AE2465="SUPPORTED",AE2465="HALLUCINATION"))</x:f>
        <x:v>0</x:v>
      </x:c>
      <x:c r="AH2465" t="n">
        <x:f>--AND(AG2465=1,AE2465="HALLUCINATION")</x:f>
        <x:v>0</x:v>
      </x:c>
      <x:c r="AI2465" t="n">
        <x:f>--AND(Q2465=1,AF2465=1,AE2465="HALLUCINATION")</x:f>
        <x:v>0</x:v>
      </x:c>
      <x:c r="AJ2465" t="n">
        <x:f>--AND(AI2465=1,R2465=1,S2465=1)</x:f>
        <x:v>0</x:v>
      </x:c>
    </x:row>
    <x:row r="2466">
      <x:c r="A2466" s="28"/>
      <x:c r="B2466" s="28"/>
      <x:c r="C2466" s="28"/>
      <x:c r="D2466" s="28"/>
      <x:c r="E2466" s="28"/>
      <x:c r="F2466" s="28"/>
      <x:c r="G2466" s="28"/>
      <x:c r="H2466" s="28"/>
      <x:c r="I2466" s="28"/>
      <x:c r="J2466" s="28"/>
      <x:c r="K2466" s="28"/>
      <x:c r="L2466" s="28"/>
      <x:c r="M2466" s="28"/>
      <x:c r="N2466" s="28"/>
      <x:c r="O2466" s="28"/>
      <x:c r="P2466" s="28"/>
      <x:c r="Q2466" s="28"/>
      <x:c r="R2466" s="28"/>
      <x:c r="S2466" s="28"/>
      <x:c r="T2466" s="28"/>
      <x:c r="U2466" s="28"/>
      <x:c r="V2466" s="28"/>
      <x:c r="W2466" s="43" t="n">
        <x:f>--AND(N2466=1,OR(O2466="SUPPORTED",O2466="HALLUCINATION"))</x:f>
        <x:v>0</x:v>
      </x:c>
      <x:c r="X2466" s="43" t="n">
        <x:f>--AND(W2466=1,O2466="HALLUCINATION")</x:f>
        <x:v>0</x:v>
      </x:c>
      <x:c r="Y2466" s="43" t="n">
        <x:f>--AND(Q2466=1,O2466="HALLUCINATION")</x:f>
        <x:v>0</x:v>
      </x:c>
      <x:c r="Z2466" s="43" t="n">
        <x:f>--AND(Y2466=1,R2466=1,S2466=1)</x:f>
        <x:v>0</x:v>
      </x:c>
      <x:c r="AC2466" t="str">
        <x:f>IF(OR(AA2466="",AB2466=""),"",--(AA2466&lt;&gt;AB2466))</x:f>
      </x:c>
      <x:c r="AE2466" t="str">
        <x:f>IF(OR(AA2466="",AB2466=""),"PENDING_HUMAN",IF(AA2466=AB2466,AA2466,IF(AD2466&lt;&gt;"",AD2466,"PENDING_HUMAN")))</x:f>
        <x:v>PENDING_HUMAN</x:v>
      </x:c>
      <x:c r="AF2466" t="n">
        <x:f>--AND(A2466&lt;&gt;"",AA2466&lt;&gt;"",AB2466&lt;&gt;"",OR(AA2466=AB2466,AD2466&lt;&gt;""),IF(AE2466="HALLUCINATION",U2466&lt;&gt;"",TRUE))</x:f>
        <x:v>0</x:v>
      </x:c>
      <x:c r="AG2466" t="n">
        <x:f>--AND(N2466=1,AF2466=1,OR(AE2466="SUPPORTED",AE2466="HALLUCINATION"))</x:f>
        <x:v>0</x:v>
      </x:c>
      <x:c r="AH2466" t="n">
        <x:f>--AND(AG2466=1,AE2466="HALLUCINATION")</x:f>
        <x:v>0</x:v>
      </x:c>
      <x:c r="AI2466" t="n">
        <x:f>--AND(Q2466=1,AF2466=1,AE2466="HALLUCINATION")</x:f>
        <x:v>0</x:v>
      </x:c>
      <x:c r="AJ2466" t="n">
        <x:f>--AND(AI2466=1,R2466=1,S2466=1)</x:f>
        <x:v>0</x:v>
      </x:c>
    </x:row>
    <x:row r="2467">
      <x:c r="A2467" s="28"/>
      <x:c r="B2467" s="28"/>
      <x:c r="C2467" s="28"/>
      <x:c r="D2467" s="28"/>
      <x:c r="E2467" s="28"/>
      <x:c r="F2467" s="28"/>
      <x:c r="G2467" s="28"/>
      <x:c r="H2467" s="28"/>
      <x:c r="I2467" s="28"/>
      <x:c r="J2467" s="28"/>
      <x:c r="K2467" s="28"/>
      <x:c r="L2467" s="28"/>
      <x:c r="M2467" s="28"/>
      <x:c r="N2467" s="28"/>
      <x:c r="O2467" s="28"/>
      <x:c r="P2467" s="28"/>
      <x:c r="Q2467" s="28"/>
      <x:c r="R2467" s="28"/>
      <x:c r="S2467" s="28"/>
      <x:c r="T2467" s="28"/>
      <x:c r="U2467" s="28"/>
      <x:c r="V2467" s="28"/>
      <x:c r="W2467" s="43" t="n">
        <x:f>--AND(N2467=1,OR(O2467="SUPPORTED",O2467="HALLUCINATION"))</x:f>
        <x:v>0</x:v>
      </x:c>
      <x:c r="X2467" s="43" t="n">
        <x:f>--AND(W2467=1,O2467="HALLUCINATION")</x:f>
        <x:v>0</x:v>
      </x:c>
      <x:c r="Y2467" s="43" t="n">
        <x:f>--AND(Q2467=1,O2467="HALLUCINATION")</x:f>
        <x:v>0</x:v>
      </x:c>
      <x:c r="Z2467" s="43" t="n">
        <x:f>--AND(Y2467=1,R2467=1,S2467=1)</x:f>
        <x:v>0</x:v>
      </x:c>
      <x:c r="AC2467" t="str">
        <x:f>IF(OR(AA2467="",AB2467=""),"",--(AA2467&lt;&gt;AB2467))</x:f>
      </x:c>
      <x:c r="AE2467" t="str">
        <x:f>IF(OR(AA2467="",AB2467=""),"PENDING_HUMAN",IF(AA2467=AB2467,AA2467,IF(AD2467&lt;&gt;"",AD2467,"PENDING_HUMAN")))</x:f>
        <x:v>PENDING_HUMAN</x:v>
      </x:c>
      <x:c r="AF2467" t="n">
        <x:f>--AND(A2467&lt;&gt;"",AA2467&lt;&gt;"",AB2467&lt;&gt;"",OR(AA2467=AB2467,AD2467&lt;&gt;""),IF(AE2467="HALLUCINATION",U2467&lt;&gt;"",TRUE))</x:f>
        <x:v>0</x:v>
      </x:c>
      <x:c r="AG2467" t="n">
        <x:f>--AND(N2467=1,AF2467=1,OR(AE2467="SUPPORTED",AE2467="HALLUCINATION"))</x:f>
        <x:v>0</x:v>
      </x:c>
      <x:c r="AH2467" t="n">
        <x:f>--AND(AG2467=1,AE2467="HALLUCINATION")</x:f>
        <x:v>0</x:v>
      </x:c>
      <x:c r="AI2467" t="n">
        <x:f>--AND(Q2467=1,AF2467=1,AE2467="HALLUCINATION")</x:f>
        <x:v>0</x:v>
      </x:c>
      <x:c r="AJ2467" t="n">
        <x:f>--AND(AI2467=1,R2467=1,S2467=1)</x:f>
        <x:v>0</x:v>
      </x:c>
    </x:row>
    <x:row r="2468">
      <x:c r="A2468" s="28"/>
      <x:c r="B2468" s="28"/>
      <x:c r="C2468" s="28"/>
      <x:c r="D2468" s="28"/>
      <x:c r="E2468" s="28"/>
      <x:c r="F2468" s="28"/>
      <x:c r="G2468" s="28"/>
      <x:c r="H2468" s="28"/>
      <x:c r="I2468" s="28"/>
      <x:c r="J2468" s="28"/>
      <x:c r="K2468" s="28"/>
      <x:c r="L2468" s="28"/>
      <x:c r="M2468" s="28"/>
      <x:c r="N2468" s="28"/>
      <x:c r="O2468" s="28"/>
      <x:c r="P2468" s="28"/>
      <x:c r="Q2468" s="28"/>
      <x:c r="R2468" s="28"/>
      <x:c r="S2468" s="28"/>
      <x:c r="T2468" s="28"/>
      <x:c r="U2468" s="28"/>
      <x:c r="V2468" s="28"/>
      <x:c r="W2468" s="43" t="n">
        <x:f>--AND(N2468=1,OR(O2468="SUPPORTED",O2468="HALLUCINATION"))</x:f>
        <x:v>0</x:v>
      </x:c>
      <x:c r="X2468" s="43" t="n">
        <x:f>--AND(W2468=1,O2468="HALLUCINATION")</x:f>
        <x:v>0</x:v>
      </x:c>
      <x:c r="Y2468" s="43" t="n">
        <x:f>--AND(Q2468=1,O2468="HALLUCINATION")</x:f>
        <x:v>0</x:v>
      </x:c>
      <x:c r="Z2468" s="43" t="n">
        <x:f>--AND(Y2468=1,R2468=1,S2468=1)</x:f>
        <x:v>0</x:v>
      </x:c>
      <x:c r="AC2468" t="str">
        <x:f>IF(OR(AA2468="",AB2468=""),"",--(AA2468&lt;&gt;AB2468))</x:f>
      </x:c>
      <x:c r="AE2468" t="str">
        <x:f>IF(OR(AA2468="",AB2468=""),"PENDING_HUMAN",IF(AA2468=AB2468,AA2468,IF(AD2468&lt;&gt;"",AD2468,"PENDING_HUMAN")))</x:f>
        <x:v>PENDING_HUMAN</x:v>
      </x:c>
      <x:c r="AF2468" t="n">
        <x:f>--AND(A2468&lt;&gt;"",AA2468&lt;&gt;"",AB2468&lt;&gt;"",OR(AA2468=AB2468,AD2468&lt;&gt;""),IF(AE2468="HALLUCINATION",U2468&lt;&gt;"",TRUE))</x:f>
        <x:v>0</x:v>
      </x:c>
      <x:c r="AG2468" t="n">
        <x:f>--AND(N2468=1,AF2468=1,OR(AE2468="SUPPORTED",AE2468="HALLUCINATION"))</x:f>
        <x:v>0</x:v>
      </x:c>
      <x:c r="AH2468" t="n">
        <x:f>--AND(AG2468=1,AE2468="HALLUCINATION")</x:f>
        <x:v>0</x:v>
      </x:c>
      <x:c r="AI2468" t="n">
        <x:f>--AND(Q2468=1,AF2468=1,AE2468="HALLUCINATION")</x:f>
        <x:v>0</x:v>
      </x:c>
      <x:c r="AJ2468" t="n">
        <x:f>--AND(AI2468=1,R2468=1,S2468=1)</x:f>
        <x:v>0</x:v>
      </x:c>
    </x:row>
    <x:row r="2469">
      <x:c r="A2469" s="28"/>
      <x:c r="B2469" s="28"/>
      <x:c r="C2469" s="28"/>
      <x:c r="D2469" s="28"/>
      <x:c r="E2469" s="28"/>
      <x:c r="F2469" s="28"/>
      <x:c r="G2469" s="28"/>
      <x:c r="H2469" s="28"/>
      <x:c r="I2469" s="28"/>
      <x:c r="J2469" s="28"/>
      <x:c r="K2469" s="28"/>
      <x:c r="L2469" s="28"/>
      <x:c r="M2469" s="28"/>
      <x:c r="N2469" s="28"/>
      <x:c r="O2469" s="28"/>
      <x:c r="P2469" s="28"/>
      <x:c r="Q2469" s="28"/>
      <x:c r="R2469" s="28"/>
      <x:c r="S2469" s="28"/>
      <x:c r="T2469" s="28"/>
      <x:c r="U2469" s="28"/>
      <x:c r="V2469" s="28"/>
      <x:c r="W2469" s="43" t="n">
        <x:f>--AND(N2469=1,OR(O2469="SUPPORTED",O2469="HALLUCINATION"))</x:f>
        <x:v>0</x:v>
      </x:c>
      <x:c r="X2469" s="43" t="n">
        <x:f>--AND(W2469=1,O2469="HALLUCINATION")</x:f>
        <x:v>0</x:v>
      </x:c>
      <x:c r="Y2469" s="43" t="n">
        <x:f>--AND(Q2469=1,O2469="HALLUCINATION")</x:f>
        <x:v>0</x:v>
      </x:c>
      <x:c r="Z2469" s="43" t="n">
        <x:f>--AND(Y2469=1,R2469=1,S2469=1)</x:f>
        <x:v>0</x:v>
      </x:c>
      <x:c r="AC2469" t="str">
        <x:f>IF(OR(AA2469="",AB2469=""),"",--(AA2469&lt;&gt;AB2469))</x:f>
      </x:c>
      <x:c r="AE2469" t="str">
        <x:f>IF(OR(AA2469="",AB2469=""),"PENDING_HUMAN",IF(AA2469=AB2469,AA2469,IF(AD2469&lt;&gt;"",AD2469,"PENDING_HUMAN")))</x:f>
        <x:v>PENDING_HUMAN</x:v>
      </x:c>
      <x:c r="AF2469" t="n">
        <x:f>--AND(A2469&lt;&gt;"",AA2469&lt;&gt;"",AB2469&lt;&gt;"",OR(AA2469=AB2469,AD2469&lt;&gt;""),IF(AE2469="HALLUCINATION",U2469&lt;&gt;"",TRUE))</x:f>
        <x:v>0</x:v>
      </x:c>
      <x:c r="AG2469" t="n">
        <x:f>--AND(N2469=1,AF2469=1,OR(AE2469="SUPPORTED",AE2469="HALLUCINATION"))</x:f>
        <x:v>0</x:v>
      </x:c>
      <x:c r="AH2469" t="n">
        <x:f>--AND(AG2469=1,AE2469="HALLUCINATION")</x:f>
        <x:v>0</x:v>
      </x:c>
      <x:c r="AI2469" t="n">
        <x:f>--AND(Q2469=1,AF2469=1,AE2469="HALLUCINATION")</x:f>
        <x:v>0</x:v>
      </x:c>
      <x:c r="AJ2469" t="n">
        <x:f>--AND(AI2469=1,R2469=1,S2469=1)</x:f>
        <x:v>0</x:v>
      </x:c>
    </x:row>
    <x:row r="2470">
      <x:c r="A2470" s="28"/>
      <x:c r="B2470" s="28"/>
      <x:c r="C2470" s="28"/>
      <x:c r="D2470" s="28"/>
      <x:c r="E2470" s="28"/>
      <x:c r="F2470" s="28"/>
      <x:c r="G2470" s="28"/>
      <x:c r="H2470" s="28"/>
      <x:c r="I2470" s="28"/>
      <x:c r="J2470" s="28"/>
      <x:c r="K2470" s="28"/>
      <x:c r="L2470" s="28"/>
      <x:c r="M2470" s="28"/>
      <x:c r="N2470" s="28"/>
      <x:c r="O2470" s="28"/>
      <x:c r="P2470" s="28"/>
      <x:c r="Q2470" s="28"/>
      <x:c r="R2470" s="28"/>
      <x:c r="S2470" s="28"/>
      <x:c r="T2470" s="28"/>
      <x:c r="U2470" s="28"/>
      <x:c r="V2470" s="28"/>
      <x:c r="W2470" s="43" t="n">
        <x:f>--AND(N2470=1,OR(O2470="SUPPORTED",O2470="HALLUCINATION"))</x:f>
        <x:v>0</x:v>
      </x:c>
      <x:c r="X2470" s="43" t="n">
        <x:f>--AND(W2470=1,O2470="HALLUCINATION")</x:f>
        <x:v>0</x:v>
      </x:c>
      <x:c r="Y2470" s="43" t="n">
        <x:f>--AND(Q2470=1,O2470="HALLUCINATION")</x:f>
        <x:v>0</x:v>
      </x:c>
      <x:c r="Z2470" s="43" t="n">
        <x:f>--AND(Y2470=1,R2470=1,S2470=1)</x:f>
        <x:v>0</x:v>
      </x:c>
      <x:c r="AC2470" t="str">
        <x:f>IF(OR(AA2470="",AB2470=""),"",--(AA2470&lt;&gt;AB2470))</x:f>
      </x:c>
      <x:c r="AE2470" t="str">
        <x:f>IF(OR(AA2470="",AB2470=""),"PENDING_HUMAN",IF(AA2470=AB2470,AA2470,IF(AD2470&lt;&gt;"",AD2470,"PENDING_HUMAN")))</x:f>
        <x:v>PENDING_HUMAN</x:v>
      </x:c>
      <x:c r="AF2470" t="n">
        <x:f>--AND(A2470&lt;&gt;"",AA2470&lt;&gt;"",AB2470&lt;&gt;"",OR(AA2470=AB2470,AD2470&lt;&gt;""),IF(AE2470="HALLUCINATION",U2470&lt;&gt;"",TRUE))</x:f>
        <x:v>0</x:v>
      </x:c>
      <x:c r="AG2470" t="n">
        <x:f>--AND(N2470=1,AF2470=1,OR(AE2470="SUPPORTED",AE2470="HALLUCINATION"))</x:f>
        <x:v>0</x:v>
      </x:c>
      <x:c r="AH2470" t="n">
        <x:f>--AND(AG2470=1,AE2470="HALLUCINATION")</x:f>
        <x:v>0</x:v>
      </x:c>
      <x:c r="AI2470" t="n">
        <x:f>--AND(Q2470=1,AF2470=1,AE2470="HALLUCINATION")</x:f>
        <x:v>0</x:v>
      </x:c>
      <x:c r="AJ2470" t="n">
        <x:f>--AND(AI2470=1,R2470=1,S2470=1)</x:f>
        <x:v>0</x:v>
      </x:c>
    </x:row>
    <x:row r="2471">
      <x:c r="A2471" s="28"/>
      <x:c r="B2471" s="28"/>
      <x:c r="C2471" s="28"/>
      <x:c r="D2471" s="28"/>
      <x:c r="E2471" s="28"/>
      <x:c r="F2471" s="28"/>
      <x:c r="G2471" s="28"/>
      <x:c r="H2471" s="28"/>
      <x:c r="I2471" s="28"/>
      <x:c r="J2471" s="28"/>
      <x:c r="K2471" s="28"/>
      <x:c r="L2471" s="28"/>
      <x:c r="M2471" s="28"/>
      <x:c r="N2471" s="28"/>
      <x:c r="O2471" s="28"/>
      <x:c r="P2471" s="28"/>
      <x:c r="Q2471" s="28"/>
      <x:c r="R2471" s="28"/>
      <x:c r="S2471" s="28"/>
      <x:c r="T2471" s="28"/>
      <x:c r="U2471" s="28"/>
      <x:c r="V2471" s="28"/>
      <x:c r="W2471" s="43" t="n">
        <x:f>--AND(N2471=1,OR(O2471="SUPPORTED",O2471="HALLUCINATION"))</x:f>
        <x:v>0</x:v>
      </x:c>
      <x:c r="X2471" s="43" t="n">
        <x:f>--AND(W2471=1,O2471="HALLUCINATION")</x:f>
        <x:v>0</x:v>
      </x:c>
      <x:c r="Y2471" s="43" t="n">
        <x:f>--AND(Q2471=1,O2471="HALLUCINATION")</x:f>
        <x:v>0</x:v>
      </x:c>
      <x:c r="Z2471" s="43" t="n">
        <x:f>--AND(Y2471=1,R2471=1,S2471=1)</x:f>
        <x:v>0</x:v>
      </x:c>
      <x:c r="AC2471" t="str">
        <x:f>IF(OR(AA2471="",AB2471=""),"",--(AA2471&lt;&gt;AB2471))</x:f>
      </x:c>
      <x:c r="AE2471" t="str">
        <x:f>IF(OR(AA2471="",AB2471=""),"PENDING_HUMAN",IF(AA2471=AB2471,AA2471,IF(AD2471&lt;&gt;"",AD2471,"PENDING_HUMAN")))</x:f>
        <x:v>PENDING_HUMAN</x:v>
      </x:c>
      <x:c r="AF2471" t="n">
        <x:f>--AND(A2471&lt;&gt;"",AA2471&lt;&gt;"",AB2471&lt;&gt;"",OR(AA2471=AB2471,AD2471&lt;&gt;""),IF(AE2471="HALLUCINATION",U2471&lt;&gt;"",TRUE))</x:f>
        <x:v>0</x:v>
      </x:c>
      <x:c r="AG2471" t="n">
        <x:f>--AND(N2471=1,AF2471=1,OR(AE2471="SUPPORTED",AE2471="HALLUCINATION"))</x:f>
        <x:v>0</x:v>
      </x:c>
      <x:c r="AH2471" t="n">
        <x:f>--AND(AG2471=1,AE2471="HALLUCINATION")</x:f>
        <x:v>0</x:v>
      </x:c>
      <x:c r="AI2471" t="n">
        <x:f>--AND(Q2471=1,AF2471=1,AE2471="HALLUCINATION")</x:f>
        <x:v>0</x:v>
      </x:c>
      <x:c r="AJ2471" t="n">
        <x:f>--AND(AI2471=1,R2471=1,S2471=1)</x:f>
        <x:v>0</x:v>
      </x:c>
    </x:row>
    <x:row r="2472">
      <x:c r="A2472" s="28"/>
      <x:c r="B2472" s="28"/>
      <x:c r="C2472" s="28"/>
      <x:c r="D2472" s="28"/>
      <x:c r="E2472" s="28"/>
      <x:c r="F2472" s="28"/>
      <x:c r="G2472" s="28"/>
      <x:c r="H2472" s="28"/>
      <x:c r="I2472" s="28"/>
      <x:c r="J2472" s="28"/>
      <x:c r="K2472" s="28"/>
      <x:c r="L2472" s="28"/>
      <x:c r="M2472" s="28"/>
      <x:c r="N2472" s="28"/>
      <x:c r="O2472" s="28"/>
      <x:c r="P2472" s="28"/>
      <x:c r="Q2472" s="28"/>
      <x:c r="R2472" s="28"/>
      <x:c r="S2472" s="28"/>
      <x:c r="T2472" s="28"/>
      <x:c r="U2472" s="28"/>
      <x:c r="V2472" s="28"/>
      <x:c r="W2472" s="43" t="n">
        <x:f>--AND(N2472=1,OR(O2472="SUPPORTED",O2472="HALLUCINATION"))</x:f>
        <x:v>0</x:v>
      </x:c>
      <x:c r="X2472" s="43" t="n">
        <x:f>--AND(W2472=1,O2472="HALLUCINATION")</x:f>
        <x:v>0</x:v>
      </x:c>
      <x:c r="Y2472" s="43" t="n">
        <x:f>--AND(Q2472=1,O2472="HALLUCINATION")</x:f>
        <x:v>0</x:v>
      </x:c>
      <x:c r="Z2472" s="43" t="n">
        <x:f>--AND(Y2472=1,R2472=1,S2472=1)</x:f>
        <x:v>0</x:v>
      </x:c>
      <x:c r="AC2472" t="str">
        <x:f>IF(OR(AA2472="",AB2472=""),"",--(AA2472&lt;&gt;AB2472))</x:f>
      </x:c>
      <x:c r="AE2472" t="str">
        <x:f>IF(OR(AA2472="",AB2472=""),"PENDING_HUMAN",IF(AA2472=AB2472,AA2472,IF(AD2472&lt;&gt;"",AD2472,"PENDING_HUMAN")))</x:f>
        <x:v>PENDING_HUMAN</x:v>
      </x:c>
      <x:c r="AF2472" t="n">
        <x:f>--AND(A2472&lt;&gt;"",AA2472&lt;&gt;"",AB2472&lt;&gt;"",OR(AA2472=AB2472,AD2472&lt;&gt;""),IF(AE2472="HALLUCINATION",U2472&lt;&gt;"",TRUE))</x:f>
        <x:v>0</x:v>
      </x:c>
      <x:c r="AG2472" t="n">
        <x:f>--AND(N2472=1,AF2472=1,OR(AE2472="SUPPORTED",AE2472="HALLUCINATION"))</x:f>
        <x:v>0</x:v>
      </x:c>
      <x:c r="AH2472" t="n">
        <x:f>--AND(AG2472=1,AE2472="HALLUCINATION")</x:f>
        <x:v>0</x:v>
      </x:c>
      <x:c r="AI2472" t="n">
        <x:f>--AND(Q2472=1,AF2472=1,AE2472="HALLUCINATION")</x:f>
        <x:v>0</x:v>
      </x:c>
      <x:c r="AJ2472" t="n">
        <x:f>--AND(AI2472=1,R2472=1,S2472=1)</x:f>
        <x:v>0</x:v>
      </x:c>
    </x:row>
    <x:row r="2473">
      <x:c r="A2473" s="28"/>
      <x:c r="B2473" s="28"/>
      <x:c r="C2473" s="28"/>
      <x:c r="D2473" s="28"/>
      <x:c r="E2473" s="28"/>
      <x:c r="F2473" s="28"/>
      <x:c r="G2473" s="28"/>
      <x:c r="H2473" s="28"/>
      <x:c r="I2473" s="28"/>
      <x:c r="J2473" s="28"/>
      <x:c r="K2473" s="28"/>
      <x:c r="L2473" s="28"/>
      <x:c r="M2473" s="28"/>
      <x:c r="N2473" s="28"/>
      <x:c r="O2473" s="28"/>
      <x:c r="P2473" s="28"/>
      <x:c r="Q2473" s="28"/>
      <x:c r="R2473" s="28"/>
      <x:c r="S2473" s="28"/>
      <x:c r="T2473" s="28"/>
      <x:c r="U2473" s="28"/>
      <x:c r="V2473" s="28"/>
      <x:c r="W2473" s="43" t="n">
        <x:f>--AND(N2473=1,OR(O2473="SUPPORTED",O2473="HALLUCINATION"))</x:f>
        <x:v>0</x:v>
      </x:c>
      <x:c r="X2473" s="43" t="n">
        <x:f>--AND(W2473=1,O2473="HALLUCINATION")</x:f>
        <x:v>0</x:v>
      </x:c>
      <x:c r="Y2473" s="43" t="n">
        <x:f>--AND(Q2473=1,O2473="HALLUCINATION")</x:f>
        <x:v>0</x:v>
      </x:c>
      <x:c r="Z2473" s="43" t="n">
        <x:f>--AND(Y2473=1,R2473=1,S2473=1)</x:f>
        <x:v>0</x:v>
      </x:c>
      <x:c r="AC2473" t="str">
        <x:f>IF(OR(AA2473="",AB2473=""),"",--(AA2473&lt;&gt;AB2473))</x:f>
      </x:c>
      <x:c r="AE2473" t="str">
        <x:f>IF(OR(AA2473="",AB2473=""),"PENDING_HUMAN",IF(AA2473=AB2473,AA2473,IF(AD2473&lt;&gt;"",AD2473,"PENDING_HUMAN")))</x:f>
        <x:v>PENDING_HUMAN</x:v>
      </x:c>
      <x:c r="AF2473" t="n">
        <x:f>--AND(A2473&lt;&gt;"",AA2473&lt;&gt;"",AB2473&lt;&gt;"",OR(AA2473=AB2473,AD2473&lt;&gt;""),IF(AE2473="HALLUCINATION",U2473&lt;&gt;"",TRUE))</x:f>
        <x:v>0</x:v>
      </x:c>
      <x:c r="AG2473" t="n">
        <x:f>--AND(N2473=1,AF2473=1,OR(AE2473="SUPPORTED",AE2473="HALLUCINATION"))</x:f>
        <x:v>0</x:v>
      </x:c>
      <x:c r="AH2473" t="n">
        <x:f>--AND(AG2473=1,AE2473="HALLUCINATION")</x:f>
        <x:v>0</x:v>
      </x:c>
      <x:c r="AI2473" t="n">
        <x:f>--AND(Q2473=1,AF2473=1,AE2473="HALLUCINATION")</x:f>
        <x:v>0</x:v>
      </x:c>
      <x:c r="AJ2473" t="n">
        <x:f>--AND(AI2473=1,R2473=1,S2473=1)</x:f>
        <x:v>0</x:v>
      </x:c>
    </x:row>
    <x:row r="2474">
      <x:c r="A2474" s="28"/>
      <x:c r="B2474" s="28"/>
      <x:c r="C2474" s="28"/>
      <x:c r="D2474" s="28"/>
      <x:c r="E2474" s="28"/>
      <x:c r="F2474" s="28"/>
      <x:c r="G2474" s="28"/>
      <x:c r="H2474" s="28"/>
      <x:c r="I2474" s="28"/>
      <x:c r="J2474" s="28"/>
      <x:c r="K2474" s="28"/>
      <x:c r="L2474" s="28"/>
      <x:c r="M2474" s="28"/>
      <x:c r="N2474" s="28"/>
      <x:c r="O2474" s="28"/>
      <x:c r="P2474" s="28"/>
      <x:c r="Q2474" s="28"/>
      <x:c r="R2474" s="28"/>
      <x:c r="S2474" s="28"/>
      <x:c r="T2474" s="28"/>
      <x:c r="U2474" s="28"/>
      <x:c r="V2474" s="28"/>
      <x:c r="W2474" s="43" t="n">
        <x:f>--AND(N2474=1,OR(O2474="SUPPORTED",O2474="HALLUCINATION"))</x:f>
        <x:v>0</x:v>
      </x:c>
      <x:c r="X2474" s="43" t="n">
        <x:f>--AND(W2474=1,O2474="HALLUCINATION")</x:f>
        <x:v>0</x:v>
      </x:c>
      <x:c r="Y2474" s="43" t="n">
        <x:f>--AND(Q2474=1,O2474="HALLUCINATION")</x:f>
        <x:v>0</x:v>
      </x:c>
      <x:c r="Z2474" s="43" t="n">
        <x:f>--AND(Y2474=1,R2474=1,S2474=1)</x:f>
        <x:v>0</x:v>
      </x:c>
      <x:c r="AC2474" t="str">
        <x:f>IF(OR(AA2474="",AB2474=""),"",--(AA2474&lt;&gt;AB2474))</x:f>
      </x:c>
      <x:c r="AE2474" t="str">
        <x:f>IF(OR(AA2474="",AB2474=""),"PENDING_HUMAN",IF(AA2474=AB2474,AA2474,IF(AD2474&lt;&gt;"",AD2474,"PENDING_HUMAN")))</x:f>
        <x:v>PENDING_HUMAN</x:v>
      </x:c>
      <x:c r="AF2474" t="n">
        <x:f>--AND(A2474&lt;&gt;"",AA2474&lt;&gt;"",AB2474&lt;&gt;"",OR(AA2474=AB2474,AD2474&lt;&gt;""),IF(AE2474="HALLUCINATION",U2474&lt;&gt;"",TRUE))</x:f>
        <x:v>0</x:v>
      </x:c>
      <x:c r="AG2474" t="n">
        <x:f>--AND(N2474=1,AF2474=1,OR(AE2474="SUPPORTED",AE2474="HALLUCINATION"))</x:f>
        <x:v>0</x:v>
      </x:c>
      <x:c r="AH2474" t="n">
        <x:f>--AND(AG2474=1,AE2474="HALLUCINATION")</x:f>
        <x:v>0</x:v>
      </x:c>
      <x:c r="AI2474" t="n">
        <x:f>--AND(Q2474=1,AF2474=1,AE2474="HALLUCINATION")</x:f>
        <x:v>0</x:v>
      </x:c>
      <x:c r="AJ2474" t="n">
        <x:f>--AND(AI2474=1,R2474=1,S2474=1)</x:f>
        <x:v>0</x:v>
      </x:c>
    </x:row>
    <x:row r="2475">
      <x:c r="A2475" s="28"/>
      <x:c r="B2475" s="28"/>
      <x:c r="C2475" s="28"/>
      <x:c r="D2475" s="28"/>
      <x:c r="E2475" s="28"/>
      <x:c r="F2475" s="28"/>
      <x:c r="G2475" s="28"/>
      <x:c r="H2475" s="28"/>
      <x:c r="I2475" s="28"/>
      <x:c r="J2475" s="28"/>
      <x:c r="K2475" s="28"/>
      <x:c r="L2475" s="28"/>
      <x:c r="M2475" s="28"/>
      <x:c r="N2475" s="28"/>
      <x:c r="O2475" s="28"/>
      <x:c r="P2475" s="28"/>
      <x:c r="Q2475" s="28"/>
      <x:c r="R2475" s="28"/>
      <x:c r="S2475" s="28"/>
      <x:c r="T2475" s="28"/>
      <x:c r="U2475" s="28"/>
      <x:c r="V2475" s="28"/>
      <x:c r="W2475" s="43" t="n">
        <x:f>--AND(N2475=1,OR(O2475="SUPPORTED",O2475="HALLUCINATION"))</x:f>
        <x:v>0</x:v>
      </x:c>
      <x:c r="X2475" s="43" t="n">
        <x:f>--AND(W2475=1,O2475="HALLUCINATION")</x:f>
        <x:v>0</x:v>
      </x:c>
      <x:c r="Y2475" s="43" t="n">
        <x:f>--AND(Q2475=1,O2475="HALLUCINATION")</x:f>
        <x:v>0</x:v>
      </x:c>
      <x:c r="Z2475" s="43" t="n">
        <x:f>--AND(Y2475=1,R2475=1,S2475=1)</x:f>
        <x:v>0</x:v>
      </x:c>
      <x:c r="AC2475" t="str">
        <x:f>IF(OR(AA2475="",AB2475=""),"",--(AA2475&lt;&gt;AB2475))</x:f>
      </x:c>
      <x:c r="AE2475" t="str">
        <x:f>IF(OR(AA2475="",AB2475=""),"PENDING_HUMAN",IF(AA2475=AB2475,AA2475,IF(AD2475&lt;&gt;"",AD2475,"PENDING_HUMAN")))</x:f>
        <x:v>PENDING_HUMAN</x:v>
      </x:c>
      <x:c r="AF2475" t="n">
        <x:f>--AND(A2475&lt;&gt;"",AA2475&lt;&gt;"",AB2475&lt;&gt;"",OR(AA2475=AB2475,AD2475&lt;&gt;""),IF(AE2475="HALLUCINATION",U2475&lt;&gt;"",TRUE))</x:f>
        <x:v>0</x:v>
      </x:c>
      <x:c r="AG2475" t="n">
        <x:f>--AND(N2475=1,AF2475=1,OR(AE2475="SUPPORTED",AE2475="HALLUCINATION"))</x:f>
        <x:v>0</x:v>
      </x:c>
      <x:c r="AH2475" t="n">
        <x:f>--AND(AG2475=1,AE2475="HALLUCINATION")</x:f>
        <x:v>0</x:v>
      </x:c>
      <x:c r="AI2475" t="n">
        <x:f>--AND(Q2475=1,AF2475=1,AE2475="HALLUCINATION")</x:f>
        <x:v>0</x:v>
      </x:c>
      <x:c r="AJ2475" t="n">
        <x:f>--AND(AI2475=1,R2475=1,S2475=1)</x:f>
        <x:v>0</x:v>
      </x:c>
    </x:row>
    <x:row r="2476">
      <x:c r="A2476" s="28"/>
      <x:c r="B2476" s="28"/>
      <x:c r="C2476" s="28"/>
      <x:c r="D2476" s="28"/>
      <x:c r="E2476" s="28"/>
      <x:c r="F2476" s="28"/>
      <x:c r="G2476" s="28"/>
      <x:c r="H2476" s="28"/>
      <x:c r="I2476" s="28"/>
      <x:c r="J2476" s="28"/>
      <x:c r="K2476" s="28"/>
      <x:c r="L2476" s="28"/>
      <x:c r="M2476" s="28"/>
      <x:c r="N2476" s="28"/>
      <x:c r="O2476" s="28"/>
      <x:c r="P2476" s="28"/>
      <x:c r="Q2476" s="28"/>
      <x:c r="R2476" s="28"/>
      <x:c r="S2476" s="28"/>
      <x:c r="T2476" s="28"/>
      <x:c r="U2476" s="28"/>
      <x:c r="V2476" s="28"/>
      <x:c r="W2476" s="43" t="n">
        <x:f>--AND(N2476=1,OR(O2476="SUPPORTED",O2476="HALLUCINATION"))</x:f>
        <x:v>0</x:v>
      </x:c>
      <x:c r="X2476" s="43" t="n">
        <x:f>--AND(W2476=1,O2476="HALLUCINATION")</x:f>
        <x:v>0</x:v>
      </x:c>
      <x:c r="Y2476" s="43" t="n">
        <x:f>--AND(Q2476=1,O2476="HALLUCINATION")</x:f>
        <x:v>0</x:v>
      </x:c>
      <x:c r="Z2476" s="43" t="n">
        <x:f>--AND(Y2476=1,R2476=1,S2476=1)</x:f>
        <x:v>0</x:v>
      </x:c>
      <x:c r="AC2476" t="str">
        <x:f>IF(OR(AA2476="",AB2476=""),"",--(AA2476&lt;&gt;AB2476))</x:f>
      </x:c>
      <x:c r="AE2476" t="str">
        <x:f>IF(OR(AA2476="",AB2476=""),"PENDING_HUMAN",IF(AA2476=AB2476,AA2476,IF(AD2476&lt;&gt;"",AD2476,"PENDING_HUMAN")))</x:f>
        <x:v>PENDING_HUMAN</x:v>
      </x:c>
      <x:c r="AF2476" t="n">
        <x:f>--AND(A2476&lt;&gt;"",AA2476&lt;&gt;"",AB2476&lt;&gt;"",OR(AA2476=AB2476,AD2476&lt;&gt;""),IF(AE2476="HALLUCINATION",U2476&lt;&gt;"",TRUE))</x:f>
        <x:v>0</x:v>
      </x:c>
      <x:c r="AG2476" t="n">
        <x:f>--AND(N2476=1,AF2476=1,OR(AE2476="SUPPORTED",AE2476="HALLUCINATION"))</x:f>
        <x:v>0</x:v>
      </x:c>
      <x:c r="AH2476" t="n">
        <x:f>--AND(AG2476=1,AE2476="HALLUCINATION")</x:f>
        <x:v>0</x:v>
      </x:c>
      <x:c r="AI2476" t="n">
        <x:f>--AND(Q2476=1,AF2476=1,AE2476="HALLUCINATION")</x:f>
        <x:v>0</x:v>
      </x:c>
      <x:c r="AJ2476" t="n">
        <x:f>--AND(AI2476=1,R2476=1,S2476=1)</x:f>
        <x:v>0</x:v>
      </x:c>
    </x:row>
    <x:row r="2477">
      <x:c r="A2477" s="28"/>
      <x:c r="B2477" s="28"/>
      <x:c r="C2477" s="28"/>
      <x:c r="D2477" s="28"/>
      <x:c r="E2477" s="28"/>
      <x:c r="F2477" s="28"/>
      <x:c r="G2477" s="28"/>
      <x:c r="H2477" s="28"/>
      <x:c r="I2477" s="28"/>
      <x:c r="J2477" s="28"/>
      <x:c r="K2477" s="28"/>
      <x:c r="L2477" s="28"/>
      <x:c r="M2477" s="28"/>
      <x:c r="N2477" s="28"/>
      <x:c r="O2477" s="28"/>
      <x:c r="P2477" s="28"/>
      <x:c r="Q2477" s="28"/>
      <x:c r="R2477" s="28"/>
      <x:c r="S2477" s="28"/>
      <x:c r="T2477" s="28"/>
      <x:c r="U2477" s="28"/>
      <x:c r="V2477" s="28"/>
      <x:c r="W2477" s="43" t="n">
        <x:f>--AND(N2477=1,OR(O2477="SUPPORTED",O2477="HALLUCINATION"))</x:f>
        <x:v>0</x:v>
      </x:c>
      <x:c r="X2477" s="43" t="n">
        <x:f>--AND(W2477=1,O2477="HALLUCINATION")</x:f>
        <x:v>0</x:v>
      </x:c>
      <x:c r="Y2477" s="43" t="n">
        <x:f>--AND(Q2477=1,O2477="HALLUCINATION")</x:f>
        <x:v>0</x:v>
      </x:c>
      <x:c r="Z2477" s="43" t="n">
        <x:f>--AND(Y2477=1,R2477=1,S2477=1)</x:f>
        <x:v>0</x:v>
      </x:c>
      <x:c r="AC2477" t="str">
        <x:f>IF(OR(AA2477="",AB2477=""),"",--(AA2477&lt;&gt;AB2477))</x:f>
      </x:c>
      <x:c r="AE2477" t="str">
        <x:f>IF(OR(AA2477="",AB2477=""),"PENDING_HUMAN",IF(AA2477=AB2477,AA2477,IF(AD2477&lt;&gt;"",AD2477,"PENDING_HUMAN")))</x:f>
        <x:v>PENDING_HUMAN</x:v>
      </x:c>
      <x:c r="AF2477" t="n">
        <x:f>--AND(A2477&lt;&gt;"",AA2477&lt;&gt;"",AB2477&lt;&gt;"",OR(AA2477=AB2477,AD2477&lt;&gt;""),IF(AE2477="HALLUCINATION",U2477&lt;&gt;"",TRUE))</x:f>
        <x:v>0</x:v>
      </x:c>
      <x:c r="AG2477" t="n">
        <x:f>--AND(N2477=1,AF2477=1,OR(AE2477="SUPPORTED",AE2477="HALLUCINATION"))</x:f>
        <x:v>0</x:v>
      </x:c>
      <x:c r="AH2477" t="n">
        <x:f>--AND(AG2477=1,AE2477="HALLUCINATION")</x:f>
        <x:v>0</x:v>
      </x:c>
      <x:c r="AI2477" t="n">
        <x:f>--AND(Q2477=1,AF2477=1,AE2477="HALLUCINATION")</x:f>
        <x:v>0</x:v>
      </x:c>
      <x:c r="AJ2477" t="n">
        <x:f>--AND(AI2477=1,R2477=1,S2477=1)</x:f>
        <x:v>0</x:v>
      </x:c>
    </x:row>
    <x:row r="2478">
      <x:c r="A2478" s="28"/>
      <x:c r="B2478" s="28"/>
      <x:c r="C2478" s="28"/>
      <x:c r="D2478" s="28"/>
      <x:c r="E2478" s="28"/>
      <x:c r="F2478" s="28"/>
      <x:c r="G2478" s="28"/>
      <x:c r="H2478" s="28"/>
      <x:c r="I2478" s="28"/>
      <x:c r="J2478" s="28"/>
      <x:c r="K2478" s="28"/>
      <x:c r="L2478" s="28"/>
      <x:c r="M2478" s="28"/>
      <x:c r="N2478" s="28"/>
      <x:c r="O2478" s="28"/>
      <x:c r="P2478" s="28"/>
      <x:c r="Q2478" s="28"/>
      <x:c r="R2478" s="28"/>
      <x:c r="S2478" s="28"/>
      <x:c r="T2478" s="28"/>
      <x:c r="U2478" s="28"/>
      <x:c r="V2478" s="28"/>
      <x:c r="W2478" s="43" t="n">
        <x:f>--AND(N2478=1,OR(O2478="SUPPORTED",O2478="HALLUCINATION"))</x:f>
        <x:v>0</x:v>
      </x:c>
      <x:c r="X2478" s="43" t="n">
        <x:f>--AND(W2478=1,O2478="HALLUCINATION")</x:f>
        <x:v>0</x:v>
      </x:c>
      <x:c r="Y2478" s="43" t="n">
        <x:f>--AND(Q2478=1,O2478="HALLUCINATION")</x:f>
        <x:v>0</x:v>
      </x:c>
      <x:c r="Z2478" s="43" t="n">
        <x:f>--AND(Y2478=1,R2478=1,S2478=1)</x:f>
        <x:v>0</x:v>
      </x:c>
      <x:c r="AC2478" t="str">
        <x:f>IF(OR(AA2478="",AB2478=""),"",--(AA2478&lt;&gt;AB2478))</x:f>
      </x:c>
      <x:c r="AE2478" t="str">
        <x:f>IF(OR(AA2478="",AB2478=""),"PENDING_HUMAN",IF(AA2478=AB2478,AA2478,IF(AD2478&lt;&gt;"",AD2478,"PENDING_HUMAN")))</x:f>
        <x:v>PENDING_HUMAN</x:v>
      </x:c>
      <x:c r="AF2478" t="n">
        <x:f>--AND(A2478&lt;&gt;"",AA2478&lt;&gt;"",AB2478&lt;&gt;"",OR(AA2478=AB2478,AD2478&lt;&gt;""),IF(AE2478="HALLUCINATION",U2478&lt;&gt;"",TRUE))</x:f>
        <x:v>0</x:v>
      </x:c>
      <x:c r="AG2478" t="n">
        <x:f>--AND(N2478=1,AF2478=1,OR(AE2478="SUPPORTED",AE2478="HALLUCINATION"))</x:f>
        <x:v>0</x:v>
      </x:c>
      <x:c r="AH2478" t="n">
        <x:f>--AND(AG2478=1,AE2478="HALLUCINATION")</x:f>
        <x:v>0</x:v>
      </x:c>
      <x:c r="AI2478" t="n">
        <x:f>--AND(Q2478=1,AF2478=1,AE2478="HALLUCINATION")</x:f>
        <x:v>0</x:v>
      </x:c>
      <x:c r="AJ2478" t="n">
        <x:f>--AND(AI2478=1,R2478=1,S2478=1)</x:f>
        <x:v>0</x:v>
      </x:c>
    </x:row>
    <x:row r="2479">
      <x:c r="A2479" s="28"/>
      <x:c r="B2479" s="28"/>
      <x:c r="C2479" s="28"/>
      <x:c r="D2479" s="28"/>
      <x:c r="E2479" s="28"/>
      <x:c r="F2479" s="28"/>
      <x:c r="G2479" s="28"/>
      <x:c r="H2479" s="28"/>
      <x:c r="I2479" s="28"/>
      <x:c r="J2479" s="28"/>
      <x:c r="K2479" s="28"/>
      <x:c r="L2479" s="28"/>
      <x:c r="M2479" s="28"/>
      <x:c r="N2479" s="28"/>
      <x:c r="O2479" s="28"/>
      <x:c r="P2479" s="28"/>
      <x:c r="Q2479" s="28"/>
      <x:c r="R2479" s="28"/>
      <x:c r="S2479" s="28"/>
      <x:c r="T2479" s="28"/>
      <x:c r="U2479" s="28"/>
      <x:c r="V2479" s="28"/>
      <x:c r="W2479" s="43" t="n">
        <x:f>--AND(N2479=1,OR(O2479="SUPPORTED",O2479="HALLUCINATION"))</x:f>
        <x:v>0</x:v>
      </x:c>
      <x:c r="X2479" s="43" t="n">
        <x:f>--AND(W2479=1,O2479="HALLUCINATION")</x:f>
        <x:v>0</x:v>
      </x:c>
      <x:c r="Y2479" s="43" t="n">
        <x:f>--AND(Q2479=1,O2479="HALLUCINATION")</x:f>
        <x:v>0</x:v>
      </x:c>
      <x:c r="Z2479" s="43" t="n">
        <x:f>--AND(Y2479=1,R2479=1,S2479=1)</x:f>
        <x:v>0</x:v>
      </x:c>
      <x:c r="AC2479" t="str">
        <x:f>IF(OR(AA2479="",AB2479=""),"",--(AA2479&lt;&gt;AB2479))</x:f>
      </x:c>
      <x:c r="AE2479" t="str">
        <x:f>IF(OR(AA2479="",AB2479=""),"PENDING_HUMAN",IF(AA2479=AB2479,AA2479,IF(AD2479&lt;&gt;"",AD2479,"PENDING_HUMAN")))</x:f>
        <x:v>PENDING_HUMAN</x:v>
      </x:c>
      <x:c r="AF2479" t="n">
        <x:f>--AND(A2479&lt;&gt;"",AA2479&lt;&gt;"",AB2479&lt;&gt;"",OR(AA2479=AB2479,AD2479&lt;&gt;""),IF(AE2479="HALLUCINATION",U2479&lt;&gt;"",TRUE))</x:f>
        <x:v>0</x:v>
      </x:c>
      <x:c r="AG2479" t="n">
        <x:f>--AND(N2479=1,AF2479=1,OR(AE2479="SUPPORTED",AE2479="HALLUCINATION"))</x:f>
        <x:v>0</x:v>
      </x:c>
      <x:c r="AH2479" t="n">
        <x:f>--AND(AG2479=1,AE2479="HALLUCINATION")</x:f>
        <x:v>0</x:v>
      </x:c>
      <x:c r="AI2479" t="n">
        <x:f>--AND(Q2479=1,AF2479=1,AE2479="HALLUCINATION")</x:f>
        <x:v>0</x:v>
      </x:c>
      <x:c r="AJ2479" t="n">
        <x:f>--AND(AI2479=1,R2479=1,S2479=1)</x:f>
        <x:v>0</x:v>
      </x:c>
    </x:row>
    <x:row r="2480">
      <x:c r="A2480" s="28"/>
      <x:c r="B2480" s="28"/>
      <x:c r="C2480" s="28"/>
      <x:c r="D2480" s="28"/>
      <x:c r="E2480" s="28"/>
      <x:c r="F2480" s="28"/>
      <x:c r="G2480" s="28"/>
      <x:c r="H2480" s="28"/>
      <x:c r="I2480" s="28"/>
      <x:c r="J2480" s="28"/>
      <x:c r="K2480" s="28"/>
      <x:c r="L2480" s="28"/>
      <x:c r="M2480" s="28"/>
      <x:c r="N2480" s="28"/>
      <x:c r="O2480" s="28"/>
      <x:c r="P2480" s="28"/>
      <x:c r="Q2480" s="28"/>
      <x:c r="R2480" s="28"/>
      <x:c r="S2480" s="28"/>
      <x:c r="T2480" s="28"/>
      <x:c r="U2480" s="28"/>
      <x:c r="V2480" s="28"/>
      <x:c r="W2480" s="43" t="n">
        <x:f>--AND(N2480=1,OR(O2480="SUPPORTED",O2480="HALLUCINATION"))</x:f>
        <x:v>0</x:v>
      </x:c>
      <x:c r="X2480" s="43" t="n">
        <x:f>--AND(W2480=1,O2480="HALLUCINATION")</x:f>
        <x:v>0</x:v>
      </x:c>
      <x:c r="Y2480" s="43" t="n">
        <x:f>--AND(Q2480=1,O2480="HALLUCINATION")</x:f>
        <x:v>0</x:v>
      </x:c>
      <x:c r="Z2480" s="43" t="n">
        <x:f>--AND(Y2480=1,R2480=1,S2480=1)</x:f>
        <x:v>0</x:v>
      </x:c>
      <x:c r="AC2480" t="str">
        <x:f>IF(OR(AA2480="",AB2480=""),"",--(AA2480&lt;&gt;AB2480))</x:f>
      </x:c>
      <x:c r="AE2480" t="str">
        <x:f>IF(OR(AA2480="",AB2480=""),"PENDING_HUMAN",IF(AA2480=AB2480,AA2480,IF(AD2480&lt;&gt;"",AD2480,"PENDING_HUMAN")))</x:f>
        <x:v>PENDING_HUMAN</x:v>
      </x:c>
      <x:c r="AF2480" t="n">
        <x:f>--AND(A2480&lt;&gt;"",AA2480&lt;&gt;"",AB2480&lt;&gt;"",OR(AA2480=AB2480,AD2480&lt;&gt;""),IF(AE2480="HALLUCINATION",U2480&lt;&gt;"",TRUE))</x:f>
        <x:v>0</x:v>
      </x:c>
      <x:c r="AG2480" t="n">
        <x:f>--AND(N2480=1,AF2480=1,OR(AE2480="SUPPORTED",AE2480="HALLUCINATION"))</x:f>
        <x:v>0</x:v>
      </x:c>
      <x:c r="AH2480" t="n">
        <x:f>--AND(AG2480=1,AE2480="HALLUCINATION")</x:f>
        <x:v>0</x:v>
      </x:c>
      <x:c r="AI2480" t="n">
        <x:f>--AND(Q2480=1,AF2480=1,AE2480="HALLUCINATION")</x:f>
        <x:v>0</x:v>
      </x:c>
      <x:c r="AJ2480" t="n">
        <x:f>--AND(AI2480=1,R2480=1,S2480=1)</x:f>
        <x:v>0</x:v>
      </x:c>
    </x:row>
    <x:row r="2481">
      <x:c r="A2481" s="28"/>
      <x:c r="B2481" s="28"/>
      <x:c r="C2481" s="28"/>
      <x:c r="D2481" s="28"/>
      <x:c r="E2481" s="28"/>
      <x:c r="F2481" s="28"/>
      <x:c r="G2481" s="28"/>
      <x:c r="H2481" s="28"/>
      <x:c r="I2481" s="28"/>
      <x:c r="J2481" s="28"/>
      <x:c r="K2481" s="28"/>
      <x:c r="L2481" s="28"/>
      <x:c r="M2481" s="28"/>
      <x:c r="N2481" s="28"/>
      <x:c r="O2481" s="28"/>
      <x:c r="P2481" s="28"/>
      <x:c r="Q2481" s="28"/>
      <x:c r="R2481" s="28"/>
      <x:c r="S2481" s="28"/>
      <x:c r="T2481" s="28"/>
      <x:c r="U2481" s="28"/>
      <x:c r="V2481" s="28"/>
      <x:c r="W2481" s="43" t="n">
        <x:f>--AND(N2481=1,OR(O2481="SUPPORTED",O2481="HALLUCINATION"))</x:f>
        <x:v>0</x:v>
      </x:c>
      <x:c r="X2481" s="43" t="n">
        <x:f>--AND(W2481=1,O2481="HALLUCINATION")</x:f>
        <x:v>0</x:v>
      </x:c>
      <x:c r="Y2481" s="43" t="n">
        <x:f>--AND(Q2481=1,O2481="HALLUCINATION")</x:f>
        <x:v>0</x:v>
      </x:c>
      <x:c r="Z2481" s="43" t="n">
        <x:f>--AND(Y2481=1,R2481=1,S2481=1)</x:f>
        <x:v>0</x:v>
      </x:c>
      <x:c r="AC2481" t="str">
        <x:f>IF(OR(AA2481="",AB2481=""),"",--(AA2481&lt;&gt;AB2481))</x:f>
      </x:c>
      <x:c r="AE2481" t="str">
        <x:f>IF(OR(AA2481="",AB2481=""),"PENDING_HUMAN",IF(AA2481=AB2481,AA2481,IF(AD2481&lt;&gt;"",AD2481,"PENDING_HUMAN")))</x:f>
        <x:v>PENDING_HUMAN</x:v>
      </x:c>
      <x:c r="AF2481" t="n">
        <x:f>--AND(A2481&lt;&gt;"",AA2481&lt;&gt;"",AB2481&lt;&gt;"",OR(AA2481=AB2481,AD2481&lt;&gt;""),IF(AE2481="HALLUCINATION",U2481&lt;&gt;"",TRUE))</x:f>
        <x:v>0</x:v>
      </x:c>
      <x:c r="AG2481" t="n">
        <x:f>--AND(N2481=1,AF2481=1,OR(AE2481="SUPPORTED",AE2481="HALLUCINATION"))</x:f>
        <x:v>0</x:v>
      </x:c>
      <x:c r="AH2481" t="n">
        <x:f>--AND(AG2481=1,AE2481="HALLUCINATION")</x:f>
        <x:v>0</x:v>
      </x:c>
      <x:c r="AI2481" t="n">
        <x:f>--AND(Q2481=1,AF2481=1,AE2481="HALLUCINATION")</x:f>
        <x:v>0</x:v>
      </x:c>
      <x:c r="AJ2481" t="n">
        <x:f>--AND(AI2481=1,R2481=1,S2481=1)</x:f>
        <x:v>0</x:v>
      </x:c>
    </x:row>
    <x:row r="2482">
      <x:c r="A2482" s="28"/>
      <x:c r="B2482" s="28"/>
      <x:c r="C2482" s="28"/>
      <x:c r="D2482" s="28"/>
      <x:c r="E2482" s="28"/>
      <x:c r="F2482" s="28"/>
      <x:c r="G2482" s="28"/>
      <x:c r="H2482" s="28"/>
      <x:c r="I2482" s="28"/>
      <x:c r="J2482" s="28"/>
      <x:c r="K2482" s="28"/>
      <x:c r="L2482" s="28"/>
      <x:c r="M2482" s="28"/>
      <x:c r="N2482" s="28"/>
      <x:c r="O2482" s="28"/>
      <x:c r="P2482" s="28"/>
      <x:c r="Q2482" s="28"/>
      <x:c r="R2482" s="28"/>
      <x:c r="S2482" s="28"/>
      <x:c r="T2482" s="28"/>
      <x:c r="U2482" s="28"/>
      <x:c r="V2482" s="28"/>
      <x:c r="W2482" s="43" t="n">
        <x:f>--AND(N2482=1,OR(O2482="SUPPORTED",O2482="HALLUCINATION"))</x:f>
        <x:v>0</x:v>
      </x:c>
      <x:c r="X2482" s="43" t="n">
        <x:f>--AND(W2482=1,O2482="HALLUCINATION")</x:f>
        <x:v>0</x:v>
      </x:c>
      <x:c r="Y2482" s="43" t="n">
        <x:f>--AND(Q2482=1,O2482="HALLUCINATION")</x:f>
        <x:v>0</x:v>
      </x:c>
      <x:c r="Z2482" s="43" t="n">
        <x:f>--AND(Y2482=1,R2482=1,S2482=1)</x:f>
        <x:v>0</x:v>
      </x:c>
      <x:c r="AC2482" t="str">
        <x:f>IF(OR(AA2482="",AB2482=""),"",--(AA2482&lt;&gt;AB2482))</x:f>
      </x:c>
      <x:c r="AE2482" t="str">
        <x:f>IF(OR(AA2482="",AB2482=""),"PENDING_HUMAN",IF(AA2482=AB2482,AA2482,IF(AD2482&lt;&gt;"",AD2482,"PENDING_HUMAN")))</x:f>
        <x:v>PENDING_HUMAN</x:v>
      </x:c>
      <x:c r="AF2482" t="n">
        <x:f>--AND(A2482&lt;&gt;"",AA2482&lt;&gt;"",AB2482&lt;&gt;"",OR(AA2482=AB2482,AD2482&lt;&gt;""),IF(AE2482="HALLUCINATION",U2482&lt;&gt;"",TRUE))</x:f>
        <x:v>0</x:v>
      </x:c>
      <x:c r="AG2482" t="n">
        <x:f>--AND(N2482=1,AF2482=1,OR(AE2482="SUPPORTED",AE2482="HALLUCINATION"))</x:f>
        <x:v>0</x:v>
      </x:c>
      <x:c r="AH2482" t="n">
        <x:f>--AND(AG2482=1,AE2482="HALLUCINATION")</x:f>
        <x:v>0</x:v>
      </x:c>
      <x:c r="AI2482" t="n">
        <x:f>--AND(Q2482=1,AF2482=1,AE2482="HALLUCINATION")</x:f>
        <x:v>0</x:v>
      </x:c>
      <x:c r="AJ2482" t="n">
        <x:f>--AND(AI2482=1,R2482=1,S2482=1)</x:f>
        <x:v>0</x:v>
      </x:c>
    </x:row>
    <x:row r="2483">
      <x:c r="A2483" s="28"/>
      <x:c r="B2483" s="28"/>
      <x:c r="C2483" s="28"/>
      <x:c r="D2483" s="28"/>
      <x:c r="E2483" s="28"/>
      <x:c r="F2483" s="28"/>
      <x:c r="G2483" s="28"/>
      <x:c r="H2483" s="28"/>
      <x:c r="I2483" s="28"/>
      <x:c r="J2483" s="28"/>
      <x:c r="K2483" s="28"/>
      <x:c r="L2483" s="28"/>
      <x:c r="M2483" s="28"/>
      <x:c r="N2483" s="28"/>
      <x:c r="O2483" s="28"/>
      <x:c r="P2483" s="28"/>
      <x:c r="Q2483" s="28"/>
      <x:c r="R2483" s="28"/>
      <x:c r="S2483" s="28"/>
      <x:c r="T2483" s="28"/>
      <x:c r="U2483" s="28"/>
      <x:c r="V2483" s="28"/>
      <x:c r="W2483" s="43" t="n">
        <x:f>--AND(N2483=1,OR(O2483="SUPPORTED",O2483="HALLUCINATION"))</x:f>
        <x:v>0</x:v>
      </x:c>
      <x:c r="X2483" s="43" t="n">
        <x:f>--AND(W2483=1,O2483="HALLUCINATION")</x:f>
        <x:v>0</x:v>
      </x:c>
      <x:c r="Y2483" s="43" t="n">
        <x:f>--AND(Q2483=1,O2483="HALLUCINATION")</x:f>
        <x:v>0</x:v>
      </x:c>
      <x:c r="Z2483" s="43" t="n">
        <x:f>--AND(Y2483=1,R2483=1,S2483=1)</x:f>
        <x:v>0</x:v>
      </x:c>
      <x:c r="AC2483" t="str">
        <x:f>IF(OR(AA2483="",AB2483=""),"",--(AA2483&lt;&gt;AB2483))</x:f>
      </x:c>
      <x:c r="AE2483" t="str">
        <x:f>IF(OR(AA2483="",AB2483=""),"PENDING_HUMAN",IF(AA2483=AB2483,AA2483,IF(AD2483&lt;&gt;"",AD2483,"PENDING_HUMAN")))</x:f>
        <x:v>PENDING_HUMAN</x:v>
      </x:c>
      <x:c r="AF2483" t="n">
        <x:f>--AND(A2483&lt;&gt;"",AA2483&lt;&gt;"",AB2483&lt;&gt;"",OR(AA2483=AB2483,AD2483&lt;&gt;""),IF(AE2483="HALLUCINATION",U2483&lt;&gt;"",TRUE))</x:f>
        <x:v>0</x:v>
      </x:c>
      <x:c r="AG2483" t="n">
        <x:f>--AND(N2483=1,AF2483=1,OR(AE2483="SUPPORTED",AE2483="HALLUCINATION"))</x:f>
        <x:v>0</x:v>
      </x:c>
      <x:c r="AH2483" t="n">
        <x:f>--AND(AG2483=1,AE2483="HALLUCINATION")</x:f>
        <x:v>0</x:v>
      </x:c>
      <x:c r="AI2483" t="n">
        <x:f>--AND(Q2483=1,AF2483=1,AE2483="HALLUCINATION")</x:f>
        <x:v>0</x:v>
      </x:c>
      <x:c r="AJ2483" t="n">
        <x:f>--AND(AI2483=1,R2483=1,S2483=1)</x:f>
        <x:v>0</x:v>
      </x:c>
    </x:row>
    <x:row r="2484">
      <x:c r="A2484" s="28"/>
      <x:c r="B2484" s="28"/>
      <x:c r="C2484" s="28"/>
      <x:c r="D2484" s="28"/>
      <x:c r="E2484" s="28"/>
      <x:c r="F2484" s="28"/>
      <x:c r="G2484" s="28"/>
      <x:c r="H2484" s="28"/>
      <x:c r="I2484" s="28"/>
      <x:c r="J2484" s="28"/>
      <x:c r="K2484" s="28"/>
      <x:c r="L2484" s="28"/>
      <x:c r="M2484" s="28"/>
      <x:c r="N2484" s="28"/>
      <x:c r="O2484" s="28"/>
      <x:c r="P2484" s="28"/>
      <x:c r="Q2484" s="28"/>
      <x:c r="R2484" s="28"/>
      <x:c r="S2484" s="28"/>
      <x:c r="T2484" s="28"/>
      <x:c r="U2484" s="28"/>
      <x:c r="V2484" s="28"/>
      <x:c r="W2484" s="43" t="n">
        <x:f>--AND(N2484=1,OR(O2484="SUPPORTED",O2484="HALLUCINATION"))</x:f>
        <x:v>0</x:v>
      </x:c>
      <x:c r="X2484" s="43" t="n">
        <x:f>--AND(W2484=1,O2484="HALLUCINATION")</x:f>
        <x:v>0</x:v>
      </x:c>
      <x:c r="Y2484" s="43" t="n">
        <x:f>--AND(Q2484=1,O2484="HALLUCINATION")</x:f>
        <x:v>0</x:v>
      </x:c>
      <x:c r="Z2484" s="43" t="n">
        <x:f>--AND(Y2484=1,R2484=1,S2484=1)</x:f>
        <x:v>0</x:v>
      </x:c>
      <x:c r="AC2484" t="str">
        <x:f>IF(OR(AA2484="",AB2484=""),"",--(AA2484&lt;&gt;AB2484))</x:f>
      </x:c>
      <x:c r="AE2484" t="str">
        <x:f>IF(OR(AA2484="",AB2484=""),"PENDING_HUMAN",IF(AA2484=AB2484,AA2484,IF(AD2484&lt;&gt;"",AD2484,"PENDING_HUMAN")))</x:f>
        <x:v>PENDING_HUMAN</x:v>
      </x:c>
      <x:c r="AF2484" t="n">
        <x:f>--AND(A2484&lt;&gt;"",AA2484&lt;&gt;"",AB2484&lt;&gt;"",OR(AA2484=AB2484,AD2484&lt;&gt;""),IF(AE2484="HALLUCINATION",U2484&lt;&gt;"",TRUE))</x:f>
        <x:v>0</x:v>
      </x:c>
      <x:c r="AG2484" t="n">
        <x:f>--AND(N2484=1,AF2484=1,OR(AE2484="SUPPORTED",AE2484="HALLUCINATION"))</x:f>
        <x:v>0</x:v>
      </x:c>
      <x:c r="AH2484" t="n">
        <x:f>--AND(AG2484=1,AE2484="HALLUCINATION")</x:f>
        <x:v>0</x:v>
      </x:c>
      <x:c r="AI2484" t="n">
        <x:f>--AND(Q2484=1,AF2484=1,AE2484="HALLUCINATION")</x:f>
        <x:v>0</x:v>
      </x:c>
      <x:c r="AJ2484" t="n">
        <x:f>--AND(AI2484=1,R2484=1,S2484=1)</x:f>
        <x:v>0</x:v>
      </x:c>
    </x:row>
    <x:row r="2485">
      <x:c r="A2485" s="28"/>
      <x:c r="B2485" s="28"/>
      <x:c r="C2485" s="28"/>
      <x:c r="D2485" s="28"/>
      <x:c r="E2485" s="28"/>
      <x:c r="F2485" s="28"/>
      <x:c r="G2485" s="28"/>
      <x:c r="H2485" s="28"/>
      <x:c r="I2485" s="28"/>
      <x:c r="J2485" s="28"/>
      <x:c r="K2485" s="28"/>
      <x:c r="L2485" s="28"/>
      <x:c r="M2485" s="28"/>
      <x:c r="N2485" s="28"/>
      <x:c r="O2485" s="28"/>
      <x:c r="P2485" s="28"/>
      <x:c r="Q2485" s="28"/>
      <x:c r="R2485" s="28"/>
      <x:c r="S2485" s="28"/>
      <x:c r="T2485" s="28"/>
      <x:c r="U2485" s="28"/>
      <x:c r="V2485" s="28"/>
      <x:c r="W2485" s="43" t="n">
        <x:f>--AND(N2485=1,OR(O2485="SUPPORTED",O2485="HALLUCINATION"))</x:f>
        <x:v>0</x:v>
      </x:c>
      <x:c r="X2485" s="43" t="n">
        <x:f>--AND(W2485=1,O2485="HALLUCINATION")</x:f>
        <x:v>0</x:v>
      </x:c>
      <x:c r="Y2485" s="43" t="n">
        <x:f>--AND(Q2485=1,O2485="HALLUCINATION")</x:f>
        <x:v>0</x:v>
      </x:c>
      <x:c r="Z2485" s="43" t="n">
        <x:f>--AND(Y2485=1,R2485=1,S2485=1)</x:f>
        <x:v>0</x:v>
      </x:c>
      <x:c r="AC2485" t="str">
        <x:f>IF(OR(AA2485="",AB2485=""),"",--(AA2485&lt;&gt;AB2485))</x:f>
      </x:c>
      <x:c r="AE2485" t="str">
        <x:f>IF(OR(AA2485="",AB2485=""),"PENDING_HUMAN",IF(AA2485=AB2485,AA2485,IF(AD2485&lt;&gt;"",AD2485,"PENDING_HUMAN")))</x:f>
        <x:v>PENDING_HUMAN</x:v>
      </x:c>
      <x:c r="AF2485" t="n">
        <x:f>--AND(A2485&lt;&gt;"",AA2485&lt;&gt;"",AB2485&lt;&gt;"",OR(AA2485=AB2485,AD2485&lt;&gt;""),IF(AE2485="HALLUCINATION",U2485&lt;&gt;"",TRUE))</x:f>
        <x:v>0</x:v>
      </x:c>
      <x:c r="AG2485" t="n">
        <x:f>--AND(N2485=1,AF2485=1,OR(AE2485="SUPPORTED",AE2485="HALLUCINATION"))</x:f>
        <x:v>0</x:v>
      </x:c>
      <x:c r="AH2485" t="n">
        <x:f>--AND(AG2485=1,AE2485="HALLUCINATION")</x:f>
        <x:v>0</x:v>
      </x:c>
      <x:c r="AI2485" t="n">
        <x:f>--AND(Q2485=1,AF2485=1,AE2485="HALLUCINATION")</x:f>
        <x:v>0</x:v>
      </x:c>
      <x:c r="AJ2485" t="n">
        <x:f>--AND(AI2485=1,R2485=1,S2485=1)</x:f>
        <x:v>0</x:v>
      </x:c>
    </x:row>
    <x:row r="2486">
      <x:c r="A2486" s="28"/>
      <x:c r="B2486" s="28"/>
      <x:c r="C2486" s="28"/>
      <x:c r="D2486" s="28"/>
      <x:c r="E2486" s="28"/>
      <x:c r="F2486" s="28"/>
      <x:c r="G2486" s="28"/>
      <x:c r="H2486" s="28"/>
      <x:c r="I2486" s="28"/>
      <x:c r="J2486" s="28"/>
      <x:c r="K2486" s="28"/>
      <x:c r="L2486" s="28"/>
      <x:c r="M2486" s="28"/>
      <x:c r="N2486" s="28"/>
      <x:c r="O2486" s="28"/>
      <x:c r="P2486" s="28"/>
      <x:c r="Q2486" s="28"/>
      <x:c r="R2486" s="28"/>
      <x:c r="S2486" s="28"/>
      <x:c r="T2486" s="28"/>
      <x:c r="U2486" s="28"/>
      <x:c r="V2486" s="28"/>
      <x:c r="W2486" s="43" t="n">
        <x:f>--AND(N2486=1,OR(O2486="SUPPORTED",O2486="HALLUCINATION"))</x:f>
        <x:v>0</x:v>
      </x:c>
      <x:c r="X2486" s="43" t="n">
        <x:f>--AND(W2486=1,O2486="HALLUCINATION")</x:f>
        <x:v>0</x:v>
      </x:c>
      <x:c r="Y2486" s="43" t="n">
        <x:f>--AND(Q2486=1,O2486="HALLUCINATION")</x:f>
        <x:v>0</x:v>
      </x:c>
      <x:c r="Z2486" s="43" t="n">
        <x:f>--AND(Y2486=1,R2486=1,S2486=1)</x:f>
        <x:v>0</x:v>
      </x:c>
      <x:c r="AC2486" t="str">
        <x:f>IF(OR(AA2486="",AB2486=""),"",--(AA2486&lt;&gt;AB2486))</x:f>
      </x:c>
      <x:c r="AE2486" t="str">
        <x:f>IF(OR(AA2486="",AB2486=""),"PENDING_HUMAN",IF(AA2486=AB2486,AA2486,IF(AD2486&lt;&gt;"",AD2486,"PENDING_HUMAN")))</x:f>
        <x:v>PENDING_HUMAN</x:v>
      </x:c>
      <x:c r="AF2486" t="n">
        <x:f>--AND(A2486&lt;&gt;"",AA2486&lt;&gt;"",AB2486&lt;&gt;"",OR(AA2486=AB2486,AD2486&lt;&gt;""),IF(AE2486="HALLUCINATION",U2486&lt;&gt;"",TRUE))</x:f>
        <x:v>0</x:v>
      </x:c>
      <x:c r="AG2486" t="n">
        <x:f>--AND(N2486=1,AF2486=1,OR(AE2486="SUPPORTED",AE2486="HALLUCINATION"))</x:f>
        <x:v>0</x:v>
      </x:c>
      <x:c r="AH2486" t="n">
        <x:f>--AND(AG2486=1,AE2486="HALLUCINATION")</x:f>
        <x:v>0</x:v>
      </x:c>
      <x:c r="AI2486" t="n">
        <x:f>--AND(Q2486=1,AF2486=1,AE2486="HALLUCINATION")</x:f>
        <x:v>0</x:v>
      </x:c>
      <x:c r="AJ2486" t="n">
        <x:f>--AND(AI2486=1,R2486=1,S2486=1)</x:f>
        <x:v>0</x:v>
      </x:c>
    </x:row>
    <x:row r="2487">
      <x:c r="A2487" s="28"/>
      <x:c r="B2487" s="28"/>
      <x:c r="C2487" s="28"/>
      <x:c r="D2487" s="28"/>
      <x:c r="E2487" s="28"/>
      <x:c r="F2487" s="28"/>
      <x:c r="G2487" s="28"/>
      <x:c r="H2487" s="28"/>
      <x:c r="I2487" s="28"/>
      <x:c r="J2487" s="28"/>
      <x:c r="K2487" s="28"/>
      <x:c r="L2487" s="28"/>
      <x:c r="M2487" s="28"/>
      <x:c r="N2487" s="28"/>
      <x:c r="O2487" s="28"/>
      <x:c r="P2487" s="28"/>
      <x:c r="Q2487" s="28"/>
      <x:c r="R2487" s="28"/>
      <x:c r="S2487" s="28"/>
      <x:c r="T2487" s="28"/>
      <x:c r="U2487" s="28"/>
      <x:c r="V2487" s="28"/>
      <x:c r="W2487" s="43" t="n">
        <x:f>--AND(N2487=1,OR(O2487="SUPPORTED",O2487="HALLUCINATION"))</x:f>
        <x:v>0</x:v>
      </x:c>
      <x:c r="X2487" s="43" t="n">
        <x:f>--AND(W2487=1,O2487="HALLUCINATION")</x:f>
        <x:v>0</x:v>
      </x:c>
      <x:c r="Y2487" s="43" t="n">
        <x:f>--AND(Q2487=1,O2487="HALLUCINATION")</x:f>
        <x:v>0</x:v>
      </x:c>
      <x:c r="Z2487" s="43" t="n">
        <x:f>--AND(Y2487=1,R2487=1,S2487=1)</x:f>
        <x:v>0</x:v>
      </x:c>
      <x:c r="AC2487" t="str">
        <x:f>IF(OR(AA2487="",AB2487=""),"",--(AA2487&lt;&gt;AB2487))</x:f>
      </x:c>
      <x:c r="AE2487" t="str">
        <x:f>IF(OR(AA2487="",AB2487=""),"PENDING_HUMAN",IF(AA2487=AB2487,AA2487,IF(AD2487&lt;&gt;"",AD2487,"PENDING_HUMAN")))</x:f>
        <x:v>PENDING_HUMAN</x:v>
      </x:c>
      <x:c r="AF2487" t="n">
        <x:f>--AND(A2487&lt;&gt;"",AA2487&lt;&gt;"",AB2487&lt;&gt;"",OR(AA2487=AB2487,AD2487&lt;&gt;""),IF(AE2487="HALLUCINATION",U2487&lt;&gt;"",TRUE))</x:f>
        <x:v>0</x:v>
      </x:c>
      <x:c r="AG2487" t="n">
        <x:f>--AND(N2487=1,AF2487=1,OR(AE2487="SUPPORTED",AE2487="HALLUCINATION"))</x:f>
        <x:v>0</x:v>
      </x:c>
      <x:c r="AH2487" t="n">
        <x:f>--AND(AG2487=1,AE2487="HALLUCINATION")</x:f>
        <x:v>0</x:v>
      </x:c>
      <x:c r="AI2487" t="n">
        <x:f>--AND(Q2487=1,AF2487=1,AE2487="HALLUCINATION")</x:f>
        <x:v>0</x:v>
      </x:c>
      <x:c r="AJ2487" t="n">
        <x:f>--AND(AI2487=1,R2487=1,S2487=1)</x:f>
        <x:v>0</x:v>
      </x:c>
    </x:row>
    <x:row r="2488">
      <x:c r="A2488" s="28"/>
      <x:c r="B2488" s="28"/>
      <x:c r="C2488" s="28"/>
      <x:c r="D2488" s="28"/>
      <x:c r="E2488" s="28"/>
      <x:c r="F2488" s="28"/>
      <x:c r="G2488" s="28"/>
      <x:c r="H2488" s="28"/>
      <x:c r="I2488" s="28"/>
      <x:c r="J2488" s="28"/>
      <x:c r="K2488" s="28"/>
      <x:c r="L2488" s="28"/>
      <x:c r="M2488" s="28"/>
      <x:c r="N2488" s="28"/>
      <x:c r="O2488" s="28"/>
      <x:c r="P2488" s="28"/>
      <x:c r="Q2488" s="28"/>
      <x:c r="R2488" s="28"/>
      <x:c r="S2488" s="28"/>
      <x:c r="T2488" s="28"/>
      <x:c r="U2488" s="28"/>
      <x:c r="V2488" s="28"/>
      <x:c r="W2488" s="43" t="n">
        <x:f>--AND(N2488=1,OR(O2488="SUPPORTED",O2488="HALLUCINATION"))</x:f>
        <x:v>0</x:v>
      </x:c>
      <x:c r="X2488" s="43" t="n">
        <x:f>--AND(W2488=1,O2488="HALLUCINATION")</x:f>
        <x:v>0</x:v>
      </x:c>
      <x:c r="Y2488" s="43" t="n">
        <x:f>--AND(Q2488=1,O2488="HALLUCINATION")</x:f>
        <x:v>0</x:v>
      </x:c>
      <x:c r="Z2488" s="43" t="n">
        <x:f>--AND(Y2488=1,R2488=1,S2488=1)</x:f>
        <x:v>0</x:v>
      </x:c>
      <x:c r="AC2488" t="str">
        <x:f>IF(OR(AA2488="",AB2488=""),"",--(AA2488&lt;&gt;AB2488))</x:f>
      </x:c>
      <x:c r="AE2488" t="str">
        <x:f>IF(OR(AA2488="",AB2488=""),"PENDING_HUMAN",IF(AA2488=AB2488,AA2488,IF(AD2488&lt;&gt;"",AD2488,"PENDING_HUMAN")))</x:f>
        <x:v>PENDING_HUMAN</x:v>
      </x:c>
      <x:c r="AF2488" t="n">
        <x:f>--AND(A2488&lt;&gt;"",AA2488&lt;&gt;"",AB2488&lt;&gt;"",OR(AA2488=AB2488,AD2488&lt;&gt;""),IF(AE2488="HALLUCINATION",U2488&lt;&gt;"",TRUE))</x:f>
        <x:v>0</x:v>
      </x:c>
      <x:c r="AG2488" t="n">
        <x:f>--AND(N2488=1,AF2488=1,OR(AE2488="SUPPORTED",AE2488="HALLUCINATION"))</x:f>
        <x:v>0</x:v>
      </x:c>
      <x:c r="AH2488" t="n">
        <x:f>--AND(AG2488=1,AE2488="HALLUCINATION")</x:f>
        <x:v>0</x:v>
      </x:c>
      <x:c r="AI2488" t="n">
        <x:f>--AND(Q2488=1,AF2488=1,AE2488="HALLUCINATION")</x:f>
        <x:v>0</x:v>
      </x:c>
      <x:c r="AJ2488" t="n">
        <x:f>--AND(AI2488=1,R2488=1,S2488=1)</x:f>
        <x:v>0</x:v>
      </x:c>
    </x:row>
    <x:row r="2489">
      <x:c r="A2489" s="28"/>
      <x:c r="B2489" s="28"/>
      <x:c r="C2489" s="28"/>
      <x:c r="D2489" s="28"/>
      <x:c r="E2489" s="28"/>
      <x:c r="F2489" s="28"/>
      <x:c r="G2489" s="28"/>
      <x:c r="H2489" s="28"/>
      <x:c r="I2489" s="28"/>
      <x:c r="J2489" s="28"/>
      <x:c r="K2489" s="28"/>
      <x:c r="L2489" s="28"/>
      <x:c r="M2489" s="28"/>
      <x:c r="N2489" s="28"/>
      <x:c r="O2489" s="28"/>
      <x:c r="P2489" s="28"/>
      <x:c r="Q2489" s="28"/>
      <x:c r="R2489" s="28"/>
      <x:c r="S2489" s="28"/>
      <x:c r="T2489" s="28"/>
      <x:c r="U2489" s="28"/>
      <x:c r="V2489" s="28"/>
      <x:c r="W2489" s="43" t="n">
        <x:f>--AND(N2489=1,OR(O2489="SUPPORTED",O2489="HALLUCINATION"))</x:f>
        <x:v>0</x:v>
      </x:c>
      <x:c r="X2489" s="43" t="n">
        <x:f>--AND(W2489=1,O2489="HALLUCINATION")</x:f>
        <x:v>0</x:v>
      </x:c>
      <x:c r="Y2489" s="43" t="n">
        <x:f>--AND(Q2489=1,O2489="HALLUCINATION")</x:f>
        <x:v>0</x:v>
      </x:c>
      <x:c r="Z2489" s="43" t="n">
        <x:f>--AND(Y2489=1,R2489=1,S2489=1)</x:f>
        <x:v>0</x:v>
      </x:c>
      <x:c r="AC2489" t="str">
        <x:f>IF(OR(AA2489="",AB2489=""),"",--(AA2489&lt;&gt;AB2489))</x:f>
      </x:c>
      <x:c r="AE2489" t="str">
        <x:f>IF(OR(AA2489="",AB2489=""),"PENDING_HUMAN",IF(AA2489=AB2489,AA2489,IF(AD2489&lt;&gt;"",AD2489,"PENDING_HUMAN")))</x:f>
        <x:v>PENDING_HUMAN</x:v>
      </x:c>
      <x:c r="AF2489" t="n">
        <x:f>--AND(A2489&lt;&gt;"",AA2489&lt;&gt;"",AB2489&lt;&gt;"",OR(AA2489=AB2489,AD2489&lt;&gt;""),IF(AE2489="HALLUCINATION",U2489&lt;&gt;"",TRUE))</x:f>
        <x:v>0</x:v>
      </x:c>
      <x:c r="AG2489" t="n">
        <x:f>--AND(N2489=1,AF2489=1,OR(AE2489="SUPPORTED",AE2489="HALLUCINATION"))</x:f>
        <x:v>0</x:v>
      </x:c>
      <x:c r="AH2489" t="n">
        <x:f>--AND(AG2489=1,AE2489="HALLUCINATION")</x:f>
        <x:v>0</x:v>
      </x:c>
      <x:c r="AI2489" t="n">
        <x:f>--AND(Q2489=1,AF2489=1,AE2489="HALLUCINATION")</x:f>
        <x:v>0</x:v>
      </x:c>
      <x:c r="AJ2489" t="n">
        <x:f>--AND(AI2489=1,R2489=1,S2489=1)</x:f>
        <x:v>0</x:v>
      </x:c>
    </x:row>
    <x:row r="2490">
      <x:c r="A2490" s="28"/>
      <x:c r="B2490" s="28"/>
      <x:c r="C2490" s="28"/>
      <x:c r="D2490" s="28"/>
      <x:c r="E2490" s="28"/>
      <x:c r="F2490" s="28"/>
      <x:c r="G2490" s="28"/>
      <x:c r="H2490" s="28"/>
      <x:c r="I2490" s="28"/>
      <x:c r="J2490" s="28"/>
      <x:c r="K2490" s="28"/>
      <x:c r="L2490" s="28"/>
      <x:c r="M2490" s="28"/>
      <x:c r="N2490" s="28"/>
      <x:c r="O2490" s="28"/>
      <x:c r="P2490" s="28"/>
      <x:c r="Q2490" s="28"/>
      <x:c r="R2490" s="28"/>
      <x:c r="S2490" s="28"/>
      <x:c r="T2490" s="28"/>
      <x:c r="U2490" s="28"/>
      <x:c r="V2490" s="28"/>
      <x:c r="W2490" s="43" t="n">
        <x:f>--AND(N2490=1,OR(O2490="SUPPORTED",O2490="HALLUCINATION"))</x:f>
        <x:v>0</x:v>
      </x:c>
      <x:c r="X2490" s="43" t="n">
        <x:f>--AND(W2490=1,O2490="HALLUCINATION")</x:f>
        <x:v>0</x:v>
      </x:c>
      <x:c r="Y2490" s="43" t="n">
        <x:f>--AND(Q2490=1,O2490="HALLUCINATION")</x:f>
        <x:v>0</x:v>
      </x:c>
      <x:c r="Z2490" s="43" t="n">
        <x:f>--AND(Y2490=1,R2490=1,S2490=1)</x:f>
        <x:v>0</x:v>
      </x:c>
      <x:c r="AC2490" t="str">
        <x:f>IF(OR(AA2490="",AB2490=""),"",--(AA2490&lt;&gt;AB2490))</x:f>
      </x:c>
      <x:c r="AE2490" t="str">
        <x:f>IF(OR(AA2490="",AB2490=""),"PENDING_HUMAN",IF(AA2490=AB2490,AA2490,IF(AD2490&lt;&gt;"",AD2490,"PENDING_HUMAN")))</x:f>
        <x:v>PENDING_HUMAN</x:v>
      </x:c>
      <x:c r="AF2490" t="n">
        <x:f>--AND(A2490&lt;&gt;"",AA2490&lt;&gt;"",AB2490&lt;&gt;"",OR(AA2490=AB2490,AD2490&lt;&gt;""),IF(AE2490="HALLUCINATION",U2490&lt;&gt;"",TRUE))</x:f>
        <x:v>0</x:v>
      </x:c>
      <x:c r="AG2490" t="n">
        <x:f>--AND(N2490=1,AF2490=1,OR(AE2490="SUPPORTED",AE2490="HALLUCINATION"))</x:f>
        <x:v>0</x:v>
      </x:c>
      <x:c r="AH2490" t="n">
        <x:f>--AND(AG2490=1,AE2490="HALLUCINATION")</x:f>
        <x:v>0</x:v>
      </x:c>
      <x:c r="AI2490" t="n">
        <x:f>--AND(Q2490=1,AF2490=1,AE2490="HALLUCINATION")</x:f>
        <x:v>0</x:v>
      </x:c>
      <x:c r="AJ2490" t="n">
        <x:f>--AND(AI2490=1,R2490=1,S2490=1)</x:f>
        <x:v>0</x:v>
      </x:c>
    </x:row>
    <x:row r="2491">
      <x:c r="A2491" s="28"/>
      <x:c r="B2491" s="28"/>
      <x:c r="C2491" s="28"/>
      <x:c r="D2491" s="28"/>
      <x:c r="E2491" s="28"/>
      <x:c r="F2491" s="28"/>
      <x:c r="G2491" s="28"/>
      <x:c r="H2491" s="28"/>
      <x:c r="I2491" s="28"/>
      <x:c r="J2491" s="28"/>
      <x:c r="K2491" s="28"/>
      <x:c r="L2491" s="28"/>
      <x:c r="M2491" s="28"/>
      <x:c r="N2491" s="28"/>
      <x:c r="O2491" s="28"/>
      <x:c r="P2491" s="28"/>
      <x:c r="Q2491" s="28"/>
      <x:c r="R2491" s="28"/>
      <x:c r="S2491" s="28"/>
      <x:c r="T2491" s="28"/>
      <x:c r="U2491" s="28"/>
      <x:c r="V2491" s="28"/>
      <x:c r="W2491" s="43" t="n">
        <x:f>--AND(N2491=1,OR(O2491="SUPPORTED",O2491="HALLUCINATION"))</x:f>
        <x:v>0</x:v>
      </x:c>
      <x:c r="X2491" s="43" t="n">
        <x:f>--AND(W2491=1,O2491="HALLUCINATION")</x:f>
        <x:v>0</x:v>
      </x:c>
      <x:c r="Y2491" s="43" t="n">
        <x:f>--AND(Q2491=1,O2491="HALLUCINATION")</x:f>
        <x:v>0</x:v>
      </x:c>
      <x:c r="Z2491" s="43" t="n">
        <x:f>--AND(Y2491=1,R2491=1,S2491=1)</x:f>
        <x:v>0</x:v>
      </x:c>
      <x:c r="AC2491" t="str">
        <x:f>IF(OR(AA2491="",AB2491=""),"",--(AA2491&lt;&gt;AB2491))</x:f>
      </x:c>
      <x:c r="AE2491" t="str">
        <x:f>IF(OR(AA2491="",AB2491=""),"PENDING_HUMAN",IF(AA2491=AB2491,AA2491,IF(AD2491&lt;&gt;"",AD2491,"PENDING_HUMAN")))</x:f>
        <x:v>PENDING_HUMAN</x:v>
      </x:c>
      <x:c r="AF2491" t="n">
        <x:f>--AND(A2491&lt;&gt;"",AA2491&lt;&gt;"",AB2491&lt;&gt;"",OR(AA2491=AB2491,AD2491&lt;&gt;""),IF(AE2491="HALLUCINATION",U2491&lt;&gt;"",TRUE))</x:f>
        <x:v>0</x:v>
      </x:c>
      <x:c r="AG2491" t="n">
        <x:f>--AND(N2491=1,AF2491=1,OR(AE2491="SUPPORTED",AE2491="HALLUCINATION"))</x:f>
        <x:v>0</x:v>
      </x:c>
      <x:c r="AH2491" t="n">
        <x:f>--AND(AG2491=1,AE2491="HALLUCINATION")</x:f>
        <x:v>0</x:v>
      </x:c>
      <x:c r="AI2491" t="n">
        <x:f>--AND(Q2491=1,AF2491=1,AE2491="HALLUCINATION")</x:f>
        <x:v>0</x:v>
      </x:c>
      <x:c r="AJ2491" t="n">
        <x:f>--AND(AI2491=1,R2491=1,S2491=1)</x:f>
        <x:v>0</x:v>
      </x:c>
    </x:row>
    <x:row r="2492">
      <x:c r="A2492" s="28"/>
      <x:c r="B2492" s="28"/>
      <x:c r="C2492" s="28"/>
      <x:c r="D2492" s="28"/>
      <x:c r="E2492" s="28"/>
      <x:c r="F2492" s="28"/>
      <x:c r="G2492" s="28"/>
      <x:c r="H2492" s="28"/>
      <x:c r="I2492" s="28"/>
      <x:c r="J2492" s="28"/>
      <x:c r="K2492" s="28"/>
      <x:c r="L2492" s="28"/>
      <x:c r="M2492" s="28"/>
      <x:c r="N2492" s="28"/>
      <x:c r="O2492" s="28"/>
      <x:c r="P2492" s="28"/>
      <x:c r="Q2492" s="28"/>
      <x:c r="R2492" s="28"/>
      <x:c r="S2492" s="28"/>
      <x:c r="T2492" s="28"/>
      <x:c r="U2492" s="28"/>
      <x:c r="V2492" s="28"/>
      <x:c r="W2492" s="43" t="n">
        <x:f>--AND(N2492=1,OR(O2492="SUPPORTED",O2492="HALLUCINATION"))</x:f>
        <x:v>0</x:v>
      </x:c>
      <x:c r="X2492" s="43" t="n">
        <x:f>--AND(W2492=1,O2492="HALLUCINATION")</x:f>
        <x:v>0</x:v>
      </x:c>
      <x:c r="Y2492" s="43" t="n">
        <x:f>--AND(Q2492=1,O2492="HALLUCINATION")</x:f>
        <x:v>0</x:v>
      </x:c>
      <x:c r="Z2492" s="43" t="n">
        <x:f>--AND(Y2492=1,R2492=1,S2492=1)</x:f>
        <x:v>0</x:v>
      </x:c>
      <x:c r="AC2492" t="str">
        <x:f>IF(OR(AA2492="",AB2492=""),"",--(AA2492&lt;&gt;AB2492))</x:f>
      </x:c>
      <x:c r="AE2492" t="str">
        <x:f>IF(OR(AA2492="",AB2492=""),"PENDING_HUMAN",IF(AA2492=AB2492,AA2492,IF(AD2492&lt;&gt;"",AD2492,"PENDING_HUMAN")))</x:f>
        <x:v>PENDING_HUMAN</x:v>
      </x:c>
      <x:c r="AF2492" t="n">
        <x:f>--AND(A2492&lt;&gt;"",AA2492&lt;&gt;"",AB2492&lt;&gt;"",OR(AA2492=AB2492,AD2492&lt;&gt;""),IF(AE2492="HALLUCINATION",U2492&lt;&gt;"",TRUE))</x:f>
        <x:v>0</x:v>
      </x:c>
      <x:c r="AG2492" t="n">
        <x:f>--AND(N2492=1,AF2492=1,OR(AE2492="SUPPORTED",AE2492="HALLUCINATION"))</x:f>
        <x:v>0</x:v>
      </x:c>
      <x:c r="AH2492" t="n">
        <x:f>--AND(AG2492=1,AE2492="HALLUCINATION")</x:f>
        <x:v>0</x:v>
      </x:c>
      <x:c r="AI2492" t="n">
        <x:f>--AND(Q2492=1,AF2492=1,AE2492="HALLUCINATION")</x:f>
        <x:v>0</x:v>
      </x:c>
      <x:c r="AJ2492" t="n">
        <x:f>--AND(AI2492=1,R2492=1,S2492=1)</x:f>
        <x:v>0</x:v>
      </x:c>
    </x:row>
    <x:row r="2493">
      <x:c r="A2493" s="28"/>
      <x:c r="B2493" s="28"/>
      <x:c r="C2493" s="28"/>
      <x:c r="D2493" s="28"/>
      <x:c r="E2493" s="28"/>
      <x:c r="F2493" s="28"/>
      <x:c r="G2493" s="28"/>
      <x:c r="H2493" s="28"/>
      <x:c r="I2493" s="28"/>
      <x:c r="J2493" s="28"/>
      <x:c r="K2493" s="28"/>
      <x:c r="L2493" s="28"/>
      <x:c r="M2493" s="28"/>
      <x:c r="N2493" s="28"/>
      <x:c r="O2493" s="28"/>
      <x:c r="P2493" s="28"/>
      <x:c r="Q2493" s="28"/>
      <x:c r="R2493" s="28"/>
      <x:c r="S2493" s="28"/>
      <x:c r="T2493" s="28"/>
      <x:c r="U2493" s="28"/>
      <x:c r="V2493" s="28"/>
      <x:c r="W2493" s="43" t="n">
        <x:f>--AND(N2493=1,OR(O2493="SUPPORTED",O2493="HALLUCINATION"))</x:f>
        <x:v>0</x:v>
      </x:c>
      <x:c r="X2493" s="43" t="n">
        <x:f>--AND(W2493=1,O2493="HALLUCINATION")</x:f>
        <x:v>0</x:v>
      </x:c>
      <x:c r="Y2493" s="43" t="n">
        <x:f>--AND(Q2493=1,O2493="HALLUCINATION")</x:f>
        <x:v>0</x:v>
      </x:c>
      <x:c r="Z2493" s="43" t="n">
        <x:f>--AND(Y2493=1,R2493=1,S2493=1)</x:f>
        <x:v>0</x:v>
      </x:c>
      <x:c r="AC2493" t="str">
        <x:f>IF(OR(AA2493="",AB2493=""),"",--(AA2493&lt;&gt;AB2493))</x:f>
      </x:c>
      <x:c r="AE2493" t="str">
        <x:f>IF(OR(AA2493="",AB2493=""),"PENDING_HUMAN",IF(AA2493=AB2493,AA2493,IF(AD2493&lt;&gt;"",AD2493,"PENDING_HUMAN")))</x:f>
        <x:v>PENDING_HUMAN</x:v>
      </x:c>
      <x:c r="AF2493" t="n">
        <x:f>--AND(A2493&lt;&gt;"",AA2493&lt;&gt;"",AB2493&lt;&gt;"",OR(AA2493=AB2493,AD2493&lt;&gt;""),IF(AE2493="HALLUCINATION",U2493&lt;&gt;"",TRUE))</x:f>
        <x:v>0</x:v>
      </x:c>
      <x:c r="AG2493" t="n">
        <x:f>--AND(N2493=1,AF2493=1,OR(AE2493="SUPPORTED",AE2493="HALLUCINATION"))</x:f>
        <x:v>0</x:v>
      </x:c>
      <x:c r="AH2493" t="n">
        <x:f>--AND(AG2493=1,AE2493="HALLUCINATION")</x:f>
        <x:v>0</x:v>
      </x:c>
      <x:c r="AI2493" t="n">
        <x:f>--AND(Q2493=1,AF2493=1,AE2493="HALLUCINATION")</x:f>
        <x:v>0</x:v>
      </x:c>
      <x:c r="AJ2493" t="n">
        <x:f>--AND(AI2493=1,R2493=1,S2493=1)</x:f>
        <x:v>0</x:v>
      </x:c>
    </x:row>
    <x:row r="2494">
      <x:c r="A2494" s="28"/>
      <x:c r="B2494" s="28"/>
      <x:c r="C2494" s="28"/>
      <x:c r="D2494" s="28"/>
      <x:c r="E2494" s="28"/>
      <x:c r="F2494" s="28"/>
      <x:c r="G2494" s="28"/>
      <x:c r="H2494" s="28"/>
      <x:c r="I2494" s="28"/>
      <x:c r="J2494" s="28"/>
      <x:c r="K2494" s="28"/>
      <x:c r="L2494" s="28"/>
      <x:c r="M2494" s="28"/>
      <x:c r="N2494" s="28"/>
      <x:c r="O2494" s="28"/>
      <x:c r="P2494" s="28"/>
      <x:c r="Q2494" s="28"/>
      <x:c r="R2494" s="28"/>
      <x:c r="S2494" s="28"/>
      <x:c r="T2494" s="28"/>
      <x:c r="U2494" s="28"/>
      <x:c r="V2494" s="28"/>
      <x:c r="W2494" s="43" t="n">
        <x:f>--AND(N2494=1,OR(O2494="SUPPORTED",O2494="HALLUCINATION"))</x:f>
        <x:v>0</x:v>
      </x:c>
      <x:c r="X2494" s="43" t="n">
        <x:f>--AND(W2494=1,O2494="HALLUCINATION")</x:f>
        <x:v>0</x:v>
      </x:c>
      <x:c r="Y2494" s="43" t="n">
        <x:f>--AND(Q2494=1,O2494="HALLUCINATION")</x:f>
        <x:v>0</x:v>
      </x:c>
      <x:c r="Z2494" s="43" t="n">
        <x:f>--AND(Y2494=1,R2494=1,S2494=1)</x:f>
        <x:v>0</x:v>
      </x:c>
      <x:c r="AC2494" t="str">
        <x:f>IF(OR(AA2494="",AB2494=""),"",--(AA2494&lt;&gt;AB2494))</x:f>
      </x:c>
      <x:c r="AE2494" t="str">
        <x:f>IF(OR(AA2494="",AB2494=""),"PENDING_HUMAN",IF(AA2494=AB2494,AA2494,IF(AD2494&lt;&gt;"",AD2494,"PENDING_HUMAN")))</x:f>
        <x:v>PENDING_HUMAN</x:v>
      </x:c>
      <x:c r="AF2494" t="n">
        <x:f>--AND(A2494&lt;&gt;"",AA2494&lt;&gt;"",AB2494&lt;&gt;"",OR(AA2494=AB2494,AD2494&lt;&gt;""),IF(AE2494="HALLUCINATION",U2494&lt;&gt;"",TRUE))</x:f>
        <x:v>0</x:v>
      </x:c>
      <x:c r="AG2494" t="n">
        <x:f>--AND(N2494=1,AF2494=1,OR(AE2494="SUPPORTED",AE2494="HALLUCINATION"))</x:f>
        <x:v>0</x:v>
      </x:c>
      <x:c r="AH2494" t="n">
        <x:f>--AND(AG2494=1,AE2494="HALLUCINATION")</x:f>
        <x:v>0</x:v>
      </x:c>
      <x:c r="AI2494" t="n">
        <x:f>--AND(Q2494=1,AF2494=1,AE2494="HALLUCINATION")</x:f>
        <x:v>0</x:v>
      </x:c>
      <x:c r="AJ2494" t="n">
        <x:f>--AND(AI2494=1,R2494=1,S2494=1)</x:f>
        <x:v>0</x:v>
      </x:c>
    </x:row>
    <x:row r="2495">
      <x:c r="A2495" s="28"/>
      <x:c r="B2495" s="28"/>
      <x:c r="C2495" s="28"/>
      <x:c r="D2495" s="28"/>
      <x:c r="E2495" s="28"/>
      <x:c r="F2495" s="28"/>
      <x:c r="G2495" s="28"/>
      <x:c r="H2495" s="28"/>
      <x:c r="I2495" s="28"/>
      <x:c r="J2495" s="28"/>
      <x:c r="K2495" s="28"/>
      <x:c r="L2495" s="28"/>
      <x:c r="M2495" s="28"/>
      <x:c r="N2495" s="28"/>
      <x:c r="O2495" s="28"/>
      <x:c r="P2495" s="28"/>
      <x:c r="Q2495" s="28"/>
      <x:c r="R2495" s="28"/>
      <x:c r="S2495" s="28"/>
      <x:c r="T2495" s="28"/>
      <x:c r="U2495" s="28"/>
      <x:c r="V2495" s="28"/>
      <x:c r="W2495" s="43" t="n">
        <x:f>--AND(N2495=1,OR(O2495="SUPPORTED",O2495="HALLUCINATION"))</x:f>
        <x:v>0</x:v>
      </x:c>
      <x:c r="X2495" s="43" t="n">
        <x:f>--AND(W2495=1,O2495="HALLUCINATION")</x:f>
        <x:v>0</x:v>
      </x:c>
      <x:c r="Y2495" s="43" t="n">
        <x:f>--AND(Q2495=1,O2495="HALLUCINATION")</x:f>
        <x:v>0</x:v>
      </x:c>
      <x:c r="Z2495" s="43" t="n">
        <x:f>--AND(Y2495=1,R2495=1,S2495=1)</x:f>
        <x:v>0</x:v>
      </x:c>
      <x:c r="AC2495" t="str">
        <x:f>IF(OR(AA2495="",AB2495=""),"",--(AA2495&lt;&gt;AB2495))</x:f>
      </x:c>
      <x:c r="AE2495" t="str">
        <x:f>IF(OR(AA2495="",AB2495=""),"PENDING_HUMAN",IF(AA2495=AB2495,AA2495,IF(AD2495&lt;&gt;"",AD2495,"PENDING_HUMAN")))</x:f>
        <x:v>PENDING_HUMAN</x:v>
      </x:c>
      <x:c r="AF2495" t="n">
        <x:f>--AND(A2495&lt;&gt;"",AA2495&lt;&gt;"",AB2495&lt;&gt;"",OR(AA2495=AB2495,AD2495&lt;&gt;""),IF(AE2495="HALLUCINATION",U2495&lt;&gt;"",TRUE))</x:f>
        <x:v>0</x:v>
      </x:c>
      <x:c r="AG2495" t="n">
        <x:f>--AND(N2495=1,AF2495=1,OR(AE2495="SUPPORTED",AE2495="HALLUCINATION"))</x:f>
        <x:v>0</x:v>
      </x:c>
      <x:c r="AH2495" t="n">
        <x:f>--AND(AG2495=1,AE2495="HALLUCINATION")</x:f>
        <x:v>0</x:v>
      </x:c>
      <x:c r="AI2495" t="n">
        <x:f>--AND(Q2495=1,AF2495=1,AE2495="HALLUCINATION")</x:f>
        <x:v>0</x:v>
      </x:c>
      <x:c r="AJ2495" t="n">
        <x:f>--AND(AI2495=1,R2495=1,S2495=1)</x:f>
        <x:v>0</x:v>
      </x:c>
    </x:row>
    <x:row r="2496">
      <x:c r="A2496" s="28"/>
      <x:c r="B2496" s="28"/>
      <x:c r="C2496" s="28"/>
      <x:c r="D2496" s="28"/>
      <x:c r="E2496" s="28"/>
      <x:c r="F2496" s="28"/>
      <x:c r="G2496" s="28"/>
      <x:c r="H2496" s="28"/>
      <x:c r="I2496" s="28"/>
      <x:c r="J2496" s="28"/>
      <x:c r="K2496" s="28"/>
      <x:c r="L2496" s="28"/>
      <x:c r="M2496" s="28"/>
      <x:c r="N2496" s="28"/>
      <x:c r="O2496" s="28"/>
      <x:c r="P2496" s="28"/>
      <x:c r="Q2496" s="28"/>
      <x:c r="R2496" s="28"/>
      <x:c r="S2496" s="28"/>
      <x:c r="T2496" s="28"/>
      <x:c r="U2496" s="28"/>
      <x:c r="V2496" s="28"/>
      <x:c r="W2496" s="43" t="n">
        <x:f>--AND(N2496=1,OR(O2496="SUPPORTED",O2496="HALLUCINATION"))</x:f>
        <x:v>0</x:v>
      </x:c>
      <x:c r="X2496" s="43" t="n">
        <x:f>--AND(W2496=1,O2496="HALLUCINATION")</x:f>
        <x:v>0</x:v>
      </x:c>
      <x:c r="Y2496" s="43" t="n">
        <x:f>--AND(Q2496=1,O2496="HALLUCINATION")</x:f>
        <x:v>0</x:v>
      </x:c>
      <x:c r="Z2496" s="43" t="n">
        <x:f>--AND(Y2496=1,R2496=1,S2496=1)</x:f>
        <x:v>0</x:v>
      </x:c>
      <x:c r="AC2496" t="str">
        <x:f>IF(OR(AA2496="",AB2496=""),"",--(AA2496&lt;&gt;AB2496))</x:f>
      </x:c>
      <x:c r="AE2496" t="str">
        <x:f>IF(OR(AA2496="",AB2496=""),"PENDING_HUMAN",IF(AA2496=AB2496,AA2496,IF(AD2496&lt;&gt;"",AD2496,"PENDING_HUMAN")))</x:f>
        <x:v>PENDING_HUMAN</x:v>
      </x:c>
      <x:c r="AF2496" t="n">
        <x:f>--AND(A2496&lt;&gt;"",AA2496&lt;&gt;"",AB2496&lt;&gt;"",OR(AA2496=AB2496,AD2496&lt;&gt;""),IF(AE2496="HALLUCINATION",U2496&lt;&gt;"",TRUE))</x:f>
        <x:v>0</x:v>
      </x:c>
      <x:c r="AG2496" t="n">
        <x:f>--AND(N2496=1,AF2496=1,OR(AE2496="SUPPORTED",AE2496="HALLUCINATION"))</x:f>
        <x:v>0</x:v>
      </x:c>
      <x:c r="AH2496" t="n">
        <x:f>--AND(AG2496=1,AE2496="HALLUCINATION")</x:f>
        <x:v>0</x:v>
      </x:c>
      <x:c r="AI2496" t="n">
        <x:f>--AND(Q2496=1,AF2496=1,AE2496="HALLUCINATION")</x:f>
        <x:v>0</x:v>
      </x:c>
      <x:c r="AJ2496" t="n">
        <x:f>--AND(AI2496=1,R2496=1,S2496=1)</x:f>
        <x:v>0</x:v>
      </x:c>
    </x:row>
    <x:row r="2497">
      <x:c r="A2497" s="28"/>
      <x:c r="B2497" s="28"/>
      <x:c r="C2497" s="28"/>
      <x:c r="D2497" s="28"/>
      <x:c r="E2497" s="28"/>
      <x:c r="F2497" s="28"/>
      <x:c r="G2497" s="28"/>
      <x:c r="H2497" s="28"/>
      <x:c r="I2497" s="28"/>
      <x:c r="J2497" s="28"/>
      <x:c r="K2497" s="28"/>
      <x:c r="L2497" s="28"/>
      <x:c r="M2497" s="28"/>
      <x:c r="N2497" s="28"/>
      <x:c r="O2497" s="28"/>
      <x:c r="P2497" s="28"/>
      <x:c r="Q2497" s="28"/>
      <x:c r="R2497" s="28"/>
      <x:c r="S2497" s="28"/>
      <x:c r="T2497" s="28"/>
      <x:c r="U2497" s="28"/>
      <x:c r="V2497" s="28"/>
      <x:c r="W2497" s="43" t="n">
        <x:f>--AND(N2497=1,OR(O2497="SUPPORTED",O2497="HALLUCINATION"))</x:f>
        <x:v>0</x:v>
      </x:c>
      <x:c r="X2497" s="43" t="n">
        <x:f>--AND(W2497=1,O2497="HALLUCINATION")</x:f>
        <x:v>0</x:v>
      </x:c>
      <x:c r="Y2497" s="43" t="n">
        <x:f>--AND(Q2497=1,O2497="HALLUCINATION")</x:f>
        <x:v>0</x:v>
      </x:c>
      <x:c r="Z2497" s="43" t="n">
        <x:f>--AND(Y2497=1,R2497=1,S2497=1)</x:f>
        <x:v>0</x:v>
      </x:c>
      <x:c r="AC2497" t="str">
        <x:f>IF(OR(AA2497="",AB2497=""),"",--(AA2497&lt;&gt;AB2497))</x:f>
      </x:c>
      <x:c r="AE2497" t="str">
        <x:f>IF(OR(AA2497="",AB2497=""),"PENDING_HUMAN",IF(AA2497=AB2497,AA2497,IF(AD2497&lt;&gt;"",AD2497,"PENDING_HUMAN")))</x:f>
        <x:v>PENDING_HUMAN</x:v>
      </x:c>
      <x:c r="AF2497" t="n">
        <x:f>--AND(A2497&lt;&gt;"",AA2497&lt;&gt;"",AB2497&lt;&gt;"",OR(AA2497=AB2497,AD2497&lt;&gt;""),IF(AE2497="HALLUCINATION",U2497&lt;&gt;"",TRUE))</x:f>
        <x:v>0</x:v>
      </x:c>
      <x:c r="AG2497" t="n">
        <x:f>--AND(N2497=1,AF2497=1,OR(AE2497="SUPPORTED",AE2497="HALLUCINATION"))</x:f>
        <x:v>0</x:v>
      </x:c>
      <x:c r="AH2497" t="n">
        <x:f>--AND(AG2497=1,AE2497="HALLUCINATION")</x:f>
        <x:v>0</x:v>
      </x:c>
      <x:c r="AI2497" t="n">
        <x:f>--AND(Q2497=1,AF2497=1,AE2497="HALLUCINATION")</x:f>
        <x:v>0</x:v>
      </x:c>
      <x:c r="AJ2497" t="n">
        <x:f>--AND(AI2497=1,R2497=1,S2497=1)</x:f>
        <x:v>0</x:v>
      </x:c>
    </x:row>
    <x:row r="2498">
      <x:c r="A2498" s="28"/>
      <x:c r="B2498" s="28"/>
      <x:c r="C2498" s="28"/>
      <x:c r="D2498" s="28"/>
      <x:c r="E2498" s="28"/>
      <x:c r="F2498" s="28"/>
      <x:c r="G2498" s="28"/>
      <x:c r="H2498" s="28"/>
      <x:c r="I2498" s="28"/>
      <x:c r="J2498" s="28"/>
      <x:c r="K2498" s="28"/>
      <x:c r="L2498" s="28"/>
      <x:c r="M2498" s="28"/>
      <x:c r="N2498" s="28"/>
      <x:c r="O2498" s="28"/>
      <x:c r="P2498" s="28"/>
      <x:c r="Q2498" s="28"/>
      <x:c r="R2498" s="28"/>
      <x:c r="S2498" s="28"/>
      <x:c r="T2498" s="28"/>
      <x:c r="U2498" s="28"/>
      <x:c r="V2498" s="28"/>
      <x:c r="W2498" s="43" t="n">
        <x:f>--AND(N2498=1,OR(O2498="SUPPORTED",O2498="HALLUCINATION"))</x:f>
        <x:v>0</x:v>
      </x:c>
      <x:c r="X2498" s="43" t="n">
        <x:f>--AND(W2498=1,O2498="HALLUCINATION")</x:f>
        <x:v>0</x:v>
      </x:c>
      <x:c r="Y2498" s="43" t="n">
        <x:f>--AND(Q2498=1,O2498="HALLUCINATION")</x:f>
        <x:v>0</x:v>
      </x:c>
      <x:c r="Z2498" s="43" t="n">
        <x:f>--AND(Y2498=1,R2498=1,S2498=1)</x:f>
        <x:v>0</x:v>
      </x:c>
      <x:c r="AC2498" t="str">
        <x:f>IF(OR(AA2498="",AB2498=""),"",--(AA2498&lt;&gt;AB2498))</x:f>
      </x:c>
      <x:c r="AE2498" t="str">
        <x:f>IF(OR(AA2498="",AB2498=""),"PENDING_HUMAN",IF(AA2498=AB2498,AA2498,IF(AD2498&lt;&gt;"",AD2498,"PENDING_HUMAN")))</x:f>
        <x:v>PENDING_HUMAN</x:v>
      </x:c>
      <x:c r="AF2498" t="n">
        <x:f>--AND(A2498&lt;&gt;"",AA2498&lt;&gt;"",AB2498&lt;&gt;"",OR(AA2498=AB2498,AD2498&lt;&gt;""),IF(AE2498="HALLUCINATION",U2498&lt;&gt;"",TRUE))</x:f>
        <x:v>0</x:v>
      </x:c>
      <x:c r="AG2498" t="n">
        <x:f>--AND(N2498=1,AF2498=1,OR(AE2498="SUPPORTED",AE2498="HALLUCINATION"))</x:f>
        <x:v>0</x:v>
      </x:c>
      <x:c r="AH2498" t="n">
        <x:f>--AND(AG2498=1,AE2498="HALLUCINATION")</x:f>
        <x:v>0</x:v>
      </x:c>
      <x:c r="AI2498" t="n">
        <x:f>--AND(Q2498=1,AF2498=1,AE2498="HALLUCINATION")</x:f>
        <x:v>0</x:v>
      </x:c>
      <x:c r="AJ2498" t="n">
        <x:f>--AND(AI2498=1,R2498=1,S2498=1)</x:f>
        <x:v>0</x:v>
      </x:c>
    </x:row>
    <x:row r="2499">
      <x:c r="A2499" s="28"/>
      <x:c r="B2499" s="28"/>
      <x:c r="C2499" s="28"/>
      <x:c r="D2499" s="28"/>
      <x:c r="E2499" s="28"/>
      <x:c r="F2499" s="28"/>
      <x:c r="G2499" s="28"/>
      <x:c r="H2499" s="28"/>
      <x:c r="I2499" s="28"/>
      <x:c r="J2499" s="28"/>
      <x:c r="K2499" s="28"/>
      <x:c r="L2499" s="28"/>
      <x:c r="M2499" s="28"/>
      <x:c r="N2499" s="28"/>
      <x:c r="O2499" s="28"/>
      <x:c r="P2499" s="28"/>
      <x:c r="Q2499" s="28"/>
      <x:c r="R2499" s="28"/>
      <x:c r="S2499" s="28"/>
      <x:c r="T2499" s="28"/>
      <x:c r="U2499" s="28"/>
      <x:c r="V2499" s="28"/>
      <x:c r="W2499" s="43" t="n">
        <x:f>--AND(N2499=1,OR(O2499="SUPPORTED",O2499="HALLUCINATION"))</x:f>
        <x:v>0</x:v>
      </x:c>
      <x:c r="X2499" s="43" t="n">
        <x:f>--AND(W2499=1,O2499="HALLUCINATION")</x:f>
        <x:v>0</x:v>
      </x:c>
      <x:c r="Y2499" s="43" t="n">
        <x:f>--AND(Q2499=1,O2499="HALLUCINATION")</x:f>
        <x:v>0</x:v>
      </x:c>
      <x:c r="Z2499" s="43" t="n">
        <x:f>--AND(Y2499=1,R2499=1,S2499=1)</x:f>
        <x:v>0</x:v>
      </x:c>
      <x:c r="AC2499" t="str">
        <x:f>IF(OR(AA2499="",AB2499=""),"",--(AA2499&lt;&gt;AB2499))</x:f>
      </x:c>
      <x:c r="AE2499" t="str">
        <x:f>IF(OR(AA2499="",AB2499=""),"PENDING_HUMAN",IF(AA2499=AB2499,AA2499,IF(AD2499&lt;&gt;"",AD2499,"PENDING_HUMAN")))</x:f>
        <x:v>PENDING_HUMAN</x:v>
      </x:c>
      <x:c r="AF2499" t="n">
        <x:f>--AND(A2499&lt;&gt;"",AA2499&lt;&gt;"",AB2499&lt;&gt;"",OR(AA2499=AB2499,AD2499&lt;&gt;""),IF(AE2499="HALLUCINATION",U2499&lt;&gt;"",TRUE))</x:f>
        <x:v>0</x:v>
      </x:c>
      <x:c r="AG2499" t="n">
        <x:f>--AND(N2499=1,AF2499=1,OR(AE2499="SUPPORTED",AE2499="HALLUCINATION"))</x:f>
        <x:v>0</x:v>
      </x:c>
      <x:c r="AH2499" t="n">
        <x:f>--AND(AG2499=1,AE2499="HALLUCINATION")</x:f>
        <x:v>0</x:v>
      </x:c>
      <x:c r="AI2499" t="n">
        <x:f>--AND(Q2499=1,AF2499=1,AE2499="HALLUCINATION")</x:f>
        <x:v>0</x:v>
      </x:c>
      <x:c r="AJ2499" t="n">
        <x:f>--AND(AI2499=1,R2499=1,S2499=1)</x:f>
        <x:v>0</x:v>
      </x:c>
    </x:row>
    <x:row r="2500">
      <x:c r="A2500" s="28"/>
      <x:c r="B2500" s="28"/>
      <x:c r="C2500" s="28"/>
      <x:c r="D2500" s="28"/>
      <x:c r="E2500" s="28"/>
      <x:c r="F2500" s="28"/>
      <x:c r="G2500" s="28"/>
      <x:c r="H2500" s="28"/>
      <x:c r="I2500" s="28"/>
      <x:c r="J2500" s="28"/>
      <x:c r="K2500" s="28"/>
      <x:c r="L2500" s="28"/>
      <x:c r="M2500" s="28"/>
      <x:c r="N2500" s="28"/>
      <x:c r="O2500" s="28"/>
      <x:c r="P2500" s="28"/>
      <x:c r="Q2500" s="28"/>
      <x:c r="R2500" s="28"/>
      <x:c r="S2500" s="28"/>
      <x:c r="T2500" s="28"/>
      <x:c r="U2500" s="28"/>
      <x:c r="V2500" s="28"/>
      <x:c r="W2500" s="43" t="n">
        <x:f>--AND(N2500=1,OR(O2500="SUPPORTED",O2500="HALLUCINATION"))</x:f>
        <x:v>0</x:v>
      </x:c>
      <x:c r="X2500" s="43" t="n">
        <x:f>--AND(W2500=1,O2500="HALLUCINATION")</x:f>
        <x:v>0</x:v>
      </x:c>
      <x:c r="Y2500" s="43" t="n">
        <x:f>--AND(Q2500=1,O2500="HALLUCINATION")</x:f>
        <x:v>0</x:v>
      </x:c>
      <x:c r="Z2500" s="43" t="n">
        <x:f>--AND(Y2500=1,R2500=1,S2500=1)</x:f>
        <x:v>0</x:v>
      </x:c>
      <x:c r="AC2500" t="str">
        <x:f>IF(OR(AA2500="",AB2500=""),"",--(AA2500&lt;&gt;AB2500))</x:f>
      </x:c>
      <x:c r="AE2500" t="str">
        <x:f>IF(OR(AA2500="",AB2500=""),"PENDING_HUMAN",IF(AA2500=AB2500,AA2500,IF(AD2500&lt;&gt;"",AD2500,"PENDING_HUMAN")))</x:f>
        <x:v>PENDING_HUMAN</x:v>
      </x:c>
      <x:c r="AF2500" t="n">
        <x:f>--AND(A2500&lt;&gt;"",AA2500&lt;&gt;"",AB2500&lt;&gt;"",OR(AA2500=AB2500,AD2500&lt;&gt;""),IF(AE2500="HALLUCINATION",U2500&lt;&gt;"",TRUE))</x:f>
        <x:v>0</x:v>
      </x:c>
      <x:c r="AG2500" t="n">
        <x:f>--AND(N2500=1,AF2500=1,OR(AE2500="SUPPORTED",AE2500="HALLUCINATION"))</x:f>
        <x:v>0</x:v>
      </x:c>
      <x:c r="AH2500" t="n">
        <x:f>--AND(AG2500=1,AE2500="HALLUCINATION")</x:f>
        <x:v>0</x:v>
      </x:c>
      <x:c r="AI2500" t="n">
        <x:f>--AND(Q2500=1,AF2500=1,AE2500="HALLUCINATION")</x:f>
        <x:v>0</x:v>
      </x:c>
      <x:c r="AJ2500" t="n">
        <x:f>--AND(AI2500=1,R2500=1,S2500=1)</x:f>
        <x:v>0</x:v>
      </x:c>
    </x:row>
    <x:row r="2501">
      <x:c r="A2501" s="28"/>
      <x:c r="B2501" s="28"/>
      <x:c r="C2501" s="28"/>
      <x:c r="D2501" s="28"/>
      <x:c r="E2501" s="28"/>
      <x:c r="F2501" s="28"/>
      <x:c r="G2501" s="28"/>
      <x:c r="H2501" s="28"/>
      <x:c r="I2501" s="28"/>
      <x:c r="J2501" s="28"/>
      <x:c r="K2501" s="28"/>
      <x:c r="L2501" s="28"/>
      <x:c r="M2501" s="28"/>
      <x:c r="N2501" s="28"/>
      <x:c r="O2501" s="28"/>
      <x:c r="P2501" s="28"/>
      <x:c r="Q2501" s="28"/>
      <x:c r="R2501" s="28"/>
      <x:c r="S2501" s="28"/>
      <x:c r="T2501" s="28"/>
      <x:c r="U2501" s="28"/>
      <x:c r="V2501" s="28"/>
      <x:c r="W2501" s="43" t="n">
        <x:f>--AND(N2501=1,OR(O2501="SUPPORTED",O2501="HALLUCINATION"))</x:f>
        <x:v>0</x:v>
      </x:c>
      <x:c r="X2501" s="43" t="n">
        <x:f>--AND(W2501=1,O2501="HALLUCINATION")</x:f>
        <x:v>0</x:v>
      </x:c>
      <x:c r="Y2501" s="43" t="n">
        <x:f>--AND(Q2501=1,O2501="HALLUCINATION")</x:f>
        <x:v>0</x:v>
      </x:c>
      <x:c r="Z2501" s="43" t="n">
        <x:f>--AND(Y2501=1,R2501=1,S2501=1)</x:f>
        <x:v>0</x:v>
      </x:c>
      <x:c r="AC2501" t="str">
        <x:f>IF(OR(AA2501="",AB2501=""),"",--(AA2501&lt;&gt;AB2501))</x:f>
      </x:c>
      <x:c r="AE2501" t="str">
        <x:f>IF(OR(AA2501="",AB2501=""),"PENDING_HUMAN",IF(AA2501=AB2501,AA2501,IF(AD2501&lt;&gt;"",AD2501,"PENDING_HUMAN")))</x:f>
        <x:v>PENDING_HUMAN</x:v>
      </x:c>
      <x:c r="AF2501" t="n">
        <x:f>--AND(A2501&lt;&gt;"",AA2501&lt;&gt;"",AB2501&lt;&gt;"",OR(AA2501=AB2501,AD2501&lt;&gt;""),IF(AE2501="HALLUCINATION",U2501&lt;&gt;"",TRUE))</x:f>
        <x:v>0</x:v>
      </x:c>
      <x:c r="AG2501" t="n">
        <x:f>--AND(N2501=1,AF2501=1,OR(AE2501="SUPPORTED",AE2501="HALLUCINATION"))</x:f>
        <x:v>0</x:v>
      </x:c>
      <x:c r="AH2501" t="n">
        <x:f>--AND(AG2501=1,AE2501="HALLUCINATION")</x:f>
        <x:v>0</x:v>
      </x:c>
      <x:c r="AI2501" t="n">
        <x:f>--AND(Q2501=1,AF2501=1,AE2501="HALLUCINATION")</x:f>
        <x:v>0</x:v>
      </x:c>
      <x:c r="AJ2501" t="n">
        <x:f>--AND(AI2501=1,R2501=1,S2501=1)</x:f>
        <x:v>0</x:v>
      </x:c>
    </x:row>
    <x:row r="2502">
      <x:c r="A2502" s="28"/>
      <x:c r="B2502" s="28"/>
      <x:c r="C2502" s="28"/>
      <x:c r="D2502" s="28"/>
      <x:c r="E2502" s="28"/>
      <x:c r="F2502" s="28"/>
      <x:c r="G2502" s="28"/>
      <x:c r="H2502" s="28"/>
      <x:c r="I2502" s="28"/>
      <x:c r="J2502" s="28"/>
      <x:c r="K2502" s="28"/>
      <x:c r="L2502" s="28"/>
      <x:c r="M2502" s="28"/>
      <x:c r="N2502" s="28"/>
      <x:c r="O2502" s="28"/>
      <x:c r="P2502" s="28"/>
      <x:c r="Q2502" s="28"/>
      <x:c r="R2502" s="28"/>
      <x:c r="S2502" s="28"/>
      <x:c r="T2502" s="28"/>
      <x:c r="U2502" s="28"/>
      <x:c r="V2502" s="28"/>
      <x:c r="W2502" s="43" t="n">
        <x:f>--AND(N2502=1,OR(O2502="SUPPORTED",O2502="HALLUCINATION"))</x:f>
        <x:v>0</x:v>
      </x:c>
      <x:c r="X2502" s="43" t="n">
        <x:f>--AND(W2502=1,O2502="HALLUCINATION")</x:f>
        <x:v>0</x:v>
      </x:c>
      <x:c r="Y2502" s="43" t="n">
        <x:f>--AND(Q2502=1,O2502="HALLUCINATION")</x:f>
        <x:v>0</x:v>
      </x:c>
      <x:c r="Z2502" s="43" t="n">
        <x:f>--AND(Y2502=1,R2502=1,S2502=1)</x:f>
        <x:v>0</x:v>
      </x:c>
      <x:c r="AC2502" t="str">
        <x:f>IF(OR(AA2502="",AB2502=""),"",--(AA2502&lt;&gt;AB2502))</x:f>
      </x:c>
      <x:c r="AE2502" t="str">
        <x:f>IF(OR(AA2502="",AB2502=""),"PENDING_HUMAN",IF(AA2502=AB2502,AA2502,IF(AD2502&lt;&gt;"",AD2502,"PENDING_HUMAN")))</x:f>
        <x:v>PENDING_HUMAN</x:v>
      </x:c>
      <x:c r="AF2502" t="n">
        <x:f>--AND(A2502&lt;&gt;"",AA2502&lt;&gt;"",AB2502&lt;&gt;"",OR(AA2502=AB2502,AD2502&lt;&gt;""),IF(AE2502="HALLUCINATION",U2502&lt;&gt;"",TRUE))</x:f>
        <x:v>0</x:v>
      </x:c>
      <x:c r="AG2502" t="n">
        <x:f>--AND(N2502=1,AF2502=1,OR(AE2502="SUPPORTED",AE2502="HALLUCINATION"))</x:f>
        <x:v>0</x:v>
      </x:c>
      <x:c r="AH2502" t="n">
        <x:f>--AND(AG2502=1,AE2502="HALLUCINATION")</x:f>
        <x:v>0</x:v>
      </x:c>
      <x:c r="AI2502" t="n">
        <x:f>--AND(Q2502=1,AF2502=1,AE2502="HALLUCINATION")</x:f>
        <x:v>0</x:v>
      </x:c>
      <x:c r="AJ2502" t="n">
        <x:f>--AND(AI2502=1,R2502=1,S2502=1)</x:f>
        <x:v>0</x:v>
      </x:c>
    </x:row>
    <x:row r="2503">
      <x:c r="A2503" s="28"/>
      <x:c r="B2503" s="28"/>
      <x:c r="C2503" s="28"/>
      <x:c r="D2503" s="28"/>
      <x:c r="E2503" s="28"/>
      <x:c r="F2503" s="28"/>
      <x:c r="G2503" s="28"/>
      <x:c r="H2503" s="28"/>
      <x:c r="I2503" s="28"/>
      <x:c r="J2503" s="28"/>
      <x:c r="K2503" s="28"/>
      <x:c r="L2503" s="28"/>
      <x:c r="M2503" s="28"/>
      <x:c r="N2503" s="28"/>
      <x:c r="O2503" s="28"/>
      <x:c r="P2503" s="28"/>
      <x:c r="Q2503" s="28"/>
      <x:c r="R2503" s="28"/>
      <x:c r="S2503" s="28"/>
      <x:c r="T2503" s="28"/>
      <x:c r="U2503" s="28"/>
      <x:c r="V2503" s="28"/>
      <x:c r="W2503" s="43" t="n">
        <x:f>--AND(N2503=1,OR(O2503="SUPPORTED",O2503="HALLUCINATION"))</x:f>
        <x:v>0</x:v>
      </x:c>
      <x:c r="X2503" s="43" t="n">
        <x:f>--AND(W2503=1,O2503="HALLUCINATION")</x:f>
        <x:v>0</x:v>
      </x:c>
      <x:c r="Y2503" s="43" t="n">
        <x:f>--AND(Q2503=1,O2503="HALLUCINATION")</x:f>
        <x:v>0</x:v>
      </x:c>
      <x:c r="Z2503" s="43" t="n">
        <x:f>--AND(Y2503=1,R2503=1,S2503=1)</x:f>
        <x:v>0</x:v>
      </x:c>
      <x:c r="AC2503" t="str">
        <x:f>IF(OR(AA2503="",AB2503=""),"",--(AA2503&lt;&gt;AB2503))</x:f>
      </x:c>
      <x:c r="AE2503" t="str">
        <x:f>IF(OR(AA2503="",AB2503=""),"PENDING_HUMAN",IF(AA2503=AB2503,AA2503,IF(AD2503&lt;&gt;"",AD2503,"PENDING_HUMAN")))</x:f>
        <x:v>PENDING_HUMAN</x:v>
      </x:c>
      <x:c r="AF2503" t="n">
        <x:f>--AND(A2503&lt;&gt;"",AA2503&lt;&gt;"",AB2503&lt;&gt;"",OR(AA2503=AB2503,AD2503&lt;&gt;""),IF(AE2503="HALLUCINATION",U2503&lt;&gt;"",TRUE))</x:f>
        <x:v>0</x:v>
      </x:c>
      <x:c r="AG2503" t="n">
        <x:f>--AND(N2503=1,AF2503=1,OR(AE2503="SUPPORTED",AE2503="HALLUCINATION"))</x:f>
        <x:v>0</x:v>
      </x:c>
      <x:c r="AH2503" t="n">
        <x:f>--AND(AG2503=1,AE2503="HALLUCINATION")</x:f>
        <x:v>0</x:v>
      </x:c>
      <x:c r="AI2503" t="n">
        <x:f>--AND(Q2503=1,AF2503=1,AE2503="HALLUCINATION")</x:f>
        <x:v>0</x:v>
      </x:c>
      <x:c r="AJ2503" t="n">
        <x:f>--AND(AI2503=1,R2503=1,S2503=1)</x:f>
        <x:v>0</x:v>
      </x:c>
    </x:row>
    <x:row r="2504">
      <x:c r="A2504" s="28"/>
      <x:c r="B2504" s="28"/>
      <x:c r="C2504" s="28"/>
      <x:c r="D2504" s="28"/>
      <x:c r="E2504" s="28"/>
      <x:c r="F2504" s="28"/>
      <x:c r="G2504" s="28"/>
      <x:c r="H2504" s="28"/>
      <x:c r="I2504" s="28"/>
      <x:c r="J2504" s="28"/>
      <x:c r="K2504" s="28"/>
      <x:c r="L2504" s="28"/>
      <x:c r="M2504" s="28"/>
      <x:c r="N2504" s="28"/>
      <x:c r="O2504" s="28"/>
      <x:c r="P2504" s="28"/>
      <x:c r="Q2504" s="28"/>
      <x:c r="R2504" s="28"/>
      <x:c r="S2504" s="28"/>
      <x:c r="T2504" s="28"/>
      <x:c r="U2504" s="28"/>
      <x:c r="V2504" s="28"/>
      <x:c r="W2504" s="43" t="n">
        <x:f>--AND(N2504=1,OR(O2504="SUPPORTED",O2504="HALLUCINATION"))</x:f>
        <x:v>0</x:v>
      </x:c>
      <x:c r="X2504" s="43" t="n">
        <x:f>--AND(W2504=1,O2504="HALLUCINATION")</x:f>
        <x:v>0</x:v>
      </x:c>
      <x:c r="Y2504" s="43" t="n">
        <x:f>--AND(Q2504=1,O2504="HALLUCINATION")</x:f>
        <x:v>0</x:v>
      </x:c>
      <x:c r="Z2504" s="43" t="n">
        <x:f>--AND(Y2504=1,R2504=1,S2504=1)</x:f>
        <x:v>0</x:v>
      </x:c>
      <x:c r="AC2504" t="str">
        <x:f>IF(OR(AA2504="",AB2504=""),"",--(AA2504&lt;&gt;AB2504))</x:f>
      </x:c>
      <x:c r="AE2504" t="str">
        <x:f>IF(OR(AA2504="",AB2504=""),"PENDING_HUMAN",IF(AA2504=AB2504,AA2504,IF(AD2504&lt;&gt;"",AD2504,"PENDING_HUMAN")))</x:f>
        <x:v>PENDING_HUMAN</x:v>
      </x:c>
      <x:c r="AF2504" t="n">
        <x:f>--AND(A2504&lt;&gt;"",AA2504&lt;&gt;"",AB2504&lt;&gt;"",OR(AA2504=AB2504,AD2504&lt;&gt;""),IF(AE2504="HALLUCINATION",U2504&lt;&gt;"",TRUE))</x:f>
        <x:v>0</x:v>
      </x:c>
      <x:c r="AG2504" t="n">
        <x:f>--AND(N2504=1,AF2504=1,OR(AE2504="SUPPORTED",AE2504="HALLUCINATION"))</x:f>
        <x:v>0</x:v>
      </x:c>
      <x:c r="AH2504" t="n">
        <x:f>--AND(AG2504=1,AE2504="HALLUCINATION")</x:f>
        <x:v>0</x:v>
      </x:c>
      <x:c r="AI2504" t="n">
        <x:f>--AND(Q2504=1,AF2504=1,AE2504="HALLUCINATION")</x:f>
        <x:v>0</x:v>
      </x:c>
      <x:c r="AJ2504" t="n">
        <x:f>--AND(AI2504=1,R2504=1,S2504=1)</x:f>
        <x:v>0</x:v>
      </x:c>
    </x:row>
    <x:row r="2505">
      <x:c r="A2505" s="28"/>
      <x:c r="B2505" s="28"/>
      <x:c r="C2505" s="28"/>
      <x:c r="D2505" s="28"/>
      <x:c r="E2505" s="28"/>
      <x:c r="F2505" s="28"/>
      <x:c r="G2505" s="28"/>
      <x:c r="H2505" s="28"/>
      <x:c r="I2505" s="28"/>
      <x:c r="J2505" s="28"/>
      <x:c r="K2505" s="28"/>
      <x:c r="L2505" s="28"/>
      <x:c r="M2505" s="28"/>
      <x:c r="N2505" s="28"/>
      <x:c r="O2505" s="28"/>
      <x:c r="P2505" s="28"/>
      <x:c r="Q2505" s="28"/>
      <x:c r="R2505" s="28"/>
      <x:c r="S2505" s="28"/>
      <x:c r="T2505" s="28"/>
      <x:c r="U2505" s="28"/>
      <x:c r="V2505" s="28"/>
      <x:c r="W2505" s="43" t="n">
        <x:f>--AND(N2505=1,OR(O2505="SUPPORTED",O2505="HALLUCINATION"))</x:f>
        <x:v>0</x:v>
      </x:c>
      <x:c r="X2505" s="43" t="n">
        <x:f>--AND(W2505=1,O2505="HALLUCINATION")</x:f>
        <x:v>0</x:v>
      </x:c>
      <x:c r="Y2505" s="43" t="n">
        <x:f>--AND(Q2505=1,O2505="HALLUCINATION")</x:f>
        <x:v>0</x:v>
      </x:c>
      <x:c r="Z2505" s="43" t="n">
        <x:f>--AND(Y2505=1,R2505=1,S2505=1)</x:f>
        <x:v>0</x:v>
      </x:c>
      <x:c r="AC2505" t="str">
        <x:f>IF(OR(AA2505="",AB2505=""),"",--(AA2505&lt;&gt;AB2505))</x:f>
      </x:c>
      <x:c r="AE2505" t="str">
        <x:f>IF(OR(AA2505="",AB2505=""),"PENDING_HUMAN",IF(AA2505=AB2505,AA2505,IF(AD2505&lt;&gt;"",AD2505,"PENDING_HUMAN")))</x:f>
        <x:v>PENDING_HUMAN</x:v>
      </x:c>
      <x:c r="AF2505" t="n">
        <x:f>--AND(A2505&lt;&gt;"",AA2505&lt;&gt;"",AB2505&lt;&gt;"",OR(AA2505=AB2505,AD2505&lt;&gt;""),IF(AE2505="HALLUCINATION",U2505&lt;&gt;"",TRUE))</x:f>
        <x:v>0</x:v>
      </x:c>
      <x:c r="AG2505" t="n">
        <x:f>--AND(N2505=1,AF2505=1,OR(AE2505="SUPPORTED",AE2505="HALLUCINATION"))</x:f>
        <x:v>0</x:v>
      </x:c>
      <x:c r="AH2505" t="n">
        <x:f>--AND(AG2505=1,AE2505="HALLUCINATION")</x:f>
        <x:v>0</x:v>
      </x:c>
      <x:c r="AI2505" t="n">
        <x:f>--AND(Q2505=1,AF2505=1,AE2505="HALLUCINATION")</x:f>
        <x:v>0</x:v>
      </x:c>
      <x:c r="AJ2505" t="n">
        <x:f>--AND(AI2505=1,R2505=1,S2505=1)</x:f>
        <x:v>0</x:v>
      </x:c>
    </x:row>
    <x:row r="2506">
      <x:c r="A2506" s="28"/>
      <x:c r="B2506" s="28"/>
      <x:c r="C2506" s="28"/>
      <x:c r="D2506" s="28"/>
      <x:c r="E2506" s="28"/>
      <x:c r="F2506" s="28"/>
      <x:c r="G2506" s="28"/>
      <x:c r="H2506" s="28"/>
      <x:c r="I2506" s="28"/>
      <x:c r="J2506" s="28"/>
      <x:c r="K2506" s="28"/>
      <x:c r="L2506" s="28"/>
      <x:c r="M2506" s="28"/>
      <x:c r="N2506" s="28"/>
      <x:c r="O2506" s="28"/>
      <x:c r="P2506" s="28"/>
      <x:c r="Q2506" s="28"/>
      <x:c r="R2506" s="28"/>
      <x:c r="S2506" s="28"/>
      <x:c r="T2506" s="28"/>
      <x:c r="U2506" s="28"/>
      <x:c r="V2506" s="28"/>
      <x:c r="W2506" s="43" t="n">
        <x:f>--AND(N2506=1,OR(O2506="SUPPORTED",O2506="HALLUCINATION"))</x:f>
        <x:v>0</x:v>
      </x:c>
      <x:c r="X2506" s="43" t="n">
        <x:f>--AND(W2506=1,O2506="HALLUCINATION")</x:f>
        <x:v>0</x:v>
      </x:c>
      <x:c r="Y2506" s="43" t="n">
        <x:f>--AND(Q2506=1,O2506="HALLUCINATION")</x:f>
        <x:v>0</x:v>
      </x:c>
      <x:c r="Z2506" s="43" t="n">
        <x:f>--AND(Y2506=1,R2506=1,S2506=1)</x:f>
        <x:v>0</x:v>
      </x:c>
      <x:c r="AC2506" t="str">
        <x:f>IF(OR(AA2506="",AB2506=""),"",--(AA2506&lt;&gt;AB2506))</x:f>
      </x:c>
      <x:c r="AE2506" t="str">
        <x:f>IF(OR(AA2506="",AB2506=""),"PENDING_HUMAN",IF(AA2506=AB2506,AA2506,IF(AD2506&lt;&gt;"",AD2506,"PENDING_HUMAN")))</x:f>
        <x:v>PENDING_HUMAN</x:v>
      </x:c>
      <x:c r="AF2506" t="n">
        <x:f>--AND(A2506&lt;&gt;"",AA2506&lt;&gt;"",AB2506&lt;&gt;"",OR(AA2506=AB2506,AD2506&lt;&gt;""),IF(AE2506="HALLUCINATION",U2506&lt;&gt;"",TRUE))</x:f>
        <x:v>0</x:v>
      </x:c>
      <x:c r="AG2506" t="n">
        <x:f>--AND(N2506=1,AF2506=1,OR(AE2506="SUPPORTED",AE2506="HALLUCINATION"))</x:f>
        <x:v>0</x:v>
      </x:c>
      <x:c r="AH2506" t="n">
        <x:f>--AND(AG2506=1,AE2506="HALLUCINATION")</x:f>
        <x:v>0</x:v>
      </x:c>
      <x:c r="AI2506" t="n">
        <x:f>--AND(Q2506=1,AF2506=1,AE2506="HALLUCINATION")</x:f>
        <x:v>0</x:v>
      </x:c>
      <x:c r="AJ2506" t="n">
        <x:f>--AND(AI2506=1,R2506=1,S2506=1)</x:f>
        <x:v>0</x:v>
      </x:c>
    </x:row>
    <x:row r="2507">
      <x:c r="A2507" s="28"/>
      <x:c r="B2507" s="28"/>
      <x:c r="C2507" s="28"/>
      <x:c r="D2507" s="28"/>
      <x:c r="E2507" s="28"/>
      <x:c r="F2507" s="28"/>
      <x:c r="G2507" s="28"/>
      <x:c r="H2507" s="28"/>
      <x:c r="I2507" s="28"/>
      <x:c r="J2507" s="28"/>
      <x:c r="K2507" s="28"/>
      <x:c r="L2507" s="28"/>
      <x:c r="M2507" s="28"/>
      <x:c r="N2507" s="28"/>
      <x:c r="O2507" s="28"/>
      <x:c r="P2507" s="28"/>
      <x:c r="Q2507" s="28"/>
      <x:c r="R2507" s="28"/>
      <x:c r="S2507" s="28"/>
      <x:c r="T2507" s="28"/>
      <x:c r="U2507" s="28"/>
      <x:c r="V2507" s="28"/>
      <x:c r="W2507" s="43" t="n">
        <x:f>--AND(N2507=1,OR(O2507="SUPPORTED",O2507="HALLUCINATION"))</x:f>
        <x:v>0</x:v>
      </x:c>
      <x:c r="X2507" s="43" t="n">
        <x:f>--AND(W2507=1,O2507="HALLUCINATION")</x:f>
        <x:v>0</x:v>
      </x:c>
      <x:c r="Y2507" s="43" t="n">
        <x:f>--AND(Q2507=1,O2507="HALLUCINATION")</x:f>
        <x:v>0</x:v>
      </x:c>
      <x:c r="Z2507" s="43" t="n">
        <x:f>--AND(Y2507=1,R2507=1,S2507=1)</x:f>
        <x:v>0</x:v>
      </x:c>
      <x:c r="AC2507" t="str">
        <x:f>IF(OR(AA2507="",AB2507=""),"",--(AA2507&lt;&gt;AB2507))</x:f>
      </x:c>
      <x:c r="AE2507" t="str">
        <x:f>IF(OR(AA2507="",AB2507=""),"PENDING_HUMAN",IF(AA2507=AB2507,AA2507,IF(AD2507&lt;&gt;"",AD2507,"PENDING_HUMAN")))</x:f>
        <x:v>PENDING_HUMAN</x:v>
      </x:c>
      <x:c r="AF2507" t="n">
        <x:f>--AND(A2507&lt;&gt;"",AA2507&lt;&gt;"",AB2507&lt;&gt;"",OR(AA2507=AB2507,AD2507&lt;&gt;""),IF(AE2507="HALLUCINATION",U2507&lt;&gt;"",TRUE))</x:f>
        <x:v>0</x:v>
      </x:c>
      <x:c r="AG2507" t="n">
        <x:f>--AND(N2507=1,AF2507=1,OR(AE2507="SUPPORTED",AE2507="HALLUCINATION"))</x:f>
        <x:v>0</x:v>
      </x:c>
      <x:c r="AH2507" t="n">
        <x:f>--AND(AG2507=1,AE2507="HALLUCINATION")</x:f>
        <x:v>0</x:v>
      </x:c>
      <x:c r="AI2507" t="n">
        <x:f>--AND(Q2507=1,AF2507=1,AE2507="HALLUCINATION")</x:f>
        <x:v>0</x:v>
      </x:c>
      <x:c r="AJ2507" t="n">
        <x:f>--AND(AI2507=1,R2507=1,S2507=1)</x:f>
        <x:v>0</x:v>
      </x:c>
    </x:row>
    <x:row r="2508">
      <x:c r="A2508" s="28"/>
      <x:c r="B2508" s="28"/>
      <x:c r="C2508" s="28"/>
      <x:c r="D2508" s="28"/>
      <x:c r="E2508" s="28"/>
      <x:c r="F2508" s="28"/>
      <x:c r="G2508" s="28"/>
      <x:c r="H2508" s="28"/>
      <x:c r="I2508" s="28"/>
      <x:c r="J2508" s="28"/>
      <x:c r="K2508" s="28"/>
      <x:c r="L2508" s="28"/>
      <x:c r="M2508" s="28"/>
      <x:c r="N2508" s="28"/>
      <x:c r="O2508" s="28"/>
      <x:c r="P2508" s="28"/>
      <x:c r="Q2508" s="28"/>
      <x:c r="R2508" s="28"/>
      <x:c r="S2508" s="28"/>
      <x:c r="T2508" s="28"/>
      <x:c r="U2508" s="28"/>
      <x:c r="V2508" s="28"/>
      <x:c r="W2508" s="43" t="n">
        <x:f>--AND(N2508=1,OR(O2508="SUPPORTED",O2508="HALLUCINATION"))</x:f>
        <x:v>0</x:v>
      </x:c>
      <x:c r="X2508" s="43" t="n">
        <x:f>--AND(W2508=1,O2508="HALLUCINATION")</x:f>
        <x:v>0</x:v>
      </x:c>
      <x:c r="Y2508" s="43" t="n">
        <x:f>--AND(Q2508=1,O2508="HALLUCINATION")</x:f>
        <x:v>0</x:v>
      </x:c>
      <x:c r="Z2508" s="43" t="n">
        <x:f>--AND(Y2508=1,R2508=1,S2508=1)</x:f>
        <x:v>0</x:v>
      </x:c>
      <x:c r="AC2508" t="str">
        <x:f>IF(OR(AA2508="",AB2508=""),"",--(AA2508&lt;&gt;AB2508))</x:f>
      </x:c>
      <x:c r="AE2508" t="str">
        <x:f>IF(OR(AA2508="",AB2508=""),"PENDING_HUMAN",IF(AA2508=AB2508,AA2508,IF(AD2508&lt;&gt;"",AD2508,"PENDING_HUMAN")))</x:f>
        <x:v>PENDING_HUMAN</x:v>
      </x:c>
      <x:c r="AF2508" t="n">
        <x:f>--AND(A2508&lt;&gt;"",AA2508&lt;&gt;"",AB2508&lt;&gt;"",OR(AA2508=AB2508,AD2508&lt;&gt;""),IF(AE2508="HALLUCINATION",U2508&lt;&gt;"",TRUE))</x:f>
        <x:v>0</x:v>
      </x:c>
      <x:c r="AG2508" t="n">
        <x:f>--AND(N2508=1,AF2508=1,OR(AE2508="SUPPORTED",AE2508="HALLUCINATION"))</x:f>
        <x:v>0</x:v>
      </x:c>
      <x:c r="AH2508" t="n">
        <x:f>--AND(AG2508=1,AE2508="HALLUCINATION")</x:f>
        <x:v>0</x:v>
      </x:c>
      <x:c r="AI2508" t="n">
        <x:f>--AND(Q2508=1,AF2508=1,AE2508="HALLUCINATION")</x:f>
        <x:v>0</x:v>
      </x:c>
      <x:c r="AJ2508" t="n">
        <x:f>--AND(AI2508=1,R2508=1,S2508=1)</x:f>
        <x:v>0</x:v>
      </x:c>
    </x:row>
    <x:row r="2509">
      <x:c r="A2509" s="28"/>
      <x:c r="B2509" s="28"/>
      <x:c r="C2509" s="28"/>
      <x:c r="D2509" s="28"/>
      <x:c r="E2509" s="28"/>
      <x:c r="F2509" s="28"/>
      <x:c r="G2509" s="28"/>
      <x:c r="H2509" s="28"/>
      <x:c r="I2509" s="28"/>
      <x:c r="J2509" s="28"/>
      <x:c r="K2509" s="28"/>
      <x:c r="L2509" s="28"/>
      <x:c r="M2509" s="28"/>
      <x:c r="N2509" s="28"/>
      <x:c r="O2509" s="28"/>
      <x:c r="P2509" s="28"/>
      <x:c r="Q2509" s="28"/>
      <x:c r="R2509" s="28"/>
      <x:c r="S2509" s="28"/>
      <x:c r="T2509" s="28"/>
      <x:c r="U2509" s="28"/>
      <x:c r="V2509" s="28"/>
      <x:c r="W2509" s="43" t="n">
        <x:f>--AND(N2509=1,OR(O2509="SUPPORTED",O2509="HALLUCINATION"))</x:f>
        <x:v>0</x:v>
      </x:c>
      <x:c r="X2509" s="43" t="n">
        <x:f>--AND(W2509=1,O2509="HALLUCINATION")</x:f>
        <x:v>0</x:v>
      </x:c>
      <x:c r="Y2509" s="43" t="n">
        <x:f>--AND(Q2509=1,O2509="HALLUCINATION")</x:f>
        <x:v>0</x:v>
      </x:c>
      <x:c r="Z2509" s="43" t="n">
        <x:f>--AND(Y2509=1,R2509=1,S2509=1)</x:f>
        <x:v>0</x:v>
      </x:c>
      <x:c r="AC2509" t="str">
        <x:f>IF(OR(AA2509="",AB2509=""),"",--(AA2509&lt;&gt;AB2509))</x:f>
      </x:c>
      <x:c r="AE2509" t="str">
        <x:f>IF(OR(AA2509="",AB2509=""),"PENDING_HUMAN",IF(AA2509=AB2509,AA2509,IF(AD2509&lt;&gt;"",AD2509,"PENDING_HUMAN")))</x:f>
        <x:v>PENDING_HUMAN</x:v>
      </x:c>
      <x:c r="AF2509" t="n">
        <x:f>--AND(A2509&lt;&gt;"",AA2509&lt;&gt;"",AB2509&lt;&gt;"",OR(AA2509=AB2509,AD2509&lt;&gt;""),IF(AE2509="HALLUCINATION",U2509&lt;&gt;"",TRUE))</x:f>
        <x:v>0</x:v>
      </x:c>
      <x:c r="AG2509" t="n">
        <x:f>--AND(N2509=1,AF2509=1,OR(AE2509="SUPPORTED",AE2509="HALLUCINATION"))</x:f>
        <x:v>0</x:v>
      </x:c>
      <x:c r="AH2509" t="n">
        <x:f>--AND(AG2509=1,AE2509="HALLUCINATION")</x:f>
        <x:v>0</x:v>
      </x:c>
      <x:c r="AI2509" t="n">
        <x:f>--AND(Q2509=1,AF2509=1,AE2509="HALLUCINATION")</x:f>
        <x:v>0</x:v>
      </x:c>
      <x:c r="AJ2509" t="n">
        <x:f>--AND(AI2509=1,R2509=1,S2509=1)</x:f>
        <x:v>0</x:v>
      </x:c>
    </x:row>
    <x:row r="2510">
      <x:c r="A2510" s="28"/>
      <x:c r="B2510" s="28"/>
      <x:c r="C2510" s="28"/>
      <x:c r="D2510" s="28"/>
      <x:c r="E2510" s="28"/>
      <x:c r="F2510" s="28"/>
      <x:c r="G2510" s="28"/>
      <x:c r="H2510" s="28"/>
      <x:c r="I2510" s="28"/>
      <x:c r="J2510" s="28"/>
      <x:c r="K2510" s="28"/>
      <x:c r="L2510" s="28"/>
      <x:c r="M2510" s="28"/>
      <x:c r="N2510" s="28"/>
      <x:c r="O2510" s="28"/>
      <x:c r="P2510" s="28"/>
      <x:c r="Q2510" s="28"/>
      <x:c r="R2510" s="28"/>
      <x:c r="S2510" s="28"/>
      <x:c r="T2510" s="28"/>
      <x:c r="U2510" s="28"/>
      <x:c r="V2510" s="28"/>
      <x:c r="W2510" s="43" t="n">
        <x:f>--AND(N2510=1,OR(O2510="SUPPORTED",O2510="HALLUCINATION"))</x:f>
        <x:v>0</x:v>
      </x:c>
      <x:c r="X2510" s="43" t="n">
        <x:f>--AND(W2510=1,O2510="HALLUCINATION")</x:f>
        <x:v>0</x:v>
      </x:c>
      <x:c r="Y2510" s="43" t="n">
        <x:f>--AND(Q2510=1,O2510="HALLUCINATION")</x:f>
        <x:v>0</x:v>
      </x:c>
      <x:c r="Z2510" s="43" t="n">
        <x:f>--AND(Y2510=1,R2510=1,S2510=1)</x:f>
        <x:v>0</x:v>
      </x:c>
      <x:c r="AC2510" t="str">
        <x:f>IF(OR(AA2510="",AB2510=""),"",--(AA2510&lt;&gt;AB2510))</x:f>
      </x:c>
      <x:c r="AE2510" t="str">
        <x:f>IF(OR(AA2510="",AB2510=""),"PENDING_HUMAN",IF(AA2510=AB2510,AA2510,IF(AD2510&lt;&gt;"",AD2510,"PENDING_HUMAN")))</x:f>
        <x:v>PENDING_HUMAN</x:v>
      </x:c>
      <x:c r="AF2510" t="n">
        <x:f>--AND(A2510&lt;&gt;"",AA2510&lt;&gt;"",AB2510&lt;&gt;"",OR(AA2510=AB2510,AD2510&lt;&gt;""),IF(AE2510="HALLUCINATION",U2510&lt;&gt;"",TRUE))</x:f>
        <x:v>0</x:v>
      </x:c>
      <x:c r="AG2510" t="n">
        <x:f>--AND(N2510=1,AF2510=1,OR(AE2510="SUPPORTED",AE2510="HALLUCINATION"))</x:f>
        <x:v>0</x:v>
      </x:c>
      <x:c r="AH2510" t="n">
        <x:f>--AND(AG2510=1,AE2510="HALLUCINATION")</x:f>
        <x:v>0</x:v>
      </x:c>
      <x:c r="AI2510" t="n">
        <x:f>--AND(Q2510=1,AF2510=1,AE2510="HALLUCINATION")</x:f>
        <x:v>0</x:v>
      </x:c>
      <x:c r="AJ2510" t="n">
        <x:f>--AND(AI2510=1,R2510=1,S2510=1)</x:f>
        <x:v>0</x:v>
      </x:c>
    </x:row>
    <x:row r="2511">
      <x:c r="A2511" s="28"/>
      <x:c r="B2511" s="28"/>
      <x:c r="C2511" s="28"/>
      <x:c r="D2511" s="28"/>
      <x:c r="E2511" s="28"/>
      <x:c r="F2511" s="28"/>
      <x:c r="G2511" s="28"/>
      <x:c r="H2511" s="28"/>
      <x:c r="I2511" s="28"/>
      <x:c r="J2511" s="28"/>
      <x:c r="K2511" s="28"/>
      <x:c r="L2511" s="28"/>
      <x:c r="M2511" s="28"/>
      <x:c r="N2511" s="28"/>
      <x:c r="O2511" s="28"/>
      <x:c r="P2511" s="28"/>
      <x:c r="Q2511" s="28"/>
      <x:c r="R2511" s="28"/>
      <x:c r="S2511" s="28"/>
      <x:c r="T2511" s="28"/>
      <x:c r="U2511" s="28"/>
      <x:c r="V2511" s="28"/>
      <x:c r="W2511" s="43" t="n">
        <x:f>--AND(N2511=1,OR(O2511="SUPPORTED",O2511="HALLUCINATION"))</x:f>
        <x:v>0</x:v>
      </x:c>
      <x:c r="X2511" s="43" t="n">
        <x:f>--AND(W2511=1,O2511="HALLUCINATION")</x:f>
        <x:v>0</x:v>
      </x:c>
      <x:c r="Y2511" s="43" t="n">
        <x:f>--AND(Q2511=1,O2511="HALLUCINATION")</x:f>
        <x:v>0</x:v>
      </x:c>
      <x:c r="Z2511" s="43" t="n">
        <x:f>--AND(Y2511=1,R2511=1,S2511=1)</x:f>
        <x:v>0</x:v>
      </x:c>
      <x:c r="AC2511" t="str">
        <x:f>IF(OR(AA2511="",AB2511=""),"",--(AA2511&lt;&gt;AB2511))</x:f>
      </x:c>
      <x:c r="AE2511" t="str">
        <x:f>IF(OR(AA2511="",AB2511=""),"PENDING_HUMAN",IF(AA2511=AB2511,AA2511,IF(AD2511&lt;&gt;"",AD2511,"PENDING_HUMAN")))</x:f>
        <x:v>PENDING_HUMAN</x:v>
      </x:c>
      <x:c r="AF2511" t="n">
        <x:f>--AND(A2511&lt;&gt;"",AA2511&lt;&gt;"",AB2511&lt;&gt;"",OR(AA2511=AB2511,AD2511&lt;&gt;""),IF(AE2511="HALLUCINATION",U2511&lt;&gt;"",TRUE))</x:f>
        <x:v>0</x:v>
      </x:c>
      <x:c r="AG2511" t="n">
        <x:f>--AND(N2511=1,AF2511=1,OR(AE2511="SUPPORTED",AE2511="HALLUCINATION"))</x:f>
        <x:v>0</x:v>
      </x:c>
      <x:c r="AH2511" t="n">
        <x:f>--AND(AG2511=1,AE2511="HALLUCINATION")</x:f>
        <x:v>0</x:v>
      </x:c>
      <x:c r="AI2511" t="n">
        <x:f>--AND(Q2511=1,AF2511=1,AE2511="HALLUCINATION")</x:f>
        <x:v>0</x:v>
      </x:c>
      <x:c r="AJ2511" t="n">
        <x:f>--AND(AI2511=1,R2511=1,S2511=1)</x:f>
        <x:v>0</x:v>
      </x:c>
    </x:row>
    <x:row r="2512">
      <x:c r="A2512" s="28"/>
      <x:c r="B2512" s="28"/>
      <x:c r="C2512" s="28"/>
      <x:c r="D2512" s="28"/>
      <x:c r="E2512" s="28"/>
      <x:c r="F2512" s="28"/>
      <x:c r="G2512" s="28"/>
      <x:c r="H2512" s="28"/>
      <x:c r="I2512" s="28"/>
      <x:c r="J2512" s="28"/>
      <x:c r="K2512" s="28"/>
      <x:c r="L2512" s="28"/>
      <x:c r="M2512" s="28"/>
      <x:c r="N2512" s="28"/>
      <x:c r="O2512" s="28"/>
      <x:c r="P2512" s="28"/>
      <x:c r="Q2512" s="28"/>
      <x:c r="R2512" s="28"/>
      <x:c r="S2512" s="28"/>
      <x:c r="T2512" s="28"/>
      <x:c r="U2512" s="28"/>
      <x:c r="V2512" s="28"/>
      <x:c r="W2512" s="43" t="n">
        <x:f>--AND(N2512=1,OR(O2512="SUPPORTED",O2512="HALLUCINATION"))</x:f>
        <x:v>0</x:v>
      </x:c>
      <x:c r="X2512" s="43" t="n">
        <x:f>--AND(W2512=1,O2512="HALLUCINATION")</x:f>
        <x:v>0</x:v>
      </x:c>
      <x:c r="Y2512" s="43" t="n">
        <x:f>--AND(Q2512=1,O2512="HALLUCINATION")</x:f>
        <x:v>0</x:v>
      </x:c>
      <x:c r="Z2512" s="43" t="n">
        <x:f>--AND(Y2512=1,R2512=1,S2512=1)</x:f>
        <x:v>0</x:v>
      </x:c>
      <x:c r="AC2512" t="str">
        <x:f>IF(OR(AA2512="",AB2512=""),"",--(AA2512&lt;&gt;AB2512))</x:f>
      </x:c>
      <x:c r="AE2512" t="str">
        <x:f>IF(OR(AA2512="",AB2512=""),"PENDING_HUMAN",IF(AA2512=AB2512,AA2512,IF(AD2512&lt;&gt;"",AD2512,"PENDING_HUMAN")))</x:f>
        <x:v>PENDING_HUMAN</x:v>
      </x:c>
      <x:c r="AF2512" t="n">
        <x:f>--AND(A2512&lt;&gt;"",AA2512&lt;&gt;"",AB2512&lt;&gt;"",OR(AA2512=AB2512,AD2512&lt;&gt;""),IF(AE2512="HALLUCINATION",U2512&lt;&gt;"",TRUE))</x:f>
        <x:v>0</x:v>
      </x:c>
      <x:c r="AG2512" t="n">
        <x:f>--AND(N2512=1,AF2512=1,OR(AE2512="SUPPORTED",AE2512="HALLUCINATION"))</x:f>
        <x:v>0</x:v>
      </x:c>
      <x:c r="AH2512" t="n">
        <x:f>--AND(AG2512=1,AE2512="HALLUCINATION")</x:f>
        <x:v>0</x:v>
      </x:c>
      <x:c r="AI2512" t="n">
        <x:f>--AND(Q2512=1,AF2512=1,AE2512="HALLUCINATION")</x:f>
        <x:v>0</x:v>
      </x:c>
      <x:c r="AJ2512" t="n">
        <x:f>--AND(AI2512=1,R2512=1,S2512=1)</x:f>
        <x:v>0</x:v>
      </x:c>
    </x:row>
    <x:row r="2513">
      <x:c r="A2513" s="28"/>
      <x:c r="B2513" s="28"/>
      <x:c r="C2513" s="28"/>
      <x:c r="D2513" s="28"/>
      <x:c r="E2513" s="28"/>
      <x:c r="F2513" s="28"/>
      <x:c r="G2513" s="28"/>
      <x:c r="H2513" s="28"/>
      <x:c r="I2513" s="28"/>
      <x:c r="J2513" s="28"/>
      <x:c r="K2513" s="28"/>
      <x:c r="L2513" s="28"/>
      <x:c r="M2513" s="28"/>
      <x:c r="N2513" s="28"/>
      <x:c r="O2513" s="28"/>
      <x:c r="P2513" s="28"/>
      <x:c r="Q2513" s="28"/>
      <x:c r="R2513" s="28"/>
      <x:c r="S2513" s="28"/>
      <x:c r="T2513" s="28"/>
      <x:c r="U2513" s="28"/>
      <x:c r="V2513" s="28"/>
      <x:c r="W2513" s="43" t="n">
        <x:f>--AND(N2513=1,OR(O2513="SUPPORTED",O2513="HALLUCINATION"))</x:f>
        <x:v>0</x:v>
      </x:c>
      <x:c r="X2513" s="43" t="n">
        <x:f>--AND(W2513=1,O2513="HALLUCINATION")</x:f>
        <x:v>0</x:v>
      </x:c>
      <x:c r="Y2513" s="43" t="n">
        <x:f>--AND(Q2513=1,O2513="HALLUCINATION")</x:f>
        <x:v>0</x:v>
      </x:c>
      <x:c r="Z2513" s="43" t="n">
        <x:f>--AND(Y2513=1,R2513=1,S2513=1)</x:f>
        <x:v>0</x:v>
      </x:c>
      <x:c r="AC2513" t="str">
        <x:f>IF(OR(AA2513="",AB2513=""),"",--(AA2513&lt;&gt;AB2513))</x:f>
      </x:c>
      <x:c r="AE2513" t="str">
        <x:f>IF(OR(AA2513="",AB2513=""),"PENDING_HUMAN",IF(AA2513=AB2513,AA2513,IF(AD2513&lt;&gt;"",AD2513,"PENDING_HUMAN")))</x:f>
        <x:v>PENDING_HUMAN</x:v>
      </x:c>
      <x:c r="AF2513" t="n">
        <x:f>--AND(A2513&lt;&gt;"",AA2513&lt;&gt;"",AB2513&lt;&gt;"",OR(AA2513=AB2513,AD2513&lt;&gt;""),IF(AE2513="HALLUCINATION",U2513&lt;&gt;"",TRUE))</x:f>
        <x:v>0</x:v>
      </x:c>
      <x:c r="AG2513" t="n">
        <x:f>--AND(N2513=1,AF2513=1,OR(AE2513="SUPPORTED",AE2513="HALLUCINATION"))</x:f>
        <x:v>0</x:v>
      </x:c>
      <x:c r="AH2513" t="n">
        <x:f>--AND(AG2513=1,AE2513="HALLUCINATION")</x:f>
        <x:v>0</x:v>
      </x:c>
      <x:c r="AI2513" t="n">
        <x:f>--AND(Q2513=1,AF2513=1,AE2513="HALLUCINATION")</x:f>
        <x:v>0</x:v>
      </x:c>
      <x:c r="AJ2513" t="n">
        <x:f>--AND(AI2513=1,R2513=1,S2513=1)</x:f>
        <x:v>0</x:v>
      </x:c>
    </x:row>
    <x:row r="2514">
      <x:c r="A2514" s="28"/>
      <x:c r="B2514" s="28"/>
      <x:c r="C2514" s="28"/>
      <x:c r="D2514" s="28"/>
      <x:c r="E2514" s="28"/>
      <x:c r="F2514" s="28"/>
      <x:c r="G2514" s="28"/>
      <x:c r="H2514" s="28"/>
      <x:c r="I2514" s="28"/>
      <x:c r="J2514" s="28"/>
      <x:c r="K2514" s="28"/>
      <x:c r="L2514" s="28"/>
      <x:c r="M2514" s="28"/>
      <x:c r="N2514" s="28"/>
      <x:c r="O2514" s="28"/>
      <x:c r="P2514" s="28"/>
      <x:c r="Q2514" s="28"/>
      <x:c r="R2514" s="28"/>
      <x:c r="S2514" s="28"/>
      <x:c r="T2514" s="28"/>
      <x:c r="U2514" s="28"/>
      <x:c r="V2514" s="28"/>
      <x:c r="W2514" s="43" t="n">
        <x:f>--AND(N2514=1,OR(O2514="SUPPORTED",O2514="HALLUCINATION"))</x:f>
        <x:v>0</x:v>
      </x:c>
      <x:c r="X2514" s="43" t="n">
        <x:f>--AND(W2514=1,O2514="HALLUCINATION")</x:f>
        <x:v>0</x:v>
      </x:c>
      <x:c r="Y2514" s="43" t="n">
        <x:f>--AND(Q2514=1,O2514="HALLUCINATION")</x:f>
        <x:v>0</x:v>
      </x:c>
      <x:c r="Z2514" s="43" t="n">
        <x:f>--AND(Y2514=1,R2514=1,S2514=1)</x:f>
        <x:v>0</x:v>
      </x:c>
      <x:c r="AC2514" t="str">
        <x:f>IF(OR(AA2514="",AB2514=""),"",--(AA2514&lt;&gt;AB2514))</x:f>
      </x:c>
      <x:c r="AE2514" t="str">
        <x:f>IF(OR(AA2514="",AB2514=""),"PENDING_HUMAN",IF(AA2514=AB2514,AA2514,IF(AD2514&lt;&gt;"",AD2514,"PENDING_HUMAN")))</x:f>
        <x:v>PENDING_HUMAN</x:v>
      </x:c>
      <x:c r="AF2514" t="n">
        <x:f>--AND(A2514&lt;&gt;"",AA2514&lt;&gt;"",AB2514&lt;&gt;"",OR(AA2514=AB2514,AD2514&lt;&gt;""),IF(AE2514="HALLUCINATION",U2514&lt;&gt;"",TRUE))</x:f>
        <x:v>0</x:v>
      </x:c>
      <x:c r="AG2514" t="n">
        <x:f>--AND(N2514=1,AF2514=1,OR(AE2514="SUPPORTED",AE2514="HALLUCINATION"))</x:f>
        <x:v>0</x:v>
      </x:c>
      <x:c r="AH2514" t="n">
        <x:f>--AND(AG2514=1,AE2514="HALLUCINATION")</x:f>
        <x:v>0</x:v>
      </x:c>
      <x:c r="AI2514" t="n">
        <x:f>--AND(Q2514=1,AF2514=1,AE2514="HALLUCINATION")</x:f>
        <x:v>0</x:v>
      </x:c>
      <x:c r="AJ2514" t="n">
        <x:f>--AND(AI2514=1,R2514=1,S2514=1)</x:f>
        <x:v>0</x:v>
      </x:c>
    </x:row>
    <x:row r="2515">
      <x:c r="A2515" s="28"/>
      <x:c r="B2515" s="28"/>
      <x:c r="C2515" s="28"/>
      <x:c r="D2515" s="28"/>
      <x:c r="E2515" s="28"/>
      <x:c r="F2515" s="28"/>
      <x:c r="G2515" s="28"/>
      <x:c r="H2515" s="28"/>
      <x:c r="I2515" s="28"/>
      <x:c r="J2515" s="28"/>
      <x:c r="K2515" s="28"/>
      <x:c r="L2515" s="28"/>
      <x:c r="M2515" s="28"/>
      <x:c r="N2515" s="28"/>
      <x:c r="O2515" s="28"/>
      <x:c r="P2515" s="28"/>
      <x:c r="Q2515" s="28"/>
      <x:c r="R2515" s="28"/>
      <x:c r="S2515" s="28"/>
      <x:c r="T2515" s="28"/>
      <x:c r="U2515" s="28"/>
      <x:c r="V2515" s="28"/>
      <x:c r="W2515" s="43" t="n">
        <x:f>--AND(N2515=1,OR(O2515="SUPPORTED",O2515="HALLUCINATION"))</x:f>
        <x:v>0</x:v>
      </x:c>
      <x:c r="X2515" s="43" t="n">
        <x:f>--AND(W2515=1,O2515="HALLUCINATION")</x:f>
        <x:v>0</x:v>
      </x:c>
      <x:c r="Y2515" s="43" t="n">
        <x:f>--AND(Q2515=1,O2515="HALLUCINATION")</x:f>
        <x:v>0</x:v>
      </x:c>
      <x:c r="Z2515" s="43" t="n">
        <x:f>--AND(Y2515=1,R2515=1,S2515=1)</x:f>
        <x:v>0</x:v>
      </x:c>
      <x:c r="AC2515" t="str">
        <x:f>IF(OR(AA2515="",AB2515=""),"",--(AA2515&lt;&gt;AB2515))</x:f>
      </x:c>
      <x:c r="AE2515" t="str">
        <x:f>IF(OR(AA2515="",AB2515=""),"PENDING_HUMAN",IF(AA2515=AB2515,AA2515,IF(AD2515&lt;&gt;"",AD2515,"PENDING_HUMAN")))</x:f>
        <x:v>PENDING_HUMAN</x:v>
      </x:c>
      <x:c r="AF2515" t="n">
        <x:f>--AND(A2515&lt;&gt;"",AA2515&lt;&gt;"",AB2515&lt;&gt;"",OR(AA2515=AB2515,AD2515&lt;&gt;""),IF(AE2515="HALLUCINATION",U2515&lt;&gt;"",TRUE))</x:f>
        <x:v>0</x:v>
      </x:c>
      <x:c r="AG2515" t="n">
        <x:f>--AND(N2515=1,AF2515=1,OR(AE2515="SUPPORTED",AE2515="HALLUCINATION"))</x:f>
        <x:v>0</x:v>
      </x:c>
      <x:c r="AH2515" t="n">
        <x:f>--AND(AG2515=1,AE2515="HALLUCINATION")</x:f>
        <x:v>0</x:v>
      </x:c>
      <x:c r="AI2515" t="n">
        <x:f>--AND(Q2515=1,AF2515=1,AE2515="HALLUCINATION")</x:f>
        <x:v>0</x:v>
      </x:c>
      <x:c r="AJ2515" t="n">
        <x:f>--AND(AI2515=1,R2515=1,S2515=1)</x:f>
        <x:v>0</x:v>
      </x:c>
    </x:row>
    <x:row r="2516">
      <x:c r="A2516" s="28"/>
      <x:c r="B2516" s="28"/>
      <x:c r="C2516" s="28"/>
      <x:c r="D2516" s="28"/>
      <x:c r="E2516" s="28"/>
      <x:c r="F2516" s="28"/>
      <x:c r="G2516" s="28"/>
      <x:c r="H2516" s="28"/>
      <x:c r="I2516" s="28"/>
      <x:c r="J2516" s="28"/>
      <x:c r="K2516" s="28"/>
      <x:c r="L2516" s="28"/>
      <x:c r="M2516" s="28"/>
      <x:c r="N2516" s="28"/>
      <x:c r="O2516" s="28"/>
      <x:c r="P2516" s="28"/>
      <x:c r="Q2516" s="28"/>
      <x:c r="R2516" s="28"/>
      <x:c r="S2516" s="28"/>
      <x:c r="T2516" s="28"/>
      <x:c r="U2516" s="28"/>
      <x:c r="V2516" s="28"/>
      <x:c r="W2516" s="43" t="n">
        <x:f>--AND(N2516=1,OR(O2516="SUPPORTED",O2516="HALLUCINATION"))</x:f>
        <x:v>0</x:v>
      </x:c>
      <x:c r="X2516" s="43" t="n">
        <x:f>--AND(W2516=1,O2516="HALLUCINATION")</x:f>
        <x:v>0</x:v>
      </x:c>
      <x:c r="Y2516" s="43" t="n">
        <x:f>--AND(Q2516=1,O2516="HALLUCINATION")</x:f>
        <x:v>0</x:v>
      </x:c>
      <x:c r="Z2516" s="43" t="n">
        <x:f>--AND(Y2516=1,R2516=1,S2516=1)</x:f>
        <x:v>0</x:v>
      </x:c>
      <x:c r="AC2516" t="str">
        <x:f>IF(OR(AA2516="",AB2516=""),"",--(AA2516&lt;&gt;AB2516))</x:f>
      </x:c>
      <x:c r="AE2516" t="str">
        <x:f>IF(OR(AA2516="",AB2516=""),"PENDING_HUMAN",IF(AA2516=AB2516,AA2516,IF(AD2516&lt;&gt;"",AD2516,"PENDING_HUMAN")))</x:f>
        <x:v>PENDING_HUMAN</x:v>
      </x:c>
      <x:c r="AF2516" t="n">
        <x:f>--AND(A2516&lt;&gt;"",AA2516&lt;&gt;"",AB2516&lt;&gt;"",OR(AA2516=AB2516,AD2516&lt;&gt;""),IF(AE2516="HALLUCINATION",U2516&lt;&gt;"",TRUE))</x:f>
        <x:v>0</x:v>
      </x:c>
      <x:c r="AG2516" t="n">
        <x:f>--AND(N2516=1,AF2516=1,OR(AE2516="SUPPORTED",AE2516="HALLUCINATION"))</x:f>
        <x:v>0</x:v>
      </x:c>
      <x:c r="AH2516" t="n">
        <x:f>--AND(AG2516=1,AE2516="HALLUCINATION")</x:f>
        <x:v>0</x:v>
      </x:c>
      <x:c r="AI2516" t="n">
        <x:f>--AND(Q2516=1,AF2516=1,AE2516="HALLUCINATION")</x:f>
        <x:v>0</x:v>
      </x:c>
      <x:c r="AJ2516" t="n">
        <x:f>--AND(AI2516=1,R2516=1,S2516=1)</x:f>
        <x:v>0</x:v>
      </x:c>
    </x:row>
    <x:row r="2517">
      <x:c r="A2517" s="28"/>
      <x:c r="B2517" s="28"/>
      <x:c r="C2517" s="28"/>
      <x:c r="D2517" s="28"/>
      <x:c r="E2517" s="28"/>
      <x:c r="F2517" s="28"/>
      <x:c r="G2517" s="28"/>
      <x:c r="H2517" s="28"/>
      <x:c r="I2517" s="28"/>
      <x:c r="J2517" s="28"/>
      <x:c r="K2517" s="28"/>
      <x:c r="L2517" s="28"/>
      <x:c r="M2517" s="28"/>
      <x:c r="N2517" s="28"/>
      <x:c r="O2517" s="28"/>
      <x:c r="P2517" s="28"/>
      <x:c r="Q2517" s="28"/>
      <x:c r="R2517" s="28"/>
      <x:c r="S2517" s="28"/>
      <x:c r="T2517" s="28"/>
      <x:c r="U2517" s="28"/>
      <x:c r="V2517" s="28"/>
      <x:c r="W2517" s="43" t="n">
        <x:f>--AND(N2517=1,OR(O2517="SUPPORTED",O2517="HALLUCINATION"))</x:f>
        <x:v>0</x:v>
      </x:c>
      <x:c r="X2517" s="43" t="n">
        <x:f>--AND(W2517=1,O2517="HALLUCINATION")</x:f>
        <x:v>0</x:v>
      </x:c>
      <x:c r="Y2517" s="43" t="n">
        <x:f>--AND(Q2517=1,O2517="HALLUCINATION")</x:f>
        <x:v>0</x:v>
      </x:c>
      <x:c r="Z2517" s="43" t="n">
        <x:f>--AND(Y2517=1,R2517=1,S2517=1)</x:f>
        <x:v>0</x:v>
      </x:c>
      <x:c r="AC2517" t="str">
        <x:f>IF(OR(AA2517="",AB2517=""),"",--(AA2517&lt;&gt;AB2517))</x:f>
      </x:c>
      <x:c r="AE2517" t="str">
        <x:f>IF(OR(AA2517="",AB2517=""),"PENDING_HUMAN",IF(AA2517=AB2517,AA2517,IF(AD2517&lt;&gt;"",AD2517,"PENDING_HUMAN")))</x:f>
        <x:v>PENDING_HUMAN</x:v>
      </x:c>
      <x:c r="AF2517" t="n">
        <x:f>--AND(A2517&lt;&gt;"",AA2517&lt;&gt;"",AB2517&lt;&gt;"",OR(AA2517=AB2517,AD2517&lt;&gt;""),IF(AE2517="HALLUCINATION",U2517&lt;&gt;"",TRUE))</x:f>
        <x:v>0</x:v>
      </x:c>
      <x:c r="AG2517" t="n">
        <x:f>--AND(N2517=1,AF2517=1,OR(AE2517="SUPPORTED",AE2517="HALLUCINATION"))</x:f>
        <x:v>0</x:v>
      </x:c>
      <x:c r="AH2517" t="n">
        <x:f>--AND(AG2517=1,AE2517="HALLUCINATION")</x:f>
        <x:v>0</x:v>
      </x:c>
      <x:c r="AI2517" t="n">
        <x:f>--AND(Q2517=1,AF2517=1,AE2517="HALLUCINATION")</x:f>
        <x:v>0</x:v>
      </x:c>
      <x:c r="AJ2517" t="n">
        <x:f>--AND(AI2517=1,R2517=1,S2517=1)</x:f>
        <x:v>0</x:v>
      </x:c>
    </x:row>
    <x:row r="2518">
      <x:c r="A2518" s="28"/>
      <x:c r="B2518" s="28"/>
      <x:c r="C2518" s="28"/>
      <x:c r="D2518" s="28"/>
      <x:c r="E2518" s="28"/>
      <x:c r="F2518" s="28"/>
      <x:c r="G2518" s="28"/>
      <x:c r="H2518" s="28"/>
      <x:c r="I2518" s="28"/>
      <x:c r="J2518" s="28"/>
      <x:c r="K2518" s="28"/>
      <x:c r="L2518" s="28"/>
      <x:c r="M2518" s="28"/>
      <x:c r="N2518" s="28"/>
      <x:c r="O2518" s="28"/>
      <x:c r="P2518" s="28"/>
      <x:c r="Q2518" s="28"/>
      <x:c r="R2518" s="28"/>
      <x:c r="S2518" s="28"/>
      <x:c r="T2518" s="28"/>
      <x:c r="U2518" s="28"/>
      <x:c r="V2518" s="28"/>
      <x:c r="W2518" s="43" t="n">
        <x:f>--AND(N2518=1,OR(O2518="SUPPORTED",O2518="HALLUCINATION"))</x:f>
        <x:v>0</x:v>
      </x:c>
      <x:c r="X2518" s="43" t="n">
        <x:f>--AND(W2518=1,O2518="HALLUCINATION")</x:f>
        <x:v>0</x:v>
      </x:c>
      <x:c r="Y2518" s="43" t="n">
        <x:f>--AND(Q2518=1,O2518="HALLUCINATION")</x:f>
        <x:v>0</x:v>
      </x:c>
      <x:c r="Z2518" s="43" t="n">
        <x:f>--AND(Y2518=1,R2518=1,S2518=1)</x:f>
        <x:v>0</x:v>
      </x:c>
      <x:c r="AC2518" t="str">
        <x:f>IF(OR(AA2518="",AB2518=""),"",--(AA2518&lt;&gt;AB2518))</x:f>
      </x:c>
      <x:c r="AE2518" t="str">
        <x:f>IF(OR(AA2518="",AB2518=""),"PENDING_HUMAN",IF(AA2518=AB2518,AA2518,IF(AD2518&lt;&gt;"",AD2518,"PENDING_HUMAN")))</x:f>
        <x:v>PENDING_HUMAN</x:v>
      </x:c>
      <x:c r="AF2518" t="n">
        <x:f>--AND(A2518&lt;&gt;"",AA2518&lt;&gt;"",AB2518&lt;&gt;"",OR(AA2518=AB2518,AD2518&lt;&gt;""),IF(AE2518="HALLUCINATION",U2518&lt;&gt;"",TRUE))</x:f>
        <x:v>0</x:v>
      </x:c>
      <x:c r="AG2518" t="n">
        <x:f>--AND(N2518=1,AF2518=1,OR(AE2518="SUPPORTED",AE2518="HALLUCINATION"))</x:f>
        <x:v>0</x:v>
      </x:c>
      <x:c r="AH2518" t="n">
        <x:f>--AND(AG2518=1,AE2518="HALLUCINATION")</x:f>
        <x:v>0</x:v>
      </x:c>
      <x:c r="AI2518" t="n">
        <x:f>--AND(Q2518=1,AF2518=1,AE2518="HALLUCINATION")</x:f>
        <x:v>0</x:v>
      </x:c>
      <x:c r="AJ2518" t="n">
        <x:f>--AND(AI2518=1,R2518=1,S2518=1)</x:f>
        <x:v>0</x:v>
      </x:c>
    </x:row>
    <x:row r="2519">
      <x:c r="A2519" s="28"/>
      <x:c r="B2519" s="28"/>
      <x:c r="C2519" s="28"/>
      <x:c r="D2519" s="28"/>
      <x:c r="E2519" s="28"/>
      <x:c r="F2519" s="28"/>
      <x:c r="G2519" s="28"/>
      <x:c r="H2519" s="28"/>
      <x:c r="I2519" s="28"/>
      <x:c r="J2519" s="28"/>
      <x:c r="K2519" s="28"/>
      <x:c r="L2519" s="28"/>
      <x:c r="M2519" s="28"/>
      <x:c r="N2519" s="28"/>
      <x:c r="O2519" s="28"/>
      <x:c r="P2519" s="28"/>
      <x:c r="Q2519" s="28"/>
      <x:c r="R2519" s="28"/>
      <x:c r="S2519" s="28"/>
      <x:c r="T2519" s="28"/>
      <x:c r="U2519" s="28"/>
      <x:c r="V2519" s="28"/>
      <x:c r="W2519" s="43" t="n">
        <x:f>--AND(N2519=1,OR(O2519="SUPPORTED",O2519="HALLUCINATION"))</x:f>
        <x:v>0</x:v>
      </x:c>
      <x:c r="X2519" s="43" t="n">
        <x:f>--AND(W2519=1,O2519="HALLUCINATION")</x:f>
        <x:v>0</x:v>
      </x:c>
      <x:c r="Y2519" s="43" t="n">
        <x:f>--AND(Q2519=1,O2519="HALLUCINATION")</x:f>
        <x:v>0</x:v>
      </x:c>
      <x:c r="Z2519" s="43" t="n">
        <x:f>--AND(Y2519=1,R2519=1,S2519=1)</x:f>
        <x:v>0</x:v>
      </x:c>
      <x:c r="AC2519" t="str">
        <x:f>IF(OR(AA2519="",AB2519=""),"",--(AA2519&lt;&gt;AB2519))</x:f>
      </x:c>
      <x:c r="AE2519" t="str">
        <x:f>IF(OR(AA2519="",AB2519=""),"PENDING_HUMAN",IF(AA2519=AB2519,AA2519,IF(AD2519&lt;&gt;"",AD2519,"PENDING_HUMAN")))</x:f>
        <x:v>PENDING_HUMAN</x:v>
      </x:c>
      <x:c r="AF2519" t="n">
        <x:f>--AND(A2519&lt;&gt;"",AA2519&lt;&gt;"",AB2519&lt;&gt;"",OR(AA2519=AB2519,AD2519&lt;&gt;""),IF(AE2519="HALLUCINATION",U2519&lt;&gt;"",TRUE))</x:f>
        <x:v>0</x:v>
      </x:c>
      <x:c r="AG2519" t="n">
        <x:f>--AND(N2519=1,AF2519=1,OR(AE2519="SUPPORTED",AE2519="HALLUCINATION"))</x:f>
        <x:v>0</x:v>
      </x:c>
      <x:c r="AH2519" t="n">
        <x:f>--AND(AG2519=1,AE2519="HALLUCINATION")</x:f>
        <x:v>0</x:v>
      </x:c>
      <x:c r="AI2519" t="n">
        <x:f>--AND(Q2519=1,AF2519=1,AE2519="HALLUCINATION")</x:f>
        <x:v>0</x:v>
      </x:c>
      <x:c r="AJ2519" t="n">
        <x:f>--AND(AI2519=1,R2519=1,S2519=1)</x:f>
        <x:v>0</x:v>
      </x:c>
    </x:row>
    <x:row r="2520">
      <x:c r="A2520" s="28"/>
      <x:c r="B2520" s="28"/>
      <x:c r="C2520" s="28"/>
      <x:c r="D2520" s="28"/>
      <x:c r="E2520" s="28"/>
      <x:c r="F2520" s="28"/>
      <x:c r="G2520" s="28"/>
      <x:c r="H2520" s="28"/>
      <x:c r="I2520" s="28"/>
      <x:c r="J2520" s="28"/>
      <x:c r="K2520" s="28"/>
      <x:c r="L2520" s="28"/>
      <x:c r="M2520" s="28"/>
      <x:c r="N2520" s="28"/>
      <x:c r="O2520" s="28"/>
      <x:c r="P2520" s="28"/>
      <x:c r="Q2520" s="28"/>
      <x:c r="R2520" s="28"/>
      <x:c r="S2520" s="28"/>
      <x:c r="T2520" s="28"/>
      <x:c r="U2520" s="28"/>
      <x:c r="V2520" s="28"/>
      <x:c r="W2520" s="43" t="n">
        <x:f>--AND(N2520=1,OR(O2520="SUPPORTED",O2520="HALLUCINATION"))</x:f>
        <x:v>0</x:v>
      </x:c>
      <x:c r="X2520" s="43" t="n">
        <x:f>--AND(W2520=1,O2520="HALLUCINATION")</x:f>
        <x:v>0</x:v>
      </x:c>
      <x:c r="Y2520" s="43" t="n">
        <x:f>--AND(Q2520=1,O2520="HALLUCINATION")</x:f>
        <x:v>0</x:v>
      </x:c>
      <x:c r="Z2520" s="43" t="n">
        <x:f>--AND(Y2520=1,R2520=1,S2520=1)</x:f>
        <x:v>0</x:v>
      </x:c>
      <x:c r="AC2520" t="str">
        <x:f>IF(OR(AA2520="",AB2520=""),"",--(AA2520&lt;&gt;AB2520))</x:f>
      </x:c>
      <x:c r="AE2520" t="str">
        <x:f>IF(OR(AA2520="",AB2520=""),"PENDING_HUMAN",IF(AA2520=AB2520,AA2520,IF(AD2520&lt;&gt;"",AD2520,"PENDING_HUMAN")))</x:f>
        <x:v>PENDING_HUMAN</x:v>
      </x:c>
      <x:c r="AF2520" t="n">
        <x:f>--AND(A2520&lt;&gt;"",AA2520&lt;&gt;"",AB2520&lt;&gt;"",OR(AA2520=AB2520,AD2520&lt;&gt;""),IF(AE2520="HALLUCINATION",U2520&lt;&gt;"",TRUE))</x:f>
        <x:v>0</x:v>
      </x:c>
      <x:c r="AG2520" t="n">
        <x:f>--AND(N2520=1,AF2520=1,OR(AE2520="SUPPORTED",AE2520="HALLUCINATION"))</x:f>
        <x:v>0</x:v>
      </x:c>
      <x:c r="AH2520" t="n">
        <x:f>--AND(AG2520=1,AE2520="HALLUCINATION")</x:f>
        <x:v>0</x:v>
      </x:c>
      <x:c r="AI2520" t="n">
        <x:f>--AND(Q2520=1,AF2520=1,AE2520="HALLUCINATION")</x:f>
        <x:v>0</x:v>
      </x:c>
      <x:c r="AJ2520" t="n">
        <x:f>--AND(AI2520=1,R2520=1,S2520=1)</x:f>
        <x:v>0</x:v>
      </x:c>
    </x:row>
    <x:row r="2521">
      <x:c r="A2521" s="28"/>
      <x:c r="B2521" s="28"/>
      <x:c r="C2521" s="28"/>
      <x:c r="D2521" s="28"/>
      <x:c r="E2521" s="28"/>
      <x:c r="F2521" s="28"/>
      <x:c r="G2521" s="28"/>
      <x:c r="H2521" s="28"/>
      <x:c r="I2521" s="28"/>
      <x:c r="J2521" s="28"/>
      <x:c r="K2521" s="28"/>
      <x:c r="L2521" s="28"/>
      <x:c r="M2521" s="28"/>
      <x:c r="N2521" s="28"/>
      <x:c r="O2521" s="28"/>
      <x:c r="P2521" s="28"/>
      <x:c r="Q2521" s="28"/>
      <x:c r="R2521" s="28"/>
      <x:c r="S2521" s="28"/>
      <x:c r="T2521" s="28"/>
      <x:c r="U2521" s="28"/>
      <x:c r="V2521" s="28"/>
      <x:c r="W2521" s="43" t="n">
        <x:f>--AND(N2521=1,OR(O2521="SUPPORTED",O2521="HALLUCINATION"))</x:f>
        <x:v>0</x:v>
      </x:c>
      <x:c r="X2521" s="43" t="n">
        <x:f>--AND(W2521=1,O2521="HALLUCINATION")</x:f>
        <x:v>0</x:v>
      </x:c>
      <x:c r="Y2521" s="43" t="n">
        <x:f>--AND(Q2521=1,O2521="HALLUCINATION")</x:f>
        <x:v>0</x:v>
      </x:c>
      <x:c r="Z2521" s="43" t="n">
        <x:f>--AND(Y2521=1,R2521=1,S2521=1)</x:f>
        <x:v>0</x:v>
      </x:c>
      <x:c r="AC2521" t="str">
        <x:f>IF(OR(AA2521="",AB2521=""),"",--(AA2521&lt;&gt;AB2521))</x:f>
      </x:c>
      <x:c r="AE2521" t="str">
        <x:f>IF(OR(AA2521="",AB2521=""),"PENDING_HUMAN",IF(AA2521=AB2521,AA2521,IF(AD2521&lt;&gt;"",AD2521,"PENDING_HUMAN")))</x:f>
        <x:v>PENDING_HUMAN</x:v>
      </x:c>
      <x:c r="AF2521" t="n">
        <x:f>--AND(A2521&lt;&gt;"",AA2521&lt;&gt;"",AB2521&lt;&gt;"",OR(AA2521=AB2521,AD2521&lt;&gt;""),IF(AE2521="HALLUCINATION",U2521&lt;&gt;"",TRUE))</x:f>
        <x:v>0</x:v>
      </x:c>
      <x:c r="AG2521" t="n">
        <x:f>--AND(N2521=1,AF2521=1,OR(AE2521="SUPPORTED",AE2521="HALLUCINATION"))</x:f>
        <x:v>0</x:v>
      </x:c>
      <x:c r="AH2521" t="n">
        <x:f>--AND(AG2521=1,AE2521="HALLUCINATION")</x:f>
        <x:v>0</x:v>
      </x:c>
      <x:c r="AI2521" t="n">
        <x:f>--AND(Q2521=1,AF2521=1,AE2521="HALLUCINATION")</x:f>
        <x:v>0</x:v>
      </x:c>
      <x:c r="AJ2521" t="n">
        <x:f>--AND(AI2521=1,R2521=1,S2521=1)</x:f>
        <x:v>0</x:v>
      </x:c>
    </x:row>
    <x:row r="2522">
      <x:c r="A2522" s="28"/>
      <x:c r="B2522" s="28"/>
      <x:c r="C2522" s="28"/>
      <x:c r="D2522" s="28"/>
      <x:c r="E2522" s="28"/>
      <x:c r="F2522" s="28"/>
      <x:c r="G2522" s="28"/>
      <x:c r="H2522" s="28"/>
      <x:c r="I2522" s="28"/>
      <x:c r="J2522" s="28"/>
      <x:c r="K2522" s="28"/>
      <x:c r="L2522" s="28"/>
      <x:c r="M2522" s="28"/>
      <x:c r="N2522" s="28"/>
      <x:c r="O2522" s="28"/>
      <x:c r="P2522" s="28"/>
      <x:c r="Q2522" s="28"/>
      <x:c r="R2522" s="28"/>
      <x:c r="S2522" s="28"/>
      <x:c r="T2522" s="28"/>
      <x:c r="U2522" s="28"/>
      <x:c r="V2522" s="28"/>
      <x:c r="W2522" s="43" t="n">
        <x:f>--AND(N2522=1,OR(O2522="SUPPORTED",O2522="HALLUCINATION"))</x:f>
        <x:v>0</x:v>
      </x:c>
      <x:c r="X2522" s="43" t="n">
        <x:f>--AND(W2522=1,O2522="HALLUCINATION")</x:f>
        <x:v>0</x:v>
      </x:c>
      <x:c r="Y2522" s="43" t="n">
        <x:f>--AND(Q2522=1,O2522="HALLUCINATION")</x:f>
        <x:v>0</x:v>
      </x:c>
      <x:c r="Z2522" s="43" t="n">
        <x:f>--AND(Y2522=1,R2522=1,S2522=1)</x:f>
        <x:v>0</x:v>
      </x:c>
      <x:c r="AC2522" t="str">
        <x:f>IF(OR(AA2522="",AB2522=""),"",--(AA2522&lt;&gt;AB2522))</x:f>
      </x:c>
      <x:c r="AE2522" t="str">
        <x:f>IF(OR(AA2522="",AB2522=""),"PENDING_HUMAN",IF(AA2522=AB2522,AA2522,IF(AD2522&lt;&gt;"",AD2522,"PENDING_HUMAN")))</x:f>
        <x:v>PENDING_HUMAN</x:v>
      </x:c>
      <x:c r="AF2522" t="n">
        <x:f>--AND(A2522&lt;&gt;"",AA2522&lt;&gt;"",AB2522&lt;&gt;"",OR(AA2522=AB2522,AD2522&lt;&gt;""),IF(AE2522="HALLUCINATION",U2522&lt;&gt;"",TRUE))</x:f>
        <x:v>0</x:v>
      </x:c>
      <x:c r="AG2522" t="n">
        <x:f>--AND(N2522=1,AF2522=1,OR(AE2522="SUPPORTED",AE2522="HALLUCINATION"))</x:f>
        <x:v>0</x:v>
      </x:c>
      <x:c r="AH2522" t="n">
        <x:f>--AND(AG2522=1,AE2522="HALLUCINATION")</x:f>
        <x:v>0</x:v>
      </x:c>
      <x:c r="AI2522" t="n">
        <x:f>--AND(Q2522=1,AF2522=1,AE2522="HALLUCINATION")</x:f>
        <x:v>0</x:v>
      </x:c>
      <x:c r="AJ2522" t="n">
        <x:f>--AND(AI2522=1,R2522=1,S2522=1)</x:f>
        <x:v>0</x:v>
      </x:c>
    </x:row>
    <x:row r="2523">
      <x:c r="A2523" s="28"/>
      <x:c r="B2523" s="28"/>
      <x:c r="C2523" s="28"/>
      <x:c r="D2523" s="28"/>
      <x:c r="E2523" s="28"/>
      <x:c r="F2523" s="28"/>
      <x:c r="G2523" s="28"/>
      <x:c r="H2523" s="28"/>
      <x:c r="I2523" s="28"/>
      <x:c r="J2523" s="28"/>
      <x:c r="K2523" s="28"/>
      <x:c r="L2523" s="28"/>
      <x:c r="M2523" s="28"/>
      <x:c r="N2523" s="28"/>
      <x:c r="O2523" s="28"/>
      <x:c r="P2523" s="28"/>
      <x:c r="Q2523" s="28"/>
      <x:c r="R2523" s="28"/>
      <x:c r="S2523" s="28"/>
      <x:c r="T2523" s="28"/>
      <x:c r="U2523" s="28"/>
      <x:c r="V2523" s="28"/>
      <x:c r="W2523" s="43" t="n">
        <x:f>--AND(N2523=1,OR(O2523="SUPPORTED",O2523="HALLUCINATION"))</x:f>
        <x:v>0</x:v>
      </x:c>
      <x:c r="X2523" s="43" t="n">
        <x:f>--AND(W2523=1,O2523="HALLUCINATION")</x:f>
        <x:v>0</x:v>
      </x:c>
      <x:c r="Y2523" s="43" t="n">
        <x:f>--AND(Q2523=1,O2523="HALLUCINATION")</x:f>
        <x:v>0</x:v>
      </x:c>
      <x:c r="Z2523" s="43" t="n">
        <x:f>--AND(Y2523=1,R2523=1,S2523=1)</x:f>
        <x:v>0</x:v>
      </x:c>
      <x:c r="AC2523" t="str">
        <x:f>IF(OR(AA2523="",AB2523=""),"",--(AA2523&lt;&gt;AB2523))</x:f>
      </x:c>
      <x:c r="AE2523" t="str">
        <x:f>IF(OR(AA2523="",AB2523=""),"PENDING_HUMAN",IF(AA2523=AB2523,AA2523,IF(AD2523&lt;&gt;"",AD2523,"PENDING_HUMAN")))</x:f>
        <x:v>PENDING_HUMAN</x:v>
      </x:c>
      <x:c r="AF2523" t="n">
        <x:f>--AND(A2523&lt;&gt;"",AA2523&lt;&gt;"",AB2523&lt;&gt;"",OR(AA2523=AB2523,AD2523&lt;&gt;""),IF(AE2523="HALLUCINATION",U2523&lt;&gt;"",TRUE))</x:f>
        <x:v>0</x:v>
      </x:c>
      <x:c r="AG2523" t="n">
        <x:f>--AND(N2523=1,AF2523=1,OR(AE2523="SUPPORTED",AE2523="HALLUCINATION"))</x:f>
        <x:v>0</x:v>
      </x:c>
      <x:c r="AH2523" t="n">
        <x:f>--AND(AG2523=1,AE2523="HALLUCINATION")</x:f>
        <x:v>0</x:v>
      </x:c>
      <x:c r="AI2523" t="n">
        <x:f>--AND(Q2523=1,AF2523=1,AE2523="HALLUCINATION")</x:f>
        <x:v>0</x:v>
      </x:c>
      <x:c r="AJ2523" t="n">
        <x:f>--AND(AI2523=1,R2523=1,S2523=1)</x:f>
        <x:v>0</x:v>
      </x:c>
    </x:row>
    <x:row r="2524">
      <x:c r="A2524" s="28"/>
      <x:c r="B2524" s="28"/>
      <x:c r="C2524" s="28"/>
      <x:c r="D2524" s="28"/>
      <x:c r="E2524" s="28"/>
      <x:c r="F2524" s="28"/>
      <x:c r="G2524" s="28"/>
      <x:c r="H2524" s="28"/>
      <x:c r="I2524" s="28"/>
      <x:c r="J2524" s="28"/>
      <x:c r="K2524" s="28"/>
      <x:c r="L2524" s="28"/>
      <x:c r="M2524" s="28"/>
      <x:c r="N2524" s="28"/>
      <x:c r="O2524" s="28"/>
      <x:c r="P2524" s="28"/>
      <x:c r="Q2524" s="28"/>
      <x:c r="R2524" s="28"/>
      <x:c r="S2524" s="28"/>
      <x:c r="T2524" s="28"/>
      <x:c r="U2524" s="28"/>
      <x:c r="V2524" s="28"/>
      <x:c r="W2524" s="43" t="n">
        <x:f>--AND(N2524=1,OR(O2524="SUPPORTED",O2524="HALLUCINATION"))</x:f>
        <x:v>0</x:v>
      </x:c>
      <x:c r="X2524" s="43" t="n">
        <x:f>--AND(W2524=1,O2524="HALLUCINATION")</x:f>
        <x:v>0</x:v>
      </x:c>
      <x:c r="Y2524" s="43" t="n">
        <x:f>--AND(Q2524=1,O2524="HALLUCINATION")</x:f>
        <x:v>0</x:v>
      </x:c>
      <x:c r="Z2524" s="43" t="n">
        <x:f>--AND(Y2524=1,R2524=1,S2524=1)</x:f>
        <x:v>0</x:v>
      </x:c>
      <x:c r="AC2524" t="str">
        <x:f>IF(OR(AA2524="",AB2524=""),"",--(AA2524&lt;&gt;AB2524))</x:f>
      </x:c>
      <x:c r="AE2524" t="str">
        <x:f>IF(OR(AA2524="",AB2524=""),"PENDING_HUMAN",IF(AA2524=AB2524,AA2524,IF(AD2524&lt;&gt;"",AD2524,"PENDING_HUMAN")))</x:f>
        <x:v>PENDING_HUMAN</x:v>
      </x:c>
      <x:c r="AF2524" t="n">
        <x:f>--AND(A2524&lt;&gt;"",AA2524&lt;&gt;"",AB2524&lt;&gt;"",OR(AA2524=AB2524,AD2524&lt;&gt;""),IF(AE2524="HALLUCINATION",U2524&lt;&gt;"",TRUE))</x:f>
        <x:v>0</x:v>
      </x:c>
      <x:c r="AG2524" t="n">
        <x:f>--AND(N2524=1,AF2524=1,OR(AE2524="SUPPORTED",AE2524="HALLUCINATION"))</x:f>
        <x:v>0</x:v>
      </x:c>
      <x:c r="AH2524" t="n">
        <x:f>--AND(AG2524=1,AE2524="HALLUCINATION")</x:f>
        <x:v>0</x:v>
      </x:c>
      <x:c r="AI2524" t="n">
        <x:f>--AND(Q2524=1,AF2524=1,AE2524="HALLUCINATION")</x:f>
        <x:v>0</x:v>
      </x:c>
      <x:c r="AJ2524" t="n">
        <x:f>--AND(AI2524=1,R2524=1,S2524=1)</x:f>
        <x:v>0</x:v>
      </x:c>
    </x:row>
    <x:row r="2525">
      <x:c r="A2525" s="28"/>
      <x:c r="B2525" s="28"/>
      <x:c r="C2525" s="28"/>
      <x:c r="D2525" s="28"/>
      <x:c r="E2525" s="28"/>
      <x:c r="F2525" s="28"/>
      <x:c r="G2525" s="28"/>
      <x:c r="H2525" s="28"/>
      <x:c r="I2525" s="28"/>
      <x:c r="J2525" s="28"/>
      <x:c r="K2525" s="28"/>
      <x:c r="L2525" s="28"/>
      <x:c r="M2525" s="28"/>
      <x:c r="N2525" s="28"/>
      <x:c r="O2525" s="28"/>
      <x:c r="P2525" s="28"/>
      <x:c r="Q2525" s="28"/>
      <x:c r="R2525" s="28"/>
      <x:c r="S2525" s="28"/>
      <x:c r="T2525" s="28"/>
      <x:c r="U2525" s="28"/>
      <x:c r="V2525" s="28"/>
      <x:c r="W2525" s="43" t="n">
        <x:f>--AND(N2525=1,OR(O2525="SUPPORTED",O2525="HALLUCINATION"))</x:f>
        <x:v>0</x:v>
      </x:c>
      <x:c r="X2525" s="43" t="n">
        <x:f>--AND(W2525=1,O2525="HALLUCINATION")</x:f>
        <x:v>0</x:v>
      </x:c>
      <x:c r="Y2525" s="43" t="n">
        <x:f>--AND(Q2525=1,O2525="HALLUCINATION")</x:f>
        <x:v>0</x:v>
      </x:c>
      <x:c r="Z2525" s="43" t="n">
        <x:f>--AND(Y2525=1,R2525=1,S2525=1)</x:f>
        <x:v>0</x:v>
      </x:c>
      <x:c r="AC2525" t="str">
        <x:f>IF(OR(AA2525="",AB2525=""),"",--(AA2525&lt;&gt;AB2525))</x:f>
      </x:c>
      <x:c r="AE2525" t="str">
        <x:f>IF(OR(AA2525="",AB2525=""),"PENDING_HUMAN",IF(AA2525=AB2525,AA2525,IF(AD2525&lt;&gt;"",AD2525,"PENDING_HUMAN")))</x:f>
        <x:v>PENDING_HUMAN</x:v>
      </x:c>
      <x:c r="AF2525" t="n">
        <x:f>--AND(A2525&lt;&gt;"",AA2525&lt;&gt;"",AB2525&lt;&gt;"",OR(AA2525=AB2525,AD2525&lt;&gt;""),IF(AE2525="HALLUCINATION",U2525&lt;&gt;"",TRUE))</x:f>
        <x:v>0</x:v>
      </x:c>
      <x:c r="AG2525" t="n">
        <x:f>--AND(N2525=1,AF2525=1,OR(AE2525="SUPPORTED",AE2525="HALLUCINATION"))</x:f>
        <x:v>0</x:v>
      </x:c>
      <x:c r="AH2525" t="n">
        <x:f>--AND(AG2525=1,AE2525="HALLUCINATION")</x:f>
        <x:v>0</x:v>
      </x:c>
      <x:c r="AI2525" t="n">
        <x:f>--AND(Q2525=1,AF2525=1,AE2525="HALLUCINATION")</x:f>
        <x:v>0</x:v>
      </x:c>
      <x:c r="AJ2525" t="n">
        <x:f>--AND(AI2525=1,R2525=1,S2525=1)</x:f>
        <x:v>0</x:v>
      </x:c>
    </x:row>
    <x:row r="2526">
      <x:c r="A2526" s="28"/>
      <x:c r="B2526" s="28"/>
      <x:c r="C2526" s="28"/>
      <x:c r="D2526" s="28"/>
      <x:c r="E2526" s="28"/>
      <x:c r="F2526" s="28"/>
      <x:c r="G2526" s="28"/>
      <x:c r="H2526" s="28"/>
      <x:c r="I2526" s="28"/>
      <x:c r="J2526" s="28"/>
      <x:c r="K2526" s="28"/>
      <x:c r="L2526" s="28"/>
      <x:c r="M2526" s="28"/>
      <x:c r="N2526" s="28"/>
      <x:c r="O2526" s="28"/>
      <x:c r="P2526" s="28"/>
      <x:c r="Q2526" s="28"/>
      <x:c r="R2526" s="28"/>
      <x:c r="S2526" s="28"/>
      <x:c r="T2526" s="28"/>
      <x:c r="U2526" s="28"/>
      <x:c r="V2526" s="28"/>
      <x:c r="W2526" s="43" t="n">
        <x:f>--AND(N2526=1,OR(O2526="SUPPORTED",O2526="HALLUCINATION"))</x:f>
        <x:v>0</x:v>
      </x:c>
      <x:c r="X2526" s="43" t="n">
        <x:f>--AND(W2526=1,O2526="HALLUCINATION")</x:f>
        <x:v>0</x:v>
      </x:c>
      <x:c r="Y2526" s="43" t="n">
        <x:f>--AND(Q2526=1,O2526="HALLUCINATION")</x:f>
        <x:v>0</x:v>
      </x:c>
      <x:c r="Z2526" s="43" t="n">
        <x:f>--AND(Y2526=1,R2526=1,S2526=1)</x:f>
        <x:v>0</x:v>
      </x:c>
      <x:c r="AC2526" t="str">
        <x:f>IF(OR(AA2526="",AB2526=""),"",--(AA2526&lt;&gt;AB2526))</x:f>
      </x:c>
      <x:c r="AE2526" t="str">
        <x:f>IF(OR(AA2526="",AB2526=""),"PENDING_HUMAN",IF(AA2526=AB2526,AA2526,IF(AD2526&lt;&gt;"",AD2526,"PENDING_HUMAN")))</x:f>
        <x:v>PENDING_HUMAN</x:v>
      </x:c>
      <x:c r="AF2526" t="n">
        <x:f>--AND(A2526&lt;&gt;"",AA2526&lt;&gt;"",AB2526&lt;&gt;"",OR(AA2526=AB2526,AD2526&lt;&gt;""),IF(AE2526="HALLUCINATION",U2526&lt;&gt;"",TRUE))</x:f>
        <x:v>0</x:v>
      </x:c>
      <x:c r="AG2526" t="n">
        <x:f>--AND(N2526=1,AF2526=1,OR(AE2526="SUPPORTED",AE2526="HALLUCINATION"))</x:f>
        <x:v>0</x:v>
      </x:c>
      <x:c r="AH2526" t="n">
        <x:f>--AND(AG2526=1,AE2526="HALLUCINATION")</x:f>
        <x:v>0</x:v>
      </x:c>
      <x:c r="AI2526" t="n">
        <x:f>--AND(Q2526=1,AF2526=1,AE2526="HALLUCINATION")</x:f>
        <x:v>0</x:v>
      </x:c>
      <x:c r="AJ2526" t="n">
        <x:f>--AND(AI2526=1,R2526=1,S2526=1)</x:f>
        <x:v>0</x:v>
      </x:c>
    </x:row>
    <x:row r="2527">
      <x:c r="A2527" s="28"/>
      <x:c r="B2527" s="28"/>
      <x:c r="C2527" s="28"/>
      <x:c r="D2527" s="28"/>
      <x:c r="E2527" s="28"/>
      <x:c r="F2527" s="28"/>
      <x:c r="G2527" s="28"/>
      <x:c r="H2527" s="28"/>
      <x:c r="I2527" s="28"/>
      <x:c r="J2527" s="28"/>
      <x:c r="K2527" s="28"/>
      <x:c r="L2527" s="28"/>
      <x:c r="M2527" s="28"/>
      <x:c r="N2527" s="28"/>
      <x:c r="O2527" s="28"/>
      <x:c r="P2527" s="28"/>
      <x:c r="Q2527" s="28"/>
      <x:c r="R2527" s="28"/>
      <x:c r="S2527" s="28"/>
      <x:c r="T2527" s="28"/>
      <x:c r="U2527" s="28"/>
      <x:c r="V2527" s="28"/>
      <x:c r="W2527" s="43" t="n">
        <x:f>--AND(N2527=1,OR(O2527="SUPPORTED",O2527="HALLUCINATION"))</x:f>
        <x:v>0</x:v>
      </x:c>
      <x:c r="X2527" s="43" t="n">
        <x:f>--AND(W2527=1,O2527="HALLUCINATION")</x:f>
        <x:v>0</x:v>
      </x:c>
      <x:c r="Y2527" s="43" t="n">
        <x:f>--AND(Q2527=1,O2527="HALLUCINATION")</x:f>
        <x:v>0</x:v>
      </x:c>
      <x:c r="Z2527" s="43" t="n">
        <x:f>--AND(Y2527=1,R2527=1,S2527=1)</x:f>
        <x:v>0</x:v>
      </x:c>
      <x:c r="AC2527" t="str">
        <x:f>IF(OR(AA2527="",AB2527=""),"",--(AA2527&lt;&gt;AB2527))</x:f>
      </x:c>
      <x:c r="AE2527" t="str">
        <x:f>IF(OR(AA2527="",AB2527=""),"PENDING_HUMAN",IF(AA2527=AB2527,AA2527,IF(AD2527&lt;&gt;"",AD2527,"PENDING_HUMAN")))</x:f>
        <x:v>PENDING_HUMAN</x:v>
      </x:c>
      <x:c r="AF2527" t="n">
        <x:f>--AND(A2527&lt;&gt;"",AA2527&lt;&gt;"",AB2527&lt;&gt;"",OR(AA2527=AB2527,AD2527&lt;&gt;""),IF(AE2527="HALLUCINATION",U2527&lt;&gt;"",TRUE))</x:f>
        <x:v>0</x:v>
      </x:c>
      <x:c r="AG2527" t="n">
        <x:f>--AND(N2527=1,AF2527=1,OR(AE2527="SUPPORTED",AE2527="HALLUCINATION"))</x:f>
        <x:v>0</x:v>
      </x:c>
      <x:c r="AH2527" t="n">
        <x:f>--AND(AG2527=1,AE2527="HALLUCINATION")</x:f>
        <x:v>0</x:v>
      </x:c>
      <x:c r="AI2527" t="n">
        <x:f>--AND(Q2527=1,AF2527=1,AE2527="HALLUCINATION")</x:f>
        <x:v>0</x:v>
      </x:c>
      <x:c r="AJ2527" t="n">
        <x:f>--AND(AI2527=1,R2527=1,S2527=1)</x:f>
        <x:v>0</x:v>
      </x:c>
    </x:row>
    <x:row r="2528">
      <x:c r="A2528" s="28"/>
      <x:c r="B2528" s="28"/>
      <x:c r="C2528" s="28"/>
      <x:c r="D2528" s="28"/>
      <x:c r="E2528" s="28"/>
      <x:c r="F2528" s="28"/>
      <x:c r="G2528" s="28"/>
      <x:c r="H2528" s="28"/>
      <x:c r="I2528" s="28"/>
      <x:c r="J2528" s="28"/>
      <x:c r="K2528" s="28"/>
      <x:c r="L2528" s="28"/>
      <x:c r="M2528" s="28"/>
      <x:c r="N2528" s="28"/>
      <x:c r="O2528" s="28"/>
      <x:c r="P2528" s="28"/>
      <x:c r="Q2528" s="28"/>
      <x:c r="R2528" s="28"/>
      <x:c r="S2528" s="28"/>
      <x:c r="T2528" s="28"/>
      <x:c r="U2528" s="28"/>
      <x:c r="V2528" s="28"/>
      <x:c r="W2528" s="43" t="n">
        <x:f>--AND(N2528=1,OR(O2528="SUPPORTED",O2528="HALLUCINATION"))</x:f>
        <x:v>0</x:v>
      </x:c>
      <x:c r="X2528" s="43" t="n">
        <x:f>--AND(W2528=1,O2528="HALLUCINATION")</x:f>
        <x:v>0</x:v>
      </x:c>
      <x:c r="Y2528" s="43" t="n">
        <x:f>--AND(Q2528=1,O2528="HALLUCINATION")</x:f>
        <x:v>0</x:v>
      </x:c>
      <x:c r="Z2528" s="43" t="n">
        <x:f>--AND(Y2528=1,R2528=1,S2528=1)</x:f>
        <x:v>0</x:v>
      </x:c>
      <x:c r="AC2528" t="str">
        <x:f>IF(OR(AA2528="",AB2528=""),"",--(AA2528&lt;&gt;AB2528))</x:f>
      </x:c>
      <x:c r="AE2528" t="str">
        <x:f>IF(OR(AA2528="",AB2528=""),"PENDING_HUMAN",IF(AA2528=AB2528,AA2528,IF(AD2528&lt;&gt;"",AD2528,"PENDING_HUMAN")))</x:f>
        <x:v>PENDING_HUMAN</x:v>
      </x:c>
      <x:c r="AF2528" t="n">
        <x:f>--AND(A2528&lt;&gt;"",AA2528&lt;&gt;"",AB2528&lt;&gt;"",OR(AA2528=AB2528,AD2528&lt;&gt;""),IF(AE2528="HALLUCINATION",U2528&lt;&gt;"",TRUE))</x:f>
        <x:v>0</x:v>
      </x:c>
      <x:c r="AG2528" t="n">
        <x:f>--AND(N2528=1,AF2528=1,OR(AE2528="SUPPORTED",AE2528="HALLUCINATION"))</x:f>
        <x:v>0</x:v>
      </x:c>
      <x:c r="AH2528" t="n">
        <x:f>--AND(AG2528=1,AE2528="HALLUCINATION")</x:f>
        <x:v>0</x:v>
      </x:c>
      <x:c r="AI2528" t="n">
        <x:f>--AND(Q2528=1,AF2528=1,AE2528="HALLUCINATION")</x:f>
        <x:v>0</x:v>
      </x:c>
      <x:c r="AJ2528" t="n">
        <x:f>--AND(AI2528=1,R2528=1,S2528=1)</x:f>
        <x:v>0</x:v>
      </x:c>
    </x:row>
    <x:row r="2529">
      <x:c r="A2529" s="28"/>
      <x:c r="B2529" s="28"/>
      <x:c r="C2529" s="28"/>
      <x:c r="D2529" s="28"/>
      <x:c r="E2529" s="28"/>
      <x:c r="F2529" s="28"/>
      <x:c r="G2529" s="28"/>
      <x:c r="H2529" s="28"/>
      <x:c r="I2529" s="28"/>
      <x:c r="J2529" s="28"/>
      <x:c r="K2529" s="28"/>
      <x:c r="L2529" s="28"/>
      <x:c r="M2529" s="28"/>
      <x:c r="N2529" s="28"/>
      <x:c r="O2529" s="28"/>
      <x:c r="P2529" s="28"/>
      <x:c r="Q2529" s="28"/>
      <x:c r="R2529" s="28"/>
      <x:c r="S2529" s="28"/>
      <x:c r="T2529" s="28"/>
      <x:c r="U2529" s="28"/>
      <x:c r="V2529" s="28"/>
      <x:c r="W2529" s="43" t="n">
        <x:f>--AND(N2529=1,OR(O2529="SUPPORTED",O2529="HALLUCINATION"))</x:f>
        <x:v>0</x:v>
      </x:c>
      <x:c r="X2529" s="43" t="n">
        <x:f>--AND(W2529=1,O2529="HALLUCINATION")</x:f>
        <x:v>0</x:v>
      </x:c>
      <x:c r="Y2529" s="43" t="n">
        <x:f>--AND(Q2529=1,O2529="HALLUCINATION")</x:f>
        <x:v>0</x:v>
      </x:c>
      <x:c r="Z2529" s="43" t="n">
        <x:f>--AND(Y2529=1,R2529=1,S2529=1)</x:f>
        <x:v>0</x:v>
      </x:c>
      <x:c r="AC2529" t="str">
        <x:f>IF(OR(AA2529="",AB2529=""),"",--(AA2529&lt;&gt;AB2529))</x:f>
      </x:c>
      <x:c r="AE2529" t="str">
        <x:f>IF(OR(AA2529="",AB2529=""),"PENDING_HUMAN",IF(AA2529=AB2529,AA2529,IF(AD2529&lt;&gt;"",AD2529,"PENDING_HUMAN")))</x:f>
        <x:v>PENDING_HUMAN</x:v>
      </x:c>
      <x:c r="AF2529" t="n">
        <x:f>--AND(A2529&lt;&gt;"",AA2529&lt;&gt;"",AB2529&lt;&gt;"",OR(AA2529=AB2529,AD2529&lt;&gt;""),IF(AE2529="HALLUCINATION",U2529&lt;&gt;"",TRUE))</x:f>
        <x:v>0</x:v>
      </x:c>
      <x:c r="AG2529" t="n">
        <x:f>--AND(N2529=1,AF2529=1,OR(AE2529="SUPPORTED",AE2529="HALLUCINATION"))</x:f>
        <x:v>0</x:v>
      </x:c>
      <x:c r="AH2529" t="n">
        <x:f>--AND(AG2529=1,AE2529="HALLUCINATION")</x:f>
        <x:v>0</x:v>
      </x:c>
      <x:c r="AI2529" t="n">
        <x:f>--AND(Q2529=1,AF2529=1,AE2529="HALLUCINATION")</x:f>
        <x:v>0</x:v>
      </x:c>
      <x:c r="AJ2529" t="n">
        <x:f>--AND(AI2529=1,R2529=1,S2529=1)</x:f>
        <x:v>0</x:v>
      </x:c>
    </x:row>
    <x:row r="2530">
      <x:c r="A2530" s="28"/>
      <x:c r="B2530" s="28"/>
      <x:c r="C2530" s="28"/>
      <x:c r="D2530" s="28"/>
      <x:c r="E2530" s="28"/>
      <x:c r="F2530" s="28"/>
      <x:c r="G2530" s="28"/>
      <x:c r="H2530" s="28"/>
      <x:c r="I2530" s="28"/>
      <x:c r="J2530" s="28"/>
      <x:c r="K2530" s="28"/>
      <x:c r="L2530" s="28"/>
      <x:c r="M2530" s="28"/>
      <x:c r="N2530" s="28"/>
      <x:c r="O2530" s="28"/>
      <x:c r="P2530" s="28"/>
      <x:c r="Q2530" s="28"/>
      <x:c r="R2530" s="28"/>
      <x:c r="S2530" s="28"/>
      <x:c r="T2530" s="28"/>
      <x:c r="U2530" s="28"/>
      <x:c r="V2530" s="28"/>
      <x:c r="W2530" s="43" t="n">
        <x:f>--AND(N2530=1,OR(O2530="SUPPORTED",O2530="HALLUCINATION"))</x:f>
        <x:v>0</x:v>
      </x:c>
      <x:c r="X2530" s="43" t="n">
        <x:f>--AND(W2530=1,O2530="HALLUCINATION")</x:f>
        <x:v>0</x:v>
      </x:c>
      <x:c r="Y2530" s="43" t="n">
        <x:f>--AND(Q2530=1,O2530="HALLUCINATION")</x:f>
        <x:v>0</x:v>
      </x:c>
      <x:c r="Z2530" s="43" t="n">
        <x:f>--AND(Y2530=1,R2530=1,S2530=1)</x:f>
        <x:v>0</x:v>
      </x:c>
      <x:c r="AC2530" t="str">
        <x:f>IF(OR(AA2530="",AB2530=""),"",--(AA2530&lt;&gt;AB2530))</x:f>
      </x:c>
      <x:c r="AE2530" t="str">
        <x:f>IF(OR(AA2530="",AB2530=""),"PENDING_HUMAN",IF(AA2530=AB2530,AA2530,IF(AD2530&lt;&gt;"",AD2530,"PENDING_HUMAN")))</x:f>
        <x:v>PENDING_HUMAN</x:v>
      </x:c>
      <x:c r="AF2530" t="n">
        <x:f>--AND(A2530&lt;&gt;"",AA2530&lt;&gt;"",AB2530&lt;&gt;"",OR(AA2530=AB2530,AD2530&lt;&gt;""),IF(AE2530="HALLUCINATION",U2530&lt;&gt;"",TRUE))</x:f>
        <x:v>0</x:v>
      </x:c>
      <x:c r="AG2530" t="n">
        <x:f>--AND(N2530=1,AF2530=1,OR(AE2530="SUPPORTED",AE2530="HALLUCINATION"))</x:f>
        <x:v>0</x:v>
      </x:c>
      <x:c r="AH2530" t="n">
        <x:f>--AND(AG2530=1,AE2530="HALLUCINATION")</x:f>
        <x:v>0</x:v>
      </x:c>
      <x:c r="AI2530" t="n">
        <x:f>--AND(Q2530=1,AF2530=1,AE2530="HALLUCINATION")</x:f>
        <x:v>0</x:v>
      </x:c>
      <x:c r="AJ2530" t="n">
        <x:f>--AND(AI2530=1,R2530=1,S2530=1)</x:f>
        <x:v>0</x:v>
      </x:c>
    </x:row>
    <x:row r="2531">
      <x:c r="A2531" s="28"/>
      <x:c r="B2531" s="28"/>
      <x:c r="C2531" s="28"/>
      <x:c r="D2531" s="28"/>
      <x:c r="E2531" s="28"/>
      <x:c r="F2531" s="28"/>
      <x:c r="G2531" s="28"/>
      <x:c r="H2531" s="28"/>
      <x:c r="I2531" s="28"/>
      <x:c r="J2531" s="28"/>
      <x:c r="K2531" s="28"/>
      <x:c r="L2531" s="28"/>
      <x:c r="M2531" s="28"/>
      <x:c r="N2531" s="28"/>
      <x:c r="O2531" s="28"/>
      <x:c r="P2531" s="28"/>
      <x:c r="Q2531" s="28"/>
      <x:c r="R2531" s="28"/>
      <x:c r="S2531" s="28"/>
      <x:c r="T2531" s="28"/>
      <x:c r="U2531" s="28"/>
      <x:c r="V2531" s="28"/>
      <x:c r="W2531" s="43" t="n">
        <x:f>--AND(N2531=1,OR(O2531="SUPPORTED",O2531="HALLUCINATION"))</x:f>
        <x:v>0</x:v>
      </x:c>
      <x:c r="X2531" s="43" t="n">
        <x:f>--AND(W2531=1,O2531="HALLUCINATION")</x:f>
        <x:v>0</x:v>
      </x:c>
      <x:c r="Y2531" s="43" t="n">
        <x:f>--AND(Q2531=1,O2531="HALLUCINATION")</x:f>
        <x:v>0</x:v>
      </x:c>
      <x:c r="Z2531" s="43" t="n">
        <x:f>--AND(Y2531=1,R2531=1,S2531=1)</x:f>
        <x:v>0</x:v>
      </x:c>
      <x:c r="AC2531" t="str">
        <x:f>IF(OR(AA2531="",AB2531=""),"",--(AA2531&lt;&gt;AB2531))</x:f>
      </x:c>
      <x:c r="AE2531" t="str">
        <x:f>IF(OR(AA2531="",AB2531=""),"PENDING_HUMAN",IF(AA2531=AB2531,AA2531,IF(AD2531&lt;&gt;"",AD2531,"PENDING_HUMAN")))</x:f>
        <x:v>PENDING_HUMAN</x:v>
      </x:c>
      <x:c r="AF2531" t="n">
        <x:f>--AND(A2531&lt;&gt;"",AA2531&lt;&gt;"",AB2531&lt;&gt;"",OR(AA2531=AB2531,AD2531&lt;&gt;""),IF(AE2531="HALLUCINATION",U2531&lt;&gt;"",TRUE))</x:f>
        <x:v>0</x:v>
      </x:c>
      <x:c r="AG2531" t="n">
        <x:f>--AND(N2531=1,AF2531=1,OR(AE2531="SUPPORTED",AE2531="HALLUCINATION"))</x:f>
        <x:v>0</x:v>
      </x:c>
      <x:c r="AH2531" t="n">
        <x:f>--AND(AG2531=1,AE2531="HALLUCINATION")</x:f>
        <x:v>0</x:v>
      </x:c>
      <x:c r="AI2531" t="n">
        <x:f>--AND(Q2531=1,AF2531=1,AE2531="HALLUCINATION")</x:f>
        <x:v>0</x:v>
      </x:c>
      <x:c r="AJ2531" t="n">
        <x:f>--AND(AI2531=1,R2531=1,S2531=1)</x:f>
        <x:v>0</x:v>
      </x:c>
    </x:row>
    <x:row r="2532">
      <x:c r="A2532" s="28"/>
      <x:c r="B2532" s="28"/>
      <x:c r="C2532" s="28"/>
      <x:c r="D2532" s="28"/>
      <x:c r="E2532" s="28"/>
      <x:c r="F2532" s="28"/>
      <x:c r="G2532" s="28"/>
      <x:c r="H2532" s="28"/>
      <x:c r="I2532" s="28"/>
      <x:c r="J2532" s="28"/>
      <x:c r="K2532" s="28"/>
      <x:c r="L2532" s="28"/>
      <x:c r="M2532" s="28"/>
      <x:c r="N2532" s="28"/>
      <x:c r="O2532" s="28"/>
      <x:c r="P2532" s="28"/>
      <x:c r="Q2532" s="28"/>
      <x:c r="R2532" s="28"/>
      <x:c r="S2532" s="28"/>
      <x:c r="T2532" s="28"/>
      <x:c r="U2532" s="28"/>
      <x:c r="V2532" s="28"/>
      <x:c r="W2532" s="43" t="n">
        <x:f>--AND(N2532=1,OR(O2532="SUPPORTED",O2532="HALLUCINATION"))</x:f>
        <x:v>0</x:v>
      </x:c>
      <x:c r="X2532" s="43" t="n">
        <x:f>--AND(W2532=1,O2532="HALLUCINATION")</x:f>
        <x:v>0</x:v>
      </x:c>
      <x:c r="Y2532" s="43" t="n">
        <x:f>--AND(Q2532=1,O2532="HALLUCINATION")</x:f>
        <x:v>0</x:v>
      </x:c>
      <x:c r="Z2532" s="43" t="n">
        <x:f>--AND(Y2532=1,R2532=1,S2532=1)</x:f>
        <x:v>0</x:v>
      </x:c>
      <x:c r="AC2532" t="str">
        <x:f>IF(OR(AA2532="",AB2532=""),"",--(AA2532&lt;&gt;AB2532))</x:f>
      </x:c>
      <x:c r="AE2532" t="str">
        <x:f>IF(OR(AA2532="",AB2532=""),"PENDING_HUMAN",IF(AA2532=AB2532,AA2532,IF(AD2532&lt;&gt;"",AD2532,"PENDING_HUMAN")))</x:f>
        <x:v>PENDING_HUMAN</x:v>
      </x:c>
      <x:c r="AF2532" t="n">
        <x:f>--AND(A2532&lt;&gt;"",AA2532&lt;&gt;"",AB2532&lt;&gt;"",OR(AA2532=AB2532,AD2532&lt;&gt;""),IF(AE2532="HALLUCINATION",U2532&lt;&gt;"",TRUE))</x:f>
        <x:v>0</x:v>
      </x:c>
      <x:c r="AG2532" t="n">
        <x:f>--AND(N2532=1,AF2532=1,OR(AE2532="SUPPORTED",AE2532="HALLUCINATION"))</x:f>
        <x:v>0</x:v>
      </x:c>
      <x:c r="AH2532" t="n">
        <x:f>--AND(AG2532=1,AE2532="HALLUCINATION")</x:f>
        <x:v>0</x:v>
      </x:c>
      <x:c r="AI2532" t="n">
        <x:f>--AND(Q2532=1,AF2532=1,AE2532="HALLUCINATION")</x:f>
        <x:v>0</x:v>
      </x:c>
      <x:c r="AJ2532" t="n">
        <x:f>--AND(AI2532=1,R2532=1,S2532=1)</x:f>
        <x:v>0</x:v>
      </x:c>
    </x:row>
    <x:row r="2533">
      <x:c r="A2533" s="28"/>
      <x:c r="B2533" s="28"/>
      <x:c r="C2533" s="28"/>
      <x:c r="D2533" s="28"/>
      <x:c r="E2533" s="28"/>
      <x:c r="F2533" s="28"/>
      <x:c r="G2533" s="28"/>
      <x:c r="H2533" s="28"/>
      <x:c r="I2533" s="28"/>
      <x:c r="J2533" s="28"/>
      <x:c r="K2533" s="28"/>
      <x:c r="L2533" s="28"/>
      <x:c r="M2533" s="28"/>
      <x:c r="N2533" s="28"/>
      <x:c r="O2533" s="28"/>
      <x:c r="P2533" s="28"/>
      <x:c r="Q2533" s="28"/>
      <x:c r="R2533" s="28"/>
      <x:c r="S2533" s="28"/>
      <x:c r="T2533" s="28"/>
      <x:c r="U2533" s="28"/>
      <x:c r="V2533" s="28"/>
      <x:c r="W2533" s="43" t="n">
        <x:f>--AND(N2533=1,OR(O2533="SUPPORTED",O2533="HALLUCINATION"))</x:f>
        <x:v>0</x:v>
      </x:c>
      <x:c r="X2533" s="43" t="n">
        <x:f>--AND(W2533=1,O2533="HALLUCINATION")</x:f>
        <x:v>0</x:v>
      </x:c>
      <x:c r="Y2533" s="43" t="n">
        <x:f>--AND(Q2533=1,O2533="HALLUCINATION")</x:f>
        <x:v>0</x:v>
      </x:c>
      <x:c r="Z2533" s="43" t="n">
        <x:f>--AND(Y2533=1,R2533=1,S2533=1)</x:f>
        <x:v>0</x:v>
      </x:c>
      <x:c r="AC2533" t="str">
        <x:f>IF(OR(AA2533="",AB2533=""),"",--(AA2533&lt;&gt;AB2533))</x:f>
      </x:c>
      <x:c r="AE2533" t="str">
        <x:f>IF(OR(AA2533="",AB2533=""),"PENDING_HUMAN",IF(AA2533=AB2533,AA2533,IF(AD2533&lt;&gt;"",AD2533,"PENDING_HUMAN")))</x:f>
        <x:v>PENDING_HUMAN</x:v>
      </x:c>
      <x:c r="AF2533" t="n">
        <x:f>--AND(A2533&lt;&gt;"",AA2533&lt;&gt;"",AB2533&lt;&gt;"",OR(AA2533=AB2533,AD2533&lt;&gt;""),IF(AE2533="HALLUCINATION",U2533&lt;&gt;"",TRUE))</x:f>
        <x:v>0</x:v>
      </x:c>
      <x:c r="AG2533" t="n">
        <x:f>--AND(N2533=1,AF2533=1,OR(AE2533="SUPPORTED",AE2533="HALLUCINATION"))</x:f>
        <x:v>0</x:v>
      </x:c>
      <x:c r="AH2533" t="n">
        <x:f>--AND(AG2533=1,AE2533="HALLUCINATION")</x:f>
        <x:v>0</x:v>
      </x:c>
      <x:c r="AI2533" t="n">
        <x:f>--AND(Q2533=1,AF2533=1,AE2533="HALLUCINATION")</x:f>
        <x:v>0</x:v>
      </x:c>
      <x:c r="AJ2533" t="n">
        <x:f>--AND(AI2533=1,R2533=1,S2533=1)</x:f>
        <x:v>0</x:v>
      </x:c>
    </x:row>
    <x:row r="2534">
      <x:c r="A2534" s="28"/>
      <x:c r="B2534" s="28"/>
      <x:c r="C2534" s="28"/>
      <x:c r="D2534" s="28"/>
      <x:c r="E2534" s="28"/>
      <x:c r="F2534" s="28"/>
      <x:c r="G2534" s="28"/>
      <x:c r="H2534" s="28"/>
      <x:c r="I2534" s="28"/>
      <x:c r="J2534" s="28"/>
      <x:c r="K2534" s="28"/>
      <x:c r="L2534" s="28"/>
      <x:c r="M2534" s="28"/>
      <x:c r="N2534" s="28"/>
      <x:c r="O2534" s="28"/>
      <x:c r="P2534" s="28"/>
      <x:c r="Q2534" s="28"/>
      <x:c r="R2534" s="28"/>
      <x:c r="S2534" s="28"/>
      <x:c r="T2534" s="28"/>
      <x:c r="U2534" s="28"/>
      <x:c r="V2534" s="28"/>
      <x:c r="W2534" s="43" t="n">
        <x:f>--AND(N2534=1,OR(O2534="SUPPORTED",O2534="HALLUCINATION"))</x:f>
        <x:v>0</x:v>
      </x:c>
      <x:c r="X2534" s="43" t="n">
        <x:f>--AND(W2534=1,O2534="HALLUCINATION")</x:f>
        <x:v>0</x:v>
      </x:c>
      <x:c r="Y2534" s="43" t="n">
        <x:f>--AND(Q2534=1,O2534="HALLUCINATION")</x:f>
        <x:v>0</x:v>
      </x:c>
      <x:c r="Z2534" s="43" t="n">
        <x:f>--AND(Y2534=1,R2534=1,S2534=1)</x:f>
        <x:v>0</x:v>
      </x:c>
      <x:c r="AC2534" t="str">
        <x:f>IF(OR(AA2534="",AB2534=""),"",--(AA2534&lt;&gt;AB2534))</x:f>
      </x:c>
      <x:c r="AE2534" t="str">
        <x:f>IF(OR(AA2534="",AB2534=""),"PENDING_HUMAN",IF(AA2534=AB2534,AA2534,IF(AD2534&lt;&gt;"",AD2534,"PENDING_HUMAN")))</x:f>
        <x:v>PENDING_HUMAN</x:v>
      </x:c>
      <x:c r="AF2534" t="n">
        <x:f>--AND(A2534&lt;&gt;"",AA2534&lt;&gt;"",AB2534&lt;&gt;"",OR(AA2534=AB2534,AD2534&lt;&gt;""),IF(AE2534="HALLUCINATION",U2534&lt;&gt;"",TRUE))</x:f>
        <x:v>0</x:v>
      </x:c>
      <x:c r="AG2534" t="n">
        <x:f>--AND(N2534=1,AF2534=1,OR(AE2534="SUPPORTED",AE2534="HALLUCINATION"))</x:f>
        <x:v>0</x:v>
      </x:c>
      <x:c r="AH2534" t="n">
        <x:f>--AND(AG2534=1,AE2534="HALLUCINATION")</x:f>
        <x:v>0</x:v>
      </x:c>
      <x:c r="AI2534" t="n">
        <x:f>--AND(Q2534=1,AF2534=1,AE2534="HALLUCINATION")</x:f>
        <x:v>0</x:v>
      </x:c>
      <x:c r="AJ2534" t="n">
        <x:f>--AND(AI2534=1,R2534=1,S2534=1)</x:f>
        <x:v>0</x:v>
      </x:c>
    </x:row>
    <x:row r="2535">
      <x:c r="A2535" s="28"/>
      <x:c r="B2535" s="28"/>
      <x:c r="C2535" s="28"/>
      <x:c r="D2535" s="28"/>
      <x:c r="E2535" s="28"/>
      <x:c r="F2535" s="28"/>
      <x:c r="G2535" s="28"/>
      <x:c r="H2535" s="28"/>
      <x:c r="I2535" s="28"/>
      <x:c r="J2535" s="28"/>
      <x:c r="K2535" s="28"/>
      <x:c r="L2535" s="28"/>
      <x:c r="M2535" s="28"/>
      <x:c r="N2535" s="28"/>
      <x:c r="O2535" s="28"/>
      <x:c r="P2535" s="28"/>
      <x:c r="Q2535" s="28"/>
      <x:c r="R2535" s="28"/>
      <x:c r="S2535" s="28"/>
      <x:c r="T2535" s="28"/>
      <x:c r="U2535" s="28"/>
      <x:c r="V2535" s="28"/>
      <x:c r="W2535" s="43" t="n">
        <x:f>--AND(N2535=1,OR(O2535="SUPPORTED",O2535="HALLUCINATION"))</x:f>
        <x:v>0</x:v>
      </x:c>
      <x:c r="X2535" s="43" t="n">
        <x:f>--AND(W2535=1,O2535="HALLUCINATION")</x:f>
        <x:v>0</x:v>
      </x:c>
      <x:c r="Y2535" s="43" t="n">
        <x:f>--AND(Q2535=1,O2535="HALLUCINATION")</x:f>
        <x:v>0</x:v>
      </x:c>
      <x:c r="Z2535" s="43" t="n">
        <x:f>--AND(Y2535=1,R2535=1,S2535=1)</x:f>
        <x:v>0</x:v>
      </x:c>
      <x:c r="AC2535" t="str">
        <x:f>IF(OR(AA2535="",AB2535=""),"",--(AA2535&lt;&gt;AB2535))</x:f>
      </x:c>
      <x:c r="AE2535" t="str">
        <x:f>IF(OR(AA2535="",AB2535=""),"PENDING_HUMAN",IF(AA2535=AB2535,AA2535,IF(AD2535&lt;&gt;"",AD2535,"PENDING_HUMAN")))</x:f>
        <x:v>PENDING_HUMAN</x:v>
      </x:c>
      <x:c r="AF2535" t="n">
        <x:f>--AND(A2535&lt;&gt;"",AA2535&lt;&gt;"",AB2535&lt;&gt;"",OR(AA2535=AB2535,AD2535&lt;&gt;""),IF(AE2535="HALLUCINATION",U2535&lt;&gt;"",TRUE))</x:f>
        <x:v>0</x:v>
      </x:c>
      <x:c r="AG2535" t="n">
        <x:f>--AND(N2535=1,AF2535=1,OR(AE2535="SUPPORTED",AE2535="HALLUCINATION"))</x:f>
        <x:v>0</x:v>
      </x:c>
      <x:c r="AH2535" t="n">
        <x:f>--AND(AG2535=1,AE2535="HALLUCINATION")</x:f>
        <x:v>0</x:v>
      </x:c>
      <x:c r="AI2535" t="n">
        <x:f>--AND(Q2535=1,AF2535=1,AE2535="HALLUCINATION")</x:f>
        <x:v>0</x:v>
      </x:c>
      <x:c r="AJ2535" t="n">
        <x:f>--AND(AI2535=1,R2535=1,S2535=1)</x:f>
        <x:v>0</x:v>
      </x:c>
    </x:row>
    <x:row r="2536">
      <x:c r="A2536" s="28"/>
      <x:c r="B2536" s="28"/>
      <x:c r="C2536" s="28"/>
      <x:c r="D2536" s="28"/>
      <x:c r="E2536" s="28"/>
      <x:c r="F2536" s="28"/>
      <x:c r="G2536" s="28"/>
      <x:c r="H2536" s="28"/>
      <x:c r="I2536" s="28"/>
      <x:c r="J2536" s="28"/>
      <x:c r="K2536" s="28"/>
      <x:c r="L2536" s="28"/>
      <x:c r="M2536" s="28"/>
      <x:c r="N2536" s="28"/>
      <x:c r="O2536" s="28"/>
      <x:c r="P2536" s="28"/>
      <x:c r="Q2536" s="28"/>
      <x:c r="R2536" s="28"/>
      <x:c r="S2536" s="28"/>
      <x:c r="T2536" s="28"/>
      <x:c r="U2536" s="28"/>
      <x:c r="V2536" s="28"/>
      <x:c r="W2536" s="43" t="n">
        <x:f>--AND(N2536=1,OR(O2536="SUPPORTED",O2536="HALLUCINATION"))</x:f>
        <x:v>0</x:v>
      </x:c>
      <x:c r="X2536" s="43" t="n">
        <x:f>--AND(W2536=1,O2536="HALLUCINATION")</x:f>
        <x:v>0</x:v>
      </x:c>
      <x:c r="Y2536" s="43" t="n">
        <x:f>--AND(Q2536=1,O2536="HALLUCINATION")</x:f>
        <x:v>0</x:v>
      </x:c>
      <x:c r="Z2536" s="43" t="n">
        <x:f>--AND(Y2536=1,R2536=1,S2536=1)</x:f>
        <x:v>0</x:v>
      </x:c>
      <x:c r="AC2536" t="str">
        <x:f>IF(OR(AA2536="",AB2536=""),"",--(AA2536&lt;&gt;AB2536))</x:f>
      </x:c>
      <x:c r="AE2536" t="str">
        <x:f>IF(OR(AA2536="",AB2536=""),"PENDING_HUMAN",IF(AA2536=AB2536,AA2536,IF(AD2536&lt;&gt;"",AD2536,"PENDING_HUMAN")))</x:f>
        <x:v>PENDING_HUMAN</x:v>
      </x:c>
      <x:c r="AF2536" t="n">
        <x:f>--AND(A2536&lt;&gt;"",AA2536&lt;&gt;"",AB2536&lt;&gt;"",OR(AA2536=AB2536,AD2536&lt;&gt;""),IF(AE2536="HALLUCINATION",U2536&lt;&gt;"",TRUE))</x:f>
        <x:v>0</x:v>
      </x:c>
      <x:c r="AG2536" t="n">
        <x:f>--AND(N2536=1,AF2536=1,OR(AE2536="SUPPORTED",AE2536="HALLUCINATION"))</x:f>
        <x:v>0</x:v>
      </x:c>
      <x:c r="AH2536" t="n">
        <x:f>--AND(AG2536=1,AE2536="HALLUCINATION")</x:f>
        <x:v>0</x:v>
      </x:c>
      <x:c r="AI2536" t="n">
        <x:f>--AND(Q2536=1,AF2536=1,AE2536="HALLUCINATION")</x:f>
        <x:v>0</x:v>
      </x:c>
      <x:c r="AJ2536" t="n">
        <x:f>--AND(AI2536=1,R2536=1,S2536=1)</x:f>
        <x:v>0</x:v>
      </x:c>
    </x:row>
    <x:row r="2537">
      <x:c r="A2537" s="28"/>
      <x:c r="B2537" s="28"/>
      <x:c r="C2537" s="28"/>
      <x:c r="D2537" s="28"/>
      <x:c r="E2537" s="28"/>
      <x:c r="F2537" s="28"/>
      <x:c r="G2537" s="28"/>
      <x:c r="H2537" s="28"/>
      <x:c r="I2537" s="28"/>
      <x:c r="J2537" s="28"/>
      <x:c r="K2537" s="28"/>
      <x:c r="L2537" s="28"/>
      <x:c r="M2537" s="28"/>
      <x:c r="N2537" s="28"/>
      <x:c r="O2537" s="28"/>
      <x:c r="P2537" s="28"/>
      <x:c r="Q2537" s="28"/>
      <x:c r="R2537" s="28"/>
      <x:c r="S2537" s="28"/>
      <x:c r="T2537" s="28"/>
      <x:c r="U2537" s="28"/>
      <x:c r="V2537" s="28"/>
      <x:c r="W2537" s="43" t="n">
        <x:f>--AND(N2537=1,OR(O2537="SUPPORTED",O2537="HALLUCINATION"))</x:f>
        <x:v>0</x:v>
      </x:c>
      <x:c r="X2537" s="43" t="n">
        <x:f>--AND(W2537=1,O2537="HALLUCINATION")</x:f>
        <x:v>0</x:v>
      </x:c>
      <x:c r="Y2537" s="43" t="n">
        <x:f>--AND(Q2537=1,O2537="HALLUCINATION")</x:f>
        <x:v>0</x:v>
      </x:c>
      <x:c r="Z2537" s="43" t="n">
        <x:f>--AND(Y2537=1,R2537=1,S2537=1)</x:f>
        <x:v>0</x:v>
      </x:c>
      <x:c r="AC2537" t="str">
        <x:f>IF(OR(AA2537="",AB2537=""),"",--(AA2537&lt;&gt;AB2537))</x:f>
      </x:c>
      <x:c r="AE2537" t="str">
        <x:f>IF(OR(AA2537="",AB2537=""),"PENDING_HUMAN",IF(AA2537=AB2537,AA2537,IF(AD2537&lt;&gt;"",AD2537,"PENDING_HUMAN")))</x:f>
        <x:v>PENDING_HUMAN</x:v>
      </x:c>
      <x:c r="AF2537" t="n">
        <x:f>--AND(A2537&lt;&gt;"",AA2537&lt;&gt;"",AB2537&lt;&gt;"",OR(AA2537=AB2537,AD2537&lt;&gt;""),IF(AE2537="HALLUCINATION",U2537&lt;&gt;"",TRUE))</x:f>
        <x:v>0</x:v>
      </x:c>
      <x:c r="AG2537" t="n">
        <x:f>--AND(N2537=1,AF2537=1,OR(AE2537="SUPPORTED",AE2537="HALLUCINATION"))</x:f>
        <x:v>0</x:v>
      </x:c>
      <x:c r="AH2537" t="n">
        <x:f>--AND(AG2537=1,AE2537="HALLUCINATION")</x:f>
        <x:v>0</x:v>
      </x:c>
      <x:c r="AI2537" t="n">
        <x:f>--AND(Q2537=1,AF2537=1,AE2537="HALLUCINATION")</x:f>
        <x:v>0</x:v>
      </x:c>
      <x:c r="AJ2537" t="n">
        <x:f>--AND(AI2537=1,R2537=1,S2537=1)</x:f>
        <x:v>0</x:v>
      </x:c>
    </x:row>
    <x:row r="2538">
      <x:c r="A2538" s="28"/>
      <x:c r="B2538" s="28"/>
      <x:c r="C2538" s="28"/>
      <x:c r="D2538" s="28"/>
      <x:c r="E2538" s="28"/>
      <x:c r="F2538" s="28"/>
      <x:c r="G2538" s="28"/>
      <x:c r="H2538" s="28"/>
      <x:c r="I2538" s="28"/>
      <x:c r="J2538" s="28"/>
      <x:c r="K2538" s="28"/>
      <x:c r="L2538" s="28"/>
      <x:c r="M2538" s="28"/>
      <x:c r="N2538" s="28"/>
      <x:c r="O2538" s="28"/>
      <x:c r="P2538" s="28"/>
      <x:c r="Q2538" s="28"/>
      <x:c r="R2538" s="28"/>
      <x:c r="S2538" s="28"/>
      <x:c r="T2538" s="28"/>
      <x:c r="U2538" s="28"/>
      <x:c r="V2538" s="28"/>
      <x:c r="W2538" s="43" t="n">
        <x:f>--AND(N2538=1,OR(O2538="SUPPORTED",O2538="HALLUCINATION"))</x:f>
        <x:v>0</x:v>
      </x:c>
      <x:c r="X2538" s="43" t="n">
        <x:f>--AND(W2538=1,O2538="HALLUCINATION")</x:f>
        <x:v>0</x:v>
      </x:c>
      <x:c r="Y2538" s="43" t="n">
        <x:f>--AND(Q2538=1,O2538="HALLUCINATION")</x:f>
        <x:v>0</x:v>
      </x:c>
      <x:c r="Z2538" s="43" t="n">
        <x:f>--AND(Y2538=1,R2538=1,S2538=1)</x:f>
        <x:v>0</x:v>
      </x:c>
      <x:c r="AC2538" t="str">
        <x:f>IF(OR(AA2538="",AB2538=""),"",--(AA2538&lt;&gt;AB2538))</x:f>
      </x:c>
      <x:c r="AE2538" t="str">
        <x:f>IF(OR(AA2538="",AB2538=""),"PENDING_HUMAN",IF(AA2538=AB2538,AA2538,IF(AD2538&lt;&gt;"",AD2538,"PENDING_HUMAN")))</x:f>
        <x:v>PENDING_HUMAN</x:v>
      </x:c>
      <x:c r="AF2538" t="n">
        <x:f>--AND(A2538&lt;&gt;"",AA2538&lt;&gt;"",AB2538&lt;&gt;"",OR(AA2538=AB2538,AD2538&lt;&gt;""),IF(AE2538="HALLUCINATION",U2538&lt;&gt;"",TRUE))</x:f>
        <x:v>0</x:v>
      </x:c>
      <x:c r="AG2538" t="n">
        <x:f>--AND(N2538=1,AF2538=1,OR(AE2538="SUPPORTED",AE2538="HALLUCINATION"))</x:f>
        <x:v>0</x:v>
      </x:c>
      <x:c r="AH2538" t="n">
        <x:f>--AND(AG2538=1,AE2538="HALLUCINATION")</x:f>
        <x:v>0</x:v>
      </x:c>
      <x:c r="AI2538" t="n">
        <x:f>--AND(Q2538=1,AF2538=1,AE2538="HALLUCINATION")</x:f>
        <x:v>0</x:v>
      </x:c>
      <x:c r="AJ2538" t="n">
        <x:f>--AND(AI2538=1,R2538=1,S2538=1)</x:f>
        <x:v>0</x:v>
      </x:c>
    </x:row>
    <x:row r="2539">
      <x:c r="A2539" s="28"/>
      <x:c r="B2539" s="28"/>
      <x:c r="C2539" s="28"/>
      <x:c r="D2539" s="28"/>
      <x:c r="E2539" s="28"/>
      <x:c r="F2539" s="28"/>
      <x:c r="G2539" s="28"/>
      <x:c r="H2539" s="28"/>
      <x:c r="I2539" s="28"/>
      <x:c r="J2539" s="28"/>
      <x:c r="K2539" s="28"/>
      <x:c r="L2539" s="28"/>
      <x:c r="M2539" s="28"/>
      <x:c r="N2539" s="28"/>
      <x:c r="O2539" s="28"/>
      <x:c r="P2539" s="28"/>
      <x:c r="Q2539" s="28"/>
      <x:c r="R2539" s="28"/>
      <x:c r="S2539" s="28"/>
      <x:c r="T2539" s="28"/>
      <x:c r="U2539" s="28"/>
      <x:c r="V2539" s="28"/>
      <x:c r="W2539" s="43" t="n">
        <x:f>--AND(N2539=1,OR(O2539="SUPPORTED",O2539="HALLUCINATION"))</x:f>
        <x:v>0</x:v>
      </x:c>
      <x:c r="X2539" s="43" t="n">
        <x:f>--AND(W2539=1,O2539="HALLUCINATION")</x:f>
        <x:v>0</x:v>
      </x:c>
      <x:c r="Y2539" s="43" t="n">
        <x:f>--AND(Q2539=1,O2539="HALLUCINATION")</x:f>
        <x:v>0</x:v>
      </x:c>
      <x:c r="Z2539" s="43" t="n">
        <x:f>--AND(Y2539=1,R2539=1,S2539=1)</x:f>
        <x:v>0</x:v>
      </x:c>
      <x:c r="AC2539" t="str">
        <x:f>IF(OR(AA2539="",AB2539=""),"",--(AA2539&lt;&gt;AB2539))</x:f>
      </x:c>
      <x:c r="AE2539" t="str">
        <x:f>IF(OR(AA2539="",AB2539=""),"PENDING_HUMAN",IF(AA2539=AB2539,AA2539,IF(AD2539&lt;&gt;"",AD2539,"PENDING_HUMAN")))</x:f>
        <x:v>PENDING_HUMAN</x:v>
      </x:c>
      <x:c r="AF2539" t="n">
        <x:f>--AND(A2539&lt;&gt;"",AA2539&lt;&gt;"",AB2539&lt;&gt;"",OR(AA2539=AB2539,AD2539&lt;&gt;""),IF(AE2539="HALLUCINATION",U2539&lt;&gt;"",TRUE))</x:f>
        <x:v>0</x:v>
      </x:c>
      <x:c r="AG2539" t="n">
        <x:f>--AND(N2539=1,AF2539=1,OR(AE2539="SUPPORTED",AE2539="HALLUCINATION"))</x:f>
        <x:v>0</x:v>
      </x:c>
      <x:c r="AH2539" t="n">
        <x:f>--AND(AG2539=1,AE2539="HALLUCINATION")</x:f>
        <x:v>0</x:v>
      </x:c>
      <x:c r="AI2539" t="n">
        <x:f>--AND(Q2539=1,AF2539=1,AE2539="HALLUCINATION")</x:f>
        <x:v>0</x:v>
      </x:c>
      <x:c r="AJ2539" t="n">
        <x:f>--AND(AI2539=1,R2539=1,S2539=1)</x:f>
        <x:v>0</x:v>
      </x:c>
    </x:row>
    <x:row r="2540">
      <x:c r="A2540" s="28"/>
      <x:c r="B2540" s="28"/>
      <x:c r="C2540" s="28"/>
      <x:c r="D2540" s="28"/>
      <x:c r="E2540" s="28"/>
      <x:c r="F2540" s="28"/>
      <x:c r="G2540" s="28"/>
      <x:c r="H2540" s="28"/>
      <x:c r="I2540" s="28"/>
      <x:c r="J2540" s="28"/>
      <x:c r="K2540" s="28"/>
      <x:c r="L2540" s="28"/>
      <x:c r="M2540" s="28"/>
      <x:c r="N2540" s="28"/>
      <x:c r="O2540" s="28"/>
      <x:c r="P2540" s="28"/>
      <x:c r="Q2540" s="28"/>
      <x:c r="R2540" s="28"/>
      <x:c r="S2540" s="28"/>
      <x:c r="T2540" s="28"/>
      <x:c r="U2540" s="28"/>
      <x:c r="V2540" s="28"/>
      <x:c r="W2540" s="43" t="n">
        <x:f>--AND(N2540=1,OR(O2540="SUPPORTED",O2540="HALLUCINATION"))</x:f>
        <x:v>0</x:v>
      </x:c>
      <x:c r="X2540" s="43" t="n">
        <x:f>--AND(W2540=1,O2540="HALLUCINATION")</x:f>
        <x:v>0</x:v>
      </x:c>
      <x:c r="Y2540" s="43" t="n">
        <x:f>--AND(Q2540=1,O2540="HALLUCINATION")</x:f>
        <x:v>0</x:v>
      </x:c>
      <x:c r="Z2540" s="43" t="n">
        <x:f>--AND(Y2540=1,R2540=1,S2540=1)</x:f>
        <x:v>0</x:v>
      </x:c>
      <x:c r="AC2540" t="str">
        <x:f>IF(OR(AA2540="",AB2540=""),"",--(AA2540&lt;&gt;AB2540))</x:f>
      </x:c>
      <x:c r="AE2540" t="str">
        <x:f>IF(OR(AA2540="",AB2540=""),"PENDING_HUMAN",IF(AA2540=AB2540,AA2540,IF(AD2540&lt;&gt;"",AD2540,"PENDING_HUMAN")))</x:f>
        <x:v>PENDING_HUMAN</x:v>
      </x:c>
      <x:c r="AF2540" t="n">
        <x:f>--AND(A2540&lt;&gt;"",AA2540&lt;&gt;"",AB2540&lt;&gt;"",OR(AA2540=AB2540,AD2540&lt;&gt;""),IF(AE2540="HALLUCINATION",U2540&lt;&gt;"",TRUE))</x:f>
        <x:v>0</x:v>
      </x:c>
      <x:c r="AG2540" t="n">
        <x:f>--AND(N2540=1,AF2540=1,OR(AE2540="SUPPORTED",AE2540="HALLUCINATION"))</x:f>
        <x:v>0</x:v>
      </x:c>
      <x:c r="AH2540" t="n">
        <x:f>--AND(AG2540=1,AE2540="HALLUCINATION")</x:f>
        <x:v>0</x:v>
      </x:c>
      <x:c r="AI2540" t="n">
        <x:f>--AND(Q2540=1,AF2540=1,AE2540="HALLUCINATION")</x:f>
        <x:v>0</x:v>
      </x:c>
      <x:c r="AJ2540" t="n">
        <x:f>--AND(AI2540=1,R2540=1,S2540=1)</x:f>
        <x:v>0</x:v>
      </x:c>
    </x:row>
    <x:row r="2541">
      <x:c r="A2541" s="28"/>
      <x:c r="B2541" s="28"/>
      <x:c r="C2541" s="28"/>
      <x:c r="D2541" s="28"/>
      <x:c r="E2541" s="28"/>
      <x:c r="F2541" s="28"/>
      <x:c r="G2541" s="28"/>
      <x:c r="H2541" s="28"/>
      <x:c r="I2541" s="28"/>
      <x:c r="J2541" s="28"/>
      <x:c r="K2541" s="28"/>
      <x:c r="L2541" s="28"/>
      <x:c r="M2541" s="28"/>
      <x:c r="N2541" s="28"/>
      <x:c r="O2541" s="28"/>
      <x:c r="P2541" s="28"/>
      <x:c r="Q2541" s="28"/>
      <x:c r="R2541" s="28"/>
      <x:c r="S2541" s="28"/>
      <x:c r="T2541" s="28"/>
      <x:c r="U2541" s="28"/>
      <x:c r="V2541" s="28"/>
      <x:c r="W2541" s="43" t="n">
        <x:f>--AND(N2541=1,OR(O2541="SUPPORTED",O2541="HALLUCINATION"))</x:f>
        <x:v>0</x:v>
      </x:c>
      <x:c r="X2541" s="43" t="n">
        <x:f>--AND(W2541=1,O2541="HALLUCINATION")</x:f>
        <x:v>0</x:v>
      </x:c>
      <x:c r="Y2541" s="43" t="n">
        <x:f>--AND(Q2541=1,O2541="HALLUCINATION")</x:f>
        <x:v>0</x:v>
      </x:c>
      <x:c r="Z2541" s="43" t="n">
        <x:f>--AND(Y2541=1,R2541=1,S2541=1)</x:f>
        <x:v>0</x:v>
      </x:c>
      <x:c r="AC2541" t="str">
        <x:f>IF(OR(AA2541="",AB2541=""),"",--(AA2541&lt;&gt;AB2541))</x:f>
      </x:c>
      <x:c r="AE2541" t="str">
        <x:f>IF(OR(AA2541="",AB2541=""),"PENDING_HUMAN",IF(AA2541=AB2541,AA2541,IF(AD2541&lt;&gt;"",AD2541,"PENDING_HUMAN")))</x:f>
        <x:v>PENDING_HUMAN</x:v>
      </x:c>
      <x:c r="AF2541" t="n">
        <x:f>--AND(A2541&lt;&gt;"",AA2541&lt;&gt;"",AB2541&lt;&gt;"",OR(AA2541=AB2541,AD2541&lt;&gt;""),IF(AE2541="HALLUCINATION",U2541&lt;&gt;"",TRUE))</x:f>
        <x:v>0</x:v>
      </x:c>
      <x:c r="AG2541" t="n">
        <x:f>--AND(N2541=1,AF2541=1,OR(AE2541="SUPPORTED",AE2541="HALLUCINATION"))</x:f>
        <x:v>0</x:v>
      </x:c>
      <x:c r="AH2541" t="n">
        <x:f>--AND(AG2541=1,AE2541="HALLUCINATION")</x:f>
        <x:v>0</x:v>
      </x:c>
      <x:c r="AI2541" t="n">
        <x:f>--AND(Q2541=1,AF2541=1,AE2541="HALLUCINATION")</x:f>
        <x:v>0</x:v>
      </x:c>
      <x:c r="AJ2541" t="n">
        <x:f>--AND(AI2541=1,R2541=1,S2541=1)</x:f>
        <x:v>0</x:v>
      </x:c>
    </x:row>
    <x:row r="2542">
      <x:c r="A2542" s="28"/>
      <x:c r="B2542" s="28"/>
      <x:c r="C2542" s="28"/>
      <x:c r="D2542" s="28"/>
      <x:c r="E2542" s="28"/>
      <x:c r="F2542" s="28"/>
      <x:c r="G2542" s="28"/>
      <x:c r="H2542" s="28"/>
      <x:c r="I2542" s="28"/>
      <x:c r="J2542" s="28"/>
      <x:c r="K2542" s="28"/>
      <x:c r="L2542" s="28"/>
      <x:c r="M2542" s="28"/>
      <x:c r="N2542" s="28"/>
      <x:c r="O2542" s="28"/>
      <x:c r="P2542" s="28"/>
      <x:c r="Q2542" s="28"/>
      <x:c r="R2542" s="28"/>
      <x:c r="S2542" s="28"/>
      <x:c r="T2542" s="28"/>
      <x:c r="U2542" s="28"/>
      <x:c r="V2542" s="28"/>
      <x:c r="W2542" s="43" t="n">
        <x:f>--AND(N2542=1,OR(O2542="SUPPORTED",O2542="HALLUCINATION"))</x:f>
        <x:v>0</x:v>
      </x:c>
      <x:c r="X2542" s="43" t="n">
        <x:f>--AND(W2542=1,O2542="HALLUCINATION")</x:f>
        <x:v>0</x:v>
      </x:c>
      <x:c r="Y2542" s="43" t="n">
        <x:f>--AND(Q2542=1,O2542="HALLUCINATION")</x:f>
        <x:v>0</x:v>
      </x:c>
      <x:c r="Z2542" s="43" t="n">
        <x:f>--AND(Y2542=1,R2542=1,S2542=1)</x:f>
        <x:v>0</x:v>
      </x:c>
      <x:c r="AC2542" t="str">
        <x:f>IF(OR(AA2542="",AB2542=""),"",--(AA2542&lt;&gt;AB2542))</x:f>
      </x:c>
      <x:c r="AE2542" t="str">
        <x:f>IF(OR(AA2542="",AB2542=""),"PENDING_HUMAN",IF(AA2542=AB2542,AA2542,IF(AD2542&lt;&gt;"",AD2542,"PENDING_HUMAN")))</x:f>
        <x:v>PENDING_HUMAN</x:v>
      </x:c>
      <x:c r="AF2542" t="n">
        <x:f>--AND(A2542&lt;&gt;"",AA2542&lt;&gt;"",AB2542&lt;&gt;"",OR(AA2542=AB2542,AD2542&lt;&gt;""),IF(AE2542="HALLUCINATION",U2542&lt;&gt;"",TRUE))</x:f>
        <x:v>0</x:v>
      </x:c>
      <x:c r="AG2542" t="n">
        <x:f>--AND(N2542=1,AF2542=1,OR(AE2542="SUPPORTED",AE2542="HALLUCINATION"))</x:f>
        <x:v>0</x:v>
      </x:c>
      <x:c r="AH2542" t="n">
        <x:f>--AND(AG2542=1,AE2542="HALLUCINATION")</x:f>
        <x:v>0</x:v>
      </x:c>
      <x:c r="AI2542" t="n">
        <x:f>--AND(Q2542=1,AF2542=1,AE2542="HALLUCINATION")</x:f>
        <x:v>0</x:v>
      </x:c>
      <x:c r="AJ2542" t="n">
        <x:f>--AND(AI2542=1,R2542=1,S2542=1)</x:f>
        <x:v>0</x:v>
      </x:c>
    </x:row>
    <x:row r="2543">
      <x:c r="A2543" s="28"/>
      <x:c r="B2543" s="28"/>
      <x:c r="C2543" s="28"/>
      <x:c r="D2543" s="28"/>
      <x:c r="E2543" s="28"/>
      <x:c r="F2543" s="28"/>
      <x:c r="G2543" s="28"/>
      <x:c r="H2543" s="28"/>
      <x:c r="I2543" s="28"/>
      <x:c r="J2543" s="28"/>
      <x:c r="K2543" s="28"/>
      <x:c r="L2543" s="28"/>
      <x:c r="M2543" s="28"/>
      <x:c r="N2543" s="28"/>
      <x:c r="O2543" s="28"/>
      <x:c r="P2543" s="28"/>
      <x:c r="Q2543" s="28"/>
      <x:c r="R2543" s="28"/>
      <x:c r="S2543" s="28"/>
      <x:c r="T2543" s="28"/>
      <x:c r="U2543" s="28"/>
      <x:c r="V2543" s="28"/>
      <x:c r="W2543" s="43" t="n">
        <x:f>--AND(N2543=1,OR(O2543="SUPPORTED",O2543="HALLUCINATION"))</x:f>
        <x:v>0</x:v>
      </x:c>
      <x:c r="X2543" s="43" t="n">
        <x:f>--AND(W2543=1,O2543="HALLUCINATION")</x:f>
        <x:v>0</x:v>
      </x:c>
      <x:c r="Y2543" s="43" t="n">
        <x:f>--AND(Q2543=1,O2543="HALLUCINATION")</x:f>
        <x:v>0</x:v>
      </x:c>
      <x:c r="Z2543" s="43" t="n">
        <x:f>--AND(Y2543=1,R2543=1,S2543=1)</x:f>
        <x:v>0</x:v>
      </x:c>
      <x:c r="AC2543" t="str">
        <x:f>IF(OR(AA2543="",AB2543=""),"",--(AA2543&lt;&gt;AB2543))</x:f>
      </x:c>
      <x:c r="AE2543" t="str">
        <x:f>IF(OR(AA2543="",AB2543=""),"PENDING_HUMAN",IF(AA2543=AB2543,AA2543,IF(AD2543&lt;&gt;"",AD2543,"PENDING_HUMAN")))</x:f>
        <x:v>PENDING_HUMAN</x:v>
      </x:c>
      <x:c r="AF2543" t="n">
        <x:f>--AND(A2543&lt;&gt;"",AA2543&lt;&gt;"",AB2543&lt;&gt;"",OR(AA2543=AB2543,AD2543&lt;&gt;""),IF(AE2543="HALLUCINATION",U2543&lt;&gt;"",TRUE))</x:f>
        <x:v>0</x:v>
      </x:c>
      <x:c r="AG2543" t="n">
        <x:f>--AND(N2543=1,AF2543=1,OR(AE2543="SUPPORTED",AE2543="HALLUCINATION"))</x:f>
        <x:v>0</x:v>
      </x:c>
      <x:c r="AH2543" t="n">
        <x:f>--AND(AG2543=1,AE2543="HALLUCINATION")</x:f>
        <x:v>0</x:v>
      </x:c>
      <x:c r="AI2543" t="n">
        <x:f>--AND(Q2543=1,AF2543=1,AE2543="HALLUCINATION")</x:f>
        <x:v>0</x:v>
      </x:c>
      <x:c r="AJ2543" t="n">
        <x:f>--AND(AI2543=1,R2543=1,S2543=1)</x:f>
        <x:v>0</x:v>
      </x:c>
    </x:row>
    <x:row r="2544">
      <x:c r="A2544" s="28"/>
      <x:c r="B2544" s="28"/>
      <x:c r="C2544" s="28"/>
      <x:c r="D2544" s="28"/>
      <x:c r="E2544" s="28"/>
      <x:c r="F2544" s="28"/>
      <x:c r="G2544" s="28"/>
      <x:c r="H2544" s="28"/>
      <x:c r="I2544" s="28"/>
      <x:c r="J2544" s="28"/>
      <x:c r="K2544" s="28"/>
      <x:c r="L2544" s="28"/>
      <x:c r="M2544" s="28"/>
      <x:c r="N2544" s="28"/>
      <x:c r="O2544" s="28"/>
      <x:c r="P2544" s="28"/>
      <x:c r="Q2544" s="28"/>
      <x:c r="R2544" s="28"/>
      <x:c r="S2544" s="28"/>
      <x:c r="T2544" s="28"/>
      <x:c r="U2544" s="28"/>
      <x:c r="V2544" s="28"/>
      <x:c r="W2544" s="43" t="n">
        <x:f>--AND(N2544=1,OR(O2544="SUPPORTED",O2544="HALLUCINATION"))</x:f>
        <x:v>0</x:v>
      </x:c>
      <x:c r="X2544" s="43" t="n">
        <x:f>--AND(W2544=1,O2544="HALLUCINATION")</x:f>
        <x:v>0</x:v>
      </x:c>
      <x:c r="Y2544" s="43" t="n">
        <x:f>--AND(Q2544=1,O2544="HALLUCINATION")</x:f>
        <x:v>0</x:v>
      </x:c>
      <x:c r="Z2544" s="43" t="n">
        <x:f>--AND(Y2544=1,R2544=1,S2544=1)</x:f>
        <x:v>0</x:v>
      </x:c>
      <x:c r="AC2544" t="str">
        <x:f>IF(OR(AA2544="",AB2544=""),"",--(AA2544&lt;&gt;AB2544))</x:f>
      </x:c>
      <x:c r="AE2544" t="str">
        <x:f>IF(OR(AA2544="",AB2544=""),"PENDING_HUMAN",IF(AA2544=AB2544,AA2544,IF(AD2544&lt;&gt;"",AD2544,"PENDING_HUMAN")))</x:f>
        <x:v>PENDING_HUMAN</x:v>
      </x:c>
      <x:c r="AF2544" t="n">
        <x:f>--AND(A2544&lt;&gt;"",AA2544&lt;&gt;"",AB2544&lt;&gt;"",OR(AA2544=AB2544,AD2544&lt;&gt;""),IF(AE2544="HALLUCINATION",U2544&lt;&gt;"",TRUE))</x:f>
        <x:v>0</x:v>
      </x:c>
      <x:c r="AG2544" t="n">
        <x:f>--AND(N2544=1,AF2544=1,OR(AE2544="SUPPORTED",AE2544="HALLUCINATION"))</x:f>
        <x:v>0</x:v>
      </x:c>
      <x:c r="AH2544" t="n">
        <x:f>--AND(AG2544=1,AE2544="HALLUCINATION")</x:f>
        <x:v>0</x:v>
      </x:c>
      <x:c r="AI2544" t="n">
        <x:f>--AND(Q2544=1,AF2544=1,AE2544="HALLUCINATION")</x:f>
        <x:v>0</x:v>
      </x:c>
      <x:c r="AJ2544" t="n">
        <x:f>--AND(AI2544=1,R2544=1,S2544=1)</x:f>
        <x:v>0</x:v>
      </x:c>
    </x:row>
    <x:row r="2545">
      <x:c r="A2545" s="28"/>
      <x:c r="B2545" s="28"/>
      <x:c r="C2545" s="28"/>
      <x:c r="D2545" s="28"/>
      <x:c r="E2545" s="28"/>
      <x:c r="F2545" s="28"/>
      <x:c r="G2545" s="28"/>
      <x:c r="H2545" s="28"/>
      <x:c r="I2545" s="28"/>
      <x:c r="J2545" s="28"/>
      <x:c r="K2545" s="28"/>
      <x:c r="L2545" s="28"/>
      <x:c r="M2545" s="28"/>
      <x:c r="N2545" s="28"/>
      <x:c r="O2545" s="28"/>
      <x:c r="P2545" s="28"/>
      <x:c r="Q2545" s="28"/>
      <x:c r="R2545" s="28"/>
      <x:c r="S2545" s="28"/>
      <x:c r="T2545" s="28"/>
      <x:c r="U2545" s="28"/>
      <x:c r="V2545" s="28"/>
      <x:c r="W2545" s="43" t="n">
        <x:f>--AND(N2545=1,OR(O2545="SUPPORTED",O2545="HALLUCINATION"))</x:f>
        <x:v>0</x:v>
      </x:c>
      <x:c r="X2545" s="43" t="n">
        <x:f>--AND(W2545=1,O2545="HALLUCINATION")</x:f>
        <x:v>0</x:v>
      </x:c>
      <x:c r="Y2545" s="43" t="n">
        <x:f>--AND(Q2545=1,O2545="HALLUCINATION")</x:f>
        <x:v>0</x:v>
      </x:c>
      <x:c r="Z2545" s="43" t="n">
        <x:f>--AND(Y2545=1,R2545=1,S2545=1)</x:f>
        <x:v>0</x:v>
      </x:c>
      <x:c r="AC2545" t="str">
        <x:f>IF(OR(AA2545="",AB2545=""),"",--(AA2545&lt;&gt;AB2545))</x:f>
      </x:c>
      <x:c r="AE2545" t="str">
        <x:f>IF(OR(AA2545="",AB2545=""),"PENDING_HUMAN",IF(AA2545=AB2545,AA2545,IF(AD2545&lt;&gt;"",AD2545,"PENDING_HUMAN")))</x:f>
        <x:v>PENDING_HUMAN</x:v>
      </x:c>
      <x:c r="AF2545" t="n">
        <x:f>--AND(A2545&lt;&gt;"",AA2545&lt;&gt;"",AB2545&lt;&gt;"",OR(AA2545=AB2545,AD2545&lt;&gt;""),IF(AE2545="HALLUCINATION",U2545&lt;&gt;"",TRUE))</x:f>
        <x:v>0</x:v>
      </x:c>
      <x:c r="AG2545" t="n">
        <x:f>--AND(N2545=1,AF2545=1,OR(AE2545="SUPPORTED",AE2545="HALLUCINATION"))</x:f>
        <x:v>0</x:v>
      </x:c>
      <x:c r="AH2545" t="n">
        <x:f>--AND(AG2545=1,AE2545="HALLUCINATION")</x:f>
        <x:v>0</x:v>
      </x:c>
      <x:c r="AI2545" t="n">
        <x:f>--AND(Q2545=1,AF2545=1,AE2545="HALLUCINATION")</x:f>
        <x:v>0</x:v>
      </x:c>
      <x:c r="AJ2545" t="n">
        <x:f>--AND(AI2545=1,R2545=1,S2545=1)</x:f>
        <x:v>0</x:v>
      </x:c>
    </x:row>
    <x:row r="2546">
      <x:c r="A2546" s="28"/>
      <x:c r="B2546" s="28"/>
      <x:c r="C2546" s="28"/>
      <x:c r="D2546" s="28"/>
      <x:c r="E2546" s="28"/>
      <x:c r="F2546" s="28"/>
      <x:c r="G2546" s="28"/>
      <x:c r="H2546" s="28"/>
      <x:c r="I2546" s="28"/>
      <x:c r="J2546" s="28"/>
      <x:c r="K2546" s="28"/>
      <x:c r="L2546" s="28"/>
      <x:c r="M2546" s="28"/>
      <x:c r="N2546" s="28"/>
      <x:c r="O2546" s="28"/>
      <x:c r="P2546" s="28"/>
      <x:c r="Q2546" s="28"/>
      <x:c r="R2546" s="28"/>
      <x:c r="S2546" s="28"/>
      <x:c r="T2546" s="28"/>
      <x:c r="U2546" s="28"/>
      <x:c r="V2546" s="28"/>
      <x:c r="W2546" s="43" t="n">
        <x:f>--AND(N2546=1,OR(O2546="SUPPORTED",O2546="HALLUCINATION"))</x:f>
        <x:v>0</x:v>
      </x:c>
      <x:c r="X2546" s="43" t="n">
        <x:f>--AND(W2546=1,O2546="HALLUCINATION")</x:f>
        <x:v>0</x:v>
      </x:c>
      <x:c r="Y2546" s="43" t="n">
        <x:f>--AND(Q2546=1,O2546="HALLUCINATION")</x:f>
        <x:v>0</x:v>
      </x:c>
      <x:c r="Z2546" s="43" t="n">
        <x:f>--AND(Y2546=1,R2546=1,S2546=1)</x:f>
        <x:v>0</x:v>
      </x:c>
      <x:c r="AC2546" t="str">
        <x:f>IF(OR(AA2546="",AB2546=""),"",--(AA2546&lt;&gt;AB2546))</x:f>
      </x:c>
      <x:c r="AE2546" t="str">
        <x:f>IF(OR(AA2546="",AB2546=""),"PENDING_HUMAN",IF(AA2546=AB2546,AA2546,IF(AD2546&lt;&gt;"",AD2546,"PENDING_HUMAN")))</x:f>
        <x:v>PENDING_HUMAN</x:v>
      </x:c>
      <x:c r="AF2546" t="n">
        <x:f>--AND(A2546&lt;&gt;"",AA2546&lt;&gt;"",AB2546&lt;&gt;"",OR(AA2546=AB2546,AD2546&lt;&gt;""),IF(AE2546="HALLUCINATION",U2546&lt;&gt;"",TRUE))</x:f>
        <x:v>0</x:v>
      </x:c>
      <x:c r="AG2546" t="n">
        <x:f>--AND(N2546=1,AF2546=1,OR(AE2546="SUPPORTED",AE2546="HALLUCINATION"))</x:f>
        <x:v>0</x:v>
      </x:c>
      <x:c r="AH2546" t="n">
        <x:f>--AND(AG2546=1,AE2546="HALLUCINATION")</x:f>
        <x:v>0</x:v>
      </x:c>
      <x:c r="AI2546" t="n">
        <x:f>--AND(Q2546=1,AF2546=1,AE2546="HALLUCINATION")</x:f>
        <x:v>0</x:v>
      </x:c>
      <x:c r="AJ2546" t="n">
        <x:f>--AND(AI2546=1,R2546=1,S2546=1)</x:f>
        <x:v>0</x:v>
      </x:c>
    </x:row>
    <x:row r="2547">
      <x:c r="A2547" s="28"/>
      <x:c r="B2547" s="28"/>
      <x:c r="C2547" s="28"/>
      <x:c r="D2547" s="28"/>
      <x:c r="E2547" s="28"/>
      <x:c r="F2547" s="28"/>
      <x:c r="G2547" s="28"/>
      <x:c r="H2547" s="28"/>
      <x:c r="I2547" s="28"/>
      <x:c r="J2547" s="28"/>
      <x:c r="K2547" s="28"/>
      <x:c r="L2547" s="28"/>
      <x:c r="M2547" s="28"/>
      <x:c r="N2547" s="28"/>
      <x:c r="O2547" s="28"/>
      <x:c r="P2547" s="28"/>
      <x:c r="Q2547" s="28"/>
      <x:c r="R2547" s="28"/>
      <x:c r="S2547" s="28"/>
      <x:c r="T2547" s="28"/>
      <x:c r="U2547" s="28"/>
      <x:c r="V2547" s="28"/>
      <x:c r="W2547" s="43" t="n">
        <x:f>--AND(N2547=1,OR(O2547="SUPPORTED",O2547="HALLUCINATION"))</x:f>
        <x:v>0</x:v>
      </x:c>
      <x:c r="X2547" s="43" t="n">
        <x:f>--AND(W2547=1,O2547="HALLUCINATION")</x:f>
        <x:v>0</x:v>
      </x:c>
      <x:c r="Y2547" s="43" t="n">
        <x:f>--AND(Q2547=1,O2547="HALLUCINATION")</x:f>
        <x:v>0</x:v>
      </x:c>
      <x:c r="Z2547" s="43" t="n">
        <x:f>--AND(Y2547=1,R2547=1,S2547=1)</x:f>
        <x:v>0</x:v>
      </x:c>
      <x:c r="AC2547" t="str">
        <x:f>IF(OR(AA2547="",AB2547=""),"",--(AA2547&lt;&gt;AB2547))</x:f>
      </x:c>
      <x:c r="AE2547" t="str">
        <x:f>IF(OR(AA2547="",AB2547=""),"PENDING_HUMAN",IF(AA2547=AB2547,AA2547,IF(AD2547&lt;&gt;"",AD2547,"PENDING_HUMAN")))</x:f>
        <x:v>PENDING_HUMAN</x:v>
      </x:c>
      <x:c r="AF2547" t="n">
        <x:f>--AND(A2547&lt;&gt;"",AA2547&lt;&gt;"",AB2547&lt;&gt;"",OR(AA2547=AB2547,AD2547&lt;&gt;""),IF(AE2547="HALLUCINATION",U2547&lt;&gt;"",TRUE))</x:f>
        <x:v>0</x:v>
      </x:c>
      <x:c r="AG2547" t="n">
        <x:f>--AND(N2547=1,AF2547=1,OR(AE2547="SUPPORTED",AE2547="HALLUCINATION"))</x:f>
        <x:v>0</x:v>
      </x:c>
      <x:c r="AH2547" t="n">
        <x:f>--AND(AG2547=1,AE2547="HALLUCINATION")</x:f>
        <x:v>0</x:v>
      </x:c>
      <x:c r="AI2547" t="n">
        <x:f>--AND(Q2547=1,AF2547=1,AE2547="HALLUCINATION")</x:f>
        <x:v>0</x:v>
      </x:c>
      <x:c r="AJ2547" t="n">
        <x:f>--AND(AI2547=1,R2547=1,S2547=1)</x:f>
        <x:v>0</x:v>
      </x:c>
    </x:row>
    <x:row r="2548">
      <x:c r="A2548" s="28"/>
      <x:c r="B2548" s="28"/>
      <x:c r="C2548" s="28"/>
      <x:c r="D2548" s="28"/>
      <x:c r="E2548" s="28"/>
      <x:c r="F2548" s="28"/>
      <x:c r="G2548" s="28"/>
      <x:c r="H2548" s="28"/>
      <x:c r="I2548" s="28"/>
      <x:c r="J2548" s="28"/>
      <x:c r="K2548" s="28"/>
      <x:c r="L2548" s="28"/>
      <x:c r="M2548" s="28"/>
      <x:c r="N2548" s="28"/>
      <x:c r="O2548" s="28"/>
      <x:c r="P2548" s="28"/>
      <x:c r="Q2548" s="28"/>
      <x:c r="R2548" s="28"/>
      <x:c r="S2548" s="28"/>
      <x:c r="T2548" s="28"/>
      <x:c r="U2548" s="28"/>
      <x:c r="V2548" s="28"/>
      <x:c r="W2548" s="43" t="n">
        <x:f>--AND(N2548=1,OR(O2548="SUPPORTED",O2548="HALLUCINATION"))</x:f>
        <x:v>0</x:v>
      </x:c>
      <x:c r="X2548" s="43" t="n">
        <x:f>--AND(W2548=1,O2548="HALLUCINATION")</x:f>
        <x:v>0</x:v>
      </x:c>
      <x:c r="Y2548" s="43" t="n">
        <x:f>--AND(Q2548=1,O2548="HALLUCINATION")</x:f>
        <x:v>0</x:v>
      </x:c>
      <x:c r="Z2548" s="43" t="n">
        <x:f>--AND(Y2548=1,R2548=1,S2548=1)</x:f>
        <x:v>0</x:v>
      </x:c>
      <x:c r="AC2548" t="str">
        <x:f>IF(OR(AA2548="",AB2548=""),"",--(AA2548&lt;&gt;AB2548))</x:f>
      </x:c>
      <x:c r="AE2548" t="str">
        <x:f>IF(OR(AA2548="",AB2548=""),"PENDING_HUMAN",IF(AA2548=AB2548,AA2548,IF(AD2548&lt;&gt;"",AD2548,"PENDING_HUMAN")))</x:f>
        <x:v>PENDING_HUMAN</x:v>
      </x:c>
      <x:c r="AF2548" t="n">
        <x:f>--AND(A2548&lt;&gt;"",AA2548&lt;&gt;"",AB2548&lt;&gt;"",OR(AA2548=AB2548,AD2548&lt;&gt;""),IF(AE2548="HALLUCINATION",U2548&lt;&gt;"",TRUE))</x:f>
        <x:v>0</x:v>
      </x:c>
      <x:c r="AG2548" t="n">
        <x:f>--AND(N2548=1,AF2548=1,OR(AE2548="SUPPORTED",AE2548="HALLUCINATION"))</x:f>
        <x:v>0</x:v>
      </x:c>
      <x:c r="AH2548" t="n">
        <x:f>--AND(AG2548=1,AE2548="HALLUCINATION")</x:f>
        <x:v>0</x:v>
      </x:c>
      <x:c r="AI2548" t="n">
        <x:f>--AND(Q2548=1,AF2548=1,AE2548="HALLUCINATION")</x:f>
        <x:v>0</x:v>
      </x:c>
      <x:c r="AJ2548" t="n">
        <x:f>--AND(AI2548=1,R2548=1,S2548=1)</x:f>
        <x:v>0</x:v>
      </x:c>
    </x:row>
    <x:row r="2549">
      <x:c r="A2549" s="28"/>
      <x:c r="B2549" s="28"/>
      <x:c r="C2549" s="28"/>
      <x:c r="D2549" s="28"/>
      <x:c r="E2549" s="28"/>
      <x:c r="F2549" s="28"/>
      <x:c r="G2549" s="28"/>
      <x:c r="H2549" s="28"/>
      <x:c r="I2549" s="28"/>
      <x:c r="J2549" s="28"/>
      <x:c r="K2549" s="28"/>
      <x:c r="L2549" s="28"/>
      <x:c r="M2549" s="28"/>
      <x:c r="N2549" s="28"/>
      <x:c r="O2549" s="28"/>
      <x:c r="P2549" s="28"/>
      <x:c r="Q2549" s="28"/>
      <x:c r="R2549" s="28"/>
      <x:c r="S2549" s="28"/>
      <x:c r="T2549" s="28"/>
      <x:c r="U2549" s="28"/>
      <x:c r="V2549" s="28"/>
      <x:c r="W2549" s="43" t="n">
        <x:f>--AND(N2549=1,OR(O2549="SUPPORTED",O2549="HALLUCINATION"))</x:f>
        <x:v>0</x:v>
      </x:c>
      <x:c r="X2549" s="43" t="n">
        <x:f>--AND(W2549=1,O2549="HALLUCINATION")</x:f>
        <x:v>0</x:v>
      </x:c>
      <x:c r="Y2549" s="43" t="n">
        <x:f>--AND(Q2549=1,O2549="HALLUCINATION")</x:f>
        <x:v>0</x:v>
      </x:c>
      <x:c r="Z2549" s="43" t="n">
        <x:f>--AND(Y2549=1,R2549=1,S2549=1)</x:f>
        <x:v>0</x:v>
      </x:c>
      <x:c r="AC2549" t="str">
        <x:f>IF(OR(AA2549="",AB2549=""),"",--(AA2549&lt;&gt;AB2549))</x:f>
      </x:c>
      <x:c r="AE2549" t="str">
        <x:f>IF(OR(AA2549="",AB2549=""),"PENDING_HUMAN",IF(AA2549=AB2549,AA2549,IF(AD2549&lt;&gt;"",AD2549,"PENDING_HUMAN")))</x:f>
        <x:v>PENDING_HUMAN</x:v>
      </x:c>
      <x:c r="AF2549" t="n">
        <x:f>--AND(A2549&lt;&gt;"",AA2549&lt;&gt;"",AB2549&lt;&gt;"",OR(AA2549=AB2549,AD2549&lt;&gt;""),IF(AE2549="HALLUCINATION",U2549&lt;&gt;"",TRUE))</x:f>
        <x:v>0</x:v>
      </x:c>
      <x:c r="AG2549" t="n">
        <x:f>--AND(N2549=1,AF2549=1,OR(AE2549="SUPPORTED",AE2549="HALLUCINATION"))</x:f>
        <x:v>0</x:v>
      </x:c>
      <x:c r="AH2549" t="n">
        <x:f>--AND(AG2549=1,AE2549="HALLUCINATION")</x:f>
        <x:v>0</x:v>
      </x:c>
      <x:c r="AI2549" t="n">
        <x:f>--AND(Q2549=1,AF2549=1,AE2549="HALLUCINATION")</x:f>
        <x:v>0</x:v>
      </x:c>
      <x:c r="AJ2549" t="n">
        <x:f>--AND(AI2549=1,R2549=1,S2549=1)</x:f>
        <x:v>0</x:v>
      </x:c>
    </x:row>
    <x:row r="2550">
      <x:c r="A2550" s="28"/>
      <x:c r="B2550" s="28"/>
      <x:c r="C2550" s="28"/>
      <x:c r="D2550" s="28"/>
      <x:c r="E2550" s="28"/>
      <x:c r="F2550" s="28"/>
      <x:c r="G2550" s="28"/>
      <x:c r="H2550" s="28"/>
      <x:c r="I2550" s="28"/>
      <x:c r="J2550" s="28"/>
      <x:c r="K2550" s="28"/>
      <x:c r="L2550" s="28"/>
      <x:c r="M2550" s="28"/>
      <x:c r="N2550" s="28"/>
      <x:c r="O2550" s="28"/>
      <x:c r="P2550" s="28"/>
      <x:c r="Q2550" s="28"/>
      <x:c r="R2550" s="28"/>
      <x:c r="S2550" s="28"/>
      <x:c r="T2550" s="28"/>
      <x:c r="U2550" s="28"/>
      <x:c r="V2550" s="28"/>
      <x:c r="W2550" s="43" t="n">
        <x:f>--AND(N2550=1,OR(O2550="SUPPORTED",O2550="HALLUCINATION"))</x:f>
        <x:v>0</x:v>
      </x:c>
      <x:c r="X2550" s="43" t="n">
        <x:f>--AND(W2550=1,O2550="HALLUCINATION")</x:f>
        <x:v>0</x:v>
      </x:c>
      <x:c r="Y2550" s="43" t="n">
        <x:f>--AND(Q2550=1,O2550="HALLUCINATION")</x:f>
        <x:v>0</x:v>
      </x:c>
      <x:c r="Z2550" s="43" t="n">
        <x:f>--AND(Y2550=1,R2550=1,S2550=1)</x:f>
        <x:v>0</x:v>
      </x:c>
      <x:c r="AC2550" t="str">
        <x:f>IF(OR(AA2550="",AB2550=""),"",--(AA2550&lt;&gt;AB2550))</x:f>
      </x:c>
      <x:c r="AE2550" t="str">
        <x:f>IF(OR(AA2550="",AB2550=""),"PENDING_HUMAN",IF(AA2550=AB2550,AA2550,IF(AD2550&lt;&gt;"",AD2550,"PENDING_HUMAN")))</x:f>
        <x:v>PENDING_HUMAN</x:v>
      </x:c>
      <x:c r="AF2550" t="n">
        <x:f>--AND(A2550&lt;&gt;"",AA2550&lt;&gt;"",AB2550&lt;&gt;"",OR(AA2550=AB2550,AD2550&lt;&gt;""),IF(AE2550="HALLUCINATION",U2550&lt;&gt;"",TRUE))</x:f>
        <x:v>0</x:v>
      </x:c>
      <x:c r="AG2550" t="n">
        <x:f>--AND(N2550=1,AF2550=1,OR(AE2550="SUPPORTED",AE2550="HALLUCINATION"))</x:f>
        <x:v>0</x:v>
      </x:c>
      <x:c r="AH2550" t="n">
        <x:f>--AND(AG2550=1,AE2550="HALLUCINATION")</x:f>
        <x:v>0</x:v>
      </x:c>
      <x:c r="AI2550" t="n">
        <x:f>--AND(Q2550=1,AF2550=1,AE2550="HALLUCINATION")</x:f>
        <x:v>0</x:v>
      </x:c>
      <x:c r="AJ2550" t="n">
        <x:f>--AND(AI2550=1,R2550=1,S2550=1)</x:f>
        <x:v>0</x:v>
      </x:c>
    </x:row>
    <x:row r="2551">
      <x:c r="A2551" s="28"/>
      <x:c r="B2551" s="28"/>
      <x:c r="C2551" s="28"/>
      <x:c r="D2551" s="28"/>
      <x:c r="E2551" s="28"/>
      <x:c r="F2551" s="28"/>
      <x:c r="G2551" s="28"/>
      <x:c r="H2551" s="28"/>
      <x:c r="I2551" s="28"/>
      <x:c r="J2551" s="28"/>
      <x:c r="K2551" s="28"/>
      <x:c r="L2551" s="28"/>
      <x:c r="M2551" s="28"/>
      <x:c r="N2551" s="28"/>
      <x:c r="O2551" s="28"/>
      <x:c r="P2551" s="28"/>
      <x:c r="Q2551" s="28"/>
      <x:c r="R2551" s="28"/>
      <x:c r="S2551" s="28"/>
      <x:c r="T2551" s="28"/>
      <x:c r="U2551" s="28"/>
      <x:c r="V2551" s="28"/>
      <x:c r="W2551" s="43" t="n">
        <x:f>--AND(N2551=1,OR(O2551="SUPPORTED",O2551="HALLUCINATION"))</x:f>
        <x:v>0</x:v>
      </x:c>
      <x:c r="X2551" s="43" t="n">
        <x:f>--AND(W2551=1,O2551="HALLUCINATION")</x:f>
        <x:v>0</x:v>
      </x:c>
      <x:c r="Y2551" s="43" t="n">
        <x:f>--AND(Q2551=1,O2551="HALLUCINATION")</x:f>
        <x:v>0</x:v>
      </x:c>
      <x:c r="Z2551" s="43" t="n">
        <x:f>--AND(Y2551=1,R2551=1,S2551=1)</x:f>
        <x:v>0</x:v>
      </x:c>
      <x:c r="AC2551" t="str">
        <x:f>IF(OR(AA2551="",AB2551=""),"",--(AA2551&lt;&gt;AB2551))</x:f>
      </x:c>
      <x:c r="AE2551" t="str">
        <x:f>IF(OR(AA2551="",AB2551=""),"PENDING_HUMAN",IF(AA2551=AB2551,AA2551,IF(AD2551&lt;&gt;"",AD2551,"PENDING_HUMAN")))</x:f>
        <x:v>PENDING_HUMAN</x:v>
      </x:c>
      <x:c r="AF2551" t="n">
        <x:f>--AND(A2551&lt;&gt;"",AA2551&lt;&gt;"",AB2551&lt;&gt;"",OR(AA2551=AB2551,AD2551&lt;&gt;""),IF(AE2551="HALLUCINATION",U2551&lt;&gt;"",TRUE))</x:f>
        <x:v>0</x:v>
      </x:c>
      <x:c r="AG2551" t="n">
        <x:f>--AND(N2551=1,AF2551=1,OR(AE2551="SUPPORTED",AE2551="HALLUCINATION"))</x:f>
        <x:v>0</x:v>
      </x:c>
      <x:c r="AH2551" t="n">
        <x:f>--AND(AG2551=1,AE2551="HALLUCINATION")</x:f>
        <x:v>0</x:v>
      </x:c>
      <x:c r="AI2551" t="n">
        <x:f>--AND(Q2551=1,AF2551=1,AE2551="HALLUCINATION")</x:f>
        <x:v>0</x:v>
      </x:c>
      <x:c r="AJ2551" t="n">
        <x:f>--AND(AI2551=1,R2551=1,S2551=1)</x:f>
        <x:v>0</x:v>
      </x:c>
    </x:row>
    <x:row r="2552">
      <x:c r="A2552" s="28"/>
      <x:c r="B2552" s="28"/>
      <x:c r="C2552" s="28"/>
      <x:c r="D2552" s="28"/>
      <x:c r="E2552" s="28"/>
      <x:c r="F2552" s="28"/>
      <x:c r="G2552" s="28"/>
      <x:c r="H2552" s="28"/>
      <x:c r="I2552" s="28"/>
      <x:c r="J2552" s="28"/>
      <x:c r="K2552" s="28"/>
      <x:c r="L2552" s="28"/>
      <x:c r="M2552" s="28"/>
      <x:c r="N2552" s="28"/>
      <x:c r="O2552" s="28"/>
      <x:c r="P2552" s="28"/>
      <x:c r="Q2552" s="28"/>
      <x:c r="R2552" s="28"/>
      <x:c r="S2552" s="28"/>
      <x:c r="T2552" s="28"/>
      <x:c r="U2552" s="28"/>
      <x:c r="V2552" s="28"/>
      <x:c r="W2552" s="43" t="n">
        <x:f>--AND(N2552=1,OR(O2552="SUPPORTED",O2552="HALLUCINATION"))</x:f>
        <x:v>0</x:v>
      </x:c>
      <x:c r="X2552" s="43" t="n">
        <x:f>--AND(W2552=1,O2552="HALLUCINATION")</x:f>
        <x:v>0</x:v>
      </x:c>
      <x:c r="Y2552" s="43" t="n">
        <x:f>--AND(Q2552=1,O2552="HALLUCINATION")</x:f>
        <x:v>0</x:v>
      </x:c>
      <x:c r="Z2552" s="43" t="n">
        <x:f>--AND(Y2552=1,R2552=1,S2552=1)</x:f>
        <x:v>0</x:v>
      </x:c>
      <x:c r="AC2552" t="str">
        <x:f>IF(OR(AA2552="",AB2552=""),"",--(AA2552&lt;&gt;AB2552))</x:f>
      </x:c>
      <x:c r="AE2552" t="str">
        <x:f>IF(OR(AA2552="",AB2552=""),"PENDING_HUMAN",IF(AA2552=AB2552,AA2552,IF(AD2552&lt;&gt;"",AD2552,"PENDING_HUMAN")))</x:f>
        <x:v>PENDING_HUMAN</x:v>
      </x:c>
      <x:c r="AF2552" t="n">
        <x:f>--AND(A2552&lt;&gt;"",AA2552&lt;&gt;"",AB2552&lt;&gt;"",OR(AA2552=AB2552,AD2552&lt;&gt;""),IF(AE2552="HALLUCINATION",U2552&lt;&gt;"",TRUE))</x:f>
        <x:v>0</x:v>
      </x:c>
      <x:c r="AG2552" t="n">
        <x:f>--AND(N2552=1,AF2552=1,OR(AE2552="SUPPORTED",AE2552="HALLUCINATION"))</x:f>
        <x:v>0</x:v>
      </x:c>
      <x:c r="AH2552" t="n">
        <x:f>--AND(AG2552=1,AE2552="HALLUCINATION")</x:f>
        <x:v>0</x:v>
      </x:c>
      <x:c r="AI2552" t="n">
        <x:f>--AND(Q2552=1,AF2552=1,AE2552="HALLUCINATION")</x:f>
        <x:v>0</x:v>
      </x:c>
      <x:c r="AJ2552" t="n">
        <x:f>--AND(AI2552=1,R2552=1,S2552=1)</x:f>
        <x:v>0</x:v>
      </x:c>
    </x:row>
    <x:row r="2553">
      <x:c r="A2553" s="28"/>
      <x:c r="B2553" s="28"/>
      <x:c r="C2553" s="28"/>
      <x:c r="D2553" s="28"/>
      <x:c r="E2553" s="28"/>
      <x:c r="F2553" s="28"/>
      <x:c r="G2553" s="28"/>
      <x:c r="H2553" s="28"/>
      <x:c r="I2553" s="28"/>
      <x:c r="J2553" s="28"/>
      <x:c r="K2553" s="28"/>
      <x:c r="L2553" s="28"/>
      <x:c r="M2553" s="28"/>
      <x:c r="N2553" s="28"/>
      <x:c r="O2553" s="28"/>
      <x:c r="P2553" s="28"/>
      <x:c r="Q2553" s="28"/>
      <x:c r="R2553" s="28"/>
      <x:c r="S2553" s="28"/>
      <x:c r="T2553" s="28"/>
      <x:c r="U2553" s="28"/>
      <x:c r="V2553" s="28"/>
      <x:c r="W2553" s="43" t="n">
        <x:f>--AND(N2553=1,OR(O2553="SUPPORTED",O2553="HALLUCINATION"))</x:f>
        <x:v>0</x:v>
      </x:c>
      <x:c r="X2553" s="43" t="n">
        <x:f>--AND(W2553=1,O2553="HALLUCINATION")</x:f>
        <x:v>0</x:v>
      </x:c>
      <x:c r="Y2553" s="43" t="n">
        <x:f>--AND(Q2553=1,O2553="HALLUCINATION")</x:f>
        <x:v>0</x:v>
      </x:c>
      <x:c r="Z2553" s="43" t="n">
        <x:f>--AND(Y2553=1,R2553=1,S2553=1)</x:f>
        <x:v>0</x:v>
      </x:c>
      <x:c r="AC2553" t="str">
        <x:f>IF(OR(AA2553="",AB2553=""),"",--(AA2553&lt;&gt;AB2553))</x:f>
      </x:c>
      <x:c r="AE2553" t="str">
        <x:f>IF(OR(AA2553="",AB2553=""),"PENDING_HUMAN",IF(AA2553=AB2553,AA2553,IF(AD2553&lt;&gt;"",AD2553,"PENDING_HUMAN")))</x:f>
        <x:v>PENDING_HUMAN</x:v>
      </x:c>
      <x:c r="AF2553" t="n">
        <x:f>--AND(A2553&lt;&gt;"",AA2553&lt;&gt;"",AB2553&lt;&gt;"",OR(AA2553=AB2553,AD2553&lt;&gt;""),IF(AE2553="HALLUCINATION",U2553&lt;&gt;"",TRUE))</x:f>
        <x:v>0</x:v>
      </x:c>
      <x:c r="AG2553" t="n">
        <x:f>--AND(N2553=1,AF2553=1,OR(AE2553="SUPPORTED",AE2553="HALLUCINATION"))</x:f>
        <x:v>0</x:v>
      </x:c>
      <x:c r="AH2553" t="n">
        <x:f>--AND(AG2553=1,AE2553="HALLUCINATION")</x:f>
        <x:v>0</x:v>
      </x:c>
      <x:c r="AI2553" t="n">
        <x:f>--AND(Q2553=1,AF2553=1,AE2553="HALLUCINATION")</x:f>
        <x:v>0</x:v>
      </x:c>
      <x:c r="AJ2553" t="n">
        <x:f>--AND(AI2553=1,R2553=1,S2553=1)</x:f>
        <x:v>0</x:v>
      </x:c>
    </x:row>
    <x:row r="2554">
      <x:c r="A2554" s="28"/>
      <x:c r="B2554" s="28"/>
      <x:c r="C2554" s="28"/>
      <x:c r="D2554" s="28"/>
      <x:c r="E2554" s="28"/>
      <x:c r="F2554" s="28"/>
      <x:c r="G2554" s="28"/>
      <x:c r="H2554" s="28"/>
      <x:c r="I2554" s="28"/>
      <x:c r="J2554" s="28"/>
      <x:c r="K2554" s="28"/>
      <x:c r="L2554" s="28"/>
      <x:c r="M2554" s="28"/>
      <x:c r="N2554" s="28"/>
      <x:c r="O2554" s="28"/>
      <x:c r="P2554" s="28"/>
      <x:c r="Q2554" s="28"/>
      <x:c r="R2554" s="28"/>
      <x:c r="S2554" s="28"/>
      <x:c r="T2554" s="28"/>
      <x:c r="U2554" s="28"/>
      <x:c r="V2554" s="28"/>
      <x:c r="W2554" s="43" t="n">
        <x:f>--AND(N2554=1,OR(O2554="SUPPORTED",O2554="HALLUCINATION"))</x:f>
        <x:v>0</x:v>
      </x:c>
      <x:c r="X2554" s="43" t="n">
        <x:f>--AND(W2554=1,O2554="HALLUCINATION")</x:f>
        <x:v>0</x:v>
      </x:c>
      <x:c r="Y2554" s="43" t="n">
        <x:f>--AND(Q2554=1,O2554="HALLUCINATION")</x:f>
        <x:v>0</x:v>
      </x:c>
      <x:c r="Z2554" s="43" t="n">
        <x:f>--AND(Y2554=1,R2554=1,S2554=1)</x:f>
        <x:v>0</x:v>
      </x:c>
      <x:c r="AC2554" t="str">
        <x:f>IF(OR(AA2554="",AB2554=""),"",--(AA2554&lt;&gt;AB2554))</x:f>
      </x:c>
      <x:c r="AE2554" t="str">
        <x:f>IF(OR(AA2554="",AB2554=""),"PENDING_HUMAN",IF(AA2554=AB2554,AA2554,IF(AD2554&lt;&gt;"",AD2554,"PENDING_HUMAN")))</x:f>
        <x:v>PENDING_HUMAN</x:v>
      </x:c>
      <x:c r="AF2554" t="n">
        <x:f>--AND(A2554&lt;&gt;"",AA2554&lt;&gt;"",AB2554&lt;&gt;"",OR(AA2554=AB2554,AD2554&lt;&gt;""),IF(AE2554="HALLUCINATION",U2554&lt;&gt;"",TRUE))</x:f>
        <x:v>0</x:v>
      </x:c>
      <x:c r="AG2554" t="n">
        <x:f>--AND(N2554=1,AF2554=1,OR(AE2554="SUPPORTED",AE2554="HALLUCINATION"))</x:f>
        <x:v>0</x:v>
      </x:c>
      <x:c r="AH2554" t="n">
        <x:f>--AND(AG2554=1,AE2554="HALLUCINATION")</x:f>
        <x:v>0</x:v>
      </x:c>
      <x:c r="AI2554" t="n">
        <x:f>--AND(Q2554=1,AF2554=1,AE2554="HALLUCINATION")</x:f>
        <x:v>0</x:v>
      </x:c>
      <x:c r="AJ2554" t="n">
        <x:f>--AND(AI2554=1,R2554=1,S2554=1)</x:f>
        <x:v>0</x:v>
      </x:c>
    </x:row>
    <x:row r="2555">
      <x:c r="A2555" s="28"/>
      <x:c r="B2555" s="28"/>
      <x:c r="C2555" s="28"/>
      <x:c r="D2555" s="28"/>
      <x:c r="E2555" s="28"/>
      <x:c r="F2555" s="28"/>
      <x:c r="G2555" s="28"/>
      <x:c r="H2555" s="28"/>
      <x:c r="I2555" s="28"/>
      <x:c r="J2555" s="28"/>
      <x:c r="K2555" s="28"/>
      <x:c r="L2555" s="28"/>
      <x:c r="M2555" s="28"/>
      <x:c r="N2555" s="28"/>
      <x:c r="O2555" s="28"/>
      <x:c r="P2555" s="28"/>
      <x:c r="Q2555" s="28"/>
      <x:c r="R2555" s="28"/>
      <x:c r="S2555" s="28"/>
      <x:c r="T2555" s="28"/>
      <x:c r="U2555" s="28"/>
      <x:c r="V2555" s="28"/>
      <x:c r="W2555" s="43" t="n">
        <x:f>--AND(N2555=1,OR(O2555="SUPPORTED",O2555="HALLUCINATION"))</x:f>
        <x:v>0</x:v>
      </x:c>
      <x:c r="X2555" s="43" t="n">
        <x:f>--AND(W2555=1,O2555="HALLUCINATION")</x:f>
        <x:v>0</x:v>
      </x:c>
      <x:c r="Y2555" s="43" t="n">
        <x:f>--AND(Q2555=1,O2555="HALLUCINATION")</x:f>
        <x:v>0</x:v>
      </x:c>
      <x:c r="Z2555" s="43" t="n">
        <x:f>--AND(Y2555=1,R2555=1,S2555=1)</x:f>
        <x:v>0</x:v>
      </x:c>
      <x:c r="AC2555" t="str">
        <x:f>IF(OR(AA2555="",AB2555=""),"",--(AA2555&lt;&gt;AB2555))</x:f>
      </x:c>
      <x:c r="AE2555" t="str">
        <x:f>IF(OR(AA2555="",AB2555=""),"PENDING_HUMAN",IF(AA2555=AB2555,AA2555,IF(AD2555&lt;&gt;"",AD2555,"PENDING_HUMAN")))</x:f>
        <x:v>PENDING_HUMAN</x:v>
      </x:c>
      <x:c r="AF2555" t="n">
        <x:f>--AND(A2555&lt;&gt;"",AA2555&lt;&gt;"",AB2555&lt;&gt;"",OR(AA2555=AB2555,AD2555&lt;&gt;""),IF(AE2555="HALLUCINATION",U2555&lt;&gt;"",TRUE))</x:f>
        <x:v>0</x:v>
      </x:c>
      <x:c r="AG2555" t="n">
        <x:f>--AND(N2555=1,AF2555=1,OR(AE2555="SUPPORTED",AE2555="HALLUCINATION"))</x:f>
        <x:v>0</x:v>
      </x:c>
      <x:c r="AH2555" t="n">
        <x:f>--AND(AG2555=1,AE2555="HALLUCINATION")</x:f>
        <x:v>0</x:v>
      </x:c>
      <x:c r="AI2555" t="n">
        <x:f>--AND(Q2555=1,AF2555=1,AE2555="HALLUCINATION")</x:f>
        <x:v>0</x:v>
      </x:c>
      <x:c r="AJ2555" t="n">
        <x:f>--AND(AI2555=1,R2555=1,S2555=1)</x:f>
        <x:v>0</x:v>
      </x:c>
    </x:row>
    <x:row r="2556">
      <x:c r="A2556" s="28"/>
      <x:c r="B2556" s="28"/>
      <x:c r="C2556" s="28"/>
      <x:c r="D2556" s="28"/>
      <x:c r="E2556" s="28"/>
      <x:c r="F2556" s="28"/>
      <x:c r="G2556" s="28"/>
      <x:c r="H2556" s="28"/>
      <x:c r="I2556" s="28"/>
      <x:c r="J2556" s="28"/>
      <x:c r="K2556" s="28"/>
      <x:c r="L2556" s="28"/>
      <x:c r="M2556" s="28"/>
      <x:c r="N2556" s="28"/>
      <x:c r="O2556" s="28"/>
      <x:c r="P2556" s="28"/>
      <x:c r="Q2556" s="28"/>
      <x:c r="R2556" s="28"/>
      <x:c r="S2556" s="28"/>
      <x:c r="T2556" s="28"/>
      <x:c r="U2556" s="28"/>
      <x:c r="V2556" s="28"/>
      <x:c r="W2556" s="43" t="n">
        <x:f>--AND(N2556=1,OR(O2556="SUPPORTED",O2556="HALLUCINATION"))</x:f>
        <x:v>0</x:v>
      </x:c>
      <x:c r="X2556" s="43" t="n">
        <x:f>--AND(W2556=1,O2556="HALLUCINATION")</x:f>
        <x:v>0</x:v>
      </x:c>
      <x:c r="Y2556" s="43" t="n">
        <x:f>--AND(Q2556=1,O2556="HALLUCINATION")</x:f>
        <x:v>0</x:v>
      </x:c>
      <x:c r="Z2556" s="43" t="n">
        <x:f>--AND(Y2556=1,R2556=1,S2556=1)</x:f>
        <x:v>0</x:v>
      </x:c>
      <x:c r="AC2556" t="str">
        <x:f>IF(OR(AA2556="",AB2556=""),"",--(AA2556&lt;&gt;AB2556))</x:f>
      </x:c>
      <x:c r="AE2556" t="str">
        <x:f>IF(OR(AA2556="",AB2556=""),"PENDING_HUMAN",IF(AA2556=AB2556,AA2556,IF(AD2556&lt;&gt;"",AD2556,"PENDING_HUMAN")))</x:f>
        <x:v>PENDING_HUMAN</x:v>
      </x:c>
      <x:c r="AF2556" t="n">
        <x:f>--AND(A2556&lt;&gt;"",AA2556&lt;&gt;"",AB2556&lt;&gt;"",OR(AA2556=AB2556,AD2556&lt;&gt;""),IF(AE2556="HALLUCINATION",U2556&lt;&gt;"",TRUE))</x:f>
        <x:v>0</x:v>
      </x:c>
      <x:c r="AG2556" t="n">
        <x:f>--AND(N2556=1,AF2556=1,OR(AE2556="SUPPORTED",AE2556="HALLUCINATION"))</x:f>
        <x:v>0</x:v>
      </x:c>
      <x:c r="AH2556" t="n">
        <x:f>--AND(AG2556=1,AE2556="HALLUCINATION")</x:f>
        <x:v>0</x:v>
      </x:c>
      <x:c r="AI2556" t="n">
        <x:f>--AND(Q2556=1,AF2556=1,AE2556="HALLUCINATION")</x:f>
        <x:v>0</x:v>
      </x:c>
      <x:c r="AJ2556" t="n">
        <x:f>--AND(AI2556=1,R2556=1,S2556=1)</x:f>
        <x:v>0</x:v>
      </x:c>
    </x:row>
    <x:row r="2557">
      <x:c r="A2557" s="28"/>
      <x:c r="B2557" s="28"/>
      <x:c r="C2557" s="28"/>
      <x:c r="D2557" s="28"/>
      <x:c r="E2557" s="28"/>
      <x:c r="F2557" s="28"/>
      <x:c r="G2557" s="28"/>
      <x:c r="H2557" s="28"/>
      <x:c r="I2557" s="28"/>
      <x:c r="J2557" s="28"/>
      <x:c r="K2557" s="28"/>
      <x:c r="L2557" s="28"/>
      <x:c r="M2557" s="28"/>
      <x:c r="N2557" s="28"/>
      <x:c r="O2557" s="28"/>
      <x:c r="P2557" s="28"/>
      <x:c r="Q2557" s="28"/>
      <x:c r="R2557" s="28"/>
      <x:c r="S2557" s="28"/>
      <x:c r="T2557" s="28"/>
      <x:c r="U2557" s="28"/>
      <x:c r="V2557" s="28"/>
      <x:c r="W2557" s="43" t="n">
        <x:f>--AND(N2557=1,OR(O2557="SUPPORTED",O2557="HALLUCINATION"))</x:f>
        <x:v>0</x:v>
      </x:c>
      <x:c r="X2557" s="43" t="n">
        <x:f>--AND(W2557=1,O2557="HALLUCINATION")</x:f>
        <x:v>0</x:v>
      </x:c>
      <x:c r="Y2557" s="43" t="n">
        <x:f>--AND(Q2557=1,O2557="HALLUCINATION")</x:f>
        <x:v>0</x:v>
      </x:c>
      <x:c r="Z2557" s="43" t="n">
        <x:f>--AND(Y2557=1,R2557=1,S2557=1)</x:f>
        <x:v>0</x:v>
      </x:c>
      <x:c r="AC2557" t="str">
        <x:f>IF(OR(AA2557="",AB2557=""),"",--(AA2557&lt;&gt;AB2557))</x:f>
      </x:c>
      <x:c r="AE2557" t="str">
        <x:f>IF(OR(AA2557="",AB2557=""),"PENDING_HUMAN",IF(AA2557=AB2557,AA2557,IF(AD2557&lt;&gt;"",AD2557,"PENDING_HUMAN")))</x:f>
        <x:v>PENDING_HUMAN</x:v>
      </x:c>
      <x:c r="AF2557" t="n">
        <x:f>--AND(A2557&lt;&gt;"",AA2557&lt;&gt;"",AB2557&lt;&gt;"",OR(AA2557=AB2557,AD2557&lt;&gt;""),IF(AE2557="HALLUCINATION",U2557&lt;&gt;"",TRUE))</x:f>
        <x:v>0</x:v>
      </x:c>
      <x:c r="AG2557" t="n">
        <x:f>--AND(N2557=1,AF2557=1,OR(AE2557="SUPPORTED",AE2557="HALLUCINATION"))</x:f>
        <x:v>0</x:v>
      </x:c>
      <x:c r="AH2557" t="n">
        <x:f>--AND(AG2557=1,AE2557="HALLUCINATION")</x:f>
        <x:v>0</x:v>
      </x:c>
      <x:c r="AI2557" t="n">
        <x:f>--AND(Q2557=1,AF2557=1,AE2557="HALLUCINATION")</x:f>
        <x:v>0</x:v>
      </x:c>
      <x:c r="AJ2557" t="n">
        <x:f>--AND(AI2557=1,R2557=1,S2557=1)</x:f>
        <x:v>0</x:v>
      </x:c>
    </x:row>
    <x:row r="2558">
      <x:c r="A2558" s="28"/>
      <x:c r="B2558" s="28"/>
      <x:c r="C2558" s="28"/>
      <x:c r="D2558" s="28"/>
      <x:c r="E2558" s="28"/>
      <x:c r="F2558" s="28"/>
      <x:c r="G2558" s="28"/>
      <x:c r="H2558" s="28"/>
      <x:c r="I2558" s="28"/>
      <x:c r="J2558" s="28"/>
      <x:c r="K2558" s="28"/>
      <x:c r="L2558" s="28"/>
      <x:c r="M2558" s="28"/>
      <x:c r="N2558" s="28"/>
      <x:c r="O2558" s="28"/>
      <x:c r="P2558" s="28"/>
      <x:c r="Q2558" s="28"/>
      <x:c r="R2558" s="28"/>
      <x:c r="S2558" s="28"/>
      <x:c r="T2558" s="28"/>
      <x:c r="U2558" s="28"/>
      <x:c r="V2558" s="28"/>
      <x:c r="W2558" s="43" t="n">
        <x:f>--AND(N2558=1,OR(O2558="SUPPORTED",O2558="HALLUCINATION"))</x:f>
        <x:v>0</x:v>
      </x:c>
      <x:c r="X2558" s="43" t="n">
        <x:f>--AND(W2558=1,O2558="HALLUCINATION")</x:f>
        <x:v>0</x:v>
      </x:c>
      <x:c r="Y2558" s="43" t="n">
        <x:f>--AND(Q2558=1,O2558="HALLUCINATION")</x:f>
        <x:v>0</x:v>
      </x:c>
      <x:c r="Z2558" s="43" t="n">
        <x:f>--AND(Y2558=1,R2558=1,S2558=1)</x:f>
        <x:v>0</x:v>
      </x:c>
      <x:c r="AC2558" t="str">
        <x:f>IF(OR(AA2558="",AB2558=""),"",--(AA2558&lt;&gt;AB2558))</x:f>
      </x:c>
      <x:c r="AE2558" t="str">
        <x:f>IF(OR(AA2558="",AB2558=""),"PENDING_HUMAN",IF(AA2558=AB2558,AA2558,IF(AD2558&lt;&gt;"",AD2558,"PENDING_HUMAN")))</x:f>
        <x:v>PENDING_HUMAN</x:v>
      </x:c>
      <x:c r="AF2558" t="n">
        <x:f>--AND(A2558&lt;&gt;"",AA2558&lt;&gt;"",AB2558&lt;&gt;"",OR(AA2558=AB2558,AD2558&lt;&gt;""),IF(AE2558="HALLUCINATION",U2558&lt;&gt;"",TRUE))</x:f>
        <x:v>0</x:v>
      </x:c>
      <x:c r="AG2558" t="n">
        <x:f>--AND(N2558=1,AF2558=1,OR(AE2558="SUPPORTED",AE2558="HALLUCINATION"))</x:f>
        <x:v>0</x:v>
      </x:c>
      <x:c r="AH2558" t="n">
        <x:f>--AND(AG2558=1,AE2558="HALLUCINATION")</x:f>
        <x:v>0</x:v>
      </x:c>
      <x:c r="AI2558" t="n">
        <x:f>--AND(Q2558=1,AF2558=1,AE2558="HALLUCINATION")</x:f>
        <x:v>0</x:v>
      </x:c>
      <x:c r="AJ2558" t="n">
        <x:f>--AND(AI2558=1,R2558=1,S2558=1)</x:f>
        <x:v>0</x:v>
      </x:c>
    </x:row>
    <x:row r="2559">
      <x:c r="A2559" s="28"/>
      <x:c r="B2559" s="28"/>
      <x:c r="C2559" s="28"/>
      <x:c r="D2559" s="28"/>
      <x:c r="E2559" s="28"/>
      <x:c r="F2559" s="28"/>
      <x:c r="G2559" s="28"/>
      <x:c r="H2559" s="28"/>
      <x:c r="I2559" s="28"/>
      <x:c r="J2559" s="28"/>
      <x:c r="K2559" s="28"/>
      <x:c r="L2559" s="28"/>
      <x:c r="M2559" s="28"/>
      <x:c r="N2559" s="28"/>
      <x:c r="O2559" s="28"/>
      <x:c r="P2559" s="28"/>
      <x:c r="Q2559" s="28"/>
      <x:c r="R2559" s="28"/>
      <x:c r="S2559" s="28"/>
      <x:c r="T2559" s="28"/>
      <x:c r="U2559" s="28"/>
      <x:c r="V2559" s="28"/>
      <x:c r="W2559" s="43" t="n">
        <x:f>--AND(N2559=1,OR(O2559="SUPPORTED",O2559="HALLUCINATION"))</x:f>
        <x:v>0</x:v>
      </x:c>
      <x:c r="X2559" s="43" t="n">
        <x:f>--AND(W2559=1,O2559="HALLUCINATION")</x:f>
        <x:v>0</x:v>
      </x:c>
      <x:c r="Y2559" s="43" t="n">
        <x:f>--AND(Q2559=1,O2559="HALLUCINATION")</x:f>
        <x:v>0</x:v>
      </x:c>
      <x:c r="Z2559" s="43" t="n">
        <x:f>--AND(Y2559=1,R2559=1,S2559=1)</x:f>
        <x:v>0</x:v>
      </x:c>
      <x:c r="AC2559" t="str">
        <x:f>IF(OR(AA2559="",AB2559=""),"",--(AA2559&lt;&gt;AB2559))</x:f>
      </x:c>
      <x:c r="AE2559" t="str">
        <x:f>IF(OR(AA2559="",AB2559=""),"PENDING_HUMAN",IF(AA2559=AB2559,AA2559,IF(AD2559&lt;&gt;"",AD2559,"PENDING_HUMAN")))</x:f>
        <x:v>PENDING_HUMAN</x:v>
      </x:c>
      <x:c r="AF2559" t="n">
        <x:f>--AND(A2559&lt;&gt;"",AA2559&lt;&gt;"",AB2559&lt;&gt;"",OR(AA2559=AB2559,AD2559&lt;&gt;""),IF(AE2559="HALLUCINATION",U2559&lt;&gt;"",TRUE))</x:f>
        <x:v>0</x:v>
      </x:c>
      <x:c r="AG2559" t="n">
        <x:f>--AND(N2559=1,AF2559=1,OR(AE2559="SUPPORTED",AE2559="HALLUCINATION"))</x:f>
        <x:v>0</x:v>
      </x:c>
      <x:c r="AH2559" t="n">
        <x:f>--AND(AG2559=1,AE2559="HALLUCINATION")</x:f>
        <x:v>0</x:v>
      </x:c>
      <x:c r="AI2559" t="n">
        <x:f>--AND(Q2559=1,AF2559=1,AE2559="HALLUCINATION")</x:f>
        <x:v>0</x:v>
      </x:c>
      <x:c r="AJ2559" t="n">
        <x:f>--AND(AI2559=1,R2559=1,S2559=1)</x:f>
        <x:v>0</x:v>
      </x:c>
    </x:row>
    <x:row r="2560">
      <x:c r="A2560" s="28"/>
      <x:c r="B2560" s="28"/>
      <x:c r="C2560" s="28"/>
      <x:c r="D2560" s="28"/>
      <x:c r="E2560" s="28"/>
      <x:c r="F2560" s="28"/>
      <x:c r="G2560" s="28"/>
      <x:c r="H2560" s="28"/>
      <x:c r="I2560" s="28"/>
      <x:c r="J2560" s="28"/>
      <x:c r="K2560" s="28"/>
      <x:c r="L2560" s="28"/>
      <x:c r="M2560" s="28"/>
      <x:c r="N2560" s="28"/>
      <x:c r="O2560" s="28"/>
      <x:c r="P2560" s="28"/>
      <x:c r="Q2560" s="28"/>
      <x:c r="R2560" s="28"/>
      <x:c r="S2560" s="28"/>
      <x:c r="T2560" s="28"/>
      <x:c r="U2560" s="28"/>
      <x:c r="V2560" s="28"/>
      <x:c r="W2560" s="43" t="n">
        <x:f>--AND(N2560=1,OR(O2560="SUPPORTED",O2560="HALLUCINATION"))</x:f>
        <x:v>0</x:v>
      </x:c>
      <x:c r="X2560" s="43" t="n">
        <x:f>--AND(W2560=1,O2560="HALLUCINATION")</x:f>
        <x:v>0</x:v>
      </x:c>
      <x:c r="Y2560" s="43" t="n">
        <x:f>--AND(Q2560=1,O2560="HALLUCINATION")</x:f>
        <x:v>0</x:v>
      </x:c>
      <x:c r="Z2560" s="43" t="n">
        <x:f>--AND(Y2560=1,R2560=1,S2560=1)</x:f>
        <x:v>0</x:v>
      </x:c>
      <x:c r="AC2560" t="str">
        <x:f>IF(OR(AA2560="",AB2560=""),"",--(AA2560&lt;&gt;AB2560))</x:f>
      </x:c>
      <x:c r="AE2560" t="str">
        <x:f>IF(OR(AA2560="",AB2560=""),"PENDING_HUMAN",IF(AA2560=AB2560,AA2560,IF(AD2560&lt;&gt;"",AD2560,"PENDING_HUMAN")))</x:f>
        <x:v>PENDING_HUMAN</x:v>
      </x:c>
      <x:c r="AF2560" t="n">
        <x:f>--AND(A2560&lt;&gt;"",AA2560&lt;&gt;"",AB2560&lt;&gt;"",OR(AA2560=AB2560,AD2560&lt;&gt;""),IF(AE2560="HALLUCINATION",U2560&lt;&gt;"",TRUE))</x:f>
        <x:v>0</x:v>
      </x:c>
      <x:c r="AG2560" t="n">
        <x:f>--AND(N2560=1,AF2560=1,OR(AE2560="SUPPORTED",AE2560="HALLUCINATION"))</x:f>
        <x:v>0</x:v>
      </x:c>
      <x:c r="AH2560" t="n">
        <x:f>--AND(AG2560=1,AE2560="HALLUCINATION")</x:f>
        <x:v>0</x:v>
      </x:c>
      <x:c r="AI2560" t="n">
        <x:f>--AND(Q2560=1,AF2560=1,AE2560="HALLUCINATION")</x:f>
        <x:v>0</x:v>
      </x:c>
      <x:c r="AJ2560" t="n">
        <x:f>--AND(AI2560=1,R2560=1,S2560=1)</x:f>
        <x:v>0</x:v>
      </x:c>
    </x:row>
    <x:row r="2561">
      <x:c r="A2561" s="28"/>
      <x:c r="B2561" s="28"/>
      <x:c r="C2561" s="28"/>
      <x:c r="D2561" s="28"/>
      <x:c r="E2561" s="28"/>
      <x:c r="F2561" s="28"/>
      <x:c r="G2561" s="28"/>
      <x:c r="H2561" s="28"/>
      <x:c r="I2561" s="28"/>
      <x:c r="J2561" s="28"/>
      <x:c r="K2561" s="28"/>
      <x:c r="L2561" s="28"/>
      <x:c r="M2561" s="28"/>
      <x:c r="N2561" s="28"/>
      <x:c r="O2561" s="28"/>
      <x:c r="P2561" s="28"/>
      <x:c r="Q2561" s="28"/>
      <x:c r="R2561" s="28"/>
      <x:c r="S2561" s="28"/>
      <x:c r="T2561" s="28"/>
      <x:c r="U2561" s="28"/>
      <x:c r="V2561" s="28"/>
      <x:c r="W2561" s="43" t="n">
        <x:f>--AND(N2561=1,OR(O2561="SUPPORTED",O2561="HALLUCINATION"))</x:f>
        <x:v>0</x:v>
      </x:c>
      <x:c r="X2561" s="43" t="n">
        <x:f>--AND(W2561=1,O2561="HALLUCINATION")</x:f>
        <x:v>0</x:v>
      </x:c>
      <x:c r="Y2561" s="43" t="n">
        <x:f>--AND(Q2561=1,O2561="HALLUCINATION")</x:f>
        <x:v>0</x:v>
      </x:c>
      <x:c r="Z2561" s="43" t="n">
        <x:f>--AND(Y2561=1,R2561=1,S2561=1)</x:f>
        <x:v>0</x:v>
      </x:c>
      <x:c r="AC2561" t="str">
        <x:f>IF(OR(AA2561="",AB2561=""),"",--(AA2561&lt;&gt;AB2561))</x:f>
      </x:c>
      <x:c r="AE2561" t="str">
        <x:f>IF(OR(AA2561="",AB2561=""),"PENDING_HUMAN",IF(AA2561=AB2561,AA2561,IF(AD2561&lt;&gt;"",AD2561,"PENDING_HUMAN")))</x:f>
        <x:v>PENDING_HUMAN</x:v>
      </x:c>
      <x:c r="AF2561" t="n">
        <x:f>--AND(A2561&lt;&gt;"",AA2561&lt;&gt;"",AB2561&lt;&gt;"",OR(AA2561=AB2561,AD2561&lt;&gt;""),IF(AE2561="HALLUCINATION",U2561&lt;&gt;"",TRUE))</x:f>
        <x:v>0</x:v>
      </x:c>
      <x:c r="AG2561" t="n">
        <x:f>--AND(N2561=1,AF2561=1,OR(AE2561="SUPPORTED",AE2561="HALLUCINATION"))</x:f>
        <x:v>0</x:v>
      </x:c>
      <x:c r="AH2561" t="n">
        <x:f>--AND(AG2561=1,AE2561="HALLUCINATION")</x:f>
        <x:v>0</x:v>
      </x:c>
      <x:c r="AI2561" t="n">
        <x:f>--AND(Q2561=1,AF2561=1,AE2561="HALLUCINATION")</x:f>
        <x:v>0</x:v>
      </x:c>
      <x:c r="AJ2561" t="n">
        <x:f>--AND(AI2561=1,R2561=1,S2561=1)</x:f>
        <x:v>0</x:v>
      </x:c>
    </x:row>
    <x:row r="2562">
      <x:c r="A2562" s="28"/>
      <x:c r="B2562" s="28"/>
      <x:c r="C2562" s="28"/>
      <x:c r="D2562" s="28"/>
      <x:c r="E2562" s="28"/>
      <x:c r="F2562" s="28"/>
      <x:c r="G2562" s="28"/>
      <x:c r="H2562" s="28"/>
      <x:c r="I2562" s="28"/>
      <x:c r="J2562" s="28"/>
      <x:c r="K2562" s="28"/>
      <x:c r="L2562" s="28"/>
      <x:c r="M2562" s="28"/>
      <x:c r="N2562" s="28"/>
      <x:c r="O2562" s="28"/>
      <x:c r="P2562" s="28"/>
      <x:c r="Q2562" s="28"/>
      <x:c r="R2562" s="28"/>
      <x:c r="S2562" s="28"/>
      <x:c r="T2562" s="28"/>
      <x:c r="U2562" s="28"/>
      <x:c r="V2562" s="28"/>
      <x:c r="W2562" s="43" t="n">
        <x:f>--AND(N2562=1,OR(O2562="SUPPORTED",O2562="HALLUCINATION"))</x:f>
        <x:v>0</x:v>
      </x:c>
      <x:c r="X2562" s="43" t="n">
        <x:f>--AND(W2562=1,O2562="HALLUCINATION")</x:f>
        <x:v>0</x:v>
      </x:c>
      <x:c r="Y2562" s="43" t="n">
        <x:f>--AND(Q2562=1,O2562="HALLUCINATION")</x:f>
        <x:v>0</x:v>
      </x:c>
      <x:c r="Z2562" s="43" t="n">
        <x:f>--AND(Y2562=1,R2562=1,S2562=1)</x:f>
        <x:v>0</x:v>
      </x:c>
      <x:c r="AC2562" t="str">
        <x:f>IF(OR(AA2562="",AB2562=""),"",--(AA2562&lt;&gt;AB2562))</x:f>
      </x:c>
      <x:c r="AE2562" t="str">
        <x:f>IF(OR(AA2562="",AB2562=""),"PENDING_HUMAN",IF(AA2562=AB2562,AA2562,IF(AD2562&lt;&gt;"",AD2562,"PENDING_HUMAN")))</x:f>
        <x:v>PENDING_HUMAN</x:v>
      </x:c>
      <x:c r="AF2562" t="n">
        <x:f>--AND(A2562&lt;&gt;"",AA2562&lt;&gt;"",AB2562&lt;&gt;"",OR(AA2562=AB2562,AD2562&lt;&gt;""),IF(AE2562="HALLUCINATION",U2562&lt;&gt;"",TRUE))</x:f>
        <x:v>0</x:v>
      </x:c>
      <x:c r="AG2562" t="n">
        <x:f>--AND(N2562=1,AF2562=1,OR(AE2562="SUPPORTED",AE2562="HALLUCINATION"))</x:f>
        <x:v>0</x:v>
      </x:c>
      <x:c r="AH2562" t="n">
        <x:f>--AND(AG2562=1,AE2562="HALLUCINATION")</x:f>
        <x:v>0</x:v>
      </x:c>
      <x:c r="AI2562" t="n">
        <x:f>--AND(Q2562=1,AF2562=1,AE2562="HALLUCINATION")</x:f>
        <x:v>0</x:v>
      </x:c>
      <x:c r="AJ2562" t="n">
        <x:f>--AND(AI2562=1,R2562=1,S2562=1)</x:f>
        <x:v>0</x:v>
      </x:c>
    </x:row>
    <x:row r="2563">
      <x:c r="A2563" s="28"/>
      <x:c r="B2563" s="28"/>
      <x:c r="C2563" s="28"/>
      <x:c r="D2563" s="28"/>
      <x:c r="E2563" s="28"/>
      <x:c r="F2563" s="28"/>
      <x:c r="G2563" s="28"/>
      <x:c r="H2563" s="28"/>
      <x:c r="I2563" s="28"/>
      <x:c r="J2563" s="28"/>
      <x:c r="K2563" s="28"/>
      <x:c r="L2563" s="28"/>
      <x:c r="M2563" s="28"/>
      <x:c r="N2563" s="28"/>
      <x:c r="O2563" s="28"/>
      <x:c r="P2563" s="28"/>
      <x:c r="Q2563" s="28"/>
      <x:c r="R2563" s="28"/>
      <x:c r="S2563" s="28"/>
      <x:c r="T2563" s="28"/>
      <x:c r="U2563" s="28"/>
      <x:c r="V2563" s="28"/>
      <x:c r="W2563" s="43" t="n">
        <x:f>--AND(N2563=1,OR(O2563="SUPPORTED",O2563="HALLUCINATION"))</x:f>
        <x:v>0</x:v>
      </x:c>
      <x:c r="X2563" s="43" t="n">
        <x:f>--AND(W2563=1,O2563="HALLUCINATION")</x:f>
        <x:v>0</x:v>
      </x:c>
      <x:c r="Y2563" s="43" t="n">
        <x:f>--AND(Q2563=1,O2563="HALLUCINATION")</x:f>
        <x:v>0</x:v>
      </x:c>
      <x:c r="Z2563" s="43" t="n">
        <x:f>--AND(Y2563=1,R2563=1,S2563=1)</x:f>
        <x:v>0</x:v>
      </x:c>
      <x:c r="AC2563" t="str">
        <x:f>IF(OR(AA2563="",AB2563=""),"",--(AA2563&lt;&gt;AB2563))</x:f>
      </x:c>
      <x:c r="AE2563" t="str">
        <x:f>IF(OR(AA2563="",AB2563=""),"PENDING_HUMAN",IF(AA2563=AB2563,AA2563,IF(AD2563&lt;&gt;"",AD2563,"PENDING_HUMAN")))</x:f>
        <x:v>PENDING_HUMAN</x:v>
      </x:c>
      <x:c r="AF2563" t="n">
        <x:f>--AND(A2563&lt;&gt;"",AA2563&lt;&gt;"",AB2563&lt;&gt;"",OR(AA2563=AB2563,AD2563&lt;&gt;""),IF(AE2563="HALLUCINATION",U2563&lt;&gt;"",TRUE))</x:f>
        <x:v>0</x:v>
      </x:c>
      <x:c r="AG2563" t="n">
        <x:f>--AND(N2563=1,AF2563=1,OR(AE2563="SUPPORTED",AE2563="HALLUCINATION"))</x:f>
        <x:v>0</x:v>
      </x:c>
      <x:c r="AH2563" t="n">
        <x:f>--AND(AG2563=1,AE2563="HALLUCINATION")</x:f>
        <x:v>0</x:v>
      </x:c>
      <x:c r="AI2563" t="n">
        <x:f>--AND(Q2563=1,AF2563=1,AE2563="HALLUCINATION")</x:f>
        <x:v>0</x:v>
      </x:c>
      <x:c r="AJ2563" t="n">
        <x:f>--AND(AI2563=1,R2563=1,S2563=1)</x:f>
        <x:v>0</x:v>
      </x:c>
    </x:row>
    <x:row r="2564">
      <x:c r="A2564" s="28"/>
      <x:c r="B2564" s="28"/>
      <x:c r="C2564" s="28"/>
      <x:c r="D2564" s="28"/>
      <x:c r="E2564" s="28"/>
      <x:c r="F2564" s="28"/>
      <x:c r="G2564" s="28"/>
      <x:c r="H2564" s="28"/>
      <x:c r="I2564" s="28"/>
      <x:c r="J2564" s="28"/>
      <x:c r="K2564" s="28"/>
      <x:c r="L2564" s="28"/>
      <x:c r="M2564" s="28"/>
      <x:c r="N2564" s="28"/>
      <x:c r="O2564" s="28"/>
      <x:c r="P2564" s="28"/>
      <x:c r="Q2564" s="28"/>
      <x:c r="R2564" s="28"/>
      <x:c r="S2564" s="28"/>
      <x:c r="T2564" s="28"/>
      <x:c r="U2564" s="28"/>
      <x:c r="V2564" s="28"/>
      <x:c r="W2564" s="43" t="n">
        <x:f>--AND(N2564=1,OR(O2564="SUPPORTED",O2564="HALLUCINATION"))</x:f>
        <x:v>0</x:v>
      </x:c>
      <x:c r="X2564" s="43" t="n">
        <x:f>--AND(W2564=1,O2564="HALLUCINATION")</x:f>
        <x:v>0</x:v>
      </x:c>
      <x:c r="Y2564" s="43" t="n">
        <x:f>--AND(Q2564=1,O2564="HALLUCINATION")</x:f>
        <x:v>0</x:v>
      </x:c>
      <x:c r="Z2564" s="43" t="n">
        <x:f>--AND(Y2564=1,R2564=1,S2564=1)</x:f>
        <x:v>0</x:v>
      </x:c>
      <x:c r="AC2564" t="str">
        <x:f>IF(OR(AA2564="",AB2564=""),"",--(AA2564&lt;&gt;AB2564))</x:f>
      </x:c>
      <x:c r="AE2564" t="str">
        <x:f>IF(OR(AA2564="",AB2564=""),"PENDING_HUMAN",IF(AA2564=AB2564,AA2564,IF(AD2564&lt;&gt;"",AD2564,"PENDING_HUMAN")))</x:f>
        <x:v>PENDING_HUMAN</x:v>
      </x:c>
      <x:c r="AF2564" t="n">
        <x:f>--AND(A2564&lt;&gt;"",AA2564&lt;&gt;"",AB2564&lt;&gt;"",OR(AA2564=AB2564,AD2564&lt;&gt;""),IF(AE2564="HALLUCINATION",U2564&lt;&gt;"",TRUE))</x:f>
        <x:v>0</x:v>
      </x:c>
      <x:c r="AG2564" t="n">
        <x:f>--AND(N2564=1,AF2564=1,OR(AE2564="SUPPORTED",AE2564="HALLUCINATION"))</x:f>
        <x:v>0</x:v>
      </x:c>
      <x:c r="AH2564" t="n">
        <x:f>--AND(AG2564=1,AE2564="HALLUCINATION")</x:f>
        <x:v>0</x:v>
      </x:c>
      <x:c r="AI2564" t="n">
        <x:f>--AND(Q2564=1,AF2564=1,AE2564="HALLUCINATION")</x:f>
        <x:v>0</x:v>
      </x:c>
      <x:c r="AJ2564" t="n">
        <x:f>--AND(AI2564=1,R2564=1,S2564=1)</x:f>
        <x:v>0</x:v>
      </x:c>
    </x:row>
    <x:row r="2565">
      <x:c r="A2565" s="28"/>
      <x:c r="B2565" s="28"/>
      <x:c r="C2565" s="28"/>
      <x:c r="D2565" s="28"/>
      <x:c r="E2565" s="28"/>
      <x:c r="F2565" s="28"/>
      <x:c r="G2565" s="28"/>
      <x:c r="H2565" s="28"/>
      <x:c r="I2565" s="28"/>
      <x:c r="J2565" s="28"/>
      <x:c r="K2565" s="28"/>
      <x:c r="L2565" s="28"/>
      <x:c r="M2565" s="28"/>
      <x:c r="N2565" s="28"/>
      <x:c r="O2565" s="28"/>
      <x:c r="P2565" s="28"/>
      <x:c r="Q2565" s="28"/>
      <x:c r="R2565" s="28"/>
      <x:c r="S2565" s="28"/>
      <x:c r="T2565" s="28"/>
      <x:c r="U2565" s="28"/>
      <x:c r="V2565" s="28"/>
      <x:c r="W2565" s="43" t="n">
        <x:f>--AND(N2565=1,OR(O2565="SUPPORTED",O2565="HALLUCINATION"))</x:f>
        <x:v>0</x:v>
      </x:c>
      <x:c r="X2565" s="43" t="n">
        <x:f>--AND(W2565=1,O2565="HALLUCINATION")</x:f>
        <x:v>0</x:v>
      </x:c>
      <x:c r="Y2565" s="43" t="n">
        <x:f>--AND(Q2565=1,O2565="HALLUCINATION")</x:f>
        <x:v>0</x:v>
      </x:c>
      <x:c r="Z2565" s="43" t="n">
        <x:f>--AND(Y2565=1,R2565=1,S2565=1)</x:f>
        <x:v>0</x:v>
      </x:c>
      <x:c r="AC2565" t="str">
        <x:f>IF(OR(AA2565="",AB2565=""),"",--(AA2565&lt;&gt;AB2565))</x:f>
      </x:c>
      <x:c r="AE2565" t="str">
        <x:f>IF(OR(AA2565="",AB2565=""),"PENDING_HUMAN",IF(AA2565=AB2565,AA2565,IF(AD2565&lt;&gt;"",AD2565,"PENDING_HUMAN")))</x:f>
        <x:v>PENDING_HUMAN</x:v>
      </x:c>
      <x:c r="AF2565" t="n">
        <x:f>--AND(A2565&lt;&gt;"",AA2565&lt;&gt;"",AB2565&lt;&gt;"",OR(AA2565=AB2565,AD2565&lt;&gt;""),IF(AE2565="HALLUCINATION",U2565&lt;&gt;"",TRUE))</x:f>
        <x:v>0</x:v>
      </x:c>
      <x:c r="AG2565" t="n">
        <x:f>--AND(N2565=1,AF2565=1,OR(AE2565="SUPPORTED",AE2565="HALLUCINATION"))</x:f>
        <x:v>0</x:v>
      </x:c>
      <x:c r="AH2565" t="n">
        <x:f>--AND(AG2565=1,AE2565="HALLUCINATION")</x:f>
        <x:v>0</x:v>
      </x:c>
      <x:c r="AI2565" t="n">
        <x:f>--AND(Q2565=1,AF2565=1,AE2565="HALLUCINATION")</x:f>
        <x:v>0</x:v>
      </x:c>
      <x:c r="AJ2565" t="n">
        <x:f>--AND(AI2565=1,R2565=1,S2565=1)</x:f>
        <x:v>0</x:v>
      </x:c>
    </x:row>
    <x:row r="2566">
      <x:c r="A2566" s="28"/>
      <x:c r="B2566" s="28"/>
      <x:c r="C2566" s="28"/>
      <x:c r="D2566" s="28"/>
      <x:c r="E2566" s="28"/>
      <x:c r="F2566" s="28"/>
      <x:c r="G2566" s="28"/>
      <x:c r="H2566" s="28"/>
      <x:c r="I2566" s="28"/>
      <x:c r="J2566" s="28"/>
      <x:c r="K2566" s="28"/>
      <x:c r="L2566" s="28"/>
      <x:c r="M2566" s="28"/>
      <x:c r="N2566" s="28"/>
      <x:c r="O2566" s="28"/>
      <x:c r="P2566" s="28"/>
      <x:c r="Q2566" s="28"/>
      <x:c r="R2566" s="28"/>
      <x:c r="S2566" s="28"/>
      <x:c r="T2566" s="28"/>
      <x:c r="U2566" s="28"/>
      <x:c r="V2566" s="28"/>
      <x:c r="W2566" s="43" t="n">
        <x:f>--AND(N2566=1,OR(O2566="SUPPORTED",O2566="HALLUCINATION"))</x:f>
        <x:v>0</x:v>
      </x:c>
      <x:c r="X2566" s="43" t="n">
        <x:f>--AND(W2566=1,O2566="HALLUCINATION")</x:f>
        <x:v>0</x:v>
      </x:c>
      <x:c r="Y2566" s="43" t="n">
        <x:f>--AND(Q2566=1,O2566="HALLUCINATION")</x:f>
        <x:v>0</x:v>
      </x:c>
      <x:c r="Z2566" s="43" t="n">
        <x:f>--AND(Y2566=1,R2566=1,S2566=1)</x:f>
        <x:v>0</x:v>
      </x:c>
      <x:c r="AC2566" t="str">
        <x:f>IF(OR(AA2566="",AB2566=""),"",--(AA2566&lt;&gt;AB2566))</x:f>
      </x:c>
      <x:c r="AE2566" t="str">
        <x:f>IF(OR(AA2566="",AB2566=""),"PENDING_HUMAN",IF(AA2566=AB2566,AA2566,IF(AD2566&lt;&gt;"",AD2566,"PENDING_HUMAN")))</x:f>
        <x:v>PENDING_HUMAN</x:v>
      </x:c>
      <x:c r="AF2566" t="n">
        <x:f>--AND(A2566&lt;&gt;"",AA2566&lt;&gt;"",AB2566&lt;&gt;"",OR(AA2566=AB2566,AD2566&lt;&gt;""),IF(AE2566="HALLUCINATION",U2566&lt;&gt;"",TRUE))</x:f>
        <x:v>0</x:v>
      </x:c>
      <x:c r="AG2566" t="n">
        <x:f>--AND(N2566=1,AF2566=1,OR(AE2566="SUPPORTED",AE2566="HALLUCINATION"))</x:f>
        <x:v>0</x:v>
      </x:c>
      <x:c r="AH2566" t="n">
        <x:f>--AND(AG2566=1,AE2566="HALLUCINATION")</x:f>
        <x:v>0</x:v>
      </x:c>
      <x:c r="AI2566" t="n">
        <x:f>--AND(Q2566=1,AF2566=1,AE2566="HALLUCINATION")</x:f>
        <x:v>0</x:v>
      </x:c>
      <x:c r="AJ2566" t="n">
        <x:f>--AND(AI2566=1,R2566=1,S2566=1)</x:f>
        <x:v>0</x:v>
      </x:c>
    </x:row>
    <x:row r="2567">
      <x:c r="A2567" s="28"/>
      <x:c r="B2567" s="28"/>
      <x:c r="C2567" s="28"/>
      <x:c r="D2567" s="28"/>
      <x:c r="E2567" s="28"/>
      <x:c r="F2567" s="28"/>
      <x:c r="G2567" s="28"/>
      <x:c r="H2567" s="28"/>
      <x:c r="I2567" s="28"/>
      <x:c r="J2567" s="28"/>
      <x:c r="K2567" s="28"/>
      <x:c r="L2567" s="28"/>
      <x:c r="M2567" s="28"/>
      <x:c r="N2567" s="28"/>
      <x:c r="O2567" s="28"/>
      <x:c r="P2567" s="28"/>
      <x:c r="Q2567" s="28"/>
      <x:c r="R2567" s="28"/>
      <x:c r="S2567" s="28"/>
      <x:c r="T2567" s="28"/>
      <x:c r="U2567" s="28"/>
      <x:c r="V2567" s="28"/>
      <x:c r="W2567" s="43" t="n">
        <x:f>--AND(N2567=1,OR(O2567="SUPPORTED",O2567="HALLUCINATION"))</x:f>
        <x:v>0</x:v>
      </x:c>
      <x:c r="X2567" s="43" t="n">
        <x:f>--AND(W2567=1,O2567="HALLUCINATION")</x:f>
        <x:v>0</x:v>
      </x:c>
      <x:c r="Y2567" s="43" t="n">
        <x:f>--AND(Q2567=1,O2567="HALLUCINATION")</x:f>
        <x:v>0</x:v>
      </x:c>
      <x:c r="Z2567" s="43" t="n">
        <x:f>--AND(Y2567=1,R2567=1,S2567=1)</x:f>
        <x:v>0</x:v>
      </x:c>
      <x:c r="AC2567" t="str">
        <x:f>IF(OR(AA2567="",AB2567=""),"",--(AA2567&lt;&gt;AB2567))</x:f>
      </x:c>
      <x:c r="AE2567" t="str">
        <x:f>IF(OR(AA2567="",AB2567=""),"PENDING_HUMAN",IF(AA2567=AB2567,AA2567,IF(AD2567&lt;&gt;"",AD2567,"PENDING_HUMAN")))</x:f>
        <x:v>PENDING_HUMAN</x:v>
      </x:c>
      <x:c r="AF2567" t="n">
        <x:f>--AND(A2567&lt;&gt;"",AA2567&lt;&gt;"",AB2567&lt;&gt;"",OR(AA2567=AB2567,AD2567&lt;&gt;""),IF(AE2567="HALLUCINATION",U2567&lt;&gt;"",TRUE))</x:f>
        <x:v>0</x:v>
      </x:c>
      <x:c r="AG2567" t="n">
        <x:f>--AND(N2567=1,AF2567=1,OR(AE2567="SUPPORTED",AE2567="HALLUCINATION"))</x:f>
        <x:v>0</x:v>
      </x:c>
      <x:c r="AH2567" t="n">
        <x:f>--AND(AG2567=1,AE2567="HALLUCINATION")</x:f>
        <x:v>0</x:v>
      </x:c>
      <x:c r="AI2567" t="n">
        <x:f>--AND(Q2567=1,AF2567=1,AE2567="HALLUCINATION")</x:f>
        <x:v>0</x:v>
      </x:c>
      <x:c r="AJ2567" t="n">
        <x:f>--AND(AI2567=1,R2567=1,S2567=1)</x:f>
        <x:v>0</x:v>
      </x:c>
    </x:row>
    <x:row r="2568">
      <x:c r="A2568" s="28"/>
      <x:c r="B2568" s="28"/>
      <x:c r="C2568" s="28"/>
      <x:c r="D2568" s="28"/>
      <x:c r="E2568" s="28"/>
      <x:c r="F2568" s="28"/>
      <x:c r="G2568" s="28"/>
      <x:c r="H2568" s="28"/>
      <x:c r="I2568" s="28"/>
      <x:c r="J2568" s="28"/>
      <x:c r="K2568" s="28"/>
      <x:c r="L2568" s="28"/>
      <x:c r="M2568" s="28"/>
      <x:c r="N2568" s="28"/>
      <x:c r="O2568" s="28"/>
      <x:c r="P2568" s="28"/>
      <x:c r="Q2568" s="28"/>
      <x:c r="R2568" s="28"/>
      <x:c r="S2568" s="28"/>
      <x:c r="T2568" s="28"/>
      <x:c r="U2568" s="28"/>
      <x:c r="V2568" s="28"/>
      <x:c r="W2568" s="43" t="n">
        <x:f>--AND(N2568=1,OR(O2568="SUPPORTED",O2568="HALLUCINATION"))</x:f>
        <x:v>0</x:v>
      </x:c>
      <x:c r="X2568" s="43" t="n">
        <x:f>--AND(W2568=1,O2568="HALLUCINATION")</x:f>
        <x:v>0</x:v>
      </x:c>
      <x:c r="Y2568" s="43" t="n">
        <x:f>--AND(Q2568=1,O2568="HALLUCINATION")</x:f>
        <x:v>0</x:v>
      </x:c>
      <x:c r="Z2568" s="43" t="n">
        <x:f>--AND(Y2568=1,R2568=1,S2568=1)</x:f>
        <x:v>0</x:v>
      </x:c>
      <x:c r="AC2568" t="str">
        <x:f>IF(OR(AA2568="",AB2568=""),"",--(AA2568&lt;&gt;AB2568))</x:f>
      </x:c>
      <x:c r="AE2568" t="str">
        <x:f>IF(OR(AA2568="",AB2568=""),"PENDING_HUMAN",IF(AA2568=AB2568,AA2568,IF(AD2568&lt;&gt;"",AD2568,"PENDING_HUMAN")))</x:f>
        <x:v>PENDING_HUMAN</x:v>
      </x:c>
      <x:c r="AF2568" t="n">
        <x:f>--AND(A2568&lt;&gt;"",AA2568&lt;&gt;"",AB2568&lt;&gt;"",OR(AA2568=AB2568,AD2568&lt;&gt;""),IF(AE2568="HALLUCINATION",U2568&lt;&gt;"",TRUE))</x:f>
        <x:v>0</x:v>
      </x:c>
      <x:c r="AG2568" t="n">
        <x:f>--AND(N2568=1,AF2568=1,OR(AE2568="SUPPORTED",AE2568="HALLUCINATION"))</x:f>
        <x:v>0</x:v>
      </x:c>
      <x:c r="AH2568" t="n">
        <x:f>--AND(AG2568=1,AE2568="HALLUCINATION")</x:f>
        <x:v>0</x:v>
      </x:c>
      <x:c r="AI2568" t="n">
        <x:f>--AND(Q2568=1,AF2568=1,AE2568="HALLUCINATION")</x:f>
        <x:v>0</x:v>
      </x:c>
      <x:c r="AJ2568" t="n">
        <x:f>--AND(AI2568=1,R2568=1,S2568=1)</x:f>
        <x:v>0</x:v>
      </x:c>
    </x:row>
    <x:row r="2569">
      <x:c r="A2569" s="28"/>
      <x:c r="B2569" s="28"/>
      <x:c r="C2569" s="28"/>
      <x:c r="D2569" s="28"/>
      <x:c r="E2569" s="28"/>
      <x:c r="F2569" s="28"/>
      <x:c r="G2569" s="28"/>
      <x:c r="H2569" s="28"/>
      <x:c r="I2569" s="28"/>
      <x:c r="J2569" s="28"/>
      <x:c r="K2569" s="28"/>
      <x:c r="L2569" s="28"/>
      <x:c r="M2569" s="28"/>
      <x:c r="N2569" s="28"/>
      <x:c r="O2569" s="28"/>
      <x:c r="P2569" s="28"/>
      <x:c r="Q2569" s="28"/>
      <x:c r="R2569" s="28"/>
      <x:c r="S2569" s="28"/>
      <x:c r="T2569" s="28"/>
      <x:c r="U2569" s="28"/>
      <x:c r="V2569" s="28"/>
      <x:c r="W2569" s="43" t="n">
        <x:f>--AND(N2569=1,OR(O2569="SUPPORTED",O2569="HALLUCINATION"))</x:f>
        <x:v>0</x:v>
      </x:c>
      <x:c r="X2569" s="43" t="n">
        <x:f>--AND(W2569=1,O2569="HALLUCINATION")</x:f>
        <x:v>0</x:v>
      </x:c>
      <x:c r="Y2569" s="43" t="n">
        <x:f>--AND(Q2569=1,O2569="HALLUCINATION")</x:f>
        <x:v>0</x:v>
      </x:c>
      <x:c r="Z2569" s="43" t="n">
        <x:f>--AND(Y2569=1,R2569=1,S2569=1)</x:f>
        <x:v>0</x:v>
      </x:c>
      <x:c r="AC2569" t="str">
        <x:f>IF(OR(AA2569="",AB2569=""),"",--(AA2569&lt;&gt;AB2569))</x:f>
      </x:c>
      <x:c r="AE2569" t="str">
        <x:f>IF(OR(AA2569="",AB2569=""),"PENDING_HUMAN",IF(AA2569=AB2569,AA2569,IF(AD2569&lt;&gt;"",AD2569,"PENDING_HUMAN")))</x:f>
        <x:v>PENDING_HUMAN</x:v>
      </x:c>
      <x:c r="AF2569" t="n">
        <x:f>--AND(A2569&lt;&gt;"",AA2569&lt;&gt;"",AB2569&lt;&gt;"",OR(AA2569=AB2569,AD2569&lt;&gt;""),IF(AE2569="HALLUCINATION",U2569&lt;&gt;"",TRUE))</x:f>
        <x:v>0</x:v>
      </x:c>
      <x:c r="AG2569" t="n">
        <x:f>--AND(N2569=1,AF2569=1,OR(AE2569="SUPPORTED",AE2569="HALLUCINATION"))</x:f>
        <x:v>0</x:v>
      </x:c>
      <x:c r="AH2569" t="n">
        <x:f>--AND(AG2569=1,AE2569="HALLUCINATION")</x:f>
        <x:v>0</x:v>
      </x:c>
      <x:c r="AI2569" t="n">
        <x:f>--AND(Q2569=1,AF2569=1,AE2569="HALLUCINATION")</x:f>
        <x:v>0</x:v>
      </x:c>
      <x:c r="AJ2569" t="n">
        <x:f>--AND(AI2569=1,R2569=1,S2569=1)</x:f>
        <x:v>0</x:v>
      </x:c>
    </x:row>
    <x:row r="2570">
      <x:c r="A2570" s="28"/>
      <x:c r="B2570" s="28"/>
      <x:c r="C2570" s="28"/>
      <x:c r="D2570" s="28"/>
      <x:c r="E2570" s="28"/>
      <x:c r="F2570" s="28"/>
      <x:c r="G2570" s="28"/>
      <x:c r="H2570" s="28"/>
      <x:c r="I2570" s="28"/>
      <x:c r="J2570" s="28"/>
      <x:c r="K2570" s="28"/>
      <x:c r="L2570" s="28"/>
      <x:c r="M2570" s="28"/>
      <x:c r="N2570" s="28"/>
      <x:c r="O2570" s="28"/>
      <x:c r="P2570" s="28"/>
      <x:c r="Q2570" s="28"/>
      <x:c r="R2570" s="28"/>
      <x:c r="S2570" s="28"/>
      <x:c r="T2570" s="28"/>
      <x:c r="U2570" s="28"/>
      <x:c r="V2570" s="28"/>
      <x:c r="W2570" s="43" t="n">
        <x:f>--AND(N2570=1,OR(O2570="SUPPORTED",O2570="HALLUCINATION"))</x:f>
        <x:v>0</x:v>
      </x:c>
      <x:c r="X2570" s="43" t="n">
        <x:f>--AND(W2570=1,O2570="HALLUCINATION")</x:f>
        <x:v>0</x:v>
      </x:c>
      <x:c r="Y2570" s="43" t="n">
        <x:f>--AND(Q2570=1,O2570="HALLUCINATION")</x:f>
        <x:v>0</x:v>
      </x:c>
      <x:c r="Z2570" s="43" t="n">
        <x:f>--AND(Y2570=1,R2570=1,S2570=1)</x:f>
        <x:v>0</x:v>
      </x:c>
      <x:c r="AC2570" t="str">
        <x:f>IF(OR(AA2570="",AB2570=""),"",--(AA2570&lt;&gt;AB2570))</x:f>
      </x:c>
      <x:c r="AE2570" t="str">
        <x:f>IF(OR(AA2570="",AB2570=""),"PENDING_HUMAN",IF(AA2570=AB2570,AA2570,IF(AD2570&lt;&gt;"",AD2570,"PENDING_HUMAN")))</x:f>
        <x:v>PENDING_HUMAN</x:v>
      </x:c>
      <x:c r="AF2570" t="n">
        <x:f>--AND(A2570&lt;&gt;"",AA2570&lt;&gt;"",AB2570&lt;&gt;"",OR(AA2570=AB2570,AD2570&lt;&gt;""),IF(AE2570="HALLUCINATION",U2570&lt;&gt;"",TRUE))</x:f>
        <x:v>0</x:v>
      </x:c>
      <x:c r="AG2570" t="n">
        <x:f>--AND(N2570=1,AF2570=1,OR(AE2570="SUPPORTED",AE2570="HALLUCINATION"))</x:f>
        <x:v>0</x:v>
      </x:c>
      <x:c r="AH2570" t="n">
        <x:f>--AND(AG2570=1,AE2570="HALLUCINATION")</x:f>
        <x:v>0</x:v>
      </x:c>
      <x:c r="AI2570" t="n">
        <x:f>--AND(Q2570=1,AF2570=1,AE2570="HALLUCINATION")</x:f>
        <x:v>0</x:v>
      </x:c>
      <x:c r="AJ2570" t="n">
        <x:f>--AND(AI2570=1,R2570=1,S2570=1)</x:f>
        <x:v>0</x:v>
      </x:c>
    </x:row>
    <x:row r="2571">
      <x:c r="A2571" s="28"/>
      <x:c r="B2571" s="28"/>
      <x:c r="C2571" s="28"/>
      <x:c r="D2571" s="28"/>
      <x:c r="E2571" s="28"/>
      <x:c r="F2571" s="28"/>
      <x:c r="G2571" s="28"/>
      <x:c r="H2571" s="28"/>
      <x:c r="I2571" s="28"/>
      <x:c r="J2571" s="28"/>
      <x:c r="K2571" s="28"/>
      <x:c r="L2571" s="28"/>
      <x:c r="M2571" s="28"/>
      <x:c r="N2571" s="28"/>
      <x:c r="O2571" s="28"/>
      <x:c r="P2571" s="28"/>
      <x:c r="Q2571" s="28"/>
      <x:c r="R2571" s="28"/>
      <x:c r="S2571" s="28"/>
      <x:c r="T2571" s="28"/>
      <x:c r="U2571" s="28"/>
      <x:c r="V2571" s="28"/>
      <x:c r="W2571" s="43" t="n">
        <x:f>--AND(N2571=1,OR(O2571="SUPPORTED",O2571="HALLUCINATION"))</x:f>
        <x:v>0</x:v>
      </x:c>
      <x:c r="X2571" s="43" t="n">
        <x:f>--AND(W2571=1,O2571="HALLUCINATION")</x:f>
        <x:v>0</x:v>
      </x:c>
      <x:c r="Y2571" s="43" t="n">
        <x:f>--AND(Q2571=1,O2571="HALLUCINATION")</x:f>
        <x:v>0</x:v>
      </x:c>
      <x:c r="Z2571" s="43" t="n">
        <x:f>--AND(Y2571=1,R2571=1,S2571=1)</x:f>
        <x:v>0</x:v>
      </x:c>
      <x:c r="AC2571" t="str">
        <x:f>IF(OR(AA2571="",AB2571=""),"",--(AA2571&lt;&gt;AB2571))</x:f>
      </x:c>
      <x:c r="AE2571" t="str">
        <x:f>IF(OR(AA2571="",AB2571=""),"PENDING_HUMAN",IF(AA2571=AB2571,AA2571,IF(AD2571&lt;&gt;"",AD2571,"PENDING_HUMAN")))</x:f>
        <x:v>PENDING_HUMAN</x:v>
      </x:c>
      <x:c r="AF2571" t="n">
        <x:f>--AND(A2571&lt;&gt;"",AA2571&lt;&gt;"",AB2571&lt;&gt;"",OR(AA2571=AB2571,AD2571&lt;&gt;""),IF(AE2571="HALLUCINATION",U2571&lt;&gt;"",TRUE))</x:f>
        <x:v>0</x:v>
      </x:c>
      <x:c r="AG2571" t="n">
        <x:f>--AND(N2571=1,AF2571=1,OR(AE2571="SUPPORTED",AE2571="HALLUCINATION"))</x:f>
        <x:v>0</x:v>
      </x:c>
      <x:c r="AH2571" t="n">
        <x:f>--AND(AG2571=1,AE2571="HALLUCINATION")</x:f>
        <x:v>0</x:v>
      </x:c>
      <x:c r="AI2571" t="n">
        <x:f>--AND(Q2571=1,AF2571=1,AE2571="HALLUCINATION")</x:f>
        <x:v>0</x:v>
      </x:c>
      <x:c r="AJ2571" t="n">
        <x:f>--AND(AI2571=1,R2571=1,S2571=1)</x:f>
        <x:v>0</x:v>
      </x:c>
    </x:row>
    <x:row r="2572">
      <x:c r="A2572" s="28"/>
      <x:c r="B2572" s="28"/>
      <x:c r="C2572" s="28"/>
      <x:c r="D2572" s="28"/>
      <x:c r="E2572" s="28"/>
      <x:c r="F2572" s="28"/>
      <x:c r="G2572" s="28"/>
      <x:c r="H2572" s="28"/>
      <x:c r="I2572" s="28"/>
      <x:c r="J2572" s="28"/>
      <x:c r="K2572" s="28"/>
      <x:c r="L2572" s="28"/>
      <x:c r="M2572" s="28"/>
      <x:c r="N2572" s="28"/>
      <x:c r="O2572" s="28"/>
      <x:c r="P2572" s="28"/>
      <x:c r="Q2572" s="28"/>
      <x:c r="R2572" s="28"/>
      <x:c r="S2572" s="28"/>
      <x:c r="T2572" s="28"/>
      <x:c r="U2572" s="28"/>
      <x:c r="V2572" s="28"/>
      <x:c r="W2572" s="43" t="n">
        <x:f>--AND(N2572=1,OR(O2572="SUPPORTED",O2572="HALLUCINATION"))</x:f>
        <x:v>0</x:v>
      </x:c>
      <x:c r="X2572" s="43" t="n">
        <x:f>--AND(W2572=1,O2572="HALLUCINATION")</x:f>
        <x:v>0</x:v>
      </x:c>
      <x:c r="Y2572" s="43" t="n">
        <x:f>--AND(Q2572=1,O2572="HALLUCINATION")</x:f>
        <x:v>0</x:v>
      </x:c>
      <x:c r="Z2572" s="43" t="n">
        <x:f>--AND(Y2572=1,R2572=1,S2572=1)</x:f>
        <x:v>0</x:v>
      </x:c>
      <x:c r="AC2572" t="str">
        <x:f>IF(OR(AA2572="",AB2572=""),"",--(AA2572&lt;&gt;AB2572))</x:f>
      </x:c>
      <x:c r="AE2572" t="str">
        <x:f>IF(OR(AA2572="",AB2572=""),"PENDING_HUMAN",IF(AA2572=AB2572,AA2572,IF(AD2572&lt;&gt;"",AD2572,"PENDING_HUMAN")))</x:f>
        <x:v>PENDING_HUMAN</x:v>
      </x:c>
      <x:c r="AF2572" t="n">
        <x:f>--AND(A2572&lt;&gt;"",AA2572&lt;&gt;"",AB2572&lt;&gt;"",OR(AA2572=AB2572,AD2572&lt;&gt;""),IF(AE2572="HALLUCINATION",U2572&lt;&gt;"",TRUE))</x:f>
        <x:v>0</x:v>
      </x:c>
      <x:c r="AG2572" t="n">
        <x:f>--AND(N2572=1,AF2572=1,OR(AE2572="SUPPORTED",AE2572="HALLUCINATION"))</x:f>
        <x:v>0</x:v>
      </x:c>
      <x:c r="AH2572" t="n">
        <x:f>--AND(AG2572=1,AE2572="HALLUCINATION")</x:f>
        <x:v>0</x:v>
      </x:c>
      <x:c r="AI2572" t="n">
        <x:f>--AND(Q2572=1,AF2572=1,AE2572="HALLUCINATION")</x:f>
        <x:v>0</x:v>
      </x:c>
      <x:c r="AJ2572" t="n">
        <x:f>--AND(AI2572=1,R2572=1,S2572=1)</x:f>
        <x:v>0</x:v>
      </x:c>
    </x:row>
    <x:row r="2573">
      <x:c r="A2573" s="28"/>
      <x:c r="B2573" s="28"/>
      <x:c r="C2573" s="28"/>
      <x:c r="D2573" s="28"/>
      <x:c r="E2573" s="28"/>
      <x:c r="F2573" s="28"/>
      <x:c r="G2573" s="28"/>
      <x:c r="H2573" s="28"/>
      <x:c r="I2573" s="28"/>
      <x:c r="J2573" s="28"/>
      <x:c r="K2573" s="28"/>
      <x:c r="L2573" s="28"/>
      <x:c r="M2573" s="28"/>
      <x:c r="N2573" s="28"/>
      <x:c r="O2573" s="28"/>
      <x:c r="P2573" s="28"/>
      <x:c r="Q2573" s="28"/>
      <x:c r="R2573" s="28"/>
      <x:c r="S2573" s="28"/>
      <x:c r="T2573" s="28"/>
      <x:c r="U2573" s="28"/>
      <x:c r="V2573" s="28"/>
      <x:c r="W2573" s="43" t="n">
        <x:f>--AND(N2573=1,OR(O2573="SUPPORTED",O2573="HALLUCINATION"))</x:f>
        <x:v>0</x:v>
      </x:c>
      <x:c r="X2573" s="43" t="n">
        <x:f>--AND(W2573=1,O2573="HALLUCINATION")</x:f>
        <x:v>0</x:v>
      </x:c>
      <x:c r="Y2573" s="43" t="n">
        <x:f>--AND(Q2573=1,O2573="HALLUCINATION")</x:f>
        <x:v>0</x:v>
      </x:c>
      <x:c r="Z2573" s="43" t="n">
        <x:f>--AND(Y2573=1,R2573=1,S2573=1)</x:f>
        <x:v>0</x:v>
      </x:c>
      <x:c r="AC2573" t="str">
        <x:f>IF(OR(AA2573="",AB2573=""),"",--(AA2573&lt;&gt;AB2573))</x:f>
      </x:c>
      <x:c r="AE2573" t="str">
        <x:f>IF(OR(AA2573="",AB2573=""),"PENDING_HUMAN",IF(AA2573=AB2573,AA2573,IF(AD2573&lt;&gt;"",AD2573,"PENDING_HUMAN")))</x:f>
        <x:v>PENDING_HUMAN</x:v>
      </x:c>
      <x:c r="AF2573" t="n">
        <x:f>--AND(A2573&lt;&gt;"",AA2573&lt;&gt;"",AB2573&lt;&gt;"",OR(AA2573=AB2573,AD2573&lt;&gt;""),IF(AE2573="HALLUCINATION",U2573&lt;&gt;"",TRUE))</x:f>
        <x:v>0</x:v>
      </x:c>
      <x:c r="AG2573" t="n">
        <x:f>--AND(N2573=1,AF2573=1,OR(AE2573="SUPPORTED",AE2573="HALLUCINATION"))</x:f>
        <x:v>0</x:v>
      </x:c>
      <x:c r="AH2573" t="n">
        <x:f>--AND(AG2573=1,AE2573="HALLUCINATION")</x:f>
        <x:v>0</x:v>
      </x:c>
      <x:c r="AI2573" t="n">
        <x:f>--AND(Q2573=1,AF2573=1,AE2573="HALLUCINATION")</x:f>
        <x:v>0</x:v>
      </x:c>
      <x:c r="AJ2573" t="n">
        <x:f>--AND(AI2573=1,R2573=1,S2573=1)</x:f>
        <x:v>0</x:v>
      </x:c>
    </x:row>
    <x:row r="2574">
      <x:c r="A2574" s="28"/>
      <x:c r="B2574" s="28"/>
      <x:c r="C2574" s="28"/>
      <x:c r="D2574" s="28"/>
      <x:c r="E2574" s="28"/>
      <x:c r="F2574" s="28"/>
      <x:c r="G2574" s="28"/>
      <x:c r="H2574" s="28"/>
      <x:c r="I2574" s="28"/>
      <x:c r="J2574" s="28"/>
      <x:c r="K2574" s="28"/>
      <x:c r="L2574" s="28"/>
      <x:c r="M2574" s="28"/>
      <x:c r="N2574" s="28"/>
      <x:c r="O2574" s="28"/>
      <x:c r="P2574" s="28"/>
      <x:c r="Q2574" s="28"/>
      <x:c r="R2574" s="28"/>
      <x:c r="S2574" s="28"/>
      <x:c r="T2574" s="28"/>
      <x:c r="U2574" s="28"/>
      <x:c r="V2574" s="28"/>
      <x:c r="W2574" s="43" t="n">
        <x:f>--AND(N2574=1,OR(O2574="SUPPORTED",O2574="HALLUCINATION"))</x:f>
        <x:v>0</x:v>
      </x:c>
      <x:c r="X2574" s="43" t="n">
        <x:f>--AND(W2574=1,O2574="HALLUCINATION")</x:f>
        <x:v>0</x:v>
      </x:c>
      <x:c r="Y2574" s="43" t="n">
        <x:f>--AND(Q2574=1,O2574="HALLUCINATION")</x:f>
        <x:v>0</x:v>
      </x:c>
      <x:c r="Z2574" s="43" t="n">
        <x:f>--AND(Y2574=1,R2574=1,S2574=1)</x:f>
        <x:v>0</x:v>
      </x:c>
      <x:c r="AC2574" t="str">
        <x:f>IF(OR(AA2574="",AB2574=""),"",--(AA2574&lt;&gt;AB2574))</x:f>
      </x:c>
      <x:c r="AE2574" t="str">
        <x:f>IF(OR(AA2574="",AB2574=""),"PENDING_HUMAN",IF(AA2574=AB2574,AA2574,IF(AD2574&lt;&gt;"",AD2574,"PENDING_HUMAN")))</x:f>
        <x:v>PENDING_HUMAN</x:v>
      </x:c>
      <x:c r="AF2574" t="n">
        <x:f>--AND(A2574&lt;&gt;"",AA2574&lt;&gt;"",AB2574&lt;&gt;"",OR(AA2574=AB2574,AD2574&lt;&gt;""),IF(AE2574="HALLUCINATION",U2574&lt;&gt;"",TRUE))</x:f>
        <x:v>0</x:v>
      </x:c>
      <x:c r="AG2574" t="n">
        <x:f>--AND(N2574=1,AF2574=1,OR(AE2574="SUPPORTED",AE2574="HALLUCINATION"))</x:f>
        <x:v>0</x:v>
      </x:c>
      <x:c r="AH2574" t="n">
        <x:f>--AND(AG2574=1,AE2574="HALLUCINATION")</x:f>
        <x:v>0</x:v>
      </x:c>
      <x:c r="AI2574" t="n">
        <x:f>--AND(Q2574=1,AF2574=1,AE2574="HALLUCINATION")</x:f>
        <x:v>0</x:v>
      </x:c>
      <x:c r="AJ2574" t="n">
        <x:f>--AND(AI2574=1,R2574=1,S2574=1)</x:f>
        <x:v>0</x:v>
      </x:c>
    </x:row>
    <x:row r="2575">
      <x:c r="A2575" s="28"/>
      <x:c r="B2575" s="28"/>
      <x:c r="C2575" s="28"/>
      <x:c r="D2575" s="28"/>
      <x:c r="E2575" s="28"/>
      <x:c r="F2575" s="28"/>
      <x:c r="G2575" s="28"/>
      <x:c r="H2575" s="28"/>
      <x:c r="I2575" s="28"/>
      <x:c r="J2575" s="28"/>
      <x:c r="K2575" s="28"/>
      <x:c r="L2575" s="28"/>
      <x:c r="M2575" s="28"/>
      <x:c r="N2575" s="28"/>
      <x:c r="O2575" s="28"/>
      <x:c r="P2575" s="28"/>
      <x:c r="Q2575" s="28"/>
      <x:c r="R2575" s="28"/>
      <x:c r="S2575" s="28"/>
      <x:c r="T2575" s="28"/>
      <x:c r="U2575" s="28"/>
      <x:c r="V2575" s="28"/>
      <x:c r="W2575" s="43" t="n">
        <x:f>--AND(N2575=1,OR(O2575="SUPPORTED",O2575="HALLUCINATION"))</x:f>
        <x:v>0</x:v>
      </x:c>
      <x:c r="X2575" s="43" t="n">
        <x:f>--AND(W2575=1,O2575="HALLUCINATION")</x:f>
        <x:v>0</x:v>
      </x:c>
      <x:c r="Y2575" s="43" t="n">
        <x:f>--AND(Q2575=1,O2575="HALLUCINATION")</x:f>
        <x:v>0</x:v>
      </x:c>
      <x:c r="Z2575" s="43" t="n">
        <x:f>--AND(Y2575=1,R2575=1,S2575=1)</x:f>
        <x:v>0</x:v>
      </x:c>
      <x:c r="AC2575" t="str">
        <x:f>IF(OR(AA2575="",AB2575=""),"",--(AA2575&lt;&gt;AB2575))</x:f>
      </x:c>
      <x:c r="AE2575" t="str">
        <x:f>IF(OR(AA2575="",AB2575=""),"PENDING_HUMAN",IF(AA2575=AB2575,AA2575,IF(AD2575&lt;&gt;"",AD2575,"PENDING_HUMAN")))</x:f>
        <x:v>PENDING_HUMAN</x:v>
      </x:c>
      <x:c r="AF2575" t="n">
        <x:f>--AND(A2575&lt;&gt;"",AA2575&lt;&gt;"",AB2575&lt;&gt;"",OR(AA2575=AB2575,AD2575&lt;&gt;""),IF(AE2575="HALLUCINATION",U2575&lt;&gt;"",TRUE))</x:f>
        <x:v>0</x:v>
      </x:c>
      <x:c r="AG2575" t="n">
        <x:f>--AND(N2575=1,AF2575=1,OR(AE2575="SUPPORTED",AE2575="HALLUCINATION"))</x:f>
        <x:v>0</x:v>
      </x:c>
      <x:c r="AH2575" t="n">
        <x:f>--AND(AG2575=1,AE2575="HALLUCINATION")</x:f>
        <x:v>0</x:v>
      </x:c>
      <x:c r="AI2575" t="n">
        <x:f>--AND(Q2575=1,AF2575=1,AE2575="HALLUCINATION")</x:f>
        <x:v>0</x:v>
      </x:c>
      <x:c r="AJ2575" t="n">
        <x:f>--AND(AI2575=1,R2575=1,S2575=1)</x:f>
        <x:v>0</x:v>
      </x:c>
    </x:row>
    <x:row r="2576">
      <x:c r="A2576" s="28"/>
      <x:c r="B2576" s="28"/>
      <x:c r="C2576" s="28"/>
      <x:c r="D2576" s="28"/>
      <x:c r="E2576" s="28"/>
      <x:c r="F2576" s="28"/>
      <x:c r="G2576" s="28"/>
      <x:c r="H2576" s="28"/>
      <x:c r="I2576" s="28"/>
      <x:c r="J2576" s="28"/>
      <x:c r="K2576" s="28"/>
      <x:c r="L2576" s="28"/>
      <x:c r="M2576" s="28"/>
      <x:c r="N2576" s="28"/>
      <x:c r="O2576" s="28"/>
      <x:c r="P2576" s="28"/>
      <x:c r="Q2576" s="28"/>
      <x:c r="R2576" s="28"/>
      <x:c r="S2576" s="28"/>
      <x:c r="T2576" s="28"/>
      <x:c r="U2576" s="28"/>
      <x:c r="V2576" s="28"/>
      <x:c r="W2576" s="43" t="n">
        <x:f>--AND(N2576=1,OR(O2576="SUPPORTED",O2576="HALLUCINATION"))</x:f>
        <x:v>0</x:v>
      </x:c>
      <x:c r="X2576" s="43" t="n">
        <x:f>--AND(W2576=1,O2576="HALLUCINATION")</x:f>
        <x:v>0</x:v>
      </x:c>
      <x:c r="Y2576" s="43" t="n">
        <x:f>--AND(Q2576=1,O2576="HALLUCINATION")</x:f>
        <x:v>0</x:v>
      </x:c>
      <x:c r="Z2576" s="43" t="n">
        <x:f>--AND(Y2576=1,R2576=1,S2576=1)</x:f>
        <x:v>0</x:v>
      </x:c>
      <x:c r="AC2576" t="str">
        <x:f>IF(OR(AA2576="",AB2576=""),"",--(AA2576&lt;&gt;AB2576))</x:f>
      </x:c>
      <x:c r="AE2576" t="str">
        <x:f>IF(OR(AA2576="",AB2576=""),"PENDING_HUMAN",IF(AA2576=AB2576,AA2576,IF(AD2576&lt;&gt;"",AD2576,"PENDING_HUMAN")))</x:f>
        <x:v>PENDING_HUMAN</x:v>
      </x:c>
      <x:c r="AF2576" t="n">
        <x:f>--AND(A2576&lt;&gt;"",AA2576&lt;&gt;"",AB2576&lt;&gt;"",OR(AA2576=AB2576,AD2576&lt;&gt;""),IF(AE2576="HALLUCINATION",U2576&lt;&gt;"",TRUE))</x:f>
        <x:v>0</x:v>
      </x:c>
      <x:c r="AG2576" t="n">
        <x:f>--AND(N2576=1,AF2576=1,OR(AE2576="SUPPORTED",AE2576="HALLUCINATION"))</x:f>
        <x:v>0</x:v>
      </x:c>
      <x:c r="AH2576" t="n">
        <x:f>--AND(AG2576=1,AE2576="HALLUCINATION")</x:f>
        <x:v>0</x:v>
      </x:c>
      <x:c r="AI2576" t="n">
        <x:f>--AND(Q2576=1,AF2576=1,AE2576="HALLUCINATION")</x:f>
        <x:v>0</x:v>
      </x:c>
      <x:c r="AJ2576" t="n">
        <x:f>--AND(AI2576=1,R2576=1,S2576=1)</x:f>
        <x:v>0</x:v>
      </x:c>
    </x:row>
    <x:row r="2577">
      <x:c r="A2577" s="28"/>
      <x:c r="B2577" s="28"/>
      <x:c r="C2577" s="28"/>
      <x:c r="D2577" s="28"/>
      <x:c r="E2577" s="28"/>
      <x:c r="F2577" s="28"/>
      <x:c r="G2577" s="28"/>
      <x:c r="H2577" s="28"/>
      <x:c r="I2577" s="28"/>
      <x:c r="J2577" s="28"/>
      <x:c r="K2577" s="28"/>
      <x:c r="L2577" s="28"/>
      <x:c r="M2577" s="28"/>
      <x:c r="N2577" s="28"/>
      <x:c r="O2577" s="28"/>
      <x:c r="P2577" s="28"/>
      <x:c r="Q2577" s="28"/>
      <x:c r="R2577" s="28"/>
      <x:c r="S2577" s="28"/>
      <x:c r="T2577" s="28"/>
      <x:c r="U2577" s="28"/>
      <x:c r="V2577" s="28"/>
      <x:c r="W2577" s="43" t="n">
        <x:f>--AND(N2577=1,OR(O2577="SUPPORTED",O2577="HALLUCINATION"))</x:f>
        <x:v>0</x:v>
      </x:c>
      <x:c r="X2577" s="43" t="n">
        <x:f>--AND(W2577=1,O2577="HALLUCINATION")</x:f>
        <x:v>0</x:v>
      </x:c>
      <x:c r="Y2577" s="43" t="n">
        <x:f>--AND(Q2577=1,O2577="HALLUCINATION")</x:f>
        <x:v>0</x:v>
      </x:c>
      <x:c r="Z2577" s="43" t="n">
        <x:f>--AND(Y2577=1,R2577=1,S2577=1)</x:f>
        <x:v>0</x:v>
      </x:c>
      <x:c r="AC2577" t="str">
        <x:f>IF(OR(AA2577="",AB2577=""),"",--(AA2577&lt;&gt;AB2577))</x:f>
      </x:c>
      <x:c r="AE2577" t="str">
        <x:f>IF(OR(AA2577="",AB2577=""),"PENDING_HUMAN",IF(AA2577=AB2577,AA2577,IF(AD2577&lt;&gt;"",AD2577,"PENDING_HUMAN")))</x:f>
        <x:v>PENDING_HUMAN</x:v>
      </x:c>
      <x:c r="AF2577" t="n">
        <x:f>--AND(A2577&lt;&gt;"",AA2577&lt;&gt;"",AB2577&lt;&gt;"",OR(AA2577=AB2577,AD2577&lt;&gt;""),IF(AE2577="HALLUCINATION",U2577&lt;&gt;"",TRUE))</x:f>
        <x:v>0</x:v>
      </x:c>
      <x:c r="AG2577" t="n">
        <x:f>--AND(N2577=1,AF2577=1,OR(AE2577="SUPPORTED",AE2577="HALLUCINATION"))</x:f>
        <x:v>0</x:v>
      </x:c>
      <x:c r="AH2577" t="n">
        <x:f>--AND(AG2577=1,AE2577="HALLUCINATION")</x:f>
        <x:v>0</x:v>
      </x:c>
      <x:c r="AI2577" t="n">
        <x:f>--AND(Q2577=1,AF2577=1,AE2577="HALLUCINATION")</x:f>
        <x:v>0</x:v>
      </x:c>
      <x:c r="AJ2577" t="n">
        <x:f>--AND(AI2577=1,R2577=1,S2577=1)</x:f>
        <x:v>0</x:v>
      </x:c>
    </x:row>
    <x:row r="2578">
      <x:c r="A2578" s="28"/>
      <x:c r="B2578" s="28"/>
      <x:c r="C2578" s="28"/>
      <x:c r="D2578" s="28"/>
      <x:c r="E2578" s="28"/>
      <x:c r="F2578" s="28"/>
      <x:c r="G2578" s="28"/>
      <x:c r="H2578" s="28"/>
      <x:c r="I2578" s="28"/>
      <x:c r="J2578" s="28"/>
      <x:c r="K2578" s="28"/>
      <x:c r="L2578" s="28"/>
      <x:c r="M2578" s="28"/>
      <x:c r="N2578" s="28"/>
      <x:c r="O2578" s="28"/>
      <x:c r="P2578" s="28"/>
      <x:c r="Q2578" s="28"/>
      <x:c r="R2578" s="28"/>
      <x:c r="S2578" s="28"/>
      <x:c r="T2578" s="28"/>
      <x:c r="U2578" s="28"/>
      <x:c r="V2578" s="28"/>
      <x:c r="W2578" s="43" t="n">
        <x:f>--AND(N2578=1,OR(O2578="SUPPORTED",O2578="HALLUCINATION"))</x:f>
        <x:v>0</x:v>
      </x:c>
      <x:c r="X2578" s="43" t="n">
        <x:f>--AND(W2578=1,O2578="HALLUCINATION")</x:f>
        <x:v>0</x:v>
      </x:c>
      <x:c r="Y2578" s="43" t="n">
        <x:f>--AND(Q2578=1,O2578="HALLUCINATION")</x:f>
        <x:v>0</x:v>
      </x:c>
      <x:c r="Z2578" s="43" t="n">
        <x:f>--AND(Y2578=1,R2578=1,S2578=1)</x:f>
        <x:v>0</x:v>
      </x:c>
      <x:c r="AC2578" t="str">
        <x:f>IF(OR(AA2578="",AB2578=""),"",--(AA2578&lt;&gt;AB2578))</x:f>
      </x:c>
      <x:c r="AE2578" t="str">
        <x:f>IF(OR(AA2578="",AB2578=""),"PENDING_HUMAN",IF(AA2578=AB2578,AA2578,IF(AD2578&lt;&gt;"",AD2578,"PENDING_HUMAN")))</x:f>
        <x:v>PENDING_HUMAN</x:v>
      </x:c>
      <x:c r="AF2578" t="n">
        <x:f>--AND(A2578&lt;&gt;"",AA2578&lt;&gt;"",AB2578&lt;&gt;"",OR(AA2578=AB2578,AD2578&lt;&gt;""),IF(AE2578="HALLUCINATION",U2578&lt;&gt;"",TRUE))</x:f>
        <x:v>0</x:v>
      </x:c>
      <x:c r="AG2578" t="n">
        <x:f>--AND(N2578=1,AF2578=1,OR(AE2578="SUPPORTED",AE2578="HALLUCINATION"))</x:f>
        <x:v>0</x:v>
      </x:c>
      <x:c r="AH2578" t="n">
        <x:f>--AND(AG2578=1,AE2578="HALLUCINATION")</x:f>
        <x:v>0</x:v>
      </x:c>
      <x:c r="AI2578" t="n">
        <x:f>--AND(Q2578=1,AF2578=1,AE2578="HALLUCINATION")</x:f>
        <x:v>0</x:v>
      </x:c>
      <x:c r="AJ2578" t="n">
        <x:f>--AND(AI2578=1,R2578=1,S2578=1)</x:f>
        <x:v>0</x:v>
      </x:c>
    </x:row>
    <x:row r="2579">
      <x:c r="A2579" s="28"/>
      <x:c r="B2579" s="28"/>
      <x:c r="C2579" s="28"/>
      <x:c r="D2579" s="28"/>
      <x:c r="E2579" s="28"/>
      <x:c r="F2579" s="28"/>
      <x:c r="G2579" s="28"/>
      <x:c r="H2579" s="28"/>
      <x:c r="I2579" s="28"/>
      <x:c r="J2579" s="28"/>
      <x:c r="K2579" s="28"/>
      <x:c r="L2579" s="28"/>
      <x:c r="M2579" s="28"/>
      <x:c r="N2579" s="28"/>
      <x:c r="O2579" s="28"/>
      <x:c r="P2579" s="28"/>
      <x:c r="Q2579" s="28"/>
      <x:c r="R2579" s="28"/>
      <x:c r="S2579" s="28"/>
      <x:c r="T2579" s="28"/>
      <x:c r="U2579" s="28"/>
      <x:c r="V2579" s="28"/>
      <x:c r="W2579" s="43" t="n">
        <x:f>--AND(N2579=1,OR(O2579="SUPPORTED",O2579="HALLUCINATION"))</x:f>
        <x:v>0</x:v>
      </x:c>
      <x:c r="X2579" s="43" t="n">
        <x:f>--AND(W2579=1,O2579="HALLUCINATION")</x:f>
        <x:v>0</x:v>
      </x:c>
      <x:c r="Y2579" s="43" t="n">
        <x:f>--AND(Q2579=1,O2579="HALLUCINATION")</x:f>
        <x:v>0</x:v>
      </x:c>
      <x:c r="Z2579" s="43" t="n">
        <x:f>--AND(Y2579=1,R2579=1,S2579=1)</x:f>
        <x:v>0</x:v>
      </x:c>
      <x:c r="AC2579" t="str">
        <x:f>IF(OR(AA2579="",AB2579=""),"",--(AA2579&lt;&gt;AB2579))</x:f>
      </x:c>
      <x:c r="AE2579" t="str">
        <x:f>IF(OR(AA2579="",AB2579=""),"PENDING_HUMAN",IF(AA2579=AB2579,AA2579,IF(AD2579&lt;&gt;"",AD2579,"PENDING_HUMAN")))</x:f>
        <x:v>PENDING_HUMAN</x:v>
      </x:c>
      <x:c r="AF2579" t="n">
        <x:f>--AND(A2579&lt;&gt;"",AA2579&lt;&gt;"",AB2579&lt;&gt;"",OR(AA2579=AB2579,AD2579&lt;&gt;""),IF(AE2579="HALLUCINATION",U2579&lt;&gt;"",TRUE))</x:f>
        <x:v>0</x:v>
      </x:c>
      <x:c r="AG2579" t="n">
        <x:f>--AND(N2579=1,AF2579=1,OR(AE2579="SUPPORTED",AE2579="HALLUCINATION"))</x:f>
        <x:v>0</x:v>
      </x:c>
      <x:c r="AH2579" t="n">
        <x:f>--AND(AG2579=1,AE2579="HALLUCINATION")</x:f>
        <x:v>0</x:v>
      </x:c>
      <x:c r="AI2579" t="n">
        <x:f>--AND(Q2579=1,AF2579=1,AE2579="HALLUCINATION")</x:f>
        <x:v>0</x:v>
      </x:c>
      <x:c r="AJ2579" t="n">
        <x:f>--AND(AI2579=1,R2579=1,S2579=1)</x:f>
        <x:v>0</x:v>
      </x:c>
    </x:row>
    <x:row r="2580">
      <x:c r="A2580" s="28"/>
      <x:c r="B2580" s="28"/>
      <x:c r="C2580" s="28"/>
      <x:c r="D2580" s="28"/>
      <x:c r="E2580" s="28"/>
      <x:c r="F2580" s="28"/>
      <x:c r="G2580" s="28"/>
      <x:c r="H2580" s="28"/>
      <x:c r="I2580" s="28"/>
      <x:c r="J2580" s="28"/>
      <x:c r="K2580" s="28"/>
      <x:c r="L2580" s="28"/>
      <x:c r="M2580" s="28"/>
      <x:c r="N2580" s="28"/>
      <x:c r="O2580" s="28"/>
      <x:c r="P2580" s="28"/>
      <x:c r="Q2580" s="28"/>
      <x:c r="R2580" s="28"/>
      <x:c r="S2580" s="28"/>
      <x:c r="T2580" s="28"/>
      <x:c r="U2580" s="28"/>
      <x:c r="V2580" s="28"/>
      <x:c r="W2580" s="43" t="n">
        <x:f>--AND(N2580=1,OR(O2580="SUPPORTED",O2580="HALLUCINATION"))</x:f>
        <x:v>0</x:v>
      </x:c>
      <x:c r="X2580" s="43" t="n">
        <x:f>--AND(W2580=1,O2580="HALLUCINATION")</x:f>
        <x:v>0</x:v>
      </x:c>
      <x:c r="Y2580" s="43" t="n">
        <x:f>--AND(Q2580=1,O2580="HALLUCINATION")</x:f>
        <x:v>0</x:v>
      </x:c>
      <x:c r="Z2580" s="43" t="n">
        <x:f>--AND(Y2580=1,R2580=1,S2580=1)</x:f>
        <x:v>0</x:v>
      </x:c>
      <x:c r="AC2580" t="str">
        <x:f>IF(OR(AA2580="",AB2580=""),"",--(AA2580&lt;&gt;AB2580))</x:f>
      </x:c>
      <x:c r="AE2580" t="str">
        <x:f>IF(OR(AA2580="",AB2580=""),"PENDING_HUMAN",IF(AA2580=AB2580,AA2580,IF(AD2580&lt;&gt;"",AD2580,"PENDING_HUMAN")))</x:f>
        <x:v>PENDING_HUMAN</x:v>
      </x:c>
      <x:c r="AF2580" t="n">
        <x:f>--AND(A2580&lt;&gt;"",AA2580&lt;&gt;"",AB2580&lt;&gt;"",OR(AA2580=AB2580,AD2580&lt;&gt;""),IF(AE2580="HALLUCINATION",U2580&lt;&gt;"",TRUE))</x:f>
        <x:v>0</x:v>
      </x:c>
      <x:c r="AG2580" t="n">
        <x:f>--AND(N2580=1,AF2580=1,OR(AE2580="SUPPORTED",AE2580="HALLUCINATION"))</x:f>
        <x:v>0</x:v>
      </x:c>
      <x:c r="AH2580" t="n">
        <x:f>--AND(AG2580=1,AE2580="HALLUCINATION")</x:f>
        <x:v>0</x:v>
      </x:c>
      <x:c r="AI2580" t="n">
        <x:f>--AND(Q2580=1,AF2580=1,AE2580="HALLUCINATION")</x:f>
        <x:v>0</x:v>
      </x:c>
      <x:c r="AJ2580" t="n">
        <x:f>--AND(AI2580=1,R2580=1,S2580=1)</x:f>
        <x:v>0</x:v>
      </x:c>
    </x:row>
    <x:row r="2581">
      <x:c r="A2581" s="28"/>
      <x:c r="B2581" s="28"/>
      <x:c r="C2581" s="28"/>
      <x:c r="D2581" s="28"/>
      <x:c r="E2581" s="28"/>
      <x:c r="F2581" s="28"/>
      <x:c r="G2581" s="28"/>
      <x:c r="H2581" s="28"/>
      <x:c r="I2581" s="28"/>
      <x:c r="J2581" s="28"/>
      <x:c r="K2581" s="28"/>
      <x:c r="L2581" s="28"/>
      <x:c r="M2581" s="28"/>
      <x:c r="N2581" s="28"/>
      <x:c r="O2581" s="28"/>
      <x:c r="P2581" s="28"/>
      <x:c r="Q2581" s="28"/>
      <x:c r="R2581" s="28"/>
      <x:c r="S2581" s="28"/>
      <x:c r="T2581" s="28"/>
      <x:c r="U2581" s="28"/>
      <x:c r="V2581" s="28"/>
      <x:c r="W2581" s="43" t="n">
        <x:f>--AND(N2581=1,OR(O2581="SUPPORTED",O2581="HALLUCINATION"))</x:f>
        <x:v>0</x:v>
      </x:c>
      <x:c r="X2581" s="43" t="n">
        <x:f>--AND(W2581=1,O2581="HALLUCINATION")</x:f>
        <x:v>0</x:v>
      </x:c>
      <x:c r="Y2581" s="43" t="n">
        <x:f>--AND(Q2581=1,O2581="HALLUCINATION")</x:f>
        <x:v>0</x:v>
      </x:c>
      <x:c r="Z2581" s="43" t="n">
        <x:f>--AND(Y2581=1,R2581=1,S2581=1)</x:f>
        <x:v>0</x:v>
      </x:c>
      <x:c r="AC2581" t="str">
        <x:f>IF(OR(AA2581="",AB2581=""),"",--(AA2581&lt;&gt;AB2581))</x:f>
      </x:c>
      <x:c r="AE2581" t="str">
        <x:f>IF(OR(AA2581="",AB2581=""),"PENDING_HUMAN",IF(AA2581=AB2581,AA2581,IF(AD2581&lt;&gt;"",AD2581,"PENDING_HUMAN")))</x:f>
        <x:v>PENDING_HUMAN</x:v>
      </x:c>
      <x:c r="AF2581" t="n">
        <x:f>--AND(A2581&lt;&gt;"",AA2581&lt;&gt;"",AB2581&lt;&gt;"",OR(AA2581=AB2581,AD2581&lt;&gt;""),IF(AE2581="HALLUCINATION",U2581&lt;&gt;"",TRUE))</x:f>
        <x:v>0</x:v>
      </x:c>
      <x:c r="AG2581" t="n">
        <x:f>--AND(N2581=1,AF2581=1,OR(AE2581="SUPPORTED",AE2581="HALLUCINATION"))</x:f>
        <x:v>0</x:v>
      </x:c>
      <x:c r="AH2581" t="n">
        <x:f>--AND(AG2581=1,AE2581="HALLUCINATION")</x:f>
        <x:v>0</x:v>
      </x:c>
      <x:c r="AI2581" t="n">
        <x:f>--AND(Q2581=1,AF2581=1,AE2581="HALLUCINATION")</x:f>
        <x:v>0</x:v>
      </x:c>
      <x:c r="AJ2581" t="n">
        <x:f>--AND(AI2581=1,R2581=1,S2581=1)</x:f>
        <x:v>0</x:v>
      </x:c>
    </x:row>
    <x:row r="2582">
      <x:c r="A2582" s="28"/>
      <x:c r="B2582" s="28"/>
      <x:c r="C2582" s="28"/>
      <x:c r="D2582" s="28"/>
      <x:c r="E2582" s="28"/>
      <x:c r="F2582" s="28"/>
      <x:c r="G2582" s="28"/>
      <x:c r="H2582" s="28"/>
      <x:c r="I2582" s="28"/>
      <x:c r="J2582" s="28"/>
      <x:c r="K2582" s="28"/>
      <x:c r="L2582" s="28"/>
      <x:c r="M2582" s="28"/>
      <x:c r="N2582" s="28"/>
      <x:c r="O2582" s="28"/>
      <x:c r="P2582" s="28"/>
      <x:c r="Q2582" s="28"/>
      <x:c r="R2582" s="28"/>
      <x:c r="S2582" s="28"/>
      <x:c r="T2582" s="28"/>
      <x:c r="U2582" s="28"/>
      <x:c r="V2582" s="28"/>
      <x:c r="W2582" s="43" t="n">
        <x:f>--AND(N2582=1,OR(O2582="SUPPORTED",O2582="HALLUCINATION"))</x:f>
        <x:v>0</x:v>
      </x:c>
      <x:c r="X2582" s="43" t="n">
        <x:f>--AND(W2582=1,O2582="HALLUCINATION")</x:f>
        <x:v>0</x:v>
      </x:c>
      <x:c r="Y2582" s="43" t="n">
        <x:f>--AND(Q2582=1,O2582="HALLUCINATION")</x:f>
        <x:v>0</x:v>
      </x:c>
      <x:c r="Z2582" s="43" t="n">
        <x:f>--AND(Y2582=1,R2582=1,S2582=1)</x:f>
        <x:v>0</x:v>
      </x:c>
      <x:c r="AC2582" t="str">
        <x:f>IF(OR(AA2582="",AB2582=""),"",--(AA2582&lt;&gt;AB2582))</x:f>
      </x:c>
      <x:c r="AE2582" t="str">
        <x:f>IF(OR(AA2582="",AB2582=""),"PENDING_HUMAN",IF(AA2582=AB2582,AA2582,IF(AD2582&lt;&gt;"",AD2582,"PENDING_HUMAN")))</x:f>
        <x:v>PENDING_HUMAN</x:v>
      </x:c>
      <x:c r="AF2582" t="n">
        <x:f>--AND(A2582&lt;&gt;"",AA2582&lt;&gt;"",AB2582&lt;&gt;"",OR(AA2582=AB2582,AD2582&lt;&gt;""),IF(AE2582="HALLUCINATION",U2582&lt;&gt;"",TRUE))</x:f>
        <x:v>0</x:v>
      </x:c>
      <x:c r="AG2582" t="n">
        <x:f>--AND(N2582=1,AF2582=1,OR(AE2582="SUPPORTED",AE2582="HALLUCINATION"))</x:f>
        <x:v>0</x:v>
      </x:c>
      <x:c r="AH2582" t="n">
        <x:f>--AND(AG2582=1,AE2582="HALLUCINATION")</x:f>
        <x:v>0</x:v>
      </x:c>
      <x:c r="AI2582" t="n">
        <x:f>--AND(Q2582=1,AF2582=1,AE2582="HALLUCINATION")</x:f>
        <x:v>0</x:v>
      </x:c>
      <x:c r="AJ2582" t="n">
        <x:f>--AND(AI2582=1,R2582=1,S2582=1)</x:f>
        <x:v>0</x:v>
      </x:c>
    </x:row>
    <x:row r="2583">
      <x:c r="A2583" s="28"/>
      <x:c r="B2583" s="28"/>
      <x:c r="C2583" s="28"/>
      <x:c r="D2583" s="28"/>
      <x:c r="E2583" s="28"/>
      <x:c r="F2583" s="28"/>
      <x:c r="G2583" s="28"/>
      <x:c r="H2583" s="28"/>
      <x:c r="I2583" s="28"/>
      <x:c r="J2583" s="28"/>
      <x:c r="K2583" s="28"/>
      <x:c r="L2583" s="28"/>
      <x:c r="M2583" s="28"/>
      <x:c r="N2583" s="28"/>
      <x:c r="O2583" s="28"/>
      <x:c r="P2583" s="28"/>
      <x:c r="Q2583" s="28"/>
      <x:c r="R2583" s="28"/>
      <x:c r="S2583" s="28"/>
      <x:c r="T2583" s="28"/>
      <x:c r="U2583" s="28"/>
      <x:c r="V2583" s="28"/>
      <x:c r="W2583" s="43" t="n">
        <x:f>--AND(N2583=1,OR(O2583="SUPPORTED",O2583="HALLUCINATION"))</x:f>
        <x:v>0</x:v>
      </x:c>
      <x:c r="X2583" s="43" t="n">
        <x:f>--AND(W2583=1,O2583="HALLUCINATION")</x:f>
        <x:v>0</x:v>
      </x:c>
      <x:c r="Y2583" s="43" t="n">
        <x:f>--AND(Q2583=1,O2583="HALLUCINATION")</x:f>
        <x:v>0</x:v>
      </x:c>
      <x:c r="Z2583" s="43" t="n">
        <x:f>--AND(Y2583=1,R2583=1,S2583=1)</x:f>
        <x:v>0</x:v>
      </x:c>
      <x:c r="AC2583" t="str">
        <x:f>IF(OR(AA2583="",AB2583=""),"",--(AA2583&lt;&gt;AB2583))</x:f>
      </x:c>
      <x:c r="AE2583" t="str">
        <x:f>IF(OR(AA2583="",AB2583=""),"PENDING_HUMAN",IF(AA2583=AB2583,AA2583,IF(AD2583&lt;&gt;"",AD2583,"PENDING_HUMAN")))</x:f>
        <x:v>PENDING_HUMAN</x:v>
      </x:c>
      <x:c r="AF2583" t="n">
        <x:f>--AND(A2583&lt;&gt;"",AA2583&lt;&gt;"",AB2583&lt;&gt;"",OR(AA2583=AB2583,AD2583&lt;&gt;""),IF(AE2583="HALLUCINATION",U2583&lt;&gt;"",TRUE))</x:f>
        <x:v>0</x:v>
      </x:c>
      <x:c r="AG2583" t="n">
        <x:f>--AND(N2583=1,AF2583=1,OR(AE2583="SUPPORTED",AE2583="HALLUCINATION"))</x:f>
        <x:v>0</x:v>
      </x:c>
      <x:c r="AH2583" t="n">
        <x:f>--AND(AG2583=1,AE2583="HALLUCINATION")</x:f>
        <x:v>0</x:v>
      </x:c>
      <x:c r="AI2583" t="n">
        <x:f>--AND(Q2583=1,AF2583=1,AE2583="HALLUCINATION")</x:f>
        <x:v>0</x:v>
      </x:c>
      <x:c r="AJ2583" t="n">
        <x:f>--AND(AI2583=1,R2583=1,S2583=1)</x:f>
        <x:v>0</x:v>
      </x:c>
    </x:row>
    <x:row r="2584">
      <x:c r="A2584" s="28"/>
      <x:c r="B2584" s="28"/>
      <x:c r="C2584" s="28"/>
      <x:c r="D2584" s="28"/>
      <x:c r="E2584" s="28"/>
      <x:c r="F2584" s="28"/>
      <x:c r="G2584" s="28"/>
      <x:c r="H2584" s="28"/>
      <x:c r="I2584" s="28"/>
      <x:c r="J2584" s="28"/>
      <x:c r="K2584" s="28"/>
      <x:c r="L2584" s="28"/>
      <x:c r="M2584" s="28"/>
      <x:c r="N2584" s="28"/>
      <x:c r="O2584" s="28"/>
      <x:c r="P2584" s="28"/>
      <x:c r="Q2584" s="28"/>
      <x:c r="R2584" s="28"/>
      <x:c r="S2584" s="28"/>
      <x:c r="T2584" s="28"/>
      <x:c r="U2584" s="28"/>
      <x:c r="V2584" s="28"/>
      <x:c r="W2584" s="43" t="n">
        <x:f>--AND(N2584=1,OR(O2584="SUPPORTED",O2584="HALLUCINATION"))</x:f>
        <x:v>0</x:v>
      </x:c>
      <x:c r="X2584" s="43" t="n">
        <x:f>--AND(W2584=1,O2584="HALLUCINATION")</x:f>
        <x:v>0</x:v>
      </x:c>
      <x:c r="Y2584" s="43" t="n">
        <x:f>--AND(Q2584=1,O2584="HALLUCINATION")</x:f>
        <x:v>0</x:v>
      </x:c>
      <x:c r="Z2584" s="43" t="n">
        <x:f>--AND(Y2584=1,R2584=1,S2584=1)</x:f>
        <x:v>0</x:v>
      </x:c>
      <x:c r="AC2584" t="str">
        <x:f>IF(OR(AA2584="",AB2584=""),"",--(AA2584&lt;&gt;AB2584))</x:f>
      </x:c>
      <x:c r="AE2584" t="str">
        <x:f>IF(OR(AA2584="",AB2584=""),"PENDING_HUMAN",IF(AA2584=AB2584,AA2584,IF(AD2584&lt;&gt;"",AD2584,"PENDING_HUMAN")))</x:f>
        <x:v>PENDING_HUMAN</x:v>
      </x:c>
      <x:c r="AF2584" t="n">
        <x:f>--AND(A2584&lt;&gt;"",AA2584&lt;&gt;"",AB2584&lt;&gt;"",OR(AA2584=AB2584,AD2584&lt;&gt;""),IF(AE2584="HALLUCINATION",U2584&lt;&gt;"",TRUE))</x:f>
        <x:v>0</x:v>
      </x:c>
      <x:c r="AG2584" t="n">
        <x:f>--AND(N2584=1,AF2584=1,OR(AE2584="SUPPORTED",AE2584="HALLUCINATION"))</x:f>
        <x:v>0</x:v>
      </x:c>
      <x:c r="AH2584" t="n">
        <x:f>--AND(AG2584=1,AE2584="HALLUCINATION")</x:f>
        <x:v>0</x:v>
      </x:c>
      <x:c r="AI2584" t="n">
        <x:f>--AND(Q2584=1,AF2584=1,AE2584="HALLUCINATION")</x:f>
        <x:v>0</x:v>
      </x:c>
      <x:c r="AJ2584" t="n">
        <x:f>--AND(AI2584=1,R2584=1,S2584=1)</x:f>
        <x:v>0</x:v>
      </x:c>
    </x:row>
    <x:row r="2585">
      <x:c r="A2585" s="28"/>
      <x:c r="B2585" s="28"/>
      <x:c r="C2585" s="28"/>
      <x:c r="D2585" s="28"/>
      <x:c r="E2585" s="28"/>
      <x:c r="F2585" s="28"/>
      <x:c r="G2585" s="28"/>
      <x:c r="H2585" s="28"/>
      <x:c r="I2585" s="28"/>
      <x:c r="J2585" s="28"/>
      <x:c r="K2585" s="28"/>
      <x:c r="L2585" s="28"/>
      <x:c r="M2585" s="28"/>
      <x:c r="N2585" s="28"/>
      <x:c r="O2585" s="28"/>
      <x:c r="P2585" s="28"/>
      <x:c r="Q2585" s="28"/>
      <x:c r="R2585" s="28"/>
      <x:c r="S2585" s="28"/>
      <x:c r="T2585" s="28"/>
      <x:c r="U2585" s="28"/>
      <x:c r="V2585" s="28"/>
      <x:c r="W2585" s="43" t="n">
        <x:f>--AND(N2585=1,OR(O2585="SUPPORTED",O2585="HALLUCINATION"))</x:f>
        <x:v>0</x:v>
      </x:c>
      <x:c r="X2585" s="43" t="n">
        <x:f>--AND(W2585=1,O2585="HALLUCINATION")</x:f>
        <x:v>0</x:v>
      </x:c>
      <x:c r="Y2585" s="43" t="n">
        <x:f>--AND(Q2585=1,O2585="HALLUCINATION")</x:f>
        <x:v>0</x:v>
      </x:c>
      <x:c r="Z2585" s="43" t="n">
        <x:f>--AND(Y2585=1,R2585=1,S2585=1)</x:f>
        <x:v>0</x:v>
      </x:c>
      <x:c r="AC2585" t="str">
        <x:f>IF(OR(AA2585="",AB2585=""),"",--(AA2585&lt;&gt;AB2585))</x:f>
      </x:c>
      <x:c r="AE2585" t="str">
        <x:f>IF(OR(AA2585="",AB2585=""),"PENDING_HUMAN",IF(AA2585=AB2585,AA2585,IF(AD2585&lt;&gt;"",AD2585,"PENDING_HUMAN")))</x:f>
        <x:v>PENDING_HUMAN</x:v>
      </x:c>
      <x:c r="AF2585" t="n">
        <x:f>--AND(A2585&lt;&gt;"",AA2585&lt;&gt;"",AB2585&lt;&gt;"",OR(AA2585=AB2585,AD2585&lt;&gt;""),IF(AE2585="HALLUCINATION",U2585&lt;&gt;"",TRUE))</x:f>
        <x:v>0</x:v>
      </x:c>
      <x:c r="AG2585" t="n">
        <x:f>--AND(N2585=1,AF2585=1,OR(AE2585="SUPPORTED",AE2585="HALLUCINATION"))</x:f>
        <x:v>0</x:v>
      </x:c>
      <x:c r="AH2585" t="n">
        <x:f>--AND(AG2585=1,AE2585="HALLUCINATION")</x:f>
        <x:v>0</x:v>
      </x:c>
      <x:c r="AI2585" t="n">
        <x:f>--AND(Q2585=1,AF2585=1,AE2585="HALLUCINATION")</x:f>
        <x:v>0</x:v>
      </x:c>
      <x:c r="AJ2585" t="n">
        <x:f>--AND(AI2585=1,R2585=1,S2585=1)</x:f>
        <x:v>0</x:v>
      </x:c>
    </x:row>
    <x:row r="2586">
      <x:c r="A2586" s="28"/>
      <x:c r="B2586" s="28"/>
      <x:c r="C2586" s="28"/>
      <x:c r="D2586" s="28"/>
      <x:c r="E2586" s="28"/>
      <x:c r="F2586" s="28"/>
      <x:c r="G2586" s="28"/>
      <x:c r="H2586" s="28"/>
      <x:c r="I2586" s="28"/>
      <x:c r="J2586" s="28"/>
      <x:c r="K2586" s="28"/>
      <x:c r="L2586" s="28"/>
      <x:c r="M2586" s="28"/>
      <x:c r="N2586" s="28"/>
      <x:c r="O2586" s="28"/>
      <x:c r="P2586" s="28"/>
      <x:c r="Q2586" s="28"/>
      <x:c r="R2586" s="28"/>
      <x:c r="S2586" s="28"/>
      <x:c r="T2586" s="28"/>
      <x:c r="U2586" s="28"/>
      <x:c r="V2586" s="28"/>
      <x:c r="W2586" s="43" t="n">
        <x:f>--AND(N2586=1,OR(O2586="SUPPORTED",O2586="HALLUCINATION"))</x:f>
        <x:v>0</x:v>
      </x:c>
      <x:c r="X2586" s="43" t="n">
        <x:f>--AND(W2586=1,O2586="HALLUCINATION")</x:f>
        <x:v>0</x:v>
      </x:c>
      <x:c r="Y2586" s="43" t="n">
        <x:f>--AND(Q2586=1,O2586="HALLUCINATION")</x:f>
        <x:v>0</x:v>
      </x:c>
      <x:c r="Z2586" s="43" t="n">
        <x:f>--AND(Y2586=1,R2586=1,S2586=1)</x:f>
        <x:v>0</x:v>
      </x:c>
      <x:c r="AC2586" t="str">
        <x:f>IF(OR(AA2586="",AB2586=""),"",--(AA2586&lt;&gt;AB2586))</x:f>
      </x:c>
      <x:c r="AE2586" t="str">
        <x:f>IF(OR(AA2586="",AB2586=""),"PENDING_HUMAN",IF(AA2586=AB2586,AA2586,IF(AD2586&lt;&gt;"",AD2586,"PENDING_HUMAN")))</x:f>
        <x:v>PENDING_HUMAN</x:v>
      </x:c>
      <x:c r="AF2586" t="n">
        <x:f>--AND(A2586&lt;&gt;"",AA2586&lt;&gt;"",AB2586&lt;&gt;"",OR(AA2586=AB2586,AD2586&lt;&gt;""),IF(AE2586="HALLUCINATION",U2586&lt;&gt;"",TRUE))</x:f>
        <x:v>0</x:v>
      </x:c>
      <x:c r="AG2586" t="n">
        <x:f>--AND(N2586=1,AF2586=1,OR(AE2586="SUPPORTED",AE2586="HALLUCINATION"))</x:f>
        <x:v>0</x:v>
      </x:c>
      <x:c r="AH2586" t="n">
        <x:f>--AND(AG2586=1,AE2586="HALLUCINATION")</x:f>
        <x:v>0</x:v>
      </x:c>
      <x:c r="AI2586" t="n">
        <x:f>--AND(Q2586=1,AF2586=1,AE2586="HALLUCINATION")</x:f>
        <x:v>0</x:v>
      </x:c>
      <x:c r="AJ2586" t="n">
        <x:f>--AND(AI2586=1,R2586=1,S2586=1)</x:f>
        <x:v>0</x:v>
      </x:c>
    </x:row>
    <x:row r="2587">
      <x:c r="A2587" s="28"/>
      <x:c r="B2587" s="28"/>
      <x:c r="C2587" s="28"/>
      <x:c r="D2587" s="28"/>
      <x:c r="E2587" s="28"/>
      <x:c r="F2587" s="28"/>
      <x:c r="G2587" s="28"/>
      <x:c r="H2587" s="28"/>
      <x:c r="I2587" s="28"/>
      <x:c r="J2587" s="28"/>
      <x:c r="K2587" s="28"/>
      <x:c r="L2587" s="28"/>
      <x:c r="M2587" s="28"/>
      <x:c r="N2587" s="28"/>
      <x:c r="O2587" s="28"/>
      <x:c r="P2587" s="28"/>
      <x:c r="Q2587" s="28"/>
      <x:c r="R2587" s="28"/>
      <x:c r="S2587" s="28"/>
      <x:c r="T2587" s="28"/>
      <x:c r="U2587" s="28"/>
      <x:c r="V2587" s="28"/>
      <x:c r="W2587" s="43" t="n">
        <x:f>--AND(N2587=1,OR(O2587="SUPPORTED",O2587="HALLUCINATION"))</x:f>
        <x:v>0</x:v>
      </x:c>
      <x:c r="X2587" s="43" t="n">
        <x:f>--AND(W2587=1,O2587="HALLUCINATION")</x:f>
        <x:v>0</x:v>
      </x:c>
      <x:c r="Y2587" s="43" t="n">
        <x:f>--AND(Q2587=1,O2587="HALLUCINATION")</x:f>
        <x:v>0</x:v>
      </x:c>
      <x:c r="Z2587" s="43" t="n">
        <x:f>--AND(Y2587=1,R2587=1,S2587=1)</x:f>
        <x:v>0</x:v>
      </x:c>
      <x:c r="AC2587" t="str">
        <x:f>IF(OR(AA2587="",AB2587=""),"",--(AA2587&lt;&gt;AB2587))</x:f>
      </x:c>
      <x:c r="AE2587" t="str">
        <x:f>IF(OR(AA2587="",AB2587=""),"PENDING_HUMAN",IF(AA2587=AB2587,AA2587,IF(AD2587&lt;&gt;"",AD2587,"PENDING_HUMAN")))</x:f>
        <x:v>PENDING_HUMAN</x:v>
      </x:c>
      <x:c r="AF2587" t="n">
        <x:f>--AND(A2587&lt;&gt;"",AA2587&lt;&gt;"",AB2587&lt;&gt;"",OR(AA2587=AB2587,AD2587&lt;&gt;""),IF(AE2587="HALLUCINATION",U2587&lt;&gt;"",TRUE))</x:f>
        <x:v>0</x:v>
      </x:c>
      <x:c r="AG2587" t="n">
        <x:f>--AND(N2587=1,AF2587=1,OR(AE2587="SUPPORTED",AE2587="HALLUCINATION"))</x:f>
        <x:v>0</x:v>
      </x:c>
      <x:c r="AH2587" t="n">
        <x:f>--AND(AG2587=1,AE2587="HALLUCINATION")</x:f>
        <x:v>0</x:v>
      </x:c>
      <x:c r="AI2587" t="n">
        <x:f>--AND(Q2587=1,AF2587=1,AE2587="HALLUCINATION")</x:f>
        <x:v>0</x:v>
      </x:c>
      <x:c r="AJ2587" t="n">
        <x:f>--AND(AI2587=1,R2587=1,S2587=1)</x:f>
        <x:v>0</x:v>
      </x:c>
    </x:row>
    <x:row r="2588">
      <x:c r="A2588" s="28"/>
      <x:c r="B2588" s="28"/>
      <x:c r="C2588" s="28"/>
      <x:c r="D2588" s="28"/>
      <x:c r="E2588" s="28"/>
      <x:c r="F2588" s="28"/>
      <x:c r="G2588" s="28"/>
      <x:c r="H2588" s="28"/>
      <x:c r="I2588" s="28"/>
      <x:c r="J2588" s="28"/>
      <x:c r="K2588" s="28"/>
      <x:c r="L2588" s="28"/>
      <x:c r="M2588" s="28"/>
      <x:c r="N2588" s="28"/>
      <x:c r="O2588" s="28"/>
      <x:c r="P2588" s="28"/>
      <x:c r="Q2588" s="28"/>
      <x:c r="R2588" s="28"/>
      <x:c r="S2588" s="28"/>
      <x:c r="T2588" s="28"/>
      <x:c r="U2588" s="28"/>
      <x:c r="V2588" s="28"/>
      <x:c r="W2588" s="43" t="n">
        <x:f>--AND(N2588=1,OR(O2588="SUPPORTED",O2588="HALLUCINATION"))</x:f>
        <x:v>0</x:v>
      </x:c>
      <x:c r="X2588" s="43" t="n">
        <x:f>--AND(W2588=1,O2588="HALLUCINATION")</x:f>
        <x:v>0</x:v>
      </x:c>
      <x:c r="Y2588" s="43" t="n">
        <x:f>--AND(Q2588=1,O2588="HALLUCINATION")</x:f>
        <x:v>0</x:v>
      </x:c>
      <x:c r="Z2588" s="43" t="n">
        <x:f>--AND(Y2588=1,R2588=1,S2588=1)</x:f>
        <x:v>0</x:v>
      </x:c>
      <x:c r="AC2588" t="str">
        <x:f>IF(OR(AA2588="",AB2588=""),"",--(AA2588&lt;&gt;AB2588))</x:f>
      </x:c>
      <x:c r="AE2588" t="str">
        <x:f>IF(OR(AA2588="",AB2588=""),"PENDING_HUMAN",IF(AA2588=AB2588,AA2588,IF(AD2588&lt;&gt;"",AD2588,"PENDING_HUMAN")))</x:f>
        <x:v>PENDING_HUMAN</x:v>
      </x:c>
      <x:c r="AF2588" t="n">
        <x:f>--AND(A2588&lt;&gt;"",AA2588&lt;&gt;"",AB2588&lt;&gt;"",OR(AA2588=AB2588,AD2588&lt;&gt;""),IF(AE2588="HALLUCINATION",U2588&lt;&gt;"",TRUE))</x:f>
        <x:v>0</x:v>
      </x:c>
      <x:c r="AG2588" t="n">
        <x:f>--AND(N2588=1,AF2588=1,OR(AE2588="SUPPORTED",AE2588="HALLUCINATION"))</x:f>
        <x:v>0</x:v>
      </x:c>
      <x:c r="AH2588" t="n">
        <x:f>--AND(AG2588=1,AE2588="HALLUCINATION")</x:f>
        <x:v>0</x:v>
      </x:c>
      <x:c r="AI2588" t="n">
        <x:f>--AND(Q2588=1,AF2588=1,AE2588="HALLUCINATION")</x:f>
        <x:v>0</x:v>
      </x:c>
      <x:c r="AJ2588" t="n">
        <x:f>--AND(AI2588=1,R2588=1,S2588=1)</x:f>
        <x:v>0</x:v>
      </x:c>
    </x:row>
    <x:row r="2589">
      <x:c r="A2589" s="28"/>
      <x:c r="B2589" s="28"/>
      <x:c r="C2589" s="28"/>
      <x:c r="D2589" s="28"/>
      <x:c r="E2589" s="28"/>
      <x:c r="F2589" s="28"/>
      <x:c r="G2589" s="28"/>
      <x:c r="H2589" s="28"/>
      <x:c r="I2589" s="28"/>
      <x:c r="J2589" s="28"/>
      <x:c r="K2589" s="28"/>
      <x:c r="L2589" s="28"/>
      <x:c r="M2589" s="28"/>
      <x:c r="N2589" s="28"/>
      <x:c r="O2589" s="28"/>
      <x:c r="P2589" s="28"/>
      <x:c r="Q2589" s="28"/>
      <x:c r="R2589" s="28"/>
      <x:c r="S2589" s="28"/>
      <x:c r="T2589" s="28"/>
      <x:c r="U2589" s="28"/>
      <x:c r="V2589" s="28"/>
      <x:c r="W2589" s="43" t="n">
        <x:f>--AND(N2589=1,OR(O2589="SUPPORTED",O2589="HALLUCINATION"))</x:f>
        <x:v>0</x:v>
      </x:c>
      <x:c r="X2589" s="43" t="n">
        <x:f>--AND(W2589=1,O2589="HALLUCINATION")</x:f>
        <x:v>0</x:v>
      </x:c>
      <x:c r="Y2589" s="43" t="n">
        <x:f>--AND(Q2589=1,O2589="HALLUCINATION")</x:f>
        <x:v>0</x:v>
      </x:c>
      <x:c r="Z2589" s="43" t="n">
        <x:f>--AND(Y2589=1,R2589=1,S2589=1)</x:f>
        <x:v>0</x:v>
      </x:c>
      <x:c r="AC2589" t="str">
        <x:f>IF(OR(AA2589="",AB2589=""),"",--(AA2589&lt;&gt;AB2589))</x:f>
      </x:c>
      <x:c r="AE2589" t="str">
        <x:f>IF(OR(AA2589="",AB2589=""),"PENDING_HUMAN",IF(AA2589=AB2589,AA2589,IF(AD2589&lt;&gt;"",AD2589,"PENDING_HUMAN")))</x:f>
        <x:v>PENDING_HUMAN</x:v>
      </x:c>
      <x:c r="AF2589" t="n">
        <x:f>--AND(A2589&lt;&gt;"",AA2589&lt;&gt;"",AB2589&lt;&gt;"",OR(AA2589=AB2589,AD2589&lt;&gt;""),IF(AE2589="HALLUCINATION",U2589&lt;&gt;"",TRUE))</x:f>
        <x:v>0</x:v>
      </x:c>
      <x:c r="AG2589" t="n">
        <x:f>--AND(N2589=1,AF2589=1,OR(AE2589="SUPPORTED",AE2589="HALLUCINATION"))</x:f>
        <x:v>0</x:v>
      </x:c>
      <x:c r="AH2589" t="n">
        <x:f>--AND(AG2589=1,AE2589="HALLUCINATION")</x:f>
        <x:v>0</x:v>
      </x:c>
      <x:c r="AI2589" t="n">
        <x:f>--AND(Q2589=1,AF2589=1,AE2589="HALLUCINATION")</x:f>
        <x:v>0</x:v>
      </x:c>
      <x:c r="AJ2589" t="n">
        <x:f>--AND(AI2589=1,R2589=1,S2589=1)</x:f>
        <x:v>0</x:v>
      </x:c>
    </x:row>
    <x:row r="2590">
      <x:c r="A2590" s="28"/>
      <x:c r="B2590" s="28"/>
      <x:c r="C2590" s="28"/>
      <x:c r="D2590" s="28"/>
      <x:c r="E2590" s="28"/>
      <x:c r="F2590" s="28"/>
      <x:c r="G2590" s="28"/>
      <x:c r="H2590" s="28"/>
      <x:c r="I2590" s="28"/>
      <x:c r="J2590" s="28"/>
      <x:c r="K2590" s="28"/>
      <x:c r="L2590" s="28"/>
      <x:c r="M2590" s="28"/>
      <x:c r="N2590" s="28"/>
      <x:c r="O2590" s="28"/>
      <x:c r="P2590" s="28"/>
      <x:c r="Q2590" s="28"/>
      <x:c r="R2590" s="28"/>
      <x:c r="S2590" s="28"/>
      <x:c r="T2590" s="28"/>
      <x:c r="U2590" s="28"/>
      <x:c r="V2590" s="28"/>
      <x:c r="W2590" s="43" t="n">
        <x:f>--AND(N2590=1,OR(O2590="SUPPORTED",O2590="HALLUCINATION"))</x:f>
        <x:v>0</x:v>
      </x:c>
      <x:c r="X2590" s="43" t="n">
        <x:f>--AND(W2590=1,O2590="HALLUCINATION")</x:f>
        <x:v>0</x:v>
      </x:c>
      <x:c r="Y2590" s="43" t="n">
        <x:f>--AND(Q2590=1,O2590="HALLUCINATION")</x:f>
        <x:v>0</x:v>
      </x:c>
      <x:c r="Z2590" s="43" t="n">
        <x:f>--AND(Y2590=1,R2590=1,S2590=1)</x:f>
        <x:v>0</x:v>
      </x:c>
      <x:c r="AC2590" t="str">
        <x:f>IF(OR(AA2590="",AB2590=""),"",--(AA2590&lt;&gt;AB2590))</x:f>
      </x:c>
      <x:c r="AE2590" t="str">
        <x:f>IF(OR(AA2590="",AB2590=""),"PENDING_HUMAN",IF(AA2590=AB2590,AA2590,IF(AD2590&lt;&gt;"",AD2590,"PENDING_HUMAN")))</x:f>
        <x:v>PENDING_HUMAN</x:v>
      </x:c>
      <x:c r="AF2590" t="n">
        <x:f>--AND(A2590&lt;&gt;"",AA2590&lt;&gt;"",AB2590&lt;&gt;"",OR(AA2590=AB2590,AD2590&lt;&gt;""),IF(AE2590="HALLUCINATION",U2590&lt;&gt;"",TRUE))</x:f>
        <x:v>0</x:v>
      </x:c>
      <x:c r="AG2590" t="n">
        <x:f>--AND(N2590=1,AF2590=1,OR(AE2590="SUPPORTED",AE2590="HALLUCINATION"))</x:f>
        <x:v>0</x:v>
      </x:c>
      <x:c r="AH2590" t="n">
        <x:f>--AND(AG2590=1,AE2590="HALLUCINATION")</x:f>
        <x:v>0</x:v>
      </x:c>
      <x:c r="AI2590" t="n">
        <x:f>--AND(Q2590=1,AF2590=1,AE2590="HALLUCINATION")</x:f>
        <x:v>0</x:v>
      </x:c>
      <x:c r="AJ2590" t="n">
        <x:f>--AND(AI2590=1,R2590=1,S2590=1)</x:f>
        <x:v>0</x:v>
      </x:c>
    </x:row>
    <x:row r="2591">
      <x:c r="A2591" s="28"/>
      <x:c r="B2591" s="28"/>
      <x:c r="C2591" s="28"/>
      <x:c r="D2591" s="28"/>
      <x:c r="E2591" s="28"/>
      <x:c r="F2591" s="28"/>
      <x:c r="G2591" s="28"/>
      <x:c r="H2591" s="28"/>
      <x:c r="I2591" s="28"/>
      <x:c r="J2591" s="28"/>
      <x:c r="K2591" s="28"/>
      <x:c r="L2591" s="28"/>
      <x:c r="M2591" s="28"/>
      <x:c r="N2591" s="28"/>
      <x:c r="O2591" s="28"/>
      <x:c r="P2591" s="28"/>
      <x:c r="Q2591" s="28"/>
      <x:c r="R2591" s="28"/>
      <x:c r="S2591" s="28"/>
      <x:c r="T2591" s="28"/>
      <x:c r="U2591" s="28"/>
      <x:c r="V2591" s="28"/>
      <x:c r="W2591" s="43" t="n">
        <x:f>--AND(N2591=1,OR(O2591="SUPPORTED",O2591="HALLUCINATION"))</x:f>
        <x:v>0</x:v>
      </x:c>
      <x:c r="X2591" s="43" t="n">
        <x:f>--AND(W2591=1,O2591="HALLUCINATION")</x:f>
        <x:v>0</x:v>
      </x:c>
      <x:c r="Y2591" s="43" t="n">
        <x:f>--AND(Q2591=1,O2591="HALLUCINATION")</x:f>
        <x:v>0</x:v>
      </x:c>
      <x:c r="Z2591" s="43" t="n">
        <x:f>--AND(Y2591=1,R2591=1,S2591=1)</x:f>
        <x:v>0</x:v>
      </x:c>
      <x:c r="AC2591" t="str">
        <x:f>IF(OR(AA2591="",AB2591=""),"",--(AA2591&lt;&gt;AB2591))</x:f>
      </x:c>
      <x:c r="AE2591" t="str">
        <x:f>IF(OR(AA2591="",AB2591=""),"PENDING_HUMAN",IF(AA2591=AB2591,AA2591,IF(AD2591&lt;&gt;"",AD2591,"PENDING_HUMAN")))</x:f>
        <x:v>PENDING_HUMAN</x:v>
      </x:c>
      <x:c r="AF2591" t="n">
        <x:f>--AND(A2591&lt;&gt;"",AA2591&lt;&gt;"",AB2591&lt;&gt;"",OR(AA2591=AB2591,AD2591&lt;&gt;""),IF(AE2591="HALLUCINATION",U2591&lt;&gt;"",TRUE))</x:f>
        <x:v>0</x:v>
      </x:c>
      <x:c r="AG2591" t="n">
        <x:f>--AND(N2591=1,AF2591=1,OR(AE2591="SUPPORTED",AE2591="HALLUCINATION"))</x:f>
        <x:v>0</x:v>
      </x:c>
      <x:c r="AH2591" t="n">
        <x:f>--AND(AG2591=1,AE2591="HALLUCINATION")</x:f>
        <x:v>0</x:v>
      </x:c>
      <x:c r="AI2591" t="n">
        <x:f>--AND(Q2591=1,AF2591=1,AE2591="HALLUCINATION")</x:f>
        <x:v>0</x:v>
      </x:c>
      <x:c r="AJ2591" t="n">
        <x:f>--AND(AI2591=1,R2591=1,S2591=1)</x:f>
        <x:v>0</x:v>
      </x:c>
    </x:row>
    <x:row r="2592">
      <x:c r="A2592" s="28"/>
      <x:c r="B2592" s="28"/>
      <x:c r="C2592" s="28"/>
      <x:c r="D2592" s="28"/>
      <x:c r="E2592" s="28"/>
      <x:c r="F2592" s="28"/>
      <x:c r="G2592" s="28"/>
      <x:c r="H2592" s="28"/>
      <x:c r="I2592" s="28"/>
      <x:c r="J2592" s="28"/>
      <x:c r="K2592" s="28"/>
      <x:c r="L2592" s="28"/>
      <x:c r="M2592" s="28"/>
      <x:c r="N2592" s="28"/>
      <x:c r="O2592" s="28"/>
      <x:c r="P2592" s="28"/>
      <x:c r="Q2592" s="28"/>
      <x:c r="R2592" s="28"/>
      <x:c r="S2592" s="28"/>
      <x:c r="T2592" s="28"/>
      <x:c r="U2592" s="28"/>
      <x:c r="V2592" s="28"/>
      <x:c r="W2592" s="43" t="n">
        <x:f>--AND(N2592=1,OR(O2592="SUPPORTED",O2592="HALLUCINATION"))</x:f>
        <x:v>0</x:v>
      </x:c>
      <x:c r="X2592" s="43" t="n">
        <x:f>--AND(W2592=1,O2592="HALLUCINATION")</x:f>
        <x:v>0</x:v>
      </x:c>
      <x:c r="Y2592" s="43" t="n">
        <x:f>--AND(Q2592=1,O2592="HALLUCINATION")</x:f>
        <x:v>0</x:v>
      </x:c>
      <x:c r="Z2592" s="43" t="n">
        <x:f>--AND(Y2592=1,R2592=1,S2592=1)</x:f>
        <x:v>0</x:v>
      </x:c>
      <x:c r="AC2592" t="str">
        <x:f>IF(OR(AA2592="",AB2592=""),"",--(AA2592&lt;&gt;AB2592))</x:f>
      </x:c>
      <x:c r="AE2592" t="str">
        <x:f>IF(OR(AA2592="",AB2592=""),"PENDING_HUMAN",IF(AA2592=AB2592,AA2592,IF(AD2592&lt;&gt;"",AD2592,"PENDING_HUMAN")))</x:f>
        <x:v>PENDING_HUMAN</x:v>
      </x:c>
      <x:c r="AF2592" t="n">
        <x:f>--AND(A2592&lt;&gt;"",AA2592&lt;&gt;"",AB2592&lt;&gt;"",OR(AA2592=AB2592,AD2592&lt;&gt;""),IF(AE2592="HALLUCINATION",U2592&lt;&gt;"",TRUE))</x:f>
        <x:v>0</x:v>
      </x:c>
      <x:c r="AG2592" t="n">
        <x:f>--AND(N2592=1,AF2592=1,OR(AE2592="SUPPORTED",AE2592="HALLUCINATION"))</x:f>
        <x:v>0</x:v>
      </x:c>
      <x:c r="AH2592" t="n">
        <x:f>--AND(AG2592=1,AE2592="HALLUCINATION")</x:f>
        <x:v>0</x:v>
      </x:c>
      <x:c r="AI2592" t="n">
        <x:f>--AND(Q2592=1,AF2592=1,AE2592="HALLUCINATION")</x:f>
        <x:v>0</x:v>
      </x:c>
      <x:c r="AJ2592" t="n">
        <x:f>--AND(AI2592=1,R2592=1,S2592=1)</x:f>
        <x:v>0</x:v>
      </x:c>
    </x:row>
    <x:row r="2593">
      <x:c r="A2593" s="28"/>
      <x:c r="B2593" s="28"/>
      <x:c r="C2593" s="28"/>
      <x:c r="D2593" s="28"/>
      <x:c r="E2593" s="28"/>
      <x:c r="F2593" s="28"/>
      <x:c r="G2593" s="28"/>
      <x:c r="H2593" s="28"/>
      <x:c r="I2593" s="28"/>
      <x:c r="J2593" s="28"/>
      <x:c r="K2593" s="28"/>
      <x:c r="L2593" s="28"/>
      <x:c r="M2593" s="28"/>
      <x:c r="N2593" s="28"/>
      <x:c r="O2593" s="28"/>
      <x:c r="P2593" s="28"/>
      <x:c r="Q2593" s="28"/>
      <x:c r="R2593" s="28"/>
      <x:c r="S2593" s="28"/>
      <x:c r="T2593" s="28"/>
      <x:c r="U2593" s="28"/>
      <x:c r="V2593" s="28"/>
      <x:c r="W2593" s="43" t="n">
        <x:f>--AND(N2593=1,OR(O2593="SUPPORTED",O2593="HALLUCINATION"))</x:f>
        <x:v>0</x:v>
      </x:c>
      <x:c r="X2593" s="43" t="n">
        <x:f>--AND(W2593=1,O2593="HALLUCINATION")</x:f>
        <x:v>0</x:v>
      </x:c>
      <x:c r="Y2593" s="43" t="n">
        <x:f>--AND(Q2593=1,O2593="HALLUCINATION")</x:f>
        <x:v>0</x:v>
      </x:c>
      <x:c r="Z2593" s="43" t="n">
        <x:f>--AND(Y2593=1,R2593=1,S2593=1)</x:f>
        <x:v>0</x:v>
      </x:c>
      <x:c r="AC2593" t="str">
        <x:f>IF(OR(AA2593="",AB2593=""),"",--(AA2593&lt;&gt;AB2593))</x:f>
      </x:c>
      <x:c r="AE2593" t="str">
        <x:f>IF(OR(AA2593="",AB2593=""),"PENDING_HUMAN",IF(AA2593=AB2593,AA2593,IF(AD2593&lt;&gt;"",AD2593,"PENDING_HUMAN")))</x:f>
        <x:v>PENDING_HUMAN</x:v>
      </x:c>
      <x:c r="AF2593" t="n">
        <x:f>--AND(A2593&lt;&gt;"",AA2593&lt;&gt;"",AB2593&lt;&gt;"",OR(AA2593=AB2593,AD2593&lt;&gt;""),IF(AE2593="HALLUCINATION",U2593&lt;&gt;"",TRUE))</x:f>
        <x:v>0</x:v>
      </x:c>
      <x:c r="AG2593" t="n">
        <x:f>--AND(N2593=1,AF2593=1,OR(AE2593="SUPPORTED",AE2593="HALLUCINATION"))</x:f>
        <x:v>0</x:v>
      </x:c>
      <x:c r="AH2593" t="n">
        <x:f>--AND(AG2593=1,AE2593="HALLUCINATION")</x:f>
        <x:v>0</x:v>
      </x:c>
      <x:c r="AI2593" t="n">
        <x:f>--AND(Q2593=1,AF2593=1,AE2593="HALLUCINATION")</x:f>
        <x:v>0</x:v>
      </x:c>
      <x:c r="AJ2593" t="n">
        <x:f>--AND(AI2593=1,R2593=1,S2593=1)</x:f>
        <x:v>0</x:v>
      </x:c>
    </x:row>
    <x:row r="2594">
      <x:c r="A2594" s="28"/>
      <x:c r="B2594" s="28"/>
      <x:c r="C2594" s="28"/>
      <x:c r="D2594" s="28"/>
      <x:c r="E2594" s="28"/>
      <x:c r="F2594" s="28"/>
      <x:c r="G2594" s="28"/>
      <x:c r="H2594" s="28"/>
      <x:c r="I2594" s="28"/>
      <x:c r="J2594" s="28"/>
      <x:c r="K2594" s="28"/>
      <x:c r="L2594" s="28"/>
      <x:c r="M2594" s="28"/>
      <x:c r="N2594" s="28"/>
      <x:c r="O2594" s="28"/>
      <x:c r="P2594" s="28"/>
      <x:c r="Q2594" s="28"/>
      <x:c r="R2594" s="28"/>
      <x:c r="S2594" s="28"/>
      <x:c r="T2594" s="28"/>
      <x:c r="U2594" s="28"/>
      <x:c r="V2594" s="28"/>
      <x:c r="W2594" s="43" t="n">
        <x:f>--AND(N2594=1,OR(O2594="SUPPORTED",O2594="HALLUCINATION"))</x:f>
        <x:v>0</x:v>
      </x:c>
      <x:c r="X2594" s="43" t="n">
        <x:f>--AND(W2594=1,O2594="HALLUCINATION")</x:f>
        <x:v>0</x:v>
      </x:c>
      <x:c r="Y2594" s="43" t="n">
        <x:f>--AND(Q2594=1,O2594="HALLUCINATION")</x:f>
        <x:v>0</x:v>
      </x:c>
      <x:c r="Z2594" s="43" t="n">
        <x:f>--AND(Y2594=1,R2594=1,S2594=1)</x:f>
        <x:v>0</x:v>
      </x:c>
      <x:c r="AC2594" t="str">
        <x:f>IF(OR(AA2594="",AB2594=""),"",--(AA2594&lt;&gt;AB2594))</x:f>
      </x:c>
      <x:c r="AE2594" t="str">
        <x:f>IF(OR(AA2594="",AB2594=""),"PENDING_HUMAN",IF(AA2594=AB2594,AA2594,IF(AD2594&lt;&gt;"",AD2594,"PENDING_HUMAN")))</x:f>
        <x:v>PENDING_HUMAN</x:v>
      </x:c>
      <x:c r="AF2594" t="n">
        <x:f>--AND(A2594&lt;&gt;"",AA2594&lt;&gt;"",AB2594&lt;&gt;"",OR(AA2594=AB2594,AD2594&lt;&gt;""),IF(AE2594="HALLUCINATION",U2594&lt;&gt;"",TRUE))</x:f>
        <x:v>0</x:v>
      </x:c>
      <x:c r="AG2594" t="n">
        <x:f>--AND(N2594=1,AF2594=1,OR(AE2594="SUPPORTED",AE2594="HALLUCINATION"))</x:f>
        <x:v>0</x:v>
      </x:c>
      <x:c r="AH2594" t="n">
        <x:f>--AND(AG2594=1,AE2594="HALLUCINATION")</x:f>
        <x:v>0</x:v>
      </x:c>
      <x:c r="AI2594" t="n">
        <x:f>--AND(Q2594=1,AF2594=1,AE2594="HALLUCINATION")</x:f>
        <x:v>0</x:v>
      </x:c>
      <x:c r="AJ2594" t="n">
        <x:f>--AND(AI2594=1,R2594=1,S2594=1)</x:f>
        <x:v>0</x:v>
      </x:c>
    </x:row>
    <x:row r="2595">
      <x:c r="A2595" s="28"/>
      <x:c r="B2595" s="28"/>
      <x:c r="C2595" s="28"/>
      <x:c r="D2595" s="28"/>
      <x:c r="E2595" s="28"/>
      <x:c r="F2595" s="28"/>
      <x:c r="G2595" s="28"/>
      <x:c r="H2595" s="28"/>
      <x:c r="I2595" s="28"/>
      <x:c r="J2595" s="28"/>
      <x:c r="K2595" s="28"/>
      <x:c r="L2595" s="28"/>
      <x:c r="M2595" s="28"/>
      <x:c r="N2595" s="28"/>
      <x:c r="O2595" s="28"/>
      <x:c r="P2595" s="28"/>
      <x:c r="Q2595" s="28"/>
      <x:c r="R2595" s="28"/>
      <x:c r="S2595" s="28"/>
      <x:c r="T2595" s="28"/>
      <x:c r="U2595" s="28"/>
      <x:c r="V2595" s="28"/>
      <x:c r="W2595" s="43" t="n">
        <x:f>--AND(N2595=1,OR(O2595="SUPPORTED",O2595="HALLUCINATION"))</x:f>
        <x:v>0</x:v>
      </x:c>
      <x:c r="X2595" s="43" t="n">
        <x:f>--AND(W2595=1,O2595="HALLUCINATION")</x:f>
        <x:v>0</x:v>
      </x:c>
      <x:c r="Y2595" s="43" t="n">
        <x:f>--AND(Q2595=1,O2595="HALLUCINATION")</x:f>
        <x:v>0</x:v>
      </x:c>
      <x:c r="Z2595" s="43" t="n">
        <x:f>--AND(Y2595=1,R2595=1,S2595=1)</x:f>
        <x:v>0</x:v>
      </x:c>
      <x:c r="AC2595" t="str">
        <x:f>IF(OR(AA2595="",AB2595=""),"",--(AA2595&lt;&gt;AB2595))</x:f>
      </x:c>
      <x:c r="AE2595" t="str">
        <x:f>IF(OR(AA2595="",AB2595=""),"PENDING_HUMAN",IF(AA2595=AB2595,AA2595,IF(AD2595&lt;&gt;"",AD2595,"PENDING_HUMAN")))</x:f>
        <x:v>PENDING_HUMAN</x:v>
      </x:c>
      <x:c r="AF2595" t="n">
        <x:f>--AND(A2595&lt;&gt;"",AA2595&lt;&gt;"",AB2595&lt;&gt;"",OR(AA2595=AB2595,AD2595&lt;&gt;""),IF(AE2595="HALLUCINATION",U2595&lt;&gt;"",TRUE))</x:f>
        <x:v>0</x:v>
      </x:c>
      <x:c r="AG2595" t="n">
        <x:f>--AND(N2595=1,AF2595=1,OR(AE2595="SUPPORTED",AE2595="HALLUCINATION"))</x:f>
        <x:v>0</x:v>
      </x:c>
      <x:c r="AH2595" t="n">
        <x:f>--AND(AG2595=1,AE2595="HALLUCINATION")</x:f>
        <x:v>0</x:v>
      </x:c>
      <x:c r="AI2595" t="n">
        <x:f>--AND(Q2595=1,AF2595=1,AE2595="HALLUCINATION")</x:f>
        <x:v>0</x:v>
      </x:c>
      <x:c r="AJ2595" t="n">
        <x:f>--AND(AI2595=1,R2595=1,S2595=1)</x:f>
        <x:v>0</x:v>
      </x:c>
    </x:row>
    <x:row r="2596">
      <x:c r="A2596" s="28"/>
      <x:c r="B2596" s="28"/>
      <x:c r="C2596" s="28"/>
      <x:c r="D2596" s="28"/>
      <x:c r="E2596" s="28"/>
      <x:c r="F2596" s="28"/>
      <x:c r="G2596" s="28"/>
      <x:c r="H2596" s="28"/>
      <x:c r="I2596" s="28"/>
      <x:c r="J2596" s="28"/>
      <x:c r="K2596" s="28"/>
      <x:c r="L2596" s="28"/>
      <x:c r="M2596" s="28"/>
      <x:c r="N2596" s="28"/>
      <x:c r="O2596" s="28"/>
      <x:c r="P2596" s="28"/>
      <x:c r="Q2596" s="28"/>
      <x:c r="R2596" s="28"/>
      <x:c r="S2596" s="28"/>
      <x:c r="T2596" s="28"/>
      <x:c r="U2596" s="28"/>
      <x:c r="V2596" s="28"/>
      <x:c r="W2596" s="43" t="n">
        <x:f>--AND(N2596=1,OR(O2596="SUPPORTED",O2596="HALLUCINATION"))</x:f>
        <x:v>0</x:v>
      </x:c>
      <x:c r="X2596" s="43" t="n">
        <x:f>--AND(W2596=1,O2596="HALLUCINATION")</x:f>
        <x:v>0</x:v>
      </x:c>
      <x:c r="Y2596" s="43" t="n">
        <x:f>--AND(Q2596=1,O2596="HALLUCINATION")</x:f>
        <x:v>0</x:v>
      </x:c>
      <x:c r="Z2596" s="43" t="n">
        <x:f>--AND(Y2596=1,R2596=1,S2596=1)</x:f>
        <x:v>0</x:v>
      </x:c>
      <x:c r="AC2596" t="str">
        <x:f>IF(OR(AA2596="",AB2596=""),"",--(AA2596&lt;&gt;AB2596))</x:f>
      </x:c>
      <x:c r="AE2596" t="str">
        <x:f>IF(OR(AA2596="",AB2596=""),"PENDING_HUMAN",IF(AA2596=AB2596,AA2596,IF(AD2596&lt;&gt;"",AD2596,"PENDING_HUMAN")))</x:f>
        <x:v>PENDING_HUMAN</x:v>
      </x:c>
      <x:c r="AF2596" t="n">
        <x:f>--AND(A2596&lt;&gt;"",AA2596&lt;&gt;"",AB2596&lt;&gt;"",OR(AA2596=AB2596,AD2596&lt;&gt;""),IF(AE2596="HALLUCINATION",U2596&lt;&gt;"",TRUE))</x:f>
        <x:v>0</x:v>
      </x:c>
      <x:c r="AG2596" t="n">
        <x:f>--AND(N2596=1,AF2596=1,OR(AE2596="SUPPORTED",AE2596="HALLUCINATION"))</x:f>
        <x:v>0</x:v>
      </x:c>
      <x:c r="AH2596" t="n">
        <x:f>--AND(AG2596=1,AE2596="HALLUCINATION")</x:f>
        <x:v>0</x:v>
      </x:c>
      <x:c r="AI2596" t="n">
        <x:f>--AND(Q2596=1,AF2596=1,AE2596="HALLUCINATION")</x:f>
        <x:v>0</x:v>
      </x:c>
      <x:c r="AJ2596" t="n">
        <x:f>--AND(AI2596=1,R2596=1,S2596=1)</x:f>
        <x:v>0</x:v>
      </x:c>
    </x:row>
    <x:row r="2597">
      <x:c r="A2597" s="28"/>
      <x:c r="B2597" s="28"/>
      <x:c r="C2597" s="28"/>
      <x:c r="D2597" s="28"/>
      <x:c r="E2597" s="28"/>
      <x:c r="F2597" s="28"/>
      <x:c r="G2597" s="28"/>
      <x:c r="H2597" s="28"/>
      <x:c r="I2597" s="28"/>
      <x:c r="J2597" s="28"/>
      <x:c r="K2597" s="28"/>
      <x:c r="L2597" s="28"/>
      <x:c r="M2597" s="28"/>
      <x:c r="N2597" s="28"/>
      <x:c r="O2597" s="28"/>
      <x:c r="P2597" s="28"/>
      <x:c r="Q2597" s="28"/>
      <x:c r="R2597" s="28"/>
      <x:c r="S2597" s="28"/>
      <x:c r="T2597" s="28"/>
      <x:c r="U2597" s="28"/>
      <x:c r="V2597" s="28"/>
      <x:c r="W2597" s="43" t="n">
        <x:f>--AND(N2597=1,OR(O2597="SUPPORTED",O2597="HALLUCINATION"))</x:f>
        <x:v>0</x:v>
      </x:c>
      <x:c r="X2597" s="43" t="n">
        <x:f>--AND(W2597=1,O2597="HALLUCINATION")</x:f>
        <x:v>0</x:v>
      </x:c>
      <x:c r="Y2597" s="43" t="n">
        <x:f>--AND(Q2597=1,O2597="HALLUCINATION")</x:f>
        <x:v>0</x:v>
      </x:c>
      <x:c r="Z2597" s="43" t="n">
        <x:f>--AND(Y2597=1,R2597=1,S2597=1)</x:f>
        <x:v>0</x:v>
      </x:c>
      <x:c r="AC2597" t="str">
        <x:f>IF(OR(AA2597="",AB2597=""),"",--(AA2597&lt;&gt;AB2597))</x:f>
      </x:c>
      <x:c r="AE2597" t="str">
        <x:f>IF(OR(AA2597="",AB2597=""),"PENDING_HUMAN",IF(AA2597=AB2597,AA2597,IF(AD2597&lt;&gt;"",AD2597,"PENDING_HUMAN")))</x:f>
        <x:v>PENDING_HUMAN</x:v>
      </x:c>
      <x:c r="AF2597" t="n">
        <x:f>--AND(A2597&lt;&gt;"",AA2597&lt;&gt;"",AB2597&lt;&gt;"",OR(AA2597=AB2597,AD2597&lt;&gt;""),IF(AE2597="HALLUCINATION",U2597&lt;&gt;"",TRUE))</x:f>
        <x:v>0</x:v>
      </x:c>
      <x:c r="AG2597" t="n">
        <x:f>--AND(N2597=1,AF2597=1,OR(AE2597="SUPPORTED",AE2597="HALLUCINATION"))</x:f>
        <x:v>0</x:v>
      </x:c>
      <x:c r="AH2597" t="n">
        <x:f>--AND(AG2597=1,AE2597="HALLUCINATION")</x:f>
        <x:v>0</x:v>
      </x:c>
      <x:c r="AI2597" t="n">
        <x:f>--AND(Q2597=1,AF2597=1,AE2597="HALLUCINATION")</x:f>
        <x:v>0</x:v>
      </x:c>
      <x:c r="AJ2597" t="n">
        <x:f>--AND(AI2597=1,R2597=1,S2597=1)</x:f>
        <x:v>0</x:v>
      </x:c>
    </x:row>
    <x:row r="2598">
      <x:c r="A2598" s="28"/>
      <x:c r="B2598" s="28"/>
      <x:c r="C2598" s="28"/>
      <x:c r="D2598" s="28"/>
      <x:c r="E2598" s="28"/>
      <x:c r="F2598" s="28"/>
      <x:c r="G2598" s="28"/>
      <x:c r="H2598" s="28"/>
      <x:c r="I2598" s="28"/>
      <x:c r="J2598" s="28"/>
      <x:c r="K2598" s="28"/>
      <x:c r="L2598" s="28"/>
      <x:c r="M2598" s="28"/>
      <x:c r="N2598" s="28"/>
      <x:c r="O2598" s="28"/>
      <x:c r="P2598" s="28"/>
      <x:c r="Q2598" s="28"/>
      <x:c r="R2598" s="28"/>
      <x:c r="S2598" s="28"/>
      <x:c r="T2598" s="28"/>
      <x:c r="U2598" s="28"/>
      <x:c r="V2598" s="28"/>
      <x:c r="W2598" s="43" t="n">
        <x:f>--AND(N2598=1,OR(O2598="SUPPORTED",O2598="HALLUCINATION"))</x:f>
        <x:v>0</x:v>
      </x:c>
      <x:c r="X2598" s="43" t="n">
        <x:f>--AND(W2598=1,O2598="HALLUCINATION")</x:f>
        <x:v>0</x:v>
      </x:c>
      <x:c r="Y2598" s="43" t="n">
        <x:f>--AND(Q2598=1,O2598="HALLUCINATION")</x:f>
        <x:v>0</x:v>
      </x:c>
      <x:c r="Z2598" s="43" t="n">
        <x:f>--AND(Y2598=1,R2598=1,S2598=1)</x:f>
        <x:v>0</x:v>
      </x:c>
      <x:c r="AC2598" t="str">
        <x:f>IF(OR(AA2598="",AB2598=""),"",--(AA2598&lt;&gt;AB2598))</x:f>
      </x:c>
      <x:c r="AE2598" t="str">
        <x:f>IF(OR(AA2598="",AB2598=""),"PENDING_HUMAN",IF(AA2598=AB2598,AA2598,IF(AD2598&lt;&gt;"",AD2598,"PENDING_HUMAN")))</x:f>
        <x:v>PENDING_HUMAN</x:v>
      </x:c>
      <x:c r="AF2598" t="n">
        <x:f>--AND(A2598&lt;&gt;"",AA2598&lt;&gt;"",AB2598&lt;&gt;"",OR(AA2598=AB2598,AD2598&lt;&gt;""),IF(AE2598="HALLUCINATION",U2598&lt;&gt;"",TRUE))</x:f>
        <x:v>0</x:v>
      </x:c>
      <x:c r="AG2598" t="n">
        <x:f>--AND(N2598=1,AF2598=1,OR(AE2598="SUPPORTED",AE2598="HALLUCINATION"))</x:f>
        <x:v>0</x:v>
      </x:c>
      <x:c r="AH2598" t="n">
        <x:f>--AND(AG2598=1,AE2598="HALLUCINATION")</x:f>
        <x:v>0</x:v>
      </x:c>
      <x:c r="AI2598" t="n">
        <x:f>--AND(Q2598=1,AF2598=1,AE2598="HALLUCINATION")</x:f>
        <x:v>0</x:v>
      </x:c>
      <x:c r="AJ2598" t="n">
        <x:f>--AND(AI2598=1,R2598=1,S2598=1)</x:f>
        <x:v>0</x:v>
      </x:c>
    </x:row>
    <x:row r="2599">
      <x:c r="A2599" s="28"/>
      <x:c r="B2599" s="28"/>
      <x:c r="C2599" s="28"/>
      <x:c r="D2599" s="28"/>
      <x:c r="E2599" s="28"/>
      <x:c r="F2599" s="28"/>
      <x:c r="G2599" s="28"/>
      <x:c r="H2599" s="28"/>
      <x:c r="I2599" s="28"/>
      <x:c r="J2599" s="28"/>
      <x:c r="K2599" s="28"/>
      <x:c r="L2599" s="28"/>
      <x:c r="M2599" s="28"/>
      <x:c r="N2599" s="28"/>
      <x:c r="O2599" s="28"/>
      <x:c r="P2599" s="28"/>
      <x:c r="Q2599" s="28"/>
      <x:c r="R2599" s="28"/>
      <x:c r="S2599" s="28"/>
      <x:c r="T2599" s="28"/>
      <x:c r="U2599" s="28"/>
      <x:c r="V2599" s="28"/>
      <x:c r="W2599" s="43" t="n">
        <x:f>--AND(N2599=1,OR(O2599="SUPPORTED",O2599="HALLUCINATION"))</x:f>
        <x:v>0</x:v>
      </x:c>
      <x:c r="X2599" s="43" t="n">
        <x:f>--AND(W2599=1,O2599="HALLUCINATION")</x:f>
        <x:v>0</x:v>
      </x:c>
      <x:c r="Y2599" s="43" t="n">
        <x:f>--AND(Q2599=1,O2599="HALLUCINATION")</x:f>
        <x:v>0</x:v>
      </x:c>
      <x:c r="Z2599" s="43" t="n">
        <x:f>--AND(Y2599=1,R2599=1,S2599=1)</x:f>
        <x:v>0</x:v>
      </x:c>
      <x:c r="AC2599" t="str">
        <x:f>IF(OR(AA2599="",AB2599=""),"",--(AA2599&lt;&gt;AB2599))</x:f>
      </x:c>
      <x:c r="AE2599" t="str">
        <x:f>IF(OR(AA2599="",AB2599=""),"PENDING_HUMAN",IF(AA2599=AB2599,AA2599,IF(AD2599&lt;&gt;"",AD2599,"PENDING_HUMAN")))</x:f>
        <x:v>PENDING_HUMAN</x:v>
      </x:c>
      <x:c r="AF2599" t="n">
        <x:f>--AND(A2599&lt;&gt;"",AA2599&lt;&gt;"",AB2599&lt;&gt;"",OR(AA2599=AB2599,AD2599&lt;&gt;""),IF(AE2599="HALLUCINATION",U2599&lt;&gt;"",TRUE))</x:f>
        <x:v>0</x:v>
      </x:c>
      <x:c r="AG2599" t="n">
        <x:f>--AND(N2599=1,AF2599=1,OR(AE2599="SUPPORTED",AE2599="HALLUCINATION"))</x:f>
        <x:v>0</x:v>
      </x:c>
      <x:c r="AH2599" t="n">
        <x:f>--AND(AG2599=1,AE2599="HALLUCINATION")</x:f>
        <x:v>0</x:v>
      </x:c>
      <x:c r="AI2599" t="n">
        <x:f>--AND(Q2599=1,AF2599=1,AE2599="HALLUCINATION")</x:f>
        <x:v>0</x:v>
      </x:c>
      <x:c r="AJ2599" t="n">
        <x:f>--AND(AI2599=1,R2599=1,S2599=1)</x:f>
        <x:v>0</x:v>
      </x:c>
    </x:row>
    <x:row r="2600">
      <x:c r="A2600" s="28"/>
      <x:c r="B2600" s="28"/>
      <x:c r="C2600" s="28"/>
      <x:c r="D2600" s="28"/>
      <x:c r="E2600" s="28"/>
      <x:c r="F2600" s="28"/>
      <x:c r="G2600" s="28"/>
      <x:c r="H2600" s="28"/>
      <x:c r="I2600" s="28"/>
      <x:c r="J2600" s="28"/>
      <x:c r="K2600" s="28"/>
      <x:c r="L2600" s="28"/>
      <x:c r="M2600" s="28"/>
      <x:c r="N2600" s="28"/>
      <x:c r="O2600" s="28"/>
      <x:c r="P2600" s="28"/>
      <x:c r="Q2600" s="28"/>
      <x:c r="R2600" s="28"/>
      <x:c r="S2600" s="28"/>
      <x:c r="T2600" s="28"/>
      <x:c r="U2600" s="28"/>
      <x:c r="V2600" s="28"/>
      <x:c r="W2600" s="43" t="n">
        <x:f>--AND(N2600=1,OR(O2600="SUPPORTED",O2600="HALLUCINATION"))</x:f>
        <x:v>0</x:v>
      </x:c>
      <x:c r="X2600" s="43" t="n">
        <x:f>--AND(W2600=1,O2600="HALLUCINATION")</x:f>
        <x:v>0</x:v>
      </x:c>
      <x:c r="Y2600" s="43" t="n">
        <x:f>--AND(Q2600=1,O2600="HALLUCINATION")</x:f>
        <x:v>0</x:v>
      </x:c>
      <x:c r="Z2600" s="43" t="n">
        <x:f>--AND(Y2600=1,R2600=1,S2600=1)</x:f>
        <x:v>0</x:v>
      </x:c>
      <x:c r="AC2600" t="str">
        <x:f>IF(OR(AA2600="",AB2600=""),"",--(AA2600&lt;&gt;AB2600))</x:f>
      </x:c>
      <x:c r="AE2600" t="str">
        <x:f>IF(OR(AA2600="",AB2600=""),"PENDING_HUMAN",IF(AA2600=AB2600,AA2600,IF(AD2600&lt;&gt;"",AD2600,"PENDING_HUMAN")))</x:f>
        <x:v>PENDING_HUMAN</x:v>
      </x:c>
      <x:c r="AF2600" t="n">
        <x:f>--AND(A2600&lt;&gt;"",AA2600&lt;&gt;"",AB2600&lt;&gt;"",OR(AA2600=AB2600,AD2600&lt;&gt;""),IF(AE2600="HALLUCINATION",U2600&lt;&gt;"",TRUE))</x:f>
        <x:v>0</x:v>
      </x:c>
      <x:c r="AG2600" t="n">
        <x:f>--AND(N2600=1,AF2600=1,OR(AE2600="SUPPORTED",AE2600="HALLUCINATION"))</x:f>
        <x:v>0</x:v>
      </x:c>
      <x:c r="AH2600" t="n">
        <x:f>--AND(AG2600=1,AE2600="HALLUCINATION")</x:f>
        <x:v>0</x:v>
      </x:c>
      <x:c r="AI2600" t="n">
        <x:f>--AND(Q2600=1,AF2600=1,AE2600="HALLUCINATION")</x:f>
        <x:v>0</x:v>
      </x:c>
      <x:c r="AJ2600" t="n">
        <x:f>--AND(AI2600=1,R2600=1,S2600=1)</x:f>
        <x:v>0</x:v>
      </x:c>
    </x:row>
    <x:row r="2601">
      <x:c r="A2601" s="28"/>
      <x:c r="B2601" s="28"/>
      <x:c r="C2601" s="28"/>
      <x:c r="D2601" s="28"/>
      <x:c r="E2601" s="28"/>
      <x:c r="F2601" s="28"/>
      <x:c r="G2601" s="28"/>
      <x:c r="H2601" s="28"/>
      <x:c r="I2601" s="28"/>
      <x:c r="J2601" s="28"/>
      <x:c r="K2601" s="28"/>
      <x:c r="L2601" s="28"/>
      <x:c r="M2601" s="28"/>
      <x:c r="N2601" s="28"/>
      <x:c r="O2601" s="28"/>
      <x:c r="P2601" s="28"/>
      <x:c r="Q2601" s="28"/>
      <x:c r="R2601" s="28"/>
      <x:c r="S2601" s="28"/>
      <x:c r="T2601" s="28"/>
      <x:c r="U2601" s="28"/>
      <x:c r="V2601" s="28"/>
      <x:c r="W2601" s="43" t="n">
        <x:f>--AND(N2601=1,OR(O2601="SUPPORTED",O2601="HALLUCINATION"))</x:f>
        <x:v>0</x:v>
      </x:c>
      <x:c r="X2601" s="43" t="n">
        <x:f>--AND(W2601=1,O2601="HALLUCINATION")</x:f>
        <x:v>0</x:v>
      </x:c>
      <x:c r="Y2601" s="43" t="n">
        <x:f>--AND(Q2601=1,O2601="HALLUCINATION")</x:f>
        <x:v>0</x:v>
      </x:c>
      <x:c r="Z2601" s="43" t="n">
        <x:f>--AND(Y2601=1,R2601=1,S2601=1)</x:f>
        <x:v>0</x:v>
      </x:c>
      <x:c r="AC2601" t="str">
        <x:f>IF(OR(AA2601="",AB2601=""),"",--(AA2601&lt;&gt;AB2601))</x:f>
      </x:c>
      <x:c r="AE2601" t="str">
        <x:f>IF(OR(AA2601="",AB2601=""),"PENDING_HUMAN",IF(AA2601=AB2601,AA2601,IF(AD2601&lt;&gt;"",AD2601,"PENDING_HUMAN")))</x:f>
        <x:v>PENDING_HUMAN</x:v>
      </x:c>
      <x:c r="AF2601" t="n">
        <x:f>--AND(A2601&lt;&gt;"",AA2601&lt;&gt;"",AB2601&lt;&gt;"",OR(AA2601=AB2601,AD2601&lt;&gt;""),IF(AE2601="HALLUCINATION",U2601&lt;&gt;"",TRUE))</x:f>
        <x:v>0</x:v>
      </x:c>
      <x:c r="AG2601" t="n">
        <x:f>--AND(N2601=1,AF2601=1,OR(AE2601="SUPPORTED",AE2601="HALLUCINATION"))</x:f>
        <x:v>0</x:v>
      </x:c>
      <x:c r="AH2601" t="n">
        <x:f>--AND(AG2601=1,AE2601="HALLUCINATION")</x:f>
        <x:v>0</x:v>
      </x:c>
      <x:c r="AI2601" t="n">
        <x:f>--AND(Q2601=1,AF2601=1,AE2601="HALLUCINATION")</x:f>
        <x:v>0</x:v>
      </x:c>
      <x:c r="AJ2601" t="n">
        <x:f>--AND(AI2601=1,R2601=1,S2601=1)</x:f>
        <x:v>0</x:v>
      </x:c>
    </x:row>
    <x:row r="2602">
      <x:c r="A2602" s="28"/>
      <x:c r="B2602" s="28"/>
      <x:c r="C2602" s="28"/>
      <x:c r="D2602" s="28"/>
      <x:c r="E2602" s="28"/>
      <x:c r="F2602" s="28"/>
      <x:c r="G2602" s="28"/>
      <x:c r="H2602" s="28"/>
      <x:c r="I2602" s="28"/>
      <x:c r="J2602" s="28"/>
      <x:c r="K2602" s="28"/>
      <x:c r="L2602" s="28"/>
      <x:c r="M2602" s="28"/>
      <x:c r="N2602" s="28"/>
      <x:c r="O2602" s="28"/>
      <x:c r="P2602" s="28"/>
      <x:c r="Q2602" s="28"/>
      <x:c r="R2602" s="28"/>
      <x:c r="S2602" s="28"/>
      <x:c r="T2602" s="28"/>
      <x:c r="U2602" s="28"/>
      <x:c r="V2602" s="28"/>
      <x:c r="W2602" s="43" t="n">
        <x:f>--AND(N2602=1,OR(O2602="SUPPORTED",O2602="HALLUCINATION"))</x:f>
        <x:v>0</x:v>
      </x:c>
      <x:c r="X2602" s="43" t="n">
        <x:f>--AND(W2602=1,O2602="HALLUCINATION")</x:f>
        <x:v>0</x:v>
      </x:c>
      <x:c r="Y2602" s="43" t="n">
        <x:f>--AND(Q2602=1,O2602="HALLUCINATION")</x:f>
        <x:v>0</x:v>
      </x:c>
      <x:c r="Z2602" s="43" t="n">
        <x:f>--AND(Y2602=1,R2602=1,S2602=1)</x:f>
        <x:v>0</x:v>
      </x:c>
      <x:c r="AC2602" t="str">
        <x:f>IF(OR(AA2602="",AB2602=""),"",--(AA2602&lt;&gt;AB2602))</x:f>
      </x:c>
      <x:c r="AE2602" t="str">
        <x:f>IF(OR(AA2602="",AB2602=""),"PENDING_HUMAN",IF(AA2602=AB2602,AA2602,IF(AD2602&lt;&gt;"",AD2602,"PENDING_HUMAN")))</x:f>
        <x:v>PENDING_HUMAN</x:v>
      </x:c>
      <x:c r="AF2602" t="n">
        <x:f>--AND(A2602&lt;&gt;"",AA2602&lt;&gt;"",AB2602&lt;&gt;"",OR(AA2602=AB2602,AD2602&lt;&gt;""),IF(AE2602="HALLUCINATION",U2602&lt;&gt;"",TRUE))</x:f>
        <x:v>0</x:v>
      </x:c>
      <x:c r="AG2602" t="n">
        <x:f>--AND(N2602=1,AF2602=1,OR(AE2602="SUPPORTED",AE2602="HALLUCINATION"))</x:f>
        <x:v>0</x:v>
      </x:c>
      <x:c r="AH2602" t="n">
        <x:f>--AND(AG2602=1,AE2602="HALLUCINATION")</x:f>
        <x:v>0</x:v>
      </x:c>
      <x:c r="AI2602" t="n">
        <x:f>--AND(Q2602=1,AF2602=1,AE2602="HALLUCINATION")</x:f>
        <x:v>0</x:v>
      </x:c>
      <x:c r="AJ2602" t="n">
        <x:f>--AND(AI2602=1,R2602=1,S2602=1)</x:f>
        <x:v>0</x:v>
      </x:c>
    </x:row>
    <x:row r="2603">
      <x:c r="A2603" s="28"/>
      <x:c r="B2603" s="28"/>
      <x:c r="C2603" s="28"/>
      <x:c r="D2603" s="28"/>
      <x:c r="E2603" s="28"/>
      <x:c r="F2603" s="28"/>
      <x:c r="G2603" s="28"/>
      <x:c r="H2603" s="28"/>
      <x:c r="I2603" s="28"/>
      <x:c r="J2603" s="28"/>
      <x:c r="K2603" s="28"/>
      <x:c r="L2603" s="28"/>
      <x:c r="M2603" s="28"/>
      <x:c r="N2603" s="28"/>
      <x:c r="O2603" s="28"/>
      <x:c r="P2603" s="28"/>
      <x:c r="Q2603" s="28"/>
      <x:c r="R2603" s="28"/>
      <x:c r="S2603" s="28"/>
      <x:c r="T2603" s="28"/>
      <x:c r="U2603" s="28"/>
      <x:c r="V2603" s="28"/>
      <x:c r="W2603" s="43" t="n">
        <x:f>--AND(N2603=1,OR(O2603="SUPPORTED",O2603="HALLUCINATION"))</x:f>
        <x:v>0</x:v>
      </x:c>
      <x:c r="X2603" s="43" t="n">
        <x:f>--AND(W2603=1,O2603="HALLUCINATION")</x:f>
        <x:v>0</x:v>
      </x:c>
      <x:c r="Y2603" s="43" t="n">
        <x:f>--AND(Q2603=1,O2603="HALLUCINATION")</x:f>
        <x:v>0</x:v>
      </x:c>
      <x:c r="Z2603" s="43" t="n">
        <x:f>--AND(Y2603=1,R2603=1,S2603=1)</x:f>
        <x:v>0</x:v>
      </x:c>
      <x:c r="AC2603" t="str">
        <x:f>IF(OR(AA2603="",AB2603=""),"",--(AA2603&lt;&gt;AB2603))</x:f>
      </x:c>
      <x:c r="AE2603" t="str">
        <x:f>IF(OR(AA2603="",AB2603=""),"PENDING_HUMAN",IF(AA2603=AB2603,AA2603,IF(AD2603&lt;&gt;"",AD2603,"PENDING_HUMAN")))</x:f>
        <x:v>PENDING_HUMAN</x:v>
      </x:c>
      <x:c r="AF2603" t="n">
        <x:f>--AND(A2603&lt;&gt;"",AA2603&lt;&gt;"",AB2603&lt;&gt;"",OR(AA2603=AB2603,AD2603&lt;&gt;""),IF(AE2603="HALLUCINATION",U2603&lt;&gt;"",TRUE))</x:f>
        <x:v>0</x:v>
      </x:c>
      <x:c r="AG2603" t="n">
        <x:f>--AND(N2603=1,AF2603=1,OR(AE2603="SUPPORTED",AE2603="HALLUCINATION"))</x:f>
        <x:v>0</x:v>
      </x:c>
      <x:c r="AH2603" t="n">
        <x:f>--AND(AG2603=1,AE2603="HALLUCINATION")</x:f>
        <x:v>0</x:v>
      </x:c>
      <x:c r="AI2603" t="n">
        <x:f>--AND(Q2603=1,AF2603=1,AE2603="HALLUCINATION")</x:f>
        <x:v>0</x:v>
      </x:c>
      <x:c r="AJ2603" t="n">
        <x:f>--AND(AI2603=1,R2603=1,S2603=1)</x:f>
        <x:v>0</x:v>
      </x:c>
    </x:row>
    <x:row r="2604">
      <x:c r="A2604" s="28"/>
      <x:c r="B2604" s="28"/>
      <x:c r="C2604" s="28"/>
      <x:c r="D2604" s="28"/>
      <x:c r="E2604" s="28"/>
      <x:c r="F2604" s="28"/>
      <x:c r="G2604" s="28"/>
      <x:c r="H2604" s="28"/>
      <x:c r="I2604" s="28"/>
      <x:c r="J2604" s="28"/>
      <x:c r="K2604" s="28"/>
      <x:c r="L2604" s="28"/>
      <x:c r="M2604" s="28"/>
      <x:c r="N2604" s="28"/>
      <x:c r="O2604" s="28"/>
      <x:c r="P2604" s="28"/>
      <x:c r="Q2604" s="28"/>
      <x:c r="R2604" s="28"/>
      <x:c r="S2604" s="28"/>
      <x:c r="T2604" s="28"/>
      <x:c r="U2604" s="28"/>
      <x:c r="V2604" s="28"/>
      <x:c r="W2604" s="43" t="n">
        <x:f>--AND(N2604=1,OR(O2604="SUPPORTED",O2604="HALLUCINATION"))</x:f>
        <x:v>0</x:v>
      </x:c>
      <x:c r="X2604" s="43" t="n">
        <x:f>--AND(W2604=1,O2604="HALLUCINATION")</x:f>
        <x:v>0</x:v>
      </x:c>
      <x:c r="Y2604" s="43" t="n">
        <x:f>--AND(Q2604=1,O2604="HALLUCINATION")</x:f>
        <x:v>0</x:v>
      </x:c>
      <x:c r="Z2604" s="43" t="n">
        <x:f>--AND(Y2604=1,R2604=1,S2604=1)</x:f>
        <x:v>0</x:v>
      </x:c>
      <x:c r="AC2604" t="str">
        <x:f>IF(OR(AA2604="",AB2604=""),"",--(AA2604&lt;&gt;AB2604))</x:f>
      </x:c>
      <x:c r="AE2604" t="str">
        <x:f>IF(OR(AA2604="",AB2604=""),"PENDING_HUMAN",IF(AA2604=AB2604,AA2604,IF(AD2604&lt;&gt;"",AD2604,"PENDING_HUMAN")))</x:f>
        <x:v>PENDING_HUMAN</x:v>
      </x:c>
      <x:c r="AF2604" t="n">
        <x:f>--AND(A2604&lt;&gt;"",AA2604&lt;&gt;"",AB2604&lt;&gt;"",OR(AA2604=AB2604,AD2604&lt;&gt;""),IF(AE2604="HALLUCINATION",U2604&lt;&gt;"",TRUE))</x:f>
        <x:v>0</x:v>
      </x:c>
      <x:c r="AG2604" t="n">
        <x:f>--AND(N2604=1,AF2604=1,OR(AE2604="SUPPORTED",AE2604="HALLUCINATION"))</x:f>
        <x:v>0</x:v>
      </x:c>
      <x:c r="AH2604" t="n">
        <x:f>--AND(AG2604=1,AE2604="HALLUCINATION")</x:f>
        <x:v>0</x:v>
      </x:c>
      <x:c r="AI2604" t="n">
        <x:f>--AND(Q2604=1,AF2604=1,AE2604="HALLUCINATION")</x:f>
        <x:v>0</x:v>
      </x:c>
      <x:c r="AJ2604" t="n">
        <x:f>--AND(AI2604=1,R2604=1,S2604=1)</x:f>
        <x:v>0</x:v>
      </x:c>
    </x:row>
    <x:row r="2605">
      <x:c r="A2605" s="28"/>
      <x:c r="B2605" s="28"/>
      <x:c r="C2605" s="28"/>
      <x:c r="D2605" s="28"/>
      <x:c r="E2605" s="28"/>
      <x:c r="F2605" s="28"/>
      <x:c r="G2605" s="28"/>
      <x:c r="H2605" s="28"/>
      <x:c r="I2605" s="28"/>
      <x:c r="J2605" s="28"/>
      <x:c r="K2605" s="28"/>
      <x:c r="L2605" s="28"/>
      <x:c r="M2605" s="28"/>
      <x:c r="N2605" s="28"/>
      <x:c r="O2605" s="28"/>
      <x:c r="P2605" s="28"/>
      <x:c r="Q2605" s="28"/>
      <x:c r="R2605" s="28"/>
      <x:c r="S2605" s="28"/>
      <x:c r="T2605" s="28"/>
      <x:c r="U2605" s="28"/>
      <x:c r="V2605" s="28"/>
      <x:c r="W2605" s="43" t="n">
        <x:f>--AND(N2605=1,OR(O2605="SUPPORTED",O2605="HALLUCINATION"))</x:f>
        <x:v>0</x:v>
      </x:c>
      <x:c r="X2605" s="43" t="n">
        <x:f>--AND(W2605=1,O2605="HALLUCINATION")</x:f>
        <x:v>0</x:v>
      </x:c>
      <x:c r="Y2605" s="43" t="n">
        <x:f>--AND(Q2605=1,O2605="HALLUCINATION")</x:f>
        <x:v>0</x:v>
      </x:c>
      <x:c r="Z2605" s="43" t="n">
        <x:f>--AND(Y2605=1,R2605=1,S2605=1)</x:f>
        <x:v>0</x:v>
      </x:c>
      <x:c r="AC2605" t="str">
        <x:f>IF(OR(AA2605="",AB2605=""),"",--(AA2605&lt;&gt;AB2605))</x:f>
      </x:c>
      <x:c r="AE2605" t="str">
        <x:f>IF(OR(AA2605="",AB2605=""),"PENDING_HUMAN",IF(AA2605=AB2605,AA2605,IF(AD2605&lt;&gt;"",AD2605,"PENDING_HUMAN")))</x:f>
        <x:v>PENDING_HUMAN</x:v>
      </x:c>
      <x:c r="AF2605" t="n">
        <x:f>--AND(A2605&lt;&gt;"",AA2605&lt;&gt;"",AB2605&lt;&gt;"",OR(AA2605=AB2605,AD2605&lt;&gt;""),IF(AE2605="HALLUCINATION",U2605&lt;&gt;"",TRUE))</x:f>
        <x:v>0</x:v>
      </x:c>
      <x:c r="AG2605" t="n">
        <x:f>--AND(N2605=1,AF2605=1,OR(AE2605="SUPPORTED",AE2605="HALLUCINATION"))</x:f>
        <x:v>0</x:v>
      </x:c>
      <x:c r="AH2605" t="n">
        <x:f>--AND(AG2605=1,AE2605="HALLUCINATION")</x:f>
        <x:v>0</x:v>
      </x:c>
      <x:c r="AI2605" t="n">
        <x:f>--AND(Q2605=1,AF2605=1,AE2605="HALLUCINATION")</x:f>
        <x:v>0</x:v>
      </x:c>
      <x:c r="AJ2605" t="n">
        <x:f>--AND(AI2605=1,R2605=1,S2605=1)</x:f>
        <x:v>0</x:v>
      </x:c>
    </x:row>
    <x:row r="2606">
      <x:c r="A2606" s="28"/>
      <x:c r="B2606" s="28"/>
      <x:c r="C2606" s="28"/>
      <x:c r="D2606" s="28"/>
      <x:c r="E2606" s="28"/>
      <x:c r="F2606" s="28"/>
      <x:c r="G2606" s="28"/>
      <x:c r="H2606" s="28"/>
      <x:c r="I2606" s="28"/>
      <x:c r="J2606" s="28"/>
      <x:c r="K2606" s="28"/>
      <x:c r="L2606" s="28"/>
      <x:c r="M2606" s="28"/>
      <x:c r="N2606" s="28"/>
      <x:c r="O2606" s="28"/>
      <x:c r="P2606" s="28"/>
      <x:c r="Q2606" s="28"/>
      <x:c r="R2606" s="28"/>
      <x:c r="S2606" s="28"/>
      <x:c r="T2606" s="28"/>
      <x:c r="U2606" s="28"/>
      <x:c r="V2606" s="28"/>
      <x:c r="W2606" s="43" t="n">
        <x:f>--AND(N2606=1,OR(O2606="SUPPORTED",O2606="HALLUCINATION"))</x:f>
        <x:v>0</x:v>
      </x:c>
      <x:c r="X2606" s="43" t="n">
        <x:f>--AND(W2606=1,O2606="HALLUCINATION")</x:f>
        <x:v>0</x:v>
      </x:c>
      <x:c r="Y2606" s="43" t="n">
        <x:f>--AND(Q2606=1,O2606="HALLUCINATION")</x:f>
        <x:v>0</x:v>
      </x:c>
      <x:c r="Z2606" s="43" t="n">
        <x:f>--AND(Y2606=1,R2606=1,S2606=1)</x:f>
        <x:v>0</x:v>
      </x:c>
      <x:c r="AC2606" t="str">
        <x:f>IF(OR(AA2606="",AB2606=""),"",--(AA2606&lt;&gt;AB2606))</x:f>
      </x:c>
      <x:c r="AE2606" t="str">
        <x:f>IF(OR(AA2606="",AB2606=""),"PENDING_HUMAN",IF(AA2606=AB2606,AA2606,IF(AD2606&lt;&gt;"",AD2606,"PENDING_HUMAN")))</x:f>
        <x:v>PENDING_HUMAN</x:v>
      </x:c>
      <x:c r="AF2606" t="n">
        <x:f>--AND(A2606&lt;&gt;"",AA2606&lt;&gt;"",AB2606&lt;&gt;"",OR(AA2606=AB2606,AD2606&lt;&gt;""),IF(AE2606="HALLUCINATION",U2606&lt;&gt;"",TRUE))</x:f>
        <x:v>0</x:v>
      </x:c>
      <x:c r="AG2606" t="n">
        <x:f>--AND(N2606=1,AF2606=1,OR(AE2606="SUPPORTED",AE2606="HALLUCINATION"))</x:f>
        <x:v>0</x:v>
      </x:c>
      <x:c r="AH2606" t="n">
        <x:f>--AND(AG2606=1,AE2606="HALLUCINATION")</x:f>
        <x:v>0</x:v>
      </x:c>
      <x:c r="AI2606" t="n">
        <x:f>--AND(Q2606=1,AF2606=1,AE2606="HALLUCINATION")</x:f>
        <x:v>0</x:v>
      </x:c>
      <x:c r="AJ2606" t="n">
        <x:f>--AND(AI2606=1,R2606=1,S2606=1)</x:f>
        <x:v>0</x:v>
      </x:c>
    </x:row>
    <x:row r="2607">
      <x:c r="A2607" s="28"/>
      <x:c r="B2607" s="28"/>
      <x:c r="C2607" s="28"/>
      <x:c r="D2607" s="28"/>
      <x:c r="E2607" s="28"/>
      <x:c r="F2607" s="28"/>
      <x:c r="G2607" s="28"/>
      <x:c r="H2607" s="28"/>
      <x:c r="I2607" s="28"/>
      <x:c r="J2607" s="28"/>
      <x:c r="K2607" s="28"/>
      <x:c r="L2607" s="28"/>
      <x:c r="M2607" s="28"/>
      <x:c r="N2607" s="28"/>
      <x:c r="O2607" s="28"/>
      <x:c r="P2607" s="28"/>
      <x:c r="Q2607" s="28"/>
      <x:c r="R2607" s="28"/>
      <x:c r="S2607" s="28"/>
      <x:c r="T2607" s="28"/>
      <x:c r="U2607" s="28"/>
      <x:c r="V2607" s="28"/>
      <x:c r="W2607" s="43" t="n">
        <x:f>--AND(N2607=1,OR(O2607="SUPPORTED",O2607="HALLUCINATION"))</x:f>
        <x:v>0</x:v>
      </x:c>
      <x:c r="X2607" s="43" t="n">
        <x:f>--AND(W2607=1,O2607="HALLUCINATION")</x:f>
        <x:v>0</x:v>
      </x:c>
      <x:c r="Y2607" s="43" t="n">
        <x:f>--AND(Q2607=1,O2607="HALLUCINATION")</x:f>
        <x:v>0</x:v>
      </x:c>
      <x:c r="Z2607" s="43" t="n">
        <x:f>--AND(Y2607=1,R2607=1,S2607=1)</x:f>
        <x:v>0</x:v>
      </x:c>
      <x:c r="AC2607" t="str">
        <x:f>IF(OR(AA2607="",AB2607=""),"",--(AA2607&lt;&gt;AB2607))</x:f>
      </x:c>
      <x:c r="AE2607" t="str">
        <x:f>IF(OR(AA2607="",AB2607=""),"PENDING_HUMAN",IF(AA2607=AB2607,AA2607,IF(AD2607&lt;&gt;"",AD2607,"PENDING_HUMAN")))</x:f>
        <x:v>PENDING_HUMAN</x:v>
      </x:c>
      <x:c r="AF2607" t="n">
        <x:f>--AND(A2607&lt;&gt;"",AA2607&lt;&gt;"",AB2607&lt;&gt;"",OR(AA2607=AB2607,AD2607&lt;&gt;""),IF(AE2607="HALLUCINATION",U2607&lt;&gt;"",TRUE))</x:f>
        <x:v>0</x:v>
      </x:c>
      <x:c r="AG2607" t="n">
        <x:f>--AND(N2607=1,AF2607=1,OR(AE2607="SUPPORTED",AE2607="HALLUCINATION"))</x:f>
        <x:v>0</x:v>
      </x:c>
      <x:c r="AH2607" t="n">
        <x:f>--AND(AG2607=1,AE2607="HALLUCINATION")</x:f>
        <x:v>0</x:v>
      </x:c>
      <x:c r="AI2607" t="n">
        <x:f>--AND(Q2607=1,AF2607=1,AE2607="HALLUCINATION")</x:f>
        <x:v>0</x:v>
      </x:c>
      <x:c r="AJ2607" t="n">
        <x:f>--AND(AI2607=1,R2607=1,S2607=1)</x:f>
        <x:v>0</x:v>
      </x:c>
    </x:row>
    <x:row r="2608">
      <x:c r="A2608" s="28"/>
      <x:c r="B2608" s="28"/>
      <x:c r="C2608" s="28"/>
      <x:c r="D2608" s="28"/>
      <x:c r="E2608" s="28"/>
      <x:c r="F2608" s="28"/>
      <x:c r="G2608" s="28"/>
      <x:c r="H2608" s="28"/>
      <x:c r="I2608" s="28"/>
      <x:c r="J2608" s="28"/>
      <x:c r="K2608" s="28"/>
      <x:c r="L2608" s="28"/>
      <x:c r="M2608" s="28"/>
      <x:c r="N2608" s="28"/>
      <x:c r="O2608" s="28"/>
      <x:c r="P2608" s="28"/>
      <x:c r="Q2608" s="28"/>
      <x:c r="R2608" s="28"/>
      <x:c r="S2608" s="28"/>
      <x:c r="T2608" s="28"/>
      <x:c r="U2608" s="28"/>
      <x:c r="V2608" s="28"/>
      <x:c r="W2608" s="43" t="n">
        <x:f>--AND(N2608=1,OR(O2608="SUPPORTED",O2608="HALLUCINATION"))</x:f>
        <x:v>0</x:v>
      </x:c>
      <x:c r="X2608" s="43" t="n">
        <x:f>--AND(W2608=1,O2608="HALLUCINATION")</x:f>
        <x:v>0</x:v>
      </x:c>
      <x:c r="Y2608" s="43" t="n">
        <x:f>--AND(Q2608=1,O2608="HALLUCINATION")</x:f>
        <x:v>0</x:v>
      </x:c>
      <x:c r="Z2608" s="43" t="n">
        <x:f>--AND(Y2608=1,R2608=1,S2608=1)</x:f>
        <x:v>0</x:v>
      </x:c>
      <x:c r="AC2608" t="str">
        <x:f>IF(OR(AA2608="",AB2608=""),"",--(AA2608&lt;&gt;AB2608))</x:f>
      </x:c>
      <x:c r="AE2608" t="str">
        <x:f>IF(OR(AA2608="",AB2608=""),"PENDING_HUMAN",IF(AA2608=AB2608,AA2608,IF(AD2608&lt;&gt;"",AD2608,"PENDING_HUMAN")))</x:f>
        <x:v>PENDING_HUMAN</x:v>
      </x:c>
      <x:c r="AF2608" t="n">
        <x:f>--AND(A2608&lt;&gt;"",AA2608&lt;&gt;"",AB2608&lt;&gt;"",OR(AA2608=AB2608,AD2608&lt;&gt;""),IF(AE2608="HALLUCINATION",U2608&lt;&gt;"",TRUE))</x:f>
        <x:v>0</x:v>
      </x:c>
      <x:c r="AG2608" t="n">
        <x:f>--AND(N2608=1,AF2608=1,OR(AE2608="SUPPORTED",AE2608="HALLUCINATION"))</x:f>
        <x:v>0</x:v>
      </x:c>
      <x:c r="AH2608" t="n">
        <x:f>--AND(AG2608=1,AE2608="HALLUCINATION")</x:f>
        <x:v>0</x:v>
      </x:c>
      <x:c r="AI2608" t="n">
        <x:f>--AND(Q2608=1,AF2608=1,AE2608="HALLUCINATION")</x:f>
        <x:v>0</x:v>
      </x:c>
      <x:c r="AJ2608" t="n">
        <x:f>--AND(AI2608=1,R2608=1,S2608=1)</x:f>
        <x:v>0</x:v>
      </x:c>
    </x:row>
    <x:row r="2609">
      <x:c r="A2609" s="28"/>
      <x:c r="B2609" s="28"/>
      <x:c r="C2609" s="28"/>
      <x:c r="D2609" s="28"/>
      <x:c r="E2609" s="28"/>
      <x:c r="F2609" s="28"/>
      <x:c r="G2609" s="28"/>
      <x:c r="H2609" s="28"/>
      <x:c r="I2609" s="28"/>
      <x:c r="J2609" s="28"/>
      <x:c r="K2609" s="28"/>
      <x:c r="L2609" s="28"/>
      <x:c r="M2609" s="28"/>
      <x:c r="N2609" s="28"/>
      <x:c r="O2609" s="28"/>
      <x:c r="P2609" s="28"/>
      <x:c r="Q2609" s="28"/>
      <x:c r="R2609" s="28"/>
      <x:c r="S2609" s="28"/>
      <x:c r="T2609" s="28"/>
      <x:c r="U2609" s="28"/>
      <x:c r="V2609" s="28"/>
      <x:c r="W2609" s="43" t="n">
        <x:f>--AND(N2609=1,OR(O2609="SUPPORTED",O2609="HALLUCINATION"))</x:f>
        <x:v>0</x:v>
      </x:c>
      <x:c r="X2609" s="43" t="n">
        <x:f>--AND(W2609=1,O2609="HALLUCINATION")</x:f>
        <x:v>0</x:v>
      </x:c>
      <x:c r="Y2609" s="43" t="n">
        <x:f>--AND(Q2609=1,O2609="HALLUCINATION")</x:f>
        <x:v>0</x:v>
      </x:c>
      <x:c r="Z2609" s="43" t="n">
        <x:f>--AND(Y2609=1,R2609=1,S2609=1)</x:f>
        <x:v>0</x:v>
      </x:c>
      <x:c r="AC2609" t="str">
        <x:f>IF(OR(AA2609="",AB2609=""),"",--(AA2609&lt;&gt;AB2609))</x:f>
      </x:c>
      <x:c r="AE2609" t="str">
        <x:f>IF(OR(AA2609="",AB2609=""),"PENDING_HUMAN",IF(AA2609=AB2609,AA2609,IF(AD2609&lt;&gt;"",AD2609,"PENDING_HUMAN")))</x:f>
        <x:v>PENDING_HUMAN</x:v>
      </x:c>
      <x:c r="AF2609" t="n">
        <x:f>--AND(A2609&lt;&gt;"",AA2609&lt;&gt;"",AB2609&lt;&gt;"",OR(AA2609=AB2609,AD2609&lt;&gt;""),IF(AE2609="HALLUCINATION",U2609&lt;&gt;"",TRUE))</x:f>
        <x:v>0</x:v>
      </x:c>
      <x:c r="AG2609" t="n">
        <x:f>--AND(N2609=1,AF2609=1,OR(AE2609="SUPPORTED",AE2609="HALLUCINATION"))</x:f>
        <x:v>0</x:v>
      </x:c>
      <x:c r="AH2609" t="n">
        <x:f>--AND(AG2609=1,AE2609="HALLUCINATION")</x:f>
        <x:v>0</x:v>
      </x:c>
      <x:c r="AI2609" t="n">
        <x:f>--AND(Q2609=1,AF2609=1,AE2609="HALLUCINATION")</x:f>
        <x:v>0</x:v>
      </x:c>
      <x:c r="AJ2609" t="n">
        <x:f>--AND(AI2609=1,R2609=1,S2609=1)</x:f>
        <x:v>0</x:v>
      </x:c>
    </x:row>
    <x:row r="2610">
      <x:c r="A2610" s="28"/>
      <x:c r="B2610" s="28"/>
      <x:c r="C2610" s="28"/>
      <x:c r="D2610" s="28"/>
      <x:c r="E2610" s="28"/>
      <x:c r="F2610" s="28"/>
      <x:c r="G2610" s="28"/>
      <x:c r="H2610" s="28"/>
      <x:c r="I2610" s="28"/>
      <x:c r="J2610" s="28"/>
      <x:c r="K2610" s="28"/>
      <x:c r="L2610" s="28"/>
      <x:c r="M2610" s="28"/>
      <x:c r="N2610" s="28"/>
      <x:c r="O2610" s="28"/>
      <x:c r="P2610" s="28"/>
      <x:c r="Q2610" s="28"/>
      <x:c r="R2610" s="28"/>
      <x:c r="S2610" s="28"/>
      <x:c r="T2610" s="28"/>
      <x:c r="U2610" s="28"/>
      <x:c r="V2610" s="28"/>
      <x:c r="W2610" s="43" t="n">
        <x:f>--AND(N2610=1,OR(O2610="SUPPORTED",O2610="HALLUCINATION"))</x:f>
        <x:v>0</x:v>
      </x:c>
      <x:c r="X2610" s="43" t="n">
        <x:f>--AND(W2610=1,O2610="HALLUCINATION")</x:f>
        <x:v>0</x:v>
      </x:c>
      <x:c r="Y2610" s="43" t="n">
        <x:f>--AND(Q2610=1,O2610="HALLUCINATION")</x:f>
        <x:v>0</x:v>
      </x:c>
      <x:c r="Z2610" s="43" t="n">
        <x:f>--AND(Y2610=1,R2610=1,S2610=1)</x:f>
        <x:v>0</x:v>
      </x:c>
      <x:c r="AC2610" t="str">
        <x:f>IF(OR(AA2610="",AB2610=""),"",--(AA2610&lt;&gt;AB2610))</x:f>
      </x:c>
      <x:c r="AE2610" t="str">
        <x:f>IF(OR(AA2610="",AB2610=""),"PENDING_HUMAN",IF(AA2610=AB2610,AA2610,IF(AD2610&lt;&gt;"",AD2610,"PENDING_HUMAN")))</x:f>
        <x:v>PENDING_HUMAN</x:v>
      </x:c>
      <x:c r="AF2610" t="n">
        <x:f>--AND(A2610&lt;&gt;"",AA2610&lt;&gt;"",AB2610&lt;&gt;"",OR(AA2610=AB2610,AD2610&lt;&gt;""),IF(AE2610="HALLUCINATION",U2610&lt;&gt;"",TRUE))</x:f>
        <x:v>0</x:v>
      </x:c>
      <x:c r="AG2610" t="n">
        <x:f>--AND(N2610=1,AF2610=1,OR(AE2610="SUPPORTED",AE2610="HALLUCINATION"))</x:f>
        <x:v>0</x:v>
      </x:c>
      <x:c r="AH2610" t="n">
        <x:f>--AND(AG2610=1,AE2610="HALLUCINATION")</x:f>
        <x:v>0</x:v>
      </x:c>
      <x:c r="AI2610" t="n">
        <x:f>--AND(Q2610=1,AF2610=1,AE2610="HALLUCINATION")</x:f>
        <x:v>0</x:v>
      </x:c>
      <x:c r="AJ2610" t="n">
        <x:f>--AND(AI2610=1,R2610=1,S2610=1)</x:f>
        <x:v>0</x:v>
      </x:c>
    </x:row>
    <x:row r="2611">
      <x:c r="A2611" s="28"/>
      <x:c r="B2611" s="28"/>
      <x:c r="C2611" s="28"/>
      <x:c r="D2611" s="28"/>
      <x:c r="E2611" s="28"/>
      <x:c r="F2611" s="28"/>
      <x:c r="G2611" s="28"/>
      <x:c r="H2611" s="28"/>
      <x:c r="I2611" s="28"/>
      <x:c r="J2611" s="28"/>
      <x:c r="K2611" s="28"/>
      <x:c r="L2611" s="28"/>
      <x:c r="M2611" s="28"/>
      <x:c r="N2611" s="28"/>
      <x:c r="O2611" s="28"/>
      <x:c r="P2611" s="28"/>
      <x:c r="Q2611" s="28"/>
      <x:c r="R2611" s="28"/>
      <x:c r="S2611" s="28"/>
      <x:c r="T2611" s="28"/>
      <x:c r="U2611" s="28"/>
      <x:c r="V2611" s="28"/>
      <x:c r="W2611" s="43" t="n">
        <x:f>--AND(N2611=1,OR(O2611="SUPPORTED",O2611="HALLUCINATION"))</x:f>
        <x:v>0</x:v>
      </x:c>
      <x:c r="X2611" s="43" t="n">
        <x:f>--AND(W2611=1,O2611="HALLUCINATION")</x:f>
        <x:v>0</x:v>
      </x:c>
      <x:c r="Y2611" s="43" t="n">
        <x:f>--AND(Q2611=1,O2611="HALLUCINATION")</x:f>
        <x:v>0</x:v>
      </x:c>
      <x:c r="Z2611" s="43" t="n">
        <x:f>--AND(Y2611=1,R2611=1,S2611=1)</x:f>
        <x:v>0</x:v>
      </x:c>
      <x:c r="AC2611" t="str">
        <x:f>IF(OR(AA2611="",AB2611=""),"",--(AA2611&lt;&gt;AB2611))</x:f>
      </x:c>
      <x:c r="AE2611" t="str">
        <x:f>IF(OR(AA2611="",AB2611=""),"PENDING_HUMAN",IF(AA2611=AB2611,AA2611,IF(AD2611&lt;&gt;"",AD2611,"PENDING_HUMAN")))</x:f>
        <x:v>PENDING_HUMAN</x:v>
      </x:c>
      <x:c r="AF2611" t="n">
        <x:f>--AND(A2611&lt;&gt;"",AA2611&lt;&gt;"",AB2611&lt;&gt;"",OR(AA2611=AB2611,AD2611&lt;&gt;""),IF(AE2611="HALLUCINATION",U2611&lt;&gt;"",TRUE))</x:f>
        <x:v>0</x:v>
      </x:c>
      <x:c r="AG2611" t="n">
        <x:f>--AND(N2611=1,AF2611=1,OR(AE2611="SUPPORTED",AE2611="HALLUCINATION"))</x:f>
        <x:v>0</x:v>
      </x:c>
      <x:c r="AH2611" t="n">
        <x:f>--AND(AG2611=1,AE2611="HALLUCINATION")</x:f>
        <x:v>0</x:v>
      </x:c>
      <x:c r="AI2611" t="n">
        <x:f>--AND(Q2611=1,AF2611=1,AE2611="HALLUCINATION")</x:f>
        <x:v>0</x:v>
      </x:c>
      <x:c r="AJ2611" t="n">
        <x:f>--AND(AI2611=1,R2611=1,S2611=1)</x:f>
        <x:v>0</x:v>
      </x:c>
    </x:row>
    <x:row r="2612">
      <x:c r="A2612" s="28"/>
      <x:c r="B2612" s="28"/>
      <x:c r="C2612" s="28"/>
      <x:c r="D2612" s="28"/>
      <x:c r="E2612" s="28"/>
      <x:c r="F2612" s="28"/>
      <x:c r="G2612" s="28"/>
      <x:c r="H2612" s="28"/>
      <x:c r="I2612" s="28"/>
      <x:c r="J2612" s="28"/>
      <x:c r="K2612" s="28"/>
      <x:c r="L2612" s="28"/>
      <x:c r="M2612" s="28"/>
      <x:c r="N2612" s="28"/>
      <x:c r="O2612" s="28"/>
      <x:c r="P2612" s="28"/>
      <x:c r="Q2612" s="28"/>
      <x:c r="R2612" s="28"/>
      <x:c r="S2612" s="28"/>
      <x:c r="T2612" s="28"/>
      <x:c r="U2612" s="28"/>
      <x:c r="V2612" s="28"/>
      <x:c r="W2612" s="43" t="n">
        <x:f>--AND(N2612=1,OR(O2612="SUPPORTED",O2612="HALLUCINATION"))</x:f>
        <x:v>0</x:v>
      </x:c>
      <x:c r="X2612" s="43" t="n">
        <x:f>--AND(W2612=1,O2612="HALLUCINATION")</x:f>
        <x:v>0</x:v>
      </x:c>
      <x:c r="Y2612" s="43" t="n">
        <x:f>--AND(Q2612=1,O2612="HALLUCINATION")</x:f>
        <x:v>0</x:v>
      </x:c>
      <x:c r="Z2612" s="43" t="n">
        <x:f>--AND(Y2612=1,R2612=1,S2612=1)</x:f>
        <x:v>0</x:v>
      </x:c>
      <x:c r="AC2612" t="str">
        <x:f>IF(OR(AA2612="",AB2612=""),"",--(AA2612&lt;&gt;AB2612))</x:f>
      </x:c>
      <x:c r="AE2612" t="str">
        <x:f>IF(OR(AA2612="",AB2612=""),"PENDING_HUMAN",IF(AA2612=AB2612,AA2612,IF(AD2612&lt;&gt;"",AD2612,"PENDING_HUMAN")))</x:f>
        <x:v>PENDING_HUMAN</x:v>
      </x:c>
      <x:c r="AF2612" t="n">
        <x:f>--AND(A2612&lt;&gt;"",AA2612&lt;&gt;"",AB2612&lt;&gt;"",OR(AA2612=AB2612,AD2612&lt;&gt;""),IF(AE2612="HALLUCINATION",U2612&lt;&gt;"",TRUE))</x:f>
        <x:v>0</x:v>
      </x:c>
      <x:c r="AG2612" t="n">
        <x:f>--AND(N2612=1,AF2612=1,OR(AE2612="SUPPORTED",AE2612="HALLUCINATION"))</x:f>
        <x:v>0</x:v>
      </x:c>
      <x:c r="AH2612" t="n">
        <x:f>--AND(AG2612=1,AE2612="HALLUCINATION")</x:f>
        <x:v>0</x:v>
      </x:c>
      <x:c r="AI2612" t="n">
        <x:f>--AND(Q2612=1,AF2612=1,AE2612="HALLUCINATION")</x:f>
        <x:v>0</x:v>
      </x:c>
      <x:c r="AJ2612" t="n">
        <x:f>--AND(AI2612=1,R2612=1,S2612=1)</x:f>
        <x:v>0</x:v>
      </x:c>
    </x:row>
    <x:row r="2613">
      <x:c r="A2613" s="28"/>
      <x:c r="B2613" s="28"/>
      <x:c r="C2613" s="28"/>
      <x:c r="D2613" s="28"/>
      <x:c r="E2613" s="28"/>
      <x:c r="F2613" s="28"/>
      <x:c r="G2613" s="28"/>
      <x:c r="H2613" s="28"/>
      <x:c r="I2613" s="28"/>
      <x:c r="J2613" s="28"/>
      <x:c r="K2613" s="28"/>
      <x:c r="L2613" s="28"/>
      <x:c r="M2613" s="28"/>
      <x:c r="N2613" s="28"/>
      <x:c r="O2613" s="28"/>
      <x:c r="P2613" s="28"/>
      <x:c r="Q2613" s="28"/>
      <x:c r="R2613" s="28"/>
      <x:c r="S2613" s="28"/>
      <x:c r="T2613" s="28"/>
      <x:c r="U2613" s="28"/>
      <x:c r="V2613" s="28"/>
      <x:c r="W2613" s="43" t="n">
        <x:f>--AND(N2613=1,OR(O2613="SUPPORTED",O2613="HALLUCINATION"))</x:f>
        <x:v>0</x:v>
      </x:c>
      <x:c r="X2613" s="43" t="n">
        <x:f>--AND(W2613=1,O2613="HALLUCINATION")</x:f>
        <x:v>0</x:v>
      </x:c>
      <x:c r="Y2613" s="43" t="n">
        <x:f>--AND(Q2613=1,O2613="HALLUCINATION")</x:f>
        <x:v>0</x:v>
      </x:c>
      <x:c r="Z2613" s="43" t="n">
        <x:f>--AND(Y2613=1,R2613=1,S2613=1)</x:f>
        <x:v>0</x:v>
      </x:c>
      <x:c r="AC2613" t="str">
        <x:f>IF(OR(AA2613="",AB2613=""),"",--(AA2613&lt;&gt;AB2613))</x:f>
      </x:c>
      <x:c r="AE2613" t="str">
        <x:f>IF(OR(AA2613="",AB2613=""),"PENDING_HUMAN",IF(AA2613=AB2613,AA2613,IF(AD2613&lt;&gt;"",AD2613,"PENDING_HUMAN")))</x:f>
        <x:v>PENDING_HUMAN</x:v>
      </x:c>
      <x:c r="AF2613" t="n">
        <x:f>--AND(A2613&lt;&gt;"",AA2613&lt;&gt;"",AB2613&lt;&gt;"",OR(AA2613=AB2613,AD2613&lt;&gt;""),IF(AE2613="HALLUCINATION",U2613&lt;&gt;"",TRUE))</x:f>
        <x:v>0</x:v>
      </x:c>
      <x:c r="AG2613" t="n">
        <x:f>--AND(N2613=1,AF2613=1,OR(AE2613="SUPPORTED",AE2613="HALLUCINATION"))</x:f>
        <x:v>0</x:v>
      </x:c>
      <x:c r="AH2613" t="n">
        <x:f>--AND(AG2613=1,AE2613="HALLUCINATION")</x:f>
        <x:v>0</x:v>
      </x:c>
      <x:c r="AI2613" t="n">
        <x:f>--AND(Q2613=1,AF2613=1,AE2613="HALLUCINATION")</x:f>
        <x:v>0</x:v>
      </x:c>
      <x:c r="AJ2613" t="n">
        <x:f>--AND(AI2613=1,R2613=1,S2613=1)</x:f>
        <x:v>0</x:v>
      </x:c>
    </x:row>
    <x:row r="2614">
      <x:c r="A2614" s="28"/>
      <x:c r="B2614" s="28"/>
      <x:c r="C2614" s="28"/>
      <x:c r="D2614" s="28"/>
      <x:c r="E2614" s="28"/>
      <x:c r="F2614" s="28"/>
      <x:c r="G2614" s="28"/>
      <x:c r="H2614" s="28"/>
      <x:c r="I2614" s="28"/>
      <x:c r="J2614" s="28"/>
      <x:c r="K2614" s="28"/>
      <x:c r="L2614" s="28"/>
      <x:c r="M2614" s="28"/>
      <x:c r="N2614" s="28"/>
      <x:c r="O2614" s="28"/>
      <x:c r="P2614" s="28"/>
      <x:c r="Q2614" s="28"/>
      <x:c r="R2614" s="28"/>
      <x:c r="S2614" s="28"/>
      <x:c r="T2614" s="28"/>
      <x:c r="U2614" s="28"/>
      <x:c r="V2614" s="28"/>
      <x:c r="W2614" s="43" t="n">
        <x:f>--AND(N2614=1,OR(O2614="SUPPORTED",O2614="HALLUCINATION"))</x:f>
        <x:v>0</x:v>
      </x:c>
      <x:c r="X2614" s="43" t="n">
        <x:f>--AND(W2614=1,O2614="HALLUCINATION")</x:f>
        <x:v>0</x:v>
      </x:c>
      <x:c r="Y2614" s="43" t="n">
        <x:f>--AND(Q2614=1,O2614="HALLUCINATION")</x:f>
        <x:v>0</x:v>
      </x:c>
      <x:c r="Z2614" s="43" t="n">
        <x:f>--AND(Y2614=1,R2614=1,S2614=1)</x:f>
        <x:v>0</x:v>
      </x:c>
      <x:c r="AC2614" t="str">
        <x:f>IF(OR(AA2614="",AB2614=""),"",--(AA2614&lt;&gt;AB2614))</x:f>
      </x:c>
      <x:c r="AE2614" t="str">
        <x:f>IF(OR(AA2614="",AB2614=""),"PENDING_HUMAN",IF(AA2614=AB2614,AA2614,IF(AD2614&lt;&gt;"",AD2614,"PENDING_HUMAN")))</x:f>
        <x:v>PENDING_HUMAN</x:v>
      </x:c>
      <x:c r="AF2614" t="n">
        <x:f>--AND(A2614&lt;&gt;"",AA2614&lt;&gt;"",AB2614&lt;&gt;"",OR(AA2614=AB2614,AD2614&lt;&gt;""),IF(AE2614="HALLUCINATION",U2614&lt;&gt;"",TRUE))</x:f>
        <x:v>0</x:v>
      </x:c>
      <x:c r="AG2614" t="n">
        <x:f>--AND(N2614=1,AF2614=1,OR(AE2614="SUPPORTED",AE2614="HALLUCINATION"))</x:f>
        <x:v>0</x:v>
      </x:c>
      <x:c r="AH2614" t="n">
        <x:f>--AND(AG2614=1,AE2614="HALLUCINATION")</x:f>
        <x:v>0</x:v>
      </x:c>
      <x:c r="AI2614" t="n">
        <x:f>--AND(Q2614=1,AF2614=1,AE2614="HALLUCINATION")</x:f>
        <x:v>0</x:v>
      </x:c>
      <x:c r="AJ2614" t="n">
        <x:f>--AND(AI2614=1,R2614=1,S2614=1)</x:f>
        <x:v>0</x:v>
      </x:c>
    </x:row>
    <x:row r="2615">
      <x:c r="A2615" s="28"/>
      <x:c r="B2615" s="28"/>
      <x:c r="C2615" s="28"/>
      <x:c r="D2615" s="28"/>
      <x:c r="E2615" s="28"/>
      <x:c r="F2615" s="28"/>
      <x:c r="G2615" s="28"/>
      <x:c r="H2615" s="28"/>
      <x:c r="I2615" s="28"/>
      <x:c r="J2615" s="28"/>
      <x:c r="K2615" s="28"/>
      <x:c r="L2615" s="28"/>
      <x:c r="M2615" s="28"/>
      <x:c r="N2615" s="28"/>
      <x:c r="O2615" s="28"/>
      <x:c r="P2615" s="28"/>
      <x:c r="Q2615" s="28"/>
      <x:c r="R2615" s="28"/>
      <x:c r="S2615" s="28"/>
      <x:c r="T2615" s="28"/>
      <x:c r="U2615" s="28"/>
      <x:c r="V2615" s="28"/>
      <x:c r="W2615" s="43" t="n">
        <x:f>--AND(N2615=1,OR(O2615="SUPPORTED",O2615="HALLUCINATION"))</x:f>
        <x:v>0</x:v>
      </x:c>
      <x:c r="X2615" s="43" t="n">
        <x:f>--AND(W2615=1,O2615="HALLUCINATION")</x:f>
        <x:v>0</x:v>
      </x:c>
      <x:c r="Y2615" s="43" t="n">
        <x:f>--AND(Q2615=1,O2615="HALLUCINATION")</x:f>
        <x:v>0</x:v>
      </x:c>
      <x:c r="Z2615" s="43" t="n">
        <x:f>--AND(Y2615=1,R2615=1,S2615=1)</x:f>
        <x:v>0</x:v>
      </x:c>
      <x:c r="AC2615" t="str">
        <x:f>IF(OR(AA2615="",AB2615=""),"",--(AA2615&lt;&gt;AB2615))</x:f>
      </x:c>
      <x:c r="AE2615" t="str">
        <x:f>IF(OR(AA2615="",AB2615=""),"PENDING_HUMAN",IF(AA2615=AB2615,AA2615,IF(AD2615&lt;&gt;"",AD2615,"PENDING_HUMAN")))</x:f>
        <x:v>PENDING_HUMAN</x:v>
      </x:c>
      <x:c r="AF2615" t="n">
        <x:f>--AND(A2615&lt;&gt;"",AA2615&lt;&gt;"",AB2615&lt;&gt;"",OR(AA2615=AB2615,AD2615&lt;&gt;""),IF(AE2615="HALLUCINATION",U2615&lt;&gt;"",TRUE))</x:f>
        <x:v>0</x:v>
      </x:c>
      <x:c r="AG2615" t="n">
        <x:f>--AND(N2615=1,AF2615=1,OR(AE2615="SUPPORTED",AE2615="HALLUCINATION"))</x:f>
        <x:v>0</x:v>
      </x:c>
      <x:c r="AH2615" t="n">
        <x:f>--AND(AG2615=1,AE2615="HALLUCINATION")</x:f>
        <x:v>0</x:v>
      </x:c>
      <x:c r="AI2615" t="n">
        <x:f>--AND(Q2615=1,AF2615=1,AE2615="HALLUCINATION")</x:f>
        <x:v>0</x:v>
      </x:c>
      <x:c r="AJ2615" t="n">
        <x:f>--AND(AI2615=1,R2615=1,S2615=1)</x:f>
        <x:v>0</x:v>
      </x:c>
    </x:row>
    <x:row r="2616">
      <x:c r="A2616" s="28"/>
      <x:c r="B2616" s="28"/>
      <x:c r="C2616" s="28"/>
      <x:c r="D2616" s="28"/>
      <x:c r="E2616" s="28"/>
      <x:c r="F2616" s="28"/>
      <x:c r="G2616" s="28"/>
      <x:c r="H2616" s="28"/>
      <x:c r="I2616" s="28"/>
      <x:c r="J2616" s="28"/>
      <x:c r="K2616" s="28"/>
      <x:c r="L2616" s="28"/>
      <x:c r="M2616" s="28"/>
      <x:c r="N2616" s="28"/>
      <x:c r="O2616" s="28"/>
      <x:c r="P2616" s="28"/>
      <x:c r="Q2616" s="28"/>
      <x:c r="R2616" s="28"/>
      <x:c r="S2616" s="28"/>
      <x:c r="T2616" s="28"/>
      <x:c r="U2616" s="28"/>
      <x:c r="V2616" s="28"/>
      <x:c r="W2616" s="43" t="n">
        <x:f>--AND(N2616=1,OR(O2616="SUPPORTED",O2616="HALLUCINATION"))</x:f>
        <x:v>0</x:v>
      </x:c>
      <x:c r="X2616" s="43" t="n">
        <x:f>--AND(W2616=1,O2616="HALLUCINATION")</x:f>
        <x:v>0</x:v>
      </x:c>
      <x:c r="Y2616" s="43" t="n">
        <x:f>--AND(Q2616=1,O2616="HALLUCINATION")</x:f>
        <x:v>0</x:v>
      </x:c>
      <x:c r="Z2616" s="43" t="n">
        <x:f>--AND(Y2616=1,R2616=1,S2616=1)</x:f>
        <x:v>0</x:v>
      </x:c>
      <x:c r="AC2616" t="str">
        <x:f>IF(OR(AA2616="",AB2616=""),"",--(AA2616&lt;&gt;AB2616))</x:f>
      </x:c>
      <x:c r="AE2616" t="str">
        <x:f>IF(OR(AA2616="",AB2616=""),"PENDING_HUMAN",IF(AA2616=AB2616,AA2616,IF(AD2616&lt;&gt;"",AD2616,"PENDING_HUMAN")))</x:f>
        <x:v>PENDING_HUMAN</x:v>
      </x:c>
      <x:c r="AF2616" t="n">
        <x:f>--AND(A2616&lt;&gt;"",AA2616&lt;&gt;"",AB2616&lt;&gt;"",OR(AA2616=AB2616,AD2616&lt;&gt;""),IF(AE2616="HALLUCINATION",U2616&lt;&gt;"",TRUE))</x:f>
        <x:v>0</x:v>
      </x:c>
      <x:c r="AG2616" t="n">
        <x:f>--AND(N2616=1,AF2616=1,OR(AE2616="SUPPORTED",AE2616="HALLUCINATION"))</x:f>
        <x:v>0</x:v>
      </x:c>
      <x:c r="AH2616" t="n">
        <x:f>--AND(AG2616=1,AE2616="HALLUCINATION")</x:f>
        <x:v>0</x:v>
      </x:c>
      <x:c r="AI2616" t="n">
        <x:f>--AND(Q2616=1,AF2616=1,AE2616="HALLUCINATION")</x:f>
        <x:v>0</x:v>
      </x:c>
      <x:c r="AJ2616" t="n">
        <x:f>--AND(AI2616=1,R2616=1,S2616=1)</x:f>
        <x:v>0</x:v>
      </x:c>
    </x:row>
    <x:row r="2617">
      <x:c r="A2617" s="28"/>
      <x:c r="B2617" s="28"/>
      <x:c r="C2617" s="28"/>
      <x:c r="D2617" s="28"/>
      <x:c r="E2617" s="28"/>
      <x:c r="F2617" s="28"/>
      <x:c r="G2617" s="28"/>
      <x:c r="H2617" s="28"/>
      <x:c r="I2617" s="28"/>
      <x:c r="J2617" s="28"/>
      <x:c r="K2617" s="28"/>
      <x:c r="L2617" s="28"/>
      <x:c r="M2617" s="28"/>
      <x:c r="N2617" s="28"/>
      <x:c r="O2617" s="28"/>
      <x:c r="P2617" s="28"/>
      <x:c r="Q2617" s="28"/>
      <x:c r="R2617" s="28"/>
      <x:c r="S2617" s="28"/>
      <x:c r="T2617" s="28"/>
      <x:c r="U2617" s="28"/>
      <x:c r="V2617" s="28"/>
      <x:c r="W2617" s="43" t="n">
        <x:f>--AND(N2617=1,OR(O2617="SUPPORTED",O2617="HALLUCINATION"))</x:f>
        <x:v>0</x:v>
      </x:c>
      <x:c r="X2617" s="43" t="n">
        <x:f>--AND(W2617=1,O2617="HALLUCINATION")</x:f>
        <x:v>0</x:v>
      </x:c>
      <x:c r="Y2617" s="43" t="n">
        <x:f>--AND(Q2617=1,O2617="HALLUCINATION")</x:f>
        <x:v>0</x:v>
      </x:c>
      <x:c r="Z2617" s="43" t="n">
        <x:f>--AND(Y2617=1,R2617=1,S2617=1)</x:f>
        <x:v>0</x:v>
      </x:c>
      <x:c r="AC2617" t="str">
        <x:f>IF(OR(AA2617="",AB2617=""),"",--(AA2617&lt;&gt;AB2617))</x:f>
      </x:c>
      <x:c r="AE2617" t="str">
        <x:f>IF(OR(AA2617="",AB2617=""),"PENDING_HUMAN",IF(AA2617=AB2617,AA2617,IF(AD2617&lt;&gt;"",AD2617,"PENDING_HUMAN")))</x:f>
        <x:v>PENDING_HUMAN</x:v>
      </x:c>
      <x:c r="AF2617" t="n">
        <x:f>--AND(A2617&lt;&gt;"",AA2617&lt;&gt;"",AB2617&lt;&gt;"",OR(AA2617=AB2617,AD2617&lt;&gt;""),IF(AE2617="HALLUCINATION",U2617&lt;&gt;"",TRUE))</x:f>
        <x:v>0</x:v>
      </x:c>
      <x:c r="AG2617" t="n">
        <x:f>--AND(N2617=1,AF2617=1,OR(AE2617="SUPPORTED",AE2617="HALLUCINATION"))</x:f>
        <x:v>0</x:v>
      </x:c>
      <x:c r="AH2617" t="n">
        <x:f>--AND(AG2617=1,AE2617="HALLUCINATION")</x:f>
        <x:v>0</x:v>
      </x:c>
      <x:c r="AI2617" t="n">
        <x:f>--AND(Q2617=1,AF2617=1,AE2617="HALLUCINATION")</x:f>
        <x:v>0</x:v>
      </x:c>
      <x:c r="AJ2617" t="n">
        <x:f>--AND(AI2617=1,R2617=1,S2617=1)</x:f>
        <x:v>0</x:v>
      </x:c>
    </x:row>
    <x:row r="2618">
      <x:c r="A2618" s="28"/>
      <x:c r="B2618" s="28"/>
      <x:c r="C2618" s="28"/>
      <x:c r="D2618" s="28"/>
      <x:c r="E2618" s="28"/>
      <x:c r="F2618" s="28"/>
      <x:c r="G2618" s="28"/>
      <x:c r="H2618" s="28"/>
      <x:c r="I2618" s="28"/>
      <x:c r="J2618" s="28"/>
      <x:c r="K2618" s="28"/>
      <x:c r="L2618" s="28"/>
      <x:c r="M2618" s="28"/>
      <x:c r="N2618" s="28"/>
      <x:c r="O2618" s="28"/>
      <x:c r="P2618" s="28"/>
      <x:c r="Q2618" s="28"/>
      <x:c r="R2618" s="28"/>
      <x:c r="S2618" s="28"/>
      <x:c r="T2618" s="28"/>
      <x:c r="U2618" s="28"/>
      <x:c r="V2618" s="28"/>
      <x:c r="W2618" s="43" t="n">
        <x:f>--AND(N2618=1,OR(O2618="SUPPORTED",O2618="HALLUCINATION"))</x:f>
        <x:v>0</x:v>
      </x:c>
      <x:c r="X2618" s="43" t="n">
        <x:f>--AND(W2618=1,O2618="HALLUCINATION")</x:f>
        <x:v>0</x:v>
      </x:c>
      <x:c r="Y2618" s="43" t="n">
        <x:f>--AND(Q2618=1,O2618="HALLUCINATION")</x:f>
        <x:v>0</x:v>
      </x:c>
      <x:c r="Z2618" s="43" t="n">
        <x:f>--AND(Y2618=1,R2618=1,S2618=1)</x:f>
        <x:v>0</x:v>
      </x:c>
      <x:c r="AC2618" t="str">
        <x:f>IF(OR(AA2618="",AB2618=""),"",--(AA2618&lt;&gt;AB2618))</x:f>
      </x:c>
      <x:c r="AE2618" t="str">
        <x:f>IF(OR(AA2618="",AB2618=""),"PENDING_HUMAN",IF(AA2618=AB2618,AA2618,IF(AD2618&lt;&gt;"",AD2618,"PENDING_HUMAN")))</x:f>
        <x:v>PENDING_HUMAN</x:v>
      </x:c>
      <x:c r="AF2618" t="n">
        <x:f>--AND(A2618&lt;&gt;"",AA2618&lt;&gt;"",AB2618&lt;&gt;"",OR(AA2618=AB2618,AD2618&lt;&gt;""),IF(AE2618="HALLUCINATION",U2618&lt;&gt;"",TRUE))</x:f>
        <x:v>0</x:v>
      </x:c>
      <x:c r="AG2618" t="n">
        <x:f>--AND(N2618=1,AF2618=1,OR(AE2618="SUPPORTED",AE2618="HALLUCINATION"))</x:f>
        <x:v>0</x:v>
      </x:c>
      <x:c r="AH2618" t="n">
        <x:f>--AND(AG2618=1,AE2618="HALLUCINATION")</x:f>
        <x:v>0</x:v>
      </x:c>
      <x:c r="AI2618" t="n">
        <x:f>--AND(Q2618=1,AF2618=1,AE2618="HALLUCINATION")</x:f>
        <x:v>0</x:v>
      </x:c>
      <x:c r="AJ2618" t="n">
        <x:f>--AND(AI2618=1,R2618=1,S2618=1)</x:f>
        <x:v>0</x:v>
      </x:c>
    </x:row>
    <x:row r="2619">
      <x:c r="A2619" s="28"/>
      <x:c r="B2619" s="28"/>
      <x:c r="C2619" s="28"/>
      <x:c r="D2619" s="28"/>
      <x:c r="E2619" s="28"/>
      <x:c r="F2619" s="28"/>
      <x:c r="G2619" s="28"/>
      <x:c r="H2619" s="28"/>
      <x:c r="I2619" s="28"/>
      <x:c r="J2619" s="28"/>
      <x:c r="K2619" s="28"/>
      <x:c r="L2619" s="28"/>
      <x:c r="M2619" s="28"/>
      <x:c r="N2619" s="28"/>
      <x:c r="O2619" s="28"/>
      <x:c r="P2619" s="28"/>
      <x:c r="Q2619" s="28"/>
      <x:c r="R2619" s="28"/>
      <x:c r="S2619" s="28"/>
      <x:c r="T2619" s="28"/>
      <x:c r="U2619" s="28"/>
      <x:c r="V2619" s="28"/>
      <x:c r="W2619" s="43" t="n">
        <x:f>--AND(N2619=1,OR(O2619="SUPPORTED",O2619="HALLUCINATION"))</x:f>
        <x:v>0</x:v>
      </x:c>
      <x:c r="X2619" s="43" t="n">
        <x:f>--AND(W2619=1,O2619="HALLUCINATION")</x:f>
        <x:v>0</x:v>
      </x:c>
      <x:c r="Y2619" s="43" t="n">
        <x:f>--AND(Q2619=1,O2619="HALLUCINATION")</x:f>
        <x:v>0</x:v>
      </x:c>
      <x:c r="Z2619" s="43" t="n">
        <x:f>--AND(Y2619=1,R2619=1,S2619=1)</x:f>
        <x:v>0</x:v>
      </x:c>
      <x:c r="AC2619" t="str">
        <x:f>IF(OR(AA2619="",AB2619=""),"",--(AA2619&lt;&gt;AB2619))</x:f>
      </x:c>
      <x:c r="AE2619" t="str">
        <x:f>IF(OR(AA2619="",AB2619=""),"PENDING_HUMAN",IF(AA2619=AB2619,AA2619,IF(AD2619&lt;&gt;"",AD2619,"PENDING_HUMAN")))</x:f>
        <x:v>PENDING_HUMAN</x:v>
      </x:c>
      <x:c r="AF2619" t="n">
        <x:f>--AND(A2619&lt;&gt;"",AA2619&lt;&gt;"",AB2619&lt;&gt;"",OR(AA2619=AB2619,AD2619&lt;&gt;""),IF(AE2619="HALLUCINATION",U2619&lt;&gt;"",TRUE))</x:f>
        <x:v>0</x:v>
      </x:c>
      <x:c r="AG2619" t="n">
        <x:f>--AND(N2619=1,AF2619=1,OR(AE2619="SUPPORTED",AE2619="HALLUCINATION"))</x:f>
        <x:v>0</x:v>
      </x:c>
      <x:c r="AH2619" t="n">
        <x:f>--AND(AG2619=1,AE2619="HALLUCINATION")</x:f>
        <x:v>0</x:v>
      </x:c>
      <x:c r="AI2619" t="n">
        <x:f>--AND(Q2619=1,AF2619=1,AE2619="HALLUCINATION")</x:f>
        <x:v>0</x:v>
      </x:c>
      <x:c r="AJ2619" t="n">
        <x:f>--AND(AI2619=1,R2619=1,S2619=1)</x:f>
        <x:v>0</x:v>
      </x:c>
    </x:row>
    <x:row r="2620">
      <x:c r="A2620" s="28"/>
      <x:c r="B2620" s="28"/>
      <x:c r="C2620" s="28"/>
      <x:c r="D2620" s="28"/>
      <x:c r="E2620" s="28"/>
      <x:c r="F2620" s="28"/>
      <x:c r="G2620" s="28"/>
      <x:c r="H2620" s="28"/>
      <x:c r="I2620" s="28"/>
      <x:c r="J2620" s="28"/>
      <x:c r="K2620" s="28"/>
      <x:c r="L2620" s="28"/>
      <x:c r="M2620" s="28"/>
      <x:c r="N2620" s="28"/>
      <x:c r="O2620" s="28"/>
      <x:c r="P2620" s="28"/>
      <x:c r="Q2620" s="28"/>
      <x:c r="R2620" s="28"/>
      <x:c r="S2620" s="28"/>
      <x:c r="T2620" s="28"/>
      <x:c r="U2620" s="28"/>
      <x:c r="V2620" s="28"/>
      <x:c r="W2620" s="43" t="n">
        <x:f>--AND(N2620=1,OR(O2620="SUPPORTED",O2620="HALLUCINATION"))</x:f>
        <x:v>0</x:v>
      </x:c>
      <x:c r="X2620" s="43" t="n">
        <x:f>--AND(W2620=1,O2620="HALLUCINATION")</x:f>
        <x:v>0</x:v>
      </x:c>
      <x:c r="Y2620" s="43" t="n">
        <x:f>--AND(Q2620=1,O2620="HALLUCINATION")</x:f>
        <x:v>0</x:v>
      </x:c>
      <x:c r="Z2620" s="43" t="n">
        <x:f>--AND(Y2620=1,R2620=1,S2620=1)</x:f>
        <x:v>0</x:v>
      </x:c>
      <x:c r="AC2620" t="str">
        <x:f>IF(OR(AA2620="",AB2620=""),"",--(AA2620&lt;&gt;AB2620))</x:f>
      </x:c>
      <x:c r="AE2620" t="str">
        <x:f>IF(OR(AA2620="",AB2620=""),"PENDING_HUMAN",IF(AA2620=AB2620,AA2620,IF(AD2620&lt;&gt;"",AD2620,"PENDING_HUMAN")))</x:f>
        <x:v>PENDING_HUMAN</x:v>
      </x:c>
      <x:c r="AF2620" t="n">
        <x:f>--AND(A2620&lt;&gt;"",AA2620&lt;&gt;"",AB2620&lt;&gt;"",OR(AA2620=AB2620,AD2620&lt;&gt;""),IF(AE2620="HALLUCINATION",U2620&lt;&gt;"",TRUE))</x:f>
        <x:v>0</x:v>
      </x:c>
      <x:c r="AG2620" t="n">
        <x:f>--AND(N2620=1,AF2620=1,OR(AE2620="SUPPORTED",AE2620="HALLUCINATION"))</x:f>
        <x:v>0</x:v>
      </x:c>
      <x:c r="AH2620" t="n">
        <x:f>--AND(AG2620=1,AE2620="HALLUCINATION")</x:f>
        <x:v>0</x:v>
      </x:c>
      <x:c r="AI2620" t="n">
        <x:f>--AND(Q2620=1,AF2620=1,AE2620="HALLUCINATION")</x:f>
        <x:v>0</x:v>
      </x:c>
      <x:c r="AJ2620" t="n">
        <x:f>--AND(AI2620=1,R2620=1,S2620=1)</x:f>
        <x:v>0</x:v>
      </x:c>
    </x:row>
    <x:row r="2621">
      <x:c r="A2621" s="28"/>
      <x:c r="B2621" s="28"/>
      <x:c r="C2621" s="28"/>
      <x:c r="D2621" s="28"/>
      <x:c r="E2621" s="28"/>
      <x:c r="F2621" s="28"/>
      <x:c r="G2621" s="28"/>
      <x:c r="H2621" s="28"/>
      <x:c r="I2621" s="28"/>
      <x:c r="J2621" s="28"/>
      <x:c r="K2621" s="28"/>
      <x:c r="L2621" s="28"/>
      <x:c r="M2621" s="28"/>
      <x:c r="N2621" s="28"/>
      <x:c r="O2621" s="28"/>
      <x:c r="P2621" s="28"/>
      <x:c r="Q2621" s="28"/>
      <x:c r="R2621" s="28"/>
      <x:c r="S2621" s="28"/>
      <x:c r="T2621" s="28"/>
      <x:c r="U2621" s="28"/>
      <x:c r="V2621" s="28"/>
      <x:c r="W2621" s="43" t="n">
        <x:f>--AND(N2621=1,OR(O2621="SUPPORTED",O2621="HALLUCINATION"))</x:f>
        <x:v>0</x:v>
      </x:c>
      <x:c r="X2621" s="43" t="n">
        <x:f>--AND(W2621=1,O2621="HALLUCINATION")</x:f>
        <x:v>0</x:v>
      </x:c>
      <x:c r="Y2621" s="43" t="n">
        <x:f>--AND(Q2621=1,O2621="HALLUCINATION")</x:f>
        <x:v>0</x:v>
      </x:c>
      <x:c r="Z2621" s="43" t="n">
        <x:f>--AND(Y2621=1,R2621=1,S2621=1)</x:f>
        <x:v>0</x:v>
      </x:c>
      <x:c r="AC2621" t="str">
        <x:f>IF(OR(AA2621="",AB2621=""),"",--(AA2621&lt;&gt;AB2621))</x:f>
      </x:c>
      <x:c r="AE2621" t="str">
        <x:f>IF(OR(AA2621="",AB2621=""),"PENDING_HUMAN",IF(AA2621=AB2621,AA2621,IF(AD2621&lt;&gt;"",AD2621,"PENDING_HUMAN")))</x:f>
        <x:v>PENDING_HUMAN</x:v>
      </x:c>
      <x:c r="AF2621" t="n">
        <x:f>--AND(A2621&lt;&gt;"",AA2621&lt;&gt;"",AB2621&lt;&gt;"",OR(AA2621=AB2621,AD2621&lt;&gt;""),IF(AE2621="HALLUCINATION",U2621&lt;&gt;"",TRUE))</x:f>
        <x:v>0</x:v>
      </x:c>
      <x:c r="AG2621" t="n">
        <x:f>--AND(N2621=1,AF2621=1,OR(AE2621="SUPPORTED",AE2621="HALLUCINATION"))</x:f>
        <x:v>0</x:v>
      </x:c>
      <x:c r="AH2621" t="n">
        <x:f>--AND(AG2621=1,AE2621="HALLUCINATION")</x:f>
        <x:v>0</x:v>
      </x:c>
      <x:c r="AI2621" t="n">
        <x:f>--AND(Q2621=1,AF2621=1,AE2621="HALLUCINATION")</x:f>
        <x:v>0</x:v>
      </x:c>
      <x:c r="AJ2621" t="n">
        <x:f>--AND(AI2621=1,R2621=1,S2621=1)</x:f>
        <x:v>0</x:v>
      </x:c>
    </x:row>
    <x:row r="2622">
      <x:c r="A2622" s="28"/>
      <x:c r="B2622" s="28"/>
      <x:c r="C2622" s="28"/>
      <x:c r="D2622" s="28"/>
      <x:c r="E2622" s="28"/>
      <x:c r="F2622" s="28"/>
      <x:c r="G2622" s="28"/>
      <x:c r="H2622" s="28"/>
      <x:c r="I2622" s="28"/>
      <x:c r="J2622" s="28"/>
      <x:c r="K2622" s="28"/>
      <x:c r="L2622" s="28"/>
      <x:c r="M2622" s="28"/>
      <x:c r="N2622" s="28"/>
      <x:c r="O2622" s="28"/>
      <x:c r="P2622" s="28"/>
      <x:c r="Q2622" s="28"/>
      <x:c r="R2622" s="28"/>
      <x:c r="S2622" s="28"/>
      <x:c r="T2622" s="28"/>
      <x:c r="U2622" s="28"/>
      <x:c r="V2622" s="28"/>
      <x:c r="W2622" s="43" t="n">
        <x:f>--AND(N2622=1,OR(O2622="SUPPORTED",O2622="HALLUCINATION"))</x:f>
        <x:v>0</x:v>
      </x:c>
      <x:c r="X2622" s="43" t="n">
        <x:f>--AND(W2622=1,O2622="HALLUCINATION")</x:f>
        <x:v>0</x:v>
      </x:c>
      <x:c r="Y2622" s="43" t="n">
        <x:f>--AND(Q2622=1,O2622="HALLUCINATION")</x:f>
        <x:v>0</x:v>
      </x:c>
      <x:c r="Z2622" s="43" t="n">
        <x:f>--AND(Y2622=1,R2622=1,S2622=1)</x:f>
        <x:v>0</x:v>
      </x:c>
      <x:c r="AC2622" t="str">
        <x:f>IF(OR(AA2622="",AB2622=""),"",--(AA2622&lt;&gt;AB2622))</x:f>
      </x:c>
      <x:c r="AE2622" t="str">
        <x:f>IF(OR(AA2622="",AB2622=""),"PENDING_HUMAN",IF(AA2622=AB2622,AA2622,IF(AD2622&lt;&gt;"",AD2622,"PENDING_HUMAN")))</x:f>
        <x:v>PENDING_HUMAN</x:v>
      </x:c>
      <x:c r="AF2622" t="n">
        <x:f>--AND(A2622&lt;&gt;"",AA2622&lt;&gt;"",AB2622&lt;&gt;"",OR(AA2622=AB2622,AD2622&lt;&gt;""),IF(AE2622="HALLUCINATION",U2622&lt;&gt;"",TRUE))</x:f>
        <x:v>0</x:v>
      </x:c>
      <x:c r="AG2622" t="n">
        <x:f>--AND(N2622=1,AF2622=1,OR(AE2622="SUPPORTED",AE2622="HALLUCINATION"))</x:f>
        <x:v>0</x:v>
      </x:c>
      <x:c r="AH2622" t="n">
        <x:f>--AND(AG2622=1,AE2622="HALLUCINATION")</x:f>
        <x:v>0</x:v>
      </x:c>
      <x:c r="AI2622" t="n">
        <x:f>--AND(Q2622=1,AF2622=1,AE2622="HALLUCINATION")</x:f>
        <x:v>0</x:v>
      </x:c>
      <x:c r="AJ2622" t="n">
        <x:f>--AND(AI2622=1,R2622=1,S2622=1)</x:f>
        <x:v>0</x:v>
      </x:c>
    </x:row>
    <x:row r="2623">
      <x:c r="A2623" s="28"/>
      <x:c r="B2623" s="28"/>
      <x:c r="C2623" s="28"/>
      <x:c r="D2623" s="28"/>
      <x:c r="E2623" s="28"/>
      <x:c r="F2623" s="28"/>
      <x:c r="G2623" s="28"/>
      <x:c r="H2623" s="28"/>
      <x:c r="I2623" s="28"/>
      <x:c r="J2623" s="28"/>
      <x:c r="K2623" s="28"/>
      <x:c r="L2623" s="28"/>
      <x:c r="M2623" s="28"/>
      <x:c r="N2623" s="28"/>
      <x:c r="O2623" s="28"/>
      <x:c r="P2623" s="28"/>
      <x:c r="Q2623" s="28"/>
      <x:c r="R2623" s="28"/>
      <x:c r="S2623" s="28"/>
      <x:c r="T2623" s="28"/>
      <x:c r="U2623" s="28"/>
      <x:c r="V2623" s="28"/>
      <x:c r="W2623" s="43" t="n">
        <x:f>--AND(N2623=1,OR(O2623="SUPPORTED",O2623="HALLUCINATION"))</x:f>
        <x:v>0</x:v>
      </x:c>
      <x:c r="X2623" s="43" t="n">
        <x:f>--AND(W2623=1,O2623="HALLUCINATION")</x:f>
        <x:v>0</x:v>
      </x:c>
      <x:c r="Y2623" s="43" t="n">
        <x:f>--AND(Q2623=1,O2623="HALLUCINATION")</x:f>
        <x:v>0</x:v>
      </x:c>
      <x:c r="Z2623" s="43" t="n">
        <x:f>--AND(Y2623=1,R2623=1,S2623=1)</x:f>
        <x:v>0</x:v>
      </x:c>
      <x:c r="AC2623" t="str">
        <x:f>IF(OR(AA2623="",AB2623=""),"",--(AA2623&lt;&gt;AB2623))</x:f>
      </x:c>
      <x:c r="AE2623" t="str">
        <x:f>IF(OR(AA2623="",AB2623=""),"PENDING_HUMAN",IF(AA2623=AB2623,AA2623,IF(AD2623&lt;&gt;"",AD2623,"PENDING_HUMAN")))</x:f>
        <x:v>PENDING_HUMAN</x:v>
      </x:c>
      <x:c r="AF2623" t="n">
        <x:f>--AND(A2623&lt;&gt;"",AA2623&lt;&gt;"",AB2623&lt;&gt;"",OR(AA2623=AB2623,AD2623&lt;&gt;""),IF(AE2623="HALLUCINATION",U2623&lt;&gt;"",TRUE))</x:f>
        <x:v>0</x:v>
      </x:c>
      <x:c r="AG2623" t="n">
        <x:f>--AND(N2623=1,AF2623=1,OR(AE2623="SUPPORTED",AE2623="HALLUCINATION"))</x:f>
        <x:v>0</x:v>
      </x:c>
      <x:c r="AH2623" t="n">
        <x:f>--AND(AG2623=1,AE2623="HALLUCINATION")</x:f>
        <x:v>0</x:v>
      </x:c>
      <x:c r="AI2623" t="n">
        <x:f>--AND(Q2623=1,AF2623=1,AE2623="HALLUCINATION")</x:f>
        <x:v>0</x:v>
      </x:c>
      <x:c r="AJ2623" t="n">
        <x:f>--AND(AI2623=1,R2623=1,S2623=1)</x:f>
        <x:v>0</x:v>
      </x:c>
    </x:row>
    <x:row r="2624">
      <x:c r="A2624" s="28"/>
      <x:c r="B2624" s="28"/>
      <x:c r="C2624" s="28"/>
      <x:c r="D2624" s="28"/>
      <x:c r="E2624" s="28"/>
      <x:c r="F2624" s="28"/>
      <x:c r="G2624" s="28"/>
      <x:c r="H2624" s="28"/>
      <x:c r="I2624" s="28"/>
      <x:c r="J2624" s="28"/>
      <x:c r="K2624" s="28"/>
      <x:c r="L2624" s="28"/>
      <x:c r="M2624" s="28"/>
      <x:c r="N2624" s="28"/>
      <x:c r="O2624" s="28"/>
      <x:c r="P2624" s="28"/>
      <x:c r="Q2624" s="28"/>
      <x:c r="R2624" s="28"/>
      <x:c r="S2624" s="28"/>
      <x:c r="T2624" s="28"/>
      <x:c r="U2624" s="28"/>
      <x:c r="V2624" s="28"/>
      <x:c r="W2624" s="43" t="n">
        <x:f>--AND(N2624=1,OR(O2624="SUPPORTED",O2624="HALLUCINATION"))</x:f>
        <x:v>0</x:v>
      </x:c>
      <x:c r="X2624" s="43" t="n">
        <x:f>--AND(W2624=1,O2624="HALLUCINATION")</x:f>
        <x:v>0</x:v>
      </x:c>
      <x:c r="Y2624" s="43" t="n">
        <x:f>--AND(Q2624=1,O2624="HALLUCINATION")</x:f>
        <x:v>0</x:v>
      </x:c>
      <x:c r="Z2624" s="43" t="n">
        <x:f>--AND(Y2624=1,R2624=1,S2624=1)</x:f>
        <x:v>0</x:v>
      </x:c>
      <x:c r="AC2624" t="str">
        <x:f>IF(OR(AA2624="",AB2624=""),"",--(AA2624&lt;&gt;AB2624))</x:f>
      </x:c>
      <x:c r="AE2624" t="str">
        <x:f>IF(OR(AA2624="",AB2624=""),"PENDING_HUMAN",IF(AA2624=AB2624,AA2624,IF(AD2624&lt;&gt;"",AD2624,"PENDING_HUMAN")))</x:f>
        <x:v>PENDING_HUMAN</x:v>
      </x:c>
      <x:c r="AF2624" t="n">
        <x:f>--AND(A2624&lt;&gt;"",AA2624&lt;&gt;"",AB2624&lt;&gt;"",OR(AA2624=AB2624,AD2624&lt;&gt;""),IF(AE2624="HALLUCINATION",U2624&lt;&gt;"",TRUE))</x:f>
        <x:v>0</x:v>
      </x:c>
      <x:c r="AG2624" t="n">
        <x:f>--AND(N2624=1,AF2624=1,OR(AE2624="SUPPORTED",AE2624="HALLUCINATION"))</x:f>
        <x:v>0</x:v>
      </x:c>
      <x:c r="AH2624" t="n">
        <x:f>--AND(AG2624=1,AE2624="HALLUCINATION")</x:f>
        <x:v>0</x:v>
      </x:c>
      <x:c r="AI2624" t="n">
        <x:f>--AND(Q2624=1,AF2624=1,AE2624="HALLUCINATION")</x:f>
        <x:v>0</x:v>
      </x:c>
      <x:c r="AJ2624" t="n">
        <x:f>--AND(AI2624=1,R2624=1,S2624=1)</x:f>
        <x:v>0</x:v>
      </x:c>
    </x:row>
    <x:row r="2625">
      <x:c r="A2625" s="28"/>
      <x:c r="B2625" s="28"/>
      <x:c r="C2625" s="28"/>
      <x:c r="D2625" s="28"/>
      <x:c r="E2625" s="28"/>
      <x:c r="F2625" s="28"/>
      <x:c r="G2625" s="28"/>
      <x:c r="H2625" s="28"/>
      <x:c r="I2625" s="28"/>
      <x:c r="J2625" s="28"/>
      <x:c r="K2625" s="28"/>
      <x:c r="L2625" s="28"/>
      <x:c r="M2625" s="28"/>
      <x:c r="N2625" s="28"/>
      <x:c r="O2625" s="28"/>
      <x:c r="P2625" s="28"/>
      <x:c r="Q2625" s="28"/>
      <x:c r="R2625" s="28"/>
      <x:c r="S2625" s="28"/>
      <x:c r="T2625" s="28"/>
      <x:c r="U2625" s="28"/>
      <x:c r="V2625" s="28"/>
      <x:c r="W2625" s="43" t="n">
        <x:f>--AND(N2625=1,OR(O2625="SUPPORTED",O2625="HALLUCINATION"))</x:f>
        <x:v>0</x:v>
      </x:c>
      <x:c r="X2625" s="43" t="n">
        <x:f>--AND(W2625=1,O2625="HALLUCINATION")</x:f>
        <x:v>0</x:v>
      </x:c>
      <x:c r="Y2625" s="43" t="n">
        <x:f>--AND(Q2625=1,O2625="HALLUCINATION")</x:f>
        <x:v>0</x:v>
      </x:c>
      <x:c r="Z2625" s="43" t="n">
        <x:f>--AND(Y2625=1,R2625=1,S2625=1)</x:f>
        <x:v>0</x:v>
      </x:c>
      <x:c r="AC2625" t="str">
        <x:f>IF(OR(AA2625="",AB2625=""),"",--(AA2625&lt;&gt;AB2625))</x:f>
      </x:c>
      <x:c r="AE2625" t="str">
        <x:f>IF(OR(AA2625="",AB2625=""),"PENDING_HUMAN",IF(AA2625=AB2625,AA2625,IF(AD2625&lt;&gt;"",AD2625,"PENDING_HUMAN")))</x:f>
        <x:v>PENDING_HUMAN</x:v>
      </x:c>
      <x:c r="AF2625" t="n">
        <x:f>--AND(A2625&lt;&gt;"",AA2625&lt;&gt;"",AB2625&lt;&gt;"",OR(AA2625=AB2625,AD2625&lt;&gt;""),IF(AE2625="HALLUCINATION",U2625&lt;&gt;"",TRUE))</x:f>
        <x:v>0</x:v>
      </x:c>
      <x:c r="AG2625" t="n">
        <x:f>--AND(N2625=1,AF2625=1,OR(AE2625="SUPPORTED",AE2625="HALLUCINATION"))</x:f>
        <x:v>0</x:v>
      </x:c>
      <x:c r="AH2625" t="n">
        <x:f>--AND(AG2625=1,AE2625="HALLUCINATION")</x:f>
        <x:v>0</x:v>
      </x:c>
      <x:c r="AI2625" t="n">
        <x:f>--AND(Q2625=1,AF2625=1,AE2625="HALLUCINATION")</x:f>
        <x:v>0</x:v>
      </x:c>
      <x:c r="AJ2625" t="n">
        <x:f>--AND(AI2625=1,R2625=1,S2625=1)</x:f>
        <x:v>0</x:v>
      </x:c>
    </x:row>
    <x:row r="2626">
      <x:c r="A2626" s="28"/>
      <x:c r="B2626" s="28"/>
      <x:c r="C2626" s="28"/>
      <x:c r="D2626" s="28"/>
      <x:c r="E2626" s="28"/>
      <x:c r="F2626" s="28"/>
      <x:c r="G2626" s="28"/>
      <x:c r="H2626" s="28"/>
      <x:c r="I2626" s="28"/>
      <x:c r="J2626" s="28"/>
      <x:c r="K2626" s="28"/>
      <x:c r="L2626" s="28"/>
      <x:c r="M2626" s="28"/>
      <x:c r="N2626" s="28"/>
      <x:c r="O2626" s="28"/>
      <x:c r="P2626" s="28"/>
      <x:c r="Q2626" s="28"/>
      <x:c r="R2626" s="28"/>
      <x:c r="S2626" s="28"/>
      <x:c r="T2626" s="28"/>
      <x:c r="U2626" s="28"/>
      <x:c r="V2626" s="28"/>
      <x:c r="W2626" s="43" t="n">
        <x:f>--AND(N2626=1,OR(O2626="SUPPORTED",O2626="HALLUCINATION"))</x:f>
        <x:v>0</x:v>
      </x:c>
      <x:c r="X2626" s="43" t="n">
        <x:f>--AND(W2626=1,O2626="HALLUCINATION")</x:f>
        <x:v>0</x:v>
      </x:c>
      <x:c r="Y2626" s="43" t="n">
        <x:f>--AND(Q2626=1,O2626="HALLUCINATION")</x:f>
        <x:v>0</x:v>
      </x:c>
      <x:c r="Z2626" s="43" t="n">
        <x:f>--AND(Y2626=1,R2626=1,S2626=1)</x:f>
        <x:v>0</x:v>
      </x:c>
      <x:c r="AC2626" t="str">
        <x:f>IF(OR(AA2626="",AB2626=""),"",--(AA2626&lt;&gt;AB2626))</x:f>
      </x:c>
      <x:c r="AE2626" t="str">
        <x:f>IF(OR(AA2626="",AB2626=""),"PENDING_HUMAN",IF(AA2626=AB2626,AA2626,IF(AD2626&lt;&gt;"",AD2626,"PENDING_HUMAN")))</x:f>
        <x:v>PENDING_HUMAN</x:v>
      </x:c>
      <x:c r="AF2626" t="n">
        <x:f>--AND(A2626&lt;&gt;"",AA2626&lt;&gt;"",AB2626&lt;&gt;"",OR(AA2626=AB2626,AD2626&lt;&gt;""),IF(AE2626="HALLUCINATION",U2626&lt;&gt;"",TRUE))</x:f>
        <x:v>0</x:v>
      </x:c>
      <x:c r="AG2626" t="n">
        <x:f>--AND(N2626=1,AF2626=1,OR(AE2626="SUPPORTED",AE2626="HALLUCINATION"))</x:f>
        <x:v>0</x:v>
      </x:c>
      <x:c r="AH2626" t="n">
        <x:f>--AND(AG2626=1,AE2626="HALLUCINATION")</x:f>
        <x:v>0</x:v>
      </x:c>
      <x:c r="AI2626" t="n">
        <x:f>--AND(Q2626=1,AF2626=1,AE2626="HALLUCINATION")</x:f>
        <x:v>0</x:v>
      </x:c>
      <x:c r="AJ2626" t="n">
        <x:f>--AND(AI2626=1,R2626=1,S2626=1)</x:f>
        <x:v>0</x:v>
      </x:c>
    </x:row>
    <x:row r="2627">
      <x:c r="A2627" s="28"/>
      <x:c r="B2627" s="28"/>
      <x:c r="C2627" s="28"/>
      <x:c r="D2627" s="28"/>
      <x:c r="E2627" s="28"/>
      <x:c r="F2627" s="28"/>
      <x:c r="G2627" s="28"/>
      <x:c r="H2627" s="28"/>
      <x:c r="I2627" s="28"/>
      <x:c r="J2627" s="28"/>
      <x:c r="K2627" s="28"/>
      <x:c r="L2627" s="28"/>
      <x:c r="M2627" s="28"/>
      <x:c r="N2627" s="28"/>
      <x:c r="O2627" s="28"/>
      <x:c r="P2627" s="28"/>
      <x:c r="Q2627" s="28"/>
      <x:c r="R2627" s="28"/>
      <x:c r="S2627" s="28"/>
      <x:c r="T2627" s="28"/>
      <x:c r="U2627" s="28"/>
      <x:c r="V2627" s="28"/>
      <x:c r="W2627" s="43" t="n">
        <x:f>--AND(N2627=1,OR(O2627="SUPPORTED",O2627="HALLUCINATION"))</x:f>
        <x:v>0</x:v>
      </x:c>
      <x:c r="X2627" s="43" t="n">
        <x:f>--AND(W2627=1,O2627="HALLUCINATION")</x:f>
        <x:v>0</x:v>
      </x:c>
      <x:c r="Y2627" s="43" t="n">
        <x:f>--AND(Q2627=1,O2627="HALLUCINATION")</x:f>
        <x:v>0</x:v>
      </x:c>
      <x:c r="Z2627" s="43" t="n">
        <x:f>--AND(Y2627=1,R2627=1,S2627=1)</x:f>
        <x:v>0</x:v>
      </x:c>
      <x:c r="AC2627" t="str">
        <x:f>IF(OR(AA2627="",AB2627=""),"",--(AA2627&lt;&gt;AB2627))</x:f>
      </x:c>
      <x:c r="AE2627" t="str">
        <x:f>IF(OR(AA2627="",AB2627=""),"PENDING_HUMAN",IF(AA2627=AB2627,AA2627,IF(AD2627&lt;&gt;"",AD2627,"PENDING_HUMAN")))</x:f>
        <x:v>PENDING_HUMAN</x:v>
      </x:c>
      <x:c r="AF2627" t="n">
        <x:f>--AND(A2627&lt;&gt;"",AA2627&lt;&gt;"",AB2627&lt;&gt;"",OR(AA2627=AB2627,AD2627&lt;&gt;""),IF(AE2627="HALLUCINATION",U2627&lt;&gt;"",TRUE))</x:f>
        <x:v>0</x:v>
      </x:c>
      <x:c r="AG2627" t="n">
        <x:f>--AND(N2627=1,AF2627=1,OR(AE2627="SUPPORTED",AE2627="HALLUCINATION"))</x:f>
        <x:v>0</x:v>
      </x:c>
      <x:c r="AH2627" t="n">
        <x:f>--AND(AG2627=1,AE2627="HALLUCINATION")</x:f>
        <x:v>0</x:v>
      </x:c>
      <x:c r="AI2627" t="n">
        <x:f>--AND(Q2627=1,AF2627=1,AE2627="HALLUCINATION")</x:f>
        <x:v>0</x:v>
      </x:c>
      <x:c r="AJ2627" t="n">
        <x:f>--AND(AI2627=1,R2627=1,S2627=1)</x:f>
        <x:v>0</x:v>
      </x:c>
    </x:row>
    <x:row r="2628">
      <x:c r="A2628" s="28"/>
      <x:c r="B2628" s="28"/>
      <x:c r="C2628" s="28"/>
      <x:c r="D2628" s="28"/>
      <x:c r="E2628" s="28"/>
      <x:c r="F2628" s="28"/>
      <x:c r="G2628" s="28"/>
      <x:c r="H2628" s="28"/>
      <x:c r="I2628" s="28"/>
      <x:c r="J2628" s="28"/>
      <x:c r="K2628" s="28"/>
      <x:c r="L2628" s="28"/>
      <x:c r="M2628" s="28"/>
      <x:c r="N2628" s="28"/>
      <x:c r="O2628" s="28"/>
      <x:c r="P2628" s="28"/>
      <x:c r="Q2628" s="28"/>
      <x:c r="R2628" s="28"/>
      <x:c r="S2628" s="28"/>
      <x:c r="T2628" s="28"/>
      <x:c r="U2628" s="28"/>
      <x:c r="V2628" s="28"/>
      <x:c r="W2628" s="43" t="n">
        <x:f>--AND(N2628=1,OR(O2628="SUPPORTED",O2628="HALLUCINATION"))</x:f>
        <x:v>0</x:v>
      </x:c>
      <x:c r="X2628" s="43" t="n">
        <x:f>--AND(W2628=1,O2628="HALLUCINATION")</x:f>
        <x:v>0</x:v>
      </x:c>
      <x:c r="Y2628" s="43" t="n">
        <x:f>--AND(Q2628=1,O2628="HALLUCINATION")</x:f>
        <x:v>0</x:v>
      </x:c>
      <x:c r="Z2628" s="43" t="n">
        <x:f>--AND(Y2628=1,R2628=1,S2628=1)</x:f>
        <x:v>0</x:v>
      </x:c>
      <x:c r="AC2628" t="str">
        <x:f>IF(OR(AA2628="",AB2628=""),"",--(AA2628&lt;&gt;AB2628))</x:f>
      </x:c>
      <x:c r="AE2628" t="str">
        <x:f>IF(OR(AA2628="",AB2628=""),"PENDING_HUMAN",IF(AA2628=AB2628,AA2628,IF(AD2628&lt;&gt;"",AD2628,"PENDING_HUMAN")))</x:f>
        <x:v>PENDING_HUMAN</x:v>
      </x:c>
      <x:c r="AF2628" t="n">
        <x:f>--AND(A2628&lt;&gt;"",AA2628&lt;&gt;"",AB2628&lt;&gt;"",OR(AA2628=AB2628,AD2628&lt;&gt;""),IF(AE2628="HALLUCINATION",U2628&lt;&gt;"",TRUE))</x:f>
        <x:v>0</x:v>
      </x:c>
      <x:c r="AG2628" t="n">
        <x:f>--AND(N2628=1,AF2628=1,OR(AE2628="SUPPORTED",AE2628="HALLUCINATION"))</x:f>
        <x:v>0</x:v>
      </x:c>
      <x:c r="AH2628" t="n">
        <x:f>--AND(AG2628=1,AE2628="HALLUCINATION")</x:f>
        <x:v>0</x:v>
      </x:c>
      <x:c r="AI2628" t="n">
        <x:f>--AND(Q2628=1,AF2628=1,AE2628="HALLUCINATION")</x:f>
        <x:v>0</x:v>
      </x:c>
      <x:c r="AJ2628" t="n">
        <x:f>--AND(AI2628=1,R2628=1,S2628=1)</x:f>
        <x:v>0</x:v>
      </x:c>
    </x:row>
    <x:row r="2629">
      <x:c r="A2629" s="28"/>
      <x:c r="B2629" s="28"/>
      <x:c r="C2629" s="28"/>
      <x:c r="D2629" s="28"/>
      <x:c r="E2629" s="28"/>
      <x:c r="F2629" s="28"/>
      <x:c r="G2629" s="28"/>
      <x:c r="H2629" s="28"/>
      <x:c r="I2629" s="28"/>
      <x:c r="J2629" s="28"/>
      <x:c r="K2629" s="28"/>
      <x:c r="L2629" s="28"/>
      <x:c r="M2629" s="28"/>
      <x:c r="N2629" s="28"/>
      <x:c r="O2629" s="28"/>
      <x:c r="P2629" s="28"/>
      <x:c r="Q2629" s="28"/>
      <x:c r="R2629" s="28"/>
      <x:c r="S2629" s="28"/>
      <x:c r="T2629" s="28"/>
      <x:c r="U2629" s="28"/>
      <x:c r="V2629" s="28"/>
      <x:c r="W2629" s="43" t="n">
        <x:f>--AND(N2629=1,OR(O2629="SUPPORTED",O2629="HALLUCINATION"))</x:f>
        <x:v>0</x:v>
      </x:c>
      <x:c r="X2629" s="43" t="n">
        <x:f>--AND(W2629=1,O2629="HALLUCINATION")</x:f>
        <x:v>0</x:v>
      </x:c>
      <x:c r="Y2629" s="43" t="n">
        <x:f>--AND(Q2629=1,O2629="HALLUCINATION")</x:f>
        <x:v>0</x:v>
      </x:c>
      <x:c r="Z2629" s="43" t="n">
        <x:f>--AND(Y2629=1,R2629=1,S2629=1)</x:f>
        <x:v>0</x:v>
      </x:c>
      <x:c r="AC2629" t="str">
        <x:f>IF(OR(AA2629="",AB2629=""),"",--(AA2629&lt;&gt;AB2629))</x:f>
      </x:c>
      <x:c r="AE2629" t="str">
        <x:f>IF(OR(AA2629="",AB2629=""),"PENDING_HUMAN",IF(AA2629=AB2629,AA2629,IF(AD2629&lt;&gt;"",AD2629,"PENDING_HUMAN")))</x:f>
        <x:v>PENDING_HUMAN</x:v>
      </x:c>
      <x:c r="AF2629" t="n">
        <x:f>--AND(A2629&lt;&gt;"",AA2629&lt;&gt;"",AB2629&lt;&gt;"",OR(AA2629=AB2629,AD2629&lt;&gt;""),IF(AE2629="HALLUCINATION",U2629&lt;&gt;"",TRUE))</x:f>
        <x:v>0</x:v>
      </x:c>
      <x:c r="AG2629" t="n">
        <x:f>--AND(N2629=1,AF2629=1,OR(AE2629="SUPPORTED",AE2629="HALLUCINATION"))</x:f>
        <x:v>0</x:v>
      </x:c>
      <x:c r="AH2629" t="n">
        <x:f>--AND(AG2629=1,AE2629="HALLUCINATION")</x:f>
        <x:v>0</x:v>
      </x:c>
      <x:c r="AI2629" t="n">
        <x:f>--AND(Q2629=1,AF2629=1,AE2629="HALLUCINATION")</x:f>
        <x:v>0</x:v>
      </x:c>
      <x:c r="AJ2629" t="n">
        <x:f>--AND(AI2629=1,R2629=1,S2629=1)</x:f>
        <x:v>0</x:v>
      </x:c>
    </x:row>
    <x:row r="2630">
      <x:c r="A2630" s="28"/>
      <x:c r="B2630" s="28"/>
      <x:c r="C2630" s="28"/>
      <x:c r="D2630" s="28"/>
      <x:c r="E2630" s="28"/>
      <x:c r="F2630" s="28"/>
      <x:c r="G2630" s="28"/>
      <x:c r="H2630" s="28"/>
      <x:c r="I2630" s="28"/>
      <x:c r="J2630" s="28"/>
      <x:c r="K2630" s="28"/>
      <x:c r="L2630" s="28"/>
      <x:c r="M2630" s="28"/>
      <x:c r="N2630" s="28"/>
      <x:c r="O2630" s="28"/>
      <x:c r="P2630" s="28"/>
      <x:c r="Q2630" s="28"/>
      <x:c r="R2630" s="28"/>
      <x:c r="S2630" s="28"/>
      <x:c r="T2630" s="28"/>
      <x:c r="U2630" s="28"/>
      <x:c r="V2630" s="28"/>
      <x:c r="W2630" s="43" t="n">
        <x:f>--AND(N2630=1,OR(O2630="SUPPORTED",O2630="HALLUCINATION"))</x:f>
        <x:v>0</x:v>
      </x:c>
      <x:c r="X2630" s="43" t="n">
        <x:f>--AND(W2630=1,O2630="HALLUCINATION")</x:f>
        <x:v>0</x:v>
      </x:c>
      <x:c r="Y2630" s="43" t="n">
        <x:f>--AND(Q2630=1,O2630="HALLUCINATION")</x:f>
        <x:v>0</x:v>
      </x:c>
      <x:c r="Z2630" s="43" t="n">
        <x:f>--AND(Y2630=1,R2630=1,S2630=1)</x:f>
        <x:v>0</x:v>
      </x:c>
      <x:c r="AC2630" t="str">
        <x:f>IF(OR(AA2630="",AB2630=""),"",--(AA2630&lt;&gt;AB2630))</x:f>
      </x:c>
      <x:c r="AE2630" t="str">
        <x:f>IF(OR(AA2630="",AB2630=""),"PENDING_HUMAN",IF(AA2630=AB2630,AA2630,IF(AD2630&lt;&gt;"",AD2630,"PENDING_HUMAN")))</x:f>
        <x:v>PENDING_HUMAN</x:v>
      </x:c>
      <x:c r="AF2630" t="n">
        <x:f>--AND(A2630&lt;&gt;"",AA2630&lt;&gt;"",AB2630&lt;&gt;"",OR(AA2630=AB2630,AD2630&lt;&gt;""),IF(AE2630="HALLUCINATION",U2630&lt;&gt;"",TRUE))</x:f>
        <x:v>0</x:v>
      </x:c>
      <x:c r="AG2630" t="n">
        <x:f>--AND(N2630=1,AF2630=1,OR(AE2630="SUPPORTED",AE2630="HALLUCINATION"))</x:f>
        <x:v>0</x:v>
      </x:c>
      <x:c r="AH2630" t="n">
        <x:f>--AND(AG2630=1,AE2630="HALLUCINATION")</x:f>
        <x:v>0</x:v>
      </x:c>
      <x:c r="AI2630" t="n">
        <x:f>--AND(Q2630=1,AF2630=1,AE2630="HALLUCINATION")</x:f>
        <x:v>0</x:v>
      </x:c>
      <x:c r="AJ2630" t="n">
        <x:f>--AND(AI2630=1,R2630=1,S2630=1)</x:f>
        <x:v>0</x:v>
      </x:c>
    </x:row>
    <x:row r="2631">
      <x:c r="A2631" s="28"/>
      <x:c r="B2631" s="28"/>
      <x:c r="C2631" s="28"/>
      <x:c r="D2631" s="28"/>
      <x:c r="E2631" s="28"/>
      <x:c r="F2631" s="28"/>
      <x:c r="G2631" s="28"/>
      <x:c r="H2631" s="28"/>
      <x:c r="I2631" s="28"/>
      <x:c r="J2631" s="28"/>
      <x:c r="K2631" s="28"/>
      <x:c r="L2631" s="28"/>
      <x:c r="M2631" s="28"/>
      <x:c r="N2631" s="28"/>
      <x:c r="O2631" s="28"/>
      <x:c r="P2631" s="28"/>
      <x:c r="Q2631" s="28"/>
      <x:c r="R2631" s="28"/>
      <x:c r="S2631" s="28"/>
      <x:c r="T2631" s="28"/>
      <x:c r="U2631" s="28"/>
      <x:c r="V2631" s="28"/>
      <x:c r="W2631" s="43" t="n">
        <x:f>--AND(N2631=1,OR(O2631="SUPPORTED",O2631="HALLUCINATION"))</x:f>
        <x:v>0</x:v>
      </x:c>
      <x:c r="X2631" s="43" t="n">
        <x:f>--AND(W2631=1,O2631="HALLUCINATION")</x:f>
        <x:v>0</x:v>
      </x:c>
      <x:c r="Y2631" s="43" t="n">
        <x:f>--AND(Q2631=1,O2631="HALLUCINATION")</x:f>
        <x:v>0</x:v>
      </x:c>
      <x:c r="Z2631" s="43" t="n">
        <x:f>--AND(Y2631=1,R2631=1,S2631=1)</x:f>
        <x:v>0</x:v>
      </x:c>
      <x:c r="AC2631" t="str">
        <x:f>IF(OR(AA2631="",AB2631=""),"",--(AA2631&lt;&gt;AB2631))</x:f>
      </x:c>
      <x:c r="AE2631" t="str">
        <x:f>IF(OR(AA2631="",AB2631=""),"PENDING_HUMAN",IF(AA2631=AB2631,AA2631,IF(AD2631&lt;&gt;"",AD2631,"PENDING_HUMAN")))</x:f>
        <x:v>PENDING_HUMAN</x:v>
      </x:c>
      <x:c r="AF2631" t="n">
        <x:f>--AND(A2631&lt;&gt;"",AA2631&lt;&gt;"",AB2631&lt;&gt;"",OR(AA2631=AB2631,AD2631&lt;&gt;""),IF(AE2631="HALLUCINATION",U2631&lt;&gt;"",TRUE))</x:f>
        <x:v>0</x:v>
      </x:c>
      <x:c r="AG2631" t="n">
        <x:f>--AND(N2631=1,AF2631=1,OR(AE2631="SUPPORTED",AE2631="HALLUCINATION"))</x:f>
        <x:v>0</x:v>
      </x:c>
      <x:c r="AH2631" t="n">
        <x:f>--AND(AG2631=1,AE2631="HALLUCINATION")</x:f>
        <x:v>0</x:v>
      </x:c>
      <x:c r="AI2631" t="n">
        <x:f>--AND(Q2631=1,AF2631=1,AE2631="HALLUCINATION")</x:f>
        <x:v>0</x:v>
      </x:c>
      <x:c r="AJ2631" t="n">
        <x:f>--AND(AI2631=1,R2631=1,S2631=1)</x:f>
        <x:v>0</x:v>
      </x:c>
    </x:row>
    <x:row r="2632">
      <x:c r="A2632" s="28"/>
      <x:c r="B2632" s="28"/>
      <x:c r="C2632" s="28"/>
      <x:c r="D2632" s="28"/>
      <x:c r="E2632" s="28"/>
      <x:c r="F2632" s="28"/>
      <x:c r="G2632" s="28"/>
      <x:c r="H2632" s="28"/>
      <x:c r="I2632" s="28"/>
      <x:c r="J2632" s="28"/>
      <x:c r="K2632" s="28"/>
      <x:c r="L2632" s="28"/>
      <x:c r="M2632" s="28"/>
      <x:c r="N2632" s="28"/>
      <x:c r="O2632" s="28"/>
      <x:c r="P2632" s="28"/>
      <x:c r="Q2632" s="28"/>
      <x:c r="R2632" s="28"/>
      <x:c r="S2632" s="28"/>
      <x:c r="T2632" s="28"/>
      <x:c r="U2632" s="28"/>
      <x:c r="V2632" s="28"/>
      <x:c r="W2632" s="43" t="n">
        <x:f>--AND(N2632=1,OR(O2632="SUPPORTED",O2632="HALLUCINATION"))</x:f>
        <x:v>0</x:v>
      </x:c>
      <x:c r="X2632" s="43" t="n">
        <x:f>--AND(W2632=1,O2632="HALLUCINATION")</x:f>
        <x:v>0</x:v>
      </x:c>
      <x:c r="Y2632" s="43" t="n">
        <x:f>--AND(Q2632=1,O2632="HALLUCINATION")</x:f>
        <x:v>0</x:v>
      </x:c>
      <x:c r="Z2632" s="43" t="n">
        <x:f>--AND(Y2632=1,R2632=1,S2632=1)</x:f>
        <x:v>0</x:v>
      </x:c>
      <x:c r="AC2632" t="str">
        <x:f>IF(OR(AA2632="",AB2632=""),"",--(AA2632&lt;&gt;AB2632))</x:f>
      </x:c>
      <x:c r="AE2632" t="str">
        <x:f>IF(OR(AA2632="",AB2632=""),"PENDING_HUMAN",IF(AA2632=AB2632,AA2632,IF(AD2632&lt;&gt;"",AD2632,"PENDING_HUMAN")))</x:f>
        <x:v>PENDING_HUMAN</x:v>
      </x:c>
      <x:c r="AF2632" t="n">
        <x:f>--AND(A2632&lt;&gt;"",AA2632&lt;&gt;"",AB2632&lt;&gt;"",OR(AA2632=AB2632,AD2632&lt;&gt;""),IF(AE2632="HALLUCINATION",U2632&lt;&gt;"",TRUE))</x:f>
        <x:v>0</x:v>
      </x:c>
      <x:c r="AG2632" t="n">
        <x:f>--AND(N2632=1,AF2632=1,OR(AE2632="SUPPORTED",AE2632="HALLUCINATION"))</x:f>
        <x:v>0</x:v>
      </x:c>
      <x:c r="AH2632" t="n">
        <x:f>--AND(AG2632=1,AE2632="HALLUCINATION")</x:f>
        <x:v>0</x:v>
      </x:c>
      <x:c r="AI2632" t="n">
        <x:f>--AND(Q2632=1,AF2632=1,AE2632="HALLUCINATION")</x:f>
        <x:v>0</x:v>
      </x:c>
      <x:c r="AJ2632" t="n">
        <x:f>--AND(AI2632=1,R2632=1,S2632=1)</x:f>
        <x:v>0</x:v>
      </x:c>
    </x:row>
    <x:row r="2633">
      <x:c r="A2633" s="28"/>
      <x:c r="B2633" s="28"/>
      <x:c r="C2633" s="28"/>
      <x:c r="D2633" s="28"/>
      <x:c r="E2633" s="28"/>
      <x:c r="F2633" s="28"/>
      <x:c r="G2633" s="28"/>
      <x:c r="H2633" s="28"/>
      <x:c r="I2633" s="28"/>
      <x:c r="J2633" s="28"/>
      <x:c r="K2633" s="28"/>
      <x:c r="L2633" s="28"/>
      <x:c r="M2633" s="28"/>
      <x:c r="N2633" s="28"/>
      <x:c r="O2633" s="28"/>
      <x:c r="P2633" s="28"/>
      <x:c r="Q2633" s="28"/>
      <x:c r="R2633" s="28"/>
      <x:c r="S2633" s="28"/>
      <x:c r="T2633" s="28"/>
      <x:c r="U2633" s="28"/>
      <x:c r="V2633" s="28"/>
      <x:c r="W2633" s="43" t="n">
        <x:f>--AND(N2633=1,OR(O2633="SUPPORTED",O2633="HALLUCINATION"))</x:f>
        <x:v>0</x:v>
      </x:c>
      <x:c r="X2633" s="43" t="n">
        <x:f>--AND(W2633=1,O2633="HALLUCINATION")</x:f>
        <x:v>0</x:v>
      </x:c>
      <x:c r="Y2633" s="43" t="n">
        <x:f>--AND(Q2633=1,O2633="HALLUCINATION")</x:f>
        <x:v>0</x:v>
      </x:c>
      <x:c r="Z2633" s="43" t="n">
        <x:f>--AND(Y2633=1,R2633=1,S2633=1)</x:f>
        <x:v>0</x:v>
      </x:c>
      <x:c r="AC2633" t="str">
        <x:f>IF(OR(AA2633="",AB2633=""),"",--(AA2633&lt;&gt;AB2633))</x:f>
      </x:c>
      <x:c r="AE2633" t="str">
        <x:f>IF(OR(AA2633="",AB2633=""),"PENDING_HUMAN",IF(AA2633=AB2633,AA2633,IF(AD2633&lt;&gt;"",AD2633,"PENDING_HUMAN")))</x:f>
        <x:v>PENDING_HUMAN</x:v>
      </x:c>
      <x:c r="AF2633" t="n">
        <x:f>--AND(A2633&lt;&gt;"",AA2633&lt;&gt;"",AB2633&lt;&gt;"",OR(AA2633=AB2633,AD2633&lt;&gt;""),IF(AE2633="HALLUCINATION",U2633&lt;&gt;"",TRUE))</x:f>
        <x:v>0</x:v>
      </x:c>
      <x:c r="AG2633" t="n">
        <x:f>--AND(N2633=1,AF2633=1,OR(AE2633="SUPPORTED",AE2633="HALLUCINATION"))</x:f>
        <x:v>0</x:v>
      </x:c>
      <x:c r="AH2633" t="n">
        <x:f>--AND(AG2633=1,AE2633="HALLUCINATION")</x:f>
        <x:v>0</x:v>
      </x:c>
      <x:c r="AI2633" t="n">
        <x:f>--AND(Q2633=1,AF2633=1,AE2633="HALLUCINATION")</x:f>
        <x:v>0</x:v>
      </x:c>
      <x:c r="AJ2633" t="n">
        <x:f>--AND(AI2633=1,R2633=1,S2633=1)</x:f>
        <x:v>0</x:v>
      </x:c>
    </x:row>
    <x:row r="2634">
      <x:c r="A2634" s="28"/>
      <x:c r="B2634" s="28"/>
      <x:c r="C2634" s="28"/>
      <x:c r="D2634" s="28"/>
      <x:c r="E2634" s="28"/>
      <x:c r="F2634" s="28"/>
      <x:c r="G2634" s="28"/>
      <x:c r="H2634" s="28"/>
      <x:c r="I2634" s="28"/>
      <x:c r="J2634" s="28"/>
      <x:c r="K2634" s="28"/>
      <x:c r="L2634" s="28"/>
      <x:c r="M2634" s="28"/>
      <x:c r="N2634" s="28"/>
      <x:c r="O2634" s="28"/>
      <x:c r="P2634" s="28"/>
      <x:c r="Q2634" s="28"/>
      <x:c r="R2634" s="28"/>
      <x:c r="S2634" s="28"/>
      <x:c r="T2634" s="28"/>
      <x:c r="U2634" s="28"/>
      <x:c r="V2634" s="28"/>
      <x:c r="W2634" s="43" t="n">
        <x:f>--AND(N2634=1,OR(O2634="SUPPORTED",O2634="HALLUCINATION"))</x:f>
        <x:v>0</x:v>
      </x:c>
      <x:c r="X2634" s="43" t="n">
        <x:f>--AND(W2634=1,O2634="HALLUCINATION")</x:f>
        <x:v>0</x:v>
      </x:c>
      <x:c r="Y2634" s="43" t="n">
        <x:f>--AND(Q2634=1,O2634="HALLUCINATION")</x:f>
        <x:v>0</x:v>
      </x:c>
      <x:c r="Z2634" s="43" t="n">
        <x:f>--AND(Y2634=1,R2634=1,S2634=1)</x:f>
        <x:v>0</x:v>
      </x:c>
      <x:c r="AC2634" t="str">
        <x:f>IF(OR(AA2634="",AB2634=""),"",--(AA2634&lt;&gt;AB2634))</x:f>
      </x:c>
      <x:c r="AE2634" t="str">
        <x:f>IF(OR(AA2634="",AB2634=""),"PENDING_HUMAN",IF(AA2634=AB2634,AA2634,IF(AD2634&lt;&gt;"",AD2634,"PENDING_HUMAN")))</x:f>
        <x:v>PENDING_HUMAN</x:v>
      </x:c>
      <x:c r="AF2634" t="n">
        <x:f>--AND(A2634&lt;&gt;"",AA2634&lt;&gt;"",AB2634&lt;&gt;"",OR(AA2634=AB2634,AD2634&lt;&gt;""),IF(AE2634="HALLUCINATION",U2634&lt;&gt;"",TRUE))</x:f>
        <x:v>0</x:v>
      </x:c>
      <x:c r="AG2634" t="n">
        <x:f>--AND(N2634=1,AF2634=1,OR(AE2634="SUPPORTED",AE2634="HALLUCINATION"))</x:f>
        <x:v>0</x:v>
      </x:c>
      <x:c r="AH2634" t="n">
        <x:f>--AND(AG2634=1,AE2634="HALLUCINATION")</x:f>
        <x:v>0</x:v>
      </x:c>
      <x:c r="AI2634" t="n">
        <x:f>--AND(Q2634=1,AF2634=1,AE2634="HALLUCINATION")</x:f>
        <x:v>0</x:v>
      </x:c>
      <x:c r="AJ2634" t="n">
        <x:f>--AND(AI2634=1,R2634=1,S2634=1)</x:f>
        <x:v>0</x:v>
      </x:c>
    </x:row>
    <x:row r="2635">
      <x:c r="A2635" s="28"/>
      <x:c r="B2635" s="28"/>
      <x:c r="C2635" s="28"/>
      <x:c r="D2635" s="28"/>
      <x:c r="E2635" s="28"/>
      <x:c r="F2635" s="28"/>
      <x:c r="G2635" s="28"/>
      <x:c r="H2635" s="28"/>
      <x:c r="I2635" s="28"/>
      <x:c r="J2635" s="28"/>
      <x:c r="K2635" s="28"/>
      <x:c r="L2635" s="28"/>
      <x:c r="M2635" s="28"/>
      <x:c r="N2635" s="28"/>
      <x:c r="O2635" s="28"/>
      <x:c r="P2635" s="28"/>
      <x:c r="Q2635" s="28"/>
      <x:c r="R2635" s="28"/>
      <x:c r="S2635" s="28"/>
      <x:c r="T2635" s="28"/>
      <x:c r="U2635" s="28"/>
      <x:c r="V2635" s="28"/>
      <x:c r="W2635" s="43" t="n">
        <x:f>--AND(N2635=1,OR(O2635="SUPPORTED",O2635="HALLUCINATION"))</x:f>
        <x:v>0</x:v>
      </x:c>
      <x:c r="X2635" s="43" t="n">
        <x:f>--AND(W2635=1,O2635="HALLUCINATION")</x:f>
        <x:v>0</x:v>
      </x:c>
      <x:c r="Y2635" s="43" t="n">
        <x:f>--AND(Q2635=1,O2635="HALLUCINATION")</x:f>
        <x:v>0</x:v>
      </x:c>
      <x:c r="Z2635" s="43" t="n">
        <x:f>--AND(Y2635=1,R2635=1,S2635=1)</x:f>
        <x:v>0</x:v>
      </x:c>
      <x:c r="AC2635" t="str">
        <x:f>IF(OR(AA2635="",AB2635=""),"",--(AA2635&lt;&gt;AB2635))</x:f>
      </x:c>
      <x:c r="AE2635" t="str">
        <x:f>IF(OR(AA2635="",AB2635=""),"PENDING_HUMAN",IF(AA2635=AB2635,AA2635,IF(AD2635&lt;&gt;"",AD2635,"PENDING_HUMAN")))</x:f>
        <x:v>PENDING_HUMAN</x:v>
      </x:c>
      <x:c r="AF2635" t="n">
        <x:f>--AND(A2635&lt;&gt;"",AA2635&lt;&gt;"",AB2635&lt;&gt;"",OR(AA2635=AB2635,AD2635&lt;&gt;""),IF(AE2635="HALLUCINATION",U2635&lt;&gt;"",TRUE))</x:f>
        <x:v>0</x:v>
      </x:c>
      <x:c r="AG2635" t="n">
        <x:f>--AND(N2635=1,AF2635=1,OR(AE2635="SUPPORTED",AE2635="HALLUCINATION"))</x:f>
        <x:v>0</x:v>
      </x:c>
      <x:c r="AH2635" t="n">
        <x:f>--AND(AG2635=1,AE2635="HALLUCINATION")</x:f>
        <x:v>0</x:v>
      </x:c>
      <x:c r="AI2635" t="n">
        <x:f>--AND(Q2635=1,AF2635=1,AE2635="HALLUCINATION")</x:f>
        <x:v>0</x:v>
      </x:c>
      <x:c r="AJ2635" t="n">
        <x:f>--AND(AI2635=1,R2635=1,S2635=1)</x:f>
        <x:v>0</x:v>
      </x:c>
    </x:row>
    <x:row r="2636">
      <x:c r="A2636" s="28"/>
      <x:c r="B2636" s="28"/>
      <x:c r="C2636" s="28"/>
      <x:c r="D2636" s="28"/>
      <x:c r="E2636" s="28"/>
      <x:c r="F2636" s="28"/>
      <x:c r="G2636" s="28"/>
      <x:c r="H2636" s="28"/>
      <x:c r="I2636" s="28"/>
      <x:c r="J2636" s="28"/>
      <x:c r="K2636" s="28"/>
      <x:c r="L2636" s="28"/>
      <x:c r="M2636" s="28"/>
      <x:c r="N2636" s="28"/>
      <x:c r="O2636" s="28"/>
      <x:c r="P2636" s="28"/>
      <x:c r="Q2636" s="28"/>
      <x:c r="R2636" s="28"/>
      <x:c r="S2636" s="28"/>
      <x:c r="T2636" s="28"/>
      <x:c r="U2636" s="28"/>
      <x:c r="V2636" s="28"/>
      <x:c r="W2636" s="43" t="n">
        <x:f>--AND(N2636=1,OR(O2636="SUPPORTED",O2636="HALLUCINATION"))</x:f>
        <x:v>0</x:v>
      </x:c>
      <x:c r="X2636" s="43" t="n">
        <x:f>--AND(W2636=1,O2636="HALLUCINATION")</x:f>
        <x:v>0</x:v>
      </x:c>
      <x:c r="Y2636" s="43" t="n">
        <x:f>--AND(Q2636=1,O2636="HALLUCINATION")</x:f>
        <x:v>0</x:v>
      </x:c>
      <x:c r="Z2636" s="43" t="n">
        <x:f>--AND(Y2636=1,R2636=1,S2636=1)</x:f>
        <x:v>0</x:v>
      </x:c>
      <x:c r="AC2636" t="str">
        <x:f>IF(OR(AA2636="",AB2636=""),"",--(AA2636&lt;&gt;AB2636))</x:f>
      </x:c>
      <x:c r="AE2636" t="str">
        <x:f>IF(OR(AA2636="",AB2636=""),"PENDING_HUMAN",IF(AA2636=AB2636,AA2636,IF(AD2636&lt;&gt;"",AD2636,"PENDING_HUMAN")))</x:f>
        <x:v>PENDING_HUMAN</x:v>
      </x:c>
      <x:c r="AF2636" t="n">
        <x:f>--AND(A2636&lt;&gt;"",AA2636&lt;&gt;"",AB2636&lt;&gt;"",OR(AA2636=AB2636,AD2636&lt;&gt;""),IF(AE2636="HALLUCINATION",U2636&lt;&gt;"",TRUE))</x:f>
        <x:v>0</x:v>
      </x:c>
      <x:c r="AG2636" t="n">
        <x:f>--AND(N2636=1,AF2636=1,OR(AE2636="SUPPORTED",AE2636="HALLUCINATION"))</x:f>
        <x:v>0</x:v>
      </x:c>
      <x:c r="AH2636" t="n">
        <x:f>--AND(AG2636=1,AE2636="HALLUCINATION")</x:f>
        <x:v>0</x:v>
      </x:c>
      <x:c r="AI2636" t="n">
        <x:f>--AND(Q2636=1,AF2636=1,AE2636="HALLUCINATION")</x:f>
        <x:v>0</x:v>
      </x:c>
      <x:c r="AJ2636" t="n">
        <x:f>--AND(AI2636=1,R2636=1,S2636=1)</x:f>
        <x:v>0</x:v>
      </x:c>
    </x:row>
    <x:row r="2637">
      <x:c r="A2637" s="28"/>
      <x:c r="B2637" s="28"/>
      <x:c r="C2637" s="28"/>
      <x:c r="D2637" s="28"/>
      <x:c r="E2637" s="28"/>
      <x:c r="F2637" s="28"/>
      <x:c r="G2637" s="28"/>
      <x:c r="H2637" s="28"/>
      <x:c r="I2637" s="28"/>
      <x:c r="J2637" s="28"/>
      <x:c r="K2637" s="28"/>
      <x:c r="L2637" s="28"/>
      <x:c r="M2637" s="28"/>
      <x:c r="N2637" s="28"/>
      <x:c r="O2637" s="28"/>
      <x:c r="P2637" s="28"/>
      <x:c r="Q2637" s="28"/>
      <x:c r="R2637" s="28"/>
      <x:c r="S2637" s="28"/>
      <x:c r="T2637" s="28"/>
      <x:c r="U2637" s="28"/>
      <x:c r="V2637" s="28"/>
      <x:c r="W2637" s="43" t="n">
        <x:f>--AND(N2637=1,OR(O2637="SUPPORTED",O2637="HALLUCINATION"))</x:f>
        <x:v>0</x:v>
      </x:c>
      <x:c r="X2637" s="43" t="n">
        <x:f>--AND(W2637=1,O2637="HALLUCINATION")</x:f>
        <x:v>0</x:v>
      </x:c>
      <x:c r="Y2637" s="43" t="n">
        <x:f>--AND(Q2637=1,O2637="HALLUCINATION")</x:f>
        <x:v>0</x:v>
      </x:c>
      <x:c r="Z2637" s="43" t="n">
        <x:f>--AND(Y2637=1,R2637=1,S2637=1)</x:f>
        <x:v>0</x:v>
      </x:c>
      <x:c r="AC2637" t="str">
        <x:f>IF(OR(AA2637="",AB2637=""),"",--(AA2637&lt;&gt;AB2637))</x:f>
      </x:c>
      <x:c r="AE2637" t="str">
        <x:f>IF(OR(AA2637="",AB2637=""),"PENDING_HUMAN",IF(AA2637=AB2637,AA2637,IF(AD2637&lt;&gt;"",AD2637,"PENDING_HUMAN")))</x:f>
        <x:v>PENDING_HUMAN</x:v>
      </x:c>
      <x:c r="AF2637" t="n">
        <x:f>--AND(A2637&lt;&gt;"",AA2637&lt;&gt;"",AB2637&lt;&gt;"",OR(AA2637=AB2637,AD2637&lt;&gt;""),IF(AE2637="HALLUCINATION",U2637&lt;&gt;"",TRUE))</x:f>
        <x:v>0</x:v>
      </x:c>
      <x:c r="AG2637" t="n">
        <x:f>--AND(N2637=1,AF2637=1,OR(AE2637="SUPPORTED",AE2637="HALLUCINATION"))</x:f>
        <x:v>0</x:v>
      </x:c>
      <x:c r="AH2637" t="n">
        <x:f>--AND(AG2637=1,AE2637="HALLUCINATION")</x:f>
        <x:v>0</x:v>
      </x:c>
      <x:c r="AI2637" t="n">
        <x:f>--AND(Q2637=1,AF2637=1,AE2637="HALLUCINATION")</x:f>
        <x:v>0</x:v>
      </x:c>
      <x:c r="AJ2637" t="n">
        <x:f>--AND(AI2637=1,R2637=1,S2637=1)</x:f>
        <x:v>0</x:v>
      </x:c>
    </x:row>
    <x:row r="2638">
      <x:c r="A2638" s="28"/>
      <x:c r="B2638" s="28"/>
      <x:c r="C2638" s="28"/>
      <x:c r="D2638" s="28"/>
      <x:c r="E2638" s="28"/>
      <x:c r="F2638" s="28"/>
      <x:c r="G2638" s="28"/>
      <x:c r="H2638" s="28"/>
      <x:c r="I2638" s="28"/>
      <x:c r="J2638" s="28"/>
      <x:c r="K2638" s="28"/>
      <x:c r="L2638" s="28"/>
      <x:c r="M2638" s="28"/>
      <x:c r="N2638" s="28"/>
      <x:c r="O2638" s="28"/>
      <x:c r="P2638" s="28"/>
      <x:c r="Q2638" s="28"/>
      <x:c r="R2638" s="28"/>
      <x:c r="S2638" s="28"/>
      <x:c r="T2638" s="28"/>
      <x:c r="U2638" s="28"/>
      <x:c r="V2638" s="28"/>
      <x:c r="W2638" s="43" t="n">
        <x:f>--AND(N2638=1,OR(O2638="SUPPORTED",O2638="HALLUCINATION"))</x:f>
        <x:v>0</x:v>
      </x:c>
      <x:c r="X2638" s="43" t="n">
        <x:f>--AND(W2638=1,O2638="HALLUCINATION")</x:f>
        <x:v>0</x:v>
      </x:c>
      <x:c r="Y2638" s="43" t="n">
        <x:f>--AND(Q2638=1,O2638="HALLUCINATION")</x:f>
        <x:v>0</x:v>
      </x:c>
      <x:c r="Z2638" s="43" t="n">
        <x:f>--AND(Y2638=1,R2638=1,S2638=1)</x:f>
        <x:v>0</x:v>
      </x:c>
      <x:c r="AC2638" t="str">
        <x:f>IF(OR(AA2638="",AB2638=""),"",--(AA2638&lt;&gt;AB2638))</x:f>
      </x:c>
      <x:c r="AE2638" t="str">
        <x:f>IF(OR(AA2638="",AB2638=""),"PENDING_HUMAN",IF(AA2638=AB2638,AA2638,IF(AD2638&lt;&gt;"",AD2638,"PENDING_HUMAN")))</x:f>
        <x:v>PENDING_HUMAN</x:v>
      </x:c>
      <x:c r="AF2638" t="n">
        <x:f>--AND(A2638&lt;&gt;"",AA2638&lt;&gt;"",AB2638&lt;&gt;"",OR(AA2638=AB2638,AD2638&lt;&gt;""),IF(AE2638="HALLUCINATION",U2638&lt;&gt;"",TRUE))</x:f>
        <x:v>0</x:v>
      </x:c>
      <x:c r="AG2638" t="n">
        <x:f>--AND(N2638=1,AF2638=1,OR(AE2638="SUPPORTED",AE2638="HALLUCINATION"))</x:f>
        <x:v>0</x:v>
      </x:c>
      <x:c r="AH2638" t="n">
        <x:f>--AND(AG2638=1,AE2638="HALLUCINATION")</x:f>
        <x:v>0</x:v>
      </x:c>
      <x:c r="AI2638" t="n">
        <x:f>--AND(Q2638=1,AF2638=1,AE2638="HALLUCINATION")</x:f>
        <x:v>0</x:v>
      </x:c>
      <x:c r="AJ2638" t="n">
        <x:f>--AND(AI2638=1,R2638=1,S2638=1)</x:f>
        <x:v>0</x:v>
      </x:c>
    </x:row>
    <x:row r="2639">
      <x:c r="A2639" s="28"/>
      <x:c r="B2639" s="28"/>
      <x:c r="C2639" s="28"/>
      <x:c r="D2639" s="28"/>
      <x:c r="E2639" s="28"/>
      <x:c r="F2639" s="28"/>
      <x:c r="G2639" s="28"/>
      <x:c r="H2639" s="28"/>
      <x:c r="I2639" s="28"/>
      <x:c r="J2639" s="28"/>
      <x:c r="K2639" s="28"/>
      <x:c r="L2639" s="28"/>
      <x:c r="M2639" s="28"/>
      <x:c r="N2639" s="28"/>
      <x:c r="O2639" s="28"/>
      <x:c r="P2639" s="28"/>
      <x:c r="Q2639" s="28"/>
      <x:c r="R2639" s="28"/>
      <x:c r="S2639" s="28"/>
      <x:c r="T2639" s="28"/>
      <x:c r="U2639" s="28"/>
      <x:c r="V2639" s="28"/>
      <x:c r="W2639" s="43" t="n">
        <x:f>--AND(N2639=1,OR(O2639="SUPPORTED",O2639="HALLUCINATION"))</x:f>
        <x:v>0</x:v>
      </x:c>
      <x:c r="X2639" s="43" t="n">
        <x:f>--AND(W2639=1,O2639="HALLUCINATION")</x:f>
        <x:v>0</x:v>
      </x:c>
      <x:c r="Y2639" s="43" t="n">
        <x:f>--AND(Q2639=1,O2639="HALLUCINATION")</x:f>
        <x:v>0</x:v>
      </x:c>
      <x:c r="Z2639" s="43" t="n">
        <x:f>--AND(Y2639=1,R2639=1,S2639=1)</x:f>
        <x:v>0</x:v>
      </x:c>
      <x:c r="AC2639" t="str">
        <x:f>IF(OR(AA2639="",AB2639=""),"",--(AA2639&lt;&gt;AB2639))</x:f>
      </x:c>
      <x:c r="AE2639" t="str">
        <x:f>IF(OR(AA2639="",AB2639=""),"PENDING_HUMAN",IF(AA2639=AB2639,AA2639,IF(AD2639&lt;&gt;"",AD2639,"PENDING_HUMAN")))</x:f>
        <x:v>PENDING_HUMAN</x:v>
      </x:c>
      <x:c r="AF2639" t="n">
        <x:f>--AND(A2639&lt;&gt;"",AA2639&lt;&gt;"",AB2639&lt;&gt;"",OR(AA2639=AB2639,AD2639&lt;&gt;""),IF(AE2639="HALLUCINATION",U2639&lt;&gt;"",TRUE))</x:f>
        <x:v>0</x:v>
      </x:c>
      <x:c r="AG2639" t="n">
        <x:f>--AND(N2639=1,AF2639=1,OR(AE2639="SUPPORTED",AE2639="HALLUCINATION"))</x:f>
        <x:v>0</x:v>
      </x:c>
      <x:c r="AH2639" t="n">
        <x:f>--AND(AG2639=1,AE2639="HALLUCINATION")</x:f>
        <x:v>0</x:v>
      </x:c>
      <x:c r="AI2639" t="n">
        <x:f>--AND(Q2639=1,AF2639=1,AE2639="HALLUCINATION")</x:f>
        <x:v>0</x:v>
      </x:c>
      <x:c r="AJ2639" t="n">
        <x:f>--AND(AI2639=1,R2639=1,S2639=1)</x:f>
        <x:v>0</x:v>
      </x:c>
    </x:row>
    <x:row r="2640">
      <x:c r="A2640" s="28"/>
      <x:c r="B2640" s="28"/>
      <x:c r="C2640" s="28"/>
      <x:c r="D2640" s="28"/>
      <x:c r="E2640" s="28"/>
      <x:c r="F2640" s="28"/>
      <x:c r="G2640" s="28"/>
      <x:c r="H2640" s="28"/>
      <x:c r="I2640" s="28"/>
      <x:c r="J2640" s="28"/>
      <x:c r="K2640" s="28"/>
      <x:c r="L2640" s="28"/>
      <x:c r="M2640" s="28"/>
      <x:c r="N2640" s="28"/>
      <x:c r="O2640" s="28"/>
      <x:c r="P2640" s="28"/>
      <x:c r="Q2640" s="28"/>
      <x:c r="R2640" s="28"/>
      <x:c r="S2640" s="28"/>
      <x:c r="T2640" s="28"/>
      <x:c r="U2640" s="28"/>
      <x:c r="V2640" s="28"/>
      <x:c r="W2640" s="43" t="n">
        <x:f>--AND(N2640=1,OR(O2640="SUPPORTED",O2640="HALLUCINATION"))</x:f>
        <x:v>0</x:v>
      </x:c>
      <x:c r="X2640" s="43" t="n">
        <x:f>--AND(W2640=1,O2640="HALLUCINATION")</x:f>
        <x:v>0</x:v>
      </x:c>
      <x:c r="Y2640" s="43" t="n">
        <x:f>--AND(Q2640=1,O2640="HALLUCINATION")</x:f>
        <x:v>0</x:v>
      </x:c>
      <x:c r="Z2640" s="43" t="n">
        <x:f>--AND(Y2640=1,R2640=1,S2640=1)</x:f>
        <x:v>0</x:v>
      </x:c>
      <x:c r="AC2640" t="str">
        <x:f>IF(OR(AA2640="",AB2640=""),"",--(AA2640&lt;&gt;AB2640))</x:f>
      </x:c>
      <x:c r="AE2640" t="str">
        <x:f>IF(OR(AA2640="",AB2640=""),"PENDING_HUMAN",IF(AA2640=AB2640,AA2640,IF(AD2640&lt;&gt;"",AD2640,"PENDING_HUMAN")))</x:f>
        <x:v>PENDING_HUMAN</x:v>
      </x:c>
      <x:c r="AF2640" t="n">
        <x:f>--AND(A2640&lt;&gt;"",AA2640&lt;&gt;"",AB2640&lt;&gt;"",OR(AA2640=AB2640,AD2640&lt;&gt;""),IF(AE2640="HALLUCINATION",U2640&lt;&gt;"",TRUE))</x:f>
        <x:v>0</x:v>
      </x:c>
      <x:c r="AG2640" t="n">
        <x:f>--AND(N2640=1,AF2640=1,OR(AE2640="SUPPORTED",AE2640="HALLUCINATION"))</x:f>
        <x:v>0</x:v>
      </x:c>
      <x:c r="AH2640" t="n">
        <x:f>--AND(AG2640=1,AE2640="HALLUCINATION")</x:f>
        <x:v>0</x:v>
      </x:c>
      <x:c r="AI2640" t="n">
        <x:f>--AND(Q2640=1,AF2640=1,AE2640="HALLUCINATION")</x:f>
        <x:v>0</x:v>
      </x:c>
      <x:c r="AJ2640" t="n">
        <x:f>--AND(AI2640=1,R2640=1,S2640=1)</x:f>
        <x:v>0</x:v>
      </x:c>
    </x:row>
    <x:row r="2641">
      <x:c r="A2641" s="28"/>
      <x:c r="B2641" s="28"/>
      <x:c r="C2641" s="28"/>
      <x:c r="D2641" s="28"/>
      <x:c r="E2641" s="28"/>
      <x:c r="F2641" s="28"/>
      <x:c r="G2641" s="28"/>
      <x:c r="H2641" s="28"/>
      <x:c r="I2641" s="28"/>
      <x:c r="J2641" s="28"/>
      <x:c r="K2641" s="28"/>
      <x:c r="L2641" s="28"/>
      <x:c r="M2641" s="28"/>
      <x:c r="N2641" s="28"/>
      <x:c r="O2641" s="28"/>
      <x:c r="P2641" s="28"/>
      <x:c r="Q2641" s="28"/>
      <x:c r="R2641" s="28"/>
      <x:c r="S2641" s="28"/>
      <x:c r="T2641" s="28"/>
      <x:c r="U2641" s="28"/>
      <x:c r="V2641" s="28"/>
      <x:c r="W2641" s="43" t="n">
        <x:f>--AND(N2641=1,OR(O2641="SUPPORTED",O2641="HALLUCINATION"))</x:f>
        <x:v>0</x:v>
      </x:c>
      <x:c r="X2641" s="43" t="n">
        <x:f>--AND(W2641=1,O2641="HALLUCINATION")</x:f>
        <x:v>0</x:v>
      </x:c>
      <x:c r="Y2641" s="43" t="n">
        <x:f>--AND(Q2641=1,O2641="HALLUCINATION")</x:f>
        <x:v>0</x:v>
      </x:c>
      <x:c r="Z2641" s="43" t="n">
        <x:f>--AND(Y2641=1,R2641=1,S2641=1)</x:f>
        <x:v>0</x:v>
      </x:c>
      <x:c r="AC2641" t="str">
        <x:f>IF(OR(AA2641="",AB2641=""),"",--(AA2641&lt;&gt;AB2641))</x:f>
      </x:c>
      <x:c r="AE2641" t="str">
        <x:f>IF(OR(AA2641="",AB2641=""),"PENDING_HUMAN",IF(AA2641=AB2641,AA2641,IF(AD2641&lt;&gt;"",AD2641,"PENDING_HUMAN")))</x:f>
        <x:v>PENDING_HUMAN</x:v>
      </x:c>
      <x:c r="AF2641" t="n">
        <x:f>--AND(A2641&lt;&gt;"",AA2641&lt;&gt;"",AB2641&lt;&gt;"",OR(AA2641=AB2641,AD2641&lt;&gt;""),IF(AE2641="HALLUCINATION",U2641&lt;&gt;"",TRUE))</x:f>
        <x:v>0</x:v>
      </x:c>
      <x:c r="AG2641" t="n">
        <x:f>--AND(N2641=1,AF2641=1,OR(AE2641="SUPPORTED",AE2641="HALLUCINATION"))</x:f>
        <x:v>0</x:v>
      </x:c>
      <x:c r="AH2641" t="n">
        <x:f>--AND(AG2641=1,AE2641="HALLUCINATION")</x:f>
        <x:v>0</x:v>
      </x:c>
      <x:c r="AI2641" t="n">
        <x:f>--AND(Q2641=1,AF2641=1,AE2641="HALLUCINATION")</x:f>
        <x:v>0</x:v>
      </x:c>
      <x:c r="AJ2641" t="n">
        <x:f>--AND(AI2641=1,R2641=1,S2641=1)</x:f>
        <x:v>0</x:v>
      </x:c>
    </x:row>
    <x:row r="2642">
      <x:c r="A2642" s="28"/>
      <x:c r="B2642" s="28"/>
      <x:c r="C2642" s="28"/>
      <x:c r="D2642" s="28"/>
      <x:c r="E2642" s="28"/>
      <x:c r="F2642" s="28"/>
      <x:c r="G2642" s="28"/>
      <x:c r="H2642" s="28"/>
      <x:c r="I2642" s="28"/>
      <x:c r="J2642" s="28"/>
      <x:c r="K2642" s="28"/>
      <x:c r="L2642" s="28"/>
      <x:c r="M2642" s="28"/>
      <x:c r="N2642" s="28"/>
      <x:c r="O2642" s="28"/>
      <x:c r="P2642" s="28"/>
      <x:c r="Q2642" s="28"/>
      <x:c r="R2642" s="28"/>
      <x:c r="S2642" s="28"/>
      <x:c r="T2642" s="28"/>
      <x:c r="U2642" s="28"/>
      <x:c r="V2642" s="28"/>
      <x:c r="W2642" s="43" t="n">
        <x:f>--AND(N2642=1,OR(O2642="SUPPORTED",O2642="HALLUCINATION"))</x:f>
        <x:v>0</x:v>
      </x:c>
      <x:c r="X2642" s="43" t="n">
        <x:f>--AND(W2642=1,O2642="HALLUCINATION")</x:f>
        <x:v>0</x:v>
      </x:c>
      <x:c r="Y2642" s="43" t="n">
        <x:f>--AND(Q2642=1,O2642="HALLUCINATION")</x:f>
        <x:v>0</x:v>
      </x:c>
      <x:c r="Z2642" s="43" t="n">
        <x:f>--AND(Y2642=1,R2642=1,S2642=1)</x:f>
        <x:v>0</x:v>
      </x:c>
      <x:c r="AC2642" t="str">
        <x:f>IF(OR(AA2642="",AB2642=""),"",--(AA2642&lt;&gt;AB2642))</x:f>
      </x:c>
      <x:c r="AE2642" t="str">
        <x:f>IF(OR(AA2642="",AB2642=""),"PENDING_HUMAN",IF(AA2642=AB2642,AA2642,IF(AD2642&lt;&gt;"",AD2642,"PENDING_HUMAN")))</x:f>
        <x:v>PENDING_HUMAN</x:v>
      </x:c>
      <x:c r="AF2642" t="n">
        <x:f>--AND(A2642&lt;&gt;"",AA2642&lt;&gt;"",AB2642&lt;&gt;"",OR(AA2642=AB2642,AD2642&lt;&gt;""),IF(AE2642="HALLUCINATION",U2642&lt;&gt;"",TRUE))</x:f>
        <x:v>0</x:v>
      </x:c>
      <x:c r="AG2642" t="n">
        <x:f>--AND(N2642=1,AF2642=1,OR(AE2642="SUPPORTED",AE2642="HALLUCINATION"))</x:f>
        <x:v>0</x:v>
      </x:c>
      <x:c r="AH2642" t="n">
        <x:f>--AND(AG2642=1,AE2642="HALLUCINATION")</x:f>
        <x:v>0</x:v>
      </x:c>
      <x:c r="AI2642" t="n">
        <x:f>--AND(Q2642=1,AF2642=1,AE2642="HALLUCINATION")</x:f>
        <x:v>0</x:v>
      </x:c>
      <x:c r="AJ2642" t="n">
        <x:f>--AND(AI2642=1,R2642=1,S2642=1)</x:f>
        <x:v>0</x:v>
      </x:c>
    </x:row>
    <x:row r="2643">
      <x:c r="A2643" s="28"/>
      <x:c r="B2643" s="28"/>
      <x:c r="C2643" s="28"/>
      <x:c r="D2643" s="28"/>
      <x:c r="E2643" s="28"/>
      <x:c r="F2643" s="28"/>
      <x:c r="G2643" s="28"/>
      <x:c r="H2643" s="28"/>
      <x:c r="I2643" s="28"/>
      <x:c r="J2643" s="28"/>
      <x:c r="K2643" s="28"/>
      <x:c r="L2643" s="28"/>
      <x:c r="M2643" s="28"/>
      <x:c r="N2643" s="28"/>
      <x:c r="O2643" s="28"/>
      <x:c r="P2643" s="28"/>
      <x:c r="Q2643" s="28"/>
      <x:c r="R2643" s="28"/>
      <x:c r="S2643" s="28"/>
      <x:c r="T2643" s="28"/>
      <x:c r="U2643" s="28"/>
      <x:c r="V2643" s="28"/>
      <x:c r="W2643" s="43" t="n">
        <x:f>--AND(N2643=1,OR(O2643="SUPPORTED",O2643="HALLUCINATION"))</x:f>
        <x:v>0</x:v>
      </x:c>
      <x:c r="X2643" s="43" t="n">
        <x:f>--AND(W2643=1,O2643="HALLUCINATION")</x:f>
        <x:v>0</x:v>
      </x:c>
      <x:c r="Y2643" s="43" t="n">
        <x:f>--AND(Q2643=1,O2643="HALLUCINATION")</x:f>
        <x:v>0</x:v>
      </x:c>
      <x:c r="Z2643" s="43" t="n">
        <x:f>--AND(Y2643=1,R2643=1,S2643=1)</x:f>
        <x:v>0</x:v>
      </x:c>
      <x:c r="AC2643" t="str">
        <x:f>IF(OR(AA2643="",AB2643=""),"",--(AA2643&lt;&gt;AB2643))</x:f>
      </x:c>
      <x:c r="AE2643" t="str">
        <x:f>IF(OR(AA2643="",AB2643=""),"PENDING_HUMAN",IF(AA2643=AB2643,AA2643,IF(AD2643&lt;&gt;"",AD2643,"PENDING_HUMAN")))</x:f>
        <x:v>PENDING_HUMAN</x:v>
      </x:c>
      <x:c r="AF2643" t="n">
        <x:f>--AND(A2643&lt;&gt;"",AA2643&lt;&gt;"",AB2643&lt;&gt;"",OR(AA2643=AB2643,AD2643&lt;&gt;""),IF(AE2643="HALLUCINATION",U2643&lt;&gt;"",TRUE))</x:f>
        <x:v>0</x:v>
      </x:c>
      <x:c r="AG2643" t="n">
        <x:f>--AND(N2643=1,AF2643=1,OR(AE2643="SUPPORTED",AE2643="HALLUCINATION"))</x:f>
        <x:v>0</x:v>
      </x:c>
      <x:c r="AH2643" t="n">
        <x:f>--AND(AG2643=1,AE2643="HALLUCINATION")</x:f>
        <x:v>0</x:v>
      </x:c>
      <x:c r="AI2643" t="n">
        <x:f>--AND(Q2643=1,AF2643=1,AE2643="HALLUCINATION")</x:f>
        <x:v>0</x:v>
      </x:c>
      <x:c r="AJ2643" t="n">
        <x:f>--AND(AI2643=1,R2643=1,S2643=1)</x:f>
        <x:v>0</x:v>
      </x:c>
    </x:row>
    <x:row r="2644">
      <x:c r="A2644" s="28"/>
      <x:c r="B2644" s="28"/>
      <x:c r="C2644" s="28"/>
      <x:c r="D2644" s="28"/>
      <x:c r="E2644" s="28"/>
      <x:c r="F2644" s="28"/>
      <x:c r="G2644" s="28"/>
      <x:c r="H2644" s="28"/>
      <x:c r="I2644" s="28"/>
      <x:c r="J2644" s="28"/>
      <x:c r="K2644" s="28"/>
      <x:c r="L2644" s="28"/>
      <x:c r="M2644" s="28"/>
      <x:c r="N2644" s="28"/>
      <x:c r="O2644" s="28"/>
      <x:c r="P2644" s="28"/>
      <x:c r="Q2644" s="28"/>
      <x:c r="R2644" s="28"/>
      <x:c r="S2644" s="28"/>
      <x:c r="T2644" s="28"/>
      <x:c r="U2644" s="28"/>
      <x:c r="V2644" s="28"/>
      <x:c r="W2644" s="43" t="n">
        <x:f>--AND(N2644=1,OR(O2644="SUPPORTED",O2644="HALLUCINATION"))</x:f>
        <x:v>0</x:v>
      </x:c>
      <x:c r="X2644" s="43" t="n">
        <x:f>--AND(W2644=1,O2644="HALLUCINATION")</x:f>
        <x:v>0</x:v>
      </x:c>
      <x:c r="Y2644" s="43" t="n">
        <x:f>--AND(Q2644=1,O2644="HALLUCINATION")</x:f>
        <x:v>0</x:v>
      </x:c>
      <x:c r="Z2644" s="43" t="n">
        <x:f>--AND(Y2644=1,R2644=1,S2644=1)</x:f>
        <x:v>0</x:v>
      </x:c>
      <x:c r="AC2644" t="str">
        <x:f>IF(OR(AA2644="",AB2644=""),"",--(AA2644&lt;&gt;AB2644))</x:f>
      </x:c>
      <x:c r="AE2644" t="str">
        <x:f>IF(OR(AA2644="",AB2644=""),"PENDING_HUMAN",IF(AA2644=AB2644,AA2644,IF(AD2644&lt;&gt;"",AD2644,"PENDING_HUMAN")))</x:f>
        <x:v>PENDING_HUMAN</x:v>
      </x:c>
      <x:c r="AF2644" t="n">
        <x:f>--AND(A2644&lt;&gt;"",AA2644&lt;&gt;"",AB2644&lt;&gt;"",OR(AA2644=AB2644,AD2644&lt;&gt;""),IF(AE2644="HALLUCINATION",U2644&lt;&gt;"",TRUE))</x:f>
        <x:v>0</x:v>
      </x:c>
      <x:c r="AG2644" t="n">
        <x:f>--AND(N2644=1,AF2644=1,OR(AE2644="SUPPORTED",AE2644="HALLUCINATION"))</x:f>
        <x:v>0</x:v>
      </x:c>
      <x:c r="AH2644" t="n">
        <x:f>--AND(AG2644=1,AE2644="HALLUCINATION")</x:f>
        <x:v>0</x:v>
      </x:c>
      <x:c r="AI2644" t="n">
        <x:f>--AND(Q2644=1,AF2644=1,AE2644="HALLUCINATION")</x:f>
        <x:v>0</x:v>
      </x:c>
      <x:c r="AJ2644" t="n">
        <x:f>--AND(AI2644=1,R2644=1,S2644=1)</x:f>
        <x:v>0</x:v>
      </x:c>
    </x:row>
    <x:row r="2645">
      <x:c r="A2645" s="28"/>
      <x:c r="B2645" s="28"/>
      <x:c r="C2645" s="28"/>
      <x:c r="D2645" s="28"/>
      <x:c r="E2645" s="28"/>
      <x:c r="F2645" s="28"/>
      <x:c r="G2645" s="28"/>
      <x:c r="H2645" s="28"/>
      <x:c r="I2645" s="28"/>
      <x:c r="J2645" s="28"/>
      <x:c r="K2645" s="28"/>
      <x:c r="L2645" s="28"/>
      <x:c r="M2645" s="28"/>
      <x:c r="N2645" s="28"/>
      <x:c r="O2645" s="28"/>
      <x:c r="P2645" s="28"/>
      <x:c r="Q2645" s="28"/>
      <x:c r="R2645" s="28"/>
      <x:c r="S2645" s="28"/>
      <x:c r="T2645" s="28"/>
      <x:c r="U2645" s="28"/>
      <x:c r="V2645" s="28"/>
      <x:c r="W2645" s="43" t="n">
        <x:f>--AND(N2645=1,OR(O2645="SUPPORTED",O2645="HALLUCINATION"))</x:f>
        <x:v>0</x:v>
      </x:c>
      <x:c r="X2645" s="43" t="n">
        <x:f>--AND(W2645=1,O2645="HALLUCINATION")</x:f>
        <x:v>0</x:v>
      </x:c>
      <x:c r="Y2645" s="43" t="n">
        <x:f>--AND(Q2645=1,O2645="HALLUCINATION")</x:f>
        <x:v>0</x:v>
      </x:c>
      <x:c r="Z2645" s="43" t="n">
        <x:f>--AND(Y2645=1,R2645=1,S2645=1)</x:f>
        <x:v>0</x:v>
      </x:c>
      <x:c r="AC2645" t="str">
        <x:f>IF(OR(AA2645="",AB2645=""),"",--(AA2645&lt;&gt;AB2645))</x:f>
      </x:c>
      <x:c r="AE2645" t="str">
        <x:f>IF(OR(AA2645="",AB2645=""),"PENDING_HUMAN",IF(AA2645=AB2645,AA2645,IF(AD2645&lt;&gt;"",AD2645,"PENDING_HUMAN")))</x:f>
        <x:v>PENDING_HUMAN</x:v>
      </x:c>
      <x:c r="AF2645" t="n">
        <x:f>--AND(A2645&lt;&gt;"",AA2645&lt;&gt;"",AB2645&lt;&gt;"",OR(AA2645=AB2645,AD2645&lt;&gt;""),IF(AE2645="HALLUCINATION",U2645&lt;&gt;"",TRUE))</x:f>
        <x:v>0</x:v>
      </x:c>
      <x:c r="AG2645" t="n">
        <x:f>--AND(N2645=1,AF2645=1,OR(AE2645="SUPPORTED",AE2645="HALLUCINATION"))</x:f>
        <x:v>0</x:v>
      </x:c>
      <x:c r="AH2645" t="n">
        <x:f>--AND(AG2645=1,AE2645="HALLUCINATION")</x:f>
        <x:v>0</x:v>
      </x:c>
      <x:c r="AI2645" t="n">
        <x:f>--AND(Q2645=1,AF2645=1,AE2645="HALLUCINATION")</x:f>
        <x:v>0</x:v>
      </x:c>
      <x:c r="AJ2645" t="n">
        <x:f>--AND(AI2645=1,R2645=1,S2645=1)</x:f>
        <x:v>0</x:v>
      </x:c>
    </x:row>
    <x:row r="2646">
      <x:c r="A2646" s="28"/>
      <x:c r="B2646" s="28"/>
      <x:c r="C2646" s="28"/>
      <x:c r="D2646" s="28"/>
      <x:c r="E2646" s="28"/>
      <x:c r="F2646" s="28"/>
      <x:c r="G2646" s="28"/>
      <x:c r="H2646" s="28"/>
      <x:c r="I2646" s="28"/>
      <x:c r="J2646" s="28"/>
      <x:c r="K2646" s="28"/>
      <x:c r="L2646" s="28"/>
      <x:c r="M2646" s="28"/>
      <x:c r="N2646" s="28"/>
      <x:c r="O2646" s="28"/>
      <x:c r="P2646" s="28"/>
      <x:c r="Q2646" s="28"/>
      <x:c r="R2646" s="28"/>
      <x:c r="S2646" s="28"/>
      <x:c r="T2646" s="28"/>
      <x:c r="U2646" s="28"/>
      <x:c r="V2646" s="28"/>
      <x:c r="W2646" s="43" t="n">
        <x:f>--AND(N2646=1,OR(O2646="SUPPORTED",O2646="HALLUCINATION"))</x:f>
        <x:v>0</x:v>
      </x:c>
      <x:c r="X2646" s="43" t="n">
        <x:f>--AND(W2646=1,O2646="HALLUCINATION")</x:f>
        <x:v>0</x:v>
      </x:c>
      <x:c r="Y2646" s="43" t="n">
        <x:f>--AND(Q2646=1,O2646="HALLUCINATION")</x:f>
        <x:v>0</x:v>
      </x:c>
      <x:c r="Z2646" s="43" t="n">
        <x:f>--AND(Y2646=1,R2646=1,S2646=1)</x:f>
        <x:v>0</x:v>
      </x:c>
      <x:c r="AC2646" t="str">
        <x:f>IF(OR(AA2646="",AB2646=""),"",--(AA2646&lt;&gt;AB2646))</x:f>
      </x:c>
      <x:c r="AE2646" t="str">
        <x:f>IF(OR(AA2646="",AB2646=""),"PENDING_HUMAN",IF(AA2646=AB2646,AA2646,IF(AD2646&lt;&gt;"",AD2646,"PENDING_HUMAN")))</x:f>
        <x:v>PENDING_HUMAN</x:v>
      </x:c>
      <x:c r="AF2646" t="n">
        <x:f>--AND(A2646&lt;&gt;"",AA2646&lt;&gt;"",AB2646&lt;&gt;"",OR(AA2646=AB2646,AD2646&lt;&gt;""),IF(AE2646="HALLUCINATION",U2646&lt;&gt;"",TRUE))</x:f>
        <x:v>0</x:v>
      </x:c>
      <x:c r="AG2646" t="n">
        <x:f>--AND(N2646=1,AF2646=1,OR(AE2646="SUPPORTED",AE2646="HALLUCINATION"))</x:f>
        <x:v>0</x:v>
      </x:c>
      <x:c r="AH2646" t="n">
        <x:f>--AND(AG2646=1,AE2646="HALLUCINATION")</x:f>
        <x:v>0</x:v>
      </x:c>
      <x:c r="AI2646" t="n">
        <x:f>--AND(Q2646=1,AF2646=1,AE2646="HALLUCINATION")</x:f>
        <x:v>0</x:v>
      </x:c>
      <x:c r="AJ2646" t="n">
        <x:f>--AND(AI2646=1,R2646=1,S2646=1)</x:f>
        <x:v>0</x:v>
      </x:c>
    </x:row>
    <x:row r="2647">
      <x:c r="A2647" s="28"/>
      <x:c r="B2647" s="28"/>
      <x:c r="C2647" s="28"/>
      <x:c r="D2647" s="28"/>
      <x:c r="E2647" s="28"/>
      <x:c r="F2647" s="28"/>
      <x:c r="G2647" s="28"/>
      <x:c r="H2647" s="28"/>
      <x:c r="I2647" s="28"/>
      <x:c r="J2647" s="28"/>
      <x:c r="K2647" s="28"/>
      <x:c r="L2647" s="28"/>
      <x:c r="M2647" s="28"/>
      <x:c r="N2647" s="28"/>
      <x:c r="O2647" s="28"/>
      <x:c r="P2647" s="28"/>
      <x:c r="Q2647" s="28"/>
      <x:c r="R2647" s="28"/>
      <x:c r="S2647" s="28"/>
      <x:c r="T2647" s="28"/>
      <x:c r="U2647" s="28"/>
      <x:c r="V2647" s="28"/>
      <x:c r="W2647" s="43" t="n">
        <x:f>--AND(N2647=1,OR(O2647="SUPPORTED",O2647="HALLUCINATION"))</x:f>
        <x:v>0</x:v>
      </x:c>
      <x:c r="X2647" s="43" t="n">
        <x:f>--AND(W2647=1,O2647="HALLUCINATION")</x:f>
        <x:v>0</x:v>
      </x:c>
      <x:c r="Y2647" s="43" t="n">
        <x:f>--AND(Q2647=1,O2647="HALLUCINATION")</x:f>
        <x:v>0</x:v>
      </x:c>
      <x:c r="Z2647" s="43" t="n">
        <x:f>--AND(Y2647=1,R2647=1,S2647=1)</x:f>
        <x:v>0</x:v>
      </x:c>
      <x:c r="AC2647" t="str">
        <x:f>IF(OR(AA2647="",AB2647=""),"",--(AA2647&lt;&gt;AB2647))</x:f>
      </x:c>
      <x:c r="AE2647" t="str">
        <x:f>IF(OR(AA2647="",AB2647=""),"PENDING_HUMAN",IF(AA2647=AB2647,AA2647,IF(AD2647&lt;&gt;"",AD2647,"PENDING_HUMAN")))</x:f>
        <x:v>PENDING_HUMAN</x:v>
      </x:c>
      <x:c r="AF2647" t="n">
        <x:f>--AND(A2647&lt;&gt;"",AA2647&lt;&gt;"",AB2647&lt;&gt;"",OR(AA2647=AB2647,AD2647&lt;&gt;""),IF(AE2647="HALLUCINATION",U2647&lt;&gt;"",TRUE))</x:f>
        <x:v>0</x:v>
      </x:c>
      <x:c r="AG2647" t="n">
        <x:f>--AND(N2647=1,AF2647=1,OR(AE2647="SUPPORTED",AE2647="HALLUCINATION"))</x:f>
        <x:v>0</x:v>
      </x:c>
      <x:c r="AH2647" t="n">
        <x:f>--AND(AG2647=1,AE2647="HALLUCINATION")</x:f>
        <x:v>0</x:v>
      </x:c>
      <x:c r="AI2647" t="n">
        <x:f>--AND(Q2647=1,AF2647=1,AE2647="HALLUCINATION")</x:f>
        <x:v>0</x:v>
      </x:c>
      <x:c r="AJ2647" t="n">
        <x:f>--AND(AI2647=1,R2647=1,S2647=1)</x:f>
        <x:v>0</x:v>
      </x:c>
    </x:row>
    <x:row r="2648">
      <x:c r="A2648" s="28"/>
      <x:c r="B2648" s="28"/>
      <x:c r="C2648" s="28"/>
      <x:c r="D2648" s="28"/>
      <x:c r="E2648" s="28"/>
      <x:c r="F2648" s="28"/>
      <x:c r="G2648" s="28"/>
      <x:c r="H2648" s="28"/>
      <x:c r="I2648" s="28"/>
      <x:c r="J2648" s="28"/>
      <x:c r="K2648" s="28"/>
      <x:c r="L2648" s="28"/>
      <x:c r="M2648" s="28"/>
      <x:c r="N2648" s="28"/>
      <x:c r="O2648" s="28"/>
      <x:c r="P2648" s="28"/>
      <x:c r="Q2648" s="28"/>
      <x:c r="R2648" s="28"/>
      <x:c r="S2648" s="28"/>
      <x:c r="T2648" s="28"/>
      <x:c r="U2648" s="28"/>
      <x:c r="V2648" s="28"/>
      <x:c r="W2648" s="43" t="n">
        <x:f>--AND(N2648=1,OR(O2648="SUPPORTED",O2648="HALLUCINATION"))</x:f>
        <x:v>0</x:v>
      </x:c>
      <x:c r="X2648" s="43" t="n">
        <x:f>--AND(W2648=1,O2648="HALLUCINATION")</x:f>
        <x:v>0</x:v>
      </x:c>
      <x:c r="Y2648" s="43" t="n">
        <x:f>--AND(Q2648=1,O2648="HALLUCINATION")</x:f>
        <x:v>0</x:v>
      </x:c>
      <x:c r="Z2648" s="43" t="n">
        <x:f>--AND(Y2648=1,R2648=1,S2648=1)</x:f>
        <x:v>0</x:v>
      </x:c>
      <x:c r="AC2648" t="str">
        <x:f>IF(OR(AA2648="",AB2648=""),"",--(AA2648&lt;&gt;AB2648))</x:f>
      </x:c>
      <x:c r="AE2648" t="str">
        <x:f>IF(OR(AA2648="",AB2648=""),"PENDING_HUMAN",IF(AA2648=AB2648,AA2648,IF(AD2648&lt;&gt;"",AD2648,"PENDING_HUMAN")))</x:f>
        <x:v>PENDING_HUMAN</x:v>
      </x:c>
      <x:c r="AF2648" t="n">
        <x:f>--AND(A2648&lt;&gt;"",AA2648&lt;&gt;"",AB2648&lt;&gt;"",OR(AA2648=AB2648,AD2648&lt;&gt;""),IF(AE2648="HALLUCINATION",U2648&lt;&gt;"",TRUE))</x:f>
        <x:v>0</x:v>
      </x:c>
      <x:c r="AG2648" t="n">
        <x:f>--AND(N2648=1,AF2648=1,OR(AE2648="SUPPORTED",AE2648="HALLUCINATION"))</x:f>
        <x:v>0</x:v>
      </x:c>
      <x:c r="AH2648" t="n">
        <x:f>--AND(AG2648=1,AE2648="HALLUCINATION")</x:f>
        <x:v>0</x:v>
      </x:c>
      <x:c r="AI2648" t="n">
        <x:f>--AND(Q2648=1,AF2648=1,AE2648="HALLUCINATION")</x:f>
        <x:v>0</x:v>
      </x:c>
      <x:c r="AJ2648" t="n">
        <x:f>--AND(AI2648=1,R2648=1,S2648=1)</x:f>
        <x:v>0</x:v>
      </x:c>
    </x:row>
    <x:row r="2649">
      <x:c r="A2649" s="28"/>
      <x:c r="B2649" s="28"/>
      <x:c r="C2649" s="28"/>
      <x:c r="D2649" s="28"/>
      <x:c r="E2649" s="28"/>
      <x:c r="F2649" s="28"/>
      <x:c r="G2649" s="28"/>
      <x:c r="H2649" s="28"/>
      <x:c r="I2649" s="28"/>
      <x:c r="J2649" s="28"/>
      <x:c r="K2649" s="28"/>
      <x:c r="L2649" s="28"/>
      <x:c r="M2649" s="28"/>
      <x:c r="N2649" s="28"/>
      <x:c r="O2649" s="28"/>
      <x:c r="P2649" s="28"/>
      <x:c r="Q2649" s="28"/>
      <x:c r="R2649" s="28"/>
      <x:c r="S2649" s="28"/>
      <x:c r="T2649" s="28"/>
      <x:c r="U2649" s="28"/>
      <x:c r="V2649" s="28"/>
      <x:c r="W2649" s="43" t="n">
        <x:f>--AND(N2649=1,OR(O2649="SUPPORTED",O2649="HALLUCINATION"))</x:f>
        <x:v>0</x:v>
      </x:c>
      <x:c r="X2649" s="43" t="n">
        <x:f>--AND(W2649=1,O2649="HALLUCINATION")</x:f>
        <x:v>0</x:v>
      </x:c>
      <x:c r="Y2649" s="43" t="n">
        <x:f>--AND(Q2649=1,O2649="HALLUCINATION")</x:f>
        <x:v>0</x:v>
      </x:c>
      <x:c r="Z2649" s="43" t="n">
        <x:f>--AND(Y2649=1,R2649=1,S2649=1)</x:f>
        <x:v>0</x:v>
      </x:c>
      <x:c r="AC2649" t="str">
        <x:f>IF(OR(AA2649="",AB2649=""),"",--(AA2649&lt;&gt;AB2649))</x:f>
      </x:c>
      <x:c r="AE2649" t="str">
        <x:f>IF(OR(AA2649="",AB2649=""),"PENDING_HUMAN",IF(AA2649=AB2649,AA2649,IF(AD2649&lt;&gt;"",AD2649,"PENDING_HUMAN")))</x:f>
        <x:v>PENDING_HUMAN</x:v>
      </x:c>
      <x:c r="AF2649" t="n">
        <x:f>--AND(A2649&lt;&gt;"",AA2649&lt;&gt;"",AB2649&lt;&gt;"",OR(AA2649=AB2649,AD2649&lt;&gt;""),IF(AE2649="HALLUCINATION",U2649&lt;&gt;"",TRUE))</x:f>
        <x:v>0</x:v>
      </x:c>
      <x:c r="AG2649" t="n">
        <x:f>--AND(N2649=1,AF2649=1,OR(AE2649="SUPPORTED",AE2649="HALLUCINATION"))</x:f>
        <x:v>0</x:v>
      </x:c>
      <x:c r="AH2649" t="n">
        <x:f>--AND(AG2649=1,AE2649="HALLUCINATION")</x:f>
        <x:v>0</x:v>
      </x:c>
      <x:c r="AI2649" t="n">
        <x:f>--AND(Q2649=1,AF2649=1,AE2649="HALLUCINATION")</x:f>
        <x:v>0</x:v>
      </x:c>
      <x:c r="AJ2649" t="n">
        <x:f>--AND(AI2649=1,R2649=1,S2649=1)</x:f>
        <x:v>0</x:v>
      </x:c>
    </x:row>
    <x:row r="2650">
      <x:c r="A2650" s="28"/>
      <x:c r="B2650" s="28"/>
      <x:c r="C2650" s="28"/>
      <x:c r="D2650" s="28"/>
      <x:c r="E2650" s="28"/>
      <x:c r="F2650" s="28"/>
      <x:c r="G2650" s="28"/>
      <x:c r="H2650" s="28"/>
      <x:c r="I2650" s="28"/>
      <x:c r="J2650" s="28"/>
      <x:c r="K2650" s="28"/>
      <x:c r="L2650" s="28"/>
      <x:c r="M2650" s="28"/>
      <x:c r="N2650" s="28"/>
      <x:c r="O2650" s="28"/>
      <x:c r="P2650" s="28"/>
      <x:c r="Q2650" s="28"/>
      <x:c r="R2650" s="28"/>
      <x:c r="S2650" s="28"/>
      <x:c r="T2650" s="28"/>
      <x:c r="U2650" s="28"/>
      <x:c r="V2650" s="28"/>
      <x:c r="W2650" s="43" t="n">
        <x:f>--AND(N2650=1,OR(O2650="SUPPORTED",O2650="HALLUCINATION"))</x:f>
        <x:v>0</x:v>
      </x:c>
      <x:c r="X2650" s="43" t="n">
        <x:f>--AND(W2650=1,O2650="HALLUCINATION")</x:f>
        <x:v>0</x:v>
      </x:c>
      <x:c r="Y2650" s="43" t="n">
        <x:f>--AND(Q2650=1,O2650="HALLUCINATION")</x:f>
        <x:v>0</x:v>
      </x:c>
      <x:c r="Z2650" s="43" t="n">
        <x:f>--AND(Y2650=1,R2650=1,S2650=1)</x:f>
        <x:v>0</x:v>
      </x:c>
      <x:c r="AC2650" t="str">
        <x:f>IF(OR(AA2650="",AB2650=""),"",--(AA2650&lt;&gt;AB2650))</x:f>
      </x:c>
      <x:c r="AE2650" t="str">
        <x:f>IF(OR(AA2650="",AB2650=""),"PENDING_HUMAN",IF(AA2650=AB2650,AA2650,IF(AD2650&lt;&gt;"",AD2650,"PENDING_HUMAN")))</x:f>
        <x:v>PENDING_HUMAN</x:v>
      </x:c>
      <x:c r="AF2650" t="n">
        <x:f>--AND(A2650&lt;&gt;"",AA2650&lt;&gt;"",AB2650&lt;&gt;"",OR(AA2650=AB2650,AD2650&lt;&gt;""),IF(AE2650="HALLUCINATION",U2650&lt;&gt;"",TRUE))</x:f>
        <x:v>0</x:v>
      </x:c>
      <x:c r="AG2650" t="n">
        <x:f>--AND(N2650=1,AF2650=1,OR(AE2650="SUPPORTED",AE2650="HALLUCINATION"))</x:f>
        <x:v>0</x:v>
      </x:c>
      <x:c r="AH2650" t="n">
        <x:f>--AND(AG2650=1,AE2650="HALLUCINATION")</x:f>
        <x:v>0</x:v>
      </x:c>
      <x:c r="AI2650" t="n">
        <x:f>--AND(Q2650=1,AF2650=1,AE2650="HALLUCINATION")</x:f>
        <x:v>0</x:v>
      </x:c>
      <x:c r="AJ2650" t="n">
        <x:f>--AND(AI2650=1,R2650=1,S2650=1)</x:f>
        <x:v>0</x:v>
      </x:c>
    </x:row>
    <x:row r="2651">
      <x:c r="A2651" s="28"/>
      <x:c r="B2651" s="28"/>
      <x:c r="C2651" s="28"/>
      <x:c r="D2651" s="28"/>
      <x:c r="E2651" s="28"/>
      <x:c r="F2651" s="28"/>
      <x:c r="G2651" s="28"/>
      <x:c r="H2651" s="28"/>
      <x:c r="I2651" s="28"/>
      <x:c r="J2651" s="28"/>
      <x:c r="K2651" s="28"/>
      <x:c r="L2651" s="28"/>
      <x:c r="M2651" s="28"/>
      <x:c r="N2651" s="28"/>
      <x:c r="O2651" s="28"/>
      <x:c r="P2651" s="28"/>
      <x:c r="Q2651" s="28"/>
      <x:c r="R2651" s="28"/>
      <x:c r="S2651" s="28"/>
      <x:c r="T2651" s="28"/>
      <x:c r="U2651" s="28"/>
      <x:c r="V2651" s="28"/>
      <x:c r="W2651" s="43" t="n">
        <x:f>--AND(N2651=1,OR(O2651="SUPPORTED",O2651="HALLUCINATION"))</x:f>
        <x:v>0</x:v>
      </x:c>
      <x:c r="X2651" s="43" t="n">
        <x:f>--AND(W2651=1,O2651="HALLUCINATION")</x:f>
        <x:v>0</x:v>
      </x:c>
      <x:c r="Y2651" s="43" t="n">
        <x:f>--AND(Q2651=1,O2651="HALLUCINATION")</x:f>
        <x:v>0</x:v>
      </x:c>
      <x:c r="Z2651" s="43" t="n">
        <x:f>--AND(Y2651=1,R2651=1,S2651=1)</x:f>
        <x:v>0</x:v>
      </x:c>
      <x:c r="AC2651" t="str">
        <x:f>IF(OR(AA2651="",AB2651=""),"",--(AA2651&lt;&gt;AB2651))</x:f>
      </x:c>
      <x:c r="AE2651" t="str">
        <x:f>IF(OR(AA2651="",AB2651=""),"PENDING_HUMAN",IF(AA2651=AB2651,AA2651,IF(AD2651&lt;&gt;"",AD2651,"PENDING_HUMAN")))</x:f>
        <x:v>PENDING_HUMAN</x:v>
      </x:c>
      <x:c r="AF2651" t="n">
        <x:f>--AND(A2651&lt;&gt;"",AA2651&lt;&gt;"",AB2651&lt;&gt;"",OR(AA2651=AB2651,AD2651&lt;&gt;""),IF(AE2651="HALLUCINATION",U2651&lt;&gt;"",TRUE))</x:f>
        <x:v>0</x:v>
      </x:c>
      <x:c r="AG2651" t="n">
        <x:f>--AND(N2651=1,AF2651=1,OR(AE2651="SUPPORTED",AE2651="HALLUCINATION"))</x:f>
        <x:v>0</x:v>
      </x:c>
      <x:c r="AH2651" t="n">
        <x:f>--AND(AG2651=1,AE2651="HALLUCINATION")</x:f>
        <x:v>0</x:v>
      </x:c>
      <x:c r="AI2651" t="n">
        <x:f>--AND(Q2651=1,AF2651=1,AE2651="HALLUCINATION")</x:f>
        <x:v>0</x:v>
      </x:c>
      <x:c r="AJ2651" t="n">
        <x:f>--AND(AI2651=1,R2651=1,S2651=1)</x:f>
        <x:v>0</x:v>
      </x:c>
    </x:row>
    <x:row r="2652">
      <x:c r="A2652" s="28"/>
      <x:c r="B2652" s="28"/>
      <x:c r="C2652" s="28"/>
      <x:c r="D2652" s="28"/>
      <x:c r="E2652" s="28"/>
      <x:c r="F2652" s="28"/>
      <x:c r="G2652" s="28"/>
      <x:c r="H2652" s="28"/>
      <x:c r="I2652" s="28"/>
      <x:c r="J2652" s="28"/>
      <x:c r="K2652" s="28"/>
      <x:c r="L2652" s="28"/>
      <x:c r="M2652" s="28"/>
      <x:c r="N2652" s="28"/>
      <x:c r="O2652" s="28"/>
      <x:c r="P2652" s="28"/>
      <x:c r="Q2652" s="28"/>
      <x:c r="R2652" s="28"/>
      <x:c r="S2652" s="28"/>
      <x:c r="T2652" s="28"/>
      <x:c r="U2652" s="28"/>
      <x:c r="V2652" s="28"/>
      <x:c r="W2652" s="43" t="n">
        <x:f>--AND(N2652=1,OR(O2652="SUPPORTED",O2652="HALLUCINATION"))</x:f>
        <x:v>0</x:v>
      </x:c>
      <x:c r="X2652" s="43" t="n">
        <x:f>--AND(W2652=1,O2652="HALLUCINATION")</x:f>
        <x:v>0</x:v>
      </x:c>
      <x:c r="Y2652" s="43" t="n">
        <x:f>--AND(Q2652=1,O2652="HALLUCINATION")</x:f>
        <x:v>0</x:v>
      </x:c>
      <x:c r="Z2652" s="43" t="n">
        <x:f>--AND(Y2652=1,R2652=1,S2652=1)</x:f>
        <x:v>0</x:v>
      </x:c>
      <x:c r="AC2652" t="str">
        <x:f>IF(OR(AA2652="",AB2652=""),"",--(AA2652&lt;&gt;AB2652))</x:f>
      </x:c>
      <x:c r="AE2652" t="str">
        <x:f>IF(OR(AA2652="",AB2652=""),"PENDING_HUMAN",IF(AA2652=AB2652,AA2652,IF(AD2652&lt;&gt;"",AD2652,"PENDING_HUMAN")))</x:f>
        <x:v>PENDING_HUMAN</x:v>
      </x:c>
      <x:c r="AF2652" t="n">
        <x:f>--AND(A2652&lt;&gt;"",AA2652&lt;&gt;"",AB2652&lt;&gt;"",OR(AA2652=AB2652,AD2652&lt;&gt;""),IF(AE2652="HALLUCINATION",U2652&lt;&gt;"",TRUE))</x:f>
        <x:v>0</x:v>
      </x:c>
      <x:c r="AG2652" t="n">
        <x:f>--AND(N2652=1,AF2652=1,OR(AE2652="SUPPORTED",AE2652="HALLUCINATION"))</x:f>
        <x:v>0</x:v>
      </x:c>
      <x:c r="AH2652" t="n">
        <x:f>--AND(AG2652=1,AE2652="HALLUCINATION")</x:f>
        <x:v>0</x:v>
      </x:c>
      <x:c r="AI2652" t="n">
        <x:f>--AND(Q2652=1,AF2652=1,AE2652="HALLUCINATION")</x:f>
        <x:v>0</x:v>
      </x:c>
      <x:c r="AJ2652" t="n">
        <x:f>--AND(AI2652=1,R2652=1,S2652=1)</x:f>
        <x:v>0</x:v>
      </x:c>
    </x:row>
    <x:row r="2653">
      <x:c r="A2653" s="28"/>
      <x:c r="B2653" s="28"/>
      <x:c r="C2653" s="28"/>
      <x:c r="D2653" s="28"/>
      <x:c r="E2653" s="28"/>
      <x:c r="F2653" s="28"/>
      <x:c r="G2653" s="28"/>
      <x:c r="H2653" s="28"/>
      <x:c r="I2653" s="28"/>
      <x:c r="J2653" s="28"/>
      <x:c r="K2653" s="28"/>
      <x:c r="L2653" s="28"/>
      <x:c r="M2653" s="28"/>
      <x:c r="N2653" s="28"/>
      <x:c r="O2653" s="28"/>
      <x:c r="P2653" s="28"/>
      <x:c r="Q2653" s="28"/>
      <x:c r="R2653" s="28"/>
      <x:c r="S2653" s="28"/>
      <x:c r="T2653" s="28"/>
      <x:c r="U2653" s="28"/>
      <x:c r="V2653" s="28"/>
      <x:c r="W2653" s="43" t="n">
        <x:f>--AND(N2653=1,OR(O2653="SUPPORTED",O2653="HALLUCINATION"))</x:f>
        <x:v>0</x:v>
      </x:c>
      <x:c r="X2653" s="43" t="n">
        <x:f>--AND(W2653=1,O2653="HALLUCINATION")</x:f>
        <x:v>0</x:v>
      </x:c>
      <x:c r="Y2653" s="43" t="n">
        <x:f>--AND(Q2653=1,O2653="HALLUCINATION")</x:f>
        <x:v>0</x:v>
      </x:c>
      <x:c r="Z2653" s="43" t="n">
        <x:f>--AND(Y2653=1,R2653=1,S2653=1)</x:f>
        <x:v>0</x:v>
      </x:c>
      <x:c r="AC2653" t="str">
        <x:f>IF(OR(AA2653="",AB2653=""),"",--(AA2653&lt;&gt;AB2653))</x:f>
      </x:c>
      <x:c r="AE2653" t="str">
        <x:f>IF(OR(AA2653="",AB2653=""),"PENDING_HUMAN",IF(AA2653=AB2653,AA2653,IF(AD2653&lt;&gt;"",AD2653,"PENDING_HUMAN")))</x:f>
        <x:v>PENDING_HUMAN</x:v>
      </x:c>
      <x:c r="AF2653" t="n">
        <x:f>--AND(A2653&lt;&gt;"",AA2653&lt;&gt;"",AB2653&lt;&gt;"",OR(AA2653=AB2653,AD2653&lt;&gt;""),IF(AE2653="HALLUCINATION",U2653&lt;&gt;"",TRUE))</x:f>
        <x:v>0</x:v>
      </x:c>
      <x:c r="AG2653" t="n">
        <x:f>--AND(N2653=1,AF2653=1,OR(AE2653="SUPPORTED",AE2653="HALLUCINATION"))</x:f>
        <x:v>0</x:v>
      </x:c>
      <x:c r="AH2653" t="n">
        <x:f>--AND(AG2653=1,AE2653="HALLUCINATION")</x:f>
        <x:v>0</x:v>
      </x:c>
      <x:c r="AI2653" t="n">
        <x:f>--AND(Q2653=1,AF2653=1,AE2653="HALLUCINATION")</x:f>
        <x:v>0</x:v>
      </x:c>
      <x:c r="AJ2653" t="n">
        <x:f>--AND(AI2653=1,R2653=1,S2653=1)</x:f>
        <x:v>0</x:v>
      </x:c>
    </x:row>
    <x:row r="2654">
      <x:c r="A2654" s="28"/>
      <x:c r="B2654" s="28"/>
      <x:c r="C2654" s="28"/>
      <x:c r="D2654" s="28"/>
      <x:c r="E2654" s="28"/>
      <x:c r="F2654" s="28"/>
      <x:c r="G2654" s="28"/>
      <x:c r="H2654" s="28"/>
      <x:c r="I2654" s="28"/>
      <x:c r="J2654" s="28"/>
      <x:c r="K2654" s="28"/>
      <x:c r="L2654" s="28"/>
      <x:c r="M2654" s="28"/>
      <x:c r="N2654" s="28"/>
      <x:c r="O2654" s="28"/>
      <x:c r="P2654" s="28"/>
      <x:c r="Q2654" s="28"/>
      <x:c r="R2654" s="28"/>
      <x:c r="S2654" s="28"/>
      <x:c r="T2654" s="28"/>
      <x:c r="U2654" s="28"/>
      <x:c r="V2654" s="28"/>
      <x:c r="W2654" s="43" t="n">
        <x:f>--AND(N2654=1,OR(O2654="SUPPORTED",O2654="HALLUCINATION"))</x:f>
        <x:v>0</x:v>
      </x:c>
      <x:c r="X2654" s="43" t="n">
        <x:f>--AND(W2654=1,O2654="HALLUCINATION")</x:f>
        <x:v>0</x:v>
      </x:c>
      <x:c r="Y2654" s="43" t="n">
        <x:f>--AND(Q2654=1,O2654="HALLUCINATION")</x:f>
        <x:v>0</x:v>
      </x:c>
      <x:c r="Z2654" s="43" t="n">
        <x:f>--AND(Y2654=1,R2654=1,S2654=1)</x:f>
        <x:v>0</x:v>
      </x:c>
      <x:c r="AC2654" t="str">
        <x:f>IF(OR(AA2654="",AB2654=""),"",--(AA2654&lt;&gt;AB2654))</x:f>
      </x:c>
      <x:c r="AE2654" t="str">
        <x:f>IF(OR(AA2654="",AB2654=""),"PENDING_HUMAN",IF(AA2654=AB2654,AA2654,IF(AD2654&lt;&gt;"",AD2654,"PENDING_HUMAN")))</x:f>
        <x:v>PENDING_HUMAN</x:v>
      </x:c>
      <x:c r="AF2654" t="n">
        <x:f>--AND(A2654&lt;&gt;"",AA2654&lt;&gt;"",AB2654&lt;&gt;"",OR(AA2654=AB2654,AD2654&lt;&gt;""),IF(AE2654="HALLUCINATION",U2654&lt;&gt;"",TRUE))</x:f>
        <x:v>0</x:v>
      </x:c>
      <x:c r="AG2654" t="n">
        <x:f>--AND(N2654=1,AF2654=1,OR(AE2654="SUPPORTED",AE2654="HALLUCINATION"))</x:f>
        <x:v>0</x:v>
      </x:c>
      <x:c r="AH2654" t="n">
        <x:f>--AND(AG2654=1,AE2654="HALLUCINATION")</x:f>
        <x:v>0</x:v>
      </x:c>
      <x:c r="AI2654" t="n">
        <x:f>--AND(Q2654=1,AF2654=1,AE2654="HALLUCINATION")</x:f>
        <x:v>0</x:v>
      </x:c>
      <x:c r="AJ2654" t="n">
        <x:f>--AND(AI2654=1,R2654=1,S2654=1)</x:f>
        <x:v>0</x:v>
      </x:c>
    </x:row>
    <x:row r="2655">
      <x:c r="A2655" s="28"/>
      <x:c r="B2655" s="28"/>
      <x:c r="C2655" s="28"/>
      <x:c r="D2655" s="28"/>
      <x:c r="E2655" s="28"/>
      <x:c r="F2655" s="28"/>
      <x:c r="G2655" s="28"/>
      <x:c r="H2655" s="28"/>
      <x:c r="I2655" s="28"/>
      <x:c r="J2655" s="28"/>
      <x:c r="K2655" s="28"/>
      <x:c r="L2655" s="28"/>
      <x:c r="M2655" s="28"/>
      <x:c r="N2655" s="28"/>
      <x:c r="O2655" s="28"/>
      <x:c r="P2655" s="28"/>
      <x:c r="Q2655" s="28"/>
      <x:c r="R2655" s="28"/>
      <x:c r="S2655" s="28"/>
      <x:c r="T2655" s="28"/>
      <x:c r="U2655" s="28"/>
      <x:c r="V2655" s="28"/>
      <x:c r="W2655" s="43" t="n">
        <x:f>--AND(N2655=1,OR(O2655="SUPPORTED",O2655="HALLUCINATION"))</x:f>
        <x:v>0</x:v>
      </x:c>
      <x:c r="X2655" s="43" t="n">
        <x:f>--AND(W2655=1,O2655="HALLUCINATION")</x:f>
        <x:v>0</x:v>
      </x:c>
      <x:c r="Y2655" s="43" t="n">
        <x:f>--AND(Q2655=1,O2655="HALLUCINATION")</x:f>
        <x:v>0</x:v>
      </x:c>
      <x:c r="Z2655" s="43" t="n">
        <x:f>--AND(Y2655=1,R2655=1,S2655=1)</x:f>
        <x:v>0</x:v>
      </x:c>
      <x:c r="AC2655" t="str">
        <x:f>IF(OR(AA2655="",AB2655=""),"",--(AA2655&lt;&gt;AB2655))</x:f>
      </x:c>
      <x:c r="AE2655" t="str">
        <x:f>IF(OR(AA2655="",AB2655=""),"PENDING_HUMAN",IF(AA2655=AB2655,AA2655,IF(AD2655&lt;&gt;"",AD2655,"PENDING_HUMAN")))</x:f>
        <x:v>PENDING_HUMAN</x:v>
      </x:c>
      <x:c r="AF2655" t="n">
        <x:f>--AND(A2655&lt;&gt;"",AA2655&lt;&gt;"",AB2655&lt;&gt;"",OR(AA2655=AB2655,AD2655&lt;&gt;""),IF(AE2655="HALLUCINATION",U2655&lt;&gt;"",TRUE))</x:f>
        <x:v>0</x:v>
      </x:c>
      <x:c r="AG2655" t="n">
        <x:f>--AND(N2655=1,AF2655=1,OR(AE2655="SUPPORTED",AE2655="HALLUCINATION"))</x:f>
        <x:v>0</x:v>
      </x:c>
      <x:c r="AH2655" t="n">
        <x:f>--AND(AG2655=1,AE2655="HALLUCINATION")</x:f>
        <x:v>0</x:v>
      </x:c>
      <x:c r="AI2655" t="n">
        <x:f>--AND(Q2655=1,AF2655=1,AE2655="HALLUCINATION")</x:f>
        <x:v>0</x:v>
      </x:c>
      <x:c r="AJ2655" t="n">
        <x:f>--AND(AI2655=1,R2655=1,S2655=1)</x:f>
        <x:v>0</x:v>
      </x:c>
    </x:row>
    <x:row r="2656">
      <x:c r="A2656" s="28"/>
      <x:c r="B2656" s="28"/>
      <x:c r="C2656" s="28"/>
      <x:c r="D2656" s="28"/>
      <x:c r="E2656" s="28"/>
      <x:c r="F2656" s="28"/>
      <x:c r="G2656" s="28"/>
      <x:c r="H2656" s="28"/>
      <x:c r="I2656" s="28"/>
      <x:c r="J2656" s="28"/>
      <x:c r="K2656" s="28"/>
      <x:c r="L2656" s="28"/>
      <x:c r="M2656" s="28"/>
      <x:c r="N2656" s="28"/>
      <x:c r="O2656" s="28"/>
      <x:c r="P2656" s="28"/>
      <x:c r="Q2656" s="28"/>
      <x:c r="R2656" s="28"/>
      <x:c r="S2656" s="28"/>
      <x:c r="T2656" s="28"/>
      <x:c r="U2656" s="28"/>
      <x:c r="V2656" s="28"/>
      <x:c r="W2656" s="43" t="n">
        <x:f>--AND(N2656=1,OR(O2656="SUPPORTED",O2656="HALLUCINATION"))</x:f>
        <x:v>0</x:v>
      </x:c>
      <x:c r="X2656" s="43" t="n">
        <x:f>--AND(W2656=1,O2656="HALLUCINATION")</x:f>
        <x:v>0</x:v>
      </x:c>
      <x:c r="Y2656" s="43" t="n">
        <x:f>--AND(Q2656=1,O2656="HALLUCINATION")</x:f>
        <x:v>0</x:v>
      </x:c>
      <x:c r="Z2656" s="43" t="n">
        <x:f>--AND(Y2656=1,R2656=1,S2656=1)</x:f>
        <x:v>0</x:v>
      </x:c>
      <x:c r="AC2656" t="str">
        <x:f>IF(OR(AA2656="",AB2656=""),"",--(AA2656&lt;&gt;AB2656))</x:f>
      </x:c>
      <x:c r="AE2656" t="str">
        <x:f>IF(OR(AA2656="",AB2656=""),"PENDING_HUMAN",IF(AA2656=AB2656,AA2656,IF(AD2656&lt;&gt;"",AD2656,"PENDING_HUMAN")))</x:f>
        <x:v>PENDING_HUMAN</x:v>
      </x:c>
      <x:c r="AF2656" t="n">
        <x:f>--AND(A2656&lt;&gt;"",AA2656&lt;&gt;"",AB2656&lt;&gt;"",OR(AA2656=AB2656,AD2656&lt;&gt;""),IF(AE2656="HALLUCINATION",U2656&lt;&gt;"",TRUE))</x:f>
        <x:v>0</x:v>
      </x:c>
      <x:c r="AG2656" t="n">
        <x:f>--AND(N2656=1,AF2656=1,OR(AE2656="SUPPORTED",AE2656="HALLUCINATION"))</x:f>
        <x:v>0</x:v>
      </x:c>
      <x:c r="AH2656" t="n">
        <x:f>--AND(AG2656=1,AE2656="HALLUCINATION")</x:f>
        <x:v>0</x:v>
      </x:c>
      <x:c r="AI2656" t="n">
        <x:f>--AND(Q2656=1,AF2656=1,AE2656="HALLUCINATION")</x:f>
        <x:v>0</x:v>
      </x:c>
      <x:c r="AJ2656" t="n">
        <x:f>--AND(AI2656=1,R2656=1,S2656=1)</x:f>
        <x:v>0</x:v>
      </x:c>
    </x:row>
    <x:row r="2657">
      <x:c r="A2657" s="28"/>
      <x:c r="B2657" s="28"/>
      <x:c r="C2657" s="28"/>
      <x:c r="D2657" s="28"/>
      <x:c r="E2657" s="28"/>
      <x:c r="F2657" s="28"/>
      <x:c r="G2657" s="28"/>
      <x:c r="H2657" s="28"/>
      <x:c r="I2657" s="28"/>
      <x:c r="J2657" s="28"/>
      <x:c r="K2657" s="28"/>
      <x:c r="L2657" s="28"/>
      <x:c r="M2657" s="28"/>
      <x:c r="N2657" s="28"/>
      <x:c r="O2657" s="28"/>
      <x:c r="P2657" s="28"/>
      <x:c r="Q2657" s="28"/>
      <x:c r="R2657" s="28"/>
      <x:c r="S2657" s="28"/>
      <x:c r="T2657" s="28"/>
      <x:c r="U2657" s="28"/>
      <x:c r="V2657" s="28"/>
      <x:c r="W2657" s="43" t="n">
        <x:f>--AND(N2657=1,OR(O2657="SUPPORTED",O2657="HALLUCINATION"))</x:f>
        <x:v>0</x:v>
      </x:c>
      <x:c r="X2657" s="43" t="n">
        <x:f>--AND(W2657=1,O2657="HALLUCINATION")</x:f>
        <x:v>0</x:v>
      </x:c>
      <x:c r="Y2657" s="43" t="n">
        <x:f>--AND(Q2657=1,O2657="HALLUCINATION")</x:f>
        <x:v>0</x:v>
      </x:c>
      <x:c r="Z2657" s="43" t="n">
        <x:f>--AND(Y2657=1,R2657=1,S2657=1)</x:f>
        <x:v>0</x:v>
      </x:c>
      <x:c r="AC2657" t="str">
        <x:f>IF(OR(AA2657="",AB2657=""),"",--(AA2657&lt;&gt;AB2657))</x:f>
      </x:c>
      <x:c r="AE2657" t="str">
        <x:f>IF(OR(AA2657="",AB2657=""),"PENDING_HUMAN",IF(AA2657=AB2657,AA2657,IF(AD2657&lt;&gt;"",AD2657,"PENDING_HUMAN")))</x:f>
        <x:v>PENDING_HUMAN</x:v>
      </x:c>
      <x:c r="AF2657" t="n">
        <x:f>--AND(A2657&lt;&gt;"",AA2657&lt;&gt;"",AB2657&lt;&gt;"",OR(AA2657=AB2657,AD2657&lt;&gt;""),IF(AE2657="HALLUCINATION",U2657&lt;&gt;"",TRUE))</x:f>
        <x:v>0</x:v>
      </x:c>
      <x:c r="AG2657" t="n">
        <x:f>--AND(N2657=1,AF2657=1,OR(AE2657="SUPPORTED",AE2657="HALLUCINATION"))</x:f>
        <x:v>0</x:v>
      </x:c>
      <x:c r="AH2657" t="n">
        <x:f>--AND(AG2657=1,AE2657="HALLUCINATION")</x:f>
        <x:v>0</x:v>
      </x:c>
      <x:c r="AI2657" t="n">
        <x:f>--AND(Q2657=1,AF2657=1,AE2657="HALLUCINATION")</x:f>
        <x:v>0</x:v>
      </x:c>
      <x:c r="AJ2657" t="n">
        <x:f>--AND(AI2657=1,R2657=1,S2657=1)</x:f>
        <x:v>0</x:v>
      </x:c>
    </x:row>
    <x:row r="2658">
      <x:c r="A2658" s="28"/>
      <x:c r="B2658" s="28"/>
      <x:c r="C2658" s="28"/>
      <x:c r="D2658" s="28"/>
      <x:c r="E2658" s="28"/>
      <x:c r="F2658" s="28"/>
      <x:c r="G2658" s="28"/>
      <x:c r="H2658" s="28"/>
      <x:c r="I2658" s="28"/>
      <x:c r="J2658" s="28"/>
      <x:c r="K2658" s="28"/>
      <x:c r="L2658" s="28"/>
      <x:c r="M2658" s="28"/>
      <x:c r="N2658" s="28"/>
      <x:c r="O2658" s="28"/>
      <x:c r="P2658" s="28"/>
      <x:c r="Q2658" s="28"/>
      <x:c r="R2658" s="28"/>
      <x:c r="S2658" s="28"/>
      <x:c r="T2658" s="28"/>
      <x:c r="U2658" s="28"/>
      <x:c r="V2658" s="28"/>
      <x:c r="W2658" s="43" t="n">
        <x:f>--AND(N2658=1,OR(O2658="SUPPORTED",O2658="HALLUCINATION"))</x:f>
        <x:v>0</x:v>
      </x:c>
      <x:c r="X2658" s="43" t="n">
        <x:f>--AND(W2658=1,O2658="HALLUCINATION")</x:f>
        <x:v>0</x:v>
      </x:c>
      <x:c r="Y2658" s="43" t="n">
        <x:f>--AND(Q2658=1,O2658="HALLUCINATION")</x:f>
        <x:v>0</x:v>
      </x:c>
      <x:c r="Z2658" s="43" t="n">
        <x:f>--AND(Y2658=1,R2658=1,S2658=1)</x:f>
        <x:v>0</x:v>
      </x:c>
      <x:c r="AC2658" t="str">
        <x:f>IF(OR(AA2658="",AB2658=""),"",--(AA2658&lt;&gt;AB2658))</x:f>
      </x:c>
      <x:c r="AE2658" t="str">
        <x:f>IF(OR(AA2658="",AB2658=""),"PENDING_HUMAN",IF(AA2658=AB2658,AA2658,IF(AD2658&lt;&gt;"",AD2658,"PENDING_HUMAN")))</x:f>
        <x:v>PENDING_HUMAN</x:v>
      </x:c>
      <x:c r="AF2658" t="n">
        <x:f>--AND(A2658&lt;&gt;"",AA2658&lt;&gt;"",AB2658&lt;&gt;"",OR(AA2658=AB2658,AD2658&lt;&gt;""),IF(AE2658="HALLUCINATION",U2658&lt;&gt;"",TRUE))</x:f>
        <x:v>0</x:v>
      </x:c>
      <x:c r="AG2658" t="n">
        <x:f>--AND(N2658=1,AF2658=1,OR(AE2658="SUPPORTED",AE2658="HALLUCINATION"))</x:f>
        <x:v>0</x:v>
      </x:c>
      <x:c r="AH2658" t="n">
        <x:f>--AND(AG2658=1,AE2658="HALLUCINATION")</x:f>
        <x:v>0</x:v>
      </x:c>
      <x:c r="AI2658" t="n">
        <x:f>--AND(Q2658=1,AF2658=1,AE2658="HALLUCINATION")</x:f>
        <x:v>0</x:v>
      </x:c>
      <x:c r="AJ2658" t="n">
        <x:f>--AND(AI2658=1,R2658=1,S2658=1)</x:f>
        <x:v>0</x:v>
      </x:c>
    </x:row>
    <x:row r="2659">
      <x:c r="A2659" s="28"/>
      <x:c r="B2659" s="28"/>
      <x:c r="C2659" s="28"/>
      <x:c r="D2659" s="28"/>
      <x:c r="E2659" s="28"/>
      <x:c r="F2659" s="28"/>
      <x:c r="G2659" s="28"/>
      <x:c r="H2659" s="28"/>
      <x:c r="I2659" s="28"/>
      <x:c r="J2659" s="28"/>
      <x:c r="K2659" s="28"/>
      <x:c r="L2659" s="28"/>
      <x:c r="M2659" s="28"/>
      <x:c r="N2659" s="28"/>
      <x:c r="O2659" s="28"/>
      <x:c r="P2659" s="28"/>
      <x:c r="Q2659" s="28"/>
      <x:c r="R2659" s="28"/>
      <x:c r="S2659" s="28"/>
      <x:c r="T2659" s="28"/>
      <x:c r="U2659" s="28"/>
      <x:c r="V2659" s="28"/>
      <x:c r="W2659" s="43" t="n">
        <x:f>--AND(N2659=1,OR(O2659="SUPPORTED",O2659="HALLUCINATION"))</x:f>
        <x:v>0</x:v>
      </x:c>
      <x:c r="X2659" s="43" t="n">
        <x:f>--AND(W2659=1,O2659="HALLUCINATION")</x:f>
        <x:v>0</x:v>
      </x:c>
      <x:c r="Y2659" s="43" t="n">
        <x:f>--AND(Q2659=1,O2659="HALLUCINATION")</x:f>
        <x:v>0</x:v>
      </x:c>
      <x:c r="Z2659" s="43" t="n">
        <x:f>--AND(Y2659=1,R2659=1,S2659=1)</x:f>
        <x:v>0</x:v>
      </x:c>
      <x:c r="AC2659" t="str">
        <x:f>IF(OR(AA2659="",AB2659=""),"",--(AA2659&lt;&gt;AB2659))</x:f>
      </x:c>
      <x:c r="AE2659" t="str">
        <x:f>IF(OR(AA2659="",AB2659=""),"PENDING_HUMAN",IF(AA2659=AB2659,AA2659,IF(AD2659&lt;&gt;"",AD2659,"PENDING_HUMAN")))</x:f>
        <x:v>PENDING_HUMAN</x:v>
      </x:c>
      <x:c r="AF2659" t="n">
        <x:f>--AND(A2659&lt;&gt;"",AA2659&lt;&gt;"",AB2659&lt;&gt;"",OR(AA2659=AB2659,AD2659&lt;&gt;""),IF(AE2659="HALLUCINATION",U2659&lt;&gt;"",TRUE))</x:f>
        <x:v>0</x:v>
      </x:c>
      <x:c r="AG2659" t="n">
        <x:f>--AND(N2659=1,AF2659=1,OR(AE2659="SUPPORTED",AE2659="HALLUCINATION"))</x:f>
        <x:v>0</x:v>
      </x:c>
      <x:c r="AH2659" t="n">
        <x:f>--AND(AG2659=1,AE2659="HALLUCINATION")</x:f>
        <x:v>0</x:v>
      </x:c>
      <x:c r="AI2659" t="n">
        <x:f>--AND(Q2659=1,AF2659=1,AE2659="HALLUCINATION")</x:f>
        <x:v>0</x:v>
      </x:c>
      <x:c r="AJ2659" t="n">
        <x:f>--AND(AI2659=1,R2659=1,S2659=1)</x:f>
        <x:v>0</x:v>
      </x:c>
    </x:row>
    <x:row r="2660">
      <x:c r="A2660" s="28"/>
      <x:c r="B2660" s="28"/>
      <x:c r="C2660" s="28"/>
      <x:c r="D2660" s="28"/>
      <x:c r="E2660" s="28"/>
      <x:c r="F2660" s="28"/>
      <x:c r="G2660" s="28"/>
      <x:c r="H2660" s="28"/>
      <x:c r="I2660" s="28"/>
      <x:c r="J2660" s="28"/>
      <x:c r="K2660" s="28"/>
      <x:c r="L2660" s="28"/>
      <x:c r="M2660" s="28"/>
      <x:c r="N2660" s="28"/>
      <x:c r="O2660" s="28"/>
      <x:c r="P2660" s="28"/>
      <x:c r="Q2660" s="28"/>
      <x:c r="R2660" s="28"/>
      <x:c r="S2660" s="28"/>
      <x:c r="T2660" s="28"/>
      <x:c r="U2660" s="28"/>
      <x:c r="V2660" s="28"/>
      <x:c r="W2660" s="43" t="n">
        <x:f>--AND(N2660=1,OR(O2660="SUPPORTED",O2660="HALLUCINATION"))</x:f>
        <x:v>0</x:v>
      </x:c>
      <x:c r="X2660" s="43" t="n">
        <x:f>--AND(W2660=1,O2660="HALLUCINATION")</x:f>
        <x:v>0</x:v>
      </x:c>
      <x:c r="Y2660" s="43" t="n">
        <x:f>--AND(Q2660=1,O2660="HALLUCINATION")</x:f>
        <x:v>0</x:v>
      </x:c>
      <x:c r="Z2660" s="43" t="n">
        <x:f>--AND(Y2660=1,R2660=1,S2660=1)</x:f>
        <x:v>0</x:v>
      </x:c>
      <x:c r="AC2660" t="str">
        <x:f>IF(OR(AA2660="",AB2660=""),"",--(AA2660&lt;&gt;AB2660))</x:f>
      </x:c>
      <x:c r="AE2660" t="str">
        <x:f>IF(OR(AA2660="",AB2660=""),"PENDING_HUMAN",IF(AA2660=AB2660,AA2660,IF(AD2660&lt;&gt;"",AD2660,"PENDING_HUMAN")))</x:f>
        <x:v>PENDING_HUMAN</x:v>
      </x:c>
      <x:c r="AF2660" t="n">
        <x:f>--AND(A2660&lt;&gt;"",AA2660&lt;&gt;"",AB2660&lt;&gt;"",OR(AA2660=AB2660,AD2660&lt;&gt;""),IF(AE2660="HALLUCINATION",U2660&lt;&gt;"",TRUE))</x:f>
        <x:v>0</x:v>
      </x:c>
      <x:c r="AG2660" t="n">
        <x:f>--AND(N2660=1,AF2660=1,OR(AE2660="SUPPORTED",AE2660="HALLUCINATION"))</x:f>
        <x:v>0</x:v>
      </x:c>
      <x:c r="AH2660" t="n">
        <x:f>--AND(AG2660=1,AE2660="HALLUCINATION")</x:f>
        <x:v>0</x:v>
      </x:c>
      <x:c r="AI2660" t="n">
        <x:f>--AND(Q2660=1,AF2660=1,AE2660="HALLUCINATION")</x:f>
        <x:v>0</x:v>
      </x:c>
      <x:c r="AJ2660" t="n">
        <x:f>--AND(AI2660=1,R2660=1,S2660=1)</x:f>
        <x:v>0</x:v>
      </x:c>
    </x:row>
    <x:row r="2661">
      <x:c r="A2661" s="28"/>
      <x:c r="B2661" s="28"/>
      <x:c r="C2661" s="28"/>
      <x:c r="D2661" s="28"/>
      <x:c r="E2661" s="28"/>
      <x:c r="F2661" s="28"/>
      <x:c r="G2661" s="28"/>
      <x:c r="H2661" s="28"/>
      <x:c r="I2661" s="28"/>
      <x:c r="J2661" s="28"/>
      <x:c r="K2661" s="28"/>
      <x:c r="L2661" s="28"/>
      <x:c r="M2661" s="28"/>
      <x:c r="N2661" s="28"/>
      <x:c r="O2661" s="28"/>
      <x:c r="P2661" s="28"/>
      <x:c r="Q2661" s="28"/>
      <x:c r="R2661" s="28"/>
      <x:c r="S2661" s="28"/>
      <x:c r="T2661" s="28"/>
      <x:c r="U2661" s="28"/>
      <x:c r="V2661" s="28"/>
      <x:c r="W2661" s="43" t="n">
        <x:f>--AND(N2661=1,OR(O2661="SUPPORTED",O2661="HALLUCINATION"))</x:f>
        <x:v>0</x:v>
      </x:c>
      <x:c r="X2661" s="43" t="n">
        <x:f>--AND(W2661=1,O2661="HALLUCINATION")</x:f>
        <x:v>0</x:v>
      </x:c>
      <x:c r="Y2661" s="43" t="n">
        <x:f>--AND(Q2661=1,O2661="HALLUCINATION")</x:f>
        <x:v>0</x:v>
      </x:c>
      <x:c r="Z2661" s="43" t="n">
        <x:f>--AND(Y2661=1,R2661=1,S2661=1)</x:f>
        <x:v>0</x:v>
      </x:c>
      <x:c r="AC2661" t="str">
        <x:f>IF(OR(AA2661="",AB2661=""),"",--(AA2661&lt;&gt;AB2661))</x:f>
      </x:c>
      <x:c r="AE2661" t="str">
        <x:f>IF(OR(AA2661="",AB2661=""),"PENDING_HUMAN",IF(AA2661=AB2661,AA2661,IF(AD2661&lt;&gt;"",AD2661,"PENDING_HUMAN")))</x:f>
        <x:v>PENDING_HUMAN</x:v>
      </x:c>
      <x:c r="AF2661" t="n">
        <x:f>--AND(A2661&lt;&gt;"",AA2661&lt;&gt;"",AB2661&lt;&gt;"",OR(AA2661=AB2661,AD2661&lt;&gt;""),IF(AE2661="HALLUCINATION",U2661&lt;&gt;"",TRUE))</x:f>
        <x:v>0</x:v>
      </x:c>
      <x:c r="AG2661" t="n">
        <x:f>--AND(N2661=1,AF2661=1,OR(AE2661="SUPPORTED",AE2661="HALLUCINATION"))</x:f>
        <x:v>0</x:v>
      </x:c>
      <x:c r="AH2661" t="n">
        <x:f>--AND(AG2661=1,AE2661="HALLUCINATION")</x:f>
        <x:v>0</x:v>
      </x:c>
      <x:c r="AI2661" t="n">
        <x:f>--AND(Q2661=1,AF2661=1,AE2661="HALLUCINATION")</x:f>
        <x:v>0</x:v>
      </x:c>
      <x:c r="AJ2661" t="n">
        <x:f>--AND(AI2661=1,R2661=1,S2661=1)</x:f>
        <x:v>0</x:v>
      </x:c>
    </x:row>
    <x:row r="2662">
      <x:c r="A2662" s="28"/>
      <x:c r="B2662" s="28"/>
      <x:c r="C2662" s="28"/>
      <x:c r="D2662" s="28"/>
      <x:c r="E2662" s="28"/>
      <x:c r="F2662" s="28"/>
      <x:c r="G2662" s="28"/>
      <x:c r="H2662" s="28"/>
      <x:c r="I2662" s="28"/>
      <x:c r="J2662" s="28"/>
      <x:c r="K2662" s="28"/>
      <x:c r="L2662" s="28"/>
      <x:c r="M2662" s="28"/>
      <x:c r="N2662" s="28"/>
      <x:c r="O2662" s="28"/>
      <x:c r="P2662" s="28"/>
      <x:c r="Q2662" s="28"/>
      <x:c r="R2662" s="28"/>
      <x:c r="S2662" s="28"/>
      <x:c r="T2662" s="28"/>
      <x:c r="U2662" s="28"/>
      <x:c r="V2662" s="28"/>
      <x:c r="W2662" s="43" t="n">
        <x:f>--AND(N2662=1,OR(O2662="SUPPORTED",O2662="HALLUCINATION"))</x:f>
        <x:v>0</x:v>
      </x:c>
      <x:c r="X2662" s="43" t="n">
        <x:f>--AND(W2662=1,O2662="HALLUCINATION")</x:f>
        <x:v>0</x:v>
      </x:c>
      <x:c r="Y2662" s="43" t="n">
        <x:f>--AND(Q2662=1,O2662="HALLUCINATION")</x:f>
        <x:v>0</x:v>
      </x:c>
      <x:c r="Z2662" s="43" t="n">
        <x:f>--AND(Y2662=1,R2662=1,S2662=1)</x:f>
        <x:v>0</x:v>
      </x:c>
      <x:c r="AC2662" t="str">
        <x:f>IF(OR(AA2662="",AB2662=""),"",--(AA2662&lt;&gt;AB2662))</x:f>
      </x:c>
      <x:c r="AE2662" t="str">
        <x:f>IF(OR(AA2662="",AB2662=""),"PENDING_HUMAN",IF(AA2662=AB2662,AA2662,IF(AD2662&lt;&gt;"",AD2662,"PENDING_HUMAN")))</x:f>
        <x:v>PENDING_HUMAN</x:v>
      </x:c>
      <x:c r="AF2662" t="n">
        <x:f>--AND(A2662&lt;&gt;"",AA2662&lt;&gt;"",AB2662&lt;&gt;"",OR(AA2662=AB2662,AD2662&lt;&gt;""),IF(AE2662="HALLUCINATION",U2662&lt;&gt;"",TRUE))</x:f>
        <x:v>0</x:v>
      </x:c>
      <x:c r="AG2662" t="n">
        <x:f>--AND(N2662=1,AF2662=1,OR(AE2662="SUPPORTED",AE2662="HALLUCINATION"))</x:f>
        <x:v>0</x:v>
      </x:c>
      <x:c r="AH2662" t="n">
        <x:f>--AND(AG2662=1,AE2662="HALLUCINATION")</x:f>
        <x:v>0</x:v>
      </x:c>
      <x:c r="AI2662" t="n">
        <x:f>--AND(Q2662=1,AF2662=1,AE2662="HALLUCINATION")</x:f>
        <x:v>0</x:v>
      </x:c>
      <x:c r="AJ2662" t="n">
        <x:f>--AND(AI2662=1,R2662=1,S2662=1)</x:f>
        <x:v>0</x:v>
      </x:c>
    </x:row>
    <x:row r="2663">
      <x:c r="A2663" s="28"/>
      <x:c r="B2663" s="28"/>
      <x:c r="C2663" s="28"/>
      <x:c r="D2663" s="28"/>
      <x:c r="E2663" s="28"/>
      <x:c r="F2663" s="28"/>
      <x:c r="G2663" s="28"/>
      <x:c r="H2663" s="28"/>
      <x:c r="I2663" s="28"/>
      <x:c r="J2663" s="28"/>
      <x:c r="K2663" s="28"/>
      <x:c r="L2663" s="28"/>
      <x:c r="M2663" s="28"/>
      <x:c r="N2663" s="28"/>
      <x:c r="O2663" s="28"/>
      <x:c r="P2663" s="28"/>
      <x:c r="Q2663" s="28"/>
      <x:c r="R2663" s="28"/>
      <x:c r="S2663" s="28"/>
      <x:c r="T2663" s="28"/>
      <x:c r="U2663" s="28"/>
      <x:c r="V2663" s="28"/>
      <x:c r="W2663" s="43" t="n">
        <x:f>--AND(N2663=1,OR(O2663="SUPPORTED",O2663="HALLUCINATION"))</x:f>
        <x:v>0</x:v>
      </x:c>
      <x:c r="X2663" s="43" t="n">
        <x:f>--AND(W2663=1,O2663="HALLUCINATION")</x:f>
        <x:v>0</x:v>
      </x:c>
      <x:c r="Y2663" s="43" t="n">
        <x:f>--AND(Q2663=1,O2663="HALLUCINATION")</x:f>
        <x:v>0</x:v>
      </x:c>
      <x:c r="Z2663" s="43" t="n">
        <x:f>--AND(Y2663=1,R2663=1,S2663=1)</x:f>
        <x:v>0</x:v>
      </x:c>
      <x:c r="AC2663" t="str">
        <x:f>IF(OR(AA2663="",AB2663=""),"",--(AA2663&lt;&gt;AB2663))</x:f>
      </x:c>
      <x:c r="AE2663" t="str">
        <x:f>IF(OR(AA2663="",AB2663=""),"PENDING_HUMAN",IF(AA2663=AB2663,AA2663,IF(AD2663&lt;&gt;"",AD2663,"PENDING_HUMAN")))</x:f>
        <x:v>PENDING_HUMAN</x:v>
      </x:c>
      <x:c r="AF2663" t="n">
        <x:f>--AND(A2663&lt;&gt;"",AA2663&lt;&gt;"",AB2663&lt;&gt;"",OR(AA2663=AB2663,AD2663&lt;&gt;""),IF(AE2663="HALLUCINATION",U2663&lt;&gt;"",TRUE))</x:f>
        <x:v>0</x:v>
      </x:c>
      <x:c r="AG2663" t="n">
        <x:f>--AND(N2663=1,AF2663=1,OR(AE2663="SUPPORTED",AE2663="HALLUCINATION"))</x:f>
        <x:v>0</x:v>
      </x:c>
      <x:c r="AH2663" t="n">
        <x:f>--AND(AG2663=1,AE2663="HALLUCINATION")</x:f>
        <x:v>0</x:v>
      </x:c>
      <x:c r="AI2663" t="n">
        <x:f>--AND(Q2663=1,AF2663=1,AE2663="HALLUCINATION")</x:f>
        <x:v>0</x:v>
      </x:c>
      <x:c r="AJ2663" t="n">
        <x:f>--AND(AI2663=1,R2663=1,S2663=1)</x:f>
        <x:v>0</x:v>
      </x:c>
    </x:row>
    <x:row r="2664">
      <x:c r="A2664" s="28"/>
      <x:c r="B2664" s="28"/>
      <x:c r="C2664" s="28"/>
      <x:c r="D2664" s="28"/>
      <x:c r="E2664" s="28"/>
      <x:c r="F2664" s="28"/>
      <x:c r="G2664" s="28"/>
      <x:c r="H2664" s="28"/>
      <x:c r="I2664" s="28"/>
      <x:c r="J2664" s="28"/>
      <x:c r="K2664" s="28"/>
      <x:c r="L2664" s="28"/>
      <x:c r="M2664" s="28"/>
      <x:c r="N2664" s="28"/>
      <x:c r="O2664" s="28"/>
      <x:c r="P2664" s="28"/>
      <x:c r="Q2664" s="28"/>
      <x:c r="R2664" s="28"/>
      <x:c r="S2664" s="28"/>
      <x:c r="T2664" s="28"/>
      <x:c r="U2664" s="28"/>
      <x:c r="V2664" s="28"/>
      <x:c r="W2664" s="43" t="n">
        <x:f>--AND(N2664=1,OR(O2664="SUPPORTED",O2664="HALLUCINATION"))</x:f>
        <x:v>0</x:v>
      </x:c>
      <x:c r="X2664" s="43" t="n">
        <x:f>--AND(W2664=1,O2664="HALLUCINATION")</x:f>
        <x:v>0</x:v>
      </x:c>
      <x:c r="Y2664" s="43" t="n">
        <x:f>--AND(Q2664=1,O2664="HALLUCINATION")</x:f>
        <x:v>0</x:v>
      </x:c>
      <x:c r="Z2664" s="43" t="n">
        <x:f>--AND(Y2664=1,R2664=1,S2664=1)</x:f>
        <x:v>0</x:v>
      </x:c>
      <x:c r="AC2664" t="str">
        <x:f>IF(OR(AA2664="",AB2664=""),"",--(AA2664&lt;&gt;AB2664))</x:f>
      </x:c>
      <x:c r="AE2664" t="str">
        <x:f>IF(OR(AA2664="",AB2664=""),"PENDING_HUMAN",IF(AA2664=AB2664,AA2664,IF(AD2664&lt;&gt;"",AD2664,"PENDING_HUMAN")))</x:f>
        <x:v>PENDING_HUMAN</x:v>
      </x:c>
      <x:c r="AF2664" t="n">
        <x:f>--AND(A2664&lt;&gt;"",AA2664&lt;&gt;"",AB2664&lt;&gt;"",OR(AA2664=AB2664,AD2664&lt;&gt;""),IF(AE2664="HALLUCINATION",U2664&lt;&gt;"",TRUE))</x:f>
        <x:v>0</x:v>
      </x:c>
      <x:c r="AG2664" t="n">
        <x:f>--AND(N2664=1,AF2664=1,OR(AE2664="SUPPORTED",AE2664="HALLUCINATION"))</x:f>
        <x:v>0</x:v>
      </x:c>
      <x:c r="AH2664" t="n">
        <x:f>--AND(AG2664=1,AE2664="HALLUCINATION")</x:f>
        <x:v>0</x:v>
      </x:c>
      <x:c r="AI2664" t="n">
        <x:f>--AND(Q2664=1,AF2664=1,AE2664="HALLUCINATION")</x:f>
        <x:v>0</x:v>
      </x:c>
      <x:c r="AJ2664" t="n">
        <x:f>--AND(AI2664=1,R2664=1,S2664=1)</x:f>
        <x:v>0</x:v>
      </x:c>
    </x:row>
    <x:row r="2665">
      <x:c r="A2665" s="28"/>
      <x:c r="B2665" s="28"/>
      <x:c r="C2665" s="28"/>
      <x:c r="D2665" s="28"/>
      <x:c r="E2665" s="28"/>
      <x:c r="F2665" s="28"/>
      <x:c r="G2665" s="28"/>
      <x:c r="H2665" s="28"/>
      <x:c r="I2665" s="28"/>
      <x:c r="J2665" s="28"/>
      <x:c r="K2665" s="28"/>
      <x:c r="L2665" s="28"/>
      <x:c r="M2665" s="28"/>
      <x:c r="N2665" s="28"/>
      <x:c r="O2665" s="28"/>
      <x:c r="P2665" s="28"/>
      <x:c r="Q2665" s="28"/>
      <x:c r="R2665" s="28"/>
      <x:c r="S2665" s="28"/>
      <x:c r="T2665" s="28"/>
      <x:c r="U2665" s="28"/>
      <x:c r="V2665" s="28"/>
      <x:c r="W2665" s="43" t="n">
        <x:f>--AND(N2665=1,OR(O2665="SUPPORTED",O2665="HALLUCINATION"))</x:f>
        <x:v>0</x:v>
      </x:c>
      <x:c r="X2665" s="43" t="n">
        <x:f>--AND(W2665=1,O2665="HALLUCINATION")</x:f>
        <x:v>0</x:v>
      </x:c>
      <x:c r="Y2665" s="43" t="n">
        <x:f>--AND(Q2665=1,O2665="HALLUCINATION")</x:f>
        <x:v>0</x:v>
      </x:c>
      <x:c r="Z2665" s="43" t="n">
        <x:f>--AND(Y2665=1,R2665=1,S2665=1)</x:f>
        <x:v>0</x:v>
      </x:c>
      <x:c r="AC2665" t="str">
        <x:f>IF(OR(AA2665="",AB2665=""),"",--(AA2665&lt;&gt;AB2665))</x:f>
      </x:c>
      <x:c r="AE2665" t="str">
        <x:f>IF(OR(AA2665="",AB2665=""),"PENDING_HUMAN",IF(AA2665=AB2665,AA2665,IF(AD2665&lt;&gt;"",AD2665,"PENDING_HUMAN")))</x:f>
        <x:v>PENDING_HUMAN</x:v>
      </x:c>
      <x:c r="AF2665" t="n">
        <x:f>--AND(A2665&lt;&gt;"",AA2665&lt;&gt;"",AB2665&lt;&gt;"",OR(AA2665=AB2665,AD2665&lt;&gt;""),IF(AE2665="HALLUCINATION",U2665&lt;&gt;"",TRUE))</x:f>
        <x:v>0</x:v>
      </x:c>
      <x:c r="AG2665" t="n">
        <x:f>--AND(N2665=1,AF2665=1,OR(AE2665="SUPPORTED",AE2665="HALLUCINATION"))</x:f>
        <x:v>0</x:v>
      </x:c>
      <x:c r="AH2665" t="n">
        <x:f>--AND(AG2665=1,AE2665="HALLUCINATION")</x:f>
        <x:v>0</x:v>
      </x:c>
      <x:c r="AI2665" t="n">
        <x:f>--AND(Q2665=1,AF2665=1,AE2665="HALLUCINATION")</x:f>
        <x:v>0</x:v>
      </x:c>
      <x:c r="AJ2665" t="n">
        <x:f>--AND(AI2665=1,R2665=1,S2665=1)</x:f>
        <x:v>0</x:v>
      </x:c>
    </x:row>
    <x:row r="2666">
      <x:c r="A2666" s="28"/>
      <x:c r="B2666" s="28"/>
      <x:c r="C2666" s="28"/>
      <x:c r="D2666" s="28"/>
      <x:c r="E2666" s="28"/>
      <x:c r="F2666" s="28"/>
      <x:c r="G2666" s="28"/>
      <x:c r="H2666" s="28"/>
      <x:c r="I2666" s="28"/>
      <x:c r="J2666" s="28"/>
      <x:c r="K2666" s="28"/>
      <x:c r="L2666" s="28"/>
      <x:c r="M2666" s="28"/>
      <x:c r="N2666" s="28"/>
      <x:c r="O2666" s="28"/>
      <x:c r="P2666" s="28"/>
      <x:c r="Q2666" s="28"/>
      <x:c r="R2666" s="28"/>
      <x:c r="S2666" s="28"/>
      <x:c r="T2666" s="28"/>
      <x:c r="U2666" s="28"/>
      <x:c r="V2666" s="28"/>
      <x:c r="W2666" s="43" t="n">
        <x:f>--AND(N2666=1,OR(O2666="SUPPORTED",O2666="HALLUCINATION"))</x:f>
        <x:v>0</x:v>
      </x:c>
      <x:c r="X2666" s="43" t="n">
        <x:f>--AND(W2666=1,O2666="HALLUCINATION")</x:f>
        <x:v>0</x:v>
      </x:c>
      <x:c r="Y2666" s="43" t="n">
        <x:f>--AND(Q2666=1,O2666="HALLUCINATION")</x:f>
        <x:v>0</x:v>
      </x:c>
      <x:c r="Z2666" s="43" t="n">
        <x:f>--AND(Y2666=1,R2666=1,S2666=1)</x:f>
        <x:v>0</x:v>
      </x:c>
      <x:c r="AC2666" t="str">
        <x:f>IF(OR(AA2666="",AB2666=""),"",--(AA2666&lt;&gt;AB2666))</x:f>
      </x:c>
      <x:c r="AE2666" t="str">
        <x:f>IF(OR(AA2666="",AB2666=""),"PENDING_HUMAN",IF(AA2666=AB2666,AA2666,IF(AD2666&lt;&gt;"",AD2666,"PENDING_HUMAN")))</x:f>
        <x:v>PENDING_HUMAN</x:v>
      </x:c>
      <x:c r="AF2666" t="n">
        <x:f>--AND(A2666&lt;&gt;"",AA2666&lt;&gt;"",AB2666&lt;&gt;"",OR(AA2666=AB2666,AD2666&lt;&gt;""),IF(AE2666="HALLUCINATION",U2666&lt;&gt;"",TRUE))</x:f>
        <x:v>0</x:v>
      </x:c>
      <x:c r="AG2666" t="n">
        <x:f>--AND(N2666=1,AF2666=1,OR(AE2666="SUPPORTED",AE2666="HALLUCINATION"))</x:f>
        <x:v>0</x:v>
      </x:c>
      <x:c r="AH2666" t="n">
        <x:f>--AND(AG2666=1,AE2666="HALLUCINATION")</x:f>
        <x:v>0</x:v>
      </x:c>
      <x:c r="AI2666" t="n">
        <x:f>--AND(Q2666=1,AF2666=1,AE2666="HALLUCINATION")</x:f>
        <x:v>0</x:v>
      </x:c>
      <x:c r="AJ2666" t="n">
        <x:f>--AND(AI2666=1,R2666=1,S2666=1)</x:f>
        <x:v>0</x:v>
      </x:c>
    </x:row>
    <x:row r="2667">
      <x:c r="A2667" s="28"/>
      <x:c r="B2667" s="28"/>
      <x:c r="C2667" s="28"/>
      <x:c r="D2667" s="28"/>
      <x:c r="E2667" s="28"/>
      <x:c r="F2667" s="28"/>
      <x:c r="G2667" s="28"/>
      <x:c r="H2667" s="28"/>
      <x:c r="I2667" s="28"/>
      <x:c r="J2667" s="28"/>
      <x:c r="K2667" s="28"/>
      <x:c r="L2667" s="28"/>
      <x:c r="M2667" s="28"/>
      <x:c r="N2667" s="28"/>
      <x:c r="O2667" s="28"/>
      <x:c r="P2667" s="28"/>
      <x:c r="Q2667" s="28"/>
      <x:c r="R2667" s="28"/>
      <x:c r="S2667" s="28"/>
      <x:c r="T2667" s="28"/>
      <x:c r="U2667" s="28"/>
      <x:c r="V2667" s="28"/>
      <x:c r="W2667" s="43" t="n">
        <x:f>--AND(N2667=1,OR(O2667="SUPPORTED",O2667="HALLUCINATION"))</x:f>
        <x:v>0</x:v>
      </x:c>
      <x:c r="X2667" s="43" t="n">
        <x:f>--AND(W2667=1,O2667="HALLUCINATION")</x:f>
        <x:v>0</x:v>
      </x:c>
      <x:c r="Y2667" s="43" t="n">
        <x:f>--AND(Q2667=1,O2667="HALLUCINATION")</x:f>
        <x:v>0</x:v>
      </x:c>
      <x:c r="Z2667" s="43" t="n">
        <x:f>--AND(Y2667=1,R2667=1,S2667=1)</x:f>
        <x:v>0</x:v>
      </x:c>
      <x:c r="AC2667" t="str">
        <x:f>IF(OR(AA2667="",AB2667=""),"",--(AA2667&lt;&gt;AB2667))</x:f>
      </x:c>
      <x:c r="AE2667" t="str">
        <x:f>IF(OR(AA2667="",AB2667=""),"PENDING_HUMAN",IF(AA2667=AB2667,AA2667,IF(AD2667&lt;&gt;"",AD2667,"PENDING_HUMAN")))</x:f>
        <x:v>PENDING_HUMAN</x:v>
      </x:c>
      <x:c r="AF2667" t="n">
        <x:f>--AND(A2667&lt;&gt;"",AA2667&lt;&gt;"",AB2667&lt;&gt;"",OR(AA2667=AB2667,AD2667&lt;&gt;""),IF(AE2667="HALLUCINATION",U2667&lt;&gt;"",TRUE))</x:f>
        <x:v>0</x:v>
      </x:c>
      <x:c r="AG2667" t="n">
        <x:f>--AND(N2667=1,AF2667=1,OR(AE2667="SUPPORTED",AE2667="HALLUCINATION"))</x:f>
        <x:v>0</x:v>
      </x:c>
      <x:c r="AH2667" t="n">
        <x:f>--AND(AG2667=1,AE2667="HALLUCINATION")</x:f>
        <x:v>0</x:v>
      </x:c>
      <x:c r="AI2667" t="n">
        <x:f>--AND(Q2667=1,AF2667=1,AE2667="HALLUCINATION")</x:f>
        <x:v>0</x:v>
      </x:c>
      <x:c r="AJ2667" t="n">
        <x:f>--AND(AI2667=1,R2667=1,S2667=1)</x:f>
        <x:v>0</x:v>
      </x:c>
    </x:row>
    <x:row r="2668">
      <x:c r="A2668" s="28"/>
      <x:c r="B2668" s="28"/>
      <x:c r="C2668" s="28"/>
      <x:c r="D2668" s="28"/>
      <x:c r="E2668" s="28"/>
      <x:c r="F2668" s="28"/>
      <x:c r="G2668" s="28"/>
      <x:c r="H2668" s="28"/>
      <x:c r="I2668" s="28"/>
      <x:c r="J2668" s="28"/>
      <x:c r="K2668" s="28"/>
      <x:c r="L2668" s="28"/>
      <x:c r="M2668" s="28"/>
      <x:c r="N2668" s="28"/>
      <x:c r="O2668" s="28"/>
      <x:c r="P2668" s="28"/>
      <x:c r="Q2668" s="28"/>
      <x:c r="R2668" s="28"/>
      <x:c r="S2668" s="28"/>
      <x:c r="T2668" s="28"/>
      <x:c r="U2668" s="28"/>
      <x:c r="V2668" s="28"/>
      <x:c r="W2668" s="43" t="n">
        <x:f>--AND(N2668=1,OR(O2668="SUPPORTED",O2668="HALLUCINATION"))</x:f>
        <x:v>0</x:v>
      </x:c>
      <x:c r="X2668" s="43" t="n">
        <x:f>--AND(W2668=1,O2668="HALLUCINATION")</x:f>
        <x:v>0</x:v>
      </x:c>
      <x:c r="Y2668" s="43" t="n">
        <x:f>--AND(Q2668=1,O2668="HALLUCINATION")</x:f>
        <x:v>0</x:v>
      </x:c>
      <x:c r="Z2668" s="43" t="n">
        <x:f>--AND(Y2668=1,R2668=1,S2668=1)</x:f>
        <x:v>0</x:v>
      </x:c>
      <x:c r="AC2668" t="str">
        <x:f>IF(OR(AA2668="",AB2668=""),"",--(AA2668&lt;&gt;AB2668))</x:f>
      </x:c>
      <x:c r="AE2668" t="str">
        <x:f>IF(OR(AA2668="",AB2668=""),"PENDING_HUMAN",IF(AA2668=AB2668,AA2668,IF(AD2668&lt;&gt;"",AD2668,"PENDING_HUMAN")))</x:f>
        <x:v>PENDING_HUMAN</x:v>
      </x:c>
      <x:c r="AF2668" t="n">
        <x:f>--AND(A2668&lt;&gt;"",AA2668&lt;&gt;"",AB2668&lt;&gt;"",OR(AA2668=AB2668,AD2668&lt;&gt;""),IF(AE2668="HALLUCINATION",U2668&lt;&gt;"",TRUE))</x:f>
        <x:v>0</x:v>
      </x:c>
      <x:c r="AG2668" t="n">
        <x:f>--AND(N2668=1,AF2668=1,OR(AE2668="SUPPORTED",AE2668="HALLUCINATION"))</x:f>
        <x:v>0</x:v>
      </x:c>
      <x:c r="AH2668" t="n">
        <x:f>--AND(AG2668=1,AE2668="HALLUCINATION")</x:f>
        <x:v>0</x:v>
      </x:c>
      <x:c r="AI2668" t="n">
        <x:f>--AND(Q2668=1,AF2668=1,AE2668="HALLUCINATION")</x:f>
        <x:v>0</x:v>
      </x:c>
      <x:c r="AJ2668" t="n">
        <x:f>--AND(AI2668=1,R2668=1,S2668=1)</x:f>
        <x:v>0</x:v>
      </x:c>
    </x:row>
    <x:row r="2669">
      <x:c r="A2669" s="28"/>
      <x:c r="B2669" s="28"/>
      <x:c r="C2669" s="28"/>
      <x:c r="D2669" s="28"/>
      <x:c r="E2669" s="28"/>
      <x:c r="F2669" s="28"/>
      <x:c r="G2669" s="28"/>
      <x:c r="H2669" s="28"/>
      <x:c r="I2669" s="28"/>
      <x:c r="J2669" s="28"/>
      <x:c r="K2669" s="28"/>
      <x:c r="L2669" s="28"/>
      <x:c r="M2669" s="28"/>
      <x:c r="N2669" s="28"/>
      <x:c r="O2669" s="28"/>
      <x:c r="P2669" s="28"/>
      <x:c r="Q2669" s="28"/>
      <x:c r="R2669" s="28"/>
      <x:c r="S2669" s="28"/>
      <x:c r="T2669" s="28"/>
      <x:c r="U2669" s="28"/>
      <x:c r="V2669" s="28"/>
      <x:c r="W2669" s="43" t="n">
        <x:f>--AND(N2669=1,OR(O2669="SUPPORTED",O2669="HALLUCINATION"))</x:f>
        <x:v>0</x:v>
      </x:c>
      <x:c r="X2669" s="43" t="n">
        <x:f>--AND(W2669=1,O2669="HALLUCINATION")</x:f>
        <x:v>0</x:v>
      </x:c>
      <x:c r="Y2669" s="43" t="n">
        <x:f>--AND(Q2669=1,O2669="HALLUCINATION")</x:f>
        <x:v>0</x:v>
      </x:c>
      <x:c r="Z2669" s="43" t="n">
        <x:f>--AND(Y2669=1,R2669=1,S2669=1)</x:f>
        <x:v>0</x:v>
      </x:c>
      <x:c r="AC2669" t="str">
        <x:f>IF(OR(AA2669="",AB2669=""),"",--(AA2669&lt;&gt;AB2669))</x:f>
      </x:c>
      <x:c r="AE2669" t="str">
        <x:f>IF(OR(AA2669="",AB2669=""),"PENDING_HUMAN",IF(AA2669=AB2669,AA2669,IF(AD2669&lt;&gt;"",AD2669,"PENDING_HUMAN")))</x:f>
        <x:v>PENDING_HUMAN</x:v>
      </x:c>
      <x:c r="AF2669" t="n">
        <x:f>--AND(A2669&lt;&gt;"",AA2669&lt;&gt;"",AB2669&lt;&gt;"",OR(AA2669=AB2669,AD2669&lt;&gt;""),IF(AE2669="HALLUCINATION",U2669&lt;&gt;"",TRUE))</x:f>
        <x:v>0</x:v>
      </x:c>
      <x:c r="AG2669" t="n">
        <x:f>--AND(N2669=1,AF2669=1,OR(AE2669="SUPPORTED",AE2669="HALLUCINATION"))</x:f>
        <x:v>0</x:v>
      </x:c>
      <x:c r="AH2669" t="n">
        <x:f>--AND(AG2669=1,AE2669="HALLUCINATION")</x:f>
        <x:v>0</x:v>
      </x:c>
      <x:c r="AI2669" t="n">
        <x:f>--AND(Q2669=1,AF2669=1,AE2669="HALLUCINATION")</x:f>
        <x:v>0</x:v>
      </x:c>
      <x:c r="AJ2669" t="n">
        <x:f>--AND(AI2669=1,R2669=1,S2669=1)</x:f>
        <x:v>0</x:v>
      </x:c>
    </x:row>
    <x:row r="2670">
      <x:c r="A2670" s="28"/>
      <x:c r="B2670" s="28"/>
      <x:c r="C2670" s="28"/>
      <x:c r="D2670" s="28"/>
      <x:c r="E2670" s="28"/>
      <x:c r="F2670" s="28"/>
      <x:c r="G2670" s="28"/>
      <x:c r="H2670" s="28"/>
      <x:c r="I2670" s="28"/>
      <x:c r="J2670" s="28"/>
      <x:c r="K2670" s="28"/>
      <x:c r="L2670" s="28"/>
      <x:c r="M2670" s="28"/>
      <x:c r="N2670" s="28"/>
      <x:c r="O2670" s="28"/>
      <x:c r="P2670" s="28"/>
      <x:c r="Q2670" s="28"/>
      <x:c r="R2670" s="28"/>
      <x:c r="S2670" s="28"/>
      <x:c r="T2670" s="28"/>
      <x:c r="U2670" s="28"/>
      <x:c r="V2670" s="28"/>
      <x:c r="W2670" s="43" t="n">
        <x:f>--AND(N2670=1,OR(O2670="SUPPORTED",O2670="HALLUCINATION"))</x:f>
        <x:v>0</x:v>
      </x:c>
      <x:c r="X2670" s="43" t="n">
        <x:f>--AND(W2670=1,O2670="HALLUCINATION")</x:f>
        <x:v>0</x:v>
      </x:c>
      <x:c r="Y2670" s="43" t="n">
        <x:f>--AND(Q2670=1,O2670="HALLUCINATION")</x:f>
        <x:v>0</x:v>
      </x:c>
      <x:c r="Z2670" s="43" t="n">
        <x:f>--AND(Y2670=1,R2670=1,S2670=1)</x:f>
        <x:v>0</x:v>
      </x:c>
      <x:c r="AC2670" t="str">
        <x:f>IF(OR(AA2670="",AB2670=""),"",--(AA2670&lt;&gt;AB2670))</x:f>
      </x:c>
      <x:c r="AE2670" t="str">
        <x:f>IF(OR(AA2670="",AB2670=""),"PENDING_HUMAN",IF(AA2670=AB2670,AA2670,IF(AD2670&lt;&gt;"",AD2670,"PENDING_HUMAN")))</x:f>
        <x:v>PENDING_HUMAN</x:v>
      </x:c>
      <x:c r="AF2670" t="n">
        <x:f>--AND(A2670&lt;&gt;"",AA2670&lt;&gt;"",AB2670&lt;&gt;"",OR(AA2670=AB2670,AD2670&lt;&gt;""),IF(AE2670="HALLUCINATION",U2670&lt;&gt;"",TRUE))</x:f>
        <x:v>0</x:v>
      </x:c>
      <x:c r="AG2670" t="n">
        <x:f>--AND(N2670=1,AF2670=1,OR(AE2670="SUPPORTED",AE2670="HALLUCINATION"))</x:f>
        <x:v>0</x:v>
      </x:c>
      <x:c r="AH2670" t="n">
        <x:f>--AND(AG2670=1,AE2670="HALLUCINATION")</x:f>
        <x:v>0</x:v>
      </x:c>
      <x:c r="AI2670" t="n">
        <x:f>--AND(Q2670=1,AF2670=1,AE2670="HALLUCINATION")</x:f>
        <x:v>0</x:v>
      </x:c>
      <x:c r="AJ2670" t="n">
        <x:f>--AND(AI2670=1,R2670=1,S2670=1)</x:f>
        <x:v>0</x:v>
      </x:c>
    </x:row>
    <x:row r="2671">
      <x:c r="A2671" s="28"/>
      <x:c r="B2671" s="28"/>
      <x:c r="C2671" s="28"/>
      <x:c r="D2671" s="28"/>
      <x:c r="E2671" s="28"/>
      <x:c r="F2671" s="28"/>
      <x:c r="G2671" s="28"/>
      <x:c r="H2671" s="28"/>
      <x:c r="I2671" s="28"/>
      <x:c r="J2671" s="28"/>
      <x:c r="K2671" s="28"/>
      <x:c r="L2671" s="28"/>
      <x:c r="M2671" s="28"/>
      <x:c r="N2671" s="28"/>
      <x:c r="O2671" s="28"/>
      <x:c r="P2671" s="28"/>
      <x:c r="Q2671" s="28"/>
      <x:c r="R2671" s="28"/>
      <x:c r="S2671" s="28"/>
      <x:c r="T2671" s="28"/>
      <x:c r="U2671" s="28"/>
      <x:c r="V2671" s="28"/>
      <x:c r="W2671" s="43" t="n">
        <x:f>--AND(N2671=1,OR(O2671="SUPPORTED",O2671="HALLUCINATION"))</x:f>
        <x:v>0</x:v>
      </x:c>
      <x:c r="X2671" s="43" t="n">
        <x:f>--AND(W2671=1,O2671="HALLUCINATION")</x:f>
        <x:v>0</x:v>
      </x:c>
      <x:c r="Y2671" s="43" t="n">
        <x:f>--AND(Q2671=1,O2671="HALLUCINATION")</x:f>
        <x:v>0</x:v>
      </x:c>
      <x:c r="Z2671" s="43" t="n">
        <x:f>--AND(Y2671=1,R2671=1,S2671=1)</x:f>
        <x:v>0</x:v>
      </x:c>
      <x:c r="AC2671" t="str">
        <x:f>IF(OR(AA2671="",AB2671=""),"",--(AA2671&lt;&gt;AB2671))</x:f>
      </x:c>
      <x:c r="AE2671" t="str">
        <x:f>IF(OR(AA2671="",AB2671=""),"PENDING_HUMAN",IF(AA2671=AB2671,AA2671,IF(AD2671&lt;&gt;"",AD2671,"PENDING_HUMAN")))</x:f>
        <x:v>PENDING_HUMAN</x:v>
      </x:c>
      <x:c r="AF2671" t="n">
        <x:f>--AND(A2671&lt;&gt;"",AA2671&lt;&gt;"",AB2671&lt;&gt;"",OR(AA2671=AB2671,AD2671&lt;&gt;""),IF(AE2671="HALLUCINATION",U2671&lt;&gt;"",TRUE))</x:f>
        <x:v>0</x:v>
      </x:c>
      <x:c r="AG2671" t="n">
        <x:f>--AND(N2671=1,AF2671=1,OR(AE2671="SUPPORTED",AE2671="HALLUCINATION"))</x:f>
        <x:v>0</x:v>
      </x:c>
      <x:c r="AH2671" t="n">
        <x:f>--AND(AG2671=1,AE2671="HALLUCINATION")</x:f>
        <x:v>0</x:v>
      </x:c>
      <x:c r="AI2671" t="n">
        <x:f>--AND(Q2671=1,AF2671=1,AE2671="HALLUCINATION")</x:f>
        <x:v>0</x:v>
      </x:c>
      <x:c r="AJ2671" t="n">
        <x:f>--AND(AI2671=1,R2671=1,S2671=1)</x:f>
        <x:v>0</x:v>
      </x:c>
    </x:row>
    <x:row r="2672">
      <x:c r="A2672" s="28"/>
      <x:c r="B2672" s="28"/>
      <x:c r="C2672" s="28"/>
      <x:c r="D2672" s="28"/>
      <x:c r="E2672" s="28"/>
      <x:c r="F2672" s="28"/>
      <x:c r="G2672" s="28"/>
      <x:c r="H2672" s="28"/>
      <x:c r="I2672" s="28"/>
      <x:c r="J2672" s="28"/>
      <x:c r="K2672" s="28"/>
      <x:c r="L2672" s="28"/>
      <x:c r="M2672" s="28"/>
      <x:c r="N2672" s="28"/>
      <x:c r="O2672" s="28"/>
      <x:c r="P2672" s="28"/>
      <x:c r="Q2672" s="28"/>
      <x:c r="R2672" s="28"/>
      <x:c r="S2672" s="28"/>
      <x:c r="T2672" s="28"/>
      <x:c r="U2672" s="28"/>
      <x:c r="V2672" s="28"/>
      <x:c r="W2672" s="43" t="n">
        <x:f>--AND(N2672=1,OR(O2672="SUPPORTED",O2672="HALLUCINATION"))</x:f>
        <x:v>0</x:v>
      </x:c>
      <x:c r="X2672" s="43" t="n">
        <x:f>--AND(W2672=1,O2672="HALLUCINATION")</x:f>
        <x:v>0</x:v>
      </x:c>
      <x:c r="Y2672" s="43" t="n">
        <x:f>--AND(Q2672=1,O2672="HALLUCINATION")</x:f>
        <x:v>0</x:v>
      </x:c>
      <x:c r="Z2672" s="43" t="n">
        <x:f>--AND(Y2672=1,R2672=1,S2672=1)</x:f>
        <x:v>0</x:v>
      </x:c>
      <x:c r="AC2672" t="str">
        <x:f>IF(OR(AA2672="",AB2672=""),"",--(AA2672&lt;&gt;AB2672))</x:f>
      </x:c>
      <x:c r="AE2672" t="str">
        <x:f>IF(OR(AA2672="",AB2672=""),"PENDING_HUMAN",IF(AA2672=AB2672,AA2672,IF(AD2672&lt;&gt;"",AD2672,"PENDING_HUMAN")))</x:f>
        <x:v>PENDING_HUMAN</x:v>
      </x:c>
      <x:c r="AF2672" t="n">
        <x:f>--AND(A2672&lt;&gt;"",AA2672&lt;&gt;"",AB2672&lt;&gt;"",OR(AA2672=AB2672,AD2672&lt;&gt;""),IF(AE2672="HALLUCINATION",U2672&lt;&gt;"",TRUE))</x:f>
        <x:v>0</x:v>
      </x:c>
      <x:c r="AG2672" t="n">
        <x:f>--AND(N2672=1,AF2672=1,OR(AE2672="SUPPORTED",AE2672="HALLUCINATION"))</x:f>
        <x:v>0</x:v>
      </x:c>
      <x:c r="AH2672" t="n">
        <x:f>--AND(AG2672=1,AE2672="HALLUCINATION")</x:f>
        <x:v>0</x:v>
      </x:c>
      <x:c r="AI2672" t="n">
        <x:f>--AND(Q2672=1,AF2672=1,AE2672="HALLUCINATION")</x:f>
        <x:v>0</x:v>
      </x:c>
      <x:c r="AJ2672" t="n">
        <x:f>--AND(AI2672=1,R2672=1,S2672=1)</x:f>
        <x:v>0</x:v>
      </x:c>
    </x:row>
    <x:row r="2673">
      <x:c r="A2673" s="28"/>
      <x:c r="B2673" s="28"/>
      <x:c r="C2673" s="28"/>
      <x:c r="D2673" s="28"/>
      <x:c r="E2673" s="28"/>
      <x:c r="F2673" s="28"/>
      <x:c r="G2673" s="28"/>
      <x:c r="H2673" s="28"/>
      <x:c r="I2673" s="28"/>
      <x:c r="J2673" s="28"/>
      <x:c r="K2673" s="28"/>
      <x:c r="L2673" s="28"/>
      <x:c r="M2673" s="28"/>
      <x:c r="N2673" s="28"/>
      <x:c r="O2673" s="28"/>
      <x:c r="P2673" s="28"/>
      <x:c r="Q2673" s="28"/>
      <x:c r="R2673" s="28"/>
      <x:c r="S2673" s="28"/>
      <x:c r="T2673" s="28"/>
      <x:c r="U2673" s="28"/>
      <x:c r="V2673" s="28"/>
      <x:c r="W2673" s="43" t="n">
        <x:f>--AND(N2673=1,OR(O2673="SUPPORTED",O2673="HALLUCINATION"))</x:f>
        <x:v>0</x:v>
      </x:c>
      <x:c r="X2673" s="43" t="n">
        <x:f>--AND(W2673=1,O2673="HALLUCINATION")</x:f>
        <x:v>0</x:v>
      </x:c>
      <x:c r="Y2673" s="43" t="n">
        <x:f>--AND(Q2673=1,O2673="HALLUCINATION")</x:f>
        <x:v>0</x:v>
      </x:c>
      <x:c r="Z2673" s="43" t="n">
        <x:f>--AND(Y2673=1,R2673=1,S2673=1)</x:f>
        <x:v>0</x:v>
      </x:c>
      <x:c r="AC2673" t="str">
        <x:f>IF(OR(AA2673="",AB2673=""),"",--(AA2673&lt;&gt;AB2673))</x:f>
      </x:c>
      <x:c r="AE2673" t="str">
        <x:f>IF(OR(AA2673="",AB2673=""),"PENDING_HUMAN",IF(AA2673=AB2673,AA2673,IF(AD2673&lt;&gt;"",AD2673,"PENDING_HUMAN")))</x:f>
        <x:v>PENDING_HUMAN</x:v>
      </x:c>
      <x:c r="AF2673" t="n">
        <x:f>--AND(A2673&lt;&gt;"",AA2673&lt;&gt;"",AB2673&lt;&gt;"",OR(AA2673=AB2673,AD2673&lt;&gt;""),IF(AE2673="HALLUCINATION",U2673&lt;&gt;"",TRUE))</x:f>
        <x:v>0</x:v>
      </x:c>
      <x:c r="AG2673" t="n">
        <x:f>--AND(N2673=1,AF2673=1,OR(AE2673="SUPPORTED",AE2673="HALLUCINATION"))</x:f>
        <x:v>0</x:v>
      </x:c>
      <x:c r="AH2673" t="n">
        <x:f>--AND(AG2673=1,AE2673="HALLUCINATION")</x:f>
        <x:v>0</x:v>
      </x:c>
      <x:c r="AI2673" t="n">
        <x:f>--AND(Q2673=1,AF2673=1,AE2673="HALLUCINATION")</x:f>
        <x:v>0</x:v>
      </x:c>
      <x:c r="AJ2673" t="n">
        <x:f>--AND(AI2673=1,R2673=1,S2673=1)</x:f>
        <x:v>0</x:v>
      </x:c>
    </x:row>
    <x:row r="2674">
      <x:c r="A2674" s="28"/>
      <x:c r="B2674" s="28"/>
      <x:c r="C2674" s="28"/>
      <x:c r="D2674" s="28"/>
      <x:c r="E2674" s="28"/>
      <x:c r="F2674" s="28"/>
      <x:c r="G2674" s="28"/>
      <x:c r="H2674" s="28"/>
      <x:c r="I2674" s="28"/>
      <x:c r="J2674" s="28"/>
      <x:c r="K2674" s="28"/>
      <x:c r="L2674" s="28"/>
      <x:c r="M2674" s="28"/>
      <x:c r="N2674" s="28"/>
      <x:c r="O2674" s="28"/>
      <x:c r="P2674" s="28"/>
      <x:c r="Q2674" s="28"/>
      <x:c r="R2674" s="28"/>
      <x:c r="S2674" s="28"/>
      <x:c r="T2674" s="28"/>
      <x:c r="U2674" s="28"/>
      <x:c r="V2674" s="28"/>
      <x:c r="W2674" s="43" t="n">
        <x:f>--AND(N2674=1,OR(O2674="SUPPORTED",O2674="HALLUCINATION"))</x:f>
        <x:v>0</x:v>
      </x:c>
      <x:c r="X2674" s="43" t="n">
        <x:f>--AND(W2674=1,O2674="HALLUCINATION")</x:f>
        <x:v>0</x:v>
      </x:c>
      <x:c r="Y2674" s="43" t="n">
        <x:f>--AND(Q2674=1,O2674="HALLUCINATION")</x:f>
        <x:v>0</x:v>
      </x:c>
      <x:c r="Z2674" s="43" t="n">
        <x:f>--AND(Y2674=1,R2674=1,S2674=1)</x:f>
        <x:v>0</x:v>
      </x:c>
      <x:c r="AC2674" t="str">
        <x:f>IF(OR(AA2674="",AB2674=""),"",--(AA2674&lt;&gt;AB2674))</x:f>
      </x:c>
      <x:c r="AE2674" t="str">
        <x:f>IF(OR(AA2674="",AB2674=""),"PENDING_HUMAN",IF(AA2674=AB2674,AA2674,IF(AD2674&lt;&gt;"",AD2674,"PENDING_HUMAN")))</x:f>
        <x:v>PENDING_HUMAN</x:v>
      </x:c>
      <x:c r="AF2674" t="n">
        <x:f>--AND(A2674&lt;&gt;"",AA2674&lt;&gt;"",AB2674&lt;&gt;"",OR(AA2674=AB2674,AD2674&lt;&gt;""),IF(AE2674="HALLUCINATION",U2674&lt;&gt;"",TRUE))</x:f>
        <x:v>0</x:v>
      </x:c>
      <x:c r="AG2674" t="n">
        <x:f>--AND(N2674=1,AF2674=1,OR(AE2674="SUPPORTED",AE2674="HALLUCINATION"))</x:f>
        <x:v>0</x:v>
      </x:c>
      <x:c r="AH2674" t="n">
        <x:f>--AND(AG2674=1,AE2674="HALLUCINATION")</x:f>
        <x:v>0</x:v>
      </x:c>
      <x:c r="AI2674" t="n">
        <x:f>--AND(Q2674=1,AF2674=1,AE2674="HALLUCINATION")</x:f>
        <x:v>0</x:v>
      </x:c>
      <x:c r="AJ2674" t="n">
        <x:f>--AND(AI2674=1,R2674=1,S2674=1)</x:f>
        <x:v>0</x:v>
      </x:c>
    </x:row>
    <x:row r="2675">
      <x:c r="A2675" s="28"/>
      <x:c r="B2675" s="28"/>
      <x:c r="C2675" s="28"/>
      <x:c r="D2675" s="28"/>
      <x:c r="E2675" s="28"/>
      <x:c r="F2675" s="28"/>
      <x:c r="G2675" s="28"/>
      <x:c r="H2675" s="28"/>
      <x:c r="I2675" s="28"/>
      <x:c r="J2675" s="28"/>
      <x:c r="K2675" s="28"/>
      <x:c r="L2675" s="28"/>
      <x:c r="M2675" s="28"/>
      <x:c r="N2675" s="28"/>
      <x:c r="O2675" s="28"/>
      <x:c r="P2675" s="28"/>
      <x:c r="Q2675" s="28"/>
      <x:c r="R2675" s="28"/>
      <x:c r="S2675" s="28"/>
      <x:c r="T2675" s="28"/>
      <x:c r="U2675" s="28"/>
      <x:c r="V2675" s="28"/>
      <x:c r="W2675" s="43" t="n">
        <x:f>--AND(N2675=1,OR(O2675="SUPPORTED",O2675="HALLUCINATION"))</x:f>
        <x:v>0</x:v>
      </x:c>
      <x:c r="X2675" s="43" t="n">
        <x:f>--AND(W2675=1,O2675="HALLUCINATION")</x:f>
        <x:v>0</x:v>
      </x:c>
      <x:c r="Y2675" s="43" t="n">
        <x:f>--AND(Q2675=1,O2675="HALLUCINATION")</x:f>
        <x:v>0</x:v>
      </x:c>
      <x:c r="Z2675" s="43" t="n">
        <x:f>--AND(Y2675=1,R2675=1,S2675=1)</x:f>
        <x:v>0</x:v>
      </x:c>
      <x:c r="AC2675" t="str">
        <x:f>IF(OR(AA2675="",AB2675=""),"",--(AA2675&lt;&gt;AB2675))</x:f>
      </x:c>
      <x:c r="AE2675" t="str">
        <x:f>IF(OR(AA2675="",AB2675=""),"PENDING_HUMAN",IF(AA2675=AB2675,AA2675,IF(AD2675&lt;&gt;"",AD2675,"PENDING_HUMAN")))</x:f>
        <x:v>PENDING_HUMAN</x:v>
      </x:c>
      <x:c r="AF2675" t="n">
        <x:f>--AND(A2675&lt;&gt;"",AA2675&lt;&gt;"",AB2675&lt;&gt;"",OR(AA2675=AB2675,AD2675&lt;&gt;""),IF(AE2675="HALLUCINATION",U2675&lt;&gt;"",TRUE))</x:f>
        <x:v>0</x:v>
      </x:c>
      <x:c r="AG2675" t="n">
        <x:f>--AND(N2675=1,AF2675=1,OR(AE2675="SUPPORTED",AE2675="HALLUCINATION"))</x:f>
        <x:v>0</x:v>
      </x:c>
      <x:c r="AH2675" t="n">
        <x:f>--AND(AG2675=1,AE2675="HALLUCINATION")</x:f>
        <x:v>0</x:v>
      </x:c>
      <x:c r="AI2675" t="n">
        <x:f>--AND(Q2675=1,AF2675=1,AE2675="HALLUCINATION")</x:f>
        <x:v>0</x:v>
      </x:c>
      <x:c r="AJ2675" t="n">
        <x:f>--AND(AI2675=1,R2675=1,S2675=1)</x:f>
        <x:v>0</x:v>
      </x:c>
    </x:row>
    <x:row r="2676">
      <x:c r="A2676" s="28"/>
      <x:c r="B2676" s="28"/>
      <x:c r="C2676" s="28"/>
      <x:c r="D2676" s="28"/>
      <x:c r="E2676" s="28"/>
      <x:c r="F2676" s="28"/>
      <x:c r="G2676" s="28"/>
      <x:c r="H2676" s="28"/>
      <x:c r="I2676" s="28"/>
      <x:c r="J2676" s="28"/>
      <x:c r="K2676" s="28"/>
      <x:c r="L2676" s="28"/>
      <x:c r="M2676" s="28"/>
      <x:c r="N2676" s="28"/>
      <x:c r="O2676" s="28"/>
      <x:c r="P2676" s="28"/>
      <x:c r="Q2676" s="28"/>
      <x:c r="R2676" s="28"/>
      <x:c r="S2676" s="28"/>
      <x:c r="T2676" s="28"/>
      <x:c r="U2676" s="28"/>
      <x:c r="V2676" s="28"/>
      <x:c r="W2676" s="43" t="n">
        <x:f>--AND(N2676=1,OR(O2676="SUPPORTED",O2676="HALLUCINATION"))</x:f>
        <x:v>0</x:v>
      </x:c>
      <x:c r="X2676" s="43" t="n">
        <x:f>--AND(W2676=1,O2676="HALLUCINATION")</x:f>
        <x:v>0</x:v>
      </x:c>
      <x:c r="Y2676" s="43" t="n">
        <x:f>--AND(Q2676=1,O2676="HALLUCINATION")</x:f>
        <x:v>0</x:v>
      </x:c>
      <x:c r="Z2676" s="43" t="n">
        <x:f>--AND(Y2676=1,R2676=1,S2676=1)</x:f>
        <x:v>0</x:v>
      </x:c>
      <x:c r="AC2676" t="str">
        <x:f>IF(OR(AA2676="",AB2676=""),"",--(AA2676&lt;&gt;AB2676))</x:f>
      </x:c>
      <x:c r="AE2676" t="str">
        <x:f>IF(OR(AA2676="",AB2676=""),"PENDING_HUMAN",IF(AA2676=AB2676,AA2676,IF(AD2676&lt;&gt;"",AD2676,"PENDING_HUMAN")))</x:f>
        <x:v>PENDING_HUMAN</x:v>
      </x:c>
      <x:c r="AF2676" t="n">
        <x:f>--AND(A2676&lt;&gt;"",AA2676&lt;&gt;"",AB2676&lt;&gt;"",OR(AA2676=AB2676,AD2676&lt;&gt;""),IF(AE2676="HALLUCINATION",U2676&lt;&gt;"",TRUE))</x:f>
        <x:v>0</x:v>
      </x:c>
      <x:c r="AG2676" t="n">
        <x:f>--AND(N2676=1,AF2676=1,OR(AE2676="SUPPORTED",AE2676="HALLUCINATION"))</x:f>
        <x:v>0</x:v>
      </x:c>
      <x:c r="AH2676" t="n">
        <x:f>--AND(AG2676=1,AE2676="HALLUCINATION")</x:f>
        <x:v>0</x:v>
      </x:c>
      <x:c r="AI2676" t="n">
        <x:f>--AND(Q2676=1,AF2676=1,AE2676="HALLUCINATION")</x:f>
        <x:v>0</x:v>
      </x:c>
      <x:c r="AJ2676" t="n">
        <x:f>--AND(AI2676=1,R2676=1,S2676=1)</x:f>
        <x:v>0</x:v>
      </x:c>
    </x:row>
    <x:row r="2677">
      <x:c r="A2677" s="28"/>
      <x:c r="B2677" s="28"/>
      <x:c r="C2677" s="28"/>
      <x:c r="D2677" s="28"/>
      <x:c r="E2677" s="28"/>
      <x:c r="F2677" s="28"/>
      <x:c r="G2677" s="28"/>
      <x:c r="H2677" s="28"/>
      <x:c r="I2677" s="28"/>
      <x:c r="J2677" s="28"/>
      <x:c r="K2677" s="28"/>
      <x:c r="L2677" s="28"/>
      <x:c r="M2677" s="28"/>
      <x:c r="N2677" s="28"/>
      <x:c r="O2677" s="28"/>
      <x:c r="P2677" s="28"/>
      <x:c r="Q2677" s="28"/>
      <x:c r="R2677" s="28"/>
      <x:c r="S2677" s="28"/>
      <x:c r="T2677" s="28"/>
      <x:c r="U2677" s="28"/>
      <x:c r="V2677" s="28"/>
      <x:c r="W2677" s="43" t="n">
        <x:f>--AND(N2677=1,OR(O2677="SUPPORTED",O2677="HALLUCINATION"))</x:f>
        <x:v>0</x:v>
      </x:c>
      <x:c r="X2677" s="43" t="n">
        <x:f>--AND(W2677=1,O2677="HALLUCINATION")</x:f>
        <x:v>0</x:v>
      </x:c>
      <x:c r="Y2677" s="43" t="n">
        <x:f>--AND(Q2677=1,O2677="HALLUCINATION")</x:f>
        <x:v>0</x:v>
      </x:c>
      <x:c r="Z2677" s="43" t="n">
        <x:f>--AND(Y2677=1,R2677=1,S2677=1)</x:f>
        <x:v>0</x:v>
      </x:c>
      <x:c r="AC2677" t="str">
        <x:f>IF(OR(AA2677="",AB2677=""),"",--(AA2677&lt;&gt;AB2677))</x:f>
      </x:c>
      <x:c r="AE2677" t="str">
        <x:f>IF(OR(AA2677="",AB2677=""),"PENDING_HUMAN",IF(AA2677=AB2677,AA2677,IF(AD2677&lt;&gt;"",AD2677,"PENDING_HUMAN")))</x:f>
        <x:v>PENDING_HUMAN</x:v>
      </x:c>
      <x:c r="AF2677" t="n">
        <x:f>--AND(A2677&lt;&gt;"",AA2677&lt;&gt;"",AB2677&lt;&gt;"",OR(AA2677=AB2677,AD2677&lt;&gt;""),IF(AE2677="HALLUCINATION",U2677&lt;&gt;"",TRUE))</x:f>
        <x:v>0</x:v>
      </x:c>
      <x:c r="AG2677" t="n">
        <x:f>--AND(N2677=1,AF2677=1,OR(AE2677="SUPPORTED",AE2677="HALLUCINATION"))</x:f>
        <x:v>0</x:v>
      </x:c>
      <x:c r="AH2677" t="n">
        <x:f>--AND(AG2677=1,AE2677="HALLUCINATION")</x:f>
        <x:v>0</x:v>
      </x:c>
      <x:c r="AI2677" t="n">
        <x:f>--AND(Q2677=1,AF2677=1,AE2677="HALLUCINATION")</x:f>
        <x:v>0</x:v>
      </x:c>
      <x:c r="AJ2677" t="n">
        <x:f>--AND(AI2677=1,R2677=1,S2677=1)</x:f>
        <x:v>0</x:v>
      </x:c>
    </x:row>
    <x:row r="2678">
      <x:c r="A2678" s="28"/>
      <x:c r="B2678" s="28"/>
      <x:c r="C2678" s="28"/>
      <x:c r="D2678" s="28"/>
      <x:c r="E2678" s="28"/>
      <x:c r="F2678" s="28"/>
      <x:c r="G2678" s="28"/>
      <x:c r="H2678" s="28"/>
      <x:c r="I2678" s="28"/>
      <x:c r="J2678" s="28"/>
      <x:c r="K2678" s="28"/>
      <x:c r="L2678" s="28"/>
      <x:c r="M2678" s="28"/>
      <x:c r="N2678" s="28"/>
      <x:c r="O2678" s="28"/>
      <x:c r="P2678" s="28"/>
      <x:c r="Q2678" s="28"/>
      <x:c r="R2678" s="28"/>
      <x:c r="S2678" s="28"/>
      <x:c r="T2678" s="28"/>
      <x:c r="U2678" s="28"/>
      <x:c r="V2678" s="28"/>
      <x:c r="W2678" s="43" t="n">
        <x:f>--AND(N2678=1,OR(O2678="SUPPORTED",O2678="HALLUCINATION"))</x:f>
        <x:v>0</x:v>
      </x:c>
      <x:c r="X2678" s="43" t="n">
        <x:f>--AND(W2678=1,O2678="HALLUCINATION")</x:f>
        <x:v>0</x:v>
      </x:c>
      <x:c r="Y2678" s="43" t="n">
        <x:f>--AND(Q2678=1,O2678="HALLUCINATION")</x:f>
        <x:v>0</x:v>
      </x:c>
      <x:c r="Z2678" s="43" t="n">
        <x:f>--AND(Y2678=1,R2678=1,S2678=1)</x:f>
        <x:v>0</x:v>
      </x:c>
      <x:c r="AC2678" t="str">
        <x:f>IF(OR(AA2678="",AB2678=""),"",--(AA2678&lt;&gt;AB2678))</x:f>
      </x:c>
      <x:c r="AE2678" t="str">
        <x:f>IF(OR(AA2678="",AB2678=""),"PENDING_HUMAN",IF(AA2678=AB2678,AA2678,IF(AD2678&lt;&gt;"",AD2678,"PENDING_HUMAN")))</x:f>
        <x:v>PENDING_HUMAN</x:v>
      </x:c>
      <x:c r="AF2678" t="n">
        <x:f>--AND(A2678&lt;&gt;"",AA2678&lt;&gt;"",AB2678&lt;&gt;"",OR(AA2678=AB2678,AD2678&lt;&gt;""),IF(AE2678="HALLUCINATION",U2678&lt;&gt;"",TRUE))</x:f>
        <x:v>0</x:v>
      </x:c>
      <x:c r="AG2678" t="n">
        <x:f>--AND(N2678=1,AF2678=1,OR(AE2678="SUPPORTED",AE2678="HALLUCINATION"))</x:f>
        <x:v>0</x:v>
      </x:c>
      <x:c r="AH2678" t="n">
        <x:f>--AND(AG2678=1,AE2678="HALLUCINATION")</x:f>
        <x:v>0</x:v>
      </x:c>
      <x:c r="AI2678" t="n">
        <x:f>--AND(Q2678=1,AF2678=1,AE2678="HALLUCINATION")</x:f>
        <x:v>0</x:v>
      </x:c>
      <x:c r="AJ2678" t="n">
        <x:f>--AND(AI2678=1,R2678=1,S2678=1)</x:f>
        <x:v>0</x:v>
      </x:c>
    </x:row>
    <x:row r="2679">
      <x:c r="A2679" s="28"/>
      <x:c r="B2679" s="28"/>
      <x:c r="C2679" s="28"/>
      <x:c r="D2679" s="28"/>
      <x:c r="E2679" s="28"/>
      <x:c r="F2679" s="28"/>
      <x:c r="G2679" s="28"/>
      <x:c r="H2679" s="28"/>
      <x:c r="I2679" s="28"/>
      <x:c r="J2679" s="28"/>
      <x:c r="K2679" s="28"/>
      <x:c r="L2679" s="28"/>
      <x:c r="M2679" s="28"/>
      <x:c r="N2679" s="28"/>
      <x:c r="O2679" s="28"/>
      <x:c r="P2679" s="28"/>
      <x:c r="Q2679" s="28"/>
      <x:c r="R2679" s="28"/>
      <x:c r="S2679" s="28"/>
      <x:c r="T2679" s="28"/>
      <x:c r="U2679" s="28"/>
      <x:c r="V2679" s="28"/>
      <x:c r="W2679" s="43" t="n">
        <x:f>--AND(N2679=1,OR(O2679="SUPPORTED",O2679="HALLUCINATION"))</x:f>
        <x:v>0</x:v>
      </x:c>
      <x:c r="X2679" s="43" t="n">
        <x:f>--AND(W2679=1,O2679="HALLUCINATION")</x:f>
        <x:v>0</x:v>
      </x:c>
      <x:c r="Y2679" s="43" t="n">
        <x:f>--AND(Q2679=1,O2679="HALLUCINATION")</x:f>
        <x:v>0</x:v>
      </x:c>
      <x:c r="Z2679" s="43" t="n">
        <x:f>--AND(Y2679=1,R2679=1,S2679=1)</x:f>
        <x:v>0</x:v>
      </x:c>
      <x:c r="AC2679" t="str">
        <x:f>IF(OR(AA2679="",AB2679=""),"",--(AA2679&lt;&gt;AB2679))</x:f>
      </x:c>
      <x:c r="AE2679" t="str">
        <x:f>IF(OR(AA2679="",AB2679=""),"PENDING_HUMAN",IF(AA2679=AB2679,AA2679,IF(AD2679&lt;&gt;"",AD2679,"PENDING_HUMAN")))</x:f>
        <x:v>PENDING_HUMAN</x:v>
      </x:c>
      <x:c r="AF2679" t="n">
        <x:f>--AND(A2679&lt;&gt;"",AA2679&lt;&gt;"",AB2679&lt;&gt;"",OR(AA2679=AB2679,AD2679&lt;&gt;""),IF(AE2679="HALLUCINATION",U2679&lt;&gt;"",TRUE))</x:f>
        <x:v>0</x:v>
      </x:c>
      <x:c r="AG2679" t="n">
        <x:f>--AND(N2679=1,AF2679=1,OR(AE2679="SUPPORTED",AE2679="HALLUCINATION"))</x:f>
        <x:v>0</x:v>
      </x:c>
      <x:c r="AH2679" t="n">
        <x:f>--AND(AG2679=1,AE2679="HALLUCINATION")</x:f>
        <x:v>0</x:v>
      </x:c>
      <x:c r="AI2679" t="n">
        <x:f>--AND(Q2679=1,AF2679=1,AE2679="HALLUCINATION")</x:f>
        <x:v>0</x:v>
      </x:c>
      <x:c r="AJ2679" t="n">
        <x:f>--AND(AI2679=1,R2679=1,S2679=1)</x:f>
        <x:v>0</x:v>
      </x:c>
    </x:row>
    <x:row r="2680">
      <x:c r="A2680" s="28"/>
      <x:c r="B2680" s="28"/>
      <x:c r="C2680" s="28"/>
      <x:c r="D2680" s="28"/>
      <x:c r="E2680" s="28"/>
      <x:c r="F2680" s="28"/>
      <x:c r="G2680" s="28"/>
      <x:c r="H2680" s="28"/>
      <x:c r="I2680" s="28"/>
      <x:c r="J2680" s="28"/>
      <x:c r="K2680" s="28"/>
      <x:c r="L2680" s="28"/>
      <x:c r="M2680" s="28"/>
      <x:c r="N2680" s="28"/>
      <x:c r="O2680" s="28"/>
      <x:c r="P2680" s="28"/>
      <x:c r="Q2680" s="28"/>
      <x:c r="R2680" s="28"/>
      <x:c r="S2680" s="28"/>
      <x:c r="T2680" s="28"/>
      <x:c r="U2680" s="28"/>
      <x:c r="V2680" s="28"/>
      <x:c r="W2680" s="43" t="n">
        <x:f>--AND(N2680=1,OR(O2680="SUPPORTED",O2680="HALLUCINATION"))</x:f>
        <x:v>0</x:v>
      </x:c>
      <x:c r="X2680" s="43" t="n">
        <x:f>--AND(W2680=1,O2680="HALLUCINATION")</x:f>
        <x:v>0</x:v>
      </x:c>
      <x:c r="Y2680" s="43" t="n">
        <x:f>--AND(Q2680=1,O2680="HALLUCINATION")</x:f>
        <x:v>0</x:v>
      </x:c>
      <x:c r="Z2680" s="43" t="n">
        <x:f>--AND(Y2680=1,R2680=1,S2680=1)</x:f>
        <x:v>0</x:v>
      </x:c>
      <x:c r="AC2680" t="str">
        <x:f>IF(OR(AA2680="",AB2680=""),"",--(AA2680&lt;&gt;AB2680))</x:f>
      </x:c>
      <x:c r="AE2680" t="str">
        <x:f>IF(OR(AA2680="",AB2680=""),"PENDING_HUMAN",IF(AA2680=AB2680,AA2680,IF(AD2680&lt;&gt;"",AD2680,"PENDING_HUMAN")))</x:f>
        <x:v>PENDING_HUMAN</x:v>
      </x:c>
      <x:c r="AF2680" t="n">
        <x:f>--AND(A2680&lt;&gt;"",AA2680&lt;&gt;"",AB2680&lt;&gt;"",OR(AA2680=AB2680,AD2680&lt;&gt;""),IF(AE2680="HALLUCINATION",U2680&lt;&gt;"",TRUE))</x:f>
        <x:v>0</x:v>
      </x:c>
      <x:c r="AG2680" t="n">
        <x:f>--AND(N2680=1,AF2680=1,OR(AE2680="SUPPORTED",AE2680="HALLUCINATION"))</x:f>
        <x:v>0</x:v>
      </x:c>
      <x:c r="AH2680" t="n">
        <x:f>--AND(AG2680=1,AE2680="HALLUCINATION")</x:f>
        <x:v>0</x:v>
      </x:c>
      <x:c r="AI2680" t="n">
        <x:f>--AND(Q2680=1,AF2680=1,AE2680="HALLUCINATION")</x:f>
        <x:v>0</x:v>
      </x:c>
      <x:c r="AJ2680" t="n">
        <x:f>--AND(AI2680=1,R2680=1,S2680=1)</x:f>
        <x:v>0</x:v>
      </x:c>
    </x:row>
    <x:row r="2681">
      <x:c r="A2681" s="28"/>
      <x:c r="B2681" s="28"/>
      <x:c r="C2681" s="28"/>
      <x:c r="D2681" s="28"/>
      <x:c r="E2681" s="28"/>
      <x:c r="F2681" s="28"/>
      <x:c r="G2681" s="28"/>
      <x:c r="H2681" s="28"/>
      <x:c r="I2681" s="28"/>
      <x:c r="J2681" s="28"/>
      <x:c r="K2681" s="28"/>
      <x:c r="L2681" s="28"/>
      <x:c r="M2681" s="28"/>
      <x:c r="N2681" s="28"/>
      <x:c r="O2681" s="28"/>
      <x:c r="P2681" s="28"/>
      <x:c r="Q2681" s="28"/>
      <x:c r="R2681" s="28"/>
      <x:c r="S2681" s="28"/>
      <x:c r="T2681" s="28"/>
      <x:c r="U2681" s="28"/>
      <x:c r="V2681" s="28"/>
      <x:c r="W2681" s="43" t="n">
        <x:f>--AND(N2681=1,OR(O2681="SUPPORTED",O2681="HALLUCINATION"))</x:f>
        <x:v>0</x:v>
      </x:c>
      <x:c r="X2681" s="43" t="n">
        <x:f>--AND(W2681=1,O2681="HALLUCINATION")</x:f>
        <x:v>0</x:v>
      </x:c>
      <x:c r="Y2681" s="43" t="n">
        <x:f>--AND(Q2681=1,O2681="HALLUCINATION")</x:f>
        <x:v>0</x:v>
      </x:c>
      <x:c r="Z2681" s="43" t="n">
        <x:f>--AND(Y2681=1,R2681=1,S2681=1)</x:f>
        <x:v>0</x:v>
      </x:c>
      <x:c r="AC2681" t="str">
        <x:f>IF(OR(AA2681="",AB2681=""),"",--(AA2681&lt;&gt;AB2681))</x:f>
      </x:c>
      <x:c r="AE2681" t="str">
        <x:f>IF(OR(AA2681="",AB2681=""),"PENDING_HUMAN",IF(AA2681=AB2681,AA2681,IF(AD2681&lt;&gt;"",AD2681,"PENDING_HUMAN")))</x:f>
        <x:v>PENDING_HUMAN</x:v>
      </x:c>
      <x:c r="AF2681" t="n">
        <x:f>--AND(A2681&lt;&gt;"",AA2681&lt;&gt;"",AB2681&lt;&gt;"",OR(AA2681=AB2681,AD2681&lt;&gt;""),IF(AE2681="HALLUCINATION",U2681&lt;&gt;"",TRUE))</x:f>
        <x:v>0</x:v>
      </x:c>
      <x:c r="AG2681" t="n">
        <x:f>--AND(N2681=1,AF2681=1,OR(AE2681="SUPPORTED",AE2681="HALLUCINATION"))</x:f>
        <x:v>0</x:v>
      </x:c>
      <x:c r="AH2681" t="n">
        <x:f>--AND(AG2681=1,AE2681="HALLUCINATION")</x:f>
        <x:v>0</x:v>
      </x:c>
      <x:c r="AI2681" t="n">
        <x:f>--AND(Q2681=1,AF2681=1,AE2681="HALLUCINATION")</x:f>
        <x:v>0</x:v>
      </x:c>
      <x:c r="AJ2681" t="n">
        <x:f>--AND(AI2681=1,R2681=1,S2681=1)</x:f>
        <x:v>0</x:v>
      </x:c>
    </x:row>
    <x:row r="2682">
      <x:c r="A2682" s="28"/>
      <x:c r="B2682" s="28"/>
      <x:c r="C2682" s="28"/>
      <x:c r="D2682" s="28"/>
      <x:c r="E2682" s="28"/>
      <x:c r="F2682" s="28"/>
      <x:c r="G2682" s="28"/>
      <x:c r="H2682" s="28"/>
      <x:c r="I2682" s="28"/>
      <x:c r="J2682" s="28"/>
      <x:c r="K2682" s="28"/>
      <x:c r="L2682" s="28"/>
      <x:c r="M2682" s="28"/>
      <x:c r="N2682" s="28"/>
      <x:c r="O2682" s="28"/>
      <x:c r="P2682" s="28"/>
      <x:c r="Q2682" s="28"/>
      <x:c r="R2682" s="28"/>
      <x:c r="S2682" s="28"/>
      <x:c r="T2682" s="28"/>
      <x:c r="U2682" s="28"/>
      <x:c r="V2682" s="28"/>
      <x:c r="W2682" s="43" t="n">
        <x:f>--AND(N2682=1,OR(O2682="SUPPORTED",O2682="HALLUCINATION"))</x:f>
        <x:v>0</x:v>
      </x:c>
      <x:c r="X2682" s="43" t="n">
        <x:f>--AND(W2682=1,O2682="HALLUCINATION")</x:f>
        <x:v>0</x:v>
      </x:c>
      <x:c r="Y2682" s="43" t="n">
        <x:f>--AND(Q2682=1,O2682="HALLUCINATION")</x:f>
        <x:v>0</x:v>
      </x:c>
      <x:c r="Z2682" s="43" t="n">
        <x:f>--AND(Y2682=1,R2682=1,S2682=1)</x:f>
        <x:v>0</x:v>
      </x:c>
      <x:c r="AC2682" t="str">
        <x:f>IF(OR(AA2682="",AB2682=""),"",--(AA2682&lt;&gt;AB2682))</x:f>
      </x:c>
      <x:c r="AE2682" t="str">
        <x:f>IF(OR(AA2682="",AB2682=""),"PENDING_HUMAN",IF(AA2682=AB2682,AA2682,IF(AD2682&lt;&gt;"",AD2682,"PENDING_HUMAN")))</x:f>
        <x:v>PENDING_HUMAN</x:v>
      </x:c>
      <x:c r="AF2682" t="n">
        <x:f>--AND(A2682&lt;&gt;"",AA2682&lt;&gt;"",AB2682&lt;&gt;"",OR(AA2682=AB2682,AD2682&lt;&gt;""),IF(AE2682="HALLUCINATION",U2682&lt;&gt;"",TRUE))</x:f>
        <x:v>0</x:v>
      </x:c>
      <x:c r="AG2682" t="n">
        <x:f>--AND(N2682=1,AF2682=1,OR(AE2682="SUPPORTED",AE2682="HALLUCINATION"))</x:f>
        <x:v>0</x:v>
      </x:c>
      <x:c r="AH2682" t="n">
        <x:f>--AND(AG2682=1,AE2682="HALLUCINATION")</x:f>
        <x:v>0</x:v>
      </x:c>
      <x:c r="AI2682" t="n">
        <x:f>--AND(Q2682=1,AF2682=1,AE2682="HALLUCINATION")</x:f>
        <x:v>0</x:v>
      </x:c>
      <x:c r="AJ2682" t="n">
        <x:f>--AND(AI2682=1,R2682=1,S2682=1)</x:f>
        <x:v>0</x:v>
      </x:c>
    </x:row>
    <x:row r="2683">
      <x:c r="A2683" s="28"/>
      <x:c r="B2683" s="28"/>
      <x:c r="C2683" s="28"/>
      <x:c r="D2683" s="28"/>
      <x:c r="E2683" s="28"/>
      <x:c r="F2683" s="28"/>
      <x:c r="G2683" s="28"/>
      <x:c r="H2683" s="28"/>
      <x:c r="I2683" s="28"/>
      <x:c r="J2683" s="28"/>
      <x:c r="K2683" s="28"/>
      <x:c r="L2683" s="28"/>
      <x:c r="M2683" s="28"/>
      <x:c r="N2683" s="28"/>
      <x:c r="O2683" s="28"/>
      <x:c r="P2683" s="28"/>
      <x:c r="Q2683" s="28"/>
      <x:c r="R2683" s="28"/>
      <x:c r="S2683" s="28"/>
      <x:c r="T2683" s="28"/>
      <x:c r="U2683" s="28"/>
      <x:c r="V2683" s="28"/>
      <x:c r="W2683" s="43" t="n">
        <x:f>--AND(N2683=1,OR(O2683="SUPPORTED",O2683="HALLUCINATION"))</x:f>
        <x:v>0</x:v>
      </x:c>
      <x:c r="X2683" s="43" t="n">
        <x:f>--AND(W2683=1,O2683="HALLUCINATION")</x:f>
        <x:v>0</x:v>
      </x:c>
      <x:c r="Y2683" s="43" t="n">
        <x:f>--AND(Q2683=1,O2683="HALLUCINATION")</x:f>
        <x:v>0</x:v>
      </x:c>
      <x:c r="Z2683" s="43" t="n">
        <x:f>--AND(Y2683=1,R2683=1,S2683=1)</x:f>
        <x:v>0</x:v>
      </x:c>
      <x:c r="AC2683" t="str">
        <x:f>IF(OR(AA2683="",AB2683=""),"",--(AA2683&lt;&gt;AB2683))</x:f>
      </x:c>
      <x:c r="AE2683" t="str">
        <x:f>IF(OR(AA2683="",AB2683=""),"PENDING_HUMAN",IF(AA2683=AB2683,AA2683,IF(AD2683&lt;&gt;"",AD2683,"PENDING_HUMAN")))</x:f>
        <x:v>PENDING_HUMAN</x:v>
      </x:c>
      <x:c r="AF2683" t="n">
        <x:f>--AND(A2683&lt;&gt;"",AA2683&lt;&gt;"",AB2683&lt;&gt;"",OR(AA2683=AB2683,AD2683&lt;&gt;""),IF(AE2683="HALLUCINATION",U2683&lt;&gt;"",TRUE))</x:f>
        <x:v>0</x:v>
      </x:c>
      <x:c r="AG2683" t="n">
        <x:f>--AND(N2683=1,AF2683=1,OR(AE2683="SUPPORTED",AE2683="HALLUCINATION"))</x:f>
        <x:v>0</x:v>
      </x:c>
      <x:c r="AH2683" t="n">
        <x:f>--AND(AG2683=1,AE2683="HALLUCINATION")</x:f>
        <x:v>0</x:v>
      </x:c>
      <x:c r="AI2683" t="n">
        <x:f>--AND(Q2683=1,AF2683=1,AE2683="HALLUCINATION")</x:f>
        <x:v>0</x:v>
      </x:c>
      <x:c r="AJ2683" t="n">
        <x:f>--AND(AI2683=1,R2683=1,S2683=1)</x:f>
        <x:v>0</x:v>
      </x:c>
    </x:row>
    <x:row r="2684">
      <x:c r="A2684" s="28"/>
      <x:c r="B2684" s="28"/>
      <x:c r="C2684" s="28"/>
      <x:c r="D2684" s="28"/>
      <x:c r="E2684" s="28"/>
      <x:c r="F2684" s="28"/>
      <x:c r="G2684" s="28"/>
      <x:c r="H2684" s="28"/>
      <x:c r="I2684" s="28"/>
      <x:c r="J2684" s="28"/>
      <x:c r="K2684" s="28"/>
      <x:c r="L2684" s="28"/>
      <x:c r="M2684" s="28"/>
      <x:c r="N2684" s="28"/>
      <x:c r="O2684" s="28"/>
      <x:c r="P2684" s="28"/>
      <x:c r="Q2684" s="28"/>
      <x:c r="R2684" s="28"/>
      <x:c r="S2684" s="28"/>
      <x:c r="T2684" s="28"/>
      <x:c r="U2684" s="28"/>
      <x:c r="V2684" s="28"/>
      <x:c r="W2684" s="43" t="n">
        <x:f>--AND(N2684=1,OR(O2684="SUPPORTED",O2684="HALLUCINATION"))</x:f>
        <x:v>0</x:v>
      </x:c>
      <x:c r="X2684" s="43" t="n">
        <x:f>--AND(W2684=1,O2684="HALLUCINATION")</x:f>
        <x:v>0</x:v>
      </x:c>
      <x:c r="Y2684" s="43" t="n">
        <x:f>--AND(Q2684=1,O2684="HALLUCINATION")</x:f>
        <x:v>0</x:v>
      </x:c>
      <x:c r="Z2684" s="43" t="n">
        <x:f>--AND(Y2684=1,R2684=1,S2684=1)</x:f>
        <x:v>0</x:v>
      </x:c>
      <x:c r="AC2684" t="str">
        <x:f>IF(OR(AA2684="",AB2684=""),"",--(AA2684&lt;&gt;AB2684))</x:f>
      </x:c>
      <x:c r="AE2684" t="str">
        <x:f>IF(OR(AA2684="",AB2684=""),"PENDING_HUMAN",IF(AA2684=AB2684,AA2684,IF(AD2684&lt;&gt;"",AD2684,"PENDING_HUMAN")))</x:f>
        <x:v>PENDING_HUMAN</x:v>
      </x:c>
      <x:c r="AF2684" t="n">
        <x:f>--AND(A2684&lt;&gt;"",AA2684&lt;&gt;"",AB2684&lt;&gt;"",OR(AA2684=AB2684,AD2684&lt;&gt;""),IF(AE2684="HALLUCINATION",U2684&lt;&gt;"",TRUE))</x:f>
        <x:v>0</x:v>
      </x:c>
      <x:c r="AG2684" t="n">
        <x:f>--AND(N2684=1,AF2684=1,OR(AE2684="SUPPORTED",AE2684="HALLUCINATION"))</x:f>
        <x:v>0</x:v>
      </x:c>
      <x:c r="AH2684" t="n">
        <x:f>--AND(AG2684=1,AE2684="HALLUCINATION")</x:f>
        <x:v>0</x:v>
      </x:c>
      <x:c r="AI2684" t="n">
        <x:f>--AND(Q2684=1,AF2684=1,AE2684="HALLUCINATION")</x:f>
        <x:v>0</x:v>
      </x:c>
      <x:c r="AJ2684" t="n">
        <x:f>--AND(AI2684=1,R2684=1,S2684=1)</x:f>
        <x:v>0</x:v>
      </x:c>
    </x:row>
    <x:row r="2685">
      <x:c r="A2685" s="28"/>
      <x:c r="B2685" s="28"/>
      <x:c r="C2685" s="28"/>
      <x:c r="D2685" s="28"/>
      <x:c r="E2685" s="28"/>
      <x:c r="F2685" s="28"/>
      <x:c r="G2685" s="28"/>
      <x:c r="H2685" s="28"/>
      <x:c r="I2685" s="28"/>
      <x:c r="J2685" s="28"/>
      <x:c r="K2685" s="28"/>
      <x:c r="L2685" s="28"/>
      <x:c r="M2685" s="28"/>
      <x:c r="N2685" s="28"/>
      <x:c r="O2685" s="28"/>
      <x:c r="P2685" s="28"/>
      <x:c r="Q2685" s="28"/>
      <x:c r="R2685" s="28"/>
      <x:c r="S2685" s="28"/>
      <x:c r="T2685" s="28"/>
      <x:c r="U2685" s="28"/>
      <x:c r="V2685" s="28"/>
      <x:c r="W2685" s="43" t="n">
        <x:f>--AND(N2685=1,OR(O2685="SUPPORTED",O2685="HALLUCINATION"))</x:f>
        <x:v>0</x:v>
      </x:c>
      <x:c r="X2685" s="43" t="n">
        <x:f>--AND(W2685=1,O2685="HALLUCINATION")</x:f>
        <x:v>0</x:v>
      </x:c>
      <x:c r="Y2685" s="43" t="n">
        <x:f>--AND(Q2685=1,O2685="HALLUCINATION")</x:f>
        <x:v>0</x:v>
      </x:c>
      <x:c r="Z2685" s="43" t="n">
        <x:f>--AND(Y2685=1,R2685=1,S2685=1)</x:f>
        <x:v>0</x:v>
      </x:c>
      <x:c r="AC2685" t="str">
        <x:f>IF(OR(AA2685="",AB2685=""),"",--(AA2685&lt;&gt;AB2685))</x:f>
      </x:c>
      <x:c r="AE2685" t="str">
        <x:f>IF(OR(AA2685="",AB2685=""),"PENDING_HUMAN",IF(AA2685=AB2685,AA2685,IF(AD2685&lt;&gt;"",AD2685,"PENDING_HUMAN")))</x:f>
        <x:v>PENDING_HUMAN</x:v>
      </x:c>
      <x:c r="AF2685" t="n">
        <x:f>--AND(A2685&lt;&gt;"",AA2685&lt;&gt;"",AB2685&lt;&gt;"",OR(AA2685=AB2685,AD2685&lt;&gt;""),IF(AE2685="HALLUCINATION",U2685&lt;&gt;"",TRUE))</x:f>
        <x:v>0</x:v>
      </x:c>
      <x:c r="AG2685" t="n">
        <x:f>--AND(N2685=1,AF2685=1,OR(AE2685="SUPPORTED",AE2685="HALLUCINATION"))</x:f>
        <x:v>0</x:v>
      </x:c>
      <x:c r="AH2685" t="n">
        <x:f>--AND(AG2685=1,AE2685="HALLUCINATION")</x:f>
        <x:v>0</x:v>
      </x:c>
      <x:c r="AI2685" t="n">
        <x:f>--AND(Q2685=1,AF2685=1,AE2685="HALLUCINATION")</x:f>
        <x:v>0</x:v>
      </x:c>
      <x:c r="AJ2685" t="n">
        <x:f>--AND(AI2685=1,R2685=1,S2685=1)</x:f>
        <x:v>0</x:v>
      </x:c>
    </x:row>
    <x:row r="2686">
      <x:c r="A2686" s="28"/>
      <x:c r="B2686" s="28"/>
      <x:c r="C2686" s="28"/>
      <x:c r="D2686" s="28"/>
      <x:c r="E2686" s="28"/>
      <x:c r="F2686" s="28"/>
      <x:c r="G2686" s="28"/>
      <x:c r="H2686" s="28"/>
      <x:c r="I2686" s="28"/>
      <x:c r="J2686" s="28"/>
      <x:c r="K2686" s="28"/>
      <x:c r="L2686" s="28"/>
      <x:c r="M2686" s="28"/>
      <x:c r="N2686" s="28"/>
      <x:c r="O2686" s="28"/>
      <x:c r="P2686" s="28"/>
      <x:c r="Q2686" s="28"/>
      <x:c r="R2686" s="28"/>
      <x:c r="S2686" s="28"/>
      <x:c r="T2686" s="28"/>
      <x:c r="U2686" s="28"/>
      <x:c r="V2686" s="28"/>
      <x:c r="W2686" s="43" t="n">
        <x:f>--AND(N2686=1,OR(O2686="SUPPORTED",O2686="HALLUCINATION"))</x:f>
        <x:v>0</x:v>
      </x:c>
      <x:c r="X2686" s="43" t="n">
        <x:f>--AND(W2686=1,O2686="HALLUCINATION")</x:f>
        <x:v>0</x:v>
      </x:c>
      <x:c r="Y2686" s="43" t="n">
        <x:f>--AND(Q2686=1,O2686="HALLUCINATION")</x:f>
        <x:v>0</x:v>
      </x:c>
      <x:c r="Z2686" s="43" t="n">
        <x:f>--AND(Y2686=1,R2686=1,S2686=1)</x:f>
        <x:v>0</x:v>
      </x:c>
      <x:c r="AC2686" t="str">
        <x:f>IF(OR(AA2686="",AB2686=""),"",--(AA2686&lt;&gt;AB2686))</x:f>
      </x:c>
      <x:c r="AE2686" t="str">
        <x:f>IF(OR(AA2686="",AB2686=""),"PENDING_HUMAN",IF(AA2686=AB2686,AA2686,IF(AD2686&lt;&gt;"",AD2686,"PENDING_HUMAN")))</x:f>
        <x:v>PENDING_HUMAN</x:v>
      </x:c>
      <x:c r="AF2686" t="n">
        <x:f>--AND(A2686&lt;&gt;"",AA2686&lt;&gt;"",AB2686&lt;&gt;"",OR(AA2686=AB2686,AD2686&lt;&gt;""),IF(AE2686="HALLUCINATION",U2686&lt;&gt;"",TRUE))</x:f>
        <x:v>0</x:v>
      </x:c>
      <x:c r="AG2686" t="n">
        <x:f>--AND(N2686=1,AF2686=1,OR(AE2686="SUPPORTED",AE2686="HALLUCINATION"))</x:f>
        <x:v>0</x:v>
      </x:c>
      <x:c r="AH2686" t="n">
        <x:f>--AND(AG2686=1,AE2686="HALLUCINATION")</x:f>
        <x:v>0</x:v>
      </x:c>
      <x:c r="AI2686" t="n">
        <x:f>--AND(Q2686=1,AF2686=1,AE2686="HALLUCINATION")</x:f>
        <x:v>0</x:v>
      </x:c>
      <x:c r="AJ2686" t="n">
        <x:f>--AND(AI2686=1,R2686=1,S2686=1)</x:f>
        <x:v>0</x:v>
      </x:c>
    </x:row>
    <x:row r="2687">
      <x:c r="A2687" s="28"/>
      <x:c r="B2687" s="28"/>
      <x:c r="C2687" s="28"/>
      <x:c r="D2687" s="28"/>
      <x:c r="E2687" s="28"/>
      <x:c r="F2687" s="28"/>
      <x:c r="G2687" s="28"/>
      <x:c r="H2687" s="28"/>
      <x:c r="I2687" s="28"/>
      <x:c r="J2687" s="28"/>
      <x:c r="K2687" s="28"/>
      <x:c r="L2687" s="28"/>
      <x:c r="M2687" s="28"/>
      <x:c r="N2687" s="28"/>
      <x:c r="O2687" s="28"/>
      <x:c r="P2687" s="28"/>
      <x:c r="Q2687" s="28"/>
      <x:c r="R2687" s="28"/>
      <x:c r="S2687" s="28"/>
      <x:c r="T2687" s="28"/>
      <x:c r="U2687" s="28"/>
      <x:c r="V2687" s="28"/>
      <x:c r="W2687" s="43" t="n">
        <x:f>--AND(N2687=1,OR(O2687="SUPPORTED",O2687="HALLUCINATION"))</x:f>
        <x:v>0</x:v>
      </x:c>
      <x:c r="X2687" s="43" t="n">
        <x:f>--AND(W2687=1,O2687="HALLUCINATION")</x:f>
        <x:v>0</x:v>
      </x:c>
      <x:c r="Y2687" s="43" t="n">
        <x:f>--AND(Q2687=1,O2687="HALLUCINATION")</x:f>
        <x:v>0</x:v>
      </x:c>
      <x:c r="Z2687" s="43" t="n">
        <x:f>--AND(Y2687=1,R2687=1,S2687=1)</x:f>
        <x:v>0</x:v>
      </x:c>
      <x:c r="AC2687" t="str">
        <x:f>IF(OR(AA2687="",AB2687=""),"",--(AA2687&lt;&gt;AB2687))</x:f>
      </x:c>
      <x:c r="AE2687" t="str">
        <x:f>IF(OR(AA2687="",AB2687=""),"PENDING_HUMAN",IF(AA2687=AB2687,AA2687,IF(AD2687&lt;&gt;"",AD2687,"PENDING_HUMAN")))</x:f>
        <x:v>PENDING_HUMAN</x:v>
      </x:c>
      <x:c r="AF2687" t="n">
        <x:f>--AND(A2687&lt;&gt;"",AA2687&lt;&gt;"",AB2687&lt;&gt;"",OR(AA2687=AB2687,AD2687&lt;&gt;""),IF(AE2687="HALLUCINATION",U2687&lt;&gt;"",TRUE))</x:f>
        <x:v>0</x:v>
      </x:c>
      <x:c r="AG2687" t="n">
        <x:f>--AND(N2687=1,AF2687=1,OR(AE2687="SUPPORTED",AE2687="HALLUCINATION"))</x:f>
        <x:v>0</x:v>
      </x:c>
      <x:c r="AH2687" t="n">
        <x:f>--AND(AG2687=1,AE2687="HALLUCINATION")</x:f>
        <x:v>0</x:v>
      </x:c>
      <x:c r="AI2687" t="n">
        <x:f>--AND(Q2687=1,AF2687=1,AE2687="HALLUCINATION")</x:f>
        <x:v>0</x:v>
      </x:c>
      <x:c r="AJ2687" t="n">
        <x:f>--AND(AI2687=1,R2687=1,S2687=1)</x:f>
        <x:v>0</x:v>
      </x:c>
    </x:row>
    <x:row r="2688">
      <x:c r="A2688" s="28"/>
      <x:c r="B2688" s="28"/>
      <x:c r="C2688" s="28"/>
      <x:c r="D2688" s="28"/>
      <x:c r="E2688" s="28"/>
      <x:c r="F2688" s="28"/>
      <x:c r="G2688" s="28"/>
      <x:c r="H2688" s="28"/>
      <x:c r="I2688" s="28"/>
      <x:c r="J2688" s="28"/>
      <x:c r="K2688" s="28"/>
      <x:c r="L2688" s="28"/>
      <x:c r="M2688" s="28"/>
      <x:c r="N2688" s="28"/>
      <x:c r="O2688" s="28"/>
      <x:c r="P2688" s="28"/>
      <x:c r="Q2688" s="28"/>
      <x:c r="R2688" s="28"/>
      <x:c r="S2688" s="28"/>
      <x:c r="T2688" s="28"/>
      <x:c r="U2688" s="28"/>
      <x:c r="V2688" s="28"/>
      <x:c r="W2688" s="43" t="n">
        <x:f>--AND(N2688=1,OR(O2688="SUPPORTED",O2688="HALLUCINATION"))</x:f>
        <x:v>0</x:v>
      </x:c>
      <x:c r="X2688" s="43" t="n">
        <x:f>--AND(W2688=1,O2688="HALLUCINATION")</x:f>
        <x:v>0</x:v>
      </x:c>
      <x:c r="Y2688" s="43" t="n">
        <x:f>--AND(Q2688=1,O2688="HALLUCINATION")</x:f>
        <x:v>0</x:v>
      </x:c>
      <x:c r="Z2688" s="43" t="n">
        <x:f>--AND(Y2688=1,R2688=1,S2688=1)</x:f>
        <x:v>0</x:v>
      </x:c>
      <x:c r="AC2688" t="str">
        <x:f>IF(OR(AA2688="",AB2688=""),"",--(AA2688&lt;&gt;AB2688))</x:f>
      </x:c>
      <x:c r="AE2688" t="str">
        <x:f>IF(OR(AA2688="",AB2688=""),"PENDING_HUMAN",IF(AA2688=AB2688,AA2688,IF(AD2688&lt;&gt;"",AD2688,"PENDING_HUMAN")))</x:f>
        <x:v>PENDING_HUMAN</x:v>
      </x:c>
      <x:c r="AF2688" t="n">
        <x:f>--AND(A2688&lt;&gt;"",AA2688&lt;&gt;"",AB2688&lt;&gt;"",OR(AA2688=AB2688,AD2688&lt;&gt;""),IF(AE2688="HALLUCINATION",U2688&lt;&gt;"",TRUE))</x:f>
        <x:v>0</x:v>
      </x:c>
      <x:c r="AG2688" t="n">
        <x:f>--AND(N2688=1,AF2688=1,OR(AE2688="SUPPORTED",AE2688="HALLUCINATION"))</x:f>
        <x:v>0</x:v>
      </x:c>
      <x:c r="AH2688" t="n">
        <x:f>--AND(AG2688=1,AE2688="HALLUCINATION")</x:f>
        <x:v>0</x:v>
      </x:c>
      <x:c r="AI2688" t="n">
        <x:f>--AND(Q2688=1,AF2688=1,AE2688="HALLUCINATION")</x:f>
        <x:v>0</x:v>
      </x:c>
      <x:c r="AJ2688" t="n">
        <x:f>--AND(AI2688=1,R2688=1,S2688=1)</x:f>
        <x:v>0</x:v>
      </x:c>
    </x:row>
    <x:row r="2689">
      <x:c r="A2689" s="28"/>
      <x:c r="B2689" s="28"/>
      <x:c r="C2689" s="28"/>
      <x:c r="D2689" s="28"/>
      <x:c r="E2689" s="28"/>
      <x:c r="F2689" s="28"/>
      <x:c r="G2689" s="28"/>
      <x:c r="H2689" s="28"/>
      <x:c r="I2689" s="28"/>
      <x:c r="J2689" s="28"/>
      <x:c r="K2689" s="28"/>
      <x:c r="L2689" s="28"/>
      <x:c r="M2689" s="28"/>
      <x:c r="N2689" s="28"/>
      <x:c r="O2689" s="28"/>
      <x:c r="P2689" s="28"/>
      <x:c r="Q2689" s="28"/>
      <x:c r="R2689" s="28"/>
      <x:c r="S2689" s="28"/>
      <x:c r="T2689" s="28"/>
      <x:c r="U2689" s="28"/>
      <x:c r="V2689" s="28"/>
      <x:c r="W2689" s="43" t="n">
        <x:f>--AND(N2689=1,OR(O2689="SUPPORTED",O2689="HALLUCINATION"))</x:f>
        <x:v>0</x:v>
      </x:c>
      <x:c r="X2689" s="43" t="n">
        <x:f>--AND(W2689=1,O2689="HALLUCINATION")</x:f>
        <x:v>0</x:v>
      </x:c>
      <x:c r="Y2689" s="43" t="n">
        <x:f>--AND(Q2689=1,O2689="HALLUCINATION")</x:f>
        <x:v>0</x:v>
      </x:c>
      <x:c r="Z2689" s="43" t="n">
        <x:f>--AND(Y2689=1,R2689=1,S2689=1)</x:f>
        <x:v>0</x:v>
      </x:c>
      <x:c r="AC2689" t="str">
        <x:f>IF(OR(AA2689="",AB2689=""),"",--(AA2689&lt;&gt;AB2689))</x:f>
      </x:c>
      <x:c r="AE2689" t="str">
        <x:f>IF(OR(AA2689="",AB2689=""),"PENDING_HUMAN",IF(AA2689=AB2689,AA2689,IF(AD2689&lt;&gt;"",AD2689,"PENDING_HUMAN")))</x:f>
        <x:v>PENDING_HUMAN</x:v>
      </x:c>
      <x:c r="AF2689" t="n">
        <x:f>--AND(A2689&lt;&gt;"",AA2689&lt;&gt;"",AB2689&lt;&gt;"",OR(AA2689=AB2689,AD2689&lt;&gt;""),IF(AE2689="HALLUCINATION",U2689&lt;&gt;"",TRUE))</x:f>
        <x:v>0</x:v>
      </x:c>
      <x:c r="AG2689" t="n">
        <x:f>--AND(N2689=1,AF2689=1,OR(AE2689="SUPPORTED",AE2689="HALLUCINATION"))</x:f>
        <x:v>0</x:v>
      </x:c>
      <x:c r="AH2689" t="n">
        <x:f>--AND(AG2689=1,AE2689="HALLUCINATION")</x:f>
        <x:v>0</x:v>
      </x:c>
      <x:c r="AI2689" t="n">
        <x:f>--AND(Q2689=1,AF2689=1,AE2689="HALLUCINATION")</x:f>
        <x:v>0</x:v>
      </x:c>
      <x:c r="AJ2689" t="n">
        <x:f>--AND(AI2689=1,R2689=1,S2689=1)</x:f>
        <x:v>0</x:v>
      </x:c>
    </x:row>
    <x:row r="2690">
      <x:c r="A2690" s="28"/>
      <x:c r="B2690" s="28"/>
      <x:c r="C2690" s="28"/>
      <x:c r="D2690" s="28"/>
      <x:c r="E2690" s="28"/>
      <x:c r="F2690" s="28"/>
      <x:c r="G2690" s="28"/>
      <x:c r="H2690" s="28"/>
      <x:c r="I2690" s="28"/>
      <x:c r="J2690" s="28"/>
      <x:c r="K2690" s="28"/>
      <x:c r="L2690" s="28"/>
      <x:c r="M2690" s="28"/>
      <x:c r="N2690" s="28"/>
      <x:c r="O2690" s="28"/>
      <x:c r="P2690" s="28"/>
      <x:c r="Q2690" s="28"/>
      <x:c r="R2690" s="28"/>
      <x:c r="S2690" s="28"/>
      <x:c r="T2690" s="28"/>
      <x:c r="U2690" s="28"/>
      <x:c r="V2690" s="28"/>
      <x:c r="W2690" s="43" t="n">
        <x:f>--AND(N2690=1,OR(O2690="SUPPORTED",O2690="HALLUCINATION"))</x:f>
        <x:v>0</x:v>
      </x:c>
      <x:c r="X2690" s="43" t="n">
        <x:f>--AND(W2690=1,O2690="HALLUCINATION")</x:f>
        <x:v>0</x:v>
      </x:c>
      <x:c r="Y2690" s="43" t="n">
        <x:f>--AND(Q2690=1,O2690="HALLUCINATION")</x:f>
        <x:v>0</x:v>
      </x:c>
      <x:c r="Z2690" s="43" t="n">
        <x:f>--AND(Y2690=1,R2690=1,S2690=1)</x:f>
        <x:v>0</x:v>
      </x:c>
      <x:c r="AC2690" t="str">
        <x:f>IF(OR(AA2690="",AB2690=""),"",--(AA2690&lt;&gt;AB2690))</x:f>
      </x:c>
      <x:c r="AE2690" t="str">
        <x:f>IF(OR(AA2690="",AB2690=""),"PENDING_HUMAN",IF(AA2690=AB2690,AA2690,IF(AD2690&lt;&gt;"",AD2690,"PENDING_HUMAN")))</x:f>
        <x:v>PENDING_HUMAN</x:v>
      </x:c>
      <x:c r="AF2690" t="n">
        <x:f>--AND(A2690&lt;&gt;"",AA2690&lt;&gt;"",AB2690&lt;&gt;"",OR(AA2690=AB2690,AD2690&lt;&gt;""),IF(AE2690="HALLUCINATION",U2690&lt;&gt;"",TRUE))</x:f>
        <x:v>0</x:v>
      </x:c>
      <x:c r="AG2690" t="n">
        <x:f>--AND(N2690=1,AF2690=1,OR(AE2690="SUPPORTED",AE2690="HALLUCINATION"))</x:f>
        <x:v>0</x:v>
      </x:c>
      <x:c r="AH2690" t="n">
        <x:f>--AND(AG2690=1,AE2690="HALLUCINATION")</x:f>
        <x:v>0</x:v>
      </x:c>
      <x:c r="AI2690" t="n">
        <x:f>--AND(Q2690=1,AF2690=1,AE2690="HALLUCINATION")</x:f>
        <x:v>0</x:v>
      </x:c>
      <x:c r="AJ2690" t="n">
        <x:f>--AND(AI2690=1,R2690=1,S2690=1)</x:f>
        <x:v>0</x:v>
      </x:c>
    </x:row>
    <x:row r="2691">
      <x:c r="A2691" s="28"/>
      <x:c r="B2691" s="28"/>
      <x:c r="C2691" s="28"/>
      <x:c r="D2691" s="28"/>
      <x:c r="E2691" s="28"/>
      <x:c r="F2691" s="28"/>
      <x:c r="G2691" s="28"/>
      <x:c r="H2691" s="28"/>
      <x:c r="I2691" s="28"/>
      <x:c r="J2691" s="28"/>
      <x:c r="K2691" s="28"/>
      <x:c r="L2691" s="28"/>
      <x:c r="M2691" s="28"/>
      <x:c r="N2691" s="28"/>
      <x:c r="O2691" s="28"/>
      <x:c r="P2691" s="28"/>
      <x:c r="Q2691" s="28"/>
      <x:c r="R2691" s="28"/>
      <x:c r="S2691" s="28"/>
      <x:c r="T2691" s="28"/>
      <x:c r="U2691" s="28"/>
      <x:c r="V2691" s="28"/>
      <x:c r="W2691" s="43" t="n">
        <x:f>--AND(N2691=1,OR(O2691="SUPPORTED",O2691="HALLUCINATION"))</x:f>
        <x:v>0</x:v>
      </x:c>
      <x:c r="X2691" s="43" t="n">
        <x:f>--AND(W2691=1,O2691="HALLUCINATION")</x:f>
        <x:v>0</x:v>
      </x:c>
      <x:c r="Y2691" s="43" t="n">
        <x:f>--AND(Q2691=1,O2691="HALLUCINATION")</x:f>
        <x:v>0</x:v>
      </x:c>
      <x:c r="Z2691" s="43" t="n">
        <x:f>--AND(Y2691=1,R2691=1,S2691=1)</x:f>
        <x:v>0</x:v>
      </x:c>
      <x:c r="AC2691" t="str">
        <x:f>IF(OR(AA2691="",AB2691=""),"",--(AA2691&lt;&gt;AB2691))</x:f>
      </x:c>
      <x:c r="AE2691" t="str">
        <x:f>IF(OR(AA2691="",AB2691=""),"PENDING_HUMAN",IF(AA2691=AB2691,AA2691,IF(AD2691&lt;&gt;"",AD2691,"PENDING_HUMAN")))</x:f>
        <x:v>PENDING_HUMAN</x:v>
      </x:c>
      <x:c r="AF2691" t="n">
        <x:f>--AND(A2691&lt;&gt;"",AA2691&lt;&gt;"",AB2691&lt;&gt;"",OR(AA2691=AB2691,AD2691&lt;&gt;""),IF(AE2691="HALLUCINATION",U2691&lt;&gt;"",TRUE))</x:f>
        <x:v>0</x:v>
      </x:c>
      <x:c r="AG2691" t="n">
        <x:f>--AND(N2691=1,AF2691=1,OR(AE2691="SUPPORTED",AE2691="HALLUCINATION"))</x:f>
        <x:v>0</x:v>
      </x:c>
      <x:c r="AH2691" t="n">
        <x:f>--AND(AG2691=1,AE2691="HALLUCINATION")</x:f>
        <x:v>0</x:v>
      </x:c>
      <x:c r="AI2691" t="n">
        <x:f>--AND(Q2691=1,AF2691=1,AE2691="HALLUCINATION")</x:f>
        <x:v>0</x:v>
      </x:c>
      <x:c r="AJ2691" t="n">
        <x:f>--AND(AI2691=1,R2691=1,S2691=1)</x:f>
        <x:v>0</x:v>
      </x:c>
    </x:row>
    <x:row r="2692">
      <x:c r="A2692" s="28"/>
      <x:c r="B2692" s="28"/>
      <x:c r="C2692" s="28"/>
      <x:c r="D2692" s="28"/>
      <x:c r="E2692" s="28"/>
      <x:c r="F2692" s="28"/>
      <x:c r="G2692" s="28"/>
      <x:c r="H2692" s="28"/>
      <x:c r="I2692" s="28"/>
      <x:c r="J2692" s="28"/>
      <x:c r="K2692" s="28"/>
      <x:c r="L2692" s="28"/>
      <x:c r="M2692" s="28"/>
      <x:c r="N2692" s="28"/>
      <x:c r="O2692" s="28"/>
      <x:c r="P2692" s="28"/>
      <x:c r="Q2692" s="28"/>
      <x:c r="R2692" s="28"/>
      <x:c r="S2692" s="28"/>
      <x:c r="T2692" s="28"/>
      <x:c r="U2692" s="28"/>
      <x:c r="V2692" s="28"/>
      <x:c r="W2692" s="43" t="n">
        <x:f>--AND(N2692=1,OR(O2692="SUPPORTED",O2692="HALLUCINATION"))</x:f>
        <x:v>0</x:v>
      </x:c>
      <x:c r="X2692" s="43" t="n">
        <x:f>--AND(W2692=1,O2692="HALLUCINATION")</x:f>
        <x:v>0</x:v>
      </x:c>
      <x:c r="Y2692" s="43" t="n">
        <x:f>--AND(Q2692=1,O2692="HALLUCINATION")</x:f>
        <x:v>0</x:v>
      </x:c>
      <x:c r="Z2692" s="43" t="n">
        <x:f>--AND(Y2692=1,R2692=1,S2692=1)</x:f>
        <x:v>0</x:v>
      </x:c>
      <x:c r="AC2692" t="str">
        <x:f>IF(OR(AA2692="",AB2692=""),"",--(AA2692&lt;&gt;AB2692))</x:f>
      </x:c>
      <x:c r="AE2692" t="str">
        <x:f>IF(OR(AA2692="",AB2692=""),"PENDING_HUMAN",IF(AA2692=AB2692,AA2692,IF(AD2692&lt;&gt;"",AD2692,"PENDING_HUMAN")))</x:f>
        <x:v>PENDING_HUMAN</x:v>
      </x:c>
      <x:c r="AF2692" t="n">
        <x:f>--AND(A2692&lt;&gt;"",AA2692&lt;&gt;"",AB2692&lt;&gt;"",OR(AA2692=AB2692,AD2692&lt;&gt;""),IF(AE2692="HALLUCINATION",U2692&lt;&gt;"",TRUE))</x:f>
        <x:v>0</x:v>
      </x:c>
      <x:c r="AG2692" t="n">
        <x:f>--AND(N2692=1,AF2692=1,OR(AE2692="SUPPORTED",AE2692="HALLUCINATION"))</x:f>
        <x:v>0</x:v>
      </x:c>
      <x:c r="AH2692" t="n">
        <x:f>--AND(AG2692=1,AE2692="HALLUCINATION")</x:f>
        <x:v>0</x:v>
      </x:c>
      <x:c r="AI2692" t="n">
        <x:f>--AND(Q2692=1,AF2692=1,AE2692="HALLUCINATION")</x:f>
        <x:v>0</x:v>
      </x:c>
      <x:c r="AJ2692" t="n">
        <x:f>--AND(AI2692=1,R2692=1,S2692=1)</x:f>
        <x:v>0</x:v>
      </x:c>
    </x:row>
    <x:row r="2693">
      <x:c r="A2693" s="28"/>
      <x:c r="B2693" s="28"/>
      <x:c r="C2693" s="28"/>
      <x:c r="D2693" s="28"/>
      <x:c r="E2693" s="28"/>
      <x:c r="F2693" s="28"/>
      <x:c r="G2693" s="28"/>
      <x:c r="H2693" s="28"/>
      <x:c r="I2693" s="28"/>
      <x:c r="J2693" s="28"/>
      <x:c r="K2693" s="28"/>
      <x:c r="L2693" s="28"/>
      <x:c r="M2693" s="28"/>
      <x:c r="N2693" s="28"/>
      <x:c r="O2693" s="28"/>
      <x:c r="P2693" s="28"/>
      <x:c r="Q2693" s="28"/>
      <x:c r="R2693" s="28"/>
      <x:c r="S2693" s="28"/>
      <x:c r="T2693" s="28"/>
      <x:c r="U2693" s="28"/>
      <x:c r="V2693" s="28"/>
      <x:c r="W2693" s="43" t="n">
        <x:f>--AND(N2693=1,OR(O2693="SUPPORTED",O2693="HALLUCINATION"))</x:f>
        <x:v>0</x:v>
      </x:c>
      <x:c r="X2693" s="43" t="n">
        <x:f>--AND(W2693=1,O2693="HALLUCINATION")</x:f>
        <x:v>0</x:v>
      </x:c>
      <x:c r="Y2693" s="43" t="n">
        <x:f>--AND(Q2693=1,O2693="HALLUCINATION")</x:f>
        <x:v>0</x:v>
      </x:c>
      <x:c r="Z2693" s="43" t="n">
        <x:f>--AND(Y2693=1,R2693=1,S2693=1)</x:f>
        <x:v>0</x:v>
      </x:c>
      <x:c r="AC2693" t="str">
        <x:f>IF(OR(AA2693="",AB2693=""),"",--(AA2693&lt;&gt;AB2693))</x:f>
      </x:c>
      <x:c r="AE2693" t="str">
        <x:f>IF(OR(AA2693="",AB2693=""),"PENDING_HUMAN",IF(AA2693=AB2693,AA2693,IF(AD2693&lt;&gt;"",AD2693,"PENDING_HUMAN")))</x:f>
        <x:v>PENDING_HUMAN</x:v>
      </x:c>
      <x:c r="AF2693" t="n">
        <x:f>--AND(A2693&lt;&gt;"",AA2693&lt;&gt;"",AB2693&lt;&gt;"",OR(AA2693=AB2693,AD2693&lt;&gt;""),IF(AE2693="HALLUCINATION",U2693&lt;&gt;"",TRUE))</x:f>
        <x:v>0</x:v>
      </x:c>
      <x:c r="AG2693" t="n">
        <x:f>--AND(N2693=1,AF2693=1,OR(AE2693="SUPPORTED",AE2693="HALLUCINATION"))</x:f>
        <x:v>0</x:v>
      </x:c>
      <x:c r="AH2693" t="n">
        <x:f>--AND(AG2693=1,AE2693="HALLUCINATION")</x:f>
        <x:v>0</x:v>
      </x:c>
      <x:c r="AI2693" t="n">
        <x:f>--AND(Q2693=1,AF2693=1,AE2693="HALLUCINATION")</x:f>
        <x:v>0</x:v>
      </x:c>
      <x:c r="AJ2693" t="n">
        <x:f>--AND(AI2693=1,R2693=1,S2693=1)</x:f>
        <x:v>0</x:v>
      </x:c>
    </x:row>
    <x:row r="2694">
      <x:c r="A2694" s="28"/>
      <x:c r="B2694" s="28"/>
      <x:c r="C2694" s="28"/>
      <x:c r="D2694" s="28"/>
      <x:c r="E2694" s="28"/>
      <x:c r="F2694" s="28"/>
      <x:c r="G2694" s="28"/>
      <x:c r="H2694" s="28"/>
      <x:c r="I2694" s="28"/>
      <x:c r="J2694" s="28"/>
      <x:c r="K2694" s="28"/>
      <x:c r="L2694" s="28"/>
      <x:c r="M2694" s="28"/>
      <x:c r="N2694" s="28"/>
      <x:c r="O2694" s="28"/>
      <x:c r="P2694" s="28"/>
      <x:c r="Q2694" s="28"/>
      <x:c r="R2694" s="28"/>
      <x:c r="S2694" s="28"/>
      <x:c r="T2694" s="28"/>
      <x:c r="U2694" s="28"/>
      <x:c r="V2694" s="28"/>
      <x:c r="W2694" s="43" t="n">
        <x:f>--AND(N2694=1,OR(O2694="SUPPORTED",O2694="HALLUCINATION"))</x:f>
        <x:v>0</x:v>
      </x:c>
      <x:c r="X2694" s="43" t="n">
        <x:f>--AND(W2694=1,O2694="HALLUCINATION")</x:f>
        <x:v>0</x:v>
      </x:c>
      <x:c r="Y2694" s="43" t="n">
        <x:f>--AND(Q2694=1,O2694="HALLUCINATION")</x:f>
        <x:v>0</x:v>
      </x:c>
      <x:c r="Z2694" s="43" t="n">
        <x:f>--AND(Y2694=1,R2694=1,S2694=1)</x:f>
        <x:v>0</x:v>
      </x:c>
      <x:c r="AC2694" t="str">
        <x:f>IF(OR(AA2694="",AB2694=""),"",--(AA2694&lt;&gt;AB2694))</x:f>
      </x:c>
      <x:c r="AE2694" t="str">
        <x:f>IF(OR(AA2694="",AB2694=""),"PENDING_HUMAN",IF(AA2694=AB2694,AA2694,IF(AD2694&lt;&gt;"",AD2694,"PENDING_HUMAN")))</x:f>
        <x:v>PENDING_HUMAN</x:v>
      </x:c>
      <x:c r="AF2694" t="n">
        <x:f>--AND(A2694&lt;&gt;"",AA2694&lt;&gt;"",AB2694&lt;&gt;"",OR(AA2694=AB2694,AD2694&lt;&gt;""),IF(AE2694="HALLUCINATION",U2694&lt;&gt;"",TRUE))</x:f>
        <x:v>0</x:v>
      </x:c>
      <x:c r="AG2694" t="n">
        <x:f>--AND(N2694=1,AF2694=1,OR(AE2694="SUPPORTED",AE2694="HALLUCINATION"))</x:f>
        <x:v>0</x:v>
      </x:c>
      <x:c r="AH2694" t="n">
        <x:f>--AND(AG2694=1,AE2694="HALLUCINATION")</x:f>
        <x:v>0</x:v>
      </x:c>
      <x:c r="AI2694" t="n">
        <x:f>--AND(Q2694=1,AF2694=1,AE2694="HALLUCINATION")</x:f>
        <x:v>0</x:v>
      </x:c>
      <x:c r="AJ2694" t="n">
        <x:f>--AND(AI2694=1,R2694=1,S2694=1)</x:f>
        <x:v>0</x:v>
      </x:c>
    </x:row>
    <x:row r="2695">
      <x:c r="A2695" s="28"/>
      <x:c r="B2695" s="28"/>
      <x:c r="C2695" s="28"/>
      <x:c r="D2695" s="28"/>
      <x:c r="E2695" s="28"/>
      <x:c r="F2695" s="28"/>
      <x:c r="G2695" s="28"/>
      <x:c r="H2695" s="28"/>
      <x:c r="I2695" s="28"/>
      <x:c r="J2695" s="28"/>
      <x:c r="K2695" s="28"/>
      <x:c r="L2695" s="28"/>
      <x:c r="M2695" s="28"/>
      <x:c r="N2695" s="28"/>
      <x:c r="O2695" s="28"/>
      <x:c r="P2695" s="28"/>
      <x:c r="Q2695" s="28"/>
      <x:c r="R2695" s="28"/>
      <x:c r="S2695" s="28"/>
      <x:c r="T2695" s="28"/>
      <x:c r="U2695" s="28"/>
      <x:c r="V2695" s="28"/>
      <x:c r="W2695" s="43" t="n">
        <x:f>--AND(N2695=1,OR(O2695="SUPPORTED",O2695="HALLUCINATION"))</x:f>
        <x:v>0</x:v>
      </x:c>
      <x:c r="X2695" s="43" t="n">
        <x:f>--AND(W2695=1,O2695="HALLUCINATION")</x:f>
        <x:v>0</x:v>
      </x:c>
      <x:c r="Y2695" s="43" t="n">
        <x:f>--AND(Q2695=1,O2695="HALLUCINATION")</x:f>
        <x:v>0</x:v>
      </x:c>
      <x:c r="Z2695" s="43" t="n">
        <x:f>--AND(Y2695=1,R2695=1,S2695=1)</x:f>
        <x:v>0</x:v>
      </x:c>
      <x:c r="AC2695" t="str">
        <x:f>IF(OR(AA2695="",AB2695=""),"",--(AA2695&lt;&gt;AB2695))</x:f>
      </x:c>
      <x:c r="AE2695" t="str">
        <x:f>IF(OR(AA2695="",AB2695=""),"PENDING_HUMAN",IF(AA2695=AB2695,AA2695,IF(AD2695&lt;&gt;"",AD2695,"PENDING_HUMAN")))</x:f>
        <x:v>PENDING_HUMAN</x:v>
      </x:c>
      <x:c r="AF2695" t="n">
        <x:f>--AND(A2695&lt;&gt;"",AA2695&lt;&gt;"",AB2695&lt;&gt;"",OR(AA2695=AB2695,AD2695&lt;&gt;""),IF(AE2695="HALLUCINATION",U2695&lt;&gt;"",TRUE))</x:f>
        <x:v>0</x:v>
      </x:c>
      <x:c r="AG2695" t="n">
        <x:f>--AND(N2695=1,AF2695=1,OR(AE2695="SUPPORTED",AE2695="HALLUCINATION"))</x:f>
        <x:v>0</x:v>
      </x:c>
      <x:c r="AH2695" t="n">
        <x:f>--AND(AG2695=1,AE2695="HALLUCINATION")</x:f>
        <x:v>0</x:v>
      </x:c>
      <x:c r="AI2695" t="n">
        <x:f>--AND(Q2695=1,AF2695=1,AE2695="HALLUCINATION")</x:f>
        <x:v>0</x:v>
      </x:c>
      <x:c r="AJ2695" t="n">
        <x:f>--AND(AI2695=1,R2695=1,S2695=1)</x:f>
        <x:v>0</x:v>
      </x:c>
    </x:row>
    <x:row r="2696">
      <x:c r="A2696" s="28"/>
      <x:c r="B2696" s="28"/>
      <x:c r="C2696" s="28"/>
      <x:c r="D2696" s="28"/>
      <x:c r="E2696" s="28"/>
      <x:c r="F2696" s="28"/>
      <x:c r="G2696" s="28"/>
      <x:c r="H2696" s="28"/>
      <x:c r="I2696" s="28"/>
      <x:c r="J2696" s="28"/>
      <x:c r="K2696" s="28"/>
      <x:c r="L2696" s="28"/>
      <x:c r="M2696" s="28"/>
      <x:c r="N2696" s="28"/>
      <x:c r="O2696" s="28"/>
      <x:c r="P2696" s="28"/>
      <x:c r="Q2696" s="28"/>
      <x:c r="R2696" s="28"/>
      <x:c r="S2696" s="28"/>
      <x:c r="T2696" s="28"/>
      <x:c r="U2696" s="28"/>
      <x:c r="V2696" s="28"/>
      <x:c r="W2696" s="43" t="n">
        <x:f>--AND(N2696=1,OR(O2696="SUPPORTED",O2696="HALLUCINATION"))</x:f>
        <x:v>0</x:v>
      </x:c>
      <x:c r="X2696" s="43" t="n">
        <x:f>--AND(W2696=1,O2696="HALLUCINATION")</x:f>
        <x:v>0</x:v>
      </x:c>
      <x:c r="Y2696" s="43" t="n">
        <x:f>--AND(Q2696=1,O2696="HALLUCINATION")</x:f>
        <x:v>0</x:v>
      </x:c>
      <x:c r="Z2696" s="43" t="n">
        <x:f>--AND(Y2696=1,R2696=1,S2696=1)</x:f>
        <x:v>0</x:v>
      </x:c>
      <x:c r="AC2696" t="str">
        <x:f>IF(OR(AA2696="",AB2696=""),"",--(AA2696&lt;&gt;AB2696))</x:f>
      </x:c>
      <x:c r="AE2696" t="str">
        <x:f>IF(OR(AA2696="",AB2696=""),"PENDING_HUMAN",IF(AA2696=AB2696,AA2696,IF(AD2696&lt;&gt;"",AD2696,"PENDING_HUMAN")))</x:f>
        <x:v>PENDING_HUMAN</x:v>
      </x:c>
      <x:c r="AF2696" t="n">
        <x:f>--AND(A2696&lt;&gt;"",AA2696&lt;&gt;"",AB2696&lt;&gt;"",OR(AA2696=AB2696,AD2696&lt;&gt;""),IF(AE2696="HALLUCINATION",U2696&lt;&gt;"",TRUE))</x:f>
        <x:v>0</x:v>
      </x:c>
      <x:c r="AG2696" t="n">
        <x:f>--AND(N2696=1,AF2696=1,OR(AE2696="SUPPORTED",AE2696="HALLUCINATION"))</x:f>
        <x:v>0</x:v>
      </x:c>
      <x:c r="AH2696" t="n">
        <x:f>--AND(AG2696=1,AE2696="HALLUCINATION")</x:f>
        <x:v>0</x:v>
      </x:c>
      <x:c r="AI2696" t="n">
        <x:f>--AND(Q2696=1,AF2696=1,AE2696="HALLUCINATION")</x:f>
        <x:v>0</x:v>
      </x:c>
      <x:c r="AJ2696" t="n">
        <x:f>--AND(AI2696=1,R2696=1,S2696=1)</x:f>
        <x:v>0</x:v>
      </x:c>
    </x:row>
    <x:row r="2697">
      <x:c r="A2697" s="28"/>
      <x:c r="B2697" s="28"/>
      <x:c r="C2697" s="28"/>
      <x:c r="D2697" s="28"/>
      <x:c r="E2697" s="28"/>
      <x:c r="F2697" s="28"/>
      <x:c r="G2697" s="28"/>
      <x:c r="H2697" s="28"/>
      <x:c r="I2697" s="28"/>
      <x:c r="J2697" s="28"/>
      <x:c r="K2697" s="28"/>
      <x:c r="L2697" s="28"/>
      <x:c r="M2697" s="28"/>
      <x:c r="N2697" s="28"/>
      <x:c r="O2697" s="28"/>
      <x:c r="P2697" s="28"/>
      <x:c r="Q2697" s="28"/>
      <x:c r="R2697" s="28"/>
      <x:c r="S2697" s="28"/>
      <x:c r="T2697" s="28"/>
      <x:c r="U2697" s="28"/>
      <x:c r="V2697" s="28"/>
      <x:c r="W2697" s="43" t="n">
        <x:f>--AND(N2697=1,OR(O2697="SUPPORTED",O2697="HALLUCINATION"))</x:f>
        <x:v>0</x:v>
      </x:c>
      <x:c r="X2697" s="43" t="n">
        <x:f>--AND(W2697=1,O2697="HALLUCINATION")</x:f>
        <x:v>0</x:v>
      </x:c>
      <x:c r="Y2697" s="43" t="n">
        <x:f>--AND(Q2697=1,O2697="HALLUCINATION")</x:f>
        <x:v>0</x:v>
      </x:c>
      <x:c r="Z2697" s="43" t="n">
        <x:f>--AND(Y2697=1,R2697=1,S2697=1)</x:f>
        <x:v>0</x:v>
      </x:c>
      <x:c r="AC2697" t="str">
        <x:f>IF(OR(AA2697="",AB2697=""),"",--(AA2697&lt;&gt;AB2697))</x:f>
      </x:c>
      <x:c r="AE2697" t="str">
        <x:f>IF(OR(AA2697="",AB2697=""),"PENDING_HUMAN",IF(AA2697=AB2697,AA2697,IF(AD2697&lt;&gt;"",AD2697,"PENDING_HUMAN")))</x:f>
        <x:v>PENDING_HUMAN</x:v>
      </x:c>
      <x:c r="AF2697" t="n">
        <x:f>--AND(A2697&lt;&gt;"",AA2697&lt;&gt;"",AB2697&lt;&gt;"",OR(AA2697=AB2697,AD2697&lt;&gt;""),IF(AE2697="HALLUCINATION",U2697&lt;&gt;"",TRUE))</x:f>
        <x:v>0</x:v>
      </x:c>
      <x:c r="AG2697" t="n">
        <x:f>--AND(N2697=1,AF2697=1,OR(AE2697="SUPPORTED",AE2697="HALLUCINATION"))</x:f>
        <x:v>0</x:v>
      </x:c>
      <x:c r="AH2697" t="n">
        <x:f>--AND(AG2697=1,AE2697="HALLUCINATION")</x:f>
        <x:v>0</x:v>
      </x:c>
      <x:c r="AI2697" t="n">
        <x:f>--AND(Q2697=1,AF2697=1,AE2697="HALLUCINATION")</x:f>
        <x:v>0</x:v>
      </x:c>
      <x:c r="AJ2697" t="n">
        <x:f>--AND(AI2697=1,R2697=1,S2697=1)</x:f>
        <x:v>0</x:v>
      </x:c>
    </x:row>
    <x:row r="2698">
      <x:c r="A2698" s="28"/>
      <x:c r="B2698" s="28"/>
      <x:c r="C2698" s="28"/>
      <x:c r="D2698" s="28"/>
      <x:c r="E2698" s="28"/>
      <x:c r="F2698" s="28"/>
      <x:c r="G2698" s="28"/>
      <x:c r="H2698" s="28"/>
      <x:c r="I2698" s="28"/>
      <x:c r="J2698" s="28"/>
      <x:c r="K2698" s="28"/>
      <x:c r="L2698" s="28"/>
      <x:c r="M2698" s="28"/>
      <x:c r="N2698" s="28"/>
      <x:c r="O2698" s="28"/>
      <x:c r="P2698" s="28"/>
      <x:c r="Q2698" s="28"/>
      <x:c r="R2698" s="28"/>
      <x:c r="S2698" s="28"/>
      <x:c r="T2698" s="28"/>
      <x:c r="U2698" s="28"/>
      <x:c r="V2698" s="28"/>
      <x:c r="W2698" s="43" t="n">
        <x:f>--AND(N2698=1,OR(O2698="SUPPORTED",O2698="HALLUCINATION"))</x:f>
        <x:v>0</x:v>
      </x:c>
      <x:c r="X2698" s="43" t="n">
        <x:f>--AND(W2698=1,O2698="HALLUCINATION")</x:f>
        <x:v>0</x:v>
      </x:c>
      <x:c r="Y2698" s="43" t="n">
        <x:f>--AND(Q2698=1,O2698="HALLUCINATION")</x:f>
        <x:v>0</x:v>
      </x:c>
      <x:c r="Z2698" s="43" t="n">
        <x:f>--AND(Y2698=1,R2698=1,S2698=1)</x:f>
        <x:v>0</x:v>
      </x:c>
      <x:c r="AC2698" t="str">
        <x:f>IF(OR(AA2698="",AB2698=""),"",--(AA2698&lt;&gt;AB2698))</x:f>
      </x:c>
      <x:c r="AE2698" t="str">
        <x:f>IF(OR(AA2698="",AB2698=""),"PENDING_HUMAN",IF(AA2698=AB2698,AA2698,IF(AD2698&lt;&gt;"",AD2698,"PENDING_HUMAN")))</x:f>
        <x:v>PENDING_HUMAN</x:v>
      </x:c>
      <x:c r="AF2698" t="n">
        <x:f>--AND(A2698&lt;&gt;"",AA2698&lt;&gt;"",AB2698&lt;&gt;"",OR(AA2698=AB2698,AD2698&lt;&gt;""),IF(AE2698="HALLUCINATION",U2698&lt;&gt;"",TRUE))</x:f>
        <x:v>0</x:v>
      </x:c>
      <x:c r="AG2698" t="n">
        <x:f>--AND(N2698=1,AF2698=1,OR(AE2698="SUPPORTED",AE2698="HALLUCINATION"))</x:f>
        <x:v>0</x:v>
      </x:c>
      <x:c r="AH2698" t="n">
        <x:f>--AND(AG2698=1,AE2698="HALLUCINATION")</x:f>
        <x:v>0</x:v>
      </x:c>
      <x:c r="AI2698" t="n">
        <x:f>--AND(Q2698=1,AF2698=1,AE2698="HALLUCINATION")</x:f>
        <x:v>0</x:v>
      </x:c>
      <x:c r="AJ2698" t="n">
        <x:f>--AND(AI2698=1,R2698=1,S2698=1)</x:f>
        <x:v>0</x:v>
      </x:c>
    </x:row>
    <x:row r="2699">
      <x:c r="A2699" s="28"/>
      <x:c r="B2699" s="28"/>
      <x:c r="C2699" s="28"/>
      <x:c r="D2699" s="28"/>
      <x:c r="E2699" s="28"/>
      <x:c r="F2699" s="28"/>
      <x:c r="G2699" s="28"/>
      <x:c r="H2699" s="28"/>
      <x:c r="I2699" s="28"/>
      <x:c r="J2699" s="28"/>
      <x:c r="K2699" s="28"/>
      <x:c r="L2699" s="28"/>
      <x:c r="M2699" s="28"/>
      <x:c r="N2699" s="28"/>
      <x:c r="O2699" s="28"/>
      <x:c r="P2699" s="28"/>
      <x:c r="Q2699" s="28"/>
      <x:c r="R2699" s="28"/>
      <x:c r="S2699" s="28"/>
      <x:c r="T2699" s="28"/>
      <x:c r="U2699" s="28"/>
      <x:c r="V2699" s="28"/>
      <x:c r="W2699" s="43" t="n">
        <x:f>--AND(N2699=1,OR(O2699="SUPPORTED",O2699="HALLUCINATION"))</x:f>
        <x:v>0</x:v>
      </x:c>
      <x:c r="X2699" s="43" t="n">
        <x:f>--AND(W2699=1,O2699="HALLUCINATION")</x:f>
        <x:v>0</x:v>
      </x:c>
      <x:c r="Y2699" s="43" t="n">
        <x:f>--AND(Q2699=1,O2699="HALLUCINATION")</x:f>
        <x:v>0</x:v>
      </x:c>
      <x:c r="Z2699" s="43" t="n">
        <x:f>--AND(Y2699=1,R2699=1,S2699=1)</x:f>
        <x:v>0</x:v>
      </x:c>
      <x:c r="AC2699" t="str">
        <x:f>IF(OR(AA2699="",AB2699=""),"",--(AA2699&lt;&gt;AB2699))</x:f>
      </x:c>
      <x:c r="AE2699" t="str">
        <x:f>IF(OR(AA2699="",AB2699=""),"PENDING_HUMAN",IF(AA2699=AB2699,AA2699,IF(AD2699&lt;&gt;"",AD2699,"PENDING_HUMAN")))</x:f>
        <x:v>PENDING_HUMAN</x:v>
      </x:c>
      <x:c r="AF2699" t="n">
        <x:f>--AND(A2699&lt;&gt;"",AA2699&lt;&gt;"",AB2699&lt;&gt;"",OR(AA2699=AB2699,AD2699&lt;&gt;""),IF(AE2699="HALLUCINATION",U2699&lt;&gt;"",TRUE))</x:f>
        <x:v>0</x:v>
      </x:c>
      <x:c r="AG2699" t="n">
        <x:f>--AND(N2699=1,AF2699=1,OR(AE2699="SUPPORTED",AE2699="HALLUCINATION"))</x:f>
        <x:v>0</x:v>
      </x:c>
      <x:c r="AH2699" t="n">
        <x:f>--AND(AG2699=1,AE2699="HALLUCINATION")</x:f>
        <x:v>0</x:v>
      </x:c>
      <x:c r="AI2699" t="n">
        <x:f>--AND(Q2699=1,AF2699=1,AE2699="HALLUCINATION")</x:f>
        <x:v>0</x:v>
      </x:c>
      <x:c r="AJ2699" t="n">
        <x:f>--AND(AI2699=1,R2699=1,S2699=1)</x:f>
        <x:v>0</x:v>
      </x:c>
    </x:row>
    <x:row r="2700">
      <x:c r="A2700" s="28"/>
      <x:c r="B2700" s="28"/>
      <x:c r="C2700" s="28"/>
      <x:c r="D2700" s="28"/>
      <x:c r="E2700" s="28"/>
      <x:c r="F2700" s="28"/>
      <x:c r="G2700" s="28"/>
      <x:c r="H2700" s="28"/>
      <x:c r="I2700" s="28"/>
      <x:c r="J2700" s="28"/>
      <x:c r="K2700" s="28"/>
      <x:c r="L2700" s="28"/>
      <x:c r="M2700" s="28"/>
      <x:c r="N2700" s="28"/>
      <x:c r="O2700" s="28"/>
      <x:c r="P2700" s="28"/>
      <x:c r="Q2700" s="28"/>
      <x:c r="R2700" s="28"/>
      <x:c r="S2700" s="28"/>
      <x:c r="T2700" s="28"/>
      <x:c r="U2700" s="28"/>
      <x:c r="V2700" s="28"/>
      <x:c r="W2700" s="43" t="n">
        <x:f>--AND(N2700=1,OR(O2700="SUPPORTED",O2700="HALLUCINATION"))</x:f>
        <x:v>0</x:v>
      </x:c>
      <x:c r="X2700" s="43" t="n">
        <x:f>--AND(W2700=1,O2700="HALLUCINATION")</x:f>
        <x:v>0</x:v>
      </x:c>
      <x:c r="Y2700" s="43" t="n">
        <x:f>--AND(Q2700=1,O2700="HALLUCINATION")</x:f>
        <x:v>0</x:v>
      </x:c>
      <x:c r="Z2700" s="43" t="n">
        <x:f>--AND(Y2700=1,R2700=1,S2700=1)</x:f>
        <x:v>0</x:v>
      </x:c>
      <x:c r="AC2700" t="str">
        <x:f>IF(OR(AA2700="",AB2700=""),"",--(AA2700&lt;&gt;AB2700))</x:f>
      </x:c>
      <x:c r="AE2700" t="str">
        <x:f>IF(OR(AA2700="",AB2700=""),"PENDING_HUMAN",IF(AA2700=AB2700,AA2700,IF(AD2700&lt;&gt;"",AD2700,"PENDING_HUMAN")))</x:f>
        <x:v>PENDING_HUMAN</x:v>
      </x:c>
      <x:c r="AF2700" t="n">
        <x:f>--AND(A2700&lt;&gt;"",AA2700&lt;&gt;"",AB2700&lt;&gt;"",OR(AA2700=AB2700,AD2700&lt;&gt;""),IF(AE2700="HALLUCINATION",U2700&lt;&gt;"",TRUE))</x:f>
        <x:v>0</x:v>
      </x:c>
      <x:c r="AG2700" t="n">
        <x:f>--AND(N2700=1,AF2700=1,OR(AE2700="SUPPORTED",AE2700="HALLUCINATION"))</x:f>
        <x:v>0</x:v>
      </x:c>
      <x:c r="AH2700" t="n">
        <x:f>--AND(AG2700=1,AE2700="HALLUCINATION")</x:f>
        <x:v>0</x:v>
      </x:c>
      <x:c r="AI2700" t="n">
        <x:f>--AND(Q2700=1,AF2700=1,AE2700="HALLUCINATION")</x:f>
        <x:v>0</x:v>
      </x:c>
      <x:c r="AJ2700" t="n">
        <x:f>--AND(AI2700=1,R2700=1,S2700=1)</x:f>
        <x:v>0</x:v>
      </x:c>
    </x:row>
    <x:row r="2701">
      <x:c r="A2701" s="28"/>
      <x:c r="B2701" s="28"/>
      <x:c r="C2701" s="28"/>
      <x:c r="D2701" s="28"/>
      <x:c r="E2701" s="28"/>
      <x:c r="F2701" s="28"/>
      <x:c r="G2701" s="28"/>
      <x:c r="H2701" s="28"/>
      <x:c r="I2701" s="28"/>
      <x:c r="J2701" s="28"/>
      <x:c r="K2701" s="28"/>
      <x:c r="L2701" s="28"/>
      <x:c r="M2701" s="28"/>
      <x:c r="N2701" s="28"/>
      <x:c r="O2701" s="28"/>
      <x:c r="P2701" s="28"/>
      <x:c r="Q2701" s="28"/>
      <x:c r="R2701" s="28"/>
      <x:c r="S2701" s="28"/>
      <x:c r="T2701" s="28"/>
      <x:c r="U2701" s="28"/>
      <x:c r="V2701" s="28"/>
      <x:c r="W2701" s="43" t="n">
        <x:f>--AND(N2701=1,OR(O2701="SUPPORTED",O2701="HALLUCINATION"))</x:f>
        <x:v>0</x:v>
      </x:c>
      <x:c r="X2701" s="43" t="n">
        <x:f>--AND(W2701=1,O2701="HALLUCINATION")</x:f>
        <x:v>0</x:v>
      </x:c>
      <x:c r="Y2701" s="43" t="n">
        <x:f>--AND(Q2701=1,O2701="HALLUCINATION")</x:f>
        <x:v>0</x:v>
      </x:c>
      <x:c r="Z2701" s="43" t="n">
        <x:f>--AND(Y2701=1,R2701=1,S2701=1)</x:f>
        <x:v>0</x:v>
      </x:c>
      <x:c r="AC2701" t="str">
        <x:f>IF(OR(AA2701="",AB2701=""),"",--(AA2701&lt;&gt;AB2701))</x:f>
      </x:c>
      <x:c r="AE2701" t="str">
        <x:f>IF(OR(AA2701="",AB2701=""),"PENDING_HUMAN",IF(AA2701=AB2701,AA2701,IF(AD2701&lt;&gt;"",AD2701,"PENDING_HUMAN")))</x:f>
        <x:v>PENDING_HUMAN</x:v>
      </x:c>
      <x:c r="AF2701" t="n">
        <x:f>--AND(A2701&lt;&gt;"",AA2701&lt;&gt;"",AB2701&lt;&gt;"",OR(AA2701=AB2701,AD2701&lt;&gt;""),IF(AE2701="HALLUCINATION",U2701&lt;&gt;"",TRUE))</x:f>
        <x:v>0</x:v>
      </x:c>
      <x:c r="AG2701" t="n">
        <x:f>--AND(N2701=1,AF2701=1,OR(AE2701="SUPPORTED",AE2701="HALLUCINATION"))</x:f>
        <x:v>0</x:v>
      </x:c>
      <x:c r="AH2701" t="n">
        <x:f>--AND(AG2701=1,AE2701="HALLUCINATION")</x:f>
        <x:v>0</x:v>
      </x:c>
      <x:c r="AI2701" t="n">
        <x:f>--AND(Q2701=1,AF2701=1,AE2701="HALLUCINATION")</x:f>
        <x:v>0</x:v>
      </x:c>
      <x:c r="AJ2701" t="n">
        <x:f>--AND(AI2701=1,R2701=1,S2701=1)</x:f>
        <x:v>0</x:v>
      </x:c>
    </x:row>
    <x:row r="2702">
      <x:c r="A2702" s="28"/>
      <x:c r="B2702" s="28"/>
      <x:c r="C2702" s="28"/>
      <x:c r="D2702" s="28"/>
      <x:c r="E2702" s="28"/>
      <x:c r="F2702" s="28"/>
      <x:c r="G2702" s="28"/>
      <x:c r="H2702" s="28"/>
      <x:c r="I2702" s="28"/>
      <x:c r="J2702" s="28"/>
      <x:c r="K2702" s="28"/>
      <x:c r="L2702" s="28"/>
      <x:c r="M2702" s="28"/>
      <x:c r="N2702" s="28"/>
      <x:c r="O2702" s="28"/>
      <x:c r="P2702" s="28"/>
      <x:c r="Q2702" s="28"/>
      <x:c r="R2702" s="28"/>
      <x:c r="S2702" s="28"/>
      <x:c r="T2702" s="28"/>
      <x:c r="U2702" s="28"/>
      <x:c r="V2702" s="28"/>
      <x:c r="W2702" s="43" t="n">
        <x:f>--AND(N2702=1,OR(O2702="SUPPORTED",O2702="HALLUCINATION"))</x:f>
        <x:v>0</x:v>
      </x:c>
      <x:c r="X2702" s="43" t="n">
        <x:f>--AND(W2702=1,O2702="HALLUCINATION")</x:f>
        <x:v>0</x:v>
      </x:c>
      <x:c r="Y2702" s="43" t="n">
        <x:f>--AND(Q2702=1,O2702="HALLUCINATION")</x:f>
        <x:v>0</x:v>
      </x:c>
      <x:c r="Z2702" s="43" t="n">
        <x:f>--AND(Y2702=1,R2702=1,S2702=1)</x:f>
        <x:v>0</x:v>
      </x:c>
      <x:c r="AC2702" t="str">
        <x:f>IF(OR(AA2702="",AB2702=""),"",--(AA2702&lt;&gt;AB2702))</x:f>
      </x:c>
      <x:c r="AE2702" t="str">
        <x:f>IF(OR(AA2702="",AB2702=""),"PENDING_HUMAN",IF(AA2702=AB2702,AA2702,IF(AD2702&lt;&gt;"",AD2702,"PENDING_HUMAN")))</x:f>
        <x:v>PENDING_HUMAN</x:v>
      </x:c>
      <x:c r="AF2702" t="n">
        <x:f>--AND(A2702&lt;&gt;"",AA2702&lt;&gt;"",AB2702&lt;&gt;"",OR(AA2702=AB2702,AD2702&lt;&gt;""),IF(AE2702="HALLUCINATION",U2702&lt;&gt;"",TRUE))</x:f>
        <x:v>0</x:v>
      </x:c>
      <x:c r="AG2702" t="n">
        <x:f>--AND(N2702=1,AF2702=1,OR(AE2702="SUPPORTED",AE2702="HALLUCINATION"))</x:f>
        <x:v>0</x:v>
      </x:c>
      <x:c r="AH2702" t="n">
        <x:f>--AND(AG2702=1,AE2702="HALLUCINATION")</x:f>
        <x:v>0</x:v>
      </x:c>
      <x:c r="AI2702" t="n">
        <x:f>--AND(Q2702=1,AF2702=1,AE2702="HALLUCINATION")</x:f>
        <x:v>0</x:v>
      </x:c>
      <x:c r="AJ2702" t="n">
        <x:f>--AND(AI2702=1,R2702=1,S2702=1)</x:f>
        <x:v>0</x:v>
      </x:c>
    </x:row>
    <x:row r="2703">
      <x:c r="A2703" s="28"/>
      <x:c r="B2703" s="28"/>
      <x:c r="C2703" s="28"/>
      <x:c r="D2703" s="28"/>
      <x:c r="E2703" s="28"/>
      <x:c r="F2703" s="28"/>
      <x:c r="G2703" s="28"/>
      <x:c r="H2703" s="28"/>
      <x:c r="I2703" s="28"/>
      <x:c r="J2703" s="28"/>
      <x:c r="K2703" s="28"/>
      <x:c r="L2703" s="28"/>
      <x:c r="M2703" s="28"/>
      <x:c r="N2703" s="28"/>
      <x:c r="O2703" s="28"/>
      <x:c r="P2703" s="28"/>
      <x:c r="Q2703" s="28"/>
      <x:c r="R2703" s="28"/>
      <x:c r="S2703" s="28"/>
      <x:c r="T2703" s="28"/>
      <x:c r="U2703" s="28"/>
      <x:c r="V2703" s="28"/>
      <x:c r="W2703" s="43" t="n">
        <x:f>--AND(N2703=1,OR(O2703="SUPPORTED",O2703="HALLUCINATION"))</x:f>
        <x:v>0</x:v>
      </x:c>
      <x:c r="X2703" s="43" t="n">
        <x:f>--AND(W2703=1,O2703="HALLUCINATION")</x:f>
        <x:v>0</x:v>
      </x:c>
      <x:c r="Y2703" s="43" t="n">
        <x:f>--AND(Q2703=1,O2703="HALLUCINATION")</x:f>
        <x:v>0</x:v>
      </x:c>
      <x:c r="Z2703" s="43" t="n">
        <x:f>--AND(Y2703=1,R2703=1,S2703=1)</x:f>
        <x:v>0</x:v>
      </x:c>
      <x:c r="AC2703" t="str">
        <x:f>IF(OR(AA2703="",AB2703=""),"",--(AA2703&lt;&gt;AB2703))</x:f>
      </x:c>
      <x:c r="AE2703" t="str">
        <x:f>IF(OR(AA2703="",AB2703=""),"PENDING_HUMAN",IF(AA2703=AB2703,AA2703,IF(AD2703&lt;&gt;"",AD2703,"PENDING_HUMAN")))</x:f>
        <x:v>PENDING_HUMAN</x:v>
      </x:c>
      <x:c r="AF2703" t="n">
        <x:f>--AND(A2703&lt;&gt;"",AA2703&lt;&gt;"",AB2703&lt;&gt;"",OR(AA2703=AB2703,AD2703&lt;&gt;""),IF(AE2703="HALLUCINATION",U2703&lt;&gt;"",TRUE))</x:f>
        <x:v>0</x:v>
      </x:c>
      <x:c r="AG2703" t="n">
        <x:f>--AND(N2703=1,AF2703=1,OR(AE2703="SUPPORTED",AE2703="HALLUCINATION"))</x:f>
        <x:v>0</x:v>
      </x:c>
      <x:c r="AH2703" t="n">
        <x:f>--AND(AG2703=1,AE2703="HALLUCINATION")</x:f>
        <x:v>0</x:v>
      </x:c>
      <x:c r="AI2703" t="n">
        <x:f>--AND(Q2703=1,AF2703=1,AE2703="HALLUCINATION")</x:f>
        <x:v>0</x:v>
      </x:c>
      <x:c r="AJ2703" t="n">
        <x:f>--AND(AI2703=1,R2703=1,S2703=1)</x:f>
        <x:v>0</x:v>
      </x:c>
    </x:row>
    <x:row r="2704">
      <x:c r="A2704" s="28"/>
      <x:c r="B2704" s="28"/>
      <x:c r="C2704" s="28"/>
      <x:c r="D2704" s="28"/>
      <x:c r="E2704" s="28"/>
      <x:c r="F2704" s="28"/>
      <x:c r="G2704" s="28"/>
      <x:c r="H2704" s="28"/>
      <x:c r="I2704" s="28"/>
      <x:c r="J2704" s="28"/>
      <x:c r="K2704" s="28"/>
      <x:c r="L2704" s="28"/>
      <x:c r="M2704" s="28"/>
      <x:c r="N2704" s="28"/>
      <x:c r="O2704" s="28"/>
      <x:c r="P2704" s="28"/>
      <x:c r="Q2704" s="28"/>
      <x:c r="R2704" s="28"/>
      <x:c r="S2704" s="28"/>
      <x:c r="T2704" s="28"/>
      <x:c r="U2704" s="28"/>
      <x:c r="V2704" s="28"/>
      <x:c r="W2704" s="43" t="n">
        <x:f>--AND(N2704=1,OR(O2704="SUPPORTED",O2704="HALLUCINATION"))</x:f>
        <x:v>0</x:v>
      </x:c>
      <x:c r="X2704" s="43" t="n">
        <x:f>--AND(W2704=1,O2704="HALLUCINATION")</x:f>
        <x:v>0</x:v>
      </x:c>
      <x:c r="Y2704" s="43" t="n">
        <x:f>--AND(Q2704=1,O2704="HALLUCINATION")</x:f>
        <x:v>0</x:v>
      </x:c>
      <x:c r="Z2704" s="43" t="n">
        <x:f>--AND(Y2704=1,R2704=1,S2704=1)</x:f>
        <x:v>0</x:v>
      </x:c>
      <x:c r="AC2704" t="str">
        <x:f>IF(OR(AA2704="",AB2704=""),"",--(AA2704&lt;&gt;AB2704))</x:f>
      </x:c>
      <x:c r="AE2704" t="str">
        <x:f>IF(OR(AA2704="",AB2704=""),"PENDING_HUMAN",IF(AA2704=AB2704,AA2704,IF(AD2704&lt;&gt;"",AD2704,"PENDING_HUMAN")))</x:f>
        <x:v>PENDING_HUMAN</x:v>
      </x:c>
      <x:c r="AF2704" t="n">
        <x:f>--AND(A2704&lt;&gt;"",AA2704&lt;&gt;"",AB2704&lt;&gt;"",OR(AA2704=AB2704,AD2704&lt;&gt;""),IF(AE2704="HALLUCINATION",U2704&lt;&gt;"",TRUE))</x:f>
        <x:v>0</x:v>
      </x:c>
      <x:c r="AG2704" t="n">
        <x:f>--AND(N2704=1,AF2704=1,OR(AE2704="SUPPORTED",AE2704="HALLUCINATION"))</x:f>
        <x:v>0</x:v>
      </x:c>
      <x:c r="AH2704" t="n">
        <x:f>--AND(AG2704=1,AE2704="HALLUCINATION")</x:f>
        <x:v>0</x:v>
      </x:c>
      <x:c r="AI2704" t="n">
        <x:f>--AND(Q2704=1,AF2704=1,AE2704="HALLUCINATION")</x:f>
        <x:v>0</x:v>
      </x:c>
      <x:c r="AJ2704" t="n">
        <x:f>--AND(AI2704=1,R2704=1,S2704=1)</x:f>
        <x:v>0</x:v>
      </x:c>
    </x:row>
    <x:row r="2705">
      <x:c r="A2705" s="28"/>
      <x:c r="B2705" s="28"/>
      <x:c r="C2705" s="28"/>
      <x:c r="D2705" s="28"/>
      <x:c r="E2705" s="28"/>
      <x:c r="F2705" s="28"/>
      <x:c r="G2705" s="28"/>
      <x:c r="H2705" s="28"/>
      <x:c r="I2705" s="28"/>
      <x:c r="J2705" s="28"/>
      <x:c r="K2705" s="28"/>
      <x:c r="L2705" s="28"/>
      <x:c r="M2705" s="28"/>
      <x:c r="N2705" s="28"/>
      <x:c r="O2705" s="28"/>
      <x:c r="P2705" s="28"/>
      <x:c r="Q2705" s="28"/>
      <x:c r="R2705" s="28"/>
      <x:c r="S2705" s="28"/>
      <x:c r="T2705" s="28"/>
      <x:c r="U2705" s="28"/>
      <x:c r="V2705" s="28"/>
      <x:c r="W2705" s="43" t="n">
        <x:f>--AND(N2705=1,OR(O2705="SUPPORTED",O2705="HALLUCINATION"))</x:f>
        <x:v>0</x:v>
      </x:c>
      <x:c r="X2705" s="43" t="n">
        <x:f>--AND(W2705=1,O2705="HALLUCINATION")</x:f>
        <x:v>0</x:v>
      </x:c>
      <x:c r="Y2705" s="43" t="n">
        <x:f>--AND(Q2705=1,O2705="HALLUCINATION")</x:f>
        <x:v>0</x:v>
      </x:c>
      <x:c r="Z2705" s="43" t="n">
        <x:f>--AND(Y2705=1,R2705=1,S2705=1)</x:f>
        <x:v>0</x:v>
      </x:c>
      <x:c r="AC2705" t="str">
        <x:f>IF(OR(AA2705="",AB2705=""),"",--(AA2705&lt;&gt;AB2705))</x:f>
      </x:c>
      <x:c r="AE2705" t="str">
        <x:f>IF(OR(AA2705="",AB2705=""),"PENDING_HUMAN",IF(AA2705=AB2705,AA2705,IF(AD2705&lt;&gt;"",AD2705,"PENDING_HUMAN")))</x:f>
        <x:v>PENDING_HUMAN</x:v>
      </x:c>
      <x:c r="AF2705" t="n">
        <x:f>--AND(A2705&lt;&gt;"",AA2705&lt;&gt;"",AB2705&lt;&gt;"",OR(AA2705=AB2705,AD2705&lt;&gt;""),IF(AE2705="HALLUCINATION",U2705&lt;&gt;"",TRUE))</x:f>
        <x:v>0</x:v>
      </x:c>
      <x:c r="AG2705" t="n">
        <x:f>--AND(N2705=1,AF2705=1,OR(AE2705="SUPPORTED",AE2705="HALLUCINATION"))</x:f>
        <x:v>0</x:v>
      </x:c>
      <x:c r="AH2705" t="n">
        <x:f>--AND(AG2705=1,AE2705="HALLUCINATION")</x:f>
        <x:v>0</x:v>
      </x:c>
      <x:c r="AI2705" t="n">
        <x:f>--AND(Q2705=1,AF2705=1,AE2705="HALLUCINATION")</x:f>
        <x:v>0</x:v>
      </x:c>
      <x:c r="AJ2705" t="n">
        <x:f>--AND(AI2705=1,R2705=1,S2705=1)</x:f>
        <x:v>0</x:v>
      </x:c>
    </x:row>
    <x:row r="2706">
      <x:c r="A2706" s="28"/>
      <x:c r="B2706" s="28"/>
      <x:c r="C2706" s="28"/>
      <x:c r="D2706" s="28"/>
      <x:c r="E2706" s="28"/>
      <x:c r="F2706" s="28"/>
      <x:c r="G2706" s="28"/>
      <x:c r="H2706" s="28"/>
      <x:c r="I2706" s="28"/>
      <x:c r="J2706" s="28"/>
      <x:c r="K2706" s="28"/>
      <x:c r="L2706" s="28"/>
      <x:c r="M2706" s="28"/>
      <x:c r="N2706" s="28"/>
      <x:c r="O2706" s="28"/>
      <x:c r="P2706" s="28"/>
      <x:c r="Q2706" s="28"/>
      <x:c r="R2706" s="28"/>
      <x:c r="S2706" s="28"/>
      <x:c r="T2706" s="28"/>
      <x:c r="U2706" s="28"/>
      <x:c r="V2706" s="28"/>
      <x:c r="W2706" s="43" t="n">
        <x:f>--AND(N2706=1,OR(O2706="SUPPORTED",O2706="HALLUCINATION"))</x:f>
        <x:v>0</x:v>
      </x:c>
      <x:c r="X2706" s="43" t="n">
        <x:f>--AND(W2706=1,O2706="HALLUCINATION")</x:f>
        <x:v>0</x:v>
      </x:c>
      <x:c r="Y2706" s="43" t="n">
        <x:f>--AND(Q2706=1,O2706="HALLUCINATION")</x:f>
        <x:v>0</x:v>
      </x:c>
      <x:c r="Z2706" s="43" t="n">
        <x:f>--AND(Y2706=1,R2706=1,S2706=1)</x:f>
        <x:v>0</x:v>
      </x:c>
      <x:c r="AC2706" t="str">
        <x:f>IF(OR(AA2706="",AB2706=""),"",--(AA2706&lt;&gt;AB2706))</x:f>
      </x:c>
      <x:c r="AE2706" t="str">
        <x:f>IF(OR(AA2706="",AB2706=""),"PENDING_HUMAN",IF(AA2706=AB2706,AA2706,IF(AD2706&lt;&gt;"",AD2706,"PENDING_HUMAN")))</x:f>
        <x:v>PENDING_HUMAN</x:v>
      </x:c>
      <x:c r="AF2706" t="n">
        <x:f>--AND(A2706&lt;&gt;"",AA2706&lt;&gt;"",AB2706&lt;&gt;"",OR(AA2706=AB2706,AD2706&lt;&gt;""),IF(AE2706="HALLUCINATION",U2706&lt;&gt;"",TRUE))</x:f>
        <x:v>0</x:v>
      </x:c>
      <x:c r="AG2706" t="n">
        <x:f>--AND(N2706=1,AF2706=1,OR(AE2706="SUPPORTED",AE2706="HALLUCINATION"))</x:f>
        <x:v>0</x:v>
      </x:c>
      <x:c r="AH2706" t="n">
        <x:f>--AND(AG2706=1,AE2706="HALLUCINATION")</x:f>
        <x:v>0</x:v>
      </x:c>
      <x:c r="AI2706" t="n">
        <x:f>--AND(Q2706=1,AF2706=1,AE2706="HALLUCINATION")</x:f>
        <x:v>0</x:v>
      </x:c>
      <x:c r="AJ2706" t="n">
        <x:f>--AND(AI2706=1,R2706=1,S2706=1)</x:f>
        <x:v>0</x:v>
      </x:c>
    </x:row>
    <x:row r="2707">
      <x:c r="A2707" s="28"/>
      <x:c r="B2707" s="28"/>
      <x:c r="C2707" s="28"/>
      <x:c r="D2707" s="28"/>
      <x:c r="E2707" s="28"/>
      <x:c r="F2707" s="28"/>
      <x:c r="G2707" s="28"/>
      <x:c r="H2707" s="28"/>
      <x:c r="I2707" s="28"/>
      <x:c r="J2707" s="28"/>
      <x:c r="K2707" s="28"/>
      <x:c r="L2707" s="28"/>
      <x:c r="M2707" s="28"/>
      <x:c r="N2707" s="28"/>
      <x:c r="O2707" s="28"/>
      <x:c r="P2707" s="28"/>
      <x:c r="Q2707" s="28"/>
      <x:c r="R2707" s="28"/>
      <x:c r="S2707" s="28"/>
      <x:c r="T2707" s="28"/>
      <x:c r="U2707" s="28"/>
      <x:c r="V2707" s="28"/>
      <x:c r="W2707" s="43" t="n">
        <x:f>--AND(N2707=1,OR(O2707="SUPPORTED",O2707="HALLUCINATION"))</x:f>
        <x:v>0</x:v>
      </x:c>
      <x:c r="X2707" s="43" t="n">
        <x:f>--AND(W2707=1,O2707="HALLUCINATION")</x:f>
        <x:v>0</x:v>
      </x:c>
      <x:c r="Y2707" s="43" t="n">
        <x:f>--AND(Q2707=1,O2707="HALLUCINATION")</x:f>
        <x:v>0</x:v>
      </x:c>
      <x:c r="Z2707" s="43" t="n">
        <x:f>--AND(Y2707=1,R2707=1,S2707=1)</x:f>
        <x:v>0</x:v>
      </x:c>
      <x:c r="AC2707" t="str">
        <x:f>IF(OR(AA2707="",AB2707=""),"",--(AA2707&lt;&gt;AB2707))</x:f>
      </x:c>
      <x:c r="AE2707" t="str">
        <x:f>IF(OR(AA2707="",AB2707=""),"PENDING_HUMAN",IF(AA2707=AB2707,AA2707,IF(AD2707&lt;&gt;"",AD2707,"PENDING_HUMAN")))</x:f>
        <x:v>PENDING_HUMAN</x:v>
      </x:c>
      <x:c r="AF2707" t="n">
        <x:f>--AND(A2707&lt;&gt;"",AA2707&lt;&gt;"",AB2707&lt;&gt;"",OR(AA2707=AB2707,AD2707&lt;&gt;""),IF(AE2707="HALLUCINATION",U2707&lt;&gt;"",TRUE))</x:f>
        <x:v>0</x:v>
      </x:c>
      <x:c r="AG2707" t="n">
        <x:f>--AND(N2707=1,AF2707=1,OR(AE2707="SUPPORTED",AE2707="HALLUCINATION"))</x:f>
        <x:v>0</x:v>
      </x:c>
      <x:c r="AH2707" t="n">
        <x:f>--AND(AG2707=1,AE2707="HALLUCINATION")</x:f>
        <x:v>0</x:v>
      </x:c>
      <x:c r="AI2707" t="n">
        <x:f>--AND(Q2707=1,AF2707=1,AE2707="HALLUCINATION")</x:f>
        <x:v>0</x:v>
      </x:c>
      <x:c r="AJ2707" t="n">
        <x:f>--AND(AI2707=1,R2707=1,S2707=1)</x:f>
        <x:v>0</x:v>
      </x:c>
    </x:row>
    <x:row r="2708">
      <x:c r="A2708" s="28"/>
      <x:c r="B2708" s="28"/>
      <x:c r="C2708" s="28"/>
      <x:c r="D2708" s="28"/>
      <x:c r="E2708" s="28"/>
      <x:c r="F2708" s="28"/>
      <x:c r="G2708" s="28"/>
      <x:c r="H2708" s="28"/>
      <x:c r="I2708" s="28"/>
      <x:c r="J2708" s="28"/>
      <x:c r="K2708" s="28"/>
      <x:c r="L2708" s="28"/>
      <x:c r="M2708" s="28"/>
      <x:c r="N2708" s="28"/>
      <x:c r="O2708" s="28"/>
      <x:c r="P2708" s="28"/>
      <x:c r="Q2708" s="28"/>
      <x:c r="R2708" s="28"/>
      <x:c r="S2708" s="28"/>
      <x:c r="T2708" s="28"/>
      <x:c r="U2708" s="28"/>
      <x:c r="V2708" s="28"/>
      <x:c r="W2708" s="43" t="n">
        <x:f>--AND(N2708=1,OR(O2708="SUPPORTED",O2708="HALLUCINATION"))</x:f>
        <x:v>0</x:v>
      </x:c>
      <x:c r="X2708" s="43" t="n">
        <x:f>--AND(W2708=1,O2708="HALLUCINATION")</x:f>
        <x:v>0</x:v>
      </x:c>
      <x:c r="Y2708" s="43" t="n">
        <x:f>--AND(Q2708=1,O2708="HALLUCINATION")</x:f>
        <x:v>0</x:v>
      </x:c>
      <x:c r="Z2708" s="43" t="n">
        <x:f>--AND(Y2708=1,R2708=1,S2708=1)</x:f>
        <x:v>0</x:v>
      </x:c>
      <x:c r="AC2708" t="str">
        <x:f>IF(OR(AA2708="",AB2708=""),"",--(AA2708&lt;&gt;AB2708))</x:f>
      </x:c>
      <x:c r="AE2708" t="str">
        <x:f>IF(OR(AA2708="",AB2708=""),"PENDING_HUMAN",IF(AA2708=AB2708,AA2708,IF(AD2708&lt;&gt;"",AD2708,"PENDING_HUMAN")))</x:f>
        <x:v>PENDING_HUMAN</x:v>
      </x:c>
      <x:c r="AF2708" t="n">
        <x:f>--AND(A2708&lt;&gt;"",AA2708&lt;&gt;"",AB2708&lt;&gt;"",OR(AA2708=AB2708,AD2708&lt;&gt;""),IF(AE2708="HALLUCINATION",U2708&lt;&gt;"",TRUE))</x:f>
        <x:v>0</x:v>
      </x:c>
      <x:c r="AG2708" t="n">
        <x:f>--AND(N2708=1,AF2708=1,OR(AE2708="SUPPORTED",AE2708="HALLUCINATION"))</x:f>
        <x:v>0</x:v>
      </x:c>
      <x:c r="AH2708" t="n">
        <x:f>--AND(AG2708=1,AE2708="HALLUCINATION")</x:f>
        <x:v>0</x:v>
      </x:c>
      <x:c r="AI2708" t="n">
        <x:f>--AND(Q2708=1,AF2708=1,AE2708="HALLUCINATION")</x:f>
        <x:v>0</x:v>
      </x:c>
      <x:c r="AJ2708" t="n">
        <x:f>--AND(AI2708=1,R2708=1,S2708=1)</x:f>
        <x:v>0</x:v>
      </x:c>
    </x:row>
    <x:row r="2709">
      <x:c r="A2709" s="28"/>
      <x:c r="B2709" s="28"/>
      <x:c r="C2709" s="28"/>
      <x:c r="D2709" s="28"/>
      <x:c r="E2709" s="28"/>
      <x:c r="F2709" s="28"/>
      <x:c r="G2709" s="28"/>
      <x:c r="H2709" s="28"/>
      <x:c r="I2709" s="28"/>
      <x:c r="J2709" s="28"/>
      <x:c r="K2709" s="28"/>
      <x:c r="L2709" s="28"/>
      <x:c r="M2709" s="28"/>
      <x:c r="N2709" s="28"/>
      <x:c r="O2709" s="28"/>
      <x:c r="P2709" s="28"/>
      <x:c r="Q2709" s="28"/>
      <x:c r="R2709" s="28"/>
      <x:c r="S2709" s="28"/>
      <x:c r="T2709" s="28"/>
      <x:c r="U2709" s="28"/>
      <x:c r="V2709" s="28"/>
      <x:c r="W2709" s="43" t="n">
        <x:f>--AND(N2709=1,OR(O2709="SUPPORTED",O2709="HALLUCINATION"))</x:f>
        <x:v>0</x:v>
      </x:c>
      <x:c r="X2709" s="43" t="n">
        <x:f>--AND(W2709=1,O2709="HALLUCINATION")</x:f>
        <x:v>0</x:v>
      </x:c>
      <x:c r="Y2709" s="43" t="n">
        <x:f>--AND(Q2709=1,O2709="HALLUCINATION")</x:f>
        <x:v>0</x:v>
      </x:c>
      <x:c r="Z2709" s="43" t="n">
        <x:f>--AND(Y2709=1,R2709=1,S2709=1)</x:f>
        <x:v>0</x:v>
      </x:c>
      <x:c r="AC2709" t="str">
        <x:f>IF(OR(AA2709="",AB2709=""),"",--(AA2709&lt;&gt;AB2709))</x:f>
      </x:c>
      <x:c r="AE2709" t="str">
        <x:f>IF(OR(AA2709="",AB2709=""),"PENDING_HUMAN",IF(AA2709=AB2709,AA2709,IF(AD2709&lt;&gt;"",AD2709,"PENDING_HUMAN")))</x:f>
        <x:v>PENDING_HUMAN</x:v>
      </x:c>
      <x:c r="AF2709" t="n">
        <x:f>--AND(A2709&lt;&gt;"",AA2709&lt;&gt;"",AB2709&lt;&gt;"",OR(AA2709=AB2709,AD2709&lt;&gt;""),IF(AE2709="HALLUCINATION",U2709&lt;&gt;"",TRUE))</x:f>
        <x:v>0</x:v>
      </x:c>
      <x:c r="AG2709" t="n">
        <x:f>--AND(N2709=1,AF2709=1,OR(AE2709="SUPPORTED",AE2709="HALLUCINATION"))</x:f>
        <x:v>0</x:v>
      </x:c>
      <x:c r="AH2709" t="n">
        <x:f>--AND(AG2709=1,AE2709="HALLUCINATION")</x:f>
        <x:v>0</x:v>
      </x:c>
      <x:c r="AI2709" t="n">
        <x:f>--AND(Q2709=1,AF2709=1,AE2709="HALLUCINATION")</x:f>
        <x:v>0</x:v>
      </x:c>
      <x:c r="AJ2709" t="n">
        <x:f>--AND(AI2709=1,R2709=1,S2709=1)</x:f>
        <x:v>0</x:v>
      </x:c>
    </x:row>
    <x:row r="2710">
      <x:c r="A2710" s="28"/>
      <x:c r="B2710" s="28"/>
      <x:c r="C2710" s="28"/>
      <x:c r="D2710" s="28"/>
      <x:c r="E2710" s="28"/>
      <x:c r="F2710" s="28"/>
      <x:c r="G2710" s="28"/>
      <x:c r="H2710" s="28"/>
      <x:c r="I2710" s="28"/>
      <x:c r="J2710" s="28"/>
      <x:c r="K2710" s="28"/>
      <x:c r="L2710" s="28"/>
      <x:c r="M2710" s="28"/>
      <x:c r="N2710" s="28"/>
      <x:c r="O2710" s="28"/>
      <x:c r="P2710" s="28"/>
      <x:c r="Q2710" s="28"/>
      <x:c r="R2710" s="28"/>
      <x:c r="S2710" s="28"/>
      <x:c r="T2710" s="28"/>
      <x:c r="U2710" s="28"/>
      <x:c r="V2710" s="28"/>
      <x:c r="W2710" s="43" t="n">
        <x:f>--AND(N2710=1,OR(O2710="SUPPORTED",O2710="HALLUCINATION"))</x:f>
        <x:v>0</x:v>
      </x:c>
      <x:c r="X2710" s="43" t="n">
        <x:f>--AND(W2710=1,O2710="HALLUCINATION")</x:f>
        <x:v>0</x:v>
      </x:c>
      <x:c r="Y2710" s="43" t="n">
        <x:f>--AND(Q2710=1,O2710="HALLUCINATION")</x:f>
        <x:v>0</x:v>
      </x:c>
      <x:c r="Z2710" s="43" t="n">
        <x:f>--AND(Y2710=1,R2710=1,S2710=1)</x:f>
        <x:v>0</x:v>
      </x:c>
      <x:c r="AC2710" t="str">
        <x:f>IF(OR(AA2710="",AB2710=""),"",--(AA2710&lt;&gt;AB2710))</x:f>
      </x:c>
      <x:c r="AE2710" t="str">
        <x:f>IF(OR(AA2710="",AB2710=""),"PENDING_HUMAN",IF(AA2710=AB2710,AA2710,IF(AD2710&lt;&gt;"",AD2710,"PENDING_HUMAN")))</x:f>
        <x:v>PENDING_HUMAN</x:v>
      </x:c>
      <x:c r="AF2710" t="n">
        <x:f>--AND(A2710&lt;&gt;"",AA2710&lt;&gt;"",AB2710&lt;&gt;"",OR(AA2710=AB2710,AD2710&lt;&gt;""),IF(AE2710="HALLUCINATION",U2710&lt;&gt;"",TRUE))</x:f>
        <x:v>0</x:v>
      </x:c>
      <x:c r="AG2710" t="n">
        <x:f>--AND(N2710=1,AF2710=1,OR(AE2710="SUPPORTED",AE2710="HALLUCINATION"))</x:f>
        <x:v>0</x:v>
      </x:c>
      <x:c r="AH2710" t="n">
        <x:f>--AND(AG2710=1,AE2710="HALLUCINATION")</x:f>
        <x:v>0</x:v>
      </x:c>
      <x:c r="AI2710" t="n">
        <x:f>--AND(Q2710=1,AF2710=1,AE2710="HALLUCINATION")</x:f>
        <x:v>0</x:v>
      </x:c>
      <x:c r="AJ2710" t="n">
        <x:f>--AND(AI2710=1,R2710=1,S2710=1)</x:f>
        <x:v>0</x:v>
      </x:c>
    </x:row>
    <x:row r="2711">
      <x:c r="A2711" s="28"/>
      <x:c r="B2711" s="28"/>
      <x:c r="C2711" s="28"/>
      <x:c r="D2711" s="28"/>
      <x:c r="E2711" s="28"/>
      <x:c r="F2711" s="28"/>
      <x:c r="G2711" s="28"/>
      <x:c r="H2711" s="28"/>
      <x:c r="I2711" s="28"/>
      <x:c r="J2711" s="28"/>
      <x:c r="K2711" s="28"/>
      <x:c r="L2711" s="28"/>
      <x:c r="M2711" s="28"/>
      <x:c r="N2711" s="28"/>
      <x:c r="O2711" s="28"/>
      <x:c r="P2711" s="28"/>
      <x:c r="Q2711" s="28"/>
      <x:c r="R2711" s="28"/>
      <x:c r="S2711" s="28"/>
      <x:c r="T2711" s="28"/>
      <x:c r="U2711" s="28"/>
      <x:c r="V2711" s="28"/>
      <x:c r="W2711" s="43" t="n">
        <x:f>--AND(N2711=1,OR(O2711="SUPPORTED",O2711="HALLUCINATION"))</x:f>
        <x:v>0</x:v>
      </x:c>
      <x:c r="X2711" s="43" t="n">
        <x:f>--AND(W2711=1,O2711="HALLUCINATION")</x:f>
        <x:v>0</x:v>
      </x:c>
      <x:c r="Y2711" s="43" t="n">
        <x:f>--AND(Q2711=1,O2711="HALLUCINATION")</x:f>
        <x:v>0</x:v>
      </x:c>
      <x:c r="Z2711" s="43" t="n">
        <x:f>--AND(Y2711=1,R2711=1,S2711=1)</x:f>
        <x:v>0</x:v>
      </x:c>
      <x:c r="AC2711" t="str">
        <x:f>IF(OR(AA2711="",AB2711=""),"",--(AA2711&lt;&gt;AB2711))</x:f>
      </x:c>
      <x:c r="AE2711" t="str">
        <x:f>IF(OR(AA2711="",AB2711=""),"PENDING_HUMAN",IF(AA2711=AB2711,AA2711,IF(AD2711&lt;&gt;"",AD2711,"PENDING_HUMAN")))</x:f>
        <x:v>PENDING_HUMAN</x:v>
      </x:c>
      <x:c r="AF2711" t="n">
        <x:f>--AND(A2711&lt;&gt;"",AA2711&lt;&gt;"",AB2711&lt;&gt;"",OR(AA2711=AB2711,AD2711&lt;&gt;""),IF(AE2711="HALLUCINATION",U2711&lt;&gt;"",TRUE))</x:f>
        <x:v>0</x:v>
      </x:c>
      <x:c r="AG2711" t="n">
        <x:f>--AND(N2711=1,AF2711=1,OR(AE2711="SUPPORTED",AE2711="HALLUCINATION"))</x:f>
        <x:v>0</x:v>
      </x:c>
      <x:c r="AH2711" t="n">
        <x:f>--AND(AG2711=1,AE2711="HALLUCINATION")</x:f>
        <x:v>0</x:v>
      </x:c>
      <x:c r="AI2711" t="n">
        <x:f>--AND(Q2711=1,AF2711=1,AE2711="HALLUCINATION")</x:f>
        <x:v>0</x:v>
      </x:c>
      <x:c r="AJ2711" t="n">
        <x:f>--AND(AI2711=1,R2711=1,S2711=1)</x:f>
        <x:v>0</x:v>
      </x:c>
    </x:row>
    <x:row r="2712">
      <x:c r="A2712" s="28"/>
      <x:c r="B2712" s="28"/>
      <x:c r="C2712" s="28"/>
      <x:c r="D2712" s="28"/>
      <x:c r="E2712" s="28"/>
      <x:c r="F2712" s="28"/>
      <x:c r="G2712" s="28"/>
      <x:c r="H2712" s="28"/>
      <x:c r="I2712" s="28"/>
      <x:c r="J2712" s="28"/>
      <x:c r="K2712" s="28"/>
      <x:c r="L2712" s="28"/>
      <x:c r="M2712" s="28"/>
      <x:c r="N2712" s="28"/>
      <x:c r="O2712" s="28"/>
      <x:c r="P2712" s="28"/>
      <x:c r="Q2712" s="28"/>
      <x:c r="R2712" s="28"/>
      <x:c r="S2712" s="28"/>
      <x:c r="T2712" s="28"/>
      <x:c r="U2712" s="28"/>
      <x:c r="V2712" s="28"/>
      <x:c r="W2712" s="43" t="n">
        <x:f>--AND(N2712=1,OR(O2712="SUPPORTED",O2712="HALLUCINATION"))</x:f>
        <x:v>0</x:v>
      </x:c>
      <x:c r="X2712" s="43" t="n">
        <x:f>--AND(W2712=1,O2712="HALLUCINATION")</x:f>
        <x:v>0</x:v>
      </x:c>
      <x:c r="Y2712" s="43" t="n">
        <x:f>--AND(Q2712=1,O2712="HALLUCINATION")</x:f>
        <x:v>0</x:v>
      </x:c>
      <x:c r="Z2712" s="43" t="n">
        <x:f>--AND(Y2712=1,R2712=1,S2712=1)</x:f>
        <x:v>0</x:v>
      </x:c>
      <x:c r="AC2712" t="str">
        <x:f>IF(OR(AA2712="",AB2712=""),"",--(AA2712&lt;&gt;AB2712))</x:f>
      </x:c>
      <x:c r="AE2712" t="str">
        <x:f>IF(OR(AA2712="",AB2712=""),"PENDING_HUMAN",IF(AA2712=AB2712,AA2712,IF(AD2712&lt;&gt;"",AD2712,"PENDING_HUMAN")))</x:f>
        <x:v>PENDING_HUMAN</x:v>
      </x:c>
      <x:c r="AF2712" t="n">
        <x:f>--AND(A2712&lt;&gt;"",AA2712&lt;&gt;"",AB2712&lt;&gt;"",OR(AA2712=AB2712,AD2712&lt;&gt;""),IF(AE2712="HALLUCINATION",U2712&lt;&gt;"",TRUE))</x:f>
        <x:v>0</x:v>
      </x:c>
      <x:c r="AG2712" t="n">
        <x:f>--AND(N2712=1,AF2712=1,OR(AE2712="SUPPORTED",AE2712="HALLUCINATION"))</x:f>
        <x:v>0</x:v>
      </x:c>
      <x:c r="AH2712" t="n">
        <x:f>--AND(AG2712=1,AE2712="HALLUCINATION")</x:f>
        <x:v>0</x:v>
      </x:c>
      <x:c r="AI2712" t="n">
        <x:f>--AND(Q2712=1,AF2712=1,AE2712="HALLUCINATION")</x:f>
        <x:v>0</x:v>
      </x:c>
      <x:c r="AJ2712" t="n">
        <x:f>--AND(AI2712=1,R2712=1,S2712=1)</x:f>
        <x:v>0</x:v>
      </x:c>
    </x:row>
    <x:row r="2713">
      <x:c r="A2713" s="28"/>
      <x:c r="B2713" s="28"/>
      <x:c r="C2713" s="28"/>
      <x:c r="D2713" s="28"/>
      <x:c r="E2713" s="28"/>
      <x:c r="F2713" s="28"/>
      <x:c r="G2713" s="28"/>
      <x:c r="H2713" s="28"/>
      <x:c r="I2713" s="28"/>
      <x:c r="J2713" s="28"/>
      <x:c r="K2713" s="28"/>
      <x:c r="L2713" s="28"/>
      <x:c r="M2713" s="28"/>
      <x:c r="N2713" s="28"/>
      <x:c r="O2713" s="28"/>
      <x:c r="P2713" s="28"/>
      <x:c r="Q2713" s="28"/>
      <x:c r="R2713" s="28"/>
      <x:c r="S2713" s="28"/>
      <x:c r="T2713" s="28"/>
      <x:c r="U2713" s="28"/>
      <x:c r="V2713" s="28"/>
      <x:c r="W2713" s="43" t="n">
        <x:f>--AND(N2713=1,OR(O2713="SUPPORTED",O2713="HALLUCINATION"))</x:f>
        <x:v>0</x:v>
      </x:c>
      <x:c r="X2713" s="43" t="n">
        <x:f>--AND(W2713=1,O2713="HALLUCINATION")</x:f>
        <x:v>0</x:v>
      </x:c>
      <x:c r="Y2713" s="43" t="n">
        <x:f>--AND(Q2713=1,O2713="HALLUCINATION")</x:f>
        <x:v>0</x:v>
      </x:c>
      <x:c r="Z2713" s="43" t="n">
        <x:f>--AND(Y2713=1,R2713=1,S2713=1)</x:f>
        <x:v>0</x:v>
      </x:c>
      <x:c r="AC2713" t="str">
        <x:f>IF(OR(AA2713="",AB2713=""),"",--(AA2713&lt;&gt;AB2713))</x:f>
      </x:c>
      <x:c r="AE2713" t="str">
        <x:f>IF(OR(AA2713="",AB2713=""),"PENDING_HUMAN",IF(AA2713=AB2713,AA2713,IF(AD2713&lt;&gt;"",AD2713,"PENDING_HUMAN")))</x:f>
        <x:v>PENDING_HUMAN</x:v>
      </x:c>
      <x:c r="AF2713" t="n">
        <x:f>--AND(A2713&lt;&gt;"",AA2713&lt;&gt;"",AB2713&lt;&gt;"",OR(AA2713=AB2713,AD2713&lt;&gt;""),IF(AE2713="HALLUCINATION",U2713&lt;&gt;"",TRUE))</x:f>
        <x:v>0</x:v>
      </x:c>
      <x:c r="AG2713" t="n">
        <x:f>--AND(N2713=1,AF2713=1,OR(AE2713="SUPPORTED",AE2713="HALLUCINATION"))</x:f>
        <x:v>0</x:v>
      </x:c>
      <x:c r="AH2713" t="n">
        <x:f>--AND(AG2713=1,AE2713="HALLUCINATION")</x:f>
        <x:v>0</x:v>
      </x:c>
      <x:c r="AI2713" t="n">
        <x:f>--AND(Q2713=1,AF2713=1,AE2713="HALLUCINATION")</x:f>
        <x:v>0</x:v>
      </x:c>
      <x:c r="AJ2713" t="n">
        <x:f>--AND(AI2713=1,R2713=1,S2713=1)</x:f>
        <x:v>0</x:v>
      </x:c>
    </x:row>
    <x:row r="2714">
      <x:c r="A2714" s="28"/>
      <x:c r="B2714" s="28"/>
      <x:c r="C2714" s="28"/>
      <x:c r="D2714" s="28"/>
      <x:c r="E2714" s="28"/>
      <x:c r="F2714" s="28"/>
      <x:c r="G2714" s="28"/>
      <x:c r="H2714" s="28"/>
      <x:c r="I2714" s="28"/>
      <x:c r="J2714" s="28"/>
      <x:c r="K2714" s="28"/>
      <x:c r="L2714" s="28"/>
      <x:c r="M2714" s="28"/>
      <x:c r="N2714" s="28"/>
      <x:c r="O2714" s="28"/>
      <x:c r="P2714" s="28"/>
      <x:c r="Q2714" s="28"/>
      <x:c r="R2714" s="28"/>
      <x:c r="S2714" s="28"/>
      <x:c r="T2714" s="28"/>
      <x:c r="U2714" s="28"/>
      <x:c r="V2714" s="28"/>
      <x:c r="W2714" s="43" t="n">
        <x:f>--AND(N2714=1,OR(O2714="SUPPORTED",O2714="HALLUCINATION"))</x:f>
        <x:v>0</x:v>
      </x:c>
      <x:c r="X2714" s="43" t="n">
        <x:f>--AND(W2714=1,O2714="HALLUCINATION")</x:f>
        <x:v>0</x:v>
      </x:c>
      <x:c r="Y2714" s="43" t="n">
        <x:f>--AND(Q2714=1,O2714="HALLUCINATION")</x:f>
        <x:v>0</x:v>
      </x:c>
      <x:c r="Z2714" s="43" t="n">
        <x:f>--AND(Y2714=1,R2714=1,S2714=1)</x:f>
        <x:v>0</x:v>
      </x:c>
      <x:c r="AC2714" t="str">
        <x:f>IF(OR(AA2714="",AB2714=""),"",--(AA2714&lt;&gt;AB2714))</x:f>
      </x:c>
      <x:c r="AE2714" t="str">
        <x:f>IF(OR(AA2714="",AB2714=""),"PENDING_HUMAN",IF(AA2714=AB2714,AA2714,IF(AD2714&lt;&gt;"",AD2714,"PENDING_HUMAN")))</x:f>
        <x:v>PENDING_HUMAN</x:v>
      </x:c>
      <x:c r="AF2714" t="n">
        <x:f>--AND(A2714&lt;&gt;"",AA2714&lt;&gt;"",AB2714&lt;&gt;"",OR(AA2714=AB2714,AD2714&lt;&gt;""),IF(AE2714="HALLUCINATION",U2714&lt;&gt;"",TRUE))</x:f>
        <x:v>0</x:v>
      </x:c>
      <x:c r="AG2714" t="n">
        <x:f>--AND(N2714=1,AF2714=1,OR(AE2714="SUPPORTED",AE2714="HALLUCINATION"))</x:f>
        <x:v>0</x:v>
      </x:c>
      <x:c r="AH2714" t="n">
        <x:f>--AND(AG2714=1,AE2714="HALLUCINATION")</x:f>
        <x:v>0</x:v>
      </x:c>
      <x:c r="AI2714" t="n">
        <x:f>--AND(Q2714=1,AF2714=1,AE2714="HALLUCINATION")</x:f>
        <x:v>0</x:v>
      </x:c>
      <x:c r="AJ2714" t="n">
        <x:f>--AND(AI2714=1,R2714=1,S2714=1)</x:f>
        <x:v>0</x:v>
      </x:c>
    </x:row>
    <x:row r="2715">
      <x:c r="A2715" s="28"/>
      <x:c r="B2715" s="28"/>
      <x:c r="C2715" s="28"/>
      <x:c r="D2715" s="28"/>
      <x:c r="E2715" s="28"/>
      <x:c r="F2715" s="28"/>
      <x:c r="G2715" s="28"/>
      <x:c r="H2715" s="28"/>
      <x:c r="I2715" s="28"/>
      <x:c r="J2715" s="28"/>
      <x:c r="K2715" s="28"/>
      <x:c r="L2715" s="28"/>
      <x:c r="M2715" s="28"/>
      <x:c r="N2715" s="28"/>
      <x:c r="O2715" s="28"/>
      <x:c r="P2715" s="28"/>
      <x:c r="Q2715" s="28"/>
      <x:c r="R2715" s="28"/>
      <x:c r="S2715" s="28"/>
      <x:c r="T2715" s="28"/>
      <x:c r="U2715" s="28"/>
      <x:c r="V2715" s="28"/>
      <x:c r="W2715" s="43" t="n">
        <x:f>--AND(N2715=1,OR(O2715="SUPPORTED",O2715="HALLUCINATION"))</x:f>
        <x:v>0</x:v>
      </x:c>
      <x:c r="X2715" s="43" t="n">
        <x:f>--AND(W2715=1,O2715="HALLUCINATION")</x:f>
        <x:v>0</x:v>
      </x:c>
      <x:c r="Y2715" s="43" t="n">
        <x:f>--AND(Q2715=1,O2715="HALLUCINATION")</x:f>
        <x:v>0</x:v>
      </x:c>
      <x:c r="Z2715" s="43" t="n">
        <x:f>--AND(Y2715=1,R2715=1,S2715=1)</x:f>
        <x:v>0</x:v>
      </x:c>
      <x:c r="AC2715" t="str">
        <x:f>IF(OR(AA2715="",AB2715=""),"",--(AA2715&lt;&gt;AB2715))</x:f>
      </x:c>
      <x:c r="AE2715" t="str">
        <x:f>IF(OR(AA2715="",AB2715=""),"PENDING_HUMAN",IF(AA2715=AB2715,AA2715,IF(AD2715&lt;&gt;"",AD2715,"PENDING_HUMAN")))</x:f>
        <x:v>PENDING_HUMAN</x:v>
      </x:c>
      <x:c r="AF2715" t="n">
        <x:f>--AND(A2715&lt;&gt;"",AA2715&lt;&gt;"",AB2715&lt;&gt;"",OR(AA2715=AB2715,AD2715&lt;&gt;""),IF(AE2715="HALLUCINATION",U2715&lt;&gt;"",TRUE))</x:f>
        <x:v>0</x:v>
      </x:c>
      <x:c r="AG2715" t="n">
        <x:f>--AND(N2715=1,AF2715=1,OR(AE2715="SUPPORTED",AE2715="HALLUCINATION"))</x:f>
        <x:v>0</x:v>
      </x:c>
      <x:c r="AH2715" t="n">
        <x:f>--AND(AG2715=1,AE2715="HALLUCINATION")</x:f>
        <x:v>0</x:v>
      </x:c>
      <x:c r="AI2715" t="n">
        <x:f>--AND(Q2715=1,AF2715=1,AE2715="HALLUCINATION")</x:f>
        <x:v>0</x:v>
      </x:c>
      <x:c r="AJ2715" t="n">
        <x:f>--AND(AI2715=1,R2715=1,S2715=1)</x:f>
        <x:v>0</x:v>
      </x:c>
    </x:row>
    <x:row r="2716">
      <x:c r="A2716" s="28"/>
      <x:c r="B2716" s="28"/>
      <x:c r="C2716" s="28"/>
      <x:c r="D2716" s="28"/>
      <x:c r="E2716" s="28"/>
      <x:c r="F2716" s="28"/>
      <x:c r="G2716" s="28"/>
      <x:c r="H2716" s="28"/>
      <x:c r="I2716" s="28"/>
      <x:c r="J2716" s="28"/>
      <x:c r="K2716" s="28"/>
      <x:c r="L2716" s="28"/>
      <x:c r="M2716" s="28"/>
      <x:c r="N2716" s="28"/>
      <x:c r="O2716" s="28"/>
      <x:c r="P2716" s="28"/>
      <x:c r="Q2716" s="28"/>
      <x:c r="R2716" s="28"/>
      <x:c r="S2716" s="28"/>
      <x:c r="T2716" s="28"/>
      <x:c r="U2716" s="28"/>
      <x:c r="V2716" s="28"/>
      <x:c r="W2716" s="43" t="n">
        <x:f>--AND(N2716=1,OR(O2716="SUPPORTED",O2716="HALLUCINATION"))</x:f>
        <x:v>0</x:v>
      </x:c>
      <x:c r="X2716" s="43" t="n">
        <x:f>--AND(W2716=1,O2716="HALLUCINATION")</x:f>
        <x:v>0</x:v>
      </x:c>
      <x:c r="Y2716" s="43" t="n">
        <x:f>--AND(Q2716=1,O2716="HALLUCINATION")</x:f>
        <x:v>0</x:v>
      </x:c>
      <x:c r="Z2716" s="43" t="n">
        <x:f>--AND(Y2716=1,R2716=1,S2716=1)</x:f>
        <x:v>0</x:v>
      </x:c>
      <x:c r="AC2716" t="str">
        <x:f>IF(OR(AA2716="",AB2716=""),"",--(AA2716&lt;&gt;AB2716))</x:f>
      </x:c>
      <x:c r="AE2716" t="str">
        <x:f>IF(OR(AA2716="",AB2716=""),"PENDING_HUMAN",IF(AA2716=AB2716,AA2716,IF(AD2716&lt;&gt;"",AD2716,"PENDING_HUMAN")))</x:f>
        <x:v>PENDING_HUMAN</x:v>
      </x:c>
      <x:c r="AF2716" t="n">
        <x:f>--AND(A2716&lt;&gt;"",AA2716&lt;&gt;"",AB2716&lt;&gt;"",OR(AA2716=AB2716,AD2716&lt;&gt;""),IF(AE2716="HALLUCINATION",U2716&lt;&gt;"",TRUE))</x:f>
        <x:v>0</x:v>
      </x:c>
      <x:c r="AG2716" t="n">
        <x:f>--AND(N2716=1,AF2716=1,OR(AE2716="SUPPORTED",AE2716="HALLUCINATION"))</x:f>
        <x:v>0</x:v>
      </x:c>
      <x:c r="AH2716" t="n">
        <x:f>--AND(AG2716=1,AE2716="HALLUCINATION")</x:f>
        <x:v>0</x:v>
      </x:c>
      <x:c r="AI2716" t="n">
        <x:f>--AND(Q2716=1,AF2716=1,AE2716="HALLUCINATION")</x:f>
        <x:v>0</x:v>
      </x:c>
      <x:c r="AJ2716" t="n">
        <x:f>--AND(AI2716=1,R2716=1,S2716=1)</x:f>
        <x:v>0</x:v>
      </x:c>
    </x:row>
    <x:row r="2717">
      <x:c r="A2717" s="28"/>
      <x:c r="B2717" s="28"/>
      <x:c r="C2717" s="28"/>
      <x:c r="D2717" s="28"/>
      <x:c r="E2717" s="28"/>
      <x:c r="F2717" s="28"/>
      <x:c r="G2717" s="28"/>
      <x:c r="H2717" s="28"/>
      <x:c r="I2717" s="28"/>
      <x:c r="J2717" s="28"/>
      <x:c r="K2717" s="28"/>
      <x:c r="L2717" s="28"/>
      <x:c r="M2717" s="28"/>
      <x:c r="N2717" s="28"/>
      <x:c r="O2717" s="28"/>
      <x:c r="P2717" s="28"/>
      <x:c r="Q2717" s="28"/>
      <x:c r="R2717" s="28"/>
      <x:c r="S2717" s="28"/>
      <x:c r="T2717" s="28"/>
      <x:c r="U2717" s="28"/>
      <x:c r="V2717" s="28"/>
      <x:c r="W2717" s="43" t="n">
        <x:f>--AND(N2717=1,OR(O2717="SUPPORTED",O2717="HALLUCINATION"))</x:f>
        <x:v>0</x:v>
      </x:c>
      <x:c r="X2717" s="43" t="n">
        <x:f>--AND(W2717=1,O2717="HALLUCINATION")</x:f>
        <x:v>0</x:v>
      </x:c>
      <x:c r="Y2717" s="43" t="n">
        <x:f>--AND(Q2717=1,O2717="HALLUCINATION")</x:f>
        <x:v>0</x:v>
      </x:c>
      <x:c r="Z2717" s="43" t="n">
        <x:f>--AND(Y2717=1,R2717=1,S2717=1)</x:f>
        <x:v>0</x:v>
      </x:c>
      <x:c r="AC2717" t="str">
        <x:f>IF(OR(AA2717="",AB2717=""),"",--(AA2717&lt;&gt;AB2717))</x:f>
      </x:c>
      <x:c r="AE2717" t="str">
        <x:f>IF(OR(AA2717="",AB2717=""),"PENDING_HUMAN",IF(AA2717=AB2717,AA2717,IF(AD2717&lt;&gt;"",AD2717,"PENDING_HUMAN")))</x:f>
        <x:v>PENDING_HUMAN</x:v>
      </x:c>
      <x:c r="AF2717" t="n">
        <x:f>--AND(A2717&lt;&gt;"",AA2717&lt;&gt;"",AB2717&lt;&gt;"",OR(AA2717=AB2717,AD2717&lt;&gt;""),IF(AE2717="HALLUCINATION",U2717&lt;&gt;"",TRUE))</x:f>
        <x:v>0</x:v>
      </x:c>
      <x:c r="AG2717" t="n">
        <x:f>--AND(N2717=1,AF2717=1,OR(AE2717="SUPPORTED",AE2717="HALLUCINATION"))</x:f>
        <x:v>0</x:v>
      </x:c>
      <x:c r="AH2717" t="n">
        <x:f>--AND(AG2717=1,AE2717="HALLUCINATION")</x:f>
        <x:v>0</x:v>
      </x:c>
      <x:c r="AI2717" t="n">
        <x:f>--AND(Q2717=1,AF2717=1,AE2717="HALLUCINATION")</x:f>
        <x:v>0</x:v>
      </x:c>
      <x:c r="AJ2717" t="n">
        <x:f>--AND(AI2717=1,R2717=1,S2717=1)</x:f>
        <x:v>0</x:v>
      </x:c>
    </x:row>
    <x:row r="2718">
      <x:c r="A2718" s="28"/>
      <x:c r="B2718" s="28"/>
      <x:c r="C2718" s="28"/>
      <x:c r="D2718" s="28"/>
      <x:c r="E2718" s="28"/>
      <x:c r="F2718" s="28"/>
      <x:c r="G2718" s="28"/>
      <x:c r="H2718" s="28"/>
      <x:c r="I2718" s="28"/>
      <x:c r="J2718" s="28"/>
      <x:c r="K2718" s="28"/>
      <x:c r="L2718" s="28"/>
      <x:c r="M2718" s="28"/>
      <x:c r="N2718" s="28"/>
      <x:c r="O2718" s="28"/>
      <x:c r="P2718" s="28"/>
      <x:c r="Q2718" s="28"/>
      <x:c r="R2718" s="28"/>
      <x:c r="S2718" s="28"/>
      <x:c r="T2718" s="28"/>
      <x:c r="U2718" s="28"/>
      <x:c r="V2718" s="28"/>
      <x:c r="W2718" s="43" t="n">
        <x:f>--AND(N2718=1,OR(O2718="SUPPORTED",O2718="HALLUCINATION"))</x:f>
        <x:v>0</x:v>
      </x:c>
      <x:c r="X2718" s="43" t="n">
        <x:f>--AND(W2718=1,O2718="HALLUCINATION")</x:f>
        <x:v>0</x:v>
      </x:c>
      <x:c r="Y2718" s="43" t="n">
        <x:f>--AND(Q2718=1,O2718="HALLUCINATION")</x:f>
        <x:v>0</x:v>
      </x:c>
      <x:c r="Z2718" s="43" t="n">
        <x:f>--AND(Y2718=1,R2718=1,S2718=1)</x:f>
        <x:v>0</x:v>
      </x:c>
      <x:c r="AC2718" t="str">
        <x:f>IF(OR(AA2718="",AB2718=""),"",--(AA2718&lt;&gt;AB2718))</x:f>
      </x:c>
      <x:c r="AE2718" t="str">
        <x:f>IF(OR(AA2718="",AB2718=""),"PENDING_HUMAN",IF(AA2718=AB2718,AA2718,IF(AD2718&lt;&gt;"",AD2718,"PENDING_HUMAN")))</x:f>
        <x:v>PENDING_HUMAN</x:v>
      </x:c>
      <x:c r="AF2718" t="n">
        <x:f>--AND(A2718&lt;&gt;"",AA2718&lt;&gt;"",AB2718&lt;&gt;"",OR(AA2718=AB2718,AD2718&lt;&gt;""),IF(AE2718="HALLUCINATION",U2718&lt;&gt;"",TRUE))</x:f>
        <x:v>0</x:v>
      </x:c>
      <x:c r="AG2718" t="n">
        <x:f>--AND(N2718=1,AF2718=1,OR(AE2718="SUPPORTED",AE2718="HALLUCINATION"))</x:f>
        <x:v>0</x:v>
      </x:c>
      <x:c r="AH2718" t="n">
        <x:f>--AND(AG2718=1,AE2718="HALLUCINATION")</x:f>
        <x:v>0</x:v>
      </x:c>
      <x:c r="AI2718" t="n">
        <x:f>--AND(Q2718=1,AF2718=1,AE2718="HALLUCINATION")</x:f>
        <x:v>0</x:v>
      </x:c>
      <x:c r="AJ2718" t="n">
        <x:f>--AND(AI2718=1,R2718=1,S2718=1)</x:f>
        <x:v>0</x:v>
      </x:c>
    </x:row>
    <x:row r="2719">
      <x:c r="A2719" s="28"/>
      <x:c r="B2719" s="28"/>
      <x:c r="C2719" s="28"/>
      <x:c r="D2719" s="28"/>
      <x:c r="E2719" s="28"/>
      <x:c r="F2719" s="28"/>
      <x:c r="G2719" s="28"/>
      <x:c r="H2719" s="28"/>
      <x:c r="I2719" s="28"/>
      <x:c r="J2719" s="28"/>
      <x:c r="K2719" s="28"/>
      <x:c r="L2719" s="28"/>
      <x:c r="M2719" s="28"/>
      <x:c r="N2719" s="28"/>
      <x:c r="O2719" s="28"/>
      <x:c r="P2719" s="28"/>
      <x:c r="Q2719" s="28"/>
      <x:c r="R2719" s="28"/>
      <x:c r="S2719" s="28"/>
      <x:c r="T2719" s="28"/>
      <x:c r="U2719" s="28"/>
      <x:c r="V2719" s="28"/>
      <x:c r="W2719" s="43" t="n">
        <x:f>--AND(N2719=1,OR(O2719="SUPPORTED",O2719="HALLUCINATION"))</x:f>
        <x:v>0</x:v>
      </x:c>
      <x:c r="X2719" s="43" t="n">
        <x:f>--AND(W2719=1,O2719="HALLUCINATION")</x:f>
        <x:v>0</x:v>
      </x:c>
      <x:c r="Y2719" s="43" t="n">
        <x:f>--AND(Q2719=1,O2719="HALLUCINATION")</x:f>
        <x:v>0</x:v>
      </x:c>
      <x:c r="Z2719" s="43" t="n">
        <x:f>--AND(Y2719=1,R2719=1,S2719=1)</x:f>
        <x:v>0</x:v>
      </x:c>
      <x:c r="AC2719" t="str">
        <x:f>IF(OR(AA2719="",AB2719=""),"",--(AA2719&lt;&gt;AB2719))</x:f>
      </x:c>
      <x:c r="AE2719" t="str">
        <x:f>IF(OR(AA2719="",AB2719=""),"PENDING_HUMAN",IF(AA2719=AB2719,AA2719,IF(AD2719&lt;&gt;"",AD2719,"PENDING_HUMAN")))</x:f>
        <x:v>PENDING_HUMAN</x:v>
      </x:c>
      <x:c r="AF2719" t="n">
        <x:f>--AND(A2719&lt;&gt;"",AA2719&lt;&gt;"",AB2719&lt;&gt;"",OR(AA2719=AB2719,AD2719&lt;&gt;""),IF(AE2719="HALLUCINATION",U2719&lt;&gt;"",TRUE))</x:f>
        <x:v>0</x:v>
      </x:c>
      <x:c r="AG2719" t="n">
        <x:f>--AND(N2719=1,AF2719=1,OR(AE2719="SUPPORTED",AE2719="HALLUCINATION"))</x:f>
        <x:v>0</x:v>
      </x:c>
      <x:c r="AH2719" t="n">
        <x:f>--AND(AG2719=1,AE2719="HALLUCINATION")</x:f>
        <x:v>0</x:v>
      </x:c>
      <x:c r="AI2719" t="n">
        <x:f>--AND(Q2719=1,AF2719=1,AE2719="HALLUCINATION")</x:f>
        <x:v>0</x:v>
      </x:c>
      <x:c r="AJ2719" t="n">
        <x:f>--AND(AI2719=1,R2719=1,S2719=1)</x:f>
        <x:v>0</x:v>
      </x:c>
    </x:row>
    <x:row r="2720">
      <x:c r="A2720" s="28"/>
      <x:c r="B2720" s="28"/>
      <x:c r="C2720" s="28"/>
      <x:c r="D2720" s="28"/>
      <x:c r="E2720" s="28"/>
      <x:c r="F2720" s="28"/>
      <x:c r="G2720" s="28"/>
      <x:c r="H2720" s="28"/>
      <x:c r="I2720" s="28"/>
      <x:c r="J2720" s="28"/>
      <x:c r="K2720" s="28"/>
      <x:c r="L2720" s="28"/>
      <x:c r="M2720" s="28"/>
      <x:c r="N2720" s="28"/>
      <x:c r="O2720" s="28"/>
      <x:c r="P2720" s="28"/>
      <x:c r="Q2720" s="28"/>
      <x:c r="R2720" s="28"/>
      <x:c r="S2720" s="28"/>
      <x:c r="T2720" s="28"/>
      <x:c r="U2720" s="28"/>
      <x:c r="V2720" s="28"/>
      <x:c r="W2720" s="43" t="n">
        <x:f>--AND(N2720=1,OR(O2720="SUPPORTED",O2720="HALLUCINATION"))</x:f>
        <x:v>0</x:v>
      </x:c>
      <x:c r="X2720" s="43" t="n">
        <x:f>--AND(W2720=1,O2720="HALLUCINATION")</x:f>
        <x:v>0</x:v>
      </x:c>
      <x:c r="Y2720" s="43" t="n">
        <x:f>--AND(Q2720=1,O2720="HALLUCINATION")</x:f>
        <x:v>0</x:v>
      </x:c>
      <x:c r="Z2720" s="43" t="n">
        <x:f>--AND(Y2720=1,R2720=1,S2720=1)</x:f>
        <x:v>0</x:v>
      </x:c>
      <x:c r="AC2720" t="str">
        <x:f>IF(OR(AA2720="",AB2720=""),"",--(AA2720&lt;&gt;AB2720))</x:f>
      </x:c>
      <x:c r="AE2720" t="str">
        <x:f>IF(OR(AA2720="",AB2720=""),"PENDING_HUMAN",IF(AA2720=AB2720,AA2720,IF(AD2720&lt;&gt;"",AD2720,"PENDING_HUMAN")))</x:f>
        <x:v>PENDING_HUMAN</x:v>
      </x:c>
      <x:c r="AF2720" t="n">
        <x:f>--AND(A2720&lt;&gt;"",AA2720&lt;&gt;"",AB2720&lt;&gt;"",OR(AA2720=AB2720,AD2720&lt;&gt;""),IF(AE2720="HALLUCINATION",U2720&lt;&gt;"",TRUE))</x:f>
        <x:v>0</x:v>
      </x:c>
      <x:c r="AG2720" t="n">
        <x:f>--AND(N2720=1,AF2720=1,OR(AE2720="SUPPORTED",AE2720="HALLUCINATION"))</x:f>
        <x:v>0</x:v>
      </x:c>
      <x:c r="AH2720" t="n">
        <x:f>--AND(AG2720=1,AE2720="HALLUCINATION")</x:f>
        <x:v>0</x:v>
      </x:c>
      <x:c r="AI2720" t="n">
        <x:f>--AND(Q2720=1,AF2720=1,AE2720="HALLUCINATION")</x:f>
        <x:v>0</x:v>
      </x:c>
      <x:c r="AJ2720" t="n">
        <x:f>--AND(AI2720=1,R2720=1,S2720=1)</x:f>
        <x:v>0</x:v>
      </x:c>
    </x:row>
    <x:row r="2721">
      <x:c r="A2721" s="28"/>
      <x:c r="B2721" s="28"/>
      <x:c r="C2721" s="28"/>
      <x:c r="D2721" s="28"/>
      <x:c r="E2721" s="28"/>
      <x:c r="F2721" s="28"/>
      <x:c r="G2721" s="28"/>
      <x:c r="H2721" s="28"/>
      <x:c r="I2721" s="28"/>
      <x:c r="J2721" s="28"/>
      <x:c r="K2721" s="28"/>
      <x:c r="L2721" s="28"/>
      <x:c r="M2721" s="28"/>
      <x:c r="N2721" s="28"/>
      <x:c r="O2721" s="28"/>
      <x:c r="P2721" s="28"/>
      <x:c r="Q2721" s="28"/>
      <x:c r="R2721" s="28"/>
      <x:c r="S2721" s="28"/>
      <x:c r="T2721" s="28"/>
      <x:c r="U2721" s="28"/>
      <x:c r="V2721" s="28"/>
      <x:c r="W2721" s="43" t="n">
        <x:f>--AND(N2721=1,OR(O2721="SUPPORTED",O2721="HALLUCINATION"))</x:f>
        <x:v>0</x:v>
      </x:c>
      <x:c r="X2721" s="43" t="n">
        <x:f>--AND(W2721=1,O2721="HALLUCINATION")</x:f>
        <x:v>0</x:v>
      </x:c>
      <x:c r="Y2721" s="43" t="n">
        <x:f>--AND(Q2721=1,O2721="HALLUCINATION")</x:f>
        <x:v>0</x:v>
      </x:c>
      <x:c r="Z2721" s="43" t="n">
        <x:f>--AND(Y2721=1,R2721=1,S2721=1)</x:f>
        <x:v>0</x:v>
      </x:c>
      <x:c r="AC2721" t="str">
        <x:f>IF(OR(AA2721="",AB2721=""),"",--(AA2721&lt;&gt;AB2721))</x:f>
      </x:c>
      <x:c r="AE2721" t="str">
        <x:f>IF(OR(AA2721="",AB2721=""),"PENDING_HUMAN",IF(AA2721=AB2721,AA2721,IF(AD2721&lt;&gt;"",AD2721,"PENDING_HUMAN")))</x:f>
        <x:v>PENDING_HUMAN</x:v>
      </x:c>
      <x:c r="AF2721" t="n">
        <x:f>--AND(A2721&lt;&gt;"",AA2721&lt;&gt;"",AB2721&lt;&gt;"",OR(AA2721=AB2721,AD2721&lt;&gt;""),IF(AE2721="HALLUCINATION",U2721&lt;&gt;"",TRUE))</x:f>
        <x:v>0</x:v>
      </x:c>
      <x:c r="AG2721" t="n">
        <x:f>--AND(N2721=1,AF2721=1,OR(AE2721="SUPPORTED",AE2721="HALLUCINATION"))</x:f>
        <x:v>0</x:v>
      </x:c>
      <x:c r="AH2721" t="n">
        <x:f>--AND(AG2721=1,AE2721="HALLUCINATION")</x:f>
        <x:v>0</x:v>
      </x:c>
      <x:c r="AI2721" t="n">
        <x:f>--AND(Q2721=1,AF2721=1,AE2721="HALLUCINATION")</x:f>
        <x:v>0</x:v>
      </x:c>
      <x:c r="AJ2721" t="n">
        <x:f>--AND(AI2721=1,R2721=1,S2721=1)</x:f>
        <x:v>0</x:v>
      </x:c>
    </x:row>
    <x:row r="2722">
      <x:c r="A2722" s="28"/>
      <x:c r="B2722" s="28"/>
      <x:c r="C2722" s="28"/>
      <x:c r="D2722" s="28"/>
      <x:c r="E2722" s="28"/>
      <x:c r="F2722" s="28"/>
      <x:c r="G2722" s="28"/>
      <x:c r="H2722" s="28"/>
      <x:c r="I2722" s="28"/>
      <x:c r="J2722" s="28"/>
      <x:c r="K2722" s="28"/>
      <x:c r="L2722" s="28"/>
      <x:c r="M2722" s="28"/>
      <x:c r="N2722" s="28"/>
      <x:c r="O2722" s="28"/>
      <x:c r="P2722" s="28"/>
      <x:c r="Q2722" s="28"/>
      <x:c r="R2722" s="28"/>
      <x:c r="S2722" s="28"/>
      <x:c r="T2722" s="28"/>
      <x:c r="U2722" s="28"/>
      <x:c r="V2722" s="28"/>
      <x:c r="W2722" s="43" t="n">
        <x:f>--AND(N2722=1,OR(O2722="SUPPORTED",O2722="HALLUCINATION"))</x:f>
        <x:v>0</x:v>
      </x:c>
      <x:c r="X2722" s="43" t="n">
        <x:f>--AND(W2722=1,O2722="HALLUCINATION")</x:f>
        <x:v>0</x:v>
      </x:c>
      <x:c r="Y2722" s="43" t="n">
        <x:f>--AND(Q2722=1,O2722="HALLUCINATION")</x:f>
        <x:v>0</x:v>
      </x:c>
      <x:c r="Z2722" s="43" t="n">
        <x:f>--AND(Y2722=1,R2722=1,S2722=1)</x:f>
        <x:v>0</x:v>
      </x:c>
      <x:c r="AC2722" t="str">
        <x:f>IF(OR(AA2722="",AB2722=""),"",--(AA2722&lt;&gt;AB2722))</x:f>
      </x:c>
      <x:c r="AE2722" t="str">
        <x:f>IF(OR(AA2722="",AB2722=""),"PENDING_HUMAN",IF(AA2722=AB2722,AA2722,IF(AD2722&lt;&gt;"",AD2722,"PENDING_HUMAN")))</x:f>
        <x:v>PENDING_HUMAN</x:v>
      </x:c>
      <x:c r="AF2722" t="n">
        <x:f>--AND(A2722&lt;&gt;"",AA2722&lt;&gt;"",AB2722&lt;&gt;"",OR(AA2722=AB2722,AD2722&lt;&gt;""),IF(AE2722="HALLUCINATION",U2722&lt;&gt;"",TRUE))</x:f>
        <x:v>0</x:v>
      </x:c>
      <x:c r="AG2722" t="n">
        <x:f>--AND(N2722=1,AF2722=1,OR(AE2722="SUPPORTED",AE2722="HALLUCINATION"))</x:f>
        <x:v>0</x:v>
      </x:c>
      <x:c r="AH2722" t="n">
        <x:f>--AND(AG2722=1,AE2722="HALLUCINATION")</x:f>
        <x:v>0</x:v>
      </x:c>
      <x:c r="AI2722" t="n">
        <x:f>--AND(Q2722=1,AF2722=1,AE2722="HALLUCINATION")</x:f>
        <x:v>0</x:v>
      </x:c>
      <x:c r="AJ2722" t="n">
        <x:f>--AND(AI2722=1,R2722=1,S2722=1)</x:f>
        <x:v>0</x:v>
      </x:c>
    </x:row>
    <x:row r="2723">
      <x:c r="A2723" s="28"/>
      <x:c r="B2723" s="28"/>
      <x:c r="C2723" s="28"/>
      <x:c r="D2723" s="28"/>
      <x:c r="E2723" s="28"/>
      <x:c r="F2723" s="28"/>
      <x:c r="G2723" s="28"/>
      <x:c r="H2723" s="28"/>
      <x:c r="I2723" s="28"/>
      <x:c r="J2723" s="28"/>
      <x:c r="K2723" s="28"/>
      <x:c r="L2723" s="28"/>
      <x:c r="M2723" s="28"/>
      <x:c r="N2723" s="28"/>
      <x:c r="O2723" s="28"/>
      <x:c r="P2723" s="28"/>
      <x:c r="Q2723" s="28"/>
      <x:c r="R2723" s="28"/>
      <x:c r="S2723" s="28"/>
      <x:c r="T2723" s="28"/>
      <x:c r="U2723" s="28"/>
      <x:c r="V2723" s="28"/>
      <x:c r="W2723" s="43" t="n">
        <x:f>--AND(N2723=1,OR(O2723="SUPPORTED",O2723="HALLUCINATION"))</x:f>
        <x:v>0</x:v>
      </x:c>
      <x:c r="X2723" s="43" t="n">
        <x:f>--AND(W2723=1,O2723="HALLUCINATION")</x:f>
        <x:v>0</x:v>
      </x:c>
      <x:c r="Y2723" s="43" t="n">
        <x:f>--AND(Q2723=1,O2723="HALLUCINATION")</x:f>
        <x:v>0</x:v>
      </x:c>
      <x:c r="Z2723" s="43" t="n">
        <x:f>--AND(Y2723=1,R2723=1,S2723=1)</x:f>
        <x:v>0</x:v>
      </x:c>
      <x:c r="AC2723" t="str">
        <x:f>IF(OR(AA2723="",AB2723=""),"",--(AA2723&lt;&gt;AB2723))</x:f>
      </x:c>
      <x:c r="AE2723" t="str">
        <x:f>IF(OR(AA2723="",AB2723=""),"PENDING_HUMAN",IF(AA2723=AB2723,AA2723,IF(AD2723&lt;&gt;"",AD2723,"PENDING_HUMAN")))</x:f>
        <x:v>PENDING_HUMAN</x:v>
      </x:c>
      <x:c r="AF2723" t="n">
        <x:f>--AND(A2723&lt;&gt;"",AA2723&lt;&gt;"",AB2723&lt;&gt;"",OR(AA2723=AB2723,AD2723&lt;&gt;""),IF(AE2723="HALLUCINATION",U2723&lt;&gt;"",TRUE))</x:f>
        <x:v>0</x:v>
      </x:c>
      <x:c r="AG2723" t="n">
        <x:f>--AND(N2723=1,AF2723=1,OR(AE2723="SUPPORTED",AE2723="HALLUCINATION"))</x:f>
        <x:v>0</x:v>
      </x:c>
      <x:c r="AH2723" t="n">
        <x:f>--AND(AG2723=1,AE2723="HALLUCINATION")</x:f>
        <x:v>0</x:v>
      </x:c>
      <x:c r="AI2723" t="n">
        <x:f>--AND(Q2723=1,AF2723=1,AE2723="HALLUCINATION")</x:f>
        <x:v>0</x:v>
      </x:c>
      <x:c r="AJ2723" t="n">
        <x:f>--AND(AI2723=1,R2723=1,S2723=1)</x:f>
        <x:v>0</x:v>
      </x:c>
    </x:row>
    <x:row r="2724">
      <x:c r="A2724" s="28"/>
      <x:c r="B2724" s="28"/>
      <x:c r="C2724" s="28"/>
      <x:c r="D2724" s="28"/>
      <x:c r="E2724" s="28"/>
      <x:c r="F2724" s="28"/>
      <x:c r="G2724" s="28"/>
      <x:c r="H2724" s="28"/>
      <x:c r="I2724" s="28"/>
      <x:c r="J2724" s="28"/>
      <x:c r="K2724" s="28"/>
      <x:c r="L2724" s="28"/>
      <x:c r="M2724" s="28"/>
      <x:c r="N2724" s="28"/>
      <x:c r="O2724" s="28"/>
      <x:c r="P2724" s="28"/>
      <x:c r="Q2724" s="28"/>
      <x:c r="R2724" s="28"/>
      <x:c r="S2724" s="28"/>
      <x:c r="T2724" s="28"/>
      <x:c r="U2724" s="28"/>
      <x:c r="V2724" s="28"/>
      <x:c r="W2724" s="43" t="n">
        <x:f>--AND(N2724=1,OR(O2724="SUPPORTED",O2724="HALLUCINATION"))</x:f>
        <x:v>0</x:v>
      </x:c>
      <x:c r="X2724" s="43" t="n">
        <x:f>--AND(W2724=1,O2724="HALLUCINATION")</x:f>
        <x:v>0</x:v>
      </x:c>
      <x:c r="Y2724" s="43" t="n">
        <x:f>--AND(Q2724=1,O2724="HALLUCINATION")</x:f>
        <x:v>0</x:v>
      </x:c>
      <x:c r="Z2724" s="43" t="n">
        <x:f>--AND(Y2724=1,R2724=1,S2724=1)</x:f>
        <x:v>0</x:v>
      </x:c>
      <x:c r="AC2724" t="str">
        <x:f>IF(OR(AA2724="",AB2724=""),"",--(AA2724&lt;&gt;AB2724))</x:f>
      </x:c>
      <x:c r="AE2724" t="str">
        <x:f>IF(OR(AA2724="",AB2724=""),"PENDING_HUMAN",IF(AA2724=AB2724,AA2724,IF(AD2724&lt;&gt;"",AD2724,"PENDING_HUMAN")))</x:f>
        <x:v>PENDING_HUMAN</x:v>
      </x:c>
      <x:c r="AF2724" t="n">
        <x:f>--AND(A2724&lt;&gt;"",AA2724&lt;&gt;"",AB2724&lt;&gt;"",OR(AA2724=AB2724,AD2724&lt;&gt;""),IF(AE2724="HALLUCINATION",U2724&lt;&gt;"",TRUE))</x:f>
        <x:v>0</x:v>
      </x:c>
      <x:c r="AG2724" t="n">
        <x:f>--AND(N2724=1,AF2724=1,OR(AE2724="SUPPORTED",AE2724="HALLUCINATION"))</x:f>
        <x:v>0</x:v>
      </x:c>
      <x:c r="AH2724" t="n">
        <x:f>--AND(AG2724=1,AE2724="HALLUCINATION")</x:f>
        <x:v>0</x:v>
      </x:c>
      <x:c r="AI2724" t="n">
        <x:f>--AND(Q2724=1,AF2724=1,AE2724="HALLUCINATION")</x:f>
        <x:v>0</x:v>
      </x:c>
      <x:c r="AJ2724" t="n">
        <x:f>--AND(AI2724=1,R2724=1,S2724=1)</x:f>
        <x:v>0</x:v>
      </x:c>
    </x:row>
    <x:row r="2725">
      <x:c r="A2725" s="28"/>
      <x:c r="B2725" s="28"/>
      <x:c r="C2725" s="28"/>
      <x:c r="D2725" s="28"/>
      <x:c r="E2725" s="28"/>
      <x:c r="F2725" s="28"/>
      <x:c r="G2725" s="28"/>
      <x:c r="H2725" s="28"/>
      <x:c r="I2725" s="28"/>
      <x:c r="J2725" s="28"/>
      <x:c r="K2725" s="28"/>
      <x:c r="L2725" s="28"/>
      <x:c r="M2725" s="28"/>
      <x:c r="N2725" s="28"/>
      <x:c r="O2725" s="28"/>
      <x:c r="P2725" s="28"/>
      <x:c r="Q2725" s="28"/>
      <x:c r="R2725" s="28"/>
      <x:c r="S2725" s="28"/>
      <x:c r="T2725" s="28"/>
      <x:c r="U2725" s="28"/>
      <x:c r="V2725" s="28"/>
      <x:c r="W2725" s="43" t="n">
        <x:f>--AND(N2725=1,OR(O2725="SUPPORTED",O2725="HALLUCINATION"))</x:f>
        <x:v>0</x:v>
      </x:c>
      <x:c r="X2725" s="43" t="n">
        <x:f>--AND(W2725=1,O2725="HALLUCINATION")</x:f>
        <x:v>0</x:v>
      </x:c>
      <x:c r="Y2725" s="43" t="n">
        <x:f>--AND(Q2725=1,O2725="HALLUCINATION")</x:f>
        <x:v>0</x:v>
      </x:c>
      <x:c r="Z2725" s="43" t="n">
        <x:f>--AND(Y2725=1,R2725=1,S2725=1)</x:f>
        <x:v>0</x:v>
      </x:c>
      <x:c r="AC2725" t="str">
        <x:f>IF(OR(AA2725="",AB2725=""),"",--(AA2725&lt;&gt;AB2725))</x:f>
      </x:c>
      <x:c r="AE2725" t="str">
        <x:f>IF(OR(AA2725="",AB2725=""),"PENDING_HUMAN",IF(AA2725=AB2725,AA2725,IF(AD2725&lt;&gt;"",AD2725,"PENDING_HUMAN")))</x:f>
        <x:v>PENDING_HUMAN</x:v>
      </x:c>
      <x:c r="AF2725" t="n">
        <x:f>--AND(A2725&lt;&gt;"",AA2725&lt;&gt;"",AB2725&lt;&gt;"",OR(AA2725=AB2725,AD2725&lt;&gt;""),IF(AE2725="HALLUCINATION",U2725&lt;&gt;"",TRUE))</x:f>
        <x:v>0</x:v>
      </x:c>
      <x:c r="AG2725" t="n">
        <x:f>--AND(N2725=1,AF2725=1,OR(AE2725="SUPPORTED",AE2725="HALLUCINATION"))</x:f>
        <x:v>0</x:v>
      </x:c>
      <x:c r="AH2725" t="n">
        <x:f>--AND(AG2725=1,AE2725="HALLUCINATION")</x:f>
        <x:v>0</x:v>
      </x:c>
      <x:c r="AI2725" t="n">
        <x:f>--AND(Q2725=1,AF2725=1,AE2725="HALLUCINATION")</x:f>
        <x:v>0</x:v>
      </x:c>
      <x:c r="AJ2725" t="n">
        <x:f>--AND(AI2725=1,R2725=1,S2725=1)</x:f>
        <x:v>0</x:v>
      </x:c>
    </x:row>
    <x:row r="2726">
      <x:c r="A2726" s="28"/>
      <x:c r="B2726" s="28"/>
      <x:c r="C2726" s="28"/>
      <x:c r="D2726" s="28"/>
      <x:c r="E2726" s="28"/>
      <x:c r="F2726" s="28"/>
      <x:c r="G2726" s="28"/>
      <x:c r="H2726" s="28"/>
      <x:c r="I2726" s="28"/>
      <x:c r="J2726" s="28"/>
      <x:c r="K2726" s="28"/>
      <x:c r="L2726" s="28"/>
      <x:c r="M2726" s="28"/>
      <x:c r="N2726" s="28"/>
      <x:c r="O2726" s="28"/>
      <x:c r="P2726" s="28"/>
      <x:c r="Q2726" s="28"/>
      <x:c r="R2726" s="28"/>
      <x:c r="S2726" s="28"/>
      <x:c r="T2726" s="28"/>
      <x:c r="U2726" s="28"/>
      <x:c r="V2726" s="28"/>
      <x:c r="W2726" s="43" t="n">
        <x:f>--AND(N2726=1,OR(O2726="SUPPORTED",O2726="HALLUCINATION"))</x:f>
        <x:v>0</x:v>
      </x:c>
      <x:c r="X2726" s="43" t="n">
        <x:f>--AND(W2726=1,O2726="HALLUCINATION")</x:f>
        <x:v>0</x:v>
      </x:c>
      <x:c r="Y2726" s="43" t="n">
        <x:f>--AND(Q2726=1,O2726="HALLUCINATION")</x:f>
        <x:v>0</x:v>
      </x:c>
      <x:c r="Z2726" s="43" t="n">
        <x:f>--AND(Y2726=1,R2726=1,S2726=1)</x:f>
        <x:v>0</x:v>
      </x:c>
      <x:c r="AC2726" t="str">
        <x:f>IF(OR(AA2726="",AB2726=""),"",--(AA2726&lt;&gt;AB2726))</x:f>
      </x:c>
      <x:c r="AE2726" t="str">
        <x:f>IF(OR(AA2726="",AB2726=""),"PENDING_HUMAN",IF(AA2726=AB2726,AA2726,IF(AD2726&lt;&gt;"",AD2726,"PENDING_HUMAN")))</x:f>
        <x:v>PENDING_HUMAN</x:v>
      </x:c>
      <x:c r="AF2726" t="n">
        <x:f>--AND(A2726&lt;&gt;"",AA2726&lt;&gt;"",AB2726&lt;&gt;"",OR(AA2726=AB2726,AD2726&lt;&gt;""),IF(AE2726="HALLUCINATION",U2726&lt;&gt;"",TRUE))</x:f>
        <x:v>0</x:v>
      </x:c>
      <x:c r="AG2726" t="n">
        <x:f>--AND(N2726=1,AF2726=1,OR(AE2726="SUPPORTED",AE2726="HALLUCINATION"))</x:f>
        <x:v>0</x:v>
      </x:c>
      <x:c r="AH2726" t="n">
        <x:f>--AND(AG2726=1,AE2726="HALLUCINATION")</x:f>
        <x:v>0</x:v>
      </x:c>
      <x:c r="AI2726" t="n">
        <x:f>--AND(Q2726=1,AF2726=1,AE2726="HALLUCINATION")</x:f>
        <x:v>0</x:v>
      </x:c>
      <x:c r="AJ2726" t="n">
        <x:f>--AND(AI2726=1,R2726=1,S2726=1)</x:f>
        <x:v>0</x:v>
      </x:c>
    </x:row>
    <x:row r="2727">
      <x:c r="A2727" s="28"/>
      <x:c r="B2727" s="28"/>
      <x:c r="C2727" s="28"/>
      <x:c r="D2727" s="28"/>
      <x:c r="E2727" s="28"/>
      <x:c r="F2727" s="28"/>
      <x:c r="G2727" s="28"/>
      <x:c r="H2727" s="28"/>
      <x:c r="I2727" s="28"/>
      <x:c r="J2727" s="28"/>
      <x:c r="K2727" s="28"/>
      <x:c r="L2727" s="28"/>
      <x:c r="M2727" s="28"/>
      <x:c r="N2727" s="28"/>
      <x:c r="O2727" s="28"/>
      <x:c r="P2727" s="28"/>
      <x:c r="Q2727" s="28"/>
      <x:c r="R2727" s="28"/>
      <x:c r="S2727" s="28"/>
      <x:c r="T2727" s="28"/>
      <x:c r="U2727" s="28"/>
      <x:c r="V2727" s="28"/>
      <x:c r="W2727" s="43" t="n">
        <x:f>--AND(N2727=1,OR(O2727="SUPPORTED",O2727="HALLUCINATION"))</x:f>
        <x:v>0</x:v>
      </x:c>
      <x:c r="X2727" s="43" t="n">
        <x:f>--AND(W2727=1,O2727="HALLUCINATION")</x:f>
        <x:v>0</x:v>
      </x:c>
      <x:c r="Y2727" s="43" t="n">
        <x:f>--AND(Q2727=1,O2727="HALLUCINATION")</x:f>
        <x:v>0</x:v>
      </x:c>
      <x:c r="Z2727" s="43" t="n">
        <x:f>--AND(Y2727=1,R2727=1,S2727=1)</x:f>
        <x:v>0</x:v>
      </x:c>
      <x:c r="AC2727" t="str">
        <x:f>IF(OR(AA2727="",AB2727=""),"",--(AA2727&lt;&gt;AB2727))</x:f>
      </x:c>
      <x:c r="AE2727" t="str">
        <x:f>IF(OR(AA2727="",AB2727=""),"PENDING_HUMAN",IF(AA2727=AB2727,AA2727,IF(AD2727&lt;&gt;"",AD2727,"PENDING_HUMAN")))</x:f>
        <x:v>PENDING_HUMAN</x:v>
      </x:c>
      <x:c r="AF2727" t="n">
        <x:f>--AND(A2727&lt;&gt;"",AA2727&lt;&gt;"",AB2727&lt;&gt;"",OR(AA2727=AB2727,AD2727&lt;&gt;""),IF(AE2727="HALLUCINATION",U2727&lt;&gt;"",TRUE))</x:f>
        <x:v>0</x:v>
      </x:c>
      <x:c r="AG2727" t="n">
        <x:f>--AND(N2727=1,AF2727=1,OR(AE2727="SUPPORTED",AE2727="HALLUCINATION"))</x:f>
        <x:v>0</x:v>
      </x:c>
      <x:c r="AH2727" t="n">
        <x:f>--AND(AG2727=1,AE2727="HALLUCINATION")</x:f>
        <x:v>0</x:v>
      </x:c>
      <x:c r="AI2727" t="n">
        <x:f>--AND(Q2727=1,AF2727=1,AE2727="HALLUCINATION")</x:f>
        <x:v>0</x:v>
      </x:c>
      <x:c r="AJ2727" t="n">
        <x:f>--AND(AI2727=1,R2727=1,S2727=1)</x:f>
        <x:v>0</x:v>
      </x:c>
    </x:row>
    <x:row r="2728">
      <x:c r="A2728" s="28"/>
      <x:c r="B2728" s="28"/>
      <x:c r="C2728" s="28"/>
      <x:c r="D2728" s="28"/>
      <x:c r="E2728" s="28"/>
      <x:c r="F2728" s="28"/>
      <x:c r="G2728" s="28"/>
      <x:c r="H2728" s="28"/>
      <x:c r="I2728" s="28"/>
      <x:c r="J2728" s="28"/>
      <x:c r="K2728" s="28"/>
      <x:c r="L2728" s="28"/>
      <x:c r="M2728" s="28"/>
      <x:c r="N2728" s="28"/>
      <x:c r="O2728" s="28"/>
      <x:c r="P2728" s="28"/>
      <x:c r="Q2728" s="28"/>
      <x:c r="R2728" s="28"/>
      <x:c r="S2728" s="28"/>
      <x:c r="T2728" s="28"/>
      <x:c r="U2728" s="28"/>
      <x:c r="V2728" s="28"/>
      <x:c r="W2728" s="43" t="n">
        <x:f>--AND(N2728=1,OR(O2728="SUPPORTED",O2728="HALLUCINATION"))</x:f>
        <x:v>0</x:v>
      </x:c>
      <x:c r="X2728" s="43" t="n">
        <x:f>--AND(W2728=1,O2728="HALLUCINATION")</x:f>
        <x:v>0</x:v>
      </x:c>
      <x:c r="Y2728" s="43" t="n">
        <x:f>--AND(Q2728=1,O2728="HALLUCINATION")</x:f>
        <x:v>0</x:v>
      </x:c>
      <x:c r="Z2728" s="43" t="n">
        <x:f>--AND(Y2728=1,R2728=1,S2728=1)</x:f>
        <x:v>0</x:v>
      </x:c>
      <x:c r="AC2728" t="str">
        <x:f>IF(OR(AA2728="",AB2728=""),"",--(AA2728&lt;&gt;AB2728))</x:f>
      </x:c>
      <x:c r="AE2728" t="str">
        <x:f>IF(OR(AA2728="",AB2728=""),"PENDING_HUMAN",IF(AA2728=AB2728,AA2728,IF(AD2728&lt;&gt;"",AD2728,"PENDING_HUMAN")))</x:f>
        <x:v>PENDING_HUMAN</x:v>
      </x:c>
      <x:c r="AF2728" t="n">
        <x:f>--AND(A2728&lt;&gt;"",AA2728&lt;&gt;"",AB2728&lt;&gt;"",OR(AA2728=AB2728,AD2728&lt;&gt;""),IF(AE2728="HALLUCINATION",U2728&lt;&gt;"",TRUE))</x:f>
        <x:v>0</x:v>
      </x:c>
      <x:c r="AG2728" t="n">
        <x:f>--AND(N2728=1,AF2728=1,OR(AE2728="SUPPORTED",AE2728="HALLUCINATION"))</x:f>
        <x:v>0</x:v>
      </x:c>
      <x:c r="AH2728" t="n">
        <x:f>--AND(AG2728=1,AE2728="HALLUCINATION")</x:f>
        <x:v>0</x:v>
      </x:c>
      <x:c r="AI2728" t="n">
        <x:f>--AND(Q2728=1,AF2728=1,AE2728="HALLUCINATION")</x:f>
        <x:v>0</x:v>
      </x:c>
      <x:c r="AJ2728" t="n">
        <x:f>--AND(AI2728=1,R2728=1,S2728=1)</x:f>
        <x:v>0</x:v>
      </x:c>
    </x:row>
    <x:row r="2729">
      <x:c r="A2729" s="28"/>
      <x:c r="B2729" s="28"/>
      <x:c r="C2729" s="28"/>
      <x:c r="D2729" s="28"/>
      <x:c r="E2729" s="28"/>
      <x:c r="F2729" s="28"/>
      <x:c r="G2729" s="28"/>
      <x:c r="H2729" s="28"/>
      <x:c r="I2729" s="28"/>
      <x:c r="J2729" s="28"/>
      <x:c r="K2729" s="28"/>
      <x:c r="L2729" s="28"/>
      <x:c r="M2729" s="28"/>
      <x:c r="N2729" s="28"/>
      <x:c r="O2729" s="28"/>
      <x:c r="P2729" s="28"/>
      <x:c r="Q2729" s="28"/>
      <x:c r="R2729" s="28"/>
      <x:c r="S2729" s="28"/>
      <x:c r="T2729" s="28"/>
      <x:c r="U2729" s="28"/>
      <x:c r="V2729" s="28"/>
      <x:c r="W2729" s="43" t="n">
        <x:f>--AND(N2729=1,OR(O2729="SUPPORTED",O2729="HALLUCINATION"))</x:f>
        <x:v>0</x:v>
      </x:c>
      <x:c r="X2729" s="43" t="n">
        <x:f>--AND(W2729=1,O2729="HALLUCINATION")</x:f>
        <x:v>0</x:v>
      </x:c>
      <x:c r="Y2729" s="43" t="n">
        <x:f>--AND(Q2729=1,O2729="HALLUCINATION")</x:f>
        <x:v>0</x:v>
      </x:c>
      <x:c r="Z2729" s="43" t="n">
        <x:f>--AND(Y2729=1,R2729=1,S2729=1)</x:f>
        <x:v>0</x:v>
      </x:c>
      <x:c r="AC2729" t="str">
        <x:f>IF(OR(AA2729="",AB2729=""),"",--(AA2729&lt;&gt;AB2729))</x:f>
      </x:c>
      <x:c r="AE2729" t="str">
        <x:f>IF(OR(AA2729="",AB2729=""),"PENDING_HUMAN",IF(AA2729=AB2729,AA2729,IF(AD2729&lt;&gt;"",AD2729,"PENDING_HUMAN")))</x:f>
        <x:v>PENDING_HUMAN</x:v>
      </x:c>
      <x:c r="AF2729" t="n">
        <x:f>--AND(A2729&lt;&gt;"",AA2729&lt;&gt;"",AB2729&lt;&gt;"",OR(AA2729=AB2729,AD2729&lt;&gt;""),IF(AE2729="HALLUCINATION",U2729&lt;&gt;"",TRUE))</x:f>
        <x:v>0</x:v>
      </x:c>
      <x:c r="AG2729" t="n">
        <x:f>--AND(N2729=1,AF2729=1,OR(AE2729="SUPPORTED",AE2729="HALLUCINATION"))</x:f>
        <x:v>0</x:v>
      </x:c>
      <x:c r="AH2729" t="n">
        <x:f>--AND(AG2729=1,AE2729="HALLUCINATION")</x:f>
        <x:v>0</x:v>
      </x:c>
      <x:c r="AI2729" t="n">
        <x:f>--AND(Q2729=1,AF2729=1,AE2729="HALLUCINATION")</x:f>
        <x:v>0</x:v>
      </x:c>
      <x:c r="AJ2729" t="n">
        <x:f>--AND(AI2729=1,R2729=1,S2729=1)</x:f>
        <x:v>0</x:v>
      </x:c>
    </x:row>
    <x:row r="2730">
      <x:c r="A2730" s="28"/>
      <x:c r="B2730" s="28"/>
      <x:c r="C2730" s="28"/>
      <x:c r="D2730" s="28"/>
      <x:c r="E2730" s="28"/>
      <x:c r="F2730" s="28"/>
      <x:c r="G2730" s="28"/>
      <x:c r="H2730" s="28"/>
      <x:c r="I2730" s="28"/>
      <x:c r="J2730" s="28"/>
      <x:c r="K2730" s="28"/>
      <x:c r="L2730" s="28"/>
      <x:c r="M2730" s="28"/>
      <x:c r="N2730" s="28"/>
      <x:c r="O2730" s="28"/>
      <x:c r="P2730" s="28"/>
      <x:c r="Q2730" s="28"/>
      <x:c r="R2730" s="28"/>
      <x:c r="S2730" s="28"/>
      <x:c r="T2730" s="28"/>
      <x:c r="U2730" s="28"/>
      <x:c r="V2730" s="28"/>
      <x:c r="W2730" s="43" t="n">
        <x:f>--AND(N2730=1,OR(O2730="SUPPORTED",O2730="HALLUCINATION"))</x:f>
        <x:v>0</x:v>
      </x:c>
      <x:c r="X2730" s="43" t="n">
        <x:f>--AND(W2730=1,O2730="HALLUCINATION")</x:f>
        <x:v>0</x:v>
      </x:c>
      <x:c r="Y2730" s="43" t="n">
        <x:f>--AND(Q2730=1,O2730="HALLUCINATION")</x:f>
        <x:v>0</x:v>
      </x:c>
      <x:c r="Z2730" s="43" t="n">
        <x:f>--AND(Y2730=1,R2730=1,S2730=1)</x:f>
        <x:v>0</x:v>
      </x:c>
      <x:c r="AC2730" t="str">
        <x:f>IF(OR(AA2730="",AB2730=""),"",--(AA2730&lt;&gt;AB2730))</x:f>
      </x:c>
      <x:c r="AE2730" t="str">
        <x:f>IF(OR(AA2730="",AB2730=""),"PENDING_HUMAN",IF(AA2730=AB2730,AA2730,IF(AD2730&lt;&gt;"",AD2730,"PENDING_HUMAN")))</x:f>
        <x:v>PENDING_HUMAN</x:v>
      </x:c>
      <x:c r="AF2730" t="n">
        <x:f>--AND(A2730&lt;&gt;"",AA2730&lt;&gt;"",AB2730&lt;&gt;"",OR(AA2730=AB2730,AD2730&lt;&gt;""),IF(AE2730="HALLUCINATION",U2730&lt;&gt;"",TRUE))</x:f>
        <x:v>0</x:v>
      </x:c>
      <x:c r="AG2730" t="n">
        <x:f>--AND(N2730=1,AF2730=1,OR(AE2730="SUPPORTED",AE2730="HALLUCINATION"))</x:f>
        <x:v>0</x:v>
      </x:c>
      <x:c r="AH2730" t="n">
        <x:f>--AND(AG2730=1,AE2730="HALLUCINATION")</x:f>
        <x:v>0</x:v>
      </x:c>
      <x:c r="AI2730" t="n">
        <x:f>--AND(Q2730=1,AF2730=1,AE2730="HALLUCINATION")</x:f>
        <x:v>0</x:v>
      </x:c>
      <x:c r="AJ2730" t="n">
        <x:f>--AND(AI2730=1,R2730=1,S2730=1)</x:f>
        <x:v>0</x:v>
      </x:c>
    </x:row>
    <x:row r="2731">
      <x:c r="A2731" s="28"/>
      <x:c r="B2731" s="28"/>
      <x:c r="C2731" s="28"/>
      <x:c r="D2731" s="28"/>
      <x:c r="E2731" s="28"/>
      <x:c r="F2731" s="28"/>
      <x:c r="G2731" s="28"/>
      <x:c r="H2731" s="28"/>
      <x:c r="I2731" s="28"/>
      <x:c r="J2731" s="28"/>
      <x:c r="K2731" s="28"/>
      <x:c r="L2731" s="28"/>
      <x:c r="M2731" s="28"/>
      <x:c r="N2731" s="28"/>
      <x:c r="O2731" s="28"/>
      <x:c r="P2731" s="28"/>
      <x:c r="Q2731" s="28"/>
      <x:c r="R2731" s="28"/>
      <x:c r="S2731" s="28"/>
      <x:c r="T2731" s="28"/>
      <x:c r="U2731" s="28"/>
      <x:c r="V2731" s="28"/>
      <x:c r="W2731" s="43" t="n">
        <x:f>--AND(N2731=1,OR(O2731="SUPPORTED",O2731="HALLUCINATION"))</x:f>
        <x:v>0</x:v>
      </x:c>
      <x:c r="X2731" s="43" t="n">
        <x:f>--AND(W2731=1,O2731="HALLUCINATION")</x:f>
        <x:v>0</x:v>
      </x:c>
      <x:c r="Y2731" s="43" t="n">
        <x:f>--AND(Q2731=1,O2731="HALLUCINATION")</x:f>
        <x:v>0</x:v>
      </x:c>
      <x:c r="Z2731" s="43" t="n">
        <x:f>--AND(Y2731=1,R2731=1,S2731=1)</x:f>
        <x:v>0</x:v>
      </x:c>
      <x:c r="AC2731" t="str">
        <x:f>IF(OR(AA2731="",AB2731=""),"",--(AA2731&lt;&gt;AB2731))</x:f>
      </x:c>
      <x:c r="AE2731" t="str">
        <x:f>IF(OR(AA2731="",AB2731=""),"PENDING_HUMAN",IF(AA2731=AB2731,AA2731,IF(AD2731&lt;&gt;"",AD2731,"PENDING_HUMAN")))</x:f>
        <x:v>PENDING_HUMAN</x:v>
      </x:c>
      <x:c r="AF2731" t="n">
        <x:f>--AND(A2731&lt;&gt;"",AA2731&lt;&gt;"",AB2731&lt;&gt;"",OR(AA2731=AB2731,AD2731&lt;&gt;""),IF(AE2731="HALLUCINATION",U2731&lt;&gt;"",TRUE))</x:f>
        <x:v>0</x:v>
      </x:c>
      <x:c r="AG2731" t="n">
        <x:f>--AND(N2731=1,AF2731=1,OR(AE2731="SUPPORTED",AE2731="HALLUCINATION"))</x:f>
        <x:v>0</x:v>
      </x:c>
      <x:c r="AH2731" t="n">
        <x:f>--AND(AG2731=1,AE2731="HALLUCINATION")</x:f>
        <x:v>0</x:v>
      </x:c>
      <x:c r="AI2731" t="n">
        <x:f>--AND(Q2731=1,AF2731=1,AE2731="HALLUCINATION")</x:f>
        <x:v>0</x:v>
      </x:c>
      <x:c r="AJ2731" t="n">
        <x:f>--AND(AI2731=1,R2731=1,S2731=1)</x:f>
        <x:v>0</x:v>
      </x:c>
    </x:row>
    <x:row r="2732">
      <x:c r="A2732" s="28"/>
      <x:c r="B2732" s="28"/>
      <x:c r="C2732" s="28"/>
      <x:c r="D2732" s="28"/>
      <x:c r="E2732" s="28"/>
      <x:c r="F2732" s="28"/>
      <x:c r="G2732" s="28"/>
      <x:c r="H2732" s="28"/>
      <x:c r="I2732" s="28"/>
      <x:c r="J2732" s="28"/>
      <x:c r="K2732" s="28"/>
      <x:c r="L2732" s="28"/>
      <x:c r="M2732" s="28"/>
      <x:c r="N2732" s="28"/>
      <x:c r="O2732" s="28"/>
      <x:c r="P2732" s="28"/>
      <x:c r="Q2732" s="28"/>
      <x:c r="R2732" s="28"/>
      <x:c r="S2732" s="28"/>
      <x:c r="T2732" s="28"/>
      <x:c r="U2732" s="28"/>
      <x:c r="V2732" s="28"/>
      <x:c r="W2732" s="43" t="n">
        <x:f>--AND(N2732=1,OR(O2732="SUPPORTED",O2732="HALLUCINATION"))</x:f>
        <x:v>0</x:v>
      </x:c>
      <x:c r="X2732" s="43" t="n">
        <x:f>--AND(W2732=1,O2732="HALLUCINATION")</x:f>
        <x:v>0</x:v>
      </x:c>
      <x:c r="Y2732" s="43" t="n">
        <x:f>--AND(Q2732=1,O2732="HALLUCINATION")</x:f>
        <x:v>0</x:v>
      </x:c>
      <x:c r="Z2732" s="43" t="n">
        <x:f>--AND(Y2732=1,R2732=1,S2732=1)</x:f>
        <x:v>0</x:v>
      </x:c>
      <x:c r="AC2732" t="str">
        <x:f>IF(OR(AA2732="",AB2732=""),"",--(AA2732&lt;&gt;AB2732))</x:f>
      </x:c>
      <x:c r="AE2732" t="str">
        <x:f>IF(OR(AA2732="",AB2732=""),"PENDING_HUMAN",IF(AA2732=AB2732,AA2732,IF(AD2732&lt;&gt;"",AD2732,"PENDING_HUMAN")))</x:f>
        <x:v>PENDING_HUMAN</x:v>
      </x:c>
      <x:c r="AF2732" t="n">
        <x:f>--AND(A2732&lt;&gt;"",AA2732&lt;&gt;"",AB2732&lt;&gt;"",OR(AA2732=AB2732,AD2732&lt;&gt;""),IF(AE2732="HALLUCINATION",U2732&lt;&gt;"",TRUE))</x:f>
        <x:v>0</x:v>
      </x:c>
      <x:c r="AG2732" t="n">
        <x:f>--AND(N2732=1,AF2732=1,OR(AE2732="SUPPORTED",AE2732="HALLUCINATION"))</x:f>
        <x:v>0</x:v>
      </x:c>
      <x:c r="AH2732" t="n">
        <x:f>--AND(AG2732=1,AE2732="HALLUCINATION")</x:f>
        <x:v>0</x:v>
      </x:c>
      <x:c r="AI2732" t="n">
        <x:f>--AND(Q2732=1,AF2732=1,AE2732="HALLUCINATION")</x:f>
        <x:v>0</x:v>
      </x:c>
      <x:c r="AJ2732" t="n">
        <x:f>--AND(AI2732=1,R2732=1,S2732=1)</x:f>
        <x:v>0</x:v>
      </x:c>
    </x:row>
    <x:row r="2733">
      <x:c r="A2733" s="28"/>
      <x:c r="B2733" s="28"/>
      <x:c r="C2733" s="28"/>
      <x:c r="D2733" s="28"/>
      <x:c r="E2733" s="28"/>
      <x:c r="F2733" s="28"/>
      <x:c r="G2733" s="28"/>
      <x:c r="H2733" s="28"/>
      <x:c r="I2733" s="28"/>
      <x:c r="J2733" s="28"/>
      <x:c r="K2733" s="28"/>
      <x:c r="L2733" s="28"/>
      <x:c r="M2733" s="28"/>
      <x:c r="N2733" s="28"/>
      <x:c r="O2733" s="28"/>
      <x:c r="P2733" s="28"/>
      <x:c r="Q2733" s="28"/>
      <x:c r="R2733" s="28"/>
      <x:c r="S2733" s="28"/>
      <x:c r="T2733" s="28"/>
      <x:c r="U2733" s="28"/>
      <x:c r="V2733" s="28"/>
      <x:c r="W2733" s="43" t="n">
        <x:f>--AND(N2733=1,OR(O2733="SUPPORTED",O2733="HALLUCINATION"))</x:f>
        <x:v>0</x:v>
      </x:c>
      <x:c r="X2733" s="43" t="n">
        <x:f>--AND(W2733=1,O2733="HALLUCINATION")</x:f>
        <x:v>0</x:v>
      </x:c>
      <x:c r="Y2733" s="43" t="n">
        <x:f>--AND(Q2733=1,O2733="HALLUCINATION")</x:f>
        <x:v>0</x:v>
      </x:c>
      <x:c r="Z2733" s="43" t="n">
        <x:f>--AND(Y2733=1,R2733=1,S2733=1)</x:f>
        <x:v>0</x:v>
      </x:c>
      <x:c r="AC2733" t="str">
        <x:f>IF(OR(AA2733="",AB2733=""),"",--(AA2733&lt;&gt;AB2733))</x:f>
      </x:c>
      <x:c r="AE2733" t="str">
        <x:f>IF(OR(AA2733="",AB2733=""),"PENDING_HUMAN",IF(AA2733=AB2733,AA2733,IF(AD2733&lt;&gt;"",AD2733,"PENDING_HUMAN")))</x:f>
        <x:v>PENDING_HUMAN</x:v>
      </x:c>
      <x:c r="AF2733" t="n">
        <x:f>--AND(A2733&lt;&gt;"",AA2733&lt;&gt;"",AB2733&lt;&gt;"",OR(AA2733=AB2733,AD2733&lt;&gt;""),IF(AE2733="HALLUCINATION",U2733&lt;&gt;"",TRUE))</x:f>
        <x:v>0</x:v>
      </x:c>
      <x:c r="AG2733" t="n">
        <x:f>--AND(N2733=1,AF2733=1,OR(AE2733="SUPPORTED",AE2733="HALLUCINATION"))</x:f>
        <x:v>0</x:v>
      </x:c>
      <x:c r="AH2733" t="n">
        <x:f>--AND(AG2733=1,AE2733="HALLUCINATION")</x:f>
        <x:v>0</x:v>
      </x:c>
      <x:c r="AI2733" t="n">
        <x:f>--AND(Q2733=1,AF2733=1,AE2733="HALLUCINATION")</x:f>
        <x:v>0</x:v>
      </x:c>
      <x:c r="AJ2733" t="n">
        <x:f>--AND(AI2733=1,R2733=1,S2733=1)</x:f>
        <x:v>0</x:v>
      </x:c>
    </x:row>
    <x:row r="2734">
      <x:c r="A2734" s="28"/>
      <x:c r="B2734" s="28"/>
      <x:c r="C2734" s="28"/>
      <x:c r="D2734" s="28"/>
      <x:c r="E2734" s="28"/>
      <x:c r="F2734" s="28"/>
      <x:c r="G2734" s="28"/>
      <x:c r="H2734" s="28"/>
      <x:c r="I2734" s="28"/>
      <x:c r="J2734" s="28"/>
      <x:c r="K2734" s="28"/>
      <x:c r="L2734" s="28"/>
      <x:c r="M2734" s="28"/>
      <x:c r="N2734" s="28"/>
      <x:c r="O2734" s="28"/>
      <x:c r="P2734" s="28"/>
      <x:c r="Q2734" s="28"/>
      <x:c r="R2734" s="28"/>
      <x:c r="S2734" s="28"/>
      <x:c r="T2734" s="28"/>
      <x:c r="U2734" s="28"/>
      <x:c r="V2734" s="28"/>
      <x:c r="W2734" s="43" t="n">
        <x:f>--AND(N2734=1,OR(O2734="SUPPORTED",O2734="HALLUCINATION"))</x:f>
        <x:v>0</x:v>
      </x:c>
      <x:c r="X2734" s="43" t="n">
        <x:f>--AND(W2734=1,O2734="HALLUCINATION")</x:f>
        <x:v>0</x:v>
      </x:c>
      <x:c r="Y2734" s="43" t="n">
        <x:f>--AND(Q2734=1,O2734="HALLUCINATION")</x:f>
        <x:v>0</x:v>
      </x:c>
      <x:c r="Z2734" s="43" t="n">
        <x:f>--AND(Y2734=1,R2734=1,S2734=1)</x:f>
        <x:v>0</x:v>
      </x:c>
      <x:c r="AC2734" t="str">
        <x:f>IF(OR(AA2734="",AB2734=""),"",--(AA2734&lt;&gt;AB2734))</x:f>
      </x:c>
      <x:c r="AE2734" t="str">
        <x:f>IF(OR(AA2734="",AB2734=""),"PENDING_HUMAN",IF(AA2734=AB2734,AA2734,IF(AD2734&lt;&gt;"",AD2734,"PENDING_HUMAN")))</x:f>
        <x:v>PENDING_HUMAN</x:v>
      </x:c>
      <x:c r="AF2734" t="n">
        <x:f>--AND(A2734&lt;&gt;"",AA2734&lt;&gt;"",AB2734&lt;&gt;"",OR(AA2734=AB2734,AD2734&lt;&gt;""),IF(AE2734="HALLUCINATION",U2734&lt;&gt;"",TRUE))</x:f>
        <x:v>0</x:v>
      </x:c>
      <x:c r="AG2734" t="n">
        <x:f>--AND(N2734=1,AF2734=1,OR(AE2734="SUPPORTED",AE2734="HALLUCINATION"))</x:f>
        <x:v>0</x:v>
      </x:c>
      <x:c r="AH2734" t="n">
        <x:f>--AND(AG2734=1,AE2734="HALLUCINATION")</x:f>
        <x:v>0</x:v>
      </x:c>
      <x:c r="AI2734" t="n">
        <x:f>--AND(Q2734=1,AF2734=1,AE2734="HALLUCINATION")</x:f>
        <x:v>0</x:v>
      </x:c>
      <x:c r="AJ2734" t="n">
        <x:f>--AND(AI2734=1,R2734=1,S2734=1)</x:f>
        <x:v>0</x:v>
      </x:c>
    </x:row>
    <x:row r="2735">
      <x:c r="A2735" s="28"/>
      <x:c r="B2735" s="28"/>
      <x:c r="C2735" s="28"/>
      <x:c r="D2735" s="28"/>
      <x:c r="E2735" s="28"/>
      <x:c r="F2735" s="28"/>
      <x:c r="G2735" s="28"/>
      <x:c r="H2735" s="28"/>
      <x:c r="I2735" s="28"/>
      <x:c r="J2735" s="28"/>
      <x:c r="K2735" s="28"/>
      <x:c r="L2735" s="28"/>
      <x:c r="M2735" s="28"/>
      <x:c r="N2735" s="28"/>
      <x:c r="O2735" s="28"/>
      <x:c r="P2735" s="28"/>
      <x:c r="Q2735" s="28"/>
      <x:c r="R2735" s="28"/>
      <x:c r="S2735" s="28"/>
      <x:c r="T2735" s="28"/>
      <x:c r="U2735" s="28"/>
      <x:c r="V2735" s="28"/>
      <x:c r="W2735" s="43" t="n">
        <x:f>--AND(N2735=1,OR(O2735="SUPPORTED",O2735="HALLUCINATION"))</x:f>
        <x:v>0</x:v>
      </x:c>
      <x:c r="X2735" s="43" t="n">
        <x:f>--AND(W2735=1,O2735="HALLUCINATION")</x:f>
        <x:v>0</x:v>
      </x:c>
      <x:c r="Y2735" s="43" t="n">
        <x:f>--AND(Q2735=1,O2735="HALLUCINATION")</x:f>
        <x:v>0</x:v>
      </x:c>
      <x:c r="Z2735" s="43" t="n">
        <x:f>--AND(Y2735=1,R2735=1,S2735=1)</x:f>
        <x:v>0</x:v>
      </x:c>
      <x:c r="AC2735" t="str">
        <x:f>IF(OR(AA2735="",AB2735=""),"",--(AA2735&lt;&gt;AB2735))</x:f>
      </x:c>
      <x:c r="AE2735" t="str">
        <x:f>IF(OR(AA2735="",AB2735=""),"PENDING_HUMAN",IF(AA2735=AB2735,AA2735,IF(AD2735&lt;&gt;"",AD2735,"PENDING_HUMAN")))</x:f>
        <x:v>PENDING_HUMAN</x:v>
      </x:c>
      <x:c r="AF2735" t="n">
        <x:f>--AND(A2735&lt;&gt;"",AA2735&lt;&gt;"",AB2735&lt;&gt;"",OR(AA2735=AB2735,AD2735&lt;&gt;""),IF(AE2735="HALLUCINATION",U2735&lt;&gt;"",TRUE))</x:f>
        <x:v>0</x:v>
      </x:c>
      <x:c r="AG2735" t="n">
        <x:f>--AND(N2735=1,AF2735=1,OR(AE2735="SUPPORTED",AE2735="HALLUCINATION"))</x:f>
        <x:v>0</x:v>
      </x:c>
      <x:c r="AH2735" t="n">
        <x:f>--AND(AG2735=1,AE2735="HALLUCINATION")</x:f>
        <x:v>0</x:v>
      </x:c>
      <x:c r="AI2735" t="n">
        <x:f>--AND(Q2735=1,AF2735=1,AE2735="HALLUCINATION")</x:f>
        <x:v>0</x:v>
      </x:c>
      <x:c r="AJ2735" t="n">
        <x:f>--AND(AI2735=1,R2735=1,S2735=1)</x:f>
        <x:v>0</x:v>
      </x:c>
    </x:row>
    <x:row r="2736">
      <x:c r="A2736" s="28"/>
      <x:c r="B2736" s="28"/>
      <x:c r="C2736" s="28"/>
      <x:c r="D2736" s="28"/>
      <x:c r="E2736" s="28"/>
      <x:c r="F2736" s="28"/>
      <x:c r="G2736" s="28"/>
      <x:c r="H2736" s="28"/>
      <x:c r="I2736" s="28"/>
      <x:c r="J2736" s="28"/>
      <x:c r="K2736" s="28"/>
      <x:c r="L2736" s="28"/>
      <x:c r="M2736" s="28"/>
      <x:c r="N2736" s="28"/>
      <x:c r="O2736" s="28"/>
      <x:c r="P2736" s="28"/>
      <x:c r="Q2736" s="28"/>
      <x:c r="R2736" s="28"/>
      <x:c r="S2736" s="28"/>
      <x:c r="T2736" s="28"/>
      <x:c r="U2736" s="28"/>
      <x:c r="V2736" s="28"/>
      <x:c r="W2736" s="43" t="n">
        <x:f>--AND(N2736=1,OR(O2736="SUPPORTED",O2736="HALLUCINATION"))</x:f>
        <x:v>0</x:v>
      </x:c>
      <x:c r="X2736" s="43" t="n">
        <x:f>--AND(W2736=1,O2736="HALLUCINATION")</x:f>
        <x:v>0</x:v>
      </x:c>
      <x:c r="Y2736" s="43" t="n">
        <x:f>--AND(Q2736=1,O2736="HALLUCINATION")</x:f>
        <x:v>0</x:v>
      </x:c>
      <x:c r="Z2736" s="43" t="n">
        <x:f>--AND(Y2736=1,R2736=1,S2736=1)</x:f>
        <x:v>0</x:v>
      </x:c>
      <x:c r="AC2736" t="str">
        <x:f>IF(OR(AA2736="",AB2736=""),"",--(AA2736&lt;&gt;AB2736))</x:f>
      </x:c>
      <x:c r="AE2736" t="str">
        <x:f>IF(OR(AA2736="",AB2736=""),"PENDING_HUMAN",IF(AA2736=AB2736,AA2736,IF(AD2736&lt;&gt;"",AD2736,"PENDING_HUMAN")))</x:f>
        <x:v>PENDING_HUMAN</x:v>
      </x:c>
      <x:c r="AF2736" t="n">
        <x:f>--AND(A2736&lt;&gt;"",AA2736&lt;&gt;"",AB2736&lt;&gt;"",OR(AA2736=AB2736,AD2736&lt;&gt;""),IF(AE2736="HALLUCINATION",U2736&lt;&gt;"",TRUE))</x:f>
        <x:v>0</x:v>
      </x:c>
      <x:c r="AG2736" t="n">
        <x:f>--AND(N2736=1,AF2736=1,OR(AE2736="SUPPORTED",AE2736="HALLUCINATION"))</x:f>
        <x:v>0</x:v>
      </x:c>
      <x:c r="AH2736" t="n">
        <x:f>--AND(AG2736=1,AE2736="HALLUCINATION")</x:f>
        <x:v>0</x:v>
      </x:c>
      <x:c r="AI2736" t="n">
        <x:f>--AND(Q2736=1,AF2736=1,AE2736="HALLUCINATION")</x:f>
        <x:v>0</x:v>
      </x:c>
      <x:c r="AJ2736" t="n">
        <x:f>--AND(AI2736=1,R2736=1,S2736=1)</x:f>
        <x:v>0</x:v>
      </x:c>
    </x:row>
    <x:row r="2737">
      <x:c r="A2737" s="28"/>
      <x:c r="B2737" s="28"/>
      <x:c r="C2737" s="28"/>
      <x:c r="D2737" s="28"/>
      <x:c r="E2737" s="28"/>
      <x:c r="F2737" s="28"/>
      <x:c r="G2737" s="28"/>
      <x:c r="H2737" s="28"/>
      <x:c r="I2737" s="28"/>
      <x:c r="J2737" s="28"/>
      <x:c r="K2737" s="28"/>
      <x:c r="L2737" s="28"/>
      <x:c r="M2737" s="28"/>
      <x:c r="N2737" s="28"/>
      <x:c r="O2737" s="28"/>
      <x:c r="P2737" s="28"/>
      <x:c r="Q2737" s="28"/>
      <x:c r="R2737" s="28"/>
      <x:c r="S2737" s="28"/>
      <x:c r="T2737" s="28"/>
      <x:c r="U2737" s="28"/>
      <x:c r="V2737" s="28"/>
      <x:c r="W2737" s="43" t="n">
        <x:f>--AND(N2737=1,OR(O2737="SUPPORTED",O2737="HALLUCINATION"))</x:f>
        <x:v>0</x:v>
      </x:c>
      <x:c r="X2737" s="43" t="n">
        <x:f>--AND(W2737=1,O2737="HALLUCINATION")</x:f>
        <x:v>0</x:v>
      </x:c>
      <x:c r="Y2737" s="43" t="n">
        <x:f>--AND(Q2737=1,O2737="HALLUCINATION")</x:f>
        <x:v>0</x:v>
      </x:c>
      <x:c r="Z2737" s="43" t="n">
        <x:f>--AND(Y2737=1,R2737=1,S2737=1)</x:f>
        <x:v>0</x:v>
      </x:c>
      <x:c r="AC2737" t="str">
        <x:f>IF(OR(AA2737="",AB2737=""),"",--(AA2737&lt;&gt;AB2737))</x:f>
      </x:c>
      <x:c r="AE2737" t="str">
        <x:f>IF(OR(AA2737="",AB2737=""),"PENDING_HUMAN",IF(AA2737=AB2737,AA2737,IF(AD2737&lt;&gt;"",AD2737,"PENDING_HUMAN")))</x:f>
        <x:v>PENDING_HUMAN</x:v>
      </x:c>
      <x:c r="AF2737" t="n">
        <x:f>--AND(A2737&lt;&gt;"",AA2737&lt;&gt;"",AB2737&lt;&gt;"",OR(AA2737=AB2737,AD2737&lt;&gt;""),IF(AE2737="HALLUCINATION",U2737&lt;&gt;"",TRUE))</x:f>
        <x:v>0</x:v>
      </x:c>
      <x:c r="AG2737" t="n">
        <x:f>--AND(N2737=1,AF2737=1,OR(AE2737="SUPPORTED",AE2737="HALLUCINATION"))</x:f>
        <x:v>0</x:v>
      </x:c>
      <x:c r="AH2737" t="n">
        <x:f>--AND(AG2737=1,AE2737="HALLUCINATION")</x:f>
        <x:v>0</x:v>
      </x:c>
      <x:c r="AI2737" t="n">
        <x:f>--AND(Q2737=1,AF2737=1,AE2737="HALLUCINATION")</x:f>
        <x:v>0</x:v>
      </x:c>
      <x:c r="AJ2737" t="n">
        <x:f>--AND(AI2737=1,R2737=1,S2737=1)</x:f>
        <x:v>0</x:v>
      </x:c>
    </x:row>
    <x:row r="2738">
      <x:c r="A2738" s="28"/>
      <x:c r="B2738" s="28"/>
      <x:c r="C2738" s="28"/>
      <x:c r="D2738" s="28"/>
      <x:c r="E2738" s="28"/>
      <x:c r="F2738" s="28"/>
      <x:c r="G2738" s="28"/>
      <x:c r="H2738" s="28"/>
      <x:c r="I2738" s="28"/>
      <x:c r="J2738" s="28"/>
      <x:c r="K2738" s="28"/>
      <x:c r="L2738" s="28"/>
      <x:c r="M2738" s="28"/>
      <x:c r="N2738" s="28"/>
      <x:c r="O2738" s="28"/>
      <x:c r="P2738" s="28"/>
      <x:c r="Q2738" s="28"/>
      <x:c r="R2738" s="28"/>
      <x:c r="S2738" s="28"/>
      <x:c r="T2738" s="28"/>
      <x:c r="U2738" s="28"/>
      <x:c r="V2738" s="28"/>
      <x:c r="W2738" s="43" t="n">
        <x:f>--AND(N2738=1,OR(O2738="SUPPORTED",O2738="HALLUCINATION"))</x:f>
        <x:v>0</x:v>
      </x:c>
      <x:c r="X2738" s="43" t="n">
        <x:f>--AND(W2738=1,O2738="HALLUCINATION")</x:f>
        <x:v>0</x:v>
      </x:c>
      <x:c r="Y2738" s="43" t="n">
        <x:f>--AND(Q2738=1,O2738="HALLUCINATION")</x:f>
        <x:v>0</x:v>
      </x:c>
      <x:c r="Z2738" s="43" t="n">
        <x:f>--AND(Y2738=1,R2738=1,S2738=1)</x:f>
        <x:v>0</x:v>
      </x:c>
      <x:c r="AC2738" t="str">
        <x:f>IF(OR(AA2738="",AB2738=""),"",--(AA2738&lt;&gt;AB2738))</x:f>
      </x:c>
      <x:c r="AE2738" t="str">
        <x:f>IF(OR(AA2738="",AB2738=""),"PENDING_HUMAN",IF(AA2738=AB2738,AA2738,IF(AD2738&lt;&gt;"",AD2738,"PENDING_HUMAN")))</x:f>
        <x:v>PENDING_HUMAN</x:v>
      </x:c>
      <x:c r="AF2738" t="n">
        <x:f>--AND(A2738&lt;&gt;"",AA2738&lt;&gt;"",AB2738&lt;&gt;"",OR(AA2738=AB2738,AD2738&lt;&gt;""),IF(AE2738="HALLUCINATION",U2738&lt;&gt;"",TRUE))</x:f>
        <x:v>0</x:v>
      </x:c>
      <x:c r="AG2738" t="n">
        <x:f>--AND(N2738=1,AF2738=1,OR(AE2738="SUPPORTED",AE2738="HALLUCINATION"))</x:f>
        <x:v>0</x:v>
      </x:c>
      <x:c r="AH2738" t="n">
        <x:f>--AND(AG2738=1,AE2738="HALLUCINATION")</x:f>
        <x:v>0</x:v>
      </x:c>
      <x:c r="AI2738" t="n">
        <x:f>--AND(Q2738=1,AF2738=1,AE2738="HALLUCINATION")</x:f>
        <x:v>0</x:v>
      </x:c>
      <x:c r="AJ2738" t="n">
        <x:f>--AND(AI2738=1,R2738=1,S2738=1)</x:f>
        <x:v>0</x:v>
      </x:c>
    </x:row>
    <x:row r="2739">
      <x:c r="A2739" s="28"/>
      <x:c r="B2739" s="28"/>
      <x:c r="C2739" s="28"/>
      <x:c r="D2739" s="28"/>
      <x:c r="E2739" s="28"/>
      <x:c r="F2739" s="28"/>
      <x:c r="G2739" s="28"/>
      <x:c r="H2739" s="28"/>
      <x:c r="I2739" s="28"/>
      <x:c r="J2739" s="28"/>
      <x:c r="K2739" s="28"/>
      <x:c r="L2739" s="28"/>
      <x:c r="M2739" s="28"/>
      <x:c r="N2739" s="28"/>
      <x:c r="O2739" s="28"/>
      <x:c r="P2739" s="28"/>
      <x:c r="Q2739" s="28"/>
      <x:c r="R2739" s="28"/>
      <x:c r="S2739" s="28"/>
      <x:c r="T2739" s="28"/>
      <x:c r="U2739" s="28"/>
      <x:c r="V2739" s="28"/>
      <x:c r="W2739" s="43" t="n">
        <x:f>--AND(N2739=1,OR(O2739="SUPPORTED",O2739="HALLUCINATION"))</x:f>
        <x:v>0</x:v>
      </x:c>
      <x:c r="X2739" s="43" t="n">
        <x:f>--AND(W2739=1,O2739="HALLUCINATION")</x:f>
        <x:v>0</x:v>
      </x:c>
      <x:c r="Y2739" s="43" t="n">
        <x:f>--AND(Q2739=1,O2739="HALLUCINATION")</x:f>
        <x:v>0</x:v>
      </x:c>
      <x:c r="Z2739" s="43" t="n">
        <x:f>--AND(Y2739=1,R2739=1,S2739=1)</x:f>
        <x:v>0</x:v>
      </x:c>
      <x:c r="AC2739" t="str">
        <x:f>IF(OR(AA2739="",AB2739=""),"",--(AA2739&lt;&gt;AB2739))</x:f>
      </x:c>
      <x:c r="AE2739" t="str">
        <x:f>IF(OR(AA2739="",AB2739=""),"PENDING_HUMAN",IF(AA2739=AB2739,AA2739,IF(AD2739&lt;&gt;"",AD2739,"PENDING_HUMAN")))</x:f>
        <x:v>PENDING_HUMAN</x:v>
      </x:c>
      <x:c r="AF2739" t="n">
        <x:f>--AND(A2739&lt;&gt;"",AA2739&lt;&gt;"",AB2739&lt;&gt;"",OR(AA2739=AB2739,AD2739&lt;&gt;""),IF(AE2739="HALLUCINATION",U2739&lt;&gt;"",TRUE))</x:f>
        <x:v>0</x:v>
      </x:c>
      <x:c r="AG2739" t="n">
        <x:f>--AND(N2739=1,AF2739=1,OR(AE2739="SUPPORTED",AE2739="HALLUCINATION"))</x:f>
        <x:v>0</x:v>
      </x:c>
      <x:c r="AH2739" t="n">
        <x:f>--AND(AG2739=1,AE2739="HALLUCINATION")</x:f>
        <x:v>0</x:v>
      </x:c>
      <x:c r="AI2739" t="n">
        <x:f>--AND(Q2739=1,AF2739=1,AE2739="HALLUCINATION")</x:f>
        <x:v>0</x:v>
      </x:c>
      <x:c r="AJ2739" t="n">
        <x:f>--AND(AI2739=1,R2739=1,S2739=1)</x:f>
        <x:v>0</x:v>
      </x:c>
    </x:row>
    <x:row r="2740">
      <x:c r="A2740" s="28"/>
      <x:c r="B2740" s="28"/>
      <x:c r="C2740" s="28"/>
      <x:c r="D2740" s="28"/>
      <x:c r="E2740" s="28"/>
      <x:c r="F2740" s="28"/>
      <x:c r="G2740" s="28"/>
      <x:c r="H2740" s="28"/>
      <x:c r="I2740" s="28"/>
      <x:c r="J2740" s="28"/>
      <x:c r="K2740" s="28"/>
      <x:c r="L2740" s="28"/>
      <x:c r="M2740" s="28"/>
      <x:c r="N2740" s="28"/>
      <x:c r="O2740" s="28"/>
      <x:c r="P2740" s="28"/>
      <x:c r="Q2740" s="28"/>
      <x:c r="R2740" s="28"/>
      <x:c r="S2740" s="28"/>
      <x:c r="T2740" s="28"/>
      <x:c r="U2740" s="28"/>
      <x:c r="V2740" s="28"/>
      <x:c r="W2740" s="43" t="n">
        <x:f>--AND(N2740=1,OR(O2740="SUPPORTED",O2740="HALLUCINATION"))</x:f>
        <x:v>0</x:v>
      </x:c>
      <x:c r="X2740" s="43" t="n">
        <x:f>--AND(W2740=1,O2740="HALLUCINATION")</x:f>
        <x:v>0</x:v>
      </x:c>
      <x:c r="Y2740" s="43" t="n">
        <x:f>--AND(Q2740=1,O2740="HALLUCINATION")</x:f>
        <x:v>0</x:v>
      </x:c>
      <x:c r="Z2740" s="43" t="n">
        <x:f>--AND(Y2740=1,R2740=1,S2740=1)</x:f>
        <x:v>0</x:v>
      </x:c>
      <x:c r="AC2740" t="str">
        <x:f>IF(OR(AA2740="",AB2740=""),"",--(AA2740&lt;&gt;AB2740))</x:f>
      </x:c>
      <x:c r="AE2740" t="str">
        <x:f>IF(OR(AA2740="",AB2740=""),"PENDING_HUMAN",IF(AA2740=AB2740,AA2740,IF(AD2740&lt;&gt;"",AD2740,"PENDING_HUMAN")))</x:f>
        <x:v>PENDING_HUMAN</x:v>
      </x:c>
      <x:c r="AF2740" t="n">
        <x:f>--AND(A2740&lt;&gt;"",AA2740&lt;&gt;"",AB2740&lt;&gt;"",OR(AA2740=AB2740,AD2740&lt;&gt;""),IF(AE2740="HALLUCINATION",U2740&lt;&gt;"",TRUE))</x:f>
        <x:v>0</x:v>
      </x:c>
      <x:c r="AG2740" t="n">
        <x:f>--AND(N2740=1,AF2740=1,OR(AE2740="SUPPORTED",AE2740="HALLUCINATION"))</x:f>
        <x:v>0</x:v>
      </x:c>
      <x:c r="AH2740" t="n">
        <x:f>--AND(AG2740=1,AE2740="HALLUCINATION")</x:f>
        <x:v>0</x:v>
      </x:c>
      <x:c r="AI2740" t="n">
        <x:f>--AND(Q2740=1,AF2740=1,AE2740="HALLUCINATION")</x:f>
        <x:v>0</x:v>
      </x:c>
      <x:c r="AJ2740" t="n">
        <x:f>--AND(AI2740=1,R2740=1,S2740=1)</x:f>
        <x:v>0</x:v>
      </x:c>
    </x:row>
    <x:row r="2741">
      <x:c r="A2741" s="28"/>
      <x:c r="B2741" s="28"/>
      <x:c r="C2741" s="28"/>
      <x:c r="D2741" s="28"/>
      <x:c r="E2741" s="28"/>
      <x:c r="F2741" s="28"/>
      <x:c r="G2741" s="28"/>
      <x:c r="H2741" s="28"/>
      <x:c r="I2741" s="28"/>
      <x:c r="J2741" s="28"/>
      <x:c r="K2741" s="28"/>
      <x:c r="L2741" s="28"/>
      <x:c r="M2741" s="28"/>
      <x:c r="N2741" s="28"/>
      <x:c r="O2741" s="28"/>
      <x:c r="P2741" s="28"/>
      <x:c r="Q2741" s="28"/>
      <x:c r="R2741" s="28"/>
      <x:c r="S2741" s="28"/>
      <x:c r="T2741" s="28"/>
      <x:c r="U2741" s="28"/>
      <x:c r="V2741" s="28"/>
      <x:c r="W2741" s="43" t="n">
        <x:f>--AND(N2741=1,OR(O2741="SUPPORTED",O2741="HALLUCINATION"))</x:f>
        <x:v>0</x:v>
      </x:c>
      <x:c r="X2741" s="43" t="n">
        <x:f>--AND(W2741=1,O2741="HALLUCINATION")</x:f>
        <x:v>0</x:v>
      </x:c>
      <x:c r="Y2741" s="43" t="n">
        <x:f>--AND(Q2741=1,O2741="HALLUCINATION")</x:f>
        <x:v>0</x:v>
      </x:c>
      <x:c r="Z2741" s="43" t="n">
        <x:f>--AND(Y2741=1,R2741=1,S2741=1)</x:f>
        <x:v>0</x:v>
      </x:c>
      <x:c r="AC2741" t="str">
        <x:f>IF(OR(AA2741="",AB2741=""),"",--(AA2741&lt;&gt;AB2741))</x:f>
      </x:c>
      <x:c r="AE2741" t="str">
        <x:f>IF(OR(AA2741="",AB2741=""),"PENDING_HUMAN",IF(AA2741=AB2741,AA2741,IF(AD2741&lt;&gt;"",AD2741,"PENDING_HUMAN")))</x:f>
        <x:v>PENDING_HUMAN</x:v>
      </x:c>
      <x:c r="AF2741" t="n">
        <x:f>--AND(A2741&lt;&gt;"",AA2741&lt;&gt;"",AB2741&lt;&gt;"",OR(AA2741=AB2741,AD2741&lt;&gt;""),IF(AE2741="HALLUCINATION",U2741&lt;&gt;"",TRUE))</x:f>
        <x:v>0</x:v>
      </x:c>
      <x:c r="AG2741" t="n">
        <x:f>--AND(N2741=1,AF2741=1,OR(AE2741="SUPPORTED",AE2741="HALLUCINATION"))</x:f>
        <x:v>0</x:v>
      </x:c>
      <x:c r="AH2741" t="n">
        <x:f>--AND(AG2741=1,AE2741="HALLUCINATION")</x:f>
        <x:v>0</x:v>
      </x:c>
      <x:c r="AI2741" t="n">
        <x:f>--AND(Q2741=1,AF2741=1,AE2741="HALLUCINATION")</x:f>
        <x:v>0</x:v>
      </x:c>
      <x:c r="AJ2741" t="n">
        <x:f>--AND(AI2741=1,R2741=1,S2741=1)</x:f>
        <x:v>0</x:v>
      </x:c>
    </x:row>
    <x:row r="2742">
      <x:c r="A2742" s="28"/>
      <x:c r="B2742" s="28"/>
      <x:c r="C2742" s="28"/>
      <x:c r="D2742" s="28"/>
      <x:c r="E2742" s="28"/>
      <x:c r="F2742" s="28"/>
      <x:c r="G2742" s="28"/>
      <x:c r="H2742" s="28"/>
      <x:c r="I2742" s="28"/>
      <x:c r="J2742" s="28"/>
      <x:c r="K2742" s="28"/>
      <x:c r="L2742" s="28"/>
      <x:c r="M2742" s="28"/>
      <x:c r="N2742" s="28"/>
      <x:c r="O2742" s="28"/>
      <x:c r="P2742" s="28"/>
      <x:c r="Q2742" s="28"/>
      <x:c r="R2742" s="28"/>
      <x:c r="S2742" s="28"/>
      <x:c r="T2742" s="28"/>
      <x:c r="U2742" s="28"/>
      <x:c r="V2742" s="28"/>
      <x:c r="W2742" s="43" t="n">
        <x:f>--AND(N2742=1,OR(O2742="SUPPORTED",O2742="HALLUCINATION"))</x:f>
        <x:v>0</x:v>
      </x:c>
      <x:c r="X2742" s="43" t="n">
        <x:f>--AND(W2742=1,O2742="HALLUCINATION")</x:f>
        <x:v>0</x:v>
      </x:c>
      <x:c r="Y2742" s="43" t="n">
        <x:f>--AND(Q2742=1,O2742="HALLUCINATION")</x:f>
        <x:v>0</x:v>
      </x:c>
      <x:c r="Z2742" s="43" t="n">
        <x:f>--AND(Y2742=1,R2742=1,S2742=1)</x:f>
        <x:v>0</x:v>
      </x:c>
      <x:c r="AC2742" t="str">
        <x:f>IF(OR(AA2742="",AB2742=""),"",--(AA2742&lt;&gt;AB2742))</x:f>
      </x:c>
      <x:c r="AE2742" t="str">
        <x:f>IF(OR(AA2742="",AB2742=""),"PENDING_HUMAN",IF(AA2742=AB2742,AA2742,IF(AD2742&lt;&gt;"",AD2742,"PENDING_HUMAN")))</x:f>
        <x:v>PENDING_HUMAN</x:v>
      </x:c>
      <x:c r="AF2742" t="n">
        <x:f>--AND(A2742&lt;&gt;"",AA2742&lt;&gt;"",AB2742&lt;&gt;"",OR(AA2742=AB2742,AD2742&lt;&gt;""),IF(AE2742="HALLUCINATION",U2742&lt;&gt;"",TRUE))</x:f>
        <x:v>0</x:v>
      </x:c>
      <x:c r="AG2742" t="n">
        <x:f>--AND(N2742=1,AF2742=1,OR(AE2742="SUPPORTED",AE2742="HALLUCINATION"))</x:f>
        <x:v>0</x:v>
      </x:c>
      <x:c r="AH2742" t="n">
        <x:f>--AND(AG2742=1,AE2742="HALLUCINATION")</x:f>
        <x:v>0</x:v>
      </x:c>
      <x:c r="AI2742" t="n">
        <x:f>--AND(Q2742=1,AF2742=1,AE2742="HALLUCINATION")</x:f>
        <x:v>0</x:v>
      </x:c>
      <x:c r="AJ2742" t="n">
        <x:f>--AND(AI2742=1,R2742=1,S2742=1)</x:f>
        <x:v>0</x:v>
      </x:c>
    </x:row>
    <x:row r="2743">
      <x:c r="A2743" s="28"/>
      <x:c r="B2743" s="28"/>
      <x:c r="C2743" s="28"/>
      <x:c r="D2743" s="28"/>
      <x:c r="E2743" s="28"/>
      <x:c r="F2743" s="28"/>
      <x:c r="G2743" s="28"/>
      <x:c r="H2743" s="28"/>
      <x:c r="I2743" s="28"/>
      <x:c r="J2743" s="28"/>
      <x:c r="K2743" s="28"/>
      <x:c r="L2743" s="28"/>
      <x:c r="M2743" s="28"/>
      <x:c r="N2743" s="28"/>
      <x:c r="O2743" s="28"/>
      <x:c r="P2743" s="28"/>
      <x:c r="Q2743" s="28"/>
      <x:c r="R2743" s="28"/>
      <x:c r="S2743" s="28"/>
      <x:c r="T2743" s="28"/>
      <x:c r="U2743" s="28"/>
      <x:c r="V2743" s="28"/>
      <x:c r="W2743" s="43" t="n">
        <x:f>--AND(N2743=1,OR(O2743="SUPPORTED",O2743="HALLUCINATION"))</x:f>
        <x:v>0</x:v>
      </x:c>
      <x:c r="X2743" s="43" t="n">
        <x:f>--AND(W2743=1,O2743="HALLUCINATION")</x:f>
        <x:v>0</x:v>
      </x:c>
      <x:c r="Y2743" s="43" t="n">
        <x:f>--AND(Q2743=1,O2743="HALLUCINATION")</x:f>
        <x:v>0</x:v>
      </x:c>
      <x:c r="Z2743" s="43" t="n">
        <x:f>--AND(Y2743=1,R2743=1,S2743=1)</x:f>
        <x:v>0</x:v>
      </x:c>
      <x:c r="AC2743" t="str">
        <x:f>IF(OR(AA2743="",AB2743=""),"",--(AA2743&lt;&gt;AB2743))</x:f>
      </x:c>
      <x:c r="AE2743" t="str">
        <x:f>IF(OR(AA2743="",AB2743=""),"PENDING_HUMAN",IF(AA2743=AB2743,AA2743,IF(AD2743&lt;&gt;"",AD2743,"PENDING_HUMAN")))</x:f>
        <x:v>PENDING_HUMAN</x:v>
      </x:c>
      <x:c r="AF2743" t="n">
        <x:f>--AND(A2743&lt;&gt;"",AA2743&lt;&gt;"",AB2743&lt;&gt;"",OR(AA2743=AB2743,AD2743&lt;&gt;""),IF(AE2743="HALLUCINATION",U2743&lt;&gt;"",TRUE))</x:f>
        <x:v>0</x:v>
      </x:c>
      <x:c r="AG2743" t="n">
        <x:f>--AND(N2743=1,AF2743=1,OR(AE2743="SUPPORTED",AE2743="HALLUCINATION"))</x:f>
        <x:v>0</x:v>
      </x:c>
      <x:c r="AH2743" t="n">
        <x:f>--AND(AG2743=1,AE2743="HALLUCINATION")</x:f>
        <x:v>0</x:v>
      </x:c>
      <x:c r="AI2743" t="n">
        <x:f>--AND(Q2743=1,AF2743=1,AE2743="HALLUCINATION")</x:f>
        <x:v>0</x:v>
      </x:c>
      <x:c r="AJ2743" t="n">
        <x:f>--AND(AI2743=1,R2743=1,S2743=1)</x:f>
        <x:v>0</x:v>
      </x:c>
    </x:row>
    <x:row r="2744">
      <x:c r="A2744" s="28"/>
      <x:c r="B2744" s="28"/>
      <x:c r="C2744" s="28"/>
      <x:c r="D2744" s="28"/>
      <x:c r="E2744" s="28"/>
      <x:c r="F2744" s="28"/>
      <x:c r="G2744" s="28"/>
      <x:c r="H2744" s="28"/>
      <x:c r="I2744" s="28"/>
      <x:c r="J2744" s="28"/>
      <x:c r="K2744" s="28"/>
      <x:c r="L2744" s="28"/>
      <x:c r="M2744" s="28"/>
      <x:c r="N2744" s="28"/>
      <x:c r="O2744" s="28"/>
      <x:c r="P2744" s="28"/>
      <x:c r="Q2744" s="28"/>
      <x:c r="R2744" s="28"/>
      <x:c r="S2744" s="28"/>
      <x:c r="T2744" s="28"/>
      <x:c r="U2744" s="28"/>
      <x:c r="V2744" s="28"/>
      <x:c r="W2744" s="43" t="n">
        <x:f>--AND(N2744=1,OR(O2744="SUPPORTED",O2744="HALLUCINATION"))</x:f>
        <x:v>0</x:v>
      </x:c>
      <x:c r="X2744" s="43" t="n">
        <x:f>--AND(W2744=1,O2744="HALLUCINATION")</x:f>
        <x:v>0</x:v>
      </x:c>
      <x:c r="Y2744" s="43" t="n">
        <x:f>--AND(Q2744=1,O2744="HALLUCINATION")</x:f>
        <x:v>0</x:v>
      </x:c>
      <x:c r="Z2744" s="43" t="n">
        <x:f>--AND(Y2744=1,R2744=1,S2744=1)</x:f>
        <x:v>0</x:v>
      </x:c>
      <x:c r="AC2744" t="str">
        <x:f>IF(OR(AA2744="",AB2744=""),"",--(AA2744&lt;&gt;AB2744))</x:f>
      </x:c>
      <x:c r="AE2744" t="str">
        <x:f>IF(OR(AA2744="",AB2744=""),"PENDING_HUMAN",IF(AA2744=AB2744,AA2744,IF(AD2744&lt;&gt;"",AD2744,"PENDING_HUMAN")))</x:f>
        <x:v>PENDING_HUMAN</x:v>
      </x:c>
      <x:c r="AF2744" t="n">
        <x:f>--AND(A2744&lt;&gt;"",AA2744&lt;&gt;"",AB2744&lt;&gt;"",OR(AA2744=AB2744,AD2744&lt;&gt;""),IF(AE2744="HALLUCINATION",U2744&lt;&gt;"",TRUE))</x:f>
        <x:v>0</x:v>
      </x:c>
      <x:c r="AG2744" t="n">
        <x:f>--AND(N2744=1,AF2744=1,OR(AE2744="SUPPORTED",AE2744="HALLUCINATION"))</x:f>
        <x:v>0</x:v>
      </x:c>
      <x:c r="AH2744" t="n">
        <x:f>--AND(AG2744=1,AE2744="HALLUCINATION")</x:f>
        <x:v>0</x:v>
      </x:c>
      <x:c r="AI2744" t="n">
        <x:f>--AND(Q2744=1,AF2744=1,AE2744="HALLUCINATION")</x:f>
        <x:v>0</x:v>
      </x:c>
      <x:c r="AJ2744" t="n">
        <x:f>--AND(AI2744=1,R2744=1,S2744=1)</x:f>
        <x:v>0</x:v>
      </x:c>
    </x:row>
    <x:row r="2745">
      <x:c r="A2745" s="28"/>
      <x:c r="B2745" s="28"/>
      <x:c r="C2745" s="28"/>
      <x:c r="D2745" s="28"/>
      <x:c r="E2745" s="28"/>
      <x:c r="F2745" s="28"/>
      <x:c r="G2745" s="28"/>
      <x:c r="H2745" s="28"/>
      <x:c r="I2745" s="28"/>
      <x:c r="J2745" s="28"/>
      <x:c r="K2745" s="28"/>
      <x:c r="L2745" s="28"/>
      <x:c r="M2745" s="28"/>
      <x:c r="N2745" s="28"/>
      <x:c r="O2745" s="28"/>
      <x:c r="P2745" s="28"/>
      <x:c r="Q2745" s="28"/>
      <x:c r="R2745" s="28"/>
      <x:c r="S2745" s="28"/>
      <x:c r="T2745" s="28"/>
      <x:c r="U2745" s="28"/>
      <x:c r="V2745" s="28"/>
      <x:c r="W2745" s="43" t="n">
        <x:f>--AND(N2745=1,OR(O2745="SUPPORTED",O2745="HALLUCINATION"))</x:f>
        <x:v>0</x:v>
      </x:c>
      <x:c r="X2745" s="43" t="n">
        <x:f>--AND(W2745=1,O2745="HALLUCINATION")</x:f>
        <x:v>0</x:v>
      </x:c>
      <x:c r="Y2745" s="43" t="n">
        <x:f>--AND(Q2745=1,O2745="HALLUCINATION")</x:f>
        <x:v>0</x:v>
      </x:c>
      <x:c r="Z2745" s="43" t="n">
        <x:f>--AND(Y2745=1,R2745=1,S2745=1)</x:f>
        <x:v>0</x:v>
      </x:c>
      <x:c r="AC2745" t="str">
        <x:f>IF(OR(AA2745="",AB2745=""),"",--(AA2745&lt;&gt;AB2745))</x:f>
      </x:c>
      <x:c r="AE2745" t="str">
        <x:f>IF(OR(AA2745="",AB2745=""),"PENDING_HUMAN",IF(AA2745=AB2745,AA2745,IF(AD2745&lt;&gt;"",AD2745,"PENDING_HUMAN")))</x:f>
        <x:v>PENDING_HUMAN</x:v>
      </x:c>
      <x:c r="AF2745" t="n">
        <x:f>--AND(A2745&lt;&gt;"",AA2745&lt;&gt;"",AB2745&lt;&gt;"",OR(AA2745=AB2745,AD2745&lt;&gt;""),IF(AE2745="HALLUCINATION",U2745&lt;&gt;"",TRUE))</x:f>
        <x:v>0</x:v>
      </x:c>
      <x:c r="AG2745" t="n">
        <x:f>--AND(N2745=1,AF2745=1,OR(AE2745="SUPPORTED",AE2745="HALLUCINATION"))</x:f>
        <x:v>0</x:v>
      </x:c>
      <x:c r="AH2745" t="n">
        <x:f>--AND(AG2745=1,AE2745="HALLUCINATION")</x:f>
        <x:v>0</x:v>
      </x:c>
      <x:c r="AI2745" t="n">
        <x:f>--AND(Q2745=1,AF2745=1,AE2745="HALLUCINATION")</x:f>
        <x:v>0</x:v>
      </x:c>
      <x:c r="AJ2745" t="n">
        <x:f>--AND(AI2745=1,R2745=1,S2745=1)</x:f>
        <x:v>0</x:v>
      </x:c>
    </x:row>
    <x:row r="2746">
      <x:c r="A2746" s="28"/>
      <x:c r="B2746" s="28"/>
      <x:c r="C2746" s="28"/>
      <x:c r="D2746" s="28"/>
      <x:c r="E2746" s="28"/>
      <x:c r="F2746" s="28"/>
      <x:c r="G2746" s="28"/>
      <x:c r="H2746" s="28"/>
      <x:c r="I2746" s="28"/>
      <x:c r="J2746" s="28"/>
      <x:c r="K2746" s="28"/>
      <x:c r="L2746" s="28"/>
      <x:c r="M2746" s="28"/>
      <x:c r="N2746" s="28"/>
      <x:c r="O2746" s="28"/>
      <x:c r="P2746" s="28"/>
      <x:c r="Q2746" s="28"/>
      <x:c r="R2746" s="28"/>
      <x:c r="S2746" s="28"/>
      <x:c r="T2746" s="28"/>
      <x:c r="U2746" s="28"/>
      <x:c r="V2746" s="28"/>
      <x:c r="W2746" s="43" t="n">
        <x:f>--AND(N2746=1,OR(O2746="SUPPORTED",O2746="HALLUCINATION"))</x:f>
        <x:v>0</x:v>
      </x:c>
      <x:c r="X2746" s="43" t="n">
        <x:f>--AND(W2746=1,O2746="HALLUCINATION")</x:f>
        <x:v>0</x:v>
      </x:c>
      <x:c r="Y2746" s="43" t="n">
        <x:f>--AND(Q2746=1,O2746="HALLUCINATION")</x:f>
        <x:v>0</x:v>
      </x:c>
      <x:c r="Z2746" s="43" t="n">
        <x:f>--AND(Y2746=1,R2746=1,S2746=1)</x:f>
        <x:v>0</x:v>
      </x:c>
      <x:c r="AC2746" t="str">
        <x:f>IF(OR(AA2746="",AB2746=""),"",--(AA2746&lt;&gt;AB2746))</x:f>
      </x:c>
      <x:c r="AE2746" t="str">
        <x:f>IF(OR(AA2746="",AB2746=""),"PENDING_HUMAN",IF(AA2746=AB2746,AA2746,IF(AD2746&lt;&gt;"",AD2746,"PENDING_HUMAN")))</x:f>
        <x:v>PENDING_HUMAN</x:v>
      </x:c>
      <x:c r="AF2746" t="n">
        <x:f>--AND(A2746&lt;&gt;"",AA2746&lt;&gt;"",AB2746&lt;&gt;"",OR(AA2746=AB2746,AD2746&lt;&gt;""),IF(AE2746="HALLUCINATION",U2746&lt;&gt;"",TRUE))</x:f>
        <x:v>0</x:v>
      </x:c>
      <x:c r="AG2746" t="n">
        <x:f>--AND(N2746=1,AF2746=1,OR(AE2746="SUPPORTED",AE2746="HALLUCINATION"))</x:f>
        <x:v>0</x:v>
      </x:c>
      <x:c r="AH2746" t="n">
        <x:f>--AND(AG2746=1,AE2746="HALLUCINATION")</x:f>
        <x:v>0</x:v>
      </x:c>
      <x:c r="AI2746" t="n">
        <x:f>--AND(Q2746=1,AF2746=1,AE2746="HALLUCINATION")</x:f>
        <x:v>0</x:v>
      </x:c>
      <x:c r="AJ2746" t="n">
        <x:f>--AND(AI2746=1,R2746=1,S2746=1)</x:f>
        <x:v>0</x:v>
      </x:c>
    </x:row>
    <x:row r="2747">
      <x:c r="A2747" s="28"/>
      <x:c r="B2747" s="28"/>
      <x:c r="C2747" s="28"/>
      <x:c r="D2747" s="28"/>
      <x:c r="E2747" s="28"/>
      <x:c r="F2747" s="28"/>
      <x:c r="G2747" s="28"/>
      <x:c r="H2747" s="28"/>
      <x:c r="I2747" s="28"/>
      <x:c r="J2747" s="28"/>
      <x:c r="K2747" s="28"/>
      <x:c r="L2747" s="28"/>
      <x:c r="M2747" s="28"/>
      <x:c r="N2747" s="28"/>
      <x:c r="O2747" s="28"/>
      <x:c r="P2747" s="28"/>
      <x:c r="Q2747" s="28"/>
      <x:c r="R2747" s="28"/>
      <x:c r="S2747" s="28"/>
      <x:c r="T2747" s="28"/>
      <x:c r="U2747" s="28"/>
      <x:c r="V2747" s="28"/>
      <x:c r="W2747" s="43" t="n">
        <x:f>--AND(N2747=1,OR(O2747="SUPPORTED",O2747="HALLUCINATION"))</x:f>
        <x:v>0</x:v>
      </x:c>
      <x:c r="X2747" s="43" t="n">
        <x:f>--AND(W2747=1,O2747="HALLUCINATION")</x:f>
        <x:v>0</x:v>
      </x:c>
      <x:c r="Y2747" s="43" t="n">
        <x:f>--AND(Q2747=1,O2747="HALLUCINATION")</x:f>
        <x:v>0</x:v>
      </x:c>
      <x:c r="Z2747" s="43" t="n">
        <x:f>--AND(Y2747=1,R2747=1,S2747=1)</x:f>
        <x:v>0</x:v>
      </x:c>
      <x:c r="AC2747" t="str">
        <x:f>IF(OR(AA2747="",AB2747=""),"",--(AA2747&lt;&gt;AB2747))</x:f>
      </x:c>
      <x:c r="AE2747" t="str">
        <x:f>IF(OR(AA2747="",AB2747=""),"PENDING_HUMAN",IF(AA2747=AB2747,AA2747,IF(AD2747&lt;&gt;"",AD2747,"PENDING_HUMAN")))</x:f>
        <x:v>PENDING_HUMAN</x:v>
      </x:c>
      <x:c r="AF2747" t="n">
        <x:f>--AND(A2747&lt;&gt;"",AA2747&lt;&gt;"",AB2747&lt;&gt;"",OR(AA2747=AB2747,AD2747&lt;&gt;""),IF(AE2747="HALLUCINATION",U2747&lt;&gt;"",TRUE))</x:f>
        <x:v>0</x:v>
      </x:c>
      <x:c r="AG2747" t="n">
        <x:f>--AND(N2747=1,AF2747=1,OR(AE2747="SUPPORTED",AE2747="HALLUCINATION"))</x:f>
        <x:v>0</x:v>
      </x:c>
      <x:c r="AH2747" t="n">
        <x:f>--AND(AG2747=1,AE2747="HALLUCINATION")</x:f>
        <x:v>0</x:v>
      </x:c>
      <x:c r="AI2747" t="n">
        <x:f>--AND(Q2747=1,AF2747=1,AE2747="HALLUCINATION")</x:f>
        <x:v>0</x:v>
      </x:c>
      <x:c r="AJ2747" t="n">
        <x:f>--AND(AI2747=1,R2747=1,S2747=1)</x:f>
        <x:v>0</x:v>
      </x:c>
    </x:row>
    <x:row r="2748">
      <x:c r="A2748" s="28"/>
      <x:c r="B2748" s="28"/>
      <x:c r="C2748" s="28"/>
      <x:c r="D2748" s="28"/>
      <x:c r="E2748" s="28"/>
      <x:c r="F2748" s="28"/>
      <x:c r="G2748" s="28"/>
      <x:c r="H2748" s="28"/>
      <x:c r="I2748" s="28"/>
      <x:c r="J2748" s="28"/>
      <x:c r="K2748" s="28"/>
      <x:c r="L2748" s="28"/>
      <x:c r="M2748" s="28"/>
      <x:c r="N2748" s="28"/>
      <x:c r="O2748" s="28"/>
      <x:c r="P2748" s="28"/>
      <x:c r="Q2748" s="28"/>
      <x:c r="R2748" s="28"/>
      <x:c r="S2748" s="28"/>
      <x:c r="T2748" s="28"/>
      <x:c r="U2748" s="28"/>
      <x:c r="V2748" s="28"/>
      <x:c r="W2748" s="43" t="n">
        <x:f>--AND(N2748=1,OR(O2748="SUPPORTED",O2748="HALLUCINATION"))</x:f>
        <x:v>0</x:v>
      </x:c>
      <x:c r="X2748" s="43" t="n">
        <x:f>--AND(W2748=1,O2748="HALLUCINATION")</x:f>
        <x:v>0</x:v>
      </x:c>
      <x:c r="Y2748" s="43" t="n">
        <x:f>--AND(Q2748=1,O2748="HALLUCINATION")</x:f>
        <x:v>0</x:v>
      </x:c>
      <x:c r="Z2748" s="43" t="n">
        <x:f>--AND(Y2748=1,R2748=1,S2748=1)</x:f>
        <x:v>0</x:v>
      </x:c>
      <x:c r="AC2748" t="str">
        <x:f>IF(OR(AA2748="",AB2748=""),"",--(AA2748&lt;&gt;AB2748))</x:f>
      </x:c>
      <x:c r="AE2748" t="str">
        <x:f>IF(OR(AA2748="",AB2748=""),"PENDING_HUMAN",IF(AA2748=AB2748,AA2748,IF(AD2748&lt;&gt;"",AD2748,"PENDING_HUMAN")))</x:f>
        <x:v>PENDING_HUMAN</x:v>
      </x:c>
      <x:c r="AF2748" t="n">
        <x:f>--AND(A2748&lt;&gt;"",AA2748&lt;&gt;"",AB2748&lt;&gt;"",OR(AA2748=AB2748,AD2748&lt;&gt;""),IF(AE2748="HALLUCINATION",U2748&lt;&gt;"",TRUE))</x:f>
        <x:v>0</x:v>
      </x:c>
      <x:c r="AG2748" t="n">
        <x:f>--AND(N2748=1,AF2748=1,OR(AE2748="SUPPORTED",AE2748="HALLUCINATION"))</x:f>
        <x:v>0</x:v>
      </x:c>
      <x:c r="AH2748" t="n">
        <x:f>--AND(AG2748=1,AE2748="HALLUCINATION")</x:f>
        <x:v>0</x:v>
      </x:c>
      <x:c r="AI2748" t="n">
        <x:f>--AND(Q2748=1,AF2748=1,AE2748="HALLUCINATION")</x:f>
        <x:v>0</x:v>
      </x:c>
      <x:c r="AJ2748" t="n">
        <x:f>--AND(AI2748=1,R2748=1,S2748=1)</x:f>
        <x:v>0</x:v>
      </x:c>
    </x:row>
    <x:row r="2749">
      <x:c r="A2749" s="28"/>
      <x:c r="B2749" s="28"/>
      <x:c r="C2749" s="28"/>
      <x:c r="D2749" s="28"/>
      <x:c r="E2749" s="28"/>
      <x:c r="F2749" s="28"/>
      <x:c r="G2749" s="28"/>
      <x:c r="H2749" s="28"/>
      <x:c r="I2749" s="28"/>
      <x:c r="J2749" s="28"/>
      <x:c r="K2749" s="28"/>
      <x:c r="L2749" s="28"/>
      <x:c r="M2749" s="28"/>
      <x:c r="N2749" s="28"/>
      <x:c r="O2749" s="28"/>
      <x:c r="P2749" s="28"/>
      <x:c r="Q2749" s="28"/>
      <x:c r="R2749" s="28"/>
      <x:c r="S2749" s="28"/>
      <x:c r="T2749" s="28"/>
      <x:c r="U2749" s="28"/>
      <x:c r="V2749" s="28"/>
      <x:c r="W2749" s="43" t="n">
        <x:f>--AND(N2749=1,OR(O2749="SUPPORTED",O2749="HALLUCINATION"))</x:f>
        <x:v>0</x:v>
      </x:c>
      <x:c r="X2749" s="43" t="n">
        <x:f>--AND(W2749=1,O2749="HALLUCINATION")</x:f>
        <x:v>0</x:v>
      </x:c>
      <x:c r="Y2749" s="43" t="n">
        <x:f>--AND(Q2749=1,O2749="HALLUCINATION")</x:f>
        <x:v>0</x:v>
      </x:c>
      <x:c r="Z2749" s="43" t="n">
        <x:f>--AND(Y2749=1,R2749=1,S2749=1)</x:f>
        <x:v>0</x:v>
      </x:c>
      <x:c r="AC2749" t="str">
        <x:f>IF(OR(AA2749="",AB2749=""),"",--(AA2749&lt;&gt;AB2749))</x:f>
      </x:c>
      <x:c r="AE2749" t="str">
        <x:f>IF(OR(AA2749="",AB2749=""),"PENDING_HUMAN",IF(AA2749=AB2749,AA2749,IF(AD2749&lt;&gt;"",AD2749,"PENDING_HUMAN")))</x:f>
        <x:v>PENDING_HUMAN</x:v>
      </x:c>
      <x:c r="AF2749" t="n">
        <x:f>--AND(A2749&lt;&gt;"",AA2749&lt;&gt;"",AB2749&lt;&gt;"",OR(AA2749=AB2749,AD2749&lt;&gt;""),IF(AE2749="HALLUCINATION",U2749&lt;&gt;"",TRUE))</x:f>
        <x:v>0</x:v>
      </x:c>
      <x:c r="AG2749" t="n">
        <x:f>--AND(N2749=1,AF2749=1,OR(AE2749="SUPPORTED",AE2749="HALLUCINATION"))</x:f>
        <x:v>0</x:v>
      </x:c>
      <x:c r="AH2749" t="n">
        <x:f>--AND(AG2749=1,AE2749="HALLUCINATION")</x:f>
        <x:v>0</x:v>
      </x:c>
      <x:c r="AI2749" t="n">
        <x:f>--AND(Q2749=1,AF2749=1,AE2749="HALLUCINATION")</x:f>
        <x:v>0</x:v>
      </x:c>
      <x:c r="AJ2749" t="n">
        <x:f>--AND(AI2749=1,R2749=1,S2749=1)</x:f>
        <x:v>0</x:v>
      </x:c>
    </x:row>
    <x:row r="2750">
      <x:c r="A2750" s="28"/>
      <x:c r="B2750" s="28"/>
      <x:c r="C2750" s="28"/>
      <x:c r="D2750" s="28"/>
      <x:c r="E2750" s="28"/>
      <x:c r="F2750" s="28"/>
      <x:c r="G2750" s="28"/>
      <x:c r="H2750" s="28"/>
      <x:c r="I2750" s="28"/>
      <x:c r="J2750" s="28"/>
      <x:c r="K2750" s="28"/>
      <x:c r="L2750" s="28"/>
      <x:c r="M2750" s="28"/>
      <x:c r="N2750" s="28"/>
      <x:c r="O2750" s="28"/>
      <x:c r="P2750" s="28"/>
      <x:c r="Q2750" s="28"/>
      <x:c r="R2750" s="28"/>
      <x:c r="S2750" s="28"/>
      <x:c r="T2750" s="28"/>
      <x:c r="U2750" s="28"/>
      <x:c r="V2750" s="28"/>
      <x:c r="W2750" s="43" t="n">
        <x:f>--AND(N2750=1,OR(O2750="SUPPORTED",O2750="HALLUCINATION"))</x:f>
        <x:v>0</x:v>
      </x:c>
      <x:c r="X2750" s="43" t="n">
        <x:f>--AND(W2750=1,O2750="HALLUCINATION")</x:f>
        <x:v>0</x:v>
      </x:c>
      <x:c r="Y2750" s="43" t="n">
        <x:f>--AND(Q2750=1,O2750="HALLUCINATION")</x:f>
        <x:v>0</x:v>
      </x:c>
      <x:c r="Z2750" s="43" t="n">
        <x:f>--AND(Y2750=1,R2750=1,S2750=1)</x:f>
        <x:v>0</x:v>
      </x:c>
      <x:c r="AC2750" t="str">
        <x:f>IF(OR(AA2750="",AB2750=""),"",--(AA2750&lt;&gt;AB2750))</x:f>
      </x:c>
      <x:c r="AE2750" t="str">
        <x:f>IF(OR(AA2750="",AB2750=""),"PENDING_HUMAN",IF(AA2750=AB2750,AA2750,IF(AD2750&lt;&gt;"",AD2750,"PENDING_HUMAN")))</x:f>
        <x:v>PENDING_HUMAN</x:v>
      </x:c>
      <x:c r="AF2750" t="n">
        <x:f>--AND(A2750&lt;&gt;"",AA2750&lt;&gt;"",AB2750&lt;&gt;"",OR(AA2750=AB2750,AD2750&lt;&gt;""),IF(AE2750="HALLUCINATION",U2750&lt;&gt;"",TRUE))</x:f>
        <x:v>0</x:v>
      </x:c>
      <x:c r="AG2750" t="n">
        <x:f>--AND(N2750=1,AF2750=1,OR(AE2750="SUPPORTED",AE2750="HALLUCINATION"))</x:f>
        <x:v>0</x:v>
      </x:c>
      <x:c r="AH2750" t="n">
        <x:f>--AND(AG2750=1,AE2750="HALLUCINATION")</x:f>
        <x:v>0</x:v>
      </x:c>
      <x:c r="AI2750" t="n">
        <x:f>--AND(Q2750=1,AF2750=1,AE2750="HALLUCINATION")</x:f>
        <x:v>0</x:v>
      </x:c>
      <x:c r="AJ2750" t="n">
        <x:f>--AND(AI2750=1,R2750=1,S2750=1)</x:f>
        <x:v>0</x:v>
      </x:c>
    </x:row>
    <x:row r="2751">
      <x:c r="A2751" s="28"/>
      <x:c r="B2751" s="28"/>
      <x:c r="C2751" s="28"/>
      <x:c r="D2751" s="28"/>
      <x:c r="E2751" s="28"/>
      <x:c r="F2751" s="28"/>
      <x:c r="G2751" s="28"/>
      <x:c r="H2751" s="28"/>
      <x:c r="I2751" s="28"/>
      <x:c r="J2751" s="28"/>
      <x:c r="K2751" s="28"/>
      <x:c r="L2751" s="28"/>
      <x:c r="M2751" s="28"/>
      <x:c r="N2751" s="28"/>
      <x:c r="O2751" s="28"/>
      <x:c r="P2751" s="28"/>
      <x:c r="Q2751" s="28"/>
      <x:c r="R2751" s="28"/>
      <x:c r="S2751" s="28"/>
      <x:c r="T2751" s="28"/>
      <x:c r="U2751" s="28"/>
      <x:c r="V2751" s="28"/>
      <x:c r="W2751" s="43" t="n">
        <x:f>--AND(N2751=1,OR(O2751="SUPPORTED",O2751="HALLUCINATION"))</x:f>
        <x:v>0</x:v>
      </x:c>
      <x:c r="X2751" s="43" t="n">
        <x:f>--AND(W2751=1,O2751="HALLUCINATION")</x:f>
        <x:v>0</x:v>
      </x:c>
      <x:c r="Y2751" s="43" t="n">
        <x:f>--AND(Q2751=1,O2751="HALLUCINATION")</x:f>
        <x:v>0</x:v>
      </x:c>
      <x:c r="Z2751" s="43" t="n">
        <x:f>--AND(Y2751=1,R2751=1,S2751=1)</x:f>
        <x:v>0</x:v>
      </x:c>
      <x:c r="AC2751" t="str">
        <x:f>IF(OR(AA2751="",AB2751=""),"",--(AA2751&lt;&gt;AB2751))</x:f>
      </x:c>
      <x:c r="AE2751" t="str">
        <x:f>IF(OR(AA2751="",AB2751=""),"PENDING_HUMAN",IF(AA2751=AB2751,AA2751,IF(AD2751&lt;&gt;"",AD2751,"PENDING_HUMAN")))</x:f>
        <x:v>PENDING_HUMAN</x:v>
      </x:c>
      <x:c r="AF2751" t="n">
        <x:f>--AND(A2751&lt;&gt;"",AA2751&lt;&gt;"",AB2751&lt;&gt;"",OR(AA2751=AB2751,AD2751&lt;&gt;""),IF(AE2751="HALLUCINATION",U2751&lt;&gt;"",TRUE))</x:f>
        <x:v>0</x:v>
      </x:c>
      <x:c r="AG2751" t="n">
        <x:f>--AND(N2751=1,AF2751=1,OR(AE2751="SUPPORTED",AE2751="HALLUCINATION"))</x:f>
        <x:v>0</x:v>
      </x:c>
      <x:c r="AH2751" t="n">
        <x:f>--AND(AG2751=1,AE2751="HALLUCINATION")</x:f>
        <x:v>0</x:v>
      </x:c>
      <x:c r="AI2751" t="n">
        <x:f>--AND(Q2751=1,AF2751=1,AE2751="HALLUCINATION")</x:f>
        <x:v>0</x:v>
      </x:c>
      <x:c r="AJ2751" t="n">
        <x:f>--AND(AI2751=1,R2751=1,S2751=1)</x:f>
        <x:v>0</x:v>
      </x:c>
    </x:row>
    <x:row r="2752">
      <x:c r="A2752" s="28"/>
      <x:c r="B2752" s="28"/>
      <x:c r="C2752" s="28"/>
      <x:c r="D2752" s="28"/>
      <x:c r="E2752" s="28"/>
      <x:c r="F2752" s="28"/>
      <x:c r="G2752" s="28"/>
      <x:c r="H2752" s="28"/>
      <x:c r="I2752" s="28"/>
      <x:c r="J2752" s="28"/>
      <x:c r="K2752" s="28"/>
      <x:c r="L2752" s="28"/>
      <x:c r="M2752" s="28"/>
      <x:c r="N2752" s="28"/>
      <x:c r="O2752" s="28"/>
      <x:c r="P2752" s="28"/>
      <x:c r="Q2752" s="28"/>
      <x:c r="R2752" s="28"/>
      <x:c r="S2752" s="28"/>
      <x:c r="T2752" s="28"/>
      <x:c r="U2752" s="28"/>
      <x:c r="V2752" s="28"/>
      <x:c r="W2752" s="43" t="n">
        <x:f>--AND(N2752=1,OR(O2752="SUPPORTED",O2752="HALLUCINATION"))</x:f>
        <x:v>0</x:v>
      </x:c>
      <x:c r="X2752" s="43" t="n">
        <x:f>--AND(W2752=1,O2752="HALLUCINATION")</x:f>
        <x:v>0</x:v>
      </x:c>
      <x:c r="Y2752" s="43" t="n">
        <x:f>--AND(Q2752=1,O2752="HALLUCINATION")</x:f>
        <x:v>0</x:v>
      </x:c>
      <x:c r="Z2752" s="43" t="n">
        <x:f>--AND(Y2752=1,R2752=1,S2752=1)</x:f>
        <x:v>0</x:v>
      </x:c>
      <x:c r="AC2752" t="str">
        <x:f>IF(OR(AA2752="",AB2752=""),"",--(AA2752&lt;&gt;AB2752))</x:f>
      </x:c>
      <x:c r="AE2752" t="str">
        <x:f>IF(OR(AA2752="",AB2752=""),"PENDING_HUMAN",IF(AA2752=AB2752,AA2752,IF(AD2752&lt;&gt;"",AD2752,"PENDING_HUMAN")))</x:f>
        <x:v>PENDING_HUMAN</x:v>
      </x:c>
      <x:c r="AF2752" t="n">
        <x:f>--AND(A2752&lt;&gt;"",AA2752&lt;&gt;"",AB2752&lt;&gt;"",OR(AA2752=AB2752,AD2752&lt;&gt;""),IF(AE2752="HALLUCINATION",U2752&lt;&gt;"",TRUE))</x:f>
        <x:v>0</x:v>
      </x:c>
      <x:c r="AG2752" t="n">
        <x:f>--AND(N2752=1,AF2752=1,OR(AE2752="SUPPORTED",AE2752="HALLUCINATION"))</x:f>
        <x:v>0</x:v>
      </x:c>
      <x:c r="AH2752" t="n">
        <x:f>--AND(AG2752=1,AE2752="HALLUCINATION")</x:f>
        <x:v>0</x:v>
      </x:c>
      <x:c r="AI2752" t="n">
        <x:f>--AND(Q2752=1,AF2752=1,AE2752="HALLUCINATION")</x:f>
        <x:v>0</x:v>
      </x:c>
      <x:c r="AJ2752" t="n">
        <x:f>--AND(AI2752=1,R2752=1,S2752=1)</x:f>
        <x:v>0</x:v>
      </x:c>
    </x:row>
    <x:row r="2753">
      <x:c r="A2753" s="28"/>
      <x:c r="B2753" s="28"/>
      <x:c r="C2753" s="28"/>
      <x:c r="D2753" s="28"/>
      <x:c r="E2753" s="28"/>
      <x:c r="F2753" s="28"/>
      <x:c r="G2753" s="28"/>
      <x:c r="H2753" s="28"/>
      <x:c r="I2753" s="28"/>
      <x:c r="J2753" s="28"/>
      <x:c r="K2753" s="28"/>
      <x:c r="L2753" s="28"/>
      <x:c r="M2753" s="28"/>
      <x:c r="N2753" s="28"/>
      <x:c r="O2753" s="28"/>
      <x:c r="P2753" s="28"/>
      <x:c r="Q2753" s="28"/>
      <x:c r="R2753" s="28"/>
      <x:c r="S2753" s="28"/>
      <x:c r="T2753" s="28"/>
      <x:c r="U2753" s="28"/>
      <x:c r="V2753" s="28"/>
      <x:c r="W2753" s="43" t="n">
        <x:f>--AND(N2753=1,OR(O2753="SUPPORTED",O2753="HALLUCINATION"))</x:f>
        <x:v>0</x:v>
      </x:c>
      <x:c r="X2753" s="43" t="n">
        <x:f>--AND(W2753=1,O2753="HALLUCINATION")</x:f>
        <x:v>0</x:v>
      </x:c>
      <x:c r="Y2753" s="43" t="n">
        <x:f>--AND(Q2753=1,O2753="HALLUCINATION")</x:f>
        <x:v>0</x:v>
      </x:c>
      <x:c r="Z2753" s="43" t="n">
        <x:f>--AND(Y2753=1,R2753=1,S2753=1)</x:f>
        <x:v>0</x:v>
      </x:c>
      <x:c r="AC2753" t="str">
        <x:f>IF(OR(AA2753="",AB2753=""),"",--(AA2753&lt;&gt;AB2753))</x:f>
      </x:c>
      <x:c r="AE2753" t="str">
        <x:f>IF(OR(AA2753="",AB2753=""),"PENDING_HUMAN",IF(AA2753=AB2753,AA2753,IF(AD2753&lt;&gt;"",AD2753,"PENDING_HUMAN")))</x:f>
        <x:v>PENDING_HUMAN</x:v>
      </x:c>
      <x:c r="AF2753" t="n">
        <x:f>--AND(A2753&lt;&gt;"",AA2753&lt;&gt;"",AB2753&lt;&gt;"",OR(AA2753=AB2753,AD2753&lt;&gt;""),IF(AE2753="HALLUCINATION",U2753&lt;&gt;"",TRUE))</x:f>
        <x:v>0</x:v>
      </x:c>
      <x:c r="AG2753" t="n">
        <x:f>--AND(N2753=1,AF2753=1,OR(AE2753="SUPPORTED",AE2753="HALLUCINATION"))</x:f>
        <x:v>0</x:v>
      </x:c>
      <x:c r="AH2753" t="n">
        <x:f>--AND(AG2753=1,AE2753="HALLUCINATION")</x:f>
        <x:v>0</x:v>
      </x:c>
      <x:c r="AI2753" t="n">
        <x:f>--AND(Q2753=1,AF2753=1,AE2753="HALLUCINATION")</x:f>
        <x:v>0</x:v>
      </x:c>
      <x:c r="AJ2753" t="n">
        <x:f>--AND(AI2753=1,R2753=1,S2753=1)</x:f>
        <x:v>0</x:v>
      </x:c>
    </x:row>
    <x:row r="2754">
      <x:c r="A2754" s="28"/>
      <x:c r="B2754" s="28"/>
      <x:c r="C2754" s="28"/>
      <x:c r="D2754" s="28"/>
      <x:c r="E2754" s="28"/>
      <x:c r="F2754" s="28"/>
      <x:c r="G2754" s="28"/>
      <x:c r="H2754" s="28"/>
      <x:c r="I2754" s="28"/>
      <x:c r="J2754" s="28"/>
      <x:c r="K2754" s="28"/>
      <x:c r="L2754" s="28"/>
      <x:c r="M2754" s="28"/>
      <x:c r="N2754" s="28"/>
      <x:c r="O2754" s="28"/>
      <x:c r="P2754" s="28"/>
      <x:c r="Q2754" s="28"/>
      <x:c r="R2754" s="28"/>
      <x:c r="S2754" s="28"/>
      <x:c r="T2754" s="28"/>
      <x:c r="U2754" s="28"/>
      <x:c r="V2754" s="28"/>
      <x:c r="W2754" s="43" t="n">
        <x:f>--AND(N2754=1,OR(O2754="SUPPORTED",O2754="HALLUCINATION"))</x:f>
        <x:v>0</x:v>
      </x:c>
      <x:c r="X2754" s="43" t="n">
        <x:f>--AND(W2754=1,O2754="HALLUCINATION")</x:f>
        <x:v>0</x:v>
      </x:c>
      <x:c r="Y2754" s="43" t="n">
        <x:f>--AND(Q2754=1,O2754="HALLUCINATION")</x:f>
        <x:v>0</x:v>
      </x:c>
      <x:c r="Z2754" s="43" t="n">
        <x:f>--AND(Y2754=1,R2754=1,S2754=1)</x:f>
        <x:v>0</x:v>
      </x:c>
      <x:c r="AC2754" t="str">
        <x:f>IF(OR(AA2754="",AB2754=""),"",--(AA2754&lt;&gt;AB2754))</x:f>
      </x:c>
      <x:c r="AE2754" t="str">
        <x:f>IF(OR(AA2754="",AB2754=""),"PENDING_HUMAN",IF(AA2754=AB2754,AA2754,IF(AD2754&lt;&gt;"",AD2754,"PENDING_HUMAN")))</x:f>
        <x:v>PENDING_HUMAN</x:v>
      </x:c>
      <x:c r="AF2754" t="n">
        <x:f>--AND(A2754&lt;&gt;"",AA2754&lt;&gt;"",AB2754&lt;&gt;"",OR(AA2754=AB2754,AD2754&lt;&gt;""),IF(AE2754="HALLUCINATION",U2754&lt;&gt;"",TRUE))</x:f>
        <x:v>0</x:v>
      </x:c>
      <x:c r="AG2754" t="n">
        <x:f>--AND(N2754=1,AF2754=1,OR(AE2754="SUPPORTED",AE2754="HALLUCINATION"))</x:f>
        <x:v>0</x:v>
      </x:c>
      <x:c r="AH2754" t="n">
        <x:f>--AND(AG2754=1,AE2754="HALLUCINATION")</x:f>
        <x:v>0</x:v>
      </x:c>
      <x:c r="AI2754" t="n">
        <x:f>--AND(Q2754=1,AF2754=1,AE2754="HALLUCINATION")</x:f>
        <x:v>0</x:v>
      </x:c>
      <x:c r="AJ2754" t="n">
        <x:f>--AND(AI2754=1,R2754=1,S2754=1)</x:f>
        <x:v>0</x:v>
      </x:c>
    </x:row>
    <x:row r="2755">
      <x:c r="A2755" s="28"/>
      <x:c r="B2755" s="28"/>
      <x:c r="C2755" s="28"/>
      <x:c r="D2755" s="28"/>
      <x:c r="E2755" s="28"/>
      <x:c r="F2755" s="28"/>
      <x:c r="G2755" s="28"/>
      <x:c r="H2755" s="28"/>
      <x:c r="I2755" s="28"/>
      <x:c r="J2755" s="28"/>
      <x:c r="K2755" s="28"/>
      <x:c r="L2755" s="28"/>
      <x:c r="M2755" s="28"/>
      <x:c r="N2755" s="28"/>
      <x:c r="O2755" s="28"/>
      <x:c r="P2755" s="28"/>
      <x:c r="Q2755" s="28"/>
      <x:c r="R2755" s="28"/>
      <x:c r="S2755" s="28"/>
      <x:c r="T2755" s="28"/>
      <x:c r="U2755" s="28"/>
      <x:c r="V2755" s="28"/>
      <x:c r="W2755" s="43" t="n">
        <x:f>--AND(N2755=1,OR(O2755="SUPPORTED",O2755="HALLUCINATION"))</x:f>
        <x:v>0</x:v>
      </x:c>
      <x:c r="X2755" s="43" t="n">
        <x:f>--AND(W2755=1,O2755="HALLUCINATION")</x:f>
        <x:v>0</x:v>
      </x:c>
      <x:c r="Y2755" s="43" t="n">
        <x:f>--AND(Q2755=1,O2755="HALLUCINATION")</x:f>
        <x:v>0</x:v>
      </x:c>
      <x:c r="Z2755" s="43" t="n">
        <x:f>--AND(Y2755=1,R2755=1,S2755=1)</x:f>
        <x:v>0</x:v>
      </x:c>
      <x:c r="AC2755" t="str">
        <x:f>IF(OR(AA2755="",AB2755=""),"",--(AA2755&lt;&gt;AB2755))</x:f>
      </x:c>
      <x:c r="AE2755" t="str">
        <x:f>IF(OR(AA2755="",AB2755=""),"PENDING_HUMAN",IF(AA2755=AB2755,AA2755,IF(AD2755&lt;&gt;"",AD2755,"PENDING_HUMAN")))</x:f>
        <x:v>PENDING_HUMAN</x:v>
      </x:c>
      <x:c r="AF2755" t="n">
        <x:f>--AND(A2755&lt;&gt;"",AA2755&lt;&gt;"",AB2755&lt;&gt;"",OR(AA2755=AB2755,AD2755&lt;&gt;""),IF(AE2755="HALLUCINATION",U2755&lt;&gt;"",TRUE))</x:f>
        <x:v>0</x:v>
      </x:c>
      <x:c r="AG2755" t="n">
        <x:f>--AND(N2755=1,AF2755=1,OR(AE2755="SUPPORTED",AE2755="HALLUCINATION"))</x:f>
        <x:v>0</x:v>
      </x:c>
      <x:c r="AH2755" t="n">
        <x:f>--AND(AG2755=1,AE2755="HALLUCINATION")</x:f>
        <x:v>0</x:v>
      </x:c>
      <x:c r="AI2755" t="n">
        <x:f>--AND(Q2755=1,AF2755=1,AE2755="HALLUCINATION")</x:f>
        <x:v>0</x:v>
      </x:c>
      <x:c r="AJ2755" t="n">
        <x:f>--AND(AI2755=1,R2755=1,S2755=1)</x:f>
        <x:v>0</x:v>
      </x:c>
    </x:row>
    <x:row r="2756">
      <x:c r="A2756" s="28"/>
      <x:c r="B2756" s="28"/>
      <x:c r="C2756" s="28"/>
      <x:c r="D2756" s="28"/>
      <x:c r="E2756" s="28"/>
      <x:c r="F2756" s="28"/>
      <x:c r="G2756" s="28"/>
      <x:c r="H2756" s="28"/>
      <x:c r="I2756" s="28"/>
      <x:c r="J2756" s="28"/>
      <x:c r="K2756" s="28"/>
      <x:c r="L2756" s="28"/>
      <x:c r="M2756" s="28"/>
      <x:c r="N2756" s="28"/>
      <x:c r="O2756" s="28"/>
      <x:c r="P2756" s="28"/>
      <x:c r="Q2756" s="28"/>
      <x:c r="R2756" s="28"/>
      <x:c r="S2756" s="28"/>
      <x:c r="T2756" s="28"/>
      <x:c r="U2756" s="28"/>
      <x:c r="V2756" s="28"/>
      <x:c r="W2756" s="43" t="n">
        <x:f>--AND(N2756=1,OR(O2756="SUPPORTED",O2756="HALLUCINATION"))</x:f>
        <x:v>0</x:v>
      </x:c>
      <x:c r="X2756" s="43" t="n">
        <x:f>--AND(W2756=1,O2756="HALLUCINATION")</x:f>
        <x:v>0</x:v>
      </x:c>
      <x:c r="Y2756" s="43" t="n">
        <x:f>--AND(Q2756=1,O2756="HALLUCINATION")</x:f>
        <x:v>0</x:v>
      </x:c>
      <x:c r="Z2756" s="43" t="n">
        <x:f>--AND(Y2756=1,R2756=1,S2756=1)</x:f>
        <x:v>0</x:v>
      </x:c>
      <x:c r="AC2756" t="str">
        <x:f>IF(OR(AA2756="",AB2756=""),"",--(AA2756&lt;&gt;AB2756))</x:f>
      </x:c>
      <x:c r="AE2756" t="str">
        <x:f>IF(OR(AA2756="",AB2756=""),"PENDING_HUMAN",IF(AA2756=AB2756,AA2756,IF(AD2756&lt;&gt;"",AD2756,"PENDING_HUMAN")))</x:f>
        <x:v>PENDING_HUMAN</x:v>
      </x:c>
      <x:c r="AF2756" t="n">
        <x:f>--AND(A2756&lt;&gt;"",AA2756&lt;&gt;"",AB2756&lt;&gt;"",OR(AA2756=AB2756,AD2756&lt;&gt;""),IF(AE2756="HALLUCINATION",U2756&lt;&gt;"",TRUE))</x:f>
        <x:v>0</x:v>
      </x:c>
      <x:c r="AG2756" t="n">
        <x:f>--AND(N2756=1,AF2756=1,OR(AE2756="SUPPORTED",AE2756="HALLUCINATION"))</x:f>
        <x:v>0</x:v>
      </x:c>
      <x:c r="AH2756" t="n">
        <x:f>--AND(AG2756=1,AE2756="HALLUCINATION")</x:f>
        <x:v>0</x:v>
      </x:c>
      <x:c r="AI2756" t="n">
        <x:f>--AND(Q2756=1,AF2756=1,AE2756="HALLUCINATION")</x:f>
        <x:v>0</x:v>
      </x:c>
      <x:c r="AJ2756" t="n">
        <x:f>--AND(AI2756=1,R2756=1,S2756=1)</x:f>
        <x:v>0</x:v>
      </x:c>
    </x:row>
    <x:row r="2757">
      <x:c r="A2757" s="28"/>
      <x:c r="B2757" s="28"/>
      <x:c r="C2757" s="28"/>
      <x:c r="D2757" s="28"/>
      <x:c r="E2757" s="28"/>
      <x:c r="F2757" s="28"/>
      <x:c r="G2757" s="28"/>
      <x:c r="H2757" s="28"/>
      <x:c r="I2757" s="28"/>
      <x:c r="J2757" s="28"/>
      <x:c r="K2757" s="28"/>
      <x:c r="L2757" s="28"/>
      <x:c r="M2757" s="28"/>
      <x:c r="N2757" s="28"/>
      <x:c r="O2757" s="28"/>
      <x:c r="P2757" s="28"/>
      <x:c r="Q2757" s="28"/>
      <x:c r="R2757" s="28"/>
      <x:c r="S2757" s="28"/>
      <x:c r="T2757" s="28"/>
      <x:c r="U2757" s="28"/>
      <x:c r="V2757" s="28"/>
      <x:c r="W2757" s="43" t="n">
        <x:f>--AND(N2757=1,OR(O2757="SUPPORTED",O2757="HALLUCINATION"))</x:f>
        <x:v>0</x:v>
      </x:c>
      <x:c r="X2757" s="43" t="n">
        <x:f>--AND(W2757=1,O2757="HALLUCINATION")</x:f>
        <x:v>0</x:v>
      </x:c>
      <x:c r="Y2757" s="43" t="n">
        <x:f>--AND(Q2757=1,O2757="HALLUCINATION")</x:f>
        <x:v>0</x:v>
      </x:c>
      <x:c r="Z2757" s="43" t="n">
        <x:f>--AND(Y2757=1,R2757=1,S2757=1)</x:f>
        <x:v>0</x:v>
      </x:c>
      <x:c r="AC2757" t="str">
        <x:f>IF(OR(AA2757="",AB2757=""),"",--(AA2757&lt;&gt;AB2757))</x:f>
      </x:c>
      <x:c r="AE2757" t="str">
        <x:f>IF(OR(AA2757="",AB2757=""),"PENDING_HUMAN",IF(AA2757=AB2757,AA2757,IF(AD2757&lt;&gt;"",AD2757,"PENDING_HUMAN")))</x:f>
        <x:v>PENDING_HUMAN</x:v>
      </x:c>
      <x:c r="AF2757" t="n">
        <x:f>--AND(A2757&lt;&gt;"",AA2757&lt;&gt;"",AB2757&lt;&gt;"",OR(AA2757=AB2757,AD2757&lt;&gt;""),IF(AE2757="HALLUCINATION",U2757&lt;&gt;"",TRUE))</x:f>
        <x:v>0</x:v>
      </x:c>
      <x:c r="AG2757" t="n">
        <x:f>--AND(N2757=1,AF2757=1,OR(AE2757="SUPPORTED",AE2757="HALLUCINATION"))</x:f>
        <x:v>0</x:v>
      </x:c>
      <x:c r="AH2757" t="n">
        <x:f>--AND(AG2757=1,AE2757="HALLUCINATION")</x:f>
        <x:v>0</x:v>
      </x:c>
      <x:c r="AI2757" t="n">
        <x:f>--AND(Q2757=1,AF2757=1,AE2757="HALLUCINATION")</x:f>
        <x:v>0</x:v>
      </x:c>
      <x:c r="AJ2757" t="n">
        <x:f>--AND(AI2757=1,R2757=1,S2757=1)</x:f>
        <x:v>0</x:v>
      </x:c>
    </x:row>
    <x:row r="2758">
      <x:c r="A2758" s="28"/>
      <x:c r="B2758" s="28"/>
      <x:c r="C2758" s="28"/>
      <x:c r="D2758" s="28"/>
      <x:c r="E2758" s="28"/>
      <x:c r="F2758" s="28"/>
      <x:c r="G2758" s="28"/>
      <x:c r="H2758" s="28"/>
      <x:c r="I2758" s="28"/>
      <x:c r="J2758" s="28"/>
      <x:c r="K2758" s="28"/>
      <x:c r="L2758" s="28"/>
      <x:c r="M2758" s="28"/>
      <x:c r="N2758" s="28"/>
      <x:c r="O2758" s="28"/>
      <x:c r="P2758" s="28"/>
      <x:c r="Q2758" s="28"/>
      <x:c r="R2758" s="28"/>
      <x:c r="S2758" s="28"/>
      <x:c r="T2758" s="28"/>
      <x:c r="U2758" s="28"/>
      <x:c r="V2758" s="28"/>
      <x:c r="W2758" s="43" t="n">
        <x:f>--AND(N2758=1,OR(O2758="SUPPORTED",O2758="HALLUCINATION"))</x:f>
        <x:v>0</x:v>
      </x:c>
      <x:c r="X2758" s="43" t="n">
        <x:f>--AND(W2758=1,O2758="HALLUCINATION")</x:f>
        <x:v>0</x:v>
      </x:c>
      <x:c r="Y2758" s="43" t="n">
        <x:f>--AND(Q2758=1,O2758="HALLUCINATION")</x:f>
        <x:v>0</x:v>
      </x:c>
      <x:c r="Z2758" s="43" t="n">
        <x:f>--AND(Y2758=1,R2758=1,S2758=1)</x:f>
        <x:v>0</x:v>
      </x:c>
      <x:c r="AC2758" t="str">
        <x:f>IF(OR(AA2758="",AB2758=""),"",--(AA2758&lt;&gt;AB2758))</x:f>
      </x:c>
      <x:c r="AE2758" t="str">
        <x:f>IF(OR(AA2758="",AB2758=""),"PENDING_HUMAN",IF(AA2758=AB2758,AA2758,IF(AD2758&lt;&gt;"",AD2758,"PENDING_HUMAN")))</x:f>
        <x:v>PENDING_HUMAN</x:v>
      </x:c>
      <x:c r="AF2758" t="n">
        <x:f>--AND(A2758&lt;&gt;"",AA2758&lt;&gt;"",AB2758&lt;&gt;"",OR(AA2758=AB2758,AD2758&lt;&gt;""),IF(AE2758="HALLUCINATION",U2758&lt;&gt;"",TRUE))</x:f>
        <x:v>0</x:v>
      </x:c>
      <x:c r="AG2758" t="n">
        <x:f>--AND(N2758=1,AF2758=1,OR(AE2758="SUPPORTED",AE2758="HALLUCINATION"))</x:f>
        <x:v>0</x:v>
      </x:c>
      <x:c r="AH2758" t="n">
        <x:f>--AND(AG2758=1,AE2758="HALLUCINATION")</x:f>
        <x:v>0</x:v>
      </x:c>
      <x:c r="AI2758" t="n">
        <x:f>--AND(Q2758=1,AF2758=1,AE2758="HALLUCINATION")</x:f>
        <x:v>0</x:v>
      </x:c>
      <x:c r="AJ2758" t="n">
        <x:f>--AND(AI2758=1,R2758=1,S2758=1)</x:f>
        <x:v>0</x:v>
      </x:c>
    </x:row>
    <x:row r="2759">
      <x:c r="A2759" s="28"/>
      <x:c r="B2759" s="28"/>
      <x:c r="C2759" s="28"/>
      <x:c r="D2759" s="28"/>
      <x:c r="E2759" s="28"/>
      <x:c r="F2759" s="28"/>
      <x:c r="G2759" s="28"/>
      <x:c r="H2759" s="28"/>
      <x:c r="I2759" s="28"/>
      <x:c r="J2759" s="28"/>
      <x:c r="K2759" s="28"/>
      <x:c r="L2759" s="28"/>
      <x:c r="M2759" s="28"/>
      <x:c r="N2759" s="28"/>
      <x:c r="O2759" s="28"/>
      <x:c r="P2759" s="28"/>
      <x:c r="Q2759" s="28"/>
      <x:c r="R2759" s="28"/>
      <x:c r="S2759" s="28"/>
      <x:c r="T2759" s="28"/>
      <x:c r="U2759" s="28"/>
      <x:c r="V2759" s="28"/>
      <x:c r="W2759" s="43" t="n">
        <x:f>--AND(N2759=1,OR(O2759="SUPPORTED",O2759="HALLUCINATION"))</x:f>
        <x:v>0</x:v>
      </x:c>
      <x:c r="X2759" s="43" t="n">
        <x:f>--AND(W2759=1,O2759="HALLUCINATION")</x:f>
        <x:v>0</x:v>
      </x:c>
      <x:c r="Y2759" s="43" t="n">
        <x:f>--AND(Q2759=1,O2759="HALLUCINATION")</x:f>
        <x:v>0</x:v>
      </x:c>
      <x:c r="Z2759" s="43" t="n">
        <x:f>--AND(Y2759=1,R2759=1,S2759=1)</x:f>
        <x:v>0</x:v>
      </x:c>
      <x:c r="AC2759" t="str">
        <x:f>IF(OR(AA2759="",AB2759=""),"",--(AA2759&lt;&gt;AB2759))</x:f>
      </x:c>
      <x:c r="AE2759" t="str">
        <x:f>IF(OR(AA2759="",AB2759=""),"PENDING_HUMAN",IF(AA2759=AB2759,AA2759,IF(AD2759&lt;&gt;"",AD2759,"PENDING_HUMAN")))</x:f>
        <x:v>PENDING_HUMAN</x:v>
      </x:c>
      <x:c r="AF2759" t="n">
        <x:f>--AND(A2759&lt;&gt;"",AA2759&lt;&gt;"",AB2759&lt;&gt;"",OR(AA2759=AB2759,AD2759&lt;&gt;""),IF(AE2759="HALLUCINATION",U2759&lt;&gt;"",TRUE))</x:f>
        <x:v>0</x:v>
      </x:c>
      <x:c r="AG2759" t="n">
        <x:f>--AND(N2759=1,AF2759=1,OR(AE2759="SUPPORTED",AE2759="HALLUCINATION"))</x:f>
        <x:v>0</x:v>
      </x:c>
      <x:c r="AH2759" t="n">
        <x:f>--AND(AG2759=1,AE2759="HALLUCINATION")</x:f>
        <x:v>0</x:v>
      </x:c>
      <x:c r="AI2759" t="n">
        <x:f>--AND(Q2759=1,AF2759=1,AE2759="HALLUCINATION")</x:f>
        <x:v>0</x:v>
      </x:c>
      <x:c r="AJ2759" t="n">
        <x:f>--AND(AI2759=1,R2759=1,S2759=1)</x:f>
        <x:v>0</x:v>
      </x:c>
    </x:row>
    <x:row r="2760">
      <x:c r="A2760" s="28"/>
      <x:c r="B2760" s="28"/>
      <x:c r="C2760" s="28"/>
      <x:c r="D2760" s="28"/>
      <x:c r="E2760" s="28"/>
      <x:c r="F2760" s="28"/>
      <x:c r="G2760" s="28"/>
      <x:c r="H2760" s="28"/>
      <x:c r="I2760" s="28"/>
      <x:c r="J2760" s="28"/>
      <x:c r="K2760" s="28"/>
      <x:c r="L2760" s="28"/>
      <x:c r="M2760" s="28"/>
      <x:c r="N2760" s="28"/>
      <x:c r="O2760" s="28"/>
      <x:c r="P2760" s="28"/>
      <x:c r="Q2760" s="28"/>
      <x:c r="R2760" s="28"/>
      <x:c r="S2760" s="28"/>
      <x:c r="T2760" s="28"/>
      <x:c r="U2760" s="28"/>
      <x:c r="V2760" s="28"/>
      <x:c r="W2760" s="43" t="n">
        <x:f>--AND(N2760=1,OR(O2760="SUPPORTED",O2760="HALLUCINATION"))</x:f>
        <x:v>0</x:v>
      </x:c>
      <x:c r="X2760" s="43" t="n">
        <x:f>--AND(W2760=1,O2760="HALLUCINATION")</x:f>
        <x:v>0</x:v>
      </x:c>
      <x:c r="Y2760" s="43" t="n">
        <x:f>--AND(Q2760=1,O2760="HALLUCINATION")</x:f>
        <x:v>0</x:v>
      </x:c>
      <x:c r="Z2760" s="43" t="n">
        <x:f>--AND(Y2760=1,R2760=1,S2760=1)</x:f>
        <x:v>0</x:v>
      </x:c>
      <x:c r="AC2760" t="str">
        <x:f>IF(OR(AA2760="",AB2760=""),"",--(AA2760&lt;&gt;AB2760))</x:f>
      </x:c>
      <x:c r="AE2760" t="str">
        <x:f>IF(OR(AA2760="",AB2760=""),"PENDING_HUMAN",IF(AA2760=AB2760,AA2760,IF(AD2760&lt;&gt;"",AD2760,"PENDING_HUMAN")))</x:f>
        <x:v>PENDING_HUMAN</x:v>
      </x:c>
      <x:c r="AF2760" t="n">
        <x:f>--AND(A2760&lt;&gt;"",AA2760&lt;&gt;"",AB2760&lt;&gt;"",OR(AA2760=AB2760,AD2760&lt;&gt;""),IF(AE2760="HALLUCINATION",U2760&lt;&gt;"",TRUE))</x:f>
        <x:v>0</x:v>
      </x:c>
      <x:c r="AG2760" t="n">
        <x:f>--AND(N2760=1,AF2760=1,OR(AE2760="SUPPORTED",AE2760="HALLUCINATION"))</x:f>
        <x:v>0</x:v>
      </x:c>
      <x:c r="AH2760" t="n">
        <x:f>--AND(AG2760=1,AE2760="HALLUCINATION")</x:f>
        <x:v>0</x:v>
      </x:c>
      <x:c r="AI2760" t="n">
        <x:f>--AND(Q2760=1,AF2760=1,AE2760="HALLUCINATION")</x:f>
        <x:v>0</x:v>
      </x:c>
      <x:c r="AJ2760" t="n">
        <x:f>--AND(AI2760=1,R2760=1,S2760=1)</x:f>
        <x:v>0</x:v>
      </x:c>
    </x:row>
    <x:row r="2761">
      <x:c r="A2761" s="28"/>
      <x:c r="B2761" s="28"/>
      <x:c r="C2761" s="28"/>
      <x:c r="D2761" s="28"/>
      <x:c r="E2761" s="28"/>
      <x:c r="F2761" s="28"/>
      <x:c r="G2761" s="28"/>
      <x:c r="H2761" s="28"/>
      <x:c r="I2761" s="28"/>
      <x:c r="J2761" s="28"/>
      <x:c r="K2761" s="28"/>
      <x:c r="L2761" s="28"/>
      <x:c r="M2761" s="28"/>
      <x:c r="N2761" s="28"/>
      <x:c r="O2761" s="28"/>
      <x:c r="P2761" s="28"/>
      <x:c r="Q2761" s="28"/>
      <x:c r="R2761" s="28"/>
      <x:c r="S2761" s="28"/>
      <x:c r="T2761" s="28"/>
      <x:c r="U2761" s="28"/>
      <x:c r="V2761" s="28"/>
      <x:c r="W2761" s="43" t="n">
        <x:f>--AND(N2761=1,OR(O2761="SUPPORTED",O2761="HALLUCINATION"))</x:f>
        <x:v>0</x:v>
      </x:c>
      <x:c r="X2761" s="43" t="n">
        <x:f>--AND(W2761=1,O2761="HALLUCINATION")</x:f>
        <x:v>0</x:v>
      </x:c>
      <x:c r="Y2761" s="43" t="n">
        <x:f>--AND(Q2761=1,O2761="HALLUCINATION")</x:f>
        <x:v>0</x:v>
      </x:c>
      <x:c r="Z2761" s="43" t="n">
        <x:f>--AND(Y2761=1,R2761=1,S2761=1)</x:f>
        <x:v>0</x:v>
      </x:c>
      <x:c r="AC2761" t="str">
        <x:f>IF(OR(AA2761="",AB2761=""),"",--(AA2761&lt;&gt;AB2761))</x:f>
      </x:c>
      <x:c r="AE2761" t="str">
        <x:f>IF(OR(AA2761="",AB2761=""),"PENDING_HUMAN",IF(AA2761=AB2761,AA2761,IF(AD2761&lt;&gt;"",AD2761,"PENDING_HUMAN")))</x:f>
        <x:v>PENDING_HUMAN</x:v>
      </x:c>
      <x:c r="AF2761" t="n">
        <x:f>--AND(A2761&lt;&gt;"",AA2761&lt;&gt;"",AB2761&lt;&gt;"",OR(AA2761=AB2761,AD2761&lt;&gt;""),IF(AE2761="HALLUCINATION",U2761&lt;&gt;"",TRUE))</x:f>
        <x:v>0</x:v>
      </x:c>
      <x:c r="AG2761" t="n">
        <x:f>--AND(N2761=1,AF2761=1,OR(AE2761="SUPPORTED",AE2761="HALLUCINATION"))</x:f>
        <x:v>0</x:v>
      </x:c>
      <x:c r="AH2761" t="n">
        <x:f>--AND(AG2761=1,AE2761="HALLUCINATION")</x:f>
        <x:v>0</x:v>
      </x:c>
      <x:c r="AI2761" t="n">
        <x:f>--AND(Q2761=1,AF2761=1,AE2761="HALLUCINATION")</x:f>
        <x:v>0</x:v>
      </x:c>
      <x:c r="AJ2761" t="n">
        <x:f>--AND(AI2761=1,R2761=1,S2761=1)</x:f>
        <x:v>0</x:v>
      </x:c>
    </x:row>
    <x:row r="2762">
      <x:c r="A2762" s="28"/>
      <x:c r="B2762" s="28"/>
      <x:c r="C2762" s="28"/>
      <x:c r="D2762" s="28"/>
      <x:c r="E2762" s="28"/>
      <x:c r="F2762" s="28"/>
      <x:c r="G2762" s="28"/>
      <x:c r="H2762" s="28"/>
      <x:c r="I2762" s="28"/>
      <x:c r="J2762" s="28"/>
      <x:c r="K2762" s="28"/>
      <x:c r="L2762" s="28"/>
      <x:c r="M2762" s="28"/>
      <x:c r="N2762" s="28"/>
      <x:c r="O2762" s="28"/>
      <x:c r="P2762" s="28"/>
      <x:c r="Q2762" s="28"/>
      <x:c r="R2762" s="28"/>
      <x:c r="S2762" s="28"/>
      <x:c r="T2762" s="28"/>
      <x:c r="U2762" s="28"/>
      <x:c r="V2762" s="28"/>
      <x:c r="W2762" s="43" t="n">
        <x:f>--AND(N2762=1,OR(O2762="SUPPORTED",O2762="HALLUCINATION"))</x:f>
        <x:v>0</x:v>
      </x:c>
      <x:c r="X2762" s="43" t="n">
        <x:f>--AND(W2762=1,O2762="HALLUCINATION")</x:f>
        <x:v>0</x:v>
      </x:c>
      <x:c r="Y2762" s="43" t="n">
        <x:f>--AND(Q2762=1,O2762="HALLUCINATION")</x:f>
        <x:v>0</x:v>
      </x:c>
      <x:c r="Z2762" s="43" t="n">
        <x:f>--AND(Y2762=1,R2762=1,S2762=1)</x:f>
        <x:v>0</x:v>
      </x:c>
      <x:c r="AC2762" t="str">
        <x:f>IF(OR(AA2762="",AB2762=""),"",--(AA2762&lt;&gt;AB2762))</x:f>
      </x:c>
      <x:c r="AE2762" t="str">
        <x:f>IF(OR(AA2762="",AB2762=""),"PENDING_HUMAN",IF(AA2762=AB2762,AA2762,IF(AD2762&lt;&gt;"",AD2762,"PENDING_HUMAN")))</x:f>
        <x:v>PENDING_HUMAN</x:v>
      </x:c>
      <x:c r="AF2762" t="n">
        <x:f>--AND(A2762&lt;&gt;"",AA2762&lt;&gt;"",AB2762&lt;&gt;"",OR(AA2762=AB2762,AD2762&lt;&gt;""),IF(AE2762="HALLUCINATION",U2762&lt;&gt;"",TRUE))</x:f>
        <x:v>0</x:v>
      </x:c>
      <x:c r="AG2762" t="n">
        <x:f>--AND(N2762=1,AF2762=1,OR(AE2762="SUPPORTED",AE2762="HALLUCINATION"))</x:f>
        <x:v>0</x:v>
      </x:c>
      <x:c r="AH2762" t="n">
        <x:f>--AND(AG2762=1,AE2762="HALLUCINATION")</x:f>
        <x:v>0</x:v>
      </x:c>
      <x:c r="AI2762" t="n">
        <x:f>--AND(Q2762=1,AF2762=1,AE2762="HALLUCINATION")</x:f>
        <x:v>0</x:v>
      </x:c>
      <x:c r="AJ2762" t="n">
        <x:f>--AND(AI2762=1,R2762=1,S2762=1)</x:f>
        <x:v>0</x:v>
      </x:c>
    </x:row>
    <x:row r="2763">
      <x:c r="A2763" s="28"/>
      <x:c r="B2763" s="28"/>
      <x:c r="C2763" s="28"/>
      <x:c r="D2763" s="28"/>
      <x:c r="E2763" s="28"/>
      <x:c r="F2763" s="28"/>
      <x:c r="G2763" s="28"/>
      <x:c r="H2763" s="28"/>
      <x:c r="I2763" s="28"/>
      <x:c r="J2763" s="28"/>
      <x:c r="K2763" s="28"/>
      <x:c r="L2763" s="28"/>
      <x:c r="M2763" s="28"/>
      <x:c r="N2763" s="28"/>
      <x:c r="O2763" s="28"/>
      <x:c r="P2763" s="28"/>
      <x:c r="Q2763" s="28"/>
      <x:c r="R2763" s="28"/>
      <x:c r="S2763" s="28"/>
      <x:c r="T2763" s="28"/>
      <x:c r="U2763" s="28"/>
      <x:c r="V2763" s="28"/>
      <x:c r="W2763" s="43" t="n">
        <x:f>--AND(N2763=1,OR(O2763="SUPPORTED",O2763="HALLUCINATION"))</x:f>
        <x:v>0</x:v>
      </x:c>
      <x:c r="X2763" s="43" t="n">
        <x:f>--AND(W2763=1,O2763="HALLUCINATION")</x:f>
        <x:v>0</x:v>
      </x:c>
      <x:c r="Y2763" s="43" t="n">
        <x:f>--AND(Q2763=1,O2763="HALLUCINATION")</x:f>
        <x:v>0</x:v>
      </x:c>
      <x:c r="Z2763" s="43" t="n">
        <x:f>--AND(Y2763=1,R2763=1,S2763=1)</x:f>
        <x:v>0</x:v>
      </x:c>
      <x:c r="AC2763" t="str">
        <x:f>IF(OR(AA2763="",AB2763=""),"",--(AA2763&lt;&gt;AB2763))</x:f>
      </x:c>
      <x:c r="AE2763" t="str">
        <x:f>IF(OR(AA2763="",AB2763=""),"PENDING_HUMAN",IF(AA2763=AB2763,AA2763,IF(AD2763&lt;&gt;"",AD2763,"PENDING_HUMAN")))</x:f>
        <x:v>PENDING_HUMAN</x:v>
      </x:c>
      <x:c r="AF2763" t="n">
        <x:f>--AND(A2763&lt;&gt;"",AA2763&lt;&gt;"",AB2763&lt;&gt;"",OR(AA2763=AB2763,AD2763&lt;&gt;""),IF(AE2763="HALLUCINATION",U2763&lt;&gt;"",TRUE))</x:f>
        <x:v>0</x:v>
      </x:c>
      <x:c r="AG2763" t="n">
        <x:f>--AND(N2763=1,AF2763=1,OR(AE2763="SUPPORTED",AE2763="HALLUCINATION"))</x:f>
        <x:v>0</x:v>
      </x:c>
      <x:c r="AH2763" t="n">
        <x:f>--AND(AG2763=1,AE2763="HALLUCINATION")</x:f>
        <x:v>0</x:v>
      </x:c>
      <x:c r="AI2763" t="n">
        <x:f>--AND(Q2763=1,AF2763=1,AE2763="HALLUCINATION")</x:f>
        <x:v>0</x:v>
      </x:c>
      <x:c r="AJ2763" t="n">
        <x:f>--AND(AI2763=1,R2763=1,S2763=1)</x:f>
        <x:v>0</x:v>
      </x:c>
    </x:row>
    <x:row r="2764">
      <x:c r="A2764" s="28"/>
      <x:c r="B2764" s="28"/>
      <x:c r="C2764" s="28"/>
      <x:c r="D2764" s="28"/>
      <x:c r="E2764" s="28"/>
      <x:c r="F2764" s="28"/>
      <x:c r="G2764" s="28"/>
      <x:c r="H2764" s="28"/>
      <x:c r="I2764" s="28"/>
      <x:c r="J2764" s="28"/>
      <x:c r="K2764" s="28"/>
      <x:c r="L2764" s="28"/>
      <x:c r="M2764" s="28"/>
      <x:c r="N2764" s="28"/>
      <x:c r="O2764" s="28"/>
      <x:c r="P2764" s="28"/>
      <x:c r="Q2764" s="28"/>
      <x:c r="R2764" s="28"/>
      <x:c r="S2764" s="28"/>
      <x:c r="T2764" s="28"/>
      <x:c r="U2764" s="28"/>
      <x:c r="V2764" s="28"/>
      <x:c r="W2764" s="43" t="n">
        <x:f>--AND(N2764=1,OR(O2764="SUPPORTED",O2764="HALLUCINATION"))</x:f>
        <x:v>0</x:v>
      </x:c>
      <x:c r="X2764" s="43" t="n">
        <x:f>--AND(W2764=1,O2764="HALLUCINATION")</x:f>
        <x:v>0</x:v>
      </x:c>
      <x:c r="Y2764" s="43" t="n">
        <x:f>--AND(Q2764=1,O2764="HALLUCINATION")</x:f>
        <x:v>0</x:v>
      </x:c>
      <x:c r="Z2764" s="43" t="n">
        <x:f>--AND(Y2764=1,R2764=1,S2764=1)</x:f>
        <x:v>0</x:v>
      </x:c>
      <x:c r="AC2764" t="str">
        <x:f>IF(OR(AA2764="",AB2764=""),"",--(AA2764&lt;&gt;AB2764))</x:f>
      </x:c>
      <x:c r="AE2764" t="str">
        <x:f>IF(OR(AA2764="",AB2764=""),"PENDING_HUMAN",IF(AA2764=AB2764,AA2764,IF(AD2764&lt;&gt;"",AD2764,"PENDING_HUMAN")))</x:f>
        <x:v>PENDING_HUMAN</x:v>
      </x:c>
      <x:c r="AF2764" t="n">
        <x:f>--AND(A2764&lt;&gt;"",AA2764&lt;&gt;"",AB2764&lt;&gt;"",OR(AA2764=AB2764,AD2764&lt;&gt;""),IF(AE2764="HALLUCINATION",U2764&lt;&gt;"",TRUE))</x:f>
        <x:v>0</x:v>
      </x:c>
      <x:c r="AG2764" t="n">
        <x:f>--AND(N2764=1,AF2764=1,OR(AE2764="SUPPORTED",AE2764="HALLUCINATION"))</x:f>
        <x:v>0</x:v>
      </x:c>
      <x:c r="AH2764" t="n">
        <x:f>--AND(AG2764=1,AE2764="HALLUCINATION")</x:f>
        <x:v>0</x:v>
      </x:c>
      <x:c r="AI2764" t="n">
        <x:f>--AND(Q2764=1,AF2764=1,AE2764="HALLUCINATION")</x:f>
        <x:v>0</x:v>
      </x:c>
      <x:c r="AJ2764" t="n">
        <x:f>--AND(AI2764=1,R2764=1,S2764=1)</x:f>
        <x:v>0</x:v>
      </x:c>
    </x:row>
    <x:row r="2765">
      <x:c r="A2765" s="28"/>
      <x:c r="B2765" s="28"/>
      <x:c r="C2765" s="28"/>
      <x:c r="D2765" s="28"/>
      <x:c r="E2765" s="28"/>
      <x:c r="F2765" s="28"/>
      <x:c r="G2765" s="28"/>
      <x:c r="H2765" s="28"/>
      <x:c r="I2765" s="28"/>
      <x:c r="J2765" s="28"/>
      <x:c r="K2765" s="28"/>
      <x:c r="L2765" s="28"/>
      <x:c r="M2765" s="28"/>
      <x:c r="N2765" s="28"/>
      <x:c r="O2765" s="28"/>
      <x:c r="P2765" s="28"/>
      <x:c r="Q2765" s="28"/>
      <x:c r="R2765" s="28"/>
      <x:c r="S2765" s="28"/>
      <x:c r="T2765" s="28"/>
      <x:c r="U2765" s="28"/>
      <x:c r="V2765" s="28"/>
      <x:c r="W2765" s="43" t="n">
        <x:f>--AND(N2765=1,OR(O2765="SUPPORTED",O2765="HALLUCINATION"))</x:f>
        <x:v>0</x:v>
      </x:c>
      <x:c r="X2765" s="43" t="n">
        <x:f>--AND(W2765=1,O2765="HALLUCINATION")</x:f>
        <x:v>0</x:v>
      </x:c>
      <x:c r="Y2765" s="43" t="n">
        <x:f>--AND(Q2765=1,O2765="HALLUCINATION")</x:f>
        <x:v>0</x:v>
      </x:c>
      <x:c r="Z2765" s="43" t="n">
        <x:f>--AND(Y2765=1,R2765=1,S2765=1)</x:f>
        <x:v>0</x:v>
      </x:c>
      <x:c r="AC2765" t="str">
        <x:f>IF(OR(AA2765="",AB2765=""),"",--(AA2765&lt;&gt;AB2765))</x:f>
      </x:c>
      <x:c r="AE2765" t="str">
        <x:f>IF(OR(AA2765="",AB2765=""),"PENDING_HUMAN",IF(AA2765=AB2765,AA2765,IF(AD2765&lt;&gt;"",AD2765,"PENDING_HUMAN")))</x:f>
        <x:v>PENDING_HUMAN</x:v>
      </x:c>
      <x:c r="AF2765" t="n">
        <x:f>--AND(A2765&lt;&gt;"",AA2765&lt;&gt;"",AB2765&lt;&gt;"",OR(AA2765=AB2765,AD2765&lt;&gt;""),IF(AE2765="HALLUCINATION",U2765&lt;&gt;"",TRUE))</x:f>
        <x:v>0</x:v>
      </x:c>
      <x:c r="AG2765" t="n">
        <x:f>--AND(N2765=1,AF2765=1,OR(AE2765="SUPPORTED",AE2765="HALLUCINATION"))</x:f>
        <x:v>0</x:v>
      </x:c>
      <x:c r="AH2765" t="n">
        <x:f>--AND(AG2765=1,AE2765="HALLUCINATION")</x:f>
        <x:v>0</x:v>
      </x:c>
      <x:c r="AI2765" t="n">
        <x:f>--AND(Q2765=1,AF2765=1,AE2765="HALLUCINATION")</x:f>
        <x:v>0</x:v>
      </x:c>
      <x:c r="AJ2765" t="n">
        <x:f>--AND(AI2765=1,R2765=1,S2765=1)</x:f>
        <x:v>0</x:v>
      </x:c>
    </x:row>
    <x:row r="2766">
      <x:c r="A2766" s="28"/>
      <x:c r="B2766" s="28"/>
      <x:c r="C2766" s="28"/>
      <x:c r="D2766" s="28"/>
      <x:c r="E2766" s="28"/>
      <x:c r="F2766" s="28"/>
      <x:c r="G2766" s="28"/>
      <x:c r="H2766" s="28"/>
      <x:c r="I2766" s="28"/>
      <x:c r="J2766" s="28"/>
      <x:c r="K2766" s="28"/>
      <x:c r="L2766" s="28"/>
      <x:c r="M2766" s="28"/>
      <x:c r="N2766" s="28"/>
      <x:c r="O2766" s="28"/>
      <x:c r="P2766" s="28"/>
      <x:c r="Q2766" s="28"/>
      <x:c r="R2766" s="28"/>
      <x:c r="S2766" s="28"/>
      <x:c r="T2766" s="28"/>
      <x:c r="U2766" s="28"/>
      <x:c r="V2766" s="28"/>
      <x:c r="W2766" s="43" t="n">
        <x:f>--AND(N2766=1,OR(O2766="SUPPORTED",O2766="HALLUCINATION"))</x:f>
        <x:v>0</x:v>
      </x:c>
      <x:c r="X2766" s="43" t="n">
        <x:f>--AND(W2766=1,O2766="HALLUCINATION")</x:f>
        <x:v>0</x:v>
      </x:c>
      <x:c r="Y2766" s="43" t="n">
        <x:f>--AND(Q2766=1,O2766="HALLUCINATION")</x:f>
        <x:v>0</x:v>
      </x:c>
      <x:c r="Z2766" s="43" t="n">
        <x:f>--AND(Y2766=1,R2766=1,S2766=1)</x:f>
        <x:v>0</x:v>
      </x:c>
      <x:c r="AC2766" t="str">
        <x:f>IF(OR(AA2766="",AB2766=""),"",--(AA2766&lt;&gt;AB2766))</x:f>
      </x:c>
      <x:c r="AE2766" t="str">
        <x:f>IF(OR(AA2766="",AB2766=""),"PENDING_HUMAN",IF(AA2766=AB2766,AA2766,IF(AD2766&lt;&gt;"",AD2766,"PENDING_HUMAN")))</x:f>
        <x:v>PENDING_HUMAN</x:v>
      </x:c>
      <x:c r="AF2766" t="n">
        <x:f>--AND(A2766&lt;&gt;"",AA2766&lt;&gt;"",AB2766&lt;&gt;"",OR(AA2766=AB2766,AD2766&lt;&gt;""),IF(AE2766="HALLUCINATION",U2766&lt;&gt;"",TRUE))</x:f>
        <x:v>0</x:v>
      </x:c>
      <x:c r="AG2766" t="n">
        <x:f>--AND(N2766=1,AF2766=1,OR(AE2766="SUPPORTED",AE2766="HALLUCINATION"))</x:f>
        <x:v>0</x:v>
      </x:c>
      <x:c r="AH2766" t="n">
        <x:f>--AND(AG2766=1,AE2766="HALLUCINATION")</x:f>
        <x:v>0</x:v>
      </x:c>
      <x:c r="AI2766" t="n">
        <x:f>--AND(Q2766=1,AF2766=1,AE2766="HALLUCINATION")</x:f>
        <x:v>0</x:v>
      </x:c>
      <x:c r="AJ2766" t="n">
        <x:f>--AND(AI2766=1,R2766=1,S2766=1)</x:f>
        <x:v>0</x:v>
      </x:c>
    </x:row>
    <x:row r="2767">
      <x:c r="A2767" s="28"/>
      <x:c r="B2767" s="28"/>
      <x:c r="C2767" s="28"/>
      <x:c r="D2767" s="28"/>
      <x:c r="E2767" s="28"/>
      <x:c r="F2767" s="28"/>
      <x:c r="G2767" s="28"/>
      <x:c r="H2767" s="28"/>
      <x:c r="I2767" s="28"/>
      <x:c r="J2767" s="28"/>
      <x:c r="K2767" s="28"/>
      <x:c r="L2767" s="28"/>
      <x:c r="M2767" s="28"/>
      <x:c r="N2767" s="28"/>
      <x:c r="O2767" s="28"/>
      <x:c r="P2767" s="28"/>
      <x:c r="Q2767" s="28"/>
      <x:c r="R2767" s="28"/>
      <x:c r="S2767" s="28"/>
      <x:c r="T2767" s="28"/>
      <x:c r="U2767" s="28"/>
      <x:c r="V2767" s="28"/>
      <x:c r="W2767" s="43" t="n">
        <x:f>--AND(N2767=1,OR(O2767="SUPPORTED",O2767="HALLUCINATION"))</x:f>
        <x:v>0</x:v>
      </x:c>
      <x:c r="X2767" s="43" t="n">
        <x:f>--AND(W2767=1,O2767="HALLUCINATION")</x:f>
        <x:v>0</x:v>
      </x:c>
      <x:c r="Y2767" s="43" t="n">
        <x:f>--AND(Q2767=1,O2767="HALLUCINATION")</x:f>
        <x:v>0</x:v>
      </x:c>
      <x:c r="Z2767" s="43" t="n">
        <x:f>--AND(Y2767=1,R2767=1,S2767=1)</x:f>
        <x:v>0</x:v>
      </x:c>
      <x:c r="AC2767" t="str">
        <x:f>IF(OR(AA2767="",AB2767=""),"",--(AA2767&lt;&gt;AB2767))</x:f>
      </x:c>
      <x:c r="AE2767" t="str">
        <x:f>IF(OR(AA2767="",AB2767=""),"PENDING_HUMAN",IF(AA2767=AB2767,AA2767,IF(AD2767&lt;&gt;"",AD2767,"PENDING_HUMAN")))</x:f>
        <x:v>PENDING_HUMAN</x:v>
      </x:c>
      <x:c r="AF2767" t="n">
        <x:f>--AND(A2767&lt;&gt;"",AA2767&lt;&gt;"",AB2767&lt;&gt;"",OR(AA2767=AB2767,AD2767&lt;&gt;""),IF(AE2767="HALLUCINATION",U2767&lt;&gt;"",TRUE))</x:f>
        <x:v>0</x:v>
      </x:c>
      <x:c r="AG2767" t="n">
        <x:f>--AND(N2767=1,AF2767=1,OR(AE2767="SUPPORTED",AE2767="HALLUCINATION"))</x:f>
        <x:v>0</x:v>
      </x:c>
      <x:c r="AH2767" t="n">
        <x:f>--AND(AG2767=1,AE2767="HALLUCINATION")</x:f>
        <x:v>0</x:v>
      </x:c>
      <x:c r="AI2767" t="n">
        <x:f>--AND(Q2767=1,AF2767=1,AE2767="HALLUCINATION")</x:f>
        <x:v>0</x:v>
      </x:c>
      <x:c r="AJ2767" t="n">
        <x:f>--AND(AI2767=1,R2767=1,S2767=1)</x:f>
        <x:v>0</x:v>
      </x:c>
    </x:row>
    <x:row r="2768">
      <x:c r="A2768" s="28"/>
      <x:c r="B2768" s="28"/>
      <x:c r="C2768" s="28"/>
      <x:c r="D2768" s="28"/>
      <x:c r="E2768" s="28"/>
      <x:c r="F2768" s="28"/>
      <x:c r="G2768" s="28"/>
      <x:c r="H2768" s="28"/>
      <x:c r="I2768" s="28"/>
      <x:c r="J2768" s="28"/>
      <x:c r="K2768" s="28"/>
      <x:c r="L2768" s="28"/>
      <x:c r="M2768" s="28"/>
      <x:c r="N2768" s="28"/>
      <x:c r="O2768" s="28"/>
      <x:c r="P2768" s="28"/>
      <x:c r="Q2768" s="28"/>
      <x:c r="R2768" s="28"/>
      <x:c r="S2768" s="28"/>
      <x:c r="T2768" s="28"/>
      <x:c r="U2768" s="28"/>
      <x:c r="V2768" s="28"/>
      <x:c r="W2768" s="43" t="n">
        <x:f>--AND(N2768=1,OR(O2768="SUPPORTED",O2768="HALLUCINATION"))</x:f>
        <x:v>0</x:v>
      </x:c>
      <x:c r="X2768" s="43" t="n">
        <x:f>--AND(W2768=1,O2768="HALLUCINATION")</x:f>
        <x:v>0</x:v>
      </x:c>
      <x:c r="Y2768" s="43" t="n">
        <x:f>--AND(Q2768=1,O2768="HALLUCINATION")</x:f>
        <x:v>0</x:v>
      </x:c>
      <x:c r="Z2768" s="43" t="n">
        <x:f>--AND(Y2768=1,R2768=1,S2768=1)</x:f>
        <x:v>0</x:v>
      </x:c>
      <x:c r="AC2768" t="str">
        <x:f>IF(OR(AA2768="",AB2768=""),"",--(AA2768&lt;&gt;AB2768))</x:f>
      </x:c>
      <x:c r="AE2768" t="str">
        <x:f>IF(OR(AA2768="",AB2768=""),"PENDING_HUMAN",IF(AA2768=AB2768,AA2768,IF(AD2768&lt;&gt;"",AD2768,"PENDING_HUMAN")))</x:f>
        <x:v>PENDING_HUMAN</x:v>
      </x:c>
      <x:c r="AF2768" t="n">
        <x:f>--AND(A2768&lt;&gt;"",AA2768&lt;&gt;"",AB2768&lt;&gt;"",OR(AA2768=AB2768,AD2768&lt;&gt;""),IF(AE2768="HALLUCINATION",U2768&lt;&gt;"",TRUE))</x:f>
        <x:v>0</x:v>
      </x:c>
      <x:c r="AG2768" t="n">
        <x:f>--AND(N2768=1,AF2768=1,OR(AE2768="SUPPORTED",AE2768="HALLUCINATION"))</x:f>
        <x:v>0</x:v>
      </x:c>
      <x:c r="AH2768" t="n">
        <x:f>--AND(AG2768=1,AE2768="HALLUCINATION")</x:f>
        <x:v>0</x:v>
      </x:c>
      <x:c r="AI2768" t="n">
        <x:f>--AND(Q2768=1,AF2768=1,AE2768="HALLUCINATION")</x:f>
        <x:v>0</x:v>
      </x:c>
      <x:c r="AJ2768" t="n">
        <x:f>--AND(AI2768=1,R2768=1,S2768=1)</x:f>
        <x:v>0</x:v>
      </x:c>
    </x:row>
    <x:row r="2769">
      <x:c r="A2769" s="28"/>
      <x:c r="B2769" s="28"/>
      <x:c r="C2769" s="28"/>
      <x:c r="D2769" s="28"/>
      <x:c r="E2769" s="28"/>
      <x:c r="F2769" s="28"/>
      <x:c r="G2769" s="28"/>
      <x:c r="H2769" s="28"/>
      <x:c r="I2769" s="28"/>
      <x:c r="J2769" s="28"/>
      <x:c r="K2769" s="28"/>
      <x:c r="L2769" s="28"/>
      <x:c r="M2769" s="28"/>
      <x:c r="N2769" s="28"/>
      <x:c r="O2769" s="28"/>
      <x:c r="P2769" s="28"/>
      <x:c r="Q2769" s="28"/>
      <x:c r="R2769" s="28"/>
      <x:c r="S2769" s="28"/>
      <x:c r="T2769" s="28"/>
      <x:c r="U2769" s="28"/>
      <x:c r="V2769" s="28"/>
      <x:c r="W2769" s="43" t="n">
        <x:f>--AND(N2769=1,OR(O2769="SUPPORTED",O2769="HALLUCINATION"))</x:f>
        <x:v>0</x:v>
      </x:c>
      <x:c r="X2769" s="43" t="n">
        <x:f>--AND(W2769=1,O2769="HALLUCINATION")</x:f>
        <x:v>0</x:v>
      </x:c>
      <x:c r="Y2769" s="43" t="n">
        <x:f>--AND(Q2769=1,O2769="HALLUCINATION")</x:f>
        <x:v>0</x:v>
      </x:c>
      <x:c r="Z2769" s="43" t="n">
        <x:f>--AND(Y2769=1,R2769=1,S2769=1)</x:f>
        <x:v>0</x:v>
      </x:c>
      <x:c r="AC2769" t="str">
        <x:f>IF(OR(AA2769="",AB2769=""),"",--(AA2769&lt;&gt;AB2769))</x:f>
      </x:c>
      <x:c r="AE2769" t="str">
        <x:f>IF(OR(AA2769="",AB2769=""),"PENDING_HUMAN",IF(AA2769=AB2769,AA2769,IF(AD2769&lt;&gt;"",AD2769,"PENDING_HUMAN")))</x:f>
        <x:v>PENDING_HUMAN</x:v>
      </x:c>
      <x:c r="AF2769" t="n">
        <x:f>--AND(A2769&lt;&gt;"",AA2769&lt;&gt;"",AB2769&lt;&gt;"",OR(AA2769=AB2769,AD2769&lt;&gt;""),IF(AE2769="HALLUCINATION",U2769&lt;&gt;"",TRUE))</x:f>
        <x:v>0</x:v>
      </x:c>
      <x:c r="AG2769" t="n">
        <x:f>--AND(N2769=1,AF2769=1,OR(AE2769="SUPPORTED",AE2769="HALLUCINATION"))</x:f>
        <x:v>0</x:v>
      </x:c>
      <x:c r="AH2769" t="n">
        <x:f>--AND(AG2769=1,AE2769="HALLUCINATION")</x:f>
        <x:v>0</x:v>
      </x:c>
      <x:c r="AI2769" t="n">
        <x:f>--AND(Q2769=1,AF2769=1,AE2769="HALLUCINATION")</x:f>
        <x:v>0</x:v>
      </x:c>
      <x:c r="AJ2769" t="n">
        <x:f>--AND(AI2769=1,R2769=1,S2769=1)</x:f>
        <x:v>0</x:v>
      </x:c>
    </x:row>
    <x:row r="2770">
      <x:c r="A2770" s="28"/>
      <x:c r="B2770" s="28"/>
      <x:c r="C2770" s="28"/>
      <x:c r="D2770" s="28"/>
      <x:c r="E2770" s="28"/>
      <x:c r="F2770" s="28"/>
      <x:c r="G2770" s="28"/>
      <x:c r="H2770" s="28"/>
      <x:c r="I2770" s="28"/>
      <x:c r="J2770" s="28"/>
      <x:c r="K2770" s="28"/>
      <x:c r="L2770" s="28"/>
      <x:c r="M2770" s="28"/>
      <x:c r="N2770" s="28"/>
      <x:c r="O2770" s="28"/>
      <x:c r="P2770" s="28"/>
      <x:c r="Q2770" s="28"/>
      <x:c r="R2770" s="28"/>
      <x:c r="S2770" s="28"/>
      <x:c r="T2770" s="28"/>
      <x:c r="U2770" s="28"/>
      <x:c r="V2770" s="28"/>
      <x:c r="W2770" s="43" t="n">
        <x:f>--AND(N2770=1,OR(O2770="SUPPORTED",O2770="HALLUCINATION"))</x:f>
        <x:v>0</x:v>
      </x:c>
      <x:c r="X2770" s="43" t="n">
        <x:f>--AND(W2770=1,O2770="HALLUCINATION")</x:f>
        <x:v>0</x:v>
      </x:c>
      <x:c r="Y2770" s="43" t="n">
        <x:f>--AND(Q2770=1,O2770="HALLUCINATION")</x:f>
        <x:v>0</x:v>
      </x:c>
      <x:c r="Z2770" s="43" t="n">
        <x:f>--AND(Y2770=1,R2770=1,S2770=1)</x:f>
        <x:v>0</x:v>
      </x:c>
      <x:c r="AC2770" t="str">
        <x:f>IF(OR(AA2770="",AB2770=""),"",--(AA2770&lt;&gt;AB2770))</x:f>
      </x:c>
      <x:c r="AE2770" t="str">
        <x:f>IF(OR(AA2770="",AB2770=""),"PENDING_HUMAN",IF(AA2770=AB2770,AA2770,IF(AD2770&lt;&gt;"",AD2770,"PENDING_HUMAN")))</x:f>
        <x:v>PENDING_HUMAN</x:v>
      </x:c>
      <x:c r="AF2770" t="n">
        <x:f>--AND(A2770&lt;&gt;"",AA2770&lt;&gt;"",AB2770&lt;&gt;"",OR(AA2770=AB2770,AD2770&lt;&gt;""),IF(AE2770="HALLUCINATION",U2770&lt;&gt;"",TRUE))</x:f>
        <x:v>0</x:v>
      </x:c>
      <x:c r="AG2770" t="n">
        <x:f>--AND(N2770=1,AF2770=1,OR(AE2770="SUPPORTED",AE2770="HALLUCINATION"))</x:f>
        <x:v>0</x:v>
      </x:c>
      <x:c r="AH2770" t="n">
        <x:f>--AND(AG2770=1,AE2770="HALLUCINATION")</x:f>
        <x:v>0</x:v>
      </x:c>
      <x:c r="AI2770" t="n">
        <x:f>--AND(Q2770=1,AF2770=1,AE2770="HALLUCINATION")</x:f>
        <x:v>0</x:v>
      </x:c>
      <x:c r="AJ2770" t="n">
        <x:f>--AND(AI2770=1,R2770=1,S2770=1)</x:f>
        <x:v>0</x:v>
      </x:c>
    </x:row>
    <x:row r="2771">
      <x:c r="A2771" s="28"/>
      <x:c r="B2771" s="28"/>
      <x:c r="C2771" s="28"/>
      <x:c r="D2771" s="28"/>
      <x:c r="E2771" s="28"/>
      <x:c r="F2771" s="28"/>
      <x:c r="G2771" s="28"/>
      <x:c r="H2771" s="28"/>
      <x:c r="I2771" s="28"/>
      <x:c r="J2771" s="28"/>
      <x:c r="K2771" s="28"/>
      <x:c r="L2771" s="28"/>
      <x:c r="M2771" s="28"/>
      <x:c r="N2771" s="28"/>
      <x:c r="O2771" s="28"/>
      <x:c r="P2771" s="28"/>
      <x:c r="Q2771" s="28"/>
      <x:c r="R2771" s="28"/>
      <x:c r="S2771" s="28"/>
      <x:c r="T2771" s="28"/>
      <x:c r="U2771" s="28"/>
      <x:c r="V2771" s="28"/>
      <x:c r="W2771" s="43" t="n">
        <x:f>--AND(N2771=1,OR(O2771="SUPPORTED",O2771="HALLUCINATION"))</x:f>
        <x:v>0</x:v>
      </x:c>
      <x:c r="X2771" s="43" t="n">
        <x:f>--AND(W2771=1,O2771="HALLUCINATION")</x:f>
        <x:v>0</x:v>
      </x:c>
      <x:c r="Y2771" s="43" t="n">
        <x:f>--AND(Q2771=1,O2771="HALLUCINATION")</x:f>
        <x:v>0</x:v>
      </x:c>
      <x:c r="Z2771" s="43" t="n">
        <x:f>--AND(Y2771=1,R2771=1,S2771=1)</x:f>
        <x:v>0</x:v>
      </x:c>
      <x:c r="AC2771" t="str">
        <x:f>IF(OR(AA2771="",AB2771=""),"",--(AA2771&lt;&gt;AB2771))</x:f>
      </x:c>
      <x:c r="AE2771" t="str">
        <x:f>IF(OR(AA2771="",AB2771=""),"PENDING_HUMAN",IF(AA2771=AB2771,AA2771,IF(AD2771&lt;&gt;"",AD2771,"PENDING_HUMAN")))</x:f>
        <x:v>PENDING_HUMAN</x:v>
      </x:c>
      <x:c r="AF2771" t="n">
        <x:f>--AND(A2771&lt;&gt;"",AA2771&lt;&gt;"",AB2771&lt;&gt;"",OR(AA2771=AB2771,AD2771&lt;&gt;""),IF(AE2771="HALLUCINATION",U2771&lt;&gt;"",TRUE))</x:f>
        <x:v>0</x:v>
      </x:c>
      <x:c r="AG2771" t="n">
        <x:f>--AND(N2771=1,AF2771=1,OR(AE2771="SUPPORTED",AE2771="HALLUCINATION"))</x:f>
        <x:v>0</x:v>
      </x:c>
      <x:c r="AH2771" t="n">
        <x:f>--AND(AG2771=1,AE2771="HALLUCINATION")</x:f>
        <x:v>0</x:v>
      </x:c>
      <x:c r="AI2771" t="n">
        <x:f>--AND(Q2771=1,AF2771=1,AE2771="HALLUCINATION")</x:f>
        <x:v>0</x:v>
      </x:c>
      <x:c r="AJ2771" t="n">
        <x:f>--AND(AI2771=1,R2771=1,S2771=1)</x:f>
        <x:v>0</x:v>
      </x:c>
    </x:row>
    <x:row r="2772">
      <x:c r="A2772" s="28"/>
      <x:c r="B2772" s="28"/>
      <x:c r="C2772" s="28"/>
      <x:c r="D2772" s="28"/>
      <x:c r="E2772" s="28"/>
      <x:c r="F2772" s="28"/>
      <x:c r="G2772" s="28"/>
      <x:c r="H2772" s="28"/>
      <x:c r="I2772" s="28"/>
      <x:c r="J2772" s="28"/>
      <x:c r="K2772" s="28"/>
      <x:c r="L2772" s="28"/>
      <x:c r="M2772" s="28"/>
      <x:c r="N2772" s="28"/>
      <x:c r="O2772" s="28"/>
      <x:c r="P2772" s="28"/>
      <x:c r="Q2772" s="28"/>
      <x:c r="R2772" s="28"/>
      <x:c r="S2772" s="28"/>
      <x:c r="T2772" s="28"/>
      <x:c r="U2772" s="28"/>
      <x:c r="V2772" s="28"/>
      <x:c r="W2772" s="43" t="n">
        <x:f>--AND(N2772=1,OR(O2772="SUPPORTED",O2772="HALLUCINATION"))</x:f>
        <x:v>0</x:v>
      </x:c>
      <x:c r="X2772" s="43" t="n">
        <x:f>--AND(W2772=1,O2772="HALLUCINATION")</x:f>
        <x:v>0</x:v>
      </x:c>
      <x:c r="Y2772" s="43" t="n">
        <x:f>--AND(Q2772=1,O2772="HALLUCINATION")</x:f>
        <x:v>0</x:v>
      </x:c>
      <x:c r="Z2772" s="43" t="n">
        <x:f>--AND(Y2772=1,R2772=1,S2772=1)</x:f>
        <x:v>0</x:v>
      </x:c>
      <x:c r="AC2772" t="str">
        <x:f>IF(OR(AA2772="",AB2772=""),"",--(AA2772&lt;&gt;AB2772))</x:f>
      </x:c>
      <x:c r="AE2772" t="str">
        <x:f>IF(OR(AA2772="",AB2772=""),"PENDING_HUMAN",IF(AA2772=AB2772,AA2772,IF(AD2772&lt;&gt;"",AD2772,"PENDING_HUMAN")))</x:f>
        <x:v>PENDING_HUMAN</x:v>
      </x:c>
      <x:c r="AF2772" t="n">
        <x:f>--AND(A2772&lt;&gt;"",AA2772&lt;&gt;"",AB2772&lt;&gt;"",OR(AA2772=AB2772,AD2772&lt;&gt;""),IF(AE2772="HALLUCINATION",U2772&lt;&gt;"",TRUE))</x:f>
        <x:v>0</x:v>
      </x:c>
      <x:c r="AG2772" t="n">
        <x:f>--AND(N2772=1,AF2772=1,OR(AE2772="SUPPORTED",AE2772="HALLUCINATION"))</x:f>
        <x:v>0</x:v>
      </x:c>
      <x:c r="AH2772" t="n">
        <x:f>--AND(AG2772=1,AE2772="HALLUCINATION")</x:f>
        <x:v>0</x:v>
      </x:c>
      <x:c r="AI2772" t="n">
        <x:f>--AND(Q2772=1,AF2772=1,AE2772="HALLUCINATION")</x:f>
        <x:v>0</x:v>
      </x:c>
      <x:c r="AJ2772" t="n">
        <x:f>--AND(AI2772=1,R2772=1,S2772=1)</x:f>
        <x:v>0</x:v>
      </x:c>
    </x:row>
    <x:row r="2773">
      <x:c r="A2773" s="28"/>
      <x:c r="B2773" s="28"/>
      <x:c r="C2773" s="28"/>
      <x:c r="D2773" s="28"/>
      <x:c r="E2773" s="28"/>
      <x:c r="F2773" s="28"/>
      <x:c r="G2773" s="28"/>
      <x:c r="H2773" s="28"/>
      <x:c r="I2773" s="28"/>
      <x:c r="J2773" s="28"/>
      <x:c r="K2773" s="28"/>
      <x:c r="L2773" s="28"/>
      <x:c r="M2773" s="28"/>
      <x:c r="N2773" s="28"/>
      <x:c r="O2773" s="28"/>
      <x:c r="P2773" s="28"/>
      <x:c r="Q2773" s="28"/>
      <x:c r="R2773" s="28"/>
      <x:c r="S2773" s="28"/>
      <x:c r="T2773" s="28"/>
      <x:c r="U2773" s="28"/>
      <x:c r="V2773" s="28"/>
      <x:c r="W2773" s="43" t="n">
        <x:f>--AND(N2773=1,OR(O2773="SUPPORTED",O2773="HALLUCINATION"))</x:f>
        <x:v>0</x:v>
      </x:c>
      <x:c r="X2773" s="43" t="n">
        <x:f>--AND(W2773=1,O2773="HALLUCINATION")</x:f>
        <x:v>0</x:v>
      </x:c>
      <x:c r="Y2773" s="43" t="n">
        <x:f>--AND(Q2773=1,O2773="HALLUCINATION")</x:f>
        <x:v>0</x:v>
      </x:c>
      <x:c r="Z2773" s="43" t="n">
        <x:f>--AND(Y2773=1,R2773=1,S2773=1)</x:f>
        <x:v>0</x:v>
      </x:c>
      <x:c r="AC2773" t="str">
        <x:f>IF(OR(AA2773="",AB2773=""),"",--(AA2773&lt;&gt;AB2773))</x:f>
      </x:c>
      <x:c r="AE2773" t="str">
        <x:f>IF(OR(AA2773="",AB2773=""),"PENDING_HUMAN",IF(AA2773=AB2773,AA2773,IF(AD2773&lt;&gt;"",AD2773,"PENDING_HUMAN")))</x:f>
        <x:v>PENDING_HUMAN</x:v>
      </x:c>
      <x:c r="AF2773" t="n">
        <x:f>--AND(A2773&lt;&gt;"",AA2773&lt;&gt;"",AB2773&lt;&gt;"",OR(AA2773=AB2773,AD2773&lt;&gt;""),IF(AE2773="HALLUCINATION",U2773&lt;&gt;"",TRUE))</x:f>
        <x:v>0</x:v>
      </x:c>
      <x:c r="AG2773" t="n">
        <x:f>--AND(N2773=1,AF2773=1,OR(AE2773="SUPPORTED",AE2773="HALLUCINATION"))</x:f>
        <x:v>0</x:v>
      </x:c>
      <x:c r="AH2773" t="n">
        <x:f>--AND(AG2773=1,AE2773="HALLUCINATION")</x:f>
        <x:v>0</x:v>
      </x:c>
      <x:c r="AI2773" t="n">
        <x:f>--AND(Q2773=1,AF2773=1,AE2773="HALLUCINATION")</x:f>
        <x:v>0</x:v>
      </x:c>
      <x:c r="AJ2773" t="n">
        <x:f>--AND(AI2773=1,R2773=1,S2773=1)</x:f>
        <x:v>0</x:v>
      </x:c>
    </x:row>
    <x:row r="2774">
      <x:c r="A2774" s="28"/>
      <x:c r="B2774" s="28"/>
      <x:c r="C2774" s="28"/>
      <x:c r="D2774" s="28"/>
      <x:c r="E2774" s="28"/>
      <x:c r="F2774" s="28"/>
      <x:c r="G2774" s="28"/>
      <x:c r="H2774" s="28"/>
      <x:c r="I2774" s="28"/>
      <x:c r="J2774" s="28"/>
      <x:c r="K2774" s="28"/>
      <x:c r="L2774" s="28"/>
      <x:c r="M2774" s="28"/>
      <x:c r="N2774" s="28"/>
      <x:c r="O2774" s="28"/>
      <x:c r="P2774" s="28"/>
      <x:c r="Q2774" s="28"/>
      <x:c r="R2774" s="28"/>
      <x:c r="S2774" s="28"/>
      <x:c r="T2774" s="28"/>
      <x:c r="U2774" s="28"/>
      <x:c r="V2774" s="28"/>
      <x:c r="W2774" s="43" t="n">
        <x:f>--AND(N2774=1,OR(O2774="SUPPORTED",O2774="HALLUCINATION"))</x:f>
        <x:v>0</x:v>
      </x:c>
      <x:c r="X2774" s="43" t="n">
        <x:f>--AND(W2774=1,O2774="HALLUCINATION")</x:f>
        <x:v>0</x:v>
      </x:c>
      <x:c r="Y2774" s="43" t="n">
        <x:f>--AND(Q2774=1,O2774="HALLUCINATION")</x:f>
        <x:v>0</x:v>
      </x:c>
      <x:c r="Z2774" s="43" t="n">
        <x:f>--AND(Y2774=1,R2774=1,S2774=1)</x:f>
        <x:v>0</x:v>
      </x:c>
      <x:c r="AC2774" t="str">
        <x:f>IF(OR(AA2774="",AB2774=""),"",--(AA2774&lt;&gt;AB2774))</x:f>
      </x:c>
      <x:c r="AE2774" t="str">
        <x:f>IF(OR(AA2774="",AB2774=""),"PENDING_HUMAN",IF(AA2774=AB2774,AA2774,IF(AD2774&lt;&gt;"",AD2774,"PENDING_HUMAN")))</x:f>
        <x:v>PENDING_HUMAN</x:v>
      </x:c>
      <x:c r="AF2774" t="n">
        <x:f>--AND(A2774&lt;&gt;"",AA2774&lt;&gt;"",AB2774&lt;&gt;"",OR(AA2774=AB2774,AD2774&lt;&gt;""),IF(AE2774="HALLUCINATION",U2774&lt;&gt;"",TRUE))</x:f>
        <x:v>0</x:v>
      </x:c>
      <x:c r="AG2774" t="n">
        <x:f>--AND(N2774=1,AF2774=1,OR(AE2774="SUPPORTED",AE2774="HALLUCINATION"))</x:f>
        <x:v>0</x:v>
      </x:c>
      <x:c r="AH2774" t="n">
        <x:f>--AND(AG2774=1,AE2774="HALLUCINATION")</x:f>
        <x:v>0</x:v>
      </x:c>
      <x:c r="AI2774" t="n">
        <x:f>--AND(Q2774=1,AF2774=1,AE2774="HALLUCINATION")</x:f>
        <x:v>0</x:v>
      </x:c>
      <x:c r="AJ2774" t="n">
        <x:f>--AND(AI2774=1,R2774=1,S2774=1)</x:f>
        <x:v>0</x:v>
      </x:c>
    </x:row>
    <x:row r="2775">
      <x:c r="A2775" s="28"/>
      <x:c r="B2775" s="28"/>
      <x:c r="C2775" s="28"/>
      <x:c r="D2775" s="28"/>
      <x:c r="E2775" s="28"/>
      <x:c r="F2775" s="28"/>
      <x:c r="G2775" s="28"/>
      <x:c r="H2775" s="28"/>
      <x:c r="I2775" s="28"/>
      <x:c r="J2775" s="28"/>
      <x:c r="K2775" s="28"/>
      <x:c r="L2775" s="28"/>
      <x:c r="M2775" s="28"/>
      <x:c r="N2775" s="28"/>
      <x:c r="O2775" s="28"/>
      <x:c r="P2775" s="28"/>
      <x:c r="Q2775" s="28"/>
      <x:c r="R2775" s="28"/>
      <x:c r="S2775" s="28"/>
      <x:c r="T2775" s="28"/>
      <x:c r="U2775" s="28"/>
      <x:c r="V2775" s="28"/>
      <x:c r="W2775" s="43" t="n">
        <x:f>--AND(N2775=1,OR(O2775="SUPPORTED",O2775="HALLUCINATION"))</x:f>
        <x:v>0</x:v>
      </x:c>
      <x:c r="X2775" s="43" t="n">
        <x:f>--AND(W2775=1,O2775="HALLUCINATION")</x:f>
        <x:v>0</x:v>
      </x:c>
      <x:c r="Y2775" s="43" t="n">
        <x:f>--AND(Q2775=1,O2775="HALLUCINATION")</x:f>
        <x:v>0</x:v>
      </x:c>
      <x:c r="Z2775" s="43" t="n">
        <x:f>--AND(Y2775=1,R2775=1,S2775=1)</x:f>
        <x:v>0</x:v>
      </x:c>
      <x:c r="AC2775" t="str">
        <x:f>IF(OR(AA2775="",AB2775=""),"",--(AA2775&lt;&gt;AB2775))</x:f>
      </x:c>
      <x:c r="AE2775" t="str">
        <x:f>IF(OR(AA2775="",AB2775=""),"PENDING_HUMAN",IF(AA2775=AB2775,AA2775,IF(AD2775&lt;&gt;"",AD2775,"PENDING_HUMAN")))</x:f>
        <x:v>PENDING_HUMAN</x:v>
      </x:c>
      <x:c r="AF2775" t="n">
        <x:f>--AND(A2775&lt;&gt;"",AA2775&lt;&gt;"",AB2775&lt;&gt;"",OR(AA2775=AB2775,AD2775&lt;&gt;""),IF(AE2775="HALLUCINATION",U2775&lt;&gt;"",TRUE))</x:f>
        <x:v>0</x:v>
      </x:c>
      <x:c r="AG2775" t="n">
        <x:f>--AND(N2775=1,AF2775=1,OR(AE2775="SUPPORTED",AE2775="HALLUCINATION"))</x:f>
        <x:v>0</x:v>
      </x:c>
      <x:c r="AH2775" t="n">
        <x:f>--AND(AG2775=1,AE2775="HALLUCINATION")</x:f>
        <x:v>0</x:v>
      </x:c>
      <x:c r="AI2775" t="n">
        <x:f>--AND(Q2775=1,AF2775=1,AE2775="HALLUCINATION")</x:f>
        <x:v>0</x:v>
      </x:c>
      <x:c r="AJ2775" t="n">
        <x:f>--AND(AI2775=1,R2775=1,S2775=1)</x:f>
        <x:v>0</x:v>
      </x:c>
    </x:row>
    <x:row r="2776">
      <x:c r="A2776" s="28"/>
      <x:c r="B2776" s="28"/>
      <x:c r="C2776" s="28"/>
      <x:c r="D2776" s="28"/>
      <x:c r="E2776" s="28"/>
      <x:c r="F2776" s="28"/>
      <x:c r="G2776" s="28"/>
      <x:c r="H2776" s="28"/>
      <x:c r="I2776" s="28"/>
      <x:c r="J2776" s="28"/>
      <x:c r="K2776" s="28"/>
      <x:c r="L2776" s="28"/>
      <x:c r="M2776" s="28"/>
      <x:c r="N2776" s="28"/>
      <x:c r="O2776" s="28"/>
      <x:c r="P2776" s="28"/>
      <x:c r="Q2776" s="28"/>
      <x:c r="R2776" s="28"/>
      <x:c r="S2776" s="28"/>
      <x:c r="T2776" s="28"/>
      <x:c r="U2776" s="28"/>
      <x:c r="V2776" s="28"/>
      <x:c r="W2776" s="43" t="n">
        <x:f>--AND(N2776=1,OR(O2776="SUPPORTED",O2776="HALLUCINATION"))</x:f>
        <x:v>0</x:v>
      </x:c>
      <x:c r="X2776" s="43" t="n">
        <x:f>--AND(W2776=1,O2776="HALLUCINATION")</x:f>
        <x:v>0</x:v>
      </x:c>
      <x:c r="Y2776" s="43" t="n">
        <x:f>--AND(Q2776=1,O2776="HALLUCINATION")</x:f>
        <x:v>0</x:v>
      </x:c>
      <x:c r="Z2776" s="43" t="n">
        <x:f>--AND(Y2776=1,R2776=1,S2776=1)</x:f>
        <x:v>0</x:v>
      </x:c>
      <x:c r="AC2776" t="str">
        <x:f>IF(OR(AA2776="",AB2776=""),"",--(AA2776&lt;&gt;AB2776))</x:f>
      </x:c>
      <x:c r="AE2776" t="str">
        <x:f>IF(OR(AA2776="",AB2776=""),"PENDING_HUMAN",IF(AA2776=AB2776,AA2776,IF(AD2776&lt;&gt;"",AD2776,"PENDING_HUMAN")))</x:f>
        <x:v>PENDING_HUMAN</x:v>
      </x:c>
      <x:c r="AF2776" t="n">
        <x:f>--AND(A2776&lt;&gt;"",AA2776&lt;&gt;"",AB2776&lt;&gt;"",OR(AA2776=AB2776,AD2776&lt;&gt;""),IF(AE2776="HALLUCINATION",U2776&lt;&gt;"",TRUE))</x:f>
        <x:v>0</x:v>
      </x:c>
      <x:c r="AG2776" t="n">
        <x:f>--AND(N2776=1,AF2776=1,OR(AE2776="SUPPORTED",AE2776="HALLUCINATION"))</x:f>
        <x:v>0</x:v>
      </x:c>
      <x:c r="AH2776" t="n">
        <x:f>--AND(AG2776=1,AE2776="HALLUCINATION")</x:f>
        <x:v>0</x:v>
      </x:c>
      <x:c r="AI2776" t="n">
        <x:f>--AND(Q2776=1,AF2776=1,AE2776="HALLUCINATION")</x:f>
        <x:v>0</x:v>
      </x:c>
      <x:c r="AJ2776" t="n">
        <x:f>--AND(AI2776=1,R2776=1,S2776=1)</x:f>
        <x:v>0</x:v>
      </x:c>
    </x:row>
    <x:row r="2777">
      <x:c r="A2777" s="28"/>
      <x:c r="B2777" s="28"/>
      <x:c r="C2777" s="28"/>
      <x:c r="D2777" s="28"/>
      <x:c r="E2777" s="28"/>
      <x:c r="F2777" s="28"/>
      <x:c r="G2777" s="28"/>
      <x:c r="H2777" s="28"/>
      <x:c r="I2777" s="28"/>
      <x:c r="J2777" s="28"/>
      <x:c r="K2777" s="28"/>
      <x:c r="L2777" s="28"/>
      <x:c r="M2777" s="28"/>
      <x:c r="N2777" s="28"/>
      <x:c r="O2777" s="28"/>
      <x:c r="P2777" s="28"/>
      <x:c r="Q2777" s="28"/>
      <x:c r="R2777" s="28"/>
      <x:c r="S2777" s="28"/>
      <x:c r="T2777" s="28"/>
      <x:c r="U2777" s="28"/>
      <x:c r="V2777" s="28"/>
      <x:c r="W2777" s="43" t="n">
        <x:f>--AND(N2777=1,OR(O2777="SUPPORTED",O2777="HALLUCINATION"))</x:f>
        <x:v>0</x:v>
      </x:c>
      <x:c r="X2777" s="43" t="n">
        <x:f>--AND(W2777=1,O2777="HALLUCINATION")</x:f>
        <x:v>0</x:v>
      </x:c>
      <x:c r="Y2777" s="43" t="n">
        <x:f>--AND(Q2777=1,O2777="HALLUCINATION")</x:f>
        <x:v>0</x:v>
      </x:c>
      <x:c r="Z2777" s="43" t="n">
        <x:f>--AND(Y2777=1,R2777=1,S2777=1)</x:f>
        <x:v>0</x:v>
      </x:c>
      <x:c r="AC2777" t="str">
        <x:f>IF(OR(AA2777="",AB2777=""),"",--(AA2777&lt;&gt;AB2777))</x:f>
      </x:c>
      <x:c r="AE2777" t="str">
        <x:f>IF(OR(AA2777="",AB2777=""),"PENDING_HUMAN",IF(AA2777=AB2777,AA2777,IF(AD2777&lt;&gt;"",AD2777,"PENDING_HUMAN")))</x:f>
        <x:v>PENDING_HUMAN</x:v>
      </x:c>
      <x:c r="AF2777" t="n">
        <x:f>--AND(A2777&lt;&gt;"",AA2777&lt;&gt;"",AB2777&lt;&gt;"",OR(AA2777=AB2777,AD2777&lt;&gt;""),IF(AE2777="HALLUCINATION",U2777&lt;&gt;"",TRUE))</x:f>
        <x:v>0</x:v>
      </x:c>
      <x:c r="AG2777" t="n">
        <x:f>--AND(N2777=1,AF2777=1,OR(AE2777="SUPPORTED",AE2777="HALLUCINATION"))</x:f>
        <x:v>0</x:v>
      </x:c>
      <x:c r="AH2777" t="n">
        <x:f>--AND(AG2777=1,AE2777="HALLUCINATION")</x:f>
        <x:v>0</x:v>
      </x:c>
      <x:c r="AI2777" t="n">
        <x:f>--AND(Q2777=1,AF2777=1,AE2777="HALLUCINATION")</x:f>
        <x:v>0</x:v>
      </x:c>
      <x:c r="AJ2777" t="n">
        <x:f>--AND(AI2777=1,R2777=1,S2777=1)</x:f>
        <x:v>0</x:v>
      </x:c>
    </x:row>
    <x:row r="2778">
      <x:c r="A2778" s="28"/>
      <x:c r="B2778" s="28"/>
      <x:c r="C2778" s="28"/>
      <x:c r="D2778" s="28"/>
      <x:c r="E2778" s="28"/>
      <x:c r="F2778" s="28"/>
      <x:c r="G2778" s="28"/>
      <x:c r="H2778" s="28"/>
      <x:c r="I2778" s="28"/>
      <x:c r="J2778" s="28"/>
      <x:c r="K2778" s="28"/>
      <x:c r="L2778" s="28"/>
      <x:c r="M2778" s="28"/>
      <x:c r="N2778" s="28"/>
      <x:c r="O2778" s="28"/>
      <x:c r="P2778" s="28"/>
      <x:c r="Q2778" s="28"/>
      <x:c r="R2778" s="28"/>
      <x:c r="S2778" s="28"/>
      <x:c r="T2778" s="28"/>
      <x:c r="U2778" s="28"/>
      <x:c r="V2778" s="28"/>
      <x:c r="W2778" s="43" t="n">
        <x:f>--AND(N2778=1,OR(O2778="SUPPORTED",O2778="HALLUCINATION"))</x:f>
        <x:v>0</x:v>
      </x:c>
      <x:c r="X2778" s="43" t="n">
        <x:f>--AND(W2778=1,O2778="HALLUCINATION")</x:f>
        <x:v>0</x:v>
      </x:c>
      <x:c r="Y2778" s="43" t="n">
        <x:f>--AND(Q2778=1,O2778="HALLUCINATION")</x:f>
        <x:v>0</x:v>
      </x:c>
      <x:c r="Z2778" s="43" t="n">
        <x:f>--AND(Y2778=1,R2778=1,S2778=1)</x:f>
        <x:v>0</x:v>
      </x:c>
      <x:c r="AC2778" t="str">
        <x:f>IF(OR(AA2778="",AB2778=""),"",--(AA2778&lt;&gt;AB2778))</x:f>
      </x:c>
      <x:c r="AE2778" t="str">
        <x:f>IF(OR(AA2778="",AB2778=""),"PENDING_HUMAN",IF(AA2778=AB2778,AA2778,IF(AD2778&lt;&gt;"",AD2778,"PENDING_HUMAN")))</x:f>
        <x:v>PENDING_HUMAN</x:v>
      </x:c>
      <x:c r="AF2778" t="n">
        <x:f>--AND(A2778&lt;&gt;"",AA2778&lt;&gt;"",AB2778&lt;&gt;"",OR(AA2778=AB2778,AD2778&lt;&gt;""),IF(AE2778="HALLUCINATION",U2778&lt;&gt;"",TRUE))</x:f>
        <x:v>0</x:v>
      </x:c>
      <x:c r="AG2778" t="n">
        <x:f>--AND(N2778=1,AF2778=1,OR(AE2778="SUPPORTED",AE2778="HALLUCINATION"))</x:f>
        <x:v>0</x:v>
      </x:c>
      <x:c r="AH2778" t="n">
        <x:f>--AND(AG2778=1,AE2778="HALLUCINATION")</x:f>
        <x:v>0</x:v>
      </x:c>
      <x:c r="AI2778" t="n">
        <x:f>--AND(Q2778=1,AF2778=1,AE2778="HALLUCINATION")</x:f>
        <x:v>0</x:v>
      </x:c>
      <x:c r="AJ2778" t="n">
        <x:f>--AND(AI2778=1,R2778=1,S2778=1)</x:f>
        <x:v>0</x:v>
      </x:c>
    </x:row>
    <x:row r="2779">
      <x:c r="A2779" s="28"/>
      <x:c r="B2779" s="28"/>
      <x:c r="C2779" s="28"/>
      <x:c r="D2779" s="28"/>
      <x:c r="E2779" s="28"/>
      <x:c r="F2779" s="28"/>
      <x:c r="G2779" s="28"/>
      <x:c r="H2779" s="28"/>
      <x:c r="I2779" s="28"/>
      <x:c r="J2779" s="28"/>
      <x:c r="K2779" s="28"/>
      <x:c r="L2779" s="28"/>
      <x:c r="M2779" s="28"/>
      <x:c r="N2779" s="28"/>
      <x:c r="O2779" s="28"/>
      <x:c r="P2779" s="28"/>
      <x:c r="Q2779" s="28"/>
      <x:c r="R2779" s="28"/>
      <x:c r="S2779" s="28"/>
      <x:c r="T2779" s="28"/>
      <x:c r="U2779" s="28"/>
      <x:c r="V2779" s="28"/>
      <x:c r="W2779" s="43" t="n">
        <x:f>--AND(N2779=1,OR(O2779="SUPPORTED",O2779="HALLUCINATION"))</x:f>
        <x:v>0</x:v>
      </x:c>
      <x:c r="X2779" s="43" t="n">
        <x:f>--AND(W2779=1,O2779="HALLUCINATION")</x:f>
        <x:v>0</x:v>
      </x:c>
      <x:c r="Y2779" s="43" t="n">
        <x:f>--AND(Q2779=1,O2779="HALLUCINATION")</x:f>
        <x:v>0</x:v>
      </x:c>
      <x:c r="Z2779" s="43" t="n">
        <x:f>--AND(Y2779=1,R2779=1,S2779=1)</x:f>
        <x:v>0</x:v>
      </x:c>
      <x:c r="AC2779" t="str">
        <x:f>IF(OR(AA2779="",AB2779=""),"",--(AA2779&lt;&gt;AB2779))</x:f>
      </x:c>
      <x:c r="AE2779" t="str">
        <x:f>IF(OR(AA2779="",AB2779=""),"PENDING_HUMAN",IF(AA2779=AB2779,AA2779,IF(AD2779&lt;&gt;"",AD2779,"PENDING_HUMAN")))</x:f>
        <x:v>PENDING_HUMAN</x:v>
      </x:c>
      <x:c r="AF2779" t="n">
        <x:f>--AND(A2779&lt;&gt;"",AA2779&lt;&gt;"",AB2779&lt;&gt;"",OR(AA2779=AB2779,AD2779&lt;&gt;""),IF(AE2779="HALLUCINATION",U2779&lt;&gt;"",TRUE))</x:f>
        <x:v>0</x:v>
      </x:c>
      <x:c r="AG2779" t="n">
        <x:f>--AND(N2779=1,AF2779=1,OR(AE2779="SUPPORTED",AE2779="HALLUCINATION"))</x:f>
        <x:v>0</x:v>
      </x:c>
      <x:c r="AH2779" t="n">
        <x:f>--AND(AG2779=1,AE2779="HALLUCINATION")</x:f>
        <x:v>0</x:v>
      </x:c>
      <x:c r="AI2779" t="n">
        <x:f>--AND(Q2779=1,AF2779=1,AE2779="HALLUCINATION")</x:f>
        <x:v>0</x:v>
      </x:c>
      <x:c r="AJ2779" t="n">
        <x:f>--AND(AI2779=1,R2779=1,S2779=1)</x:f>
        <x:v>0</x:v>
      </x:c>
    </x:row>
    <x:row r="2780">
      <x:c r="A2780" s="28"/>
      <x:c r="B2780" s="28"/>
      <x:c r="C2780" s="28"/>
      <x:c r="D2780" s="28"/>
      <x:c r="E2780" s="28"/>
      <x:c r="F2780" s="28"/>
      <x:c r="G2780" s="28"/>
      <x:c r="H2780" s="28"/>
      <x:c r="I2780" s="28"/>
      <x:c r="J2780" s="28"/>
      <x:c r="K2780" s="28"/>
      <x:c r="L2780" s="28"/>
      <x:c r="M2780" s="28"/>
      <x:c r="N2780" s="28"/>
      <x:c r="O2780" s="28"/>
      <x:c r="P2780" s="28"/>
      <x:c r="Q2780" s="28"/>
      <x:c r="R2780" s="28"/>
      <x:c r="S2780" s="28"/>
      <x:c r="T2780" s="28"/>
      <x:c r="U2780" s="28"/>
      <x:c r="V2780" s="28"/>
      <x:c r="W2780" s="43" t="n">
        <x:f>--AND(N2780=1,OR(O2780="SUPPORTED",O2780="HALLUCINATION"))</x:f>
        <x:v>0</x:v>
      </x:c>
      <x:c r="X2780" s="43" t="n">
        <x:f>--AND(W2780=1,O2780="HALLUCINATION")</x:f>
        <x:v>0</x:v>
      </x:c>
      <x:c r="Y2780" s="43" t="n">
        <x:f>--AND(Q2780=1,O2780="HALLUCINATION")</x:f>
        <x:v>0</x:v>
      </x:c>
      <x:c r="Z2780" s="43" t="n">
        <x:f>--AND(Y2780=1,R2780=1,S2780=1)</x:f>
        <x:v>0</x:v>
      </x:c>
      <x:c r="AC2780" t="str">
        <x:f>IF(OR(AA2780="",AB2780=""),"",--(AA2780&lt;&gt;AB2780))</x:f>
      </x:c>
      <x:c r="AE2780" t="str">
        <x:f>IF(OR(AA2780="",AB2780=""),"PENDING_HUMAN",IF(AA2780=AB2780,AA2780,IF(AD2780&lt;&gt;"",AD2780,"PENDING_HUMAN")))</x:f>
        <x:v>PENDING_HUMAN</x:v>
      </x:c>
      <x:c r="AF2780" t="n">
        <x:f>--AND(A2780&lt;&gt;"",AA2780&lt;&gt;"",AB2780&lt;&gt;"",OR(AA2780=AB2780,AD2780&lt;&gt;""),IF(AE2780="HALLUCINATION",U2780&lt;&gt;"",TRUE))</x:f>
        <x:v>0</x:v>
      </x:c>
      <x:c r="AG2780" t="n">
        <x:f>--AND(N2780=1,AF2780=1,OR(AE2780="SUPPORTED",AE2780="HALLUCINATION"))</x:f>
        <x:v>0</x:v>
      </x:c>
      <x:c r="AH2780" t="n">
        <x:f>--AND(AG2780=1,AE2780="HALLUCINATION")</x:f>
        <x:v>0</x:v>
      </x:c>
      <x:c r="AI2780" t="n">
        <x:f>--AND(Q2780=1,AF2780=1,AE2780="HALLUCINATION")</x:f>
        <x:v>0</x:v>
      </x:c>
      <x:c r="AJ2780" t="n">
        <x:f>--AND(AI2780=1,R2780=1,S2780=1)</x:f>
        <x:v>0</x:v>
      </x:c>
    </x:row>
    <x:row r="2781">
      <x:c r="A2781" s="28"/>
      <x:c r="B2781" s="28"/>
      <x:c r="C2781" s="28"/>
      <x:c r="D2781" s="28"/>
      <x:c r="E2781" s="28"/>
      <x:c r="F2781" s="28"/>
      <x:c r="G2781" s="28"/>
      <x:c r="H2781" s="28"/>
      <x:c r="I2781" s="28"/>
      <x:c r="J2781" s="28"/>
      <x:c r="K2781" s="28"/>
      <x:c r="L2781" s="28"/>
      <x:c r="M2781" s="28"/>
      <x:c r="N2781" s="28"/>
      <x:c r="O2781" s="28"/>
      <x:c r="P2781" s="28"/>
      <x:c r="Q2781" s="28"/>
      <x:c r="R2781" s="28"/>
      <x:c r="S2781" s="28"/>
      <x:c r="T2781" s="28"/>
      <x:c r="U2781" s="28"/>
      <x:c r="V2781" s="28"/>
      <x:c r="W2781" s="43" t="n">
        <x:f>--AND(N2781=1,OR(O2781="SUPPORTED",O2781="HALLUCINATION"))</x:f>
        <x:v>0</x:v>
      </x:c>
      <x:c r="X2781" s="43" t="n">
        <x:f>--AND(W2781=1,O2781="HALLUCINATION")</x:f>
        <x:v>0</x:v>
      </x:c>
      <x:c r="Y2781" s="43" t="n">
        <x:f>--AND(Q2781=1,O2781="HALLUCINATION")</x:f>
        <x:v>0</x:v>
      </x:c>
      <x:c r="Z2781" s="43" t="n">
        <x:f>--AND(Y2781=1,R2781=1,S2781=1)</x:f>
        <x:v>0</x:v>
      </x:c>
      <x:c r="AC2781" t="str">
        <x:f>IF(OR(AA2781="",AB2781=""),"",--(AA2781&lt;&gt;AB2781))</x:f>
      </x:c>
      <x:c r="AE2781" t="str">
        <x:f>IF(OR(AA2781="",AB2781=""),"PENDING_HUMAN",IF(AA2781=AB2781,AA2781,IF(AD2781&lt;&gt;"",AD2781,"PENDING_HUMAN")))</x:f>
        <x:v>PENDING_HUMAN</x:v>
      </x:c>
      <x:c r="AF2781" t="n">
        <x:f>--AND(A2781&lt;&gt;"",AA2781&lt;&gt;"",AB2781&lt;&gt;"",OR(AA2781=AB2781,AD2781&lt;&gt;""),IF(AE2781="HALLUCINATION",U2781&lt;&gt;"",TRUE))</x:f>
        <x:v>0</x:v>
      </x:c>
      <x:c r="AG2781" t="n">
        <x:f>--AND(N2781=1,AF2781=1,OR(AE2781="SUPPORTED",AE2781="HALLUCINATION"))</x:f>
        <x:v>0</x:v>
      </x:c>
      <x:c r="AH2781" t="n">
        <x:f>--AND(AG2781=1,AE2781="HALLUCINATION")</x:f>
        <x:v>0</x:v>
      </x:c>
      <x:c r="AI2781" t="n">
        <x:f>--AND(Q2781=1,AF2781=1,AE2781="HALLUCINATION")</x:f>
        <x:v>0</x:v>
      </x:c>
      <x:c r="AJ2781" t="n">
        <x:f>--AND(AI2781=1,R2781=1,S2781=1)</x:f>
        <x:v>0</x:v>
      </x:c>
    </x:row>
    <x:row r="2782">
      <x:c r="A2782" s="28"/>
      <x:c r="B2782" s="28"/>
      <x:c r="C2782" s="28"/>
      <x:c r="D2782" s="28"/>
      <x:c r="E2782" s="28"/>
      <x:c r="F2782" s="28"/>
      <x:c r="G2782" s="28"/>
      <x:c r="H2782" s="28"/>
      <x:c r="I2782" s="28"/>
      <x:c r="J2782" s="28"/>
      <x:c r="K2782" s="28"/>
      <x:c r="L2782" s="28"/>
      <x:c r="M2782" s="28"/>
      <x:c r="N2782" s="28"/>
      <x:c r="O2782" s="28"/>
      <x:c r="P2782" s="28"/>
      <x:c r="Q2782" s="28"/>
      <x:c r="R2782" s="28"/>
      <x:c r="S2782" s="28"/>
      <x:c r="T2782" s="28"/>
      <x:c r="U2782" s="28"/>
      <x:c r="V2782" s="28"/>
      <x:c r="W2782" s="43" t="n">
        <x:f>--AND(N2782=1,OR(O2782="SUPPORTED",O2782="HALLUCINATION"))</x:f>
        <x:v>0</x:v>
      </x:c>
      <x:c r="X2782" s="43" t="n">
        <x:f>--AND(W2782=1,O2782="HALLUCINATION")</x:f>
        <x:v>0</x:v>
      </x:c>
      <x:c r="Y2782" s="43" t="n">
        <x:f>--AND(Q2782=1,O2782="HALLUCINATION")</x:f>
        <x:v>0</x:v>
      </x:c>
      <x:c r="Z2782" s="43" t="n">
        <x:f>--AND(Y2782=1,R2782=1,S2782=1)</x:f>
        <x:v>0</x:v>
      </x:c>
      <x:c r="AC2782" t="str">
        <x:f>IF(OR(AA2782="",AB2782=""),"",--(AA2782&lt;&gt;AB2782))</x:f>
      </x:c>
      <x:c r="AE2782" t="str">
        <x:f>IF(OR(AA2782="",AB2782=""),"PENDING_HUMAN",IF(AA2782=AB2782,AA2782,IF(AD2782&lt;&gt;"",AD2782,"PENDING_HUMAN")))</x:f>
        <x:v>PENDING_HUMAN</x:v>
      </x:c>
      <x:c r="AF2782" t="n">
        <x:f>--AND(A2782&lt;&gt;"",AA2782&lt;&gt;"",AB2782&lt;&gt;"",OR(AA2782=AB2782,AD2782&lt;&gt;""),IF(AE2782="HALLUCINATION",U2782&lt;&gt;"",TRUE))</x:f>
        <x:v>0</x:v>
      </x:c>
      <x:c r="AG2782" t="n">
        <x:f>--AND(N2782=1,AF2782=1,OR(AE2782="SUPPORTED",AE2782="HALLUCINATION"))</x:f>
        <x:v>0</x:v>
      </x:c>
      <x:c r="AH2782" t="n">
        <x:f>--AND(AG2782=1,AE2782="HALLUCINATION")</x:f>
        <x:v>0</x:v>
      </x:c>
      <x:c r="AI2782" t="n">
        <x:f>--AND(Q2782=1,AF2782=1,AE2782="HALLUCINATION")</x:f>
        <x:v>0</x:v>
      </x:c>
      <x:c r="AJ2782" t="n">
        <x:f>--AND(AI2782=1,R2782=1,S2782=1)</x:f>
        <x:v>0</x:v>
      </x:c>
    </x:row>
    <x:row r="2783">
      <x:c r="A2783" s="28"/>
      <x:c r="B2783" s="28"/>
      <x:c r="C2783" s="28"/>
      <x:c r="D2783" s="28"/>
      <x:c r="E2783" s="28"/>
      <x:c r="F2783" s="28"/>
      <x:c r="G2783" s="28"/>
      <x:c r="H2783" s="28"/>
      <x:c r="I2783" s="28"/>
      <x:c r="J2783" s="28"/>
      <x:c r="K2783" s="28"/>
      <x:c r="L2783" s="28"/>
      <x:c r="M2783" s="28"/>
      <x:c r="N2783" s="28"/>
      <x:c r="O2783" s="28"/>
      <x:c r="P2783" s="28"/>
      <x:c r="Q2783" s="28"/>
      <x:c r="R2783" s="28"/>
      <x:c r="S2783" s="28"/>
      <x:c r="T2783" s="28"/>
      <x:c r="U2783" s="28"/>
      <x:c r="V2783" s="28"/>
      <x:c r="W2783" s="43" t="n">
        <x:f>--AND(N2783=1,OR(O2783="SUPPORTED",O2783="HALLUCINATION"))</x:f>
        <x:v>0</x:v>
      </x:c>
      <x:c r="X2783" s="43" t="n">
        <x:f>--AND(W2783=1,O2783="HALLUCINATION")</x:f>
        <x:v>0</x:v>
      </x:c>
      <x:c r="Y2783" s="43" t="n">
        <x:f>--AND(Q2783=1,O2783="HALLUCINATION")</x:f>
        <x:v>0</x:v>
      </x:c>
      <x:c r="Z2783" s="43" t="n">
        <x:f>--AND(Y2783=1,R2783=1,S2783=1)</x:f>
        <x:v>0</x:v>
      </x:c>
      <x:c r="AC2783" t="str">
        <x:f>IF(OR(AA2783="",AB2783=""),"",--(AA2783&lt;&gt;AB2783))</x:f>
      </x:c>
      <x:c r="AE2783" t="str">
        <x:f>IF(OR(AA2783="",AB2783=""),"PENDING_HUMAN",IF(AA2783=AB2783,AA2783,IF(AD2783&lt;&gt;"",AD2783,"PENDING_HUMAN")))</x:f>
        <x:v>PENDING_HUMAN</x:v>
      </x:c>
      <x:c r="AF2783" t="n">
        <x:f>--AND(A2783&lt;&gt;"",AA2783&lt;&gt;"",AB2783&lt;&gt;"",OR(AA2783=AB2783,AD2783&lt;&gt;""),IF(AE2783="HALLUCINATION",U2783&lt;&gt;"",TRUE))</x:f>
        <x:v>0</x:v>
      </x:c>
      <x:c r="AG2783" t="n">
        <x:f>--AND(N2783=1,AF2783=1,OR(AE2783="SUPPORTED",AE2783="HALLUCINATION"))</x:f>
        <x:v>0</x:v>
      </x:c>
      <x:c r="AH2783" t="n">
        <x:f>--AND(AG2783=1,AE2783="HALLUCINATION")</x:f>
        <x:v>0</x:v>
      </x:c>
      <x:c r="AI2783" t="n">
        <x:f>--AND(Q2783=1,AF2783=1,AE2783="HALLUCINATION")</x:f>
        <x:v>0</x:v>
      </x:c>
      <x:c r="AJ2783" t="n">
        <x:f>--AND(AI2783=1,R2783=1,S2783=1)</x:f>
        <x:v>0</x:v>
      </x:c>
    </x:row>
    <x:row r="2784">
      <x:c r="A2784" s="28"/>
      <x:c r="B2784" s="28"/>
      <x:c r="C2784" s="28"/>
      <x:c r="D2784" s="28"/>
      <x:c r="E2784" s="28"/>
      <x:c r="F2784" s="28"/>
      <x:c r="G2784" s="28"/>
      <x:c r="H2784" s="28"/>
      <x:c r="I2784" s="28"/>
      <x:c r="J2784" s="28"/>
      <x:c r="K2784" s="28"/>
      <x:c r="L2784" s="28"/>
      <x:c r="M2784" s="28"/>
      <x:c r="N2784" s="28"/>
      <x:c r="O2784" s="28"/>
      <x:c r="P2784" s="28"/>
      <x:c r="Q2784" s="28"/>
      <x:c r="R2784" s="28"/>
      <x:c r="S2784" s="28"/>
      <x:c r="T2784" s="28"/>
      <x:c r="U2784" s="28"/>
      <x:c r="V2784" s="28"/>
      <x:c r="W2784" s="43" t="n">
        <x:f>--AND(N2784=1,OR(O2784="SUPPORTED",O2784="HALLUCINATION"))</x:f>
        <x:v>0</x:v>
      </x:c>
      <x:c r="X2784" s="43" t="n">
        <x:f>--AND(W2784=1,O2784="HALLUCINATION")</x:f>
        <x:v>0</x:v>
      </x:c>
      <x:c r="Y2784" s="43" t="n">
        <x:f>--AND(Q2784=1,O2784="HALLUCINATION")</x:f>
        <x:v>0</x:v>
      </x:c>
      <x:c r="Z2784" s="43" t="n">
        <x:f>--AND(Y2784=1,R2784=1,S2784=1)</x:f>
        <x:v>0</x:v>
      </x:c>
      <x:c r="AC2784" t="str">
        <x:f>IF(OR(AA2784="",AB2784=""),"",--(AA2784&lt;&gt;AB2784))</x:f>
      </x:c>
      <x:c r="AE2784" t="str">
        <x:f>IF(OR(AA2784="",AB2784=""),"PENDING_HUMAN",IF(AA2784=AB2784,AA2784,IF(AD2784&lt;&gt;"",AD2784,"PENDING_HUMAN")))</x:f>
        <x:v>PENDING_HUMAN</x:v>
      </x:c>
      <x:c r="AF2784" t="n">
        <x:f>--AND(A2784&lt;&gt;"",AA2784&lt;&gt;"",AB2784&lt;&gt;"",OR(AA2784=AB2784,AD2784&lt;&gt;""),IF(AE2784="HALLUCINATION",U2784&lt;&gt;"",TRUE))</x:f>
        <x:v>0</x:v>
      </x:c>
      <x:c r="AG2784" t="n">
        <x:f>--AND(N2784=1,AF2784=1,OR(AE2784="SUPPORTED",AE2784="HALLUCINATION"))</x:f>
        <x:v>0</x:v>
      </x:c>
      <x:c r="AH2784" t="n">
        <x:f>--AND(AG2784=1,AE2784="HALLUCINATION")</x:f>
        <x:v>0</x:v>
      </x:c>
      <x:c r="AI2784" t="n">
        <x:f>--AND(Q2784=1,AF2784=1,AE2784="HALLUCINATION")</x:f>
        <x:v>0</x:v>
      </x:c>
      <x:c r="AJ2784" t="n">
        <x:f>--AND(AI2784=1,R2784=1,S2784=1)</x:f>
        <x:v>0</x:v>
      </x:c>
    </x:row>
    <x:row r="2785">
      <x:c r="A2785" s="28"/>
      <x:c r="B2785" s="28"/>
      <x:c r="C2785" s="28"/>
      <x:c r="D2785" s="28"/>
      <x:c r="E2785" s="28"/>
      <x:c r="F2785" s="28"/>
      <x:c r="G2785" s="28"/>
      <x:c r="H2785" s="28"/>
      <x:c r="I2785" s="28"/>
      <x:c r="J2785" s="28"/>
      <x:c r="K2785" s="28"/>
      <x:c r="L2785" s="28"/>
      <x:c r="M2785" s="28"/>
      <x:c r="N2785" s="28"/>
      <x:c r="O2785" s="28"/>
      <x:c r="P2785" s="28"/>
      <x:c r="Q2785" s="28"/>
      <x:c r="R2785" s="28"/>
      <x:c r="S2785" s="28"/>
      <x:c r="T2785" s="28"/>
      <x:c r="U2785" s="28"/>
      <x:c r="V2785" s="28"/>
      <x:c r="W2785" s="43" t="n">
        <x:f>--AND(N2785=1,OR(O2785="SUPPORTED",O2785="HALLUCINATION"))</x:f>
        <x:v>0</x:v>
      </x:c>
      <x:c r="X2785" s="43" t="n">
        <x:f>--AND(W2785=1,O2785="HALLUCINATION")</x:f>
        <x:v>0</x:v>
      </x:c>
      <x:c r="Y2785" s="43" t="n">
        <x:f>--AND(Q2785=1,O2785="HALLUCINATION")</x:f>
        <x:v>0</x:v>
      </x:c>
      <x:c r="Z2785" s="43" t="n">
        <x:f>--AND(Y2785=1,R2785=1,S2785=1)</x:f>
        <x:v>0</x:v>
      </x:c>
      <x:c r="AC2785" t="str">
        <x:f>IF(OR(AA2785="",AB2785=""),"",--(AA2785&lt;&gt;AB2785))</x:f>
      </x:c>
      <x:c r="AE2785" t="str">
        <x:f>IF(OR(AA2785="",AB2785=""),"PENDING_HUMAN",IF(AA2785=AB2785,AA2785,IF(AD2785&lt;&gt;"",AD2785,"PENDING_HUMAN")))</x:f>
        <x:v>PENDING_HUMAN</x:v>
      </x:c>
      <x:c r="AF2785" t="n">
        <x:f>--AND(A2785&lt;&gt;"",AA2785&lt;&gt;"",AB2785&lt;&gt;"",OR(AA2785=AB2785,AD2785&lt;&gt;""),IF(AE2785="HALLUCINATION",U2785&lt;&gt;"",TRUE))</x:f>
        <x:v>0</x:v>
      </x:c>
      <x:c r="AG2785" t="n">
        <x:f>--AND(N2785=1,AF2785=1,OR(AE2785="SUPPORTED",AE2785="HALLUCINATION"))</x:f>
        <x:v>0</x:v>
      </x:c>
      <x:c r="AH2785" t="n">
        <x:f>--AND(AG2785=1,AE2785="HALLUCINATION")</x:f>
        <x:v>0</x:v>
      </x:c>
      <x:c r="AI2785" t="n">
        <x:f>--AND(Q2785=1,AF2785=1,AE2785="HALLUCINATION")</x:f>
        <x:v>0</x:v>
      </x:c>
      <x:c r="AJ2785" t="n">
        <x:f>--AND(AI2785=1,R2785=1,S2785=1)</x:f>
        <x:v>0</x:v>
      </x:c>
    </x:row>
    <x:row r="2786">
      <x:c r="A2786" s="28"/>
      <x:c r="B2786" s="28"/>
      <x:c r="C2786" s="28"/>
      <x:c r="D2786" s="28"/>
      <x:c r="E2786" s="28"/>
      <x:c r="F2786" s="28"/>
      <x:c r="G2786" s="28"/>
      <x:c r="H2786" s="28"/>
      <x:c r="I2786" s="28"/>
      <x:c r="J2786" s="28"/>
      <x:c r="K2786" s="28"/>
      <x:c r="L2786" s="28"/>
      <x:c r="M2786" s="28"/>
      <x:c r="N2786" s="28"/>
      <x:c r="O2786" s="28"/>
      <x:c r="P2786" s="28"/>
      <x:c r="Q2786" s="28"/>
      <x:c r="R2786" s="28"/>
      <x:c r="S2786" s="28"/>
      <x:c r="T2786" s="28"/>
      <x:c r="U2786" s="28"/>
      <x:c r="V2786" s="28"/>
      <x:c r="W2786" s="43" t="n">
        <x:f>--AND(N2786=1,OR(O2786="SUPPORTED",O2786="HALLUCINATION"))</x:f>
        <x:v>0</x:v>
      </x:c>
      <x:c r="X2786" s="43" t="n">
        <x:f>--AND(W2786=1,O2786="HALLUCINATION")</x:f>
        <x:v>0</x:v>
      </x:c>
      <x:c r="Y2786" s="43" t="n">
        <x:f>--AND(Q2786=1,O2786="HALLUCINATION")</x:f>
        <x:v>0</x:v>
      </x:c>
      <x:c r="Z2786" s="43" t="n">
        <x:f>--AND(Y2786=1,R2786=1,S2786=1)</x:f>
        <x:v>0</x:v>
      </x:c>
      <x:c r="AC2786" t="str">
        <x:f>IF(OR(AA2786="",AB2786=""),"",--(AA2786&lt;&gt;AB2786))</x:f>
      </x:c>
      <x:c r="AE2786" t="str">
        <x:f>IF(OR(AA2786="",AB2786=""),"PENDING_HUMAN",IF(AA2786=AB2786,AA2786,IF(AD2786&lt;&gt;"",AD2786,"PENDING_HUMAN")))</x:f>
        <x:v>PENDING_HUMAN</x:v>
      </x:c>
      <x:c r="AF2786" t="n">
        <x:f>--AND(A2786&lt;&gt;"",AA2786&lt;&gt;"",AB2786&lt;&gt;"",OR(AA2786=AB2786,AD2786&lt;&gt;""),IF(AE2786="HALLUCINATION",U2786&lt;&gt;"",TRUE))</x:f>
        <x:v>0</x:v>
      </x:c>
      <x:c r="AG2786" t="n">
        <x:f>--AND(N2786=1,AF2786=1,OR(AE2786="SUPPORTED",AE2786="HALLUCINATION"))</x:f>
        <x:v>0</x:v>
      </x:c>
      <x:c r="AH2786" t="n">
        <x:f>--AND(AG2786=1,AE2786="HALLUCINATION")</x:f>
        <x:v>0</x:v>
      </x:c>
      <x:c r="AI2786" t="n">
        <x:f>--AND(Q2786=1,AF2786=1,AE2786="HALLUCINATION")</x:f>
        <x:v>0</x:v>
      </x:c>
      <x:c r="AJ2786" t="n">
        <x:f>--AND(AI2786=1,R2786=1,S2786=1)</x:f>
        <x:v>0</x:v>
      </x:c>
    </x:row>
    <x:row r="2787">
      <x:c r="A2787" s="28"/>
      <x:c r="B2787" s="28"/>
      <x:c r="C2787" s="28"/>
      <x:c r="D2787" s="28"/>
      <x:c r="E2787" s="28"/>
      <x:c r="F2787" s="28"/>
      <x:c r="G2787" s="28"/>
      <x:c r="H2787" s="28"/>
      <x:c r="I2787" s="28"/>
      <x:c r="J2787" s="28"/>
      <x:c r="K2787" s="28"/>
      <x:c r="L2787" s="28"/>
      <x:c r="M2787" s="28"/>
      <x:c r="N2787" s="28"/>
      <x:c r="O2787" s="28"/>
      <x:c r="P2787" s="28"/>
      <x:c r="Q2787" s="28"/>
      <x:c r="R2787" s="28"/>
      <x:c r="S2787" s="28"/>
      <x:c r="T2787" s="28"/>
      <x:c r="U2787" s="28"/>
      <x:c r="V2787" s="28"/>
      <x:c r="W2787" s="43" t="n">
        <x:f>--AND(N2787=1,OR(O2787="SUPPORTED",O2787="HALLUCINATION"))</x:f>
        <x:v>0</x:v>
      </x:c>
      <x:c r="X2787" s="43" t="n">
        <x:f>--AND(W2787=1,O2787="HALLUCINATION")</x:f>
        <x:v>0</x:v>
      </x:c>
      <x:c r="Y2787" s="43" t="n">
        <x:f>--AND(Q2787=1,O2787="HALLUCINATION")</x:f>
        <x:v>0</x:v>
      </x:c>
      <x:c r="Z2787" s="43" t="n">
        <x:f>--AND(Y2787=1,R2787=1,S2787=1)</x:f>
        <x:v>0</x:v>
      </x:c>
      <x:c r="AC2787" t="str">
        <x:f>IF(OR(AA2787="",AB2787=""),"",--(AA2787&lt;&gt;AB2787))</x:f>
      </x:c>
      <x:c r="AE2787" t="str">
        <x:f>IF(OR(AA2787="",AB2787=""),"PENDING_HUMAN",IF(AA2787=AB2787,AA2787,IF(AD2787&lt;&gt;"",AD2787,"PENDING_HUMAN")))</x:f>
        <x:v>PENDING_HUMAN</x:v>
      </x:c>
      <x:c r="AF2787" t="n">
        <x:f>--AND(A2787&lt;&gt;"",AA2787&lt;&gt;"",AB2787&lt;&gt;"",OR(AA2787=AB2787,AD2787&lt;&gt;""),IF(AE2787="HALLUCINATION",U2787&lt;&gt;"",TRUE))</x:f>
        <x:v>0</x:v>
      </x:c>
      <x:c r="AG2787" t="n">
        <x:f>--AND(N2787=1,AF2787=1,OR(AE2787="SUPPORTED",AE2787="HALLUCINATION"))</x:f>
        <x:v>0</x:v>
      </x:c>
      <x:c r="AH2787" t="n">
        <x:f>--AND(AG2787=1,AE2787="HALLUCINATION")</x:f>
        <x:v>0</x:v>
      </x:c>
      <x:c r="AI2787" t="n">
        <x:f>--AND(Q2787=1,AF2787=1,AE2787="HALLUCINATION")</x:f>
        <x:v>0</x:v>
      </x:c>
      <x:c r="AJ2787" t="n">
        <x:f>--AND(AI2787=1,R2787=1,S2787=1)</x:f>
        <x:v>0</x:v>
      </x:c>
    </x:row>
    <x:row r="2788">
      <x:c r="A2788" s="28"/>
      <x:c r="B2788" s="28"/>
      <x:c r="C2788" s="28"/>
      <x:c r="D2788" s="28"/>
      <x:c r="E2788" s="28"/>
      <x:c r="F2788" s="28"/>
      <x:c r="G2788" s="28"/>
      <x:c r="H2788" s="28"/>
      <x:c r="I2788" s="28"/>
      <x:c r="J2788" s="28"/>
      <x:c r="K2788" s="28"/>
      <x:c r="L2788" s="28"/>
      <x:c r="M2788" s="28"/>
      <x:c r="N2788" s="28"/>
      <x:c r="O2788" s="28"/>
      <x:c r="P2788" s="28"/>
      <x:c r="Q2788" s="28"/>
      <x:c r="R2788" s="28"/>
      <x:c r="S2788" s="28"/>
      <x:c r="T2788" s="28"/>
      <x:c r="U2788" s="28"/>
      <x:c r="V2788" s="28"/>
      <x:c r="W2788" s="43" t="n">
        <x:f>--AND(N2788=1,OR(O2788="SUPPORTED",O2788="HALLUCINATION"))</x:f>
        <x:v>0</x:v>
      </x:c>
      <x:c r="X2788" s="43" t="n">
        <x:f>--AND(W2788=1,O2788="HALLUCINATION")</x:f>
        <x:v>0</x:v>
      </x:c>
      <x:c r="Y2788" s="43" t="n">
        <x:f>--AND(Q2788=1,O2788="HALLUCINATION")</x:f>
        <x:v>0</x:v>
      </x:c>
      <x:c r="Z2788" s="43" t="n">
        <x:f>--AND(Y2788=1,R2788=1,S2788=1)</x:f>
        <x:v>0</x:v>
      </x:c>
      <x:c r="AC2788" t="str">
        <x:f>IF(OR(AA2788="",AB2788=""),"",--(AA2788&lt;&gt;AB2788))</x:f>
      </x:c>
      <x:c r="AE2788" t="str">
        <x:f>IF(OR(AA2788="",AB2788=""),"PENDING_HUMAN",IF(AA2788=AB2788,AA2788,IF(AD2788&lt;&gt;"",AD2788,"PENDING_HUMAN")))</x:f>
        <x:v>PENDING_HUMAN</x:v>
      </x:c>
      <x:c r="AF2788" t="n">
        <x:f>--AND(A2788&lt;&gt;"",AA2788&lt;&gt;"",AB2788&lt;&gt;"",OR(AA2788=AB2788,AD2788&lt;&gt;""),IF(AE2788="HALLUCINATION",U2788&lt;&gt;"",TRUE))</x:f>
        <x:v>0</x:v>
      </x:c>
      <x:c r="AG2788" t="n">
        <x:f>--AND(N2788=1,AF2788=1,OR(AE2788="SUPPORTED",AE2788="HALLUCINATION"))</x:f>
        <x:v>0</x:v>
      </x:c>
      <x:c r="AH2788" t="n">
        <x:f>--AND(AG2788=1,AE2788="HALLUCINATION")</x:f>
        <x:v>0</x:v>
      </x:c>
      <x:c r="AI2788" t="n">
        <x:f>--AND(Q2788=1,AF2788=1,AE2788="HALLUCINATION")</x:f>
        <x:v>0</x:v>
      </x:c>
      <x:c r="AJ2788" t="n">
        <x:f>--AND(AI2788=1,R2788=1,S2788=1)</x:f>
        <x:v>0</x:v>
      </x:c>
    </x:row>
    <x:row r="2789">
      <x:c r="A2789" s="28"/>
      <x:c r="B2789" s="28"/>
      <x:c r="C2789" s="28"/>
      <x:c r="D2789" s="28"/>
      <x:c r="E2789" s="28"/>
      <x:c r="F2789" s="28"/>
      <x:c r="G2789" s="28"/>
      <x:c r="H2789" s="28"/>
      <x:c r="I2789" s="28"/>
      <x:c r="J2789" s="28"/>
      <x:c r="K2789" s="28"/>
      <x:c r="L2789" s="28"/>
      <x:c r="M2789" s="28"/>
      <x:c r="N2789" s="28"/>
      <x:c r="O2789" s="28"/>
      <x:c r="P2789" s="28"/>
      <x:c r="Q2789" s="28"/>
      <x:c r="R2789" s="28"/>
      <x:c r="S2789" s="28"/>
      <x:c r="T2789" s="28"/>
      <x:c r="U2789" s="28"/>
      <x:c r="V2789" s="28"/>
      <x:c r="W2789" s="43" t="n">
        <x:f>--AND(N2789=1,OR(O2789="SUPPORTED",O2789="HALLUCINATION"))</x:f>
        <x:v>0</x:v>
      </x:c>
      <x:c r="X2789" s="43" t="n">
        <x:f>--AND(W2789=1,O2789="HALLUCINATION")</x:f>
        <x:v>0</x:v>
      </x:c>
      <x:c r="Y2789" s="43" t="n">
        <x:f>--AND(Q2789=1,O2789="HALLUCINATION")</x:f>
        <x:v>0</x:v>
      </x:c>
      <x:c r="Z2789" s="43" t="n">
        <x:f>--AND(Y2789=1,R2789=1,S2789=1)</x:f>
        <x:v>0</x:v>
      </x:c>
      <x:c r="AC2789" t="str">
        <x:f>IF(OR(AA2789="",AB2789=""),"",--(AA2789&lt;&gt;AB2789))</x:f>
      </x:c>
      <x:c r="AE2789" t="str">
        <x:f>IF(OR(AA2789="",AB2789=""),"PENDING_HUMAN",IF(AA2789=AB2789,AA2789,IF(AD2789&lt;&gt;"",AD2789,"PENDING_HUMAN")))</x:f>
        <x:v>PENDING_HUMAN</x:v>
      </x:c>
      <x:c r="AF2789" t="n">
        <x:f>--AND(A2789&lt;&gt;"",AA2789&lt;&gt;"",AB2789&lt;&gt;"",OR(AA2789=AB2789,AD2789&lt;&gt;""),IF(AE2789="HALLUCINATION",U2789&lt;&gt;"",TRUE))</x:f>
        <x:v>0</x:v>
      </x:c>
      <x:c r="AG2789" t="n">
        <x:f>--AND(N2789=1,AF2789=1,OR(AE2789="SUPPORTED",AE2789="HALLUCINATION"))</x:f>
        <x:v>0</x:v>
      </x:c>
      <x:c r="AH2789" t="n">
        <x:f>--AND(AG2789=1,AE2789="HALLUCINATION")</x:f>
        <x:v>0</x:v>
      </x:c>
      <x:c r="AI2789" t="n">
        <x:f>--AND(Q2789=1,AF2789=1,AE2789="HALLUCINATION")</x:f>
        <x:v>0</x:v>
      </x:c>
      <x:c r="AJ2789" t="n">
        <x:f>--AND(AI2789=1,R2789=1,S2789=1)</x:f>
        <x:v>0</x:v>
      </x:c>
    </x:row>
    <x:row r="2790">
      <x:c r="A2790" s="28"/>
      <x:c r="B2790" s="28"/>
      <x:c r="C2790" s="28"/>
      <x:c r="D2790" s="28"/>
      <x:c r="E2790" s="28"/>
      <x:c r="F2790" s="28"/>
      <x:c r="G2790" s="28"/>
      <x:c r="H2790" s="28"/>
      <x:c r="I2790" s="28"/>
      <x:c r="J2790" s="28"/>
      <x:c r="K2790" s="28"/>
      <x:c r="L2790" s="28"/>
      <x:c r="M2790" s="28"/>
      <x:c r="N2790" s="28"/>
      <x:c r="O2790" s="28"/>
      <x:c r="P2790" s="28"/>
      <x:c r="Q2790" s="28"/>
      <x:c r="R2790" s="28"/>
      <x:c r="S2790" s="28"/>
      <x:c r="T2790" s="28"/>
      <x:c r="U2790" s="28"/>
      <x:c r="V2790" s="28"/>
      <x:c r="W2790" s="43" t="n">
        <x:f>--AND(N2790=1,OR(O2790="SUPPORTED",O2790="HALLUCINATION"))</x:f>
        <x:v>0</x:v>
      </x:c>
      <x:c r="X2790" s="43" t="n">
        <x:f>--AND(W2790=1,O2790="HALLUCINATION")</x:f>
        <x:v>0</x:v>
      </x:c>
      <x:c r="Y2790" s="43" t="n">
        <x:f>--AND(Q2790=1,O2790="HALLUCINATION")</x:f>
        <x:v>0</x:v>
      </x:c>
      <x:c r="Z2790" s="43" t="n">
        <x:f>--AND(Y2790=1,R2790=1,S2790=1)</x:f>
        <x:v>0</x:v>
      </x:c>
      <x:c r="AC2790" t="str">
        <x:f>IF(OR(AA2790="",AB2790=""),"",--(AA2790&lt;&gt;AB2790))</x:f>
      </x:c>
      <x:c r="AE2790" t="str">
        <x:f>IF(OR(AA2790="",AB2790=""),"PENDING_HUMAN",IF(AA2790=AB2790,AA2790,IF(AD2790&lt;&gt;"",AD2790,"PENDING_HUMAN")))</x:f>
        <x:v>PENDING_HUMAN</x:v>
      </x:c>
      <x:c r="AF2790" t="n">
        <x:f>--AND(A2790&lt;&gt;"",AA2790&lt;&gt;"",AB2790&lt;&gt;"",OR(AA2790=AB2790,AD2790&lt;&gt;""),IF(AE2790="HALLUCINATION",U2790&lt;&gt;"",TRUE))</x:f>
        <x:v>0</x:v>
      </x:c>
      <x:c r="AG2790" t="n">
        <x:f>--AND(N2790=1,AF2790=1,OR(AE2790="SUPPORTED",AE2790="HALLUCINATION"))</x:f>
        <x:v>0</x:v>
      </x:c>
      <x:c r="AH2790" t="n">
        <x:f>--AND(AG2790=1,AE2790="HALLUCINATION")</x:f>
        <x:v>0</x:v>
      </x:c>
      <x:c r="AI2790" t="n">
        <x:f>--AND(Q2790=1,AF2790=1,AE2790="HALLUCINATION")</x:f>
        <x:v>0</x:v>
      </x:c>
      <x:c r="AJ2790" t="n">
        <x:f>--AND(AI2790=1,R2790=1,S2790=1)</x:f>
        <x:v>0</x:v>
      </x:c>
    </x:row>
    <x:row r="2791">
      <x:c r="A2791" s="28"/>
      <x:c r="B2791" s="28"/>
      <x:c r="C2791" s="28"/>
      <x:c r="D2791" s="28"/>
      <x:c r="E2791" s="28"/>
      <x:c r="F2791" s="28"/>
      <x:c r="G2791" s="28"/>
      <x:c r="H2791" s="28"/>
      <x:c r="I2791" s="28"/>
      <x:c r="J2791" s="28"/>
      <x:c r="K2791" s="28"/>
      <x:c r="L2791" s="28"/>
      <x:c r="M2791" s="28"/>
      <x:c r="N2791" s="28"/>
      <x:c r="O2791" s="28"/>
      <x:c r="P2791" s="28"/>
      <x:c r="Q2791" s="28"/>
      <x:c r="R2791" s="28"/>
      <x:c r="S2791" s="28"/>
      <x:c r="T2791" s="28"/>
      <x:c r="U2791" s="28"/>
      <x:c r="V2791" s="28"/>
      <x:c r="W2791" s="43" t="n">
        <x:f>--AND(N2791=1,OR(O2791="SUPPORTED",O2791="HALLUCINATION"))</x:f>
        <x:v>0</x:v>
      </x:c>
      <x:c r="X2791" s="43" t="n">
        <x:f>--AND(W2791=1,O2791="HALLUCINATION")</x:f>
        <x:v>0</x:v>
      </x:c>
      <x:c r="Y2791" s="43" t="n">
        <x:f>--AND(Q2791=1,O2791="HALLUCINATION")</x:f>
        <x:v>0</x:v>
      </x:c>
      <x:c r="Z2791" s="43" t="n">
        <x:f>--AND(Y2791=1,R2791=1,S2791=1)</x:f>
        <x:v>0</x:v>
      </x:c>
      <x:c r="AC2791" t="str">
        <x:f>IF(OR(AA2791="",AB2791=""),"",--(AA2791&lt;&gt;AB2791))</x:f>
      </x:c>
      <x:c r="AE2791" t="str">
        <x:f>IF(OR(AA2791="",AB2791=""),"PENDING_HUMAN",IF(AA2791=AB2791,AA2791,IF(AD2791&lt;&gt;"",AD2791,"PENDING_HUMAN")))</x:f>
        <x:v>PENDING_HUMAN</x:v>
      </x:c>
      <x:c r="AF2791" t="n">
        <x:f>--AND(A2791&lt;&gt;"",AA2791&lt;&gt;"",AB2791&lt;&gt;"",OR(AA2791=AB2791,AD2791&lt;&gt;""),IF(AE2791="HALLUCINATION",U2791&lt;&gt;"",TRUE))</x:f>
        <x:v>0</x:v>
      </x:c>
      <x:c r="AG2791" t="n">
        <x:f>--AND(N2791=1,AF2791=1,OR(AE2791="SUPPORTED",AE2791="HALLUCINATION"))</x:f>
        <x:v>0</x:v>
      </x:c>
      <x:c r="AH2791" t="n">
        <x:f>--AND(AG2791=1,AE2791="HALLUCINATION")</x:f>
        <x:v>0</x:v>
      </x:c>
      <x:c r="AI2791" t="n">
        <x:f>--AND(Q2791=1,AF2791=1,AE2791="HALLUCINATION")</x:f>
        <x:v>0</x:v>
      </x:c>
      <x:c r="AJ2791" t="n">
        <x:f>--AND(AI2791=1,R2791=1,S2791=1)</x:f>
        <x:v>0</x:v>
      </x:c>
    </x:row>
    <x:row r="2792">
      <x:c r="A2792" s="28"/>
      <x:c r="B2792" s="28"/>
      <x:c r="C2792" s="28"/>
      <x:c r="D2792" s="28"/>
      <x:c r="E2792" s="28"/>
      <x:c r="F2792" s="28"/>
      <x:c r="G2792" s="28"/>
      <x:c r="H2792" s="28"/>
      <x:c r="I2792" s="28"/>
      <x:c r="J2792" s="28"/>
      <x:c r="K2792" s="28"/>
      <x:c r="L2792" s="28"/>
      <x:c r="M2792" s="28"/>
      <x:c r="N2792" s="28"/>
      <x:c r="O2792" s="28"/>
      <x:c r="P2792" s="28"/>
      <x:c r="Q2792" s="28"/>
      <x:c r="R2792" s="28"/>
      <x:c r="S2792" s="28"/>
      <x:c r="T2792" s="28"/>
      <x:c r="U2792" s="28"/>
      <x:c r="V2792" s="28"/>
      <x:c r="W2792" s="43" t="n">
        <x:f>--AND(N2792=1,OR(O2792="SUPPORTED",O2792="HALLUCINATION"))</x:f>
        <x:v>0</x:v>
      </x:c>
      <x:c r="X2792" s="43" t="n">
        <x:f>--AND(W2792=1,O2792="HALLUCINATION")</x:f>
        <x:v>0</x:v>
      </x:c>
      <x:c r="Y2792" s="43" t="n">
        <x:f>--AND(Q2792=1,O2792="HALLUCINATION")</x:f>
        <x:v>0</x:v>
      </x:c>
      <x:c r="Z2792" s="43" t="n">
        <x:f>--AND(Y2792=1,R2792=1,S2792=1)</x:f>
        <x:v>0</x:v>
      </x:c>
      <x:c r="AC2792" t="str">
        <x:f>IF(OR(AA2792="",AB2792=""),"",--(AA2792&lt;&gt;AB2792))</x:f>
      </x:c>
      <x:c r="AE2792" t="str">
        <x:f>IF(OR(AA2792="",AB2792=""),"PENDING_HUMAN",IF(AA2792=AB2792,AA2792,IF(AD2792&lt;&gt;"",AD2792,"PENDING_HUMAN")))</x:f>
        <x:v>PENDING_HUMAN</x:v>
      </x:c>
      <x:c r="AF2792" t="n">
        <x:f>--AND(A2792&lt;&gt;"",AA2792&lt;&gt;"",AB2792&lt;&gt;"",OR(AA2792=AB2792,AD2792&lt;&gt;""),IF(AE2792="HALLUCINATION",U2792&lt;&gt;"",TRUE))</x:f>
        <x:v>0</x:v>
      </x:c>
      <x:c r="AG2792" t="n">
        <x:f>--AND(N2792=1,AF2792=1,OR(AE2792="SUPPORTED",AE2792="HALLUCINATION"))</x:f>
        <x:v>0</x:v>
      </x:c>
      <x:c r="AH2792" t="n">
        <x:f>--AND(AG2792=1,AE2792="HALLUCINATION")</x:f>
        <x:v>0</x:v>
      </x:c>
      <x:c r="AI2792" t="n">
        <x:f>--AND(Q2792=1,AF2792=1,AE2792="HALLUCINATION")</x:f>
        <x:v>0</x:v>
      </x:c>
      <x:c r="AJ2792" t="n">
        <x:f>--AND(AI2792=1,R2792=1,S2792=1)</x:f>
        <x:v>0</x:v>
      </x:c>
    </x:row>
    <x:row r="2793">
      <x:c r="A2793" s="28"/>
      <x:c r="B2793" s="28"/>
      <x:c r="C2793" s="28"/>
      <x:c r="D2793" s="28"/>
      <x:c r="E2793" s="28"/>
      <x:c r="F2793" s="28"/>
      <x:c r="G2793" s="28"/>
      <x:c r="H2793" s="28"/>
      <x:c r="I2793" s="28"/>
      <x:c r="J2793" s="28"/>
      <x:c r="K2793" s="28"/>
      <x:c r="L2793" s="28"/>
      <x:c r="M2793" s="28"/>
      <x:c r="N2793" s="28"/>
      <x:c r="O2793" s="28"/>
      <x:c r="P2793" s="28"/>
      <x:c r="Q2793" s="28"/>
      <x:c r="R2793" s="28"/>
      <x:c r="S2793" s="28"/>
      <x:c r="T2793" s="28"/>
      <x:c r="U2793" s="28"/>
      <x:c r="V2793" s="28"/>
      <x:c r="W2793" s="43" t="n">
        <x:f>--AND(N2793=1,OR(O2793="SUPPORTED",O2793="HALLUCINATION"))</x:f>
        <x:v>0</x:v>
      </x:c>
      <x:c r="X2793" s="43" t="n">
        <x:f>--AND(W2793=1,O2793="HALLUCINATION")</x:f>
        <x:v>0</x:v>
      </x:c>
      <x:c r="Y2793" s="43" t="n">
        <x:f>--AND(Q2793=1,O2793="HALLUCINATION")</x:f>
        <x:v>0</x:v>
      </x:c>
      <x:c r="Z2793" s="43" t="n">
        <x:f>--AND(Y2793=1,R2793=1,S2793=1)</x:f>
        <x:v>0</x:v>
      </x:c>
      <x:c r="AC2793" t="str">
        <x:f>IF(OR(AA2793="",AB2793=""),"",--(AA2793&lt;&gt;AB2793))</x:f>
      </x:c>
      <x:c r="AE2793" t="str">
        <x:f>IF(OR(AA2793="",AB2793=""),"PENDING_HUMAN",IF(AA2793=AB2793,AA2793,IF(AD2793&lt;&gt;"",AD2793,"PENDING_HUMAN")))</x:f>
        <x:v>PENDING_HUMAN</x:v>
      </x:c>
      <x:c r="AF2793" t="n">
        <x:f>--AND(A2793&lt;&gt;"",AA2793&lt;&gt;"",AB2793&lt;&gt;"",OR(AA2793=AB2793,AD2793&lt;&gt;""),IF(AE2793="HALLUCINATION",U2793&lt;&gt;"",TRUE))</x:f>
        <x:v>0</x:v>
      </x:c>
      <x:c r="AG2793" t="n">
        <x:f>--AND(N2793=1,AF2793=1,OR(AE2793="SUPPORTED",AE2793="HALLUCINATION"))</x:f>
        <x:v>0</x:v>
      </x:c>
      <x:c r="AH2793" t="n">
        <x:f>--AND(AG2793=1,AE2793="HALLUCINATION")</x:f>
        <x:v>0</x:v>
      </x:c>
      <x:c r="AI2793" t="n">
        <x:f>--AND(Q2793=1,AF2793=1,AE2793="HALLUCINATION")</x:f>
        <x:v>0</x:v>
      </x:c>
      <x:c r="AJ2793" t="n">
        <x:f>--AND(AI2793=1,R2793=1,S2793=1)</x:f>
        <x:v>0</x:v>
      </x:c>
    </x:row>
    <x:row r="2794">
      <x:c r="A2794" s="28"/>
      <x:c r="B2794" s="28"/>
      <x:c r="C2794" s="28"/>
      <x:c r="D2794" s="28"/>
      <x:c r="E2794" s="28"/>
      <x:c r="F2794" s="28"/>
      <x:c r="G2794" s="28"/>
      <x:c r="H2794" s="28"/>
      <x:c r="I2794" s="28"/>
      <x:c r="J2794" s="28"/>
      <x:c r="K2794" s="28"/>
      <x:c r="L2794" s="28"/>
      <x:c r="M2794" s="28"/>
      <x:c r="N2794" s="28"/>
      <x:c r="O2794" s="28"/>
      <x:c r="P2794" s="28"/>
      <x:c r="Q2794" s="28"/>
      <x:c r="R2794" s="28"/>
      <x:c r="S2794" s="28"/>
      <x:c r="T2794" s="28"/>
      <x:c r="U2794" s="28"/>
      <x:c r="V2794" s="28"/>
      <x:c r="W2794" s="43" t="n">
        <x:f>--AND(N2794=1,OR(O2794="SUPPORTED",O2794="HALLUCINATION"))</x:f>
        <x:v>0</x:v>
      </x:c>
      <x:c r="X2794" s="43" t="n">
        <x:f>--AND(W2794=1,O2794="HALLUCINATION")</x:f>
        <x:v>0</x:v>
      </x:c>
      <x:c r="Y2794" s="43" t="n">
        <x:f>--AND(Q2794=1,O2794="HALLUCINATION")</x:f>
        <x:v>0</x:v>
      </x:c>
      <x:c r="Z2794" s="43" t="n">
        <x:f>--AND(Y2794=1,R2794=1,S2794=1)</x:f>
        <x:v>0</x:v>
      </x:c>
      <x:c r="AC2794" t="str">
        <x:f>IF(OR(AA2794="",AB2794=""),"",--(AA2794&lt;&gt;AB2794))</x:f>
      </x:c>
      <x:c r="AE2794" t="str">
        <x:f>IF(OR(AA2794="",AB2794=""),"PENDING_HUMAN",IF(AA2794=AB2794,AA2794,IF(AD2794&lt;&gt;"",AD2794,"PENDING_HUMAN")))</x:f>
        <x:v>PENDING_HUMAN</x:v>
      </x:c>
      <x:c r="AF2794" t="n">
        <x:f>--AND(A2794&lt;&gt;"",AA2794&lt;&gt;"",AB2794&lt;&gt;"",OR(AA2794=AB2794,AD2794&lt;&gt;""),IF(AE2794="HALLUCINATION",U2794&lt;&gt;"",TRUE))</x:f>
        <x:v>0</x:v>
      </x:c>
      <x:c r="AG2794" t="n">
        <x:f>--AND(N2794=1,AF2794=1,OR(AE2794="SUPPORTED",AE2794="HALLUCINATION"))</x:f>
        <x:v>0</x:v>
      </x:c>
      <x:c r="AH2794" t="n">
        <x:f>--AND(AG2794=1,AE2794="HALLUCINATION")</x:f>
        <x:v>0</x:v>
      </x:c>
      <x:c r="AI2794" t="n">
        <x:f>--AND(Q2794=1,AF2794=1,AE2794="HALLUCINATION")</x:f>
        <x:v>0</x:v>
      </x:c>
      <x:c r="AJ2794" t="n">
        <x:f>--AND(AI2794=1,R2794=1,S2794=1)</x:f>
        <x:v>0</x:v>
      </x:c>
    </x:row>
    <x:row r="2795">
      <x:c r="A2795" s="28"/>
      <x:c r="B2795" s="28"/>
      <x:c r="C2795" s="28"/>
      <x:c r="D2795" s="28"/>
      <x:c r="E2795" s="28"/>
      <x:c r="F2795" s="28"/>
      <x:c r="G2795" s="28"/>
      <x:c r="H2795" s="28"/>
      <x:c r="I2795" s="28"/>
      <x:c r="J2795" s="28"/>
      <x:c r="K2795" s="28"/>
      <x:c r="L2795" s="28"/>
      <x:c r="M2795" s="28"/>
      <x:c r="N2795" s="28"/>
      <x:c r="O2795" s="28"/>
      <x:c r="P2795" s="28"/>
      <x:c r="Q2795" s="28"/>
      <x:c r="R2795" s="28"/>
      <x:c r="S2795" s="28"/>
      <x:c r="T2795" s="28"/>
      <x:c r="U2795" s="28"/>
      <x:c r="V2795" s="28"/>
      <x:c r="W2795" s="43" t="n">
        <x:f>--AND(N2795=1,OR(O2795="SUPPORTED",O2795="HALLUCINATION"))</x:f>
        <x:v>0</x:v>
      </x:c>
      <x:c r="X2795" s="43" t="n">
        <x:f>--AND(W2795=1,O2795="HALLUCINATION")</x:f>
        <x:v>0</x:v>
      </x:c>
      <x:c r="Y2795" s="43" t="n">
        <x:f>--AND(Q2795=1,O2795="HALLUCINATION")</x:f>
        <x:v>0</x:v>
      </x:c>
      <x:c r="Z2795" s="43" t="n">
        <x:f>--AND(Y2795=1,R2795=1,S2795=1)</x:f>
        <x:v>0</x:v>
      </x:c>
      <x:c r="AC2795" t="str">
        <x:f>IF(OR(AA2795="",AB2795=""),"",--(AA2795&lt;&gt;AB2795))</x:f>
      </x:c>
      <x:c r="AE2795" t="str">
        <x:f>IF(OR(AA2795="",AB2795=""),"PENDING_HUMAN",IF(AA2795=AB2795,AA2795,IF(AD2795&lt;&gt;"",AD2795,"PENDING_HUMAN")))</x:f>
        <x:v>PENDING_HUMAN</x:v>
      </x:c>
      <x:c r="AF2795" t="n">
        <x:f>--AND(A2795&lt;&gt;"",AA2795&lt;&gt;"",AB2795&lt;&gt;"",OR(AA2795=AB2795,AD2795&lt;&gt;""),IF(AE2795="HALLUCINATION",U2795&lt;&gt;"",TRUE))</x:f>
        <x:v>0</x:v>
      </x:c>
      <x:c r="AG2795" t="n">
        <x:f>--AND(N2795=1,AF2795=1,OR(AE2795="SUPPORTED",AE2795="HALLUCINATION"))</x:f>
        <x:v>0</x:v>
      </x:c>
      <x:c r="AH2795" t="n">
        <x:f>--AND(AG2795=1,AE2795="HALLUCINATION")</x:f>
        <x:v>0</x:v>
      </x:c>
      <x:c r="AI2795" t="n">
        <x:f>--AND(Q2795=1,AF2795=1,AE2795="HALLUCINATION")</x:f>
        <x:v>0</x:v>
      </x:c>
      <x:c r="AJ2795" t="n">
        <x:f>--AND(AI2795=1,R2795=1,S2795=1)</x:f>
        <x:v>0</x:v>
      </x:c>
    </x:row>
    <x:row r="2796">
      <x:c r="A2796" s="28"/>
      <x:c r="B2796" s="28"/>
      <x:c r="C2796" s="28"/>
      <x:c r="D2796" s="28"/>
      <x:c r="E2796" s="28"/>
      <x:c r="F2796" s="28"/>
      <x:c r="G2796" s="28"/>
      <x:c r="H2796" s="28"/>
      <x:c r="I2796" s="28"/>
      <x:c r="J2796" s="28"/>
      <x:c r="K2796" s="28"/>
      <x:c r="L2796" s="28"/>
      <x:c r="M2796" s="28"/>
      <x:c r="N2796" s="28"/>
      <x:c r="O2796" s="28"/>
      <x:c r="P2796" s="28"/>
      <x:c r="Q2796" s="28"/>
      <x:c r="R2796" s="28"/>
      <x:c r="S2796" s="28"/>
      <x:c r="T2796" s="28"/>
      <x:c r="U2796" s="28"/>
      <x:c r="V2796" s="28"/>
      <x:c r="W2796" s="43" t="n">
        <x:f>--AND(N2796=1,OR(O2796="SUPPORTED",O2796="HALLUCINATION"))</x:f>
        <x:v>0</x:v>
      </x:c>
      <x:c r="X2796" s="43" t="n">
        <x:f>--AND(W2796=1,O2796="HALLUCINATION")</x:f>
        <x:v>0</x:v>
      </x:c>
      <x:c r="Y2796" s="43" t="n">
        <x:f>--AND(Q2796=1,O2796="HALLUCINATION")</x:f>
        <x:v>0</x:v>
      </x:c>
      <x:c r="Z2796" s="43" t="n">
        <x:f>--AND(Y2796=1,R2796=1,S2796=1)</x:f>
        <x:v>0</x:v>
      </x:c>
      <x:c r="AC2796" t="str">
        <x:f>IF(OR(AA2796="",AB2796=""),"",--(AA2796&lt;&gt;AB2796))</x:f>
      </x:c>
      <x:c r="AE2796" t="str">
        <x:f>IF(OR(AA2796="",AB2796=""),"PENDING_HUMAN",IF(AA2796=AB2796,AA2796,IF(AD2796&lt;&gt;"",AD2796,"PENDING_HUMAN")))</x:f>
        <x:v>PENDING_HUMAN</x:v>
      </x:c>
      <x:c r="AF2796" t="n">
        <x:f>--AND(A2796&lt;&gt;"",AA2796&lt;&gt;"",AB2796&lt;&gt;"",OR(AA2796=AB2796,AD2796&lt;&gt;""),IF(AE2796="HALLUCINATION",U2796&lt;&gt;"",TRUE))</x:f>
        <x:v>0</x:v>
      </x:c>
      <x:c r="AG2796" t="n">
        <x:f>--AND(N2796=1,AF2796=1,OR(AE2796="SUPPORTED",AE2796="HALLUCINATION"))</x:f>
        <x:v>0</x:v>
      </x:c>
      <x:c r="AH2796" t="n">
        <x:f>--AND(AG2796=1,AE2796="HALLUCINATION")</x:f>
        <x:v>0</x:v>
      </x:c>
      <x:c r="AI2796" t="n">
        <x:f>--AND(Q2796=1,AF2796=1,AE2796="HALLUCINATION")</x:f>
        <x:v>0</x:v>
      </x:c>
      <x:c r="AJ2796" t="n">
        <x:f>--AND(AI2796=1,R2796=1,S2796=1)</x:f>
        <x:v>0</x:v>
      </x:c>
    </x:row>
    <x:row r="2797">
      <x:c r="A2797" s="28"/>
      <x:c r="B2797" s="28"/>
      <x:c r="C2797" s="28"/>
      <x:c r="D2797" s="28"/>
      <x:c r="E2797" s="28"/>
      <x:c r="F2797" s="28"/>
      <x:c r="G2797" s="28"/>
      <x:c r="H2797" s="28"/>
      <x:c r="I2797" s="28"/>
      <x:c r="J2797" s="28"/>
      <x:c r="K2797" s="28"/>
      <x:c r="L2797" s="28"/>
      <x:c r="M2797" s="28"/>
      <x:c r="N2797" s="28"/>
      <x:c r="O2797" s="28"/>
      <x:c r="P2797" s="28"/>
      <x:c r="Q2797" s="28"/>
      <x:c r="R2797" s="28"/>
      <x:c r="S2797" s="28"/>
      <x:c r="T2797" s="28"/>
      <x:c r="U2797" s="28"/>
      <x:c r="V2797" s="28"/>
      <x:c r="W2797" s="43" t="n">
        <x:f>--AND(N2797=1,OR(O2797="SUPPORTED",O2797="HALLUCINATION"))</x:f>
        <x:v>0</x:v>
      </x:c>
      <x:c r="X2797" s="43" t="n">
        <x:f>--AND(W2797=1,O2797="HALLUCINATION")</x:f>
        <x:v>0</x:v>
      </x:c>
      <x:c r="Y2797" s="43" t="n">
        <x:f>--AND(Q2797=1,O2797="HALLUCINATION")</x:f>
        <x:v>0</x:v>
      </x:c>
      <x:c r="Z2797" s="43" t="n">
        <x:f>--AND(Y2797=1,R2797=1,S2797=1)</x:f>
        <x:v>0</x:v>
      </x:c>
      <x:c r="AC2797" t="str">
        <x:f>IF(OR(AA2797="",AB2797=""),"",--(AA2797&lt;&gt;AB2797))</x:f>
      </x:c>
      <x:c r="AE2797" t="str">
        <x:f>IF(OR(AA2797="",AB2797=""),"PENDING_HUMAN",IF(AA2797=AB2797,AA2797,IF(AD2797&lt;&gt;"",AD2797,"PENDING_HUMAN")))</x:f>
        <x:v>PENDING_HUMAN</x:v>
      </x:c>
      <x:c r="AF2797" t="n">
        <x:f>--AND(A2797&lt;&gt;"",AA2797&lt;&gt;"",AB2797&lt;&gt;"",OR(AA2797=AB2797,AD2797&lt;&gt;""),IF(AE2797="HALLUCINATION",U2797&lt;&gt;"",TRUE))</x:f>
        <x:v>0</x:v>
      </x:c>
      <x:c r="AG2797" t="n">
        <x:f>--AND(N2797=1,AF2797=1,OR(AE2797="SUPPORTED",AE2797="HALLUCINATION"))</x:f>
        <x:v>0</x:v>
      </x:c>
      <x:c r="AH2797" t="n">
        <x:f>--AND(AG2797=1,AE2797="HALLUCINATION")</x:f>
        <x:v>0</x:v>
      </x:c>
      <x:c r="AI2797" t="n">
        <x:f>--AND(Q2797=1,AF2797=1,AE2797="HALLUCINATION")</x:f>
        <x:v>0</x:v>
      </x:c>
      <x:c r="AJ2797" t="n">
        <x:f>--AND(AI2797=1,R2797=1,S2797=1)</x:f>
        <x:v>0</x:v>
      </x:c>
    </x:row>
    <x:row r="2798">
      <x:c r="A2798" s="28"/>
      <x:c r="B2798" s="28"/>
      <x:c r="C2798" s="28"/>
      <x:c r="D2798" s="28"/>
      <x:c r="E2798" s="28"/>
      <x:c r="F2798" s="28"/>
      <x:c r="G2798" s="28"/>
      <x:c r="H2798" s="28"/>
      <x:c r="I2798" s="28"/>
      <x:c r="J2798" s="28"/>
      <x:c r="K2798" s="28"/>
      <x:c r="L2798" s="28"/>
      <x:c r="M2798" s="28"/>
      <x:c r="N2798" s="28"/>
      <x:c r="O2798" s="28"/>
      <x:c r="P2798" s="28"/>
      <x:c r="Q2798" s="28"/>
      <x:c r="R2798" s="28"/>
      <x:c r="S2798" s="28"/>
      <x:c r="T2798" s="28"/>
      <x:c r="U2798" s="28"/>
      <x:c r="V2798" s="28"/>
      <x:c r="W2798" s="43" t="n">
        <x:f>--AND(N2798=1,OR(O2798="SUPPORTED",O2798="HALLUCINATION"))</x:f>
        <x:v>0</x:v>
      </x:c>
      <x:c r="X2798" s="43" t="n">
        <x:f>--AND(W2798=1,O2798="HALLUCINATION")</x:f>
        <x:v>0</x:v>
      </x:c>
      <x:c r="Y2798" s="43" t="n">
        <x:f>--AND(Q2798=1,O2798="HALLUCINATION")</x:f>
        <x:v>0</x:v>
      </x:c>
      <x:c r="Z2798" s="43" t="n">
        <x:f>--AND(Y2798=1,R2798=1,S2798=1)</x:f>
        <x:v>0</x:v>
      </x:c>
      <x:c r="AC2798" t="str">
        <x:f>IF(OR(AA2798="",AB2798=""),"",--(AA2798&lt;&gt;AB2798))</x:f>
      </x:c>
      <x:c r="AE2798" t="str">
        <x:f>IF(OR(AA2798="",AB2798=""),"PENDING_HUMAN",IF(AA2798=AB2798,AA2798,IF(AD2798&lt;&gt;"",AD2798,"PENDING_HUMAN")))</x:f>
        <x:v>PENDING_HUMAN</x:v>
      </x:c>
      <x:c r="AF2798" t="n">
        <x:f>--AND(A2798&lt;&gt;"",AA2798&lt;&gt;"",AB2798&lt;&gt;"",OR(AA2798=AB2798,AD2798&lt;&gt;""),IF(AE2798="HALLUCINATION",U2798&lt;&gt;"",TRUE))</x:f>
        <x:v>0</x:v>
      </x:c>
      <x:c r="AG2798" t="n">
        <x:f>--AND(N2798=1,AF2798=1,OR(AE2798="SUPPORTED",AE2798="HALLUCINATION"))</x:f>
        <x:v>0</x:v>
      </x:c>
      <x:c r="AH2798" t="n">
        <x:f>--AND(AG2798=1,AE2798="HALLUCINATION")</x:f>
        <x:v>0</x:v>
      </x:c>
      <x:c r="AI2798" t="n">
        <x:f>--AND(Q2798=1,AF2798=1,AE2798="HALLUCINATION")</x:f>
        <x:v>0</x:v>
      </x:c>
      <x:c r="AJ2798" t="n">
        <x:f>--AND(AI2798=1,R2798=1,S2798=1)</x:f>
        <x:v>0</x:v>
      </x:c>
    </x:row>
    <x:row r="2799">
      <x:c r="A2799" s="28"/>
      <x:c r="B2799" s="28"/>
      <x:c r="C2799" s="28"/>
      <x:c r="D2799" s="28"/>
      <x:c r="E2799" s="28"/>
      <x:c r="F2799" s="28"/>
      <x:c r="G2799" s="28"/>
      <x:c r="H2799" s="28"/>
      <x:c r="I2799" s="28"/>
      <x:c r="J2799" s="28"/>
      <x:c r="K2799" s="28"/>
      <x:c r="L2799" s="28"/>
      <x:c r="M2799" s="28"/>
      <x:c r="N2799" s="28"/>
      <x:c r="O2799" s="28"/>
      <x:c r="P2799" s="28"/>
      <x:c r="Q2799" s="28"/>
      <x:c r="R2799" s="28"/>
      <x:c r="S2799" s="28"/>
      <x:c r="T2799" s="28"/>
      <x:c r="U2799" s="28"/>
      <x:c r="V2799" s="28"/>
      <x:c r="W2799" s="43" t="n">
        <x:f>--AND(N2799=1,OR(O2799="SUPPORTED",O2799="HALLUCINATION"))</x:f>
        <x:v>0</x:v>
      </x:c>
      <x:c r="X2799" s="43" t="n">
        <x:f>--AND(W2799=1,O2799="HALLUCINATION")</x:f>
        <x:v>0</x:v>
      </x:c>
      <x:c r="Y2799" s="43" t="n">
        <x:f>--AND(Q2799=1,O2799="HALLUCINATION")</x:f>
        <x:v>0</x:v>
      </x:c>
      <x:c r="Z2799" s="43" t="n">
        <x:f>--AND(Y2799=1,R2799=1,S2799=1)</x:f>
        <x:v>0</x:v>
      </x:c>
      <x:c r="AC2799" t="str">
        <x:f>IF(OR(AA2799="",AB2799=""),"",--(AA2799&lt;&gt;AB2799))</x:f>
      </x:c>
      <x:c r="AE2799" t="str">
        <x:f>IF(OR(AA2799="",AB2799=""),"PENDING_HUMAN",IF(AA2799=AB2799,AA2799,IF(AD2799&lt;&gt;"",AD2799,"PENDING_HUMAN")))</x:f>
        <x:v>PENDING_HUMAN</x:v>
      </x:c>
      <x:c r="AF2799" t="n">
        <x:f>--AND(A2799&lt;&gt;"",AA2799&lt;&gt;"",AB2799&lt;&gt;"",OR(AA2799=AB2799,AD2799&lt;&gt;""),IF(AE2799="HALLUCINATION",U2799&lt;&gt;"",TRUE))</x:f>
        <x:v>0</x:v>
      </x:c>
      <x:c r="AG2799" t="n">
        <x:f>--AND(N2799=1,AF2799=1,OR(AE2799="SUPPORTED",AE2799="HALLUCINATION"))</x:f>
        <x:v>0</x:v>
      </x:c>
      <x:c r="AH2799" t="n">
        <x:f>--AND(AG2799=1,AE2799="HALLUCINATION")</x:f>
        <x:v>0</x:v>
      </x:c>
      <x:c r="AI2799" t="n">
        <x:f>--AND(Q2799=1,AF2799=1,AE2799="HALLUCINATION")</x:f>
        <x:v>0</x:v>
      </x:c>
      <x:c r="AJ2799" t="n">
        <x:f>--AND(AI2799=1,R2799=1,S2799=1)</x:f>
        <x:v>0</x:v>
      </x:c>
    </x:row>
    <x:row r="2800">
      <x:c r="A2800" s="28"/>
      <x:c r="B2800" s="28"/>
      <x:c r="C2800" s="28"/>
      <x:c r="D2800" s="28"/>
      <x:c r="E2800" s="28"/>
      <x:c r="F2800" s="28"/>
      <x:c r="G2800" s="28"/>
      <x:c r="H2800" s="28"/>
      <x:c r="I2800" s="28"/>
      <x:c r="J2800" s="28"/>
      <x:c r="K2800" s="28"/>
      <x:c r="L2800" s="28"/>
      <x:c r="M2800" s="28"/>
      <x:c r="N2800" s="28"/>
      <x:c r="O2800" s="28"/>
      <x:c r="P2800" s="28"/>
      <x:c r="Q2800" s="28"/>
      <x:c r="R2800" s="28"/>
      <x:c r="S2800" s="28"/>
      <x:c r="T2800" s="28"/>
      <x:c r="U2800" s="28"/>
      <x:c r="V2800" s="28"/>
      <x:c r="W2800" s="43" t="n">
        <x:f>--AND(N2800=1,OR(O2800="SUPPORTED",O2800="HALLUCINATION"))</x:f>
        <x:v>0</x:v>
      </x:c>
      <x:c r="X2800" s="43" t="n">
        <x:f>--AND(W2800=1,O2800="HALLUCINATION")</x:f>
        <x:v>0</x:v>
      </x:c>
      <x:c r="Y2800" s="43" t="n">
        <x:f>--AND(Q2800=1,O2800="HALLUCINATION")</x:f>
        <x:v>0</x:v>
      </x:c>
      <x:c r="Z2800" s="43" t="n">
        <x:f>--AND(Y2800=1,R2800=1,S2800=1)</x:f>
        <x:v>0</x:v>
      </x:c>
      <x:c r="AC2800" t="str">
        <x:f>IF(OR(AA2800="",AB2800=""),"",--(AA2800&lt;&gt;AB2800))</x:f>
      </x:c>
      <x:c r="AE2800" t="str">
        <x:f>IF(OR(AA2800="",AB2800=""),"PENDING_HUMAN",IF(AA2800=AB2800,AA2800,IF(AD2800&lt;&gt;"",AD2800,"PENDING_HUMAN")))</x:f>
        <x:v>PENDING_HUMAN</x:v>
      </x:c>
      <x:c r="AF2800" t="n">
        <x:f>--AND(A2800&lt;&gt;"",AA2800&lt;&gt;"",AB2800&lt;&gt;"",OR(AA2800=AB2800,AD2800&lt;&gt;""),IF(AE2800="HALLUCINATION",U2800&lt;&gt;"",TRUE))</x:f>
        <x:v>0</x:v>
      </x:c>
      <x:c r="AG2800" t="n">
        <x:f>--AND(N2800=1,AF2800=1,OR(AE2800="SUPPORTED",AE2800="HALLUCINATION"))</x:f>
        <x:v>0</x:v>
      </x:c>
      <x:c r="AH2800" t="n">
        <x:f>--AND(AG2800=1,AE2800="HALLUCINATION")</x:f>
        <x:v>0</x:v>
      </x:c>
      <x:c r="AI2800" t="n">
        <x:f>--AND(Q2800=1,AF2800=1,AE2800="HALLUCINATION")</x:f>
        <x:v>0</x:v>
      </x:c>
      <x:c r="AJ2800" t="n">
        <x:f>--AND(AI2800=1,R2800=1,S2800=1)</x:f>
        <x:v>0</x:v>
      </x:c>
    </x:row>
    <x:row r="2801">
      <x:c r="A2801" s="28"/>
      <x:c r="B2801" s="28"/>
      <x:c r="C2801" s="28"/>
      <x:c r="D2801" s="28"/>
      <x:c r="E2801" s="28"/>
      <x:c r="F2801" s="28"/>
      <x:c r="G2801" s="28"/>
      <x:c r="H2801" s="28"/>
      <x:c r="I2801" s="28"/>
      <x:c r="J2801" s="28"/>
      <x:c r="K2801" s="28"/>
      <x:c r="L2801" s="28"/>
      <x:c r="M2801" s="28"/>
      <x:c r="N2801" s="28"/>
      <x:c r="O2801" s="28"/>
      <x:c r="P2801" s="28"/>
      <x:c r="Q2801" s="28"/>
      <x:c r="R2801" s="28"/>
      <x:c r="S2801" s="28"/>
      <x:c r="T2801" s="28"/>
      <x:c r="U2801" s="28"/>
      <x:c r="V2801" s="28"/>
      <x:c r="W2801" s="43" t="n">
        <x:f>--AND(N2801=1,OR(O2801="SUPPORTED",O2801="HALLUCINATION"))</x:f>
        <x:v>0</x:v>
      </x:c>
      <x:c r="X2801" s="43" t="n">
        <x:f>--AND(W2801=1,O2801="HALLUCINATION")</x:f>
        <x:v>0</x:v>
      </x:c>
      <x:c r="Y2801" s="43" t="n">
        <x:f>--AND(Q2801=1,O2801="HALLUCINATION")</x:f>
        <x:v>0</x:v>
      </x:c>
      <x:c r="Z2801" s="43" t="n">
        <x:f>--AND(Y2801=1,R2801=1,S2801=1)</x:f>
        <x:v>0</x:v>
      </x:c>
      <x:c r="AC2801" t="str">
        <x:f>IF(OR(AA2801="",AB2801=""),"",--(AA2801&lt;&gt;AB2801))</x:f>
      </x:c>
      <x:c r="AE2801" t="str">
        <x:f>IF(OR(AA2801="",AB2801=""),"PENDING_HUMAN",IF(AA2801=AB2801,AA2801,IF(AD2801&lt;&gt;"",AD2801,"PENDING_HUMAN")))</x:f>
        <x:v>PENDING_HUMAN</x:v>
      </x:c>
      <x:c r="AF2801" t="n">
        <x:f>--AND(A2801&lt;&gt;"",AA2801&lt;&gt;"",AB2801&lt;&gt;"",OR(AA2801=AB2801,AD2801&lt;&gt;""),IF(AE2801="HALLUCINATION",U2801&lt;&gt;"",TRUE))</x:f>
        <x:v>0</x:v>
      </x:c>
      <x:c r="AG2801" t="n">
        <x:f>--AND(N2801=1,AF2801=1,OR(AE2801="SUPPORTED",AE2801="HALLUCINATION"))</x:f>
        <x:v>0</x:v>
      </x:c>
      <x:c r="AH2801" t="n">
        <x:f>--AND(AG2801=1,AE2801="HALLUCINATION")</x:f>
        <x:v>0</x:v>
      </x:c>
      <x:c r="AI2801" t="n">
        <x:f>--AND(Q2801=1,AF2801=1,AE2801="HALLUCINATION")</x:f>
        <x:v>0</x:v>
      </x:c>
      <x:c r="AJ2801" t="n">
        <x:f>--AND(AI2801=1,R2801=1,S2801=1)</x:f>
        <x:v>0</x:v>
      </x:c>
    </x:row>
    <x:row r="2802">
      <x:c r="A2802" s="28"/>
      <x:c r="B2802" s="28"/>
      <x:c r="C2802" s="28"/>
      <x:c r="D2802" s="28"/>
      <x:c r="E2802" s="28"/>
      <x:c r="F2802" s="28"/>
      <x:c r="G2802" s="28"/>
      <x:c r="H2802" s="28"/>
      <x:c r="I2802" s="28"/>
      <x:c r="J2802" s="28"/>
      <x:c r="K2802" s="28"/>
      <x:c r="L2802" s="28"/>
      <x:c r="M2802" s="28"/>
      <x:c r="N2802" s="28"/>
      <x:c r="O2802" s="28"/>
      <x:c r="P2802" s="28"/>
      <x:c r="Q2802" s="28"/>
      <x:c r="R2802" s="28"/>
      <x:c r="S2802" s="28"/>
      <x:c r="T2802" s="28"/>
      <x:c r="U2802" s="28"/>
      <x:c r="V2802" s="28"/>
      <x:c r="W2802" s="43" t="n">
        <x:f>--AND(N2802=1,OR(O2802="SUPPORTED",O2802="HALLUCINATION"))</x:f>
        <x:v>0</x:v>
      </x:c>
      <x:c r="X2802" s="43" t="n">
        <x:f>--AND(W2802=1,O2802="HALLUCINATION")</x:f>
        <x:v>0</x:v>
      </x:c>
      <x:c r="Y2802" s="43" t="n">
        <x:f>--AND(Q2802=1,O2802="HALLUCINATION")</x:f>
        <x:v>0</x:v>
      </x:c>
      <x:c r="Z2802" s="43" t="n">
        <x:f>--AND(Y2802=1,R2802=1,S2802=1)</x:f>
        <x:v>0</x:v>
      </x:c>
      <x:c r="AC2802" t="str">
        <x:f>IF(OR(AA2802="",AB2802=""),"",--(AA2802&lt;&gt;AB2802))</x:f>
      </x:c>
      <x:c r="AE2802" t="str">
        <x:f>IF(OR(AA2802="",AB2802=""),"PENDING_HUMAN",IF(AA2802=AB2802,AA2802,IF(AD2802&lt;&gt;"",AD2802,"PENDING_HUMAN")))</x:f>
        <x:v>PENDING_HUMAN</x:v>
      </x:c>
      <x:c r="AF2802" t="n">
        <x:f>--AND(A2802&lt;&gt;"",AA2802&lt;&gt;"",AB2802&lt;&gt;"",OR(AA2802=AB2802,AD2802&lt;&gt;""),IF(AE2802="HALLUCINATION",U2802&lt;&gt;"",TRUE))</x:f>
        <x:v>0</x:v>
      </x:c>
      <x:c r="AG2802" t="n">
        <x:f>--AND(N2802=1,AF2802=1,OR(AE2802="SUPPORTED",AE2802="HALLUCINATION"))</x:f>
        <x:v>0</x:v>
      </x:c>
      <x:c r="AH2802" t="n">
        <x:f>--AND(AG2802=1,AE2802="HALLUCINATION")</x:f>
        <x:v>0</x:v>
      </x:c>
      <x:c r="AI2802" t="n">
        <x:f>--AND(Q2802=1,AF2802=1,AE2802="HALLUCINATION")</x:f>
        <x:v>0</x:v>
      </x:c>
      <x:c r="AJ2802" t="n">
        <x:f>--AND(AI2802=1,R2802=1,S2802=1)</x:f>
        <x:v>0</x:v>
      </x:c>
    </x:row>
    <x:row r="2803">
      <x:c r="A2803" s="28"/>
      <x:c r="B2803" s="28"/>
      <x:c r="C2803" s="28"/>
      <x:c r="D2803" s="28"/>
      <x:c r="E2803" s="28"/>
      <x:c r="F2803" s="28"/>
      <x:c r="G2803" s="28"/>
      <x:c r="H2803" s="28"/>
      <x:c r="I2803" s="28"/>
      <x:c r="J2803" s="28"/>
      <x:c r="K2803" s="28"/>
      <x:c r="L2803" s="28"/>
      <x:c r="M2803" s="28"/>
      <x:c r="N2803" s="28"/>
      <x:c r="O2803" s="28"/>
      <x:c r="P2803" s="28"/>
      <x:c r="Q2803" s="28"/>
      <x:c r="R2803" s="28"/>
      <x:c r="S2803" s="28"/>
      <x:c r="T2803" s="28"/>
      <x:c r="U2803" s="28"/>
      <x:c r="V2803" s="28"/>
      <x:c r="W2803" s="43" t="n">
        <x:f>--AND(N2803=1,OR(O2803="SUPPORTED",O2803="HALLUCINATION"))</x:f>
        <x:v>0</x:v>
      </x:c>
      <x:c r="X2803" s="43" t="n">
        <x:f>--AND(W2803=1,O2803="HALLUCINATION")</x:f>
        <x:v>0</x:v>
      </x:c>
      <x:c r="Y2803" s="43" t="n">
        <x:f>--AND(Q2803=1,O2803="HALLUCINATION")</x:f>
        <x:v>0</x:v>
      </x:c>
      <x:c r="Z2803" s="43" t="n">
        <x:f>--AND(Y2803=1,R2803=1,S2803=1)</x:f>
        <x:v>0</x:v>
      </x:c>
      <x:c r="AC2803" t="str">
        <x:f>IF(OR(AA2803="",AB2803=""),"",--(AA2803&lt;&gt;AB2803))</x:f>
      </x:c>
      <x:c r="AE2803" t="str">
        <x:f>IF(OR(AA2803="",AB2803=""),"PENDING_HUMAN",IF(AA2803=AB2803,AA2803,IF(AD2803&lt;&gt;"",AD2803,"PENDING_HUMAN")))</x:f>
        <x:v>PENDING_HUMAN</x:v>
      </x:c>
      <x:c r="AF2803" t="n">
        <x:f>--AND(A2803&lt;&gt;"",AA2803&lt;&gt;"",AB2803&lt;&gt;"",OR(AA2803=AB2803,AD2803&lt;&gt;""),IF(AE2803="HALLUCINATION",U2803&lt;&gt;"",TRUE))</x:f>
        <x:v>0</x:v>
      </x:c>
      <x:c r="AG2803" t="n">
        <x:f>--AND(N2803=1,AF2803=1,OR(AE2803="SUPPORTED",AE2803="HALLUCINATION"))</x:f>
        <x:v>0</x:v>
      </x:c>
      <x:c r="AH2803" t="n">
        <x:f>--AND(AG2803=1,AE2803="HALLUCINATION")</x:f>
        <x:v>0</x:v>
      </x:c>
      <x:c r="AI2803" t="n">
        <x:f>--AND(Q2803=1,AF2803=1,AE2803="HALLUCINATION")</x:f>
        <x:v>0</x:v>
      </x:c>
      <x:c r="AJ2803" t="n">
        <x:f>--AND(AI2803=1,R2803=1,S2803=1)</x:f>
        <x:v>0</x:v>
      </x:c>
    </x:row>
    <x:row r="2804">
      <x:c r="A2804" s="28"/>
      <x:c r="B2804" s="28"/>
      <x:c r="C2804" s="28"/>
      <x:c r="D2804" s="28"/>
      <x:c r="E2804" s="28"/>
      <x:c r="F2804" s="28"/>
      <x:c r="G2804" s="28"/>
      <x:c r="H2804" s="28"/>
      <x:c r="I2804" s="28"/>
      <x:c r="J2804" s="28"/>
      <x:c r="K2804" s="28"/>
      <x:c r="L2804" s="28"/>
      <x:c r="M2804" s="28"/>
      <x:c r="N2804" s="28"/>
      <x:c r="O2804" s="28"/>
      <x:c r="P2804" s="28"/>
      <x:c r="Q2804" s="28"/>
      <x:c r="R2804" s="28"/>
      <x:c r="S2804" s="28"/>
      <x:c r="T2804" s="28"/>
      <x:c r="U2804" s="28"/>
      <x:c r="V2804" s="28"/>
      <x:c r="W2804" s="43" t="n">
        <x:f>--AND(N2804=1,OR(O2804="SUPPORTED",O2804="HALLUCINATION"))</x:f>
        <x:v>0</x:v>
      </x:c>
      <x:c r="X2804" s="43" t="n">
        <x:f>--AND(W2804=1,O2804="HALLUCINATION")</x:f>
        <x:v>0</x:v>
      </x:c>
      <x:c r="Y2804" s="43" t="n">
        <x:f>--AND(Q2804=1,O2804="HALLUCINATION")</x:f>
        <x:v>0</x:v>
      </x:c>
      <x:c r="Z2804" s="43" t="n">
        <x:f>--AND(Y2804=1,R2804=1,S2804=1)</x:f>
        <x:v>0</x:v>
      </x:c>
      <x:c r="AC2804" t="str">
        <x:f>IF(OR(AA2804="",AB2804=""),"",--(AA2804&lt;&gt;AB2804))</x:f>
      </x:c>
      <x:c r="AE2804" t="str">
        <x:f>IF(OR(AA2804="",AB2804=""),"PENDING_HUMAN",IF(AA2804=AB2804,AA2804,IF(AD2804&lt;&gt;"",AD2804,"PENDING_HUMAN")))</x:f>
        <x:v>PENDING_HUMAN</x:v>
      </x:c>
      <x:c r="AF2804" t="n">
        <x:f>--AND(A2804&lt;&gt;"",AA2804&lt;&gt;"",AB2804&lt;&gt;"",OR(AA2804=AB2804,AD2804&lt;&gt;""),IF(AE2804="HALLUCINATION",U2804&lt;&gt;"",TRUE))</x:f>
        <x:v>0</x:v>
      </x:c>
      <x:c r="AG2804" t="n">
        <x:f>--AND(N2804=1,AF2804=1,OR(AE2804="SUPPORTED",AE2804="HALLUCINATION"))</x:f>
        <x:v>0</x:v>
      </x:c>
      <x:c r="AH2804" t="n">
        <x:f>--AND(AG2804=1,AE2804="HALLUCINATION")</x:f>
        <x:v>0</x:v>
      </x:c>
      <x:c r="AI2804" t="n">
        <x:f>--AND(Q2804=1,AF2804=1,AE2804="HALLUCINATION")</x:f>
        <x:v>0</x:v>
      </x:c>
      <x:c r="AJ2804" t="n">
        <x:f>--AND(AI2804=1,R2804=1,S2804=1)</x:f>
        <x:v>0</x:v>
      </x:c>
    </x:row>
    <x:row r="2805">
      <x:c r="A2805" s="28"/>
      <x:c r="B2805" s="28"/>
      <x:c r="C2805" s="28"/>
      <x:c r="D2805" s="28"/>
      <x:c r="E2805" s="28"/>
      <x:c r="F2805" s="28"/>
      <x:c r="G2805" s="28"/>
      <x:c r="H2805" s="28"/>
      <x:c r="I2805" s="28"/>
      <x:c r="J2805" s="28"/>
      <x:c r="K2805" s="28"/>
      <x:c r="L2805" s="28"/>
      <x:c r="M2805" s="28"/>
      <x:c r="N2805" s="28"/>
      <x:c r="O2805" s="28"/>
      <x:c r="P2805" s="28"/>
      <x:c r="Q2805" s="28"/>
      <x:c r="R2805" s="28"/>
      <x:c r="S2805" s="28"/>
      <x:c r="T2805" s="28"/>
      <x:c r="U2805" s="28"/>
      <x:c r="V2805" s="28"/>
      <x:c r="W2805" s="43" t="n">
        <x:f>--AND(N2805=1,OR(O2805="SUPPORTED",O2805="HALLUCINATION"))</x:f>
        <x:v>0</x:v>
      </x:c>
      <x:c r="X2805" s="43" t="n">
        <x:f>--AND(W2805=1,O2805="HALLUCINATION")</x:f>
        <x:v>0</x:v>
      </x:c>
      <x:c r="Y2805" s="43" t="n">
        <x:f>--AND(Q2805=1,O2805="HALLUCINATION")</x:f>
        <x:v>0</x:v>
      </x:c>
      <x:c r="Z2805" s="43" t="n">
        <x:f>--AND(Y2805=1,R2805=1,S2805=1)</x:f>
        <x:v>0</x:v>
      </x:c>
      <x:c r="AC2805" t="str">
        <x:f>IF(OR(AA2805="",AB2805=""),"",--(AA2805&lt;&gt;AB2805))</x:f>
      </x:c>
      <x:c r="AE2805" t="str">
        <x:f>IF(OR(AA2805="",AB2805=""),"PENDING_HUMAN",IF(AA2805=AB2805,AA2805,IF(AD2805&lt;&gt;"",AD2805,"PENDING_HUMAN")))</x:f>
        <x:v>PENDING_HUMAN</x:v>
      </x:c>
      <x:c r="AF2805" t="n">
        <x:f>--AND(A2805&lt;&gt;"",AA2805&lt;&gt;"",AB2805&lt;&gt;"",OR(AA2805=AB2805,AD2805&lt;&gt;""),IF(AE2805="HALLUCINATION",U2805&lt;&gt;"",TRUE))</x:f>
        <x:v>0</x:v>
      </x:c>
      <x:c r="AG2805" t="n">
        <x:f>--AND(N2805=1,AF2805=1,OR(AE2805="SUPPORTED",AE2805="HALLUCINATION"))</x:f>
        <x:v>0</x:v>
      </x:c>
      <x:c r="AH2805" t="n">
        <x:f>--AND(AG2805=1,AE2805="HALLUCINATION")</x:f>
        <x:v>0</x:v>
      </x:c>
      <x:c r="AI2805" t="n">
        <x:f>--AND(Q2805=1,AF2805=1,AE2805="HALLUCINATION")</x:f>
        <x:v>0</x:v>
      </x:c>
      <x:c r="AJ2805" t="n">
        <x:f>--AND(AI2805=1,R2805=1,S2805=1)</x:f>
        <x:v>0</x:v>
      </x:c>
    </x:row>
    <x:row r="2806">
      <x:c r="A2806" s="28"/>
      <x:c r="B2806" s="28"/>
      <x:c r="C2806" s="28"/>
      <x:c r="D2806" s="28"/>
      <x:c r="E2806" s="28"/>
      <x:c r="F2806" s="28"/>
      <x:c r="G2806" s="28"/>
      <x:c r="H2806" s="28"/>
      <x:c r="I2806" s="28"/>
      <x:c r="J2806" s="28"/>
      <x:c r="K2806" s="28"/>
      <x:c r="L2806" s="28"/>
      <x:c r="M2806" s="28"/>
      <x:c r="N2806" s="28"/>
      <x:c r="O2806" s="28"/>
      <x:c r="P2806" s="28"/>
      <x:c r="Q2806" s="28"/>
      <x:c r="R2806" s="28"/>
      <x:c r="S2806" s="28"/>
      <x:c r="T2806" s="28"/>
      <x:c r="U2806" s="28"/>
      <x:c r="V2806" s="28"/>
      <x:c r="W2806" s="43" t="n">
        <x:f>--AND(N2806=1,OR(O2806="SUPPORTED",O2806="HALLUCINATION"))</x:f>
        <x:v>0</x:v>
      </x:c>
      <x:c r="X2806" s="43" t="n">
        <x:f>--AND(W2806=1,O2806="HALLUCINATION")</x:f>
        <x:v>0</x:v>
      </x:c>
      <x:c r="Y2806" s="43" t="n">
        <x:f>--AND(Q2806=1,O2806="HALLUCINATION")</x:f>
        <x:v>0</x:v>
      </x:c>
      <x:c r="Z2806" s="43" t="n">
        <x:f>--AND(Y2806=1,R2806=1,S2806=1)</x:f>
        <x:v>0</x:v>
      </x:c>
      <x:c r="AC2806" t="str">
        <x:f>IF(OR(AA2806="",AB2806=""),"",--(AA2806&lt;&gt;AB2806))</x:f>
      </x:c>
      <x:c r="AE2806" t="str">
        <x:f>IF(OR(AA2806="",AB2806=""),"PENDING_HUMAN",IF(AA2806=AB2806,AA2806,IF(AD2806&lt;&gt;"",AD2806,"PENDING_HUMAN")))</x:f>
        <x:v>PENDING_HUMAN</x:v>
      </x:c>
      <x:c r="AF2806" t="n">
        <x:f>--AND(A2806&lt;&gt;"",AA2806&lt;&gt;"",AB2806&lt;&gt;"",OR(AA2806=AB2806,AD2806&lt;&gt;""),IF(AE2806="HALLUCINATION",U2806&lt;&gt;"",TRUE))</x:f>
        <x:v>0</x:v>
      </x:c>
      <x:c r="AG2806" t="n">
        <x:f>--AND(N2806=1,AF2806=1,OR(AE2806="SUPPORTED",AE2806="HALLUCINATION"))</x:f>
        <x:v>0</x:v>
      </x:c>
      <x:c r="AH2806" t="n">
        <x:f>--AND(AG2806=1,AE2806="HALLUCINATION")</x:f>
        <x:v>0</x:v>
      </x:c>
      <x:c r="AI2806" t="n">
        <x:f>--AND(Q2806=1,AF2806=1,AE2806="HALLUCINATION")</x:f>
        <x:v>0</x:v>
      </x:c>
      <x:c r="AJ2806" t="n">
        <x:f>--AND(AI2806=1,R2806=1,S2806=1)</x:f>
        <x:v>0</x:v>
      </x:c>
    </x:row>
    <x:row r="2807">
      <x:c r="A2807" s="28"/>
      <x:c r="B2807" s="28"/>
      <x:c r="C2807" s="28"/>
      <x:c r="D2807" s="28"/>
      <x:c r="E2807" s="28"/>
      <x:c r="F2807" s="28"/>
      <x:c r="G2807" s="28"/>
      <x:c r="H2807" s="28"/>
      <x:c r="I2807" s="28"/>
      <x:c r="J2807" s="28"/>
      <x:c r="K2807" s="28"/>
      <x:c r="L2807" s="28"/>
      <x:c r="M2807" s="28"/>
      <x:c r="N2807" s="28"/>
      <x:c r="O2807" s="28"/>
      <x:c r="P2807" s="28"/>
      <x:c r="Q2807" s="28"/>
      <x:c r="R2807" s="28"/>
      <x:c r="S2807" s="28"/>
      <x:c r="T2807" s="28"/>
      <x:c r="U2807" s="28"/>
      <x:c r="V2807" s="28"/>
      <x:c r="W2807" s="43" t="n">
        <x:f>--AND(N2807=1,OR(O2807="SUPPORTED",O2807="HALLUCINATION"))</x:f>
        <x:v>0</x:v>
      </x:c>
      <x:c r="X2807" s="43" t="n">
        <x:f>--AND(W2807=1,O2807="HALLUCINATION")</x:f>
        <x:v>0</x:v>
      </x:c>
      <x:c r="Y2807" s="43" t="n">
        <x:f>--AND(Q2807=1,O2807="HALLUCINATION")</x:f>
        <x:v>0</x:v>
      </x:c>
      <x:c r="Z2807" s="43" t="n">
        <x:f>--AND(Y2807=1,R2807=1,S2807=1)</x:f>
        <x:v>0</x:v>
      </x:c>
      <x:c r="AC2807" t="str">
        <x:f>IF(OR(AA2807="",AB2807=""),"",--(AA2807&lt;&gt;AB2807))</x:f>
      </x:c>
      <x:c r="AE2807" t="str">
        <x:f>IF(OR(AA2807="",AB2807=""),"PENDING_HUMAN",IF(AA2807=AB2807,AA2807,IF(AD2807&lt;&gt;"",AD2807,"PENDING_HUMAN")))</x:f>
        <x:v>PENDING_HUMAN</x:v>
      </x:c>
      <x:c r="AF2807" t="n">
        <x:f>--AND(A2807&lt;&gt;"",AA2807&lt;&gt;"",AB2807&lt;&gt;"",OR(AA2807=AB2807,AD2807&lt;&gt;""),IF(AE2807="HALLUCINATION",U2807&lt;&gt;"",TRUE))</x:f>
        <x:v>0</x:v>
      </x:c>
      <x:c r="AG2807" t="n">
        <x:f>--AND(N2807=1,AF2807=1,OR(AE2807="SUPPORTED",AE2807="HALLUCINATION"))</x:f>
        <x:v>0</x:v>
      </x:c>
      <x:c r="AH2807" t="n">
        <x:f>--AND(AG2807=1,AE2807="HALLUCINATION")</x:f>
        <x:v>0</x:v>
      </x:c>
      <x:c r="AI2807" t="n">
        <x:f>--AND(Q2807=1,AF2807=1,AE2807="HALLUCINATION")</x:f>
        <x:v>0</x:v>
      </x:c>
      <x:c r="AJ2807" t="n">
        <x:f>--AND(AI2807=1,R2807=1,S2807=1)</x:f>
        <x:v>0</x:v>
      </x:c>
    </x:row>
    <x:row r="2808">
      <x:c r="A2808" s="28"/>
      <x:c r="B2808" s="28"/>
      <x:c r="C2808" s="28"/>
      <x:c r="D2808" s="28"/>
      <x:c r="E2808" s="28"/>
      <x:c r="F2808" s="28"/>
      <x:c r="G2808" s="28"/>
      <x:c r="H2808" s="28"/>
      <x:c r="I2808" s="28"/>
      <x:c r="J2808" s="28"/>
      <x:c r="K2808" s="28"/>
      <x:c r="L2808" s="28"/>
      <x:c r="M2808" s="28"/>
      <x:c r="N2808" s="28"/>
      <x:c r="O2808" s="28"/>
      <x:c r="P2808" s="28"/>
      <x:c r="Q2808" s="28"/>
      <x:c r="R2808" s="28"/>
      <x:c r="S2808" s="28"/>
      <x:c r="T2808" s="28"/>
      <x:c r="U2808" s="28"/>
      <x:c r="V2808" s="28"/>
      <x:c r="W2808" s="43" t="n">
        <x:f>--AND(N2808=1,OR(O2808="SUPPORTED",O2808="HALLUCINATION"))</x:f>
        <x:v>0</x:v>
      </x:c>
      <x:c r="X2808" s="43" t="n">
        <x:f>--AND(W2808=1,O2808="HALLUCINATION")</x:f>
        <x:v>0</x:v>
      </x:c>
      <x:c r="Y2808" s="43" t="n">
        <x:f>--AND(Q2808=1,O2808="HALLUCINATION")</x:f>
        <x:v>0</x:v>
      </x:c>
      <x:c r="Z2808" s="43" t="n">
        <x:f>--AND(Y2808=1,R2808=1,S2808=1)</x:f>
        <x:v>0</x:v>
      </x:c>
      <x:c r="AC2808" t="str">
        <x:f>IF(OR(AA2808="",AB2808=""),"",--(AA2808&lt;&gt;AB2808))</x:f>
      </x:c>
      <x:c r="AE2808" t="str">
        <x:f>IF(OR(AA2808="",AB2808=""),"PENDING_HUMAN",IF(AA2808=AB2808,AA2808,IF(AD2808&lt;&gt;"",AD2808,"PENDING_HUMAN")))</x:f>
        <x:v>PENDING_HUMAN</x:v>
      </x:c>
      <x:c r="AF2808" t="n">
        <x:f>--AND(A2808&lt;&gt;"",AA2808&lt;&gt;"",AB2808&lt;&gt;"",OR(AA2808=AB2808,AD2808&lt;&gt;""),IF(AE2808="HALLUCINATION",U2808&lt;&gt;"",TRUE))</x:f>
        <x:v>0</x:v>
      </x:c>
      <x:c r="AG2808" t="n">
        <x:f>--AND(N2808=1,AF2808=1,OR(AE2808="SUPPORTED",AE2808="HALLUCINATION"))</x:f>
        <x:v>0</x:v>
      </x:c>
      <x:c r="AH2808" t="n">
        <x:f>--AND(AG2808=1,AE2808="HALLUCINATION")</x:f>
        <x:v>0</x:v>
      </x:c>
      <x:c r="AI2808" t="n">
        <x:f>--AND(Q2808=1,AF2808=1,AE2808="HALLUCINATION")</x:f>
        <x:v>0</x:v>
      </x:c>
      <x:c r="AJ2808" t="n">
        <x:f>--AND(AI2808=1,R2808=1,S2808=1)</x:f>
        <x:v>0</x:v>
      </x:c>
    </x:row>
    <x:row r="2809">
      <x:c r="A2809" s="28"/>
      <x:c r="B2809" s="28"/>
      <x:c r="C2809" s="28"/>
      <x:c r="D2809" s="28"/>
      <x:c r="E2809" s="28"/>
      <x:c r="F2809" s="28"/>
      <x:c r="G2809" s="28"/>
      <x:c r="H2809" s="28"/>
      <x:c r="I2809" s="28"/>
      <x:c r="J2809" s="28"/>
      <x:c r="K2809" s="28"/>
      <x:c r="L2809" s="28"/>
      <x:c r="M2809" s="28"/>
      <x:c r="N2809" s="28"/>
      <x:c r="O2809" s="28"/>
      <x:c r="P2809" s="28"/>
      <x:c r="Q2809" s="28"/>
      <x:c r="R2809" s="28"/>
      <x:c r="S2809" s="28"/>
      <x:c r="T2809" s="28"/>
      <x:c r="U2809" s="28"/>
      <x:c r="V2809" s="28"/>
      <x:c r="W2809" s="43" t="n">
        <x:f>--AND(N2809=1,OR(O2809="SUPPORTED",O2809="HALLUCINATION"))</x:f>
        <x:v>0</x:v>
      </x:c>
      <x:c r="X2809" s="43" t="n">
        <x:f>--AND(W2809=1,O2809="HALLUCINATION")</x:f>
        <x:v>0</x:v>
      </x:c>
      <x:c r="Y2809" s="43" t="n">
        <x:f>--AND(Q2809=1,O2809="HALLUCINATION")</x:f>
        <x:v>0</x:v>
      </x:c>
      <x:c r="Z2809" s="43" t="n">
        <x:f>--AND(Y2809=1,R2809=1,S2809=1)</x:f>
        <x:v>0</x:v>
      </x:c>
      <x:c r="AC2809" t="str">
        <x:f>IF(OR(AA2809="",AB2809=""),"",--(AA2809&lt;&gt;AB2809))</x:f>
      </x:c>
      <x:c r="AE2809" t="str">
        <x:f>IF(OR(AA2809="",AB2809=""),"PENDING_HUMAN",IF(AA2809=AB2809,AA2809,IF(AD2809&lt;&gt;"",AD2809,"PENDING_HUMAN")))</x:f>
        <x:v>PENDING_HUMAN</x:v>
      </x:c>
      <x:c r="AF2809" t="n">
        <x:f>--AND(A2809&lt;&gt;"",AA2809&lt;&gt;"",AB2809&lt;&gt;"",OR(AA2809=AB2809,AD2809&lt;&gt;""),IF(AE2809="HALLUCINATION",U2809&lt;&gt;"",TRUE))</x:f>
        <x:v>0</x:v>
      </x:c>
      <x:c r="AG2809" t="n">
        <x:f>--AND(N2809=1,AF2809=1,OR(AE2809="SUPPORTED",AE2809="HALLUCINATION"))</x:f>
        <x:v>0</x:v>
      </x:c>
      <x:c r="AH2809" t="n">
        <x:f>--AND(AG2809=1,AE2809="HALLUCINATION")</x:f>
        <x:v>0</x:v>
      </x:c>
      <x:c r="AI2809" t="n">
        <x:f>--AND(Q2809=1,AF2809=1,AE2809="HALLUCINATION")</x:f>
        <x:v>0</x:v>
      </x:c>
      <x:c r="AJ2809" t="n">
        <x:f>--AND(AI2809=1,R2809=1,S2809=1)</x:f>
        <x:v>0</x:v>
      </x:c>
    </x:row>
    <x:row r="2810">
      <x:c r="A2810" s="28"/>
      <x:c r="B2810" s="28"/>
      <x:c r="C2810" s="28"/>
      <x:c r="D2810" s="28"/>
      <x:c r="E2810" s="28"/>
      <x:c r="F2810" s="28"/>
      <x:c r="G2810" s="28"/>
      <x:c r="H2810" s="28"/>
      <x:c r="I2810" s="28"/>
      <x:c r="J2810" s="28"/>
      <x:c r="K2810" s="28"/>
      <x:c r="L2810" s="28"/>
      <x:c r="M2810" s="28"/>
      <x:c r="N2810" s="28"/>
      <x:c r="O2810" s="28"/>
      <x:c r="P2810" s="28"/>
      <x:c r="Q2810" s="28"/>
      <x:c r="R2810" s="28"/>
      <x:c r="S2810" s="28"/>
      <x:c r="T2810" s="28"/>
      <x:c r="U2810" s="28"/>
      <x:c r="V2810" s="28"/>
      <x:c r="W2810" s="43" t="n">
        <x:f>--AND(N2810=1,OR(O2810="SUPPORTED",O2810="HALLUCINATION"))</x:f>
        <x:v>0</x:v>
      </x:c>
      <x:c r="X2810" s="43" t="n">
        <x:f>--AND(W2810=1,O2810="HALLUCINATION")</x:f>
        <x:v>0</x:v>
      </x:c>
      <x:c r="Y2810" s="43" t="n">
        <x:f>--AND(Q2810=1,O2810="HALLUCINATION")</x:f>
        <x:v>0</x:v>
      </x:c>
      <x:c r="Z2810" s="43" t="n">
        <x:f>--AND(Y2810=1,R2810=1,S2810=1)</x:f>
        <x:v>0</x:v>
      </x:c>
      <x:c r="AC2810" t="str">
        <x:f>IF(OR(AA2810="",AB2810=""),"",--(AA2810&lt;&gt;AB2810))</x:f>
      </x:c>
      <x:c r="AE2810" t="str">
        <x:f>IF(OR(AA2810="",AB2810=""),"PENDING_HUMAN",IF(AA2810=AB2810,AA2810,IF(AD2810&lt;&gt;"",AD2810,"PENDING_HUMAN")))</x:f>
        <x:v>PENDING_HUMAN</x:v>
      </x:c>
      <x:c r="AF2810" t="n">
        <x:f>--AND(A2810&lt;&gt;"",AA2810&lt;&gt;"",AB2810&lt;&gt;"",OR(AA2810=AB2810,AD2810&lt;&gt;""),IF(AE2810="HALLUCINATION",U2810&lt;&gt;"",TRUE))</x:f>
        <x:v>0</x:v>
      </x:c>
      <x:c r="AG2810" t="n">
        <x:f>--AND(N2810=1,AF2810=1,OR(AE2810="SUPPORTED",AE2810="HALLUCINATION"))</x:f>
        <x:v>0</x:v>
      </x:c>
      <x:c r="AH2810" t="n">
        <x:f>--AND(AG2810=1,AE2810="HALLUCINATION")</x:f>
        <x:v>0</x:v>
      </x:c>
      <x:c r="AI2810" t="n">
        <x:f>--AND(Q2810=1,AF2810=1,AE2810="HALLUCINATION")</x:f>
        <x:v>0</x:v>
      </x:c>
      <x:c r="AJ2810" t="n">
        <x:f>--AND(AI2810=1,R2810=1,S2810=1)</x:f>
        <x:v>0</x:v>
      </x:c>
    </x:row>
    <x:row r="2811">
      <x:c r="A2811" s="28"/>
      <x:c r="B2811" s="28"/>
      <x:c r="C2811" s="28"/>
      <x:c r="D2811" s="28"/>
      <x:c r="E2811" s="28"/>
      <x:c r="F2811" s="28"/>
      <x:c r="G2811" s="28"/>
      <x:c r="H2811" s="28"/>
      <x:c r="I2811" s="28"/>
      <x:c r="J2811" s="28"/>
      <x:c r="K2811" s="28"/>
      <x:c r="L2811" s="28"/>
      <x:c r="M2811" s="28"/>
      <x:c r="N2811" s="28"/>
      <x:c r="O2811" s="28"/>
      <x:c r="P2811" s="28"/>
      <x:c r="Q2811" s="28"/>
      <x:c r="R2811" s="28"/>
      <x:c r="S2811" s="28"/>
      <x:c r="T2811" s="28"/>
      <x:c r="U2811" s="28"/>
      <x:c r="V2811" s="28"/>
      <x:c r="W2811" s="43" t="n">
        <x:f>--AND(N2811=1,OR(O2811="SUPPORTED",O2811="HALLUCINATION"))</x:f>
        <x:v>0</x:v>
      </x:c>
      <x:c r="X2811" s="43" t="n">
        <x:f>--AND(W2811=1,O2811="HALLUCINATION")</x:f>
        <x:v>0</x:v>
      </x:c>
      <x:c r="Y2811" s="43" t="n">
        <x:f>--AND(Q2811=1,O2811="HALLUCINATION")</x:f>
        <x:v>0</x:v>
      </x:c>
      <x:c r="Z2811" s="43" t="n">
        <x:f>--AND(Y2811=1,R2811=1,S2811=1)</x:f>
        <x:v>0</x:v>
      </x:c>
      <x:c r="AC2811" t="str">
        <x:f>IF(OR(AA2811="",AB2811=""),"",--(AA2811&lt;&gt;AB2811))</x:f>
      </x:c>
      <x:c r="AE2811" t="str">
        <x:f>IF(OR(AA2811="",AB2811=""),"PENDING_HUMAN",IF(AA2811=AB2811,AA2811,IF(AD2811&lt;&gt;"",AD2811,"PENDING_HUMAN")))</x:f>
        <x:v>PENDING_HUMAN</x:v>
      </x:c>
      <x:c r="AF2811" t="n">
        <x:f>--AND(A2811&lt;&gt;"",AA2811&lt;&gt;"",AB2811&lt;&gt;"",OR(AA2811=AB2811,AD2811&lt;&gt;""),IF(AE2811="HALLUCINATION",U2811&lt;&gt;"",TRUE))</x:f>
        <x:v>0</x:v>
      </x:c>
      <x:c r="AG2811" t="n">
        <x:f>--AND(N2811=1,AF2811=1,OR(AE2811="SUPPORTED",AE2811="HALLUCINATION"))</x:f>
        <x:v>0</x:v>
      </x:c>
      <x:c r="AH2811" t="n">
        <x:f>--AND(AG2811=1,AE2811="HALLUCINATION")</x:f>
        <x:v>0</x:v>
      </x:c>
      <x:c r="AI2811" t="n">
        <x:f>--AND(Q2811=1,AF2811=1,AE2811="HALLUCINATION")</x:f>
        <x:v>0</x:v>
      </x:c>
      <x:c r="AJ2811" t="n">
        <x:f>--AND(AI2811=1,R2811=1,S2811=1)</x:f>
        <x:v>0</x:v>
      </x:c>
    </x:row>
    <x:row r="2812">
      <x:c r="A2812" s="28"/>
      <x:c r="B2812" s="28"/>
      <x:c r="C2812" s="28"/>
      <x:c r="D2812" s="28"/>
      <x:c r="E2812" s="28"/>
      <x:c r="F2812" s="28"/>
      <x:c r="G2812" s="28"/>
      <x:c r="H2812" s="28"/>
      <x:c r="I2812" s="28"/>
      <x:c r="J2812" s="28"/>
      <x:c r="K2812" s="28"/>
      <x:c r="L2812" s="28"/>
      <x:c r="M2812" s="28"/>
      <x:c r="N2812" s="28"/>
      <x:c r="O2812" s="28"/>
      <x:c r="P2812" s="28"/>
      <x:c r="Q2812" s="28"/>
      <x:c r="R2812" s="28"/>
      <x:c r="S2812" s="28"/>
      <x:c r="T2812" s="28"/>
      <x:c r="U2812" s="28"/>
      <x:c r="V2812" s="28"/>
      <x:c r="W2812" s="43" t="n">
        <x:f>--AND(N2812=1,OR(O2812="SUPPORTED",O2812="HALLUCINATION"))</x:f>
        <x:v>0</x:v>
      </x:c>
      <x:c r="X2812" s="43" t="n">
        <x:f>--AND(W2812=1,O2812="HALLUCINATION")</x:f>
        <x:v>0</x:v>
      </x:c>
      <x:c r="Y2812" s="43" t="n">
        <x:f>--AND(Q2812=1,O2812="HALLUCINATION")</x:f>
        <x:v>0</x:v>
      </x:c>
      <x:c r="Z2812" s="43" t="n">
        <x:f>--AND(Y2812=1,R2812=1,S2812=1)</x:f>
        <x:v>0</x:v>
      </x:c>
      <x:c r="AC2812" t="str">
        <x:f>IF(OR(AA2812="",AB2812=""),"",--(AA2812&lt;&gt;AB2812))</x:f>
      </x:c>
      <x:c r="AE2812" t="str">
        <x:f>IF(OR(AA2812="",AB2812=""),"PENDING_HUMAN",IF(AA2812=AB2812,AA2812,IF(AD2812&lt;&gt;"",AD2812,"PENDING_HUMAN")))</x:f>
        <x:v>PENDING_HUMAN</x:v>
      </x:c>
      <x:c r="AF2812" t="n">
        <x:f>--AND(A2812&lt;&gt;"",AA2812&lt;&gt;"",AB2812&lt;&gt;"",OR(AA2812=AB2812,AD2812&lt;&gt;""),IF(AE2812="HALLUCINATION",U2812&lt;&gt;"",TRUE))</x:f>
        <x:v>0</x:v>
      </x:c>
      <x:c r="AG2812" t="n">
        <x:f>--AND(N2812=1,AF2812=1,OR(AE2812="SUPPORTED",AE2812="HALLUCINATION"))</x:f>
        <x:v>0</x:v>
      </x:c>
      <x:c r="AH2812" t="n">
        <x:f>--AND(AG2812=1,AE2812="HALLUCINATION")</x:f>
        <x:v>0</x:v>
      </x:c>
      <x:c r="AI2812" t="n">
        <x:f>--AND(Q2812=1,AF2812=1,AE2812="HALLUCINATION")</x:f>
        <x:v>0</x:v>
      </x:c>
      <x:c r="AJ2812" t="n">
        <x:f>--AND(AI2812=1,R2812=1,S2812=1)</x:f>
        <x:v>0</x:v>
      </x:c>
    </x:row>
    <x:row r="2813">
      <x:c r="A2813" s="28"/>
      <x:c r="B2813" s="28"/>
      <x:c r="C2813" s="28"/>
      <x:c r="D2813" s="28"/>
      <x:c r="E2813" s="28"/>
      <x:c r="F2813" s="28"/>
      <x:c r="G2813" s="28"/>
      <x:c r="H2813" s="28"/>
      <x:c r="I2813" s="28"/>
      <x:c r="J2813" s="28"/>
      <x:c r="K2813" s="28"/>
      <x:c r="L2813" s="28"/>
      <x:c r="M2813" s="28"/>
      <x:c r="N2813" s="28"/>
      <x:c r="O2813" s="28"/>
      <x:c r="P2813" s="28"/>
      <x:c r="Q2813" s="28"/>
      <x:c r="R2813" s="28"/>
      <x:c r="S2813" s="28"/>
      <x:c r="T2813" s="28"/>
      <x:c r="U2813" s="28"/>
      <x:c r="V2813" s="28"/>
      <x:c r="W2813" s="43" t="n">
        <x:f>--AND(N2813=1,OR(O2813="SUPPORTED",O2813="HALLUCINATION"))</x:f>
        <x:v>0</x:v>
      </x:c>
      <x:c r="X2813" s="43" t="n">
        <x:f>--AND(W2813=1,O2813="HALLUCINATION")</x:f>
        <x:v>0</x:v>
      </x:c>
      <x:c r="Y2813" s="43" t="n">
        <x:f>--AND(Q2813=1,O2813="HALLUCINATION")</x:f>
        <x:v>0</x:v>
      </x:c>
      <x:c r="Z2813" s="43" t="n">
        <x:f>--AND(Y2813=1,R2813=1,S2813=1)</x:f>
        <x:v>0</x:v>
      </x:c>
      <x:c r="AC2813" t="str">
        <x:f>IF(OR(AA2813="",AB2813=""),"",--(AA2813&lt;&gt;AB2813))</x:f>
      </x:c>
      <x:c r="AE2813" t="str">
        <x:f>IF(OR(AA2813="",AB2813=""),"PENDING_HUMAN",IF(AA2813=AB2813,AA2813,IF(AD2813&lt;&gt;"",AD2813,"PENDING_HUMAN")))</x:f>
        <x:v>PENDING_HUMAN</x:v>
      </x:c>
      <x:c r="AF2813" t="n">
        <x:f>--AND(A2813&lt;&gt;"",AA2813&lt;&gt;"",AB2813&lt;&gt;"",OR(AA2813=AB2813,AD2813&lt;&gt;""),IF(AE2813="HALLUCINATION",U2813&lt;&gt;"",TRUE))</x:f>
        <x:v>0</x:v>
      </x:c>
      <x:c r="AG2813" t="n">
        <x:f>--AND(N2813=1,AF2813=1,OR(AE2813="SUPPORTED",AE2813="HALLUCINATION"))</x:f>
        <x:v>0</x:v>
      </x:c>
      <x:c r="AH2813" t="n">
        <x:f>--AND(AG2813=1,AE2813="HALLUCINATION")</x:f>
        <x:v>0</x:v>
      </x:c>
      <x:c r="AI2813" t="n">
        <x:f>--AND(Q2813=1,AF2813=1,AE2813="HALLUCINATION")</x:f>
        <x:v>0</x:v>
      </x:c>
      <x:c r="AJ2813" t="n">
        <x:f>--AND(AI2813=1,R2813=1,S2813=1)</x:f>
        <x:v>0</x:v>
      </x:c>
    </x:row>
    <x:row r="2814">
      <x:c r="A2814" s="28"/>
      <x:c r="B2814" s="28"/>
      <x:c r="C2814" s="28"/>
      <x:c r="D2814" s="28"/>
      <x:c r="E2814" s="28"/>
      <x:c r="F2814" s="28"/>
      <x:c r="G2814" s="28"/>
      <x:c r="H2814" s="28"/>
      <x:c r="I2814" s="28"/>
      <x:c r="J2814" s="28"/>
      <x:c r="K2814" s="28"/>
      <x:c r="L2814" s="28"/>
      <x:c r="M2814" s="28"/>
      <x:c r="N2814" s="28"/>
      <x:c r="O2814" s="28"/>
      <x:c r="P2814" s="28"/>
      <x:c r="Q2814" s="28"/>
      <x:c r="R2814" s="28"/>
      <x:c r="S2814" s="28"/>
      <x:c r="T2814" s="28"/>
      <x:c r="U2814" s="28"/>
      <x:c r="V2814" s="28"/>
      <x:c r="W2814" s="43" t="n">
        <x:f>--AND(N2814=1,OR(O2814="SUPPORTED",O2814="HALLUCINATION"))</x:f>
        <x:v>0</x:v>
      </x:c>
      <x:c r="X2814" s="43" t="n">
        <x:f>--AND(W2814=1,O2814="HALLUCINATION")</x:f>
        <x:v>0</x:v>
      </x:c>
      <x:c r="Y2814" s="43" t="n">
        <x:f>--AND(Q2814=1,O2814="HALLUCINATION")</x:f>
        <x:v>0</x:v>
      </x:c>
      <x:c r="Z2814" s="43" t="n">
        <x:f>--AND(Y2814=1,R2814=1,S2814=1)</x:f>
        <x:v>0</x:v>
      </x:c>
      <x:c r="AC2814" t="str">
        <x:f>IF(OR(AA2814="",AB2814=""),"",--(AA2814&lt;&gt;AB2814))</x:f>
      </x:c>
      <x:c r="AE2814" t="str">
        <x:f>IF(OR(AA2814="",AB2814=""),"PENDING_HUMAN",IF(AA2814=AB2814,AA2814,IF(AD2814&lt;&gt;"",AD2814,"PENDING_HUMAN")))</x:f>
        <x:v>PENDING_HUMAN</x:v>
      </x:c>
      <x:c r="AF2814" t="n">
        <x:f>--AND(A2814&lt;&gt;"",AA2814&lt;&gt;"",AB2814&lt;&gt;"",OR(AA2814=AB2814,AD2814&lt;&gt;""),IF(AE2814="HALLUCINATION",U2814&lt;&gt;"",TRUE))</x:f>
        <x:v>0</x:v>
      </x:c>
      <x:c r="AG2814" t="n">
        <x:f>--AND(N2814=1,AF2814=1,OR(AE2814="SUPPORTED",AE2814="HALLUCINATION"))</x:f>
        <x:v>0</x:v>
      </x:c>
      <x:c r="AH2814" t="n">
        <x:f>--AND(AG2814=1,AE2814="HALLUCINATION")</x:f>
        <x:v>0</x:v>
      </x:c>
      <x:c r="AI2814" t="n">
        <x:f>--AND(Q2814=1,AF2814=1,AE2814="HALLUCINATION")</x:f>
        <x:v>0</x:v>
      </x:c>
      <x:c r="AJ2814" t="n">
        <x:f>--AND(AI2814=1,R2814=1,S2814=1)</x:f>
        <x:v>0</x:v>
      </x:c>
    </x:row>
    <x:row r="2815">
      <x:c r="A2815" s="28"/>
      <x:c r="B2815" s="28"/>
      <x:c r="C2815" s="28"/>
      <x:c r="D2815" s="28"/>
      <x:c r="E2815" s="28"/>
      <x:c r="F2815" s="28"/>
      <x:c r="G2815" s="28"/>
      <x:c r="H2815" s="28"/>
      <x:c r="I2815" s="28"/>
      <x:c r="J2815" s="28"/>
      <x:c r="K2815" s="28"/>
      <x:c r="L2815" s="28"/>
      <x:c r="M2815" s="28"/>
      <x:c r="N2815" s="28"/>
      <x:c r="O2815" s="28"/>
      <x:c r="P2815" s="28"/>
      <x:c r="Q2815" s="28"/>
      <x:c r="R2815" s="28"/>
      <x:c r="S2815" s="28"/>
      <x:c r="T2815" s="28"/>
      <x:c r="U2815" s="28"/>
      <x:c r="V2815" s="28"/>
      <x:c r="W2815" s="43" t="n">
        <x:f>--AND(N2815=1,OR(O2815="SUPPORTED",O2815="HALLUCINATION"))</x:f>
        <x:v>0</x:v>
      </x:c>
      <x:c r="X2815" s="43" t="n">
        <x:f>--AND(W2815=1,O2815="HALLUCINATION")</x:f>
        <x:v>0</x:v>
      </x:c>
      <x:c r="Y2815" s="43" t="n">
        <x:f>--AND(Q2815=1,O2815="HALLUCINATION")</x:f>
        <x:v>0</x:v>
      </x:c>
      <x:c r="Z2815" s="43" t="n">
        <x:f>--AND(Y2815=1,R2815=1,S2815=1)</x:f>
        <x:v>0</x:v>
      </x:c>
      <x:c r="AC2815" t="str">
        <x:f>IF(OR(AA2815="",AB2815=""),"",--(AA2815&lt;&gt;AB2815))</x:f>
      </x:c>
      <x:c r="AE2815" t="str">
        <x:f>IF(OR(AA2815="",AB2815=""),"PENDING_HUMAN",IF(AA2815=AB2815,AA2815,IF(AD2815&lt;&gt;"",AD2815,"PENDING_HUMAN")))</x:f>
        <x:v>PENDING_HUMAN</x:v>
      </x:c>
      <x:c r="AF2815" t="n">
        <x:f>--AND(A2815&lt;&gt;"",AA2815&lt;&gt;"",AB2815&lt;&gt;"",OR(AA2815=AB2815,AD2815&lt;&gt;""),IF(AE2815="HALLUCINATION",U2815&lt;&gt;"",TRUE))</x:f>
        <x:v>0</x:v>
      </x:c>
      <x:c r="AG2815" t="n">
        <x:f>--AND(N2815=1,AF2815=1,OR(AE2815="SUPPORTED",AE2815="HALLUCINATION"))</x:f>
        <x:v>0</x:v>
      </x:c>
      <x:c r="AH2815" t="n">
        <x:f>--AND(AG2815=1,AE2815="HALLUCINATION")</x:f>
        <x:v>0</x:v>
      </x:c>
      <x:c r="AI2815" t="n">
        <x:f>--AND(Q2815=1,AF2815=1,AE2815="HALLUCINATION")</x:f>
        <x:v>0</x:v>
      </x:c>
      <x:c r="AJ2815" t="n">
        <x:f>--AND(AI2815=1,R2815=1,S2815=1)</x:f>
        <x:v>0</x:v>
      </x:c>
    </x:row>
    <x:row r="2816">
      <x:c r="A2816" s="28"/>
      <x:c r="B2816" s="28"/>
      <x:c r="C2816" s="28"/>
      <x:c r="D2816" s="28"/>
      <x:c r="E2816" s="28"/>
      <x:c r="F2816" s="28"/>
      <x:c r="G2816" s="28"/>
      <x:c r="H2816" s="28"/>
      <x:c r="I2816" s="28"/>
      <x:c r="J2816" s="28"/>
      <x:c r="K2816" s="28"/>
      <x:c r="L2816" s="28"/>
      <x:c r="M2816" s="28"/>
      <x:c r="N2816" s="28"/>
      <x:c r="O2816" s="28"/>
      <x:c r="P2816" s="28"/>
      <x:c r="Q2816" s="28"/>
      <x:c r="R2816" s="28"/>
      <x:c r="S2816" s="28"/>
      <x:c r="T2816" s="28"/>
      <x:c r="U2816" s="28"/>
      <x:c r="V2816" s="28"/>
      <x:c r="W2816" s="43" t="n">
        <x:f>--AND(N2816=1,OR(O2816="SUPPORTED",O2816="HALLUCINATION"))</x:f>
        <x:v>0</x:v>
      </x:c>
      <x:c r="X2816" s="43" t="n">
        <x:f>--AND(W2816=1,O2816="HALLUCINATION")</x:f>
        <x:v>0</x:v>
      </x:c>
      <x:c r="Y2816" s="43" t="n">
        <x:f>--AND(Q2816=1,O2816="HALLUCINATION")</x:f>
        <x:v>0</x:v>
      </x:c>
      <x:c r="Z2816" s="43" t="n">
        <x:f>--AND(Y2816=1,R2816=1,S2816=1)</x:f>
        <x:v>0</x:v>
      </x:c>
      <x:c r="AC2816" t="str">
        <x:f>IF(OR(AA2816="",AB2816=""),"",--(AA2816&lt;&gt;AB2816))</x:f>
      </x:c>
      <x:c r="AE2816" t="str">
        <x:f>IF(OR(AA2816="",AB2816=""),"PENDING_HUMAN",IF(AA2816=AB2816,AA2816,IF(AD2816&lt;&gt;"",AD2816,"PENDING_HUMAN")))</x:f>
        <x:v>PENDING_HUMAN</x:v>
      </x:c>
      <x:c r="AF2816" t="n">
        <x:f>--AND(A2816&lt;&gt;"",AA2816&lt;&gt;"",AB2816&lt;&gt;"",OR(AA2816=AB2816,AD2816&lt;&gt;""),IF(AE2816="HALLUCINATION",U2816&lt;&gt;"",TRUE))</x:f>
        <x:v>0</x:v>
      </x:c>
      <x:c r="AG2816" t="n">
        <x:f>--AND(N2816=1,AF2816=1,OR(AE2816="SUPPORTED",AE2816="HALLUCINATION"))</x:f>
        <x:v>0</x:v>
      </x:c>
      <x:c r="AH2816" t="n">
        <x:f>--AND(AG2816=1,AE2816="HALLUCINATION")</x:f>
        <x:v>0</x:v>
      </x:c>
      <x:c r="AI2816" t="n">
        <x:f>--AND(Q2816=1,AF2816=1,AE2816="HALLUCINATION")</x:f>
        <x:v>0</x:v>
      </x:c>
      <x:c r="AJ2816" t="n">
        <x:f>--AND(AI2816=1,R2816=1,S2816=1)</x:f>
        <x:v>0</x:v>
      </x:c>
    </x:row>
    <x:row r="2817">
      <x:c r="A2817" s="28"/>
      <x:c r="B2817" s="28"/>
      <x:c r="C2817" s="28"/>
      <x:c r="D2817" s="28"/>
      <x:c r="E2817" s="28"/>
      <x:c r="F2817" s="28"/>
      <x:c r="G2817" s="28"/>
      <x:c r="H2817" s="28"/>
      <x:c r="I2817" s="28"/>
      <x:c r="J2817" s="28"/>
      <x:c r="K2817" s="28"/>
      <x:c r="L2817" s="28"/>
      <x:c r="M2817" s="28"/>
      <x:c r="N2817" s="28"/>
      <x:c r="O2817" s="28"/>
      <x:c r="P2817" s="28"/>
      <x:c r="Q2817" s="28"/>
      <x:c r="R2817" s="28"/>
      <x:c r="S2817" s="28"/>
      <x:c r="T2817" s="28"/>
      <x:c r="U2817" s="28"/>
      <x:c r="V2817" s="28"/>
      <x:c r="W2817" s="43" t="n">
        <x:f>--AND(N2817=1,OR(O2817="SUPPORTED",O2817="HALLUCINATION"))</x:f>
        <x:v>0</x:v>
      </x:c>
      <x:c r="X2817" s="43" t="n">
        <x:f>--AND(W2817=1,O2817="HALLUCINATION")</x:f>
        <x:v>0</x:v>
      </x:c>
      <x:c r="Y2817" s="43" t="n">
        <x:f>--AND(Q2817=1,O2817="HALLUCINATION")</x:f>
        <x:v>0</x:v>
      </x:c>
      <x:c r="Z2817" s="43" t="n">
        <x:f>--AND(Y2817=1,R2817=1,S2817=1)</x:f>
        <x:v>0</x:v>
      </x:c>
      <x:c r="AC2817" t="str">
        <x:f>IF(OR(AA2817="",AB2817=""),"",--(AA2817&lt;&gt;AB2817))</x:f>
      </x:c>
      <x:c r="AE2817" t="str">
        <x:f>IF(OR(AA2817="",AB2817=""),"PENDING_HUMAN",IF(AA2817=AB2817,AA2817,IF(AD2817&lt;&gt;"",AD2817,"PENDING_HUMAN")))</x:f>
        <x:v>PENDING_HUMAN</x:v>
      </x:c>
      <x:c r="AF2817" t="n">
        <x:f>--AND(A2817&lt;&gt;"",AA2817&lt;&gt;"",AB2817&lt;&gt;"",OR(AA2817=AB2817,AD2817&lt;&gt;""),IF(AE2817="HALLUCINATION",U2817&lt;&gt;"",TRUE))</x:f>
        <x:v>0</x:v>
      </x:c>
      <x:c r="AG2817" t="n">
        <x:f>--AND(N2817=1,AF2817=1,OR(AE2817="SUPPORTED",AE2817="HALLUCINATION"))</x:f>
        <x:v>0</x:v>
      </x:c>
      <x:c r="AH2817" t="n">
        <x:f>--AND(AG2817=1,AE2817="HALLUCINATION")</x:f>
        <x:v>0</x:v>
      </x:c>
      <x:c r="AI2817" t="n">
        <x:f>--AND(Q2817=1,AF2817=1,AE2817="HALLUCINATION")</x:f>
        <x:v>0</x:v>
      </x:c>
      <x:c r="AJ2817" t="n">
        <x:f>--AND(AI2817=1,R2817=1,S2817=1)</x:f>
        <x:v>0</x:v>
      </x:c>
    </x:row>
    <x:row r="2818">
      <x:c r="A2818" s="28"/>
      <x:c r="B2818" s="28"/>
      <x:c r="C2818" s="28"/>
      <x:c r="D2818" s="28"/>
      <x:c r="E2818" s="28"/>
      <x:c r="F2818" s="28"/>
      <x:c r="G2818" s="28"/>
      <x:c r="H2818" s="28"/>
      <x:c r="I2818" s="28"/>
      <x:c r="J2818" s="28"/>
      <x:c r="K2818" s="28"/>
      <x:c r="L2818" s="28"/>
      <x:c r="M2818" s="28"/>
      <x:c r="N2818" s="28"/>
      <x:c r="O2818" s="28"/>
      <x:c r="P2818" s="28"/>
      <x:c r="Q2818" s="28"/>
      <x:c r="R2818" s="28"/>
      <x:c r="S2818" s="28"/>
      <x:c r="T2818" s="28"/>
      <x:c r="U2818" s="28"/>
      <x:c r="V2818" s="28"/>
      <x:c r="W2818" s="43" t="n">
        <x:f>--AND(N2818=1,OR(O2818="SUPPORTED",O2818="HALLUCINATION"))</x:f>
        <x:v>0</x:v>
      </x:c>
      <x:c r="X2818" s="43" t="n">
        <x:f>--AND(W2818=1,O2818="HALLUCINATION")</x:f>
        <x:v>0</x:v>
      </x:c>
      <x:c r="Y2818" s="43" t="n">
        <x:f>--AND(Q2818=1,O2818="HALLUCINATION")</x:f>
        <x:v>0</x:v>
      </x:c>
      <x:c r="Z2818" s="43" t="n">
        <x:f>--AND(Y2818=1,R2818=1,S2818=1)</x:f>
        <x:v>0</x:v>
      </x:c>
      <x:c r="AC2818" t="str">
        <x:f>IF(OR(AA2818="",AB2818=""),"",--(AA2818&lt;&gt;AB2818))</x:f>
      </x:c>
      <x:c r="AE2818" t="str">
        <x:f>IF(OR(AA2818="",AB2818=""),"PENDING_HUMAN",IF(AA2818=AB2818,AA2818,IF(AD2818&lt;&gt;"",AD2818,"PENDING_HUMAN")))</x:f>
        <x:v>PENDING_HUMAN</x:v>
      </x:c>
      <x:c r="AF2818" t="n">
        <x:f>--AND(A2818&lt;&gt;"",AA2818&lt;&gt;"",AB2818&lt;&gt;"",OR(AA2818=AB2818,AD2818&lt;&gt;""),IF(AE2818="HALLUCINATION",U2818&lt;&gt;"",TRUE))</x:f>
        <x:v>0</x:v>
      </x:c>
      <x:c r="AG2818" t="n">
        <x:f>--AND(N2818=1,AF2818=1,OR(AE2818="SUPPORTED",AE2818="HALLUCINATION"))</x:f>
        <x:v>0</x:v>
      </x:c>
      <x:c r="AH2818" t="n">
        <x:f>--AND(AG2818=1,AE2818="HALLUCINATION")</x:f>
        <x:v>0</x:v>
      </x:c>
      <x:c r="AI2818" t="n">
        <x:f>--AND(Q2818=1,AF2818=1,AE2818="HALLUCINATION")</x:f>
        <x:v>0</x:v>
      </x:c>
      <x:c r="AJ2818" t="n">
        <x:f>--AND(AI2818=1,R2818=1,S2818=1)</x:f>
        <x:v>0</x:v>
      </x:c>
    </x:row>
    <x:row r="2819">
      <x:c r="A2819" s="28"/>
      <x:c r="B2819" s="28"/>
      <x:c r="C2819" s="28"/>
      <x:c r="D2819" s="28"/>
      <x:c r="E2819" s="28"/>
      <x:c r="F2819" s="28"/>
      <x:c r="G2819" s="28"/>
      <x:c r="H2819" s="28"/>
      <x:c r="I2819" s="28"/>
      <x:c r="J2819" s="28"/>
      <x:c r="K2819" s="28"/>
      <x:c r="L2819" s="28"/>
      <x:c r="M2819" s="28"/>
      <x:c r="N2819" s="28"/>
      <x:c r="O2819" s="28"/>
      <x:c r="P2819" s="28"/>
      <x:c r="Q2819" s="28"/>
      <x:c r="R2819" s="28"/>
      <x:c r="S2819" s="28"/>
      <x:c r="T2819" s="28"/>
      <x:c r="U2819" s="28"/>
      <x:c r="V2819" s="28"/>
      <x:c r="W2819" s="43" t="n">
        <x:f>--AND(N2819=1,OR(O2819="SUPPORTED",O2819="HALLUCINATION"))</x:f>
        <x:v>0</x:v>
      </x:c>
      <x:c r="X2819" s="43" t="n">
        <x:f>--AND(W2819=1,O2819="HALLUCINATION")</x:f>
        <x:v>0</x:v>
      </x:c>
      <x:c r="Y2819" s="43" t="n">
        <x:f>--AND(Q2819=1,O2819="HALLUCINATION")</x:f>
        <x:v>0</x:v>
      </x:c>
      <x:c r="Z2819" s="43" t="n">
        <x:f>--AND(Y2819=1,R2819=1,S2819=1)</x:f>
        <x:v>0</x:v>
      </x:c>
      <x:c r="AC2819" t="str">
        <x:f>IF(OR(AA2819="",AB2819=""),"",--(AA2819&lt;&gt;AB2819))</x:f>
      </x:c>
      <x:c r="AE2819" t="str">
        <x:f>IF(OR(AA2819="",AB2819=""),"PENDING_HUMAN",IF(AA2819=AB2819,AA2819,IF(AD2819&lt;&gt;"",AD2819,"PENDING_HUMAN")))</x:f>
        <x:v>PENDING_HUMAN</x:v>
      </x:c>
      <x:c r="AF2819" t="n">
        <x:f>--AND(A2819&lt;&gt;"",AA2819&lt;&gt;"",AB2819&lt;&gt;"",OR(AA2819=AB2819,AD2819&lt;&gt;""),IF(AE2819="HALLUCINATION",U2819&lt;&gt;"",TRUE))</x:f>
        <x:v>0</x:v>
      </x:c>
      <x:c r="AG2819" t="n">
        <x:f>--AND(N2819=1,AF2819=1,OR(AE2819="SUPPORTED",AE2819="HALLUCINATION"))</x:f>
        <x:v>0</x:v>
      </x:c>
      <x:c r="AH2819" t="n">
        <x:f>--AND(AG2819=1,AE2819="HALLUCINATION")</x:f>
        <x:v>0</x:v>
      </x:c>
      <x:c r="AI2819" t="n">
        <x:f>--AND(Q2819=1,AF2819=1,AE2819="HALLUCINATION")</x:f>
        <x:v>0</x:v>
      </x:c>
      <x:c r="AJ2819" t="n">
        <x:f>--AND(AI2819=1,R2819=1,S2819=1)</x:f>
        <x:v>0</x:v>
      </x:c>
    </x:row>
    <x:row r="2820">
      <x:c r="A2820" s="28"/>
      <x:c r="B2820" s="28"/>
      <x:c r="C2820" s="28"/>
      <x:c r="D2820" s="28"/>
      <x:c r="E2820" s="28"/>
      <x:c r="F2820" s="28"/>
      <x:c r="G2820" s="28"/>
      <x:c r="H2820" s="28"/>
      <x:c r="I2820" s="28"/>
      <x:c r="J2820" s="28"/>
      <x:c r="K2820" s="28"/>
      <x:c r="L2820" s="28"/>
      <x:c r="M2820" s="28"/>
      <x:c r="N2820" s="28"/>
      <x:c r="O2820" s="28"/>
      <x:c r="P2820" s="28"/>
      <x:c r="Q2820" s="28"/>
      <x:c r="R2820" s="28"/>
      <x:c r="S2820" s="28"/>
      <x:c r="T2820" s="28"/>
      <x:c r="U2820" s="28"/>
      <x:c r="V2820" s="28"/>
      <x:c r="W2820" s="43" t="n">
        <x:f>--AND(N2820=1,OR(O2820="SUPPORTED",O2820="HALLUCINATION"))</x:f>
        <x:v>0</x:v>
      </x:c>
      <x:c r="X2820" s="43" t="n">
        <x:f>--AND(W2820=1,O2820="HALLUCINATION")</x:f>
        <x:v>0</x:v>
      </x:c>
      <x:c r="Y2820" s="43" t="n">
        <x:f>--AND(Q2820=1,O2820="HALLUCINATION")</x:f>
        <x:v>0</x:v>
      </x:c>
      <x:c r="Z2820" s="43" t="n">
        <x:f>--AND(Y2820=1,R2820=1,S2820=1)</x:f>
        <x:v>0</x:v>
      </x:c>
      <x:c r="AC2820" t="str">
        <x:f>IF(OR(AA2820="",AB2820=""),"",--(AA2820&lt;&gt;AB2820))</x:f>
      </x:c>
      <x:c r="AE2820" t="str">
        <x:f>IF(OR(AA2820="",AB2820=""),"PENDING_HUMAN",IF(AA2820=AB2820,AA2820,IF(AD2820&lt;&gt;"",AD2820,"PENDING_HUMAN")))</x:f>
        <x:v>PENDING_HUMAN</x:v>
      </x:c>
      <x:c r="AF2820" t="n">
        <x:f>--AND(A2820&lt;&gt;"",AA2820&lt;&gt;"",AB2820&lt;&gt;"",OR(AA2820=AB2820,AD2820&lt;&gt;""),IF(AE2820="HALLUCINATION",U2820&lt;&gt;"",TRUE))</x:f>
        <x:v>0</x:v>
      </x:c>
      <x:c r="AG2820" t="n">
        <x:f>--AND(N2820=1,AF2820=1,OR(AE2820="SUPPORTED",AE2820="HALLUCINATION"))</x:f>
        <x:v>0</x:v>
      </x:c>
      <x:c r="AH2820" t="n">
        <x:f>--AND(AG2820=1,AE2820="HALLUCINATION")</x:f>
        <x:v>0</x:v>
      </x:c>
      <x:c r="AI2820" t="n">
        <x:f>--AND(Q2820=1,AF2820=1,AE2820="HALLUCINATION")</x:f>
        <x:v>0</x:v>
      </x:c>
      <x:c r="AJ2820" t="n">
        <x:f>--AND(AI2820=1,R2820=1,S2820=1)</x:f>
        <x:v>0</x:v>
      </x:c>
    </x:row>
    <x:row r="2821">
      <x:c r="A2821" s="28"/>
      <x:c r="B2821" s="28"/>
      <x:c r="C2821" s="28"/>
      <x:c r="D2821" s="28"/>
      <x:c r="E2821" s="28"/>
      <x:c r="F2821" s="28"/>
      <x:c r="G2821" s="28"/>
      <x:c r="H2821" s="28"/>
      <x:c r="I2821" s="28"/>
      <x:c r="J2821" s="28"/>
      <x:c r="K2821" s="28"/>
      <x:c r="L2821" s="28"/>
      <x:c r="M2821" s="28"/>
      <x:c r="N2821" s="28"/>
      <x:c r="O2821" s="28"/>
      <x:c r="P2821" s="28"/>
      <x:c r="Q2821" s="28"/>
      <x:c r="R2821" s="28"/>
      <x:c r="S2821" s="28"/>
      <x:c r="T2821" s="28"/>
      <x:c r="U2821" s="28"/>
      <x:c r="V2821" s="28"/>
      <x:c r="W2821" s="43" t="n">
        <x:f>--AND(N2821=1,OR(O2821="SUPPORTED",O2821="HALLUCINATION"))</x:f>
        <x:v>0</x:v>
      </x:c>
      <x:c r="X2821" s="43" t="n">
        <x:f>--AND(W2821=1,O2821="HALLUCINATION")</x:f>
        <x:v>0</x:v>
      </x:c>
      <x:c r="Y2821" s="43" t="n">
        <x:f>--AND(Q2821=1,O2821="HALLUCINATION")</x:f>
        <x:v>0</x:v>
      </x:c>
      <x:c r="Z2821" s="43" t="n">
        <x:f>--AND(Y2821=1,R2821=1,S2821=1)</x:f>
        <x:v>0</x:v>
      </x:c>
      <x:c r="AC2821" t="str">
        <x:f>IF(OR(AA2821="",AB2821=""),"",--(AA2821&lt;&gt;AB2821))</x:f>
      </x:c>
      <x:c r="AE2821" t="str">
        <x:f>IF(OR(AA2821="",AB2821=""),"PENDING_HUMAN",IF(AA2821=AB2821,AA2821,IF(AD2821&lt;&gt;"",AD2821,"PENDING_HUMAN")))</x:f>
        <x:v>PENDING_HUMAN</x:v>
      </x:c>
      <x:c r="AF2821" t="n">
        <x:f>--AND(A2821&lt;&gt;"",AA2821&lt;&gt;"",AB2821&lt;&gt;"",OR(AA2821=AB2821,AD2821&lt;&gt;""),IF(AE2821="HALLUCINATION",U2821&lt;&gt;"",TRUE))</x:f>
        <x:v>0</x:v>
      </x:c>
      <x:c r="AG2821" t="n">
        <x:f>--AND(N2821=1,AF2821=1,OR(AE2821="SUPPORTED",AE2821="HALLUCINATION"))</x:f>
        <x:v>0</x:v>
      </x:c>
      <x:c r="AH2821" t="n">
        <x:f>--AND(AG2821=1,AE2821="HALLUCINATION")</x:f>
        <x:v>0</x:v>
      </x:c>
      <x:c r="AI2821" t="n">
        <x:f>--AND(Q2821=1,AF2821=1,AE2821="HALLUCINATION")</x:f>
        <x:v>0</x:v>
      </x:c>
      <x:c r="AJ2821" t="n">
        <x:f>--AND(AI2821=1,R2821=1,S2821=1)</x:f>
        <x:v>0</x:v>
      </x:c>
    </x:row>
    <x:row r="2822">
      <x:c r="A2822" s="28"/>
      <x:c r="B2822" s="28"/>
      <x:c r="C2822" s="28"/>
      <x:c r="D2822" s="28"/>
      <x:c r="E2822" s="28"/>
      <x:c r="F2822" s="28"/>
      <x:c r="G2822" s="28"/>
      <x:c r="H2822" s="28"/>
      <x:c r="I2822" s="28"/>
      <x:c r="J2822" s="28"/>
      <x:c r="K2822" s="28"/>
      <x:c r="L2822" s="28"/>
      <x:c r="M2822" s="28"/>
      <x:c r="N2822" s="28"/>
      <x:c r="O2822" s="28"/>
      <x:c r="P2822" s="28"/>
      <x:c r="Q2822" s="28"/>
      <x:c r="R2822" s="28"/>
      <x:c r="S2822" s="28"/>
      <x:c r="T2822" s="28"/>
      <x:c r="U2822" s="28"/>
      <x:c r="V2822" s="28"/>
      <x:c r="W2822" s="43" t="n">
        <x:f>--AND(N2822=1,OR(O2822="SUPPORTED",O2822="HALLUCINATION"))</x:f>
        <x:v>0</x:v>
      </x:c>
      <x:c r="X2822" s="43" t="n">
        <x:f>--AND(W2822=1,O2822="HALLUCINATION")</x:f>
        <x:v>0</x:v>
      </x:c>
      <x:c r="Y2822" s="43" t="n">
        <x:f>--AND(Q2822=1,O2822="HALLUCINATION")</x:f>
        <x:v>0</x:v>
      </x:c>
      <x:c r="Z2822" s="43" t="n">
        <x:f>--AND(Y2822=1,R2822=1,S2822=1)</x:f>
        <x:v>0</x:v>
      </x:c>
      <x:c r="AC2822" t="str">
        <x:f>IF(OR(AA2822="",AB2822=""),"",--(AA2822&lt;&gt;AB2822))</x:f>
      </x:c>
      <x:c r="AE2822" t="str">
        <x:f>IF(OR(AA2822="",AB2822=""),"PENDING_HUMAN",IF(AA2822=AB2822,AA2822,IF(AD2822&lt;&gt;"",AD2822,"PENDING_HUMAN")))</x:f>
        <x:v>PENDING_HUMAN</x:v>
      </x:c>
      <x:c r="AF2822" t="n">
        <x:f>--AND(A2822&lt;&gt;"",AA2822&lt;&gt;"",AB2822&lt;&gt;"",OR(AA2822=AB2822,AD2822&lt;&gt;""),IF(AE2822="HALLUCINATION",U2822&lt;&gt;"",TRUE))</x:f>
        <x:v>0</x:v>
      </x:c>
      <x:c r="AG2822" t="n">
        <x:f>--AND(N2822=1,AF2822=1,OR(AE2822="SUPPORTED",AE2822="HALLUCINATION"))</x:f>
        <x:v>0</x:v>
      </x:c>
      <x:c r="AH2822" t="n">
        <x:f>--AND(AG2822=1,AE2822="HALLUCINATION")</x:f>
        <x:v>0</x:v>
      </x:c>
      <x:c r="AI2822" t="n">
        <x:f>--AND(Q2822=1,AF2822=1,AE2822="HALLUCINATION")</x:f>
        <x:v>0</x:v>
      </x:c>
      <x:c r="AJ2822" t="n">
        <x:f>--AND(AI2822=1,R2822=1,S2822=1)</x:f>
        <x:v>0</x:v>
      </x:c>
    </x:row>
    <x:row r="2823">
      <x:c r="A2823" s="28"/>
      <x:c r="B2823" s="28"/>
      <x:c r="C2823" s="28"/>
      <x:c r="D2823" s="28"/>
      <x:c r="E2823" s="28"/>
      <x:c r="F2823" s="28"/>
      <x:c r="G2823" s="28"/>
      <x:c r="H2823" s="28"/>
      <x:c r="I2823" s="28"/>
      <x:c r="J2823" s="28"/>
      <x:c r="K2823" s="28"/>
      <x:c r="L2823" s="28"/>
      <x:c r="M2823" s="28"/>
      <x:c r="N2823" s="28"/>
      <x:c r="O2823" s="28"/>
      <x:c r="P2823" s="28"/>
      <x:c r="Q2823" s="28"/>
      <x:c r="R2823" s="28"/>
      <x:c r="S2823" s="28"/>
      <x:c r="T2823" s="28"/>
      <x:c r="U2823" s="28"/>
      <x:c r="V2823" s="28"/>
      <x:c r="W2823" s="43" t="n">
        <x:f>--AND(N2823=1,OR(O2823="SUPPORTED",O2823="HALLUCINATION"))</x:f>
        <x:v>0</x:v>
      </x:c>
      <x:c r="X2823" s="43" t="n">
        <x:f>--AND(W2823=1,O2823="HALLUCINATION")</x:f>
        <x:v>0</x:v>
      </x:c>
      <x:c r="Y2823" s="43" t="n">
        <x:f>--AND(Q2823=1,O2823="HALLUCINATION")</x:f>
        <x:v>0</x:v>
      </x:c>
      <x:c r="Z2823" s="43" t="n">
        <x:f>--AND(Y2823=1,R2823=1,S2823=1)</x:f>
        <x:v>0</x:v>
      </x:c>
      <x:c r="AC2823" t="str">
        <x:f>IF(OR(AA2823="",AB2823=""),"",--(AA2823&lt;&gt;AB2823))</x:f>
      </x:c>
      <x:c r="AE2823" t="str">
        <x:f>IF(OR(AA2823="",AB2823=""),"PENDING_HUMAN",IF(AA2823=AB2823,AA2823,IF(AD2823&lt;&gt;"",AD2823,"PENDING_HUMAN")))</x:f>
        <x:v>PENDING_HUMAN</x:v>
      </x:c>
      <x:c r="AF2823" t="n">
        <x:f>--AND(A2823&lt;&gt;"",AA2823&lt;&gt;"",AB2823&lt;&gt;"",OR(AA2823=AB2823,AD2823&lt;&gt;""),IF(AE2823="HALLUCINATION",U2823&lt;&gt;"",TRUE))</x:f>
        <x:v>0</x:v>
      </x:c>
      <x:c r="AG2823" t="n">
        <x:f>--AND(N2823=1,AF2823=1,OR(AE2823="SUPPORTED",AE2823="HALLUCINATION"))</x:f>
        <x:v>0</x:v>
      </x:c>
      <x:c r="AH2823" t="n">
        <x:f>--AND(AG2823=1,AE2823="HALLUCINATION")</x:f>
        <x:v>0</x:v>
      </x:c>
      <x:c r="AI2823" t="n">
        <x:f>--AND(Q2823=1,AF2823=1,AE2823="HALLUCINATION")</x:f>
        <x:v>0</x:v>
      </x:c>
      <x:c r="AJ2823" t="n">
        <x:f>--AND(AI2823=1,R2823=1,S2823=1)</x:f>
        <x:v>0</x:v>
      </x:c>
    </x:row>
    <x:row r="2824">
      <x:c r="A2824" s="28"/>
      <x:c r="B2824" s="28"/>
      <x:c r="C2824" s="28"/>
      <x:c r="D2824" s="28"/>
      <x:c r="E2824" s="28"/>
      <x:c r="F2824" s="28"/>
      <x:c r="G2824" s="28"/>
      <x:c r="H2824" s="28"/>
      <x:c r="I2824" s="28"/>
      <x:c r="J2824" s="28"/>
      <x:c r="K2824" s="28"/>
      <x:c r="L2824" s="28"/>
      <x:c r="M2824" s="28"/>
      <x:c r="N2824" s="28"/>
      <x:c r="O2824" s="28"/>
      <x:c r="P2824" s="28"/>
      <x:c r="Q2824" s="28"/>
      <x:c r="R2824" s="28"/>
      <x:c r="S2824" s="28"/>
      <x:c r="T2824" s="28"/>
      <x:c r="U2824" s="28"/>
      <x:c r="V2824" s="28"/>
      <x:c r="W2824" s="43" t="n">
        <x:f>--AND(N2824=1,OR(O2824="SUPPORTED",O2824="HALLUCINATION"))</x:f>
        <x:v>0</x:v>
      </x:c>
      <x:c r="X2824" s="43" t="n">
        <x:f>--AND(W2824=1,O2824="HALLUCINATION")</x:f>
        <x:v>0</x:v>
      </x:c>
      <x:c r="Y2824" s="43" t="n">
        <x:f>--AND(Q2824=1,O2824="HALLUCINATION")</x:f>
        <x:v>0</x:v>
      </x:c>
      <x:c r="Z2824" s="43" t="n">
        <x:f>--AND(Y2824=1,R2824=1,S2824=1)</x:f>
        <x:v>0</x:v>
      </x:c>
      <x:c r="AC2824" t="str">
        <x:f>IF(OR(AA2824="",AB2824=""),"",--(AA2824&lt;&gt;AB2824))</x:f>
      </x:c>
      <x:c r="AE2824" t="str">
        <x:f>IF(OR(AA2824="",AB2824=""),"PENDING_HUMAN",IF(AA2824=AB2824,AA2824,IF(AD2824&lt;&gt;"",AD2824,"PENDING_HUMAN")))</x:f>
        <x:v>PENDING_HUMAN</x:v>
      </x:c>
      <x:c r="AF2824" t="n">
        <x:f>--AND(A2824&lt;&gt;"",AA2824&lt;&gt;"",AB2824&lt;&gt;"",OR(AA2824=AB2824,AD2824&lt;&gt;""),IF(AE2824="HALLUCINATION",U2824&lt;&gt;"",TRUE))</x:f>
        <x:v>0</x:v>
      </x:c>
      <x:c r="AG2824" t="n">
        <x:f>--AND(N2824=1,AF2824=1,OR(AE2824="SUPPORTED",AE2824="HALLUCINATION"))</x:f>
        <x:v>0</x:v>
      </x:c>
      <x:c r="AH2824" t="n">
        <x:f>--AND(AG2824=1,AE2824="HALLUCINATION")</x:f>
        <x:v>0</x:v>
      </x:c>
      <x:c r="AI2824" t="n">
        <x:f>--AND(Q2824=1,AF2824=1,AE2824="HALLUCINATION")</x:f>
        <x:v>0</x:v>
      </x:c>
      <x:c r="AJ2824" t="n">
        <x:f>--AND(AI2824=1,R2824=1,S2824=1)</x:f>
        <x:v>0</x:v>
      </x:c>
    </x:row>
    <x:row r="2825">
      <x:c r="A2825" s="28"/>
      <x:c r="B2825" s="28"/>
      <x:c r="C2825" s="28"/>
      <x:c r="D2825" s="28"/>
      <x:c r="E2825" s="28"/>
      <x:c r="F2825" s="28"/>
      <x:c r="G2825" s="28"/>
      <x:c r="H2825" s="28"/>
      <x:c r="I2825" s="28"/>
      <x:c r="J2825" s="28"/>
      <x:c r="K2825" s="28"/>
      <x:c r="L2825" s="28"/>
      <x:c r="M2825" s="28"/>
      <x:c r="N2825" s="28"/>
      <x:c r="O2825" s="28"/>
      <x:c r="P2825" s="28"/>
      <x:c r="Q2825" s="28"/>
      <x:c r="R2825" s="28"/>
      <x:c r="S2825" s="28"/>
      <x:c r="T2825" s="28"/>
      <x:c r="U2825" s="28"/>
      <x:c r="V2825" s="28"/>
      <x:c r="W2825" s="43" t="n">
        <x:f>--AND(N2825=1,OR(O2825="SUPPORTED",O2825="HALLUCINATION"))</x:f>
        <x:v>0</x:v>
      </x:c>
      <x:c r="X2825" s="43" t="n">
        <x:f>--AND(W2825=1,O2825="HALLUCINATION")</x:f>
        <x:v>0</x:v>
      </x:c>
      <x:c r="Y2825" s="43" t="n">
        <x:f>--AND(Q2825=1,O2825="HALLUCINATION")</x:f>
        <x:v>0</x:v>
      </x:c>
      <x:c r="Z2825" s="43" t="n">
        <x:f>--AND(Y2825=1,R2825=1,S2825=1)</x:f>
        <x:v>0</x:v>
      </x:c>
      <x:c r="AC2825" t="str">
        <x:f>IF(OR(AA2825="",AB2825=""),"",--(AA2825&lt;&gt;AB2825))</x:f>
      </x:c>
      <x:c r="AE2825" t="str">
        <x:f>IF(OR(AA2825="",AB2825=""),"PENDING_HUMAN",IF(AA2825=AB2825,AA2825,IF(AD2825&lt;&gt;"",AD2825,"PENDING_HUMAN")))</x:f>
        <x:v>PENDING_HUMAN</x:v>
      </x:c>
      <x:c r="AF2825" t="n">
        <x:f>--AND(A2825&lt;&gt;"",AA2825&lt;&gt;"",AB2825&lt;&gt;"",OR(AA2825=AB2825,AD2825&lt;&gt;""),IF(AE2825="HALLUCINATION",U2825&lt;&gt;"",TRUE))</x:f>
        <x:v>0</x:v>
      </x:c>
      <x:c r="AG2825" t="n">
        <x:f>--AND(N2825=1,AF2825=1,OR(AE2825="SUPPORTED",AE2825="HALLUCINATION"))</x:f>
        <x:v>0</x:v>
      </x:c>
      <x:c r="AH2825" t="n">
        <x:f>--AND(AG2825=1,AE2825="HALLUCINATION")</x:f>
        <x:v>0</x:v>
      </x:c>
      <x:c r="AI2825" t="n">
        <x:f>--AND(Q2825=1,AF2825=1,AE2825="HALLUCINATION")</x:f>
        <x:v>0</x:v>
      </x:c>
      <x:c r="AJ2825" t="n">
        <x:f>--AND(AI2825=1,R2825=1,S2825=1)</x:f>
        <x:v>0</x:v>
      </x:c>
    </x:row>
    <x:row r="2826">
      <x:c r="A2826" s="28"/>
      <x:c r="B2826" s="28"/>
      <x:c r="C2826" s="28"/>
      <x:c r="D2826" s="28"/>
      <x:c r="E2826" s="28"/>
      <x:c r="F2826" s="28"/>
      <x:c r="G2826" s="28"/>
      <x:c r="H2826" s="28"/>
      <x:c r="I2826" s="28"/>
      <x:c r="J2826" s="28"/>
      <x:c r="K2826" s="28"/>
      <x:c r="L2826" s="28"/>
      <x:c r="M2826" s="28"/>
      <x:c r="N2826" s="28"/>
      <x:c r="O2826" s="28"/>
      <x:c r="P2826" s="28"/>
      <x:c r="Q2826" s="28"/>
      <x:c r="R2826" s="28"/>
      <x:c r="S2826" s="28"/>
      <x:c r="T2826" s="28"/>
      <x:c r="U2826" s="28"/>
      <x:c r="V2826" s="28"/>
      <x:c r="W2826" s="43" t="n">
        <x:f>--AND(N2826=1,OR(O2826="SUPPORTED",O2826="HALLUCINATION"))</x:f>
        <x:v>0</x:v>
      </x:c>
      <x:c r="X2826" s="43" t="n">
        <x:f>--AND(W2826=1,O2826="HALLUCINATION")</x:f>
        <x:v>0</x:v>
      </x:c>
      <x:c r="Y2826" s="43" t="n">
        <x:f>--AND(Q2826=1,O2826="HALLUCINATION")</x:f>
        <x:v>0</x:v>
      </x:c>
      <x:c r="Z2826" s="43" t="n">
        <x:f>--AND(Y2826=1,R2826=1,S2826=1)</x:f>
        <x:v>0</x:v>
      </x:c>
      <x:c r="AC2826" t="str">
        <x:f>IF(OR(AA2826="",AB2826=""),"",--(AA2826&lt;&gt;AB2826))</x:f>
      </x:c>
      <x:c r="AE2826" t="str">
        <x:f>IF(OR(AA2826="",AB2826=""),"PENDING_HUMAN",IF(AA2826=AB2826,AA2826,IF(AD2826&lt;&gt;"",AD2826,"PENDING_HUMAN")))</x:f>
        <x:v>PENDING_HUMAN</x:v>
      </x:c>
      <x:c r="AF2826" t="n">
        <x:f>--AND(A2826&lt;&gt;"",AA2826&lt;&gt;"",AB2826&lt;&gt;"",OR(AA2826=AB2826,AD2826&lt;&gt;""),IF(AE2826="HALLUCINATION",U2826&lt;&gt;"",TRUE))</x:f>
        <x:v>0</x:v>
      </x:c>
      <x:c r="AG2826" t="n">
        <x:f>--AND(N2826=1,AF2826=1,OR(AE2826="SUPPORTED",AE2826="HALLUCINATION"))</x:f>
        <x:v>0</x:v>
      </x:c>
      <x:c r="AH2826" t="n">
        <x:f>--AND(AG2826=1,AE2826="HALLUCINATION")</x:f>
        <x:v>0</x:v>
      </x:c>
      <x:c r="AI2826" t="n">
        <x:f>--AND(Q2826=1,AF2826=1,AE2826="HALLUCINATION")</x:f>
        <x:v>0</x:v>
      </x:c>
      <x:c r="AJ2826" t="n">
        <x:f>--AND(AI2826=1,R2826=1,S2826=1)</x:f>
        <x:v>0</x:v>
      </x:c>
    </x:row>
    <x:row r="2827">
      <x:c r="A2827" s="28"/>
      <x:c r="B2827" s="28"/>
      <x:c r="C2827" s="28"/>
      <x:c r="D2827" s="28"/>
      <x:c r="E2827" s="28"/>
      <x:c r="F2827" s="28"/>
      <x:c r="G2827" s="28"/>
      <x:c r="H2827" s="28"/>
      <x:c r="I2827" s="28"/>
      <x:c r="J2827" s="28"/>
      <x:c r="K2827" s="28"/>
      <x:c r="L2827" s="28"/>
      <x:c r="M2827" s="28"/>
      <x:c r="N2827" s="28"/>
      <x:c r="O2827" s="28"/>
      <x:c r="P2827" s="28"/>
      <x:c r="Q2827" s="28"/>
      <x:c r="R2827" s="28"/>
      <x:c r="S2827" s="28"/>
      <x:c r="T2827" s="28"/>
      <x:c r="U2827" s="28"/>
      <x:c r="V2827" s="28"/>
      <x:c r="W2827" s="43" t="n">
        <x:f>--AND(N2827=1,OR(O2827="SUPPORTED",O2827="HALLUCINATION"))</x:f>
        <x:v>0</x:v>
      </x:c>
      <x:c r="X2827" s="43" t="n">
        <x:f>--AND(W2827=1,O2827="HALLUCINATION")</x:f>
        <x:v>0</x:v>
      </x:c>
      <x:c r="Y2827" s="43" t="n">
        <x:f>--AND(Q2827=1,O2827="HALLUCINATION")</x:f>
        <x:v>0</x:v>
      </x:c>
      <x:c r="Z2827" s="43" t="n">
        <x:f>--AND(Y2827=1,R2827=1,S2827=1)</x:f>
        <x:v>0</x:v>
      </x:c>
      <x:c r="AC2827" t="str">
        <x:f>IF(OR(AA2827="",AB2827=""),"",--(AA2827&lt;&gt;AB2827))</x:f>
      </x:c>
      <x:c r="AE2827" t="str">
        <x:f>IF(OR(AA2827="",AB2827=""),"PENDING_HUMAN",IF(AA2827=AB2827,AA2827,IF(AD2827&lt;&gt;"",AD2827,"PENDING_HUMAN")))</x:f>
        <x:v>PENDING_HUMAN</x:v>
      </x:c>
      <x:c r="AF2827" t="n">
        <x:f>--AND(A2827&lt;&gt;"",AA2827&lt;&gt;"",AB2827&lt;&gt;"",OR(AA2827=AB2827,AD2827&lt;&gt;""),IF(AE2827="HALLUCINATION",U2827&lt;&gt;"",TRUE))</x:f>
        <x:v>0</x:v>
      </x:c>
      <x:c r="AG2827" t="n">
        <x:f>--AND(N2827=1,AF2827=1,OR(AE2827="SUPPORTED",AE2827="HALLUCINATION"))</x:f>
        <x:v>0</x:v>
      </x:c>
      <x:c r="AH2827" t="n">
        <x:f>--AND(AG2827=1,AE2827="HALLUCINATION")</x:f>
        <x:v>0</x:v>
      </x:c>
      <x:c r="AI2827" t="n">
        <x:f>--AND(Q2827=1,AF2827=1,AE2827="HALLUCINATION")</x:f>
        <x:v>0</x:v>
      </x:c>
      <x:c r="AJ2827" t="n">
        <x:f>--AND(AI2827=1,R2827=1,S2827=1)</x:f>
        <x:v>0</x:v>
      </x:c>
    </x:row>
    <x:row r="2828">
      <x:c r="A2828" s="28"/>
      <x:c r="B2828" s="28"/>
      <x:c r="C2828" s="28"/>
      <x:c r="D2828" s="28"/>
      <x:c r="E2828" s="28"/>
      <x:c r="F2828" s="28"/>
      <x:c r="G2828" s="28"/>
      <x:c r="H2828" s="28"/>
      <x:c r="I2828" s="28"/>
      <x:c r="J2828" s="28"/>
      <x:c r="K2828" s="28"/>
      <x:c r="L2828" s="28"/>
      <x:c r="M2828" s="28"/>
      <x:c r="N2828" s="28"/>
      <x:c r="O2828" s="28"/>
      <x:c r="P2828" s="28"/>
      <x:c r="Q2828" s="28"/>
      <x:c r="R2828" s="28"/>
      <x:c r="S2828" s="28"/>
      <x:c r="T2828" s="28"/>
      <x:c r="U2828" s="28"/>
      <x:c r="V2828" s="28"/>
      <x:c r="W2828" s="43" t="n">
        <x:f>--AND(N2828=1,OR(O2828="SUPPORTED",O2828="HALLUCINATION"))</x:f>
        <x:v>0</x:v>
      </x:c>
      <x:c r="X2828" s="43" t="n">
        <x:f>--AND(W2828=1,O2828="HALLUCINATION")</x:f>
        <x:v>0</x:v>
      </x:c>
      <x:c r="Y2828" s="43" t="n">
        <x:f>--AND(Q2828=1,O2828="HALLUCINATION")</x:f>
        <x:v>0</x:v>
      </x:c>
      <x:c r="Z2828" s="43" t="n">
        <x:f>--AND(Y2828=1,R2828=1,S2828=1)</x:f>
        <x:v>0</x:v>
      </x:c>
      <x:c r="AC2828" t="str">
        <x:f>IF(OR(AA2828="",AB2828=""),"",--(AA2828&lt;&gt;AB2828))</x:f>
      </x:c>
      <x:c r="AE2828" t="str">
        <x:f>IF(OR(AA2828="",AB2828=""),"PENDING_HUMAN",IF(AA2828=AB2828,AA2828,IF(AD2828&lt;&gt;"",AD2828,"PENDING_HUMAN")))</x:f>
        <x:v>PENDING_HUMAN</x:v>
      </x:c>
      <x:c r="AF2828" t="n">
        <x:f>--AND(A2828&lt;&gt;"",AA2828&lt;&gt;"",AB2828&lt;&gt;"",OR(AA2828=AB2828,AD2828&lt;&gt;""),IF(AE2828="HALLUCINATION",U2828&lt;&gt;"",TRUE))</x:f>
        <x:v>0</x:v>
      </x:c>
      <x:c r="AG2828" t="n">
        <x:f>--AND(N2828=1,AF2828=1,OR(AE2828="SUPPORTED",AE2828="HALLUCINATION"))</x:f>
        <x:v>0</x:v>
      </x:c>
      <x:c r="AH2828" t="n">
        <x:f>--AND(AG2828=1,AE2828="HALLUCINATION")</x:f>
        <x:v>0</x:v>
      </x:c>
      <x:c r="AI2828" t="n">
        <x:f>--AND(Q2828=1,AF2828=1,AE2828="HALLUCINATION")</x:f>
        <x:v>0</x:v>
      </x:c>
      <x:c r="AJ2828" t="n">
        <x:f>--AND(AI2828=1,R2828=1,S2828=1)</x:f>
        <x:v>0</x:v>
      </x:c>
    </x:row>
    <x:row r="2829">
      <x:c r="A2829" s="28"/>
      <x:c r="B2829" s="28"/>
      <x:c r="C2829" s="28"/>
      <x:c r="D2829" s="28"/>
      <x:c r="E2829" s="28"/>
      <x:c r="F2829" s="28"/>
      <x:c r="G2829" s="28"/>
      <x:c r="H2829" s="28"/>
      <x:c r="I2829" s="28"/>
      <x:c r="J2829" s="28"/>
      <x:c r="K2829" s="28"/>
      <x:c r="L2829" s="28"/>
      <x:c r="M2829" s="28"/>
      <x:c r="N2829" s="28"/>
      <x:c r="O2829" s="28"/>
      <x:c r="P2829" s="28"/>
      <x:c r="Q2829" s="28"/>
      <x:c r="R2829" s="28"/>
      <x:c r="S2829" s="28"/>
      <x:c r="T2829" s="28"/>
      <x:c r="U2829" s="28"/>
      <x:c r="V2829" s="28"/>
      <x:c r="W2829" s="43" t="n">
        <x:f>--AND(N2829=1,OR(O2829="SUPPORTED",O2829="HALLUCINATION"))</x:f>
        <x:v>0</x:v>
      </x:c>
      <x:c r="X2829" s="43" t="n">
        <x:f>--AND(W2829=1,O2829="HALLUCINATION")</x:f>
        <x:v>0</x:v>
      </x:c>
      <x:c r="Y2829" s="43" t="n">
        <x:f>--AND(Q2829=1,O2829="HALLUCINATION")</x:f>
        <x:v>0</x:v>
      </x:c>
      <x:c r="Z2829" s="43" t="n">
        <x:f>--AND(Y2829=1,R2829=1,S2829=1)</x:f>
        <x:v>0</x:v>
      </x:c>
      <x:c r="AC2829" t="str">
        <x:f>IF(OR(AA2829="",AB2829=""),"",--(AA2829&lt;&gt;AB2829))</x:f>
      </x:c>
      <x:c r="AE2829" t="str">
        <x:f>IF(OR(AA2829="",AB2829=""),"PENDING_HUMAN",IF(AA2829=AB2829,AA2829,IF(AD2829&lt;&gt;"",AD2829,"PENDING_HUMAN")))</x:f>
        <x:v>PENDING_HUMAN</x:v>
      </x:c>
      <x:c r="AF2829" t="n">
        <x:f>--AND(A2829&lt;&gt;"",AA2829&lt;&gt;"",AB2829&lt;&gt;"",OR(AA2829=AB2829,AD2829&lt;&gt;""),IF(AE2829="HALLUCINATION",U2829&lt;&gt;"",TRUE))</x:f>
        <x:v>0</x:v>
      </x:c>
      <x:c r="AG2829" t="n">
        <x:f>--AND(N2829=1,AF2829=1,OR(AE2829="SUPPORTED",AE2829="HALLUCINATION"))</x:f>
        <x:v>0</x:v>
      </x:c>
      <x:c r="AH2829" t="n">
        <x:f>--AND(AG2829=1,AE2829="HALLUCINATION")</x:f>
        <x:v>0</x:v>
      </x:c>
      <x:c r="AI2829" t="n">
        <x:f>--AND(Q2829=1,AF2829=1,AE2829="HALLUCINATION")</x:f>
        <x:v>0</x:v>
      </x:c>
      <x:c r="AJ2829" t="n">
        <x:f>--AND(AI2829=1,R2829=1,S2829=1)</x:f>
        <x:v>0</x:v>
      </x:c>
    </x:row>
    <x:row r="2830">
      <x:c r="A2830" s="28"/>
      <x:c r="B2830" s="28"/>
      <x:c r="C2830" s="28"/>
      <x:c r="D2830" s="28"/>
      <x:c r="E2830" s="28"/>
      <x:c r="F2830" s="28"/>
      <x:c r="G2830" s="28"/>
      <x:c r="H2830" s="28"/>
      <x:c r="I2830" s="28"/>
      <x:c r="J2830" s="28"/>
      <x:c r="K2830" s="28"/>
      <x:c r="L2830" s="28"/>
      <x:c r="M2830" s="28"/>
      <x:c r="N2830" s="28"/>
      <x:c r="O2830" s="28"/>
      <x:c r="P2830" s="28"/>
      <x:c r="Q2830" s="28"/>
      <x:c r="R2830" s="28"/>
      <x:c r="S2830" s="28"/>
      <x:c r="T2830" s="28"/>
      <x:c r="U2830" s="28"/>
      <x:c r="V2830" s="28"/>
      <x:c r="W2830" s="43" t="n">
        <x:f>--AND(N2830=1,OR(O2830="SUPPORTED",O2830="HALLUCINATION"))</x:f>
        <x:v>0</x:v>
      </x:c>
      <x:c r="X2830" s="43" t="n">
        <x:f>--AND(W2830=1,O2830="HALLUCINATION")</x:f>
        <x:v>0</x:v>
      </x:c>
      <x:c r="Y2830" s="43" t="n">
        <x:f>--AND(Q2830=1,O2830="HALLUCINATION")</x:f>
        <x:v>0</x:v>
      </x:c>
      <x:c r="Z2830" s="43" t="n">
        <x:f>--AND(Y2830=1,R2830=1,S2830=1)</x:f>
        <x:v>0</x:v>
      </x:c>
      <x:c r="AC2830" t="str">
        <x:f>IF(OR(AA2830="",AB2830=""),"",--(AA2830&lt;&gt;AB2830))</x:f>
      </x:c>
      <x:c r="AE2830" t="str">
        <x:f>IF(OR(AA2830="",AB2830=""),"PENDING_HUMAN",IF(AA2830=AB2830,AA2830,IF(AD2830&lt;&gt;"",AD2830,"PENDING_HUMAN")))</x:f>
        <x:v>PENDING_HUMAN</x:v>
      </x:c>
      <x:c r="AF2830" t="n">
        <x:f>--AND(A2830&lt;&gt;"",AA2830&lt;&gt;"",AB2830&lt;&gt;"",OR(AA2830=AB2830,AD2830&lt;&gt;""),IF(AE2830="HALLUCINATION",U2830&lt;&gt;"",TRUE))</x:f>
        <x:v>0</x:v>
      </x:c>
      <x:c r="AG2830" t="n">
        <x:f>--AND(N2830=1,AF2830=1,OR(AE2830="SUPPORTED",AE2830="HALLUCINATION"))</x:f>
        <x:v>0</x:v>
      </x:c>
      <x:c r="AH2830" t="n">
        <x:f>--AND(AG2830=1,AE2830="HALLUCINATION")</x:f>
        <x:v>0</x:v>
      </x:c>
      <x:c r="AI2830" t="n">
        <x:f>--AND(Q2830=1,AF2830=1,AE2830="HALLUCINATION")</x:f>
        <x:v>0</x:v>
      </x:c>
      <x:c r="AJ2830" t="n">
        <x:f>--AND(AI2830=1,R2830=1,S2830=1)</x:f>
        <x:v>0</x:v>
      </x:c>
    </x:row>
    <x:row r="2831">
      <x:c r="A2831" s="28"/>
      <x:c r="B2831" s="28"/>
      <x:c r="C2831" s="28"/>
      <x:c r="D2831" s="28"/>
      <x:c r="E2831" s="28"/>
      <x:c r="F2831" s="28"/>
      <x:c r="G2831" s="28"/>
      <x:c r="H2831" s="28"/>
      <x:c r="I2831" s="28"/>
      <x:c r="J2831" s="28"/>
      <x:c r="K2831" s="28"/>
      <x:c r="L2831" s="28"/>
      <x:c r="M2831" s="28"/>
      <x:c r="N2831" s="28"/>
      <x:c r="O2831" s="28"/>
      <x:c r="P2831" s="28"/>
      <x:c r="Q2831" s="28"/>
      <x:c r="R2831" s="28"/>
      <x:c r="S2831" s="28"/>
      <x:c r="T2831" s="28"/>
      <x:c r="U2831" s="28"/>
      <x:c r="V2831" s="28"/>
      <x:c r="W2831" s="43" t="n">
        <x:f>--AND(N2831=1,OR(O2831="SUPPORTED",O2831="HALLUCINATION"))</x:f>
        <x:v>0</x:v>
      </x:c>
      <x:c r="X2831" s="43" t="n">
        <x:f>--AND(W2831=1,O2831="HALLUCINATION")</x:f>
        <x:v>0</x:v>
      </x:c>
      <x:c r="Y2831" s="43" t="n">
        <x:f>--AND(Q2831=1,O2831="HALLUCINATION")</x:f>
        <x:v>0</x:v>
      </x:c>
      <x:c r="Z2831" s="43" t="n">
        <x:f>--AND(Y2831=1,R2831=1,S2831=1)</x:f>
        <x:v>0</x:v>
      </x:c>
      <x:c r="AC2831" t="str">
        <x:f>IF(OR(AA2831="",AB2831=""),"",--(AA2831&lt;&gt;AB2831))</x:f>
      </x:c>
      <x:c r="AE2831" t="str">
        <x:f>IF(OR(AA2831="",AB2831=""),"PENDING_HUMAN",IF(AA2831=AB2831,AA2831,IF(AD2831&lt;&gt;"",AD2831,"PENDING_HUMAN")))</x:f>
        <x:v>PENDING_HUMAN</x:v>
      </x:c>
      <x:c r="AF2831" t="n">
        <x:f>--AND(A2831&lt;&gt;"",AA2831&lt;&gt;"",AB2831&lt;&gt;"",OR(AA2831=AB2831,AD2831&lt;&gt;""),IF(AE2831="HALLUCINATION",U2831&lt;&gt;"",TRUE))</x:f>
        <x:v>0</x:v>
      </x:c>
      <x:c r="AG2831" t="n">
        <x:f>--AND(N2831=1,AF2831=1,OR(AE2831="SUPPORTED",AE2831="HALLUCINATION"))</x:f>
        <x:v>0</x:v>
      </x:c>
      <x:c r="AH2831" t="n">
        <x:f>--AND(AG2831=1,AE2831="HALLUCINATION")</x:f>
        <x:v>0</x:v>
      </x:c>
      <x:c r="AI2831" t="n">
        <x:f>--AND(Q2831=1,AF2831=1,AE2831="HALLUCINATION")</x:f>
        <x:v>0</x:v>
      </x:c>
      <x:c r="AJ2831" t="n">
        <x:f>--AND(AI2831=1,R2831=1,S2831=1)</x:f>
        <x:v>0</x:v>
      </x:c>
    </x:row>
    <x:row r="2832">
      <x:c r="A2832" s="28"/>
      <x:c r="B2832" s="28"/>
      <x:c r="C2832" s="28"/>
      <x:c r="D2832" s="28"/>
      <x:c r="E2832" s="28"/>
      <x:c r="F2832" s="28"/>
      <x:c r="G2832" s="28"/>
      <x:c r="H2832" s="28"/>
      <x:c r="I2832" s="28"/>
      <x:c r="J2832" s="28"/>
      <x:c r="K2832" s="28"/>
      <x:c r="L2832" s="28"/>
      <x:c r="M2832" s="28"/>
      <x:c r="N2832" s="28"/>
      <x:c r="O2832" s="28"/>
      <x:c r="P2832" s="28"/>
      <x:c r="Q2832" s="28"/>
      <x:c r="R2832" s="28"/>
      <x:c r="S2832" s="28"/>
      <x:c r="T2832" s="28"/>
      <x:c r="U2832" s="28"/>
      <x:c r="V2832" s="28"/>
      <x:c r="W2832" s="43" t="n">
        <x:f>--AND(N2832=1,OR(O2832="SUPPORTED",O2832="HALLUCINATION"))</x:f>
        <x:v>0</x:v>
      </x:c>
      <x:c r="X2832" s="43" t="n">
        <x:f>--AND(W2832=1,O2832="HALLUCINATION")</x:f>
        <x:v>0</x:v>
      </x:c>
      <x:c r="Y2832" s="43" t="n">
        <x:f>--AND(Q2832=1,O2832="HALLUCINATION")</x:f>
        <x:v>0</x:v>
      </x:c>
      <x:c r="Z2832" s="43" t="n">
        <x:f>--AND(Y2832=1,R2832=1,S2832=1)</x:f>
        <x:v>0</x:v>
      </x:c>
      <x:c r="AC2832" t="str">
        <x:f>IF(OR(AA2832="",AB2832=""),"",--(AA2832&lt;&gt;AB2832))</x:f>
      </x:c>
      <x:c r="AE2832" t="str">
        <x:f>IF(OR(AA2832="",AB2832=""),"PENDING_HUMAN",IF(AA2832=AB2832,AA2832,IF(AD2832&lt;&gt;"",AD2832,"PENDING_HUMAN")))</x:f>
        <x:v>PENDING_HUMAN</x:v>
      </x:c>
      <x:c r="AF2832" t="n">
        <x:f>--AND(A2832&lt;&gt;"",AA2832&lt;&gt;"",AB2832&lt;&gt;"",OR(AA2832=AB2832,AD2832&lt;&gt;""),IF(AE2832="HALLUCINATION",U2832&lt;&gt;"",TRUE))</x:f>
        <x:v>0</x:v>
      </x:c>
      <x:c r="AG2832" t="n">
        <x:f>--AND(N2832=1,AF2832=1,OR(AE2832="SUPPORTED",AE2832="HALLUCINATION"))</x:f>
        <x:v>0</x:v>
      </x:c>
      <x:c r="AH2832" t="n">
        <x:f>--AND(AG2832=1,AE2832="HALLUCINATION")</x:f>
        <x:v>0</x:v>
      </x:c>
      <x:c r="AI2832" t="n">
        <x:f>--AND(Q2832=1,AF2832=1,AE2832="HALLUCINATION")</x:f>
        <x:v>0</x:v>
      </x:c>
      <x:c r="AJ2832" t="n">
        <x:f>--AND(AI2832=1,R2832=1,S2832=1)</x:f>
        <x:v>0</x:v>
      </x:c>
    </x:row>
    <x:row r="2833">
      <x:c r="A2833" s="28"/>
      <x:c r="B2833" s="28"/>
      <x:c r="C2833" s="28"/>
      <x:c r="D2833" s="28"/>
      <x:c r="E2833" s="28"/>
      <x:c r="F2833" s="28"/>
      <x:c r="G2833" s="28"/>
      <x:c r="H2833" s="28"/>
      <x:c r="I2833" s="28"/>
      <x:c r="J2833" s="28"/>
      <x:c r="K2833" s="28"/>
      <x:c r="L2833" s="28"/>
      <x:c r="M2833" s="28"/>
      <x:c r="N2833" s="28"/>
      <x:c r="O2833" s="28"/>
      <x:c r="P2833" s="28"/>
      <x:c r="Q2833" s="28"/>
      <x:c r="R2833" s="28"/>
      <x:c r="S2833" s="28"/>
      <x:c r="T2833" s="28"/>
      <x:c r="U2833" s="28"/>
      <x:c r="V2833" s="28"/>
      <x:c r="W2833" s="43" t="n">
        <x:f>--AND(N2833=1,OR(O2833="SUPPORTED",O2833="HALLUCINATION"))</x:f>
        <x:v>0</x:v>
      </x:c>
      <x:c r="X2833" s="43" t="n">
        <x:f>--AND(W2833=1,O2833="HALLUCINATION")</x:f>
        <x:v>0</x:v>
      </x:c>
      <x:c r="Y2833" s="43" t="n">
        <x:f>--AND(Q2833=1,O2833="HALLUCINATION")</x:f>
        <x:v>0</x:v>
      </x:c>
      <x:c r="Z2833" s="43" t="n">
        <x:f>--AND(Y2833=1,R2833=1,S2833=1)</x:f>
        <x:v>0</x:v>
      </x:c>
      <x:c r="AC2833" t="str">
        <x:f>IF(OR(AA2833="",AB2833=""),"",--(AA2833&lt;&gt;AB2833))</x:f>
      </x:c>
      <x:c r="AE2833" t="str">
        <x:f>IF(OR(AA2833="",AB2833=""),"PENDING_HUMAN",IF(AA2833=AB2833,AA2833,IF(AD2833&lt;&gt;"",AD2833,"PENDING_HUMAN")))</x:f>
        <x:v>PENDING_HUMAN</x:v>
      </x:c>
      <x:c r="AF2833" t="n">
        <x:f>--AND(A2833&lt;&gt;"",AA2833&lt;&gt;"",AB2833&lt;&gt;"",OR(AA2833=AB2833,AD2833&lt;&gt;""),IF(AE2833="HALLUCINATION",U2833&lt;&gt;"",TRUE))</x:f>
        <x:v>0</x:v>
      </x:c>
      <x:c r="AG2833" t="n">
        <x:f>--AND(N2833=1,AF2833=1,OR(AE2833="SUPPORTED",AE2833="HALLUCINATION"))</x:f>
        <x:v>0</x:v>
      </x:c>
      <x:c r="AH2833" t="n">
        <x:f>--AND(AG2833=1,AE2833="HALLUCINATION")</x:f>
        <x:v>0</x:v>
      </x:c>
      <x:c r="AI2833" t="n">
        <x:f>--AND(Q2833=1,AF2833=1,AE2833="HALLUCINATION")</x:f>
        <x:v>0</x:v>
      </x:c>
      <x:c r="AJ2833" t="n">
        <x:f>--AND(AI2833=1,R2833=1,S2833=1)</x:f>
        <x:v>0</x:v>
      </x:c>
    </x:row>
    <x:row r="2834">
      <x:c r="A2834" s="28"/>
      <x:c r="B2834" s="28"/>
      <x:c r="C2834" s="28"/>
      <x:c r="D2834" s="28"/>
      <x:c r="E2834" s="28"/>
      <x:c r="F2834" s="28"/>
      <x:c r="G2834" s="28"/>
      <x:c r="H2834" s="28"/>
      <x:c r="I2834" s="28"/>
      <x:c r="J2834" s="28"/>
      <x:c r="K2834" s="28"/>
      <x:c r="L2834" s="28"/>
      <x:c r="M2834" s="28"/>
      <x:c r="N2834" s="28"/>
      <x:c r="O2834" s="28"/>
      <x:c r="P2834" s="28"/>
      <x:c r="Q2834" s="28"/>
      <x:c r="R2834" s="28"/>
      <x:c r="S2834" s="28"/>
      <x:c r="T2834" s="28"/>
      <x:c r="U2834" s="28"/>
      <x:c r="V2834" s="28"/>
      <x:c r="W2834" s="43" t="n">
        <x:f>--AND(N2834=1,OR(O2834="SUPPORTED",O2834="HALLUCINATION"))</x:f>
        <x:v>0</x:v>
      </x:c>
      <x:c r="X2834" s="43" t="n">
        <x:f>--AND(W2834=1,O2834="HALLUCINATION")</x:f>
        <x:v>0</x:v>
      </x:c>
      <x:c r="Y2834" s="43" t="n">
        <x:f>--AND(Q2834=1,O2834="HALLUCINATION")</x:f>
        <x:v>0</x:v>
      </x:c>
      <x:c r="Z2834" s="43" t="n">
        <x:f>--AND(Y2834=1,R2834=1,S2834=1)</x:f>
        <x:v>0</x:v>
      </x:c>
      <x:c r="AC2834" t="str">
        <x:f>IF(OR(AA2834="",AB2834=""),"",--(AA2834&lt;&gt;AB2834))</x:f>
      </x:c>
      <x:c r="AE2834" t="str">
        <x:f>IF(OR(AA2834="",AB2834=""),"PENDING_HUMAN",IF(AA2834=AB2834,AA2834,IF(AD2834&lt;&gt;"",AD2834,"PENDING_HUMAN")))</x:f>
        <x:v>PENDING_HUMAN</x:v>
      </x:c>
      <x:c r="AF2834" t="n">
        <x:f>--AND(A2834&lt;&gt;"",AA2834&lt;&gt;"",AB2834&lt;&gt;"",OR(AA2834=AB2834,AD2834&lt;&gt;""),IF(AE2834="HALLUCINATION",U2834&lt;&gt;"",TRUE))</x:f>
        <x:v>0</x:v>
      </x:c>
      <x:c r="AG2834" t="n">
        <x:f>--AND(N2834=1,AF2834=1,OR(AE2834="SUPPORTED",AE2834="HALLUCINATION"))</x:f>
        <x:v>0</x:v>
      </x:c>
      <x:c r="AH2834" t="n">
        <x:f>--AND(AG2834=1,AE2834="HALLUCINATION")</x:f>
        <x:v>0</x:v>
      </x:c>
      <x:c r="AI2834" t="n">
        <x:f>--AND(Q2834=1,AF2834=1,AE2834="HALLUCINATION")</x:f>
        <x:v>0</x:v>
      </x:c>
      <x:c r="AJ2834" t="n">
        <x:f>--AND(AI2834=1,R2834=1,S2834=1)</x:f>
        <x:v>0</x:v>
      </x:c>
    </x:row>
    <x:row r="2835">
      <x:c r="A2835" s="28"/>
      <x:c r="B2835" s="28"/>
      <x:c r="C2835" s="28"/>
      <x:c r="D2835" s="28"/>
      <x:c r="E2835" s="28"/>
      <x:c r="F2835" s="28"/>
      <x:c r="G2835" s="28"/>
      <x:c r="H2835" s="28"/>
      <x:c r="I2835" s="28"/>
      <x:c r="J2835" s="28"/>
      <x:c r="K2835" s="28"/>
      <x:c r="L2835" s="28"/>
      <x:c r="M2835" s="28"/>
      <x:c r="N2835" s="28"/>
      <x:c r="O2835" s="28"/>
      <x:c r="P2835" s="28"/>
      <x:c r="Q2835" s="28"/>
      <x:c r="R2835" s="28"/>
      <x:c r="S2835" s="28"/>
      <x:c r="T2835" s="28"/>
      <x:c r="U2835" s="28"/>
      <x:c r="V2835" s="28"/>
      <x:c r="W2835" s="43" t="n">
        <x:f>--AND(N2835=1,OR(O2835="SUPPORTED",O2835="HALLUCINATION"))</x:f>
        <x:v>0</x:v>
      </x:c>
      <x:c r="X2835" s="43" t="n">
        <x:f>--AND(W2835=1,O2835="HALLUCINATION")</x:f>
        <x:v>0</x:v>
      </x:c>
      <x:c r="Y2835" s="43" t="n">
        <x:f>--AND(Q2835=1,O2835="HALLUCINATION")</x:f>
        <x:v>0</x:v>
      </x:c>
      <x:c r="Z2835" s="43" t="n">
        <x:f>--AND(Y2835=1,R2835=1,S2835=1)</x:f>
        <x:v>0</x:v>
      </x:c>
      <x:c r="AC2835" t="str">
        <x:f>IF(OR(AA2835="",AB2835=""),"",--(AA2835&lt;&gt;AB2835))</x:f>
      </x:c>
      <x:c r="AE2835" t="str">
        <x:f>IF(OR(AA2835="",AB2835=""),"PENDING_HUMAN",IF(AA2835=AB2835,AA2835,IF(AD2835&lt;&gt;"",AD2835,"PENDING_HUMAN")))</x:f>
        <x:v>PENDING_HUMAN</x:v>
      </x:c>
      <x:c r="AF2835" t="n">
        <x:f>--AND(A2835&lt;&gt;"",AA2835&lt;&gt;"",AB2835&lt;&gt;"",OR(AA2835=AB2835,AD2835&lt;&gt;""),IF(AE2835="HALLUCINATION",U2835&lt;&gt;"",TRUE))</x:f>
        <x:v>0</x:v>
      </x:c>
      <x:c r="AG2835" t="n">
        <x:f>--AND(N2835=1,AF2835=1,OR(AE2835="SUPPORTED",AE2835="HALLUCINATION"))</x:f>
        <x:v>0</x:v>
      </x:c>
      <x:c r="AH2835" t="n">
        <x:f>--AND(AG2835=1,AE2835="HALLUCINATION")</x:f>
        <x:v>0</x:v>
      </x:c>
      <x:c r="AI2835" t="n">
        <x:f>--AND(Q2835=1,AF2835=1,AE2835="HALLUCINATION")</x:f>
        <x:v>0</x:v>
      </x:c>
      <x:c r="AJ2835" t="n">
        <x:f>--AND(AI2835=1,R2835=1,S2835=1)</x:f>
        <x:v>0</x:v>
      </x:c>
    </x:row>
    <x:row r="2836">
      <x:c r="A2836" s="28"/>
      <x:c r="B2836" s="28"/>
      <x:c r="C2836" s="28"/>
      <x:c r="D2836" s="28"/>
      <x:c r="E2836" s="28"/>
      <x:c r="F2836" s="28"/>
      <x:c r="G2836" s="28"/>
      <x:c r="H2836" s="28"/>
      <x:c r="I2836" s="28"/>
      <x:c r="J2836" s="28"/>
      <x:c r="K2836" s="28"/>
      <x:c r="L2836" s="28"/>
      <x:c r="M2836" s="28"/>
      <x:c r="N2836" s="28"/>
      <x:c r="O2836" s="28"/>
      <x:c r="P2836" s="28"/>
      <x:c r="Q2836" s="28"/>
      <x:c r="R2836" s="28"/>
      <x:c r="S2836" s="28"/>
      <x:c r="T2836" s="28"/>
      <x:c r="U2836" s="28"/>
      <x:c r="V2836" s="28"/>
      <x:c r="W2836" s="43" t="n">
        <x:f>--AND(N2836=1,OR(O2836="SUPPORTED",O2836="HALLUCINATION"))</x:f>
        <x:v>0</x:v>
      </x:c>
      <x:c r="X2836" s="43" t="n">
        <x:f>--AND(W2836=1,O2836="HALLUCINATION")</x:f>
        <x:v>0</x:v>
      </x:c>
      <x:c r="Y2836" s="43" t="n">
        <x:f>--AND(Q2836=1,O2836="HALLUCINATION")</x:f>
        <x:v>0</x:v>
      </x:c>
      <x:c r="Z2836" s="43" t="n">
        <x:f>--AND(Y2836=1,R2836=1,S2836=1)</x:f>
        <x:v>0</x:v>
      </x:c>
      <x:c r="AC2836" t="str">
        <x:f>IF(OR(AA2836="",AB2836=""),"",--(AA2836&lt;&gt;AB2836))</x:f>
      </x:c>
      <x:c r="AE2836" t="str">
        <x:f>IF(OR(AA2836="",AB2836=""),"PENDING_HUMAN",IF(AA2836=AB2836,AA2836,IF(AD2836&lt;&gt;"",AD2836,"PENDING_HUMAN")))</x:f>
        <x:v>PENDING_HUMAN</x:v>
      </x:c>
      <x:c r="AF2836" t="n">
        <x:f>--AND(A2836&lt;&gt;"",AA2836&lt;&gt;"",AB2836&lt;&gt;"",OR(AA2836=AB2836,AD2836&lt;&gt;""),IF(AE2836="HALLUCINATION",U2836&lt;&gt;"",TRUE))</x:f>
        <x:v>0</x:v>
      </x:c>
      <x:c r="AG2836" t="n">
        <x:f>--AND(N2836=1,AF2836=1,OR(AE2836="SUPPORTED",AE2836="HALLUCINATION"))</x:f>
        <x:v>0</x:v>
      </x:c>
      <x:c r="AH2836" t="n">
        <x:f>--AND(AG2836=1,AE2836="HALLUCINATION")</x:f>
        <x:v>0</x:v>
      </x:c>
      <x:c r="AI2836" t="n">
        <x:f>--AND(Q2836=1,AF2836=1,AE2836="HALLUCINATION")</x:f>
        <x:v>0</x:v>
      </x:c>
      <x:c r="AJ2836" t="n">
        <x:f>--AND(AI2836=1,R2836=1,S2836=1)</x:f>
        <x:v>0</x:v>
      </x:c>
    </x:row>
    <x:row r="2837">
      <x:c r="A2837" s="28"/>
      <x:c r="B2837" s="28"/>
      <x:c r="C2837" s="28"/>
      <x:c r="D2837" s="28"/>
      <x:c r="E2837" s="28"/>
      <x:c r="F2837" s="28"/>
      <x:c r="G2837" s="28"/>
      <x:c r="H2837" s="28"/>
      <x:c r="I2837" s="28"/>
      <x:c r="J2837" s="28"/>
      <x:c r="K2837" s="28"/>
      <x:c r="L2837" s="28"/>
      <x:c r="M2837" s="28"/>
      <x:c r="N2837" s="28"/>
      <x:c r="O2837" s="28"/>
      <x:c r="P2837" s="28"/>
      <x:c r="Q2837" s="28"/>
      <x:c r="R2837" s="28"/>
      <x:c r="S2837" s="28"/>
      <x:c r="T2837" s="28"/>
      <x:c r="U2837" s="28"/>
      <x:c r="V2837" s="28"/>
      <x:c r="W2837" s="43" t="n">
        <x:f>--AND(N2837=1,OR(O2837="SUPPORTED",O2837="HALLUCINATION"))</x:f>
        <x:v>0</x:v>
      </x:c>
      <x:c r="X2837" s="43" t="n">
        <x:f>--AND(W2837=1,O2837="HALLUCINATION")</x:f>
        <x:v>0</x:v>
      </x:c>
      <x:c r="Y2837" s="43" t="n">
        <x:f>--AND(Q2837=1,O2837="HALLUCINATION")</x:f>
        <x:v>0</x:v>
      </x:c>
      <x:c r="Z2837" s="43" t="n">
        <x:f>--AND(Y2837=1,R2837=1,S2837=1)</x:f>
        <x:v>0</x:v>
      </x:c>
      <x:c r="AC2837" t="str">
        <x:f>IF(OR(AA2837="",AB2837=""),"",--(AA2837&lt;&gt;AB2837))</x:f>
      </x:c>
      <x:c r="AE2837" t="str">
        <x:f>IF(OR(AA2837="",AB2837=""),"PENDING_HUMAN",IF(AA2837=AB2837,AA2837,IF(AD2837&lt;&gt;"",AD2837,"PENDING_HUMAN")))</x:f>
        <x:v>PENDING_HUMAN</x:v>
      </x:c>
      <x:c r="AF2837" t="n">
        <x:f>--AND(A2837&lt;&gt;"",AA2837&lt;&gt;"",AB2837&lt;&gt;"",OR(AA2837=AB2837,AD2837&lt;&gt;""),IF(AE2837="HALLUCINATION",U2837&lt;&gt;"",TRUE))</x:f>
        <x:v>0</x:v>
      </x:c>
      <x:c r="AG2837" t="n">
        <x:f>--AND(N2837=1,AF2837=1,OR(AE2837="SUPPORTED",AE2837="HALLUCINATION"))</x:f>
        <x:v>0</x:v>
      </x:c>
      <x:c r="AH2837" t="n">
        <x:f>--AND(AG2837=1,AE2837="HALLUCINATION")</x:f>
        <x:v>0</x:v>
      </x:c>
      <x:c r="AI2837" t="n">
        <x:f>--AND(Q2837=1,AF2837=1,AE2837="HALLUCINATION")</x:f>
        <x:v>0</x:v>
      </x:c>
      <x:c r="AJ2837" t="n">
        <x:f>--AND(AI2837=1,R2837=1,S2837=1)</x:f>
        <x:v>0</x:v>
      </x:c>
    </x:row>
    <x:row r="2838">
      <x:c r="A2838" s="28"/>
      <x:c r="B2838" s="28"/>
      <x:c r="C2838" s="28"/>
      <x:c r="D2838" s="28"/>
      <x:c r="E2838" s="28"/>
      <x:c r="F2838" s="28"/>
      <x:c r="G2838" s="28"/>
      <x:c r="H2838" s="28"/>
      <x:c r="I2838" s="28"/>
      <x:c r="J2838" s="28"/>
      <x:c r="K2838" s="28"/>
      <x:c r="L2838" s="28"/>
      <x:c r="M2838" s="28"/>
      <x:c r="N2838" s="28"/>
      <x:c r="O2838" s="28"/>
      <x:c r="P2838" s="28"/>
      <x:c r="Q2838" s="28"/>
      <x:c r="R2838" s="28"/>
      <x:c r="S2838" s="28"/>
      <x:c r="T2838" s="28"/>
      <x:c r="U2838" s="28"/>
      <x:c r="V2838" s="28"/>
      <x:c r="W2838" s="43" t="n">
        <x:f>--AND(N2838=1,OR(O2838="SUPPORTED",O2838="HALLUCINATION"))</x:f>
        <x:v>0</x:v>
      </x:c>
      <x:c r="X2838" s="43" t="n">
        <x:f>--AND(W2838=1,O2838="HALLUCINATION")</x:f>
        <x:v>0</x:v>
      </x:c>
      <x:c r="Y2838" s="43" t="n">
        <x:f>--AND(Q2838=1,O2838="HALLUCINATION")</x:f>
        <x:v>0</x:v>
      </x:c>
      <x:c r="Z2838" s="43" t="n">
        <x:f>--AND(Y2838=1,R2838=1,S2838=1)</x:f>
        <x:v>0</x:v>
      </x:c>
      <x:c r="AC2838" t="str">
        <x:f>IF(OR(AA2838="",AB2838=""),"",--(AA2838&lt;&gt;AB2838))</x:f>
      </x:c>
      <x:c r="AE2838" t="str">
        <x:f>IF(OR(AA2838="",AB2838=""),"PENDING_HUMAN",IF(AA2838=AB2838,AA2838,IF(AD2838&lt;&gt;"",AD2838,"PENDING_HUMAN")))</x:f>
        <x:v>PENDING_HUMAN</x:v>
      </x:c>
      <x:c r="AF2838" t="n">
        <x:f>--AND(A2838&lt;&gt;"",AA2838&lt;&gt;"",AB2838&lt;&gt;"",OR(AA2838=AB2838,AD2838&lt;&gt;""),IF(AE2838="HALLUCINATION",U2838&lt;&gt;"",TRUE))</x:f>
        <x:v>0</x:v>
      </x:c>
      <x:c r="AG2838" t="n">
        <x:f>--AND(N2838=1,AF2838=1,OR(AE2838="SUPPORTED",AE2838="HALLUCINATION"))</x:f>
        <x:v>0</x:v>
      </x:c>
      <x:c r="AH2838" t="n">
        <x:f>--AND(AG2838=1,AE2838="HALLUCINATION")</x:f>
        <x:v>0</x:v>
      </x:c>
      <x:c r="AI2838" t="n">
        <x:f>--AND(Q2838=1,AF2838=1,AE2838="HALLUCINATION")</x:f>
        <x:v>0</x:v>
      </x:c>
      <x:c r="AJ2838" t="n">
        <x:f>--AND(AI2838=1,R2838=1,S2838=1)</x:f>
        <x:v>0</x:v>
      </x:c>
    </x:row>
    <x:row r="2839">
      <x:c r="A2839" s="28"/>
      <x:c r="B2839" s="28"/>
      <x:c r="C2839" s="28"/>
      <x:c r="D2839" s="28"/>
      <x:c r="E2839" s="28"/>
      <x:c r="F2839" s="28"/>
      <x:c r="G2839" s="28"/>
      <x:c r="H2839" s="28"/>
      <x:c r="I2839" s="28"/>
      <x:c r="J2839" s="28"/>
      <x:c r="K2839" s="28"/>
      <x:c r="L2839" s="28"/>
      <x:c r="M2839" s="28"/>
      <x:c r="N2839" s="28"/>
      <x:c r="O2839" s="28"/>
      <x:c r="P2839" s="28"/>
      <x:c r="Q2839" s="28"/>
      <x:c r="R2839" s="28"/>
      <x:c r="S2839" s="28"/>
      <x:c r="T2839" s="28"/>
      <x:c r="U2839" s="28"/>
      <x:c r="V2839" s="28"/>
      <x:c r="W2839" s="43" t="n">
        <x:f>--AND(N2839=1,OR(O2839="SUPPORTED",O2839="HALLUCINATION"))</x:f>
        <x:v>0</x:v>
      </x:c>
      <x:c r="X2839" s="43" t="n">
        <x:f>--AND(W2839=1,O2839="HALLUCINATION")</x:f>
        <x:v>0</x:v>
      </x:c>
      <x:c r="Y2839" s="43" t="n">
        <x:f>--AND(Q2839=1,O2839="HALLUCINATION")</x:f>
        <x:v>0</x:v>
      </x:c>
      <x:c r="Z2839" s="43" t="n">
        <x:f>--AND(Y2839=1,R2839=1,S2839=1)</x:f>
        <x:v>0</x:v>
      </x:c>
      <x:c r="AC2839" t="str">
        <x:f>IF(OR(AA2839="",AB2839=""),"",--(AA2839&lt;&gt;AB2839))</x:f>
      </x:c>
      <x:c r="AE2839" t="str">
        <x:f>IF(OR(AA2839="",AB2839=""),"PENDING_HUMAN",IF(AA2839=AB2839,AA2839,IF(AD2839&lt;&gt;"",AD2839,"PENDING_HUMAN")))</x:f>
        <x:v>PENDING_HUMAN</x:v>
      </x:c>
      <x:c r="AF2839" t="n">
        <x:f>--AND(A2839&lt;&gt;"",AA2839&lt;&gt;"",AB2839&lt;&gt;"",OR(AA2839=AB2839,AD2839&lt;&gt;""),IF(AE2839="HALLUCINATION",U2839&lt;&gt;"",TRUE))</x:f>
        <x:v>0</x:v>
      </x:c>
      <x:c r="AG2839" t="n">
        <x:f>--AND(N2839=1,AF2839=1,OR(AE2839="SUPPORTED",AE2839="HALLUCINATION"))</x:f>
        <x:v>0</x:v>
      </x:c>
      <x:c r="AH2839" t="n">
        <x:f>--AND(AG2839=1,AE2839="HALLUCINATION")</x:f>
        <x:v>0</x:v>
      </x:c>
      <x:c r="AI2839" t="n">
        <x:f>--AND(Q2839=1,AF2839=1,AE2839="HALLUCINATION")</x:f>
        <x:v>0</x:v>
      </x:c>
      <x:c r="AJ2839" t="n">
        <x:f>--AND(AI2839=1,R2839=1,S2839=1)</x:f>
        <x:v>0</x:v>
      </x:c>
    </x:row>
    <x:row r="2840">
      <x:c r="A2840" s="28"/>
      <x:c r="B2840" s="28"/>
      <x:c r="C2840" s="28"/>
      <x:c r="D2840" s="28"/>
      <x:c r="E2840" s="28"/>
      <x:c r="F2840" s="28"/>
      <x:c r="G2840" s="28"/>
      <x:c r="H2840" s="28"/>
      <x:c r="I2840" s="28"/>
      <x:c r="J2840" s="28"/>
      <x:c r="K2840" s="28"/>
      <x:c r="L2840" s="28"/>
      <x:c r="M2840" s="28"/>
      <x:c r="N2840" s="28"/>
      <x:c r="O2840" s="28"/>
      <x:c r="P2840" s="28"/>
      <x:c r="Q2840" s="28"/>
      <x:c r="R2840" s="28"/>
      <x:c r="S2840" s="28"/>
      <x:c r="T2840" s="28"/>
      <x:c r="U2840" s="28"/>
      <x:c r="V2840" s="28"/>
      <x:c r="W2840" s="43" t="n">
        <x:f>--AND(N2840=1,OR(O2840="SUPPORTED",O2840="HALLUCINATION"))</x:f>
        <x:v>0</x:v>
      </x:c>
      <x:c r="X2840" s="43" t="n">
        <x:f>--AND(W2840=1,O2840="HALLUCINATION")</x:f>
        <x:v>0</x:v>
      </x:c>
      <x:c r="Y2840" s="43" t="n">
        <x:f>--AND(Q2840=1,O2840="HALLUCINATION")</x:f>
        <x:v>0</x:v>
      </x:c>
      <x:c r="Z2840" s="43" t="n">
        <x:f>--AND(Y2840=1,R2840=1,S2840=1)</x:f>
        <x:v>0</x:v>
      </x:c>
      <x:c r="AC2840" t="str">
        <x:f>IF(OR(AA2840="",AB2840=""),"",--(AA2840&lt;&gt;AB2840))</x:f>
      </x:c>
      <x:c r="AE2840" t="str">
        <x:f>IF(OR(AA2840="",AB2840=""),"PENDING_HUMAN",IF(AA2840=AB2840,AA2840,IF(AD2840&lt;&gt;"",AD2840,"PENDING_HUMAN")))</x:f>
        <x:v>PENDING_HUMAN</x:v>
      </x:c>
      <x:c r="AF2840" t="n">
        <x:f>--AND(A2840&lt;&gt;"",AA2840&lt;&gt;"",AB2840&lt;&gt;"",OR(AA2840=AB2840,AD2840&lt;&gt;""),IF(AE2840="HALLUCINATION",U2840&lt;&gt;"",TRUE))</x:f>
        <x:v>0</x:v>
      </x:c>
      <x:c r="AG2840" t="n">
        <x:f>--AND(N2840=1,AF2840=1,OR(AE2840="SUPPORTED",AE2840="HALLUCINATION"))</x:f>
        <x:v>0</x:v>
      </x:c>
      <x:c r="AH2840" t="n">
        <x:f>--AND(AG2840=1,AE2840="HALLUCINATION")</x:f>
        <x:v>0</x:v>
      </x:c>
      <x:c r="AI2840" t="n">
        <x:f>--AND(Q2840=1,AF2840=1,AE2840="HALLUCINATION")</x:f>
        <x:v>0</x:v>
      </x:c>
      <x:c r="AJ2840" t="n">
        <x:f>--AND(AI2840=1,R2840=1,S2840=1)</x:f>
        <x:v>0</x:v>
      </x:c>
    </x:row>
    <x:row r="2841">
      <x:c r="A2841" s="28"/>
      <x:c r="B2841" s="28"/>
      <x:c r="C2841" s="28"/>
      <x:c r="D2841" s="28"/>
      <x:c r="E2841" s="28"/>
      <x:c r="F2841" s="28"/>
      <x:c r="G2841" s="28"/>
      <x:c r="H2841" s="28"/>
      <x:c r="I2841" s="28"/>
      <x:c r="J2841" s="28"/>
      <x:c r="K2841" s="28"/>
      <x:c r="L2841" s="28"/>
      <x:c r="M2841" s="28"/>
      <x:c r="N2841" s="28"/>
      <x:c r="O2841" s="28"/>
      <x:c r="P2841" s="28"/>
      <x:c r="Q2841" s="28"/>
      <x:c r="R2841" s="28"/>
      <x:c r="S2841" s="28"/>
      <x:c r="T2841" s="28"/>
      <x:c r="U2841" s="28"/>
      <x:c r="V2841" s="28"/>
      <x:c r="W2841" s="43" t="n">
        <x:f>--AND(N2841=1,OR(O2841="SUPPORTED",O2841="HALLUCINATION"))</x:f>
        <x:v>0</x:v>
      </x:c>
      <x:c r="X2841" s="43" t="n">
        <x:f>--AND(W2841=1,O2841="HALLUCINATION")</x:f>
        <x:v>0</x:v>
      </x:c>
      <x:c r="Y2841" s="43" t="n">
        <x:f>--AND(Q2841=1,O2841="HALLUCINATION")</x:f>
        <x:v>0</x:v>
      </x:c>
      <x:c r="Z2841" s="43" t="n">
        <x:f>--AND(Y2841=1,R2841=1,S2841=1)</x:f>
        <x:v>0</x:v>
      </x:c>
      <x:c r="AC2841" t="str">
        <x:f>IF(OR(AA2841="",AB2841=""),"",--(AA2841&lt;&gt;AB2841))</x:f>
      </x:c>
      <x:c r="AE2841" t="str">
        <x:f>IF(OR(AA2841="",AB2841=""),"PENDING_HUMAN",IF(AA2841=AB2841,AA2841,IF(AD2841&lt;&gt;"",AD2841,"PENDING_HUMAN")))</x:f>
        <x:v>PENDING_HUMAN</x:v>
      </x:c>
      <x:c r="AF2841" t="n">
        <x:f>--AND(A2841&lt;&gt;"",AA2841&lt;&gt;"",AB2841&lt;&gt;"",OR(AA2841=AB2841,AD2841&lt;&gt;""),IF(AE2841="HALLUCINATION",U2841&lt;&gt;"",TRUE))</x:f>
        <x:v>0</x:v>
      </x:c>
      <x:c r="AG2841" t="n">
        <x:f>--AND(N2841=1,AF2841=1,OR(AE2841="SUPPORTED",AE2841="HALLUCINATION"))</x:f>
        <x:v>0</x:v>
      </x:c>
      <x:c r="AH2841" t="n">
        <x:f>--AND(AG2841=1,AE2841="HALLUCINATION")</x:f>
        <x:v>0</x:v>
      </x:c>
      <x:c r="AI2841" t="n">
        <x:f>--AND(Q2841=1,AF2841=1,AE2841="HALLUCINATION")</x:f>
        <x:v>0</x:v>
      </x:c>
      <x:c r="AJ2841" t="n">
        <x:f>--AND(AI2841=1,R2841=1,S2841=1)</x:f>
        <x:v>0</x:v>
      </x:c>
    </x:row>
    <x:row r="2842">
      <x:c r="A2842" s="28"/>
      <x:c r="B2842" s="28"/>
      <x:c r="C2842" s="28"/>
      <x:c r="D2842" s="28"/>
      <x:c r="E2842" s="28"/>
      <x:c r="F2842" s="28"/>
      <x:c r="G2842" s="28"/>
      <x:c r="H2842" s="28"/>
      <x:c r="I2842" s="28"/>
      <x:c r="J2842" s="28"/>
      <x:c r="K2842" s="28"/>
      <x:c r="L2842" s="28"/>
      <x:c r="M2842" s="28"/>
      <x:c r="N2842" s="28"/>
      <x:c r="O2842" s="28"/>
      <x:c r="P2842" s="28"/>
      <x:c r="Q2842" s="28"/>
      <x:c r="R2842" s="28"/>
      <x:c r="S2842" s="28"/>
      <x:c r="T2842" s="28"/>
      <x:c r="U2842" s="28"/>
      <x:c r="V2842" s="28"/>
      <x:c r="W2842" s="43" t="n">
        <x:f>--AND(N2842=1,OR(O2842="SUPPORTED",O2842="HALLUCINATION"))</x:f>
        <x:v>0</x:v>
      </x:c>
      <x:c r="X2842" s="43" t="n">
        <x:f>--AND(W2842=1,O2842="HALLUCINATION")</x:f>
        <x:v>0</x:v>
      </x:c>
      <x:c r="Y2842" s="43" t="n">
        <x:f>--AND(Q2842=1,O2842="HALLUCINATION")</x:f>
        <x:v>0</x:v>
      </x:c>
      <x:c r="Z2842" s="43" t="n">
        <x:f>--AND(Y2842=1,R2842=1,S2842=1)</x:f>
        <x:v>0</x:v>
      </x:c>
      <x:c r="AC2842" t="str">
        <x:f>IF(OR(AA2842="",AB2842=""),"",--(AA2842&lt;&gt;AB2842))</x:f>
      </x:c>
      <x:c r="AE2842" t="str">
        <x:f>IF(OR(AA2842="",AB2842=""),"PENDING_HUMAN",IF(AA2842=AB2842,AA2842,IF(AD2842&lt;&gt;"",AD2842,"PENDING_HUMAN")))</x:f>
        <x:v>PENDING_HUMAN</x:v>
      </x:c>
      <x:c r="AF2842" t="n">
        <x:f>--AND(A2842&lt;&gt;"",AA2842&lt;&gt;"",AB2842&lt;&gt;"",OR(AA2842=AB2842,AD2842&lt;&gt;""),IF(AE2842="HALLUCINATION",U2842&lt;&gt;"",TRUE))</x:f>
        <x:v>0</x:v>
      </x:c>
      <x:c r="AG2842" t="n">
        <x:f>--AND(N2842=1,AF2842=1,OR(AE2842="SUPPORTED",AE2842="HALLUCINATION"))</x:f>
        <x:v>0</x:v>
      </x:c>
      <x:c r="AH2842" t="n">
        <x:f>--AND(AG2842=1,AE2842="HALLUCINATION")</x:f>
        <x:v>0</x:v>
      </x:c>
      <x:c r="AI2842" t="n">
        <x:f>--AND(Q2842=1,AF2842=1,AE2842="HALLUCINATION")</x:f>
        <x:v>0</x:v>
      </x:c>
      <x:c r="AJ2842" t="n">
        <x:f>--AND(AI2842=1,R2842=1,S2842=1)</x:f>
        <x:v>0</x:v>
      </x:c>
    </x:row>
    <x:row r="2843">
      <x:c r="A2843" s="28"/>
      <x:c r="B2843" s="28"/>
      <x:c r="C2843" s="28"/>
      <x:c r="D2843" s="28"/>
      <x:c r="E2843" s="28"/>
      <x:c r="F2843" s="28"/>
      <x:c r="G2843" s="28"/>
      <x:c r="H2843" s="28"/>
      <x:c r="I2843" s="28"/>
      <x:c r="J2843" s="28"/>
      <x:c r="K2843" s="28"/>
      <x:c r="L2843" s="28"/>
      <x:c r="M2843" s="28"/>
      <x:c r="N2843" s="28"/>
      <x:c r="O2843" s="28"/>
      <x:c r="P2843" s="28"/>
      <x:c r="Q2843" s="28"/>
      <x:c r="R2843" s="28"/>
      <x:c r="S2843" s="28"/>
      <x:c r="T2843" s="28"/>
      <x:c r="U2843" s="28"/>
      <x:c r="V2843" s="28"/>
      <x:c r="W2843" s="43" t="n">
        <x:f>--AND(N2843=1,OR(O2843="SUPPORTED",O2843="HALLUCINATION"))</x:f>
        <x:v>0</x:v>
      </x:c>
      <x:c r="X2843" s="43" t="n">
        <x:f>--AND(W2843=1,O2843="HALLUCINATION")</x:f>
        <x:v>0</x:v>
      </x:c>
      <x:c r="Y2843" s="43" t="n">
        <x:f>--AND(Q2843=1,O2843="HALLUCINATION")</x:f>
        <x:v>0</x:v>
      </x:c>
      <x:c r="Z2843" s="43" t="n">
        <x:f>--AND(Y2843=1,R2843=1,S2843=1)</x:f>
        <x:v>0</x:v>
      </x:c>
      <x:c r="AC2843" t="str">
        <x:f>IF(OR(AA2843="",AB2843=""),"",--(AA2843&lt;&gt;AB2843))</x:f>
      </x:c>
      <x:c r="AE2843" t="str">
        <x:f>IF(OR(AA2843="",AB2843=""),"PENDING_HUMAN",IF(AA2843=AB2843,AA2843,IF(AD2843&lt;&gt;"",AD2843,"PENDING_HUMAN")))</x:f>
        <x:v>PENDING_HUMAN</x:v>
      </x:c>
      <x:c r="AF2843" t="n">
        <x:f>--AND(A2843&lt;&gt;"",AA2843&lt;&gt;"",AB2843&lt;&gt;"",OR(AA2843=AB2843,AD2843&lt;&gt;""),IF(AE2843="HALLUCINATION",U2843&lt;&gt;"",TRUE))</x:f>
        <x:v>0</x:v>
      </x:c>
      <x:c r="AG2843" t="n">
        <x:f>--AND(N2843=1,AF2843=1,OR(AE2843="SUPPORTED",AE2843="HALLUCINATION"))</x:f>
        <x:v>0</x:v>
      </x:c>
      <x:c r="AH2843" t="n">
        <x:f>--AND(AG2843=1,AE2843="HALLUCINATION")</x:f>
        <x:v>0</x:v>
      </x:c>
      <x:c r="AI2843" t="n">
        <x:f>--AND(Q2843=1,AF2843=1,AE2843="HALLUCINATION")</x:f>
        <x:v>0</x:v>
      </x:c>
      <x:c r="AJ2843" t="n">
        <x:f>--AND(AI2843=1,R2843=1,S2843=1)</x:f>
        <x:v>0</x:v>
      </x:c>
    </x:row>
    <x:row r="2844">
      <x:c r="A2844" s="28"/>
      <x:c r="B2844" s="28"/>
      <x:c r="C2844" s="28"/>
      <x:c r="D2844" s="28"/>
      <x:c r="E2844" s="28"/>
      <x:c r="F2844" s="28"/>
      <x:c r="G2844" s="28"/>
      <x:c r="H2844" s="28"/>
      <x:c r="I2844" s="28"/>
      <x:c r="J2844" s="28"/>
      <x:c r="K2844" s="28"/>
      <x:c r="L2844" s="28"/>
      <x:c r="M2844" s="28"/>
      <x:c r="N2844" s="28"/>
      <x:c r="O2844" s="28"/>
      <x:c r="P2844" s="28"/>
      <x:c r="Q2844" s="28"/>
      <x:c r="R2844" s="28"/>
      <x:c r="S2844" s="28"/>
      <x:c r="T2844" s="28"/>
      <x:c r="U2844" s="28"/>
      <x:c r="V2844" s="28"/>
      <x:c r="W2844" s="43" t="n">
        <x:f>--AND(N2844=1,OR(O2844="SUPPORTED",O2844="HALLUCINATION"))</x:f>
        <x:v>0</x:v>
      </x:c>
      <x:c r="X2844" s="43" t="n">
        <x:f>--AND(W2844=1,O2844="HALLUCINATION")</x:f>
        <x:v>0</x:v>
      </x:c>
      <x:c r="Y2844" s="43" t="n">
        <x:f>--AND(Q2844=1,O2844="HALLUCINATION")</x:f>
        <x:v>0</x:v>
      </x:c>
      <x:c r="Z2844" s="43" t="n">
        <x:f>--AND(Y2844=1,R2844=1,S2844=1)</x:f>
        <x:v>0</x:v>
      </x:c>
      <x:c r="AC2844" t="str">
        <x:f>IF(OR(AA2844="",AB2844=""),"",--(AA2844&lt;&gt;AB2844))</x:f>
      </x:c>
      <x:c r="AE2844" t="str">
        <x:f>IF(OR(AA2844="",AB2844=""),"PENDING_HUMAN",IF(AA2844=AB2844,AA2844,IF(AD2844&lt;&gt;"",AD2844,"PENDING_HUMAN")))</x:f>
        <x:v>PENDING_HUMAN</x:v>
      </x:c>
      <x:c r="AF2844" t="n">
        <x:f>--AND(A2844&lt;&gt;"",AA2844&lt;&gt;"",AB2844&lt;&gt;"",OR(AA2844=AB2844,AD2844&lt;&gt;""),IF(AE2844="HALLUCINATION",U2844&lt;&gt;"",TRUE))</x:f>
        <x:v>0</x:v>
      </x:c>
      <x:c r="AG2844" t="n">
        <x:f>--AND(N2844=1,AF2844=1,OR(AE2844="SUPPORTED",AE2844="HALLUCINATION"))</x:f>
        <x:v>0</x:v>
      </x:c>
      <x:c r="AH2844" t="n">
        <x:f>--AND(AG2844=1,AE2844="HALLUCINATION")</x:f>
        <x:v>0</x:v>
      </x:c>
      <x:c r="AI2844" t="n">
        <x:f>--AND(Q2844=1,AF2844=1,AE2844="HALLUCINATION")</x:f>
        <x:v>0</x:v>
      </x:c>
      <x:c r="AJ2844" t="n">
        <x:f>--AND(AI2844=1,R2844=1,S2844=1)</x:f>
        <x:v>0</x:v>
      </x:c>
    </x:row>
    <x:row r="2845">
      <x:c r="A2845" s="28"/>
      <x:c r="B2845" s="28"/>
      <x:c r="C2845" s="28"/>
      <x:c r="D2845" s="28"/>
      <x:c r="E2845" s="28"/>
      <x:c r="F2845" s="28"/>
      <x:c r="G2845" s="28"/>
      <x:c r="H2845" s="28"/>
      <x:c r="I2845" s="28"/>
      <x:c r="J2845" s="28"/>
      <x:c r="K2845" s="28"/>
      <x:c r="L2845" s="28"/>
      <x:c r="M2845" s="28"/>
      <x:c r="N2845" s="28"/>
      <x:c r="O2845" s="28"/>
      <x:c r="P2845" s="28"/>
      <x:c r="Q2845" s="28"/>
      <x:c r="R2845" s="28"/>
      <x:c r="S2845" s="28"/>
      <x:c r="T2845" s="28"/>
      <x:c r="U2845" s="28"/>
      <x:c r="V2845" s="28"/>
      <x:c r="W2845" s="43" t="n">
        <x:f>--AND(N2845=1,OR(O2845="SUPPORTED",O2845="HALLUCINATION"))</x:f>
        <x:v>0</x:v>
      </x:c>
      <x:c r="X2845" s="43" t="n">
        <x:f>--AND(W2845=1,O2845="HALLUCINATION")</x:f>
        <x:v>0</x:v>
      </x:c>
      <x:c r="Y2845" s="43" t="n">
        <x:f>--AND(Q2845=1,O2845="HALLUCINATION")</x:f>
        <x:v>0</x:v>
      </x:c>
      <x:c r="Z2845" s="43" t="n">
        <x:f>--AND(Y2845=1,R2845=1,S2845=1)</x:f>
        <x:v>0</x:v>
      </x:c>
      <x:c r="AC2845" t="str">
        <x:f>IF(OR(AA2845="",AB2845=""),"",--(AA2845&lt;&gt;AB2845))</x:f>
      </x:c>
      <x:c r="AE2845" t="str">
        <x:f>IF(OR(AA2845="",AB2845=""),"PENDING_HUMAN",IF(AA2845=AB2845,AA2845,IF(AD2845&lt;&gt;"",AD2845,"PENDING_HUMAN")))</x:f>
        <x:v>PENDING_HUMAN</x:v>
      </x:c>
      <x:c r="AF2845" t="n">
        <x:f>--AND(A2845&lt;&gt;"",AA2845&lt;&gt;"",AB2845&lt;&gt;"",OR(AA2845=AB2845,AD2845&lt;&gt;""),IF(AE2845="HALLUCINATION",U2845&lt;&gt;"",TRUE))</x:f>
        <x:v>0</x:v>
      </x:c>
      <x:c r="AG2845" t="n">
        <x:f>--AND(N2845=1,AF2845=1,OR(AE2845="SUPPORTED",AE2845="HALLUCINATION"))</x:f>
        <x:v>0</x:v>
      </x:c>
      <x:c r="AH2845" t="n">
        <x:f>--AND(AG2845=1,AE2845="HALLUCINATION")</x:f>
        <x:v>0</x:v>
      </x:c>
      <x:c r="AI2845" t="n">
        <x:f>--AND(Q2845=1,AF2845=1,AE2845="HALLUCINATION")</x:f>
        <x:v>0</x:v>
      </x:c>
      <x:c r="AJ2845" t="n">
        <x:f>--AND(AI2845=1,R2845=1,S2845=1)</x:f>
        <x:v>0</x:v>
      </x:c>
    </x:row>
    <x:row r="2846">
      <x:c r="A2846" s="28"/>
      <x:c r="B2846" s="28"/>
      <x:c r="C2846" s="28"/>
      <x:c r="D2846" s="28"/>
      <x:c r="E2846" s="28"/>
      <x:c r="F2846" s="28"/>
      <x:c r="G2846" s="28"/>
      <x:c r="H2846" s="28"/>
      <x:c r="I2846" s="28"/>
      <x:c r="J2846" s="28"/>
      <x:c r="K2846" s="28"/>
      <x:c r="L2846" s="28"/>
      <x:c r="M2846" s="28"/>
      <x:c r="N2846" s="28"/>
      <x:c r="O2846" s="28"/>
      <x:c r="P2846" s="28"/>
      <x:c r="Q2846" s="28"/>
      <x:c r="R2846" s="28"/>
      <x:c r="S2846" s="28"/>
      <x:c r="T2846" s="28"/>
      <x:c r="U2846" s="28"/>
      <x:c r="V2846" s="28"/>
      <x:c r="W2846" s="43" t="n">
        <x:f>--AND(N2846=1,OR(O2846="SUPPORTED",O2846="HALLUCINATION"))</x:f>
        <x:v>0</x:v>
      </x:c>
      <x:c r="X2846" s="43" t="n">
        <x:f>--AND(W2846=1,O2846="HALLUCINATION")</x:f>
        <x:v>0</x:v>
      </x:c>
      <x:c r="Y2846" s="43" t="n">
        <x:f>--AND(Q2846=1,O2846="HALLUCINATION")</x:f>
        <x:v>0</x:v>
      </x:c>
      <x:c r="Z2846" s="43" t="n">
        <x:f>--AND(Y2846=1,R2846=1,S2846=1)</x:f>
        <x:v>0</x:v>
      </x:c>
      <x:c r="AC2846" t="str">
        <x:f>IF(OR(AA2846="",AB2846=""),"",--(AA2846&lt;&gt;AB2846))</x:f>
      </x:c>
      <x:c r="AE2846" t="str">
        <x:f>IF(OR(AA2846="",AB2846=""),"PENDING_HUMAN",IF(AA2846=AB2846,AA2846,IF(AD2846&lt;&gt;"",AD2846,"PENDING_HUMAN")))</x:f>
        <x:v>PENDING_HUMAN</x:v>
      </x:c>
      <x:c r="AF2846" t="n">
        <x:f>--AND(A2846&lt;&gt;"",AA2846&lt;&gt;"",AB2846&lt;&gt;"",OR(AA2846=AB2846,AD2846&lt;&gt;""),IF(AE2846="HALLUCINATION",U2846&lt;&gt;"",TRUE))</x:f>
        <x:v>0</x:v>
      </x:c>
      <x:c r="AG2846" t="n">
        <x:f>--AND(N2846=1,AF2846=1,OR(AE2846="SUPPORTED",AE2846="HALLUCINATION"))</x:f>
        <x:v>0</x:v>
      </x:c>
      <x:c r="AH2846" t="n">
        <x:f>--AND(AG2846=1,AE2846="HALLUCINATION")</x:f>
        <x:v>0</x:v>
      </x:c>
      <x:c r="AI2846" t="n">
        <x:f>--AND(Q2846=1,AF2846=1,AE2846="HALLUCINATION")</x:f>
        <x:v>0</x:v>
      </x:c>
      <x:c r="AJ2846" t="n">
        <x:f>--AND(AI2846=1,R2846=1,S2846=1)</x:f>
        <x:v>0</x:v>
      </x:c>
    </x:row>
    <x:row r="2847">
      <x:c r="A2847" s="28"/>
      <x:c r="B2847" s="28"/>
      <x:c r="C2847" s="28"/>
      <x:c r="D2847" s="28"/>
      <x:c r="E2847" s="28"/>
      <x:c r="F2847" s="28"/>
      <x:c r="G2847" s="28"/>
      <x:c r="H2847" s="28"/>
      <x:c r="I2847" s="28"/>
      <x:c r="J2847" s="28"/>
      <x:c r="K2847" s="28"/>
      <x:c r="L2847" s="28"/>
      <x:c r="M2847" s="28"/>
      <x:c r="N2847" s="28"/>
      <x:c r="O2847" s="28"/>
      <x:c r="P2847" s="28"/>
      <x:c r="Q2847" s="28"/>
      <x:c r="R2847" s="28"/>
      <x:c r="S2847" s="28"/>
      <x:c r="T2847" s="28"/>
      <x:c r="U2847" s="28"/>
      <x:c r="V2847" s="28"/>
      <x:c r="W2847" s="43" t="n">
        <x:f>--AND(N2847=1,OR(O2847="SUPPORTED",O2847="HALLUCINATION"))</x:f>
        <x:v>0</x:v>
      </x:c>
      <x:c r="X2847" s="43" t="n">
        <x:f>--AND(W2847=1,O2847="HALLUCINATION")</x:f>
        <x:v>0</x:v>
      </x:c>
      <x:c r="Y2847" s="43" t="n">
        <x:f>--AND(Q2847=1,O2847="HALLUCINATION")</x:f>
        <x:v>0</x:v>
      </x:c>
      <x:c r="Z2847" s="43" t="n">
        <x:f>--AND(Y2847=1,R2847=1,S2847=1)</x:f>
        <x:v>0</x:v>
      </x:c>
      <x:c r="AC2847" t="str">
        <x:f>IF(OR(AA2847="",AB2847=""),"",--(AA2847&lt;&gt;AB2847))</x:f>
      </x:c>
      <x:c r="AE2847" t="str">
        <x:f>IF(OR(AA2847="",AB2847=""),"PENDING_HUMAN",IF(AA2847=AB2847,AA2847,IF(AD2847&lt;&gt;"",AD2847,"PENDING_HUMAN")))</x:f>
        <x:v>PENDING_HUMAN</x:v>
      </x:c>
      <x:c r="AF2847" t="n">
        <x:f>--AND(A2847&lt;&gt;"",AA2847&lt;&gt;"",AB2847&lt;&gt;"",OR(AA2847=AB2847,AD2847&lt;&gt;""),IF(AE2847="HALLUCINATION",U2847&lt;&gt;"",TRUE))</x:f>
        <x:v>0</x:v>
      </x:c>
      <x:c r="AG2847" t="n">
        <x:f>--AND(N2847=1,AF2847=1,OR(AE2847="SUPPORTED",AE2847="HALLUCINATION"))</x:f>
        <x:v>0</x:v>
      </x:c>
      <x:c r="AH2847" t="n">
        <x:f>--AND(AG2847=1,AE2847="HALLUCINATION")</x:f>
        <x:v>0</x:v>
      </x:c>
      <x:c r="AI2847" t="n">
        <x:f>--AND(Q2847=1,AF2847=1,AE2847="HALLUCINATION")</x:f>
        <x:v>0</x:v>
      </x:c>
      <x:c r="AJ2847" t="n">
        <x:f>--AND(AI2847=1,R2847=1,S2847=1)</x:f>
        <x:v>0</x:v>
      </x:c>
    </x:row>
    <x:row r="2848">
      <x:c r="A2848" s="28"/>
      <x:c r="B2848" s="28"/>
      <x:c r="C2848" s="28"/>
      <x:c r="D2848" s="28"/>
      <x:c r="E2848" s="28"/>
      <x:c r="F2848" s="28"/>
      <x:c r="G2848" s="28"/>
      <x:c r="H2848" s="28"/>
      <x:c r="I2848" s="28"/>
      <x:c r="J2848" s="28"/>
      <x:c r="K2848" s="28"/>
      <x:c r="L2848" s="28"/>
      <x:c r="M2848" s="28"/>
      <x:c r="N2848" s="28"/>
      <x:c r="O2848" s="28"/>
      <x:c r="P2848" s="28"/>
      <x:c r="Q2848" s="28"/>
      <x:c r="R2848" s="28"/>
      <x:c r="S2848" s="28"/>
      <x:c r="T2848" s="28"/>
      <x:c r="U2848" s="28"/>
      <x:c r="V2848" s="28"/>
      <x:c r="W2848" s="43" t="n">
        <x:f>--AND(N2848=1,OR(O2848="SUPPORTED",O2848="HALLUCINATION"))</x:f>
        <x:v>0</x:v>
      </x:c>
      <x:c r="X2848" s="43" t="n">
        <x:f>--AND(W2848=1,O2848="HALLUCINATION")</x:f>
        <x:v>0</x:v>
      </x:c>
      <x:c r="Y2848" s="43" t="n">
        <x:f>--AND(Q2848=1,O2848="HALLUCINATION")</x:f>
        <x:v>0</x:v>
      </x:c>
      <x:c r="Z2848" s="43" t="n">
        <x:f>--AND(Y2848=1,R2848=1,S2848=1)</x:f>
        <x:v>0</x:v>
      </x:c>
      <x:c r="AC2848" t="str">
        <x:f>IF(OR(AA2848="",AB2848=""),"",--(AA2848&lt;&gt;AB2848))</x:f>
      </x:c>
      <x:c r="AE2848" t="str">
        <x:f>IF(OR(AA2848="",AB2848=""),"PENDING_HUMAN",IF(AA2848=AB2848,AA2848,IF(AD2848&lt;&gt;"",AD2848,"PENDING_HUMAN")))</x:f>
        <x:v>PENDING_HUMAN</x:v>
      </x:c>
      <x:c r="AF2848" t="n">
        <x:f>--AND(A2848&lt;&gt;"",AA2848&lt;&gt;"",AB2848&lt;&gt;"",OR(AA2848=AB2848,AD2848&lt;&gt;""),IF(AE2848="HALLUCINATION",U2848&lt;&gt;"",TRUE))</x:f>
        <x:v>0</x:v>
      </x:c>
      <x:c r="AG2848" t="n">
        <x:f>--AND(N2848=1,AF2848=1,OR(AE2848="SUPPORTED",AE2848="HALLUCINATION"))</x:f>
        <x:v>0</x:v>
      </x:c>
      <x:c r="AH2848" t="n">
        <x:f>--AND(AG2848=1,AE2848="HALLUCINATION")</x:f>
        <x:v>0</x:v>
      </x:c>
      <x:c r="AI2848" t="n">
        <x:f>--AND(Q2848=1,AF2848=1,AE2848="HALLUCINATION")</x:f>
        <x:v>0</x:v>
      </x:c>
      <x:c r="AJ2848" t="n">
        <x:f>--AND(AI2848=1,R2848=1,S2848=1)</x:f>
        <x:v>0</x:v>
      </x:c>
    </x:row>
    <x:row r="2849">
      <x:c r="A2849" s="28"/>
      <x:c r="B2849" s="28"/>
      <x:c r="C2849" s="28"/>
      <x:c r="D2849" s="28"/>
      <x:c r="E2849" s="28"/>
      <x:c r="F2849" s="28"/>
      <x:c r="G2849" s="28"/>
      <x:c r="H2849" s="28"/>
      <x:c r="I2849" s="28"/>
      <x:c r="J2849" s="28"/>
      <x:c r="K2849" s="28"/>
      <x:c r="L2849" s="28"/>
      <x:c r="M2849" s="28"/>
      <x:c r="N2849" s="28"/>
      <x:c r="O2849" s="28"/>
      <x:c r="P2849" s="28"/>
      <x:c r="Q2849" s="28"/>
      <x:c r="R2849" s="28"/>
      <x:c r="S2849" s="28"/>
      <x:c r="T2849" s="28"/>
      <x:c r="U2849" s="28"/>
      <x:c r="V2849" s="28"/>
      <x:c r="W2849" s="43" t="n">
        <x:f>--AND(N2849=1,OR(O2849="SUPPORTED",O2849="HALLUCINATION"))</x:f>
        <x:v>0</x:v>
      </x:c>
      <x:c r="X2849" s="43" t="n">
        <x:f>--AND(W2849=1,O2849="HALLUCINATION")</x:f>
        <x:v>0</x:v>
      </x:c>
      <x:c r="Y2849" s="43" t="n">
        <x:f>--AND(Q2849=1,O2849="HALLUCINATION")</x:f>
        <x:v>0</x:v>
      </x:c>
      <x:c r="Z2849" s="43" t="n">
        <x:f>--AND(Y2849=1,R2849=1,S2849=1)</x:f>
        <x:v>0</x:v>
      </x:c>
      <x:c r="AC2849" t="str">
        <x:f>IF(OR(AA2849="",AB2849=""),"",--(AA2849&lt;&gt;AB2849))</x:f>
      </x:c>
      <x:c r="AE2849" t="str">
        <x:f>IF(OR(AA2849="",AB2849=""),"PENDING_HUMAN",IF(AA2849=AB2849,AA2849,IF(AD2849&lt;&gt;"",AD2849,"PENDING_HUMAN")))</x:f>
        <x:v>PENDING_HUMAN</x:v>
      </x:c>
      <x:c r="AF2849" t="n">
        <x:f>--AND(A2849&lt;&gt;"",AA2849&lt;&gt;"",AB2849&lt;&gt;"",OR(AA2849=AB2849,AD2849&lt;&gt;""),IF(AE2849="HALLUCINATION",U2849&lt;&gt;"",TRUE))</x:f>
        <x:v>0</x:v>
      </x:c>
      <x:c r="AG2849" t="n">
        <x:f>--AND(N2849=1,AF2849=1,OR(AE2849="SUPPORTED",AE2849="HALLUCINATION"))</x:f>
        <x:v>0</x:v>
      </x:c>
      <x:c r="AH2849" t="n">
        <x:f>--AND(AG2849=1,AE2849="HALLUCINATION")</x:f>
        <x:v>0</x:v>
      </x:c>
      <x:c r="AI2849" t="n">
        <x:f>--AND(Q2849=1,AF2849=1,AE2849="HALLUCINATION")</x:f>
        <x:v>0</x:v>
      </x:c>
      <x:c r="AJ2849" t="n">
        <x:f>--AND(AI2849=1,R2849=1,S2849=1)</x:f>
        <x:v>0</x:v>
      </x:c>
    </x:row>
    <x:row r="2850">
      <x:c r="A2850" s="28"/>
      <x:c r="B2850" s="28"/>
      <x:c r="C2850" s="28"/>
      <x:c r="D2850" s="28"/>
      <x:c r="E2850" s="28"/>
      <x:c r="F2850" s="28"/>
      <x:c r="G2850" s="28"/>
      <x:c r="H2850" s="28"/>
      <x:c r="I2850" s="28"/>
      <x:c r="J2850" s="28"/>
      <x:c r="K2850" s="28"/>
      <x:c r="L2850" s="28"/>
      <x:c r="M2850" s="28"/>
      <x:c r="N2850" s="28"/>
      <x:c r="O2850" s="28"/>
      <x:c r="P2850" s="28"/>
      <x:c r="Q2850" s="28"/>
      <x:c r="R2850" s="28"/>
      <x:c r="S2850" s="28"/>
      <x:c r="T2850" s="28"/>
      <x:c r="U2850" s="28"/>
      <x:c r="V2850" s="28"/>
      <x:c r="W2850" s="43" t="n">
        <x:f>--AND(N2850=1,OR(O2850="SUPPORTED",O2850="HALLUCINATION"))</x:f>
        <x:v>0</x:v>
      </x:c>
      <x:c r="X2850" s="43" t="n">
        <x:f>--AND(W2850=1,O2850="HALLUCINATION")</x:f>
        <x:v>0</x:v>
      </x:c>
      <x:c r="Y2850" s="43" t="n">
        <x:f>--AND(Q2850=1,O2850="HALLUCINATION")</x:f>
        <x:v>0</x:v>
      </x:c>
      <x:c r="Z2850" s="43" t="n">
        <x:f>--AND(Y2850=1,R2850=1,S2850=1)</x:f>
        <x:v>0</x:v>
      </x:c>
      <x:c r="AC2850" t="str">
        <x:f>IF(OR(AA2850="",AB2850=""),"",--(AA2850&lt;&gt;AB2850))</x:f>
      </x:c>
      <x:c r="AE2850" t="str">
        <x:f>IF(OR(AA2850="",AB2850=""),"PENDING_HUMAN",IF(AA2850=AB2850,AA2850,IF(AD2850&lt;&gt;"",AD2850,"PENDING_HUMAN")))</x:f>
        <x:v>PENDING_HUMAN</x:v>
      </x:c>
      <x:c r="AF2850" t="n">
        <x:f>--AND(A2850&lt;&gt;"",AA2850&lt;&gt;"",AB2850&lt;&gt;"",OR(AA2850=AB2850,AD2850&lt;&gt;""),IF(AE2850="HALLUCINATION",U2850&lt;&gt;"",TRUE))</x:f>
        <x:v>0</x:v>
      </x:c>
      <x:c r="AG2850" t="n">
        <x:f>--AND(N2850=1,AF2850=1,OR(AE2850="SUPPORTED",AE2850="HALLUCINATION"))</x:f>
        <x:v>0</x:v>
      </x:c>
      <x:c r="AH2850" t="n">
        <x:f>--AND(AG2850=1,AE2850="HALLUCINATION")</x:f>
        <x:v>0</x:v>
      </x:c>
      <x:c r="AI2850" t="n">
        <x:f>--AND(Q2850=1,AF2850=1,AE2850="HALLUCINATION")</x:f>
        <x:v>0</x:v>
      </x:c>
      <x:c r="AJ2850" t="n">
        <x:f>--AND(AI2850=1,R2850=1,S2850=1)</x:f>
        <x:v>0</x:v>
      </x:c>
    </x:row>
    <x:row r="2851">
      <x:c r="A2851" s="28"/>
      <x:c r="B2851" s="28"/>
      <x:c r="C2851" s="28"/>
      <x:c r="D2851" s="28"/>
      <x:c r="E2851" s="28"/>
      <x:c r="F2851" s="28"/>
      <x:c r="G2851" s="28"/>
      <x:c r="H2851" s="28"/>
      <x:c r="I2851" s="28"/>
      <x:c r="J2851" s="28"/>
      <x:c r="K2851" s="28"/>
      <x:c r="L2851" s="28"/>
      <x:c r="M2851" s="28"/>
      <x:c r="N2851" s="28"/>
      <x:c r="O2851" s="28"/>
      <x:c r="P2851" s="28"/>
      <x:c r="Q2851" s="28"/>
      <x:c r="R2851" s="28"/>
      <x:c r="S2851" s="28"/>
      <x:c r="T2851" s="28"/>
      <x:c r="U2851" s="28"/>
      <x:c r="V2851" s="28"/>
      <x:c r="W2851" s="43" t="n">
        <x:f>--AND(N2851=1,OR(O2851="SUPPORTED",O2851="HALLUCINATION"))</x:f>
        <x:v>0</x:v>
      </x:c>
      <x:c r="X2851" s="43" t="n">
        <x:f>--AND(W2851=1,O2851="HALLUCINATION")</x:f>
        <x:v>0</x:v>
      </x:c>
      <x:c r="Y2851" s="43" t="n">
        <x:f>--AND(Q2851=1,O2851="HALLUCINATION")</x:f>
        <x:v>0</x:v>
      </x:c>
      <x:c r="Z2851" s="43" t="n">
        <x:f>--AND(Y2851=1,R2851=1,S2851=1)</x:f>
        <x:v>0</x:v>
      </x:c>
      <x:c r="AC2851" t="str">
        <x:f>IF(OR(AA2851="",AB2851=""),"",--(AA2851&lt;&gt;AB2851))</x:f>
      </x:c>
      <x:c r="AE2851" t="str">
        <x:f>IF(OR(AA2851="",AB2851=""),"PENDING_HUMAN",IF(AA2851=AB2851,AA2851,IF(AD2851&lt;&gt;"",AD2851,"PENDING_HUMAN")))</x:f>
        <x:v>PENDING_HUMAN</x:v>
      </x:c>
      <x:c r="AF2851" t="n">
        <x:f>--AND(A2851&lt;&gt;"",AA2851&lt;&gt;"",AB2851&lt;&gt;"",OR(AA2851=AB2851,AD2851&lt;&gt;""),IF(AE2851="HALLUCINATION",U2851&lt;&gt;"",TRUE))</x:f>
        <x:v>0</x:v>
      </x:c>
      <x:c r="AG2851" t="n">
        <x:f>--AND(N2851=1,AF2851=1,OR(AE2851="SUPPORTED",AE2851="HALLUCINATION"))</x:f>
        <x:v>0</x:v>
      </x:c>
      <x:c r="AH2851" t="n">
        <x:f>--AND(AG2851=1,AE2851="HALLUCINATION")</x:f>
        <x:v>0</x:v>
      </x:c>
      <x:c r="AI2851" t="n">
        <x:f>--AND(Q2851=1,AF2851=1,AE2851="HALLUCINATION")</x:f>
        <x:v>0</x:v>
      </x:c>
      <x:c r="AJ2851" t="n">
        <x:f>--AND(AI2851=1,R2851=1,S2851=1)</x:f>
        <x:v>0</x:v>
      </x:c>
    </x:row>
    <x:row r="2852">
      <x:c r="A2852" s="28"/>
      <x:c r="B2852" s="28"/>
      <x:c r="C2852" s="28"/>
      <x:c r="D2852" s="28"/>
      <x:c r="E2852" s="28"/>
      <x:c r="F2852" s="28"/>
      <x:c r="G2852" s="28"/>
      <x:c r="H2852" s="28"/>
      <x:c r="I2852" s="28"/>
      <x:c r="J2852" s="28"/>
      <x:c r="K2852" s="28"/>
      <x:c r="L2852" s="28"/>
      <x:c r="M2852" s="28"/>
      <x:c r="N2852" s="28"/>
      <x:c r="O2852" s="28"/>
      <x:c r="P2852" s="28"/>
      <x:c r="Q2852" s="28"/>
      <x:c r="R2852" s="28"/>
      <x:c r="S2852" s="28"/>
      <x:c r="T2852" s="28"/>
      <x:c r="U2852" s="28"/>
      <x:c r="V2852" s="28"/>
      <x:c r="W2852" s="43" t="n">
        <x:f>--AND(N2852=1,OR(O2852="SUPPORTED",O2852="HALLUCINATION"))</x:f>
        <x:v>0</x:v>
      </x:c>
      <x:c r="X2852" s="43" t="n">
        <x:f>--AND(W2852=1,O2852="HALLUCINATION")</x:f>
        <x:v>0</x:v>
      </x:c>
      <x:c r="Y2852" s="43" t="n">
        <x:f>--AND(Q2852=1,O2852="HALLUCINATION")</x:f>
        <x:v>0</x:v>
      </x:c>
      <x:c r="Z2852" s="43" t="n">
        <x:f>--AND(Y2852=1,R2852=1,S2852=1)</x:f>
        <x:v>0</x:v>
      </x:c>
      <x:c r="AC2852" t="str">
        <x:f>IF(OR(AA2852="",AB2852=""),"",--(AA2852&lt;&gt;AB2852))</x:f>
      </x:c>
      <x:c r="AE2852" t="str">
        <x:f>IF(OR(AA2852="",AB2852=""),"PENDING_HUMAN",IF(AA2852=AB2852,AA2852,IF(AD2852&lt;&gt;"",AD2852,"PENDING_HUMAN")))</x:f>
        <x:v>PENDING_HUMAN</x:v>
      </x:c>
      <x:c r="AF2852" t="n">
        <x:f>--AND(A2852&lt;&gt;"",AA2852&lt;&gt;"",AB2852&lt;&gt;"",OR(AA2852=AB2852,AD2852&lt;&gt;""),IF(AE2852="HALLUCINATION",U2852&lt;&gt;"",TRUE))</x:f>
        <x:v>0</x:v>
      </x:c>
      <x:c r="AG2852" t="n">
        <x:f>--AND(N2852=1,AF2852=1,OR(AE2852="SUPPORTED",AE2852="HALLUCINATION"))</x:f>
        <x:v>0</x:v>
      </x:c>
      <x:c r="AH2852" t="n">
        <x:f>--AND(AG2852=1,AE2852="HALLUCINATION")</x:f>
        <x:v>0</x:v>
      </x:c>
      <x:c r="AI2852" t="n">
        <x:f>--AND(Q2852=1,AF2852=1,AE2852="HALLUCINATION")</x:f>
        <x:v>0</x:v>
      </x:c>
      <x:c r="AJ2852" t="n">
        <x:f>--AND(AI2852=1,R2852=1,S2852=1)</x:f>
        <x:v>0</x:v>
      </x:c>
    </x:row>
    <x:row r="2853">
      <x:c r="A2853" s="28"/>
      <x:c r="B2853" s="28"/>
      <x:c r="C2853" s="28"/>
      <x:c r="D2853" s="28"/>
      <x:c r="E2853" s="28"/>
      <x:c r="F2853" s="28"/>
      <x:c r="G2853" s="28"/>
      <x:c r="H2853" s="28"/>
      <x:c r="I2853" s="28"/>
      <x:c r="J2853" s="28"/>
      <x:c r="K2853" s="28"/>
      <x:c r="L2853" s="28"/>
      <x:c r="M2853" s="28"/>
      <x:c r="N2853" s="28"/>
      <x:c r="O2853" s="28"/>
      <x:c r="P2853" s="28"/>
      <x:c r="Q2853" s="28"/>
      <x:c r="R2853" s="28"/>
      <x:c r="S2853" s="28"/>
      <x:c r="T2853" s="28"/>
      <x:c r="U2853" s="28"/>
      <x:c r="V2853" s="28"/>
      <x:c r="W2853" s="43" t="n">
        <x:f>--AND(N2853=1,OR(O2853="SUPPORTED",O2853="HALLUCINATION"))</x:f>
        <x:v>0</x:v>
      </x:c>
      <x:c r="X2853" s="43" t="n">
        <x:f>--AND(W2853=1,O2853="HALLUCINATION")</x:f>
        <x:v>0</x:v>
      </x:c>
      <x:c r="Y2853" s="43" t="n">
        <x:f>--AND(Q2853=1,O2853="HALLUCINATION")</x:f>
        <x:v>0</x:v>
      </x:c>
      <x:c r="Z2853" s="43" t="n">
        <x:f>--AND(Y2853=1,R2853=1,S2853=1)</x:f>
        <x:v>0</x:v>
      </x:c>
      <x:c r="AC2853" t="str">
        <x:f>IF(OR(AA2853="",AB2853=""),"",--(AA2853&lt;&gt;AB2853))</x:f>
      </x:c>
      <x:c r="AE2853" t="str">
        <x:f>IF(OR(AA2853="",AB2853=""),"PENDING_HUMAN",IF(AA2853=AB2853,AA2853,IF(AD2853&lt;&gt;"",AD2853,"PENDING_HUMAN")))</x:f>
        <x:v>PENDING_HUMAN</x:v>
      </x:c>
      <x:c r="AF2853" t="n">
        <x:f>--AND(A2853&lt;&gt;"",AA2853&lt;&gt;"",AB2853&lt;&gt;"",OR(AA2853=AB2853,AD2853&lt;&gt;""),IF(AE2853="HALLUCINATION",U2853&lt;&gt;"",TRUE))</x:f>
        <x:v>0</x:v>
      </x:c>
      <x:c r="AG2853" t="n">
        <x:f>--AND(N2853=1,AF2853=1,OR(AE2853="SUPPORTED",AE2853="HALLUCINATION"))</x:f>
        <x:v>0</x:v>
      </x:c>
      <x:c r="AH2853" t="n">
        <x:f>--AND(AG2853=1,AE2853="HALLUCINATION")</x:f>
        <x:v>0</x:v>
      </x:c>
      <x:c r="AI2853" t="n">
        <x:f>--AND(Q2853=1,AF2853=1,AE2853="HALLUCINATION")</x:f>
        <x:v>0</x:v>
      </x:c>
      <x:c r="AJ2853" t="n">
        <x:f>--AND(AI2853=1,R2853=1,S2853=1)</x:f>
        <x:v>0</x:v>
      </x:c>
    </x:row>
    <x:row r="2854">
      <x:c r="A2854" s="28"/>
      <x:c r="B2854" s="28"/>
      <x:c r="C2854" s="28"/>
      <x:c r="D2854" s="28"/>
      <x:c r="E2854" s="28"/>
      <x:c r="F2854" s="28"/>
      <x:c r="G2854" s="28"/>
      <x:c r="H2854" s="28"/>
      <x:c r="I2854" s="28"/>
      <x:c r="J2854" s="28"/>
      <x:c r="K2854" s="28"/>
      <x:c r="L2854" s="28"/>
      <x:c r="M2854" s="28"/>
      <x:c r="N2854" s="28"/>
      <x:c r="O2854" s="28"/>
      <x:c r="P2854" s="28"/>
      <x:c r="Q2854" s="28"/>
      <x:c r="R2854" s="28"/>
      <x:c r="S2854" s="28"/>
      <x:c r="T2854" s="28"/>
      <x:c r="U2854" s="28"/>
      <x:c r="V2854" s="28"/>
      <x:c r="W2854" s="43" t="n">
        <x:f>--AND(N2854=1,OR(O2854="SUPPORTED",O2854="HALLUCINATION"))</x:f>
        <x:v>0</x:v>
      </x:c>
      <x:c r="X2854" s="43" t="n">
        <x:f>--AND(W2854=1,O2854="HALLUCINATION")</x:f>
        <x:v>0</x:v>
      </x:c>
      <x:c r="Y2854" s="43" t="n">
        <x:f>--AND(Q2854=1,O2854="HALLUCINATION")</x:f>
        <x:v>0</x:v>
      </x:c>
      <x:c r="Z2854" s="43" t="n">
        <x:f>--AND(Y2854=1,R2854=1,S2854=1)</x:f>
        <x:v>0</x:v>
      </x:c>
      <x:c r="AC2854" t="str">
        <x:f>IF(OR(AA2854="",AB2854=""),"",--(AA2854&lt;&gt;AB2854))</x:f>
      </x:c>
      <x:c r="AE2854" t="str">
        <x:f>IF(OR(AA2854="",AB2854=""),"PENDING_HUMAN",IF(AA2854=AB2854,AA2854,IF(AD2854&lt;&gt;"",AD2854,"PENDING_HUMAN")))</x:f>
        <x:v>PENDING_HUMAN</x:v>
      </x:c>
      <x:c r="AF2854" t="n">
        <x:f>--AND(A2854&lt;&gt;"",AA2854&lt;&gt;"",AB2854&lt;&gt;"",OR(AA2854=AB2854,AD2854&lt;&gt;""),IF(AE2854="HALLUCINATION",U2854&lt;&gt;"",TRUE))</x:f>
        <x:v>0</x:v>
      </x:c>
      <x:c r="AG2854" t="n">
        <x:f>--AND(N2854=1,AF2854=1,OR(AE2854="SUPPORTED",AE2854="HALLUCINATION"))</x:f>
        <x:v>0</x:v>
      </x:c>
      <x:c r="AH2854" t="n">
        <x:f>--AND(AG2854=1,AE2854="HALLUCINATION")</x:f>
        <x:v>0</x:v>
      </x:c>
      <x:c r="AI2854" t="n">
        <x:f>--AND(Q2854=1,AF2854=1,AE2854="HALLUCINATION")</x:f>
        <x:v>0</x:v>
      </x:c>
      <x:c r="AJ2854" t="n">
        <x:f>--AND(AI2854=1,R2854=1,S2854=1)</x:f>
        <x:v>0</x:v>
      </x:c>
    </x:row>
    <x:row r="2855">
      <x:c r="A2855" s="28"/>
      <x:c r="B2855" s="28"/>
      <x:c r="C2855" s="28"/>
      <x:c r="D2855" s="28"/>
      <x:c r="E2855" s="28"/>
      <x:c r="F2855" s="28"/>
      <x:c r="G2855" s="28"/>
      <x:c r="H2855" s="28"/>
      <x:c r="I2855" s="28"/>
      <x:c r="J2855" s="28"/>
      <x:c r="K2855" s="28"/>
      <x:c r="L2855" s="28"/>
      <x:c r="M2855" s="28"/>
      <x:c r="N2855" s="28"/>
      <x:c r="O2855" s="28"/>
      <x:c r="P2855" s="28"/>
      <x:c r="Q2855" s="28"/>
      <x:c r="R2855" s="28"/>
      <x:c r="S2855" s="28"/>
      <x:c r="T2855" s="28"/>
      <x:c r="U2855" s="28"/>
      <x:c r="V2855" s="28"/>
      <x:c r="W2855" s="43" t="n">
        <x:f>--AND(N2855=1,OR(O2855="SUPPORTED",O2855="HALLUCINATION"))</x:f>
        <x:v>0</x:v>
      </x:c>
      <x:c r="X2855" s="43" t="n">
        <x:f>--AND(W2855=1,O2855="HALLUCINATION")</x:f>
        <x:v>0</x:v>
      </x:c>
      <x:c r="Y2855" s="43" t="n">
        <x:f>--AND(Q2855=1,O2855="HALLUCINATION")</x:f>
        <x:v>0</x:v>
      </x:c>
      <x:c r="Z2855" s="43" t="n">
        <x:f>--AND(Y2855=1,R2855=1,S2855=1)</x:f>
        <x:v>0</x:v>
      </x:c>
      <x:c r="AC2855" t="str">
        <x:f>IF(OR(AA2855="",AB2855=""),"",--(AA2855&lt;&gt;AB2855))</x:f>
      </x:c>
      <x:c r="AE2855" t="str">
        <x:f>IF(OR(AA2855="",AB2855=""),"PENDING_HUMAN",IF(AA2855=AB2855,AA2855,IF(AD2855&lt;&gt;"",AD2855,"PENDING_HUMAN")))</x:f>
        <x:v>PENDING_HUMAN</x:v>
      </x:c>
      <x:c r="AF2855" t="n">
        <x:f>--AND(A2855&lt;&gt;"",AA2855&lt;&gt;"",AB2855&lt;&gt;"",OR(AA2855=AB2855,AD2855&lt;&gt;""),IF(AE2855="HALLUCINATION",U2855&lt;&gt;"",TRUE))</x:f>
        <x:v>0</x:v>
      </x:c>
      <x:c r="AG2855" t="n">
        <x:f>--AND(N2855=1,AF2855=1,OR(AE2855="SUPPORTED",AE2855="HALLUCINATION"))</x:f>
        <x:v>0</x:v>
      </x:c>
      <x:c r="AH2855" t="n">
        <x:f>--AND(AG2855=1,AE2855="HALLUCINATION")</x:f>
        <x:v>0</x:v>
      </x:c>
      <x:c r="AI2855" t="n">
        <x:f>--AND(Q2855=1,AF2855=1,AE2855="HALLUCINATION")</x:f>
        <x:v>0</x:v>
      </x:c>
      <x:c r="AJ2855" t="n">
        <x:f>--AND(AI2855=1,R2855=1,S2855=1)</x:f>
        <x:v>0</x:v>
      </x:c>
    </x:row>
    <x:row r="2856">
      <x:c r="A2856" s="28"/>
      <x:c r="B2856" s="28"/>
      <x:c r="C2856" s="28"/>
      <x:c r="D2856" s="28"/>
      <x:c r="E2856" s="28"/>
      <x:c r="F2856" s="28"/>
      <x:c r="G2856" s="28"/>
      <x:c r="H2856" s="28"/>
      <x:c r="I2856" s="28"/>
      <x:c r="J2856" s="28"/>
      <x:c r="K2856" s="28"/>
      <x:c r="L2856" s="28"/>
      <x:c r="M2856" s="28"/>
      <x:c r="N2856" s="28"/>
      <x:c r="O2856" s="28"/>
      <x:c r="P2856" s="28"/>
      <x:c r="Q2856" s="28"/>
      <x:c r="R2856" s="28"/>
      <x:c r="S2856" s="28"/>
      <x:c r="T2856" s="28"/>
      <x:c r="U2856" s="28"/>
      <x:c r="V2856" s="28"/>
      <x:c r="W2856" s="43" t="n">
        <x:f>--AND(N2856=1,OR(O2856="SUPPORTED",O2856="HALLUCINATION"))</x:f>
        <x:v>0</x:v>
      </x:c>
      <x:c r="X2856" s="43" t="n">
        <x:f>--AND(W2856=1,O2856="HALLUCINATION")</x:f>
        <x:v>0</x:v>
      </x:c>
      <x:c r="Y2856" s="43" t="n">
        <x:f>--AND(Q2856=1,O2856="HALLUCINATION")</x:f>
        <x:v>0</x:v>
      </x:c>
      <x:c r="Z2856" s="43" t="n">
        <x:f>--AND(Y2856=1,R2856=1,S2856=1)</x:f>
        <x:v>0</x:v>
      </x:c>
      <x:c r="AC2856" t="str">
        <x:f>IF(OR(AA2856="",AB2856=""),"",--(AA2856&lt;&gt;AB2856))</x:f>
      </x:c>
      <x:c r="AE2856" t="str">
        <x:f>IF(OR(AA2856="",AB2856=""),"PENDING_HUMAN",IF(AA2856=AB2856,AA2856,IF(AD2856&lt;&gt;"",AD2856,"PENDING_HUMAN")))</x:f>
        <x:v>PENDING_HUMAN</x:v>
      </x:c>
      <x:c r="AF2856" t="n">
        <x:f>--AND(A2856&lt;&gt;"",AA2856&lt;&gt;"",AB2856&lt;&gt;"",OR(AA2856=AB2856,AD2856&lt;&gt;""),IF(AE2856="HALLUCINATION",U2856&lt;&gt;"",TRUE))</x:f>
        <x:v>0</x:v>
      </x:c>
      <x:c r="AG2856" t="n">
        <x:f>--AND(N2856=1,AF2856=1,OR(AE2856="SUPPORTED",AE2856="HALLUCINATION"))</x:f>
        <x:v>0</x:v>
      </x:c>
      <x:c r="AH2856" t="n">
        <x:f>--AND(AG2856=1,AE2856="HALLUCINATION")</x:f>
        <x:v>0</x:v>
      </x:c>
      <x:c r="AI2856" t="n">
        <x:f>--AND(Q2856=1,AF2856=1,AE2856="HALLUCINATION")</x:f>
        <x:v>0</x:v>
      </x:c>
      <x:c r="AJ2856" t="n">
        <x:f>--AND(AI2856=1,R2856=1,S2856=1)</x:f>
        <x:v>0</x:v>
      </x:c>
    </x:row>
    <x:row r="2857">
      <x:c r="A2857" s="28"/>
      <x:c r="B2857" s="28"/>
      <x:c r="C2857" s="28"/>
      <x:c r="D2857" s="28"/>
      <x:c r="E2857" s="28"/>
      <x:c r="F2857" s="28"/>
      <x:c r="G2857" s="28"/>
      <x:c r="H2857" s="28"/>
      <x:c r="I2857" s="28"/>
      <x:c r="J2857" s="28"/>
      <x:c r="K2857" s="28"/>
      <x:c r="L2857" s="28"/>
      <x:c r="M2857" s="28"/>
      <x:c r="N2857" s="28"/>
      <x:c r="O2857" s="28"/>
      <x:c r="P2857" s="28"/>
      <x:c r="Q2857" s="28"/>
      <x:c r="R2857" s="28"/>
      <x:c r="S2857" s="28"/>
      <x:c r="T2857" s="28"/>
      <x:c r="U2857" s="28"/>
      <x:c r="V2857" s="28"/>
      <x:c r="W2857" s="43" t="n">
        <x:f>--AND(N2857=1,OR(O2857="SUPPORTED",O2857="HALLUCINATION"))</x:f>
        <x:v>0</x:v>
      </x:c>
      <x:c r="X2857" s="43" t="n">
        <x:f>--AND(W2857=1,O2857="HALLUCINATION")</x:f>
        <x:v>0</x:v>
      </x:c>
      <x:c r="Y2857" s="43" t="n">
        <x:f>--AND(Q2857=1,O2857="HALLUCINATION")</x:f>
        <x:v>0</x:v>
      </x:c>
      <x:c r="Z2857" s="43" t="n">
        <x:f>--AND(Y2857=1,R2857=1,S2857=1)</x:f>
        <x:v>0</x:v>
      </x:c>
      <x:c r="AC2857" t="str">
        <x:f>IF(OR(AA2857="",AB2857=""),"",--(AA2857&lt;&gt;AB2857))</x:f>
      </x:c>
      <x:c r="AE2857" t="str">
        <x:f>IF(OR(AA2857="",AB2857=""),"PENDING_HUMAN",IF(AA2857=AB2857,AA2857,IF(AD2857&lt;&gt;"",AD2857,"PENDING_HUMAN")))</x:f>
        <x:v>PENDING_HUMAN</x:v>
      </x:c>
      <x:c r="AF2857" t="n">
        <x:f>--AND(A2857&lt;&gt;"",AA2857&lt;&gt;"",AB2857&lt;&gt;"",OR(AA2857=AB2857,AD2857&lt;&gt;""),IF(AE2857="HALLUCINATION",U2857&lt;&gt;"",TRUE))</x:f>
        <x:v>0</x:v>
      </x:c>
      <x:c r="AG2857" t="n">
        <x:f>--AND(N2857=1,AF2857=1,OR(AE2857="SUPPORTED",AE2857="HALLUCINATION"))</x:f>
        <x:v>0</x:v>
      </x:c>
      <x:c r="AH2857" t="n">
        <x:f>--AND(AG2857=1,AE2857="HALLUCINATION")</x:f>
        <x:v>0</x:v>
      </x:c>
      <x:c r="AI2857" t="n">
        <x:f>--AND(Q2857=1,AF2857=1,AE2857="HALLUCINATION")</x:f>
        <x:v>0</x:v>
      </x:c>
      <x:c r="AJ2857" t="n">
        <x:f>--AND(AI2857=1,R2857=1,S2857=1)</x:f>
        <x:v>0</x:v>
      </x:c>
    </x:row>
    <x:row r="2858">
      <x:c r="A2858" s="28"/>
      <x:c r="B2858" s="28"/>
      <x:c r="C2858" s="28"/>
      <x:c r="D2858" s="28"/>
      <x:c r="E2858" s="28"/>
      <x:c r="F2858" s="28"/>
      <x:c r="G2858" s="28"/>
      <x:c r="H2858" s="28"/>
      <x:c r="I2858" s="28"/>
      <x:c r="J2858" s="28"/>
      <x:c r="K2858" s="28"/>
      <x:c r="L2858" s="28"/>
      <x:c r="M2858" s="28"/>
      <x:c r="N2858" s="28"/>
      <x:c r="O2858" s="28"/>
      <x:c r="P2858" s="28"/>
      <x:c r="Q2858" s="28"/>
      <x:c r="R2858" s="28"/>
      <x:c r="S2858" s="28"/>
      <x:c r="T2858" s="28"/>
      <x:c r="U2858" s="28"/>
      <x:c r="V2858" s="28"/>
      <x:c r="W2858" s="43" t="n">
        <x:f>--AND(N2858=1,OR(O2858="SUPPORTED",O2858="HALLUCINATION"))</x:f>
        <x:v>0</x:v>
      </x:c>
      <x:c r="X2858" s="43" t="n">
        <x:f>--AND(W2858=1,O2858="HALLUCINATION")</x:f>
        <x:v>0</x:v>
      </x:c>
      <x:c r="Y2858" s="43" t="n">
        <x:f>--AND(Q2858=1,O2858="HALLUCINATION")</x:f>
        <x:v>0</x:v>
      </x:c>
      <x:c r="Z2858" s="43" t="n">
        <x:f>--AND(Y2858=1,R2858=1,S2858=1)</x:f>
        <x:v>0</x:v>
      </x:c>
      <x:c r="AC2858" t="str">
        <x:f>IF(OR(AA2858="",AB2858=""),"",--(AA2858&lt;&gt;AB2858))</x:f>
      </x:c>
      <x:c r="AE2858" t="str">
        <x:f>IF(OR(AA2858="",AB2858=""),"PENDING_HUMAN",IF(AA2858=AB2858,AA2858,IF(AD2858&lt;&gt;"",AD2858,"PENDING_HUMAN")))</x:f>
        <x:v>PENDING_HUMAN</x:v>
      </x:c>
      <x:c r="AF2858" t="n">
        <x:f>--AND(A2858&lt;&gt;"",AA2858&lt;&gt;"",AB2858&lt;&gt;"",OR(AA2858=AB2858,AD2858&lt;&gt;""),IF(AE2858="HALLUCINATION",U2858&lt;&gt;"",TRUE))</x:f>
        <x:v>0</x:v>
      </x:c>
      <x:c r="AG2858" t="n">
        <x:f>--AND(N2858=1,AF2858=1,OR(AE2858="SUPPORTED",AE2858="HALLUCINATION"))</x:f>
        <x:v>0</x:v>
      </x:c>
      <x:c r="AH2858" t="n">
        <x:f>--AND(AG2858=1,AE2858="HALLUCINATION")</x:f>
        <x:v>0</x:v>
      </x:c>
      <x:c r="AI2858" t="n">
        <x:f>--AND(Q2858=1,AF2858=1,AE2858="HALLUCINATION")</x:f>
        <x:v>0</x:v>
      </x:c>
      <x:c r="AJ2858" t="n">
        <x:f>--AND(AI2858=1,R2858=1,S2858=1)</x:f>
        <x:v>0</x:v>
      </x:c>
    </x:row>
    <x:row r="2859">
      <x:c r="A2859" s="28"/>
      <x:c r="B2859" s="28"/>
      <x:c r="C2859" s="28"/>
      <x:c r="D2859" s="28"/>
      <x:c r="E2859" s="28"/>
      <x:c r="F2859" s="28"/>
      <x:c r="G2859" s="28"/>
      <x:c r="H2859" s="28"/>
      <x:c r="I2859" s="28"/>
      <x:c r="J2859" s="28"/>
      <x:c r="K2859" s="28"/>
      <x:c r="L2859" s="28"/>
      <x:c r="M2859" s="28"/>
      <x:c r="N2859" s="28"/>
      <x:c r="O2859" s="28"/>
      <x:c r="P2859" s="28"/>
      <x:c r="Q2859" s="28"/>
      <x:c r="R2859" s="28"/>
      <x:c r="S2859" s="28"/>
      <x:c r="T2859" s="28"/>
      <x:c r="U2859" s="28"/>
      <x:c r="V2859" s="28"/>
      <x:c r="W2859" s="43" t="n">
        <x:f>--AND(N2859=1,OR(O2859="SUPPORTED",O2859="HALLUCINATION"))</x:f>
        <x:v>0</x:v>
      </x:c>
      <x:c r="X2859" s="43" t="n">
        <x:f>--AND(W2859=1,O2859="HALLUCINATION")</x:f>
        <x:v>0</x:v>
      </x:c>
      <x:c r="Y2859" s="43" t="n">
        <x:f>--AND(Q2859=1,O2859="HALLUCINATION")</x:f>
        <x:v>0</x:v>
      </x:c>
      <x:c r="Z2859" s="43" t="n">
        <x:f>--AND(Y2859=1,R2859=1,S2859=1)</x:f>
        <x:v>0</x:v>
      </x:c>
      <x:c r="AC2859" t="str">
        <x:f>IF(OR(AA2859="",AB2859=""),"",--(AA2859&lt;&gt;AB2859))</x:f>
      </x:c>
      <x:c r="AE2859" t="str">
        <x:f>IF(OR(AA2859="",AB2859=""),"PENDING_HUMAN",IF(AA2859=AB2859,AA2859,IF(AD2859&lt;&gt;"",AD2859,"PENDING_HUMAN")))</x:f>
        <x:v>PENDING_HUMAN</x:v>
      </x:c>
      <x:c r="AF2859" t="n">
        <x:f>--AND(A2859&lt;&gt;"",AA2859&lt;&gt;"",AB2859&lt;&gt;"",OR(AA2859=AB2859,AD2859&lt;&gt;""),IF(AE2859="HALLUCINATION",U2859&lt;&gt;"",TRUE))</x:f>
        <x:v>0</x:v>
      </x:c>
      <x:c r="AG2859" t="n">
        <x:f>--AND(N2859=1,AF2859=1,OR(AE2859="SUPPORTED",AE2859="HALLUCINATION"))</x:f>
        <x:v>0</x:v>
      </x:c>
      <x:c r="AH2859" t="n">
        <x:f>--AND(AG2859=1,AE2859="HALLUCINATION")</x:f>
        <x:v>0</x:v>
      </x:c>
      <x:c r="AI2859" t="n">
        <x:f>--AND(Q2859=1,AF2859=1,AE2859="HALLUCINATION")</x:f>
        <x:v>0</x:v>
      </x:c>
      <x:c r="AJ2859" t="n">
        <x:f>--AND(AI2859=1,R2859=1,S2859=1)</x:f>
        <x:v>0</x:v>
      </x:c>
    </x:row>
    <x:row r="2860">
      <x:c r="A2860" s="28"/>
      <x:c r="B2860" s="28"/>
      <x:c r="C2860" s="28"/>
      <x:c r="D2860" s="28"/>
      <x:c r="E2860" s="28"/>
      <x:c r="F2860" s="28"/>
      <x:c r="G2860" s="28"/>
      <x:c r="H2860" s="28"/>
      <x:c r="I2860" s="28"/>
      <x:c r="J2860" s="28"/>
      <x:c r="K2860" s="28"/>
      <x:c r="L2860" s="28"/>
      <x:c r="M2860" s="28"/>
      <x:c r="N2860" s="28"/>
      <x:c r="O2860" s="28"/>
      <x:c r="P2860" s="28"/>
      <x:c r="Q2860" s="28"/>
      <x:c r="R2860" s="28"/>
      <x:c r="S2860" s="28"/>
      <x:c r="T2860" s="28"/>
      <x:c r="U2860" s="28"/>
      <x:c r="V2860" s="28"/>
      <x:c r="W2860" s="43" t="n">
        <x:f>--AND(N2860=1,OR(O2860="SUPPORTED",O2860="HALLUCINATION"))</x:f>
        <x:v>0</x:v>
      </x:c>
      <x:c r="X2860" s="43" t="n">
        <x:f>--AND(W2860=1,O2860="HALLUCINATION")</x:f>
        <x:v>0</x:v>
      </x:c>
      <x:c r="Y2860" s="43" t="n">
        <x:f>--AND(Q2860=1,O2860="HALLUCINATION")</x:f>
        <x:v>0</x:v>
      </x:c>
      <x:c r="Z2860" s="43" t="n">
        <x:f>--AND(Y2860=1,R2860=1,S2860=1)</x:f>
        <x:v>0</x:v>
      </x:c>
      <x:c r="AC2860" t="str">
        <x:f>IF(OR(AA2860="",AB2860=""),"",--(AA2860&lt;&gt;AB2860))</x:f>
      </x:c>
      <x:c r="AE2860" t="str">
        <x:f>IF(OR(AA2860="",AB2860=""),"PENDING_HUMAN",IF(AA2860=AB2860,AA2860,IF(AD2860&lt;&gt;"",AD2860,"PENDING_HUMAN")))</x:f>
        <x:v>PENDING_HUMAN</x:v>
      </x:c>
      <x:c r="AF2860" t="n">
        <x:f>--AND(A2860&lt;&gt;"",AA2860&lt;&gt;"",AB2860&lt;&gt;"",OR(AA2860=AB2860,AD2860&lt;&gt;""),IF(AE2860="HALLUCINATION",U2860&lt;&gt;"",TRUE))</x:f>
        <x:v>0</x:v>
      </x:c>
      <x:c r="AG2860" t="n">
        <x:f>--AND(N2860=1,AF2860=1,OR(AE2860="SUPPORTED",AE2860="HALLUCINATION"))</x:f>
        <x:v>0</x:v>
      </x:c>
      <x:c r="AH2860" t="n">
        <x:f>--AND(AG2860=1,AE2860="HALLUCINATION")</x:f>
        <x:v>0</x:v>
      </x:c>
      <x:c r="AI2860" t="n">
        <x:f>--AND(Q2860=1,AF2860=1,AE2860="HALLUCINATION")</x:f>
        <x:v>0</x:v>
      </x:c>
      <x:c r="AJ2860" t="n">
        <x:f>--AND(AI2860=1,R2860=1,S2860=1)</x:f>
        <x:v>0</x:v>
      </x:c>
    </x:row>
    <x:row r="2861">
      <x:c r="A2861" s="28"/>
      <x:c r="B2861" s="28"/>
      <x:c r="C2861" s="28"/>
      <x:c r="D2861" s="28"/>
      <x:c r="E2861" s="28"/>
      <x:c r="F2861" s="28"/>
      <x:c r="G2861" s="28"/>
      <x:c r="H2861" s="28"/>
      <x:c r="I2861" s="28"/>
      <x:c r="J2861" s="28"/>
      <x:c r="K2861" s="28"/>
      <x:c r="L2861" s="28"/>
      <x:c r="M2861" s="28"/>
      <x:c r="N2861" s="28"/>
      <x:c r="O2861" s="28"/>
      <x:c r="P2861" s="28"/>
      <x:c r="Q2861" s="28"/>
      <x:c r="R2861" s="28"/>
      <x:c r="S2861" s="28"/>
      <x:c r="T2861" s="28"/>
      <x:c r="U2861" s="28"/>
      <x:c r="V2861" s="28"/>
      <x:c r="W2861" s="43" t="n">
        <x:f>--AND(N2861=1,OR(O2861="SUPPORTED",O2861="HALLUCINATION"))</x:f>
        <x:v>0</x:v>
      </x:c>
      <x:c r="X2861" s="43" t="n">
        <x:f>--AND(W2861=1,O2861="HALLUCINATION")</x:f>
        <x:v>0</x:v>
      </x:c>
      <x:c r="Y2861" s="43" t="n">
        <x:f>--AND(Q2861=1,O2861="HALLUCINATION")</x:f>
        <x:v>0</x:v>
      </x:c>
      <x:c r="Z2861" s="43" t="n">
        <x:f>--AND(Y2861=1,R2861=1,S2861=1)</x:f>
        <x:v>0</x:v>
      </x:c>
      <x:c r="AC2861" t="str">
        <x:f>IF(OR(AA2861="",AB2861=""),"",--(AA2861&lt;&gt;AB2861))</x:f>
      </x:c>
      <x:c r="AE2861" t="str">
        <x:f>IF(OR(AA2861="",AB2861=""),"PENDING_HUMAN",IF(AA2861=AB2861,AA2861,IF(AD2861&lt;&gt;"",AD2861,"PENDING_HUMAN")))</x:f>
        <x:v>PENDING_HUMAN</x:v>
      </x:c>
      <x:c r="AF2861" t="n">
        <x:f>--AND(A2861&lt;&gt;"",AA2861&lt;&gt;"",AB2861&lt;&gt;"",OR(AA2861=AB2861,AD2861&lt;&gt;""),IF(AE2861="HALLUCINATION",U2861&lt;&gt;"",TRUE))</x:f>
        <x:v>0</x:v>
      </x:c>
      <x:c r="AG2861" t="n">
        <x:f>--AND(N2861=1,AF2861=1,OR(AE2861="SUPPORTED",AE2861="HALLUCINATION"))</x:f>
        <x:v>0</x:v>
      </x:c>
      <x:c r="AH2861" t="n">
        <x:f>--AND(AG2861=1,AE2861="HALLUCINATION")</x:f>
        <x:v>0</x:v>
      </x:c>
      <x:c r="AI2861" t="n">
        <x:f>--AND(Q2861=1,AF2861=1,AE2861="HALLUCINATION")</x:f>
        <x:v>0</x:v>
      </x:c>
      <x:c r="AJ2861" t="n">
        <x:f>--AND(AI2861=1,R2861=1,S2861=1)</x:f>
        <x:v>0</x:v>
      </x:c>
    </x:row>
    <x:row r="2862">
      <x:c r="A2862" s="28"/>
      <x:c r="B2862" s="28"/>
      <x:c r="C2862" s="28"/>
      <x:c r="D2862" s="28"/>
      <x:c r="E2862" s="28"/>
      <x:c r="F2862" s="28"/>
      <x:c r="G2862" s="28"/>
      <x:c r="H2862" s="28"/>
      <x:c r="I2862" s="28"/>
      <x:c r="J2862" s="28"/>
      <x:c r="K2862" s="28"/>
      <x:c r="L2862" s="28"/>
      <x:c r="M2862" s="28"/>
      <x:c r="N2862" s="28"/>
      <x:c r="O2862" s="28"/>
      <x:c r="P2862" s="28"/>
      <x:c r="Q2862" s="28"/>
      <x:c r="R2862" s="28"/>
      <x:c r="S2862" s="28"/>
      <x:c r="T2862" s="28"/>
      <x:c r="U2862" s="28"/>
      <x:c r="V2862" s="28"/>
      <x:c r="W2862" s="43" t="n">
        <x:f>--AND(N2862=1,OR(O2862="SUPPORTED",O2862="HALLUCINATION"))</x:f>
        <x:v>0</x:v>
      </x:c>
      <x:c r="X2862" s="43" t="n">
        <x:f>--AND(W2862=1,O2862="HALLUCINATION")</x:f>
        <x:v>0</x:v>
      </x:c>
      <x:c r="Y2862" s="43" t="n">
        <x:f>--AND(Q2862=1,O2862="HALLUCINATION")</x:f>
        <x:v>0</x:v>
      </x:c>
      <x:c r="Z2862" s="43" t="n">
        <x:f>--AND(Y2862=1,R2862=1,S2862=1)</x:f>
        <x:v>0</x:v>
      </x:c>
      <x:c r="AC2862" t="str">
        <x:f>IF(OR(AA2862="",AB2862=""),"",--(AA2862&lt;&gt;AB2862))</x:f>
      </x:c>
      <x:c r="AE2862" t="str">
        <x:f>IF(OR(AA2862="",AB2862=""),"PENDING_HUMAN",IF(AA2862=AB2862,AA2862,IF(AD2862&lt;&gt;"",AD2862,"PENDING_HUMAN")))</x:f>
        <x:v>PENDING_HUMAN</x:v>
      </x:c>
      <x:c r="AF2862" t="n">
        <x:f>--AND(A2862&lt;&gt;"",AA2862&lt;&gt;"",AB2862&lt;&gt;"",OR(AA2862=AB2862,AD2862&lt;&gt;""),IF(AE2862="HALLUCINATION",U2862&lt;&gt;"",TRUE))</x:f>
        <x:v>0</x:v>
      </x:c>
      <x:c r="AG2862" t="n">
        <x:f>--AND(N2862=1,AF2862=1,OR(AE2862="SUPPORTED",AE2862="HALLUCINATION"))</x:f>
        <x:v>0</x:v>
      </x:c>
      <x:c r="AH2862" t="n">
        <x:f>--AND(AG2862=1,AE2862="HALLUCINATION")</x:f>
        <x:v>0</x:v>
      </x:c>
      <x:c r="AI2862" t="n">
        <x:f>--AND(Q2862=1,AF2862=1,AE2862="HALLUCINATION")</x:f>
        <x:v>0</x:v>
      </x:c>
      <x:c r="AJ2862" t="n">
        <x:f>--AND(AI2862=1,R2862=1,S2862=1)</x:f>
        <x:v>0</x:v>
      </x:c>
    </x:row>
    <x:row r="2863">
      <x:c r="A2863" s="28"/>
      <x:c r="B2863" s="28"/>
      <x:c r="C2863" s="28"/>
      <x:c r="D2863" s="28"/>
      <x:c r="E2863" s="28"/>
      <x:c r="F2863" s="28"/>
      <x:c r="G2863" s="28"/>
      <x:c r="H2863" s="28"/>
      <x:c r="I2863" s="28"/>
      <x:c r="J2863" s="28"/>
      <x:c r="K2863" s="28"/>
      <x:c r="L2863" s="28"/>
      <x:c r="M2863" s="28"/>
      <x:c r="N2863" s="28"/>
      <x:c r="O2863" s="28"/>
      <x:c r="P2863" s="28"/>
      <x:c r="Q2863" s="28"/>
      <x:c r="R2863" s="28"/>
      <x:c r="S2863" s="28"/>
      <x:c r="T2863" s="28"/>
      <x:c r="U2863" s="28"/>
      <x:c r="V2863" s="28"/>
      <x:c r="W2863" s="43" t="n">
        <x:f>--AND(N2863=1,OR(O2863="SUPPORTED",O2863="HALLUCINATION"))</x:f>
        <x:v>0</x:v>
      </x:c>
      <x:c r="X2863" s="43" t="n">
        <x:f>--AND(W2863=1,O2863="HALLUCINATION")</x:f>
        <x:v>0</x:v>
      </x:c>
      <x:c r="Y2863" s="43" t="n">
        <x:f>--AND(Q2863=1,O2863="HALLUCINATION")</x:f>
        <x:v>0</x:v>
      </x:c>
      <x:c r="Z2863" s="43" t="n">
        <x:f>--AND(Y2863=1,R2863=1,S2863=1)</x:f>
        <x:v>0</x:v>
      </x:c>
      <x:c r="AC2863" t="str">
        <x:f>IF(OR(AA2863="",AB2863=""),"",--(AA2863&lt;&gt;AB2863))</x:f>
      </x:c>
      <x:c r="AE2863" t="str">
        <x:f>IF(OR(AA2863="",AB2863=""),"PENDING_HUMAN",IF(AA2863=AB2863,AA2863,IF(AD2863&lt;&gt;"",AD2863,"PENDING_HUMAN")))</x:f>
        <x:v>PENDING_HUMAN</x:v>
      </x:c>
      <x:c r="AF2863" t="n">
        <x:f>--AND(A2863&lt;&gt;"",AA2863&lt;&gt;"",AB2863&lt;&gt;"",OR(AA2863=AB2863,AD2863&lt;&gt;""),IF(AE2863="HALLUCINATION",U2863&lt;&gt;"",TRUE))</x:f>
        <x:v>0</x:v>
      </x:c>
      <x:c r="AG2863" t="n">
        <x:f>--AND(N2863=1,AF2863=1,OR(AE2863="SUPPORTED",AE2863="HALLUCINATION"))</x:f>
        <x:v>0</x:v>
      </x:c>
      <x:c r="AH2863" t="n">
        <x:f>--AND(AG2863=1,AE2863="HALLUCINATION")</x:f>
        <x:v>0</x:v>
      </x:c>
      <x:c r="AI2863" t="n">
        <x:f>--AND(Q2863=1,AF2863=1,AE2863="HALLUCINATION")</x:f>
        <x:v>0</x:v>
      </x:c>
      <x:c r="AJ2863" t="n">
        <x:f>--AND(AI2863=1,R2863=1,S2863=1)</x:f>
        <x:v>0</x:v>
      </x:c>
    </x:row>
    <x:row r="2864">
      <x:c r="A2864" s="28"/>
      <x:c r="B2864" s="28"/>
      <x:c r="C2864" s="28"/>
      <x:c r="D2864" s="28"/>
      <x:c r="E2864" s="28"/>
      <x:c r="F2864" s="28"/>
      <x:c r="G2864" s="28"/>
      <x:c r="H2864" s="28"/>
      <x:c r="I2864" s="28"/>
      <x:c r="J2864" s="28"/>
      <x:c r="K2864" s="28"/>
      <x:c r="L2864" s="28"/>
      <x:c r="M2864" s="28"/>
      <x:c r="N2864" s="28"/>
      <x:c r="O2864" s="28"/>
      <x:c r="P2864" s="28"/>
      <x:c r="Q2864" s="28"/>
      <x:c r="R2864" s="28"/>
      <x:c r="S2864" s="28"/>
      <x:c r="T2864" s="28"/>
      <x:c r="U2864" s="28"/>
      <x:c r="V2864" s="28"/>
      <x:c r="W2864" s="43" t="n">
        <x:f>--AND(N2864=1,OR(O2864="SUPPORTED",O2864="HALLUCINATION"))</x:f>
        <x:v>0</x:v>
      </x:c>
      <x:c r="X2864" s="43" t="n">
        <x:f>--AND(W2864=1,O2864="HALLUCINATION")</x:f>
        <x:v>0</x:v>
      </x:c>
      <x:c r="Y2864" s="43" t="n">
        <x:f>--AND(Q2864=1,O2864="HALLUCINATION")</x:f>
        <x:v>0</x:v>
      </x:c>
      <x:c r="Z2864" s="43" t="n">
        <x:f>--AND(Y2864=1,R2864=1,S2864=1)</x:f>
        <x:v>0</x:v>
      </x:c>
      <x:c r="AC2864" t="str">
        <x:f>IF(OR(AA2864="",AB2864=""),"",--(AA2864&lt;&gt;AB2864))</x:f>
      </x:c>
      <x:c r="AE2864" t="str">
        <x:f>IF(OR(AA2864="",AB2864=""),"PENDING_HUMAN",IF(AA2864=AB2864,AA2864,IF(AD2864&lt;&gt;"",AD2864,"PENDING_HUMAN")))</x:f>
        <x:v>PENDING_HUMAN</x:v>
      </x:c>
      <x:c r="AF2864" t="n">
        <x:f>--AND(A2864&lt;&gt;"",AA2864&lt;&gt;"",AB2864&lt;&gt;"",OR(AA2864=AB2864,AD2864&lt;&gt;""),IF(AE2864="HALLUCINATION",U2864&lt;&gt;"",TRUE))</x:f>
        <x:v>0</x:v>
      </x:c>
      <x:c r="AG2864" t="n">
        <x:f>--AND(N2864=1,AF2864=1,OR(AE2864="SUPPORTED",AE2864="HALLUCINATION"))</x:f>
        <x:v>0</x:v>
      </x:c>
      <x:c r="AH2864" t="n">
        <x:f>--AND(AG2864=1,AE2864="HALLUCINATION")</x:f>
        <x:v>0</x:v>
      </x:c>
      <x:c r="AI2864" t="n">
        <x:f>--AND(Q2864=1,AF2864=1,AE2864="HALLUCINATION")</x:f>
        <x:v>0</x:v>
      </x:c>
      <x:c r="AJ2864" t="n">
        <x:f>--AND(AI2864=1,R2864=1,S2864=1)</x:f>
        <x:v>0</x:v>
      </x:c>
    </x:row>
    <x:row r="2865">
      <x:c r="A2865" s="28"/>
      <x:c r="B2865" s="28"/>
      <x:c r="C2865" s="28"/>
      <x:c r="D2865" s="28"/>
      <x:c r="E2865" s="28"/>
      <x:c r="F2865" s="28"/>
      <x:c r="G2865" s="28"/>
      <x:c r="H2865" s="28"/>
      <x:c r="I2865" s="28"/>
      <x:c r="J2865" s="28"/>
      <x:c r="K2865" s="28"/>
      <x:c r="L2865" s="28"/>
      <x:c r="M2865" s="28"/>
      <x:c r="N2865" s="28"/>
      <x:c r="O2865" s="28"/>
      <x:c r="P2865" s="28"/>
      <x:c r="Q2865" s="28"/>
      <x:c r="R2865" s="28"/>
      <x:c r="S2865" s="28"/>
      <x:c r="T2865" s="28"/>
      <x:c r="U2865" s="28"/>
      <x:c r="V2865" s="28"/>
      <x:c r="W2865" s="43" t="n">
        <x:f>--AND(N2865=1,OR(O2865="SUPPORTED",O2865="HALLUCINATION"))</x:f>
        <x:v>0</x:v>
      </x:c>
      <x:c r="X2865" s="43" t="n">
        <x:f>--AND(W2865=1,O2865="HALLUCINATION")</x:f>
        <x:v>0</x:v>
      </x:c>
      <x:c r="Y2865" s="43" t="n">
        <x:f>--AND(Q2865=1,O2865="HALLUCINATION")</x:f>
        <x:v>0</x:v>
      </x:c>
      <x:c r="Z2865" s="43" t="n">
        <x:f>--AND(Y2865=1,R2865=1,S2865=1)</x:f>
        <x:v>0</x:v>
      </x:c>
      <x:c r="AC2865" t="str">
        <x:f>IF(OR(AA2865="",AB2865=""),"",--(AA2865&lt;&gt;AB2865))</x:f>
      </x:c>
      <x:c r="AE2865" t="str">
        <x:f>IF(OR(AA2865="",AB2865=""),"PENDING_HUMAN",IF(AA2865=AB2865,AA2865,IF(AD2865&lt;&gt;"",AD2865,"PENDING_HUMAN")))</x:f>
        <x:v>PENDING_HUMAN</x:v>
      </x:c>
      <x:c r="AF2865" t="n">
        <x:f>--AND(A2865&lt;&gt;"",AA2865&lt;&gt;"",AB2865&lt;&gt;"",OR(AA2865=AB2865,AD2865&lt;&gt;""),IF(AE2865="HALLUCINATION",U2865&lt;&gt;"",TRUE))</x:f>
        <x:v>0</x:v>
      </x:c>
      <x:c r="AG2865" t="n">
        <x:f>--AND(N2865=1,AF2865=1,OR(AE2865="SUPPORTED",AE2865="HALLUCINATION"))</x:f>
        <x:v>0</x:v>
      </x:c>
      <x:c r="AH2865" t="n">
        <x:f>--AND(AG2865=1,AE2865="HALLUCINATION")</x:f>
        <x:v>0</x:v>
      </x:c>
      <x:c r="AI2865" t="n">
        <x:f>--AND(Q2865=1,AF2865=1,AE2865="HALLUCINATION")</x:f>
        <x:v>0</x:v>
      </x:c>
      <x:c r="AJ2865" t="n">
        <x:f>--AND(AI2865=1,R2865=1,S2865=1)</x:f>
        <x:v>0</x:v>
      </x:c>
    </x:row>
    <x:row r="2866">
      <x:c r="A2866" s="28"/>
      <x:c r="B2866" s="28"/>
      <x:c r="C2866" s="28"/>
      <x:c r="D2866" s="28"/>
      <x:c r="E2866" s="28"/>
      <x:c r="F2866" s="28"/>
      <x:c r="G2866" s="28"/>
      <x:c r="H2866" s="28"/>
      <x:c r="I2866" s="28"/>
      <x:c r="J2866" s="28"/>
      <x:c r="K2866" s="28"/>
      <x:c r="L2866" s="28"/>
      <x:c r="M2866" s="28"/>
      <x:c r="N2866" s="28"/>
      <x:c r="O2866" s="28"/>
      <x:c r="P2866" s="28"/>
      <x:c r="Q2866" s="28"/>
      <x:c r="R2866" s="28"/>
      <x:c r="S2866" s="28"/>
      <x:c r="T2866" s="28"/>
      <x:c r="U2866" s="28"/>
      <x:c r="V2866" s="28"/>
      <x:c r="W2866" s="43" t="n">
        <x:f>--AND(N2866=1,OR(O2866="SUPPORTED",O2866="HALLUCINATION"))</x:f>
        <x:v>0</x:v>
      </x:c>
      <x:c r="X2866" s="43" t="n">
        <x:f>--AND(W2866=1,O2866="HALLUCINATION")</x:f>
        <x:v>0</x:v>
      </x:c>
      <x:c r="Y2866" s="43" t="n">
        <x:f>--AND(Q2866=1,O2866="HALLUCINATION")</x:f>
        <x:v>0</x:v>
      </x:c>
      <x:c r="Z2866" s="43" t="n">
        <x:f>--AND(Y2866=1,R2866=1,S2866=1)</x:f>
        <x:v>0</x:v>
      </x:c>
      <x:c r="AC2866" t="str">
        <x:f>IF(OR(AA2866="",AB2866=""),"",--(AA2866&lt;&gt;AB2866))</x:f>
      </x:c>
      <x:c r="AE2866" t="str">
        <x:f>IF(OR(AA2866="",AB2866=""),"PENDING_HUMAN",IF(AA2866=AB2866,AA2866,IF(AD2866&lt;&gt;"",AD2866,"PENDING_HUMAN")))</x:f>
        <x:v>PENDING_HUMAN</x:v>
      </x:c>
      <x:c r="AF2866" t="n">
        <x:f>--AND(A2866&lt;&gt;"",AA2866&lt;&gt;"",AB2866&lt;&gt;"",OR(AA2866=AB2866,AD2866&lt;&gt;""),IF(AE2866="HALLUCINATION",U2866&lt;&gt;"",TRUE))</x:f>
        <x:v>0</x:v>
      </x:c>
      <x:c r="AG2866" t="n">
        <x:f>--AND(N2866=1,AF2866=1,OR(AE2866="SUPPORTED",AE2866="HALLUCINATION"))</x:f>
        <x:v>0</x:v>
      </x:c>
      <x:c r="AH2866" t="n">
        <x:f>--AND(AG2866=1,AE2866="HALLUCINATION")</x:f>
        <x:v>0</x:v>
      </x:c>
      <x:c r="AI2866" t="n">
        <x:f>--AND(Q2866=1,AF2866=1,AE2866="HALLUCINATION")</x:f>
        <x:v>0</x:v>
      </x:c>
      <x:c r="AJ2866" t="n">
        <x:f>--AND(AI2866=1,R2866=1,S2866=1)</x:f>
        <x:v>0</x:v>
      </x:c>
    </x:row>
    <x:row r="2867">
      <x:c r="A2867" s="28"/>
      <x:c r="B2867" s="28"/>
      <x:c r="C2867" s="28"/>
      <x:c r="D2867" s="28"/>
      <x:c r="E2867" s="28"/>
      <x:c r="F2867" s="28"/>
      <x:c r="G2867" s="28"/>
      <x:c r="H2867" s="28"/>
      <x:c r="I2867" s="28"/>
      <x:c r="J2867" s="28"/>
      <x:c r="K2867" s="28"/>
      <x:c r="L2867" s="28"/>
      <x:c r="M2867" s="28"/>
      <x:c r="N2867" s="28"/>
      <x:c r="O2867" s="28"/>
      <x:c r="P2867" s="28"/>
      <x:c r="Q2867" s="28"/>
      <x:c r="R2867" s="28"/>
      <x:c r="S2867" s="28"/>
      <x:c r="T2867" s="28"/>
      <x:c r="U2867" s="28"/>
      <x:c r="V2867" s="28"/>
      <x:c r="W2867" s="43" t="n">
        <x:f>--AND(N2867=1,OR(O2867="SUPPORTED",O2867="HALLUCINATION"))</x:f>
        <x:v>0</x:v>
      </x:c>
      <x:c r="X2867" s="43" t="n">
        <x:f>--AND(W2867=1,O2867="HALLUCINATION")</x:f>
        <x:v>0</x:v>
      </x:c>
      <x:c r="Y2867" s="43" t="n">
        <x:f>--AND(Q2867=1,O2867="HALLUCINATION")</x:f>
        <x:v>0</x:v>
      </x:c>
      <x:c r="Z2867" s="43" t="n">
        <x:f>--AND(Y2867=1,R2867=1,S2867=1)</x:f>
        <x:v>0</x:v>
      </x:c>
      <x:c r="AC2867" t="str">
        <x:f>IF(OR(AA2867="",AB2867=""),"",--(AA2867&lt;&gt;AB2867))</x:f>
      </x:c>
      <x:c r="AE2867" t="str">
        <x:f>IF(OR(AA2867="",AB2867=""),"PENDING_HUMAN",IF(AA2867=AB2867,AA2867,IF(AD2867&lt;&gt;"",AD2867,"PENDING_HUMAN")))</x:f>
        <x:v>PENDING_HUMAN</x:v>
      </x:c>
      <x:c r="AF2867" t="n">
        <x:f>--AND(A2867&lt;&gt;"",AA2867&lt;&gt;"",AB2867&lt;&gt;"",OR(AA2867=AB2867,AD2867&lt;&gt;""),IF(AE2867="HALLUCINATION",U2867&lt;&gt;"",TRUE))</x:f>
        <x:v>0</x:v>
      </x:c>
      <x:c r="AG2867" t="n">
        <x:f>--AND(N2867=1,AF2867=1,OR(AE2867="SUPPORTED",AE2867="HALLUCINATION"))</x:f>
        <x:v>0</x:v>
      </x:c>
      <x:c r="AH2867" t="n">
        <x:f>--AND(AG2867=1,AE2867="HALLUCINATION")</x:f>
        <x:v>0</x:v>
      </x:c>
      <x:c r="AI2867" t="n">
        <x:f>--AND(Q2867=1,AF2867=1,AE2867="HALLUCINATION")</x:f>
        <x:v>0</x:v>
      </x:c>
      <x:c r="AJ2867" t="n">
        <x:f>--AND(AI2867=1,R2867=1,S2867=1)</x:f>
        <x:v>0</x:v>
      </x:c>
    </x:row>
    <x:row r="2868">
      <x:c r="A2868" s="28"/>
      <x:c r="B2868" s="28"/>
      <x:c r="C2868" s="28"/>
      <x:c r="D2868" s="28"/>
      <x:c r="E2868" s="28"/>
      <x:c r="F2868" s="28"/>
      <x:c r="G2868" s="28"/>
      <x:c r="H2868" s="28"/>
      <x:c r="I2868" s="28"/>
      <x:c r="J2868" s="28"/>
      <x:c r="K2868" s="28"/>
      <x:c r="L2868" s="28"/>
      <x:c r="M2868" s="28"/>
      <x:c r="N2868" s="28"/>
      <x:c r="O2868" s="28"/>
      <x:c r="P2868" s="28"/>
      <x:c r="Q2868" s="28"/>
      <x:c r="R2868" s="28"/>
      <x:c r="S2868" s="28"/>
      <x:c r="T2868" s="28"/>
      <x:c r="U2868" s="28"/>
      <x:c r="V2868" s="28"/>
      <x:c r="W2868" s="43" t="n">
        <x:f>--AND(N2868=1,OR(O2868="SUPPORTED",O2868="HALLUCINATION"))</x:f>
        <x:v>0</x:v>
      </x:c>
      <x:c r="X2868" s="43" t="n">
        <x:f>--AND(W2868=1,O2868="HALLUCINATION")</x:f>
        <x:v>0</x:v>
      </x:c>
      <x:c r="Y2868" s="43" t="n">
        <x:f>--AND(Q2868=1,O2868="HALLUCINATION")</x:f>
        <x:v>0</x:v>
      </x:c>
      <x:c r="Z2868" s="43" t="n">
        <x:f>--AND(Y2868=1,R2868=1,S2868=1)</x:f>
        <x:v>0</x:v>
      </x:c>
      <x:c r="AC2868" t="str">
        <x:f>IF(OR(AA2868="",AB2868=""),"",--(AA2868&lt;&gt;AB2868))</x:f>
      </x:c>
      <x:c r="AE2868" t="str">
        <x:f>IF(OR(AA2868="",AB2868=""),"PENDING_HUMAN",IF(AA2868=AB2868,AA2868,IF(AD2868&lt;&gt;"",AD2868,"PENDING_HUMAN")))</x:f>
        <x:v>PENDING_HUMAN</x:v>
      </x:c>
      <x:c r="AF2868" t="n">
        <x:f>--AND(A2868&lt;&gt;"",AA2868&lt;&gt;"",AB2868&lt;&gt;"",OR(AA2868=AB2868,AD2868&lt;&gt;""),IF(AE2868="HALLUCINATION",U2868&lt;&gt;"",TRUE))</x:f>
        <x:v>0</x:v>
      </x:c>
      <x:c r="AG2868" t="n">
        <x:f>--AND(N2868=1,AF2868=1,OR(AE2868="SUPPORTED",AE2868="HALLUCINATION"))</x:f>
        <x:v>0</x:v>
      </x:c>
      <x:c r="AH2868" t="n">
        <x:f>--AND(AG2868=1,AE2868="HALLUCINATION")</x:f>
        <x:v>0</x:v>
      </x:c>
      <x:c r="AI2868" t="n">
        <x:f>--AND(Q2868=1,AF2868=1,AE2868="HALLUCINATION")</x:f>
        <x:v>0</x:v>
      </x:c>
      <x:c r="AJ2868" t="n">
        <x:f>--AND(AI2868=1,R2868=1,S2868=1)</x:f>
        <x:v>0</x:v>
      </x:c>
    </x:row>
    <x:row r="2869">
      <x:c r="A2869" s="28"/>
      <x:c r="B2869" s="28"/>
      <x:c r="C2869" s="28"/>
      <x:c r="D2869" s="28"/>
      <x:c r="E2869" s="28"/>
      <x:c r="F2869" s="28"/>
      <x:c r="G2869" s="28"/>
      <x:c r="H2869" s="28"/>
      <x:c r="I2869" s="28"/>
      <x:c r="J2869" s="28"/>
      <x:c r="K2869" s="28"/>
      <x:c r="L2869" s="28"/>
      <x:c r="M2869" s="28"/>
      <x:c r="N2869" s="28"/>
      <x:c r="O2869" s="28"/>
      <x:c r="P2869" s="28"/>
      <x:c r="Q2869" s="28"/>
      <x:c r="R2869" s="28"/>
      <x:c r="S2869" s="28"/>
      <x:c r="T2869" s="28"/>
      <x:c r="U2869" s="28"/>
      <x:c r="V2869" s="28"/>
      <x:c r="W2869" s="43" t="n">
        <x:f>--AND(N2869=1,OR(O2869="SUPPORTED",O2869="HALLUCINATION"))</x:f>
        <x:v>0</x:v>
      </x:c>
      <x:c r="X2869" s="43" t="n">
        <x:f>--AND(W2869=1,O2869="HALLUCINATION")</x:f>
        <x:v>0</x:v>
      </x:c>
      <x:c r="Y2869" s="43" t="n">
        <x:f>--AND(Q2869=1,O2869="HALLUCINATION")</x:f>
        <x:v>0</x:v>
      </x:c>
      <x:c r="Z2869" s="43" t="n">
        <x:f>--AND(Y2869=1,R2869=1,S2869=1)</x:f>
        <x:v>0</x:v>
      </x:c>
      <x:c r="AC2869" t="str">
        <x:f>IF(OR(AA2869="",AB2869=""),"",--(AA2869&lt;&gt;AB2869))</x:f>
      </x:c>
      <x:c r="AE2869" t="str">
        <x:f>IF(OR(AA2869="",AB2869=""),"PENDING_HUMAN",IF(AA2869=AB2869,AA2869,IF(AD2869&lt;&gt;"",AD2869,"PENDING_HUMAN")))</x:f>
        <x:v>PENDING_HUMAN</x:v>
      </x:c>
      <x:c r="AF2869" t="n">
        <x:f>--AND(A2869&lt;&gt;"",AA2869&lt;&gt;"",AB2869&lt;&gt;"",OR(AA2869=AB2869,AD2869&lt;&gt;""),IF(AE2869="HALLUCINATION",U2869&lt;&gt;"",TRUE))</x:f>
        <x:v>0</x:v>
      </x:c>
      <x:c r="AG2869" t="n">
        <x:f>--AND(N2869=1,AF2869=1,OR(AE2869="SUPPORTED",AE2869="HALLUCINATION"))</x:f>
        <x:v>0</x:v>
      </x:c>
      <x:c r="AH2869" t="n">
        <x:f>--AND(AG2869=1,AE2869="HALLUCINATION")</x:f>
        <x:v>0</x:v>
      </x:c>
      <x:c r="AI2869" t="n">
        <x:f>--AND(Q2869=1,AF2869=1,AE2869="HALLUCINATION")</x:f>
        <x:v>0</x:v>
      </x:c>
      <x:c r="AJ2869" t="n">
        <x:f>--AND(AI2869=1,R2869=1,S2869=1)</x:f>
        <x:v>0</x:v>
      </x:c>
    </x:row>
    <x:row r="2870">
      <x:c r="A2870" s="28"/>
      <x:c r="B2870" s="28"/>
      <x:c r="C2870" s="28"/>
      <x:c r="D2870" s="28"/>
      <x:c r="E2870" s="28"/>
      <x:c r="F2870" s="28"/>
      <x:c r="G2870" s="28"/>
      <x:c r="H2870" s="28"/>
      <x:c r="I2870" s="28"/>
      <x:c r="J2870" s="28"/>
      <x:c r="K2870" s="28"/>
      <x:c r="L2870" s="28"/>
      <x:c r="M2870" s="28"/>
      <x:c r="N2870" s="28"/>
      <x:c r="O2870" s="28"/>
      <x:c r="P2870" s="28"/>
      <x:c r="Q2870" s="28"/>
      <x:c r="R2870" s="28"/>
      <x:c r="S2870" s="28"/>
      <x:c r="T2870" s="28"/>
      <x:c r="U2870" s="28"/>
      <x:c r="V2870" s="28"/>
      <x:c r="W2870" s="43" t="n">
        <x:f>--AND(N2870=1,OR(O2870="SUPPORTED",O2870="HALLUCINATION"))</x:f>
        <x:v>0</x:v>
      </x:c>
      <x:c r="X2870" s="43" t="n">
        <x:f>--AND(W2870=1,O2870="HALLUCINATION")</x:f>
        <x:v>0</x:v>
      </x:c>
      <x:c r="Y2870" s="43" t="n">
        <x:f>--AND(Q2870=1,O2870="HALLUCINATION")</x:f>
        <x:v>0</x:v>
      </x:c>
      <x:c r="Z2870" s="43" t="n">
        <x:f>--AND(Y2870=1,R2870=1,S2870=1)</x:f>
        <x:v>0</x:v>
      </x:c>
      <x:c r="AC2870" t="str">
        <x:f>IF(OR(AA2870="",AB2870=""),"",--(AA2870&lt;&gt;AB2870))</x:f>
      </x:c>
      <x:c r="AE2870" t="str">
        <x:f>IF(OR(AA2870="",AB2870=""),"PENDING_HUMAN",IF(AA2870=AB2870,AA2870,IF(AD2870&lt;&gt;"",AD2870,"PENDING_HUMAN")))</x:f>
        <x:v>PENDING_HUMAN</x:v>
      </x:c>
      <x:c r="AF2870" t="n">
        <x:f>--AND(A2870&lt;&gt;"",AA2870&lt;&gt;"",AB2870&lt;&gt;"",OR(AA2870=AB2870,AD2870&lt;&gt;""),IF(AE2870="HALLUCINATION",U2870&lt;&gt;"",TRUE))</x:f>
        <x:v>0</x:v>
      </x:c>
      <x:c r="AG2870" t="n">
        <x:f>--AND(N2870=1,AF2870=1,OR(AE2870="SUPPORTED",AE2870="HALLUCINATION"))</x:f>
        <x:v>0</x:v>
      </x:c>
      <x:c r="AH2870" t="n">
        <x:f>--AND(AG2870=1,AE2870="HALLUCINATION")</x:f>
        <x:v>0</x:v>
      </x:c>
      <x:c r="AI2870" t="n">
        <x:f>--AND(Q2870=1,AF2870=1,AE2870="HALLUCINATION")</x:f>
        <x:v>0</x:v>
      </x:c>
      <x:c r="AJ2870" t="n">
        <x:f>--AND(AI2870=1,R2870=1,S2870=1)</x:f>
        <x:v>0</x:v>
      </x:c>
    </x:row>
    <x:row r="2871">
      <x:c r="A2871" s="28"/>
      <x:c r="B2871" s="28"/>
      <x:c r="C2871" s="28"/>
      <x:c r="D2871" s="28"/>
      <x:c r="E2871" s="28"/>
      <x:c r="F2871" s="28"/>
      <x:c r="G2871" s="28"/>
      <x:c r="H2871" s="28"/>
      <x:c r="I2871" s="28"/>
      <x:c r="J2871" s="28"/>
      <x:c r="K2871" s="28"/>
      <x:c r="L2871" s="28"/>
      <x:c r="M2871" s="28"/>
      <x:c r="N2871" s="28"/>
      <x:c r="O2871" s="28"/>
      <x:c r="P2871" s="28"/>
      <x:c r="Q2871" s="28"/>
      <x:c r="R2871" s="28"/>
      <x:c r="S2871" s="28"/>
      <x:c r="T2871" s="28"/>
      <x:c r="U2871" s="28"/>
      <x:c r="V2871" s="28"/>
      <x:c r="W2871" s="43" t="n">
        <x:f>--AND(N2871=1,OR(O2871="SUPPORTED",O2871="HALLUCINATION"))</x:f>
        <x:v>0</x:v>
      </x:c>
      <x:c r="X2871" s="43" t="n">
        <x:f>--AND(W2871=1,O2871="HALLUCINATION")</x:f>
        <x:v>0</x:v>
      </x:c>
      <x:c r="Y2871" s="43" t="n">
        <x:f>--AND(Q2871=1,O2871="HALLUCINATION")</x:f>
        <x:v>0</x:v>
      </x:c>
      <x:c r="Z2871" s="43" t="n">
        <x:f>--AND(Y2871=1,R2871=1,S2871=1)</x:f>
        <x:v>0</x:v>
      </x:c>
      <x:c r="AC2871" t="str">
        <x:f>IF(OR(AA2871="",AB2871=""),"",--(AA2871&lt;&gt;AB2871))</x:f>
      </x:c>
      <x:c r="AE2871" t="str">
        <x:f>IF(OR(AA2871="",AB2871=""),"PENDING_HUMAN",IF(AA2871=AB2871,AA2871,IF(AD2871&lt;&gt;"",AD2871,"PENDING_HUMAN")))</x:f>
        <x:v>PENDING_HUMAN</x:v>
      </x:c>
      <x:c r="AF2871" t="n">
        <x:f>--AND(A2871&lt;&gt;"",AA2871&lt;&gt;"",AB2871&lt;&gt;"",OR(AA2871=AB2871,AD2871&lt;&gt;""),IF(AE2871="HALLUCINATION",U2871&lt;&gt;"",TRUE))</x:f>
        <x:v>0</x:v>
      </x:c>
      <x:c r="AG2871" t="n">
        <x:f>--AND(N2871=1,AF2871=1,OR(AE2871="SUPPORTED",AE2871="HALLUCINATION"))</x:f>
        <x:v>0</x:v>
      </x:c>
      <x:c r="AH2871" t="n">
        <x:f>--AND(AG2871=1,AE2871="HALLUCINATION")</x:f>
        <x:v>0</x:v>
      </x:c>
      <x:c r="AI2871" t="n">
        <x:f>--AND(Q2871=1,AF2871=1,AE2871="HALLUCINATION")</x:f>
        <x:v>0</x:v>
      </x:c>
      <x:c r="AJ2871" t="n">
        <x:f>--AND(AI2871=1,R2871=1,S2871=1)</x:f>
        <x:v>0</x:v>
      </x:c>
    </x:row>
    <x:row r="2872">
      <x:c r="A2872" s="28"/>
      <x:c r="B2872" s="28"/>
      <x:c r="C2872" s="28"/>
      <x:c r="D2872" s="28"/>
      <x:c r="E2872" s="28"/>
      <x:c r="F2872" s="28"/>
      <x:c r="G2872" s="28"/>
      <x:c r="H2872" s="28"/>
      <x:c r="I2872" s="28"/>
      <x:c r="J2872" s="28"/>
      <x:c r="K2872" s="28"/>
      <x:c r="L2872" s="28"/>
      <x:c r="M2872" s="28"/>
      <x:c r="N2872" s="28"/>
      <x:c r="O2872" s="28"/>
      <x:c r="P2872" s="28"/>
      <x:c r="Q2872" s="28"/>
      <x:c r="R2872" s="28"/>
      <x:c r="S2872" s="28"/>
      <x:c r="T2872" s="28"/>
      <x:c r="U2872" s="28"/>
      <x:c r="V2872" s="28"/>
      <x:c r="W2872" s="43" t="n">
        <x:f>--AND(N2872=1,OR(O2872="SUPPORTED",O2872="HALLUCINATION"))</x:f>
        <x:v>0</x:v>
      </x:c>
      <x:c r="X2872" s="43" t="n">
        <x:f>--AND(W2872=1,O2872="HALLUCINATION")</x:f>
        <x:v>0</x:v>
      </x:c>
      <x:c r="Y2872" s="43" t="n">
        <x:f>--AND(Q2872=1,O2872="HALLUCINATION")</x:f>
        <x:v>0</x:v>
      </x:c>
      <x:c r="Z2872" s="43" t="n">
        <x:f>--AND(Y2872=1,R2872=1,S2872=1)</x:f>
        <x:v>0</x:v>
      </x:c>
      <x:c r="AC2872" t="str">
        <x:f>IF(OR(AA2872="",AB2872=""),"",--(AA2872&lt;&gt;AB2872))</x:f>
      </x:c>
      <x:c r="AE2872" t="str">
        <x:f>IF(OR(AA2872="",AB2872=""),"PENDING_HUMAN",IF(AA2872=AB2872,AA2872,IF(AD2872&lt;&gt;"",AD2872,"PENDING_HUMAN")))</x:f>
        <x:v>PENDING_HUMAN</x:v>
      </x:c>
      <x:c r="AF2872" t="n">
        <x:f>--AND(A2872&lt;&gt;"",AA2872&lt;&gt;"",AB2872&lt;&gt;"",OR(AA2872=AB2872,AD2872&lt;&gt;""),IF(AE2872="HALLUCINATION",U2872&lt;&gt;"",TRUE))</x:f>
        <x:v>0</x:v>
      </x:c>
      <x:c r="AG2872" t="n">
        <x:f>--AND(N2872=1,AF2872=1,OR(AE2872="SUPPORTED",AE2872="HALLUCINATION"))</x:f>
        <x:v>0</x:v>
      </x:c>
      <x:c r="AH2872" t="n">
        <x:f>--AND(AG2872=1,AE2872="HALLUCINATION")</x:f>
        <x:v>0</x:v>
      </x:c>
      <x:c r="AI2872" t="n">
        <x:f>--AND(Q2872=1,AF2872=1,AE2872="HALLUCINATION")</x:f>
        <x:v>0</x:v>
      </x:c>
      <x:c r="AJ2872" t="n">
        <x:f>--AND(AI2872=1,R2872=1,S2872=1)</x:f>
        <x:v>0</x:v>
      </x:c>
    </x:row>
    <x:row r="2873">
      <x:c r="A2873" s="28"/>
      <x:c r="B2873" s="28"/>
      <x:c r="C2873" s="28"/>
      <x:c r="D2873" s="28"/>
      <x:c r="E2873" s="28"/>
      <x:c r="F2873" s="28"/>
      <x:c r="G2873" s="28"/>
      <x:c r="H2873" s="28"/>
      <x:c r="I2873" s="28"/>
      <x:c r="J2873" s="28"/>
      <x:c r="K2873" s="28"/>
      <x:c r="L2873" s="28"/>
      <x:c r="M2873" s="28"/>
      <x:c r="N2873" s="28"/>
      <x:c r="O2873" s="28"/>
      <x:c r="P2873" s="28"/>
      <x:c r="Q2873" s="28"/>
      <x:c r="R2873" s="28"/>
      <x:c r="S2873" s="28"/>
      <x:c r="T2873" s="28"/>
      <x:c r="U2873" s="28"/>
      <x:c r="V2873" s="28"/>
      <x:c r="W2873" s="43" t="n">
        <x:f>--AND(N2873=1,OR(O2873="SUPPORTED",O2873="HALLUCINATION"))</x:f>
        <x:v>0</x:v>
      </x:c>
      <x:c r="X2873" s="43" t="n">
        <x:f>--AND(W2873=1,O2873="HALLUCINATION")</x:f>
        <x:v>0</x:v>
      </x:c>
      <x:c r="Y2873" s="43" t="n">
        <x:f>--AND(Q2873=1,O2873="HALLUCINATION")</x:f>
        <x:v>0</x:v>
      </x:c>
      <x:c r="Z2873" s="43" t="n">
        <x:f>--AND(Y2873=1,R2873=1,S2873=1)</x:f>
        <x:v>0</x:v>
      </x:c>
      <x:c r="AC2873" t="str">
        <x:f>IF(OR(AA2873="",AB2873=""),"",--(AA2873&lt;&gt;AB2873))</x:f>
      </x:c>
      <x:c r="AE2873" t="str">
        <x:f>IF(OR(AA2873="",AB2873=""),"PENDING_HUMAN",IF(AA2873=AB2873,AA2873,IF(AD2873&lt;&gt;"",AD2873,"PENDING_HUMAN")))</x:f>
        <x:v>PENDING_HUMAN</x:v>
      </x:c>
      <x:c r="AF2873" t="n">
        <x:f>--AND(A2873&lt;&gt;"",AA2873&lt;&gt;"",AB2873&lt;&gt;"",OR(AA2873=AB2873,AD2873&lt;&gt;""),IF(AE2873="HALLUCINATION",U2873&lt;&gt;"",TRUE))</x:f>
        <x:v>0</x:v>
      </x:c>
      <x:c r="AG2873" t="n">
        <x:f>--AND(N2873=1,AF2873=1,OR(AE2873="SUPPORTED",AE2873="HALLUCINATION"))</x:f>
        <x:v>0</x:v>
      </x:c>
      <x:c r="AH2873" t="n">
        <x:f>--AND(AG2873=1,AE2873="HALLUCINATION")</x:f>
        <x:v>0</x:v>
      </x:c>
      <x:c r="AI2873" t="n">
        <x:f>--AND(Q2873=1,AF2873=1,AE2873="HALLUCINATION")</x:f>
        <x:v>0</x:v>
      </x:c>
      <x:c r="AJ2873" t="n">
        <x:f>--AND(AI2873=1,R2873=1,S2873=1)</x:f>
        <x:v>0</x:v>
      </x:c>
    </x:row>
    <x:row r="2874">
      <x:c r="A2874" s="28"/>
      <x:c r="B2874" s="28"/>
      <x:c r="C2874" s="28"/>
      <x:c r="D2874" s="28"/>
      <x:c r="E2874" s="28"/>
      <x:c r="F2874" s="28"/>
      <x:c r="G2874" s="28"/>
      <x:c r="H2874" s="28"/>
      <x:c r="I2874" s="28"/>
      <x:c r="J2874" s="28"/>
      <x:c r="K2874" s="28"/>
      <x:c r="L2874" s="28"/>
      <x:c r="M2874" s="28"/>
      <x:c r="N2874" s="28"/>
      <x:c r="O2874" s="28"/>
      <x:c r="P2874" s="28"/>
      <x:c r="Q2874" s="28"/>
      <x:c r="R2874" s="28"/>
      <x:c r="S2874" s="28"/>
      <x:c r="T2874" s="28"/>
      <x:c r="U2874" s="28"/>
      <x:c r="V2874" s="28"/>
      <x:c r="W2874" s="43" t="n">
        <x:f>--AND(N2874=1,OR(O2874="SUPPORTED",O2874="HALLUCINATION"))</x:f>
        <x:v>0</x:v>
      </x:c>
      <x:c r="X2874" s="43" t="n">
        <x:f>--AND(W2874=1,O2874="HALLUCINATION")</x:f>
        <x:v>0</x:v>
      </x:c>
      <x:c r="Y2874" s="43" t="n">
        <x:f>--AND(Q2874=1,O2874="HALLUCINATION")</x:f>
        <x:v>0</x:v>
      </x:c>
      <x:c r="Z2874" s="43" t="n">
        <x:f>--AND(Y2874=1,R2874=1,S2874=1)</x:f>
        <x:v>0</x:v>
      </x:c>
      <x:c r="AC2874" t="str">
        <x:f>IF(OR(AA2874="",AB2874=""),"",--(AA2874&lt;&gt;AB2874))</x:f>
      </x:c>
      <x:c r="AE2874" t="str">
        <x:f>IF(OR(AA2874="",AB2874=""),"PENDING_HUMAN",IF(AA2874=AB2874,AA2874,IF(AD2874&lt;&gt;"",AD2874,"PENDING_HUMAN")))</x:f>
        <x:v>PENDING_HUMAN</x:v>
      </x:c>
      <x:c r="AF2874" t="n">
        <x:f>--AND(A2874&lt;&gt;"",AA2874&lt;&gt;"",AB2874&lt;&gt;"",OR(AA2874=AB2874,AD2874&lt;&gt;""),IF(AE2874="HALLUCINATION",U2874&lt;&gt;"",TRUE))</x:f>
        <x:v>0</x:v>
      </x:c>
      <x:c r="AG2874" t="n">
        <x:f>--AND(N2874=1,AF2874=1,OR(AE2874="SUPPORTED",AE2874="HALLUCINATION"))</x:f>
        <x:v>0</x:v>
      </x:c>
      <x:c r="AH2874" t="n">
        <x:f>--AND(AG2874=1,AE2874="HALLUCINATION")</x:f>
        <x:v>0</x:v>
      </x:c>
      <x:c r="AI2874" t="n">
        <x:f>--AND(Q2874=1,AF2874=1,AE2874="HALLUCINATION")</x:f>
        <x:v>0</x:v>
      </x:c>
      <x:c r="AJ2874" t="n">
        <x:f>--AND(AI2874=1,R2874=1,S2874=1)</x:f>
        <x:v>0</x:v>
      </x:c>
    </x:row>
    <x:row r="2875">
      <x:c r="A2875" s="28"/>
      <x:c r="B2875" s="28"/>
      <x:c r="C2875" s="28"/>
      <x:c r="D2875" s="28"/>
      <x:c r="E2875" s="28"/>
      <x:c r="F2875" s="28"/>
      <x:c r="G2875" s="28"/>
      <x:c r="H2875" s="28"/>
      <x:c r="I2875" s="28"/>
      <x:c r="J2875" s="28"/>
      <x:c r="K2875" s="28"/>
      <x:c r="L2875" s="28"/>
      <x:c r="M2875" s="28"/>
      <x:c r="N2875" s="28"/>
      <x:c r="O2875" s="28"/>
      <x:c r="P2875" s="28"/>
      <x:c r="Q2875" s="28"/>
      <x:c r="R2875" s="28"/>
      <x:c r="S2875" s="28"/>
      <x:c r="T2875" s="28"/>
      <x:c r="U2875" s="28"/>
      <x:c r="V2875" s="28"/>
      <x:c r="W2875" s="43" t="n">
        <x:f>--AND(N2875=1,OR(O2875="SUPPORTED",O2875="HALLUCINATION"))</x:f>
        <x:v>0</x:v>
      </x:c>
      <x:c r="X2875" s="43" t="n">
        <x:f>--AND(W2875=1,O2875="HALLUCINATION")</x:f>
        <x:v>0</x:v>
      </x:c>
      <x:c r="Y2875" s="43" t="n">
        <x:f>--AND(Q2875=1,O2875="HALLUCINATION")</x:f>
        <x:v>0</x:v>
      </x:c>
      <x:c r="Z2875" s="43" t="n">
        <x:f>--AND(Y2875=1,R2875=1,S2875=1)</x:f>
        <x:v>0</x:v>
      </x:c>
      <x:c r="AC2875" t="str">
        <x:f>IF(OR(AA2875="",AB2875=""),"",--(AA2875&lt;&gt;AB2875))</x:f>
      </x:c>
      <x:c r="AE2875" t="str">
        <x:f>IF(OR(AA2875="",AB2875=""),"PENDING_HUMAN",IF(AA2875=AB2875,AA2875,IF(AD2875&lt;&gt;"",AD2875,"PENDING_HUMAN")))</x:f>
        <x:v>PENDING_HUMAN</x:v>
      </x:c>
      <x:c r="AF2875" t="n">
        <x:f>--AND(A2875&lt;&gt;"",AA2875&lt;&gt;"",AB2875&lt;&gt;"",OR(AA2875=AB2875,AD2875&lt;&gt;""),IF(AE2875="HALLUCINATION",U2875&lt;&gt;"",TRUE))</x:f>
        <x:v>0</x:v>
      </x:c>
      <x:c r="AG2875" t="n">
        <x:f>--AND(N2875=1,AF2875=1,OR(AE2875="SUPPORTED",AE2875="HALLUCINATION"))</x:f>
        <x:v>0</x:v>
      </x:c>
      <x:c r="AH2875" t="n">
        <x:f>--AND(AG2875=1,AE2875="HALLUCINATION")</x:f>
        <x:v>0</x:v>
      </x:c>
      <x:c r="AI2875" t="n">
        <x:f>--AND(Q2875=1,AF2875=1,AE2875="HALLUCINATION")</x:f>
        <x:v>0</x:v>
      </x:c>
      <x:c r="AJ2875" t="n">
        <x:f>--AND(AI2875=1,R2875=1,S2875=1)</x:f>
        <x:v>0</x:v>
      </x:c>
    </x:row>
    <x:row r="2876">
      <x:c r="A2876" s="28"/>
      <x:c r="B2876" s="28"/>
      <x:c r="C2876" s="28"/>
      <x:c r="D2876" s="28"/>
      <x:c r="E2876" s="28"/>
      <x:c r="F2876" s="28"/>
      <x:c r="G2876" s="28"/>
      <x:c r="H2876" s="28"/>
      <x:c r="I2876" s="28"/>
      <x:c r="J2876" s="28"/>
      <x:c r="K2876" s="28"/>
      <x:c r="L2876" s="28"/>
      <x:c r="M2876" s="28"/>
      <x:c r="N2876" s="28"/>
      <x:c r="O2876" s="28"/>
      <x:c r="P2876" s="28"/>
      <x:c r="Q2876" s="28"/>
      <x:c r="R2876" s="28"/>
      <x:c r="S2876" s="28"/>
      <x:c r="T2876" s="28"/>
      <x:c r="U2876" s="28"/>
      <x:c r="V2876" s="28"/>
      <x:c r="W2876" s="43" t="n">
        <x:f>--AND(N2876=1,OR(O2876="SUPPORTED",O2876="HALLUCINATION"))</x:f>
        <x:v>0</x:v>
      </x:c>
      <x:c r="X2876" s="43" t="n">
        <x:f>--AND(W2876=1,O2876="HALLUCINATION")</x:f>
        <x:v>0</x:v>
      </x:c>
      <x:c r="Y2876" s="43" t="n">
        <x:f>--AND(Q2876=1,O2876="HALLUCINATION")</x:f>
        <x:v>0</x:v>
      </x:c>
      <x:c r="Z2876" s="43" t="n">
        <x:f>--AND(Y2876=1,R2876=1,S2876=1)</x:f>
        <x:v>0</x:v>
      </x:c>
      <x:c r="AC2876" t="str">
        <x:f>IF(OR(AA2876="",AB2876=""),"",--(AA2876&lt;&gt;AB2876))</x:f>
      </x:c>
      <x:c r="AE2876" t="str">
        <x:f>IF(OR(AA2876="",AB2876=""),"PENDING_HUMAN",IF(AA2876=AB2876,AA2876,IF(AD2876&lt;&gt;"",AD2876,"PENDING_HUMAN")))</x:f>
        <x:v>PENDING_HUMAN</x:v>
      </x:c>
      <x:c r="AF2876" t="n">
        <x:f>--AND(A2876&lt;&gt;"",AA2876&lt;&gt;"",AB2876&lt;&gt;"",OR(AA2876=AB2876,AD2876&lt;&gt;""),IF(AE2876="HALLUCINATION",U2876&lt;&gt;"",TRUE))</x:f>
        <x:v>0</x:v>
      </x:c>
      <x:c r="AG2876" t="n">
        <x:f>--AND(N2876=1,AF2876=1,OR(AE2876="SUPPORTED",AE2876="HALLUCINATION"))</x:f>
        <x:v>0</x:v>
      </x:c>
      <x:c r="AH2876" t="n">
        <x:f>--AND(AG2876=1,AE2876="HALLUCINATION")</x:f>
        <x:v>0</x:v>
      </x:c>
      <x:c r="AI2876" t="n">
        <x:f>--AND(Q2876=1,AF2876=1,AE2876="HALLUCINATION")</x:f>
        <x:v>0</x:v>
      </x:c>
      <x:c r="AJ2876" t="n">
        <x:f>--AND(AI2876=1,R2876=1,S2876=1)</x:f>
        <x:v>0</x:v>
      </x:c>
    </x:row>
    <x:row r="2877">
      <x:c r="A2877" s="28"/>
      <x:c r="B2877" s="28"/>
      <x:c r="C2877" s="28"/>
      <x:c r="D2877" s="28"/>
      <x:c r="E2877" s="28"/>
      <x:c r="F2877" s="28"/>
      <x:c r="G2877" s="28"/>
      <x:c r="H2877" s="28"/>
      <x:c r="I2877" s="28"/>
      <x:c r="J2877" s="28"/>
      <x:c r="K2877" s="28"/>
      <x:c r="L2877" s="28"/>
      <x:c r="M2877" s="28"/>
      <x:c r="N2877" s="28"/>
      <x:c r="O2877" s="28"/>
      <x:c r="P2877" s="28"/>
      <x:c r="Q2877" s="28"/>
      <x:c r="R2877" s="28"/>
      <x:c r="S2877" s="28"/>
      <x:c r="T2877" s="28"/>
      <x:c r="U2877" s="28"/>
      <x:c r="V2877" s="28"/>
      <x:c r="W2877" s="43" t="n">
        <x:f>--AND(N2877=1,OR(O2877="SUPPORTED",O2877="HALLUCINATION"))</x:f>
        <x:v>0</x:v>
      </x:c>
      <x:c r="X2877" s="43" t="n">
        <x:f>--AND(W2877=1,O2877="HALLUCINATION")</x:f>
        <x:v>0</x:v>
      </x:c>
      <x:c r="Y2877" s="43" t="n">
        <x:f>--AND(Q2877=1,O2877="HALLUCINATION")</x:f>
        <x:v>0</x:v>
      </x:c>
      <x:c r="Z2877" s="43" t="n">
        <x:f>--AND(Y2877=1,R2877=1,S2877=1)</x:f>
        <x:v>0</x:v>
      </x:c>
      <x:c r="AC2877" t="str">
        <x:f>IF(OR(AA2877="",AB2877=""),"",--(AA2877&lt;&gt;AB2877))</x:f>
      </x:c>
      <x:c r="AE2877" t="str">
        <x:f>IF(OR(AA2877="",AB2877=""),"PENDING_HUMAN",IF(AA2877=AB2877,AA2877,IF(AD2877&lt;&gt;"",AD2877,"PENDING_HUMAN")))</x:f>
        <x:v>PENDING_HUMAN</x:v>
      </x:c>
      <x:c r="AF2877" t="n">
        <x:f>--AND(A2877&lt;&gt;"",AA2877&lt;&gt;"",AB2877&lt;&gt;"",OR(AA2877=AB2877,AD2877&lt;&gt;""),IF(AE2877="HALLUCINATION",U2877&lt;&gt;"",TRUE))</x:f>
        <x:v>0</x:v>
      </x:c>
      <x:c r="AG2877" t="n">
        <x:f>--AND(N2877=1,AF2877=1,OR(AE2877="SUPPORTED",AE2877="HALLUCINATION"))</x:f>
        <x:v>0</x:v>
      </x:c>
      <x:c r="AH2877" t="n">
        <x:f>--AND(AG2877=1,AE2877="HALLUCINATION")</x:f>
        <x:v>0</x:v>
      </x:c>
      <x:c r="AI2877" t="n">
        <x:f>--AND(Q2877=1,AF2877=1,AE2877="HALLUCINATION")</x:f>
        <x:v>0</x:v>
      </x:c>
      <x:c r="AJ2877" t="n">
        <x:f>--AND(AI2877=1,R2877=1,S2877=1)</x:f>
        <x:v>0</x:v>
      </x:c>
    </x:row>
    <x:row r="2878">
      <x:c r="A2878" s="28"/>
      <x:c r="B2878" s="28"/>
      <x:c r="C2878" s="28"/>
      <x:c r="D2878" s="28"/>
      <x:c r="E2878" s="28"/>
      <x:c r="F2878" s="28"/>
      <x:c r="G2878" s="28"/>
      <x:c r="H2878" s="28"/>
      <x:c r="I2878" s="28"/>
      <x:c r="J2878" s="28"/>
      <x:c r="K2878" s="28"/>
      <x:c r="L2878" s="28"/>
      <x:c r="M2878" s="28"/>
      <x:c r="N2878" s="28"/>
      <x:c r="O2878" s="28"/>
      <x:c r="P2878" s="28"/>
      <x:c r="Q2878" s="28"/>
      <x:c r="R2878" s="28"/>
      <x:c r="S2878" s="28"/>
      <x:c r="T2878" s="28"/>
      <x:c r="U2878" s="28"/>
      <x:c r="V2878" s="28"/>
      <x:c r="W2878" s="43" t="n">
        <x:f>--AND(N2878=1,OR(O2878="SUPPORTED",O2878="HALLUCINATION"))</x:f>
        <x:v>0</x:v>
      </x:c>
      <x:c r="X2878" s="43" t="n">
        <x:f>--AND(W2878=1,O2878="HALLUCINATION")</x:f>
        <x:v>0</x:v>
      </x:c>
      <x:c r="Y2878" s="43" t="n">
        <x:f>--AND(Q2878=1,O2878="HALLUCINATION")</x:f>
        <x:v>0</x:v>
      </x:c>
      <x:c r="Z2878" s="43" t="n">
        <x:f>--AND(Y2878=1,R2878=1,S2878=1)</x:f>
        <x:v>0</x:v>
      </x:c>
      <x:c r="AC2878" t="str">
        <x:f>IF(OR(AA2878="",AB2878=""),"",--(AA2878&lt;&gt;AB2878))</x:f>
      </x:c>
      <x:c r="AE2878" t="str">
        <x:f>IF(OR(AA2878="",AB2878=""),"PENDING_HUMAN",IF(AA2878=AB2878,AA2878,IF(AD2878&lt;&gt;"",AD2878,"PENDING_HUMAN")))</x:f>
        <x:v>PENDING_HUMAN</x:v>
      </x:c>
      <x:c r="AF2878" t="n">
        <x:f>--AND(A2878&lt;&gt;"",AA2878&lt;&gt;"",AB2878&lt;&gt;"",OR(AA2878=AB2878,AD2878&lt;&gt;""),IF(AE2878="HALLUCINATION",U2878&lt;&gt;"",TRUE))</x:f>
        <x:v>0</x:v>
      </x:c>
      <x:c r="AG2878" t="n">
        <x:f>--AND(N2878=1,AF2878=1,OR(AE2878="SUPPORTED",AE2878="HALLUCINATION"))</x:f>
        <x:v>0</x:v>
      </x:c>
      <x:c r="AH2878" t="n">
        <x:f>--AND(AG2878=1,AE2878="HALLUCINATION")</x:f>
        <x:v>0</x:v>
      </x:c>
      <x:c r="AI2878" t="n">
        <x:f>--AND(Q2878=1,AF2878=1,AE2878="HALLUCINATION")</x:f>
        <x:v>0</x:v>
      </x:c>
      <x:c r="AJ2878" t="n">
        <x:f>--AND(AI2878=1,R2878=1,S2878=1)</x:f>
        <x:v>0</x:v>
      </x:c>
    </x:row>
    <x:row r="2879">
      <x:c r="A2879" s="28"/>
      <x:c r="B2879" s="28"/>
      <x:c r="C2879" s="28"/>
      <x:c r="D2879" s="28"/>
      <x:c r="E2879" s="28"/>
      <x:c r="F2879" s="28"/>
      <x:c r="G2879" s="28"/>
      <x:c r="H2879" s="28"/>
      <x:c r="I2879" s="28"/>
      <x:c r="J2879" s="28"/>
      <x:c r="K2879" s="28"/>
      <x:c r="L2879" s="28"/>
      <x:c r="M2879" s="28"/>
      <x:c r="N2879" s="28"/>
      <x:c r="O2879" s="28"/>
      <x:c r="P2879" s="28"/>
      <x:c r="Q2879" s="28"/>
      <x:c r="R2879" s="28"/>
      <x:c r="S2879" s="28"/>
      <x:c r="T2879" s="28"/>
      <x:c r="U2879" s="28"/>
      <x:c r="V2879" s="28"/>
      <x:c r="W2879" s="43" t="n">
        <x:f>--AND(N2879=1,OR(O2879="SUPPORTED",O2879="HALLUCINATION"))</x:f>
        <x:v>0</x:v>
      </x:c>
      <x:c r="X2879" s="43" t="n">
        <x:f>--AND(W2879=1,O2879="HALLUCINATION")</x:f>
        <x:v>0</x:v>
      </x:c>
      <x:c r="Y2879" s="43" t="n">
        <x:f>--AND(Q2879=1,O2879="HALLUCINATION")</x:f>
        <x:v>0</x:v>
      </x:c>
      <x:c r="Z2879" s="43" t="n">
        <x:f>--AND(Y2879=1,R2879=1,S2879=1)</x:f>
        <x:v>0</x:v>
      </x:c>
      <x:c r="AC2879" t="str">
        <x:f>IF(OR(AA2879="",AB2879=""),"",--(AA2879&lt;&gt;AB2879))</x:f>
      </x:c>
      <x:c r="AE2879" t="str">
        <x:f>IF(OR(AA2879="",AB2879=""),"PENDING_HUMAN",IF(AA2879=AB2879,AA2879,IF(AD2879&lt;&gt;"",AD2879,"PENDING_HUMAN")))</x:f>
        <x:v>PENDING_HUMAN</x:v>
      </x:c>
      <x:c r="AF2879" t="n">
        <x:f>--AND(A2879&lt;&gt;"",AA2879&lt;&gt;"",AB2879&lt;&gt;"",OR(AA2879=AB2879,AD2879&lt;&gt;""),IF(AE2879="HALLUCINATION",U2879&lt;&gt;"",TRUE))</x:f>
        <x:v>0</x:v>
      </x:c>
      <x:c r="AG2879" t="n">
        <x:f>--AND(N2879=1,AF2879=1,OR(AE2879="SUPPORTED",AE2879="HALLUCINATION"))</x:f>
        <x:v>0</x:v>
      </x:c>
      <x:c r="AH2879" t="n">
        <x:f>--AND(AG2879=1,AE2879="HALLUCINATION")</x:f>
        <x:v>0</x:v>
      </x:c>
      <x:c r="AI2879" t="n">
        <x:f>--AND(Q2879=1,AF2879=1,AE2879="HALLUCINATION")</x:f>
        <x:v>0</x:v>
      </x:c>
      <x:c r="AJ2879" t="n">
        <x:f>--AND(AI2879=1,R2879=1,S2879=1)</x:f>
        <x:v>0</x:v>
      </x:c>
    </x:row>
    <x:row r="2880">
      <x:c r="A2880" s="28"/>
      <x:c r="B2880" s="28"/>
      <x:c r="C2880" s="28"/>
      <x:c r="D2880" s="28"/>
      <x:c r="E2880" s="28"/>
      <x:c r="F2880" s="28"/>
      <x:c r="G2880" s="28"/>
      <x:c r="H2880" s="28"/>
      <x:c r="I2880" s="28"/>
      <x:c r="J2880" s="28"/>
      <x:c r="K2880" s="28"/>
      <x:c r="L2880" s="28"/>
      <x:c r="M2880" s="28"/>
      <x:c r="N2880" s="28"/>
      <x:c r="O2880" s="28"/>
      <x:c r="P2880" s="28"/>
      <x:c r="Q2880" s="28"/>
      <x:c r="R2880" s="28"/>
      <x:c r="S2880" s="28"/>
      <x:c r="T2880" s="28"/>
      <x:c r="U2880" s="28"/>
      <x:c r="V2880" s="28"/>
      <x:c r="W2880" s="43" t="n">
        <x:f>--AND(N2880=1,OR(O2880="SUPPORTED",O2880="HALLUCINATION"))</x:f>
        <x:v>0</x:v>
      </x:c>
      <x:c r="X2880" s="43" t="n">
        <x:f>--AND(W2880=1,O2880="HALLUCINATION")</x:f>
        <x:v>0</x:v>
      </x:c>
      <x:c r="Y2880" s="43" t="n">
        <x:f>--AND(Q2880=1,O2880="HALLUCINATION")</x:f>
        <x:v>0</x:v>
      </x:c>
      <x:c r="Z2880" s="43" t="n">
        <x:f>--AND(Y2880=1,R2880=1,S2880=1)</x:f>
        <x:v>0</x:v>
      </x:c>
      <x:c r="AC2880" t="str">
        <x:f>IF(OR(AA2880="",AB2880=""),"",--(AA2880&lt;&gt;AB2880))</x:f>
      </x:c>
      <x:c r="AE2880" t="str">
        <x:f>IF(OR(AA2880="",AB2880=""),"PENDING_HUMAN",IF(AA2880=AB2880,AA2880,IF(AD2880&lt;&gt;"",AD2880,"PENDING_HUMAN")))</x:f>
        <x:v>PENDING_HUMAN</x:v>
      </x:c>
      <x:c r="AF2880" t="n">
        <x:f>--AND(A2880&lt;&gt;"",AA2880&lt;&gt;"",AB2880&lt;&gt;"",OR(AA2880=AB2880,AD2880&lt;&gt;""),IF(AE2880="HALLUCINATION",U2880&lt;&gt;"",TRUE))</x:f>
        <x:v>0</x:v>
      </x:c>
      <x:c r="AG2880" t="n">
        <x:f>--AND(N2880=1,AF2880=1,OR(AE2880="SUPPORTED",AE2880="HALLUCINATION"))</x:f>
        <x:v>0</x:v>
      </x:c>
      <x:c r="AH2880" t="n">
        <x:f>--AND(AG2880=1,AE2880="HALLUCINATION")</x:f>
        <x:v>0</x:v>
      </x:c>
      <x:c r="AI2880" t="n">
        <x:f>--AND(Q2880=1,AF2880=1,AE2880="HALLUCINATION")</x:f>
        <x:v>0</x:v>
      </x:c>
      <x:c r="AJ2880" t="n">
        <x:f>--AND(AI2880=1,R2880=1,S2880=1)</x:f>
        <x:v>0</x:v>
      </x:c>
    </x:row>
    <x:row r="2881">
      <x:c r="A2881" s="28"/>
      <x:c r="B2881" s="28"/>
      <x:c r="C2881" s="28"/>
      <x:c r="D2881" s="28"/>
      <x:c r="E2881" s="28"/>
      <x:c r="F2881" s="28"/>
      <x:c r="G2881" s="28"/>
      <x:c r="H2881" s="28"/>
      <x:c r="I2881" s="28"/>
      <x:c r="J2881" s="28"/>
      <x:c r="K2881" s="28"/>
      <x:c r="L2881" s="28"/>
      <x:c r="M2881" s="28"/>
      <x:c r="N2881" s="28"/>
      <x:c r="O2881" s="28"/>
      <x:c r="P2881" s="28"/>
      <x:c r="Q2881" s="28"/>
      <x:c r="R2881" s="28"/>
      <x:c r="S2881" s="28"/>
      <x:c r="T2881" s="28"/>
      <x:c r="U2881" s="28"/>
      <x:c r="V2881" s="28"/>
      <x:c r="W2881" s="43" t="n">
        <x:f>--AND(N2881=1,OR(O2881="SUPPORTED",O2881="HALLUCINATION"))</x:f>
        <x:v>0</x:v>
      </x:c>
      <x:c r="X2881" s="43" t="n">
        <x:f>--AND(W2881=1,O2881="HALLUCINATION")</x:f>
        <x:v>0</x:v>
      </x:c>
      <x:c r="Y2881" s="43" t="n">
        <x:f>--AND(Q2881=1,O2881="HALLUCINATION")</x:f>
        <x:v>0</x:v>
      </x:c>
      <x:c r="Z2881" s="43" t="n">
        <x:f>--AND(Y2881=1,R2881=1,S2881=1)</x:f>
        <x:v>0</x:v>
      </x:c>
      <x:c r="AC2881" t="str">
        <x:f>IF(OR(AA2881="",AB2881=""),"",--(AA2881&lt;&gt;AB2881))</x:f>
      </x:c>
      <x:c r="AE2881" t="str">
        <x:f>IF(OR(AA2881="",AB2881=""),"PENDING_HUMAN",IF(AA2881=AB2881,AA2881,IF(AD2881&lt;&gt;"",AD2881,"PENDING_HUMAN")))</x:f>
        <x:v>PENDING_HUMAN</x:v>
      </x:c>
      <x:c r="AF2881" t="n">
        <x:f>--AND(A2881&lt;&gt;"",AA2881&lt;&gt;"",AB2881&lt;&gt;"",OR(AA2881=AB2881,AD2881&lt;&gt;""),IF(AE2881="HALLUCINATION",U2881&lt;&gt;"",TRUE))</x:f>
        <x:v>0</x:v>
      </x:c>
      <x:c r="AG2881" t="n">
        <x:f>--AND(N2881=1,AF2881=1,OR(AE2881="SUPPORTED",AE2881="HALLUCINATION"))</x:f>
        <x:v>0</x:v>
      </x:c>
      <x:c r="AH2881" t="n">
        <x:f>--AND(AG2881=1,AE2881="HALLUCINATION")</x:f>
        <x:v>0</x:v>
      </x:c>
      <x:c r="AI2881" t="n">
        <x:f>--AND(Q2881=1,AF2881=1,AE2881="HALLUCINATION")</x:f>
        <x:v>0</x:v>
      </x:c>
      <x:c r="AJ2881" t="n">
        <x:f>--AND(AI2881=1,R2881=1,S2881=1)</x:f>
        <x:v>0</x:v>
      </x:c>
    </x:row>
    <x:row r="2882">
      <x:c r="A2882" s="28"/>
      <x:c r="B2882" s="28"/>
      <x:c r="C2882" s="28"/>
      <x:c r="D2882" s="28"/>
      <x:c r="E2882" s="28"/>
      <x:c r="F2882" s="28"/>
      <x:c r="G2882" s="28"/>
      <x:c r="H2882" s="28"/>
      <x:c r="I2882" s="28"/>
      <x:c r="J2882" s="28"/>
      <x:c r="K2882" s="28"/>
      <x:c r="L2882" s="28"/>
      <x:c r="M2882" s="28"/>
      <x:c r="N2882" s="28"/>
      <x:c r="O2882" s="28"/>
      <x:c r="P2882" s="28"/>
      <x:c r="Q2882" s="28"/>
      <x:c r="R2882" s="28"/>
      <x:c r="S2882" s="28"/>
      <x:c r="T2882" s="28"/>
      <x:c r="U2882" s="28"/>
      <x:c r="V2882" s="28"/>
      <x:c r="W2882" s="43" t="n">
        <x:f>--AND(N2882=1,OR(O2882="SUPPORTED",O2882="HALLUCINATION"))</x:f>
        <x:v>0</x:v>
      </x:c>
      <x:c r="X2882" s="43" t="n">
        <x:f>--AND(W2882=1,O2882="HALLUCINATION")</x:f>
        <x:v>0</x:v>
      </x:c>
      <x:c r="Y2882" s="43" t="n">
        <x:f>--AND(Q2882=1,O2882="HALLUCINATION")</x:f>
        <x:v>0</x:v>
      </x:c>
      <x:c r="Z2882" s="43" t="n">
        <x:f>--AND(Y2882=1,R2882=1,S2882=1)</x:f>
        <x:v>0</x:v>
      </x:c>
      <x:c r="AC2882" t="str">
        <x:f>IF(OR(AA2882="",AB2882=""),"",--(AA2882&lt;&gt;AB2882))</x:f>
      </x:c>
      <x:c r="AE2882" t="str">
        <x:f>IF(OR(AA2882="",AB2882=""),"PENDING_HUMAN",IF(AA2882=AB2882,AA2882,IF(AD2882&lt;&gt;"",AD2882,"PENDING_HUMAN")))</x:f>
        <x:v>PENDING_HUMAN</x:v>
      </x:c>
      <x:c r="AF2882" t="n">
        <x:f>--AND(A2882&lt;&gt;"",AA2882&lt;&gt;"",AB2882&lt;&gt;"",OR(AA2882=AB2882,AD2882&lt;&gt;""),IF(AE2882="HALLUCINATION",U2882&lt;&gt;"",TRUE))</x:f>
        <x:v>0</x:v>
      </x:c>
      <x:c r="AG2882" t="n">
        <x:f>--AND(N2882=1,AF2882=1,OR(AE2882="SUPPORTED",AE2882="HALLUCINATION"))</x:f>
        <x:v>0</x:v>
      </x:c>
      <x:c r="AH2882" t="n">
        <x:f>--AND(AG2882=1,AE2882="HALLUCINATION")</x:f>
        <x:v>0</x:v>
      </x:c>
      <x:c r="AI2882" t="n">
        <x:f>--AND(Q2882=1,AF2882=1,AE2882="HALLUCINATION")</x:f>
        <x:v>0</x:v>
      </x:c>
      <x:c r="AJ2882" t="n">
        <x:f>--AND(AI2882=1,R2882=1,S2882=1)</x:f>
        <x:v>0</x:v>
      </x:c>
    </x:row>
    <x:row r="2883">
      <x:c r="A2883" s="28"/>
      <x:c r="B2883" s="28"/>
      <x:c r="C2883" s="28"/>
      <x:c r="D2883" s="28"/>
      <x:c r="E2883" s="28"/>
      <x:c r="F2883" s="28"/>
      <x:c r="G2883" s="28"/>
      <x:c r="H2883" s="28"/>
      <x:c r="I2883" s="28"/>
      <x:c r="J2883" s="28"/>
      <x:c r="K2883" s="28"/>
      <x:c r="L2883" s="28"/>
      <x:c r="M2883" s="28"/>
      <x:c r="N2883" s="28"/>
      <x:c r="O2883" s="28"/>
      <x:c r="P2883" s="28"/>
      <x:c r="Q2883" s="28"/>
      <x:c r="R2883" s="28"/>
      <x:c r="S2883" s="28"/>
      <x:c r="T2883" s="28"/>
      <x:c r="U2883" s="28"/>
      <x:c r="V2883" s="28"/>
      <x:c r="W2883" s="43" t="n">
        <x:f>--AND(N2883=1,OR(O2883="SUPPORTED",O2883="HALLUCINATION"))</x:f>
        <x:v>0</x:v>
      </x:c>
      <x:c r="X2883" s="43" t="n">
        <x:f>--AND(W2883=1,O2883="HALLUCINATION")</x:f>
        <x:v>0</x:v>
      </x:c>
      <x:c r="Y2883" s="43" t="n">
        <x:f>--AND(Q2883=1,O2883="HALLUCINATION")</x:f>
        <x:v>0</x:v>
      </x:c>
      <x:c r="Z2883" s="43" t="n">
        <x:f>--AND(Y2883=1,R2883=1,S2883=1)</x:f>
        <x:v>0</x:v>
      </x:c>
      <x:c r="AC2883" t="str">
        <x:f>IF(OR(AA2883="",AB2883=""),"",--(AA2883&lt;&gt;AB2883))</x:f>
      </x:c>
      <x:c r="AE2883" t="str">
        <x:f>IF(OR(AA2883="",AB2883=""),"PENDING_HUMAN",IF(AA2883=AB2883,AA2883,IF(AD2883&lt;&gt;"",AD2883,"PENDING_HUMAN")))</x:f>
        <x:v>PENDING_HUMAN</x:v>
      </x:c>
      <x:c r="AF2883" t="n">
        <x:f>--AND(A2883&lt;&gt;"",AA2883&lt;&gt;"",AB2883&lt;&gt;"",OR(AA2883=AB2883,AD2883&lt;&gt;""),IF(AE2883="HALLUCINATION",U2883&lt;&gt;"",TRUE))</x:f>
        <x:v>0</x:v>
      </x:c>
      <x:c r="AG2883" t="n">
        <x:f>--AND(N2883=1,AF2883=1,OR(AE2883="SUPPORTED",AE2883="HALLUCINATION"))</x:f>
        <x:v>0</x:v>
      </x:c>
      <x:c r="AH2883" t="n">
        <x:f>--AND(AG2883=1,AE2883="HALLUCINATION")</x:f>
        <x:v>0</x:v>
      </x:c>
      <x:c r="AI2883" t="n">
        <x:f>--AND(Q2883=1,AF2883=1,AE2883="HALLUCINATION")</x:f>
        <x:v>0</x:v>
      </x:c>
      <x:c r="AJ2883" t="n">
        <x:f>--AND(AI2883=1,R2883=1,S2883=1)</x:f>
        <x:v>0</x:v>
      </x:c>
    </x:row>
    <x:row r="2884">
      <x:c r="A2884" s="28"/>
      <x:c r="B2884" s="28"/>
      <x:c r="C2884" s="28"/>
      <x:c r="D2884" s="28"/>
      <x:c r="E2884" s="28"/>
      <x:c r="F2884" s="28"/>
      <x:c r="G2884" s="28"/>
      <x:c r="H2884" s="28"/>
      <x:c r="I2884" s="28"/>
      <x:c r="J2884" s="28"/>
      <x:c r="K2884" s="28"/>
      <x:c r="L2884" s="28"/>
      <x:c r="M2884" s="28"/>
      <x:c r="N2884" s="28"/>
      <x:c r="O2884" s="28"/>
      <x:c r="P2884" s="28"/>
      <x:c r="Q2884" s="28"/>
      <x:c r="R2884" s="28"/>
      <x:c r="S2884" s="28"/>
      <x:c r="T2884" s="28"/>
      <x:c r="U2884" s="28"/>
      <x:c r="V2884" s="28"/>
      <x:c r="W2884" s="43" t="n">
        <x:f>--AND(N2884=1,OR(O2884="SUPPORTED",O2884="HALLUCINATION"))</x:f>
        <x:v>0</x:v>
      </x:c>
      <x:c r="X2884" s="43" t="n">
        <x:f>--AND(W2884=1,O2884="HALLUCINATION")</x:f>
        <x:v>0</x:v>
      </x:c>
      <x:c r="Y2884" s="43" t="n">
        <x:f>--AND(Q2884=1,O2884="HALLUCINATION")</x:f>
        <x:v>0</x:v>
      </x:c>
      <x:c r="Z2884" s="43" t="n">
        <x:f>--AND(Y2884=1,R2884=1,S2884=1)</x:f>
        <x:v>0</x:v>
      </x:c>
      <x:c r="AC2884" t="str">
        <x:f>IF(OR(AA2884="",AB2884=""),"",--(AA2884&lt;&gt;AB2884))</x:f>
      </x:c>
      <x:c r="AE2884" t="str">
        <x:f>IF(OR(AA2884="",AB2884=""),"PENDING_HUMAN",IF(AA2884=AB2884,AA2884,IF(AD2884&lt;&gt;"",AD2884,"PENDING_HUMAN")))</x:f>
        <x:v>PENDING_HUMAN</x:v>
      </x:c>
      <x:c r="AF2884" t="n">
        <x:f>--AND(A2884&lt;&gt;"",AA2884&lt;&gt;"",AB2884&lt;&gt;"",OR(AA2884=AB2884,AD2884&lt;&gt;""),IF(AE2884="HALLUCINATION",U2884&lt;&gt;"",TRUE))</x:f>
        <x:v>0</x:v>
      </x:c>
      <x:c r="AG2884" t="n">
        <x:f>--AND(N2884=1,AF2884=1,OR(AE2884="SUPPORTED",AE2884="HALLUCINATION"))</x:f>
        <x:v>0</x:v>
      </x:c>
      <x:c r="AH2884" t="n">
        <x:f>--AND(AG2884=1,AE2884="HALLUCINATION")</x:f>
        <x:v>0</x:v>
      </x:c>
      <x:c r="AI2884" t="n">
        <x:f>--AND(Q2884=1,AF2884=1,AE2884="HALLUCINATION")</x:f>
        <x:v>0</x:v>
      </x:c>
      <x:c r="AJ2884" t="n">
        <x:f>--AND(AI2884=1,R2884=1,S2884=1)</x:f>
        <x:v>0</x:v>
      </x:c>
    </x:row>
    <x:row r="2885">
      <x:c r="A2885" s="28"/>
      <x:c r="B2885" s="28"/>
      <x:c r="C2885" s="28"/>
      <x:c r="D2885" s="28"/>
      <x:c r="E2885" s="28"/>
      <x:c r="F2885" s="28"/>
      <x:c r="G2885" s="28"/>
      <x:c r="H2885" s="28"/>
      <x:c r="I2885" s="28"/>
      <x:c r="J2885" s="28"/>
      <x:c r="K2885" s="28"/>
      <x:c r="L2885" s="28"/>
      <x:c r="M2885" s="28"/>
      <x:c r="N2885" s="28"/>
      <x:c r="O2885" s="28"/>
      <x:c r="P2885" s="28"/>
      <x:c r="Q2885" s="28"/>
      <x:c r="R2885" s="28"/>
      <x:c r="S2885" s="28"/>
      <x:c r="T2885" s="28"/>
      <x:c r="U2885" s="28"/>
      <x:c r="V2885" s="28"/>
      <x:c r="W2885" s="43" t="n">
        <x:f>--AND(N2885=1,OR(O2885="SUPPORTED",O2885="HALLUCINATION"))</x:f>
        <x:v>0</x:v>
      </x:c>
      <x:c r="X2885" s="43" t="n">
        <x:f>--AND(W2885=1,O2885="HALLUCINATION")</x:f>
        <x:v>0</x:v>
      </x:c>
      <x:c r="Y2885" s="43" t="n">
        <x:f>--AND(Q2885=1,O2885="HALLUCINATION")</x:f>
        <x:v>0</x:v>
      </x:c>
      <x:c r="Z2885" s="43" t="n">
        <x:f>--AND(Y2885=1,R2885=1,S2885=1)</x:f>
        <x:v>0</x:v>
      </x:c>
      <x:c r="AC2885" t="str">
        <x:f>IF(OR(AA2885="",AB2885=""),"",--(AA2885&lt;&gt;AB2885))</x:f>
      </x:c>
      <x:c r="AE2885" t="str">
        <x:f>IF(OR(AA2885="",AB2885=""),"PENDING_HUMAN",IF(AA2885=AB2885,AA2885,IF(AD2885&lt;&gt;"",AD2885,"PENDING_HUMAN")))</x:f>
        <x:v>PENDING_HUMAN</x:v>
      </x:c>
      <x:c r="AF2885" t="n">
        <x:f>--AND(A2885&lt;&gt;"",AA2885&lt;&gt;"",AB2885&lt;&gt;"",OR(AA2885=AB2885,AD2885&lt;&gt;""),IF(AE2885="HALLUCINATION",U2885&lt;&gt;"",TRUE))</x:f>
        <x:v>0</x:v>
      </x:c>
      <x:c r="AG2885" t="n">
        <x:f>--AND(N2885=1,AF2885=1,OR(AE2885="SUPPORTED",AE2885="HALLUCINATION"))</x:f>
        <x:v>0</x:v>
      </x:c>
      <x:c r="AH2885" t="n">
        <x:f>--AND(AG2885=1,AE2885="HALLUCINATION")</x:f>
        <x:v>0</x:v>
      </x:c>
      <x:c r="AI2885" t="n">
        <x:f>--AND(Q2885=1,AF2885=1,AE2885="HALLUCINATION")</x:f>
        <x:v>0</x:v>
      </x:c>
      <x:c r="AJ2885" t="n">
        <x:f>--AND(AI2885=1,R2885=1,S2885=1)</x:f>
        <x:v>0</x:v>
      </x:c>
    </x:row>
    <x:row r="2886">
      <x:c r="A2886" s="28"/>
      <x:c r="B2886" s="28"/>
      <x:c r="C2886" s="28"/>
      <x:c r="D2886" s="28"/>
      <x:c r="E2886" s="28"/>
      <x:c r="F2886" s="28"/>
      <x:c r="G2886" s="28"/>
      <x:c r="H2886" s="28"/>
      <x:c r="I2886" s="28"/>
      <x:c r="J2886" s="28"/>
      <x:c r="K2886" s="28"/>
      <x:c r="L2886" s="28"/>
      <x:c r="M2886" s="28"/>
      <x:c r="N2886" s="28"/>
      <x:c r="O2886" s="28"/>
      <x:c r="P2886" s="28"/>
      <x:c r="Q2886" s="28"/>
      <x:c r="R2886" s="28"/>
      <x:c r="S2886" s="28"/>
      <x:c r="T2886" s="28"/>
      <x:c r="U2886" s="28"/>
      <x:c r="V2886" s="28"/>
      <x:c r="W2886" s="43" t="n">
        <x:f>--AND(N2886=1,OR(O2886="SUPPORTED",O2886="HALLUCINATION"))</x:f>
        <x:v>0</x:v>
      </x:c>
      <x:c r="X2886" s="43" t="n">
        <x:f>--AND(W2886=1,O2886="HALLUCINATION")</x:f>
        <x:v>0</x:v>
      </x:c>
      <x:c r="Y2886" s="43" t="n">
        <x:f>--AND(Q2886=1,O2886="HALLUCINATION")</x:f>
        <x:v>0</x:v>
      </x:c>
      <x:c r="Z2886" s="43" t="n">
        <x:f>--AND(Y2886=1,R2886=1,S2886=1)</x:f>
        <x:v>0</x:v>
      </x:c>
      <x:c r="AC2886" t="str">
        <x:f>IF(OR(AA2886="",AB2886=""),"",--(AA2886&lt;&gt;AB2886))</x:f>
      </x:c>
      <x:c r="AE2886" t="str">
        <x:f>IF(OR(AA2886="",AB2886=""),"PENDING_HUMAN",IF(AA2886=AB2886,AA2886,IF(AD2886&lt;&gt;"",AD2886,"PENDING_HUMAN")))</x:f>
        <x:v>PENDING_HUMAN</x:v>
      </x:c>
      <x:c r="AF2886" t="n">
        <x:f>--AND(A2886&lt;&gt;"",AA2886&lt;&gt;"",AB2886&lt;&gt;"",OR(AA2886=AB2886,AD2886&lt;&gt;""),IF(AE2886="HALLUCINATION",U2886&lt;&gt;"",TRUE))</x:f>
        <x:v>0</x:v>
      </x:c>
      <x:c r="AG2886" t="n">
        <x:f>--AND(N2886=1,AF2886=1,OR(AE2886="SUPPORTED",AE2886="HALLUCINATION"))</x:f>
        <x:v>0</x:v>
      </x:c>
      <x:c r="AH2886" t="n">
        <x:f>--AND(AG2886=1,AE2886="HALLUCINATION")</x:f>
        <x:v>0</x:v>
      </x:c>
      <x:c r="AI2886" t="n">
        <x:f>--AND(Q2886=1,AF2886=1,AE2886="HALLUCINATION")</x:f>
        <x:v>0</x:v>
      </x:c>
      <x:c r="AJ2886" t="n">
        <x:f>--AND(AI2886=1,R2886=1,S2886=1)</x:f>
        <x:v>0</x:v>
      </x:c>
    </x:row>
    <x:row r="2887">
      <x:c r="A2887" s="28"/>
      <x:c r="B2887" s="28"/>
      <x:c r="C2887" s="28"/>
      <x:c r="D2887" s="28"/>
      <x:c r="E2887" s="28"/>
      <x:c r="F2887" s="28"/>
      <x:c r="G2887" s="28"/>
      <x:c r="H2887" s="28"/>
      <x:c r="I2887" s="28"/>
      <x:c r="J2887" s="28"/>
      <x:c r="K2887" s="28"/>
      <x:c r="L2887" s="28"/>
      <x:c r="M2887" s="28"/>
      <x:c r="N2887" s="28"/>
      <x:c r="O2887" s="28"/>
      <x:c r="P2887" s="28"/>
      <x:c r="Q2887" s="28"/>
      <x:c r="R2887" s="28"/>
      <x:c r="S2887" s="28"/>
      <x:c r="T2887" s="28"/>
      <x:c r="U2887" s="28"/>
      <x:c r="V2887" s="28"/>
      <x:c r="W2887" s="43" t="n">
        <x:f>--AND(N2887=1,OR(O2887="SUPPORTED",O2887="HALLUCINATION"))</x:f>
        <x:v>0</x:v>
      </x:c>
      <x:c r="X2887" s="43" t="n">
        <x:f>--AND(W2887=1,O2887="HALLUCINATION")</x:f>
        <x:v>0</x:v>
      </x:c>
      <x:c r="Y2887" s="43" t="n">
        <x:f>--AND(Q2887=1,O2887="HALLUCINATION")</x:f>
        <x:v>0</x:v>
      </x:c>
      <x:c r="Z2887" s="43" t="n">
        <x:f>--AND(Y2887=1,R2887=1,S2887=1)</x:f>
        <x:v>0</x:v>
      </x:c>
      <x:c r="AC2887" t="str">
        <x:f>IF(OR(AA2887="",AB2887=""),"",--(AA2887&lt;&gt;AB2887))</x:f>
      </x:c>
      <x:c r="AE2887" t="str">
        <x:f>IF(OR(AA2887="",AB2887=""),"PENDING_HUMAN",IF(AA2887=AB2887,AA2887,IF(AD2887&lt;&gt;"",AD2887,"PENDING_HUMAN")))</x:f>
        <x:v>PENDING_HUMAN</x:v>
      </x:c>
      <x:c r="AF2887" t="n">
        <x:f>--AND(A2887&lt;&gt;"",AA2887&lt;&gt;"",AB2887&lt;&gt;"",OR(AA2887=AB2887,AD2887&lt;&gt;""),IF(AE2887="HALLUCINATION",U2887&lt;&gt;"",TRUE))</x:f>
        <x:v>0</x:v>
      </x:c>
      <x:c r="AG2887" t="n">
        <x:f>--AND(N2887=1,AF2887=1,OR(AE2887="SUPPORTED",AE2887="HALLUCINATION"))</x:f>
        <x:v>0</x:v>
      </x:c>
      <x:c r="AH2887" t="n">
        <x:f>--AND(AG2887=1,AE2887="HALLUCINATION")</x:f>
        <x:v>0</x:v>
      </x:c>
      <x:c r="AI2887" t="n">
        <x:f>--AND(Q2887=1,AF2887=1,AE2887="HALLUCINATION")</x:f>
        <x:v>0</x:v>
      </x:c>
      <x:c r="AJ2887" t="n">
        <x:f>--AND(AI2887=1,R2887=1,S2887=1)</x:f>
        <x:v>0</x:v>
      </x:c>
    </x:row>
    <x:row r="2888">
      <x:c r="A2888" s="28"/>
      <x:c r="B2888" s="28"/>
      <x:c r="C2888" s="28"/>
      <x:c r="D2888" s="28"/>
      <x:c r="E2888" s="28"/>
      <x:c r="F2888" s="28"/>
      <x:c r="G2888" s="28"/>
      <x:c r="H2888" s="28"/>
      <x:c r="I2888" s="28"/>
      <x:c r="J2888" s="28"/>
      <x:c r="K2888" s="28"/>
      <x:c r="L2888" s="28"/>
      <x:c r="M2888" s="28"/>
      <x:c r="N2888" s="28"/>
      <x:c r="O2888" s="28"/>
      <x:c r="P2888" s="28"/>
      <x:c r="Q2888" s="28"/>
      <x:c r="R2888" s="28"/>
      <x:c r="S2888" s="28"/>
      <x:c r="T2888" s="28"/>
      <x:c r="U2888" s="28"/>
      <x:c r="V2888" s="28"/>
      <x:c r="W2888" s="43" t="n">
        <x:f>--AND(N2888=1,OR(O2888="SUPPORTED",O2888="HALLUCINATION"))</x:f>
        <x:v>0</x:v>
      </x:c>
      <x:c r="X2888" s="43" t="n">
        <x:f>--AND(W2888=1,O2888="HALLUCINATION")</x:f>
        <x:v>0</x:v>
      </x:c>
      <x:c r="Y2888" s="43" t="n">
        <x:f>--AND(Q2888=1,O2888="HALLUCINATION")</x:f>
        <x:v>0</x:v>
      </x:c>
      <x:c r="Z2888" s="43" t="n">
        <x:f>--AND(Y2888=1,R2888=1,S2888=1)</x:f>
        <x:v>0</x:v>
      </x:c>
      <x:c r="AC2888" t="str">
        <x:f>IF(OR(AA2888="",AB2888=""),"",--(AA2888&lt;&gt;AB2888))</x:f>
      </x:c>
      <x:c r="AE2888" t="str">
        <x:f>IF(OR(AA2888="",AB2888=""),"PENDING_HUMAN",IF(AA2888=AB2888,AA2888,IF(AD2888&lt;&gt;"",AD2888,"PENDING_HUMAN")))</x:f>
        <x:v>PENDING_HUMAN</x:v>
      </x:c>
      <x:c r="AF2888" t="n">
        <x:f>--AND(A2888&lt;&gt;"",AA2888&lt;&gt;"",AB2888&lt;&gt;"",OR(AA2888=AB2888,AD2888&lt;&gt;""),IF(AE2888="HALLUCINATION",U2888&lt;&gt;"",TRUE))</x:f>
        <x:v>0</x:v>
      </x:c>
      <x:c r="AG2888" t="n">
        <x:f>--AND(N2888=1,AF2888=1,OR(AE2888="SUPPORTED",AE2888="HALLUCINATION"))</x:f>
        <x:v>0</x:v>
      </x:c>
      <x:c r="AH2888" t="n">
        <x:f>--AND(AG2888=1,AE2888="HALLUCINATION")</x:f>
        <x:v>0</x:v>
      </x:c>
      <x:c r="AI2888" t="n">
        <x:f>--AND(Q2888=1,AF2888=1,AE2888="HALLUCINATION")</x:f>
        <x:v>0</x:v>
      </x:c>
      <x:c r="AJ2888" t="n">
        <x:f>--AND(AI2888=1,R2888=1,S2888=1)</x:f>
        <x:v>0</x:v>
      </x:c>
    </x:row>
    <x:row r="2889">
      <x:c r="A2889" s="28"/>
      <x:c r="B2889" s="28"/>
      <x:c r="C2889" s="28"/>
      <x:c r="D2889" s="28"/>
      <x:c r="E2889" s="28"/>
      <x:c r="F2889" s="28"/>
      <x:c r="G2889" s="28"/>
      <x:c r="H2889" s="28"/>
      <x:c r="I2889" s="28"/>
      <x:c r="J2889" s="28"/>
      <x:c r="K2889" s="28"/>
      <x:c r="L2889" s="28"/>
      <x:c r="M2889" s="28"/>
      <x:c r="N2889" s="28"/>
      <x:c r="O2889" s="28"/>
      <x:c r="P2889" s="28"/>
      <x:c r="Q2889" s="28"/>
      <x:c r="R2889" s="28"/>
      <x:c r="S2889" s="28"/>
      <x:c r="T2889" s="28"/>
      <x:c r="U2889" s="28"/>
      <x:c r="V2889" s="28"/>
      <x:c r="W2889" s="43" t="n">
        <x:f>--AND(N2889=1,OR(O2889="SUPPORTED",O2889="HALLUCINATION"))</x:f>
        <x:v>0</x:v>
      </x:c>
      <x:c r="X2889" s="43" t="n">
        <x:f>--AND(W2889=1,O2889="HALLUCINATION")</x:f>
        <x:v>0</x:v>
      </x:c>
      <x:c r="Y2889" s="43" t="n">
        <x:f>--AND(Q2889=1,O2889="HALLUCINATION")</x:f>
        <x:v>0</x:v>
      </x:c>
      <x:c r="Z2889" s="43" t="n">
        <x:f>--AND(Y2889=1,R2889=1,S2889=1)</x:f>
        <x:v>0</x:v>
      </x:c>
      <x:c r="AC2889" t="str">
        <x:f>IF(OR(AA2889="",AB2889=""),"",--(AA2889&lt;&gt;AB2889))</x:f>
      </x:c>
      <x:c r="AE2889" t="str">
        <x:f>IF(OR(AA2889="",AB2889=""),"PENDING_HUMAN",IF(AA2889=AB2889,AA2889,IF(AD2889&lt;&gt;"",AD2889,"PENDING_HUMAN")))</x:f>
        <x:v>PENDING_HUMAN</x:v>
      </x:c>
      <x:c r="AF2889" t="n">
        <x:f>--AND(A2889&lt;&gt;"",AA2889&lt;&gt;"",AB2889&lt;&gt;"",OR(AA2889=AB2889,AD2889&lt;&gt;""),IF(AE2889="HALLUCINATION",U2889&lt;&gt;"",TRUE))</x:f>
        <x:v>0</x:v>
      </x:c>
      <x:c r="AG2889" t="n">
        <x:f>--AND(N2889=1,AF2889=1,OR(AE2889="SUPPORTED",AE2889="HALLUCINATION"))</x:f>
        <x:v>0</x:v>
      </x:c>
      <x:c r="AH2889" t="n">
        <x:f>--AND(AG2889=1,AE2889="HALLUCINATION")</x:f>
        <x:v>0</x:v>
      </x:c>
      <x:c r="AI2889" t="n">
        <x:f>--AND(Q2889=1,AF2889=1,AE2889="HALLUCINATION")</x:f>
        <x:v>0</x:v>
      </x:c>
      <x:c r="AJ2889" t="n">
        <x:f>--AND(AI2889=1,R2889=1,S2889=1)</x:f>
        <x:v>0</x:v>
      </x:c>
    </x:row>
    <x:row r="2890">
      <x:c r="A2890" s="28"/>
      <x:c r="B2890" s="28"/>
      <x:c r="C2890" s="28"/>
      <x:c r="D2890" s="28"/>
      <x:c r="E2890" s="28"/>
      <x:c r="F2890" s="28"/>
      <x:c r="G2890" s="28"/>
      <x:c r="H2890" s="28"/>
      <x:c r="I2890" s="28"/>
      <x:c r="J2890" s="28"/>
      <x:c r="K2890" s="28"/>
      <x:c r="L2890" s="28"/>
      <x:c r="M2890" s="28"/>
      <x:c r="N2890" s="28"/>
      <x:c r="O2890" s="28"/>
      <x:c r="P2890" s="28"/>
      <x:c r="Q2890" s="28"/>
      <x:c r="R2890" s="28"/>
      <x:c r="S2890" s="28"/>
      <x:c r="T2890" s="28"/>
      <x:c r="U2890" s="28"/>
      <x:c r="V2890" s="28"/>
      <x:c r="W2890" s="43" t="n">
        <x:f>--AND(N2890=1,OR(O2890="SUPPORTED",O2890="HALLUCINATION"))</x:f>
        <x:v>0</x:v>
      </x:c>
      <x:c r="X2890" s="43" t="n">
        <x:f>--AND(W2890=1,O2890="HALLUCINATION")</x:f>
        <x:v>0</x:v>
      </x:c>
      <x:c r="Y2890" s="43" t="n">
        <x:f>--AND(Q2890=1,O2890="HALLUCINATION")</x:f>
        <x:v>0</x:v>
      </x:c>
      <x:c r="Z2890" s="43" t="n">
        <x:f>--AND(Y2890=1,R2890=1,S2890=1)</x:f>
        <x:v>0</x:v>
      </x:c>
      <x:c r="AC2890" t="str">
        <x:f>IF(OR(AA2890="",AB2890=""),"",--(AA2890&lt;&gt;AB2890))</x:f>
      </x:c>
      <x:c r="AE2890" t="str">
        <x:f>IF(OR(AA2890="",AB2890=""),"PENDING_HUMAN",IF(AA2890=AB2890,AA2890,IF(AD2890&lt;&gt;"",AD2890,"PENDING_HUMAN")))</x:f>
        <x:v>PENDING_HUMAN</x:v>
      </x:c>
      <x:c r="AF2890" t="n">
        <x:f>--AND(A2890&lt;&gt;"",AA2890&lt;&gt;"",AB2890&lt;&gt;"",OR(AA2890=AB2890,AD2890&lt;&gt;""),IF(AE2890="HALLUCINATION",U2890&lt;&gt;"",TRUE))</x:f>
        <x:v>0</x:v>
      </x:c>
      <x:c r="AG2890" t="n">
        <x:f>--AND(N2890=1,AF2890=1,OR(AE2890="SUPPORTED",AE2890="HALLUCINATION"))</x:f>
        <x:v>0</x:v>
      </x:c>
      <x:c r="AH2890" t="n">
        <x:f>--AND(AG2890=1,AE2890="HALLUCINATION")</x:f>
        <x:v>0</x:v>
      </x:c>
      <x:c r="AI2890" t="n">
        <x:f>--AND(Q2890=1,AF2890=1,AE2890="HALLUCINATION")</x:f>
        <x:v>0</x:v>
      </x:c>
      <x:c r="AJ2890" t="n">
        <x:f>--AND(AI2890=1,R2890=1,S2890=1)</x:f>
        <x:v>0</x:v>
      </x:c>
    </x:row>
    <x:row r="2891">
      <x:c r="A2891" s="28"/>
      <x:c r="B2891" s="28"/>
      <x:c r="C2891" s="28"/>
      <x:c r="D2891" s="28"/>
      <x:c r="E2891" s="28"/>
      <x:c r="F2891" s="28"/>
      <x:c r="G2891" s="28"/>
      <x:c r="H2891" s="28"/>
      <x:c r="I2891" s="28"/>
      <x:c r="J2891" s="28"/>
      <x:c r="K2891" s="28"/>
      <x:c r="L2891" s="28"/>
      <x:c r="M2891" s="28"/>
      <x:c r="N2891" s="28"/>
      <x:c r="O2891" s="28"/>
      <x:c r="P2891" s="28"/>
      <x:c r="Q2891" s="28"/>
      <x:c r="R2891" s="28"/>
      <x:c r="S2891" s="28"/>
      <x:c r="T2891" s="28"/>
      <x:c r="U2891" s="28"/>
      <x:c r="V2891" s="28"/>
      <x:c r="W2891" s="43" t="n">
        <x:f>--AND(N2891=1,OR(O2891="SUPPORTED",O2891="HALLUCINATION"))</x:f>
        <x:v>0</x:v>
      </x:c>
      <x:c r="X2891" s="43" t="n">
        <x:f>--AND(W2891=1,O2891="HALLUCINATION")</x:f>
        <x:v>0</x:v>
      </x:c>
      <x:c r="Y2891" s="43" t="n">
        <x:f>--AND(Q2891=1,O2891="HALLUCINATION")</x:f>
        <x:v>0</x:v>
      </x:c>
      <x:c r="Z2891" s="43" t="n">
        <x:f>--AND(Y2891=1,R2891=1,S2891=1)</x:f>
        <x:v>0</x:v>
      </x:c>
      <x:c r="AC2891" t="str">
        <x:f>IF(OR(AA2891="",AB2891=""),"",--(AA2891&lt;&gt;AB2891))</x:f>
      </x:c>
      <x:c r="AE2891" t="str">
        <x:f>IF(OR(AA2891="",AB2891=""),"PENDING_HUMAN",IF(AA2891=AB2891,AA2891,IF(AD2891&lt;&gt;"",AD2891,"PENDING_HUMAN")))</x:f>
        <x:v>PENDING_HUMAN</x:v>
      </x:c>
      <x:c r="AF2891" t="n">
        <x:f>--AND(A2891&lt;&gt;"",AA2891&lt;&gt;"",AB2891&lt;&gt;"",OR(AA2891=AB2891,AD2891&lt;&gt;""),IF(AE2891="HALLUCINATION",U2891&lt;&gt;"",TRUE))</x:f>
        <x:v>0</x:v>
      </x:c>
      <x:c r="AG2891" t="n">
        <x:f>--AND(N2891=1,AF2891=1,OR(AE2891="SUPPORTED",AE2891="HALLUCINATION"))</x:f>
        <x:v>0</x:v>
      </x:c>
      <x:c r="AH2891" t="n">
        <x:f>--AND(AG2891=1,AE2891="HALLUCINATION")</x:f>
        <x:v>0</x:v>
      </x:c>
      <x:c r="AI2891" t="n">
        <x:f>--AND(Q2891=1,AF2891=1,AE2891="HALLUCINATION")</x:f>
        <x:v>0</x:v>
      </x:c>
      <x:c r="AJ2891" t="n">
        <x:f>--AND(AI2891=1,R2891=1,S2891=1)</x:f>
        <x:v>0</x:v>
      </x:c>
    </x:row>
    <x:row r="2892">
      <x:c r="A2892" s="28"/>
      <x:c r="B2892" s="28"/>
      <x:c r="C2892" s="28"/>
      <x:c r="D2892" s="28"/>
      <x:c r="E2892" s="28"/>
      <x:c r="F2892" s="28"/>
      <x:c r="G2892" s="28"/>
      <x:c r="H2892" s="28"/>
      <x:c r="I2892" s="28"/>
      <x:c r="J2892" s="28"/>
      <x:c r="K2892" s="28"/>
      <x:c r="L2892" s="28"/>
      <x:c r="M2892" s="28"/>
      <x:c r="N2892" s="28"/>
      <x:c r="O2892" s="28"/>
      <x:c r="P2892" s="28"/>
      <x:c r="Q2892" s="28"/>
      <x:c r="R2892" s="28"/>
      <x:c r="S2892" s="28"/>
      <x:c r="T2892" s="28"/>
      <x:c r="U2892" s="28"/>
      <x:c r="V2892" s="28"/>
      <x:c r="W2892" s="43" t="n">
        <x:f>--AND(N2892=1,OR(O2892="SUPPORTED",O2892="HALLUCINATION"))</x:f>
        <x:v>0</x:v>
      </x:c>
      <x:c r="X2892" s="43" t="n">
        <x:f>--AND(W2892=1,O2892="HALLUCINATION")</x:f>
        <x:v>0</x:v>
      </x:c>
      <x:c r="Y2892" s="43" t="n">
        <x:f>--AND(Q2892=1,O2892="HALLUCINATION")</x:f>
        <x:v>0</x:v>
      </x:c>
      <x:c r="Z2892" s="43" t="n">
        <x:f>--AND(Y2892=1,R2892=1,S2892=1)</x:f>
        <x:v>0</x:v>
      </x:c>
      <x:c r="AC2892" t="str">
        <x:f>IF(OR(AA2892="",AB2892=""),"",--(AA2892&lt;&gt;AB2892))</x:f>
      </x:c>
      <x:c r="AE2892" t="str">
        <x:f>IF(OR(AA2892="",AB2892=""),"PENDING_HUMAN",IF(AA2892=AB2892,AA2892,IF(AD2892&lt;&gt;"",AD2892,"PENDING_HUMAN")))</x:f>
        <x:v>PENDING_HUMAN</x:v>
      </x:c>
      <x:c r="AF2892" t="n">
        <x:f>--AND(A2892&lt;&gt;"",AA2892&lt;&gt;"",AB2892&lt;&gt;"",OR(AA2892=AB2892,AD2892&lt;&gt;""),IF(AE2892="HALLUCINATION",U2892&lt;&gt;"",TRUE))</x:f>
        <x:v>0</x:v>
      </x:c>
      <x:c r="AG2892" t="n">
        <x:f>--AND(N2892=1,AF2892=1,OR(AE2892="SUPPORTED",AE2892="HALLUCINATION"))</x:f>
        <x:v>0</x:v>
      </x:c>
      <x:c r="AH2892" t="n">
        <x:f>--AND(AG2892=1,AE2892="HALLUCINATION")</x:f>
        <x:v>0</x:v>
      </x:c>
      <x:c r="AI2892" t="n">
        <x:f>--AND(Q2892=1,AF2892=1,AE2892="HALLUCINATION")</x:f>
        <x:v>0</x:v>
      </x:c>
      <x:c r="AJ2892" t="n">
        <x:f>--AND(AI2892=1,R2892=1,S2892=1)</x:f>
        <x:v>0</x:v>
      </x:c>
    </x:row>
    <x:row r="2893">
      <x:c r="A2893" s="28"/>
      <x:c r="B2893" s="28"/>
      <x:c r="C2893" s="28"/>
      <x:c r="D2893" s="28"/>
      <x:c r="E2893" s="28"/>
      <x:c r="F2893" s="28"/>
      <x:c r="G2893" s="28"/>
      <x:c r="H2893" s="28"/>
      <x:c r="I2893" s="28"/>
      <x:c r="J2893" s="28"/>
      <x:c r="K2893" s="28"/>
      <x:c r="L2893" s="28"/>
      <x:c r="M2893" s="28"/>
      <x:c r="N2893" s="28"/>
      <x:c r="O2893" s="28"/>
      <x:c r="P2893" s="28"/>
      <x:c r="Q2893" s="28"/>
      <x:c r="R2893" s="28"/>
      <x:c r="S2893" s="28"/>
      <x:c r="T2893" s="28"/>
      <x:c r="U2893" s="28"/>
      <x:c r="V2893" s="28"/>
      <x:c r="W2893" s="43" t="n">
        <x:f>--AND(N2893=1,OR(O2893="SUPPORTED",O2893="HALLUCINATION"))</x:f>
        <x:v>0</x:v>
      </x:c>
      <x:c r="X2893" s="43" t="n">
        <x:f>--AND(W2893=1,O2893="HALLUCINATION")</x:f>
        <x:v>0</x:v>
      </x:c>
      <x:c r="Y2893" s="43" t="n">
        <x:f>--AND(Q2893=1,O2893="HALLUCINATION")</x:f>
        <x:v>0</x:v>
      </x:c>
      <x:c r="Z2893" s="43" t="n">
        <x:f>--AND(Y2893=1,R2893=1,S2893=1)</x:f>
        <x:v>0</x:v>
      </x:c>
      <x:c r="AC2893" t="str">
        <x:f>IF(OR(AA2893="",AB2893=""),"",--(AA2893&lt;&gt;AB2893))</x:f>
      </x:c>
      <x:c r="AE2893" t="str">
        <x:f>IF(OR(AA2893="",AB2893=""),"PENDING_HUMAN",IF(AA2893=AB2893,AA2893,IF(AD2893&lt;&gt;"",AD2893,"PENDING_HUMAN")))</x:f>
        <x:v>PENDING_HUMAN</x:v>
      </x:c>
      <x:c r="AF2893" t="n">
        <x:f>--AND(A2893&lt;&gt;"",AA2893&lt;&gt;"",AB2893&lt;&gt;"",OR(AA2893=AB2893,AD2893&lt;&gt;""),IF(AE2893="HALLUCINATION",U2893&lt;&gt;"",TRUE))</x:f>
        <x:v>0</x:v>
      </x:c>
      <x:c r="AG2893" t="n">
        <x:f>--AND(N2893=1,AF2893=1,OR(AE2893="SUPPORTED",AE2893="HALLUCINATION"))</x:f>
        <x:v>0</x:v>
      </x:c>
      <x:c r="AH2893" t="n">
        <x:f>--AND(AG2893=1,AE2893="HALLUCINATION")</x:f>
        <x:v>0</x:v>
      </x:c>
      <x:c r="AI2893" t="n">
        <x:f>--AND(Q2893=1,AF2893=1,AE2893="HALLUCINATION")</x:f>
        <x:v>0</x:v>
      </x:c>
      <x:c r="AJ2893" t="n">
        <x:f>--AND(AI2893=1,R2893=1,S2893=1)</x:f>
        <x:v>0</x:v>
      </x:c>
    </x:row>
    <x:row r="2894">
      <x:c r="A2894" s="28"/>
      <x:c r="B2894" s="28"/>
      <x:c r="C2894" s="28"/>
      <x:c r="D2894" s="28"/>
      <x:c r="E2894" s="28"/>
      <x:c r="F2894" s="28"/>
      <x:c r="G2894" s="28"/>
      <x:c r="H2894" s="28"/>
      <x:c r="I2894" s="28"/>
      <x:c r="J2894" s="28"/>
      <x:c r="K2894" s="28"/>
      <x:c r="L2894" s="28"/>
      <x:c r="M2894" s="28"/>
      <x:c r="N2894" s="28"/>
      <x:c r="O2894" s="28"/>
      <x:c r="P2894" s="28"/>
      <x:c r="Q2894" s="28"/>
      <x:c r="R2894" s="28"/>
      <x:c r="S2894" s="28"/>
      <x:c r="T2894" s="28"/>
      <x:c r="U2894" s="28"/>
      <x:c r="V2894" s="28"/>
      <x:c r="W2894" s="43" t="n">
        <x:f>--AND(N2894=1,OR(O2894="SUPPORTED",O2894="HALLUCINATION"))</x:f>
        <x:v>0</x:v>
      </x:c>
      <x:c r="X2894" s="43" t="n">
        <x:f>--AND(W2894=1,O2894="HALLUCINATION")</x:f>
        <x:v>0</x:v>
      </x:c>
      <x:c r="Y2894" s="43" t="n">
        <x:f>--AND(Q2894=1,O2894="HALLUCINATION")</x:f>
        <x:v>0</x:v>
      </x:c>
      <x:c r="Z2894" s="43" t="n">
        <x:f>--AND(Y2894=1,R2894=1,S2894=1)</x:f>
        <x:v>0</x:v>
      </x:c>
      <x:c r="AC2894" t="str">
        <x:f>IF(OR(AA2894="",AB2894=""),"",--(AA2894&lt;&gt;AB2894))</x:f>
      </x:c>
      <x:c r="AE2894" t="str">
        <x:f>IF(OR(AA2894="",AB2894=""),"PENDING_HUMAN",IF(AA2894=AB2894,AA2894,IF(AD2894&lt;&gt;"",AD2894,"PENDING_HUMAN")))</x:f>
        <x:v>PENDING_HUMAN</x:v>
      </x:c>
      <x:c r="AF2894" t="n">
        <x:f>--AND(A2894&lt;&gt;"",AA2894&lt;&gt;"",AB2894&lt;&gt;"",OR(AA2894=AB2894,AD2894&lt;&gt;""),IF(AE2894="HALLUCINATION",U2894&lt;&gt;"",TRUE))</x:f>
        <x:v>0</x:v>
      </x:c>
      <x:c r="AG2894" t="n">
        <x:f>--AND(N2894=1,AF2894=1,OR(AE2894="SUPPORTED",AE2894="HALLUCINATION"))</x:f>
        <x:v>0</x:v>
      </x:c>
      <x:c r="AH2894" t="n">
        <x:f>--AND(AG2894=1,AE2894="HALLUCINATION")</x:f>
        <x:v>0</x:v>
      </x:c>
      <x:c r="AI2894" t="n">
        <x:f>--AND(Q2894=1,AF2894=1,AE2894="HALLUCINATION")</x:f>
        <x:v>0</x:v>
      </x:c>
      <x:c r="AJ2894" t="n">
        <x:f>--AND(AI2894=1,R2894=1,S2894=1)</x:f>
        <x:v>0</x:v>
      </x:c>
    </x:row>
    <x:row r="2895">
      <x:c r="A2895" s="28"/>
      <x:c r="B2895" s="28"/>
      <x:c r="C2895" s="28"/>
      <x:c r="D2895" s="28"/>
      <x:c r="E2895" s="28"/>
      <x:c r="F2895" s="28"/>
      <x:c r="G2895" s="28"/>
      <x:c r="H2895" s="28"/>
      <x:c r="I2895" s="28"/>
      <x:c r="J2895" s="28"/>
      <x:c r="K2895" s="28"/>
      <x:c r="L2895" s="28"/>
      <x:c r="M2895" s="28"/>
      <x:c r="N2895" s="28"/>
      <x:c r="O2895" s="28"/>
      <x:c r="P2895" s="28"/>
      <x:c r="Q2895" s="28"/>
      <x:c r="R2895" s="28"/>
      <x:c r="S2895" s="28"/>
      <x:c r="T2895" s="28"/>
      <x:c r="U2895" s="28"/>
      <x:c r="V2895" s="28"/>
      <x:c r="W2895" s="43" t="n">
        <x:f>--AND(N2895=1,OR(O2895="SUPPORTED",O2895="HALLUCINATION"))</x:f>
        <x:v>0</x:v>
      </x:c>
      <x:c r="X2895" s="43" t="n">
        <x:f>--AND(W2895=1,O2895="HALLUCINATION")</x:f>
        <x:v>0</x:v>
      </x:c>
      <x:c r="Y2895" s="43" t="n">
        <x:f>--AND(Q2895=1,O2895="HALLUCINATION")</x:f>
        <x:v>0</x:v>
      </x:c>
      <x:c r="Z2895" s="43" t="n">
        <x:f>--AND(Y2895=1,R2895=1,S2895=1)</x:f>
        <x:v>0</x:v>
      </x:c>
      <x:c r="AC2895" t="str">
        <x:f>IF(OR(AA2895="",AB2895=""),"",--(AA2895&lt;&gt;AB2895))</x:f>
      </x:c>
      <x:c r="AE2895" t="str">
        <x:f>IF(OR(AA2895="",AB2895=""),"PENDING_HUMAN",IF(AA2895=AB2895,AA2895,IF(AD2895&lt;&gt;"",AD2895,"PENDING_HUMAN")))</x:f>
        <x:v>PENDING_HUMAN</x:v>
      </x:c>
      <x:c r="AF2895" t="n">
        <x:f>--AND(A2895&lt;&gt;"",AA2895&lt;&gt;"",AB2895&lt;&gt;"",OR(AA2895=AB2895,AD2895&lt;&gt;""),IF(AE2895="HALLUCINATION",U2895&lt;&gt;"",TRUE))</x:f>
        <x:v>0</x:v>
      </x:c>
      <x:c r="AG2895" t="n">
        <x:f>--AND(N2895=1,AF2895=1,OR(AE2895="SUPPORTED",AE2895="HALLUCINATION"))</x:f>
        <x:v>0</x:v>
      </x:c>
      <x:c r="AH2895" t="n">
        <x:f>--AND(AG2895=1,AE2895="HALLUCINATION")</x:f>
        <x:v>0</x:v>
      </x:c>
      <x:c r="AI2895" t="n">
        <x:f>--AND(Q2895=1,AF2895=1,AE2895="HALLUCINATION")</x:f>
        <x:v>0</x:v>
      </x:c>
      <x:c r="AJ2895" t="n">
        <x:f>--AND(AI2895=1,R2895=1,S2895=1)</x:f>
        <x:v>0</x:v>
      </x:c>
    </x:row>
    <x:row r="2896">
      <x:c r="A2896" s="28"/>
      <x:c r="B2896" s="28"/>
      <x:c r="C2896" s="28"/>
      <x:c r="D2896" s="28"/>
      <x:c r="E2896" s="28"/>
      <x:c r="F2896" s="28"/>
      <x:c r="G2896" s="28"/>
      <x:c r="H2896" s="28"/>
      <x:c r="I2896" s="28"/>
      <x:c r="J2896" s="28"/>
      <x:c r="K2896" s="28"/>
      <x:c r="L2896" s="28"/>
      <x:c r="M2896" s="28"/>
      <x:c r="N2896" s="28"/>
      <x:c r="O2896" s="28"/>
      <x:c r="P2896" s="28"/>
      <x:c r="Q2896" s="28"/>
      <x:c r="R2896" s="28"/>
      <x:c r="S2896" s="28"/>
      <x:c r="T2896" s="28"/>
      <x:c r="U2896" s="28"/>
      <x:c r="V2896" s="28"/>
      <x:c r="W2896" s="43" t="n">
        <x:f>--AND(N2896=1,OR(O2896="SUPPORTED",O2896="HALLUCINATION"))</x:f>
        <x:v>0</x:v>
      </x:c>
      <x:c r="X2896" s="43" t="n">
        <x:f>--AND(W2896=1,O2896="HALLUCINATION")</x:f>
        <x:v>0</x:v>
      </x:c>
      <x:c r="Y2896" s="43" t="n">
        <x:f>--AND(Q2896=1,O2896="HALLUCINATION")</x:f>
        <x:v>0</x:v>
      </x:c>
      <x:c r="Z2896" s="43" t="n">
        <x:f>--AND(Y2896=1,R2896=1,S2896=1)</x:f>
        <x:v>0</x:v>
      </x:c>
      <x:c r="AC2896" t="str">
        <x:f>IF(OR(AA2896="",AB2896=""),"",--(AA2896&lt;&gt;AB2896))</x:f>
      </x:c>
      <x:c r="AE2896" t="str">
        <x:f>IF(OR(AA2896="",AB2896=""),"PENDING_HUMAN",IF(AA2896=AB2896,AA2896,IF(AD2896&lt;&gt;"",AD2896,"PENDING_HUMAN")))</x:f>
        <x:v>PENDING_HUMAN</x:v>
      </x:c>
      <x:c r="AF2896" t="n">
        <x:f>--AND(A2896&lt;&gt;"",AA2896&lt;&gt;"",AB2896&lt;&gt;"",OR(AA2896=AB2896,AD2896&lt;&gt;""),IF(AE2896="HALLUCINATION",U2896&lt;&gt;"",TRUE))</x:f>
        <x:v>0</x:v>
      </x:c>
      <x:c r="AG2896" t="n">
        <x:f>--AND(N2896=1,AF2896=1,OR(AE2896="SUPPORTED",AE2896="HALLUCINATION"))</x:f>
        <x:v>0</x:v>
      </x:c>
      <x:c r="AH2896" t="n">
        <x:f>--AND(AG2896=1,AE2896="HALLUCINATION")</x:f>
        <x:v>0</x:v>
      </x:c>
      <x:c r="AI2896" t="n">
        <x:f>--AND(Q2896=1,AF2896=1,AE2896="HALLUCINATION")</x:f>
        <x:v>0</x:v>
      </x:c>
      <x:c r="AJ2896" t="n">
        <x:f>--AND(AI2896=1,R2896=1,S2896=1)</x:f>
        <x:v>0</x:v>
      </x:c>
    </x:row>
    <x:row r="2897">
      <x:c r="A2897" s="28"/>
      <x:c r="B2897" s="28"/>
      <x:c r="C2897" s="28"/>
      <x:c r="D2897" s="28"/>
      <x:c r="E2897" s="28"/>
      <x:c r="F2897" s="28"/>
      <x:c r="G2897" s="28"/>
      <x:c r="H2897" s="28"/>
      <x:c r="I2897" s="28"/>
      <x:c r="J2897" s="28"/>
      <x:c r="K2897" s="28"/>
      <x:c r="L2897" s="28"/>
      <x:c r="M2897" s="28"/>
      <x:c r="N2897" s="28"/>
      <x:c r="O2897" s="28"/>
      <x:c r="P2897" s="28"/>
      <x:c r="Q2897" s="28"/>
      <x:c r="R2897" s="28"/>
      <x:c r="S2897" s="28"/>
      <x:c r="T2897" s="28"/>
      <x:c r="U2897" s="28"/>
      <x:c r="V2897" s="28"/>
      <x:c r="W2897" s="43" t="n">
        <x:f>--AND(N2897=1,OR(O2897="SUPPORTED",O2897="HALLUCINATION"))</x:f>
        <x:v>0</x:v>
      </x:c>
      <x:c r="X2897" s="43" t="n">
        <x:f>--AND(W2897=1,O2897="HALLUCINATION")</x:f>
        <x:v>0</x:v>
      </x:c>
      <x:c r="Y2897" s="43" t="n">
        <x:f>--AND(Q2897=1,O2897="HALLUCINATION")</x:f>
        <x:v>0</x:v>
      </x:c>
      <x:c r="Z2897" s="43" t="n">
        <x:f>--AND(Y2897=1,R2897=1,S2897=1)</x:f>
        <x:v>0</x:v>
      </x:c>
      <x:c r="AC2897" t="str">
        <x:f>IF(OR(AA2897="",AB2897=""),"",--(AA2897&lt;&gt;AB2897))</x:f>
      </x:c>
      <x:c r="AE2897" t="str">
        <x:f>IF(OR(AA2897="",AB2897=""),"PENDING_HUMAN",IF(AA2897=AB2897,AA2897,IF(AD2897&lt;&gt;"",AD2897,"PENDING_HUMAN")))</x:f>
        <x:v>PENDING_HUMAN</x:v>
      </x:c>
      <x:c r="AF2897" t="n">
        <x:f>--AND(A2897&lt;&gt;"",AA2897&lt;&gt;"",AB2897&lt;&gt;"",OR(AA2897=AB2897,AD2897&lt;&gt;""),IF(AE2897="HALLUCINATION",U2897&lt;&gt;"",TRUE))</x:f>
        <x:v>0</x:v>
      </x:c>
      <x:c r="AG2897" t="n">
        <x:f>--AND(N2897=1,AF2897=1,OR(AE2897="SUPPORTED",AE2897="HALLUCINATION"))</x:f>
        <x:v>0</x:v>
      </x:c>
      <x:c r="AH2897" t="n">
        <x:f>--AND(AG2897=1,AE2897="HALLUCINATION")</x:f>
        <x:v>0</x:v>
      </x:c>
      <x:c r="AI2897" t="n">
        <x:f>--AND(Q2897=1,AF2897=1,AE2897="HALLUCINATION")</x:f>
        <x:v>0</x:v>
      </x:c>
      <x:c r="AJ2897" t="n">
        <x:f>--AND(AI2897=1,R2897=1,S2897=1)</x:f>
        <x:v>0</x:v>
      </x:c>
    </x:row>
    <x:row r="2898">
      <x:c r="A2898" s="28"/>
      <x:c r="B2898" s="28"/>
      <x:c r="C2898" s="28"/>
      <x:c r="D2898" s="28"/>
      <x:c r="E2898" s="28"/>
      <x:c r="F2898" s="28"/>
      <x:c r="G2898" s="28"/>
      <x:c r="H2898" s="28"/>
      <x:c r="I2898" s="28"/>
      <x:c r="J2898" s="28"/>
      <x:c r="K2898" s="28"/>
      <x:c r="L2898" s="28"/>
      <x:c r="M2898" s="28"/>
      <x:c r="N2898" s="28"/>
      <x:c r="O2898" s="28"/>
      <x:c r="P2898" s="28"/>
      <x:c r="Q2898" s="28"/>
      <x:c r="R2898" s="28"/>
      <x:c r="S2898" s="28"/>
      <x:c r="T2898" s="28"/>
      <x:c r="U2898" s="28"/>
      <x:c r="V2898" s="28"/>
      <x:c r="W2898" s="43" t="n">
        <x:f>--AND(N2898=1,OR(O2898="SUPPORTED",O2898="HALLUCINATION"))</x:f>
        <x:v>0</x:v>
      </x:c>
      <x:c r="X2898" s="43" t="n">
        <x:f>--AND(W2898=1,O2898="HALLUCINATION")</x:f>
        <x:v>0</x:v>
      </x:c>
      <x:c r="Y2898" s="43" t="n">
        <x:f>--AND(Q2898=1,O2898="HALLUCINATION")</x:f>
        <x:v>0</x:v>
      </x:c>
      <x:c r="Z2898" s="43" t="n">
        <x:f>--AND(Y2898=1,R2898=1,S2898=1)</x:f>
        <x:v>0</x:v>
      </x:c>
      <x:c r="AC2898" t="str">
        <x:f>IF(OR(AA2898="",AB2898=""),"",--(AA2898&lt;&gt;AB2898))</x:f>
      </x:c>
      <x:c r="AE2898" t="str">
        <x:f>IF(OR(AA2898="",AB2898=""),"PENDING_HUMAN",IF(AA2898=AB2898,AA2898,IF(AD2898&lt;&gt;"",AD2898,"PENDING_HUMAN")))</x:f>
        <x:v>PENDING_HUMAN</x:v>
      </x:c>
      <x:c r="AF2898" t="n">
        <x:f>--AND(A2898&lt;&gt;"",AA2898&lt;&gt;"",AB2898&lt;&gt;"",OR(AA2898=AB2898,AD2898&lt;&gt;""),IF(AE2898="HALLUCINATION",U2898&lt;&gt;"",TRUE))</x:f>
        <x:v>0</x:v>
      </x:c>
      <x:c r="AG2898" t="n">
        <x:f>--AND(N2898=1,AF2898=1,OR(AE2898="SUPPORTED",AE2898="HALLUCINATION"))</x:f>
        <x:v>0</x:v>
      </x:c>
      <x:c r="AH2898" t="n">
        <x:f>--AND(AG2898=1,AE2898="HALLUCINATION")</x:f>
        <x:v>0</x:v>
      </x:c>
      <x:c r="AI2898" t="n">
        <x:f>--AND(Q2898=1,AF2898=1,AE2898="HALLUCINATION")</x:f>
        <x:v>0</x:v>
      </x:c>
      <x:c r="AJ2898" t="n">
        <x:f>--AND(AI2898=1,R2898=1,S2898=1)</x:f>
        <x:v>0</x:v>
      </x:c>
    </x:row>
    <x:row r="2899">
      <x:c r="A2899" s="28"/>
      <x:c r="B2899" s="28"/>
      <x:c r="C2899" s="28"/>
      <x:c r="D2899" s="28"/>
      <x:c r="E2899" s="28"/>
      <x:c r="F2899" s="28"/>
      <x:c r="G2899" s="28"/>
      <x:c r="H2899" s="28"/>
      <x:c r="I2899" s="28"/>
      <x:c r="J2899" s="28"/>
      <x:c r="K2899" s="28"/>
      <x:c r="L2899" s="28"/>
      <x:c r="M2899" s="28"/>
      <x:c r="N2899" s="28"/>
      <x:c r="O2899" s="28"/>
      <x:c r="P2899" s="28"/>
      <x:c r="Q2899" s="28"/>
      <x:c r="R2899" s="28"/>
      <x:c r="S2899" s="28"/>
      <x:c r="T2899" s="28"/>
      <x:c r="U2899" s="28"/>
      <x:c r="V2899" s="28"/>
      <x:c r="W2899" s="43" t="n">
        <x:f>--AND(N2899=1,OR(O2899="SUPPORTED",O2899="HALLUCINATION"))</x:f>
        <x:v>0</x:v>
      </x:c>
      <x:c r="X2899" s="43" t="n">
        <x:f>--AND(W2899=1,O2899="HALLUCINATION")</x:f>
        <x:v>0</x:v>
      </x:c>
      <x:c r="Y2899" s="43" t="n">
        <x:f>--AND(Q2899=1,O2899="HALLUCINATION")</x:f>
        <x:v>0</x:v>
      </x:c>
      <x:c r="Z2899" s="43" t="n">
        <x:f>--AND(Y2899=1,R2899=1,S2899=1)</x:f>
        <x:v>0</x:v>
      </x:c>
      <x:c r="AC2899" t="str">
        <x:f>IF(OR(AA2899="",AB2899=""),"",--(AA2899&lt;&gt;AB2899))</x:f>
      </x:c>
      <x:c r="AE2899" t="str">
        <x:f>IF(OR(AA2899="",AB2899=""),"PENDING_HUMAN",IF(AA2899=AB2899,AA2899,IF(AD2899&lt;&gt;"",AD2899,"PENDING_HUMAN")))</x:f>
        <x:v>PENDING_HUMAN</x:v>
      </x:c>
      <x:c r="AF2899" t="n">
        <x:f>--AND(A2899&lt;&gt;"",AA2899&lt;&gt;"",AB2899&lt;&gt;"",OR(AA2899=AB2899,AD2899&lt;&gt;""),IF(AE2899="HALLUCINATION",U2899&lt;&gt;"",TRUE))</x:f>
        <x:v>0</x:v>
      </x:c>
      <x:c r="AG2899" t="n">
        <x:f>--AND(N2899=1,AF2899=1,OR(AE2899="SUPPORTED",AE2899="HALLUCINATION"))</x:f>
        <x:v>0</x:v>
      </x:c>
      <x:c r="AH2899" t="n">
        <x:f>--AND(AG2899=1,AE2899="HALLUCINATION")</x:f>
        <x:v>0</x:v>
      </x:c>
      <x:c r="AI2899" t="n">
        <x:f>--AND(Q2899=1,AF2899=1,AE2899="HALLUCINATION")</x:f>
        <x:v>0</x:v>
      </x:c>
      <x:c r="AJ2899" t="n">
        <x:f>--AND(AI2899=1,R2899=1,S2899=1)</x:f>
        <x:v>0</x:v>
      </x:c>
    </x:row>
    <x:row r="2900">
      <x:c r="A2900" s="28"/>
      <x:c r="B2900" s="28"/>
      <x:c r="C2900" s="28"/>
      <x:c r="D2900" s="28"/>
      <x:c r="E2900" s="28"/>
      <x:c r="F2900" s="28"/>
      <x:c r="G2900" s="28"/>
      <x:c r="H2900" s="28"/>
      <x:c r="I2900" s="28"/>
      <x:c r="J2900" s="28"/>
      <x:c r="K2900" s="28"/>
      <x:c r="L2900" s="28"/>
      <x:c r="M2900" s="28"/>
      <x:c r="N2900" s="28"/>
      <x:c r="O2900" s="28"/>
      <x:c r="P2900" s="28"/>
      <x:c r="Q2900" s="28"/>
      <x:c r="R2900" s="28"/>
      <x:c r="S2900" s="28"/>
      <x:c r="T2900" s="28"/>
      <x:c r="U2900" s="28"/>
      <x:c r="V2900" s="28"/>
      <x:c r="W2900" s="43" t="n">
        <x:f>--AND(N2900=1,OR(O2900="SUPPORTED",O2900="HALLUCINATION"))</x:f>
        <x:v>0</x:v>
      </x:c>
      <x:c r="X2900" s="43" t="n">
        <x:f>--AND(W2900=1,O2900="HALLUCINATION")</x:f>
        <x:v>0</x:v>
      </x:c>
      <x:c r="Y2900" s="43" t="n">
        <x:f>--AND(Q2900=1,O2900="HALLUCINATION")</x:f>
        <x:v>0</x:v>
      </x:c>
      <x:c r="Z2900" s="43" t="n">
        <x:f>--AND(Y2900=1,R2900=1,S2900=1)</x:f>
        <x:v>0</x:v>
      </x:c>
      <x:c r="AC2900" t="str">
        <x:f>IF(OR(AA2900="",AB2900=""),"",--(AA2900&lt;&gt;AB2900))</x:f>
      </x:c>
      <x:c r="AE2900" t="str">
        <x:f>IF(OR(AA2900="",AB2900=""),"PENDING_HUMAN",IF(AA2900=AB2900,AA2900,IF(AD2900&lt;&gt;"",AD2900,"PENDING_HUMAN")))</x:f>
        <x:v>PENDING_HUMAN</x:v>
      </x:c>
      <x:c r="AF2900" t="n">
        <x:f>--AND(A2900&lt;&gt;"",AA2900&lt;&gt;"",AB2900&lt;&gt;"",OR(AA2900=AB2900,AD2900&lt;&gt;""),IF(AE2900="HALLUCINATION",U2900&lt;&gt;"",TRUE))</x:f>
        <x:v>0</x:v>
      </x:c>
      <x:c r="AG2900" t="n">
        <x:f>--AND(N2900=1,AF2900=1,OR(AE2900="SUPPORTED",AE2900="HALLUCINATION"))</x:f>
        <x:v>0</x:v>
      </x:c>
      <x:c r="AH2900" t="n">
        <x:f>--AND(AG2900=1,AE2900="HALLUCINATION")</x:f>
        <x:v>0</x:v>
      </x:c>
      <x:c r="AI2900" t="n">
        <x:f>--AND(Q2900=1,AF2900=1,AE2900="HALLUCINATION")</x:f>
        <x:v>0</x:v>
      </x:c>
      <x:c r="AJ2900" t="n">
        <x:f>--AND(AI2900=1,R2900=1,S2900=1)</x:f>
        <x:v>0</x:v>
      </x:c>
    </x:row>
    <x:row r="2901">
      <x:c r="A2901" s="28"/>
      <x:c r="B2901" s="28"/>
      <x:c r="C2901" s="28"/>
      <x:c r="D2901" s="28"/>
      <x:c r="E2901" s="28"/>
      <x:c r="F2901" s="28"/>
      <x:c r="G2901" s="28"/>
      <x:c r="H2901" s="28"/>
      <x:c r="I2901" s="28"/>
      <x:c r="J2901" s="28"/>
      <x:c r="K2901" s="28"/>
      <x:c r="L2901" s="28"/>
      <x:c r="M2901" s="28"/>
      <x:c r="N2901" s="28"/>
      <x:c r="O2901" s="28"/>
      <x:c r="P2901" s="28"/>
      <x:c r="Q2901" s="28"/>
      <x:c r="R2901" s="28"/>
      <x:c r="S2901" s="28"/>
      <x:c r="T2901" s="28"/>
      <x:c r="U2901" s="28"/>
      <x:c r="V2901" s="28"/>
      <x:c r="W2901" s="43" t="n">
        <x:f>--AND(N2901=1,OR(O2901="SUPPORTED",O2901="HALLUCINATION"))</x:f>
        <x:v>0</x:v>
      </x:c>
      <x:c r="X2901" s="43" t="n">
        <x:f>--AND(W2901=1,O2901="HALLUCINATION")</x:f>
        <x:v>0</x:v>
      </x:c>
      <x:c r="Y2901" s="43" t="n">
        <x:f>--AND(Q2901=1,O2901="HALLUCINATION")</x:f>
        <x:v>0</x:v>
      </x:c>
      <x:c r="Z2901" s="43" t="n">
        <x:f>--AND(Y2901=1,R2901=1,S2901=1)</x:f>
        <x:v>0</x:v>
      </x:c>
      <x:c r="AC2901" t="str">
        <x:f>IF(OR(AA2901="",AB2901=""),"",--(AA2901&lt;&gt;AB2901))</x:f>
      </x:c>
      <x:c r="AE2901" t="str">
        <x:f>IF(OR(AA2901="",AB2901=""),"PENDING_HUMAN",IF(AA2901=AB2901,AA2901,IF(AD2901&lt;&gt;"",AD2901,"PENDING_HUMAN")))</x:f>
        <x:v>PENDING_HUMAN</x:v>
      </x:c>
      <x:c r="AF2901" t="n">
        <x:f>--AND(A2901&lt;&gt;"",AA2901&lt;&gt;"",AB2901&lt;&gt;"",OR(AA2901=AB2901,AD2901&lt;&gt;""),IF(AE2901="HALLUCINATION",U2901&lt;&gt;"",TRUE))</x:f>
        <x:v>0</x:v>
      </x:c>
      <x:c r="AG2901" t="n">
        <x:f>--AND(N2901=1,AF2901=1,OR(AE2901="SUPPORTED",AE2901="HALLUCINATION"))</x:f>
        <x:v>0</x:v>
      </x:c>
      <x:c r="AH2901" t="n">
        <x:f>--AND(AG2901=1,AE2901="HALLUCINATION")</x:f>
        <x:v>0</x:v>
      </x:c>
      <x:c r="AI2901" t="n">
        <x:f>--AND(Q2901=1,AF2901=1,AE2901="HALLUCINATION")</x:f>
        <x:v>0</x:v>
      </x:c>
      <x:c r="AJ2901" t="n">
        <x:f>--AND(AI2901=1,R2901=1,S2901=1)</x:f>
        <x:v>0</x:v>
      </x:c>
    </x:row>
    <x:row r="2902">
      <x:c r="A2902" s="28"/>
      <x:c r="B2902" s="28"/>
      <x:c r="C2902" s="28"/>
      <x:c r="D2902" s="28"/>
      <x:c r="E2902" s="28"/>
      <x:c r="F2902" s="28"/>
      <x:c r="G2902" s="28"/>
      <x:c r="H2902" s="28"/>
      <x:c r="I2902" s="28"/>
      <x:c r="J2902" s="28"/>
      <x:c r="K2902" s="28"/>
      <x:c r="L2902" s="28"/>
      <x:c r="M2902" s="28"/>
      <x:c r="N2902" s="28"/>
      <x:c r="O2902" s="28"/>
      <x:c r="P2902" s="28"/>
      <x:c r="Q2902" s="28"/>
      <x:c r="R2902" s="28"/>
      <x:c r="S2902" s="28"/>
      <x:c r="T2902" s="28"/>
      <x:c r="U2902" s="28"/>
      <x:c r="V2902" s="28"/>
      <x:c r="W2902" s="43" t="n">
        <x:f>--AND(N2902=1,OR(O2902="SUPPORTED",O2902="HALLUCINATION"))</x:f>
        <x:v>0</x:v>
      </x:c>
      <x:c r="X2902" s="43" t="n">
        <x:f>--AND(W2902=1,O2902="HALLUCINATION")</x:f>
        <x:v>0</x:v>
      </x:c>
      <x:c r="Y2902" s="43" t="n">
        <x:f>--AND(Q2902=1,O2902="HALLUCINATION")</x:f>
        <x:v>0</x:v>
      </x:c>
      <x:c r="Z2902" s="43" t="n">
        <x:f>--AND(Y2902=1,R2902=1,S2902=1)</x:f>
        <x:v>0</x:v>
      </x:c>
      <x:c r="AC2902" t="str">
        <x:f>IF(OR(AA2902="",AB2902=""),"",--(AA2902&lt;&gt;AB2902))</x:f>
      </x:c>
      <x:c r="AE2902" t="str">
        <x:f>IF(OR(AA2902="",AB2902=""),"PENDING_HUMAN",IF(AA2902=AB2902,AA2902,IF(AD2902&lt;&gt;"",AD2902,"PENDING_HUMAN")))</x:f>
        <x:v>PENDING_HUMAN</x:v>
      </x:c>
      <x:c r="AF2902" t="n">
        <x:f>--AND(A2902&lt;&gt;"",AA2902&lt;&gt;"",AB2902&lt;&gt;"",OR(AA2902=AB2902,AD2902&lt;&gt;""),IF(AE2902="HALLUCINATION",U2902&lt;&gt;"",TRUE))</x:f>
        <x:v>0</x:v>
      </x:c>
      <x:c r="AG2902" t="n">
        <x:f>--AND(N2902=1,AF2902=1,OR(AE2902="SUPPORTED",AE2902="HALLUCINATION"))</x:f>
        <x:v>0</x:v>
      </x:c>
      <x:c r="AH2902" t="n">
        <x:f>--AND(AG2902=1,AE2902="HALLUCINATION")</x:f>
        <x:v>0</x:v>
      </x:c>
      <x:c r="AI2902" t="n">
        <x:f>--AND(Q2902=1,AF2902=1,AE2902="HALLUCINATION")</x:f>
        <x:v>0</x:v>
      </x:c>
      <x:c r="AJ2902" t="n">
        <x:f>--AND(AI2902=1,R2902=1,S2902=1)</x:f>
        <x:v>0</x:v>
      </x:c>
    </x:row>
    <x:row r="2903">
      <x:c r="A2903" s="28"/>
      <x:c r="B2903" s="28"/>
      <x:c r="C2903" s="28"/>
      <x:c r="D2903" s="28"/>
      <x:c r="E2903" s="28"/>
      <x:c r="F2903" s="28"/>
      <x:c r="G2903" s="28"/>
      <x:c r="H2903" s="28"/>
      <x:c r="I2903" s="28"/>
      <x:c r="J2903" s="28"/>
      <x:c r="K2903" s="28"/>
      <x:c r="L2903" s="28"/>
      <x:c r="M2903" s="28"/>
      <x:c r="N2903" s="28"/>
      <x:c r="O2903" s="28"/>
      <x:c r="P2903" s="28"/>
      <x:c r="Q2903" s="28"/>
      <x:c r="R2903" s="28"/>
      <x:c r="S2903" s="28"/>
      <x:c r="T2903" s="28"/>
      <x:c r="U2903" s="28"/>
      <x:c r="V2903" s="28"/>
      <x:c r="W2903" s="43" t="n">
        <x:f>--AND(N2903=1,OR(O2903="SUPPORTED",O2903="HALLUCINATION"))</x:f>
        <x:v>0</x:v>
      </x:c>
      <x:c r="X2903" s="43" t="n">
        <x:f>--AND(W2903=1,O2903="HALLUCINATION")</x:f>
        <x:v>0</x:v>
      </x:c>
      <x:c r="Y2903" s="43" t="n">
        <x:f>--AND(Q2903=1,O2903="HALLUCINATION")</x:f>
        <x:v>0</x:v>
      </x:c>
      <x:c r="Z2903" s="43" t="n">
        <x:f>--AND(Y2903=1,R2903=1,S2903=1)</x:f>
        <x:v>0</x:v>
      </x:c>
      <x:c r="AC2903" t="str">
        <x:f>IF(OR(AA2903="",AB2903=""),"",--(AA2903&lt;&gt;AB2903))</x:f>
      </x:c>
      <x:c r="AE2903" t="str">
        <x:f>IF(OR(AA2903="",AB2903=""),"PENDING_HUMAN",IF(AA2903=AB2903,AA2903,IF(AD2903&lt;&gt;"",AD2903,"PENDING_HUMAN")))</x:f>
        <x:v>PENDING_HUMAN</x:v>
      </x:c>
      <x:c r="AF2903" t="n">
        <x:f>--AND(A2903&lt;&gt;"",AA2903&lt;&gt;"",AB2903&lt;&gt;"",OR(AA2903=AB2903,AD2903&lt;&gt;""),IF(AE2903="HALLUCINATION",U2903&lt;&gt;"",TRUE))</x:f>
        <x:v>0</x:v>
      </x:c>
      <x:c r="AG2903" t="n">
        <x:f>--AND(N2903=1,AF2903=1,OR(AE2903="SUPPORTED",AE2903="HALLUCINATION"))</x:f>
        <x:v>0</x:v>
      </x:c>
      <x:c r="AH2903" t="n">
        <x:f>--AND(AG2903=1,AE2903="HALLUCINATION")</x:f>
        <x:v>0</x:v>
      </x:c>
      <x:c r="AI2903" t="n">
        <x:f>--AND(Q2903=1,AF2903=1,AE2903="HALLUCINATION")</x:f>
        <x:v>0</x:v>
      </x:c>
      <x:c r="AJ2903" t="n">
        <x:f>--AND(AI2903=1,R2903=1,S2903=1)</x:f>
        <x:v>0</x:v>
      </x:c>
    </x:row>
    <x:row r="2904">
      <x:c r="A2904" s="28"/>
      <x:c r="B2904" s="28"/>
      <x:c r="C2904" s="28"/>
      <x:c r="D2904" s="28"/>
      <x:c r="E2904" s="28"/>
      <x:c r="F2904" s="28"/>
      <x:c r="G2904" s="28"/>
      <x:c r="H2904" s="28"/>
      <x:c r="I2904" s="28"/>
      <x:c r="J2904" s="28"/>
      <x:c r="K2904" s="28"/>
      <x:c r="L2904" s="28"/>
      <x:c r="M2904" s="28"/>
      <x:c r="N2904" s="28"/>
      <x:c r="O2904" s="28"/>
      <x:c r="P2904" s="28"/>
      <x:c r="Q2904" s="28"/>
      <x:c r="R2904" s="28"/>
      <x:c r="S2904" s="28"/>
      <x:c r="T2904" s="28"/>
      <x:c r="U2904" s="28"/>
      <x:c r="V2904" s="28"/>
      <x:c r="W2904" s="43" t="n">
        <x:f>--AND(N2904=1,OR(O2904="SUPPORTED",O2904="HALLUCINATION"))</x:f>
        <x:v>0</x:v>
      </x:c>
      <x:c r="X2904" s="43" t="n">
        <x:f>--AND(W2904=1,O2904="HALLUCINATION")</x:f>
        <x:v>0</x:v>
      </x:c>
      <x:c r="Y2904" s="43" t="n">
        <x:f>--AND(Q2904=1,O2904="HALLUCINATION")</x:f>
        <x:v>0</x:v>
      </x:c>
      <x:c r="Z2904" s="43" t="n">
        <x:f>--AND(Y2904=1,R2904=1,S2904=1)</x:f>
        <x:v>0</x:v>
      </x:c>
      <x:c r="AC2904" t="str">
        <x:f>IF(OR(AA2904="",AB2904=""),"",--(AA2904&lt;&gt;AB2904))</x:f>
      </x:c>
      <x:c r="AE2904" t="str">
        <x:f>IF(OR(AA2904="",AB2904=""),"PENDING_HUMAN",IF(AA2904=AB2904,AA2904,IF(AD2904&lt;&gt;"",AD2904,"PENDING_HUMAN")))</x:f>
        <x:v>PENDING_HUMAN</x:v>
      </x:c>
      <x:c r="AF2904" t="n">
        <x:f>--AND(A2904&lt;&gt;"",AA2904&lt;&gt;"",AB2904&lt;&gt;"",OR(AA2904=AB2904,AD2904&lt;&gt;""),IF(AE2904="HALLUCINATION",U2904&lt;&gt;"",TRUE))</x:f>
        <x:v>0</x:v>
      </x:c>
      <x:c r="AG2904" t="n">
        <x:f>--AND(N2904=1,AF2904=1,OR(AE2904="SUPPORTED",AE2904="HALLUCINATION"))</x:f>
        <x:v>0</x:v>
      </x:c>
      <x:c r="AH2904" t="n">
        <x:f>--AND(AG2904=1,AE2904="HALLUCINATION")</x:f>
        <x:v>0</x:v>
      </x:c>
      <x:c r="AI2904" t="n">
        <x:f>--AND(Q2904=1,AF2904=1,AE2904="HALLUCINATION")</x:f>
        <x:v>0</x:v>
      </x:c>
      <x:c r="AJ2904" t="n">
        <x:f>--AND(AI2904=1,R2904=1,S2904=1)</x:f>
        <x:v>0</x:v>
      </x:c>
    </x:row>
    <x:row r="2905">
      <x:c r="A2905" s="28"/>
      <x:c r="B2905" s="28"/>
      <x:c r="C2905" s="28"/>
      <x:c r="D2905" s="28"/>
      <x:c r="E2905" s="28"/>
      <x:c r="F2905" s="28"/>
      <x:c r="G2905" s="28"/>
      <x:c r="H2905" s="28"/>
      <x:c r="I2905" s="28"/>
      <x:c r="J2905" s="28"/>
      <x:c r="K2905" s="28"/>
      <x:c r="L2905" s="28"/>
      <x:c r="M2905" s="28"/>
      <x:c r="N2905" s="28"/>
      <x:c r="O2905" s="28"/>
      <x:c r="P2905" s="28"/>
      <x:c r="Q2905" s="28"/>
      <x:c r="R2905" s="28"/>
      <x:c r="S2905" s="28"/>
      <x:c r="T2905" s="28"/>
      <x:c r="U2905" s="28"/>
      <x:c r="V2905" s="28"/>
      <x:c r="W2905" s="43" t="n">
        <x:f>--AND(N2905=1,OR(O2905="SUPPORTED",O2905="HALLUCINATION"))</x:f>
        <x:v>0</x:v>
      </x:c>
      <x:c r="X2905" s="43" t="n">
        <x:f>--AND(W2905=1,O2905="HALLUCINATION")</x:f>
        <x:v>0</x:v>
      </x:c>
      <x:c r="Y2905" s="43" t="n">
        <x:f>--AND(Q2905=1,O2905="HALLUCINATION")</x:f>
        <x:v>0</x:v>
      </x:c>
      <x:c r="Z2905" s="43" t="n">
        <x:f>--AND(Y2905=1,R2905=1,S2905=1)</x:f>
        <x:v>0</x:v>
      </x:c>
      <x:c r="AC2905" t="str">
        <x:f>IF(OR(AA2905="",AB2905=""),"",--(AA2905&lt;&gt;AB2905))</x:f>
      </x:c>
      <x:c r="AE2905" t="str">
        <x:f>IF(OR(AA2905="",AB2905=""),"PENDING_HUMAN",IF(AA2905=AB2905,AA2905,IF(AD2905&lt;&gt;"",AD2905,"PENDING_HUMAN")))</x:f>
        <x:v>PENDING_HUMAN</x:v>
      </x:c>
      <x:c r="AF2905" t="n">
        <x:f>--AND(A2905&lt;&gt;"",AA2905&lt;&gt;"",AB2905&lt;&gt;"",OR(AA2905=AB2905,AD2905&lt;&gt;""),IF(AE2905="HALLUCINATION",U2905&lt;&gt;"",TRUE))</x:f>
        <x:v>0</x:v>
      </x:c>
      <x:c r="AG2905" t="n">
        <x:f>--AND(N2905=1,AF2905=1,OR(AE2905="SUPPORTED",AE2905="HALLUCINATION"))</x:f>
        <x:v>0</x:v>
      </x:c>
      <x:c r="AH2905" t="n">
        <x:f>--AND(AG2905=1,AE2905="HALLUCINATION")</x:f>
        <x:v>0</x:v>
      </x:c>
      <x:c r="AI2905" t="n">
        <x:f>--AND(Q2905=1,AF2905=1,AE2905="HALLUCINATION")</x:f>
        <x:v>0</x:v>
      </x:c>
      <x:c r="AJ2905" t="n">
        <x:f>--AND(AI2905=1,R2905=1,S2905=1)</x:f>
        <x:v>0</x:v>
      </x:c>
    </x:row>
    <x:row r="2906">
      <x:c r="A2906" s="28"/>
      <x:c r="B2906" s="28"/>
      <x:c r="C2906" s="28"/>
      <x:c r="D2906" s="28"/>
      <x:c r="E2906" s="28"/>
      <x:c r="F2906" s="28"/>
      <x:c r="G2906" s="28"/>
      <x:c r="H2906" s="28"/>
      <x:c r="I2906" s="28"/>
      <x:c r="J2906" s="28"/>
      <x:c r="K2906" s="28"/>
      <x:c r="L2906" s="28"/>
      <x:c r="M2906" s="28"/>
      <x:c r="N2906" s="28"/>
      <x:c r="O2906" s="28"/>
      <x:c r="P2906" s="28"/>
      <x:c r="Q2906" s="28"/>
      <x:c r="R2906" s="28"/>
      <x:c r="S2906" s="28"/>
      <x:c r="T2906" s="28"/>
      <x:c r="U2906" s="28"/>
      <x:c r="V2906" s="28"/>
      <x:c r="W2906" s="43" t="n">
        <x:f>--AND(N2906=1,OR(O2906="SUPPORTED",O2906="HALLUCINATION"))</x:f>
        <x:v>0</x:v>
      </x:c>
      <x:c r="X2906" s="43" t="n">
        <x:f>--AND(W2906=1,O2906="HALLUCINATION")</x:f>
        <x:v>0</x:v>
      </x:c>
      <x:c r="Y2906" s="43" t="n">
        <x:f>--AND(Q2906=1,O2906="HALLUCINATION")</x:f>
        <x:v>0</x:v>
      </x:c>
      <x:c r="Z2906" s="43" t="n">
        <x:f>--AND(Y2906=1,R2906=1,S2906=1)</x:f>
        <x:v>0</x:v>
      </x:c>
      <x:c r="AC2906" t="str">
        <x:f>IF(OR(AA2906="",AB2906=""),"",--(AA2906&lt;&gt;AB2906))</x:f>
      </x:c>
      <x:c r="AE2906" t="str">
        <x:f>IF(OR(AA2906="",AB2906=""),"PENDING_HUMAN",IF(AA2906=AB2906,AA2906,IF(AD2906&lt;&gt;"",AD2906,"PENDING_HUMAN")))</x:f>
        <x:v>PENDING_HUMAN</x:v>
      </x:c>
      <x:c r="AF2906" t="n">
        <x:f>--AND(A2906&lt;&gt;"",AA2906&lt;&gt;"",AB2906&lt;&gt;"",OR(AA2906=AB2906,AD2906&lt;&gt;""),IF(AE2906="HALLUCINATION",U2906&lt;&gt;"",TRUE))</x:f>
        <x:v>0</x:v>
      </x:c>
      <x:c r="AG2906" t="n">
        <x:f>--AND(N2906=1,AF2906=1,OR(AE2906="SUPPORTED",AE2906="HALLUCINATION"))</x:f>
        <x:v>0</x:v>
      </x:c>
      <x:c r="AH2906" t="n">
        <x:f>--AND(AG2906=1,AE2906="HALLUCINATION")</x:f>
        <x:v>0</x:v>
      </x:c>
      <x:c r="AI2906" t="n">
        <x:f>--AND(Q2906=1,AF2906=1,AE2906="HALLUCINATION")</x:f>
        <x:v>0</x:v>
      </x:c>
      <x:c r="AJ2906" t="n">
        <x:f>--AND(AI2906=1,R2906=1,S2906=1)</x:f>
        <x:v>0</x:v>
      </x:c>
    </x:row>
    <x:row r="2907">
      <x:c r="A2907" s="28"/>
      <x:c r="B2907" s="28"/>
      <x:c r="C2907" s="28"/>
      <x:c r="D2907" s="28"/>
      <x:c r="E2907" s="28"/>
      <x:c r="F2907" s="28"/>
      <x:c r="G2907" s="28"/>
      <x:c r="H2907" s="28"/>
      <x:c r="I2907" s="28"/>
      <x:c r="J2907" s="28"/>
      <x:c r="K2907" s="28"/>
      <x:c r="L2907" s="28"/>
      <x:c r="M2907" s="28"/>
      <x:c r="N2907" s="28"/>
      <x:c r="O2907" s="28"/>
      <x:c r="P2907" s="28"/>
      <x:c r="Q2907" s="28"/>
      <x:c r="R2907" s="28"/>
      <x:c r="S2907" s="28"/>
      <x:c r="T2907" s="28"/>
      <x:c r="U2907" s="28"/>
      <x:c r="V2907" s="28"/>
      <x:c r="W2907" s="43" t="n">
        <x:f>--AND(N2907=1,OR(O2907="SUPPORTED",O2907="HALLUCINATION"))</x:f>
        <x:v>0</x:v>
      </x:c>
      <x:c r="X2907" s="43" t="n">
        <x:f>--AND(W2907=1,O2907="HALLUCINATION")</x:f>
        <x:v>0</x:v>
      </x:c>
      <x:c r="Y2907" s="43" t="n">
        <x:f>--AND(Q2907=1,O2907="HALLUCINATION")</x:f>
        <x:v>0</x:v>
      </x:c>
      <x:c r="Z2907" s="43" t="n">
        <x:f>--AND(Y2907=1,R2907=1,S2907=1)</x:f>
        <x:v>0</x:v>
      </x:c>
      <x:c r="AC2907" t="str">
        <x:f>IF(OR(AA2907="",AB2907=""),"",--(AA2907&lt;&gt;AB2907))</x:f>
      </x:c>
      <x:c r="AE2907" t="str">
        <x:f>IF(OR(AA2907="",AB2907=""),"PENDING_HUMAN",IF(AA2907=AB2907,AA2907,IF(AD2907&lt;&gt;"",AD2907,"PENDING_HUMAN")))</x:f>
        <x:v>PENDING_HUMAN</x:v>
      </x:c>
      <x:c r="AF2907" t="n">
        <x:f>--AND(A2907&lt;&gt;"",AA2907&lt;&gt;"",AB2907&lt;&gt;"",OR(AA2907=AB2907,AD2907&lt;&gt;""),IF(AE2907="HALLUCINATION",U2907&lt;&gt;"",TRUE))</x:f>
        <x:v>0</x:v>
      </x:c>
      <x:c r="AG2907" t="n">
        <x:f>--AND(N2907=1,AF2907=1,OR(AE2907="SUPPORTED",AE2907="HALLUCINATION"))</x:f>
        <x:v>0</x:v>
      </x:c>
      <x:c r="AH2907" t="n">
        <x:f>--AND(AG2907=1,AE2907="HALLUCINATION")</x:f>
        <x:v>0</x:v>
      </x:c>
      <x:c r="AI2907" t="n">
        <x:f>--AND(Q2907=1,AF2907=1,AE2907="HALLUCINATION")</x:f>
        <x:v>0</x:v>
      </x:c>
      <x:c r="AJ2907" t="n">
        <x:f>--AND(AI2907=1,R2907=1,S2907=1)</x:f>
        <x:v>0</x:v>
      </x:c>
    </x:row>
    <x:row r="2908">
      <x:c r="A2908" s="28"/>
      <x:c r="B2908" s="28"/>
      <x:c r="C2908" s="28"/>
      <x:c r="D2908" s="28"/>
      <x:c r="E2908" s="28"/>
      <x:c r="F2908" s="28"/>
      <x:c r="G2908" s="28"/>
      <x:c r="H2908" s="28"/>
      <x:c r="I2908" s="28"/>
      <x:c r="J2908" s="28"/>
      <x:c r="K2908" s="28"/>
      <x:c r="L2908" s="28"/>
      <x:c r="M2908" s="28"/>
      <x:c r="N2908" s="28"/>
      <x:c r="O2908" s="28"/>
      <x:c r="P2908" s="28"/>
      <x:c r="Q2908" s="28"/>
      <x:c r="R2908" s="28"/>
      <x:c r="S2908" s="28"/>
      <x:c r="T2908" s="28"/>
      <x:c r="U2908" s="28"/>
      <x:c r="V2908" s="28"/>
      <x:c r="W2908" s="43" t="n">
        <x:f>--AND(N2908=1,OR(O2908="SUPPORTED",O2908="HALLUCINATION"))</x:f>
        <x:v>0</x:v>
      </x:c>
      <x:c r="X2908" s="43" t="n">
        <x:f>--AND(W2908=1,O2908="HALLUCINATION")</x:f>
        <x:v>0</x:v>
      </x:c>
      <x:c r="Y2908" s="43" t="n">
        <x:f>--AND(Q2908=1,O2908="HALLUCINATION")</x:f>
        <x:v>0</x:v>
      </x:c>
      <x:c r="Z2908" s="43" t="n">
        <x:f>--AND(Y2908=1,R2908=1,S2908=1)</x:f>
        <x:v>0</x:v>
      </x:c>
      <x:c r="AC2908" t="str">
        <x:f>IF(OR(AA2908="",AB2908=""),"",--(AA2908&lt;&gt;AB2908))</x:f>
      </x:c>
      <x:c r="AE2908" t="str">
        <x:f>IF(OR(AA2908="",AB2908=""),"PENDING_HUMAN",IF(AA2908=AB2908,AA2908,IF(AD2908&lt;&gt;"",AD2908,"PENDING_HUMAN")))</x:f>
        <x:v>PENDING_HUMAN</x:v>
      </x:c>
      <x:c r="AF2908" t="n">
        <x:f>--AND(A2908&lt;&gt;"",AA2908&lt;&gt;"",AB2908&lt;&gt;"",OR(AA2908=AB2908,AD2908&lt;&gt;""),IF(AE2908="HALLUCINATION",U2908&lt;&gt;"",TRUE))</x:f>
        <x:v>0</x:v>
      </x:c>
      <x:c r="AG2908" t="n">
        <x:f>--AND(N2908=1,AF2908=1,OR(AE2908="SUPPORTED",AE2908="HALLUCINATION"))</x:f>
        <x:v>0</x:v>
      </x:c>
      <x:c r="AH2908" t="n">
        <x:f>--AND(AG2908=1,AE2908="HALLUCINATION")</x:f>
        <x:v>0</x:v>
      </x:c>
      <x:c r="AI2908" t="n">
        <x:f>--AND(Q2908=1,AF2908=1,AE2908="HALLUCINATION")</x:f>
        <x:v>0</x:v>
      </x:c>
      <x:c r="AJ2908" t="n">
        <x:f>--AND(AI2908=1,R2908=1,S2908=1)</x:f>
        <x:v>0</x:v>
      </x:c>
    </x:row>
    <x:row r="2909">
      <x:c r="A2909" s="28"/>
      <x:c r="B2909" s="28"/>
      <x:c r="C2909" s="28"/>
      <x:c r="D2909" s="28"/>
      <x:c r="E2909" s="28"/>
      <x:c r="F2909" s="28"/>
      <x:c r="G2909" s="28"/>
      <x:c r="H2909" s="28"/>
      <x:c r="I2909" s="28"/>
      <x:c r="J2909" s="28"/>
      <x:c r="K2909" s="28"/>
      <x:c r="L2909" s="28"/>
      <x:c r="M2909" s="28"/>
      <x:c r="N2909" s="28"/>
      <x:c r="O2909" s="28"/>
      <x:c r="P2909" s="28"/>
      <x:c r="Q2909" s="28"/>
      <x:c r="R2909" s="28"/>
      <x:c r="S2909" s="28"/>
      <x:c r="T2909" s="28"/>
      <x:c r="U2909" s="28"/>
      <x:c r="V2909" s="28"/>
      <x:c r="W2909" s="43" t="n">
        <x:f>--AND(N2909=1,OR(O2909="SUPPORTED",O2909="HALLUCINATION"))</x:f>
        <x:v>0</x:v>
      </x:c>
      <x:c r="X2909" s="43" t="n">
        <x:f>--AND(W2909=1,O2909="HALLUCINATION")</x:f>
        <x:v>0</x:v>
      </x:c>
      <x:c r="Y2909" s="43" t="n">
        <x:f>--AND(Q2909=1,O2909="HALLUCINATION")</x:f>
        <x:v>0</x:v>
      </x:c>
      <x:c r="Z2909" s="43" t="n">
        <x:f>--AND(Y2909=1,R2909=1,S2909=1)</x:f>
        <x:v>0</x:v>
      </x:c>
      <x:c r="AC2909" t="str">
        <x:f>IF(OR(AA2909="",AB2909=""),"",--(AA2909&lt;&gt;AB2909))</x:f>
      </x:c>
      <x:c r="AE2909" t="str">
        <x:f>IF(OR(AA2909="",AB2909=""),"PENDING_HUMAN",IF(AA2909=AB2909,AA2909,IF(AD2909&lt;&gt;"",AD2909,"PENDING_HUMAN")))</x:f>
        <x:v>PENDING_HUMAN</x:v>
      </x:c>
      <x:c r="AF2909" t="n">
        <x:f>--AND(A2909&lt;&gt;"",AA2909&lt;&gt;"",AB2909&lt;&gt;"",OR(AA2909=AB2909,AD2909&lt;&gt;""),IF(AE2909="HALLUCINATION",U2909&lt;&gt;"",TRUE))</x:f>
        <x:v>0</x:v>
      </x:c>
      <x:c r="AG2909" t="n">
        <x:f>--AND(N2909=1,AF2909=1,OR(AE2909="SUPPORTED",AE2909="HALLUCINATION"))</x:f>
        <x:v>0</x:v>
      </x:c>
      <x:c r="AH2909" t="n">
        <x:f>--AND(AG2909=1,AE2909="HALLUCINATION")</x:f>
        <x:v>0</x:v>
      </x:c>
      <x:c r="AI2909" t="n">
        <x:f>--AND(Q2909=1,AF2909=1,AE2909="HALLUCINATION")</x:f>
        <x:v>0</x:v>
      </x:c>
      <x:c r="AJ2909" t="n">
        <x:f>--AND(AI2909=1,R2909=1,S2909=1)</x:f>
        <x:v>0</x:v>
      </x:c>
    </x:row>
    <x:row r="2910">
      <x:c r="A2910" s="28"/>
      <x:c r="B2910" s="28"/>
      <x:c r="C2910" s="28"/>
      <x:c r="D2910" s="28"/>
      <x:c r="E2910" s="28"/>
      <x:c r="F2910" s="28"/>
      <x:c r="G2910" s="28"/>
      <x:c r="H2910" s="28"/>
      <x:c r="I2910" s="28"/>
      <x:c r="J2910" s="28"/>
      <x:c r="K2910" s="28"/>
      <x:c r="L2910" s="28"/>
      <x:c r="M2910" s="28"/>
      <x:c r="N2910" s="28"/>
      <x:c r="O2910" s="28"/>
      <x:c r="P2910" s="28"/>
      <x:c r="Q2910" s="28"/>
      <x:c r="R2910" s="28"/>
      <x:c r="S2910" s="28"/>
      <x:c r="T2910" s="28"/>
      <x:c r="U2910" s="28"/>
      <x:c r="V2910" s="28"/>
      <x:c r="W2910" s="43" t="n">
        <x:f>--AND(N2910=1,OR(O2910="SUPPORTED",O2910="HALLUCINATION"))</x:f>
        <x:v>0</x:v>
      </x:c>
      <x:c r="X2910" s="43" t="n">
        <x:f>--AND(W2910=1,O2910="HALLUCINATION")</x:f>
        <x:v>0</x:v>
      </x:c>
      <x:c r="Y2910" s="43" t="n">
        <x:f>--AND(Q2910=1,O2910="HALLUCINATION")</x:f>
        <x:v>0</x:v>
      </x:c>
      <x:c r="Z2910" s="43" t="n">
        <x:f>--AND(Y2910=1,R2910=1,S2910=1)</x:f>
        <x:v>0</x:v>
      </x:c>
      <x:c r="AC2910" t="str">
        <x:f>IF(OR(AA2910="",AB2910=""),"",--(AA2910&lt;&gt;AB2910))</x:f>
      </x:c>
      <x:c r="AE2910" t="str">
        <x:f>IF(OR(AA2910="",AB2910=""),"PENDING_HUMAN",IF(AA2910=AB2910,AA2910,IF(AD2910&lt;&gt;"",AD2910,"PENDING_HUMAN")))</x:f>
        <x:v>PENDING_HUMAN</x:v>
      </x:c>
      <x:c r="AF2910" t="n">
        <x:f>--AND(A2910&lt;&gt;"",AA2910&lt;&gt;"",AB2910&lt;&gt;"",OR(AA2910=AB2910,AD2910&lt;&gt;""),IF(AE2910="HALLUCINATION",U2910&lt;&gt;"",TRUE))</x:f>
        <x:v>0</x:v>
      </x:c>
      <x:c r="AG2910" t="n">
        <x:f>--AND(N2910=1,AF2910=1,OR(AE2910="SUPPORTED",AE2910="HALLUCINATION"))</x:f>
        <x:v>0</x:v>
      </x:c>
      <x:c r="AH2910" t="n">
        <x:f>--AND(AG2910=1,AE2910="HALLUCINATION")</x:f>
        <x:v>0</x:v>
      </x:c>
      <x:c r="AI2910" t="n">
        <x:f>--AND(Q2910=1,AF2910=1,AE2910="HALLUCINATION")</x:f>
        <x:v>0</x:v>
      </x:c>
      <x:c r="AJ2910" t="n">
        <x:f>--AND(AI2910=1,R2910=1,S2910=1)</x:f>
        <x:v>0</x:v>
      </x:c>
    </x:row>
    <x:row r="2911">
      <x:c r="A2911" s="28"/>
      <x:c r="B2911" s="28"/>
      <x:c r="C2911" s="28"/>
      <x:c r="D2911" s="28"/>
      <x:c r="E2911" s="28"/>
      <x:c r="F2911" s="28"/>
      <x:c r="G2911" s="28"/>
      <x:c r="H2911" s="28"/>
      <x:c r="I2911" s="28"/>
      <x:c r="J2911" s="28"/>
      <x:c r="K2911" s="28"/>
      <x:c r="L2911" s="28"/>
      <x:c r="M2911" s="28"/>
      <x:c r="N2911" s="28"/>
      <x:c r="O2911" s="28"/>
      <x:c r="P2911" s="28"/>
      <x:c r="Q2911" s="28"/>
      <x:c r="R2911" s="28"/>
      <x:c r="S2911" s="28"/>
      <x:c r="T2911" s="28"/>
      <x:c r="U2911" s="28"/>
      <x:c r="V2911" s="28"/>
      <x:c r="W2911" s="43" t="n">
        <x:f>--AND(N2911=1,OR(O2911="SUPPORTED",O2911="HALLUCINATION"))</x:f>
        <x:v>0</x:v>
      </x:c>
      <x:c r="X2911" s="43" t="n">
        <x:f>--AND(W2911=1,O2911="HALLUCINATION")</x:f>
        <x:v>0</x:v>
      </x:c>
      <x:c r="Y2911" s="43" t="n">
        <x:f>--AND(Q2911=1,O2911="HALLUCINATION")</x:f>
        <x:v>0</x:v>
      </x:c>
      <x:c r="Z2911" s="43" t="n">
        <x:f>--AND(Y2911=1,R2911=1,S2911=1)</x:f>
        <x:v>0</x:v>
      </x:c>
      <x:c r="AC2911" t="str">
        <x:f>IF(OR(AA2911="",AB2911=""),"",--(AA2911&lt;&gt;AB2911))</x:f>
      </x:c>
      <x:c r="AE2911" t="str">
        <x:f>IF(OR(AA2911="",AB2911=""),"PENDING_HUMAN",IF(AA2911=AB2911,AA2911,IF(AD2911&lt;&gt;"",AD2911,"PENDING_HUMAN")))</x:f>
        <x:v>PENDING_HUMAN</x:v>
      </x:c>
      <x:c r="AF2911" t="n">
        <x:f>--AND(A2911&lt;&gt;"",AA2911&lt;&gt;"",AB2911&lt;&gt;"",OR(AA2911=AB2911,AD2911&lt;&gt;""),IF(AE2911="HALLUCINATION",U2911&lt;&gt;"",TRUE))</x:f>
        <x:v>0</x:v>
      </x:c>
      <x:c r="AG2911" t="n">
        <x:f>--AND(N2911=1,AF2911=1,OR(AE2911="SUPPORTED",AE2911="HALLUCINATION"))</x:f>
        <x:v>0</x:v>
      </x:c>
      <x:c r="AH2911" t="n">
        <x:f>--AND(AG2911=1,AE2911="HALLUCINATION")</x:f>
        <x:v>0</x:v>
      </x:c>
      <x:c r="AI2911" t="n">
        <x:f>--AND(Q2911=1,AF2911=1,AE2911="HALLUCINATION")</x:f>
        <x:v>0</x:v>
      </x:c>
      <x:c r="AJ2911" t="n">
        <x:f>--AND(AI2911=1,R2911=1,S2911=1)</x:f>
        <x:v>0</x:v>
      </x:c>
    </x:row>
    <x:row r="2912">
      <x:c r="A2912" s="28"/>
      <x:c r="B2912" s="28"/>
      <x:c r="C2912" s="28"/>
      <x:c r="D2912" s="28"/>
      <x:c r="E2912" s="28"/>
      <x:c r="F2912" s="28"/>
      <x:c r="G2912" s="28"/>
      <x:c r="H2912" s="28"/>
      <x:c r="I2912" s="28"/>
      <x:c r="J2912" s="28"/>
      <x:c r="K2912" s="28"/>
      <x:c r="L2912" s="28"/>
      <x:c r="M2912" s="28"/>
      <x:c r="N2912" s="28"/>
      <x:c r="O2912" s="28"/>
      <x:c r="P2912" s="28"/>
      <x:c r="Q2912" s="28"/>
      <x:c r="R2912" s="28"/>
      <x:c r="S2912" s="28"/>
      <x:c r="T2912" s="28"/>
      <x:c r="U2912" s="28"/>
      <x:c r="V2912" s="28"/>
      <x:c r="W2912" s="43" t="n">
        <x:f>--AND(N2912=1,OR(O2912="SUPPORTED",O2912="HALLUCINATION"))</x:f>
        <x:v>0</x:v>
      </x:c>
      <x:c r="X2912" s="43" t="n">
        <x:f>--AND(W2912=1,O2912="HALLUCINATION")</x:f>
        <x:v>0</x:v>
      </x:c>
      <x:c r="Y2912" s="43" t="n">
        <x:f>--AND(Q2912=1,O2912="HALLUCINATION")</x:f>
        <x:v>0</x:v>
      </x:c>
      <x:c r="Z2912" s="43" t="n">
        <x:f>--AND(Y2912=1,R2912=1,S2912=1)</x:f>
        <x:v>0</x:v>
      </x:c>
      <x:c r="AC2912" t="str">
        <x:f>IF(OR(AA2912="",AB2912=""),"",--(AA2912&lt;&gt;AB2912))</x:f>
      </x:c>
      <x:c r="AE2912" t="str">
        <x:f>IF(OR(AA2912="",AB2912=""),"PENDING_HUMAN",IF(AA2912=AB2912,AA2912,IF(AD2912&lt;&gt;"",AD2912,"PENDING_HUMAN")))</x:f>
        <x:v>PENDING_HUMAN</x:v>
      </x:c>
      <x:c r="AF2912" t="n">
        <x:f>--AND(A2912&lt;&gt;"",AA2912&lt;&gt;"",AB2912&lt;&gt;"",OR(AA2912=AB2912,AD2912&lt;&gt;""),IF(AE2912="HALLUCINATION",U2912&lt;&gt;"",TRUE))</x:f>
        <x:v>0</x:v>
      </x:c>
      <x:c r="AG2912" t="n">
        <x:f>--AND(N2912=1,AF2912=1,OR(AE2912="SUPPORTED",AE2912="HALLUCINATION"))</x:f>
        <x:v>0</x:v>
      </x:c>
      <x:c r="AH2912" t="n">
        <x:f>--AND(AG2912=1,AE2912="HALLUCINATION")</x:f>
        <x:v>0</x:v>
      </x:c>
      <x:c r="AI2912" t="n">
        <x:f>--AND(Q2912=1,AF2912=1,AE2912="HALLUCINATION")</x:f>
        <x:v>0</x:v>
      </x:c>
      <x:c r="AJ2912" t="n">
        <x:f>--AND(AI2912=1,R2912=1,S2912=1)</x:f>
        <x:v>0</x:v>
      </x:c>
    </x:row>
    <x:row r="2913">
      <x:c r="A2913" s="28"/>
      <x:c r="B2913" s="28"/>
      <x:c r="C2913" s="28"/>
      <x:c r="D2913" s="28"/>
      <x:c r="E2913" s="28"/>
      <x:c r="F2913" s="28"/>
      <x:c r="G2913" s="28"/>
      <x:c r="H2913" s="28"/>
      <x:c r="I2913" s="28"/>
      <x:c r="J2913" s="28"/>
      <x:c r="K2913" s="28"/>
      <x:c r="L2913" s="28"/>
      <x:c r="M2913" s="28"/>
      <x:c r="N2913" s="28"/>
      <x:c r="O2913" s="28"/>
      <x:c r="P2913" s="28"/>
      <x:c r="Q2913" s="28"/>
      <x:c r="R2913" s="28"/>
      <x:c r="S2913" s="28"/>
      <x:c r="T2913" s="28"/>
      <x:c r="U2913" s="28"/>
      <x:c r="V2913" s="28"/>
      <x:c r="W2913" s="43" t="n">
        <x:f>--AND(N2913=1,OR(O2913="SUPPORTED",O2913="HALLUCINATION"))</x:f>
        <x:v>0</x:v>
      </x:c>
      <x:c r="X2913" s="43" t="n">
        <x:f>--AND(W2913=1,O2913="HALLUCINATION")</x:f>
        <x:v>0</x:v>
      </x:c>
      <x:c r="Y2913" s="43" t="n">
        <x:f>--AND(Q2913=1,O2913="HALLUCINATION")</x:f>
        <x:v>0</x:v>
      </x:c>
      <x:c r="Z2913" s="43" t="n">
        <x:f>--AND(Y2913=1,R2913=1,S2913=1)</x:f>
        <x:v>0</x:v>
      </x:c>
      <x:c r="AC2913" t="str">
        <x:f>IF(OR(AA2913="",AB2913=""),"",--(AA2913&lt;&gt;AB2913))</x:f>
      </x:c>
      <x:c r="AE2913" t="str">
        <x:f>IF(OR(AA2913="",AB2913=""),"PENDING_HUMAN",IF(AA2913=AB2913,AA2913,IF(AD2913&lt;&gt;"",AD2913,"PENDING_HUMAN")))</x:f>
        <x:v>PENDING_HUMAN</x:v>
      </x:c>
      <x:c r="AF2913" t="n">
        <x:f>--AND(A2913&lt;&gt;"",AA2913&lt;&gt;"",AB2913&lt;&gt;"",OR(AA2913=AB2913,AD2913&lt;&gt;""),IF(AE2913="HALLUCINATION",U2913&lt;&gt;"",TRUE))</x:f>
        <x:v>0</x:v>
      </x:c>
      <x:c r="AG2913" t="n">
        <x:f>--AND(N2913=1,AF2913=1,OR(AE2913="SUPPORTED",AE2913="HALLUCINATION"))</x:f>
        <x:v>0</x:v>
      </x:c>
      <x:c r="AH2913" t="n">
        <x:f>--AND(AG2913=1,AE2913="HALLUCINATION")</x:f>
        <x:v>0</x:v>
      </x:c>
      <x:c r="AI2913" t="n">
        <x:f>--AND(Q2913=1,AF2913=1,AE2913="HALLUCINATION")</x:f>
        <x:v>0</x:v>
      </x:c>
      <x:c r="AJ2913" t="n">
        <x:f>--AND(AI2913=1,R2913=1,S2913=1)</x:f>
        <x:v>0</x:v>
      </x:c>
    </x:row>
    <x:row r="2914">
      <x:c r="A2914" s="28"/>
      <x:c r="B2914" s="28"/>
      <x:c r="C2914" s="28"/>
      <x:c r="D2914" s="28"/>
      <x:c r="E2914" s="28"/>
      <x:c r="F2914" s="28"/>
      <x:c r="G2914" s="28"/>
      <x:c r="H2914" s="28"/>
      <x:c r="I2914" s="28"/>
      <x:c r="J2914" s="28"/>
      <x:c r="K2914" s="28"/>
      <x:c r="L2914" s="28"/>
      <x:c r="M2914" s="28"/>
      <x:c r="N2914" s="28"/>
      <x:c r="O2914" s="28"/>
      <x:c r="P2914" s="28"/>
      <x:c r="Q2914" s="28"/>
      <x:c r="R2914" s="28"/>
      <x:c r="S2914" s="28"/>
      <x:c r="T2914" s="28"/>
      <x:c r="U2914" s="28"/>
      <x:c r="V2914" s="28"/>
      <x:c r="W2914" s="43" t="n">
        <x:f>--AND(N2914=1,OR(O2914="SUPPORTED",O2914="HALLUCINATION"))</x:f>
        <x:v>0</x:v>
      </x:c>
      <x:c r="X2914" s="43" t="n">
        <x:f>--AND(W2914=1,O2914="HALLUCINATION")</x:f>
        <x:v>0</x:v>
      </x:c>
      <x:c r="Y2914" s="43" t="n">
        <x:f>--AND(Q2914=1,O2914="HALLUCINATION")</x:f>
        <x:v>0</x:v>
      </x:c>
      <x:c r="Z2914" s="43" t="n">
        <x:f>--AND(Y2914=1,R2914=1,S2914=1)</x:f>
        <x:v>0</x:v>
      </x:c>
      <x:c r="AC2914" t="str">
        <x:f>IF(OR(AA2914="",AB2914=""),"",--(AA2914&lt;&gt;AB2914))</x:f>
      </x:c>
      <x:c r="AE2914" t="str">
        <x:f>IF(OR(AA2914="",AB2914=""),"PENDING_HUMAN",IF(AA2914=AB2914,AA2914,IF(AD2914&lt;&gt;"",AD2914,"PENDING_HUMAN")))</x:f>
        <x:v>PENDING_HUMAN</x:v>
      </x:c>
      <x:c r="AF2914" t="n">
        <x:f>--AND(A2914&lt;&gt;"",AA2914&lt;&gt;"",AB2914&lt;&gt;"",OR(AA2914=AB2914,AD2914&lt;&gt;""),IF(AE2914="HALLUCINATION",U2914&lt;&gt;"",TRUE))</x:f>
        <x:v>0</x:v>
      </x:c>
      <x:c r="AG2914" t="n">
        <x:f>--AND(N2914=1,AF2914=1,OR(AE2914="SUPPORTED",AE2914="HALLUCINATION"))</x:f>
        <x:v>0</x:v>
      </x:c>
      <x:c r="AH2914" t="n">
        <x:f>--AND(AG2914=1,AE2914="HALLUCINATION")</x:f>
        <x:v>0</x:v>
      </x:c>
      <x:c r="AI2914" t="n">
        <x:f>--AND(Q2914=1,AF2914=1,AE2914="HALLUCINATION")</x:f>
        <x:v>0</x:v>
      </x:c>
      <x:c r="AJ2914" t="n">
        <x:f>--AND(AI2914=1,R2914=1,S2914=1)</x:f>
        <x:v>0</x:v>
      </x:c>
    </x:row>
    <x:row r="2915">
      <x:c r="A2915" s="28"/>
      <x:c r="B2915" s="28"/>
      <x:c r="C2915" s="28"/>
      <x:c r="D2915" s="28"/>
      <x:c r="E2915" s="28"/>
      <x:c r="F2915" s="28"/>
      <x:c r="G2915" s="28"/>
      <x:c r="H2915" s="28"/>
      <x:c r="I2915" s="28"/>
      <x:c r="J2915" s="28"/>
      <x:c r="K2915" s="28"/>
      <x:c r="L2915" s="28"/>
      <x:c r="M2915" s="28"/>
      <x:c r="N2915" s="28"/>
      <x:c r="O2915" s="28"/>
      <x:c r="P2915" s="28"/>
      <x:c r="Q2915" s="28"/>
      <x:c r="R2915" s="28"/>
      <x:c r="S2915" s="28"/>
      <x:c r="T2915" s="28"/>
      <x:c r="U2915" s="28"/>
      <x:c r="V2915" s="28"/>
      <x:c r="W2915" s="43" t="n">
        <x:f>--AND(N2915=1,OR(O2915="SUPPORTED",O2915="HALLUCINATION"))</x:f>
        <x:v>0</x:v>
      </x:c>
      <x:c r="X2915" s="43" t="n">
        <x:f>--AND(W2915=1,O2915="HALLUCINATION")</x:f>
        <x:v>0</x:v>
      </x:c>
      <x:c r="Y2915" s="43" t="n">
        <x:f>--AND(Q2915=1,O2915="HALLUCINATION")</x:f>
        <x:v>0</x:v>
      </x:c>
      <x:c r="Z2915" s="43" t="n">
        <x:f>--AND(Y2915=1,R2915=1,S2915=1)</x:f>
        <x:v>0</x:v>
      </x:c>
      <x:c r="AC2915" t="str">
        <x:f>IF(OR(AA2915="",AB2915=""),"",--(AA2915&lt;&gt;AB2915))</x:f>
      </x:c>
      <x:c r="AE2915" t="str">
        <x:f>IF(OR(AA2915="",AB2915=""),"PENDING_HUMAN",IF(AA2915=AB2915,AA2915,IF(AD2915&lt;&gt;"",AD2915,"PENDING_HUMAN")))</x:f>
        <x:v>PENDING_HUMAN</x:v>
      </x:c>
      <x:c r="AF2915" t="n">
        <x:f>--AND(A2915&lt;&gt;"",AA2915&lt;&gt;"",AB2915&lt;&gt;"",OR(AA2915=AB2915,AD2915&lt;&gt;""),IF(AE2915="HALLUCINATION",U2915&lt;&gt;"",TRUE))</x:f>
        <x:v>0</x:v>
      </x:c>
      <x:c r="AG2915" t="n">
        <x:f>--AND(N2915=1,AF2915=1,OR(AE2915="SUPPORTED",AE2915="HALLUCINATION"))</x:f>
        <x:v>0</x:v>
      </x:c>
      <x:c r="AH2915" t="n">
        <x:f>--AND(AG2915=1,AE2915="HALLUCINATION")</x:f>
        <x:v>0</x:v>
      </x:c>
      <x:c r="AI2915" t="n">
        <x:f>--AND(Q2915=1,AF2915=1,AE2915="HALLUCINATION")</x:f>
        <x:v>0</x:v>
      </x:c>
      <x:c r="AJ2915" t="n">
        <x:f>--AND(AI2915=1,R2915=1,S2915=1)</x:f>
        <x:v>0</x:v>
      </x:c>
    </x:row>
    <x:row r="2916">
      <x:c r="A2916" s="28"/>
      <x:c r="B2916" s="28"/>
      <x:c r="C2916" s="28"/>
      <x:c r="D2916" s="28"/>
      <x:c r="E2916" s="28"/>
      <x:c r="F2916" s="28"/>
      <x:c r="G2916" s="28"/>
      <x:c r="H2916" s="28"/>
      <x:c r="I2916" s="28"/>
      <x:c r="J2916" s="28"/>
      <x:c r="K2916" s="28"/>
      <x:c r="L2916" s="28"/>
      <x:c r="M2916" s="28"/>
      <x:c r="N2916" s="28"/>
      <x:c r="O2916" s="28"/>
      <x:c r="P2916" s="28"/>
      <x:c r="Q2916" s="28"/>
      <x:c r="R2916" s="28"/>
      <x:c r="S2916" s="28"/>
      <x:c r="T2916" s="28"/>
      <x:c r="U2916" s="28"/>
      <x:c r="V2916" s="28"/>
      <x:c r="W2916" s="43" t="n">
        <x:f>--AND(N2916=1,OR(O2916="SUPPORTED",O2916="HALLUCINATION"))</x:f>
        <x:v>0</x:v>
      </x:c>
      <x:c r="X2916" s="43" t="n">
        <x:f>--AND(W2916=1,O2916="HALLUCINATION")</x:f>
        <x:v>0</x:v>
      </x:c>
      <x:c r="Y2916" s="43" t="n">
        <x:f>--AND(Q2916=1,O2916="HALLUCINATION")</x:f>
        <x:v>0</x:v>
      </x:c>
      <x:c r="Z2916" s="43" t="n">
        <x:f>--AND(Y2916=1,R2916=1,S2916=1)</x:f>
        <x:v>0</x:v>
      </x:c>
      <x:c r="AC2916" t="str">
        <x:f>IF(OR(AA2916="",AB2916=""),"",--(AA2916&lt;&gt;AB2916))</x:f>
      </x:c>
      <x:c r="AE2916" t="str">
        <x:f>IF(OR(AA2916="",AB2916=""),"PENDING_HUMAN",IF(AA2916=AB2916,AA2916,IF(AD2916&lt;&gt;"",AD2916,"PENDING_HUMAN")))</x:f>
        <x:v>PENDING_HUMAN</x:v>
      </x:c>
      <x:c r="AF2916" t="n">
        <x:f>--AND(A2916&lt;&gt;"",AA2916&lt;&gt;"",AB2916&lt;&gt;"",OR(AA2916=AB2916,AD2916&lt;&gt;""),IF(AE2916="HALLUCINATION",U2916&lt;&gt;"",TRUE))</x:f>
        <x:v>0</x:v>
      </x:c>
      <x:c r="AG2916" t="n">
        <x:f>--AND(N2916=1,AF2916=1,OR(AE2916="SUPPORTED",AE2916="HALLUCINATION"))</x:f>
        <x:v>0</x:v>
      </x:c>
      <x:c r="AH2916" t="n">
        <x:f>--AND(AG2916=1,AE2916="HALLUCINATION")</x:f>
        <x:v>0</x:v>
      </x:c>
      <x:c r="AI2916" t="n">
        <x:f>--AND(Q2916=1,AF2916=1,AE2916="HALLUCINATION")</x:f>
        <x:v>0</x:v>
      </x:c>
      <x:c r="AJ2916" t="n">
        <x:f>--AND(AI2916=1,R2916=1,S2916=1)</x:f>
        <x:v>0</x:v>
      </x:c>
    </x:row>
    <x:row r="2917">
      <x:c r="A2917" s="28"/>
      <x:c r="B2917" s="28"/>
      <x:c r="C2917" s="28"/>
      <x:c r="D2917" s="28"/>
      <x:c r="E2917" s="28"/>
      <x:c r="F2917" s="28"/>
      <x:c r="G2917" s="28"/>
      <x:c r="H2917" s="28"/>
      <x:c r="I2917" s="28"/>
      <x:c r="J2917" s="28"/>
      <x:c r="K2917" s="28"/>
      <x:c r="L2917" s="28"/>
      <x:c r="M2917" s="28"/>
      <x:c r="N2917" s="28"/>
      <x:c r="O2917" s="28"/>
      <x:c r="P2917" s="28"/>
      <x:c r="Q2917" s="28"/>
      <x:c r="R2917" s="28"/>
      <x:c r="S2917" s="28"/>
      <x:c r="T2917" s="28"/>
      <x:c r="U2917" s="28"/>
      <x:c r="V2917" s="28"/>
      <x:c r="W2917" s="43" t="n">
        <x:f>--AND(N2917=1,OR(O2917="SUPPORTED",O2917="HALLUCINATION"))</x:f>
        <x:v>0</x:v>
      </x:c>
      <x:c r="X2917" s="43" t="n">
        <x:f>--AND(W2917=1,O2917="HALLUCINATION")</x:f>
        <x:v>0</x:v>
      </x:c>
      <x:c r="Y2917" s="43" t="n">
        <x:f>--AND(Q2917=1,O2917="HALLUCINATION")</x:f>
        <x:v>0</x:v>
      </x:c>
      <x:c r="Z2917" s="43" t="n">
        <x:f>--AND(Y2917=1,R2917=1,S2917=1)</x:f>
        <x:v>0</x:v>
      </x:c>
      <x:c r="AC2917" t="str">
        <x:f>IF(OR(AA2917="",AB2917=""),"",--(AA2917&lt;&gt;AB2917))</x:f>
      </x:c>
      <x:c r="AE2917" t="str">
        <x:f>IF(OR(AA2917="",AB2917=""),"PENDING_HUMAN",IF(AA2917=AB2917,AA2917,IF(AD2917&lt;&gt;"",AD2917,"PENDING_HUMAN")))</x:f>
        <x:v>PENDING_HUMAN</x:v>
      </x:c>
      <x:c r="AF2917" t="n">
        <x:f>--AND(A2917&lt;&gt;"",AA2917&lt;&gt;"",AB2917&lt;&gt;"",OR(AA2917=AB2917,AD2917&lt;&gt;""),IF(AE2917="HALLUCINATION",U2917&lt;&gt;"",TRUE))</x:f>
        <x:v>0</x:v>
      </x:c>
      <x:c r="AG2917" t="n">
        <x:f>--AND(N2917=1,AF2917=1,OR(AE2917="SUPPORTED",AE2917="HALLUCINATION"))</x:f>
        <x:v>0</x:v>
      </x:c>
      <x:c r="AH2917" t="n">
        <x:f>--AND(AG2917=1,AE2917="HALLUCINATION")</x:f>
        <x:v>0</x:v>
      </x:c>
      <x:c r="AI2917" t="n">
        <x:f>--AND(Q2917=1,AF2917=1,AE2917="HALLUCINATION")</x:f>
        <x:v>0</x:v>
      </x:c>
      <x:c r="AJ2917" t="n">
        <x:f>--AND(AI2917=1,R2917=1,S2917=1)</x:f>
        <x:v>0</x:v>
      </x:c>
    </x:row>
    <x:row r="2918">
      <x:c r="A2918" s="28"/>
      <x:c r="B2918" s="28"/>
      <x:c r="C2918" s="28"/>
      <x:c r="D2918" s="28"/>
      <x:c r="E2918" s="28"/>
      <x:c r="F2918" s="28"/>
      <x:c r="G2918" s="28"/>
      <x:c r="H2918" s="28"/>
      <x:c r="I2918" s="28"/>
      <x:c r="J2918" s="28"/>
      <x:c r="K2918" s="28"/>
      <x:c r="L2918" s="28"/>
      <x:c r="M2918" s="28"/>
      <x:c r="N2918" s="28"/>
      <x:c r="O2918" s="28"/>
      <x:c r="P2918" s="28"/>
      <x:c r="Q2918" s="28"/>
      <x:c r="R2918" s="28"/>
      <x:c r="S2918" s="28"/>
      <x:c r="T2918" s="28"/>
      <x:c r="U2918" s="28"/>
      <x:c r="V2918" s="28"/>
      <x:c r="W2918" s="43" t="n">
        <x:f>--AND(N2918=1,OR(O2918="SUPPORTED",O2918="HALLUCINATION"))</x:f>
        <x:v>0</x:v>
      </x:c>
      <x:c r="X2918" s="43" t="n">
        <x:f>--AND(W2918=1,O2918="HALLUCINATION")</x:f>
        <x:v>0</x:v>
      </x:c>
      <x:c r="Y2918" s="43" t="n">
        <x:f>--AND(Q2918=1,O2918="HALLUCINATION")</x:f>
        <x:v>0</x:v>
      </x:c>
      <x:c r="Z2918" s="43" t="n">
        <x:f>--AND(Y2918=1,R2918=1,S2918=1)</x:f>
        <x:v>0</x:v>
      </x:c>
      <x:c r="AC2918" t="str">
        <x:f>IF(OR(AA2918="",AB2918=""),"",--(AA2918&lt;&gt;AB2918))</x:f>
      </x:c>
      <x:c r="AE2918" t="str">
        <x:f>IF(OR(AA2918="",AB2918=""),"PENDING_HUMAN",IF(AA2918=AB2918,AA2918,IF(AD2918&lt;&gt;"",AD2918,"PENDING_HUMAN")))</x:f>
        <x:v>PENDING_HUMAN</x:v>
      </x:c>
      <x:c r="AF2918" t="n">
        <x:f>--AND(A2918&lt;&gt;"",AA2918&lt;&gt;"",AB2918&lt;&gt;"",OR(AA2918=AB2918,AD2918&lt;&gt;""),IF(AE2918="HALLUCINATION",U2918&lt;&gt;"",TRUE))</x:f>
        <x:v>0</x:v>
      </x:c>
      <x:c r="AG2918" t="n">
        <x:f>--AND(N2918=1,AF2918=1,OR(AE2918="SUPPORTED",AE2918="HALLUCINATION"))</x:f>
        <x:v>0</x:v>
      </x:c>
      <x:c r="AH2918" t="n">
        <x:f>--AND(AG2918=1,AE2918="HALLUCINATION")</x:f>
        <x:v>0</x:v>
      </x:c>
      <x:c r="AI2918" t="n">
        <x:f>--AND(Q2918=1,AF2918=1,AE2918="HALLUCINATION")</x:f>
        <x:v>0</x:v>
      </x:c>
      <x:c r="AJ2918" t="n">
        <x:f>--AND(AI2918=1,R2918=1,S2918=1)</x:f>
        <x:v>0</x:v>
      </x:c>
    </x:row>
    <x:row r="2919">
      <x:c r="A2919" s="28"/>
      <x:c r="B2919" s="28"/>
      <x:c r="C2919" s="28"/>
      <x:c r="D2919" s="28"/>
      <x:c r="E2919" s="28"/>
      <x:c r="F2919" s="28"/>
      <x:c r="G2919" s="28"/>
      <x:c r="H2919" s="28"/>
      <x:c r="I2919" s="28"/>
      <x:c r="J2919" s="28"/>
      <x:c r="K2919" s="28"/>
      <x:c r="L2919" s="28"/>
      <x:c r="M2919" s="28"/>
      <x:c r="N2919" s="28"/>
      <x:c r="O2919" s="28"/>
      <x:c r="P2919" s="28"/>
      <x:c r="Q2919" s="28"/>
      <x:c r="R2919" s="28"/>
      <x:c r="S2919" s="28"/>
      <x:c r="T2919" s="28"/>
      <x:c r="U2919" s="28"/>
      <x:c r="V2919" s="28"/>
      <x:c r="W2919" s="43" t="n">
        <x:f>--AND(N2919=1,OR(O2919="SUPPORTED",O2919="HALLUCINATION"))</x:f>
        <x:v>0</x:v>
      </x:c>
      <x:c r="X2919" s="43" t="n">
        <x:f>--AND(W2919=1,O2919="HALLUCINATION")</x:f>
        <x:v>0</x:v>
      </x:c>
      <x:c r="Y2919" s="43" t="n">
        <x:f>--AND(Q2919=1,O2919="HALLUCINATION")</x:f>
        <x:v>0</x:v>
      </x:c>
      <x:c r="Z2919" s="43" t="n">
        <x:f>--AND(Y2919=1,R2919=1,S2919=1)</x:f>
        <x:v>0</x:v>
      </x:c>
      <x:c r="AC2919" t="str">
        <x:f>IF(OR(AA2919="",AB2919=""),"",--(AA2919&lt;&gt;AB2919))</x:f>
      </x:c>
      <x:c r="AE2919" t="str">
        <x:f>IF(OR(AA2919="",AB2919=""),"PENDING_HUMAN",IF(AA2919=AB2919,AA2919,IF(AD2919&lt;&gt;"",AD2919,"PENDING_HUMAN")))</x:f>
        <x:v>PENDING_HUMAN</x:v>
      </x:c>
      <x:c r="AF2919" t="n">
        <x:f>--AND(A2919&lt;&gt;"",AA2919&lt;&gt;"",AB2919&lt;&gt;"",OR(AA2919=AB2919,AD2919&lt;&gt;""),IF(AE2919="HALLUCINATION",U2919&lt;&gt;"",TRUE))</x:f>
        <x:v>0</x:v>
      </x:c>
      <x:c r="AG2919" t="n">
        <x:f>--AND(N2919=1,AF2919=1,OR(AE2919="SUPPORTED",AE2919="HALLUCINATION"))</x:f>
        <x:v>0</x:v>
      </x:c>
      <x:c r="AH2919" t="n">
        <x:f>--AND(AG2919=1,AE2919="HALLUCINATION")</x:f>
        <x:v>0</x:v>
      </x:c>
      <x:c r="AI2919" t="n">
        <x:f>--AND(Q2919=1,AF2919=1,AE2919="HALLUCINATION")</x:f>
        <x:v>0</x:v>
      </x:c>
      <x:c r="AJ2919" t="n">
        <x:f>--AND(AI2919=1,R2919=1,S2919=1)</x:f>
        <x:v>0</x:v>
      </x:c>
    </x:row>
    <x:row r="2920">
      <x:c r="A2920" s="28"/>
      <x:c r="B2920" s="28"/>
      <x:c r="C2920" s="28"/>
      <x:c r="D2920" s="28"/>
      <x:c r="E2920" s="28"/>
      <x:c r="F2920" s="28"/>
      <x:c r="G2920" s="28"/>
      <x:c r="H2920" s="28"/>
      <x:c r="I2920" s="28"/>
      <x:c r="J2920" s="28"/>
      <x:c r="K2920" s="28"/>
      <x:c r="L2920" s="28"/>
      <x:c r="M2920" s="28"/>
      <x:c r="N2920" s="28"/>
      <x:c r="O2920" s="28"/>
      <x:c r="P2920" s="28"/>
      <x:c r="Q2920" s="28"/>
      <x:c r="R2920" s="28"/>
      <x:c r="S2920" s="28"/>
      <x:c r="T2920" s="28"/>
      <x:c r="U2920" s="28"/>
      <x:c r="V2920" s="28"/>
      <x:c r="W2920" s="43" t="n">
        <x:f>--AND(N2920=1,OR(O2920="SUPPORTED",O2920="HALLUCINATION"))</x:f>
        <x:v>0</x:v>
      </x:c>
      <x:c r="X2920" s="43" t="n">
        <x:f>--AND(W2920=1,O2920="HALLUCINATION")</x:f>
        <x:v>0</x:v>
      </x:c>
      <x:c r="Y2920" s="43" t="n">
        <x:f>--AND(Q2920=1,O2920="HALLUCINATION")</x:f>
        <x:v>0</x:v>
      </x:c>
      <x:c r="Z2920" s="43" t="n">
        <x:f>--AND(Y2920=1,R2920=1,S2920=1)</x:f>
        <x:v>0</x:v>
      </x:c>
      <x:c r="AC2920" t="str">
        <x:f>IF(OR(AA2920="",AB2920=""),"",--(AA2920&lt;&gt;AB2920))</x:f>
      </x:c>
      <x:c r="AE2920" t="str">
        <x:f>IF(OR(AA2920="",AB2920=""),"PENDING_HUMAN",IF(AA2920=AB2920,AA2920,IF(AD2920&lt;&gt;"",AD2920,"PENDING_HUMAN")))</x:f>
        <x:v>PENDING_HUMAN</x:v>
      </x:c>
      <x:c r="AF2920" t="n">
        <x:f>--AND(A2920&lt;&gt;"",AA2920&lt;&gt;"",AB2920&lt;&gt;"",OR(AA2920=AB2920,AD2920&lt;&gt;""),IF(AE2920="HALLUCINATION",U2920&lt;&gt;"",TRUE))</x:f>
        <x:v>0</x:v>
      </x:c>
      <x:c r="AG2920" t="n">
        <x:f>--AND(N2920=1,AF2920=1,OR(AE2920="SUPPORTED",AE2920="HALLUCINATION"))</x:f>
        <x:v>0</x:v>
      </x:c>
      <x:c r="AH2920" t="n">
        <x:f>--AND(AG2920=1,AE2920="HALLUCINATION")</x:f>
        <x:v>0</x:v>
      </x:c>
      <x:c r="AI2920" t="n">
        <x:f>--AND(Q2920=1,AF2920=1,AE2920="HALLUCINATION")</x:f>
        <x:v>0</x:v>
      </x:c>
      <x:c r="AJ2920" t="n">
        <x:f>--AND(AI2920=1,R2920=1,S2920=1)</x:f>
        <x:v>0</x:v>
      </x:c>
    </x:row>
    <x:row r="2921">
      <x:c r="A2921" s="28"/>
      <x:c r="B2921" s="28"/>
      <x:c r="C2921" s="28"/>
      <x:c r="D2921" s="28"/>
      <x:c r="E2921" s="28"/>
      <x:c r="F2921" s="28"/>
      <x:c r="G2921" s="28"/>
      <x:c r="H2921" s="28"/>
      <x:c r="I2921" s="28"/>
      <x:c r="J2921" s="28"/>
      <x:c r="K2921" s="28"/>
      <x:c r="L2921" s="28"/>
      <x:c r="M2921" s="28"/>
      <x:c r="N2921" s="28"/>
      <x:c r="O2921" s="28"/>
      <x:c r="P2921" s="28"/>
      <x:c r="Q2921" s="28"/>
      <x:c r="R2921" s="28"/>
      <x:c r="S2921" s="28"/>
      <x:c r="T2921" s="28"/>
      <x:c r="U2921" s="28"/>
      <x:c r="V2921" s="28"/>
      <x:c r="W2921" s="43" t="n">
        <x:f>--AND(N2921=1,OR(O2921="SUPPORTED",O2921="HALLUCINATION"))</x:f>
        <x:v>0</x:v>
      </x:c>
      <x:c r="X2921" s="43" t="n">
        <x:f>--AND(W2921=1,O2921="HALLUCINATION")</x:f>
        <x:v>0</x:v>
      </x:c>
      <x:c r="Y2921" s="43" t="n">
        <x:f>--AND(Q2921=1,O2921="HALLUCINATION")</x:f>
        <x:v>0</x:v>
      </x:c>
      <x:c r="Z2921" s="43" t="n">
        <x:f>--AND(Y2921=1,R2921=1,S2921=1)</x:f>
        <x:v>0</x:v>
      </x:c>
      <x:c r="AC2921" t="str">
        <x:f>IF(OR(AA2921="",AB2921=""),"",--(AA2921&lt;&gt;AB2921))</x:f>
      </x:c>
      <x:c r="AE2921" t="str">
        <x:f>IF(OR(AA2921="",AB2921=""),"PENDING_HUMAN",IF(AA2921=AB2921,AA2921,IF(AD2921&lt;&gt;"",AD2921,"PENDING_HUMAN")))</x:f>
        <x:v>PENDING_HUMAN</x:v>
      </x:c>
      <x:c r="AF2921" t="n">
        <x:f>--AND(A2921&lt;&gt;"",AA2921&lt;&gt;"",AB2921&lt;&gt;"",OR(AA2921=AB2921,AD2921&lt;&gt;""),IF(AE2921="HALLUCINATION",U2921&lt;&gt;"",TRUE))</x:f>
        <x:v>0</x:v>
      </x:c>
      <x:c r="AG2921" t="n">
        <x:f>--AND(N2921=1,AF2921=1,OR(AE2921="SUPPORTED",AE2921="HALLUCINATION"))</x:f>
        <x:v>0</x:v>
      </x:c>
      <x:c r="AH2921" t="n">
        <x:f>--AND(AG2921=1,AE2921="HALLUCINATION")</x:f>
        <x:v>0</x:v>
      </x:c>
      <x:c r="AI2921" t="n">
        <x:f>--AND(Q2921=1,AF2921=1,AE2921="HALLUCINATION")</x:f>
        <x:v>0</x:v>
      </x:c>
      <x:c r="AJ2921" t="n">
        <x:f>--AND(AI2921=1,R2921=1,S2921=1)</x:f>
        <x:v>0</x:v>
      </x:c>
    </x:row>
    <x:row r="2922">
      <x:c r="A2922" s="28"/>
      <x:c r="B2922" s="28"/>
      <x:c r="C2922" s="28"/>
      <x:c r="D2922" s="28"/>
      <x:c r="E2922" s="28"/>
      <x:c r="F2922" s="28"/>
      <x:c r="G2922" s="28"/>
      <x:c r="H2922" s="28"/>
      <x:c r="I2922" s="28"/>
      <x:c r="J2922" s="28"/>
      <x:c r="K2922" s="28"/>
      <x:c r="L2922" s="28"/>
      <x:c r="M2922" s="28"/>
      <x:c r="N2922" s="28"/>
      <x:c r="O2922" s="28"/>
      <x:c r="P2922" s="28"/>
      <x:c r="Q2922" s="28"/>
      <x:c r="R2922" s="28"/>
      <x:c r="S2922" s="28"/>
      <x:c r="T2922" s="28"/>
      <x:c r="U2922" s="28"/>
      <x:c r="V2922" s="28"/>
      <x:c r="W2922" s="43" t="n">
        <x:f>--AND(N2922=1,OR(O2922="SUPPORTED",O2922="HALLUCINATION"))</x:f>
        <x:v>0</x:v>
      </x:c>
      <x:c r="X2922" s="43" t="n">
        <x:f>--AND(W2922=1,O2922="HALLUCINATION")</x:f>
        <x:v>0</x:v>
      </x:c>
      <x:c r="Y2922" s="43" t="n">
        <x:f>--AND(Q2922=1,O2922="HALLUCINATION")</x:f>
        <x:v>0</x:v>
      </x:c>
      <x:c r="Z2922" s="43" t="n">
        <x:f>--AND(Y2922=1,R2922=1,S2922=1)</x:f>
        <x:v>0</x:v>
      </x:c>
      <x:c r="AC2922" t="str">
        <x:f>IF(OR(AA2922="",AB2922=""),"",--(AA2922&lt;&gt;AB2922))</x:f>
      </x:c>
      <x:c r="AE2922" t="str">
        <x:f>IF(OR(AA2922="",AB2922=""),"PENDING_HUMAN",IF(AA2922=AB2922,AA2922,IF(AD2922&lt;&gt;"",AD2922,"PENDING_HUMAN")))</x:f>
        <x:v>PENDING_HUMAN</x:v>
      </x:c>
      <x:c r="AF2922" t="n">
        <x:f>--AND(A2922&lt;&gt;"",AA2922&lt;&gt;"",AB2922&lt;&gt;"",OR(AA2922=AB2922,AD2922&lt;&gt;""),IF(AE2922="HALLUCINATION",U2922&lt;&gt;"",TRUE))</x:f>
        <x:v>0</x:v>
      </x:c>
      <x:c r="AG2922" t="n">
        <x:f>--AND(N2922=1,AF2922=1,OR(AE2922="SUPPORTED",AE2922="HALLUCINATION"))</x:f>
        <x:v>0</x:v>
      </x:c>
      <x:c r="AH2922" t="n">
        <x:f>--AND(AG2922=1,AE2922="HALLUCINATION")</x:f>
        <x:v>0</x:v>
      </x:c>
      <x:c r="AI2922" t="n">
        <x:f>--AND(Q2922=1,AF2922=1,AE2922="HALLUCINATION")</x:f>
        <x:v>0</x:v>
      </x:c>
      <x:c r="AJ2922" t="n">
        <x:f>--AND(AI2922=1,R2922=1,S2922=1)</x:f>
        <x:v>0</x:v>
      </x:c>
    </x:row>
    <x:row r="2923">
      <x:c r="A2923" s="28"/>
      <x:c r="B2923" s="28"/>
      <x:c r="C2923" s="28"/>
      <x:c r="D2923" s="28"/>
      <x:c r="E2923" s="28"/>
      <x:c r="F2923" s="28"/>
      <x:c r="G2923" s="28"/>
      <x:c r="H2923" s="28"/>
      <x:c r="I2923" s="28"/>
      <x:c r="J2923" s="28"/>
      <x:c r="K2923" s="28"/>
      <x:c r="L2923" s="28"/>
      <x:c r="M2923" s="28"/>
      <x:c r="N2923" s="28"/>
      <x:c r="O2923" s="28"/>
      <x:c r="P2923" s="28"/>
      <x:c r="Q2923" s="28"/>
      <x:c r="R2923" s="28"/>
      <x:c r="S2923" s="28"/>
      <x:c r="T2923" s="28"/>
      <x:c r="U2923" s="28"/>
      <x:c r="V2923" s="28"/>
      <x:c r="W2923" s="43" t="n">
        <x:f>--AND(N2923=1,OR(O2923="SUPPORTED",O2923="HALLUCINATION"))</x:f>
        <x:v>0</x:v>
      </x:c>
      <x:c r="X2923" s="43" t="n">
        <x:f>--AND(W2923=1,O2923="HALLUCINATION")</x:f>
        <x:v>0</x:v>
      </x:c>
      <x:c r="Y2923" s="43" t="n">
        <x:f>--AND(Q2923=1,O2923="HALLUCINATION")</x:f>
        <x:v>0</x:v>
      </x:c>
      <x:c r="Z2923" s="43" t="n">
        <x:f>--AND(Y2923=1,R2923=1,S2923=1)</x:f>
        <x:v>0</x:v>
      </x:c>
      <x:c r="AC2923" t="str">
        <x:f>IF(OR(AA2923="",AB2923=""),"",--(AA2923&lt;&gt;AB2923))</x:f>
      </x:c>
      <x:c r="AE2923" t="str">
        <x:f>IF(OR(AA2923="",AB2923=""),"PENDING_HUMAN",IF(AA2923=AB2923,AA2923,IF(AD2923&lt;&gt;"",AD2923,"PENDING_HUMAN")))</x:f>
        <x:v>PENDING_HUMAN</x:v>
      </x:c>
      <x:c r="AF2923" t="n">
        <x:f>--AND(A2923&lt;&gt;"",AA2923&lt;&gt;"",AB2923&lt;&gt;"",OR(AA2923=AB2923,AD2923&lt;&gt;""),IF(AE2923="HALLUCINATION",U2923&lt;&gt;"",TRUE))</x:f>
        <x:v>0</x:v>
      </x:c>
      <x:c r="AG2923" t="n">
        <x:f>--AND(N2923=1,AF2923=1,OR(AE2923="SUPPORTED",AE2923="HALLUCINATION"))</x:f>
        <x:v>0</x:v>
      </x:c>
      <x:c r="AH2923" t="n">
        <x:f>--AND(AG2923=1,AE2923="HALLUCINATION")</x:f>
        <x:v>0</x:v>
      </x:c>
      <x:c r="AI2923" t="n">
        <x:f>--AND(Q2923=1,AF2923=1,AE2923="HALLUCINATION")</x:f>
        <x:v>0</x:v>
      </x:c>
      <x:c r="AJ2923" t="n">
        <x:f>--AND(AI2923=1,R2923=1,S2923=1)</x:f>
        <x:v>0</x:v>
      </x:c>
    </x:row>
    <x:row r="2924">
      <x:c r="A2924" s="28"/>
      <x:c r="B2924" s="28"/>
      <x:c r="C2924" s="28"/>
      <x:c r="D2924" s="28"/>
      <x:c r="E2924" s="28"/>
      <x:c r="F2924" s="28"/>
      <x:c r="G2924" s="28"/>
      <x:c r="H2924" s="28"/>
      <x:c r="I2924" s="28"/>
      <x:c r="J2924" s="28"/>
      <x:c r="K2924" s="28"/>
      <x:c r="L2924" s="28"/>
      <x:c r="M2924" s="28"/>
      <x:c r="N2924" s="28"/>
      <x:c r="O2924" s="28"/>
      <x:c r="P2924" s="28"/>
      <x:c r="Q2924" s="28"/>
      <x:c r="R2924" s="28"/>
      <x:c r="S2924" s="28"/>
      <x:c r="T2924" s="28"/>
      <x:c r="U2924" s="28"/>
      <x:c r="V2924" s="28"/>
      <x:c r="W2924" s="43" t="n">
        <x:f>--AND(N2924=1,OR(O2924="SUPPORTED",O2924="HALLUCINATION"))</x:f>
        <x:v>0</x:v>
      </x:c>
      <x:c r="X2924" s="43" t="n">
        <x:f>--AND(W2924=1,O2924="HALLUCINATION")</x:f>
        <x:v>0</x:v>
      </x:c>
      <x:c r="Y2924" s="43" t="n">
        <x:f>--AND(Q2924=1,O2924="HALLUCINATION")</x:f>
        <x:v>0</x:v>
      </x:c>
      <x:c r="Z2924" s="43" t="n">
        <x:f>--AND(Y2924=1,R2924=1,S2924=1)</x:f>
        <x:v>0</x:v>
      </x:c>
      <x:c r="AC2924" t="str">
        <x:f>IF(OR(AA2924="",AB2924=""),"",--(AA2924&lt;&gt;AB2924))</x:f>
      </x:c>
      <x:c r="AE2924" t="str">
        <x:f>IF(OR(AA2924="",AB2924=""),"PENDING_HUMAN",IF(AA2924=AB2924,AA2924,IF(AD2924&lt;&gt;"",AD2924,"PENDING_HUMAN")))</x:f>
        <x:v>PENDING_HUMAN</x:v>
      </x:c>
      <x:c r="AF2924" t="n">
        <x:f>--AND(A2924&lt;&gt;"",AA2924&lt;&gt;"",AB2924&lt;&gt;"",OR(AA2924=AB2924,AD2924&lt;&gt;""),IF(AE2924="HALLUCINATION",U2924&lt;&gt;"",TRUE))</x:f>
        <x:v>0</x:v>
      </x:c>
      <x:c r="AG2924" t="n">
        <x:f>--AND(N2924=1,AF2924=1,OR(AE2924="SUPPORTED",AE2924="HALLUCINATION"))</x:f>
        <x:v>0</x:v>
      </x:c>
      <x:c r="AH2924" t="n">
        <x:f>--AND(AG2924=1,AE2924="HALLUCINATION")</x:f>
        <x:v>0</x:v>
      </x:c>
      <x:c r="AI2924" t="n">
        <x:f>--AND(Q2924=1,AF2924=1,AE2924="HALLUCINATION")</x:f>
        <x:v>0</x:v>
      </x:c>
      <x:c r="AJ2924" t="n">
        <x:f>--AND(AI2924=1,R2924=1,S2924=1)</x:f>
        <x:v>0</x:v>
      </x:c>
    </x:row>
    <x:row r="2925">
      <x:c r="A2925" s="28"/>
      <x:c r="B2925" s="28"/>
      <x:c r="C2925" s="28"/>
      <x:c r="D2925" s="28"/>
      <x:c r="E2925" s="28"/>
      <x:c r="F2925" s="28"/>
      <x:c r="G2925" s="28"/>
      <x:c r="H2925" s="28"/>
      <x:c r="I2925" s="28"/>
      <x:c r="J2925" s="28"/>
      <x:c r="K2925" s="28"/>
      <x:c r="L2925" s="28"/>
      <x:c r="M2925" s="28"/>
      <x:c r="N2925" s="28"/>
      <x:c r="O2925" s="28"/>
      <x:c r="P2925" s="28"/>
      <x:c r="Q2925" s="28"/>
      <x:c r="R2925" s="28"/>
      <x:c r="S2925" s="28"/>
      <x:c r="T2925" s="28"/>
      <x:c r="U2925" s="28"/>
      <x:c r="V2925" s="28"/>
      <x:c r="W2925" s="43" t="n">
        <x:f>--AND(N2925=1,OR(O2925="SUPPORTED",O2925="HALLUCINATION"))</x:f>
        <x:v>0</x:v>
      </x:c>
      <x:c r="X2925" s="43" t="n">
        <x:f>--AND(W2925=1,O2925="HALLUCINATION")</x:f>
        <x:v>0</x:v>
      </x:c>
      <x:c r="Y2925" s="43" t="n">
        <x:f>--AND(Q2925=1,O2925="HALLUCINATION")</x:f>
        <x:v>0</x:v>
      </x:c>
      <x:c r="Z2925" s="43" t="n">
        <x:f>--AND(Y2925=1,R2925=1,S2925=1)</x:f>
        <x:v>0</x:v>
      </x:c>
      <x:c r="AC2925" t="str">
        <x:f>IF(OR(AA2925="",AB2925=""),"",--(AA2925&lt;&gt;AB2925))</x:f>
      </x:c>
      <x:c r="AE2925" t="str">
        <x:f>IF(OR(AA2925="",AB2925=""),"PENDING_HUMAN",IF(AA2925=AB2925,AA2925,IF(AD2925&lt;&gt;"",AD2925,"PENDING_HUMAN")))</x:f>
        <x:v>PENDING_HUMAN</x:v>
      </x:c>
      <x:c r="AF2925" t="n">
        <x:f>--AND(A2925&lt;&gt;"",AA2925&lt;&gt;"",AB2925&lt;&gt;"",OR(AA2925=AB2925,AD2925&lt;&gt;""),IF(AE2925="HALLUCINATION",U2925&lt;&gt;"",TRUE))</x:f>
        <x:v>0</x:v>
      </x:c>
      <x:c r="AG2925" t="n">
        <x:f>--AND(N2925=1,AF2925=1,OR(AE2925="SUPPORTED",AE2925="HALLUCINATION"))</x:f>
        <x:v>0</x:v>
      </x:c>
      <x:c r="AH2925" t="n">
        <x:f>--AND(AG2925=1,AE2925="HALLUCINATION")</x:f>
        <x:v>0</x:v>
      </x:c>
      <x:c r="AI2925" t="n">
        <x:f>--AND(Q2925=1,AF2925=1,AE2925="HALLUCINATION")</x:f>
        <x:v>0</x:v>
      </x:c>
      <x:c r="AJ2925" t="n">
        <x:f>--AND(AI2925=1,R2925=1,S2925=1)</x:f>
        <x:v>0</x:v>
      </x:c>
    </x:row>
    <x:row r="2926">
      <x:c r="A2926" s="28"/>
      <x:c r="B2926" s="28"/>
      <x:c r="C2926" s="28"/>
      <x:c r="D2926" s="28"/>
      <x:c r="E2926" s="28"/>
      <x:c r="F2926" s="28"/>
      <x:c r="G2926" s="28"/>
      <x:c r="H2926" s="28"/>
      <x:c r="I2926" s="28"/>
      <x:c r="J2926" s="28"/>
      <x:c r="K2926" s="28"/>
      <x:c r="L2926" s="28"/>
      <x:c r="M2926" s="28"/>
      <x:c r="N2926" s="28"/>
      <x:c r="O2926" s="28"/>
      <x:c r="P2926" s="28"/>
      <x:c r="Q2926" s="28"/>
      <x:c r="R2926" s="28"/>
      <x:c r="S2926" s="28"/>
      <x:c r="T2926" s="28"/>
      <x:c r="U2926" s="28"/>
      <x:c r="V2926" s="28"/>
      <x:c r="W2926" s="43" t="n">
        <x:f>--AND(N2926=1,OR(O2926="SUPPORTED",O2926="HALLUCINATION"))</x:f>
        <x:v>0</x:v>
      </x:c>
      <x:c r="X2926" s="43" t="n">
        <x:f>--AND(W2926=1,O2926="HALLUCINATION")</x:f>
        <x:v>0</x:v>
      </x:c>
      <x:c r="Y2926" s="43" t="n">
        <x:f>--AND(Q2926=1,O2926="HALLUCINATION")</x:f>
        <x:v>0</x:v>
      </x:c>
      <x:c r="Z2926" s="43" t="n">
        <x:f>--AND(Y2926=1,R2926=1,S2926=1)</x:f>
        <x:v>0</x:v>
      </x:c>
      <x:c r="AC2926" t="str">
        <x:f>IF(OR(AA2926="",AB2926=""),"",--(AA2926&lt;&gt;AB2926))</x:f>
      </x:c>
      <x:c r="AE2926" t="str">
        <x:f>IF(OR(AA2926="",AB2926=""),"PENDING_HUMAN",IF(AA2926=AB2926,AA2926,IF(AD2926&lt;&gt;"",AD2926,"PENDING_HUMAN")))</x:f>
        <x:v>PENDING_HUMAN</x:v>
      </x:c>
      <x:c r="AF2926" t="n">
        <x:f>--AND(A2926&lt;&gt;"",AA2926&lt;&gt;"",AB2926&lt;&gt;"",OR(AA2926=AB2926,AD2926&lt;&gt;""),IF(AE2926="HALLUCINATION",U2926&lt;&gt;"",TRUE))</x:f>
        <x:v>0</x:v>
      </x:c>
      <x:c r="AG2926" t="n">
        <x:f>--AND(N2926=1,AF2926=1,OR(AE2926="SUPPORTED",AE2926="HALLUCINATION"))</x:f>
        <x:v>0</x:v>
      </x:c>
      <x:c r="AH2926" t="n">
        <x:f>--AND(AG2926=1,AE2926="HALLUCINATION")</x:f>
        <x:v>0</x:v>
      </x:c>
      <x:c r="AI2926" t="n">
        <x:f>--AND(Q2926=1,AF2926=1,AE2926="HALLUCINATION")</x:f>
        <x:v>0</x:v>
      </x:c>
      <x:c r="AJ2926" t="n">
        <x:f>--AND(AI2926=1,R2926=1,S2926=1)</x:f>
        <x:v>0</x:v>
      </x:c>
    </x:row>
    <x:row r="2927">
      <x:c r="A2927" s="28"/>
      <x:c r="B2927" s="28"/>
      <x:c r="C2927" s="28"/>
      <x:c r="D2927" s="28"/>
      <x:c r="E2927" s="28"/>
      <x:c r="F2927" s="28"/>
      <x:c r="G2927" s="28"/>
      <x:c r="H2927" s="28"/>
      <x:c r="I2927" s="28"/>
      <x:c r="J2927" s="28"/>
      <x:c r="K2927" s="28"/>
      <x:c r="L2927" s="28"/>
      <x:c r="M2927" s="28"/>
      <x:c r="N2927" s="28"/>
      <x:c r="O2927" s="28"/>
      <x:c r="P2927" s="28"/>
      <x:c r="Q2927" s="28"/>
      <x:c r="R2927" s="28"/>
      <x:c r="S2927" s="28"/>
      <x:c r="T2927" s="28"/>
      <x:c r="U2927" s="28"/>
      <x:c r="V2927" s="28"/>
      <x:c r="W2927" s="43" t="n">
        <x:f>--AND(N2927=1,OR(O2927="SUPPORTED",O2927="HALLUCINATION"))</x:f>
        <x:v>0</x:v>
      </x:c>
      <x:c r="X2927" s="43" t="n">
        <x:f>--AND(W2927=1,O2927="HALLUCINATION")</x:f>
        <x:v>0</x:v>
      </x:c>
      <x:c r="Y2927" s="43" t="n">
        <x:f>--AND(Q2927=1,O2927="HALLUCINATION")</x:f>
        <x:v>0</x:v>
      </x:c>
      <x:c r="Z2927" s="43" t="n">
        <x:f>--AND(Y2927=1,R2927=1,S2927=1)</x:f>
        <x:v>0</x:v>
      </x:c>
      <x:c r="AC2927" t="str">
        <x:f>IF(OR(AA2927="",AB2927=""),"",--(AA2927&lt;&gt;AB2927))</x:f>
      </x:c>
      <x:c r="AE2927" t="str">
        <x:f>IF(OR(AA2927="",AB2927=""),"PENDING_HUMAN",IF(AA2927=AB2927,AA2927,IF(AD2927&lt;&gt;"",AD2927,"PENDING_HUMAN")))</x:f>
        <x:v>PENDING_HUMAN</x:v>
      </x:c>
      <x:c r="AF2927" t="n">
        <x:f>--AND(A2927&lt;&gt;"",AA2927&lt;&gt;"",AB2927&lt;&gt;"",OR(AA2927=AB2927,AD2927&lt;&gt;""),IF(AE2927="HALLUCINATION",U2927&lt;&gt;"",TRUE))</x:f>
        <x:v>0</x:v>
      </x:c>
      <x:c r="AG2927" t="n">
        <x:f>--AND(N2927=1,AF2927=1,OR(AE2927="SUPPORTED",AE2927="HALLUCINATION"))</x:f>
        <x:v>0</x:v>
      </x:c>
      <x:c r="AH2927" t="n">
        <x:f>--AND(AG2927=1,AE2927="HALLUCINATION")</x:f>
        <x:v>0</x:v>
      </x:c>
      <x:c r="AI2927" t="n">
        <x:f>--AND(Q2927=1,AF2927=1,AE2927="HALLUCINATION")</x:f>
        <x:v>0</x:v>
      </x:c>
      <x:c r="AJ2927" t="n">
        <x:f>--AND(AI2927=1,R2927=1,S2927=1)</x:f>
        <x:v>0</x:v>
      </x:c>
    </x:row>
    <x:row r="2928">
      <x:c r="A2928" s="28"/>
      <x:c r="B2928" s="28"/>
      <x:c r="C2928" s="28"/>
      <x:c r="D2928" s="28"/>
      <x:c r="E2928" s="28"/>
      <x:c r="F2928" s="28"/>
      <x:c r="G2928" s="28"/>
      <x:c r="H2928" s="28"/>
      <x:c r="I2928" s="28"/>
      <x:c r="J2928" s="28"/>
      <x:c r="K2928" s="28"/>
      <x:c r="L2928" s="28"/>
      <x:c r="M2928" s="28"/>
      <x:c r="N2928" s="28"/>
      <x:c r="O2928" s="28"/>
      <x:c r="P2928" s="28"/>
      <x:c r="Q2928" s="28"/>
      <x:c r="R2928" s="28"/>
      <x:c r="S2928" s="28"/>
      <x:c r="T2928" s="28"/>
      <x:c r="U2928" s="28"/>
      <x:c r="V2928" s="28"/>
      <x:c r="W2928" s="43" t="n">
        <x:f>--AND(N2928=1,OR(O2928="SUPPORTED",O2928="HALLUCINATION"))</x:f>
        <x:v>0</x:v>
      </x:c>
      <x:c r="X2928" s="43" t="n">
        <x:f>--AND(W2928=1,O2928="HALLUCINATION")</x:f>
        <x:v>0</x:v>
      </x:c>
      <x:c r="Y2928" s="43" t="n">
        <x:f>--AND(Q2928=1,O2928="HALLUCINATION")</x:f>
        <x:v>0</x:v>
      </x:c>
      <x:c r="Z2928" s="43" t="n">
        <x:f>--AND(Y2928=1,R2928=1,S2928=1)</x:f>
        <x:v>0</x:v>
      </x:c>
      <x:c r="AC2928" t="str">
        <x:f>IF(OR(AA2928="",AB2928=""),"",--(AA2928&lt;&gt;AB2928))</x:f>
      </x:c>
      <x:c r="AE2928" t="str">
        <x:f>IF(OR(AA2928="",AB2928=""),"PENDING_HUMAN",IF(AA2928=AB2928,AA2928,IF(AD2928&lt;&gt;"",AD2928,"PENDING_HUMAN")))</x:f>
        <x:v>PENDING_HUMAN</x:v>
      </x:c>
      <x:c r="AF2928" t="n">
        <x:f>--AND(A2928&lt;&gt;"",AA2928&lt;&gt;"",AB2928&lt;&gt;"",OR(AA2928=AB2928,AD2928&lt;&gt;""),IF(AE2928="HALLUCINATION",U2928&lt;&gt;"",TRUE))</x:f>
        <x:v>0</x:v>
      </x:c>
      <x:c r="AG2928" t="n">
        <x:f>--AND(N2928=1,AF2928=1,OR(AE2928="SUPPORTED",AE2928="HALLUCINATION"))</x:f>
        <x:v>0</x:v>
      </x:c>
      <x:c r="AH2928" t="n">
        <x:f>--AND(AG2928=1,AE2928="HALLUCINATION")</x:f>
        <x:v>0</x:v>
      </x:c>
      <x:c r="AI2928" t="n">
        <x:f>--AND(Q2928=1,AF2928=1,AE2928="HALLUCINATION")</x:f>
        <x:v>0</x:v>
      </x:c>
      <x:c r="AJ2928" t="n">
        <x:f>--AND(AI2928=1,R2928=1,S2928=1)</x:f>
        <x:v>0</x:v>
      </x:c>
    </x:row>
    <x:row r="2929">
      <x:c r="A2929" s="28"/>
      <x:c r="B2929" s="28"/>
      <x:c r="C2929" s="28"/>
      <x:c r="D2929" s="28"/>
      <x:c r="E2929" s="28"/>
      <x:c r="F2929" s="28"/>
      <x:c r="G2929" s="28"/>
      <x:c r="H2929" s="28"/>
      <x:c r="I2929" s="28"/>
      <x:c r="J2929" s="28"/>
      <x:c r="K2929" s="28"/>
      <x:c r="L2929" s="28"/>
      <x:c r="M2929" s="28"/>
      <x:c r="N2929" s="28"/>
      <x:c r="O2929" s="28"/>
      <x:c r="P2929" s="28"/>
      <x:c r="Q2929" s="28"/>
      <x:c r="R2929" s="28"/>
      <x:c r="S2929" s="28"/>
      <x:c r="T2929" s="28"/>
      <x:c r="U2929" s="28"/>
      <x:c r="V2929" s="28"/>
      <x:c r="W2929" s="43" t="n">
        <x:f>--AND(N2929=1,OR(O2929="SUPPORTED",O2929="HALLUCINATION"))</x:f>
        <x:v>0</x:v>
      </x:c>
      <x:c r="X2929" s="43" t="n">
        <x:f>--AND(W2929=1,O2929="HALLUCINATION")</x:f>
        <x:v>0</x:v>
      </x:c>
      <x:c r="Y2929" s="43" t="n">
        <x:f>--AND(Q2929=1,O2929="HALLUCINATION")</x:f>
        <x:v>0</x:v>
      </x:c>
      <x:c r="Z2929" s="43" t="n">
        <x:f>--AND(Y2929=1,R2929=1,S2929=1)</x:f>
        <x:v>0</x:v>
      </x:c>
      <x:c r="AC2929" t="str">
        <x:f>IF(OR(AA2929="",AB2929=""),"",--(AA2929&lt;&gt;AB2929))</x:f>
      </x:c>
      <x:c r="AE2929" t="str">
        <x:f>IF(OR(AA2929="",AB2929=""),"PENDING_HUMAN",IF(AA2929=AB2929,AA2929,IF(AD2929&lt;&gt;"",AD2929,"PENDING_HUMAN")))</x:f>
        <x:v>PENDING_HUMAN</x:v>
      </x:c>
      <x:c r="AF2929" t="n">
        <x:f>--AND(A2929&lt;&gt;"",AA2929&lt;&gt;"",AB2929&lt;&gt;"",OR(AA2929=AB2929,AD2929&lt;&gt;""),IF(AE2929="HALLUCINATION",U2929&lt;&gt;"",TRUE))</x:f>
        <x:v>0</x:v>
      </x:c>
      <x:c r="AG2929" t="n">
        <x:f>--AND(N2929=1,AF2929=1,OR(AE2929="SUPPORTED",AE2929="HALLUCINATION"))</x:f>
        <x:v>0</x:v>
      </x:c>
      <x:c r="AH2929" t="n">
        <x:f>--AND(AG2929=1,AE2929="HALLUCINATION")</x:f>
        <x:v>0</x:v>
      </x:c>
      <x:c r="AI2929" t="n">
        <x:f>--AND(Q2929=1,AF2929=1,AE2929="HALLUCINATION")</x:f>
        <x:v>0</x:v>
      </x:c>
      <x:c r="AJ2929" t="n">
        <x:f>--AND(AI2929=1,R2929=1,S2929=1)</x:f>
        <x:v>0</x:v>
      </x:c>
    </x:row>
    <x:row r="2930">
      <x:c r="A2930" s="28"/>
      <x:c r="B2930" s="28"/>
      <x:c r="C2930" s="28"/>
      <x:c r="D2930" s="28"/>
      <x:c r="E2930" s="28"/>
      <x:c r="F2930" s="28"/>
      <x:c r="G2930" s="28"/>
      <x:c r="H2930" s="28"/>
      <x:c r="I2930" s="28"/>
      <x:c r="J2930" s="28"/>
      <x:c r="K2930" s="28"/>
      <x:c r="L2930" s="28"/>
      <x:c r="M2930" s="28"/>
      <x:c r="N2930" s="28"/>
      <x:c r="O2930" s="28"/>
      <x:c r="P2930" s="28"/>
      <x:c r="Q2930" s="28"/>
      <x:c r="R2930" s="28"/>
      <x:c r="S2930" s="28"/>
      <x:c r="T2930" s="28"/>
      <x:c r="U2930" s="28"/>
      <x:c r="V2930" s="28"/>
      <x:c r="W2930" s="43" t="n">
        <x:f>--AND(N2930=1,OR(O2930="SUPPORTED",O2930="HALLUCINATION"))</x:f>
        <x:v>0</x:v>
      </x:c>
      <x:c r="X2930" s="43" t="n">
        <x:f>--AND(W2930=1,O2930="HALLUCINATION")</x:f>
        <x:v>0</x:v>
      </x:c>
      <x:c r="Y2930" s="43" t="n">
        <x:f>--AND(Q2930=1,O2930="HALLUCINATION")</x:f>
        <x:v>0</x:v>
      </x:c>
      <x:c r="Z2930" s="43" t="n">
        <x:f>--AND(Y2930=1,R2930=1,S2930=1)</x:f>
        <x:v>0</x:v>
      </x:c>
      <x:c r="AC2930" t="str">
        <x:f>IF(OR(AA2930="",AB2930=""),"",--(AA2930&lt;&gt;AB2930))</x:f>
      </x:c>
      <x:c r="AE2930" t="str">
        <x:f>IF(OR(AA2930="",AB2930=""),"PENDING_HUMAN",IF(AA2930=AB2930,AA2930,IF(AD2930&lt;&gt;"",AD2930,"PENDING_HUMAN")))</x:f>
        <x:v>PENDING_HUMAN</x:v>
      </x:c>
      <x:c r="AF2930" t="n">
        <x:f>--AND(A2930&lt;&gt;"",AA2930&lt;&gt;"",AB2930&lt;&gt;"",OR(AA2930=AB2930,AD2930&lt;&gt;""),IF(AE2930="HALLUCINATION",U2930&lt;&gt;"",TRUE))</x:f>
        <x:v>0</x:v>
      </x:c>
      <x:c r="AG2930" t="n">
        <x:f>--AND(N2930=1,AF2930=1,OR(AE2930="SUPPORTED",AE2930="HALLUCINATION"))</x:f>
        <x:v>0</x:v>
      </x:c>
      <x:c r="AH2930" t="n">
        <x:f>--AND(AG2930=1,AE2930="HALLUCINATION")</x:f>
        <x:v>0</x:v>
      </x:c>
      <x:c r="AI2930" t="n">
        <x:f>--AND(Q2930=1,AF2930=1,AE2930="HALLUCINATION")</x:f>
        <x:v>0</x:v>
      </x:c>
      <x:c r="AJ2930" t="n">
        <x:f>--AND(AI2930=1,R2930=1,S2930=1)</x:f>
        <x:v>0</x:v>
      </x:c>
    </x:row>
    <x:row r="2931">
      <x:c r="A2931" s="28"/>
      <x:c r="B2931" s="28"/>
      <x:c r="C2931" s="28"/>
      <x:c r="D2931" s="28"/>
      <x:c r="E2931" s="28"/>
      <x:c r="F2931" s="28"/>
      <x:c r="G2931" s="28"/>
      <x:c r="H2931" s="28"/>
      <x:c r="I2931" s="28"/>
      <x:c r="J2931" s="28"/>
      <x:c r="K2931" s="28"/>
      <x:c r="L2931" s="28"/>
      <x:c r="M2931" s="28"/>
      <x:c r="N2931" s="28"/>
      <x:c r="O2931" s="28"/>
      <x:c r="P2931" s="28"/>
      <x:c r="Q2931" s="28"/>
      <x:c r="R2931" s="28"/>
      <x:c r="S2931" s="28"/>
      <x:c r="T2931" s="28"/>
      <x:c r="U2931" s="28"/>
      <x:c r="V2931" s="28"/>
      <x:c r="W2931" s="43" t="n">
        <x:f>--AND(N2931=1,OR(O2931="SUPPORTED",O2931="HALLUCINATION"))</x:f>
        <x:v>0</x:v>
      </x:c>
      <x:c r="X2931" s="43" t="n">
        <x:f>--AND(W2931=1,O2931="HALLUCINATION")</x:f>
        <x:v>0</x:v>
      </x:c>
      <x:c r="Y2931" s="43" t="n">
        <x:f>--AND(Q2931=1,O2931="HALLUCINATION")</x:f>
        <x:v>0</x:v>
      </x:c>
      <x:c r="Z2931" s="43" t="n">
        <x:f>--AND(Y2931=1,R2931=1,S2931=1)</x:f>
        <x:v>0</x:v>
      </x:c>
      <x:c r="AC2931" t="str">
        <x:f>IF(OR(AA2931="",AB2931=""),"",--(AA2931&lt;&gt;AB2931))</x:f>
      </x:c>
      <x:c r="AE2931" t="str">
        <x:f>IF(OR(AA2931="",AB2931=""),"PENDING_HUMAN",IF(AA2931=AB2931,AA2931,IF(AD2931&lt;&gt;"",AD2931,"PENDING_HUMAN")))</x:f>
        <x:v>PENDING_HUMAN</x:v>
      </x:c>
      <x:c r="AF2931" t="n">
        <x:f>--AND(A2931&lt;&gt;"",AA2931&lt;&gt;"",AB2931&lt;&gt;"",OR(AA2931=AB2931,AD2931&lt;&gt;""),IF(AE2931="HALLUCINATION",U2931&lt;&gt;"",TRUE))</x:f>
        <x:v>0</x:v>
      </x:c>
      <x:c r="AG2931" t="n">
        <x:f>--AND(N2931=1,AF2931=1,OR(AE2931="SUPPORTED",AE2931="HALLUCINATION"))</x:f>
        <x:v>0</x:v>
      </x:c>
      <x:c r="AH2931" t="n">
        <x:f>--AND(AG2931=1,AE2931="HALLUCINATION")</x:f>
        <x:v>0</x:v>
      </x:c>
      <x:c r="AI2931" t="n">
        <x:f>--AND(Q2931=1,AF2931=1,AE2931="HALLUCINATION")</x:f>
        <x:v>0</x:v>
      </x:c>
      <x:c r="AJ2931" t="n">
        <x:f>--AND(AI2931=1,R2931=1,S2931=1)</x:f>
        <x:v>0</x:v>
      </x:c>
    </x:row>
    <x:row r="2932">
      <x:c r="A2932" s="28"/>
      <x:c r="B2932" s="28"/>
      <x:c r="C2932" s="28"/>
      <x:c r="D2932" s="28"/>
      <x:c r="E2932" s="28"/>
      <x:c r="F2932" s="28"/>
      <x:c r="G2932" s="28"/>
      <x:c r="H2932" s="28"/>
      <x:c r="I2932" s="28"/>
      <x:c r="J2932" s="28"/>
      <x:c r="K2932" s="28"/>
      <x:c r="L2932" s="28"/>
      <x:c r="M2932" s="28"/>
      <x:c r="N2932" s="28"/>
      <x:c r="O2932" s="28"/>
      <x:c r="P2932" s="28"/>
      <x:c r="Q2932" s="28"/>
      <x:c r="R2932" s="28"/>
      <x:c r="S2932" s="28"/>
      <x:c r="T2932" s="28"/>
      <x:c r="U2932" s="28"/>
      <x:c r="V2932" s="28"/>
      <x:c r="W2932" s="43" t="n">
        <x:f>--AND(N2932=1,OR(O2932="SUPPORTED",O2932="HALLUCINATION"))</x:f>
        <x:v>0</x:v>
      </x:c>
      <x:c r="X2932" s="43" t="n">
        <x:f>--AND(W2932=1,O2932="HALLUCINATION")</x:f>
        <x:v>0</x:v>
      </x:c>
      <x:c r="Y2932" s="43" t="n">
        <x:f>--AND(Q2932=1,O2932="HALLUCINATION")</x:f>
        <x:v>0</x:v>
      </x:c>
      <x:c r="Z2932" s="43" t="n">
        <x:f>--AND(Y2932=1,R2932=1,S2932=1)</x:f>
        <x:v>0</x:v>
      </x:c>
      <x:c r="AC2932" t="str">
        <x:f>IF(OR(AA2932="",AB2932=""),"",--(AA2932&lt;&gt;AB2932))</x:f>
      </x:c>
      <x:c r="AE2932" t="str">
        <x:f>IF(OR(AA2932="",AB2932=""),"PENDING_HUMAN",IF(AA2932=AB2932,AA2932,IF(AD2932&lt;&gt;"",AD2932,"PENDING_HUMAN")))</x:f>
        <x:v>PENDING_HUMAN</x:v>
      </x:c>
      <x:c r="AF2932" t="n">
        <x:f>--AND(A2932&lt;&gt;"",AA2932&lt;&gt;"",AB2932&lt;&gt;"",OR(AA2932=AB2932,AD2932&lt;&gt;""),IF(AE2932="HALLUCINATION",U2932&lt;&gt;"",TRUE))</x:f>
        <x:v>0</x:v>
      </x:c>
      <x:c r="AG2932" t="n">
        <x:f>--AND(N2932=1,AF2932=1,OR(AE2932="SUPPORTED",AE2932="HALLUCINATION"))</x:f>
        <x:v>0</x:v>
      </x:c>
      <x:c r="AH2932" t="n">
        <x:f>--AND(AG2932=1,AE2932="HALLUCINATION")</x:f>
        <x:v>0</x:v>
      </x:c>
      <x:c r="AI2932" t="n">
        <x:f>--AND(Q2932=1,AF2932=1,AE2932="HALLUCINATION")</x:f>
        <x:v>0</x:v>
      </x:c>
      <x:c r="AJ2932" t="n">
        <x:f>--AND(AI2932=1,R2932=1,S2932=1)</x:f>
        <x:v>0</x:v>
      </x:c>
    </x:row>
    <x:row r="2933">
      <x:c r="A2933" s="28"/>
      <x:c r="B2933" s="28"/>
      <x:c r="C2933" s="28"/>
      <x:c r="D2933" s="28"/>
      <x:c r="E2933" s="28"/>
      <x:c r="F2933" s="28"/>
      <x:c r="G2933" s="28"/>
      <x:c r="H2933" s="28"/>
      <x:c r="I2933" s="28"/>
      <x:c r="J2933" s="28"/>
      <x:c r="K2933" s="28"/>
      <x:c r="L2933" s="28"/>
      <x:c r="M2933" s="28"/>
      <x:c r="N2933" s="28"/>
      <x:c r="O2933" s="28"/>
      <x:c r="P2933" s="28"/>
      <x:c r="Q2933" s="28"/>
      <x:c r="R2933" s="28"/>
      <x:c r="S2933" s="28"/>
      <x:c r="T2933" s="28"/>
      <x:c r="U2933" s="28"/>
      <x:c r="V2933" s="28"/>
      <x:c r="W2933" s="43" t="n">
        <x:f>--AND(N2933=1,OR(O2933="SUPPORTED",O2933="HALLUCINATION"))</x:f>
        <x:v>0</x:v>
      </x:c>
      <x:c r="X2933" s="43" t="n">
        <x:f>--AND(W2933=1,O2933="HALLUCINATION")</x:f>
        <x:v>0</x:v>
      </x:c>
      <x:c r="Y2933" s="43" t="n">
        <x:f>--AND(Q2933=1,O2933="HALLUCINATION")</x:f>
        <x:v>0</x:v>
      </x:c>
      <x:c r="Z2933" s="43" t="n">
        <x:f>--AND(Y2933=1,R2933=1,S2933=1)</x:f>
        <x:v>0</x:v>
      </x:c>
      <x:c r="AC2933" t="str">
        <x:f>IF(OR(AA2933="",AB2933=""),"",--(AA2933&lt;&gt;AB2933))</x:f>
      </x:c>
      <x:c r="AE2933" t="str">
        <x:f>IF(OR(AA2933="",AB2933=""),"PENDING_HUMAN",IF(AA2933=AB2933,AA2933,IF(AD2933&lt;&gt;"",AD2933,"PENDING_HUMAN")))</x:f>
        <x:v>PENDING_HUMAN</x:v>
      </x:c>
      <x:c r="AF2933" t="n">
        <x:f>--AND(A2933&lt;&gt;"",AA2933&lt;&gt;"",AB2933&lt;&gt;"",OR(AA2933=AB2933,AD2933&lt;&gt;""),IF(AE2933="HALLUCINATION",U2933&lt;&gt;"",TRUE))</x:f>
        <x:v>0</x:v>
      </x:c>
      <x:c r="AG2933" t="n">
        <x:f>--AND(N2933=1,AF2933=1,OR(AE2933="SUPPORTED",AE2933="HALLUCINATION"))</x:f>
        <x:v>0</x:v>
      </x:c>
      <x:c r="AH2933" t="n">
        <x:f>--AND(AG2933=1,AE2933="HALLUCINATION")</x:f>
        <x:v>0</x:v>
      </x:c>
      <x:c r="AI2933" t="n">
        <x:f>--AND(Q2933=1,AF2933=1,AE2933="HALLUCINATION")</x:f>
        <x:v>0</x:v>
      </x:c>
      <x:c r="AJ2933" t="n">
        <x:f>--AND(AI2933=1,R2933=1,S2933=1)</x:f>
        <x:v>0</x:v>
      </x:c>
    </x:row>
    <x:row r="2934">
      <x:c r="A2934" s="28"/>
      <x:c r="B2934" s="28"/>
      <x:c r="C2934" s="28"/>
      <x:c r="D2934" s="28"/>
      <x:c r="E2934" s="28"/>
      <x:c r="F2934" s="28"/>
      <x:c r="G2934" s="28"/>
      <x:c r="H2934" s="28"/>
      <x:c r="I2934" s="28"/>
      <x:c r="J2934" s="28"/>
      <x:c r="K2934" s="28"/>
      <x:c r="L2934" s="28"/>
      <x:c r="M2934" s="28"/>
      <x:c r="N2934" s="28"/>
      <x:c r="O2934" s="28"/>
      <x:c r="P2934" s="28"/>
      <x:c r="Q2934" s="28"/>
      <x:c r="R2934" s="28"/>
      <x:c r="S2934" s="28"/>
      <x:c r="T2934" s="28"/>
      <x:c r="U2934" s="28"/>
      <x:c r="V2934" s="28"/>
      <x:c r="W2934" s="43" t="n">
        <x:f>--AND(N2934=1,OR(O2934="SUPPORTED",O2934="HALLUCINATION"))</x:f>
        <x:v>0</x:v>
      </x:c>
      <x:c r="X2934" s="43" t="n">
        <x:f>--AND(W2934=1,O2934="HALLUCINATION")</x:f>
        <x:v>0</x:v>
      </x:c>
      <x:c r="Y2934" s="43" t="n">
        <x:f>--AND(Q2934=1,O2934="HALLUCINATION")</x:f>
        <x:v>0</x:v>
      </x:c>
      <x:c r="Z2934" s="43" t="n">
        <x:f>--AND(Y2934=1,R2934=1,S2934=1)</x:f>
        <x:v>0</x:v>
      </x:c>
      <x:c r="AC2934" t="str">
        <x:f>IF(OR(AA2934="",AB2934=""),"",--(AA2934&lt;&gt;AB2934))</x:f>
      </x:c>
      <x:c r="AE2934" t="str">
        <x:f>IF(OR(AA2934="",AB2934=""),"PENDING_HUMAN",IF(AA2934=AB2934,AA2934,IF(AD2934&lt;&gt;"",AD2934,"PENDING_HUMAN")))</x:f>
        <x:v>PENDING_HUMAN</x:v>
      </x:c>
      <x:c r="AF2934" t="n">
        <x:f>--AND(A2934&lt;&gt;"",AA2934&lt;&gt;"",AB2934&lt;&gt;"",OR(AA2934=AB2934,AD2934&lt;&gt;""),IF(AE2934="HALLUCINATION",U2934&lt;&gt;"",TRUE))</x:f>
        <x:v>0</x:v>
      </x:c>
      <x:c r="AG2934" t="n">
        <x:f>--AND(N2934=1,AF2934=1,OR(AE2934="SUPPORTED",AE2934="HALLUCINATION"))</x:f>
        <x:v>0</x:v>
      </x:c>
      <x:c r="AH2934" t="n">
        <x:f>--AND(AG2934=1,AE2934="HALLUCINATION")</x:f>
        <x:v>0</x:v>
      </x:c>
      <x:c r="AI2934" t="n">
        <x:f>--AND(Q2934=1,AF2934=1,AE2934="HALLUCINATION")</x:f>
        <x:v>0</x:v>
      </x:c>
      <x:c r="AJ2934" t="n">
        <x:f>--AND(AI2934=1,R2934=1,S2934=1)</x:f>
        <x:v>0</x:v>
      </x:c>
    </x:row>
    <x:row r="2935">
      <x:c r="A2935" s="28"/>
      <x:c r="B2935" s="28"/>
      <x:c r="C2935" s="28"/>
      <x:c r="D2935" s="28"/>
      <x:c r="E2935" s="28"/>
      <x:c r="F2935" s="28"/>
      <x:c r="G2935" s="28"/>
      <x:c r="H2935" s="28"/>
      <x:c r="I2935" s="28"/>
      <x:c r="J2935" s="28"/>
      <x:c r="K2935" s="28"/>
      <x:c r="L2935" s="28"/>
      <x:c r="M2935" s="28"/>
      <x:c r="N2935" s="28"/>
      <x:c r="O2935" s="28"/>
      <x:c r="P2935" s="28"/>
      <x:c r="Q2935" s="28"/>
      <x:c r="R2935" s="28"/>
      <x:c r="S2935" s="28"/>
      <x:c r="T2935" s="28"/>
      <x:c r="U2935" s="28"/>
      <x:c r="V2935" s="28"/>
      <x:c r="W2935" s="43" t="n">
        <x:f>--AND(N2935=1,OR(O2935="SUPPORTED",O2935="HALLUCINATION"))</x:f>
        <x:v>0</x:v>
      </x:c>
      <x:c r="X2935" s="43" t="n">
        <x:f>--AND(W2935=1,O2935="HALLUCINATION")</x:f>
        <x:v>0</x:v>
      </x:c>
      <x:c r="Y2935" s="43" t="n">
        <x:f>--AND(Q2935=1,O2935="HALLUCINATION")</x:f>
        <x:v>0</x:v>
      </x:c>
      <x:c r="Z2935" s="43" t="n">
        <x:f>--AND(Y2935=1,R2935=1,S2935=1)</x:f>
        <x:v>0</x:v>
      </x:c>
      <x:c r="AC2935" t="str">
        <x:f>IF(OR(AA2935="",AB2935=""),"",--(AA2935&lt;&gt;AB2935))</x:f>
      </x:c>
      <x:c r="AE2935" t="str">
        <x:f>IF(OR(AA2935="",AB2935=""),"PENDING_HUMAN",IF(AA2935=AB2935,AA2935,IF(AD2935&lt;&gt;"",AD2935,"PENDING_HUMAN")))</x:f>
        <x:v>PENDING_HUMAN</x:v>
      </x:c>
      <x:c r="AF2935" t="n">
        <x:f>--AND(A2935&lt;&gt;"",AA2935&lt;&gt;"",AB2935&lt;&gt;"",OR(AA2935=AB2935,AD2935&lt;&gt;""),IF(AE2935="HALLUCINATION",U2935&lt;&gt;"",TRUE))</x:f>
        <x:v>0</x:v>
      </x:c>
      <x:c r="AG2935" t="n">
        <x:f>--AND(N2935=1,AF2935=1,OR(AE2935="SUPPORTED",AE2935="HALLUCINATION"))</x:f>
        <x:v>0</x:v>
      </x:c>
      <x:c r="AH2935" t="n">
        <x:f>--AND(AG2935=1,AE2935="HALLUCINATION")</x:f>
        <x:v>0</x:v>
      </x:c>
      <x:c r="AI2935" t="n">
        <x:f>--AND(Q2935=1,AF2935=1,AE2935="HALLUCINATION")</x:f>
        <x:v>0</x:v>
      </x:c>
      <x:c r="AJ2935" t="n">
        <x:f>--AND(AI2935=1,R2935=1,S2935=1)</x:f>
        <x:v>0</x:v>
      </x:c>
    </x:row>
    <x:row r="2936">
      <x:c r="A2936" s="28"/>
      <x:c r="B2936" s="28"/>
      <x:c r="C2936" s="28"/>
      <x:c r="D2936" s="28"/>
      <x:c r="E2936" s="28"/>
      <x:c r="F2936" s="28"/>
      <x:c r="G2936" s="28"/>
      <x:c r="H2936" s="28"/>
      <x:c r="I2936" s="28"/>
      <x:c r="J2936" s="28"/>
      <x:c r="K2936" s="28"/>
      <x:c r="L2936" s="28"/>
      <x:c r="M2936" s="28"/>
      <x:c r="N2936" s="28"/>
      <x:c r="O2936" s="28"/>
      <x:c r="P2936" s="28"/>
      <x:c r="Q2936" s="28"/>
      <x:c r="R2936" s="28"/>
      <x:c r="S2936" s="28"/>
      <x:c r="T2936" s="28"/>
      <x:c r="U2936" s="28"/>
      <x:c r="V2936" s="28"/>
      <x:c r="W2936" s="43" t="n">
        <x:f>--AND(N2936=1,OR(O2936="SUPPORTED",O2936="HALLUCINATION"))</x:f>
        <x:v>0</x:v>
      </x:c>
      <x:c r="X2936" s="43" t="n">
        <x:f>--AND(W2936=1,O2936="HALLUCINATION")</x:f>
        <x:v>0</x:v>
      </x:c>
      <x:c r="Y2936" s="43" t="n">
        <x:f>--AND(Q2936=1,O2936="HALLUCINATION")</x:f>
        <x:v>0</x:v>
      </x:c>
      <x:c r="Z2936" s="43" t="n">
        <x:f>--AND(Y2936=1,R2936=1,S2936=1)</x:f>
        <x:v>0</x:v>
      </x:c>
      <x:c r="AC2936" t="str">
        <x:f>IF(OR(AA2936="",AB2936=""),"",--(AA2936&lt;&gt;AB2936))</x:f>
      </x:c>
      <x:c r="AE2936" t="str">
        <x:f>IF(OR(AA2936="",AB2936=""),"PENDING_HUMAN",IF(AA2936=AB2936,AA2936,IF(AD2936&lt;&gt;"",AD2936,"PENDING_HUMAN")))</x:f>
        <x:v>PENDING_HUMAN</x:v>
      </x:c>
      <x:c r="AF2936" t="n">
        <x:f>--AND(A2936&lt;&gt;"",AA2936&lt;&gt;"",AB2936&lt;&gt;"",OR(AA2936=AB2936,AD2936&lt;&gt;""),IF(AE2936="HALLUCINATION",U2936&lt;&gt;"",TRUE))</x:f>
        <x:v>0</x:v>
      </x:c>
      <x:c r="AG2936" t="n">
        <x:f>--AND(N2936=1,AF2936=1,OR(AE2936="SUPPORTED",AE2936="HALLUCINATION"))</x:f>
        <x:v>0</x:v>
      </x:c>
      <x:c r="AH2936" t="n">
        <x:f>--AND(AG2936=1,AE2936="HALLUCINATION")</x:f>
        <x:v>0</x:v>
      </x:c>
      <x:c r="AI2936" t="n">
        <x:f>--AND(Q2936=1,AF2936=1,AE2936="HALLUCINATION")</x:f>
        <x:v>0</x:v>
      </x:c>
      <x:c r="AJ2936" t="n">
        <x:f>--AND(AI2936=1,R2936=1,S2936=1)</x:f>
        <x:v>0</x:v>
      </x:c>
    </x:row>
    <x:row r="2937">
      <x:c r="A2937" s="28"/>
      <x:c r="B2937" s="28"/>
      <x:c r="C2937" s="28"/>
      <x:c r="D2937" s="28"/>
      <x:c r="E2937" s="28"/>
      <x:c r="F2937" s="28"/>
      <x:c r="G2937" s="28"/>
      <x:c r="H2937" s="28"/>
      <x:c r="I2937" s="28"/>
      <x:c r="J2937" s="28"/>
      <x:c r="K2937" s="28"/>
      <x:c r="L2937" s="28"/>
      <x:c r="M2937" s="28"/>
      <x:c r="N2937" s="28"/>
      <x:c r="O2937" s="28"/>
      <x:c r="P2937" s="28"/>
      <x:c r="Q2937" s="28"/>
      <x:c r="R2937" s="28"/>
      <x:c r="S2937" s="28"/>
      <x:c r="T2937" s="28"/>
      <x:c r="U2937" s="28"/>
      <x:c r="V2937" s="28"/>
      <x:c r="W2937" s="43" t="n">
        <x:f>--AND(N2937=1,OR(O2937="SUPPORTED",O2937="HALLUCINATION"))</x:f>
        <x:v>0</x:v>
      </x:c>
      <x:c r="X2937" s="43" t="n">
        <x:f>--AND(W2937=1,O2937="HALLUCINATION")</x:f>
        <x:v>0</x:v>
      </x:c>
      <x:c r="Y2937" s="43" t="n">
        <x:f>--AND(Q2937=1,O2937="HALLUCINATION")</x:f>
        <x:v>0</x:v>
      </x:c>
      <x:c r="Z2937" s="43" t="n">
        <x:f>--AND(Y2937=1,R2937=1,S2937=1)</x:f>
        <x:v>0</x:v>
      </x:c>
      <x:c r="AC2937" t="str">
        <x:f>IF(OR(AA2937="",AB2937=""),"",--(AA2937&lt;&gt;AB2937))</x:f>
      </x:c>
      <x:c r="AE2937" t="str">
        <x:f>IF(OR(AA2937="",AB2937=""),"PENDING_HUMAN",IF(AA2937=AB2937,AA2937,IF(AD2937&lt;&gt;"",AD2937,"PENDING_HUMAN")))</x:f>
        <x:v>PENDING_HUMAN</x:v>
      </x:c>
      <x:c r="AF2937" t="n">
        <x:f>--AND(A2937&lt;&gt;"",AA2937&lt;&gt;"",AB2937&lt;&gt;"",OR(AA2937=AB2937,AD2937&lt;&gt;""),IF(AE2937="HALLUCINATION",U2937&lt;&gt;"",TRUE))</x:f>
        <x:v>0</x:v>
      </x:c>
      <x:c r="AG2937" t="n">
        <x:f>--AND(N2937=1,AF2937=1,OR(AE2937="SUPPORTED",AE2937="HALLUCINATION"))</x:f>
        <x:v>0</x:v>
      </x:c>
      <x:c r="AH2937" t="n">
        <x:f>--AND(AG2937=1,AE2937="HALLUCINATION")</x:f>
        <x:v>0</x:v>
      </x:c>
      <x:c r="AI2937" t="n">
        <x:f>--AND(Q2937=1,AF2937=1,AE2937="HALLUCINATION")</x:f>
        <x:v>0</x:v>
      </x:c>
      <x:c r="AJ2937" t="n">
        <x:f>--AND(AI2937=1,R2937=1,S2937=1)</x:f>
        <x:v>0</x:v>
      </x:c>
    </x:row>
    <x:row r="2938">
      <x:c r="A2938" s="28"/>
      <x:c r="B2938" s="28"/>
      <x:c r="C2938" s="28"/>
      <x:c r="D2938" s="28"/>
      <x:c r="E2938" s="28"/>
      <x:c r="F2938" s="28"/>
      <x:c r="G2938" s="28"/>
      <x:c r="H2938" s="28"/>
      <x:c r="I2938" s="28"/>
      <x:c r="J2938" s="28"/>
      <x:c r="K2938" s="28"/>
      <x:c r="L2938" s="28"/>
      <x:c r="M2938" s="28"/>
      <x:c r="N2938" s="28"/>
      <x:c r="O2938" s="28"/>
      <x:c r="P2938" s="28"/>
      <x:c r="Q2938" s="28"/>
      <x:c r="R2938" s="28"/>
      <x:c r="S2938" s="28"/>
      <x:c r="T2938" s="28"/>
      <x:c r="U2938" s="28"/>
      <x:c r="V2938" s="28"/>
      <x:c r="W2938" s="43" t="n">
        <x:f>--AND(N2938=1,OR(O2938="SUPPORTED",O2938="HALLUCINATION"))</x:f>
        <x:v>0</x:v>
      </x:c>
      <x:c r="X2938" s="43" t="n">
        <x:f>--AND(W2938=1,O2938="HALLUCINATION")</x:f>
        <x:v>0</x:v>
      </x:c>
      <x:c r="Y2938" s="43" t="n">
        <x:f>--AND(Q2938=1,O2938="HALLUCINATION")</x:f>
        <x:v>0</x:v>
      </x:c>
      <x:c r="Z2938" s="43" t="n">
        <x:f>--AND(Y2938=1,R2938=1,S2938=1)</x:f>
        <x:v>0</x:v>
      </x:c>
      <x:c r="AC2938" t="str">
        <x:f>IF(OR(AA2938="",AB2938=""),"",--(AA2938&lt;&gt;AB2938))</x:f>
      </x:c>
      <x:c r="AE2938" t="str">
        <x:f>IF(OR(AA2938="",AB2938=""),"PENDING_HUMAN",IF(AA2938=AB2938,AA2938,IF(AD2938&lt;&gt;"",AD2938,"PENDING_HUMAN")))</x:f>
        <x:v>PENDING_HUMAN</x:v>
      </x:c>
      <x:c r="AF2938" t="n">
        <x:f>--AND(A2938&lt;&gt;"",AA2938&lt;&gt;"",AB2938&lt;&gt;"",OR(AA2938=AB2938,AD2938&lt;&gt;""),IF(AE2938="HALLUCINATION",U2938&lt;&gt;"",TRUE))</x:f>
        <x:v>0</x:v>
      </x:c>
      <x:c r="AG2938" t="n">
        <x:f>--AND(N2938=1,AF2938=1,OR(AE2938="SUPPORTED",AE2938="HALLUCINATION"))</x:f>
        <x:v>0</x:v>
      </x:c>
      <x:c r="AH2938" t="n">
        <x:f>--AND(AG2938=1,AE2938="HALLUCINATION")</x:f>
        <x:v>0</x:v>
      </x:c>
      <x:c r="AI2938" t="n">
        <x:f>--AND(Q2938=1,AF2938=1,AE2938="HALLUCINATION")</x:f>
        <x:v>0</x:v>
      </x:c>
      <x:c r="AJ2938" t="n">
        <x:f>--AND(AI2938=1,R2938=1,S2938=1)</x:f>
        <x:v>0</x:v>
      </x:c>
    </x:row>
    <x:row r="2939">
      <x:c r="A2939" s="28"/>
      <x:c r="B2939" s="28"/>
      <x:c r="C2939" s="28"/>
      <x:c r="D2939" s="28"/>
      <x:c r="E2939" s="28"/>
      <x:c r="F2939" s="28"/>
      <x:c r="G2939" s="28"/>
      <x:c r="H2939" s="28"/>
      <x:c r="I2939" s="28"/>
      <x:c r="J2939" s="28"/>
      <x:c r="K2939" s="28"/>
      <x:c r="L2939" s="28"/>
      <x:c r="M2939" s="28"/>
      <x:c r="N2939" s="28"/>
      <x:c r="O2939" s="28"/>
      <x:c r="P2939" s="28"/>
      <x:c r="Q2939" s="28"/>
      <x:c r="R2939" s="28"/>
      <x:c r="S2939" s="28"/>
      <x:c r="T2939" s="28"/>
      <x:c r="U2939" s="28"/>
      <x:c r="V2939" s="28"/>
      <x:c r="W2939" s="43" t="n">
        <x:f>--AND(N2939=1,OR(O2939="SUPPORTED",O2939="HALLUCINATION"))</x:f>
        <x:v>0</x:v>
      </x:c>
      <x:c r="X2939" s="43" t="n">
        <x:f>--AND(W2939=1,O2939="HALLUCINATION")</x:f>
        <x:v>0</x:v>
      </x:c>
      <x:c r="Y2939" s="43" t="n">
        <x:f>--AND(Q2939=1,O2939="HALLUCINATION")</x:f>
        <x:v>0</x:v>
      </x:c>
      <x:c r="Z2939" s="43" t="n">
        <x:f>--AND(Y2939=1,R2939=1,S2939=1)</x:f>
        <x:v>0</x:v>
      </x:c>
      <x:c r="AC2939" t="str">
        <x:f>IF(OR(AA2939="",AB2939=""),"",--(AA2939&lt;&gt;AB2939))</x:f>
      </x:c>
      <x:c r="AE2939" t="str">
        <x:f>IF(OR(AA2939="",AB2939=""),"PENDING_HUMAN",IF(AA2939=AB2939,AA2939,IF(AD2939&lt;&gt;"",AD2939,"PENDING_HUMAN")))</x:f>
        <x:v>PENDING_HUMAN</x:v>
      </x:c>
      <x:c r="AF2939" t="n">
        <x:f>--AND(A2939&lt;&gt;"",AA2939&lt;&gt;"",AB2939&lt;&gt;"",OR(AA2939=AB2939,AD2939&lt;&gt;""),IF(AE2939="HALLUCINATION",U2939&lt;&gt;"",TRUE))</x:f>
        <x:v>0</x:v>
      </x:c>
      <x:c r="AG2939" t="n">
        <x:f>--AND(N2939=1,AF2939=1,OR(AE2939="SUPPORTED",AE2939="HALLUCINATION"))</x:f>
        <x:v>0</x:v>
      </x:c>
      <x:c r="AH2939" t="n">
        <x:f>--AND(AG2939=1,AE2939="HALLUCINATION")</x:f>
        <x:v>0</x:v>
      </x:c>
      <x:c r="AI2939" t="n">
        <x:f>--AND(Q2939=1,AF2939=1,AE2939="HALLUCINATION")</x:f>
        <x:v>0</x:v>
      </x:c>
      <x:c r="AJ2939" t="n">
        <x:f>--AND(AI2939=1,R2939=1,S2939=1)</x:f>
        <x:v>0</x:v>
      </x:c>
    </x:row>
    <x:row r="2940">
      <x:c r="A2940" s="28"/>
      <x:c r="B2940" s="28"/>
      <x:c r="C2940" s="28"/>
      <x:c r="D2940" s="28"/>
      <x:c r="E2940" s="28"/>
      <x:c r="F2940" s="28"/>
      <x:c r="G2940" s="28"/>
      <x:c r="H2940" s="28"/>
      <x:c r="I2940" s="28"/>
      <x:c r="J2940" s="28"/>
      <x:c r="K2940" s="28"/>
      <x:c r="L2940" s="28"/>
      <x:c r="M2940" s="28"/>
      <x:c r="N2940" s="28"/>
      <x:c r="O2940" s="28"/>
      <x:c r="P2940" s="28"/>
      <x:c r="Q2940" s="28"/>
      <x:c r="R2940" s="28"/>
      <x:c r="S2940" s="28"/>
      <x:c r="T2940" s="28"/>
      <x:c r="U2940" s="28"/>
      <x:c r="V2940" s="28"/>
      <x:c r="W2940" s="43" t="n">
        <x:f>--AND(N2940=1,OR(O2940="SUPPORTED",O2940="HALLUCINATION"))</x:f>
        <x:v>0</x:v>
      </x:c>
      <x:c r="X2940" s="43" t="n">
        <x:f>--AND(W2940=1,O2940="HALLUCINATION")</x:f>
        <x:v>0</x:v>
      </x:c>
      <x:c r="Y2940" s="43" t="n">
        <x:f>--AND(Q2940=1,O2940="HALLUCINATION")</x:f>
        <x:v>0</x:v>
      </x:c>
      <x:c r="Z2940" s="43" t="n">
        <x:f>--AND(Y2940=1,R2940=1,S2940=1)</x:f>
        <x:v>0</x:v>
      </x:c>
      <x:c r="AC2940" t="str">
        <x:f>IF(OR(AA2940="",AB2940=""),"",--(AA2940&lt;&gt;AB2940))</x:f>
      </x:c>
      <x:c r="AE2940" t="str">
        <x:f>IF(OR(AA2940="",AB2940=""),"PENDING_HUMAN",IF(AA2940=AB2940,AA2940,IF(AD2940&lt;&gt;"",AD2940,"PENDING_HUMAN")))</x:f>
        <x:v>PENDING_HUMAN</x:v>
      </x:c>
      <x:c r="AF2940" t="n">
        <x:f>--AND(A2940&lt;&gt;"",AA2940&lt;&gt;"",AB2940&lt;&gt;"",OR(AA2940=AB2940,AD2940&lt;&gt;""),IF(AE2940="HALLUCINATION",U2940&lt;&gt;"",TRUE))</x:f>
        <x:v>0</x:v>
      </x:c>
      <x:c r="AG2940" t="n">
        <x:f>--AND(N2940=1,AF2940=1,OR(AE2940="SUPPORTED",AE2940="HALLUCINATION"))</x:f>
        <x:v>0</x:v>
      </x:c>
      <x:c r="AH2940" t="n">
        <x:f>--AND(AG2940=1,AE2940="HALLUCINATION")</x:f>
        <x:v>0</x:v>
      </x:c>
      <x:c r="AI2940" t="n">
        <x:f>--AND(Q2940=1,AF2940=1,AE2940="HALLUCINATION")</x:f>
        <x:v>0</x:v>
      </x:c>
      <x:c r="AJ2940" t="n">
        <x:f>--AND(AI2940=1,R2940=1,S2940=1)</x:f>
        <x:v>0</x:v>
      </x:c>
    </x:row>
    <x:row r="2941">
      <x:c r="A2941" s="28"/>
      <x:c r="B2941" s="28"/>
      <x:c r="C2941" s="28"/>
      <x:c r="D2941" s="28"/>
      <x:c r="E2941" s="28"/>
      <x:c r="F2941" s="28"/>
      <x:c r="G2941" s="28"/>
      <x:c r="H2941" s="28"/>
      <x:c r="I2941" s="28"/>
      <x:c r="J2941" s="28"/>
      <x:c r="K2941" s="28"/>
      <x:c r="L2941" s="28"/>
      <x:c r="M2941" s="28"/>
      <x:c r="N2941" s="28"/>
      <x:c r="O2941" s="28"/>
      <x:c r="P2941" s="28"/>
      <x:c r="Q2941" s="28"/>
      <x:c r="R2941" s="28"/>
      <x:c r="S2941" s="28"/>
      <x:c r="T2941" s="28"/>
      <x:c r="U2941" s="28"/>
      <x:c r="V2941" s="28"/>
      <x:c r="W2941" s="43" t="n">
        <x:f>--AND(N2941=1,OR(O2941="SUPPORTED",O2941="HALLUCINATION"))</x:f>
        <x:v>0</x:v>
      </x:c>
      <x:c r="X2941" s="43" t="n">
        <x:f>--AND(W2941=1,O2941="HALLUCINATION")</x:f>
        <x:v>0</x:v>
      </x:c>
      <x:c r="Y2941" s="43" t="n">
        <x:f>--AND(Q2941=1,O2941="HALLUCINATION")</x:f>
        <x:v>0</x:v>
      </x:c>
      <x:c r="Z2941" s="43" t="n">
        <x:f>--AND(Y2941=1,R2941=1,S2941=1)</x:f>
        <x:v>0</x:v>
      </x:c>
      <x:c r="AC2941" t="str">
        <x:f>IF(OR(AA2941="",AB2941=""),"",--(AA2941&lt;&gt;AB2941))</x:f>
      </x:c>
      <x:c r="AE2941" t="str">
        <x:f>IF(OR(AA2941="",AB2941=""),"PENDING_HUMAN",IF(AA2941=AB2941,AA2941,IF(AD2941&lt;&gt;"",AD2941,"PENDING_HUMAN")))</x:f>
        <x:v>PENDING_HUMAN</x:v>
      </x:c>
      <x:c r="AF2941" t="n">
        <x:f>--AND(A2941&lt;&gt;"",AA2941&lt;&gt;"",AB2941&lt;&gt;"",OR(AA2941=AB2941,AD2941&lt;&gt;""),IF(AE2941="HALLUCINATION",U2941&lt;&gt;"",TRUE))</x:f>
        <x:v>0</x:v>
      </x:c>
      <x:c r="AG2941" t="n">
        <x:f>--AND(N2941=1,AF2941=1,OR(AE2941="SUPPORTED",AE2941="HALLUCINATION"))</x:f>
        <x:v>0</x:v>
      </x:c>
      <x:c r="AH2941" t="n">
        <x:f>--AND(AG2941=1,AE2941="HALLUCINATION")</x:f>
        <x:v>0</x:v>
      </x:c>
      <x:c r="AI2941" t="n">
        <x:f>--AND(Q2941=1,AF2941=1,AE2941="HALLUCINATION")</x:f>
        <x:v>0</x:v>
      </x:c>
      <x:c r="AJ2941" t="n">
        <x:f>--AND(AI2941=1,R2941=1,S2941=1)</x:f>
        <x:v>0</x:v>
      </x:c>
    </x:row>
    <x:row r="2942">
      <x:c r="A2942" s="28"/>
      <x:c r="B2942" s="28"/>
      <x:c r="C2942" s="28"/>
      <x:c r="D2942" s="28"/>
      <x:c r="E2942" s="28"/>
      <x:c r="F2942" s="28"/>
      <x:c r="G2942" s="28"/>
      <x:c r="H2942" s="28"/>
      <x:c r="I2942" s="28"/>
      <x:c r="J2942" s="28"/>
      <x:c r="K2942" s="28"/>
      <x:c r="L2942" s="28"/>
      <x:c r="M2942" s="28"/>
      <x:c r="N2942" s="28"/>
      <x:c r="O2942" s="28"/>
      <x:c r="P2942" s="28"/>
      <x:c r="Q2942" s="28"/>
      <x:c r="R2942" s="28"/>
      <x:c r="S2942" s="28"/>
      <x:c r="T2942" s="28"/>
      <x:c r="U2942" s="28"/>
      <x:c r="V2942" s="28"/>
      <x:c r="W2942" s="43" t="n">
        <x:f>--AND(N2942=1,OR(O2942="SUPPORTED",O2942="HALLUCINATION"))</x:f>
        <x:v>0</x:v>
      </x:c>
      <x:c r="X2942" s="43" t="n">
        <x:f>--AND(W2942=1,O2942="HALLUCINATION")</x:f>
        <x:v>0</x:v>
      </x:c>
      <x:c r="Y2942" s="43" t="n">
        <x:f>--AND(Q2942=1,O2942="HALLUCINATION")</x:f>
        <x:v>0</x:v>
      </x:c>
      <x:c r="Z2942" s="43" t="n">
        <x:f>--AND(Y2942=1,R2942=1,S2942=1)</x:f>
        <x:v>0</x:v>
      </x:c>
      <x:c r="AC2942" t="str">
        <x:f>IF(OR(AA2942="",AB2942=""),"",--(AA2942&lt;&gt;AB2942))</x:f>
      </x:c>
      <x:c r="AE2942" t="str">
        <x:f>IF(OR(AA2942="",AB2942=""),"PENDING_HUMAN",IF(AA2942=AB2942,AA2942,IF(AD2942&lt;&gt;"",AD2942,"PENDING_HUMAN")))</x:f>
        <x:v>PENDING_HUMAN</x:v>
      </x:c>
      <x:c r="AF2942" t="n">
        <x:f>--AND(A2942&lt;&gt;"",AA2942&lt;&gt;"",AB2942&lt;&gt;"",OR(AA2942=AB2942,AD2942&lt;&gt;""),IF(AE2942="HALLUCINATION",U2942&lt;&gt;"",TRUE))</x:f>
        <x:v>0</x:v>
      </x:c>
      <x:c r="AG2942" t="n">
        <x:f>--AND(N2942=1,AF2942=1,OR(AE2942="SUPPORTED",AE2942="HALLUCINATION"))</x:f>
        <x:v>0</x:v>
      </x:c>
      <x:c r="AH2942" t="n">
        <x:f>--AND(AG2942=1,AE2942="HALLUCINATION")</x:f>
        <x:v>0</x:v>
      </x:c>
      <x:c r="AI2942" t="n">
        <x:f>--AND(Q2942=1,AF2942=1,AE2942="HALLUCINATION")</x:f>
        <x:v>0</x:v>
      </x:c>
      <x:c r="AJ2942" t="n">
        <x:f>--AND(AI2942=1,R2942=1,S2942=1)</x:f>
        <x:v>0</x:v>
      </x:c>
    </x:row>
    <x:row r="2943">
      <x:c r="A2943" s="28"/>
      <x:c r="B2943" s="28"/>
      <x:c r="C2943" s="28"/>
      <x:c r="D2943" s="28"/>
      <x:c r="E2943" s="28"/>
      <x:c r="F2943" s="28"/>
      <x:c r="G2943" s="28"/>
      <x:c r="H2943" s="28"/>
      <x:c r="I2943" s="28"/>
      <x:c r="J2943" s="28"/>
      <x:c r="K2943" s="28"/>
      <x:c r="L2943" s="28"/>
      <x:c r="M2943" s="28"/>
      <x:c r="N2943" s="28"/>
      <x:c r="O2943" s="28"/>
      <x:c r="P2943" s="28"/>
      <x:c r="Q2943" s="28"/>
      <x:c r="R2943" s="28"/>
      <x:c r="S2943" s="28"/>
      <x:c r="T2943" s="28"/>
      <x:c r="U2943" s="28"/>
      <x:c r="V2943" s="28"/>
      <x:c r="W2943" s="43" t="n">
        <x:f>--AND(N2943=1,OR(O2943="SUPPORTED",O2943="HALLUCINATION"))</x:f>
        <x:v>0</x:v>
      </x:c>
      <x:c r="X2943" s="43" t="n">
        <x:f>--AND(W2943=1,O2943="HALLUCINATION")</x:f>
        <x:v>0</x:v>
      </x:c>
      <x:c r="Y2943" s="43" t="n">
        <x:f>--AND(Q2943=1,O2943="HALLUCINATION")</x:f>
        <x:v>0</x:v>
      </x:c>
      <x:c r="Z2943" s="43" t="n">
        <x:f>--AND(Y2943=1,R2943=1,S2943=1)</x:f>
        <x:v>0</x:v>
      </x:c>
      <x:c r="AC2943" t="str">
        <x:f>IF(OR(AA2943="",AB2943=""),"",--(AA2943&lt;&gt;AB2943))</x:f>
      </x:c>
      <x:c r="AE2943" t="str">
        <x:f>IF(OR(AA2943="",AB2943=""),"PENDING_HUMAN",IF(AA2943=AB2943,AA2943,IF(AD2943&lt;&gt;"",AD2943,"PENDING_HUMAN")))</x:f>
        <x:v>PENDING_HUMAN</x:v>
      </x:c>
      <x:c r="AF2943" t="n">
        <x:f>--AND(A2943&lt;&gt;"",AA2943&lt;&gt;"",AB2943&lt;&gt;"",OR(AA2943=AB2943,AD2943&lt;&gt;""),IF(AE2943="HALLUCINATION",U2943&lt;&gt;"",TRUE))</x:f>
        <x:v>0</x:v>
      </x:c>
      <x:c r="AG2943" t="n">
        <x:f>--AND(N2943=1,AF2943=1,OR(AE2943="SUPPORTED",AE2943="HALLUCINATION"))</x:f>
        <x:v>0</x:v>
      </x:c>
      <x:c r="AH2943" t="n">
        <x:f>--AND(AG2943=1,AE2943="HALLUCINATION")</x:f>
        <x:v>0</x:v>
      </x:c>
      <x:c r="AI2943" t="n">
        <x:f>--AND(Q2943=1,AF2943=1,AE2943="HALLUCINATION")</x:f>
        <x:v>0</x:v>
      </x:c>
      <x:c r="AJ2943" t="n">
        <x:f>--AND(AI2943=1,R2943=1,S2943=1)</x:f>
        <x:v>0</x:v>
      </x:c>
    </x:row>
    <x:row r="2944">
      <x:c r="A2944" s="28"/>
      <x:c r="B2944" s="28"/>
      <x:c r="C2944" s="28"/>
      <x:c r="D2944" s="28"/>
      <x:c r="E2944" s="28"/>
      <x:c r="F2944" s="28"/>
      <x:c r="G2944" s="28"/>
      <x:c r="H2944" s="28"/>
      <x:c r="I2944" s="28"/>
      <x:c r="J2944" s="28"/>
      <x:c r="K2944" s="28"/>
      <x:c r="L2944" s="28"/>
      <x:c r="M2944" s="28"/>
      <x:c r="N2944" s="28"/>
      <x:c r="O2944" s="28"/>
      <x:c r="P2944" s="28"/>
      <x:c r="Q2944" s="28"/>
      <x:c r="R2944" s="28"/>
      <x:c r="S2944" s="28"/>
      <x:c r="T2944" s="28"/>
      <x:c r="U2944" s="28"/>
      <x:c r="V2944" s="28"/>
      <x:c r="W2944" s="43" t="n">
        <x:f>--AND(N2944=1,OR(O2944="SUPPORTED",O2944="HALLUCINATION"))</x:f>
        <x:v>0</x:v>
      </x:c>
      <x:c r="X2944" s="43" t="n">
        <x:f>--AND(W2944=1,O2944="HALLUCINATION")</x:f>
        <x:v>0</x:v>
      </x:c>
      <x:c r="Y2944" s="43" t="n">
        <x:f>--AND(Q2944=1,O2944="HALLUCINATION")</x:f>
        <x:v>0</x:v>
      </x:c>
      <x:c r="Z2944" s="43" t="n">
        <x:f>--AND(Y2944=1,R2944=1,S2944=1)</x:f>
        <x:v>0</x:v>
      </x:c>
      <x:c r="AC2944" t="str">
        <x:f>IF(OR(AA2944="",AB2944=""),"",--(AA2944&lt;&gt;AB2944))</x:f>
      </x:c>
      <x:c r="AE2944" t="str">
        <x:f>IF(OR(AA2944="",AB2944=""),"PENDING_HUMAN",IF(AA2944=AB2944,AA2944,IF(AD2944&lt;&gt;"",AD2944,"PENDING_HUMAN")))</x:f>
        <x:v>PENDING_HUMAN</x:v>
      </x:c>
      <x:c r="AF2944" t="n">
        <x:f>--AND(A2944&lt;&gt;"",AA2944&lt;&gt;"",AB2944&lt;&gt;"",OR(AA2944=AB2944,AD2944&lt;&gt;""),IF(AE2944="HALLUCINATION",U2944&lt;&gt;"",TRUE))</x:f>
        <x:v>0</x:v>
      </x:c>
      <x:c r="AG2944" t="n">
        <x:f>--AND(N2944=1,AF2944=1,OR(AE2944="SUPPORTED",AE2944="HALLUCINATION"))</x:f>
        <x:v>0</x:v>
      </x:c>
      <x:c r="AH2944" t="n">
        <x:f>--AND(AG2944=1,AE2944="HALLUCINATION")</x:f>
        <x:v>0</x:v>
      </x:c>
      <x:c r="AI2944" t="n">
        <x:f>--AND(Q2944=1,AF2944=1,AE2944="HALLUCINATION")</x:f>
        <x:v>0</x:v>
      </x:c>
      <x:c r="AJ2944" t="n">
        <x:f>--AND(AI2944=1,R2944=1,S2944=1)</x:f>
        <x:v>0</x:v>
      </x:c>
    </x:row>
    <x:row r="2945">
      <x:c r="A2945" s="28"/>
      <x:c r="B2945" s="28"/>
      <x:c r="C2945" s="28"/>
      <x:c r="D2945" s="28"/>
      <x:c r="E2945" s="28"/>
      <x:c r="F2945" s="28"/>
      <x:c r="G2945" s="28"/>
      <x:c r="H2945" s="28"/>
      <x:c r="I2945" s="28"/>
      <x:c r="J2945" s="28"/>
      <x:c r="K2945" s="28"/>
      <x:c r="L2945" s="28"/>
      <x:c r="M2945" s="28"/>
      <x:c r="N2945" s="28"/>
      <x:c r="O2945" s="28"/>
      <x:c r="P2945" s="28"/>
      <x:c r="Q2945" s="28"/>
      <x:c r="R2945" s="28"/>
      <x:c r="S2945" s="28"/>
      <x:c r="T2945" s="28"/>
      <x:c r="U2945" s="28"/>
      <x:c r="V2945" s="28"/>
      <x:c r="W2945" s="43" t="n">
        <x:f>--AND(N2945=1,OR(O2945="SUPPORTED",O2945="HALLUCINATION"))</x:f>
        <x:v>0</x:v>
      </x:c>
      <x:c r="X2945" s="43" t="n">
        <x:f>--AND(W2945=1,O2945="HALLUCINATION")</x:f>
        <x:v>0</x:v>
      </x:c>
      <x:c r="Y2945" s="43" t="n">
        <x:f>--AND(Q2945=1,O2945="HALLUCINATION")</x:f>
        <x:v>0</x:v>
      </x:c>
      <x:c r="Z2945" s="43" t="n">
        <x:f>--AND(Y2945=1,R2945=1,S2945=1)</x:f>
        <x:v>0</x:v>
      </x:c>
      <x:c r="AC2945" t="str">
        <x:f>IF(OR(AA2945="",AB2945=""),"",--(AA2945&lt;&gt;AB2945))</x:f>
      </x:c>
      <x:c r="AE2945" t="str">
        <x:f>IF(OR(AA2945="",AB2945=""),"PENDING_HUMAN",IF(AA2945=AB2945,AA2945,IF(AD2945&lt;&gt;"",AD2945,"PENDING_HUMAN")))</x:f>
        <x:v>PENDING_HUMAN</x:v>
      </x:c>
      <x:c r="AF2945" t="n">
        <x:f>--AND(A2945&lt;&gt;"",AA2945&lt;&gt;"",AB2945&lt;&gt;"",OR(AA2945=AB2945,AD2945&lt;&gt;""),IF(AE2945="HALLUCINATION",U2945&lt;&gt;"",TRUE))</x:f>
        <x:v>0</x:v>
      </x:c>
      <x:c r="AG2945" t="n">
        <x:f>--AND(N2945=1,AF2945=1,OR(AE2945="SUPPORTED",AE2945="HALLUCINATION"))</x:f>
        <x:v>0</x:v>
      </x:c>
      <x:c r="AH2945" t="n">
        <x:f>--AND(AG2945=1,AE2945="HALLUCINATION")</x:f>
        <x:v>0</x:v>
      </x:c>
      <x:c r="AI2945" t="n">
        <x:f>--AND(Q2945=1,AF2945=1,AE2945="HALLUCINATION")</x:f>
        <x:v>0</x:v>
      </x:c>
      <x:c r="AJ2945" t="n">
        <x:f>--AND(AI2945=1,R2945=1,S2945=1)</x:f>
        <x:v>0</x:v>
      </x:c>
    </x:row>
    <x:row r="2946">
      <x:c r="A2946" s="28"/>
      <x:c r="B2946" s="28"/>
      <x:c r="C2946" s="28"/>
      <x:c r="D2946" s="28"/>
      <x:c r="E2946" s="28"/>
      <x:c r="F2946" s="28"/>
      <x:c r="G2946" s="28"/>
      <x:c r="H2946" s="28"/>
      <x:c r="I2946" s="28"/>
      <x:c r="J2946" s="28"/>
      <x:c r="K2946" s="28"/>
      <x:c r="L2946" s="28"/>
      <x:c r="M2946" s="28"/>
      <x:c r="N2946" s="28"/>
      <x:c r="O2946" s="28"/>
      <x:c r="P2946" s="28"/>
      <x:c r="Q2946" s="28"/>
      <x:c r="R2946" s="28"/>
      <x:c r="S2946" s="28"/>
      <x:c r="T2946" s="28"/>
      <x:c r="U2946" s="28"/>
      <x:c r="V2946" s="28"/>
      <x:c r="W2946" s="43" t="n">
        <x:f>--AND(N2946=1,OR(O2946="SUPPORTED",O2946="HALLUCINATION"))</x:f>
        <x:v>0</x:v>
      </x:c>
      <x:c r="X2946" s="43" t="n">
        <x:f>--AND(W2946=1,O2946="HALLUCINATION")</x:f>
        <x:v>0</x:v>
      </x:c>
      <x:c r="Y2946" s="43" t="n">
        <x:f>--AND(Q2946=1,O2946="HALLUCINATION")</x:f>
        <x:v>0</x:v>
      </x:c>
      <x:c r="Z2946" s="43" t="n">
        <x:f>--AND(Y2946=1,R2946=1,S2946=1)</x:f>
        <x:v>0</x:v>
      </x:c>
      <x:c r="AC2946" t="str">
        <x:f>IF(OR(AA2946="",AB2946=""),"",--(AA2946&lt;&gt;AB2946))</x:f>
      </x:c>
      <x:c r="AE2946" t="str">
        <x:f>IF(OR(AA2946="",AB2946=""),"PENDING_HUMAN",IF(AA2946=AB2946,AA2946,IF(AD2946&lt;&gt;"",AD2946,"PENDING_HUMAN")))</x:f>
        <x:v>PENDING_HUMAN</x:v>
      </x:c>
      <x:c r="AF2946" t="n">
        <x:f>--AND(A2946&lt;&gt;"",AA2946&lt;&gt;"",AB2946&lt;&gt;"",OR(AA2946=AB2946,AD2946&lt;&gt;""),IF(AE2946="HALLUCINATION",U2946&lt;&gt;"",TRUE))</x:f>
        <x:v>0</x:v>
      </x:c>
      <x:c r="AG2946" t="n">
        <x:f>--AND(N2946=1,AF2946=1,OR(AE2946="SUPPORTED",AE2946="HALLUCINATION"))</x:f>
        <x:v>0</x:v>
      </x:c>
      <x:c r="AH2946" t="n">
        <x:f>--AND(AG2946=1,AE2946="HALLUCINATION")</x:f>
        <x:v>0</x:v>
      </x:c>
      <x:c r="AI2946" t="n">
        <x:f>--AND(Q2946=1,AF2946=1,AE2946="HALLUCINATION")</x:f>
        <x:v>0</x:v>
      </x:c>
      <x:c r="AJ2946" t="n">
        <x:f>--AND(AI2946=1,R2946=1,S2946=1)</x:f>
        <x:v>0</x:v>
      </x:c>
    </x:row>
    <x:row r="2947">
      <x:c r="A2947" s="28"/>
      <x:c r="B2947" s="28"/>
      <x:c r="C2947" s="28"/>
      <x:c r="D2947" s="28"/>
      <x:c r="E2947" s="28"/>
      <x:c r="F2947" s="28"/>
      <x:c r="G2947" s="28"/>
      <x:c r="H2947" s="28"/>
      <x:c r="I2947" s="28"/>
      <x:c r="J2947" s="28"/>
      <x:c r="K2947" s="28"/>
      <x:c r="L2947" s="28"/>
      <x:c r="M2947" s="28"/>
      <x:c r="N2947" s="28"/>
      <x:c r="O2947" s="28"/>
      <x:c r="P2947" s="28"/>
      <x:c r="Q2947" s="28"/>
      <x:c r="R2947" s="28"/>
      <x:c r="S2947" s="28"/>
      <x:c r="T2947" s="28"/>
      <x:c r="U2947" s="28"/>
      <x:c r="V2947" s="28"/>
      <x:c r="W2947" s="43" t="n">
        <x:f>--AND(N2947=1,OR(O2947="SUPPORTED",O2947="HALLUCINATION"))</x:f>
        <x:v>0</x:v>
      </x:c>
      <x:c r="X2947" s="43" t="n">
        <x:f>--AND(W2947=1,O2947="HALLUCINATION")</x:f>
        <x:v>0</x:v>
      </x:c>
      <x:c r="Y2947" s="43" t="n">
        <x:f>--AND(Q2947=1,O2947="HALLUCINATION")</x:f>
        <x:v>0</x:v>
      </x:c>
      <x:c r="Z2947" s="43" t="n">
        <x:f>--AND(Y2947=1,R2947=1,S2947=1)</x:f>
        <x:v>0</x:v>
      </x:c>
      <x:c r="AC2947" t="str">
        <x:f>IF(OR(AA2947="",AB2947=""),"",--(AA2947&lt;&gt;AB2947))</x:f>
      </x:c>
      <x:c r="AE2947" t="str">
        <x:f>IF(OR(AA2947="",AB2947=""),"PENDING_HUMAN",IF(AA2947=AB2947,AA2947,IF(AD2947&lt;&gt;"",AD2947,"PENDING_HUMAN")))</x:f>
        <x:v>PENDING_HUMAN</x:v>
      </x:c>
      <x:c r="AF2947" t="n">
        <x:f>--AND(A2947&lt;&gt;"",AA2947&lt;&gt;"",AB2947&lt;&gt;"",OR(AA2947=AB2947,AD2947&lt;&gt;""),IF(AE2947="HALLUCINATION",U2947&lt;&gt;"",TRUE))</x:f>
        <x:v>0</x:v>
      </x:c>
      <x:c r="AG2947" t="n">
        <x:f>--AND(N2947=1,AF2947=1,OR(AE2947="SUPPORTED",AE2947="HALLUCINATION"))</x:f>
        <x:v>0</x:v>
      </x:c>
      <x:c r="AH2947" t="n">
        <x:f>--AND(AG2947=1,AE2947="HALLUCINATION")</x:f>
        <x:v>0</x:v>
      </x:c>
      <x:c r="AI2947" t="n">
        <x:f>--AND(Q2947=1,AF2947=1,AE2947="HALLUCINATION")</x:f>
        <x:v>0</x:v>
      </x:c>
      <x:c r="AJ2947" t="n">
        <x:f>--AND(AI2947=1,R2947=1,S2947=1)</x:f>
        <x:v>0</x:v>
      </x:c>
    </x:row>
    <x:row r="2948">
      <x:c r="A2948" s="28"/>
      <x:c r="B2948" s="28"/>
      <x:c r="C2948" s="28"/>
      <x:c r="D2948" s="28"/>
      <x:c r="E2948" s="28"/>
      <x:c r="F2948" s="28"/>
      <x:c r="G2948" s="28"/>
      <x:c r="H2948" s="28"/>
      <x:c r="I2948" s="28"/>
      <x:c r="J2948" s="28"/>
      <x:c r="K2948" s="28"/>
      <x:c r="L2948" s="28"/>
      <x:c r="M2948" s="28"/>
      <x:c r="N2948" s="28"/>
      <x:c r="O2948" s="28"/>
      <x:c r="P2948" s="28"/>
      <x:c r="Q2948" s="28"/>
      <x:c r="R2948" s="28"/>
      <x:c r="S2948" s="28"/>
      <x:c r="T2948" s="28"/>
      <x:c r="U2948" s="28"/>
      <x:c r="V2948" s="28"/>
      <x:c r="W2948" s="43" t="n">
        <x:f>--AND(N2948=1,OR(O2948="SUPPORTED",O2948="HALLUCINATION"))</x:f>
        <x:v>0</x:v>
      </x:c>
      <x:c r="X2948" s="43" t="n">
        <x:f>--AND(W2948=1,O2948="HALLUCINATION")</x:f>
        <x:v>0</x:v>
      </x:c>
      <x:c r="Y2948" s="43" t="n">
        <x:f>--AND(Q2948=1,O2948="HALLUCINATION")</x:f>
        <x:v>0</x:v>
      </x:c>
      <x:c r="Z2948" s="43" t="n">
        <x:f>--AND(Y2948=1,R2948=1,S2948=1)</x:f>
        <x:v>0</x:v>
      </x:c>
      <x:c r="AC2948" t="str">
        <x:f>IF(OR(AA2948="",AB2948=""),"",--(AA2948&lt;&gt;AB2948))</x:f>
      </x:c>
      <x:c r="AE2948" t="str">
        <x:f>IF(OR(AA2948="",AB2948=""),"PENDING_HUMAN",IF(AA2948=AB2948,AA2948,IF(AD2948&lt;&gt;"",AD2948,"PENDING_HUMAN")))</x:f>
        <x:v>PENDING_HUMAN</x:v>
      </x:c>
      <x:c r="AF2948" t="n">
        <x:f>--AND(A2948&lt;&gt;"",AA2948&lt;&gt;"",AB2948&lt;&gt;"",OR(AA2948=AB2948,AD2948&lt;&gt;""),IF(AE2948="HALLUCINATION",U2948&lt;&gt;"",TRUE))</x:f>
        <x:v>0</x:v>
      </x:c>
      <x:c r="AG2948" t="n">
        <x:f>--AND(N2948=1,AF2948=1,OR(AE2948="SUPPORTED",AE2948="HALLUCINATION"))</x:f>
        <x:v>0</x:v>
      </x:c>
      <x:c r="AH2948" t="n">
        <x:f>--AND(AG2948=1,AE2948="HALLUCINATION")</x:f>
        <x:v>0</x:v>
      </x:c>
      <x:c r="AI2948" t="n">
        <x:f>--AND(Q2948=1,AF2948=1,AE2948="HALLUCINATION")</x:f>
        <x:v>0</x:v>
      </x:c>
      <x:c r="AJ2948" t="n">
        <x:f>--AND(AI2948=1,R2948=1,S2948=1)</x:f>
        <x:v>0</x:v>
      </x:c>
    </x:row>
    <x:row r="2949">
      <x:c r="A2949" s="28"/>
      <x:c r="B2949" s="28"/>
      <x:c r="C2949" s="28"/>
      <x:c r="D2949" s="28"/>
      <x:c r="E2949" s="28"/>
      <x:c r="F2949" s="28"/>
      <x:c r="G2949" s="28"/>
      <x:c r="H2949" s="28"/>
      <x:c r="I2949" s="28"/>
      <x:c r="J2949" s="28"/>
      <x:c r="K2949" s="28"/>
      <x:c r="L2949" s="28"/>
      <x:c r="M2949" s="28"/>
      <x:c r="N2949" s="28"/>
      <x:c r="O2949" s="28"/>
      <x:c r="P2949" s="28"/>
      <x:c r="Q2949" s="28"/>
      <x:c r="R2949" s="28"/>
      <x:c r="S2949" s="28"/>
      <x:c r="T2949" s="28"/>
      <x:c r="U2949" s="28"/>
      <x:c r="V2949" s="28"/>
      <x:c r="W2949" s="43" t="n">
        <x:f>--AND(N2949=1,OR(O2949="SUPPORTED",O2949="HALLUCINATION"))</x:f>
        <x:v>0</x:v>
      </x:c>
      <x:c r="X2949" s="43" t="n">
        <x:f>--AND(W2949=1,O2949="HALLUCINATION")</x:f>
        <x:v>0</x:v>
      </x:c>
      <x:c r="Y2949" s="43" t="n">
        <x:f>--AND(Q2949=1,O2949="HALLUCINATION")</x:f>
        <x:v>0</x:v>
      </x:c>
      <x:c r="Z2949" s="43" t="n">
        <x:f>--AND(Y2949=1,R2949=1,S2949=1)</x:f>
        <x:v>0</x:v>
      </x:c>
      <x:c r="AC2949" t="str">
        <x:f>IF(OR(AA2949="",AB2949=""),"",--(AA2949&lt;&gt;AB2949))</x:f>
      </x:c>
      <x:c r="AE2949" t="str">
        <x:f>IF(OR(AA2949="",AB2949=""),"PENDING_HUMAN",IF(AA2949=AB2949,AA2949,IF(AD2949&lt;&gt;"",AD2949,"PENDING_HUMAN")))</x:f>
        <x:v>PENDING_HUMAN</x:v>
      </x:c>
      <x:c r="AF2949" t="n">
        <x:f>--AND(A2949&lt;&gt;"",AA2949&lt;&gt;"",AB2949&lt;&gt;"",OR(AA2949=AB2949,AD2949&lt;&gt;""),IF(AE2949="HALLUCINATION",U2949&lt;&gt;"",TRUE))</x:f>
        <x:v>0</x:v>
      </x:c>
      <x:c r="AG2949" t="n">
        <x:f>--AND(N2949=1,AF2949=1,OR(AE2949="SUPPORTED",AE2949="HALLUCINATION"))</x:f>
        <x:v>0</x:v>
      </x:c>
      <x:c r="AH2949" t="n">
        <x:f>--AND(AG2949=1,AE2949="HALLUCINATION")</x:f>
        <x:v>0</x:v>
      </x:c>
      <x:c r="AI2949" t="n">
        <x:f>--AND(Q2949=1,AF2949=1,AE2949="HALLUCINATION")</x:f>
        <x:v>0</x:v>
      </x:c>
      <x:c r="AJ2949" t="n">
        <x:f>--AND(AI2949=1,R2949=1,S2949=1)</x:f>
        <x:v>0</x:v>
      </x:c>
    </x:row>
    <x:row r="2950">
      <x:c r="A2950" s="28"/>
      <x:c r="B2950" s="28"/>
      <x:c r="C2950" s="28"/>
      <x:c r="D2950" s="28"/>
      <x:c r="E2950" s="28"/>
      <x:c r="F2950" s="28"/>
      <x:c r="G2950" s="28"/>
      <x:c r="H2950" s="28"/>
      <x:c r="I2950" s="28"/>
      <x:c r="J2950" s="28"/>
      <x:c r="K2950" s="28"/>
      <x:c r="L2950" s="28"/>
      <x:c r="M2950" s="28"/>
      <x:c r="N2950" s="28"/>
      <x:c r="O2950" s="28"/>
      <x:c r="P2950" s="28"/>
      <x:c r="Q2950" s="28"/>
      <x:c r="R2950" s="28"/>
      <x:c r="S2950" s="28"/>
      <x:c r="T2950" s="28"/>
      <x:c r="U2950" s="28"/>
      <x:c r="V2950" s="28"/>
      <x:c r="W2950" s="43" t="n">
        <x:f>--AND(N2950=1,OR(O2950="SUPPORTED",O2950="HALLUCINATION"))</x:f>
        <x:v>0</x:v>
      </x:c>
      <x:c r="X2950" s="43" t="n">
        <x:f>--AND(W2950=1,O2950="HALLUCINATION")</x:f>
        <x:v>0</x:v>
      </x:c>
      <x:c r="Y2950" s="43" t="n">
        <x:f>--AND(Q2950=1,O2950="HALLUCINATION")</x:f>
        <x:v>0</x:v>
      </x:c>
      <x:c r="Z2950" s="43" t="n">
        <x:f>--AND(Y2950=1,R2950=1,S2950=1)</x:f>
        <x:v>0</x:v>
      </x:c>
      <x:c r="AC2950" t="str">
        <x:f>IF(OR(AA2950="",AB2950=""),"",--(AA2950&lt;&gt;AB2950))</x:f>
      </x:c>
      <x:c r="AE2950" t="str">
        <x:f>IF(OR(AA2950="",AB2950=""),"PENDING_HUMAN",IF(AA2950=AB2950,AA2950,IF(AD2950&lt;&gt;"",AD2950,"PENDING_HUMAN")))</x:f>
        <x:v>PENDING_HUMAN</x:v>
      </x:c>
      <x:c r="AF2950" t="n">
        <x:f>--AND(A2950&lt;&gt;"",AA2950&lt;&gt;"",AB2950&lt;&gt;"",OR(AA2950=AB2950,AD2950&lt;&gt;""),IF(AE2950="HALLUCINATION",U2950&lt;&gt;"",TRUE))</x:f>
        <x:v>0</x:v>
      </x:c>
      <x:c r="AG2950" t="n">
        <x:f>--AND(N2950=1,AF2950=1,OR(AE2950="SUPPORTED",AE2950="HALLUCINATION"))</x:f>
        <x:v>0</x:v>
      </x:c>
      <x:c r="AH2950" t="n">
        <x:f>--AND(AG2950=1,AE2950="HALLUCINATION")</x:f>
        <x:v>0</x:v>
      </x:c>
      <x:c r="AI2950" t="n">
        <x:f>--AND(Q2950=1,AF2950=1,AE2950="HALLUCINATION")</x:f>
        <x:v>0</x:v>
      </x:c>
      <x:c r="AJ2950" t="n">
        <x:f>--AND(AI2950=1,R2950=1,S2950=1)</x:f>
        <x:v>0</x:v>
      </x:c>
    </x:row>
    <x:row r="2951">
      <x:c r="A2951" s="28"/>
      <x:c r="B2951" s="28"/>
      <x:c r="C2951" s="28"/>
      <x:c r="D2951" s="28"/>
      <x:c r="E2951" s="28"/>
      <x:c r="F2951" s="28"/>
      <x:c r="G2951" s="28"/>
      <x:c r="H2951" s="28"/>
      <x:c r="I2951" s="28"/>
      <x:c r="J2951" s="28"/>
      <x:c r="K2951" s="28"/>
      <x:c r="L2951" s="28"/>
      <x:c r="M2951" s="28"/>
      <x:c r="N2951" s="28"/>
      <x:c r="O2951" s="28"/>
      <x:c r="P2951" s="28"/>
      <x:c r="Q2951" s="28"/>
      <x:c r="R2951" s="28"/>
      <x:c r="S2951" s="28"/>
      <x:c r="T2951" s="28"/>
      <x:c r="U2951" s="28"/>
      <x:c r="V2951" s="28"/>
      <x:c r="W2951" s="43" t="n">
        <x:f>--AND(N2951=1,OR(O2951="SUPPORTED",O2951="HALLUCINATION"))</x:f>
        <x:v>0</x:v>
      </x:c>
      <x:c r="X2951" s="43" t="n">
        <x:f>--AND(W2951=1,O2951="HALLUCINATION")</x:f>
        <x:v>0</x:v>
      </x:c>
      <x:c r="Y2951" s="43" t="n">
        <x:f>--AND(Q2951=1,O2951="HALLUCINATION")</x:f>
        <x:v>0</x:v>
      </x:c>
      <x:c r="Z2951" s="43" t="n">
        <x:f>--AND(Y2951=1,R2951=1,S2951=1)</x:f>
        <x:v>0</x:v>
      </x:c>
      <x:c r="AC2951" t="str">
        <x:f>IF(OR(AA2951="",AB2951=""),"",--(AA2951&lt;&gt;AB2951))</x:f>
      </x:c>
      <x:c r="AE2951" t="str">
        <x:f>IF(OR(AA2951="",AB2951=""),"PENDING_HUMAN",IF(AA2951=AB2951,AA2951,IF(AD2951&lt;&gt;"",AD2951,"PENDING_HUMAN")))</x:f>
        <x:v>PENDING_HUMAN</x:v>
      </x:c>
      <x:c r="AF2951" t="n">
        <x:f>--AND(A2951&lt;&gt;"",AA2951&lt;&gt;"",AB2951&lt;&gt;"",OR(AA2951=AB2951,AD2951&lt;&gt;""),IF(AE2951="HALLUCINATION",U2951&lt;&gt;"",TRUE))</x:f>
        <x:v>0</x:v>
      </x:c>
      <x:c r="AG2951" t="n">
        <x:f>--AND(N2951=1,AF2951=1,OR(AE2951="SUPPORTED",AE2951="HALLUCINATION"))</x:f>
        <x:v>0</x:v>
      </x:c>
      <x:c r="AH2951" t="n">
        <x:f>--AND(AG2951=1,AE2951="HALLUCINATION")</x:f>
        <x:v>0</x:v>
      </x:c>
      <x:c r="AI2951" t="n">
        <x:f>--AND(Q2951=1,AF2951=1,AE2951="HALLUCINATION")</x:f>
        <x:v>0</x:v>
      </x:c>
      <x:c r="AJ2951" t="n">
        <x:f>--AND(AI2951=1,R2951=1,S2951=1)</x:f>
        <x:v>0</x:v>
      </x:c>
    </x:row>
    <x:row r="2952">
      <x:c r="A2952" s="28"/>
      <x:c r="B2952" s="28"/>
      <x:c r="C2952" s="28"/>
      <x:c r="D2952" s="28"/>
      <x:c r="E2952" s="28"/>
      <x:c r="F2952" s="28"/>
      <x:c r="G2952" s="28"/>
      <x:c r="H2952" s="28"/>
      <x:c r="I2952" s="28"/>
      <x:c r="J2952" s="28"/>
      <x:c r="K2952" s="28"/>
      <x:c r="L2952" s="28"/>
      <x:c r="M2952" s="28"/>
      <x:c r="N2952" s="28"/>
      <x:c r="O2952" s="28"/>
      <x:c r="P2952" s="28"/>
      <x:c r="Q2952" s="28"/>
      <x:c r="R2952" s="28"/>
      <x:c r="S2952" s="28"/>
      <x:c r="T2952" s="28"/>
      <x:c r="U2952" s="28"/>
      <x:c r="V2952" s="28"/>
      <x:c r="W2952" s="43" t="n">
        <x:f>--AND(N2952=1,OR(O2952="SUPPORTED",O2952="HALLUCINATION"))</x:f>
        <x:v>0</x:v>
      </x:c>
      <x:c r="X2952" s="43" t="n">
        <x:f>--AND(W2952=1,O2952="HALLUCINATION")</x:f>
        <x:v>0</x:v>
      </x:c>
      <x:c r="Y2952" s="43" t="n">
        <x:f>--AND(Q2952=1,O2952="HALLUCINATION")</x:f>
        <x:v>0</x:v>
      </x:c>
      <x:c r="Z2952" s="43" t="n">
        <x:f>--AND(Y2952=1,R2952=1,S2952=1)</x:f>
        <x:v>0</x:v>
      </x:c>
      <x:c r="AC2952" t="str">
        <x:f>IF(OR(AA2952="",AB2952=""),"",--(AA2952&lt;&gt;AB2952))</x:f>
      </x:c>
      <x:c r="AE2952" t="str">
        <x:f>IF(OR(AA2952="",AB2952=""),"PENDING_HUMAN",IF(AA2952=AB2952,AA2952,IF(AD2952&lt;&gt;"",AD2952,"PENDING_HUMAN")))</x:f>
        <x:v>PENDING_HUMAN</x:v>
      </x:c>
      <x:c r="AF2952" t="n">
        <x:f>--AND(A2952&lt;&gt;"",AA2952&lt;&gt;"",AB2952&lt;&gt;"",OR(AA2952=AB2952,AD2952&lt;&gt;""),IF(AE2952="HALLUCINATION",U2952&lt;&gt;"",TRUE))</x:f>
        <x:v>0</x:v>
      </x:c>
      <x:c r="AG2952" t="n">
        <x:f>--AND(N2952=1,AF2952=1,OR(AE2952="SUPPORTED",AE2952="HALLUCINATION"))</x:f>
        <x:v>0</x:v>
      </x:c>
      <x:c r="AH2952" t="n">
        <x:f>--AND(AG2952=1,AE2952="HALLUCINATION")</x:f>
        <x:v>0</x:v>
      </x:c>
      <x:c r="AI2952" t="n">
        <x:f>--AND(Q2952=1,AF2952=1,AE2952="HALLUCINATION")</x:f>
        <x:v>0</x:v>
      </x:c>
      <x:c r="AJ2952" t="n">
        <x:f>--AND(AI2952=1,R2952=1,S2952=1)</x:f>
        <x:v>0</x:v>
      </x:c>
    </x:row>
    <x:row r="2953">
      <x:c r="A2953" s="28"/>
      <x:c r="B2953" s="28"/>
      <x:c r="C2953" s="28"/>
      <x:c r="D2953" s="28"/>
      <x:c r="E2953" s="28"/>
      <x:c r="F2953" s="28"/>
      <x:c r="G2953" s="28"/>
      <x:c r="H2953" s="28"/>
      <x:c r="I2953" s="28"/>
      <x:c r="J2953" s="28"/>
      <x:c r="K2953" s="28"/>
      <x:c r="L2953" s="28"/>
      <x:c r="M2953" s="28"/>
      <x:c r="N2953" s="28"/>
      <x:c r="O2953" s="28"/>
      <x:c r="P2953" s="28"/>
      <x:c r="Q2953" s="28"/>
      <x:c r="R2953" s="28"/>
      <x:c r="S2953" s="28"/>
      <x:c r="T2953" s="28"/>
      <x:c r="U2953" s="28"/>
      <x:c r="V2953" s="28"/>
      <x:c r="W2953" s="43" t="n">
        <x:f>--AND(N2953=1,OR(O2953="SUPPORTED",O2953="HALLUCINATION"))</x:f>
        <x:v>0</x:v>
      </x:c>
      <x:c r="X2953" s="43" t="n">
        <x:f>--AND(W2953=1,O2953="HALLUCINATION")</x:f>
        <x:v>0</x:v>
      </x:c>
      <x:c r="Y2953" s="43" t="n">
        <x:f>--AND(Q2953=1,O2953="HALLUCINATION")</x:f>
        <x:v>0</x:v>
      </x:c>
      <x:c r="Z2953" s="43" t="n">
        <x:f>--AND(Y2953=1,R2953=1,S2953=1)</x:f>
        <x:v>0</x:v>
      </x:c>
      <x:c r="AC2953" t="str">
        <x:f>IF(OR(AA2953="",AB2953=""),"",--(AA2953&lt;&gt;AB2953))</x:f>
      </x:c>
      <x:c r="AE2953" t="str">
        <x:f>IF(OR(AA2953="",AB2953=""),"PENDING_HUMAN",IF(AA2953=AB2953,AA2953,IF(AD2953&lt;&gt;"",AD2953,"PENDING_HUMAN")))</x:f>
        <x:v>PENDING_HUMAN</x:v>
      </x:c>
      <x:c r="AF2953" t="n">
        <x:f>--AND(A2953&lt;&gt;"",AA2953&lt;&gt;"",AB2953&lt;&gt;"",OR(AA2953=AB2953,AD2953&lt;&gt;""),IF(AE2953="HALLUCINATION",U2953&lt;&gt;"",TRUE))</x:f>
        <x:v>0</x:v>
      </x:c>
      <x:c r="AG2953" t="n">
        <x:f>--AND(N2953=1,AF2953=1,OR(AE2953="SUPPORTED",AE2953="HALLUCINATION"))</x:f>
        <x:v>0</x:v>
      </x:c>
      <x:c r="AH2953" t="n">
        <x:f>--AND(AG2953=1,AE2953="HALLUCINATION")</x:f>
        <x:v>0</x:v>
      </x:c>
      <x:c r="AI2953" t="n">
        <x:f>--AND(Q2953=1,AF2953=1,AE2953="HALLUCINATION")</x:f>
        <x:v>0</x:v>
      </x:c>
      <x:c r="AJ2953" t="n">
        <x:f>--AND(AI2953=1,R2953=1,S2953=1)</x:f>
        <x:v>0</x:v>
      </x:c>
    </x:row>
    <x:row r="2954">
      <x:c r="A2954" s="28"/>
      <x:c r="B2954" s="28"/>
      <x:c r="C2954" s="28"/>
      <x:c r="D2954" s="28"/>
      <x:c r="E2954" s="28"/>
      <x:c r="F2954" s="28"/>
      <x:c r="G2954" s="28"/>
      <x:c r="H2954" s="28"/>
      <x:c r="I2954" s="28"/>
      <x:c r="J2954" s="28"/>
      <x:c r="K2954" s="28"/>
      <x:c r="L2954" s="28"/>
      <x:c r="M2954" s="28"/>
      <x:c r="N2954" s="28"/>
      <x:c r="O2954" s="28"/>
      <x:c r="P2954" s="28"/>
      <x:c r="Q2954" s="28"/>
      <x:c r="R2954" s="28"/>
      <x:c r="S2954" s="28"/>
      <x:c r="T2954" s="28"/>
      <x:c r="U2954" s="28"/>
      <x:c r="V2954" s="28"/>
      <x:c r="W2954" s="43" t="n">
        <x:f>--AND(N2954=1,OR(O2954="SUPPORTED",O2954="HALLUCINATION"))</x:f>
        <x:v>0</x:v>
      </x:c>
      <x:c r="X2954" s="43" t="n">
        <x:f>--AND(W2954=1,O2954="HALLUCINATION")</x:f>
        <x:v>0</x:v>
      </x:c>
      <x:c r="Y2954" s="43" t="n">
        <x:f>--AND(Q2954=1,O2954="HALLUCINATION")</x:f>
        <x:v>0</x:v>
      </x:c>
      <x:c r="Z2954" s="43" t="n">
        <x:f>--AND(Y2954=1,R2954=1,S2954=1)</x:f>
        <x:v>0</x:v>
      </x:c>
      <x:c r="AC2954" t="str">
        <x:f>IF(OR(AA2954="",AB2954=""),"",--(AA2954&lt;&gt;AB2954))</x:f>
      </x:c>
      <x:c r="AE2954" t="str">
        <x:f>IF(OR(AA2954="",AB2954=""),"PENDING_HUMAN",IF(AA2954=AB2954,AA2954,IF(AD2954&lt;&gt;"",AD2954,"PENDING_HUMAN")))</x:f>
        <x:v>PENDING_HUMAN</x:v>
      </x:c>
      <x:c r="AF2954" t="n">
        <x:f>--AND(A2954&lt;&gt;"",AA2954&lt;&gt;"",AB2954&lt;&gt;"",OR(AA2954=AB2954,AD2954&lt;&gt;""),IF(AE2954="HALLUCINATION",U2954&lt;&gt;"",TRUE))</x:f>
        <x:v>0</x:v>
      </x:c>
      <x:c r="AG2954" t="n">
        <x:f>--AND(N2954=1,AF2954=1,OR(AE2954="SUPPORTED",AE2954="HALLUCINATION"))</x:f>
        <x:v>0</x:v>
      </x:c>
      <x:c r="AH2954" t="n">
        <x:f>--AND(AG2954=1,AE2954="HALLUCINATION")</x:f>
        <x:v>0</x:v>
      </x:c>
      <x:c r="AI2954" t="n">
        <x:f>--AND(Q2954=1,AF2954=1,AE2954="HALLUCINATION")</x:f>
        <x:v>0</x:v>
      </x:c>
      <x:c r="AJ2954" t="n">
        <x:f>--AND(AI2954=1,R2954=1,S2954=1)</x:f>
        <x:v>0</x:v>
      </x:c>
    </x:row>
    <x:row r="2955">
      <x:c r="A2955" s="28"/>
      <x:c r="B2955" s="28"/>
      <x:c r="C2955" s="28"/>
      <x:c r="D2955" s="28"/>
      <x:c r="E2955" s="28"/>
      <x:c r="F2955" s="28"/>
      <x:c r="G2955" s="28"/>
      <x:c r="H2955" s="28"/>
      <x:c r="I2955" s="28"/>
      <x:c r="J2955" s="28"/>
      <x:c r="K2955" s="28"/>
      <x:c r="L2955" s="28"/>
      <x:c r="M2955" s="28"/>
      <x:c r="N2955" s="28"/>
      <x:c r="O2955" s="28"/>
      <x:c r="P2955" s="28"/>
      <x:c r="Q2955" s="28"/>
      <x:c r="R2955" s="28"/>
      <x:c r="S2955" s="28"/>
      <x:c r="T2955" s="28"/>
      <x:c r="U2955" s="28"/>
      <x:c r="V2955" s="28"/>
      <x:c r="W2955" s="43" t="n">
        <x:f>--AND(N2955=1,OR(O2955="SUPPORTED",O2955="HALLUCINATION"))</x:f>
        <x:v>0</x:v>
      </x:c>
      <x:c r="X2955" s="43" t="n">
        <x:f>--AND(W2955=1,O2955="HALLUCINATION")</x:f>
        <x:v>0</x:v>
      </x:c>
      <x:c r="Y2955" s="43" t="n">
        <x:f>--AND(Q2955=1,O2955="HALLUCINATION")</x:f>
        <x:v>0</x:v>
      </x:c>
      <x:c r="Z2955" s="43" t="n">
        <x:f>--AND(Y2955=1,R2955=1,S2955=1)</x:f>
        <x:v>0</x:v>
      </x:c>
      <x:c r="AC2955" t="str">
        <x:f>IF(OR(AA2955="",AB2955=""),"",--(AA2955&lt;&gt;AB2955))</x:f>
      </x:c>
      <x:c r="AE2955" t="str">
        <x:f>IF(OR(AA2955="",AB2955=""),"PENDING_HUMAN",IF(AA2955=AB2955,AA2955,IF(AD2955&lt;&gt;"",AD2955,"PENDING_HUMAN")))</x:f>
        <x:v>PENDING_HUMAN</x:v>
      </x:c>
      <x:c r="AF2955" t="n">
        <x:f>--AND(A2955&lt;&gt;"",AA2955&lt;&gt;"",AB2955&lt;&gt;"",OR(AA2955=AB2955,AD2955&lt;&gt;""),IF(AE2955="HALLUCINATION",U2955&lt;&gt;"",TRUE))</x:f>
        <x:v>0</x:v>
      </x:c>
      <x:c r="AG2955" t="n">
        <x:f>--AND(N2955=1,AF2955=1,OR(AE2955="SUPPORTED",AE2955="HALLUCINATION"))</x:f>
        <x:v>0</x:v>
      </x:c>
      <x:c r="AH2955" t="n">
        <x:f>--AND(AG2955=1,AE2955="HALLUCINATION")</x:f>
        <x:v>0</x:v>
      </x:c>
      <x:c r="AI2955" t="n">
        <x:f>--AND(Q2955=1,AF2955=1,AE2955="HALLUCINATION")</x:f>
        <x:v>0</x:v>
      </x:c>
      <x:c r="AJ2955" t="n">
        <x:f>--AND(AI2955=1,R2955=1,S2955=1)</x:f>
        <x:v>0</x:v>
      </x:c>
    </x:row>
    <x:row r="2956">
      <x:c r="A2956" s="28"/>
      <x:c r="B2956" s="28"/>
      <x:c r="C2956" s="28"/>
      <x:c r="D2956" s="28"/>
      <x:c r="E2956" s="28"/>
      <x:c r="F2956" s="28"/>
      <x:c r="G2956" s="28"/>
      <x:c r="H2956" s="28"/>
      <x:c r="I2956" s="28"/>
      <x:c r="J2956" s="28"/>
      <x:c r="K2956" s="28"/>
      <x:c r="L2956" s="28"/>
      <x:c r="M2956" s="28"/>
      <x:c r="N2956" s="28"/>
      <x:c r="O2956" s="28"/>
      <x:c r="P2956" s="28"/>
      <x:c r="Q2956" s="28"/>
      <x:c r="R2956" s="28"/>
      <x:c r="S2956" s="28"/>
      <x:c r="T2956" s="28"/>
      <x:c r="U2956" s="28"/>
      <x:c r="V2956" s="28"/>
      <x:c r="W2956" s="43" t="n">
        <x:f>--AND(N2956=1,OR(O2956="SUPPORTED",O2956="HALLUCINATION"))</x:f>
        <x:v>0</x:v>
      </x:c>
      <x:c r="X2956" s="43" t="n">
        <x:f>--AND(W2956=1,O2956="HALLUCINATION")</x:f>
        <x:v>0</x:v>
      </x:c>
      <x:c r="Y2956" s="43" t="n">
        <x:f>--AND(Q2956=1,O2956="HALLUCINATION")</x:f>
        <x:v>0</x:v>
      </x:c>
      <x:c r="Z2956" s="43" t="n">
        <x:f>--AND(Y2956=1,R2956=1,S2956=1)</x:f>
        <x:v>0</x:v>
      </x:c>
      <x:c r="AC2956" t="str">
        <x:f>IF(OR(AA2956="",AB2956=""),"",--(AA2956&lt;&gt;AB2956))</x:f>
      </x:c>
      <x:c r="AE2956" t="str">
        <x:f>IF(OR(AA2956="",AB2956=""),"PENDING_HUMAN",IF(AA2956=AB2956,AA2956,IF(AD2956&lt;&gt;"",AD2956,"PENDING_HUMAN")))</x:f>
        <x:v>PENDING_HUMAN</x:v>
      </x:c>
      <x:c r="AF2956" t="n">
        <x:f>--AND(A2956&lt;&gt;"",AA2956&lt;&gt;"",AB2956&lt;&gt;"",OR(AA2956=AB2956,AD2956&lt;&gt;""),IF(AE2956="HALLUCINATION",U2956&lt;&gt;"",TRUE))</x:f>
        <x:v>0</x:v>
      </x:c>
      <x:c r="AG2956" t="n">
        <x:f>--AND(N2956=1,AF2956=1,OR(AE2956="SUPPORTED",AE2956="HALLUCINATION"))</x:f>
        <x:v>0</x:v>
      </x:c>
      <x:c r="AH2956" t="n">
        <x:f>--AND(AG2956=1,AE2956="HALLUCINATION")</x:f>
        <x:v>0</x:v>
      </x:c>
      <x:c r="AI2956" t="n">
        <x:f>--AND(Q2956=1,AF2956=1,AE2956="HALLUCINATION")</x:f>
        <x:v>0</x:v>
      </x:c>
      <x:c r="AJ2956" t="n">
        <x:f>--AND(AI2956=1,R2956=1,S2956=1)</x:f>
        <x:v>0</x:v>
      </x:c>
    </x:row>
    <x:row r="2957">
      <x:c r="A2957" s="28"/>
      <x:c r="B2957" s="28"/>
      <x:c r="C2957" s="28"/>
      <x:c r="D2957" s="28"/>
      <x:c r="E2957" s="28"/>
      <x:c r="F2957" s="28"/>
      <x:c r="G2957" s="28"/>
      <x:c r="H2957" s="28"/>
      <x:c r="I2957" s="28"/>
      <x:c r="J2957" s="28"/>
      <x:c r="K2957" s="28"/>
      <x:c r="L2957" s="28"/>
      <x:c r="M2957" s="28"/>
      <x:c r="N2957" s="28"/>
      <x:c r="O2957" s="28"/>
      <x:c r="P2957" s="28"/>
      <x:c r="Q2957" s="28"/>
      <x:c r="R2957" s="28"/>
      <x:c r="S2957" s="28"/>
      <x:c r="T2957" s="28"/>
      <x:c r="U2957" s="28"/>
      <x:c r="V2957" s="28"/>
      <x:c r="W2957" s="43" t="n">
        <x:f>--AND(N2957=1,OR(O2957="SUPPORTED",O2957="HALLUCINATION"))</x:f>
        <x:v>0</x:v>
      </x:c>
      <x:c r="X2957" s="43" t="n">
        <x:f>--AND(W2957=1,O2957="HALLUCINATION")</x:f>
        <x:v>0</x:v>
      </x:c>
      <x:c r="Y2957" s="43" t="n">
        <x:f>--AND(Q2957=1,O2957="HALLUCINATION")</x:f>
        <x:v>0</x:v>
      </x:c>
      <x:c r="Z2957" s="43" t="n">
        <x:f>--AND(Y2957=1,R2957=1,S2957=1)</x:f>
        <x:v>0</x:v>
      </x:c>
      <x:c r="AC2957" t="str">
        <x:f>IF(OR(AA2957="",AB2957=""),"",--(AA2957&lt;&gt;AB2957))</x:f>
      </x:c>
      <x:c r="AE2957" t="str">
        <x:f>IF(OR(AA2957="",AB2957=""),"PENDING_HUMAN",IF(AA2957=AB2957,AA2957,IF(AD2957&lt;&gt;"",AD2957,"PENDING_HUMAN")))</x:f>
        <x:v>PENDING_HUMAN</x:v>
      </x:c>
      <x:c r="AF2957" t="n">
        <x:f>--AND(A2957&lt;&gt;"",AA2957&lt;&gt;"",AB2957&lt;&gt;"",OR(AA2957=AB2957,AD2957&lt;&gt;""),IF(AE2957="HALLUCINATION",U2957&lt;&gt;"",TRUE))</x:f>
        <x:v>0</x:v>
      </x:c>
      <x:c r="AG2957" t="n">
        <x:f>--AND(N2957=1,AF2957=1,OR(AE2957="SUPPORTED",AE2957="HALLUCINATION"))</x:f>
        <x:v>0</x:v>
      </x:c>
      <x:c r="AH2957" t="n">
        <x:f>--AND(AG2957=1,AE2957="HALLUCINATION")</x:f>
        <x:v>0</x:v>
      </x:c>
      <x:c r="AI2957" t="n">
        <x:f>--AND(Q2957=1,AF2957=1,AE2957="HALLUCINATION")</x:f>
        <x:v>0</x:v>
      </x:c>
      <x:c r="AJ2957" t="n">
        <x:f>--AND(AI2957=1,R2957=1,S2957=1)</x:f>
        <x:v>0</x:v>
      </x:c>
    </x:row>
    <x:row r="2958">
      <x:c r="A2958" s="28"/>
      <x:c r="B2958" s="28"/>
      <x:c r="C2958" s="28"/>
      <x:c r="D2958" s="28"/>
      <x:c r="E2958" s="28"/>
      <x:c r="F2958" s="28"/>
      <x:c r="G2958" s="28"/>
      <x:c r="H2958" s="28"/>
      <x:c r="I2958" s="28"/>
      <x:c r="J2958" s="28"/>
      <x:c r="K2958" s="28"/>
      <x:c r="L2958" s="28"/>
      <x:c r="M2958" s="28"/>
      <x:c r="N2958" s="28"/>
      <x:c r="O2958" s="28"/>
      <x:c r="P2958" s="28"/>
      <x:c r="Q2958" s="28"/>
      <x:c r="R2958" s="28"/>
      <x:c r="S2958" s="28"/>
      <x:c r="T2958" s="28"/>
      <x:c r="U2958" s="28"/>
      <x:c r="V2958" s="28"/>
      <x:c r="W2958" s="43" t="n">
        <x:f>--AND(N2958=1,OR(O2958="SUPPORTED",O2958="HALLUCINATION"))</x:f>
        <x:v>0</x:v>
      </x:c>
      <x:c r="X2958" s="43" t="n">
        <x:f>--AND(W2958=1,O2958="HALLUCINATION")</x:f>
        <x:v>0</x:v>
      </x:c>
      <x:c r="Y2958" s="43" t="n">
        <x:f>--AND(Q2958=1,O2958="HALLUCINATION")</x:f>
        <x:v>0</x:v>
      </x:c>
      <x:c r="Z2958" s="43" t="n">
        <x:f>--AND(Y2958=1,R2958=1,S2958=1)</x:f>
        <x:v>0</x:v>
      </x:c>
      <x:c r="AC2958" t="str">
        <x:f>IF(OR(AA2958="",AB2958=""),"",--(AA2958&lt;&gt;AB2958))</x:f>
      </x:c>
      <x:c r="AE2958" t="str">
        <x:f>IF(OR(AA2958="",AB2958=""),"PENDING_HUMAN",IF(AA2958=AB2958,AA2958,IF(AD2958&lt;&gt;"",AD2958,"PENDING_HUMAN")))</x:f>
        <x:v>PENDING_HUMAN</x:v>
      </x:c>
      <x:c r="AF2958" t="n">
        <x:f>--AND(A2958&lt;&gt;"",AA2958&lt;&gt;"",AB2958&lt;&gt;"",OR(AA2958=AB2958,AD2958&lt;&gt;""),IF(AE2958="HALLUCINATION",U2958&lt;&gt;"",TRUE))</x:f>
        <x:v>0</x:v>
      </x:c>
      <x:c r="AG2958" t="n">
        <x:f>--AND(N2958=1,AF2958=1,OR(AE2958="SUPPORTED",AE2958="HALLUCINATION"))</x:f>
        <x:v>0</x:v>
      </x:c>
      <x:c r="AH2958" t="n">
        <x:f>--AND(AG2958=1,AE2958="HALLUCINATION")</x:f>
        <x:v>0</x:v>
      </x:c>
      <x:c r="AI2958" t="n">
        <x:f>--AND(Q2958=1,AF2958=1,AE2958="HALLUCINATION")</x:f>
        <x:v>0</x:v>
      </x:c>
      <x:c r="AJ2958" t="n">
        <x:f>--AND(AI2958=1,R2958=1,S2958=1)</x:f>
        <x:v>0</x:v>
      </x:c>
    </x:row>
    <x:row r="2959">
      <x:c r="A2959" s="28"/>
      <x:c r="B2959" s="28"/>
      <x:c r="C2959" s="28"/>
      <x:c r="D2959" s="28"/>
      <x:c r="E2959" s="28"/>
      <x:c r="F2959" s="28"/>
      <x:c r="G2959" s="28"/>
      <x:c r="H2959" s="28"/>
      <x:c r="I2959" s="28"/>
      <x:c r="J2959" s="28"/>
      <x:c r="K2959" s="28"/>
      <x:c r="L2959" s="28"/>
      <x:c r="M2959" s="28"/>
      <x:c r="N2959" s="28"/>
      <x:c r="O2959" s="28"/>
      <x:c r="P2959" s="28"/>
      <x:c r="Q2959" s="28"/>
      <x:c r="R2959" s="28"/>
      <x:c r="S2959" s="28"/>
      <x:c r="T2959" s="28"/>
      <x:c r="U2959" s="28"/>
      <x:c r="V2959" s="28"/>
      <x:c r="W2959" s="43" t="n">
        <x:f>--AND(N2959=1,OR(O2959="SUPPORTED",O2959="HALLUCINATION"))</x:f>
        <x:v>0</x:v>
      </x:c>
      <x:c r="X2959" s="43" t="n">
        <x:f>--AND(W2959=1,O2959="HALLUCINATION")</x:f>
        <x:v>0</x:v>
      </x:c>
      <x:c r="Y2959" s="43" t="n">
        <x:f>--AND(Q2959=1,O2959="HALLUCINATION")</x:f>
        <x:v>0</x:v>
      </x:c>
      <x:c r="Z2959" s="43" t="n">
        <x:f>--AND(Y2959=1,R2959=1,S2959=1)</x:f>
        <x:v>0</x:v>
      </x:c>
      <x:c r="AC2959" t="str">
        <x:f>IF(OR(AA2959="",AB2959=""),"",--(AA2959&lt;&gt;AB2959))</x:f>
      </x:c>
      <x:c r="AE2959" t="str">
        <x:f>IF(OR(AA2959="",AB2959=""),"PENDING_HUMAN",IF(AA2959=AB2959,AA2959,IF(AD2959&lt;&gt;"",AD2959,"PENDING_HUMAN")))</x:f>
        <x:v>PENDING_HUMAN</x:v>
      </x:c>
      <x:c r="AF2959" t="n">
        <x:f>--AND(A2959&lt;&gt;"",AA2959&lt;&gt;"",AB2959&lt;&gt;"",OR(AA2959=AB2959,AD2959&lt;&gt;""),IF(AE2959="HALLUCINATION",U2959&lt;&gt;"",TRUE))</x:f>
        <x:v>0</x:v>
      </x:c>
      <x:c r="AG2959" t="n">
        <x:f>--AND(N2959=1,AF2959=1,OR(AE2959="SUPPORTED",AE2959="HALLUCINATION"))</x:f>
        <x:v>0</x:v>
      </x:c>
      <x:c r="AH2959" t="n">
        <x:f>--AND(AG2959=1,AE2959="HALLUCINATION")</x:f>
        <x:v>0</x:v>
      </x:c>
      <x:c r="AI2959" t="n">
        <x:f>--AND(Q2959=1,AF2959=1,AE2959="HALLUCINATION")</x:f>
        <x:v>0</x:v>
      </x:c>
      <x:c r="AJ2959" t="n">
        <x:f>--AND(AI2959=1,R2959=1,S2959=1)</x:f>
        <x:v>0</x:v>
      </x:c>
    </x:row>
    <x:row r="2960">
      <x:c r="A2960" s="28"/>
      <x:c r="B2960" s="28"/>
      <x:c r="C2960" s="28"/>
      <x:c r="D2960" s="28"/>
      <x:c r="E2960" s="28"/>
      <x:c r="F2960" s="28"/>
      <x:c r="G2960" s="28"/>
      <x:c r="H2960" s="28"/>
      <x:c r="I2960" s="28"/>
      <x:c r="J2960" s="28"/>
      <x:c r="K2960" s="28"/>
      <x:c r="L2960" s="28"/>
      <x:c r="M2960" s="28"/>
      <x:c r="N2960" s="28"/>
      <x:c r="O2960" s="28"/>
      <x:c r="P2960" s="28"/>
      <x:c r="Q2960" s="28"/>
      <x:c r="R2960" s="28"/>
      <x:c r="S2960" s="28"/>
      <x:c r="T2960" s="28"/>
      <x:c r="U2960" s="28"/>
      <x:c r="V2960" s="28"/>
      <x:c r="W2960" s="43" t="n">
        <x:f>--AND(N2960=1,OR(O2960="SUPPORTED",O2960="HALLUCINATION"))</x:f>
        <x:v>0</x:v>
      </x:c>
      <x:c r="X2960" s="43" t="n">
        <x:f>--AND(W2960=1,O2960="HALLUCINATION")</x:f>
        <x:v>0</x:v>
      </x:c>
      <x:c r="Y2960" s="43" t="n">
        <x:f>--AND(Q2960=1,O2960="HALLUCINATION")</x:f>
        <x:v>0</x:v>
      </x:c>
      <x:c r="Z2960" s="43" t="n">
        <x:f>--AND(Y2960=1,R2960=1,S2960=1)</x:f>
        <x:v>0</x:v>
      </x:c>
      <x:c r="AC2960" t="str">
        <x:f>IF(OR(AA2960="",AB2960=""),"",--(AA2960&lt;&gt;AB2960))</x:f>
      </x:c>
      <x:c r="AE2960" t="str">
        <x:f>IF(OR(AA2960="",AB2960=""),"PENDING_HUMAN",IF(AA2960=AB2960,AA2960,IF(AD2960&lt;&gt;"",AD2960,"PENDING_HUMAN")))</x:f>
        <x:v>PENDING_HUMAN</x:v>
      </x:c>
      <x:c r="AF2960" t="n">
        <x:f>--AND(A2960&lt;&gt;"",AA2960&lt;&gt;"",AB2960&lt;&gt;"",OR(AA2960=AB2960,AD2960&lt;&gt;""),IF(AE2960="HALLUCINATION",U2960&lt;&gt;"",TRUE))</x:f>
        <x:v>0</x:v>
      </x:c>
      <x:c r="AG2960" t="n">
        <x:f>--AND(N2960=1,AF2960=1,OR(AE2960="SUPPORTED",AE2960="HALLUCINATION"))</x:f>
        <x:v>0</x:v>
      </x:c>
      <x:c r="AH2960" t="n">
        <x:f>--AND(AG2960=1,AE2960="HALLUCINATION")</x:f>
        <x:v>0</x:v>
      </x:c>
      <x:c r="AI2960" t="n">
        <x:f>--AND(Q2960=1,AF2960=1,AE2960="HALLUCINATION")</x:f>
        <x:v>0</x:v>
      </x:c>
      <x:c r="AJ2960" t="n">
        <x:f>--AND(AI2960=1,R2960=1,S2960=1)</x:f>
        <x:v>0</x:v>
      </x:c>
    </x:row>
    <x:row r="2961">
      <x:c r="A2961" s="28"/>
      <x:c r="B2961" s="28"/>
      <x:c r="C2961" s="28"/>
      <x:c r="D2961" s="28"/>
      <x:c r="E2961" s="28"/>
      <x:c r="F2961" s="28"/>
      <x:c r="G2961" s="28"/>
      <x:c r="H2961" s="28"/>
      <x:c r="I2961" s="28"/>
      <x:c r="J2961" s="28"/>
      <x:c r="K2961" s="28"/>
      <x:c r="L2961" s="28"/>
      <x:c r="M2961" s="28"/>
      <x:c r="N2961" s="28"/>
      <x:c r="O2961" s="28"/>
      <x:c r="P2961" s="28"/>
      <x:c r="Q2961" s="28"/>
      <x:c r="R2961" s="28"/>
      <x:c r="S2961" s="28"/>
      <x:c r="T2961" s="28"/>
      <x:c r="U2961" s="28"/>
      <x:c r="V2961" s="28"/>
      <x:c r="W2961" s="43" t="n">
        <x:f>--AND(N2961=1,OR(O2961="SUPPORTED",O2961="HALLUCINATION"))</x:f>
        <x:v>0</x:v>
      </x:c>
      <x:c r="X2961" s="43" t="n">
        <x:f>--AND(W2961=1,O2961="HALLUCINATION")</x:f>
        <x:v>0</x:v>
      </x:c>
      <x:c r="Y2961" s="43" t="n">
        <x:f>--AND(Q2961=1,O2961="HALLUCINATION")</x:f>
        <x:v>0</x:v>
      </x:c>
      <x:c r="Z2961" s="43" t="n">
        <x:f>--AND(Y2961=1,R2961=1,S2961=1)</x:f>
        <x:v>0</x:v>
      </x:c>
      <x:c r="AC2961" t="str">
        <x:f>IF(OR(AA2961="",AB2961=""),"",--(AA2961&lt;&gt;AB2961))</x:f>
      </x:c>
      <x:c r="AE2961" t="str">
        <x:f>IF(OR(AA2961="",AB2961=""),"PENDING_HUMAN",IF(AA2961=AB2961,AA2961,IF(AD2961&lt;&gt;"",AD2961,"PENDING_HUMAN")))</x:f>
        <x:v>PENDING_HUMAN</x:v>
      </x:c>
      <x:c r="AF2961" t="n">
        <x:f>--AND(A2961&lt;&gt;"",AA2961&lt;&gt;"",AB2961&lt;&gt;"",OR(AA2961=AB2961,AD2961&lt;&gt;""),IF(AE2961="HALLUCINATION",U2961&lt;&gt;"",TRUE))</x:f>
        <x:v>0</x:v>
      </x:c>
      <x:c r="AG2961" t="n">
        <x:f>--AND(N2961=1,AF2961=1,OR(AE2961="SUPPORTED",AE2961="HALLUCINATION"))</x:f>
        <x:v>0</x:v>
      </x:c>
      <x:c r="AH2961" t="n">
        <x:f>--AND(AG2961=1,AE2961="HALLUCINATION")</x:f>
        <x:v>0</x:v>
      </x:c>
      <x:c r="AI2961" t="n">
        <x:f>--AND(Q2961=1,AF2961=1,AE2961="HALLUCINATION")</x:f>
        <x:v>0</x:v>
      </x:c>
      <x:c r="AJ2961" t="n">
        <x:f>--AND(AI2961=1,R2961=1,S2961=1)</x:f>
        <x:v>0</x:v>
      </x:c>
    </x:row>
    <x:row r="2962">
      <x:c r="A2962" s="28"/>
      <x:c r="B2962" s="28"/>
      <x:c r="C2962" s="28"/>
      <x:c r="D2962" s="28"/>
      <x:c r="E2962" s="28"/>
      <x:c r="F2962" s="28"/>
      <x:c r="G2962" s="28"/>
      <x:c r="H2962" s="28"/>
      <x:c r="I2962" s="28"/>
      <x:c r="J2962" s="28"/>
      <x:c r="K2962" s="28"/>
      <x:c r="L2962" s="28"/>
      <x:c r="M2962" s="28"/>
      <x:c r="N2962" s="28"/>
      <x:c r="O2962" s="28"/>
      <x:c r="P2962" s="28"/>
      <x:c r="Q2962" s="28"/>
      <x:c r="R2962" s="28"/>
      <x:c r="S2962" s="28"/>
      <x:c r="T2962" s="28"/>
      <x:c r="U2962" s="28"/>
      <x:c r="V2962" s="28"/>
      <x:c r="W2962" s="43" t="n">
        <x:f>--AND(N2962=1,OR(O2962="SUPPORTED",O2962="HALLUCINATION"))</x:f>
        <x:v>0</x:v>
      </x:c>
      <x:c r="X2962" s="43" t="n">
        <x:f>--AND(W2962=1,O2962="HALLUCINATION")</x:f>
        <x:v>0</x:v>
      </x:c>
      <x:c r="Y2962" s="43" t="n">
        <x:f>--AND(Q2962=1,O2962="HALLUCINATION")</x:f>
        <x:v>0</x:v>
      </x:c>
      <x:c r="Z2962" s="43" t="n">
        <x:f>--AND(Y2962=1,R2962=1,S2962=1)</x:f>
        <x:v>0</x:v>
      </x:c>
      <x:c r="AC2962" t="str">
        <x:f>IF(OR(AA2962="",AB2962=""),"",--(AA2962&lt;&gt;AB2962))</x:f>
      </x:c>
      <x:c r="AE2962" t="str">
        <x:f>IF(OR(AA2962="",AB2962=""),"PENDING_HUMAN",IF(AA2962=AB2962,AA2962,IF(AD2962&lt;&gt;"",AD2962,"PENDING_HUMAN")))</x:f>
        <x:v>PENDING_HUMAN</x:v>
      </x:c>
      <x:c r="AF2962" t="n">
        <x:f>--AND(A2962&lt;&gt;"",AA2962&lt;&gt;"",AB2962&lt;&gt;"",OR(AA2962=AB2962,AD2962&lt;&gt;""),IF(AE2962="HALLUCINATION",U2962&lt;&gt;"",TRUE))</x:f>
        <x:v>0</x:v>
      </x:c>
      <x:c r="AG2962" t="n">
        <x:f>--AND(N2962=1,AF2962=1,OR(AE2962="SUPPORTED",AE2962="HALLUCINATION"))</x:f>
        <x:v>0</x:v>
      </x:c>
      <x:c r="AH2962" t="n">
        <x:f>--AND(AG2962=1,AE2962="HALLUCINATION")</x:f>
        <x:v>0</x:v>
      </x:c>
      <x:c r="AI2962" t="n">
        <x:f>--AND(Q2962=1,AF2962=1,AE2962="HALLUCINATION")</x:f>
        <x:v>0</x:v>
      </x:c>
      <x:c r="AJ2962" t="n">
        <x:f>--AND(AI2962=1,R2962=1,S2962=1)</x:f>
        <x:v>0</x:v>
      </x:c>
    </x:row>
    <x:row r="2963">
      <x:c r="A2963" s="28"/>
      <x:c r="B2963" s="28"/>
      <x:c r="C2963" s="28"/>
      <x:c r="D2963" s="28"/>
      <x:c r="E2963" s="28"/>
      <x:c r="F2963" s="28"/>
      <x:c r="G2963" s="28"/>
      <x:c r="H2963" s="28"/>
      <x:c r="I2963" s="28"/>
      <x:c r="J2963" s="28"/>
      <x:c r="K2963" s="28"/>
      <x:c r="L2963" s="28"/>
      <x:c r="M2963" s="28"/>
      <x:c r="N2963" s="28"/>
      <x:c r="O2963" s="28"/>
      <x:c r="P2963" s="28"/>
      <x:c r="Q2963" s="28"/>
      <x:c r="R2963" s="28"/>
      <x:c r="S2963" s="28"/>
      <x:c r="T2963" s="28"/>
      <x:c r="U2963" s="28"/>
      <x:c r="V2963" s="28"/>
      <x:c r="W2963" s="43" t="n">
        <x:f>--AND(N2963=1,OR(O2963="SUPPORTED",O2963="HALLUCINATION"))</x:f>
        <x:v>0</x:v>
      </x:c>
      <x:c r="X2963" s="43" t="n">
        <x:f>--AND(W2963=1,O2963="HALLUCINATION")</x:f>
        <x:v>0</x:v>
      </x:c>
      <x:c r="Y2963" s="43" t="n">
        <x:f>--AND(Q2963=1,O2963="HALLUCINATION")</x:f>
        <x:v>0</x:v>
      </x:c>
      <x:c r="Z2963" s="43" t="n">
        <x:f>--AND(Y2963=1,R2963=1,S2963=1)</x:f>
        <x:v>0</x:v>
      </x:c>
      <x:c r="AC2963" t="str">
        <x:f>IF(OR(AA2963="",AB2963=""),"",--(AA2963&lt;&gt;AB2963))</x:f>
      </x:c>
      <x:c r="AE2963" t="str">
        <x:f>IF(OR(AA2963="",AB2963=""),"PENDING_HUMAN",IF(AA2963=AB2963,AA2963,IF(AD2963&lt;&gt;"",AD2963,"PENDING_HUMAN")))</x:f>
        <x:v>PENDING_HUMAN</x:v>
      </x:c>
      <x:c r="AF2963" t="n">
        <x:f>--AND(A2963&lt;&gt;"",AA2963&lt;&gt;"",AB2963&lt;&gt;"",OR(AA2963=AB2963,AD2963&lt;&gt;""),IF(AE2963="HALLUCINATION",U2963&lt;&gt;"",TRUE))</x:f>
        <x:v>0</x:v>
      </x:c>
      <x:c r="AG2963" t="n">
        <x:f>--AND(N2963=1,AF2963=1,OR(AE2963="SUPPORTED",AE2963="HALLUCINATION"))</x:f>
        <x:v>0</x:v>
      </x:c>
      <x:c r="AH2963" t="n">
        <x:f>--AND(AG2963=1,AE2963="HALLUCINATION")</x:f>
        <x:v>0</x:v>
      </x:c>
      <x:c r="AI2963" t="n">
        <x:f>--AND(Q2963=1,AF2963=1,AE2963="HALLUCINATION")</x:f>
        <x:v>0</x:v>
      </x:c>
      <x:c r="AJ2963" t="n">
        <x:f>--AND(AI2963=1,R2963=1,S2963=1)</x:f>
        <x:v>0</x:v>
      </x:c>
    </x:row>
    <x:row r="2964">
      <x:c r="A2964" s="28"/>
      <x:c r="B2964" s="28"/>
      <x:c r="C2964" s="28"/>
      <x:c r="D2964" s="28"/>
      <x:c r="E2964" s="28"/>
      <x:c r="F2964" s="28"/>
      <x:c r="G2964" s="28"/>
      <x:c r="H2964" s="28"/>
      <x:c r="I2964" s="28"/>
      <x:c r="J2964" s="28"/>
      <x:c r="K2964" s="28"/>
      <x:c r="L2964" s="28"/>
      <x:c r="M2964" s="28"/>
      <x:c r="N2964" s="28"/>
      <x:c r="O2964" s="28"/>
      <x:c r="P2964" s="28"/>
      <x:c r="Q2964" s="28"/>
      <x:c r="R2964" s="28"/>
      <x:c r="S2964" s="28"/>
      <x:c r="T2964" s="28"/>
      <x:c r="U2964" s="28"/>
      <x:c r="V2964" s="28"/>
      <x:c r="W2964" s="43" t="n">
        <x:f>--AND(N2964=1,OR(O2964="SUPPORTED",O2964="HALLUCINATION"))</x:f>
        <x:v>0</x:v>
      </x:c>
      <x:c r="X2964" s="43" t="n">
        <x:f>--AND(W2964=1,O2964="HALLUCINATION")</x:f>
        <x:v>0</x:v>
      </x:c>
      <x:c r="Y2964" s="43" t="n">
        <x:f>--AND(Q2964=1,O2964="HALLUCINATION")</x:f>
        <x:v>0</x:v>
      </x:c>
      <x:c r="Z2964" s="43" t="n">
        <x:f>--AND(Y2964=1,R2964=1,S2964=1)</x:f>
        <x:v>0</x:v>
      </x:c>
      <x:c r="AC2964" t="str">
        <x:f>IF(OR(AA2964="",AB2964=""),"",--(AA2964&lt;&gt;AB2964))</x:f>
      </x:c>
      <x:c r="AE2964" t="str">
        <x:f>IF(OR(AA2964="",AB2964=""),"PENDING_HUMAN",IF(AA2964=AB2964,AA2964,IF(AD2964&lt;&gt;"",AD2964,"PENDING_HUMAN")))</x:f>
        <x:v>PENDING_HUMAN</x:v>
      </x:c>
      <x:c r="AF2964" t="n">
        <x:f>--AND(A2964&lt;&gt;"",AA2964&lt;&gt;"",AB2964&lt;&gt;"",OR(AA2964=AB2964,AD2964&lt;&gt;""),IF(AE2964="HALLUCINATION",U2964&lt;&gt;"",TRUE))</x:f>
        <x:v>0</x:v>
      </x:c>
      <x:c r="AG2964" t="n">
        <x:f>--AND(N2964=1,AF2964=1,OR(AE2964="SUPPORTED",AE2964="HALLUCINATION"))</x:f>
        <x:v>0</x:v>
      </x:c>
      <x:c r="AH2964" t="n">
        <x:f>--AND(AG2964=1,AE2964="HALLUCINATION")</x:f>
        <x:v>0</x:v>
      </x:c>
      <x:c r="AI2964" t="n">
        <x:f>--AND(Q2964=1,AF2964=1,AE2964="HALLUCINATION")</x:f>
        <x:v>0</x:v>
      </x:c>
      <x:c r="AJ2964" t="n">
        <x:f>--AND(AI2964=1,R2964=1,S2964=1)</x:f>
        <x:v>0</x:v>
      </x:c>
    </x:row>
    <x:row r="2965">
      <x:c r="A2965" s="28"/>
      <x:c r="B2965" s="28"/>
      <x:c r="C2965" s="28"/>
      <x:c r="D2965" s="28"/>
      <x:c r="E2965" s="28"/>
      <x:c r="F2965" s="28"/>
      <x:c r="G2965" s="28"/>
      <x:c r="H2965" s="28"/>
      <x:c r="I2965" s="28"/>
      <x:c r="J2965" s="28"/>
      <x:c r="K2965" s="28"/>
      <x:c r="L2965" s="28"/>
      <x:c r="M2965" s="28"/>
      <x:c r="N2965" s="28"/>
      <x:c r="O2965" s="28"/>
      <x:c r="P2965" s="28"/>
      <x:c r="Q2965" s="28"/>
      <x:c r="R2965" s="28"/>
      <x:c r="S2965" s="28"/>
      <x:c r="T2965" s="28"/>
      <x:c r="U2965" s="28"/>
      <x:c r="V2965" s="28"/>
      <x:c r="W2965" s="43" t="n">
        <x:f>--AND(N2965=1,OR(O2965="SUPPORTED",O2965="HALLUCINATION"))</x:f>
        <x:v>0</x:v>
      </x:c>
      <x:c r="X2965" s="43" t="n">
        <x:f>--AND(W2965=1,O2965="HALLUCINATION")</x:f>
        <x:v>0</x:v>
      </x:c>
      <x:c r="Y2965" s="43" t="n">
        <x:f>--AND(Q2965=1,O2965="HALLUCINATION")</x:f>
        <x:v>0</x:v>
      </x:c>
      <x:c r="Z2965" s="43" t="n">
        <x:f>--AND(Y2965=1,R2965=1,S2965=1)</x:f>
        <x:v>0</x:v>
      </x:c>
      <x:c r="AC2965" t="str">
        <x:f>IF(OR(AA2965="",AB2965=""),"",--(AA2965&lt;&gt;AB2965))</x:f>
      </x:c>
      <x:c r="AE2965" t="str">
        <x:f>IF(OR(AA2965="",AB2965=""),"PENDING_HUMAN",IF(AA2965=AB2965,AA2965,IF(AD2965&lt;&gt;"",AD2965,"PENDING_HUMAN")))</x:f>
        <x:v>PENDING_HUMAN</x:v>
      </x:c>
      <x:c r="AF2965" t="n">
        <x:f>--AND(A2965&lt;&gt;"",AA2965&lt;&gt;"",AB2965&lt;&gt;"",OR(AA2965=AB2965,AD2965&lt;&gt;""),IF(AE2965="HALLUCINATION",U2965&lt;&gt;"",TRUE))</x:f>
        <x:v>0</x:v>
      </x:c>
      <x:c r="AG2965" t="n">
        <x:f>--AND(N2965=1,AF2965=1,OR(AE2965="SUPPORTED",AE2965="HALLUCINATION"))</x:f>
        <x:v>0</x:v>
      </x:c>
      <x:c r="AH2965" t="n">
        <x:f>--AND(AG2965=1,AE2965="HALLUCINATION")</x:f>
        <x:v>0</x:v>
      </x:c>
      <x:c r="AI2965" t="n">
        <x:f>--AND(Q2965=1,AF2965=1,AE2965="HALLUCINATION")</x:f>
        <x:v>0</x:v>
      </x:c>
      <x:c r="AJ2965" t="n">
        <x:f>--AND(AI2965=1,R2965=1,S2965=1)</x:f>
        <x:v>0</x:v>
      </x:c>
    </x:row>
    <x:row r="2966">
      <x:c r="A2966" s="28"/>
      <x:c r="B2966" s="28"/>
      <x:c r="C2966" s="28"/>
      <x:c r="D2966" s="28"/>
      <x:c r="E2966" s="28"/>
      <x:c r="F2966" s="28"/>
      <x:c r="G2966" s="28"/>
      <x:c r="H2966" s="28"/>
      <x:c r="I2966" s="28"/>
      <x:c r="J2966" s="28"/>
      <x:c r="K2966" s="28"/>
      <x:c r="L2966" s="28"/>
      <x:c r="M2966" s="28"/>
      <x:c r="N2966" s="28"/>
      <x:c r="O2966" s="28"/>
      <x:c r="P2966" s="28"/>
      <x:c r="Q2966" s="28"/>
      <x:c r="R2966" s="28"/>
      <x:c r="S2966" s="28"/>
      <x:c r="T2966" s="28"/>
      <x:c r="U2966" s="28"/>
      <x:c r="V2966" s="28"/>
      <x:c r="W2966" s="43" t="n">
        <x:f>--AND(N2966=1,OR(O2966="SUPPORTED",O2966="HALLUCINATION"))</x:f>
        <x:v>0</x:v>
      </x:c>
      <x:c r="X2966" s="43" t="n">
        <x:f>--AND(W2966=1,O2966="HALLUCINATION")</x:f>
        <x:v>0</x:v>
      </x:c>
      <x:c r="Y2966" s="43" t="n">
        <x:f>--AND(Q2966=1,O2966="HALLUCINATION")</x:f>
        <x:v>0</x:v>
      </x:c>
      <x:c r="Z2966" s="43" t="n">
        <x:f>--AND(Y2966=1,R2966=1,S2966=1)</x:f>
        <x:v>0</x:v>
      </x:c>
      <x:c r="AC2966" t="str">
        <x:f>IF(OR(AA2966="",AB2966=""),"",--(AA2966&lt;&gt;AB2966))</x:f>
      </x:c>
      <x:c r="AE2966" t="str">
        <x:f>IF(OR(AA2966="",AB2966=""),"PENDING_HUMAN",IF(AA2966=AB2966,AA2966,IF(AD2966&lt;&gt;"",AD2966,"PENDING_HUMAN")))</x:f>
        <x:v>PENDING_HUMAN</x:v>
      </x:c>
      <x:c r="AF2966" t="n">
        <x:f>--AND(A2966&lt;&gt;"",AA2966&lt;&gt;"",AB2966&lt;&gt;"",OR(AA2966=AB2966,AD2966&lt;&gt;""),IF(AE2966="HALLUCINATION",U2966&lt;&gt;"",TRUE))</x:f>
        <x:v>0</x:v>
      </x:c>
      <x:c r="AG2966" t="n">
        <x:f>--AND(N2966=1,AF2966=1,OR(AE2966="SUPPORTED",AE2966="HALLUCINATION"))</x:f>
        <x:v>0</x:v>
      </x:c>
      <x:c r="AH2966" t="n">
        <x:f>--AND(AG2966=1,AE2966="HALLUCINATION")</x:f>
        <x:v>0</x:v>
      </x:c>
      <x:c r="AI2966" t="n">
        <x:f>--AND(Q2966=1,AF2966=1,AE2966="HALLUCINATION")</x:f>
        <x:v>0</x:v>
      </x:c>
      <x:c r="AJ2966" t="n">
        <x:f>--AND(AI2966=1,R2966=1,S2966=1)</x:f>
        <x:v>0</x:v>
      </x:c>
    </x:row>
    <x:row r="2967">
      <x:c r="A2967" s="28"/>
      <x:c r="B2967" s="28"/>
      <x:c r="C2967" s="28"/>
      <x:c r="D2967" s="28"/>
      <x:c r="E2967" s="28"/>
      <x:c r="F2967" s="28"/>
      <x:c r="G2967" s="28"/>
      <x:c r="H2967" s="28"/>
      <x:c r="I2967" s="28"/>
      <x:c r="J2967" s="28"/>
      <x:c r="K2967" s="28"/>
      <x:c r="L2967" s="28"/>
      <x:c r="M2967" s="28"/>
      <x:c r="N2967" s="28"/>
      <x:c r="O2967" s="28"/>
      <x:c r="P2967" s="28"/>
      <x:c r="Q2967" s="28"/>
      <x:c r="R2967" s="28"/>
      <x:c r="S2967" s="28"/>
      <x:c r="T2967" s="28"/>
      <x:c r="U2967" s="28"/>
      <x:c r="V2967" s="28"/>
      <x:c r="W2967" s="43" t="n">
        <x:f>--AND(N2967=1,OR(O2967="SUPPORTED",O2967="HALLUCINATION"))</x:f>
        <x:v>0</x:v>
      </x:c>
      <x:c r="X2967" s="43" t="n">
        <x:f>--AND(W2967=1,O2967="HALLUCINATION")</x:f>
        <x:v>0</x:v>
      </x:c>
      <x:c r="Y2967" s="43" t="n">
        <x:f>--AND(Q2967=1,O2967="HALLUCINATION")</x:f>
        <x:v>0</x:v>
      </x:c>
      <x:c r="Z2967" s="43" t="n">
        <x:f>--AND(Y2967=1,R2967=1,S2967=1)</x:f>
        <x:v>0</x:v>
      </x:c>
      <x:c r="AC2967" t="str">
        <x:f>IF(OR(AA2967="",AB2967=""),"",--(AA2967&lt;&gt;AB2967))</x:f>
      </x:c>
      <x:c r="AE2967" t="str">
        <x:f>IF(OR(AA2967="",AB2967=""),"PENDING_HUMAN",IF(AA2967=AB2967,AA2967,IF(AD2967&lt;&gt;"",AD2967,"PENDING_HUMAN")))</x:f>
        <x:v>PENDING_HUMAN</x:v>
      </x:c>
      <x:c r="AF2967" t="n">
        <x:f>--AND(A2967&lt;&gt;"",AA2967&lt;&gt;"",AB2967&lt;&gt;"",OR(AA2967=AB2967,AD2967&lt;&gt;""),IF(AE2967="HALLUCINATION",U2967&lt;&gt;"",TRUE))</x:f>
        <x:v>0</x:v>
      </x:c>
      <x:c r="AG2967" t="n">
        <x:f>--AND(N2967=1,AF2967=1,OR(AE2967="SUPPORTED",AE2967="HALLUCINATION"))</x:f>
        <x:v>0</x:v>
      </x:c>
      <x:c r="AH2967" t="n">
        <x:f>--AND(AG2967=1,AE2967="HALLUCINATION")</x:f>
        <x:v>0</x:v>
      </x:c>
      <x:c r="AI2967" t="n">
        <x:f>--AND(Q2967=1,AF2967=1,AE2967="HALLUCINATION")</x:f>
        <x:v>0</x:v>
      </x:c>
      <x:c r="AJ2967" t="n">
        <x:f>--AND(AI2967=1,R2967=1,S2967=1)</x:f>
        <x:v>0</x:v>
      </x:c>
    </x:row>
    <x:row r="2968">
      <x:c r="A2968" s="28"/>
      <x:c r="B2968" s="28"/>
      <x:c r="C2968" s="28"/>
      <x:c r="D2968" s="28"/>
      <x:c r="E2968" s="28"/>
      <x:c r="F2968" s="28"/>
      <x:c r="G2968" s="28"/>
      <x:c r="H2968" s="28"/>
      <x:c r="I2968" s="28"/>
      <x:c r="J2968" s="28"/>
      <x:c r="K2968" s="28"/>
      <x:c r="L2968" s="28"/>
      <x:c r="M2968" s="28"/>
      <x:c r="N2968" s="28"/>
      <x:c r="O2968" s="28"/>
      <x:c r="P2968" s="28"/>
      <x:c r="Q2968" s="28"/>
      <x:c r="R2968" s="28"/>
      <x:c r="S2968" s="28"/>
      <x:c r="T2968" s="28"/>
      <x:c r="U2968" s="28"/>
      <x:c r="V2968" s="28"/>
      <x:c r="W2968" s="43" t="n">
        <x:f>--AND(N2968=1,OR(O2968="SUPPORTED",O2968="HALLUCINATION"))</x:f>
        <x:v>0</x:v>
      </x:c>
      <x:c r="X2968" s="43" t="n">
        <x:f>--AND(W2968=1,O2968="HALLUCINATION")</x:f>
        <x:v>0</x:v>
      </x:c>
      <x:c r="Y2968" s="43" t="n">
        <x:f>--AND(Q2968=1,O2968="HALLUCINATION")</x:f>
        <x:v>0</x:v>
      </x:c>
      <x:c r="Z2968" s="43" t="n">
        <x:f>--AND(Y2968=1,R2968=1,S2968=1)</x:f>
        <x:v>0</x:v>
      </x:c>
      <x:c r="AC2968" t="str">
        <x:f>IF(OR(AA2968="",AB2968=""),"",--(AA2968&lt;&gt;AB2968))</x:f>
      </x:c>
      <x:c r="AE2968" t="str">
        <x:f>IF(OR(AA2968="",AB2968=""),"PENDING_HUMAN",IF(AA2968=AB2968,AA2968,IF(AD2968&lt;&gt;"",AD2968,"PENDING_HUMAN")))</x:f>
        <x:v>PENDING_HUMAN</x:v>
      </x:c>
      <x:c r="AF2968" t="n">
        <x:f>--AND(A2968&lt;&gt;"",AA2968&lt;&gt;"",AB2968&lt;&gt;"",OR(AA2968=AB2968,AD2968&lt;&gt;""),IF(AE2968="HALLUCINATION",U2968&lt;&gt;"",TRUE))</x:f>
        <x:v>0</x:v>
      </x:c>
      <x:c r="AG2968" t="n">
        <x:f>--AND(N2968=1,AF2968=1,OR(AE2968="SUPPORTED",AE2968="HALLUCINATION"))</x:f>
        <x:v>0</x:v>
      </x:c>
      <x:c r="AH2968" t="n">
        <x:f>--AND(AG2968=1,AE2968="HALLUCINATION")</x:f>
        <x:v>0</x:v>
      </x:c>
      <x:c r="AI2968" t="n">
        <x:f>--AND(Q2968=1,AF2968=1,AE2968="HALLUCINATION")</x:f>
        <x:v>0</x:v>
      </x:c>
      <x:c r="AJ2968" t="n">
        <x:f>--AND(AI2968=1,R2968=1,S2968=1)</x:f>
        <x:v>0</x:v>
      </x:c>
    </x:row>
    <x:row r="2969">
      <x:c r="A2969" s="28"/>
      <x:c r="B2969" s="28"/>
      <x:c r="C2969" s="28"/>
      <x:c r="D2969" s="28"/>
      <x:c r="E2969" s="28"/>
      <x:c r="F2969" s="28"/>
      <x:c r="G2969" s="28"/>
      <x:c r="H2969" s="28"/>
      <x:c r="I2969" s="28"/>
      <x:c r="J2969" s="28"/>
      <x:c r="K2969" s="28"/>
      <x:c r="L2969" s="28"/>
      <x:c r="M2969" s="28"/>
      <x:c r="N2969" s="28"/>
      <x:c r="O2969" s="28"/>
      <x:c r="P2969" s="28"/>
      <x:c r="Q2969" s="28"/>
      <x:c r="R2969" s="28"/>
      <x:c r="S2969" s="28"/>
      <x:c r="T2969" s="28"/>
      <x:c r="U2969" s="28"/>
      <x:c r="V2969" s="28"/>
      <x:c r="W2969" s="43" t="n">
        <x:f>--AND(N2969=1,OR(O2969="SUPPORTED",O2969="HALLUCINATION"))</x:f>
        <x:v>0</x:v>
      </x:c>
      <x:c r="X2969" s="43" t="n">
        <x:f>--AND(W2969=1,O2969="HALLUCINATION")</x:f>
        <x:v>0</x:v>
      </x:c>
      <x:c r="Y2969" s="43" t="n">
        <x:f>--AND(Q2969=1,O2969="HALLUCINATION")</x:f>
        <x:v>0</x:v>
      </x:c>
      <x:c r="Z2969" s="43" t="n">
        <x:f>--AND(Y2969=1,R2969=1,S2969=1)</x:f>
        <x:v>0</x:v>
      </x:c>
      <x:c r="AC2969" t="str">
        <x:f>IF(OR(AA2969="",AB2969=""),"",--(AA2969&lt;&gt;AB2969))</x:f>
      </x:c>
      <x:c r="AE2969" t="str">
        <x:f>IF(OR(AA2969="",AB2969=""),"PENDING_HUMAN",IF(AA2969=AB2969,AA2969,IF(AD2969&lt;&gt;"",AD2969,"PENDING_HUMAN")))</x:f>
        <x:v>PENDING_HUMAN</x:v>
      </x:c>
      <x:c r="AF2969" t="n">
        <x:f>--AND(A2969&lt;&gt;"",AA2969&lt;&gt;"",AB2969&lt;&gt;"",OR(AA2969=AB2969,AD2969&lt;&gt;""),IF(AE2969="HALLUCINATION",U2969&lt;&gt;"",TRUE))</x:f>
        <x:v>0</x:v>
      </x:c>
      <x:c r="AG2969" t="n">
        <x:f>--AND(N2969=1,AF2969=1,OR(AE2969="SUPPORTED",AE2969="HALLUCINATION"))</x:f>
        <x:v>0</x:v>
      </x:c>
      <x:c r="AH2969" t="n">
        <x:f>--AND(AG2969=1,AE2969="HALLUCINATION")</x:f>
        <x:v>0</x:v>
      </x:c>
      <x:c r="AI2969" t="n">
        <x:f>--AND(Q2969=1,AF2969=1,AE2969="HALLUCINATION")</x:f>
        <x:v>0</x:v>
      </x:c>
      <x:c r="AJ2969" t="n">
        <x:f>--AND(AI2969=1,R2969=1,S2969=1)</x:f>
        <x:v>0</x:v>
      </x:c>
    </x:row>
    <x:row r="2970">
      <x:c r="A2970" s="28"/>
      <x:c r="B2970" s="28"/>
      <x:c r="C2970" s="28"/>
      <x:c r="D2970" s="28"/>
      <x:c r="E2970" s="28"/>
      <x:c r="F2970" s="28"/>
      <x:c r="G2970" s="28"/>
      <x:c r="H2970" s="28"/>
      <x:c r="I2970" s="28"/>
      <x:c r="J2970" s="28"/>
      <x:c r="K2970" s="28"/>
      <x:c r="L2970" s="28"/>
      <x:c r="M2970" s="28"/>
      <x:c r="N2970" s="28"/>
      <x:c r="O2970" s="28"/>
      <x:c r="P2970" s="28"/>
      <x:c r="Q2970" s="28"/>
      <x:c r="R2970" s="28"/>
      <x:c r="S2970" s="28"/>
      <x:c r="T2970" s="28"/>
      <x:c r="U2970" s="28"/>
      <x:c r="V2970" s="28"/>
      <x:c r="W2970" s="43" t="n">
        <x:f>--AND(N2970=1,OR(O2970="SUPPORTED",O2970="HALLUCINATION"))</x:f>
        <x:v>0</x:v>
      </x:c>
      <x:c r="X2970" s="43" t="n">
        <x:f>--AND(W2970=1,O2970="HALLUCINATION")</x:f>
        <x:v>0</x:v>
      </x:c>
      <x:c r="Y2970" s="43" t="n">
        <x:f>--AND(Q2970=1,O2970="HALLUCINATION")</x:f>
        <x:v>0</x:v>
      </x:c>
      <x:c r="Z2970" s="43" t="n">
        <x:f>--AND(Y2970=1,R2970=1,S2970=1)</x:f>
        <x:v>0</x:v>
      </x:c>
      <x:c r="AC2970" t="str">
        <x:f>IF(OR(AA2970="",AB2970=""),"",--(AA2970&lt;&gt;AB2970))</x:f>
      </x:c>
      <x:c r="AE2970" t="str">
        <x:f>IF(OR(AA2970="",AB2970=""),"PENDING_HUMAN",IF(AA2970=AB2970,AA2970,IF(AD2970&lt;&gt;"",AD2970,"PENDING_HUMAN")))</x:f>
        <x:v>PENDING_HUMAN</x:v>
      </x:c>
      <x:c r="AF2970" t="n">
        <x:f>--AND(A2970&lt;&gt;"",AA2970&lt;&gt;"",AB2970&lt;&gt;"",OR(AA2970=AB2970,AD2970&lt;&gt;""),IF(AE2970="HALLUCINATION",U2970&lt;&gt;"",TRUE))</x:f>
        <x:v>0</x:v>
      </x:c>
      <x:c r="AG2970" t="n">
        <x:f>--AND(N2970=1,AF2970=1,OR(AE2970="SUPPORTED",AE2970="HALLUCINATION"))</x:f>
        <x:v>0</x:v>
      </x:c>
      <x:c r="AH2970" t="n">
        <x:f>--AND(AG2970=1,AE2970="HALLUCINATION")</x:f>
        <x:v>0</x:v>
      </x:c>
      <x:c r="AI2970" t="n">
        <x:f>--AND(Q2970=1,AF2970=1,AE2970="HALLUCINATION")</x:f>
        <x:v>0</x:v>
      </x:c>
      <x:c r="AJ2970" t="n">
        <x:f>--AND(AI2970=1,R2970=1,S2970=1)</x:f>
        <x:v>0</x:v>
      </x:c>
    </x:row>
    <x:row r="2971">
      <x:c r="A2971" s="28"/>
      <x:c r="B2971" s="28"/>
      <x:c r="C2971" s="28"/>
      <x:c r="D2971" s="28"/>
      <x:c r="E2971" s="28"/>
      <x:c r="F2971" s="28"/>
      <x:c r="G2971" s="28"/>
      <x:c r="H2971" s="28"/>
      <x:c r="I2971" s="28"/>
      <x:c r="J2971" s="28"/>
      <x:c r="K2971" s="28"/>
      <x:c r="L2971" s="28"/>
      <x:c r="M2971" s="28"/>
      <x:c r="N2971" s="28"/>
      <x:c r="O2971" s="28"/>
      <x:c r="P2971" s="28"/>
      <x:c r="Q2971" s="28"/>
      <x:c r="R2971" s="28"/>
      <x:c r="S2971" s="28"/>
      <x:c r="T2971" s="28"/>
      <x:c r="U2971" s="28"/>
      <x:c r="V2971" s="28"/>
      <x:c r="W2971" s="43" t="n">
        <x:f>--AND(N2971=1,OR(O2971="SUPPORTED",O2971="HALLUCINATION"))</x:f>
        <x:v>0</x:v>
      </x:c>
      <x:c r="X2971" s="43" t="n">
        <x:f>--AND(W2971=1,O2971="HALLUCINATION")</x:f>
        <x:v>0</x:v>
      </x:c>
      <x:c r="Y2971" s="43" t="n">
        <x:f>--AND(Q2971=1,O2971="HALLUCINATION")</x:f>
        <x:v>0</x:v>
      </x:c>
      <x:c r="Z2971" s="43" t="n">
        <x:f>--AND(Y2971=1,R2971=1,S2971=1)</x:f>
        <x:v>0</x:v>
      </x:c>
      <x:c r="AC2971" t="str">
        <x:f>IF(OR(AA2971="",AB2971=""),"",--(AA2971&lt;&gt;AB2971))</x:f>
      </x:c>
      <x:c r="AE2971" t="str">
        <x:f>IF(OR(AA2971="",AB2971=""),"PENDING_HUMAN",IF(AA2971=AB2971,AA2971,IF(AD2971&lt;&gt;"",AD2971,"PENDING_HUMAN")))</x:f>
        <x:v>PENDING_HUMAN</x:v>
      </x:c>
      <x:c r="AF2971" t="n">
        <x:f>--AND(A2971&lt;&gt;"",AA2971&lt;&gt;"",AB2971&lt;&gt;"",OR(AA2971=AB2971,AD2971&lt;&gt;""),IF(AE2971="HALLUCINATION",U2971&lt;&gt;"",TRUE))</x:f>
        <x:v>0</x:v>
      </x:c>
      <x:c r="AG2971" t="n">
        <x:f>--AND(N2971=1,AF2971=1,OR(AE2971="SUPPORTED",AE2971="HALLUCINATION"))</x:f>
        <x:v>0</x:v>
      </x:c>
      <x:c r="AH2971" t="n">
        <x:f>--AND(AG2971=1,AE2971="HALLUCINATION")</x:f>
        <x:v>0</x:v>
      </x:c>
      <x:c r="AI2971" t="n">
        <x:f>--AND(Q2971=1,AF2971=1,AE2971="HALLUCINATION")</x:f>
        <x:v>0</x:v>
      </x:c>
      <x:c r="AJ2971" t="n">
        <x:f>--AND(AI2971=1,R2971=1,S2971=1)</x:f>
        <x:v>0</x:v>
      </x:c>
    </x:row>
    <x:row r="2972">
      <x:c r="A2972" s="28"/>
      <x:c r="B2972" s="28"/>
      <x:c r="C2972" s="28"/>
      <x:c r="D2972" s="28"/>
      <x:c r="E2972" s="28"/>
      <x:c r="F2972" s="28"/>
      <x:c r="G2972" s="28"/>
      <x:c r="H2972" s="28"/>
      <x:c r="I2972" s="28"/>
      <x:c r="J2972" s="28"/>
      <x:c r="K2972" s="28"/>
      <x:c r="L2972" s="28"/>
      <x:c r="M2972" s="28"/>
      <x:c r="N2972" s="28"/>
      <x:c r="O2972" s="28"/>
      <x:c r="P2972" s="28"/>
      <x:c r="Q2972" s="28"/>
      <x:c r="R2972" s="28"/>
      <x:c r="S2972" s="28"/>
      <x:c r="T2972" s="28"/>
      <x:c r="U2972" s="28"/>
      <x:c r="V2972" s="28"/>
      <x:c r="W2972" s="43" t="n">
        <x:f>--AND(N2972=1,OR(O2972="SUPPORTED",O2972="HALLUCINATION"))</x:f>
        <x:v>0</x:v>
      </x:c>
      <x:c r="X2972" s="43" t="n">
        <x:f>--AND(W2972=1,O2972="HALLUCINATION")</x:f>
        <x:v>0</x:v>
      </x:c>
      <x:c r="Y2972" s="43" t="n">
        <x:f>--AND(Q2972=1,O2972="HALLUCINATION")</x:f>
        <x:v>0</x:v>
      </x:c>
      <x:c r="Z2972" s="43" t="n">
        <x:f>--AND(Y2972=1,R2972=1,S2972=1)</x:f>
        <x:v>0</x:v>
      </x:c>
      <x:c r="AC2972" t="str">
        <x:f>IF(OR(AA2972="",AB2972=""),"",--(AA2972&lt;&gt;AB2972))</x:f>
      </x:c>
      <x:c r="AE2972" t="str">
        <x:f>IF(OR(AA2972="",AB2972=""),"PENDING_HUMAN",IF(AA2972=AB2972,AA2972,IF(AD2972&lt;&gt;"",AD2972,"PENDING_HUMAN")))</x:f>
        <x:v>PENDING_HUMAN</x:v>
      </x:c>
      <x:c r="AF2972" t="n">
        <x:f>--AND(A2972&lt;&gt;"",AA2972&lt;&gt;"",AB2972&lt;&gt;"",OR(AA2972=AB2972,AD2972&lt;&gt;""),IF(AE2972="HALLUCINATION",U2972&lt;&gt;"",TRUE))</x:f>
        <x:v>0</x:v>
      </x:c>
      <x:c r="AG2972" t="n">
        <x:f>--AND(N2972=1,AF2972=1,OR(AE2972="SUPPORTED",AE2972="HALLUCINATION"))</x:f>
        <x:v>0</x:v>
      </x:c>
      <x:c r="AH2972" t="n">
        <x:f>--AND(AG2972=1,AE2972="HALLUCINATION")</x:f>
        <x:v>0</x:v>
      </x:c>
      <x:c r="AI2972" t="n">
        <x:f>--AND(Q2972=1,AF2972=1,AE2972="HALLUCINATION")</x:f>
        <x:v>0</x:v>
      </x:c>
      <x:c r="AJ2972" t="n">
        <x:f>--AND(AI2972=1,R2972=1,S2972=1)</x:f>
        <x:v>0</x:v>
      </x:c>
    </x:row>
    <x:row r="2973">
      <x:c r="A2973" s="28"/>
      <x:c r="B2973" s="28"/>
      <x:c r="C2973" s="28"/>
      <x:c r="D2973" s="28"/>
      <x:c r="E2973" s="28"/>
      <x:c r="F2973" s="28"/>
      <x:c r="G2973" s="28"/>
      <x:c r="H2973" s="28"/>
      <x:c r="I2973" s="28"/>
      <x:c r="J2973" s="28"/>
      <x:c r="K2973" s="28"/>
      <x:c r="L2973" s="28"/>
      <x:c r="M2973" s="28"/>
      <x:c r="N2973" s="28"/>
      <x:c r="O2973" s="28"/>
      <x:c r="P2973" s="28"/>
      <x:c r="Q2973" s="28"/>
      <x:c r="R2973" s="28"/>
      <x:c r="S2973" s="28"/>
      <x:c r="T2973" s="28"/>
      <x:c r="U2973" s="28"/>
      <x:c r="V2973" s="28"/>
      <x:c r="W2973" s="43" t="n">
        <x:f>--AND(N2973=1,OR(O2973="SUPPORTED",O2973="HALLUCINATION"))</x:f>
        <x:v>0</x:v>
      </x:c>
      <x:c r="X2973" s="43" t="n">
        <x:f>--AND(W2973=1,O2973="HALLUCINATION")</x:f>
        <x:v>0</x:v>
      </x:c>
      <x:c r="Y2973" s="43" t="n">
        <x:f>--AND(Q2973=1,O2973="HALLUCINATION")</x:f>
        <x:v>0</x:v>
      </x:c>
      <x:c r="Z2973" s="43" t="n">
        <x:f>--AND(Y2973=1,R2973=1,S2973=1)</x:f>
        <x:v>0</x:v>
      </x:c>
      <x:c r="AC2973" t="str">
        <x:f>IF(OR(AA2973="",AB2973=""),"",--(AA2973&lt;&gt;AB2973))</x:f>
      </x:c>
      <x:c r="AE2973" t="str">
        <x:f>IF(OR(AA2973="",AB2973=""),"PENDING_HUMAN",IF(AA2973=AB2973,AA2973,IF(AD2973&lt;&gt;"",AD2973,"PENDING_HUMAN")))</x:f>
        <x:v>PENDING_HUMAN</x:v>
      </x:c>
      <x:c r="AF2973" t="n">
        <x:f>--AND(A2973&lt;&gt;"",AA2973&lt;&gt;"",AB2973&lt;&gt;"",OR(AA2973=AB2973,AD2973&lt;&gt;""),IF(AE2973="HALLUCINATION",U2973&lt;&gt;"",TRUE))</x:f>
        <x:v>0</x:v>
      </x:c>
      <x:c r="AG2973" t="n">
        <x:f>--AND(N2973=1,AF2973=1,OR(AE2973="SUPPORTED",AE2973="HALLUCINATION"))</x:f>
        <x:v>0</x:v>
      </x:c>
      <x:c r="AH2973" t="n">
        <x:f>--AND(AG2973=1,AE2973="HALLUCINATION")</x:f>
        <x:v>0</x:v>
      </x:c>
      <x:c r="AI2973" t="n">
        <x:f>--AND(Q2973=1,AF2973=1,AE2973="HALLUCINATION")</x:f>
        <x:v>0</x:v>
      </x:c>
      <x:c r="AJ2973" t="n">
        <x:f>--AND(AI2973=1,R2973=1,S2973=1)</x:f>
        <x:v>0</x:v>
      </x:c>
    </x:row>
    <x:row r="2974">
      <x:c r="A2974" s="28"/>
      <x:c r="B2974" s="28"/>
      <x:c r="C2974" s="28"/>
      <x:c r="D2974" s="28"/>
      <x:c r="E2974" s="28"/>
      <x:c r="F2974" s="28"/>
      <x:c r="G2974" s="28"/>
      <x:c r="H2974" s="28"/>
      <x:c r="I2974" s="28"/>
      <x:c r="J2974" s="28"/>
      <x:c r="K2974" s="28"/>
      <x:c r="L2974" s="28"/>
      <x:c r="M2974" s="28"/>
      <x:c r="N2974" s="28"/>
      <x:c r="O2974" s="28"/>
      <x:c r="P2974" s="28"/>
      <x:c r="Q2974" s="28"/>
      <x:c r="R2974" s="28"/>
      <x:c r="S2974" s="28"/>
      <x:c r="T2974" s="28"/>
      <x:c r="U2974" s="28"/>
      <x:c r="V2974" s="28"/>
      <x:c r="W2974" s="43" t="n">
        <x:f>--AND(N2974=1,OR(O2974="SUPPORTED",O2974="HALLUCINATION"))</x:f>
        <x:v>0</x:v>
      </x:c>
      <x:c r="X2974" s="43" t="n">
        <x:f>--AND(W2974=1,O2974="HALLUCINATION")</x:f>
        <x:v>0</x:v>
      </x:c>
      <x:c r="Y2974" s="43" t="n">
        <x:f>--AND(Q2974=1,O2974="HALLUCINATION")</x:f>
        <x:v>0</x:v>
      </x:c>
      <x:c r="Z2974" s="43" t="n">
        <x:f>--AND(Y2974=1,R2974=1,S2974=1)</x:f>
        <x:v>0</x:v>
      </x:c>
      <x:c r="AC2974" t="str">
        <x:f>IF(OR(AA2974="",AB2974=""),"",--(AA2974&lt;&gt;AB2974))</x:f>
      </x:c>
      <x:c r="AE2974" t="str">
        <x:f>IF(OR(AA2974="",AB2974=""),"PENDING_HUMAN",IF(AA2974=AB2974,AA2974,IF(AD2974&lt;&gt;"",AD2974,"PENDING_HUMAN")))</x:f>
        <x:v>PENDING_HUMAN</x:v>
      </x:c>
      <x:c r="AF2974" t="n">
        <x:f>--AND(A2974&lt;&gt;"",AA2974&lt;&gt;"",AB2974&lt;&gt;"",OR(AA2974=AB2974,AD2974&lt;&gt;""),IF(AE2974="HALLUCINATION",U2974&lt;&gt;"",TRUE))</x:f>
        <x:v>0</x:v>
      </x:c>
      <x:c r="AG2974" t="n">
        <x:f>--AND(N2974=1,AF2974=1,OR(AE2974="SUPPORTED",AE2974="HALLUCINATION"))</x:f>
        <x:v>0</x:v>
      </x:c>
      <x:c r="AH2974" t="n">
        <x:f>--AND(AG2974=1,AE2974="HALLUCINATION")</x:f>
        <x:v>0</x:v>
      </x:c>
      <x:c r="AI2974" t="n">
        <x:f>--AND(Q2974=1,AF2974=1,AE2974="HALLUCINATION")</x:f>
        <x:v>0</x:v>
      </x:c>
      <x:c r="AJ2974" t="n">
        <x:f>--AND(AI2974=1,R2974=1,S2974=1)</x:f>
        <x:v>0</x:v>
      </x:c>
    </x:row>
    <x:row r="2975">
      <x:c r="A2975" s="28"/>
      <x:c r="B2975" s="28"/>
      <x:c r="C2975" s="28"/>
      <x:c r="D2975" s="28"/>
      <x:c r="E2975" s="28"/>
      <x:c r="F2975" s="28"/>
      <x:c r="G2975" s="28"/>
      <x:c r="H2975" s="28"/>
      <x:c r="I2975" s="28"/>
      <x:c r="J2975" s="28"/>
      <x:c r="K2975" s="28"/>
      <x:c r="L2975" s="28"/>
      <x:c r="M2975" s="28"/>
      <x:c r="N2975" s="28"/>
      <x:c r="O2975" s="28"/>
      <x:c r="P2975" s="28"/>
      <x:c r="Q2975" s="28"/>
      <x:c r="R2975" s="28"/>
      <x:c r="S2975" s="28"/>
      <x:c r="T2975" s="28"/>
      <x:c r="U2975" s="28"/>
      <x:c r="V2975" s="28"/>
      <x:c r="W2975" s="43" t="n">
        <x:f>--AND(N2975=1,OR(O2975="SUPPORTED",O2975="HALLUCINATION"))</x:f>
        <x:v>0</x:v>
      </x:c>
      <x:c r="X2975" s="43" t="n">
        <x:f>--AND(W2975=1,O2975="HALLUCINATION")</x:f>
        <x:v>0</x:v>
      </x:c>
      <x:c r="Y2975" s="43" t="n">
        <x:f>--AND(Q2975=1,O2975="HALLUCINATION")</x:f>
        <x:v>0</x:v>
      </x:c>
      <x:c r="Z2975" s="43" t="n">
        <x:f>--AND(Y2975=1,R2975=1,S2975=1)</x:f>
        <x:v>0</x:v>
      </x:c>
      <x:c r="AC2975" t="str">
        <x:f>IF(OR(AA2975="",AB2975=""),"",--(AA2975&lt;&gt;AB2975))</x:f>
      </x:c>
      <x:c r="AE2975" t="str">
        <x:f>IF(OR(AA2975="",AB2975=""),"PENDING_HUMAN",IF(AA2975=AB2975,AA2975,IF(AD2975&lt;&gt;"",AD2975,"PENDING_HUMAN")))</x:f>
        <x:v>PENDING_HUMAN</x:v>
      </x:c>
      <x:c r="AF2975" t="n">
        <x:f>--AND(A2975&lt;&gt;"",AA2975&lt;&gt;"",AB2975&lt;&gt;"",OR(AA2975=AB2975,AD2975&lt;&gt;""),IF(AE2975="HALLUCINATION",U2975&lt;&gt;"",TRUE))</x:f>
        <x:v>0</x:v>
      </x:c>
      <x:c r="AG2975" t="n">
        <x:f>--AND(N2975=1,AF2975=1,OR(AE2975="SUPPORTED",AE2975="HALLUCINATION"))</x:f>
        <x:v>0</x:v>
      </x:c>
      <x:c r="AH2975" t="n">
        <x:f>--AND(AG2975=1,AE2975="HALLUCINATION")</x:f>
        <x:v>0</x:v>
      </x:c>
      <x:c r="AI2975" t="n">
        <x:f>--AND(Q2975=1,AF2975=1,AE2975="HALLUCINATION")</x:f>
        <x:v>0</x:v>
      </x:c>
      <x:c r="AJ2975" t="n">
        <x:f>--AND(AI2975=1,R2975=1,S2975=1)</x:f>
        <x:v>0</x:v>
      </x:c>
    </x:row>
    <x:row r="2976">
      <x:c r="A2976" s="28"/>
      <x:c r="B2976" s="28"/>
      <x:c r="C2976" s="28"/>
      <x:c r="D2976" s="28"/>
      <x:c r="E2976" s="28"/>
      <x:c r="F2976" s="28"/>
      <x:c r="G2976" s="28"/>
      <x:c r="H2976" s="28"/>
      <x:c r="I2976" s="28"/>
      <x:c r="J2976" s="28"/>
      <x:c r="K2976" s="28"/>
      <x:c r="L2976" s="28"/>
      <x:c r="M2976" s="28"/>
      <x:c r="N2976" s="28"/>
      <x:c r="O2976" s="28"/>
      <x:c r="P2976" s="28"/>
      <x:c r="Q2976" s="28"/>
      <x:c r="R2976" s="28"/>
      <x:c r="S2976" s="28"/>
      <x:c r="T2976" s="28"/>
      <x:c r="U2976" s="28"/>
      <x:c r="V2976" s="28"/>
      <x:c r="W2976" s="43" t="n">
        <x:f>--AND(N2976=1,OR(O2976="SUPPORTED",O2976="HALLUCINATION"))</x:f>
        <x:v>0</x:v>
      </x:c>
      <x:c r="X2976" s="43" t="n">
        <x:f>--AND(W2976=1,O2976="HALLUCINATION")</x:f>
        <x:v>0</x:v>
      </x:c>
      <x:c r="Y2976" s="43" t="n">
        <x:f>--AND(Q2976=1,O2976="HALLUCINATION")</x:f>
        <x:v>0</x:v>
      </x:c>
      <x:c r="Z2976" s="43" t="n">
        <x:f>--AND(Y2976=1,R2976=1,S2976=1)</x:f>
        <x:v>0</x:v>
      </x:c>
      <x:c r="AC2976" t="str">
        <x:f>IF(OR(AA2976="",AB2976=""),"",--(AA2976&lt;&gt;AB2976))</x:f>
      </x:c>
      <x:c r="AE2976" t="str">
        <x:f>IF(OR(AA2976="",AB2976=""),"PENDING_HUMAN",IF(AA2976=AB2976,AA2976,IF(AD2976&lt;&gt;"",AD2976,"PENDING_HUMAN")))</x:f>
        <x:v>PENDING_HUMAN</x:v>
      </x:c>
      <x:c r="AF2976" t="n">
        <x:f>--AND(A2976&lt;&gt;"",AA2976&lt;&gt;"",AB2976&lt;&gt;"",OR(AA2976=AB2976,AD2976&lt;&gt;""),IF(AE2976="HALLUCINATION",U2976&lt;&gt;"",TRUE))</x:f>
        <x:v>0</x:v>
      </x:c>
      <x:c r="AG2976" t="n">
        <x:f>--AND(N2976=1,AF2976=1,OR(AE2976="SUPPORTED",AE2976="HALLUCINATION"))</x:f>
        <x:v>0</x:v>
      </x:c>
      <x:c r="AH2976" t="n">
        <x:f>--AND(AG2976=1,AE2976="HALLUCINATION")</x:f>
        <x:v>0</x:v>
      </x:c>
      <x:c r="AI2976" t="n">
        <x:f>--AND(Q2976=1,AF2976=1,AE2976="HALLUCINATION")</x:f>
        <x:v>0</x:v>
      </x:c>
      <x:c r="AJ2976" t="n">
        <x:f>--AND(AI2976=1,R2976=1,S2976=1)</x:f>
        <x:v>0</x:v>
      </x:c>
    </x:row>
    <x:row r="2977">
      <x:c r="A2977" s="28"/>
      <x:c r="B2977" s="28"/>
      <x:c r="C2977" s="28"/>
      <x:c r="D2977" s="28"/>
      <x:c r="E2977" s="28"/>
      <x:c r="F2977" s="28"/>
      <x:c r="G2977" s="28"/>
      <x:c r="H2977" s="28"/>
      <x:c r="I2977" s="28"/>
      <x:c r="J2977" s="28"/>
      <x:c r="K2977" s="28"/>
      <x:c r="L2977" s="28"/>
      <x:c r="M2977" s="28"/>
      <x:c r="N2977" s="28"/>
      <x:c r="O2977" s="28"/>
      <x:c r="P2977" s="28"/>
      <x:c r="Q2977" s="28"/>
      <x:c r="R2977" s="28"/>
      <x:c r="S2977" s="28"/>
      <x:c r="T2977" s="28"/>
      <x:c r="U2977" s="28"/>
      <x:c r="V2977" s="28"/>
      <x:c r="W2977" s="43" t="n">
        <x:f>--AND(N2977=1,OR(O2977="SUPPORTED",O2977="HALLUCINATION"))</x:f>
        <x:v>0</x:v>
      </x:c>
      <x:c r="X2977" s="43" t="n">
        <x:f>--AND(W2977=1,O2977="HALLUCINATION")</x:f>
        <x:v>0</x:v>
      </x:c>
      <x:c r="Y2977" s="43" t="n">
        <x:f>--AND(Q2977=1,O2977="HALLUCINATION")</x:f>
        <x:v>0</x:v>
      </x:c>
      <x:c r="Z2977" s="43" t="n">
        <x:f>--AND(Y2977=1,R2977=1,S2977=1)</x:f>
        <x:v>0</x:v>
      </x:c>
      <x:c r="AC2977" t="str">
        <x:f>IF(OR(AA2977="",AB2977=""),"",--(AA2977&lt;&gt;AB2977))</x:f>
      </x:c>
      <x:c r="AE2977" t="str">
        <x:f>IF(OR(AA2977="",AB2977=""),"PENDING_HUMAN",IF(AA2977=AB2977,AA2977,IF(AD2977&lt;&gt;"",AD2977,"PENDING_HUMAN")))</x:f>
        <x:v>PENDING_HUMAN</x:v>
      </x:c>
      <x:c r="AF2977" t="n">
        <x:f>--AND(A2977&lt;&gt;"",AA2977&lt;&gt;"",AB2977&lt;&gt;"",OR(AA2977=AB2977,AD2977&lt;&gt;""),IF(AE2977="HALLUCINATION",U2977&lt;&gt;"",TRUE))</x:f>
        <x:v>0</x:v>
      </x:c>
      <x:c r="AG2977" t="n">
        <x:f>--AND(N2977=1,AF2977=1,OR(AE2977="SUPPORTED",AE2977="HALLUCINATION"))</x:f>
        <x:v>0</x:v>
      </x:c>
      <x:c r="AH2977" t="n">
        <x:f>--AND(AG2977=1,AE2977="HALLUCINATION")</x:f>
        <x:v>0</x:v>
      </x:c>
      <x:c r="AI2977" t="n">
        <x:f>--AND(Q2977=1,AF2977=1,AE2977="HALLUCINATION")</x:f>
        <x:v>0</x:v>
      </x:c>
      <x:c r="AJ2977" t="n">
        <x:f>--AND(AI2977=1,R2977=1,S2977=1)</x:f>
        <x:v>0</x:v>
      </x:c>
    </x:row>
    <x:row r="2978">
      <x:c r="A2978" s="28"/>
      <x:c r="B2978" s="28"/>
      <x:c r="C2978" s="28"/>
      <x:c r="D2978" s="28"/>
      <x:c r="E2978" s="28"/>
      <x:c r="F2978" s="28"/>
      <x:c r="G2978" s="28"/>
      <x:c r="H2978" s="28"/>
      <x:c r="I2978" s="28"/>
      <x:c r="J2978" s="28"/>
      <x:c r="K2978" s="28"/>
      <x:c r="L2978" s="28"/>
      <x:c r="M2978" s="28"/>
      <x:c r="N2978" s="28"/>
      <x:c r="O2978" s="28"/>
      <x:c r="P2978" s="28"/>
      <x:c r="Q2978" s="28"/>
      <x:c r="R2978" s="28"/>
      <x:c r="S2978" s="28"/>
      <x:c r="T2978" s="28"/>
      <x:c r="U2978" s="28"/>
      <x:c r="V2978" s="28"/>
      <x:c r="W2978" s="43" t="n">
        <x:f>--AND(N2978=1,OR(O2978="SUPPORTED",O2978="HALLUCINATION"))</x:f>
        <x:v>0</x:v>
      </x:c>
      <x:c r="X2978" s="43" t="n">
        <x:f>--AND(W2978=1,O2978="HALLUCINATION")</x:f>
        <x:v>0</x:v>
      </x:c>
      <x:c r="Y2978" s="43" t="n">
        <x:f>--AND(Q2978=1,O2978="HALLUCINATION")</x:f>
        <x:v>0</x:v>
      </x:c>
      <x:c r="Z2978" s="43" t="n">
        <x:f>--AND(Y2978=1,R2978=1,S2978=1)</x:f>
        <x:v>0</x:v>
      </x:c>
      <x:c r="AC2978" t="str">
        <x:f>IF(OR(AA2978="",AB2978=""),"",--(AA2978&lt;&gt;AB2978))</x:f>
      </x:c>
      <x:c r="AE2978" t="str">
        <x:f>IF(OR(AA2978="",AB2978=""),"PENDING_HUMAN",IF(AA2978=AB2978,AA2978,IF(AD2978&lt;&gt;"",AD2978,"PENDING_HUMAN")))</x:f>
        <x:v>PENDING_HUMAN</x:v>
      </x:c>
      <x:c r="AF2978" t="n">
        <x:f>--AND(A2978&lt;&gt;"",AA2978&lt;&gt;"",AB2978&lt;&gt;"",OR(AA2978=AB2978,AD2978&lt;&gt;""),IF(AE2978="HALLUCINATION",U2978&lt;&gt;"",TRUE))</x:f>
        <x:v>0</x:v>
      </x:c>
      <x:c r="AG2978" t="n">
        <x:f>--AND(N2978=1,AF2978=1,OR(AE2978="SUPPORTED",AE2978="HALLUCINATION"))</x:f>
        <x:v>0</x:v>
      </x:c>
      <x:c r="AH2978" t="n">
        <x:f>--AND(AG2978=1,AE2978="HALLUCINATION")</x:f>
        <x:v>0</x:v>
      </x:c>
      <x:c r="AI2978" t="n">
        <x:f>--AND(Q2978=1,AF2978=1,AE2978="HALLUCINATION")</x:f>
        <x:v>0</x:v>
      </x:c>
      <x:c r="AJ2978" t="n">
        <x:f>--AND(AI2978=1,R2978=1,S2978=1)</x:f>
        <x:v>0</x:v>
      </x:c>
    </x:row>
    <x:row r="2979">
      <x:c r="A2979" s="28"/>
      <x:c r="B2979" s="28"/>
      <x:c r="C2979" s="28"/>
      <x:c r="D2979" s="28"/>
      <x:c r="E2979" s="28"/>
      <x:c r="F2979" s="28"/>
      <x:c r="G2979" s="28"/>
      <x:c r="H2979" s="28"/>
      <x:c r="I2979" s="28"/>
      <x:c r="J2979" s="28"/>
      <x:c r="K2979" s="28"/>
      <x:c r="L2979" s="28"/>
      <x:c r="M2979" s="28"/>
      <x:c r="N2979" s="28"/>
      <x:c r="O2979" s="28"/>
      <x:c r="P2979" s="28"/>
      <x:c r="Q2979" s="28"/>
      <x:c r="R2979" s="28"/>
      <x:c r="S2979" s="28"/>
      <x:c r="T2979" s="28"/>
      <x:c r="U2979" s="28"/>
      <x:c r="V2979" s="28"/>
      <x:c r="W2979" s="43" t="n">
        <x:f>--AND(N2979=1,OR(O2979="SUPPORTED",O2979="HALLUCINATION"))</x:f>
        <x:v>0</x:v>
      </x:c>
      <x:c r="X2979" s="43" t="n">
        <x:f>--AND(W2979=1,O2979="HALLUCINATION")</x:f>
        <x:v>0</x:v>
      </x:c>
      <x:c r="Y2979" s="43" t="n">
        <x:f>--AND(Q2979=1,O2979="HALLUCINATION")</x:f>
        <x:v>0</x:v>
      </x:c>
      <x:c r="Z2979" s="43" t="n">
        <x:f>--AND(Y2979=1,R2979=1,S2979=1)</x:f>
        <x:v>0</x:v>
      </x:c>
      <x:c r="AC2979" t="str">
        <x:f>IF(OR(AA2979="",AB2979=""),"",--(AA2979&lt;&gt;AB2979))</x:f>
      </x:c>
      <x:c r="AE2979" t="str">
        <x:f>IF(OR(AA2979="",AB2979=""),"PENDING_HUMAN",IF(AA2979=AB2979,AA2979,IF(AD2979&lt;&gt;"",AD2979,"PENDING_HUMAN")))</x:f>
        <x:v>PENDING_HUMAN</x:v>
      </x:c>
      <x:c r="AF2979" t="n">
        <x:f>--AND(A2979&lt;&gt;"",AA2979&lt;&gt;"",AB2979&lt;&gt;"",OR(AA2979=AB2979,AD2979&lt;&gt;""),IF(AE2979="HALLUCINATION",U2979&lt;&gt;"",TRUE))</x:f>
        <x:v>0</x:v>
      </x:c>
      <x:c r="AG2979" t="n">
        <x:f>--AND(N2979=1,AF2979=1,OR(AE2979="SUPPORTED",AE2979="HALLUCINATION"))</x:f>
        <x:v>0</x:v>
      </x:c>
      <x:c r="AH2979" t="n">
        <x:f>--AND(AG2979=1,AE2979="HALLUCINATION")</x:f>
        <x:v>0</x:v>
      </x:c>
      <x:c r="AI2979" t="n">
        <x:f>--AND(Q2979=1,AF2979=1,AE2979="HALLUCINATION")</x:f>
        <x:v>0</x:v>
      </x:c>
      <x:c r="AJ2979" t="n">
        <x:f>--AND(AI2979=1,R2979=1,S2979=1)</x:f>
        <x:v>0</x:v>
      </x:c>
    </x:row>
    <x:row r="2980">
      <x:c r="A2980" s="28"/>
      <x:c r="B2980" s="28"/>
      <x:c r="C2980" s="28"/>
      <x:c r="D2980" s="28"/>
      <x:c r="E2980" s="28"/>
      <x:c r="F2980" s="28"/>
      <x:c r="G2980" s="28"/>
      <x:c r="H2980" s="28"/>
      <x:c r="I2980" s="28"/>
      <x:c r="J2980" s="28"/>
      <x:c r="K2980" s="28"/>
      <x:c r="L2980" s="28"/>
      <x:c r="M2980" s="28"/>
      <x:c r="N2980" s="28"/>
      <x:c r="O2980" s="28"/>
      <x:c r="P2980" s="28"/>
      <x:c r="Q2980" s="28"/>
      <x:c r="R2980" s="28"/>
      <x:c r="S2980" s="28"/>
      <x:c r="T2980" s="28"/>
      <x:c r="U2980" s="28"/>
      <x:c r="V2980" s="28"/>
      <x:c r="W2980" s="43" t="n">
        <x:f>--AND(N2980=1,OR(O2980="SUPPORTED",O2980="HALLUCINATION"))</x:f>
        <x:v>0</x:v>
      </x:c>
      <x:c r="X2980" s="43" t="n">
        <x:f>--AND(W2980=1,O2980="HALLUCINATION")</x:f>
        <x:v>0</x:v>
      </x:c>
      <x:c r="Y2980" s="43" t="n">
        <x:f>--AND(Q2980=1,O2980="HALLUCINATION")</x:f>
        <x:v>0</x:v>
      </x:c>
      <x:c r="Z2980" s="43" t="n">
        <x:f>--AND(Y2980=1,R2980=1,S2980=1)</x:f>
        <x:v>0</x:v>
      </x:c>
      <x:c r="AC2980" t="str">
        <x:f>IF(OR(AA2980="",AB2980=""),"",--(AA2980&lt;&gt;AB2980))</x:f>
      </x:c>
      <x:c r="AE2980" t="str">
        <x:f>IF(OR(AA2980="",AB2980=""),"PENDING_HUMAN",IF(AA2980=AB2980,AA2980,IF(AD2980&lt;&gt;"",AD2980,"PENDING_HUMAN")))</x:f>
        <x:v>PENDING_HUMAN</x:v>
      </x:c>
      <x:c r="AF2980" t="n">
        <x:f>--AND(A2980&lt;&gt;"",AA2980&lt;&gt;"",AB2980&lt;&gt;"",OR(AA2980=AB2980,AD2980&lt;&gt;""),IF(AE2980="HALLUCINATION",U2980&lt;&gt;"",TRUE))</x:f>
        <x:v>0</x:v>
      </x:c>
      <x:c r="AG2980" t="n">
        <x:f>--AND(N2980=1,AF2980=1,OR(AE2980="SUPPORTED",AE2980="HALLUCINATION"))</x:f>
        <x:v>0</x:v>
      </x:c>
      <x:c r="AH2980" t="n">
        <x:f>--AND(AG2980=1,AE2980="HALLUCINATION")</x:f>
        <x:v>0</x:v>
      </x:c>
      <x:c r="AI2980" t="n">
        <x:f>--AND(Q2980=1,AF2980=1,AE2980="HALLUCINATION")</x:f>
        <x:v>0</x:v>
      </x:c>
      <x:c r="AJ2980" t="n">
        <x:f>--AND(AI2980=1,R2980=1,S2980=1)</x:f>
        <x:v>0</x:v>
      </x:c>
    </x:row>
    <x:row r="2981">
      <x:c r="A2981" s="28"/>
      <x:c r="B2981" s="28"/>
      <x:c r="C2981" s="28"/>
      <x:c r="D2981" s="28"/>
      <x:c r="E2981" s="28"/>
      <x:c r="F2981" s="28"/>
      <x:c r="G2981" s="28"/>
      <x:c r="H2981" s="28"/>
      <x:c r="I2981" s="28"/>
      <x:c r="J2981" s="28"/>
      <x:c r="K2981" s="28"/>
      <x:c r="L2981" s="28"/>
      <x:c r="M2981" s="28"/>
      <x:c r="N2981" s="28"/>
      <x:c r="O2981" s="28"/>
      <x:c r="P2981" s="28"/>
      <x:c r="Q2981" s="28"/>
      <x:c r="R2981" s="28"/>
      <x:c r="S2981" s="28"/>
      <x:c r="T2981" s="28"/>
      <x:c r="U2981" s="28"/>
      <x:c r="V2981" s="28"/>
      <x:c r="W2981" s="43" t="n">
        <x:f>--AND(N2981=1,OR(O2981="SUPPORTED",O2981="HALLUCINATION"))</x:f>
        <x:v>0</x:v>
      </x:c>
      <x:c r="X2981" s="43" t="n">
        <x:f>--AND(W2981=1,O2981="HALLUCINATION")</x:f>
        <x:v>0</x:v>
      </x:c>
      <x:c r="Y2981" s="43" t="n">
        <x:f>--AND(Q2981=1,O2981="HALLUCINATION")</x:f>
        <x:v>0</x:v>
      </x:c>
      <x:c r="Z2981" s="43" t="n">
        <x:f>--AND(Y2981=1,R2981=1,S2981=1)</x:f>
        <x:v>0</x:v>
      </x:c>
      <x:c r="AC2981" t="str">
        <x:f>IF(OR(AA2981="",AB2981=""),"",--(AA2981&lt;&gt;AB2981))</x:f>
      </x:c>
      <x:c r="AE2981" t="str">
        <x:f>IF(OR(AA2981="",AB2981=""),"PENDING_HUMAN",IF(AA2981=AB2981,AA2981,IF(AD2981&lt;&gt;"",AD2981,"PENDING_HUMAN")))</x:f>
        <x:v>PENDING_HUMAN</x:v>
      </x:c>
      <x:c r="AF2981" t="n">
        <x:f>--AND(A2981&lt;&gt;"",AA2981&lt;&gt;"",AB2981&lt;&gt;"",OR(AA2981=AB2981,AD2981&lt;&gt;""),IF(AE2981="HALLUCINATION",U2981&lt;&gt;"",TRUE))</x:f>
        <x:v>0</x:v>
      </x:c>
      <x:c r="AG2981" t="n">
        <x:f>--AND(N2981=1,AF2981=1,OR(AE2981="SUPPORTED",AE2981="HALLUCINATION"))</x:f>
        <x:v>0</x:v>
      </x:c>
      <x:c r="AH2981" t="n">
        <x:f>--AND(AG2981=1,AE2981="HALLUCINATION")</x:f>
        <x:v>0</x:v>
      </x:c>
      <x:c r="AI2981" t="n">
        <x:f>--AND(Q2981=1,AF2981=1,AE2981="HALLUCINATION")</x:f>
        <x:v>0</x:v>
      </x:c>
      <x:c r="AJ2981" t="n">
        <x:f>--AND(AI2981=1,R2981=1,S2981=1)</x:f>
        <x:v>0</x:v>
      </x:c>
    </x:row>
    <x:row r="2982">
      <x:c r="A2982" s="28"/>
      <x:c r="B2982" s="28"/>
      <x:c r="C2982" s="28"/>
      <x:c r="D2982" s="28"/>
      <x:c r="E2982" s="28"/>
      <x:c r="F2982" s="28"/>
      <x:c r="G2982" s="28"/>
      <x:c r="H2982" s="28"/>
      <x:c r="I2982" s="28"/>
      <x:c r="J2982" s="28"/>
      <x:c r="K2982" s="28"/>
      <x:c r="L2982" s="28"/>
      <x:c r="M2982" s="28"/>
      <x:c r="N2982" s="28"/>
      <x:c r="O2982" s="28"/>
      <x:c r="P2982" s="28"/>
      <x:c r="Q2982" s="28"/>
      <x:c r="R2982" s="28"/>
      <x:c r="S2982" s="28"/>
      <x:c r="T2982" s="28"/>
      <x:c r="U2982" s="28"/>
      <x:c r="V2982" s="28"/>
      <x:c r="W2982" s="43" t="n">
        <x:f>--AND(N2982=1,OR(O2982="SUPPORTED",O2982="HALLUCINATION"))</x:f>
        <x:v>0</x:v>
      </x:c>
      <x:c r="X2982" s="43" t="n">
        <x:f>--AND(W2982=1,O2982="HALLUCINATION")</x:f>
        <x:v>0</x:v>
      </x:c>
      <x:c r="Y2982" s="43" t="n">
        <x:f>--AND(Q2982=1,O2982="HALLUCINATION")</x:f>
        <x:v>0</x:v>
      </x:c>
      <x:c r="Z2982" s="43" t="n">
        <x:f>--AND(Y2982=1,R2982=1,S2982=1)</x:f>
        <x:v>0</x:v>
      </x:c>
      <x:c r="AC2982" t="str">
        <x:f>IF(OR(AA2982="",AB2982=""),"",--(AA2982&lt;&gt;AB2982))</x:f>
      </x:c>
      <x:c r="AE2982" t="str">
        <x:f>IF(OR(AA2982="",AB2982=""),"PENDING_HUMAN",IF(AA2982=AB2982,AA2982,IF(AD2982&lt;&gt;"",AD2982,"PENDING_HUMAN")))</x:f>
        <x:v>PENDING_HUMAN</x:v>
      </x:c>
      <x:c r="AF2982" t="n">
        <x:f>--AND(A2982&lt;&gt;"",AA2982&lt;&gt;"",AB2982&lt;&gt;"",OR(AA2982=AB2982,AD2982&lt;&gt;""),IF(AE2982="HALLUCINATION",U2982&lt;&gt;"",TRUE))</x:f>
        <x:v>0</x:v>
      </x:c>
      <x:c r="AG2982" t="n">
        <x:f>--AND(N2982=1,AF2982=1,OR(AE2982="SUPPORTED",AE2982="HALLUCINATION"))</x:f>
        <x:v>0</x:v>
      </x:c>
      <x:c r="AH2982" t="n">
        <x:f>--AND(AG2982=1,AE2982="HALLUCINATION")</x:f>
        <x:v>0</x:v>
      </x:c>
      <x:c r="AI2982" t="n">
        <x:f>--AND(Q2982=1,AF2982=1,AE2982="HALLUCINATION")</x:f>
        <x:v>0</x:v>
      </x:c>
      <x:c r="AJ2982" t="n">
        <x:f>--AND(AI2982=1,R2982=1,S2982=1)</x:f>
        <x:v>0</x:v>
      </x:c>
    </x:row>
    <x:row r="2983">
      <x:c r="A2983" s="28"/>
      <x:c r="B2983" s="28"/>
      <x:c r="C2983" s="28"/>
      <x:c r="D2983" s="28"/>
      <x:c r="E2983" s="28"/>
      <x:c r="F2983" s="28"/>
      <x:c r="G2983" s="28"/>
      <x:c r="H2983" s="28"/>
      <x:c r="I2983" s="28"/>
      <x:c r="J2983" s="28"/>
      <x:c r="K2983" s="28"/>
      <x:c r="L2983" s="28"/>
      <x:c r="M2983" s="28"/>
      <x:c r="N2983" s="28"/>
      <x:c r="O2983" s="28"/>
      <x:c r="P2983" s="28"/>
      <x:c r="Q2983" s="28"/>
      <x:c r="R2983" s="28"/>
      <x:c r="S2983" s="28"/>
      <x:c r="T2983" s="28"/>
      <x:c r="U2983" s="28"/>
      <x:c r="V2983" s="28"/>
      <x:c r="W2983" s="43" t="n">
        <x:f>--AND(N2983=1,OR(O2983="SUPPORTED",O2983="HALLUCINATION"))</x:f>
        <x:v>0</x:v>
      </x:c>
      <x:c r="X2983" s="43" t="n">
        <x:f>--AND(W2983=1,O2983="HALLUCINATION")</x:f>
        <x:v>0</x:v>
      </x:c>
      <x:c r="Y2983" s="43" t="n">
        <x:f>--AND(Q2983=1,O2983="HALLUCINATION")</x:f>
        <x:v>0</x:v>
      </x:c>
      <x:c r="Z2983" s="43" t="n">
        <x:f>--AND(Y2983=1,R2983=1,S2983=1)</x:f>
        <x:v>0</x:v>
      </x:c>
      <x:c r="AC2983" t="str">
        <x:f>IF(OR(AA2983="",AB2983=""),"",--(AA2983&lt;&gt;AB2983))</x:f>
      </x:c>
      <x:c r="AE2983" t="str">
        <x:f>IF(OR(AA2983="",AB2983=""),"PENDING_HUMAN",IF(AA2983=AB2983,AA2983,IF(AD2983&lt;&gt;"",AD2983,"PENDING_HUMAN")))</x:f>
        <x:v>PENDING_HUMAN</x:v>
      </x:c>
      <x:c r="AF2983" t="n">
        <x:f>--AND(A2983&lt;&gt;"",AA2983&lt;&gt;"",AB2983&lt;&gt;"",OR(AA2983=AB2983,AD2983&lt;&gt;""),IF(AE2983="HALLUCINATION",U2983&lt;&gt;"",TRUE))</x:f>
        <x:v>0</x:v>
      </x:c>
      <x:c r="AG2983" t="n">
        <x:f>--AND(N2983=1,AF2983=1,OR(AE2983="SUPPORTED",AE2983="HALLUCINATION"))</x:f>
        <x:v>0</x:v>
      </x:c>
      <x:c r="AH2983" t="n">
        <x:f>--AND(AG2983=1,AE2983="HALLUCINATION")</x:f>
        <x:v>0</x:v>
      </x:c>
      <x:c r="AI2983" t="n">
        <x:f>--AND(Q2983=1,AF2983=1,AE2983="HALLUCINATION")</x:f>
        <x:v>0</x:v>
      </x:c>
      <x:c r="AJ2983" t="n">
        <x:f>--AND(AI2983=1,R2983=1,S2983=1)</x:f>
        <x:v>0</x:v>
      </x:c>
    </x:row>
    <x:row r="2984">
      <x:c r="A2984" s="28"/>
      <x:c r="B2984" s="28"/>
      <x:c r="C2984" s="28"/>
      <x:c r="D2984" s="28"/>
      <x:c r="E2984" s="28"/>
      <x:c r="F2984" s="28"/>
      <x:c r="G2984" s="28"/>
      <x:c r="H2984" s="28"/>
      <x:c r="I2984" s="28"/>
      <x:c r="J2984" s="28"/>
      <x:c r="K2984" s="28"/>
      <x:c r="L2984" s="28"/>
      <x:c r="M2984" s="28"/>
      <x:c r="N2984" s="28"/>
      <x:c r="O2984" s="28"/>
      <x:c r="P2984" s="28"/>
      <x:c r="Q2984" s="28"/>
      <x:c r="R2984" s="28"/>
      <x:c r="S2984" s="28"/>
      <x:c r="T2984" s="28"/>
      <x:c r="U2984" s="28"/>
      <x:c r="V2984" s="28"/>
      <x:c r="W2984" s="43" t="n">
        <x:f>--AND(N2984=1,OR(O2984="SUPPORTED",O2984="HALLUCINATION"))</x:f>
        <x:v>0</x:v>
      </x:c>
      <x:c r="X2984" s="43" t="n">
        <x:f>--AND(W2984=1,O2984="HALLUCINATION")</x:f>
        <x:v>0</x:v>
      </x:c>
      <x:c r="Y2984" s="43" t="n">
        <x:f>--AND(Q2984=1,O2984="HALLUCINATION")</x:f>
        <x:v>0</x:v>
      </x:c>
      <x:c r="Z2984" s="43" t="n">
        <x:f>--AND(Y2984=1,R2984=1,S2984=1)</x:f>
        <x:v>0</x:v>
      </x:c>
      <x:c r="AC2984" t="str">
        <x:f>IF(OR(AA2984="",AB2984=""),"",--(AA2984&lt;&gt;AB2984))</x:f>
      </x:c>
      <x:c r="AE2984" t="str">
        <x:f>IF(OR(AA2984="",AB2984=""),"PENDING_HUMAN",IF(AA2984=AB2984,AA2984,IF(AD2984&lt;&gt;"",AD2984,"PENDING_HUMAN")))</x:f>
        <x:v>PENDING_HUMAN</x:v>
      </x:c>
      <x:c r="AF2984" t="n">
        <x:f>--AND(A2984&lt;&gt;"",AA2984&lt;&gt;"",AB2984&lt;&gt;"",OR(AA2984=AB2984,AD2984&lt;&gt;""),IF(AE2984="HALLUCINATION",U2984&lt;&gt;"",TRUE))</x:f>
        <x:v>0</x:v>
      </x:c>
      <x:c r="AG2984" t="n">
        <x:f>--AND(N2984=1,AF2984=1,OR(AE2984="SUPPORTED",AE2984="HALLUCINATION"))</x:f>
        <x:v>0</x:v>
      </x:c>
      <x:c r="AH2984" t="n">
        <x:f>--AND(AG2984=1,AE2984="HALLUCINATION")</x:f>
        <x:v>0</x:v>
      </x:c>
      <x:c r="AI2984" t="n">
        <x:f>--AND(Q2984=1,AF2984=1,AE2984="HALLUCINATION")</x:f>
        <x:v>0</x:v>
      </x:c>
      <x:c r="AJ2984" t="n">
        <x:f>--AND(AI2984=1,R2984=1,S2984=1)</x:f>
        <x:v>0</x:v>
      </x:c>
    </x:row>
    <x:row r="2985">
      <x:c r="A2985" s="28"/>
      <x:c r="B2985" s="28"/>
      <x:c r="C2985" s="28"/>
      <x:c r="D2985" s="28"/>
      <x:c r="E2985" s="28"/>
      <x:c r="F2985" s="28"/>
      <x:c r="G2985" s="28"/>
      <x:c r="H2985" s="28"/>
      <x:c r="I2985" s="28"/>
      <x:c r="J2985" s="28"/>
      <x:c r="K2985" s="28"/>
      <x:c r="L2985" s="28"/>
      <x:c r="M2985" s="28"/>
      <x:c r="N2985" s="28"/>
      <x:c r="O2985" s="28"/>
      <x:c r="P2985" s="28"/>
      <x:c r="Q2985" s="28"/>
      <x:c r="R2985" s="28"/>
      <x:c r="S2985" s="28"/>
      <x:c r="T2985" s="28"/>
      <x:c r="U2985" s="28"/>
      <x:c r="V2985" s="28"/>
      <x:c r="W2985" s="43" t="n">
        <x:f>--AND(N2985=1,OR(O2985="SUPPORTED",O2985="HALLUCINATION"))</x:f>
        <x:v>0</x:v>
      </x:c>
      <x:c r="X2985" s="43" t="n">
        <x:f>--AND(W2985=1,O2985="HALLUCINATION")</x:f>
        <x:v>0</x:v>
      </x:c>
      <x:c r="Y2985" s="43" t="n">
        <x:f>--AND(Q2985=1,O2985="HALLUCINATION")</x:f>
        <x:v>0</x:v>
      </x:c>
      <x:c r="Z2985" s="43" t="n">
        <x:f>--AND(Y2985=1,R2985=1,S2985=1)</x:f>
        <x:v>0</x:v>
      </x:c>
      <x:c r="AC2985" t="str">
        <x:f>IF(OR(AA2985="",AB2985=""),"",--(AA2985&lt;&gt;AB2985))</x:f>
      </x:c>
      <x:c r="AE2985" t="str">
        <x:f>IF(OR(AA2985="",AB2985=""),"PENDING_HUMAN",IF(AA2985=AB2985,AA2985,IF(AD2985&lt;&gt;"",AD2985,"PENDING_HUMAN")))</x:f>
        <x:v>PENDING_HUMAN</x:v>
      </x:c>
      <x:c r="AF2985" t="n">
        <x:f>--AND(A2985&lt;&gt;"",AA2985&lt;&gt;"",AB2985&lt;&gt;"",OR(AA2985=AB2985,AD2985&lt;&gt;""),IF(AE2985="HALLUCINATION",U2985&lt;&gt;"",TRUE))</x:f>
        <x:v>0</x:v>
      </x:c>
      <x:c r="AG2985" t="n">
        <x:f>--AND(N2985=1,AF2985=1,OR(AE2985="SUPPORTED",AE2985="HALLUCINATION"))</x:f>
        <x:v>0</x:v>
      </x:c>
      <x:c r="AH2985" t="n">
        <x:f>--AND(AG2985=1,AE2985="HALLUCINATION")</x:f>
        <x:v>0</x:v>
      </x:c>
      <x:c r="AI2985" t="n">
        <x:f>--AND(Q2985=1,AF2985=1,AE2985="HALLUCINATION")</x:f>
        <x:v>0</x:v>
      </x:c>
      <x:c r="AJ2985" t="n">
        <x:f>--AND(AI2985=1,R2985=1,S2985=1)</x:f>
        <x:v>0</x:v>
      </x:c>
    </x:row>
    <x:row r="2986">
      <x:c r="A2986" s="28"/>
      <x:c r="B2986" s="28"/>
      <x:c r="C2986" s="28"/>
      <x:c r="D2986" s="28"/>
      <x:c r="E2986" s="28"/>
      <x:c r="F2986" s="28"/>
      <x:c r="G2986" s="28"/>
      <x:c r="H2986" s="28"/>
      <x:c r="I2986" s="28"/>
      <x:c r="J2986" s="28"/>
      <x:c r="K2986" s="28"/>
      <x:c r="L2986" s="28"/>
      <x:c r="M2986" s="28"/>
      <x:c r="N2986" s="28"/>
      <x:c r="O2986" s="28"/>
      <x:c r="P2986" s="28"/>
      <x:c r="Q2986" s="28"/>
      <x:c r="R2986" s="28"/>
      <x:c r="S2986" s="28"/>
      <x:c r="T2986" s="28"/>
      <x:c r="U2986" s="28"/>
      <x:c r="V2986" s="28"/>
      <x:c r="W2986" s="43" t="n">
        <x:f>--AND(N2986=1,OR(O2986="SUPPORTED",O2986="HALLUCINATION"))</x:f>
        <x:v>0</x:v>
      </x:c>
      <x:c r="X2986" s="43" t="n">
        <x:f>--AND(W2986=1,O2986="HALLUCINATION")</x:f>
        <x:v>0</x:v>
      </x:c>
      <x:c r="Y2986" s="43" t="n">
        <x:f>--AND(Q2986=1,O2986="HALLUCINATION")</x:f>
        <x:v>0</x:v>
      </x:c>
      <x:c r="Z2986" s="43" t="n">
        <x:f>--AND(Y2986=1,R2986=1,S2986=1)</x:f>
        <x:v>0</x:v>
      </x:c>
      <x:c r="AC2986" t="str">
        <x:f>IF(OR(AA2986="",AB2986=""),"",--(AA2986&lt;&gt;AB2986))</x:f>
      </x:c>
      <x:c r="AE2986" t="str">
        <x:f>IF(OR(AA2986="",AB2986=""),"PENDING_HUMAN",IF(AA2986=AB2986,AA2986,IF(AD2986&lt;&gt;"",AD2986,"PENDING_HUMAN")))</x:f>
        <x:v>PENDING_HUMAN</x:v>
      </x:c>
      <x:c r="AF2986" t="n">
        <x:f>--AND(A2986&lt;&gt;"",AA2986&lt;&gt;"",AB2986&lt;&gt;"",OR(AA2986=AB2986,AD2986&lt;&gt;""),IF(AE2986="HALLUCINATION",U2986&lt;&gt;"",TRUE))</x:f>
        <x:v>0</x:v>
      </x:c>
      <x:c r="AG2986" t="n">
        <x:f>--AND(N2986=1,AF2986=1,OR(AE2986="SUPPORTED",AE2986="HALLUCINATION"))</x:f>
        <x:v>0</x:v>
      </x:c>
      <x:c r="AH2986" t="n">
        <x:f>--AND(AG2986=1,AE2986="HALLUCINATION")</x:f>
        <x:v>0</x:v>
      </x:c>
      <x:c r="AI2986" t="n">
        <x:f>--AND(Q2986=1,AF2986=1,AE2986="HALLUCINATION")</x:f>
        <x:v>0</x:v>
      </x:c>
      <x:c r="AJ2986" t="n">
        <x:f>--AND(AI2986=1,R2986=1,S2986=1)</x:f>
        <x:v>0</x:v>
      </x:c>
    </x:row>
    <x:row r="2987">
      <x:c r="A2987" s="28"/>
      <x:c r="B2987" s="28"/>
      <x:c r="C2987" s="28"/>
      <x:c r="D2987" s="28"/>
      <x:c r="E2987" s="28"/>
      <x:c r="F2987" s="28"/>
      <x:c r="G2987" s="28"/>
      <x:c r="H2987" s="28"/>
      <x:c r="I2987" s="28"/>
      <x:c r="J2987" s="28"/>
      <x:c r="K2987" s="28"/>
      <x:c r="L2987" s="28"/>
      <x:c r="M2987" s="28"/>
      <x:c r="N2987" s="28"/>
      <x:c r="O2987" s="28"/>
      <x:c r="P2987" s="28"/>
      <x:c r="Q2987" s="28"/>
      <x:c r="R2987" s="28"/>
      <x:c r="S2987" s="28"/>
      <x:c r="T2987" s="28"/>
      <x:c r="U2987" s="28"/>
      <x:c r="V2987" s="28"/>
      <x:c r="W2987" s="43" t="n">
        <x:f>--AND(N2987=1,OR(O2987="SUPPORTED",O2987="HALLUCINATION"))</x:f>
        <x:v>0</x:v>
      </x:c>
      <x:c r="X2987" s="43" t="n">
        <x:f>--AND(W2987=1,O2987="HALLUCINATION")</x:f>
        <x:v>0</x:v>
      </x:c>
      <x:c r="Y2987" s="43" t="n">
        <x:f>--AND(Q2987=1,O2987="HALLUCINATION")</x:f>
        <x:v>0</x:v>
      </x:c>
      <x:c r="Z2987" s="43" t="n">
        <x:f>--AND(Y2987=1,R2987=1,S2987=1)</x:f>
        <x:v>0</x:v>
      </x:c>
      <x:c r="AC2987" t="str">
        <x:f>IF(OR(AA2987="",AB2987=""),"",--(AA2987&lt;&gt;AB2987))</x:f>
      </x:c>
      <x:c r="AE2987" t="str">
        <x:f>IF(OR(AA2987="",AB2987=""),"PENDING_HUMAN",IF(AA2987=AB2987,AA2987,IF(AD2987&lt;&gt;"",AD2987,"PENDING_HUMAN")))</x:f>
        <x:v>PENDING_HUMAN</x:v>
      </x:c>
      <x:c r="AF2987" t="n">
        <x:f>--AND(A2987&lt;&gt;"",AA2987&lt;&gt;"",AB2987&lt;&gt;"",OR(AA2987=AB2987,AD2987&lt;&gt;""),IF(AE2987="HALLUCINATION",U2987&lt;&gt;"",TRUE))</x:f>
        <x:v>0</x:v>
      </x:c>
      <x:c r="AG2987" t="n">
        <x:f>--AND(N2987=1,AF2987=1,OR(AE2987="SUPPORTED",AE2987="HALLUCINATION"))</x:f>
        <x:v>0</x:v>
      </x:c>
      <x:c r="AH2987" t="n">
        <x:f>--AND(AG2987=1,AE2987="HALLUCINATION")</x:f>
        <x:v>0</x:v>
      </x:c>
      <x:c r="AI2987" t="n">
        <x:f>--AND(Q2987=1,AF2987=1,AE2987="HALLUCINATION")</x:f>
        <x:v>0</x:v>
      </x:c>
      <x:c r="AJ2987" t="n">
        <x:f>--AND(AI2987=1,R2987=1,S2987=1)</x:f>
        <x:v>0</x:v>
      </x:c>
    </x:row>
    <x:row r="2988">
      <x:c r="A2988" s="28"/>
      <x:c r="B2988" s="28"/>
      <x:c r="C2988" s="28"/>
      <x:c r="D2988" s="28"/>
      <x:c r="E2988" s="28"/>
      <x:c r="F2988" s="28"/>
      <x:c r="G2988" s="28"/>
      <x:c r="H2988" s="28"/>
      <x:c r="I2988" s="28"/>
      <x:c r="J2988" s="28"/>
      <x:c r="K2988" s="28"/>
      <x:c r="L2988" s="28"/>
      <x:c r="M2988" s="28"/>
      <x:c r="N2988" s="28"/>
      <x:c r="O2988" s="28"/>
      <x:c r="P2988" s="28"/>
      <x:c r="Q2988" s="28"/>
      <x:c r="R2988" s="28"/>
      <x:c r="S2988" s="28"/>
      <x:c r="T2988" s="28"/>
      <x:c r="U2988" s="28"/>
      <x:c r="V2988" s="28"/>
      <x:c r="W2988" s="43" t="n">
        <x:f>--AND(N2988=1,OR(O2988="SUPPORTED",O2988="HALLUCINATION"))</x:f>
        <x:v>0</x:v>
      </x:c>
      <x:c r="X2988" s="43" t="n">
        <x:f>--AND(W2988=1,O2988="HALLUCINATION")</x:f>
        <x:v>0</x:v>
      </x:c>
      <x:c r="Y2988" s="43" t="n">
        <x:f>--AND(Q2988=1,O2988="HALLUCINATION")</x:f>
        <x:v>0</x:v>
      </x:c>
      <x:c r="Z2988" s="43" t="n">
        <x:f>--AND(Y2988=1,R2988=1,S2988=1)</x:f>
        <x:v>0</x:v>
      </x:c>
      <x:c r="AC2988" t="str">
        <x:f>IF(OR(AA2988="",AB2988=""),"",--(AA2988&lt;&gt;AB2988))</x:f>
      </x:c>
      <x:c r="AE2988" t="str">
        <x:f>IF(OR(AA2988="",AB2988=""),"PENDING_HUMAN",IF(AA2988=AB2988,AA2988,IF(AD2988&lt;&gt;"",AD2988,"PENDING_HUMAN")))</x:f>
        <x:v>PENDING_HUMAN</x:v>
      </x:c>
      <x:c r="AF2988" t="n">
        <x:f>--AND(A2988&lt;&gt;"",AA2988&lt;&gt;"",AB2988&lt;&gt;"",OR(AA2988=AB2988,AD2988&lt;&gt;""),IF(AE2988="HALLUCINATION",U2988&lt;&gt;"",TRUE))</x:f>
        <x:v>0</x:v>
      </x:c>
      <x:c r="AG2988" t="n">
        <x:f>--AND(N2988=1,AF2988=1,OR(AE2988="SUPPORTED",AE2988="HALLUCINATION"))</x:f>
        <x:v>0</x:v>
      </x:c>
      <x:c r="AH2988" t="n">
        <x:f>--AND(AG2988=1,AE2988="HALLUCINATION")</x:f>
        <x:v>0</x:v>
      </x:c>
      <x:c r="AI2988" t="n">
        <x:f>--AND(Q2988=1,AF2988=1,AE2988="HALLUCINATION")</x:f>
        <x:v>0</x:v>
      </x:c>
      <x:c r="AJ2988" t="n">
        <x:f>--AND(AI2988=1,R2988=1,S2988=1)</x:f>
        <x:v>0</x:v>
      </x:c>
    </x:row>
    <x:row r="2989">
      <x:c r="A2989" s="28"/>
      <x:c r="B2989" s="28"/>
      <x:c r="C2989" s="28"/>
      <x:c r="D2989" s="28"/>
      <x:c r="E2989" s="28"/>
      <x:c r="F2989" s="28"/>
      <x:c r="G2989" s="28"/>
      <x:c r="H2989" s="28"/>
      <x:c r="I2989" s="28"/>
      <x:c r="J2989" s="28"/>
      <x:c r="K2989" s="28"/>
      <x:c r="L2989" s="28"/>
      <x:c r="M2989" s="28"/>
      <x:c r="N2989" s="28"/>
      <x:c r="O2989" s="28"/>
      <x:c r="P2989" s="28"/>
      <x:c r="Q2989" s="28"/>
      <x:c r="R2989" s="28"/>
      <x:c r="S2989" s="28"/>
      <x:c r="T2989" s="28"/>
      <x:c r="U2989" s="28"/>
      <x:c r="V2989" s="28"/>
      <x:c r="W2989" s="43" t="n">
        <x:f>--AND(N2989=1,OR(O2989="SUPPORTED",O2989="HALLUCINATION"))</x:f>
        <x:v>0</x:v>
      </x:c>
      <x:c r="X2989" s="43" t="n">
        <x:f>--AND(W2989=1,O2989="HALLUCINATION")</x:f>
        <x:v>0</x:v>
      </x:c>
      <x:c r="Y2989" s="43" t="n">
        <x:f>--AND(Q2989=1,O2989="HALLUCINATION")</x:f>
        <x:v>0</x:v>
      </x:c>
      <x:c r="Z2989" s="43" t="n">
        <x:f>--AND(Y2989=1,R2989=1,S2989=1)</x:f>
        <x:v>0</x:v>
      </x:c>
      <x:c r="AC2989" t="str">
        <x:f>IF(OR(AA2989="",AB2989=""),"",--(AA2989&lt;&gt;AB2989))</x:f>
      </x:c>
      <x:c r="AE2989" t="str">
        <x:f>IF(OR(AA2989="",AB2989=""),"PENDING_HUMAN",IF(AA2989=AB2989,AA2989,IF(AD2989&lt;&gt;"",AD2989,"PENDING_HUMAN")))</x:f>
        <x:v>PENDING_HUMAN</x:v>
      </x:c>
      <x:c r="AF2989" t="n">
        <x:f>--AND(A2989&lt;&gt;"",AA2989&lt;&gt;"",AB2989&lt;&gt;"",OR(AA2989=AB2989,AD2989&lt;&gt;""),IF(AE2989="HALLUCINATION",U2989&lt;&gt;"",TRUE))</x:f>
        <x:v>0</x:v>
      </x:c>
      <x:c r="AG2989" t="n">
        <x:f>--AND(N2989=1,AF2989=1,OR(AE2989="SUPPORTED",AE2989="HALLUCINATION"))</x:f>
        <x:v>0</x:v>
      </x:c>
      <x:c r="AH2989" t="n">
        <x:f>--AND(AG2989=1,AE2989="HALLUCINATION")</x:f>
        <x:v>0</x:v>
      </x:c>
      <x:c r="AI2989" t="n">
        <x:f>--AND(Q2989=1,AF2989=1,AE2989="HALLUCINATION")</x:f>
        <x:v>0</x:v>
      </x:c>
      <x:c r="AJ2989" t="n">
        <x:f>--AND(AI2989=1,R2989=1,S2989=1)</x:f>
        <x:v>0</x:v>
      </x:c>
    </x:row>
    <x:row r="2990">
      <x:c r="A2990" s="28"/>
      <x:c r="B2990" s="28"/>
      <x:c r="C2990" s="28"/>
      <x:c r="D2990" s="28"/>
      <x:c r="E2990" s="28"/>
      <x:c r="F2990" s="28"/>
      <x:c r="G2990" s="28"/>
      <x:c r="H2990" s="28"/>
      <x:c r="I2990" s="28"/>
      <x:c r="J2990" s="28"/>
      <x:c r="K2990" s="28"/>
      <x:c r="L2990" s="28"/>
      <x:c r="M2990" s="28"/>
      <x:c r="N2990" s="28"/>
      <x:c r="O2990" s="28"/>
      <x:c r="P2990" s="28"/>
      <x:c r="Q2990" s="28"/>
      <x:c r="R2990" s="28"/>
      <x:c r="S2990" s="28"/>
      <x:c r="T2990" s="28"/>
      <x:c r="U2990" s="28"/>
      <x:c r="V2990" s="28"/>
      <x:c r="W2990" s="43" t="n">
        <x:f>--AND(N2990=1,OR(O2990="SUPPORTED",O2990="HALLUCINATION"))</x:f>
        <x:v>0</x:v>
      </x:c>
      <x:c r="X2990" s="43" t="n">
        <x:f>--AND(W2990=1,O2990="HALLUCINATION")</x:f>
        <x:v>0</x:v>
      </x:c>
      <x:c r="Y2990" s="43" t="n">
        <x:f>--AND(Q2990=1,O2990="HALLUCINATION")</x:f>
        <x:v>0</x:v>
      </x:c>
      <x:c r="Z2990" s="43" t="n">
        <x:f>--AND(Y2990=1,R2990=1,S2990=1)</x:f>
        <x:v>0</x:v>
      </x:c>
      <x:c r="AC2990" t="str">
        <x:f>IF(OR(AA2990="",AB2990=""),"",--(AA2990&lt;&gt;AB2990))</x:f>
      </x:c>
      <x:c r="AE2990" t="str">
        <x:f>IF(OR(AA2990="",AB2990=""),"PENDING_HUMAN",IF(AA2990=AB2990,AA2990,IF(AD2990&lt;&gt;"",AD2990,"PENDING_HUMAN")))</x:f>
        <x:v>PENDING_HUMAN</x:v>
      </x:c>
      <x:c r="AF2990" t="n">
        <x:f>--AND(A2990&lt;&gt;"",AA2990&lt;&gt;"",AB2990&lt;&gt;"",OR(AA2990=AB2990,AD2990&lt;&gt;""),IF(AE2990="HALLUCINATION",U2990&lt;&gt;"",TRUE))</x:f>
        <x:v>0</x:v>
      </x:c>
      <x:c r="AG2990" t="n">
        <x:f>--AND(N2990=1,AF2990=1,OR(AE2990="SUPPORTED",AE2990="HALLUCINATION"))</x:f>
        <x:v>0</x:v>
      </x:c>
      <x:c r="AH2990" t="n">
        <x:f>--AND(AG2990=1,AE2990="HALLUCINATION")</x:f>
        <x:v>0</x:v>
      </x:c>
      <x:c r="AI2990" t="n">
        <x:f>--AND(Q2990=1,AF2990=1,AE2990="HALLUCINATION")</x:f>
        <x:v>0</x:v>
      </x:c>
      <x:c r="AJ2990" t="n">
        <x:f>--AND(AI2990=1,R2990=1,S2990=1)</x:f>
        <x:v>0</x:v>
      </x:c>
    </x:row>
    <x:row r="2991">
      <x:c r="A2991" s="28"/>
      <x:c r="B2991" s="28"/>
      <x:c r="C2991" s="28"/>
      <x:c r="D2991" s="28"/>
      <x:c r="E2991" s="28"/>
      <x:c r="F2991" s="28"/>
      <x:c r="G2991" s="28"/>
      <x:c r="H2991" s="28"/>
      <x:c r="I2991" s="28"/>
      <x:c r="J2991" s="28"/>
      <x:c r="K2991" s="28"/>
      <x:c r="L2991" s="28"/>
      <x:c r="M2991" s="28"/>
      <x:c r="N2991" s="28"/>
      <x:c r="O2991" s="28"/>
      <x:c r="P2991" s="28"/>
      <x:c r="Q2991" s="28"/>
      <x:c r="R2991" s="28"/>
      <x:c r="S2991" s="28"/>
      <x:c r="T2991" s="28"/>
      <x:c r="U2991" s="28"/>
      <x:c r="V2991" s="28"/>
      <x:c r="W2991" s="43" t="n">
        <x:f>--AND(N2991=1,OR(O2991="SUPPORTED",O2991="HALLUCINATION"))</x:f>
        <x:v>0</x:v>
      </x:c>
      <x:c r="X2991" s="43" t="n">
        <x:f>--AND(W2991=1,O2991="HALLUCINATION")</x:f>
        <x:v>0</x:v>
      </x:c>
      <x:c r="Y2991" s="43" t="n">
        <x:f>--AND(Q2991=1,O2991="HALLUCINATION")</x:f>
        <x:v>0</x:v>
      </x:c>
      <x:c r="Z2991" s="43" t="n">
        <x:f>--AND(Y2991=1,R2991=1,S2991=1)</x:f>
        <x:v>0</x:v>
      </x:c>
      <x:c r="AC2991" t="str">
        <x:f>IF(OR(AA2991="",AB2991=""),"",--(AA2991&lt;&gt;AB2991))</x:f>
      </x:c>
      <x:c r="AE2991" t="str">
        <x:f>IF(OR(AA2991="",AB2991=""),"PENDING_HUMAN",IF(AA2991=AB2991,AA2991,IF(AD2991&lt;&gt;"",AD2991,"PENDING_HUMAN")))</x:f>
        <x:v>PENDING_HUMAN</x:v>
      </x:c>
      <x:c r="AF2991" t="n">
        <x:f>--AND(A2991&lt;&gt;"",AA2991&lt;&gt;"",AB2991&lt;&gt;"",OR(AA2991=AB2991,AD2991&lt;&gt;""),IF(AE2991="HALLUCINATION",U2991&lt;&gt;"",TRUE))</x:f>
        <x:v>0</x:v>
      </x:c>
      <x:c r="AG2991" t="n">
        <x:f>--AND(N2991=1,AF2991=1,OR(AE2991="SUPPORTED",AE2991="HALLUCINATION"))</x:f>
        <x:v>0</x:v>
      </x:c>
      <x:c r="AH2991" t="n">
        <x:f>--AND(AG2991=1,AE2991="HALLUCINATION")</x:f>
        <x:v>0</x:v>
      </x:c>
      <x:c r="AI2991" t="n">
        <x:f>--AND(Q2991=1,AF2991=1,AE2991="HALLUCINATION")</x:f>
        <x:v>0</x:v>
      </x:c>
      <x:c r="AJ2991" t="n">
        <x:f>--AND(AI2991=1,R2991=1,S2991=1)</x:f>
        <x:v>0</x:v>
      </x:c>
    </x:row>
    <x:row r="2992">
      <x:c r="A2992" s="28"/>
      <x:c r="B2992" s="28"/>
      <x:c r="C2992" s="28"/>
      <x:c r="D2992" s="28"/>
      <x:c r="E2992" s="28"/>
      <x:c r="F2992" s="28"/>
      <x:c r="G2992" s="28"/>
      <x:c r="H2992" s="28"/>
      <x:c r="I2992" s="28"/>
      <x:c r="J2992" s="28"/>
      <x:c r="K2992" s="28"/>
      <x:c r="L2992" s="28"/>
      <x:c r="M2992" s="28"/>
      <x:c r="N2992" s="28"/>
      <x:c r="O2992" s="28"/>
      <x:c r="P2992" s="28"/>
      <x:c r="Q2992" s="28"/>
      <x:c r="R2992" s="28"/>
      <x:c r="S2992" s="28"/>
      <x:c r="T2992" s="28"/>
      <x:c r="U2992" s="28"/>
      <x:c r="V2992" s="28"/>
      <x:c r="W2992" s="43" t="n">
        <x:f>--AND(N2992=1,OR(O2992="SUPPORTED",O2992="HALLUCINATION"))</x:f>
        <x:v>0</x:v>
      </x:c>
      <x:c r="X2992" s="43" t="n">
        <x:f>--AND(W2992=1,O2992="HALLUCINATION")</x:f>
        <x:v>0</x:v>
      </x:c>
      <x:c r="Y2992" s="43" t="n">
        <x:f>--AND(Q2992=1,O2992="HALLUCINATION")</x:f>
        <x:v>0</x:v>
      </x:c>
      <x:c r="Z2992" s="43" t="n">
        <x:f>--AND(Y2992=1,R2992=1,S2992=1)</x:f>
        <x:v>0</x:v>
      </x:c>
      <x:c r="AC2992" t="str">
        <x:f>IF(OR(AA2992="",AB2992=""),"",--(AA2992&lt;&gt;AB2992))</x:f>
      </x:c>
      <x:c r="AE2992" t="str">
        <x:f>IF(OR(AA2992="",AB2992=""),"PENDING_HUMAN",IF(AA2992=AB2992,AA2992,IF(AD2992&lt;&gt;"",AD2992,"PENDING_HUMAN")))</x:f>
        <x:v>PENDING_HUMAN</x:v>
      </x:c>
      <x:c r="AF2992" t="n">
        <x:f>--AND(A2992&lt;&gt;"",AA2992&lt;&gt;"",AB2992&lt;&gt;"",OR(AA2992=AB2992,AD2992&lt;&gt;""),IF(AE2992="HALLUCINATION",U2992&lt;&gt;"",TRUE))</x:f>
        <x:v>0</x:v>
      </x:c>
      <x:c r="AG2992" t="n">
        <x:f>--AND(N2992=1,AF2992=1,OR(AE2992="SUPPORTED",AE2992="HALLUCINATION"))</x:f>
        <x:v>0</x:v>
      </x:c>
      <x:c r="AH2992" t="n">
        <x:f>--AND(AG2992=1,AE2992="HALLUCINATION")</x:f>
        <x:v>0</x:v>
      </x:c>
      <x:c r="AI2992" t="n">
        <x:f>--AND(Q2992=1,AF2992=1,AE2992="HALLUCINATION")</x:f>
        <x:v>0</x:v>
      </x:c>
      <x:c r="AJ2992" t="n">
        <x:f>--AND(AI2992=1,R2992=1,S2992=1)</x:f>
        <x:v>0</x:v>
      </x:c>
    </x:row>
    <x:row r="2993">
      <x:c r="A2993" s="28"/>
      <x:c r="B2993" s="28"/>
      <x:c r="C2993" s="28"/>
      <x:c r="D2993" s="28"/>
      <x:c r="E2993" s="28"/>
      <x:c r="F2993" s="28"/>
      <x:c r="G2993" s="28"/>
      <x:c r="H2993" s="28"/>
      <x:c r="I2993" s="28"/>
      <x:c r="J2993" s="28"/>
      <x:c r="K2993" s="28"/>
      <x:c r="L2993" s="28"/>
      <x:c r="M2993" s="28"/>
      <x:c r="N2993" s="28"/>
      <x:c r="O2993" s="28"/>
      <x:c r="P2993" s="28"/>
      <x:c r="Q2993" s="28"/>
      <x:c r="R2993" s="28"/>
      <x:c r="S2993" s="28"/>
      <x:c r="T2993" s="28"/>
      <x:c r="U2993" s="28"/>
      <x:c r="V2993" s="28"/>
      <x:c r="W2993" s="43" t="n">
        <x:f>--AND(N2993=1,OR(O2993="SUPPORTED",O2993="HALLUCINATION"))</x:f>
        <x:v>0</x:v>
      </x:c>
      <x:c r="X2993" s="43" t="n">
        <x:f>--AND(W2993=1,O2993="HALLUCINATION")</x:f>
        <x:v>0</x:v>
      </x:c>
      <x:c r="Y2993" s="43" t="n">
        <x:f>--AND(Q2993=1,O2993="HALLUCINATION")</x:f>
        <x:v>0</x:v>
      </x:c>
      <x:c r="Z2993" s="43" t="n">
        <x:f>--AND(Y2993=1,R2993=1,S2993=1)</x:f>
        <x:v>0</x:v>
      </x:c>
      <x:c r="AC2993" t="str">
        <x:f>IF(OR(AA2993="",AB2993=""),"",--(AA2993&lt;&gt;AB2993))</x:f>
      </x:c>
      <x:c r="AE2993" t="str">
        <x:f>IF(OR(AA2993="",AB2993=""),"PENDING_HUMAN",IF(AA2993=AB2993,AA2993,IF(AD2993&lt;&gt;"",AD2993,"PENDING_HUMAN")))</x:f>
        <x:v>PENDING_HUMAN</x:v>
      </x:c>
      <x:c r="AF2993" t="n">
        <x:f>--AND(A2993&lt;&gt;"",AA2993&lt;&gt;"",AB2993&lt;&gt;"",OR(AA2993=AB2993,AD2993&lt;&gt;""),IF(AE2993="HALLUCINATION",U2993&lt;&gt;"",TRUE))</x:f>
        <x:v>0</x:v>
      </x:c>
      <x:c r="AG2993" t="n">
        <x:f>--AND(N2993=1,AF2993=1,OR(AE2993="SUPPORTED",AE2993="HALLUCINATION"))</x:f>
        <x:v>0</x:v>
      </x:c>
      <x:c r="AH2993" t="n">
        <x:f>--AND(AG2993=1,AE2993="HALLUCINATION")</x:f>
        <x:v>0</x:v>
      </x:c>
      <x:c r="AI2993" t="n">
        <x:f>--AND(Q2993=1,AF2993=1,AE2993="HALLUCINATION")</x:f>
        <x:v>0</x:v>
      </x:c>
      <x:c r="AJ2993" t="n">
        <x:f>--AND(AI2993=1,R2993=1,S2993=1)</x:f>
        <x:v>0</x:v>
      </x:c>
    </x:row>
    <x:row r="2994">
      <x:c r="A2994" s="28"/>
      <x:c r="B2994" s="28"/>
      <x:c r="C2994" s="28"/>
      <x:c r="D2994" s="28"/>
      <x:c r="E2994" s="28"/>
      <x:c r="F2994" s="28"/>
      <x:c r="G2994" s="28"/>
      <x:c r="H2994" s="28"/>
      <x:c r="I2994" s="28"/>
      <x:c r="J2994" s="28"/>
      <x:c r="K2994" s="28"/>
      <x:c r="L2994" s="28"/>
      <x:c r="M2994" s="28"/>
      <x:c r="N2994" s="28"/>
      <x:c r="O2994" s="28"/>
      <x:c r="P2994" s="28"/>
      <x:c r="Q2994" s="28"/>
      <x:c r="R2994" s="28"/>
      <x:c r="S2994" s="28"/>
      <x:c r="T2994" s="28"/>
      <x:c r="U2994" s="28"/>
      <x:c r="V2994" s="28"/>
      <x:c r="W2994" s="43" t="n">
        <x:f>--AND(N2994=1,OR(O2994="SUPPORTED",O2994="HALLUCINATION"))</x:f>
        <x:v>0</x:v>
      </x:c>
      <x:c r="X2994" s="43" t="n">
        <x:f>--AND(W2994=1,O2994="HALLUCINATION")</x:f>
        <x:v>0</x:v>
      </x:c>
      <x:c r="Y2994" s="43" t="n">
        <x:f>--AND(Q2994=1,O2994="HALLUCINATION")</x:f>
        <x:v>0</x:v>
      </x:c>
      <x:c r="Z2994" s="43" t="n">
        <x:f>--AND(Y2994=1,R2994=1,S2994=1)</x:f>
        <x:v>0</x:v>
      </x:c>
      <x:c r="AC2994" t="str">
        <x:f>IF(OR(AA2994="",AB2994=""),"",--(AA2994&lt;&gt;AB2994))</x:f>
      </x:c>
      <x:c r="AE2994" t="str">
        <x:f>IF(OR(AA2994="",AB2994=""),"PENDING_HUMAN",IF(AA2994=AB2994,AA2994,IF(AD2994&lt;&gt;"",AD2994,"PENDING_HUMAN")))</x:f>
        <x:v>PENDING_HUMAN</x:v>
      </x:c>
      <x:c r="AF2994" t="n">
        <x:f>--AND(A2994&lt;&gt;"",AA2994&lt;&gt;"",AB2994&lt;&gt;"",OR(AA2994=AB2994,AD2994&lt;&gt;""),IF(AE2994="HALLUCINATION",U2994&lt;&gt;"",TRUE))</x:f>
        <x:v>0</x:v>
      </x:c>
      <x:c r="AG2994" t="n">
        <x:f>--AND(N2994=1,AF2994=1,OR(AE2994="SUPPORTED",AE2994="HALLUCINATION"))</x:f>
        <x:v>0</x:v>
      </x:c>
      <x:c r="AH2994" t="n">
        <x:f>--AND(AG2994=1,AE2994="HALLUCINATION")</x:f>
        <x:v>0</x:v>
      </x:c>
      <x:c r="AI2994" t="n">
        <x:f>--AND(Q2994=1,AF2994=1,AE2994="HALLUCINATION")</x:f>
        <x:v>0</x:v>
      </x:c>
      <x:c r="AJ2994" t="n">
        <x:f>--AND(AI2994=1,R2994=1,S2994=1)</x:f>
        <x:v>0</x:v>
      </x:c>
    </x:row>
    <x:row r="2995">
      <x:c r="A2995" s="28"/>
      <x:c r="B2995" s="28"/>
      <x:c r="C2995" s="28"/>
      <x:c r="D2995" s="28"/>
      <x:c r="E2995" s="28"/>
      <x:c r="F2995" s="28"/>
      <x:c r="G2995" s="28"/>
      <x:c r="H2995" s="28"/>
      <x:c r="I2995" s="28"/>
      <x:c r="J2995" s="28"/>
      <x:c r="K2995" s="28"/>
      <x:c r="L2995" s="28"/>
      <x:c r="M2995" s="28"/>
      <x:c r="N2995" s="28"/>
      <x:c r="O2995" s="28"/>
      <x:c r="P2995" s="28"/>
      <x:c r="Q2995" s="28"/>
      <x:c r="R2995" s="28"/>
      <x:c r="S2995" s="28"/>
      <x:c r="T2995" s="28"/>
      <x:c r="U2995" s="28"/>
      <x:c r="V2995" s="28"/>
      <x:c r="W2995" s="43" t="n">
        <x:f>--AND(N2995=1,OR(O2995="SUPPORTED",O2995="HALLUCINATION"))</x:f>
        <x:v>0</x:v>
      </x:c>
      <x:c r="X2995" s="43" t="n">
        <x:f>--AND(W2995=1,O2995="HALLUCINATION")</x:f>
        <x:v>0</x:v>
      </x:c>
      <x:c r="Y2995" s="43" t="n">
        <x:f>--AND(Q2995=1,O2995="HALLUCINATION")</x:f>
        <x:v>0</x:v>
      </x:c>
      <x:c r="Z2995" s="43" t="n">
        <x:f>--AND(Y2995=1,R2995=1,S2995=1)</x:f>
        <x:v>0</x:v>
      </x:c>
      <x:c r="AC2995" t="str">
        <x:f>IF(OR(AA2995="",AB2995=""),"",--(AA2995&lt;&gt;AB2995))</x:f>
      </x:c>
      <x:c r="AE2995" t="str">
        <x:f>IF(OR(AA2995="",AB2995=""),"PENDING_HUMAN",IF(AA2995=AB2995,AA2995,IF(AD2995&lt;&gt;"",AD2995,"PENDING_HUMAN")))</x:f>
        <x:v>PENDING_HUMAN</x:v>
      </x:c>
      <x:c r="AF2995" t="n">
        <x:f>--AND(A2995&lt;&gt;"",AA2995&lt;&gt;"",AB2995&lt;&gt;"",OR(AA2995=AB2995,AD2995&lt;&gt;""),IF(AE2995="HALLUCINATION",U2995&lt;&gt;"",TRUE))</x:f>
        <x:v>0</x:v>
      </x:c>
      <x:c r="AG2995" t="n">
        <x:f>--AND(N2995=1,AF2995=1,OR(AE2995="SUPPORTED",AE2995="HALLUCINATION"))</x:f>
        <x:v>0</x:v>
      </x:c>
      <x:c r="AH2995" t="n">
        <x:f>--AND(AG2995=1,AE2995="HALLUCINATION")</x:f>
        <x:v>0</x:v>
      </x:c>
      <x:c r="AI2995" t="n">
        <x:f>--AND(Q2995=1,AF2995=1,AE2995="HALLUCINATION")</x:f>
        <x:v>0</x:v>
      </x:c>
      <x:c r="AJ2995" t="n">
        <x:f>--AND(AI2995=1,R2995=1,S2995=1)</x:f>
        <x:v>0</x:v>
      </x:c>
    </x:row>
    <x:row r="2996">
      <x:c r="A2996" s="28"/>
      <x:c r="B2996" s="28"/>
      <x:c r="C2996" s="28"/>
      <x:c r="D2996" s="28"/>
      <x:c r="E2996" s="28"/>
      <x:c r="F2996" s="28"/>
      <x:c r="G2996" s="28"/>
      <x:c r="H2996" s="28"/>
      <x:c r="I2996" s="28"/>
      <x:c r="J2996" s="28"/>
      <x:c r="K2996" s="28"/>
      <x:c r="L2996" s="28"/>
      <x:c r="M2996" s="28"/>
      <x:c r="N2996" s="28"/>
      <x:c r="O2996" s="28"/>
      <x:c r="P2996" s="28"/>
      <x:c r="Q2996" s="28"/>
      <x:c r="R2996" s="28"/>
      <x:c r="S2996" s="28"/>
      <x:c r="T2996" s="28"/>
      <x:c r="U2996" s="28"/>
      <x:c r="V2996" s="28"/>
      <x:c r="W2996" s="43" t="n">
        <x:f>--AND(N2996=1,OR(O2996="SUPPORTED",O2996="HALLUCINATION"))</x:f>
        <x:v>0</x:v>
      </x:c>
      <x:c r="X2996" s="43" t="n">
        <x:f>--AND(W2996=1,O2996="HALLUCINATION")</x:f>
        <x:v>0</x:v>
      </x:c>
      <x:c r="Y2996" s="43" t="n">
        <x:f>--AND(Q2996=1,O2996="HALLUCINATION")</x:f>
        <x:v>0</x:v>
      </x:c>
      <x:c r="Z2996" s="43" t="n">
        <x:f>--AND(Y2996=1,R2996=1,S2996=1)</x:f>
        <x:v>0</x:v>
      </x:c>
      <x:c r="AC2996" t="str">
        <x:f>IF(OR(AA2996="",AB2996=""),"",--(AA2996&lt;&gt;AB2996))</x:f>
      </x:c>
      <x:c r="AE2996" t="str">
        <x:f>IF(OR(AA2996="",AB2996=""),"PENDING_HUMAN",IF(AA2996=AB2996,AA2996,IF(AD2996&lt;&gt;"",AD2996,"PENDING_HUMAN")))</x:f>
        <x:v>PENDING_HUMAN</x:v>
      </x:c>
      <x:c r="AF2996" t="n">
        <x:f>--AND(A2996&lt;&gt;"",AA2996&lt;&gt;"",AB2996&lt;&gt;"",OR(AA2996=AB2996,AD2996&lt;&gt;""),IF(AE2996="HALLUCINATION",U2996&lt;&gt;"",TRUE))</x:f>
        <x:v>0</x:v>
      </x:c>
      <x:c r="AG2996" t="n">
        <x:f>--AND(N2996=1,AF2996=1,OR(AE2996="SUPPORTED",AE2996="HALLUCINATION"))</x:f>
        <x:v>0</x:v>
      </x:c>
      <x:c r="AH2996" t="n">
        <x:f>--AND(AG2996=1,AE2996="HALLUCINATION")</x:f>
        <x:v>0</x:v>
      </x:c>
      <x:c r="AI2996" t="n">
        <x:f>--AND(Q2996=1,AF2996=1,AE2996="HALLUCINATION")</x:f>
        <x:v>0</x:v>
      </x:c>
      <x:c r="AJ2996" t="n">
        <x:f>--AND(AI2996=1,R2996=1,S2996=1)</x:f>
        <x:v>0</x:v>
      </x:c>
    </x:row>
    <x:row r="2997">
      <x:c r="A2997" s="28"/>
      <x:c r="B2997" s="28"/>
      <x:c r="C2997" s="28"/>
      <x:c r="D2997" s="28"/>
      <x:c r="E2997" s="28"/>
      <x:c r="F2997" s="28"/>
      <x:c r="G2997" s="28"/>
      <x:c r="H2997" s="28"/>
      <x:c r="I2997" s="28"/>
      <x:c r="J2997" s="28"/>
      <x:c r="K2997" s="28"/>
      <x:c r="L2997" s="28"/>
      <x:c r="M2997" s="28"/>
      <x:c r="N2997" s="28"/>
      <x:c r="O2997" s="28"/>
      <x:c r="P2997" s="28"/>
      <x:c r="Q2997" s="28"/>
      <x:c r="R2997" s="28"/>
      <x:c r="S2997" s="28"/>
      <x:c r="T2997" s="28"/>
      <x:c r="U2997" s="28"/>
      <x:c r="V2997" s="28"/>
      <x:c r="W2997" s="43" t="n">
        <x:f>--AND(N2997=1,OR(O2997="SUPPORTED",O2997="HALLUCINATION"))</x:f>
        <x:v>0</x:v>
      </x:c>
      <x:c r="X2997" s="43" t="n">
        <x:f>--AND(W2997=1,O2997="HALLUCINATION")</x:f>
        <x:v>0</x:v>
      </x:c>
      <x:c r="Y2997" s="43" t="n">
        <x:f>--AND(Q2997=1,O2997="HALLUCINATION")</x:f>
        <x:v>0</x:v>
      </x:c>
      <x:c r="Z2997" s="43" t="n">
        <x:f>--AND(Y2997=1,R2997=1,S2997=1)</x:f>
        <x:v>0</x:v>
      </x:c>
      <x:c r="AC2997" t="str">
        <x:f>IF(OR(AA2997="",AB2997=""),"",--(AA2997&lt;&gt;AB2997))</x:f>
      </x:c>
      <x:c r="AE2997" t="str">
        <x:f>IF(OR(AA2997="",AB2997=""),"PENDING_HUMAN",IF(AA2997=AB2997,AA2997,IF(AD2997&lt;&gt;"",AD2997,"PENDING_HUMAN")))</x:f>
        <x:v>PENDING_HUMAN</x:v>
      </x:c>
      <x:c r="AF2997" t="n">
        <x:f>--AND(A2997&lt;&gt;"",AA2997&lt;&gt;"",AB2997&lt;&gt;"",OR(AA2997=AB2997,AD2997&lt;&gt;""),IF(AE2997="HALLUCINATION",U2997&lt;&gt;"",TRUE))</x:f>
        <x:v>0</x:v>
      </x:c>
      <x:c r="AG2997" t="n">
        <x:f>--AND(N2997=1,AF2997=1,OR(AE2997="SUPPORTED",AE2997="HALLUCINATION"))</x:f>
        <x:v>0</x:v>
      </x:c>
      <x:c r="AH2997" t="n">
        <x:f>--AND(AG2997=1,AE2997="HALLUCINATION")</x:f>
        <x:v>0</x:v>
      </x:c>
      <x:c r="AI2997" t="n">
        <x:f>--AND(Q2997=1,AF2997=1,AE2997="HALLUCINATION")</x:f>
        <x:v>0</x:v>
      </x:c>
      <x:c r="AJ2997" t="n">
        <x:f>--AND(AI2997=1,R2997=1,S2997=1)</x:f>
        <x:v>0</x:v>
      </x:c>
    </x:row>
    <x:row r="2998">
      <x:c r="A2998" s="28"/>
      <x:c r="B2998" s="28"/>
      <x:c r="C2998" s="28"/>
      <x:c r="D2998" s="28"/>
      <x:c r="E2998" s="28"/>
      <x:c r="F2998" s="28"/>
      <x:c r="G2998" s="28"/>
      <x:c r="H2998" s="28"/>
      <x:c r="I2998" s="28"/>
      <x:c r="J2998" s="28"/>
      <x:c r="K2998" s="28"/>
      <x:c r="L2998" s="28"/>
      <x:c r="M2998" s="28"/>
      <x:c r="N2998" s="28"/>
      <x:c r="O2998" s="28"/>
      <x:c r="P2998" s="28"/>
      <x:c r="Q2998" s="28"/>
      <x:c r="R2998" s="28"/>
      <x:c r="S2998" s="28"/>
      <x:c r="T2998" s="28"/>
      <x:c r="U2998" s="28"/>
      <x:c r="V2998" s="28"/>
      <x:c r="W2998" s="43" t="n">
        <x:f>--AND(N2998=1,OR(O2998="SUPPORTED",O2998="HALLUCINATION"))</x:f>
        <x:v>0</x:v>
      </x:c>
      <x:c r="X2998" s="43" t="n">
        <x:f>--AND(W2998=1,O2998="HALLUCINATION")</x:f>
        <x:v>0</x:v>
      </x:c>
      <x:c r="Y2998" s="43" t="n">
        <x:f>--AND(Q2998=1,O2998="HALLUCINATION")</x:f>
        <x:v>0</x:v>
      </x:c>
      <x:c r="Z2998" s="43" t="n">
        <x:f>--AND(Y2998=1,R2998=1,S2998=1)</x:f>
        <x:v>0</x:v>
      </x:c>
      <x:c r="AC2998" t="str">
        <x:f>IF(OR(AA2998="",AB2998=""),"",--(AA2998&lt;&gt;AB2998))</x:f>
      </x:c>
      <x:c r="AE2998" t="str">
        <x:f>IF(OR(AA2998="",AB2998=""),"PENDING_HUMAN",IF(AA2998=AB2998,AA2998,IF(AD2998&lt;&gt;"",AD2998,"PENDING_HUMAN")))</x:f>
        <x:v>PENDING_HUMAN</x:v>
      </x:c>
      <x:c r="AF2998" t="n">
        <x:f>--AND(A2998&lt;&gt;"",AA2998&lt;&gt;"",AB2998&lt;&gt;"",OR(AA2998=AB2998,AD2998&lt;&gt;""),IF(AE2998="HALLUCINATION",U2998&lt;&gt;"",TRUE))</x:f>
        <x:v>0</x:v>
      </x:c>
      <x:c r="AG2998" t="n">
        <x:f>--AND(N2998=1,AF2998=1,OR(AE2998="SUPPORTED",AE2998="HALLUCINATION"))</x:f>
        <x:v>0</x:v>
      </x:c>
      <x:c r="AH2998" t="n">
        <x:f>--AND(AG2998=1,AE2998="HALLUCINATION")</x:f>
        <x:v>0</x:v>
      </x:c>
      <x:c r="AI2998" t="n">
        <x:f>--AND(Q2998=1,AF2998=1,AE2998="HALLUCINATION")</x:f>
        <x:v>0</x:v>
      </x:c>
      <x:c r="AJ2998" t="n">
        <x:f>--AND(AI2998=1,R2998=1,S2998=1)</x:f>
        <x:v>0</x:v>
      </x:c>
    </x:row>
    <x:row r="2999">
      <x:c r="A2999" s="28"/>
      <x:c r="B2999" s="28"/>
      <x:c r="C2999" s="28"/>
      <x:c r="D2999" s="28"/>
      <x:c r="E2999" s="28"/>
      <x:c r="F2999" s="28"/>
      <x:c r="G2999" s="28"/>
      <x:c r="H2999" s="28"/>
      <x:c r="I2999" s="28"/>
      <x:c r="J2999" s="28"/>
      <x:c r="K2999" s="28"/>
      <x:c r="L2999" s="28"/>
      <x:c r="M2999" s="28"/>
      <x:c r="N2999" s="28"/>
      <x:c r="O2999" s="28"/>
      <x:c r="P2999" s="28"/>
      <x:c r="Q2999" s="28"/>
      <x:c r="R2999" s="28"/>
      <x:c r="S2999" s="28"/>
      <x:c r="T2999" s="28"/>
      <x:c r="U2999" s="28"/>
      <x:c r="V2999" s="28"/>
      <x:c r="W2999" s="43" t="n">
        <x:f>--AND(N2999=1,OR(O2999="SUPPORTED",O2999="HALLUCINATION"))</x:f>
        <x:v>0</x:v>
      </x:c>
      <x:c r="X2999" s="43" t="n">
        <x:f>--AND(W2999=1,O2999="HALLUCINATION")</x:f>
        <x:v>0</x:v>
      </x:c>
      <x:c r="Y2999" s="43" t="n">
        <x:f>--AND(Q2999=1,O2999="HALLUCINATION")</x:f>
        <x:v>0</x:v>
      </x:c>
      <x:c r="Z2999" s="43" t="n">
        <x:f>--AND(Y2999=1,R2999=1,S2999=1)</x:f>
        <x:v>0</x:v>
      </x:c>
      <x:c r="AC2999" t="str">
        <x:f>IF(OR(AA2999="",AB2999=""),"",--(AA2999&lt;&gt;AB2999))</x:f>
      </x:c>
      <x:c r="AE2999" t="str">
        <x:f>IF(OR(AA2999="",AB2999=""),"PENDING_HUMAN",IF(AA2999=AB2999,AA2999,IF(AD2999&lt;&gt;"",AD2999,"PENDING_HUMAN")))</x:f>
        <x:v>PENDING_HUMAN</x:v>
      </x:c>
      <x:c r="AF2999" t="n">
        <x:f>--AND(A2999&lt;&gt;"",AA2999&lt;&gt;"",AB2999&lt;&gt;"",OR(AA2999=AB2999,AD2999&lt;&gt;""),IF(AE2999="HALLUCINATION",U2999&lt;&gt;"",TRUE))</x:f>
        <x:v>0</x:v>
      </x:c>
      <x:c r="AG2999" t="n">
        <x:f>--AND(N2999=1,AF2999=1,OR(AE2999="SUPPORTED",AE2999="HALLUCINATION"))</x:f>
        <x:v>0</x:v>
      </x:c>
      <x:c r="AH2999" t="n">
        <x:f>--AND(AG2999=1,AE2999="HALLUCINATION")</x:f>
        <x:v>0</x:v>
      </x:c>
      <x:c r="AI2999" t="n">
        <x:f>--AND(Q2999=1,AF2999=1,AE2999="HALLUCINATION")</x:f>
        <x:v>0</x:v>
      </x:c>
      <x:c r="AJ2999" t="n">
        <x:f>--AND(AI2999=1,R2999=1,S2999=1)</x:f>
        <x:v>0</x:v>
      </x:c>
    </x:row>
    <x:row r="3000">
      <x:c r="A3000" s="28"/>
      <x:c r="B3000" s="28"/>
      <x:c r="C3000" s="28"/>
      <x:c r="D3000" s="28"/>
      <x:c r="E3000" s="28"/>
      <x:c r="F3000" s="28"/>
      <x:c r="G3000" s="28"/>
      <x:c r="H3000" s="28"/>
      <x:c r="I3000" s="28"/>
      <x:c r="J3000" s="28"/>
      <x:c r="K3000" s="28"/>
      <x:c r="L3000" s="28"/>
      <x:c r="M3000" s="28"/>
      <x:c r="N3000" s="28"/>
      <x:c r="O3000" s="28"/>
      <x:c r="P3000" s="28"/>
      <x:c r="Q3000" s="28"/>
      <x:c r="R3000" s="28"/>
      <x:c r="S3000" s="28"/>
      <x:c r="T3000" s="28"/>
      <x:c r="U3000" s="28"/>
      <x:c r="V3000" s="28"/>
      <x:c r="W3000" s="43" t="n">
        <x:f>--AND(N3000=1,OR(O3000="SUPPORTED",O3000="HALLUCINATION"))</x:f>
        <x:v>0</x:v>
      </x:c>
      <x:c r="X3000" s="43" t="n">
        <x:f>--AND(W3000=1,O3000="HALLUCINATION")</x:f>
        <x:v>0</x:v>
      </x:c>
      <x:c r="Y3000" s="43" t="n">
        <x:f>--AND(Q3000=1,O3000="HALLUCINATION")</x:f>
        <x:v>0</x:v>
      </x:c>
      <x:c r="Z3000" s="43" t="n">
        <x:f>--AND(Y3000=1,R3000=1,S3000=1)</x:f>
        <x:v>0</x:v>
      </x:c>
      <x:c r="AC3000" t="str">
        <x:f>IF(OR(AA3000="",AB3000=""),"",--(AA3000&lt;&gt;AB3000))</x:f>
      </x:c>
      <x:c r="AE3000" t="str">
        <x:f>IF(OR(AA3000="",AB3000=""),"PENDING_HUMAN",IF(AA3000=AB3000,AA3000,IF(AD3000&lt;&gt;"",AD3000,"PENDING_HUMAN")))</x:f>
        <x:v>PENDING_HUMAN</x:v>
      </x:c>
      <x:c r="AF3000" t="n">
        <x:f>--AND(A3000&lt;&gt;"",AA3000&lt;&gt;"",AB3000&lt;&gt;"",OR(AA3000=AB3000,AD3000&lt;&gt;""),IF(AE3000="HALLUCINATION",U3000&lt;&gt;"",TRUE))</x:f>
        <x:v>0</x:v>
      </x:c>
      <x:c r="AG3000" t="n">
        <x:f>--AND(N3000=1,AF3000=1,OR(AE3000="SUPPORTED",AE3000="HALLUCINATION"))</x:f>
        <x:v>0</x:v>
      </x:c>
      <x:c r="AH3000" t="n">
        <x:f>--AND(AG3000=1,AE3000="HALLUCINATION")</x:f>
        <x:v>0</x:v>
      </x:c>
      <x:c r="AI3000" t="n">
        <x:f>--AND(Q3000=1,AF3000=1,AE3000="HALLUCINATION")</x:f>
        <x:v>0</x:v>
      </x:c>
      <x:c r="AJ3000" t="n">
        <x:f>--AND(AI3000=1,R3000=1,S3000=1)</x:f>
        <x:v>0</x:v>
      </x:c>
    </x:row>
    <x:row r="3001">
      <x:c r="A3001" s="28"/>
      <x:c r="B3001" s="28"/>
      <x:c r="C3001" s="28"/>
      <x:c r="D3001" s="28"/>
      <x:c r="E3001" s="28"/>
      <x:c r="F3001" s="28"/>
      <x:c r="G3001" s="28"/>
      <x:c r="H3001" s="28"/>
      <x:c r="I3001" s="28"/>
      <x:c r="J3001" s="28"/>
      <x:c r="K3001" s="28"/>
      <x:c r="L3001" s="28"/>
      <x:c r="M3001" s="28"/>
      <x:c r="N3001" s="28"/>
      <x:c r="O3001" s="28"/>
      <x:c r="P3001" s="28"/>
      <x:c r="Q3001" s="28"/>
      <x:c r="R3001" s="28"/>
      <x:c r="S3001" s="28"/>
      <x:c r="T3001" s="28"/>
      <x:c r="U3001" s="28"/>
      <x:c r="V3001" s="28"/>
      <x:c r="W3001" s="43" t="n">
        <x:f>--AND(N3001=1,OR(O3001="SUPPORTED",O3001="HALLUCINATION"))</x:f>
        <x:v>0</x:v>
      </x:c>
      <x:c r="X3001" s="43" t="n">
        <x:f>--AND(W3001=1,O3001="HALLUCINATION")</x:f>
        <x:v>0</x:v>
      </x:c>
      <x:c r="Y3001" s="43" t="n">
        <x:f>--AND(Q3001=1,O3001="HALLUCINATION")</x:f>
        <x:v>0</x:v>
      </x:c>
      <x:c r="Z3001" s="43" t="n">
        <x:f>--AND(Y3001=1,R3001=1,S3001=1)</x:f>
        <x:v>0</x:v>
      </x:c>
      <x:c r="AC3001" t="str">
        <x:f>IF(OR(AA3001="",AB3001=""),"",--(AA3001&lt;&gt;AB3001))</x:f>
      </x:c>
      <x:c r="AE3001" t="str">
        <x:f>IF(OR(AA3001="",AB3001=""),"PENDING_HUMAN",IF(AA3001=AB3001,AA3001,IF(AD3001&lt;&gt;"",AD3001,"PENDING_HUMAN")))</x:f>
        <x:v>PENDING_HUMAN</x:v>
      </x:c>
      <x:c r="AF3001" t="n">
        <x:f>--AND(A3001&lt;&gt;"",AA3001&lt;&gt;"",AB3001&lt;&gt;"",OR(AA3001=AB3001,AD3001&lt;&gt;""),IF(AE3001="HALLUCINATION",U3001&lt;&gt;"",TRUE))</x:f>
        <x:v>0</x:v>
      </x:c>
      <x:c r="AG3001" t="n">
        <x:f>--AND(N3001=1,AF3001=1,OR(AE3001="SUPPORTED",AE3001="HALLUCINATION"))</x:f>
        <x:v>0</x:v>
      </x:c>
      <x:c r="AH3001" t="n">
        <x:f>--AND(AG3001=1,AE3001="HALLUCINATION")</x:f>
        <x:v>0</x:v>
      </x:c>
      <x:c r="AI3001" t="n">
        <x:f>--AND(Q3001=1,AF3001=1,AE3001="HALLUCINATION")</x:f>
        <x:v>0</x:v>
      </x:c>
      <x:c r="AJ3001" t="n">
        <x:f>--AND(AI3001=1,R3001=1,S3001=1)</x:f>
        <x:v>0</x:v>
      </x:c>
    </x:row>
    <x:row r="3002">
      <x:c r="A3002" s="28"/>
      <x:c r="B3002" s="28"/>
      <x:c r="C3002" s="28"/>
      <x:c r="D3002" s="28"/>
      <x:c r="E3002" s="28"/>
      <x:c r="F3002" s="28"/>
      <x:c r="G3002" s="28"/>
      <x:c r="H3002" s="28"/>
      <x:c r="I3002" s="28"/>
      <x:c r="J3002" s="28"/>
      <x:c r="K3002" s="28"/>
      <x:c r="L3002" s="28"/>
      <x:c r="M3002" s="28"/>
      <x:c r="N3002" s="28"/>
      <x:c r="O3002" s="28"/>
      <x:c r="P3002" s="28"/>
      <x:c r="Q3002" s="28"/>
      <x:c r="R3002" s="28"/>
      <x:c r="S3002" s="28"/>
      <x:c r="T3002" s="28"/>
      <x:c r="U3002" s="28"/>
      <x:c r="V3002" s="28"/>
      <x:c r="W3002" s="43" t="n">
        <x:f>--AND(N3002=1,OR(O3002="SUPPORTED",O3002="HALLUCINATION"))</x:f>
        <x:v>0</x:v>
      </x:c>
      <x:c r="X3002" s="43" t="n">
        <x:f>--AND(W3002=1,O3002="HALLUCINATION")</x:f>
        <x:v>0</x:v>
      </x:c>
      <x:c r="Y3002" s="43" t="n">
        <x:f>--AND(Q3002=1,O3002="HALLUCINATION")</x:f>
        <x:v>0</x:v>
      </x:c>
      <x:c r="Z3002" s="43" t="n">
        <x:f>--AND(Y3002=1,R3002=1,S3002=1)</x:f>
        <x:v>0</x:v>
      </x:c>
      <x:c r="AC3002" t="str">
        <x:f>IF(OR(AA3002="",AB3002=""),"",--(AA3002&lt;&gt;AB3002))</x:f>
      </x:c>
      <x:c r="AE3002" t="str">
        <x:f>IF(OR(AA3002="",AB3002=""),"PENDING_HUMAN",IF(AA3002=AB3002,AA3002,IF(AD3002&lt;&gt;"",AD3002,"PENDING_HUMAN")))</x:f>
        <x:v>PENDING_HUMAN</x:v>
      </x:c>
      <x:c r="AF3002" t="n">
        <x:f>--AND(A3002&lt;&gt;"",AA3002&lt;&gt;"",AB3002&lt;&gt;"",OR(AA3002=AB3002,AD3002&lt;&gt;""),IF(AE3002="HALLUCINATION",U3002&lt;&gt;"",TRUE))</x:f>
        <x:v>0</x:v>
      </x:c>
      <x:c r="AG3002" t="n">
        <x:f>--AND(N3002=1,AF3002=1,OR(AE3002="SUPPORTED",AE3002="HALLUCINATION"))</x:f>
        <x:v>0</x:v>
      </x:c>
      <x:c r="AH3002" t="n">
        <x:f>--AND(AG3002=1,AE3002="HALLUCINATION")</x:f>
        <x:v>0</x:v>
      </x:c>
      <x:c r="AI3002" t="n">
        <x:f>--AND(Q3002=1,AF3002=1,AE3002="HALLUCINATION")</x:f>
        <x:v>0</x:v>
      </x:c>
      <x:c r="AJ3002" t="n">
        <x:f>--AND(AI3002=1,R3002=1,S3002=1)</x:f>
        <x:v>0</x:v>
      </x:c>
    </x:row>
    <x:row r="3003">
      <x:c r="A3003" s="28"/>
      <x:c r="B3003" s="28"/>
      <x:c r="C3003" s="28"/>
      <x:c r="D3003" s="28"/>
      <x:c r="E3003" s="28"/>
      <x:c r="F3003" s="28"/>
      <x:c r="G3003" s="28"/>
      <x:c r="H3003" s="28"/>
      <x:c r="I3003" s="28"/>
      <x:c r="J3003" s="28"/>
      <x:c r="K3003" s="28"/>
      <x:c r="L3003" s="28"/>
      <x:c r="M3003" s="28"/>
      <x:c r="N3003" s="28"/>
      <x:c r="O3003" s="28"/>
      <x:c r="P3003" s="28"/>
      <x:c r="Q3003" s="28"/>
      <x:c r="R3003" s="28"/>
      <x:c r="S3003" s="28"/>
      <x:c r="T3003" s="28"/>
      <x:c r="U3003" s="28"/>
      <x:c r="V3003" s="28"/>
      <x:c r="W3003" s="43" t="n">
        <x:f>--AND(N3003=1,OR(O3003="SUPPORTED",O3003="HALLUCINATION"))</x:f>
        <x:v>0</x:v>
      </x:c>
      <x:c r="X3003" s="43" t="n">
        <x:f>--AND(W3003=1,O3003="HALLUCINATION")</x:f>
        <x:v>0</x:v>
      </x:c>
      <x:c r="Y3003" s="43" t="n">
        <x:f>--AND(Q3003=1,O3003="HALLUCINATION")</x:f>
        <x:v>0</x:v>
      </x:c>
      <x:c r="Z3003" s="43" t="n">
        <x:f>--AND(Y3003=1,R3003=1,S3003=1)</x:f>
        <x:v>0</x:v>
      </x:c>
      <x:c r="AC3003" t="str">
        <x:f>IF(OR(AA3003="",AB3003=""),"",--(AA3003&lt;&gt;AB3003))</x:f>
      </x:c>
      <x:c r="AE3003" t="str">
        <x:f>IF(OR(AA3003="",AB3003=""),"PENDING_HUMAN",IF(AA3003=AB3003,AA3003,IF(AD3003&lt;&gt;"",AD3003,"PENDING_HUMAN")))</x:f>
        <x:v>PENDING_HUMAN</x:v>
      </x:c>
      <x:c r="AF3003" t="n">
        <x:f>--AND(A3003&lt;&gt;"",AA3003&lt;&gt;"",AB3003&lt;&gt;"",OR(AA3003=AB3003,AD3003&lt;&gt;""),IF(AE3003="HALLUCINATION",U3003&lt;&gt;"",TRUE))</x:f>
        <x:v>0</x:v>
      </x:c>
      <x:c r="AG3003" t="n">
        <x:f>--AND(N3003=1,AF3003=1,OR(AE3003="SUPPORTED",AE3003="HALLUCINATION"))</x:f>
        <x:v>0</x:v>
      </x:c>
      <x:c r="AH3003" t="n">
        <x:f>--AND(AG3003=1,AE3003="HALLUCINATION")</x:f>
        <x:v>0</x:v>
      </x:c>
      <x:c r="AI3003" t="n">
        <x:f>--AND(Q3003=1,AF3003=1,AE3003="HALLUCINATION")</x:f>
        <x:v>0</x:v>
      </x:c>
      <x:c r="AJ3003" t="n">
        <x:f>--AND(AI3003=1,R3003=1,S3003=1)</x:f>
        <x:v>0</x:v>
      </x:c>
    </x:row>
  </x:sheetData>
  <x:mergeCells>
    <x:mergeCell ref="A1:Z1"/>
  </x:mergeCells>
  <x:dataValidations count="3">
    <x:dataValidation type="list" sqref="N4:N3003">
      <x:formula1>"0,1"</x:formula1>
    </x:dataValidation>
    <x:dataValidation type="list" sqref="O4:O3003">
      <x:formula1>"SUPPORTED,HALLUCINATION,NON_FACTUAL,UNCERTAIN"</x:formula1>
    </x:dataValidation>
    <x:dataValidation type="list" sqref="Q4:S3003">
      <x:formula1>"0,1"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afb87defb134d7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0" hidden="0" customWidth="1"/>
    <x:col min="3" max="3" width="12" hidden="0" customWidth="1"/>
    <x:col min="4" max="4" width="18" hidden="0" customWidth="1"/>
    <x:col min="5" max="5" width="20" hidden="0" customWidth="1"/>
    <x:col min="6" max="6" width="14" hidden="0" customWidth="1"/>
    <x:col min="7" max="7" width="20" hidden="0" customWidth="1"/>
    <x:col min="8" max="8" width="18" hidden="0" customWidth="1"/>
    <x:col min="9" max="9" width="22" hidden="0" customWidth="1"/>
    <x:col min="10" max="10" width="36" hidden="0" customWidth="1"/>
    <x:col min="11" max="11" width="18" hidden="0" customWidth="1"/>
    <x:col min="12" max="12" width="28" hidden="0" customWidth="1"/>
    <x:col min="13" max="13" width="18" hidden="0" customWidth="1"/>
    <x:col min="14" max="14" width="36" hidden="0" customWidth="1"/>
    <x:col min="15" max="15" width="40" hidden="0" customWidth="1"/>
    <x:col min="16" max="16" width="20" hidden="0" customWidth="1"/>
    <x:col min="17" max="17" width="16" hidden="0" customWidth="1"/>
    <x:col min="18" max="18" width="16" hidden="0" customWidth="1"/>
    <x:col min="19" max="19" width="10" hidden="0" customWidth="1"/>
    <x:col min="20" max="20" width="14" hidden="0" customWidth="1"/>
    <x:col min="21" max="21" width="14" hidden="0" customWidth="1"/>
    <x:col min="22" max="22" width="16" hidden="0" customWidth="1"/>
    <x:col min="23" max="23" width="16" hidden="0" customWidth="1"/>
    <x:col min="24" max="24" width="12" hidden="0" customWidth="1"/>
    <x:col min="25" max="25" width="22" hidden="0" customWidth="1"/>
    <x:col min="26" max="26" width="16" hidden="0" customWidth="1"/>
    <x:col min="27" max="27" width="16" hidden="0" customWidth="1"/>
    <x:col min="28" max="28" width="18" hidden="0" customWidth="1"/>
    <x:col min="29" max="29" width="16" hidden="0" customWidth="1"/>
    <x:col min="30" max="30" width="18" hidden="0" customWidth="1"/>
    <x:col min="31" max="31" width="12" hidden="0" customWidth="1"/>
    <x:col min="32" max="32" width="16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</x:cols>
  <x:sheetData>
    <x:row r="1" ht="28" customHeight="1">
      <x:c r="A1" s="5" t="str">
        <x:v>适配节点与R-03事务表｜适配准确率与原生适配失配率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</x:row>
    <x:row r="3" ht="30" customHeight="1">
      <x:c r="A3" s="20" t="str">
        <x:v>run_id</x:v>
      </x:c>
      <x:c r="B3" s="20" t="str">
        <x:v>seed_id</x:v>
      </x:c>
      <x:c r="C3" s="20" t="str">
        <x:v>case_id</x:v>
      </x:c>
      <x:c r="D3" s="20" t="str">
        <x:v>session_id</x:v>
      </x:c>
      <x:c r="E3" s="20" t="str">
        <x:v>adaptation_node_id</x:v>
      </x:c>
      <x:c r="F3" s="20" t="str">
        <x:v>node_type</x:v>
      </x:c>
      <x:c r="G3" s="20" t="str">
        <x:v>trigger_event_id</x:v>
      </x:c>
      <x:c r="H3" s="20" t="str">
        <x:v>trigger_event_type</x:v>
      </x:c>
      <x:c r="I3" s="20" t="str">
        <x:v>knowledge_point</x:v>
      </x:c>
      <x:c r="J3" s="20" t="str">
        <x:v>before_state_json</x:v>
      </x:c>
      <x:c r="K3" s="20" t="str">
        <x:v>expected_action</x:v>
      </x:c>
      <x:c r="L3" s="20" t="str">
        <x:v>acceptable_actions</x:v>
      </x:c>
      <x:c r="M3" s="20" t="str">
        <x:v>actual_action</x:v>
      </x:c>
      <x:c r="N3" s="20" t="str">
        <x:v>after_state_json</x:v>
      </x:c>
      <x:c r="O3" s="20" t="str">
        <x:v>decision_reason</x:v>
      </x:c>
      <x:c r="P3" s="20" t="str">
        <x:v>downstream_artifact_id</x:v>
      </x:c>
      <x:c r="Q3" s="20" t="str">
        <x:v>expected_downstream_difficulty</x:v>
      </x:c>
      <x:c r="R3" s="20" t="str">
        <x:v>actual_downstream_difficulty</x:v>
      </x:c>
      <x:c r="S3" s="20" t="str">
        <x:v>due_node</x:v>
      </x:c>
      <x:c r="T3" s="20" t="str">
        <x:v>trigger_binding_valid</x:v>
      </x:c>
      <x:c r="U3" s="20" t="str">
        <x:v>action_gold_match</x:v>
      </x:c>
      <x:c r="V3" s="20" t="str">
        <x:v>after_state_consistent</x:v>
      </x:c>
      <x:c r="W3" s="20" t="str">
        <x:v>downstream_executed</x:v>
      </x:c>
      <x:c r="X3" s="20" t="str">
        <x:v>action_success</x:v>
      </x:c>
      <x:c r="Y3" s="20" t="str">
        <x:v>first_gen_transaction_id</x:v>
      </x:c>
      <x:c r="Z3" s="20" t="str">
        <x:v>r03_reviewed_first_gen</x:v>
      </x:c>
      <x:c r="AA3" s="20" t="str">
        <x:v>r03_rejected_first_gen</x:v>
      </x:c>
      <x:c r="AB3" s="20" t="str">
        <x:v>auto_preliminary_mismatch</x:v>
      </x:c>
      <x:c r="AC3" s="20" t="str">
        <x:v>r03_repair_approved</x:v>
      </x:c>
      <x:c r="AD3" s="20" t="str">
        <x:v>final_residual_mismatch</x:v>
      </x:c>
      <x:c r="AE3" s="20" t="str">
        <x:v>non_keep</x:v>
      </x:c>
      <x:c r="AF3" s="20" t="str">
        <x:v>adjudicator</x:v>
      </x:c>
      <x:c r="AG3" s="69" t="str">
        <x:v>effective_adaptation</x:v>
      </x:c>
      <x:c r="AH3" s="69" t="str">
        <x:v>reviewer_a_mismatch</x:v>
      </x:c>
      <x:c r="AI3" s="69" t="str">
        <x:v>reviewer_b_mismatch</x:v>
      </x:c>
      <x:c r="AJ3" s="69" t="str">
        <x:v>review_disagreement</x:v>
      </x:c>
      <x:c r="AK3" s="69" t="str">
        <x:v>adjudicator_mismatch</x:v>
      </x:c>
      <x:c r="AL3" s="69" t="str">
        <x:v>final_human_mismatch</x:v>
      </x:c>
      <x:c r="AM3" s="69" t="str">
        <x:v>human_review_complete</x:v>
      </x:c>
      <x:c r="AN3" s="69" t="str">
        <x:v>transaction_first</x:v>
      </x:c>
      <x:c r="AO3" s="69" t="str">
        <x:v>final_r03_denominator</x:v>
      </x:c>
      <x:c r="AP3" s="69" t="str">
        <x:v>final_mismatch_numerator</x:v>
      </x:c>
      <x:c r="AQ3" s="69" t="str">
        <x:v>auto_r03_denominator</x:v>
      </x:c>
      <x:c r="AR3" s="69" t="str">
        <x:v>auto_mismatch_numerator</x:v>
      </x:c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  <x:c r="S4" s="28"/>
      <x:c r="T4" s="28"/>
      <x:c r="U4" s="28"/>
      <x:c r="V4" s="28"/>
      <x:c r="W4" s="28"/>
      <x:c r="X4" s="43" t="n">
        <x:f>--AND(S4=1,T4=1,U4=1,V4=1,W4=1)</x:f>
        <x:v>0</x:v>
      </x:c>
      <x:c r="AE4" s="43" t="n">
        <x:f>--AND(S4=1,M4&lt;&gt;"",M4&lt;&gt;"keep")</x:f>
        <x:v>0</x:v>
      </x:c>
      <x:c r="AG4" t="n">
        <x:f>--AND(S4=1,T4=1,U4=1,V4=1,W4=1,AE4=1)</x:f>
        <x:v>0</x:v>
      </x:c>
      <x:c r="AJ4" t="str">
        <x:f>IF(OR(AH4="",AI4=""),"",--(AH4&lt;&gt;AI4))</x:f>
      </x:c>
      <x:c r="AL4" t="str">
        <x:f>IF(OR(AH4="",AI4=""),"PENDING_HUMAN",IF(AH4=AI4,AH4,IF(AK4&lt;&gt;"",AK4,"PENDING_HUMAN")))</x:f>
        <x:v>PENDING_HUMAN</x:v>
      </x:c>
      <x:c r="AM4" t="n">
        <x:f>--AND(A4&lt;&gt;"",AH4&lt;&gt;"",AI4&lt;&gt;"",OR(AH4=AI4,AK4&lt;&gt;""))</x:f>
        <x:v>0</x:v>
      </x:c>
      <x:c r="AN4" t="n">
        <x:f>--AND(Y4&lt;&gt;"",COUNTIF($Y$4:Y4,Y4)=1)</x:f>
        <x:v>0</x:v>
      </x:c>
      <x:c r="AO4" t="n">
        <x:f>--AND(AN4=1,Z4=1,AM4=1)</x:f>
        <x:v>0</x:v>
      </x:c>
      <x:c r="AP4" t="n">
        <x:f>--AND(AO4=1,AA4=1,AL4=1)</x:f>
        <x:v>0</x:v>
      </x:c>
      <x:c r="AQ4" t="n">
        <x:f>--AND(AN4=1,Z4=1)</x:f>
        <x:v>0</x:v>
      </x:c>
      <x:c r="AR4" t="n">
        <x:f>--AND(AQ4=1,AA4=1)</x:f>
        <x:v>0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  <x:c r="S5" s="28"/>
      <x:c r="T5" s="28"/>
      <x:c r="U5" s="28"/>
      <x:c r="V5" s="28"/>
      <x:c r="W5" s="28"/>
      <x:c r="X5" s="43" t="n">
        <x:f>--AND(S5=1,T5=1,U5=1,V5=1,W5=1)</x:f>
        <x:v>0</x:v>
      </x:c>
      <x:c r="AE5" s="43" t="n">
        <x:f>--AND(S5=1,M5&lt;&gt;"",M5&lt;&gt;"keep")</x:f>
        <x:v>0</x:v>
      </x:c>
      <x:c r="AG5" t="n">
        <x:f>--AND(S5=1,T5=1,U5=1,V5=1,W5=1,AE5=1)</x:f>
        <x:v>0</x:v>
      </x:c>
      <x:c r="AJ5" t="str">
        <x:f>IF(OR(AH5="",AI5=""),"",--(AH5&lt;&gt;AI5))</x:f>
      </x:c>
      <x:c r="AL5" t="str">
        <x:f>IF(OR(AH5="",AI5=""),"PENDING_HUMAN",IF(AH5=AI5,AH5,IF(AK5&lt;&gt;"",AK5,"PENDING_HUMAN")))</x:f>
        <x:v>PENDING_HUMAN</x:v>
      </x:c>
      <x:c r="AM5" t="n">
        <x:f>--AND(A5&lt;&gt;"",AH5&lt;&gt;"",AI5&lt;&gt;"",OR(AH5=AI5,AK5&lt;&gt;""))</x:f>
        <x:v>0</x:v>
      </x:c>
      <x:c r="AN5" t="n">
        <x:f>--AND(Y5&lt;&gt;"",COUNTIF($Y$4:Y5,Y5)=1)</x:f>
        <x:v>0</x:v>
      </x:c>
      <x:c r="AO5" t="n">
        <x:f>--AND(AN5=1,Z5=1,AM5=1)</x:f>
        <x:v>0</x:v>
      </x:c>
      <x:c r="AP5" t="n">
        <x:f>--AND(AO5=1,AA5=1,AL5=1)</x:f>
        <x:v>0</x:v>
      </x:c>
      <x:c r="AQ5" t="n">
        <x:f>--AND(AN5=1,Z5=1)</x:f>
        <x:v>0</x:v>
      </x:c>
      <x:c r="AR5" t="n">
        <x:f>--AND(AQ5=1,AA5=1)</x:f>
        <x:v>0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  <x:c r="S6" s="28"/>
      <x:c r="T6" s="28"/>
      <x:c r="U6" s="28"/>
      <x:c r="V6" s="28"/>
      <x:c r="W6" s="28"/>
      <x:c r="X6" s="43" t="n">
        <x:f>--AND(S6=1,T6=1,U6=1,V6=1,W6=1)</x:f>
        <x:v>0</x:v>
      </x:c>
      <x:c r="AE6" s="43" t="n">
        <x:f>--AND(S6=1,M6&lt;&gt;"",M6&lt;&gt;"keep")</x:f>
        <x:v>0</x:v>
      </x:c>
      <x:c r="AG6" t="n">
        <x:f>--AND(S6=1,T6=1,U6=1,V6=1,W6=1,AE6=1)</x:f>
        <x:v>0</x:v>
      </x:c>
      <x:c r="AJ6" t="str">
        <x:f>IF(OR(AH6="",AI6=""),"",--(AH6&lt;&gt;AI6))</x:f>
      </x:c>
      <x:c r="AL6" t="str">
        <x:f>IF(OR(AH6="",AI6=""),"PENDING_HUMAN",IF(AH6=AI6,AH6,IF(AK6&lt;&gt;"",AK6,"PENDING_HUMAN")))</x:f>
        <x:v>PENDING_HUMAN</x:v>
      </x:c>
      <x:c r="AM6" t="n">
        <x:f>--AND(A6&lt;&gt;"",AH6&lt;&gt;"",AI6&lt;&gt;"",OR(AH6=AI6,AK6&lt;&gt;""))</x:f>
        <x:v>0</x:v>
      </x:c>
      <x:c r="AN6" t="n">
        <x:f>--AND(Y6&lt;&gt;"",COUNTIF($Y$4:Y6,Y6)=1)</x:f>
        <x:v>0</x:v>
      </x:c>
      <x:c r="AO6" t="n">
        <x:f>--AND(AN6=1,Z6=1,AM6=1)</x:f>
        <x:v>0</x:v>
      </x:c>
      <x:c r="AP6" t="n">
        <x:f>--AND(AO6=1,AA6=1,AL6=1)</x:f>
        <x:v>0</x:v>
      </x:c>
      <x:c r="AQ6" t="n">
        <x:f>--AND(AN6=1,Z6=1)</x:f>
        <x:v>0</x:v>
      </x:c>
      <x:c r="AR6" t="n">
        <x:f>--AND(AQ6=1,AA6=1)</x:f>
        <x:v>0</x:v>
      </x:c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  <x:c r="S7" s="28"/>
      <x:c r="T7" s="28"/>
      <x:c r="U7" s="28"/>
      <x:c r="V7" s="28"/>
      <x:c r="W7" s="28"/>
      <x:c r="X7" s="43" t="n">
        <x:f>--AND(S7=1,T7=1,U7=1,V7=1,W7=1)</x:f>
        <x:v>0</x:v>
      </x:c>
      <x:c r="AE7" s="43" t="n">
        <x:f>--AND(S7=1,M7&lt;&gt;"",M7&lt;&gt;"keep")</x:f>
        <x:v>0</x:v>
      </x:c>
      <x:c r="AG7" t="n">
        <x:f>--AND(S7=1,T7=1,U7=1,V7=1,W7=1,AE7=1)</x:f>
        <x:v>0</x:v>
      </x:c>
      <x:c r="AJ7" t="str">
        <x:f>IF(OR(AH7="",AI7=""),"",--(AH7&lt;&gt;AI7))</x:f>
      </x:c>
      <x:c r="AL7" t="str">
        <x:f>IF(OR(AH7="",AI7=""),"PENDING_HUMAN",IF(AH7=AI7,AH7,IF(AK7&lt;&gt;"",AK7,"PENDING_HUMAN")))</x:f>
        <x:v>PENDING_HUMAN</x:v>
      </x:c>
      <x:c r="AM7" t="n">
        <x:f>--AND(A7&lt;&gt;"",AH7&lt;&gt;"",AI7&lt;&gt;"",OR(AH7=AI7,AK7&lt;&gt;""))</x:f>
        <x:v>0</x:v>
      </x:c>
      <x:c r="AN7" t="n">
        <x:f>--AND(Y7&lt;&gt;"",COUNTIF($Y$4:Y7,Y7)=1)</x:f>
        <x:v>0</x:v>
      </x:c>
      <x:c r="AO7" t="n">
        <x:f>--AND(AN7=1,Z7=1,AM7=1)</x:f>
        <x:v>0</x:v>
      </x:c>
      <x:c r="AP7" t="n">
        <x:f>--AND(AO7=1,AA7=1,AL7=1)</x:f>
        <x:v>0</x:v>
      </x:c>
      <x:c r="AQ7" t="n">
        <x:f>--AND(AN7=1,Z7=1)</x:f>
        <x:v>0</x:v>
      </x:c>
      <x:c r="AR7" t="n">
        <x:f>--AND(AQ7=1,AA7=1)</x:f>
        <x:v>0</x:v>
      </x:c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  <x:c r="S8" s="28"/>
      <x:c r="T8" s="28"/>
      <x:c r="U8" s="28"/>
      <x:c r="V8" s="28"/>
      <x:c r="W8" s="28"/>
      <x:c r="X8" s="43" t="n">
        <x:f>--AND(S8=1,T8=1,U8=1,V8=1,W8=1)</x:f>
        <x:v>0</x:v>
      </x:c>
      <x:c r="AE8" s="43" t="n">
        <x:f>--AND(S8=1,M8&lt;&gt;"",M8&lt;&gt;"keep")</x:f>
        <x:v>0</x:v>
      </x:c>
      <x:c r="AG8" t="n">
        <x:f>--AND(S8=1,T8=1,U8=1,V8=1,W8=1,AE8=1)</x:f>
        <x:v>0</x:v>
      </x:c>
      <x:c r="AJ8" t="str">
        <x:f>IF(OR(AH8="",AI8=""),"",--(AH8&lt;&gt;AI8))</x:f>
      </x:c>
      <x:c r="AL8" t="str">
        <x:f>IF(OR(AH8="",AI8=""),"PENDING_HUMAN",IF(AH8=AI8,AH8,IF(AK8&lt;&gt;"",AK8,"PENDING_HUMAN")))</x:f>
        <x:v>PENDING_HUMAN</x:v>
      </x:c>
      <x:c r="AM8" t="n">
        <x:f>--AND(A8&lt;&gt;"",AH8&lt;&gt;"",AI8&lt;&gt;"",OR(AH8=AI8,AK8&lt;&gt;""))</x:f>
        <x:v>0</x:v>
      </x:c>
      <x:c r="AN8" t="n">
        <x:f>--AND(Y8&lt;&gt;"",COUNTIF($Y$4:Y8,Y8)=1)</x:f>
        <x:v>0</x:v>
      </x:c>
      <x:c r="AO8" t="n">
        <x:f>--AND(AN8=1,Z8=1,AM8=1)</x:f>
        <x:v>0</x:v>
      </x:c>
      <x:c r="AP8" t="n">
        <x:f>--AND(AO8=1,AA8=1,AL8=1)</x:f>
        <x:v>0</x:v>
      </x:c>
      <x:c r="AQ8" t="n">
        <x:f>--AND(AN8=1,Z8=1)</x:f>
        <x:v>0</x:v>
      </x:c>
      <x:c r="AR8" t="n">
        <x:f>--AND(AQ8=1,AA8=1)</x:f>
        <x:v>0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  <x:c r="S9" s="28"/>
      <x:c r="T9" s="28"/>
      <x:c r="U9" s="28"/>
      <x:c r="V9" s="28"/>
      <x:c r="W9" s="28"/>
      <x:c r="X9" s="43" t="n">
        <x:f>--AND(S9=1,T9=1,U9=1,V9=1,W9=1)</x:f>
        <x:v>0</x:v>
      </x:c>
      <x:c r="AE9" s="43" t="n">
        <x:f>--AND(S9=1,M9&lt;&gt;"",M9&lt;&gt;"keep")</x:f>
        <x:v>0</x:v>
      </x:c>
      <x:c r="AG9" t="n">
        <x:f>--AND(S9=1,T9=1,U9=1,V9=1,W9=1,AE9=1)</x:f>
        <x:v>0</x:v>
      </x:c>
      <x:c r="AJ9" t="str">
        <x:f>IF(OR(AH9="",AI9=""),"",--(AH9&lt;&gt;AI9))</x:f>
      </x:c>
      <x:c r="AL9" t="str">
        <x:f>IF(OR(AH9="",AI9=""),"PENDING_HUMAN",IF(AH9=AI9,AH9,IF(AK9&lt;&gt;"",AK9,"PENDING_HUMAN")))</x:f>
        <x:v>PENDING_HUMAN</x:v>
      </x:c>
      <x:c r="AM9" t="n">
        <x:f>--AND(A9&lt;&gt;"",AH9&lt;&gt;"",AI9&lt;&gt;"",OR(AH9=AI9,AK9&lt;&gt;""))</x:f>
        <x:v>0</x:v>
      </x:c>
      <x:c r="AN9" t="n">
        <x:f>--AND(Y9&lt;&gt;"",COUNTIF($Y$4:Y9,Y9)=1)</x:f>
        <x:v>0</x:v>
      </x:c>
      <x:c r="AO9" t="n">
        <x:f>--AND(AN9=1,Z9=1,AM9=1)</x:f>
        <x:v>0</x:v>
      </x:c>
      <x:c r="AP9" t="n">
        <x:f>--AND(AO9=1,AA9=1,AL9=1)</x:f>
        <x:v>0</x:v>
      </x:c>
      <x:c r="AQ9" t="n">
        <x:f>--AND(AN9=1,Z9=1)</x:f>
        <x:v>0</x:v>
      </x:c>
      <x:c r="AR9" t="n">
        <x:f>--AND(AQ9=1,AA9=1)</x:f>
        <x:v>0</x:v>
      </x:c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  <x:c r="S10" s="28"/>
      <x:c r="T10" s="28"/>
      <x:c r="U10" s="28"/>
      <x:c r="V10" s="28"/>
      <x:c r="W10" s="28"/>
      <x:c r="X10" s="43" t="n">
        <x:f>--AND(S10=1,T10=1,U10=1,V10=1,W10=1)</x:f>
        <x:v>0</x:v>
      </x:c>
      <x:c r="AE10" s="43" t="n">
        <x:f>--AND(S10=1,M10&lt;&gt;"",M10&lt;&gt;"keep")</x:f>
        <x:v>0</x:v>
      </x:c>
      <x:c r="AG10" t="n">
        <x:f>--AND(S10=1,T10=1,U10=1,V10=1,W10=1,AE10=1)</x:f>
        <x:v>0</x:v>
      </x:c>
      <x:c r="AJ10" t="str">
        <x:f>IF(OR(AH10="",AI10=""),"",--(AH10&lt;&gt;AI10))</x:f>
      </x:c>
      <x:c r="AL10" t="str">
        <x:f>IF(OR(AH10="",AI10=""),"PENDING_HUMAN",IF(AH10=AI10,AH10,IF(AK10&lt;&gt;"",AK10,"PENDING_HUMAN")))</x:f>
        <x:v>PENDING_HUMAN</x:v>
      </x:c>
      <x:c r="AM10" t="n">
        <x:f>--AND(A10&lt;&gt;"",AH10&lt;&gt;"",AI10&lt;&gt;"",OR(AH10=AI10,AK10&lt;&gt;""))</x:f>
        <x:v>0</x:v>
      </x:c>
      <x:c r="AN10" t="n">
        <x:f>--AND(Y10&lt;&gt;"",COUNTIF($Y$4:Y10,Y10)=1)</x:f>
        <x:v>0</x:v>
      </x:c>
      <x:c r="AO10" t="n">
        <x:f>--AND(AN10=1,Z10=1,AM10=1)</x:f>
        <x:v>0</x:v>
      </x:c>
      <x:c r="AP10" t="n">
        <x:f>--AND(AO10=1,AA10=1,AL10=1)</x:f>
        <x:v>0</x:v>
      </x:c>
      <x:c r="AQ10" t="n">
        <x:f>--AND(AN10=1,Z10=1)</x:f>
        <x:v>0</x:v>
      </x:c>
      <x:c r="AR10" t="n">
        <x:f>--AND(AQ10=1,AA10=1)</x:f>
        <x:v>0</x:v>
      </x:c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  <x:c r="S11" s="28"/>
      <x:c r="T11" s="28"/>
      <x:c r="U11" s="28"/>
      <x:c r="V11" s="28"/>
      <x:c r="W11" s="28"/>
      <x:c r="X11" s="43" t="n">
        <x:f>--AND(S11=1,T11=1,U11=1,V11=1,W11=1)</x:f>
        <x:v>0</x:v>
      </x:c>
      <x:c r="AE11" s="43" t="n">
        <x:f>--AND(S11=1,M11&lt;&gt;"",M11&lt;&gt;"keep")</x:f>
        <x:v>0</x:v>
      </x:c>
      <x:c r="AG11" t="n">
        <x:f>--AND(S11=1,T11=1,U11=1,V11=1,W11=1,AE11=1)</x:f>
        <x:v>0</x:v>
      </x:c>
      <x:c r="AJ11" t="str">
        <x:f>IF(OR(AH11="",AI11=""),"",--(AH11&lt;&gt;AI11))</x:f>
      </x:c>
      <x:c r="AL11" t="str">
        <x:f>IF(OR(AH11="",AI11=""),"PENDING_HUMAN",IF(AH11=AI11,AH11,IF(AK11&lt;&gt;"",AK11,"PENDING_HUMAN")))</x:f>
        <x:v>PENDING_HUMAN</x:v>
      </x:c>
      <x:c r="AM11" t="n">
        <x:f>--AND(A11&lt;&gt;"",AH11&lt;&gt;"",AI11&lt;&gt;"",OR(AH11=AI11,AK11&lt;&gt;""))</x:f>
        <x:v>0</x:v>
      </x:c>
      <x:c r="AN11" t="n">
        <x:f>--AND(Y11&lt;&gt;"",COUNTIF($Y$4:Y11,Y11)=1)</x:f>
        <x:v>0</x:v>
      </x:c>
      <x:c r="AO11" t="n">
        <x:f>--AND(AN11=1,Z11=1,AM11=1)</x:f>
        <x:v>0</x:v>
      </x:c>
      <x:c r="AP11" t="n">
        <x:f>--AND(AO11=1,AA11=1,AL11=1)</x:f>
        <x:v>0</x:v>
      </x:c>
      <x:c r="AQ11" t="n">
        <x:f>--AND(AN11=1,Z11=1)</x:f>
        <x:v>0</x:v>
      </x:c>
      <x:c r="AR11" t="n">
        <x:f>--AND(AQ11=1,AA11=1)</x:f>
        <x:v>0</x:v>
      </x:c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  <x:c r="S12" s="28"/>
      <x:c r="T12" s="28"/>
      <x:c r="U12" s="28"/>
      <x:c r="V12" s="28"/>
      <x:c r="W12" s="28"/>
      <x:c r="X12" s="43" t="n">
        <x:f>--AND(S12=1,T12=1,U12=1,V12=1,W12=1)</x:f>
        <x:v>0</x:v>
      </x:c>
      <x:c r="AE12" s="43" t="n">
        <x:f>--AND(S12=1,M12&lt;&gt;"",M12&lt;&gt;"keep")</x:f>
        <x:v>0</x:v>
      </x:c>
      <x:c r="AG12" t="n">
        <x:f>--AND(S12=1,T12=1,U12=1,V12=1,W12=1,AE12=1)</x:f>
        <x:v>0</x:v>
      </x:c>
      <x:c r="AJ12" t="str">
        <x:f>IF(OR(AH12="",AI12=""),"",--(AH12&lt;&gt;AI12))</x:f>
      </x:c>
      <x:c r="AL12" t="str">
        <x:f>IF(OR(AH12="",AI12=""),"PENDING_HUMAN",IF(AH12=AI12,AH12,IF(AK12&lt;&gt;"",AK12,"PENDING_HUMAN")))</x:f>
        <x:v>PENDING_HUMAN</x:v>
      </x:c>
      <x:c r="AM12" t="n">
        <x:f>--AND(A12&lt;&gt;"",AH12&lt;&gt;"",AI12&lt;&gt;"",OR(AH12=AI12,AK12&lt;&gt;""))</x:f>
        <x:v>0</x:v>
      </x:c>
      <x:c r="AN12" t="n">
        <x:f>--AND(Y12&lt;&gt;"",COUNTIF($Y$4:Y12,Y12)=1)</x:f>
        <x:v>0</x:v>
      </x:c>
      <x:c r="AO12" t="n">
        <x:f>--AND(AN12=1,Z12=1,AM12=1)</x:f>
        <x:v>0</x:v>
      </x:c>
      <x:c r="AP12" t="n">
        <x:f>--AND(AO12=1,AA12=1,AL12=1)</x:f>
        <x:v>0</x:v>
      </x:c>
      <x:c r="AQ12" t="n">
        <x:f>--AND(AN12=1,Z12=1)</x:f>
        <x:v>0</x:v>
      </x:c>
      <x:c r="AR12" t="n">
        <x:f>--AND(AQ12=1,AA12=1)</x:f>
        <x:v>0</x:v>
      </x:c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  <x:c r="S13" s="28"/>
      <x:c r="T13" s="28"/>
      <x:c r="U13" s="28"/>
      <x:c r="V13" s="28"/>
      <x:c r="W13" s="28"/>
      <x:c r="X13" s="43" t="n">
        <x:f>--AND(S13=1,T13=1,U13=1,V13=1,W13=1)</x:f>
        <x:v>0</x:v>
      </x:c>
      <x:c r="AE13" s="43" t="n">
        <x:f>--AND(S13=1,M13&lt;&gt;"",M13&lt;&gt;"keep")</x:f>
        <x:v>0</x:v>
      </x:c>
      <x:c r="AG13" t="n">
        <x:f>--AND(S13=1,T13=1,U13=1,V13=1,W13=1,AE13=1)</x:f>
        <x:v>0</x:v>
      </x:c>
      <x:c r="AJ13" t="str">
        <x:f>IF(OR(AH13="",AI13=""),"",--(AH13&lt;&gt;AI13))</x:f>
      </x:c>
      <x:c r="AL13" t="str">
        <x:f>IF(OR(AH13="",AI13=""),"PENDING_HUMAN",IF(AH13=AI13,AH13,IF(AK13&lt;&gt;"",AK13,"PENDING_HUMAN")))</x:f>
        <x:v>PENDING_HUMAN</x:v>
      </x:c>
      <x:c r="AM13" t="n">
        <x:f>--AND(A13&lt;&gt;"",AH13&lt;&gt;"",AI13&lt;&gt;"",OR(AH13=AI13,AK13&lt;&gt;""))</x:f>
        <x:v>0</x:v>
      </x:c>
      <x:c r="AN13" t="n">
        <x:f>--AND(Y13&lt;&gt;"",COUNTIF($Y$4:Y13,Y13)=1)</x:f>
        <x:v>0</x:v>
      </x:c>
      <x:c r="AO13" t="n">
        <x:f>--AND(AN13=1,Z13=1,AM13=1)</x:f>
        <x:v>0</x:v>
      </x:c>
      <x:c r="AP13" t="n">
        <x:f>--AND(AO13=1,AA13=1,AL13=1)</x:f>
        <x:v>0</x:v>
      </x:c>
      <x:c r="AQ13" t="n">
        <x:f>--AND(AN13=1,Z13=1)</x:f>
        <x:v>0</x:v>
      </x:c>
      <x:c r="AR13" t="n">
        <x:f>--AND(AQ13=1,AA13=1)</x:f>
        <x:v>0</x:v>
      </x:c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  <x:c r="S14" s="28"/>
      <x:c r="T14" s="28"/>
      <x:c r="U14" s="28"/>
      <x:c r="V14" s="28"/>
      <x:c r="W14" s="28"/>
      <x:c r="X14" s="43" t="n">
        <x:f>--AND(S14=1,T14=1,U14=1,V14=1,W14=1)</x:f>
        <x:v>0</x:v>
      </x:c>
      <x:c r="AE14" s="43" t="n">
        <x:f>--AND(S14=1,M14&lt;&gt;"",M14&lt;&gt;"keep")</x:f>
        <x:v>0</x:v>
      </x:c>
      <x:c r="AG14" t="n">
        <x:f>--AND(S14=1,T14=1,U14=1,V14=1,W14=1,AE14=1)</x:f>
        <x:v>0</x:v>
      </x:c>
      <x:c r="AJ14" t="str">
        <x:f>IF(OR(AH14="",AI14=""),"",--(AH14&lt;&gt;AI14))</x:f>
      </x:c>
      <x:c r="AL14" t="str">
        <x:f>IF(OR(AH14="",AI14=""),"PENDING_HUMAN",IF(AH14=AI14,AH14,IF(AK14&lt;&gt;"",AK14,"PENDING_HUMAN")))</x:f>
        <x:v>PENDING_HUMAN</x:v>
      </x:c>
      <x:c r="AM14" t="n">
        <x:f>--AND(A14&lt;&gt;"",AH14&lt;&gt;"",AI14&lt;&gt;"",OR(AH14=AI14,AK14&lt;&gt;""))</x:f>
        <x:v>0</x:v>
      </x:c>
      <x:c r="AN14" t="n">
        <x:f>--AND(Y14&lt;&gt;"",COUNTIF($Y$4:Y14,Y14)=1)</x:f>
        <x:v>0</x:v>
      </x:c>
      <x:c r="AO14" t="n">
        <x:f>--AND(AN14=1,Z14=1,AM14=1)</x:f>
        <x:v>0</x:v>
      </x:c>
      <x:c r="AP14" t="n">
        <x:f>--AND(AO14=1,AA14=1,AL14=1)</x:f>
        <x:v>0</x:v>
      </x:c>
      <x:c r="AQ14" t="n">
        <x:f>--AND(AN14=1,Z14=1)</x:f>
        <x:v>0</x:v>
      </x:c>
      <x:c r="AR14" t="n">
        <x:f>--AND(AQ14=1,AA14=1)</x:f>
        <x:v>0</x:v>
      </x:c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  <x:c r="S15" s="28"/>
      <x:c r="T15" s="28"/>
      <x:c r="U15" s="28"/>
      <x:c r="V15" s="28"/>
      <x:c r="W15" s="28"/>
      <x:c r="X15" s="43" t="n">
        <x:f>--AND(S15=1,T15=1,U15=1,V15=1,W15=1)</x:f>
        <x:v>0</x:v>
      </x:c>
      <x:c r="AE15" s="43" t="n">
        <x:f>--AND(S15=1,M15&lt;&gt;"",M15&lt;&gt;"keep")</x:f>
        <x:v>0</x:v>
      </x:c>
      <x:c r="AG15" t="n">
        <x:f>--AND(S15=1,T15=1,U15=1,V15=1,W15=1,AE15=1)</x:f>
        <x:v>0</x:v>
      </x:c>
      <x:c r="AJ15" t="str">
        <x:f>IF(OR(AH15="",AI15=""),"",--(AH15&lt;&gt;AI15))</x:f>
      </x:c>
      <x:c r="AL15" t="str">
        <x:f>IF(OR(AH15="",AI15=""),"PENDING_HUMAN",IF(AH15=AI15,AH15,IF(AK15&lt;&gt;"",AK15,"PENDING_HUMAN")))</x:f>
        <x:v>PENDING_HUMAN</x:v>
      </x:c>
      <x:c r="AM15" t="n">
        <x:f>--AND(A15&lt;&gt;"",AH15&lt;&gt;"",AI15&lt;&gt;"",OR(AH15=AI15,AK15&lt;&gt;""))</x:f>
        <x:v>0</x:v>
      </x:c>
      <x:c r="AN15" t="n">
        <x:f>--AND(Y15&lt;&gt;"",COUNTIF($Y$4:Y15,Y15)=1)</x:f>
        <x:v>0</x:v>
      </x:c>
      <x:c r="AO15" t="n">
        <x:f>--AND(AN15=1,Z15=1,AM15=1)</x:f>
        <x:v>0</x:v>
      </x:c>
      <x:c r="AP15" t="n">
        <x:f>--AND(AO15=1,AA15=1,AL15=1)</x:f>
        <x:v>0</x:v>
      </x:c>
      <x:c r="AQ15" t="n">
        <x:f>--AND(AN15=1,Z15=1)</x:f>
        <x:v>0</x:v>
      </x:c>
      <x:c r="AR15" t="n">
        <x:f>--AND(AQ15=1,AA15=1)</x:f>
        <x:v>0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43" t="n">
        <x:f>--AND(S16=1,T16=1,U16=1,V16=1,W16=1)</x:f>
        <x:v>0</x:v>
      </x:c>
      <x:c r="AE16" s="43" t="n">
        <x:f>--AND(S16=1,M16&lt;&gt;"",M16&lt;&gt;"keep")</x:f>
        <x:v>0</x:v>
      </x:c>
      <x:c r="AG16" t="n">
        <x:f>--AND(S16=1,T16=1,U16=1,V16=1,W16=1,AE16=1)</x:f>
        <x:v>0</x:v>
      </x:c>
      <x:c r="AJ16" t="str">
        <x:f>IF(OR(AH16="",AI16=""),"",--(AH16&lt;&gt;AI16))</x:f>
      </x:c>
      <x:c r="AL16" t="str">
        <x:f>IF(OR(AH16="",AI16=""),"PENDING_HUMAN",IF(AH16=AI16,AH16,IF(AK16&lt;&gt;"",AK16,"PENDING_HUMAN")))</x:f>
        <x:v>PENDING_HUMAN</x:v>
      </x:c>
      <x:c r="AM16" t="n">
        <x:f>--AND(A16&lt;&gt;"",AH16&lt;&gt;"",AI16&lt;&gt;"",OR(AH16=AI16,AK16&lt;&gt;""))</x:f>
        <x:v>0</x:v>
      </x:c>
      <x:c r="AN16" t="n">
        <x:f>--AND(Y16&lt;&gt;"",COUNTIF($Y$4:Y16,Y16)=1)</x:f>
        <x:v>0</x:v>
      </x:c>
      <x:c r="AO16" t="n">
        <x:f>--AND(AN16=1,Z16=1,AM16=1)</x:f>
        <x:v>0</x:v>
      </x:c>
      <x:c r="AP16" t="n">
        <x:f>--AND(AO16=1,AA16=1,AL16=1)</x:f>
        <x:v>0</x:v>
      </x:c>
      <x:c r="AQ16" t="n">
        <x:f>--AND(AN16=1,Z16=1)</x:f>
        <x:v>0</x:v>
      </x:c>
      <x:c r="AR16" t="n">
        <x:f>--AND(AQ16=1,AA16=1)</x:f>
        <x:v>0</x:v>
      </x:c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43" t="n">
        <x:f>--AND(S17=1,T17=1,U17=1,V17=1,W17=1)</x:f>
        <x:v>0</x:v>
      </x:c>
      <x:c r="AE17" s="43" t="n">
        <x:f>--AND(S17=1,M17&lt;&gt;"",M17&lt;&gt;"keep")</x:f>
        <x:v>0</x:v>
      </x:c>
      <x:c r="AG17" t="n">
        <x:f>--AND(S17=1,T17=1,U17=1,V17=1,W17=1,AE17=1)</x:f>
        <x:v>0</x:v>
      </x:c>
      <x:c r="AJ17" t="str">
        <x:f>IF(OR(AH17="",AI17=""),"",--(AH17&lt;&gt;AI17))</x:f>
      </x:c>
      <x:c r="AL17" t="str">
        <x:f>IF(OR(AH17="",AI17=""),"PENDING_HUMAN",IF(AH17=AI17,AH17,IF(AK17&lt;&gt;"",AK17,"PENDING_HUMAN")))</x:f>
        <x:v>PENDING_HUMAN</x:v>
      </x:c>
      <x:c r="AM17" t="n">
        <x:f>--AND(A17&lt;&gt;"",AH17&lt;&gt;"",AI17&lt;&gt;"",OR(AH17=AI17,AK17&lt;&gt;""))</x:f>
        <x:v>0</x:v>
      </x:c>
      <x:c r="AN17" t="n">
        <x:f>--AND(Y17&lt;&gt;"",COUNTIF($Y$4:Y17,Y17)=1)</x:f>
        <x:v>0</x:v>
      </x:c>
      <x:c r="AO17" t="n">
        <x:f>--AND(AN17=1,Z17=1,AM17=1)</x:f>
        <x:v>0</x:v>
      </x:c>
      <x:c r="AP17" t="n">
        <x:f>--AND(AO17=1,AA17=1,AL17=1)</x:f>
        <x:v>0</x:v>
      </x:c>
      <x:c r="AQ17" t="n">
        <x:f>--AND(AN17=1,Z17=1)</x:f>
        <x:v>0</x:v>
      </x:c>
      <x:c r="AR17" t="n">
        <x:f>--AND(AQ17=1,AA17=1)</x:f>
        <x:v>0</x:v>
      </x:c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  <x:c r="S18" s="28"/>
      <x:c r="T18" s="28"/>
      <x:c r="U18" s="28"/>
      <x:c r="V18" s="28"/>
      <x:c r="W18" s="28"/>
      <x:c r="X18" s="43" t="n">
        <x:f>--AND(S18=1,T18=1,U18=1,V18=1,W18=1)</x:f>
        <x:v>0</x:v>
      </x:c>
      <x:c r="AE18" s="43" t="n">
        <x:f>--AND(S18=1,M18&lt;&gt;"",M18&lt;&gt;"keep")</x:f>
        <x:v>0</x:v>
      </x:c>
      <x:c r="AG18" t="n">
        <x:f>--AND(S18=1,T18=1,U18=1,V18=1,W18=1,AE18=1)</x:f>
        <x:v>0</x:v>
      </x:c>
      <x:c r="AJ18" t="str">
        <x:f>IF(OR(AH18="",AI18=""),"",--(AH18&lt;&gt;AI18))</x:f>
      </x:c>
      <x:c r="AL18" t="str">
        <x:f>IF(OR(AH18="",AI18=""),"PENDING_HUMAN",IF(AH18=AI18,AH18,IF(AK18&lt;&gt;"",AK18,"PENDING_HUMAN")))</x:f>
        <x:v>PENDING_HUMAN</x:v>
      </x:c>
      <x:c r="AM18" t="n">
        <x:f>--AND(A18&lt;&gt;"",AH18&lt;&gt;"",AI18&lt;&gt;"",OR(AH18=AI18,AK18&lt;&gt;""))</x:f>
        <x:v>0</x:v>
      </x:c>
      <x:c r="AN18" t="n">
        <x:f>--AND(Y18&lt;&gt;"",COUNTIF($Y$4:Y18,Y18)=1)</x:f>
        <x:v>0</x:v>
      </x:c>
      <x:c r="AO18" t="n">
        <x:f>--AND(AN18=1,Z18=1,AM18=1)</x:f>
        <x:v>0</x:v>
      </x:c>
      <x:c r="AP18" t="n">
        <x:f>--AND(AO18=1,AA18=1,AL18=1)</x:f>
        <x:v>0</x:v>
      </x:c>
      <x:c r="AQ18" t="n">
        <x:f>--AND(AN18=1,Z18=1)</x:f>
        <x:v>0</x:v>
      </x:c>
      <x:c r="AR18" t="n">
        <x:f>--AND(AQ18=1,AA18=1)</x:f>
        <x:v>0</x:v>
      </x:c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  <x:c r="S19" s="28"/>
      <x:c r="T19" s="28"/>
      <x:c r="U19" s="28"/>
      <x:c r="V19" s="28"/>
      <x:c r="W19" s="28"/>
      <x:c r="X19" s="43" t="n">
        <x:f>--AND(S19=1,T19=1,U19=1,V19=1,W19=1)</x:f>
        <x:v>0</x:v>
      </x:c>
      <x:c r="AE19" s="43" t="n">
        <x:f>--AND(S19=1,M19&lt;&gt;"",M19&lt;&gt;"keep")</x:f>
        <x:v>0</x:v>
      </x:c>
      <x:c r="AG19" t="n">
        <x:f>--AND(S19=1,T19=1,U19=1,V19=1,W19=1,AE19=1)</x:f>
        <x:v>0</x:v>
      </x:c>
      <x:c r="AJ19" t="str">
        <x:f>IF(OR(AH19="",AI19=""),"",--(AH19&lt;&gt;AI19))</x:f>
      </x:c>
      <x:c r="AL19" t="str">
        <x:f>IF(OR(AH19="",AI19=""),"PENDING_HUMAN",IF(AH19=AI19,AH19,IF(AK19&lt;&gt;"",AK19,"PENDING_HUMAN")))</x:f>
        <x:v>PENDING_HUMAN</x:v>
      </x:c>
      <x:c r="AM19" t="n">
        <x:f>--AND(A19&lt;&gt;"",AH19&lt;&gt;"",AI19&lt;&gt;"",OR(AH19=AI19,AK19&lt;&gt;""))</x:f>
        <x:v>0</x:v>
      </x:c>
      <x:c r="AN19" t="n">
        <x:f>--AND(Y19&lt;&gt;"",COUNTIF($Y$4:Y19,Y19)=1)</x:f>
        <x:v>0</x:v>
      </x:c>
      <x:c r="AO19" t="n">
        <x:f>--AND(AN19=1,Z19=1,AM19=1)</x:f>
        <x:v>0</x:v>
      </x:c>
      <x:c r="AP19" t="n">
        <x:f>--AND(AO19=1,AA19=1,AL19=1)</x:f>
        <x:v>0</x:v>
      </x:c>
      <x:c r="AQ19" t="n">
        <x:f>--AND(AN19=1,Z19=1)</x:f>
        <x:v>0</x:v>
      </x:c>
      <x:c r="AR19" t="n">
        <x:f>--AND(AQ19=1,AA19=1)</x:f>
        <x:v>0</x:v>
      </x:c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  <x:c r="S20" s="28"/>
      <x:c r="T20" s="28"/>
      <x:c r="U20" s="28"/>
      <x:c r="V20" s="28"/>
      <x:c r="W20" s="28"/>
      <x:c r="X20" s="43" t="n">
        <x:f>--AND(S20=1,T20=1,U20=1,V20=1,W20=1)</x:f>
        <x:v>0</x:v>
      </x:c>
      <x:c r="AE20" s="43" t="n">
        <x:f>--AND(S20=1,M20&lt;&gt;"",M20&lt;&gt;"keep")</x:f>
        <x:v>0</x:v>
      </x:c>
      <x:c r="AG20" t="n">
        <x:f>--AND(S20=1,T20=1,U20=1,V20=1,W20=1,AE20=1)</x:f>
        <x:v>0</x:v>
      </x:c>
      <x:c r="AJ20" t="str">
        <x:f>IF(OR(AH20="",AI20=""),"",--(AH20&lt;&gt;AI20))</x:f>
      </x:c>
      <x:c r="AL20" t="str">
        <x:f>IF(OR(AH20="",AI20=""),"PENDING_HUMAN",IF(AH20=AI20,AH20,IF(AK20&lt;&gt;"",AK20,"PENDING_HUMAN")))</x:f>
        <x:v>PENDING_HUMAN</x:v>
      </x:c>
      <x:c r="AM20" t="n">
        <x:f>--AND(A20&lt;&gt;"",AH20&lt;&gt;"",AI20&lt;&gt;"",OR(AH20=AI20,AK20&lt;&gt;""))</x:f>
        <x:v>0</x:v>
      </x:c>
      <x:c r="AN20" t="n">
        <x:f>--AND(Y20&lt;&gt;"",COUNTIF($Y$4:Y20,Y20)=1)</x:f>
        <x:v>0</x:v>
      </x:c>
      <x:c r="AO20" t="n">
        <x:f>--AND(AN20=1,Z20=1,AM20=1)</x:f>
        <x:v>0</x:v>
      </x:c>
      <x:c r="AP20" t="n">
        <x:f>--AND(AO20=1,AA20=1,AL20=1)</x:f>
        <x:v>0</x:v>
      </x:c>
      <x:c r="AQ20" t="n">
        <x:f>--AND(AN20=1,Z20=1)</x:f>
        <x:v>0</x:v>
      </x:c>
      <x:c r="AR20" t="n">
        <x:f>--AND(AQ20=1,AA20=1)</x:f>
        <x:v>0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  <x:c r="S21" s="28"/>
      <x:c r="T21" s="28"/>
      <x:c r="U21" s="28"/>
      <x:c r="V21" s="28"/>
      <x:c r="W21" s="28"/>
      <x:c r="X21" s="43" t="n">
        <x:f>--AND(S21=1,T21=1,U21=1,V21=1,W21=1)</x:f>
        <x:v>0</x:v>
      </x:c>
      <x:c r="AE21" s="43" t="n">
        <x:f>--AND(S21=1,M21&lt;&gt;"",M21&lt;&gt;"keep")</x:f>
        <x:v>0</x:v>
      </x:c>
      <x:c r="AG21" t="n">
        <x:f>--AND(S21=1,T21=1,U21=1,V21=1,W21=1,AE21=1)</x:f>
        <x:v>0</x:v>
      </x:c>
      <x:c r="AJ21" t="str">
        <x:f>IF(OR(AH21="",AI21=""),"",--(AH21&lt;&gt;AI21))</x:f>
      </x:c>
      <x:c r="AL21" t="str">
        <x:f>IF(OR(AH21="",AI21=""),"PENDING_HUMAN",IF(AH21=AI21,AH21,IF(AK21&lt;&gt;"",AK21,"PENDING_HUMAN")))</x:f>
        <x:v>PENDING_HUMAN</x:v>
      </x:c>
      <x:c r="AM21" t="n">
        <x:f>--AND(A21&lt;&gt;"",AH21&lt;&gt;"",AI21&lt;&gt;"",OR(AH21=AI21,AK21&lt;&gt;""))</x:f>
        <x:v>0</x:v>
      </x:c>
      <x:c r="AN21" t="n">
        <x:f>--AND(Y21&lt;&gt;"",COUNTIF($Y$4:Y21,Y21)=1)</x:f>
        <x:v>0</x:v>
      </x:c>
      <x:c r="AO21" t="n">
        <x:f>--AND(AN21=1,Z21=1,AM21=1)</x:f>
        <x:v>0</x:v>
      </x:c>
      <x:c r="AP21" t="n">
        <x:f>--AND(AO21=1,AA21=1,AL21=1)</x:f>
        <x:v>0</x:v>
      </x:c>
      <x:c r="AQ21" t="n">
        <x:f>--AND(AN21=1,Z21=1)</x:f>
        <x:v>0</x:v>
      </x:c>
      <x:c r="AR21" t="n">
        <x:f>--AND(AQ21=1,AA21=1)</x:f>
        <x:v>0</x:v>
      </x:c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  <x:c r="S22" s="28"/>
      <x:c r="T22" s="28"/>
      <x:c r="U22" s="28"/>
      <x:c r="V22" s="28"/>
      <x:c r="W22" s="28"/>
      <x:c r="X22" s="43" t="n">
        <x:f>--AND(S22=1,T22=1,U22=1,V22=1,W22=1)</x:f>
        <x:v>0</x:v>
      </x:c>
      <x:c r="AE22" s="43" t="n">
        <x:f>--AND(S22=1,M22&lt;&gt;"",M22&lt;&gt;"keep")</x:f>
        <x:v>0</x:v>
      </x:c>
      <x:c r="AG22" t="n">
        <x:f>--AND(S22=1,T22=1,U22=1,V22=1,W22=1,AE22=1)</x:f>
        <x:v>0</x:v>
      </x:c>
      <x:c r="AJ22" t="str">
        <x:f>IF(OR(AH22="",AI22=""),"",--(AH22&lt;&gt;AI22))</x:f>
      </x:c>
      <x:c r="AL22" t="str">
        <x:f>IF(OR(AH22="",AI22=""),"PENDING_HUMAN",IF(AH22=AI22,AH22,IF(AK22&lt;&gt;"",AK22,"PENDING_HUMAN")))</x:f>
        <x:v>PENDING_HUMAN</x:v>
      </x:c>
      <x:c r="AM22" t="n">
        <x:f>--AND(A22&lt;&gt;"",AH22&lt;&gt;"",AI22&lt;&gt;"",OR(AH22=AI22,AK22&lt;&gt;""))</x:f>
        <x:v>0</x:v>
      </x:c>
      <x:c r="AN22" t="n">
        <x:f>--AND(Y22&lt;&gt;"",COUNTIF($Y$4:Y22,Y22)=1)</x:f>
        <x:v>0</x:v>
      </x:c>
      <x:c r="AO22" t="n">
        <x:f>--AND(AN22=1,Z22=1,AM22=1)</x:f>
        <x:v>0</x:v>
      </x:c>
      <x:c r="AP22" t="n">
        <x:f>--AND(AO22=1,AA22=1,AL22=1)</x:f>
        <x:v>0</x:v>
      </x:c>
      <x:c r="AQ22" t="n">
        <x:f>--AND(AN22=1,Z22=1)</x:f>
        <x:v>0</x:v>
      </x:c>
      <x:c r="AR22" t="n">
        <x:f>--AND(AQ22=1,AA22=1)</x:f>
        <x:v>0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  <x:c r="S23" s="28"/>
      <x:c r="T23" s="28"/>
      <x:c r="U23" s="28"/>
      <x:c r="V23" s="28"/>
      <x:c r="W23" s="28"/>
      <x:c r="X23" s="43" t="n">
        <x:f>--AND(S23=1,T23=1,U23=1,V23=1,W23=1)</x:f>
        <x:v>0</x:v>
      </x:c>
      <x:c r="AE23" s="43" t="n">
        <x:f>--AND(S23=1,M23&lt;&gt;"",M23&lt;&gt;"keep")</x:f>
        <x:v>0</x:v>
      </x:c>
      <x:c r="AG23" t="n">
        <x:f>--AND(S23=1,T23=1,U23=1,V23=1,W23=1,AE23=1)</x:f>
        <x:v>0</x:v>
      </x:c>
      <x:c r="AJ23" t="str">
        <x:f>IF(OR(AH23="",AI23=""),"",--(AH23&lt;&gt;AI23))</x:f>
      </x:c>
      <x:c r="AL23" t="str">
        <x:f>IF(OR(AH23="",AI23=""),"PENDING_HUMAN",IF(AH23=AI23,AH23,IF(AK23&lt;&gt;"",AK23,"PENDING_HUMAN")))</x:f>
        <x:v>PENDING_HUMAN</x:v>
      </x:c>
      <x:c r="AM23" t="n">
        <x:f>--AND(A23&lt;&gt;"",AH23&lt;&gt;"",AI23&lt;&gt;"",OR(AH23=AI23,AK23&lt;&gt;""))</x:f>
        <x:v>0</x:v>
      </x:c>
      <x:c r="AN23" t="n">
        <x:f>--AND(Y23&lt;&gt;"",COUNTIF($Y$4:Y23,Y23)=1)</x:f>
        <x:v>0</x:v>
      </x:c>
      <x:c r="AO23" t="n">
        <x:f>--AND(AN23=1,Z23=1,AM23=1)</x:f>
        <x:v>0</x:v>
      </x:c>
      <x:c r="AP23" t="n">
        <x:f>--AND(AO23=1,AA23=1,AL23=1)</x:f>
        <x:v>0</x:v>
      </x:c>
      <x:c r="AQ23" t="n">
        <x:f>--AND(AN23=1,Z23=1)</x:f>
        <x:v>0</x:v>
      </x:c>
      <x:c r="AR23" t="n">
        <x:f>--AND(AQ23=1,AA23=1)</x:f>
        <x:v>0</x:v>
      </x:c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  <x:c r="S24" s="28"/>
      <x:c r="T24" s="28"/>
      <x:c r="U24" s="28"/>
      <x:c r="V24" s="28"/>
      <x:c r="W24" s="28"/>
      <x:c r="X24" s="43" t="n">
        <x:f>--AND(S24=1,T24=1,U24=1,V24=1,W24=1)</x:f>
        <x:v>0</x:v>
      </x:c>
      <x:c r="AE24" s="43" t="n">
        <x:f>--AND(S24=1,M24&lt;&gt;"",M24&lt;&gt;"keep")</x:f>
        <x:v>0</x:v>
      </x:c>
      <x:c r="AG24" t="n">
        <x:f>--AND(S24=1,T24=1,U24=1,V24=1,W24=1,AE24=1)</x:f>
        <x:v>0</x:v>
      </x:c>
      <x:c r="AJ24" t="str">
        <x:f>IF(OR(AH24="",AI24=""),"",--(AH24&lt;&gt;AI24))</x:f>
      </x:c>
      <x:c r="AL24" t="str">
        <x:f>IF(OR(AH24="",AI24=""),"PENDING_HUMAN",IF(AH24=AI24,AH24,IF(AK24&lt;&gt;"",AK24,"PENDING_HUMAN")))</x:f>
        <x:v>PENDING_HUMAN</x:v>
      </x:c>
      <x:c r="AM24" t="n">
        <x:f>--AND(A24&lt;&gt;"",AH24&lt;&gt;"",AI24&lt;&gt;"",OR(AH24=AI24,AK24&lt;&gt;""))</x:f>
        <x:v>0</x:v>
      </x:c>
      <x:c r="AN24" t="n">
        <x:f>--AND(Y24&lt;&gt;"",COUNTIF($Y$4:Y24,Y24)=1)</x:f>
        <x:v>0</x:v>
      </x:c>
      <x:c r="AO24" t="n">
        <x:f>--AND(AN24=1,Z24=1,AM24=1)</x:f>
        <x:v>0</x:v>
      </x:c>
      <x:c r="AP24" t="n">
        <x:f>--AND(AO24=1,AA24=1,AL24=1)</x:f>
        <x:v>0</x:v>
      </x:c>
      <x:c r="AQ24" t="n">
        <x:f>--AND(AN24=1,Z24=1)</x:f>
        <x:v>0</x:v>
      </x:c>
      <x:c r="AR24" t="n">
        <x:f>--AND(AQ24=1,AA24=1)</x:f>
        <x:v>0</x:v>
      </x:c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  <x:c r="S25" s="28"/>
      <x:c r="T25" s="28"/>
      <x:c r="U25" s="28"/>
      <x:c r="V25" s="28"/>
      <x:c r="W25" s="28"/>
      <x:c r="X25" s="43" t="n">
        <x:f>--AND(S25=1,T25=1,U25=1,V25=1,W25=1)</x:f>
        <x:v>0</x:v>
      </x:c>
      <x:c r="AE25" s="43" t="n">
        <x:f>--AND(S25=1,M25&lt;&gt;"",M25&lt;&gt;"keep")</x:f>
        <x:v>0</x:v>
      </x:c>
      <x:c r="AG25" t="n">
        <x:f>--AND(S25=1,T25=1,U25=1,V25=1,W25=1,AE25=1)</x:f>
        <x:v>0</x:v>
      </x:c>
      <x:c r="AJ25" t="str">
        <x:f>IF(OR(AH25="",AI25=""),"",--(AH25&lt;&gt;AI25))</x:f>
      </x:c>
      <x:c r="AL25" t="str">
        <x:f>IF(OR(AH25="",AI25=""),"PENDING_HUMAN",IF(AH25=AI25,AH25,IF(AK25&lt;&gt;"",AK25,"PENDING_HUMAN")))</x:f>
        <x:v>PENDING_HUMAN</x:v>
      </x:c>
      <x:c r="AM25" t="n">
        <x:f>--AND(A25&lt;&gt;"",AH25&lt;&gt;"",AI25&lt;&gt;"",OR(AH25=AI25,AK25&lt;&gt;""))</x:f>
        <x:v>0</x:v>
      </x:c>
      <x:c r="AN25" t="n">
        <x:f>--AND(Y25&lt;&gt;"",COUNTIF($Y$4:Y25,Y25)=1)</x:f>
        <x:v>0</x:v>
      </x:c>
      <x:c r="AO25" t="n">
        <x:f>--AND(AN25=1,Z25=1,AM25=1)</x:f>
        <x:v>0</x:v>
      </x:c>
      <x:c r="AP25" t="n">
        <x:f>--AND(AO25=1,AA25=1,AL25=1)</x:f>
        <x:v>0</x:v>
      </x:c>
      <x:c r="AQ25" t="n">
        <x:f>--AND(AN25=1,Z25=1)</x:f>
        <x:v>0</x:v>
      </x:c>
      <x:c r="AR25" t="n">
        <x:f>--AND(AQ25=1,AA25=1)</x:f>
        <x:v>0</x:v>
      </x:c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  <x:c r="S26" s="28"/>
      <x:c r="T26" s="28"/>
      <x:c r="U26" s="28"/>
      <x:c r="V26" s="28"/>
      <x:c r="W26" s="28"/>
      <x:c r="X26" s="43" t="n">
        <x:f>--AND(S26=1,T26=1,U26=1,V26=1,W26=1)</x:f>
        <x:v>0</x:v>
      </x:c>
      <x:c r="AE26" s="43" t="n">
        <x:f>--AND(S26=1,M26&lt;&gt;"",M26&lt;&gt;"keep")</x:f>
        <x:v>0</x:v>
      </x:c>
      <x:c r="AG26" t="n">
        <x:f>--AND(S26=1,T26=1,U26=1,V26=1,W26=1,AE26=1)</x:f>
        <x:v>0</x:v>
      </x:c>
      <x:c r="AJ26" t="str">
        <x:f>IF(OR(AH26="",AI26=""),"",--(AH26&lt;&gt;AI26))</x:f>
      </x:c>
      <x:c r="AL26" t="str">
        <x:f>IF(OR(AH26="",AI26=""),"PENDING_HUMAN",IF(AH26=AI26,AH26,IF(AK26&lt;&gt;"",AK26,"PENDING_HUMAN")))</x:f>
        <x:v>PENDING_HUMAN</x:v>
      </x:c>
      <x:c r="AM26" t="n">
        <x:f>--AND(A26&lt;&gt;"",AH26&lt;&gt;"",AI26&lt;&gt;"",OR(AH26=AI26,AK26&lt;&gt;""))</x:f>
        <x:v>0</x:v>
      </x:c>
      <x:c r="AN26" t="n">
        <x:f>--AND(Y26&lt;&gt;"",COUNTIF($Y$4:Y26,Y26)=1)</x:f>
        <x:v>0</x:v>
      </x:c>
      <x:c r="AO26" t="n">
        <x:f>--AND(AN26=1,Z26=1,AM26=1)</x:f>
        <x:v>0</x:v>
      </x:c>
      <x:c r="AP26" t="n">
        <x:f>--AND(AO26=1,AA26=1,AL26=1)</x:f>
        <x:v>0</x:v>
      </x:c>
      <x:c r="AQ26" t="n">
        <x:f>--AND(AN26=1,Z26=1)</x:f>
        <x:v>0</x:v>
      </x:c>
      <x:c r="AR26" t="n">
        <x:f>--AND(AQ26=1,AA26=1)</x:f>
        <x:v>0</x:v>
      </x:c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  <x:c r="S27" s="28"/>
      <x:c r="T27" s="28"/>
      <x:c r="U27" s="28"/>
      <x:c r="V27" s="28"/>
      <x:c r="W27" s="28"/>
      <x:c r="X27" s="43" t="n">
        <x:f>--AND(S27=1,T27=1,U27=1,V27=1,W27=1)</x:f>
        <x:v>0</x:v>
      </x:c>
      <x:c r="AE27" s="43" t="n">
        <x:f>--AND(S27=1,M27&lt;&gt;"",M27&lt;&gt;"keep")</x:f>
        <x:v>0</x:v>
      </x:c>
      <x:c r="AG27" t="n">
        <x:f>--AND(S27=1,T27=1,U27=1,V27=1,W27=1,AE27=1)</x:f>
        <x:v>0</x:v>
      </x:c>
      <x:c r="AJ27" t="str">
        <x:f>IF(OR(AH27="",AI27=""),"",--(AH27&lt;&gt;AI27))</x:f>
      </x:c>
      <x:c r="AL27" t="str">
        <x:f>IF(OR(AH27="",AI27=""),"PENDING_HUMAN",IF(AH27=AI27,AH27,IF(AK27&lt;&gt;"",AK27,"PENDING_HUMAN")))</x:f>
        <x:v>PENDING_HUMAN</x:v>
      </x:c>
      <x:c r="AM27" t="n">
        <x:f>--AND(A27&lt;&gt;"",AH27&lt;&gt;"",AI27&lt;&gt;"",OR(AH27=AI27,AK27&lt;&gt;""))</x:f>
        <x:v>0</x:v>
      </x:c>
      <x:c r="AN27" t="n">
        <x:f>--AND(Y27&lt;&gt;"",COUNTIF($Y$4:Y27,Y27)=1)</x:f>
        <x:v>0</x:v>
      </x:c>
      <x:c r="AO27" t="n">
        <x:f>--AND(AN27=1,Z27=1,AM27=1)</x:f>
        <x:v>0</x:v>
      </x:c>
      <x:c r="AP27" t="n">
        <x:f>--AND(AO27=1,AA27=1,AL27=1)</x:f>
        <x:v>0</x:v>
      </x:c>
      <x:c r="AQ27" t="n">
        <x:f>--AND(AN27=1,Z27=1)</x:f>
        <x:v>0</x:v>
      </x:c>
      <x:c r="AR27" t="n">
        <x:f>--AND(AQ27=1,AA27=1)</x:f>
        <x:v>0</x:v>
      </x:c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  <x:c r="S28" s="28"/>
      <x:c r="T28" s="28"/>
      <x:c r="U28" s="28"/>
      <x:c r="V28" s="28"/>
      <x:c r="W28" s="28"/>
      <x:c r="X28" s="43" t="n">
        <x:f>--AND(S28=1,T28=1,U28=1,V28=1,W28=1)</x:f>
        <x:v>0</x:v>
      </x:c>
      <x:c r="AE28" s="43" t="n">
        <x:f>--AND(S28=1,M28&lt;&gt;"",M28&lt;&gt;"keep")</x:f>
        <x:v>0</x:v>
      </x:c>
      <x:c r="AG28" t="n">
        <x:f>--AND(S28=1,T28=1,U28=1,V28=1,W28=1,AE28=1)</x:f>
        <x:v>0</x:v>
      </x:c>
      <x:c r="AJ28" t="str">
        <x:f>IF(OR(AH28="",AI28=""),"",--(AH28&lt;&gt;AI28))</x:f>
      </x:c>
      <x:c r="AL28" t="str">
        <x:f>IF(OR(AH28="",AI28=""),"PENDING_HUMAN",IF(AH28=AI28,AH28,IF(AK28&lt;&gt;"",AK28,"PENDING_HUMAN")))</x:f>
        <x:v>PENDING_HUMAN</x:v>
      </x:c>
      <x:c r="AM28" t="n">
        <x:f>--AND(A28&lt;&gt;"",AH28&lt;&gt;"",AI28&lt;&gt;"",OR(AH28=AI28,AK28&lt;&gt;""))</x:f>
        <x:v>0</x:v>
      </x:c>
      <x:c r="AN28" t="n">
        <x:f>--AND(Y28&lt;&gt;"",COUNTIF($Y$4:Y28,Y28)=1)</x:f>
        <x:v>0</x:v>
      </x:c>
      <x:c r="AO28" t="n">
        <x:f>--AND(AN28=1,Z28=1,AM28=1)</x:f>
        <x:v>0</x:v>
      </x:c>
      <x:c r="AP28" t="n">
        <x:f>--AND(AO28=1,AA28=1,AL28=1)</x:f>
        <x:v>0</x:v>
      </x:c>
      <x:c r="AQ28" t="n">
        <x:f>--AND(AN28=1,Z28=1)</x:f>
        <x:v>0</x:v>
      </x:c>
      <x:c r="AR28" t="n">
        <x:f>--AND(AQ28=1,AA28=1)</x:f>
        <x:v>0</x:v>
      </x:c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  <x:c r="S29" s="28"/>
      <x:c r="T29" s="28"/>
      <x:c r="U29" s="28"/>
      <x:c r="V29" s="28"/>
      <x:c r="W29" s="28"/>
      <x:c r="X29" s="43" t="n">
        <x:f>--AND(S29=1,T29=1,U29=1,V29=1,W29=1)</x:f>
        <x:v>0</x:v>
      </x:c>
      <x:c r="AE29" s="43" t="n">
        <x:f>--AND(S29=1,M29&lt;&gt;"",M29&lt;&gt;"keep")</x:f>
        <x:v>0</x:v>
      </x:c>
      <x:c r="AG29" t="n">
        <x:f>--AND(S29=1,T29=1,U29=1,V29=1,W29=1,AE29=1)</x:f>
        <x:v>0</x:v>
      </x:c>
      <x:c r="AJ29" t="str">
        <x:f>IF(OR(AH29="",AI29=""),"",--(AH29&lt;&gt;AI29))</x:f>
      </x:c>
      <x:c r="AL29" t="str">
        <x:f>IF(OR(AH29="",AI29=""),"PENDING_HUMAN",IF(AH29=AI29,AH29,IF(AK29&lt;&gt;"",AK29,"PENDING_HUMAN")))</x:f>
        <x:v>PENDING_HUMAN</x:v>
      </x:c>
      <x:c r="AM29" t="n">
        <x:f>--AND(A29&lt;&gt;"",AH29&lt;&gt;"",AI29&lt;&gt;"",OR(AH29=AI29,AK29&lt;&gt;""))</x:f>
        <x:v>0</x:v>
      </x:c>
      <x:c r="AN29" t="n">
        <x:f>--AND(Y29&lt;&gt;"",COUNTIF($Y$4:Y29,Y29)=1)</x:f>
        <x:v>0</x:v>
      </x:c>
      <x:c r="AO29" t="n">
        <x:f>--AND(AN29=1,Z29=1,AM29=1)</x:f>
        <x:v>0</x:v>
      </x:c>
      <x:c r="AP29" t="n">
        <x:f>--AND(AO29=1,AA29=1,AL29=1)</x:f>
        <x:v>0</x:v>
      </x:c>
      <x:c r="AQ29" t="n">
        <x:f>--AND(AN29=1,Z29=1)</x:f>
        <x:v>0</x:v>
      </x:c>
      <x:c r="AR29" t="n">
        <x:f>--AND(AQ29=1,AA29=1)</x:f>
        <x:v>0</x:v>
      </x:c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  <x:c r="S30" s="28"/>
      <x:c r="T30" s="28"/>
      <x:c r="U30" s="28"/>
      <x:c r="V30" s="28"/>
      <x:c r="W30" s="28"/>
      <x:c r="X30" s="43" t="n">
        <x:f>--AND(S30=1,T30=1,U30=1,V30=1,W30=1)</x:f>
        <x:v>0</x:v>
      </x:c>
      <x:c r="AE30" s="43" t="n">
        <x:f>--AND(S30=1,M30&lt;&gt;"",M30&lt;&gt;"keep")</x:f>
        <x:v>0</x:v>
      </x:c>
      <x:c r="AG30" t="n">
        <x:f>--AND(S30=1,T30=1,U30=1,V30=1,W30=1,AE30=1)</x:f>
        <x:v>0</x:v>
      </x:c>
      <x:c r="AJ30" t="str">
        <x:f>IF(OR(AH30="",AI30=""),"",--(AH30&lt;&gt;AI30))</x:f>
      </x:c>
      <x:c r="AL30" t="str">
        <x:f>IF(OR(AH30="",AI30=""),"PENDING_HUMAN",IF(AH30=AI30,AH30,IF(AK30&lt;&gt;"",AK30,"PENDING_HUMAN")))</x:f>
        <x:v>PENDING_HUMAN</x:v>
      </x:c>
      <x:c r="AM30" t="n">
        <x:f>--AND(A30&lt;&gt;"",AH30&lt;&gt;"",AI30&lt;&gt;"",OR(AH30=AI30,AK30&lt;&gt;""))</x:f>
        <x:v>0</x:v>
      </x:c>
      <x:c r="AN30" t="n">
        <x:f>--AND(Y30&lt;&gt;"",COUNTIF($Y$4:Y30,Y30)=1)</x:f>
        <x:v>0</x:v>
      </x:c>
      <x:c r="AO30" t="n">
        <x:f>--AND(AN30=1,Z30=1,AM30=1)</x:f>
        <x:v>0</x:v>
      </x:c>
      <x:c r="AP30" t="n">
        <x:f>--AND(AO30=1,AA30=1,AL30=1)</x:f>
        <x:v>0</x:v>
      </x:c>
      <x:c r="AQ30" t="n">
        <x:f>--AND(AN30=1,Z30=1)</x:f>
        <x:v>0</x:v>
      </x:c>
      <x:c r="AR30" t="n">
        <x:f>--AND(AQ30=1,AA30=1)</x:f>
        <x:v>0</x:v>
      </x:c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  <x:c r="S31" s="28"/>
      <x:c r="T31" s="28"/>
      <x:c r="U31" s="28"/>
      <x:c r="V31" s="28"/>
      <x:c r="W31" s="28"/>
      <x:c r="X31" s="43" t="n">
        <x:f>--AND(S31=1,T31=1,U31=1,V31=1,W31=1)</x:f>
        <x:v>0</x:v>
      </x:c>
      <x:c r="AE31" s="43" t="n">
        <x:f>--AND(S31=1,M31&lt;&gt;"",M31&lt;&gt;"keep")</x:f>
        <x:v>0</x:v>
      </x:c>
      <x:c r="AG31" t="n">
        <x:f>--AND(S31=1,T31=1,U31=1,V31=1,W31=1,AE31=1)</x:f>
        <x:v>0</x:v>
      </x:c>
      <x:c r="AJ31" t="str">
        <x:f>IF(OR(AH31="",AI31=""),"",--(AH31&lt;&gt;AI31))</x:f>
      </x:c>
      <x:c r="AL31" t="str">
        <x:f>IF(OR(AH31="",AI31=""),"PENDING_HUMAN",IF(AH31=AI31,AH31,IF(AK31&lt;&gt;"",AK31,"PENDING_HUMAN")))</x:f>
        <x:v>PENDING_HUMAN</x:v>
      </x:c>
      <x:c r="AM31" t="n">
        <x:f>--AND(A31&lt;&gt;"",AH31&lt;&gt;"",AI31&lt;&gt;"",OR(AH31=AI31,AK31&lt;&gt;""))</x:f>
        <x:v>0</x:v>
      </x:c>
      <x:c r="AN31" t="n">
        <x:f>--AND(Y31&lt;&gt;"",COUNTIF($Y$4:Y31,Y31)=1)</x:f>
        <x:v>0</x:v>
      </x:c>
      <x:c r="AO31" t="n">
        <x:f>--AND(AN31=1,Z31=1,AM31=1)</x:f>
        <x:v>0</x:v>
      </x:c>
      <x:c r="AP31" t="n">
        <x:f>--AND(AO31=1,AA31=1,AL31=1)</x:f>
        <x:v>0</x:v>
      </x:c>
      <x:c r="AQ31" t="n">
        <x:f>--AND(AN31=1,Z31=1)</x:f>
        <x:v>0</x:v>
      </x:c>
      <x:c r="AR31" t="n">
        <x:f>--AND(AQ31=1,AA31=1)</x:f>
        <x:v>0</x:v>
      </x:c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  <x:c r="S32" s="28"/>
      <x:c r="T32" s="28"/>
      <x:c r="U32" s="28"/>
      <x:c r="V32" s="28"/>
      <x:c r="W32" s="28"/>
      <x:c r="X32" s="43" t="n">
        <x:f>--AND(S32=1,T32=1,U32=1,V32=1,W32=1)</x:f>
        <x:v>0</x:v>
      </x:c>
      <x:c r="AE32" s="43" t="n">
        <x:f>--AND(S32=1,M32&lt;&gt;"",M32&lt;&gt;"keep")</x:f>
        <x:v>0</x:v>
      </x:c>
      <x:c r="AG32" t="n">
        <x:f>--AND(S32=1,T32=1,U32=1,V32=1,W32=1,AE32=1)</x:f>
        <x:v>0</x:v>
      </x:c>
      <x:c r="AJ32" t="str">
        <x:f>IF(OR(AH32="",AI32=""),"",--(AH32&lt;&gt;AI32))</x:f>
      </x:c>
      <x:c r="AL32" t="str">
        <x:f>IF(OR(AH32="",AI32=""),"PENDING_HUMAN",IF(AH32=AI32,AH32,IF(AK32&lt;&gt;"",AK32,"PENDING_HUMAN")))</x:f>
        <x:v>PENDING_HUMAN</x:v>
      </x:c>
      <x:c r="AM32" t="n">
        <x:f>--AND(A32&lt;&gt;"",AH32&lt;&gt;"",AI32&lt;&gt;"",OR(AH32=AI32,AK32&lt;&gt;""))</x:f>
        <x:v>0</x:v>
      </x:c>
      <x:c r="AN32" t="n">
        <x:f>--AND(Y32&lt;&gt;"",COUNTIF($Y$4:Y32,Y32)=1)</x:f>
        <x:v>0</x:v>
      </x:c>
      <x:c r="AO32" t="n">
        <x:f>--AND(AN32=1,Z32=1,AM32=1)</x:f>
        <x:v>0</x:v>
      </x:c>
      <x:c r="AP32" t="n">
        <x:f>--AND(AO32=1,AA32=1,AL32=1)</x:f>
        <x:v>0</x:v>
      </x:c>
      <x:c r="AQ32" t="n">
        <x:f>--AND(AN32=1,Z32=1)</x:f>
        <x:v>0</x:v>
      </x:c>
      <x:c r="AR32" t="n">
        <x:f>--AND(AQ32=1,AA32=1)</x:f>
        <x:v>0</x:v>
      </x:c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  <x:c r="S33" s="28"/>
      <x:c r="T33" s="28"/>
      <x:c r="U33" s="28"/>
      <x:c r="V33" s="28"/>
      <x:c r="W33" s="28"/>
      <x:c r="X33" s="43" t="n">
        <x:f>--AND(S33=1,T33=1,U33=1,V33=1,W33=1)</x:f>
        <x:v>0</x:v>
      </x:c>
      <x:c r="AE33" s="43" t="n">
        <x:f>--AND(S33=1,M33&lt;&gt;"",M33&lt;&gt;"keep")</x:f>
        <x:v>0</x:v>
      </x:c>
      <x:c r="AG33" t="n">
        <x:f>--AND(S33=1,T33=1,U33=1,V33=1,W33=1,AE33=1)</x:f>
        <x:v>0</x:v>
      </x:c>
      <x:c r="AJ33" t="str">
        <x:f>IF(OR(AH33="",AI33=""),"",--(AH33&lt;&gt;AI33))</x:f>
      </x:c>
      <x:c r="AL33" t="str">
        <x:f>IF(OR(AH33="",AI33=""),"PENDING_HUMAN",IF(AH33=AI33,AH33,IF(AK33&lt;&gt;"",AK33,"PENDING_HUMAN")))</x:f>
        <x:v>PENDING_HUMAN</x:v>
      </x:c>
      <x:c r="AM33" t="n">
        <x:f>--AND(A33&lt;&gt;"",AH33&lt;&gt;"",AI33&lt;&gt;"",OR(AH33=AI33,AK33&lt;&gt;""))</x:f>
        <x:v>0</x:v>
      </x:c>
      <x:c r="AN33" t="n">
        <x:f>--AND(Y33&lt;&gt;"",COUNTIF($Y$4:Y33,Y33)=1)</x:f>
        <x:v>0</x:v>
      </x:c>
      <x:c r="AO33" t="n">
        <x:f>--AND(AN33=1,Z33=1,AM33=1)</x:f>
        <x:v>0</x:v>
      </x:c>
      <x:c r="AP33" t="n">
        <x:f>--AND(AO33=1,AA33=1,AL33=1)</x:f>
        <x:v>0</x:v>
      </x:c>
      <x:c r="AQ33" t="n">
        <x:f>--AND(AN33=1,Z33=1)</x:f>
        <x:v>0</x:v>
      </x:c>
      <x:c r="AR33" t="n">
        <x:f>--AND(AQ33=1,AA33=1)</x:f>
        <x:v>0</x:v>
      </x:c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  <x:c r="S34" s="28"/>
      <x:c r="T34" s="28"/>
      <x:c r="U34" s="28"/>
      <x:c r="V34" s="28"/>
      <x:c r="W34" s="28"/>
      <x:c r="X34" s="43" t="n">
        <x:f>--AND(S34=1,T34=1,U34=1,V34=1,W34=1)</x:f>
        <x:v>0</x:v>
      </x:c>
      <x:c r="AE34" s="43" t="n">
        <x:f>--AND(S34=1,M34&lt;&gt;"",M34&lt;&gt;"keep")</x:f>
        <x:v>0</x:v>
      </x:c>
      <x:c r="AG34" t="n">
        <x:f>--AND(S34=1,T34=1,U34=1,V34=1,W34=1,AE34=1)</x:f>
        <x:v>0</x:v>
      </x:c>
      <x:c r="AJ34" t="str">
        <x:f>IF(OR(AH34="",AI34=""),"",--(AH34&lt;&gt;AI34))</x:f>
      </x:c>
      <x:c r="AL34" t="str">
        <x:f>IF(OR(AH34="",AI34=""),"PENDING_HUMAN",IF(AH34=AI34,AH34,IF(AK34&lt;&gt;"",AK34,"PENDING_HUMAN")))</x:f>
        <x:v>PENDING_HUMAN</x:v>
      </x:c>
      <x:c r="AM34" t="n">
        <x:f>--AND(A34&lt;&gt;"",AH34&lt;&gt;"",AI34&lt;&gt;"",OR(AH34=AI34,AK34&lt;&gt;""))</x:f>
        <x:v>0</x:v>
      </x:c>
      <x:c r="AN34" t="n">
        <x:f>--AND(Y34&lt;&gt;"",COUNTIF($Y$4:Y34,Y34)=1)</x:f>
        <x:v>0</x:v>
      </x:c>
      <x:c r="AO34" t="n">
        <x:f>--AND(AN34=1,Z34=1,AM34=1)</x:f>
        <x:v>0</x:v>
      </x:c>
      <x:c r="AP34" t="n">
        <x:f>--AND(AO34=1,AA34=1,AL34=1)</x:f>
        <x:v>0</x:v>
      </x:c>
      <x:c r="AQ34" t="n">
        <x:f>--AND(AN34=1,Z34=1)</x:f>
        <x:v>0</x:v>
      </x:c>
      <x:c r="AR34" t="n">
        <x:f>--AND(AQ34=1,AA34=1)</x:f>
        <x:v>0</x:v>
      </x:c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  <x:c r="S35" s="28"/>
      <x:c r="T35" s="28"/>
      <x:c r="U35" s="28"/>
      <x:c r="V35" s="28"/>
      <x:c r="W35" s="28"/>
      <x:c r="X35" s="43" t="n">
        <x:f>--AND(S35=1,T35=1,U35=1,V35=1,W35=1)</x:f>
        <x:v>0</x:v>
      </x:c>
      <x:c r="AE35" s="43" t="n">
        <x:f>--AND(S35=1,M35&lt;&gt;"",M35&lt;&gt;"keep")</x:f>
        <x:v>0</x:v>
      </x:c>
      <x:c r="AG35" t="n">
        <x:f>--AND(S35=1,T35=1,U35=1,V35=1,W35=1,AE35=1)</x:f>
        <x:v>0</x:v>
      </x:c>
      <x:c r="AJ35" t="str">
        <x:f>IF(OR(AH35="",AI35=""),"",--(AH35&lt;&gt;AI35))</x:f>
      </x:c>
      <x:c r="AL35" t="str">
        <x:f>IF(OR(AH35="",AI35=""),"PENDING_HUMAN",IF(AH35=AI35,AH35,IF(AK35&lt;&gt;"",AK35,"PENDING_HUMAN")))</x:f>
        <x:v>PENDING_HUMAN</x:v>
      </x:c>
      <x:c r="AM35" t="n">
        <x:f>--AND(A35&lt;&gt;"",AH35&lt;&gt;"",AI35&lt;&gt;"",OR(AH35=AI35,AK35&lt;&gt;""))</x:f>
        <x:v>0</x:v>
      </x:c>
      <x:c r="AN35" t="n">
        <x:f>--AND(Y35&lt;&gt;"",COUNTIF($Y$4:Y35,Y35)=1)</x:f>
        <x:v>0</x:v>
      </x:c>
      <x:c r="AO35" t="n">
        <x:f>--AND(AN35=1,Z35=1,AM35=1)</x:f>
        <x:v>0</x:v>
      </x:c>
      <x:c r="AP35" t="n">
        <x:f>--AND(AO35=1,AA35=1,AL35=1)</x:f>
        <x:v>0</x:v>
      </x:c>
      <x:c r="AQ35" t="n">
        <x:f>--AND(AN35=1,Z35=1)</x:f>
        <x:v>0</x:v>
      </x:c>
      <x:c r="AR35" t="n">
        <x:f>--AND(AQ35=1,AA35=1)</x:f>
        <x:v>0</x:v>
      </x:c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  <x:c r="S36" s="28"/>
      <x:c r="T36" s="28"/>
      <x:c r="U36" s="28"/>
      <x:c r="V36" s="28"/>
      <x:c r="W36" s="28"/>
      <x:c r="X36" s="43" t="n">
        <x:f>--AND(S36=1,T36=1,U36=1,V36=1,W36=1)</x:f>
        <x:v>0</x:v>
      </x:c>
      <x:c r="AE36" s="43" t="n">
        <x:f>--AND(S36=1,M36&lt;&gt;"",M36&lt;&gt;"keep")</x:f>
        <x:v>0</x:v>
      </x:c>
      <x:c r="AG36" t="n">
        <x:f>--AND(S36=1,T36=1,U36=1,V36=1,W36=1,AE36=1)</x:f>
        <x:v>0</x:v>
      </x:c>
      <x:c r="AJ36" t="str">
        <x:f>IF(OR(AH36="",AI36=""),"",--(AH36&lt;&gt;AI36))</x:f>
      </x:c>
      <x:c r="AL36" t="str">
        <x:f>IF(OR(AH36="",AI36=""),"PENDING_HUMAN",IF(AH36=AI36,AH36,IF(AK36&lt;&gt;"",AK36,"PENDING_HUMAN")))</x:f>
        <x:v>PENDING_HUMAN</x:v>
      </x:c>
      <x:c r="AM36" t="n">
        <x:f>--AND(A36&lt;&gt;"",AH36&lt;&gt;"",AI36&lt;&gt;"",OR(AH36=AI36,AK36&lt;&gt;""))</x:f>
        <x:v>0</x:v>
      </x:c>
      <x:c r="AN36" t="n">
        <x:f>--AND(Y36&lt;&gt;"",COUNTIF($Y$4:Y36,Y36)=1)</x:f>
        <x:v>0</x:v>
      </x:c>
      <x:c r="AO36" t="n">
        <x:f>--AND(AN36=1,Z36=1,AM36=1)</x:f>
        <x:v>0</x:v>
      </x:c>
      <x:c r="AP36" t="n">
        <x:f>--AND(AO36=1,AA36=1,AL36=1)</x:f>
        <x:v>0</x:v>
      </x:c>
      <x:c r="AQ36" t="n">
        <x:f>--AND(AN36=1,Z36=1)</x:f>
        <x:v>0</x:v>
      </x:c>
      <x:c r="AR36" t="n">
        <x:f>--AND(AQ36=1,AA36=1)</x:f>
        <x:v>0</x:v>
      </x:c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  <x:c r="S37" s="28"/>
      <x:c r="T37" s="28"/>
      <x:c r="U37" s="28"/>
      <x:c r="V37" s="28"/>
      <x:c r="W37" s="28"/>
      <x:c r="X37" s="43" t="n">
        <x:f>--AND(S37=1,T37=1,U37=1,V37=1,W37=1)</x:f>
        <x:v>0</x:v>
      </x:c>
      <x:c r="AE37" s="43" t="n">
        <x:f>--AND(S37=1,M37&lt;&gt;"",M37&lt;&gt;"keep")</x:f>
        <x:v>0</x:v>
      </x:c>
      <x:c r="AG37" t="n">
        <x:f>--AND(S37=1,T37=1,U37=1,V37=1,W37=1,AE37=1)</x:f>
        <x:v>0</x:v>
      </x:c>
      <x:c r="AJ37" t="str">
        <x:f>IF(OR(AH37="",AI37=""),"",--(AH37&lt;&gt;AI37))</x:f>
      </x:c>
      <x:c r="AL37" t="str">
        <x:f>IF(OR(AH37="",AI37=""),"PENDING_HUMAN",IF(AH37=AI37,AH37,IF(AK37&lt;&gt;"",AK37,"PENDING_HUMAN")))</x:f>
        <x:v>PENDING_HUMAN</x:v>
      </x:c>
      <x:c r="AM37" t="n">
        <x:f>--AND(A37&lt;&gt;"",AH37&lt;&gt;"",AI37&lt;&gt;"",OR(AH37=AI37,AK37&lt;&gt;""))</x:f>
        <x:v>0</x:v>
      </x:c>
      <x:c r="AN37" t="n">
        <x:f>--AND(Y37&lt;&gt;"",COUNTIF($Y$4:Y37,Y37)=1)</x:f>
        <x:v>0</x:v>
      </x:c>
      <x:c r="AO37" t="n">
        <x:f>--AND(AN37=1,Z37=1,AM37=1)</x:f>
        <x:v>0</x:v>
      </x:c>
      <x:c r="AP37" t="n">
        <x:f>--AND(AO37=1,AA37=1,AL37=1)</x:f>
        <x:v>0</x:v>
      </x:c>
      <x:c r="AQ37" t="n">
        <x:f>--AND(AN37=1,Z37=1)</x:f>
        <x:v>0</x:v>
      </x:c>
      <x:c r="AR37" t="n">
        <x:f>--AND(AQ37=1,AA37=1)</x:f>
        <x:v>0</x:v>
      </x:c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  <x:c r="S38" s="28"/>
      <x:c r="T38" s="28"/>
      <x:c r="U38" s="28"/>
      <x:c r="V38" s="28"/>
      <x:c r="W38" s="28"/>
      <x:c r="X38" s="43" t="n">
        <x:f>--AND(S38=1,T38=1,U38=1,V38=1,W38=1)</x:f>
        <x:v>0</x:v>
      </x:c>
      <x:c r="AE38" s="43" t="n">
        <x:f>--AND(S38=1,M38&lt;&gt;"",M38&lt;&gt;"keep")</x:f>
        <x:v>0</x:v>
      </x:c>
      <x:c r="AG38" t="n">
        <x:f>--AND(S38=1,T38=1,U38=1,V38=1,W38=1,AE38=1)</x:f>
        <x:v>0</x:v>
      </x:c>
      <x:c r="AJ38" t="str">
        <x:f>IF(OR(AH38="",AI38=""),"",--(AH38&lt;&gt;AI38))</x:f>
      </x:c>
      <x:c r="AL38" t="str">
        <x:f>IF(OR(AH38="",AI38=""),"PENDING_HUMAN",IF(AH38=AI38,AH38,IF(AK38&lt;&gt;"",AK38,"PENDING_HUMAN")))</x:f>
        <x:v>PENDING_HUMAN</x:v>
      </x:c>
      <x:c r="AM38" t="n">
        <x:f>--AND(A38&lt;&gt;"",AH38&lt;&gt;"",AI38&lt;&gt;"",OR(AH38=AI38,AK38&lt;&gt;""))</x:f>
        <x:v>0</x:v>
      </x:c>
      <x:c r="AN38" t="n">
        <x:f>--AND(Y38&lt;&gt;"",COUNTIF($Y$4:Y38,Y38)=1)</x:f>
        <x:v>0</x:v>
      </x:c>
      <x:c r="AO38" t="n">
        <x:f>--AND(AN38=1,Z38=1,AM38=1)</x:f>
        <x:v>0</x:v>
      </x:c>
      <x:c r="AP38" t="n">
        <x:f>--AND(AO38=1,AA38=1,AL38=1)</x:f>
        <x:v>0</x:v>
      </x:c>
      <x:c r="AQ38" t="n">
        <x:f>--AND(AN38=1,Z38=1)</x:f>
        <x:v>0</x:v>
      </x:c>
      <x:c r="AR38" t="n">
        <x:f>--AND(AQ38=1,AA38=1)</x:f>
        <x:v>0</x:v>
      </x:c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  <x:c r="S39" s="28"/>
      <x:c r="T39" s="28"/>
      <x:c r="U39" s="28"/>
      <x:c r="V39" s="28"/>
      <x:c r="W39" s="28"/>
      <x:c r="X39" s="43" t="n">
        <x:f>--AND(S39=1,T39=1,U39=1,V39=1,W39=1)</x:f>
        <x:v>0</x:v>
      </x:c>
      <x:c r="AE39" s="43" t="n">
        <x:f>--AND(S39=1,M39&lt;&gt;"",M39&lt;&gt;"keep")</x:f>
        <x:v>0</x:v>
      </x:c>
      <x:c r="AG39" t="n">
        <x:f>--AND(S39=1,T39=1,U39=1,V39=1,W39=1,AE39=1)</x:f>
        <x:v>0</x:v>
      </x:c>
      <x:c r="AJ39" t="str">
        <x:f>IF(OR(AH39="",AI39=""),"",--(AH39&lt;&gt;AI39))</x:f>
      </x:c>
      <x:c r="AL39" t="str">
        <x:f>IF(OR(AH39="",AI39=""),"PENDING_HUMAN",IF(AH39=AI39,AH39,IF(AK39&lt;&gt;"",AK39,"PENDING_HUMAN")))</x:f>
        <x:v>PENDING_HUMAN</x:v>
      </x:c>
      <x:c r="AM39" t="n">
        <x:f>--AND(A39&lt;&gt;"",AH39&lt;&gt;"",AI39&lt;&gt;"",OR(AH39=AI39,AK39&lt;&gt;""))</x:f>
        <x:v>0</x:v>
      </x:c>
      <x:c r="AN39" t="n">
        <x:f>--AND(Y39&lt;&gt;"",COUNTIF($Y$4:Y39,Y39)=1)</x:f>
        <x:v>0</x:v>
      </x:c>
      <x:c r="AO39" t="n">
        <x:f>--AND(AN39=1,Z39=1,AM39=1)</x:f>
        <x:v>0</x:v>
      </x:c>
      <x:c r="AP39" t="n">
        <x:f>--AND(AO39=1,AA39=1,AL39=1)</x:f>
        <x:v>0</x:v>
      </x:c>
      <x:c r="AQ39" t="n">
        <x:f>--AND(AN39=1,Z39=1)</x:f>
        <x:v>0</x:v>
      </x:c>
      <x:c r="AR39" t="n">
        <x:f>--AND(AQ39=1,AA39=1)</x:f>
        <x:v>0</x:v>
      </x:c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  <x:c r="S40" s="28"/>
      <x:c r="T40" s="28"/>
      <x:c r="U40" s="28"/>
      <x:c r="V40" s="28"/>
      <x:c r="W40" s="28"/>
      <x:c r="X40" s="43" t="n">
        <x:f>--AND(S40=1,T40=1,U40=1,V40=1,W40=1)</x:f>
        <x:v>0</x:v>
      </x:c>
      <x:c r="AE40" s="43" t="n">
        <x:f>--AND(S40=1,M40&lt;&gt;"",M40&lt;&gt;"keep")</x:f>
        <x:v>0</x:v>
      </x:c>
      <x:c r="AG40" t="n">
        <x:f>--AND(S40=1,T40=1,U40=1,V40=1,W40=1,AE40=1)</x:f>
        <x:v>0</x:v>
      </x:c>
      <x:c r="AJ40" t="str">
        <x:f>IF(OR(AH40="",AI40=""),"",--(AH40&lt;&gt;AI40))</x:f>
      </x:c>
      <x:c r="AL40" t="str">
        <x:f>IF(OR(AH40="",AI40=""),"PENDING_HUMAN",IF(AH40=AI40,AH40,IF(AK40&lt;&gt;"",AK40,"PENDING_HUMAN")))</x:f>
        <x:v>PENDING_HUMAN</x:v>
      </x:c>
      <x:c r="AM40" t="n">
        <x:f>--AND(A40&lt;&gt;"",AH40&lt;&gt;"",AI40&lt;&gt;"",OR(AH40=AI40,AK40&lt;&gt;""))</x:f>
        <x:v>0</x:v>
      </x:c>
      <x:c r="AN40" t="n">
        <x:f>--AND(Y40&lt;&gt;"",COUNTIF($Y$4:Y40,Y40)=1)</x:f>
        <x:v>0</x:v>
      </x:c>
      <x:c r="AO40" t="n">
        <x:f>--AND(AN40=1,Z40=1,AM40=1)</x:f>
        <x:v>0</x:v>
      </x:c>
      <x:c r="AP40" t="n">
        <x:f>--AND(AO40=1,AA40=1,AL40=1)</x:f>
        <x:v>0</x:v>
      </x:c>
      <x:c r="AQ40" t="n">
        <x:f>--AND(AN40=1,Z40=1)</x:f>
        <x:v>0</x:v>
      </x:c>
      <x:c r="AR40" t="n">
        <x:f>--AND(AQ40=1,AA40=1)</x:f>
        <x:v>0</x:v>
      </x:c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  <x:c r="S41" s="28"/>
      <x:c r="T41" s="28"/>
      <x:c r="U41" s="28"/>
      <x:c r="V41" s="28"/>
      <x:c r="W41" s="28"/>
      <x:c r="X41" s="43" t="n">
        <x:f>--AND(S41=1,T41=1,U41=1,V41=1,W41=1)</x:f>
        <x:v>0</x:v>
      </x:c>
      <x:c r="AE41" s="43" t="n">
        <x:f>--AND(S41=1,M41&lt;&gt;"",M41&lt;&gt;"keep")</x:f>
        <x:v>0</x:v>
      </x:c>
      <x:c r="AG41" t="n">
        <x:f>--AND(S41=1,T41=1,U41=1,V41=1,W41=1,AE41=1)</x:f>
        <x:v>0</x:v>
      </x:c>
      <x:c r="AJ41" t="str">
        <x:f>IF(OR(AH41="",AI41=""),"",--(AH41&lt;&gt;AI41))</x:f>
      </x:c>
      <x:c r="AL41" t="str">
        <x:f>IF(OR(AH41="",AI41=""),"PENDING_HUMAN",IF(AH41=AI41,AH41,IF(AK41&lt;&gt;"",AK41,"PENDING_HUMAN")))</x:f>
        <x:v>PENDING_HUMAN</x:v>
      </x:c>
      <x:c r="AM41" t="n">
        <x:f>--AND(A41&lt;&gt;"",AH41&lt;&gt;"",AI41&lt;&gt;"",OR(AH41=AI41,AK41&lt;&gt;""))</x:f>
        <x:v>0</x:v>
      </x:c>
      <x:c r="AN41" t="n">
        <x:f>--AND(Y41&lt;&gt;"",COUNTIF($Y$4:Y41,Y41)=1)</x:f>
        <x:v>0</x:v>
      </x:c>
      <x:c r="AO41" t="n">
        <x:f>--AND(AN41=1,Z41=1,AM41=1)</x:f>
        <x:v>0</x:v>
      </x:c>
      <x:c r="AP41" t="n">
        <x:f>--AND(AO41=1,AA41=1,AL41=1)</x:f>
        <x:v>0</x:v>
      </x:c>
      <x:c r="AQ41" t="n">
        <x:f>--AND(AN41=1,Z41=1)</x:f>
        <x:v>0</x:v>
      </x:c>
      <x:c r="AR41" t="n">
        <x:f>--AND(AQ41=1,AA41=1)</x:f>
        <x:v>0</x:v>
      </x:c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  <x:c r="S42" s="28"/>
      <x:c r="T42" s="28"/>
      <x:c r="U42" s="28"/>
      <x:c r="V42" s="28"/>
      <x:c r="W42" s="28"/>
      <x:c r="X42" s="43" t="n">
        <x:f>--AND(S42=1,T42=1,U42=1,V42=1,W42=1)</x:f>
        <x:v>0</x:v>
      </x:c>
      <x:c r="AE42" s="43" t="n">
        <x:f>--AND(S42=1,M42&lt;&gt;"",M42&lt;&gt;"keep")</x:f>
        <x:v>0</x:v>
      </x:c>
      <x:c r="AG42" t="n">
        <x:f>--AND(S42=1,T42=1,U42=1,V42=1,W42=1,AE42=1)</x:f>
        <x:v>0</x:v>
      </x:c>
      <x:c r="AJ42" t="str">
        <x:f>IF(OR(AH42="",AI42=""),"",--(AH42&lt;&gt;AI42))</x:f>
      </x:c>
      <x:c r="AL42" t="str">
        <x:f>IF(OR(AH42="",AI42=""),"PENDING_HUMAN",IF(AH42=AI42,AH42,IF(AK42&lt;&gt;"",AK42,"PENDING_HUMAN")))</x:f>
        <x:v>PENDING_HUMAN</x:v>
      </x:c>
      <x:c r="AM42" t="n">
        <x:f>--AND(A42&lt;&gt;"",AH42&lt;&gt;"",AI42&lt;&gt;"",OR(AH42=AI42,AK42&lt;&gt;""))</x:f>
        <x:v>0</x:v>
      </x:c>
      <x:c r="AN42" t="n">
        <x:f>--AND(Y42&lt;&gt;"",COUNTIF($Y$4:Y42,Y42)=1)</x:f>
        <x:v>0</x:v>
      </x:c>
      <x:c r="AO42" t="n">
        <x:f>--AND(AN42=1,Z42=1,AM42=1)</x:f>
        <x:v>0</x:v>
      </x:c>
      <x:c r="AP42" t="n">
        <x:f>--AND(AO42=1,AA42=1,AL42=1)</x:f>
        <x:v>0</x:v>
      </x:c>
      <x:c r="AQ42" t="n">
        <x:f>--AND(AN42=1,Z42=1)</x:f>
        <x:v>0</x:v>
      </x:c>
      <x:c r="AR42" t="n">
        <x:f>--AND(AQ42=1,AA42=1)</x:f>
        <x:v>0</x:v>
      </x:c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  <x:c r="S43" s="28"/>
      <x:c r="T43" s="28"/>
      <x:c r="U43" s="28"/>
      <x:c r="V43" s="28"/>
      <x:c r="W43" s="28"/>
      <x:c r="X43" s="43" t="n">
        <x:f>--AND(S43=1,T43=1,U43=1,V43=1,W43=1)</x:f>
        <x:v>0</x:v>
      </x:c>
      <x:c r="AE43" s="43" t="n">
        <x:f>--AND(S43=1,M43&lt;&gt;"",M43&lt;&gt;"keep")</x:f>
        <x:v>0</x:v>
      </x:c>
      <x:c r="AG43" t="n">
        <x:f>--AND(S43=1,T43=1,U43=1,V43=1,W43=1,AE43=1)</x:f>
        <x:v>0</x:v>
      </x:c>
      <x:c r="AJ43" t="str">
        <x:f>IF(OR(AH43="",AI43=""),"",--(AH43&lt;&gt;AI43))</x:f>
      </x:c>
      <x:c r="AL43" t="str">
        <x:f>IF(OR(AH43="",AI43=""),"PENDING_HUMAN",IF(AH43=AI43,AH43,IF(AK43&lt;&gt;"",AK43,"PENDING_HUMAN")))</x:f>
        <x:v>PENDING_HUMAN</x:v>
      </x:c>
      <x:c r="AM43" t="n">
        <x:f>--AND(A43&lt;&gt;"",AH43&lt;&gt;"",AI43&lt;&gt;"",OR(AH43=AI43,AK43&lt;&gt;""))</x:f>
        <x:v>0</x:v>
      </x:c>
      <x:c r="AN43" t="n">
        <x:f>--AND(Y43&lt;&gt;"",COUNTIF($Y$4:Y43,Y43)=1)</x:f>
        <x:v>0</x:v>
      </x:c>
      <x:c r="AO43" t="n">
        <x:f>--AND(AN43=1,Z43=1,AM43=1)</x:f>
        <x:v>0</x:v>
      </x:c>
      <x:c r="AP43" t="n">
        <x:f>--AND(AO43=1,AA43=1,AL43=1)</x:f>
        <x:v>0</x:v>
      </x:c>
      <x:c r="AQ43" t="n">
        <x:f>--AND(AN43=1,Z43=1)</x:f>
        <x:v>0</x:v>
      </x:c>
      <x:c r="AR43" t="n">
        <x:f>--AND(AQ43=1,AA43=1)</x:f>
        <x:v>0</x:v>
      </x:c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  <x:c r="S44" s="28"/>
      <x:c r="T44" s="28"/>
      <x:c r="U44" s="28"/>
      <x:c r="V44" s="28"/>
      <x:c r="W44" s="28"/>
      <x:c r="X44" s="43" t="n">
        <x:f>--AND(S44=1,T44=1,U44=1,V44=1,W44=1)</x:f>
        <x:v>0</x:v>
      </x:c>
      <x:c r="AE44" s="43" t="n">
        <x:f>--AND(S44=1,M44&lt;&gt;"",M44&lt;&gt;"keep")</x:f>
        <x:v>0</x:v>
      </x:c>
      <x:c r="AG44" t="n">
        <x:f>--AND(S44=1,T44=1,U44=1,V44=1,W44=1,AE44=1)</x:f>
        <x:v>0</x:v>
      </x:c>
      <x:c r="AJ44" t="str">
        <x:f>IF(OR(AH44="",AI44=""),"",--(AH44&lt;&gt;AI44))</x:f>
      </x:c>
      <x:c r="AL44" t="str">
        <x:f>IF(OR(AH44="",AI44=""),"PENDING_HUMAN",IF(AH44=AI44,AH44,IF(AK44&lt;&gt;"",AK44,"PENDING_HUMAN")))</x:f>
        <x:v>PENDING_HUMAN</x:v>
      </x:c>
      <x:c r="AM44" t="n">
        <x:f>--AND(A44&lt;&gt;"",AH44&lt;&gt;"",AI44&lt;&gt;"",OR(AH44=AI44,AK44&lt;&gt;""))</x:f>
        <x:v>0</x:v>
      </x:c>
      <x:c r="AN44" t="n">
        <x:f>--AND(Y44&lt;&gt;"",COUNTIF($Y$4:Y44,Y44)=1)</x:f>
        <x:v>0</x:v>
      </x:c>
      <x:c r="AO44" t="n">
        <x:f>--AND(AN44=1,Z44=1,AM44=1)</x:f>
        <x:v>0</x:v>
      </x:c>
      <x:c r="AP44" t="n">
        <x:f>--AND(AO44=1,AA44=1,AL44=1)</x:f>
        <x:v>0</x:v>
      </x:c>
      <x:c r="AQ44" t="n">
        <x:f>--AND(AN44=1,Z44=1)</x:f>
        <x:v>0</x:v>
      </x:c>
      <x:c r="AR44" t="n">
        <x:f>--AND(AQ44=1,AA44=1)</x:f>
        <x:v>0</x:v>
      </x:c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  <x:c r="S45" s="28"/>
      <x:c r="T45" s="28"/>
      <x:c r="U45" s="28"/>
      <x:c r="V45" s="28"/>
      <x:c r="W45" s="28"/>
      <x:c r="X45" s="43" t="n">
        <x:f>--AND(S45=1,T45=1,U45=1,V45=1,W45=1)</x:f>
        <x:v>0</x:v>
      </x:c>
      <x:c r="AE45" s="43" t="n">
        <x:f>--AND(S45=1,M45&lt;&gt;"",M45&lt;&gt;"keep")</x:f>
        <x:v>0</x:v>
      </x:c>
      <x:c r="AG45" t="n">
        <x:f>--AND(S45=1,T45=1,U45=1,V45=1,W45=1,AE45=1)</x:f>
        <x:v>0</x:v>
      </x:c>
      <x:c r="AJ45" t="str">
        <x:f>IF(OR(AH45="",AI45=""),"",--(AH45&lt;&gt;AI45))</x:f>
      </x:c>
      <x:c r="AL45" t="str">
        <x:f>IF(OR(AH45="",AI45=""),"PENDING_HUMAN",IF(AH45=AI45,AH45,IF(AK45&lt;&gt;"",AK45,"PENDING_HUMAN")))</x:f>
        <x:v>PENDING_HUMAN</x:v>
      </x:c>
      <x:c r="AM45" t="n">
        <x:f>--AND(A45&lt;&gt;"",AH45&lt;&gt;"",AI45&lt;&gt;"",OR(AH45=AI45,AK45&lt;&gt;""))</x:f>
        <x:v>0</x:v>
      </x:c>
      <x:c r="AN45" t="n">
        <x:f>--AND(Y45&lt;&gt;"",COUNTIF($Y$4:Y45,Y45)=1)</x:f>
        <x:v>0</x:v>
      </x:c>
      <x:c r="AO45" t="n">
        <x:f>--AND(AN45=1,Z45=1,AM45=1)</x:f>
        <x:v>0</x:v>
      </x:c>
      <x:c r="AP45" t="n">
        <x:f>--AND(AO45=1,AA45=1,AL45=1)</x:f>
        <x:v>0</x:v>
      </x:c>
      <x:c r="AQ45" t="n">
        <x:f>--AND(AN45=1,Z45=1)</x:f>
        <x:v>0</x:v>
      </x:c>
      <x:c r="AR45" t="n">
        <x:f>--AND(AQ45=1,AA45=1)</x:f>
        <x:v>0</x:v>
      </x:c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  <x:c r="S46" s="28"/>
      <x:c r="T46" s="28"/>
      <x:c r="U46" s="28"/>
      <x:c r="V46" s="28"/>
      <x:c r="W46" s="28"/>
      <x:c r="X46" s="43" t="n">
        <x:f>--AND(S46=1,T46=1,U46=1,V46=1,W46=1)</x:f>
        <x:v>0</x:v>
      </x:c>
      <x:c r="AE46" s="43" t="n">
        <x:f>--AND(S46=1,M46&lt;&gt;"",M46&lt;&gt;"keep")</x:f>
        <x:v>0</x:v>
      </x:c>
      <x:c r="AG46" t="n">
        <x:f>--AND(S46=1,T46=1,U46=1,V46=1,W46=1,AE46=1)</x:f>
        <x:v>0</x:v>
      </x:c>
      <x:c r="AJ46" t="str">
        <x:f>IF(OR(AH46="",AI46=""),"",--(AH46&lt;&gt;AI46))</x:f>
      </x:c>
      <x:c r="AL46" t="str">
        <x:f>IF(OR(AH46="",AI46=""),"PENDING_HUMAN",IF(AH46=AI46,AH46,IF(AK46&lt;&gt;"",AK46,"PENDING_HUMAN")))</x:f>
        <x:v>PENDING_HUMAN</x:v>
      </x:c>
      <x:c r="AM46" t="n">
        <x:f>--AND(A46&lt;&gt;"",AH46&lt;&gt;"",AI46&lt;&gt;"",OR(AH46=AI46,AK46&lt;&gt;""))</x:f>
        <x:v>0</x:v>
      </x:c>
      <x:c r="AN46" t="n">
        <x:f>--AND(Y46&lt;&gt;"",COUNTIF($Y$4:Y46,Y46)=1)</x:f>
        <x:v>0</x:v>
      </x:c>
      <x:c r="AO46" t="n">
        <x:f>--AND(AN46=1,Z46=1,AM46=1)</x:f>
        <x:v>0</x:v>
      </x:c>
      <x:c r="AP46" t="n">
        <x:f>--AND(AO46=1,AA46=1,AL46=1)</x:f>
        <x:v>0</x:v>
      </x:c>
      <x:c r="AQ46" t="n">
        <x:f>--AND(AN46=1,Z46=1)</x:f>
        <x:v>0</x:v>
      </x:c>
      <x:c r="AR46" t="n">
        <x:f>--AND(AQ46=1,AA46=1)</x:f>
        <x:v>0</x:v>
      </x:c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  <x:c r="S47" s="28"/>
      <x:c r="T47" s="28"/>
      <x:c r="U47" s="28"/>
      <x:c r="V47" s="28"/>
      <x:c r="W47" s="28"/>
      <x:c r="X47" s="43" t="n">
        <x:f>--AND(S47=1,T47=1,U47=1,V47=1,W47=1)</x:f>
        <x:v>0</x:v>
      </x:c>
      <x:c r="AE47" s="43" t="n">
        <x:f>--AND(S47=1,M47&lt;&gt;"",M47&lt;&gt;"keep")</x:f>
        <x:v>0</x:v>
      </x:c>
      <x:c r="AG47" t="n">
        <x:f>--AND(S47=1,T47=1,U47=1,V47=1,W47=1,AE47=1)</x:f>
        <x:v>0</x:v>
      </x:c>
      <x:c r="AJ47" t="str">
        <x:f>IF(OR(AH47="",AI47=""),"",--(AH47&lt;&gt;AI47))</x:f>
      </x:c>
      <x:c r="AL47" t="str">
        <x:f>IF(OR(AH47="",AI47=""),"PENDING_HUMAN",IF(AH47=AI47,AH47,IF(AK47&lt;&gt;"",AK47,"PENDING_HUMAN")))</x:f>
        <x:v>PENDING_HUMAN</x:v>
      </x:c>
      <x:c r="AM47" t="n">
        <x:f>--AND(A47&lt;&gt;"",AH47&lt;&gt;"",AI47&lt;&gt;"",OR(AH47=AI47,AK47&lt;&gt;""))</x:f>
        <x:v>0</x:v>
      </x:c>
      <x:c r="AN47" t="n">
        <x:f>--AND(Y47&lt;&gt;"",COUNTIF($Y$4:Y47,Y47)=1)</x:f>
        <x:v>0</x:v>
      </x:c>
      <x:c r="AO47" t="n">
        <x:f>--AND(AN47=1,Z47=1,AM47=1)</x:f>
        <x:v>0</x:v>
      </x:c>
      <x:c r="AP47" t="n">
        <x:f>--AND(AO47=1,AA47=1,AL47=1)</x:f>
        <x:v>0</x:v>
      </x:c>
      <x:c r="AQ47" t="n">
        <x:f>--AND(AN47=1,Z47=1)</x:f>
        <x:v>0</x:v>
      </x:c>
      <x:c r="AR47" t="n">
        <x:f>--AND(AQ47=1,AA47=1)</x:f>
        <x:v>0</x:v>
      </x:c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  <x:c r="S48" s="28"/>
      <x:c r="T48" s="28"/>
      <x:c r="U48" s="28"/>
      <x:c r="V48" s="28"/>
      <x:c r="W48" s="28"/>
      <x:c r="X48" s="43" t="n">
        <x:f>--AND(S48=1,T48=1,U48=1,V48=1,W48=1)</x:f>
        <x:v>0</x:v>
      </x:c>
      <x:c r="AE48" s="43" t="n">
        <x:f>--AND(S48=1,M48&lt;&gt;"",M48&lt;&gt;"keep")</x:f>
        <x:v>0</x:v>
      </x:c>
      <x:c r="AG48" t="n">
        <x:f>--AND(S48=1,T48=1,U48=1,V48=1,W48=1,AE48=1)</x:f>
        <x:v>0</x:v>
      </x:c>
      <x:c r="AJ48" t="str">
        <x:f>IF(OR(AH48="",AI48=""),"",--(AH48&lt;&gt;AI48))</x:f>
      </x:c>
      <x:c r="AL48" t="str">
        <x:f>IF(OR(AH48="",AI48=""),"PENDING_HUMAN",IF(AH48=AI48,AH48,IF(AK48&lt;&gt;"",AK48,"PENDING_HUMAN")))</x:f>
        <x:v>PENDING_HUMAN</x:v>
      </x:c>
      <x:c r="AM48" t="n">
        <x:f>--AND(A48&lt;&gt;"",AH48&lt;&gt;"",AI48&lt;&gt;"",OR(AH48=AI48,AK48&lt;&gt;""))</x:f>
        <x:v>0</x:v>
      </x:c>
      <x:c r="AN48" t="n">
        <x:f>--AND(Y48&lt;&gt;"",COUNTIF($Y$4:Y48,Y48)=1)</x:f>
        <x:v>0</x:v>
      </x:c>
      <x:c r="AO48" t="n">
        <x:f>--AND(AN48=1,Z48=1,AM48=1)</x:f>
        <x:v>0</x:v>
      </x:c>
      <x:c r="AP48" t="n">
        <x:f>--AND(AO48=1,AA48=1,AL48=1)</x:f>
        <x:v>0</x:v>
      </x:c>
      <x:c r="AQ48" t="n">
        <x:f>--AND(AN48=1,Z48=1)</x:f>
        <x:v>0</x:v>
      </x:c>
      <x:c r="AR48" t="n">
        <x:f>--AND(AQ48=1,AA48=1)</x:f>
        <x:v>0</x:v>
      </x:c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  <x:c r="S49" s="28"/>
      <x:c r="T49" s="28"/>
      <x:c r="U49" s="28"/>
      <x:c r="V49" s="28"/>
      <x:c r="W49" s="28"/>
      <x:c r="X49" s="43" t="n">
        <x:f>--AND(S49=1,T49=1,U49=1,V49=1,W49=1)</x:f>
        <x:v>0</x:v>
      </x:c>
      <x:c r="AE49" s="43" t="n">
        <x:f>--AND(S49=1,M49&lt;&gt;"",M49&lt;&gt;"keep")</x:f>
        <x:v>0</x:v>
      </x:c>
      <x:c r="AG49" t="n">
        <x:f>--AND(S49=1,T49=1,U49=1,V49=1,W49=1,AE49=1)</x:f>
        <x:v>0</x:v>
      </x:c>
      <x:c r="AJ49" t="str">
        <x:f>IF(OR(AH49="",AI49=""),"",--(AH49&lt;&gt;AI49))</x:f>
      </x:c>
      <x:c r="AL49" t="str">
        <x:f>IF(OR(AH49="",AI49=""),"PENDING_HUMAN",IF(AH49=AI49,AH49,IF(AK49&lt;&gt;"",AK49,"PENDING_HUMAN")))</x:f>
        <x:v>PENDING_HUMAN</x:v>
      </x:c>
      <x:c r="AM49" t="n">
        <x:f>--AND(A49&lt;&gt;"",AH49&lt;&gt;"",AI49&lt;&gt;"",OR(AH49=AI49,AK49&lt;&gt;""))</x:f>
        <x:v>0</x:v>
      </x:c>
      <x:c r="AN49" t="n">
        <x:f>--AND(Y49&lt;&gt;"",COUNTIF($Y$4:Y49,Y49)=1)</x:f>
        <x:v>0</x:v>
      </x:c>
      <x:c r="AO49" t="n">
        <x:f>--AND(AN49=1,Z49=1,AM49=1)</x:f>
        <x:v>0</x:v>
      </x:c>
      <x:c r="AP49" t="n">
        <x:f>--AND(AO49=1,AA49=1,AL49=1)</x:f>
        <x:v>0</x:v>
      </x:c>
      <x:c r="AQ49" t="n">
        <x:f>--AND(AN49=1,Z49=1)</x:f>
        <x:v>0</x:v>
      </x:c>
      <x:c r="AR49" t="n">
        <x:f>--AND(AQ49=1,AA49=1)</x:f>
        <x:v>0</x:v>
      </x:c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  <x:c r="S50" s="28"/>
      <x:c r="T50" s="28"/>
      <x:c r="U50" s="28"/>
      <x:c r="V50" s="28"/>
      <x:c r="W50" s="28"/>
      <x:c r="X50" s="43" t="n">
        <x:f>--AND(S50=1,T50=1,U50=1,V50=1,W50=1)</x:f>
        <x:v>0</x:v>
      </x:c>
      <x:c r="AE50" s="43" t="n">
        <x:f>--AND(S50=1,M50&lt;&gt;"",M50&lt;&gt;"keep")</x:f>
        <x:v>0</x:v>
      </x:c>
      <x:c r="AG50" t="n">
        <x:f>--AND(S50=1,T50=1,U50=1,V50=1,W50=1,AE50=1)</x:f>
        <x:v>0</x:v>
      </x:c>
      <x:c r="AJ50" t="str">
        <x:f>IF(OR(AH50="",AI50=""),"",--(AH50&lt;&gt;AI50))</x:f>
      </x:c>
      <x:c r="AL50" t="str">
        <x:f>IF(OR(AH50="",AI50=""),"PENDING_HUMAN",IF(AH50=AI50,AH50,IF(AK50&lt;&gt;"",AK50,"PENDING_HUMAN")))</x:f>
        <x:v>PENDING_HUMAN</x:v>
      </x:c>
      <x:c r="AM50" t="n">
        <x:f>--AND(A50&lt;&gt;"",AH50&lt;&gt;"",AI50&lt;&gt;"",OR(AH50=AI50,AK50&lt;&gt;""))</x:f>
        <x:v>0</x:v>
      </x:c>
      <x:c r="AN50" t="n">
        <x:f>--AND(Y50&lt;&gt;"",COUNTIF($Y$4:Y50,Y50)=1)</x:f>
        <x:v>0</x:v>
      </x:c>
      <x:c r="AO50" t="n">
        <x:f>--AND(AN50=1,Z50=1,AM50=1)</x:f>
        <x:v>0</x:v>
      </x:c>
      <x:c r="AP50" t="n">
        <x:f>--AND(AO50=1,AA50=1,AL50=1)</x:f>
        <x:v>0</x:v>
      </x:c>
      <x:c r="AQ50" t="n">
        <x:f>--AND(AN50=1,Z50=1)</x:f>
        <x:v>0</x:v>
      </x:c>
      <x:c r="AR50" t="n">
        <x:f>--AND(AQ50=1,AA50=1)</x:f>
        <x:v>0</x:v>
      </x:c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  <x:c r="S51" s="28"/>
      <x:c r="T51" s="28"/>
      <x:c r="U51" s="28"/>
      <x:c r="V51" s="28"/>
      <x:c r="W51" s="28"/>
      <x:c r="X51" s="43" t="n">
        <x:f>--AND(S51=1,T51=1,U51=1,V51=1,W51=1)</x:f>
        <x:v>0</x:v>
      </x:c>
      <x:c r="AE51" s="43" t="n">
        <x:f>--AND(S51=1,M51&lt;&gt;"",M51&lt;&gt;"keep")</x:f>
        <x:v>0</x:v>
      </x:c>
      <x:c r="AG51" t="n">
        <x:f>--AND(S51=1,T51=1,U51=1,V51=1,W51=1,AE51=1)</x:f>
        <x:v>0</x:v>
      </x:c>
      <x:c r="AJ51" t="str">
        <x:f>IF(OR(AH51="",AI51=""),"",--(AH51&lt;&gt;AI51))</x:f>
      </x:c>
      <x:c r="AL51" t="str">
        <x:f>IF(OR(AH51="",AI51=""),"PENDING_HUMAN",IF(AH51=AI51,AH51,IF(AK51&lt;&gt;"",AK51,"PENDING_HUMAN")))</x:f>
        <x:v>PENDING_HUMAN</x:v>
      </x:c>
      <x:c r="AM51" t="n">
        <x:f>--AND(A51&lt;&gt;"",AH51&lt;&gt;"",AI51&lt;&gt;"",OR(AH51=AI51,AK51&lt;&gt;""))</x:f>
        <x:v>0</x:v>
      </x:c>
      <x:c r="AN51" t="n">
        <x:f>--AND(Y51&lt;&gt;"",COUNTIF($Y$4:Y51,Y51)=1)</x:f>
        <x:v>0</x:v>
      </x:c>
      <x:c r="AO51" t="n">
        <x:f>--AND(AN51=1,Z51=1,AM51=1)</x:f>
        <x:v>0</x:v>
      </x:c>
      <x:c r="AP51" t="n">
        <x:f>--AND(AO51=1,AA51=1,AL51=1)</x:f>
        <x:v>0</x:v>
      </x:c>
      <x:c r="AQ51" t="n">
        <x:f>--AND(AN51=1,Z51=1)</x:f>
        <x:v>0</x:v>
      </x:c>
      <x:c r="AR51" t="n">
        <x:f>--AND(AQ51=1,AA51=1)</x:f>
        <x:v>0</x:v>
      </x:c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  <x:c r="S52" s="28"/>
      <x:c r="T52" s="28"/>
      <x:c r="U52" s="28"/>
      <x:c r="V52" s="28"/>
      <x:c r="W52" s="28"/>
      <x:c r="X52" s="43" t="n">
        <x:f>--AND(S52=1,T52=1,U52=1,V52=1,W52=1)</x:f>
        <x:v>0</x:v>
      </x:c>
      <x:c r="AE52" s="43" t="n">
        <x:f>--AND(S52=1,M52&lt;&gt;"",M52&lt;&gt;"keep")</x:f>
        <x:v>0</x:v>
      </x:c>
      <x:c r="AG52" t="n">
        <x:f>--AND(S52=1,T52=1,U52=1,V52=1,W52=1,AE52=1)</x:f>
        <x:v>0</x:v>
      </x:c>
      <x:c r="AJ52" t="str">
        <x:f>IF(OR(AH52="",AI52=""),"",--(AH52&lt;&gt;AI52))</x:f>
      </x:c>
      <x:c r="AL52" t="str">
        <x:f>IF(OR(AH52="",AI52=""),"PENDING_HUMAN",IF(AH52=AI52,AH52,IF(AK52&lt;&gt;"",AK52,"PENDING_HUMAN")))</x:f>
        <x:v>PENDING_HUMAN</x:v>
      </x:c>
      <x:c r="AM52" t="n">
        <x:f>--AND(A52&lt;&gt;"",AH52&lt;&gt;"",AI52&lt;&gt;"",OR(AH52=AI52,AK52&lt;&gt;""))</x:f>
        <x:v>0</x:v>
      </x:c>
      <x:c r="AN52" t="n">
        <x:f>--AND(Y52&lt;&gt;"",COUNTIF($Y$4:Y52,Y52)=1)</x:f>
        <x:v>0</x:v>
      </x:c>
      <x:c r="AO52" t="n">
        <x:f>--AND(AN52=1,Z52=1,AM52=1)</x:f>
        <x:v>0</x:v>
      </x:c>
      <x:c r="AP52" t="n">
        <x:f>--AND(AO52=1,AA52=1,AL52=1)</x:f>
        <x:v>0</x:v>
      </x:c>
      <x:c r="AQ52" t="n">
        <x:f>--AND(AN52=1,Z52=1)</x:f>
        <x:v>0</x:v>
      </x:c>
      <x:c r="AR52" t="n">
        <x:f>--AND(AQ52=1,AA52=1)</x:f>
        <x:v>0</x:v>
      </x:c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  <x:c r="S53" s="28"/>
      <x:c r="T53" s="28"/>
      <x:c r="U53" s="28"/>
      <x:c r="V53" s="28"/>
      <x:c r="W53" s="28"/>
      <x:c r="X53" s="43" t="n">
        <x:f>--AND(S53=1,T53=1,U53=1,V53=1,W53=1)</x:f>
        <x:v>0</x:v>
      </x:c>
      <x:c r="AE53" s="43" t="n">
        <x:f>--AND(S53=1,M53&lt;&gt;"",M53&lt;&gt;"keep")</x:f>
        <x:v>0</x:v>
      </x:c>
      <x:c r="AG53" t="n">
        <x:f>--AND(S53=1,T53=1,U53=1,V53=1,W53=1,AE53=1)</x:f>
        <x:v>0</x:v>
      </x:c>
      <x:c r="AJ53" t="str">
        <x:f>IF(OR(AH53="",AI53=""),"",--(AH53&lt;&gt;AI53))</x:f>
      </x:c>
      <x:c r="AL53" t="str">
        <x:f>IF(OR(AH53="",AI53=""),"PENDING_HUMAN",IF(AH53=AI53,AH53,IF(AK53&lt;&gt;"",AK53,"PENDING_HUMAN")))</x:f>
        <x:v>PENDING_HUMAN</x:v>
      </x:c>
      <x:c r="AM53" t="n">
        <x:f>--AND(A53&lt;&gt;"",AH53&lt;&gt;"",AI53&lt;&gt;"",OR(AH53=AI53,AK53&lt;&gt;""))</x:f>
        <x:v>0</x:v>
      </x:c>
      <x:c r="AN53" t="n">
        <x:f>--AND(Y53&lt;&gt;"",COUNTIF($Y$4:Y53,Y53)=1)</x:f>
        <x:v>0</x:v>
      </x:c>
      <x:c r="AO53" t="n">
        <x:f>--AND(AN53=1,Z53=1,AM53=1)</x:f>
        <x:v>0</x:v>
      </x:c>
      <x:c r="AP53" t="n">
        <x:f>--AND(AO53=1,AA53=1,AL53=1)</x:f>
        <x:v>0</x:v>
      </x:c>
      <x:c r="AQ53" t="n">
        <x:f>--AND(AN53=1,Z53=1)</x:f>
        <x:v>0</x:v>
      </x:c>
      <x:c r="AR53" t="n">
        <x:f>--AND(AQ53=1,AA53=1)</x:f>
        <x:v>0</x:v>
      </x:c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  <x:c r="S54" s="28"/>
      <x:c r="T54" s="28"/>
      <x:c r="U54" s="28"/>
      <x:c r="V54" s="28"/>
      <x:c r="W54" s="28"/>
      <x:c r="X54" s="43" t="n">
        <x:f>--AND(S54=1,T54=1,U54=1,V54=1,W54=1)</x:f>
        <x:v>0</x:v>
      </x:c>
      <x:c r="AE54" s="43" t="n">
        <x:f>--AND(S54=1,M54&lt;&gt;"",M54&lt;&gt;"keep")</x:f>
        <x:v>0</x:v>
      </x:c>
      <x:c r="AG54" t="n">
        <x:f>--AND(S54=1,T54=1,U54=1,V54=1,W54=1,AE54=1)</x:f>
        <x:v>0</x:v>
      </x:c>
      <x:c r="AJ54" t="str">
        <x:f>IF(OR(AH54="",AI54=""),"",--(AH54&lt;&gt;AI54))</x:f>
      </x:c>
      <x:c r="AL54" t="str">
        <x:f>IF(OR(AH54="",AI54=""),"PENDING_HUMAN",IF(AH54=AI54,AH54,IF(AK54&lt;&gt;"",AK54,"PENDING_HUMAN")))</x:f>
        <x:v>PENDING_HUMAN</x:v>
      </x:c>
      <x:c r="AM54" t="n">
        <x:f>--AND(A54&lt;&gt;"",AH54&lt;&gt;"",AI54&lt;&gt;"",OR(AH54=AI54,AK54&lt;&gt;""))</x:f>
        <x:v>0</x:v>
      </x:c>
      <x:c r="AN54" t="n">
        <x:f>--AND(Y54&lt;&gt;"",COUNTIF($Y$4:Y54,Y54)=1)</x:f>
        <x:v>0</x:v>
      </x:c>
      <x:c r="AO54" t="n">
        <x:f>--AND(AN54=1,Z54=1,AM54=1)</x:f>
        <x:v>0</x:v>
      </x:c>
      <x:c r="AP54" t="n">
        <x:f>--AND(AO54=1,AA54=1,AL54=1)</x:f>
        <x:v>0</x:v>
      </x:c>
      <x:c r="AQ54" t="n">
        <x:f>--AND(AN54=1,Z54=1)</x:f>
        <x:v>0</x:v>
      </x:c>
      <x:c r="AR54" t="n">
        <x:f>--AND(AQ54=1,AA54=1)</x:f>
        <x:v>0</x:v>
      </x:c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  <x:c r="S55" s="28"/>
      <x:c r="T55" s="28"/>
      <x:c r="U55" s="28"/>
      <x:c r="V55" s="28"/>
      <x:c r="W55" s="28"/>
      <x:c r="X55" s="43" t="n">
        <x:f>--AND(S55=1,T55=1,U55=1,V55=1,W55=1)</x:f>
        <x:v>0</x:v>
      </x:c>
      <x:c r="AE55" s="43" t="n">
        <x:f>--AND(S55=1,M55&lt;&gt;"",M55&lt;&gt;"keep")</x:f>
        <x:v>0</x:v>
      </x:c>
      <x:c r="AG55" t="n">
        <x:f>--AND(S55=1,T55=1,U55=1,V55=1,W55=1,AE55=1)</x:f>
        <x:v>0</x:v>
      </x:c>
      <x:c r="AJ55" t="str">
        <x:f>IF(OR(AH55="",AI55=""),"",--(AH55&lt;&gt;AI55))</x:f>
      </x:c>
      <x:c r="AL55" t="str">
        <x:f>IF(OR(AH55="",AI55=""),"PENDING_HUMAN",IF(AH55=AI55,AH55,IF(AK55&lt;&gt;"",AK55,"PENDING_HUMAN")))</x:f>
        <x:v>PENDING_HUMAN</x:v>
      </x:c>
      <x:c r="AM55" t="n">
        <x:f>--AND(A55&lt;&gt;"",AH55&lt;&gt;"",AI55&lt;&gt;"",OR(AH55=AI55,AK55&lt;&gt;""))</x:f>
        <x:v>0</x:v>
      </x:c>
      <x:c r="AN55" t="n">
        <x:f>--AND(Y55&lt;&gt;"",COUNTIF($Y$4:Y55,Y55)=1)</x:f>
        <x:v>0</x:v>
      </x:c>
      <x:c r="AO55" t="n">
        <x:f>--AND(AN55=1,Z55=1,AM55=1)</x:f>
        <x:v>0</x:v>
      </x:c>
      <x:c r="AP55" t="n">
        <x:f>--AND(AO55=1,AA55=1,AL55=1)</x:f>
        <x:v>0</x:v>
      </x:c>
      <x:c r="AQ55" t="n">
        <x:f>--AND(AN55=1,Z55=1)</x:f>
        <x:v>0</x:v>
      </x:c>
      <x:c r="AR55" t="n">
        <x:f>--AND(AQ55=1,AA55=1)</x:f>
        <x:v>0</x:v>
      </x:c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  <x:c r="S56" s="28"/>
      <x:c r="T56" s="28"/>
      <x:c r="U56" s="28"/>
      <x:c r="V56" s="28"/>
      <x:c r="W56" s="28"/>
      <x:c r="X56" s="43" t="n">
        <x:f>--AND(S56=1,T56=1,U56=1,V56=1,W56=1)</x:f>
        <x:v>0</x:v>
      </x:c>
      <x:c r="AE56" s="43" t="n">
        <x:f>--AND(S56=1,M56&lt;&gt;"",M56&lt;&gt;"keep")</x:f>
        <x:v>0</x:v>
      </x:c>
      <x:c r="AG56" t="n">
        <x:f>--AND(S56=1,T56=1,U56=1,V56=1,W56=1,AE56=1)</x:f>
        <x:v>0</x:v>
      </x:c>
      <x:c r="AJ56" t="str">
        <x:f>IF(OR(AH56="",AI56=""),"",--(AH56&lt;&gt;AI56))</x:f>
      </x:c>
      <x:c r="AL56" t="str">
        <x:f>IF(OR(AH56="",AI56=""),"PENDING_HUMAN",IF(AH56=AI56,AH56,IF(AK56&lt;&gt;"",AK56,"PENDING_HUMAN")))</x:f>
        <x:v>PENDING_HUMAN</x:v>
      </x:c>
      <x:c r="AM56" t="n">
        <x:f>--AND(A56&lt;&gt;"",AH56&lt;&gt;"",AI56&lt;&gt;"",OR(AH56=AI56,AK56&lt;&gt;""))</x:f>
        <x:v>0</x:v>
      </x:c>
      <x:c r="AN56" t="n">
        <x:f>--AND(Y56&lt;&gt;"",COUNTIF($Y$4:Y56,Y56)=1)</x:f>
        <x:v>0</x:v>
      </x:c>
      <x:c r="AO56" t="n">
        <x:f>--AND(AN56=1,Z56=1,AM56=1)</x:f>
        <x:v>0</x:v>
      </x:c>
      <x:c r="AP56" t="n">
        <x:f>--AND(AO56=1,AA56=1,AL56=1)</x:f>
        <x:v>0</x:v>
      </x:c>
      <x:c r="AQ56" t="n">
        <x:f>--AND(AN56=1,Z56=1)</x:f>
        <x:v>0</x:v>
      </x:c>
      <x:c r="AR56" t="n">
        <x:f>--AND(AQ56=1,AA56=1)</x:f>
        <x:v>0</x:v>
      </x:c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  <x:c r="S57" s="28"/>
      <x:c r="T57" s="28"/>
      <x:c r="U57" s="28"/>
      <x:c r="V57" s="28"/>
      <x:c r="W57" s="28"/>
      <x:c r="X57" s="43" t="n">
        <x:f>--AND(S57=1,T57=1,U57=1,V57=1,W57=1)</x:f>
        <x:v>0</x:v>
      </x:c>
      <x:c r="AE57" s="43" t="n">
        <x:f>--AND(S57=1,M57&lt;&gt;"",M57&lt;&gt;"keep")</x:f>
        <x:v>0</x:v>
      </x:c>
      <x:c r="AG57" t="n">
        <x:f>--AND(S57=1,T57=1,U57=1,V57=1,W57=1,AE57=1)</x:f>
        <x:v>0</x:v>
      </x:c>
      <x:c r="AJ57" t="str">
        <x:f>IF(OR(AH57="",AI57=""),"",--(AH57&lt;&gt;AI57))</x:f>
      </x:c>
      <x:c r="AL57" t="str">
        <x:f>IF(OR(AH57="",AI57=""),"PENDING_HUMAN",IF(AH57=AI57,AH57,IF(AK57&lt;&gt;"",AK57,"PENDING_HUMAN")))</x:f>
        <x:v>PENDING_HUMAN</x:v>
      </x:c>
      <x:c r="AM57" t="n">
        <x:f>--AND(A57&lt;&gt;"",AH57&lt;&gt;"",AI57&lt;&gt;"",OR(AH57=AI57,AK57&lt;&gt;""))</x:f>
        <x:v>0</x:v>
      </x:c>
      <x:c r="AN57" t="n">
        <x:f>--AND(Y57&lt;&gt;"",COUNTIF($Y$4:Y57,Y57)=1)</x:f>
        <x:v>0</x:v>
      </x:c>
      <x:c r="AO57" t="n">
        <x:f>--AND(AN57=1,Z57=1,AM57=1)</x:f>
        <x:v>0</x:v>
      </x:c>
      <x:c r="AP57" t="n">
        <x:f>--AND(AO57=1,AA57=1,AL57=1)</x:f>
        <x:v>0</x:v>
      </x:c>
      <x:c r="AQ57" t="n">
        <x:f>--AND(AN57=1,Z57=1)</x:f>
        <x:v>0</x:v>
      </x:c>
      <x:c r="AR57" t="n">
        <x:f>--AND(AQ57=1,AA57=1)</x:f>
        <x:v>0</x:v>
      </x:c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  <x:c r="S58" s="28"/>
      <x:c r="T58" s="28"/>
      <x:c r="U58" s="28"/>
      <x:c r="V58" s="28"/>
      <x:c r="W58" s="28"/>
      <x:c r="X58" s="43" t="n">
        <x:f>--AND(S58=1,T58=1,U58=1,V58=1,W58=1)</x:f>
        <x:v>0</x:v>
      </x:c>
      <x:c r="AE58" s="43" t="n">
        <x:f>--AND(S58=1,M58&lt;&gt;"",M58&lt;&gt;"keep")</x:f>
        <x:v>0</x:v>
      </x:c>
      <x:c r="AG58" t="n">
        <x:f>--AND(S58=1,T58=1,U58=1,V58=1,W58=1,AE58=1)</x:f>
        <x:v>0</x:v>
      </x:c>
      <x:c r="AJ58" t="str">
        <x:f>IF(OR(AH58="",AI58=""),"",--(AH58&lt;&gt;AI58))</x:f>
      </x:c>
      <x:c r="AL58" t="str">
        <x:f>IF(OR(AH58="",AI58=""),"PENDING_HUMAN",IF(AH58=AI58,AH58,IF(AK58&lt;&gt;"",AK58,"PENDING_HUMAN")))</x:f>
        <x:v>PENDING_HUMAN</x:v>
      </x:c>
      <x:c r="AM58" t="n">
        <x:f>--AND(A58&lt;&gt;"",AH58&lt;&gt;"",AI58&lt;&gt;"",OR(AH58=AI58,AK58&lt;&gt;""))</x:f>
        <x:v>0</x:v>
      </x:c>
      <x:c r="AN58" t="n">
        <x:f>--AND(Y58&lt;&gt;"",COUNTIF($Y$4:Y58,Y58)=1)</x:f>
        <x:v>0</x:v>
      </x:c>
      <x:c r="AO58" t="n">
        <x:f>--AND(AN58=1,Z58=1,AM58=1)</x:f>
        <x:v>0</x:v>
      </x:c>
      <x:c r="AP58" t="n">
        <x:f>--AND(AO58=1,AA58=1,AL58=1)</x:f>
        <x:v>0</x:v>
      </x:c>
      <x:c r="AQ58" t="n">
        <x:f>--AND(AN58=1,Z58=1)</x:f>
        <x:v>0</x:v>
      </x:c>
      <x:c r="AR58" t="n">
        <x:f>--AND(AQ58=1,AA58=1)</x:f>
        <x:v>0</x:v>
      </x:c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  <x:c r="S59" s="28"/>
      <x:c r="T59" s="28"/>
      <x:c r="U59" s="28"/>
      <x:c r="V59" s="28"/>
      <x:c r="W59" s="28"/>
      <x:c r="X59" s="43" t="n">
        <x:f>--AND(S59=1,T59=1,U59=1,V59=1,W59=1)</x:f>
        <x:v>0</x:v>
      </x:c>
      <x:c r="AE59" s="43" t="n">
        <x:f>--AND(S59=1,M59&lt;&gt;"",M59&lt;&gt;"keep")</x:f>
        <x:v>0</x:v>
      </x:c>
      <x:c r="AG59" t="n">
        <x:f>--AND(S59=1,T59=1,U59=1,V59=1,W59=1,AE59=1)</x:f>
        <x:v>0</x:v>
      </x:c>
      <x:c r="AJ59" t="str">
        <x:f>IF(OR(AH59="",AI59=""),"",--(AH59&lt;&gt;AI59))</x:f>
      </x:c>
      <x:c r="AL59" t="str">
        <x:f>IF(OR(AH59="",AI59=""),"PENDING_HUMAN",IF(AH59=AI59,AH59,IF(AK59&lt;&gt;"",AK59,"PENDING_HUMAN")))</x:f>
        <x:v>PENDING_HUMAN</x:v>
      </x:c>
      <x:c r="AM59" t="n">
        <x:f>--AND(A59&lt;&gt;"",AH59&lt;&gt;"",AI59&lt;&gt;"",OR(AH59=AI59,AK59&lt;&gt;""))</x:f>
        <x:v>0</x:v>
      </x:c>
      <x:c r="AN59" t="n">
        <x:f>--AND(Y59&lt;&gt;"",COUNTIF($Y$4:Y59,Y59)=1)</x:f>
        <x:v>0</x:v>
      </x:c>
      <x:c r="AO59" t="n">
        <x:f>--AND(AN59=1,Z59=1,AM59=1)</x:f>
        <x:v>0</x:v>
      </x:c>
      <x:c r="AP59" t="n">
        <x:f>--AND(AO59=1,AA59=1,AL59=1)</x:f>
        <x:v>0</x:v>
      </x:c>
      <x:c r="AQ59" t="n">
        <x:f>--AND(AN59=1,Z59=1)</x:f>
        <x:v>0</x:v>
      </x:c>
      <x:c r="AR59" t="n">
        <x:f>--AND(AQ59=1,AA59=1)</x:f>
        <x:v>0</x:v>
      </x:c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  <x:c r="S60" s="28"/>
      <x:c r="T60" s="28"/>
      <x:c r="U60" s="28"/>
      <x:c r="V60" s="28"/>
      <x:c r="W60" s="28"/>
      <x:c r="X60" s="43" t="n">
        <x:f>--AND(S60=1,T60=1,U60=1,V60=1,W60=1)</x:f>
        <x:v>0</x:v>
      </x:c>
      <x:c r="AE60" s="43" t="n">
        <x:f>--AND(S60=1,M60&lt;&gt;"",M60&lt;&gt;"keep")</x:f>
        <x:v>0</x:v>
      </x:c>
      <x:c r="AG60" t="n">
        <x:f>--AND(S60=1,T60=1,U60=1,V60=1,W60=1,AE60=1)</x:f>
        <x:v>0</x:v>
      </x:c>
      <x:c r="AJ60" t="str">
        <x:f>IF(OR(AH60="",AI60=""),"",--(AH60&lt;&gt;AI60))</x:f>
      </x:c>
      <x:c r="AL60" t="str">
        <x:f>IF(OR(AH60="",AI60=""),"PENDING_HUMAN",IF(AH60=AI60,AH60,IF(AK60&lt;&gt;"",AK60,"PENDING_HUMAN")))</x:f>
        <x:v>PENDING_HUMAN</x:v>
      </x:c>
      <x:c r="AM60" t="n">
        <x:f>--AND(A60&lt;&gt;"",AH60&lt;&gt;"",AI60&lt;&gt;"",OR(AH60=AI60,AK60&lt;&gt;""))</x:f>
        <x:v>0</x:v>
      </x:c>
      <x:c r="AN60" t="n">
        <x:f>--AND(Y60&lt;&gt;"",COUNTIF($Y$4:Y60,Y60)=1)</x:f>
        <x:v>0</x:v>
      </x:c>
      <x:c r="AO60" t="n">
        <x:f>--AND(AN60=1,Z60=1,AM60=1)</x:f>
        <x:v>0</x:v>
      </x:c>
      <x:c r="AP60" t="n">
        <x:f>--AND(AO60=1,AA60=1,AL60=1)</x:f>
        <x:v>0</x:v>
      </x:c>
      <x:c r="AQ60" t="n">
        <x:f>--AND(AN60=1,Z60=1)</x:f>
        <x:v>0</x:v>
      </x:c>
      <x:c r="AR60" t="n">
        <x:f>--AND(AQ60=1,AA60=1)</x:f>
        <x:v>0</x:v>
      </x:c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  <x:c r="S61" s="28"/>
      <x:c r="T61" s="28"/>
      <x:c r="U61" s="28"/>
      <x:c r="V61" s="28"/>
      <x:c r="W61" s="28"/>
      <x:c r="X61" s="43" t="n">
        <x:f>--AND(S61=1,T61=1,U61=1,V61=1,W61=1)</x:f>
        <x:v>0</x:v>
      </x:c>
      <x:c r="AE61" s="43" t="n">
        <x:f>--AND(S61=1,M61&lt;&gt;"",M61&lt;&gt;"keep")</x:f>
        <x:v>0</x:v>
      </x:c>
      <x:c r="AG61" t="n">
        <x:f>--AND(S61=1,T61=1,U61=1,V61=1,W61=1,AE61=1)</x:f>
        <x:v>0</x:v>
      </x:c>
      <x:c r="AJ61" t="str">
        <x:f>IF(OR(AH61="",AI61=""),"",--(AH61&lt;&gt;AI61))</x:f>
      </x:c>
      <x:c r="AL61" t="str">
        <x:f>IF(OR(AH61="",AI61=""),"PENDING_HUMAN",IF(AH61=AI61,AH61,IF(AK61&lt;&gt;"",AK61,"PENDING_HUMAN")))</x:f>
        <x:v>PENDING_HUMAN</x:v>
      </x:c>
      <x:c r="AM61" t="n">
        <x:f>--AND(A61&lt;&gt;"",AH61&lt;&gt;"",AI61&lt;&gt;"",OR(AH61=AI61,AK61&lt;&gt;""))</x:f>
        <x:v>0</x:v>
      </x:c>
      <x:c r="AN61" t="n">
        <x:f>--AND(Y61&lt;&gt;"",COUNTIF($Y$4:Y61,Y61)=1)</x:f>
        <x:v>0</x:v>
      </x:c>
      <x:c r="AO61" t="n">
        <x:f>--AND(AN61=1,Z61=1,AM61=1)</x:f>
        <x:v>0</x:v>
      </x:c>
      <x:c r="AP61" t="n">
        <x:f>--AND(AO61=1,AA61=1,AL61=1)</x:f>
        <x:v>0</x:v>
      </x:c>
      <x:c r="AQ61" t="n">
        <x:f>--AND(AN61=1,Z61=1)</x:f>
        <x:v>0</x:v>
      </x:c>
      <x:c r="AR61" t="n">
        <x:f>--AND(AQ61=1,AA61=1)</x:f>
        <x:v>0</x:v>
      </x:c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  <x:c r="S62" s="28"/>
      <x:c r="T62" s="28"/>
      <x:c r="U62" s="28"/>
      <x:c r="V62" s="28"/>
      <x:c r="W62" s="28"/>
      <x:c r="X62" s="43" t="n">
        <x:f>--AND(S62=1,T62=1,U62=1,V62=1,W62=1)</x:f>
        <x:v>0</x:v>
      </x:c>
      <x:c r="AE62" s="43" t="n">
        <x:f>--AND(S62=1,M62&lt;&gt;"",M62&lt;&gt;"keep")</x:f>
        <x:v>0</x:v>
      </x:c>
      <x:c r="AG62" t="n">
        <x:f>--AND(S62=1,T62=1,U62=1,V62=1,W62=1,AE62=1)</x:f>
        <x:v>0</x:v>
      </x:c>
      <x:c r="AJ62" t="str">
        <x:f>IF(OR(AH62="",AI62=""),"",--(AH62&lt;&gt;AI62))</x:f>
      </x:c>
      <x:c r="AL62" t="str">
        <x:f>IF(OR(AH62="",AI62=""),"PENDING_HUMAN",IF(AH62=AI62,AH62,IF(AK62&lt;&gt;"",AK62,"PENDING_HUMAN")))</x:f>
        <x:v>PENDING_HUMAN</x:v>
      </x:c>
      <x:c r="AM62" t="n">
        <x:f>--AND(A62&lt;&gt;"",AH62&lt;&gt;"",AI62&lt;&gt;"",OR(AH62=AI62,AK62&lt;&gt;""))</x:f>
        <x:v>0</x:v>
      </x:c>
      <x:c r="AN62" t="n">
        <x:f>--AND(Y62&lt;&gt;"",COUNTIF($Y$4:Y62,Y62)=1)</x:f>
        <x:v>0</x:v>
      </x:c>
      <x:c r="AO62" t="n">
        <x:f>--AND(AN62=1,Z62=1,AM62=1)</x:f>
        <x:v>0</x:v>
      </x:c>
      <x:c r="AP62" t="n">
        <x:f>--AND(AO62=1,AA62=1,AL62=1)</x:f>
        <x:v>0</x:v>
      </x:c>
      <x:c r="AQ62" t="n">
        <x:f>--AND(AN62=1,Z62=1)</x:f>
        <x:v>0</x:v>
      </x:c>
      <x:c r="AR62" t="n">
        <x:f>--AND(AQ62=1,AA62=1)</x:f>
        <x:v>0</x:v>
      </x:c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  <x:c r="S63" s="28"/>
      <x:c r="T63" s="28"/>
      <x:c r="U63" s="28"/>
      <x:c r="V63" s="28"/>
      <x:c r="W63" s="28"/>
      <x:c r="X63" s="43" t="n">
        <x:f>--AND(S63=1,T63=1,U63=1,V63=1,W63=1)</x:f>
        <x:v>0</x:v>
      </x:c>
      <x:c r="AE63" s="43" t="n">
        <x:f>--AND(S63=1,M63&lt;&gt;"",M63&lt;&gt;"keep")</x:f>
        <x:v>0</x:v>
      </x:c>
      <x:c r="AG63" t="n">
        <x:f>--AND(S63=1,T63=1,U63=1,V63=1,W63=1,AE63=1)</x:f>
        <x:v>0</x:v>
      </x:c>
      <x:c r="AJ63" t="str">
        <x:f>IF(OR(AH63="",AI63=""),"",--(AH63&lt;&gt;AI63))</x:f>
      </x:c>
      <x:c r="AL63" t="str">
        <x:f>IF(OR(AH63="",AI63=""),"PENDING_HUMAN",IF(AH63=AI63,AH63,IF(AK63&lt;&gt;"",AK63,"PENDING_HUMAN")))</x:f>
        <x:v>PENDING_HUMAN</x:v>
      </x:c>
      <x:c r="AM63" t="n">
        <x:f>--AND(A63&lt;&gt;"",AH63&lt;&gt;"",AI63&lt;&gt;"",OR(AH63=AI63,AK63&lt;&gt;""))</x:f>
        <x:v>0</x:v>
      </x:c>
      <x:c r="AN63" t="n">
        <x:f>--AND(Y63&lt;&gt;"",COUNTIF($Y$4:Y63,Y63)=1)</x:f>
        <x:v>0</x:v>
      </x:c>
      <x:c r="AO63" t="n">
        <x:f>--AND(AN63=1,Z63=1,AM63=1)</x:f>
        <x:v>0</x:v>
      </x:c>
      <x:c r="AP63" t="n">
        <x:f>--AND(AO63=1,AA63=1,AL63=1)</x:f>
        <x:v>0</x:v>
      </x:c>
      <x:c r="AQ63" t="n">
        <x:f>--AND(AN63=1,Z63=1)</x:f>
        <x:v>0</x:v>
      </x:c>
      <x:c r="AR63" t="n">
        <x:f>--AND(AQ63=1,AA63=1)</x:f>
        <x:v>0</x:v>
      </x:c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  <x:c r="S64" s="28"/>
      <x:c r="T64" s="28"/>
      <x:c r="U64" s="28"/>
      <x:c r="V64" s="28"/>
      <x:c r="W64" s="28"/>
      <x:c r="X64" s="43" t="n">
        <x:f>--AND(S64=1,T64=1,U64=1,V64=1,W64=1)</x:f>
        <x:v>0</x:v>
      </x:c>
      <x:c r="AE64" s="43" t="n">
        <x:f>--AND(S64=1,M64&lt;&gt;"",M64&lt;&gt;"keep")</x:f>
        <x:v>0</x:v>
      </x:c>
      <x:c r="AG64" t="n">
        <x:f>--AND(S64=1,T64=1,U64=1,V64=1,W64=1,AE64=1)</x:f>
        <x:v>0</x:v>
      </x:c>
      <x:c r="AJ64" t="str">
        <x:f>IF(OR(AH64="",AI64=""),"",--(AH64&lt;&gt;AI64))</x:f>
      </x:c>
      <x:c r="AL64" t="str">
        <x:f>IF(OR(AH64="",AI64=""),"PENDING_HUMAN",IF(AH64=AI64,AH64,IF(AK64&lt;&gt;"",AK64,"PENDING_HUMAN")))</x:f>
        <x:v>PENDING_HUMAN</x:v>
      </x:c>
      <x:c r="AM64" t="n">
        <x:f>--AND(A64&lt;&gt;"",AH64&lt;&gt;"",AI64&lt;&gt;"",OR(AH64=AI64,AK64&lt;&gt;""))</x:f>
        <x:v>0</x:v>
      </x:c>
      <x:c r="AN64" t="n">
        <x:f>--AND(Y64&lt;&gt;"",COUNTIF($Y$4:Y64,Y64)=1)</x:f>
        <x:v>0</x:v>
      </x:c>
      <x:c r="AO64" t="n">
        <x:f>--AND(AN64=1,Z64=1,AM64=1)</x:f>
        <x:v>0</x:v>
      </x:c>
      <x:c r="AP64" t="n">
        <x:f>--AND(AO64=1,AA64=1,AL64=1)</x:f>
        <x:v>0</x:v>
      </x:c>
      <x:c r="AQ64" t="n">
        <x:f>--AND(AN64=1,Z64=1)</x:f>
        <x:v>0</x:v>
      </x:c>
      <x:c r="AR64" t="n">
        <x:f>--AND(AQ64=1,AA64=1)</x:f>
        <x:v>0</x:v>
      </x:c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  <x:c r="S65" s="28"/>
      <x:c r="T65" s="28"/>
      <x:c r="U65" s="28"/>
      <x:c r="V65" s="28"/>
      <x:c r="W65" s="28"/>
      <x:c r="X65" s="43" t="n">
        <x:f>--AND(S65=1,T65=1,U65=1,V65=1,W65=1)</x:f>
        <x:v>0</x:v>
      </x:c>
      <x:c r="AE65" s="43" t="n">
        <x:f>--AND(S65=1,M65&lt;&gt;"",M65&lt;&gt;"keep")</x:f>
        <x:v>0</x:v>
      </x:c>
      <x:c r="AG65" t="n">
        <x:f>--AND(S65=1,T65=1,U65=1,V65=1,W65=1,AE65=1)</x:f>
        <x:v>0</x:v>
      </x:c>
      <x:c r="AJ65" t="str">
        <x:f>IF(OR(AH65="",AI65=""),"",--(AH65&lt;&gt;AI65))</x:f>
      </x:c>
      <x:c r="AL65" t="str">
        <x:f>IF(OR(AH65="",AI65=""),"PENDING_HUMAN",IF(AH65=AI65,AH65,IF(AK65&lt;&gt;"",AK65,"PENDING_HUMAN")))</x:f>
        <x:v>PENDING_HUMAN</x:v>
      </x:c>
      <x:c r="AM65" t="n">
        <x:f>--AND(A65&lt;&gt;"",AH65&lt;&gt;"",AI65&lt;&gt;"",OR(AH65=AI65,AK65&lt;&gt;""))</x:f>
        <x:v>0</x:v>
      </x:c>
      <x:c r="AN65" t="n">
        <x:f>--AND(Y65&lt;&gt;"",COUNTIF($Y$4:Y65,Y65)=1)</x:f>
        <x:v>0</x:v>
      </x:c>
      <x:c r="AO65" t="n">
        <x:f>--AND(AN65=1,Z65=1,AM65=1)</x:f>
        <x:v>0</x:v>
      </x:c>
      <x:c r="AP65" t="n">
        <x:f>--AND(AO65=1,AA65=1,AL65=1)</x:f>
        <x:v>0</x:v>
      </x:c>
      <x:c r="AQ65" t="n">
        <x:f>--AND(AN65=1,Z65=1)</x:f>
        <x:v>0</x:v>
      </x:c>
      <x:c r="AR65" t="n">
        <x:f>--AND(AQ65=1,AA65=1)</x:f>
        <x:v>0</x:v>
      </x:c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  <x:c r="S66" s="28"/>
      <x:c r="T66" s="28"/>
      <x:c r="U66" s="28"/>
      <x:c r="V66" s="28"/>
      <x:c r="W66" s="28"/>
      <x:c r="X66" s="43" t="n">
        <x:f>--AND(S66=1,T66=1,U66=1,V66=1,W66=1)</x:f>
        <x:v>0</x:v>
      </x:c>
      <x:c r="AE66" s="43" t="n">
        <x:f>--AND(S66=1,M66&lt;&gt;"",M66&lt;&gt;"keep")</x:f>
        <x:v>0</x:v>
      </x:c>
      <x:c r="AG66" t="n">
        <x:f>--AND(S66=1,T66=1,U66=1,V66=1,W66=1,AE66=1)</x:f>
        <x:v>0</x:v>
      </x:c>
      <x:c r="AJ66" t="str">
        <x:f>IF(OR(AH66="",AI66=""),"",--(AH66&lt;&gt;AI66))</x:f>
      </x:c>
      <x:c r="AL66" t="str">
        <x:f>IF(OR(AH66="",AI66=""),"PENDING_HUMAN",IF(AH66=AI66,AH66,IF(AK66&lt;&gt;"",AK66,"PENDING_HUMAN")))</x:f>
        <x:v>PENDING_HUMAN</x:v>
      </x:c>
      <x:c r="AM66" t="n">
        <x:f>--AND(A66&lt;&gt;"",AH66&lt;&gt;"",AI66&lt;&gt;"",OR(AH66=AI66,AK66&lt;&gt;""))</x:f>
        <x:v>0</x:v>
      </x:c>
      <x:c r="AN66" t="n">
        <x:f>--AND(Y66&lt;&gt;"",COUNTIF($Y$4:Y66,Y66)=1)</x:f>
        <x:v>0</x:v>
      </x:c>
      <x:c r="AO66" t="n">
        <x:f>--AND(AN66=1,Z66=1,AM66=1)</x:f>
        <x:v>0</x:v>
      </x:c>
      <x:c r="AP66" t="n">
        <x:f>--AND(AO66=1,AA66=1,AL66=1)</x:f>
        <x:v>0</x:v>
      </x:c>
      <x:c r="AQ66" t="n">
        <x:f>--AND(AN66=1,Z66=1)</x:f>
        <x:v>0</x:v>
      </x:c>
      <x:c r="AR66" t="n">
        <x:f>--AND(AQ66=1,AA66=1)</x:f>
        <x:v>0</x:v>
      </x:c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  <x:c r="S67" s="28"/>
      <x:c r="T67" s="28"/>
      <x:c r="U67" s="28"/>
      <x:c r="V67" s="28"/>
      <x:c r="W67" s="28"/>
      <x:c r="X67" s="43" t="n">
        <x:f>--AND(S67=1,T67=1,U67=1,V67=1,W67=1)</x:f>
        <x:v>0</x:v>
      </x:c>
      <x:c r="AE67" s="43" t="n">
        <x:f>--AND(S67=1,M67&lt;&gt;"",M67&lt;&gt;"keep")</x:f>
        <x:v>0</x:v>
      </x:c>
      <x:c r="AG67" t="n">
        <x:f>--AND(S67=1,T67=1,U67=1,V67=1,W67=1,AE67=1)</x:f>
        <x:v>0</x:v>
      </x:c>
      <x:c r="AJ67" t="str">
        <x:f>IF(OR(AH67="",AI67=""),"",--(AH67&lt;&gt;AI67))</x:f>
      </x:c>
      <x:c r="AL67" t="str">
        <x:f>IF(OR(AH67="",AI67=""),"PENDING_HUMAN",IF(AH67=AI67,AH67,IF(AK67&lt;&gt;"",AK67,"PENDING_HUMAN")))</x:f>
        <x:v>PENDING_HUMAN</x:v>
      </x:c>
      <x:c r="AM67" t="n">
        <x:f>--AND(A67&lt;&gt;"",AH67&lt;&gt;"",AI67&lt;&gt;"",OR(AH67=AI67,AK67&lt;&gt;""))</x:f>
        <x:v>0</x:v>
      </x:c>
      <x:c r="AN67" t="n">
        <x:f>--AND(Y67&lt;&gt;"",COUNTIF($Y$4:Y67,Y67)=1)</x:f>
        <x:v>0</x:v>
      </x:c>
      <x:c r="AO67" t="n">
        <x:f>--AND(AN67=1,Z67=1,AM67=1)</x:f>
        <x:v>0</x:v>
      </x:c>
      <x:c r="AP67" t="n">
        <x:f>--AND(AO67=1,AA67=1,AL67=1)</x:f>
        <x:v>0</x:v>
      </x:c>
      <x:c r="AQ67" t="n">
        <x:f>--AND(AN67=1,Z67=1)</x:f>
        <x:v>0</x:v>
      </x:c>
      <x:c r="AR67" t="n">
        <x:f>--AND(AQ67=1,AA67=1)</x:f>
        <x:v>0</x:v>
      </x:c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  <x:c r="S68" s="28"/>
      <x:c r="T68" s="28"/>
      <x:c r="U68" s="28"/>
      <x:c r="V68" s="28"/>
      <x:c r="W68" s="28"/>
      <x:c r="X68" s="43" t="n">
        <x:f>--AND(S68=1,T68=1,U68=1,V68=1,W68=1)</x:f>
        <x:v>0</x:v>
      </x:c>
      <x:c r="AE68" s="43" t="n">
        <x:f>--AND(S68=1,M68&lt;&gt;"",M68&lt;&gt;"keep")</x:f>
        <x:v>0</x:v>
      </x:c>
      <x:c r="AG68" t="n">
        <x:f>--AND(S68=1,T68=1,U68=1,V68=1,W68=1,AE68=1)</x:f>
        <x:v>0</x:v>
      </x:c>
      <x:c r="AJ68" t="str">
        <x:f>IF(OR(AH68="",AI68=""),"",--(AH68&lt;&gt;AI68))</x:f>
      </x:c>
      <x:c r="AL68" t="str">
        <x:f>IF(OR(AH68="",AI68=""),"PENDING_HUMAN",IF(AH68=AI68,AH68,IF(AK68&lt;&gt;"",AK68,"PENDING_HUMAN")))</x:f>
        <x:v>PENDING_HUMAN</x:v>
      </x:c>
      <x:c r="AM68" t="n">
        <x:f>--AND(A68&lt;&gt;"",AH68&lt;&gt;"",AI68&lt;&gt;"",OR(AH68=AI68,AK68&lt;&gt;""))</x:f>
        <x:v>0</x:v>
      </x:c>
      <x:c r="AN68" t="n">
        <x:f>--AND(Y68&lt;&gt;"",COUNTIF($Y$4:Y68,Y68)=1)</x:f>
        <x:v>0</x:v>
      </x:c>
      <x:c r="AO68" t="n">
        <x:f>--AND(AN68=1,Z68=1,AM68=1)</x:f>
        <x:v>0</x:v>
      </x:c>
      <x:c r="AP68" t="n">
        <x:f>--AND(AO68=1,AA68=1,AL68=1)</x:f>
        <x:v>0</x:v>
      </x:c>
      <x:c r="AQ68" t="n">
        <x:f>--AND(AN68=1,Z68=1)</x:f>
        <x:v>0</x:v>
      </x:c>
      <x:c r="AR68" t="n">
        <x:f>--AND(AQ68=1,AA68=1)</x:f>
        <x:v>0</x:v>
      </x:c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  <x:c r="S69" s="28"/>
      <x:c r="T69" s="28"/>
      <x:c r="U69" s="28"/>
      <x:c r="V69" s="28"/>
      <x:c r="W69" s="28"/>
      <x:c r="X69" s="43" t="n">
        <x:f>--AND(S69=1,T69=1,U69=1,V69=1,W69=1)</x:f>
        <x:v>0</x:v>
      </x:c>
      <x:c r="AE69" s="43" t="n">
        <x:f>--AND(S69=1,M69&lt;&gt;"",M69&lt;&gt;"keep")</x:f>
        <x:v>0</x:v>
      </x:c>
      <x:c r="AG69" t="n">
        <x:f>--AND(S69=1,T69=1,U69=1,V69=1,W69=1,AE69=1)</x:f>
        <x:v>0</x:v>
      </x:c>
      <x:c r="AJ69" t="str">
        <x:f>IF(OR(AH69="",AI69=""),"",--(AH69&lt;&gt;AI69))</x:f>
      </x:c>
      <x:c r="AL69" t="str">
        <x:f>IF(OR(AH69="",AI69=""),"PENDING_HUMAN",IF(AH69=AI69,AH69,IF(AK69&lt;&gt;"",AK69,"PENDING_HUMAN")))</x:f>
        <x:v>PENDING_HUMAN</x:v>
      </x:c>
      <x:c r="AM69" t="n">
        <x:f>--AND(A69&lt;&gt;"",AH69&lt;&gt;"",AI69&lt;&gt;"",OR(AH69=AI69,AK69&lt;&gt;""))</x:f>
        <x:v>0</x:v>
      </x:c>
      <x:c r="AN69" t="n">
        <x:f>--AND(Y69&lt;&gt;"",COUNTIF($Y$4:Y69,Y69)=1)</x:f>
        <x:v>0</x:v>
      </x:c>
      <x:c r="AO69" t="n">
        <x:f>--AND(AN69=1,Z69=1,AM69=1)</x:f>
        <x:v>0</x:v>
      </x:c>
      <x:c r="AP69" t="n">
        <x:f>--AND(AO69=1,AA69=1,AL69=1)</x:f>
        <x:v>0</x:v>
      </x:c>
      <x:c r="AQ69" t="n">
        <x:f>--AND(AN69=1,Z69=1)</x:f>
        <x:v>0</x:v>
      </x:c>
      <x:c r="AR69" t="n">
        <x:f>--AND(AQ69=1,AA69=1)</x:f>
        <x:v>0</x:v>
      </x:c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  <x:c r="S70" s="28"/>
      <x:c r="T70" s="28"/>
      <x:c r="U70" s="28"/>
      <x:c r="V70" s="28"/>
      <x:c r="W70" s="28"/>
      <x:c r="X70" s="43" t="n">
        <x:f>--AND(S70=1,T70=1,U70=1,V70=1,W70=1)</x:f>
        <x:v>0</x:v>
      </x:c>
      <x:c r="AE70" s="43" t="n">
        <x:f>--AND(S70=1,M70&lt;&gt;"",M70&lt;&gt;"keep")</x:f>
        <x:v>0</x:v>
      </x:c>
      <x:c r="AG70" t="n">
        <x:f>--AND(S70=1,T70=1,U70=1,V70=1,W70=1,AE70=1)</x:f>
        <x:v>0</x:v>
      </x:c>
      <x:c r="AJ70" t="str">
        <x:f>IF(OR(AH70="",AI70=""),"",--(AH70&lt;&gt;AI70))</x:f>
      </x:c>
      <x:c r="AL70" t="str">
        <x:f>IF(OR(AH70="",AI70=""),"PENDING_HUMAN",IF(AH70=AI70,AH70,IF(AK70&lt;&gt;"",AK70,"PENDING_HUMAN")))</x:f>
        <x:v>PENDING_HUMAN</x:v>
      </x:c>
      <x:c r="AM70" t="n">
        <x:f>--AND(A70&lt;&gt;"",AH70&lt;&gt;"",AI70&lt;&gt;"",OR(AH70=AI70,AK70&lt;&gt;""))</x:f>
        <x:v>0</x:v>
      </x:c>
      <x:c r="AN70" t="n">
        <x:f>--AND(Y70&lt;&gt;"",COUNTIF($Y$4:Y70,Y70)=1)</x:f>
        <x:v>0</x:v>
      </x:c>
      <x:c r="AO70" t="n">
        <x:f>--AND(AN70=1,Z70=1,AM70=1)</x:f>
        <x:v>0</x:v>
      </x:c>
      <x:c r="AP70" t="n">
        <x:f>--AND(AO70=1,AA70=1,AL70=1)</x:f>
        <x:v>0</x:v>
      </x:c>
      <x:c r="AQ70" t="n">
        <x:f>--AND(AN70=1,Z70=1)</x:f>
        <x:v>0</x:v>
      </x:c>
      <x:c r="AR70" t="n">
        <x:f>--AND(AQ70=1,AA70=1)</x:f>
        <x:v>0</x:v>
      </x:c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  <x:c r="S71" s="28"/>
      <x:c r="T71" s="28"/>
      <x:c r="U71" s="28"/>
      <x:c r="V71" s="28"/>
      <x:c r="W71" s="28"/>
      <x:c r="X71" s="43" t="n">
        <x:f>--AND(S71=1,T71=1,U71=1,V71=1,W71=1)</x:f>
        <x:v>0</x:v>
      </x:c>
      <x:c r="AE71" s="43" t="n">
        <x:f>--AND(S71=1,M71&lt;&gt;"",M71&lt;&gt;"keep")</x:f>
        <x:v>0</x:v>
      </x:c>
      <x:c r="AG71" t="n">
        <x:f>--AND(S71=1,T71=1,U71=1,V71=1,W71=1,AE71=1)</x:f>
        <x:v>0</x:v>
      </x:c>
      <x:c r="AJ71" t="str">
        <x:f>IF(OR(AH71="",AI71=""),"",--(AH71&lt;&gt;AI71))</x:f>
      </x:c>
      <x:c r="AL71" t="str">
        <x:f>IF(OR(AH71="",AI71=""),"PENDING_HUMAN",IF(AH71=AI71,AH71,IF(AK71&lt;&gt;"",AK71,"PENDING_HUMAN")))</x:f>
        <x:v>PENDING_HUMAN</x:v>
      </x:c>
      <x:c r="AM71" t="n">
        <x:f>--AND(A71&lt;&gt;"",AH71&lt;&gt;"",AI71&lt;&gt;"",OR(AH71=AI71,AK71&lt;&gt;""))</x:f>
        <x:v>0</x:v>
      </x:c>
      <x:c r="AN71" t="n">
        <x:f>--AND(Y71&lt;&gt;"",COUNTIF($Y$4:Y71,Y71)=1)</x:f>
        <x:v>0</x:v>
      </x:c>
      <x:c r="AO71" t="n">
        <x:f>--AND(AN71=1,Z71=1,AM71=1)</x:f>
        <x:v>0</x:v>
      </x:c>
      <x:c r="AP71" t="n">
        <x:f>--AND(AO71=1,AA71=1,AL71=1)</x:f>
        <x:v>0</x:v>
      </x:c>
      <x:c r="AQ71" t="n">
        <x:f>--AND(AN71=1,Z71=1)</x:f>
        <x:v>0</x:v>
      </x:c>
      <x:c r="AR71" t="n">
        <x:f>--AND(AQ71=1,AA71=1)</x:f>
        <x:v>0</x:v>
      </x:c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  <x:c r="S72" s="28"/>
      <x:c r="T72" s="28"/>
      <x:c r="U72" s="28"/>
      <x:c r="V72" s="28"/>
      <x:c r="W72" s="28"/>
      <x:c r="X72" s="43" t="n">
        <x:f>--AND(S72=1,T72=1,U72=1,V72=1,W72=1)</x:f>
        <x:v>0</x:v>
      </x:c>
      <x:c r="AE72" s="43" t="n">
        <x:f>--AND(S72=1,M72&lt;&gt;"",M72&lt;&gt;"keep")</x:f>
        <x:v>0</x:v>
      </x:c>
      <x:c r="AG72" t="n">
        <x:f>--AND(S72=1,T72=1,U72=1,V72=1,W72=1,AE72=1)</x:f>
        <x:v>0</x:v>
      </x:c>
      <x:c r="AJ72" t="str">
        <x:f>IF(OR(AH72="",AI72=""),"",--(AH72&lt;&gt;AI72))</x:f>
      </x:c>
      <x:c r="AL72" t="str">
        <x:f>IF(OR(AH72="",AI72=""),"PENDING_HUMAN",IF(AH72=AI72,AH72,IF(AK72&lt;&gt;"",AK72,"PENDING_HUMAN")))</x:f>
        <x:v>PENDING_HUMAN</x:v>
      </x:c>
      <x:c r="AM72" t="n">
        <x:f>--AND(A72&lt;&gt;"",AH72&lt;&gt;"",AI72&lt;&gt;"",OR(AH72=AI72,AK72&lt;&gt;""))</x:f>
        <x:v>0</x:v>
      </x:c>
      <x:c r="AN72" t="n">
        <x:f>--AND(Y72&lt;&gt;"",COUNTIF($Y$4:Y72,Y72)=1)</x:f>
        <x:v>0</x:v>
      </x:c>
      <x:c r="AO72" t="n">
        <x:f>--AND(AN72=1,Z72=1,AM72=1)</x:f>
        <x:v>0</x:v>
      </x:c>
      <x:c r="AP72" t="n">
        <x:f>--AND(AO72=1,AA72=1,AL72=1)</x:f>
        <x:v>0</x:v>
      </x:c>
      <x:c r="AQ72" t="n">
        <x:f>--AND(AN72=1,Z72=1)</x:f>
        <x:v>0</x:v>
      </x:c>
      <x:c r="AR72" t="n">
        <x:f>--AND(AQ72=1,AA72=1)</x:f>
        <x:v>0</x:v>
      </x:c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  <x:c r="S73" s="28"/>
      <x:c r="T73" s="28"/>
      <x:c r="U73" s="28"/>
      <x:c r="V73" s="28"/>
      <x:c r="W73" s="28"/>
      <x:c r="X73" s="43" t="n">
        <x:f>--AND(S73=1,T73=1,U73=1,V73=1,W73=1)</x:f>
        <x:v>0</x:v>
      </x:c>
      <x:c r="AE73" s="43" t="n">
        <x:f>--AND(S73=1,M73&lt;&gt;"",M73&lt;&gt;"keep")</x:f>
        <x:v>0</x:v>
      </x:c>
      <x:c r="AG73" t="n">
        <x:f>--AND(S73=1,T73=1,U73=1,V73=1,W73=1,AE73=1)</x:f>
        <x:v>0</x:v>
      </x:c>
      <x:c r="AJ73" t="str">
        <x:f>IF(OR(AH73="",AI73=""),"",--(AH73&lt;&gt;AI73))</x:f>
      </x:c>
      <x:c r="AL73" t="str">
        <x:f>IF(OR(AH73="",AI73=""),"PENDING_HUMAN",IF(AH73=AI73,AH73,IF(AK73&lt;&gt;"",AK73,"PENDING_HUMAN")))</x:f>
        <x:v>PENDING_HUMAN</x:v>
      </x:c>
      <x:c r="AM73" t="n">
        <x:f>--AND(A73&lt;&gt;"",AH73&lt;&gt;"",AI73&lt;&gt;"",OR(AH73=AI73,AK73&lt;&gt;""))</x:f>
        <x:v>0</x:v>
      </x:c>
      <x:c r="AN73" t="n">
        <x:f>--AND(Y73&lt;&gt;"",COUNTIF($Y$4:Y73,Y73)=1)</x:f>
        <x:v>0</x:v>
      </x:c>
      <x:c r="AO73" t="n">
        <x:f>--AND(AN73=1,Z73=1,AM73=1)</x:f>
        <x:v>0</x:v>
      </x:c>
      <x:c r="AP73" t="n">
        <x:f>--AND(AO73=1,AA73=1,AL73=1)</x:f>
        <x:v>0</x:v>
      </x:c>
      <x:c r="AQ73" t="n">
        <x:f>--AND(AN73=1,Z73=1)</x:f>
        <x:v>0</x:v>
      </x:c>
      <x:c r="AR73" t="n">
        <x:f>--AND(AQ73=1,AA73=1)</x:f>
        <x:v>0</x:v>
      </x:c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  <x:c r="S74" s="28"/>
      <x:c r="T74" s="28"/>
      <x:c r="U74" s="28"/>
      <x:c r="V74" s="28"/>
      <x:c r="W74" s="28"/>
      <x:c r="X74" s="43" t="n">
        <x:f>--AND(S74=1,T74=1,U74=1,V74=1,W74=1)</x:f>
        <x:v>0</x:v>
      </x:c>
      <x:c r="AE74" s="43" t="n">
        <x:f>--AND(S74=1,M74&lt;&gt;"",M74&lt;&gt;"keep")</x:f>
        <x:v>0</x:v>
      </x:c>
      <x:c r="AG74" t="n">
        <x:f>--AND(S74=1,T74=1,U74=1,V74=1,W74=1,AE74=1)</x:f>
        <x:v>0</x:v>
      </x:c>
      <x:c r="AJ74" t="str">
        <x:f>IF(OR(AH74="",AI74=""),"",--(AH74&lt;&gt;AI74))</x:f>
      </x:c>
      <x:c r="AL74" t="str">
        <x:f>IF(OR(AH74="",AI74=""),"PENDING_HUMAN",IF(AH74=AI74,AH74,IF(AK74&lt;&gt;"",AK74,"PENDING_HUMAN")))</x:f>
        <x:v>PENDING_HUMAN</x:v>
      </x:c>
      <x:c r="AM74" t="n">
        <x:f>--AND(A74&lt;&gt;"",AH74&lt;&gt;"",AI74&lt;&gt;"",OR(AH74=AI74,AK74&lt;&gt;""))</x:f>
        <x:v>0</x:v>
      </x:c>
      <x:c r="AN74" t="n">
        <x:f>--AND(Y74&lt;&gt;"",COUNTIF($Y$4:Y74,Y74)=1)</x:f>
        <x:v>0</x:v>
      </x:c>
      <x:c r="AO74" t="n">
        <x:f>--AND(AN74=1,Z74=1,AM74=1)</x:f>
        <x:v>0</x:v>
      </x:c>
      <x:c r="AP74" t="n">
        <x:f>--AND(AO74=1,AA74=1,AL74=1)</x:f>
        <x:v>0</x:v>
      </x:c>
      <x:c r="AQ74" t="n">
        <x:f>--AND(AN74=1,Z74=1)</x:f>
        <x:v>0</x:v>
      </x:c>
      <x:c r="AR74" t="n">
        <x:f>--AND(AQ74=1,AA74=1)</x:f>
        <x:v>0</x:v>
      </x:c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  <x:c r="S75" s="28"/>
      <x:c r="T75" s="28"/>
      <x:c r="U75" s="28"/>
      <x:c r="V75" s="28"/>
      <x:c r="W75" s="28"/>
      <x:c r="X75" s="43" t="n">
        <x:f>--AND(S75=1,T75=1,U75=1,V75=1,W75=1)</x:f>
        <x:v>0</x:v>
      </x:c>
      <x:c r="AE75" s="43" t="n">
        <x:f>--AND(S75=1,M75&lt;&gt;"",M75&lt;&gt;"keep")</x:f>
        <x:v>0</x:v>
      </x:c>
      <x:c r="AG75" t="n">
        <x:f>--AND(S75=1,T75=1,U75=1,V75=1,W75=1,AE75=1)</x:f>
        <x:v>0</x:v>
      </x:c>
      <x:c r="AJ75" t="str">
        <x:f>IF(OR(AH75="",AI75=""),"",--(AH75&lt;&gt;AI75))</x:f>
      </x:c>
      <x:c r="AL75" t="str">
        <x:f>IF(OR(AH75="",AI75=""),"PENDING_HUMAN",IF(AH75=AI75,AH75,IF(AK75&lt;&gt;"",AK75,"PENDING_HUMAN")))</x:f>
        <x:v>PENDING_HUMAN</x:v>
      </x:c>
      <x:c r="AM75" t="n">
        <x:f>--AND(A75&lt;&gt;"",AH75&lt;&gt;"",AI75&lt;&gt;"",OR(AH75=AI75,AK75&lt;&gt;""))</x:f>
        <x:v>0</x:v>
      </x:c>
      <x:c r="AN75" t="n">
        <x:f>--AND(Y75&lt;&gt;"",COUNTIF($Y$4:Y75,Y75)=1)</x:f>
        <x:v>0</x:v>
      </x:c>
      <x:c r="AO75" t="n">
        <x:f>--AND(AN75=1,Z75=1,AM75=1)</x:f>
        <x:v>0</x:v>
      </x:c>
      <x:c r="AP75" t="n">
        <x:f>--AND(AO75=1,AA75=1,AL75=1)</x:f>
        <x:v>0</x:v>
      </x:c>
      <x:c r="AQ75" t="n">
        <x:f>--AND(AN75=1,Z75=1)</x:f>
        <x:v>0</x:v>
      </x:c>
      <x:c r="AR75" t="n">
        <x:f>--AND(AQ75=1,AA75=1)</x:f>
        <x:v>0</x:v>
      </x:c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  <x:c r="S76" s="28"/>
      <x:c r="T76" s="28"/>
      <x:c r="U76" s="28"/>
      <x:c r="V76" s="28"/>
      <x:c r="W76" s="28"/>
      <x:c r="X76" s="43" t="n">
        <x:f>--AND(S76=1,T76=1,U76=1,V76=1,W76=1)</x:f>
        <x:v>0</x:v>
      </x:c>
      <x:c r="AE76" s="43" t="n">
        <x:f>--AND(S76=1,M76&lt;&gt;"",M76&lt;&gt;"keep")</x:f>
        <x:v>0</x:v>
      </x:c>
      <x:c r="AG76" t="n">
        <x:f>--AND(S76=1,T76=1,U76=1,V76=1,W76=1,AE76=1)</x:f>
        <x:v>0</x:v>
      </x:c>
      <x:c r="AJ76" t="str">
        <x:f>IF(OR(AH76="",AI76=""),"",--(AH76&lt;&gt;AI76))</x:f>
      </x:c>
      <x:c r="AL76" t="str">
        <x:f>IF(OR(AH76="",AI76=""),"PENDING_HUMAN",IF(AH76=AI76,AH76,IF(AK76&lt;&gt;"",AK76,"PENDING_HUMAN")))</x:f>
        <x:v>PENDING_HUMAN</x:v>
      </x:c>
      <x:c r="AM76" t="n">
        <x:f>--AND(A76&lt;&gt;"",AH76&lt;&gt;"",AI76&lt;&gt;"",OR(AH76=AI76,AK76&lt;&gt;""))</x:f>
        <x:v>0</x:v>
      </x:c>
      <x:c r="AN76" t="n">
        <x:f>--AND(Y76&lt;&gt;"",COUNTIF($Y$4:Y76,Y76)=1)</x:f>
        <x:v>0</x:v>
      </x:c>
      <x:c r="AO76" t="n">
        <x:f>--AND(AN76=1,Z76=1,AM76=1)</x:f>
        <x:v>0</x:v>
      </x:c>
      <x:c r="AP76" t="n">
        <x:f>--AND(AO76=1,AA76=1,AL76=1)</x:f>
        <x:v>0</x:v>
      </x:c>
      <x:c r="AQ76" t="n">
        <x:f>--AND(AN76=1,Z76=1)</x:f>
        <x:v>0</x:v>
      </x:c>
      <x:c r="AR76" t="n">
        <x:f>--AND(AQ76=1,AA76=1)</x:f>
        <x:v>0</x:v>
      </x:c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  <x:c r="S77" s="28"/>
      <x:c r="T77" s="28"/>
      <x:c r="U77" s="28"/>
      <x:c r="V77" s="28"/>
      <x:c r="W77" s="28"/>
      <x:c r="X77" s="43" t="n">
        <x:f>--AND(S77=1,T77=1,U77=1,V77=1,W77=1)</x:f>
        <x:v>0</x:v>
      </x:c>
      <x:c r="AE77" s="43" t="n">
        <x:f>--AND(S77=1,M77&lt;&gt;"",M77&lt;&gt;"keep")</x:f>
        <x:v>0</x:v>
      </x:c>
      <x:c r="AG77" t="n">
        <x:f>--AND(S77=1,T77=1,U77=1,V77=1,W77=1,AE77=1)</x:f>
        <x:v>0</x:v>
      </x:c>
      <x:c r="AJ77" t="str">
        <x:f>IF(OR(AH77="",AI77=""),"",--(AH77&lt;&gt;AI77))</x:f>
      </x:c>
      <x:c r="AL77" t="str">
        <x:f>IF(OR(AH77="",AI77=""),"PENDING_HUMAN",IF(AH77=AI77,AH77,IF(AK77&lt;&gt;"",AK77,"PENDING_HUMAN")))</x:f>
        <x:v>PENDING_HUMAN</x:v>
      </x:c>
      <x:c r="AM77" t="n">
        <x:f>--AND(A77&lt;&gt;"",AH77&lt;&gt;"",AI77&lt;&gt;"",OR(AH77=AI77,AK77&lt;&gt;""))</x:f>
        <x:v>0</x:v>
      </x:c>
      <x:c r="AN77" t="n">
        <x:f>--AND(Y77&lt;&gt;"",COUNTIF($Y$4:Y77,Y77)=1)</x:f>
        <x:v>0</x:v>
      </x:c>
      <x:c r="AO77" t="n">
        <x:f>--AND(AN77=1,Z77=1,AM77=1)</x:f>
        <x:v>0</x:v>
      </x:c>
      <x:c r="AP77" t="n">
        <x:f>--AND(AO77=1,AA77=1,AL77=1)</x:f>
        <x:v>0</x:v>
      </x:c>
      <x:c r="AQ77" t="n">
        <x:f>--AND(AN77=1,Z77=1)</x:f>
        <x:v>0</x:v>
      </x:c>
      <x:c r="AR77" t="n">
        <x:f>--AND(AQ77=1,AA77=1)</x:f>
        <x:v>0</x:v>
      </x:c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  <x:c r="S78" s="28"/>
      <x:c r="T78" s="28"/>
      <x:c r="U78" s="28"/>
      <x:c r="V78" s="28"/>
      <x:c r="W78" s="28"/>
      <x:c r="X78" s="43" t="n">
        <x:f>--AND(S78=1,T78=1,U78=1,V78=1,W78=1)</x:f>
        <x:v>0</x:v>
      </x:c>
      <x:c r="AE78" s="43" t="n">
        <x:f>--AND(S78=1,M78&lt;&gt;"",M78&lt;&gt;"keep")</x:f>
        <x:v>0</x:v>
      </x:c>
      <x:c r="AG78" t="n">
        <x:f>--AND(S78=1,T78=1,U78=1,V78=1,W78=1,AE78=1)</x:f>
        <x:v>0</x:v>
      </x:c>
      <x:c r="AJ78" t="str">
        <x:f>IF(OR(AH78="",AI78=""),"",--(AH78&lt;&gt;AI78))</x:f>
      </x:c>
      <x:c r="AL78" t="str">
        <x:f>IF(OR(AH78="",AI78=""),"PENDING_HUMAN",IF(AH78=AI78,AH78,IF(AK78&lt;&gt;"",AK78,"PENDING_HUMAN")))</x:f>
        <x:v>PENDING_HUMAN</x:v>
      </x:c>
      <x:c r="AM78" t="n">
        <x:f>--AND(A78&lt;&gt;"",AH78&lt;&gt;"",AI78&lt;&gt;"",OR(AH78=AI78,AK78&lt;&gt;""))</x:f>
        <x:v>0</x:v>
      </x:c>
      <x:c r="AN78" t="n">
        <x:f>--AND(Y78&lt;&gt;"",COUNTIF($Y$4:Y78,Y78)=1)</x:f>
        <x:v>0</x:v>
      </x:c>
      <x:c r="AO78" t="n">
        <x:f>--AND(AN78=1,Z78=1,AM78=1)</x:f>
        <x:v>0</x:v>
      </x:c>
      <x:c r="AP78" t="n">
        <x:f>--AND(AO78=1,AA78=1,AL78=1)</x:f>
        <x:v>0</x:v>
      </x:c>
      <x:c r="AQ78" t="n">
        <x:f>--AND(AN78=1,Z78=1)</x:f>
        <x:v>0</x:v>
      </x:c>
      <x:c r="AR78" t="n">
        <x:f>--AND(AQ78=1,AA78=1)</x:f>
        <x:v>0</x:v>
      </x:c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  <x:c r="S79" s="28"/>
      <x:c r="T79" s="28"/>
      <x:c r="U79" s="28"/>
      <x:c r="V79" s="28"/>
      <x:c r="W79" s="28"/>
      <x:c r="X79" s="43" t="n">
        <x:f>--AND(S79=1,T79=1,U79=1,V79=1,W79=1)</x:f>
        <x:v>0</x:v>
      </x:c>
      <x:c r="AE79" s="43" t="n">
        <x:f>--AND(S79=1,M79&lt;&gt;"",M79&lt;&gt;"keep")</x:f>
        <x:v>0</x:v>
      </x:c>
      <x:c r="AG79" t="n">
        <x:f>--AND(S79=1,T79=1,U79=1,V79=1,W79=1,AE79=1)</x:f>
        <x:v>0</x:v>
      </x:c>
      <x:c r="AJ79" t="str">
        <x:f>IF(OR(AH79="",AI79=""),"",--(AH79&lt;&gt;AI79))</x:f>
      </x:c>
      <x:c r="AL79" t="str">
        <x:f>IF(OR(AH79="",AI79=""),"PENDING_HUMAN",IF(AH79=AI79,AH79,IF(AK79&lt;&gt;"",AK79,"PENDING_HUMAN")))</x:f>
        <x:v>PENDING_HUMAN</x:v>
      </x:c>
      <x:c r="AM79" t="n">
        <x:f>--AND(A79&lt;&gt;"",AH79&lt;&gt;"",AI79&lt;&gt;"",OR(AH79=AI79,AK79&lt;&gt;""))</x:f>
        <x:v>0</x:v>
      </x:c>
      <x:c r="AN79" t="n">
        <x:f>--AND(Y79&lt;&gt;"",COUNTIF($Y$4:Y79,Y79)=1)</x:f>
        <x:v>0</x:v>
      </x:c>
      <x:c r="AO79" t="n">
        <x:f>--AND(AN79=1,Z79=1,AM79=1)</x:f>
        <x:v>0</x:v>
      </x:c>
      <x:c r="AP79" t="n">
        <x:f>--AND(AO79=1,AA79=1,AL79=1)</x:f>
        <x:v>0</x:v>
      </x:c>
      <x:c r="AQ79" t="n">
        <x:f>--AND(AN79=1,Z79=1)</x:f>
        <x:v>0</x:v>
      </x:c>
      <x:c r="AR79" t="n">
        <x:f>--AND(AQ79=1,AA79=1)</x:f>
        <x:v>0</x:v>
      </x:c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  <x:c r="S80" s="28"/>
      <x:c r="T80" s="28"/>
      <x:c r="U80" s="28"/>
      <x:c r="V80" s="28"/>
      <x:c r="W80" s="28"/>
      <x:c r="X80" s="43" t="n">
        <x:f>--AND(S80=1,T80=1,U80=1,V80=1,W80=1)</x:f>
        <x:v>0</x:v>
      </x:c>
      <x:c r="AE80" s="43" t="n">
        <x:f>--AND(S80=1,M80&lt;&gt;"",M80&lt;&gt;"keep")</x:f>
        <x:v>0</x:v>
      </x:c>
      <x:c r="AG80" t="n">
        <x:f>--AND(S80=1,T80=1,U80=1,V80=1,W80=1,AE80=1)</x:f>
        <x:v>0</x:v>
      </x:c>
      <x:c r="AJ80" t="str">
        <x:f>IF(OR(AH80="",AI80=""),"",--(AH80&lt;&gt;AI80))</x:f>
      </x:c>
      <x:c r="AL80" t="str">
        <x:f>IF(OR(AH80="",AI80=""),"PENDING_HUMAN",IF(AH80=AI80,AH80,IF(AK80&lt;&gt;"",AK80,"PENDING_HUMAN")))</x:f>
        <x:v>PENDING_HUMAN</x:v>
      </x:c>
      <x:c r="AM80" t="n">
        <x:f>--AND(A80&lt;&gt;"",AH80&lt;&gt;"",AI80&lt;&gt;"",OR(AH80=AI80,AK80&lt;&gt;""))</x:f>
        <x:v>0</x:v>
      </x:c>
      <x:c r="AN80" t="n">
        <x:f>--AND(Y80&lt;&gt;"",COUNTIF($Y$4:Y80,Y80)=1)</x:f>
        <x:v>0</x:v>
      </x:c>
      <x:c r="AO80" t="n">
        <x:f>--AND(AN80=1,Z80=1,AM80=1)</x:f>
        <x:v>0</x:v>
      </x:c>
      <x:c r="AP80" t="n">
        <x:f>--AND(AO80=1,AA80=1,AL80=1)</x:f>
        <x:v>0</x:v>
      </x:c>
      <x:c r="AQ80" t="n">
        <x:f>--AND(AN80=1,Z80=1)</x:f>
        <x:v>0</x:v>
      </x:c>
      <x:c r="AR80" t="n">
        <x:f>--AND(AQ80=1,AA80=1)</x:f>
        <x:v>0</x:v>
      </x:c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  <x:c r="S81" s="28"/>
      <x:c r="T81" s="28"/>
      <x:c r="U81" s="28"/>
      <x:c r="V81" s="28"/>
      <x:c r="W81" s="28"/>
      <x:c r="X81" s="43" t="n">
        <x:f>--AND(S81=1,T81=1,U81=1,V81=1,W81=1)</x:f>
        <x:v>0</x:v>
      </x:c>
      <x:c r="AE81" s="43" t="n">
        <x:f>--AND(S81=1,M81&lt;&gt;"",M81&lt;&gt;"keep")</x:f>
        <x:v>0</x:v>
      </x:c>
      <x:c r="AG81" t="n">
        <x:f>--AND(S81=1,T81=1,U81=1,V81=1,W81=1,AE81=1)</x:f>
        <x:v>0</x:v>
      </x:c>
      <x:c r="AJ81" t="str">
        <x:f>IF(OR(AH81="",AI81=""),"",--(AH81&lt;&gt;AI81))</x:f>
      </x:c>
      <x:c r="AL81" t="str">
        <x:f>IF(OR(AH81="",AI81=""),"PENDING_HUMAN",IF(AH81=AI81,AH81,IF(AK81&lt;&gt;"",AK81,"PENDING_HUMAN")))</x:f>
        <x:v>PENDING_HUMAN</x:v>
      </x:c>
      <x:c r="AM81" t="n">
        <x:f>--AND(A81&lt;&gt;"",AH81&lt;&gt;"",AI81&lt;&gt;"",OR(AH81=AI81,AK81&lt;&gt;""))</x:f>
        <x:v>0</x:v>
      </x:c>
      <x:c r="AN81" t="n">
        <x:f>--AND(Y81&lt;&gt;"",COUNTIF($Y$4:Y81,Y81)=1)</x:f>
        <x:v>0</x:v>
      </x:c>
      <x:c r="AO81" t="n">
        <x:f>--AND(AN81=1,Z81=1,AM81=1)</x:f>
        <x:v>0</x:v>
      </x:c>
      <x:c r="AP81" t="n">
        <x:f>--AND(AO81=1,AA81=1,AL81=1)</x:f>
        <x:v>0</x:v>
      </x:c>
      <x:c r="AQ81" t="n">
        <x:f>--AND(AN81=1,Z81=1)</x:f>
        <x:v>0</x:v>
      </x:c>
      <x:c r="AR81" t="n">
        <x:f>--AND(AQ81=1,AA81=1)</x:f>
        <x:v>0</x:v>
      </x:c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  <x:c r="S82" s="28"/>
      <x:c r="T82" s="28"/>
      <x:c r="U82" s="28"/>
      <x:c r="V82" s="28"/>
      <x:c r="W82" s="28"/>
      <x:c r="X82" s="43" t="n">
        <x:f>--AND(S82=1,T82=1,U82=1,V82=1,W82=1)</x:f>
        <x:v>0</x:v>
      </x:c>
      <x:c r="AE82" s="43" t="n">
        <x:f>--AND(S82=1,M82&lt;&gt;"",M82&lt;&gt;"keep")</x:f>
        <x:v>0</x:v>
      </x:c>
      <x:c r="AG82" t="n">
        <x:f>--AND(S82=1,T82=1,U82=1,V82=1,W82=1,AE82=1)</x:f>
        <x:v>0</x:v>
      </x:c>
      <x:c r="AJ82" t="str">
        <x:f>IF(OR(AH82="",AI82=""),"",--(AH82&lt;&gt;AI82))</x:f>
      </x:c>
      <x:c r="AL82" t="str">
        <x:f>IF(OR(AH82="",AI82=""),"PENDING_HUMAN",IF(AH82=AI82,AH82,IF(AK82&lt;&gt;"",AK82,"PENDING_HUMAN")))</x:f>
        <x:v>PENDING_HUMAN</x:v>
      </x:c>
      <x:c r="AM82" t="n">
        <x:f>--AND(A82&lt;&gt;"",AH82&lt;&gt;"",AI82&lt;&gt;"",OR(AH82=AI82,AK82&lt;&gt;""))</x:f>
        <x:v>0</x:v>
      </x:c>
      <x:c r="AN82" t="n">
        <x:f>--AND(Y82&lt;&gt;"",COUNTIF($Y$4:Y82,Y82)=1)</x:f>
        <x:v>0</x:v>
      </x:c>
      <x:c r="AO82" t="n">
        <x:f>--AND(AN82=1,Z82=1,AM82=1)</x:f>
        <x:v>0</x:v>
      </x:c>
      <x:c r="AP82" t="n">
        <x:f>--AND(AO82=1,AA82=1,AL82=1)</x:f>
        <x:v>0</x:v>
      </x:c>
      <x:c r="AQ82" t="n">
        <x:f>--AND(AN82=1,Z82=1)</x:f>
        <x:v>0</x:v>
      </x:c>
      <x:c r="AR82" t="n">
        <x:f>--AND(AQ82=1,AA82=1)</x:f>
        <x:v>0</x:v>
      </x:c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  <x:c r="S83" s="28"/>
      <x:c r="T83" s="28"/>
      <x:c r="U83" s="28"/>
      <x:c r="V83" s="28"/>
      <x:c r="W83" s="28"/>
      <x:c r="X83" s="43" t="n">
        <x:f>--AND(S83=1,T83=1,U83=1,V83=1,W83=1)</x:f>
        <x:v>0</x:v>
      </x:c>
      <x:c r="AE83" s="43" t="n">
        <x:f>--AND(S83=1,M83&lt;&gt;"",M83&lt;&gt;"keep")</x:f>
        <x:v>0</x:v>
      </x:c>
      <x:c r="AG83" t="n">
        <x:f>--AND(S83=1,T83=1,U83=1,V83=1,W83=1,AE83=1)</x:f>
        <x:v>0</x:v>
      </x:c>
      <x:c r="AJ83" t="str">
        <x:f>IF(OR(AH83="",AI83=""),"",--(AH83&lt;&gt;AI83))</x:f>
      </x:c>
      <x:c r="AL83" t="str">
        <x:f>IF(OR(AH83="",AI83=""),"PENDING_HUMAN",IF(AH83=AI83,AH83,IF(AK83&lt;&gt;"",AK83,"PENDING_HUMAN")))</x:f>
        <x:v>PENDING_HUMAN</x:v>
      </x:c>
      <x:c r="AM83" t="n">
        <x:f>--AND(A83&lt;&gt;"",AH83&lt;&gt;"",AI83&lt;&gt;"",OR(AH83=AI83,AK83&lt;&gt;""))</x:f>
        <x:v>0</x:v>
      </x:c>
      <x:c r="AN83" t="n">
        <x:f>--AND(Y83&lt;&gt;"",COUNTIF($Y$4:Y83,Y83)=1)</x:f>
        <x:v>0</x:v>
      </x:c>
      <x:c r="AO83" t="n">
        <x:f>--AND(AN83=1,Z83=1,AM83=1)</x:f>
        <x:v>0</x:v>
      </x:c>
      <x:c r="AP83" t="n">
        <x:f>--AND(AO83=1,AA83=1,AL83=1)</x:f>
        <x:v>0</x:v>
      </x:c>
      <x:c r="AQ83" t="n">
        <x:f>--AND(AN83=1,Z83=1)</x:f>
        <x:v>0</x:v>
      </x:c>
      <x:c r="AR83" t="n">
        <x:f>--AND(AQ83=1,AA83=1)</x:f>
        <x:v>0</x:v>
      </x:c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  <x:c r="S84" s="28"/>
      <x:c r="T84" s="28"/>
      <x:c r="U84" s="28"/>
      <x:c r="V84" s="28"/>
      <x:c r="W84" s="28"/>
      <x:c r="X84" s="43" t="n">
        <x:f>--AND(S84=1,T84=1,U84=1,V84=1,W84=1)</x:f>
        <x:v>0</x:v>
      </x:c>
      <x:c r="AE84" s="43" t="n">
        <x:f>--AND(S84=1,M84&lt;&gt;"",M84&lt;&gt;"keep")</x:f>
        <x:v>0</x:v>
      </x:c>
      <x:c r="AG84" t="n">
        <x:f>--AND(S84=1,T84=1,U84=1,V84=1,W84=1,AE84=1)</x:f>
        <x:v>0</x:v>
      </x:c>
      <x:c r="AJ84" t="str">
        <x:f>IF(OR(AH84="",AI84=""),"",--(AH84&lt;&gt;AI84))</x:f>
      </x:c>
      <x:c r="AL84" t="str">
        <x:f>IF(OR(AH84="",AI84=""),"PENDING_HUMAN",IF(AH84=AI84,AH84,IF(AK84&lt;&gt;"",AK84,"PENDING_HUMAN")))</x:f>
        <x:v>PENDING_HUMAN</x:v>
      </x:c>
      <x:c r="AM84" t="n">
        <x:f>--AND(A84&lt;&gt;"",AH84&lt;&gt;"",AI84&lt;&gt;"",OR(AH84=AI84,AK84&lt;&gt;""))</x:f>
        <x:v>0</x:v>
      </x:c>
      <x:c r="AN84" t="n">
        <x:f>--AND(Y84&lt;&gt;"",COUNTIF($Y$4:Y84,Y84)=1)</x:f>
        <x:v>0</x:v>
      </x:c>
      <x:c r="AO84" t="n">
        <x:f>--AND(AN84=1,Z84=1,AM84=1)</x:f>
        <x:v>0</x:v>
      </x:c>
      <x:c r="AP84" t="n">
        <x:f>--AND(AO84=1,AA84=1,AL84=1)</x:f>
        <x:v>0</x:v>
      </x:c>
      <x:c r="AQ84" t="n">
        <x:f>--AND(AN84=1,Z84=1)</x:f>
        <x:v>0</x:v>
      </x:c>
      <x:c r="AR84" t="n">
        <x:f>--AND(AQ84=1,AA84=1)</x:f>
        <x:v>0</x:v>
      </x:c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  <x:c r="S85" s="28"/>
      <x:c r="T85" s="28"/>
      <x:c r="U85" s="28"/>
      <x:c r="V85" s="28"/>
      <x:c r="W85" s="28"/>
      <x:c r="X85" s="43" t="n">
        <x:f>--AND(S85=1,T85=1,U85=1,V85=1,W85=1)</x:f>
        <x:v>0</x:v>
      </x:c>
      <x:c r="AE85" s="43" t="n">
        <x:f>--AND(S85=1,M85&lt;&gt;"",M85&lt;&gt;"keep")</x:f>
        <x:v>0</x:v>
      </x:c>
      <x:c r="AG85" t="n">
        <x:f>--AND(S85=1,T85=1,U85=1,V85=1,W85=1,AE85=1)</x:f>
        <x:v>0</x:v>
      </x:c>
      <x:c r="AJ85" t="str">
        <x:f>IF(OR(AH85="",AI85=""),"",--(AH85&lt;&gt;AI85))</x:f>
      </x:c>
      <x:c r="AL85" t="str">
        <x:f>IF(OR(AH85="",AI85=""),"PENDING_HUMAN",IF(AH85=AI85,AH85,IF(AK85&lt;&gt;"",AK85,"PENDING_HUMAN")))</x:f>
        <x:v>PENDING_HUMAN</x:v>
      </x:c>
      <x:c r="AM85" t="n">
        <x:f>--AND(A85&lt;&gt;"",AH85&lt;&gt;"",AI85&lt;&gt;"",OR(AH85=AI85,AK85&lt;&gt;""))</x:f>
        <x:v>0</x:v>
      </x:c>
      <x:c r="AN85" t="n">
        <x:f>--AND(Y85&lt;&gt;"",COUNTIF($Y$4:Y85,Y85)=1)</x:f>
        <x:v>0</x:v>
      </x:c>
      <x:c r="AO85" t="n">
        <x:f>--AND(AN85=1,Z85=1,AM85=1)</x:f>
        <x:v>0</x:v>
      </x:c>
      <x:c r="AP85" t="n">
        <x:f>--AND(AO85=1,AA85=1,AL85=1)</x:f>
        <x:v>0</x:v>
      </x:c>
      <x:c r="AQ85" t="n">
        <x:f>--AND(AN85=1,Z85=1)</x:f>
        <x:v>0</x:v>
      </x:c>
      <x:c r="AR85" t="n">
        <x:f>--AND(AQ85=1,AA85=1)</x:f>
        <x:v>0</x:v>
      </x:c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  <x:c r="S86" s="28"/>
      <x:c r="T86" s="28"/>
      <x:c r="U86" s="28"/>
      <x:c r="V86" s="28"/>
      <x:c r="W86" s="28"/>
      <x:c r="X86" s="43" t="n">
        <x:f>--AND(S86=1,T86=1,U86=1,V86=1,W86=1)</x:f>
        <x:v>0</x:v>
      </x:c>
      <x:c r="AE86" s="43" t="n">
        <x:f>--AND(S86=1,M86&lt;&gt;"",M86&lt;&gt;"keep")</x:f>
        <x:v>0</x:v>
      </x:c>
      <x:c r="AG86" t="n">
        <x:f>--AND(S86=1,T86=1,U86=1,V86=1,W86=1,AE86=1)</x:f>
        <x:v>0</x:v>
      </x:c>
      <x:c r="AJ86" t="str">
        <x:f>IF(OR(AH86="",AI86=""),"",--(AH86&lt;&gt;AI86))</x:f>
      </x:c>
      <x:c r="AL86" t="str">
        <x:f>IF(OR(AH86="",AI86=""),"PENDING_HUMAN",IF(AH86=AI86,AH86,IF(AK86&lt;&gt;"",AK86,"PENDING_HUMAN")))</x:f>
        <x:v>PENDING_HUMAN</x:v>
      </x:c>
      <x:c r="AM86" t="n">
        <x:f>--AND(A86&lt;&gt;"",AH86&lt;&gt;"",AI86&lt;&gt;"",OR(AH86=AI86,AK86&lt;&gt;""))</x:f>
        <x:v>0</x:v>
      </x:c>
      <x:c r="AN86" t="n">
        <x:f>--AND(Y86&lt;&gt;"",COUNTIF($Y$4:Y86,Y86)=1)</x:f>
        <x:v>0</x:v>
      </x:c>
      <x:c r="AO86" t="n">
        <x:f>--AND(AN86=1,Z86=1,AM86=1)</x:f>
        <x:v>0</x:v>
      </x:c>
      <x:c r="AP86" t="n">
        <x:f>--AND(AO86=1,AA86=1,AL86=1)</x:f>
        <x:v>0</x:v>
      </x:c>
      <x:c r="AQ86" t="n">
        <x:f>--AND(AN86=1,Z86=1)</x:f>
        <x:v>0</x:v>
      </x:c>
      <x:c r="AR86" t="n">
        <x:f>--AND(AQ86=1,AA86=1)</x:f>
        <x:v>0</x:v>
      </x:c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  <x:c r="S87" s="28"/>
      <x:c r="T87" s="28"/>
      <x:c r="U87" s="28"/>
      <x:c r="V87" s="28"/>
      <x:c r="W87" s="28"/>
      <x:c r="X87" s="43" t="n">
        <x:f>--AND(S87=1,T87=1,U87=1,V87=1,W87=1)</x:f>
        <x:v>0</x:v>
      </x:c>
      <x:c r="AE87" s="43" t="n">
        <x:f>--AND(S87=1,M87&lt;&gt;"",M87&lt;&gt;"keep")</x:f>
        <x:v>0</x:v>
      </x:c>
      <x:c r="AG87" t="n">
        <x:f>--AND(S87=1,T87=1,U87=1,V87=1,W87=1,AE87=1)</x:f>
        <x:v>0</x:v>
      </x:c>
      <x:c r="AJ87" t="str">
        <x:f>IF(OR(AH87="",AI87=""),"",--(AH87&lt;&gt;AI87))</x:f>
      </x:c>
      <x:c r="AL87" t="str">
        <x:f>IF(OR(AH87="",AI87=""),"PENDING_HUMAN",IF(AH87=AI87,AH87,IF(AK87&lt;&gt;"",AK87,"PENDING_HUMAN")))</x:f>
        <x:v>PENDING_HUMAN</x:v>
      </x:c>
      <x:c r="AM87" t="n">
        <x:f>--AND(A87&lt;&gt;"",AH87&lt;&gt;"",AI87&lt;&gt;"",OR(AH87=AI87,AK87&lt;&gt;""))</x:f>
        <x:v>0</x:v>
      </x:c>
      <x:c r="AN87" t="n">
        <x:f>--AND(Y87&lt;&gt;"",COUNTIF($Y$4:Y87,Y87)=1)</x:f>
        <x:v>0</x:v>
      </x:c>
      <x:c r="AO87" t="n">
        <x:f>--AND(AN87=1,Z87=1,AM87=1)</x:f>
        <x:v>0</x:v>
      </x:c>
      <x:c r="AP87" t="n">
        <x:f>--AND(AO87=1,AA87=1,AL87=1)</x:f>
        <x:v>0</x:v>
      </x:c>
      <x:c r="AQ87" t="n">
        <x:f>--AND(AN87=1,Z87=1)</x:f>
        <x:v>0</x:v>
      </x:c>
      <x:c r="AR87" t="n">
        <x:f>--AND(AQ87=1,AA87=1)</x:f>
        <x:v>0</x:v>
      </x:c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  <x:c r="S88" s="28"/>
      <x:c r="T88" s="28"/>
      <x:c r="U88" s="28"/>
      <x:c r="V88" s="28"/>
      <x:c r="W88" s="28"/>
      <x:c r="X88" s="43" t="n">
        <x:f>--AND(S88=1,T88=1,U88=1,V88=1,W88=1)</x:f>
        <x:v>0</x:v>
      </x:c>
      <x:c r="AE88" s="43" t="n">
        <x:f>--AND(S88=1,M88&lt;&gt;"",M88&lt;&gt;"keep")</x:f>
        <x:v>0</x:v>
      </x:c>
      <x:c r="AG88" t="n">
        <x:f>--AND(S88=1,T88=1,U88=1,V88=1,W88=1,AE88=1)</x:f>
        <x:v>0</x:v>
      </x:c>
      <x:c r="AJ88" t="str">
        <x:f>IF(OR(AH88="",AI88=""),"",--(AH88&lt;&gt;AI88))</x:f>
      </x:c>
      <x:c r="AL88" t="str">
        <x:f>IF(OR(AH88="",AI88=""),"PENDING_HUMAN",IF(AH88=AI88,AH88,IF(AK88&lt;&gt;"",AK88,"PENDING_HUMAN")))</x:f>
        <x:v>PENDING_HUMAN</x:v>
      </x:c>
      <x:c r="AM88" t="n">
        <x:f>--AND(A88&lt;&gt;"",AH88&lt;&gt;"",AI88&lt;&gt;"",OR(AH88=AI88,AK88&lt;&gt;""))</x:f>
        <x:v>0</x:v>
      </x:c>
      <x:c r="AN88" t="n">
        <x:f>--AND(Y88&lt;&gt;"",COUNTIF($Y$4:Y88,Y88)=1)</x:f>
        <x:v>0</x:v>
      </x:c>
      <x:c r="AO88" t="n">
        <x:f>--AND(AN88=1,Z88=1,AM88=1)</x:f>
        <x:v>0</x:v>
      </x:c>
      <x:c r="AP88" t="n">
        <x:f>--AND(AO88=1,AA88=1,AL88=1)</x:f>
        <x:v>0</x:v>
      </x:c>
      <x:c r="AQ88" t="n">
        <x:f>--AND(AN88=1,Z88=1)</x:f>
        <x:v>0</x:v>
      </x:c>
      <x:c r="AR88" t="n">
        <x:f>--AND(AQ88=1,AA88=1)</x:f>
        <x:v>0</x:v>
      </x:c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  <x:c r="S89" s="28"/>
      <x:c r="T89" s="28"/>
      <x:c r="U89" s="28"/>
      <x:c r="V89" s="28"/>
      <x:c r="W89" s="28"/>
      <x:c r="X89" s="43" t="n">
        <x:f>--AND(S89=1,T89=1,U89=1,V89=1,W89=1)</x:f>
        <x:v>0</x:v>
      </x:c>
      <x:c r="AE89" s="43" t="n">
        <x:f>--AND(S89=1,M89&lt;&gt;"",M89&lt;&gt;"keep")</x:f>
        <x:v>0</x:v>
      </x:c>
      <x:c r="AG89" t="n">
        <x:f>--AND(S89=1,T89=1,U89=1,V89=1,W89=1,AE89=1)</x:f>
        <x:v>0</x:v>
      </x:c>
      <x:c r="AJ89" t="str">
        <x:f>IF(OR(AH89="",AI89=""),"",--(AH89&lt;&gt;AI89))</x:f>
      </x:c>
      <x:c r="AL89" t="str">
        <x:f>IF(OR(AH89="",AI89=""),"PENDING_HUMAN",IF(AH89=AI89,AH89,IF(AK89&lt;&gt;"",AK89,"PENDING_HUMAN")))</x:f>
        <x:v>PENDING_HUMAN</x:v>
      </x:c>
      <x:c r="AM89" t="n">
        <x:f>--AND(A89&lt;&gt;"",AH89&lt;&gt;"",AI89&lt;&gt;"",OR(AH89=AI89,AK89&lt;&gt;""))</x:f>
        <x:v>0</x:v>
      </x:c>
      <x:c r="AN89" t="n">
        <x:f>--AND(Y89&lt;&gt;"",COUNTIF($Y$4:Y89,Y89)=1)</x:f>
        <x:v>0</x:v>
      </x:c>
      <x:c r="AO89" t="n">
        <x:f>--AND(AN89=1,Z89=1,AM89=1)</x:f>
        <x:v>0</x:v>
      </x:c>
      <x:c r="AP89" t="n">
        <x:f>--AND(AO89=1,AA89=1,AL89=1)</x:f>
        <x:v>0</x:v>
      </x:c>
      <x:c r="AQ89" t="n">
        <x:f>--AND(AN89=1,Z89=1)</x:f>
        <x:v>0</x:v>
      </x:c>
      <x:c r="AR89" t="n">
        <x:f>--AND(AQ89=1,AA89=1)</x:f>
        <x:v>0</x:v>
      </x:c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  <x:c r="S90" s="28"/>
      <x:c r="T90" s="28"/>
      <x:c r="U90" s="28"/>
      <x:c r="V90" s="28"/>
      <x:c r="W90" s="28"/>
      <x:c r="X90" s="43" t="n">
        <x:f>--AND(S90=1,T90=1,U90=1,V90=1,W90=1)</x:f>
        <x:v>0</x:v>
      </x:c>
      <x:c r="AE90" s="43" t="n">
        <x:f>--AND(S90=1,M90&lt;&gt;"",M90&lt;&gt;"keep")</x:f>
        <x:v>0</x:v>
      </x:c>
      <x:c r="AG90" t="n">
        <x:f>--AND(S90=1,T90=1,U90=1,V90=1,W90=1,AE90=1)</x:f>
        <x:v>0</x:v>
      </x:c>
      <x:c r="AJ90" t="str">
        <x:f>IF(OR(AH90="",AI90=""),"",--(AH90&lt;&gt;AI90))</x:f>
      </x:c>
      <x:c r="AL90" t="str">
        <x:f>IF(OR(AH90="",AI90=""),"PENDING_HUMAN",IF(AH90=AI90,AH90,IF(AK90&lt;&gt;"",AK90,"PENDING_HUMAN")))</x:f>
        <x:v>PENDING_HUMAN</x:v>
      </x:c>
      <x:c r="AM90" t="n">
        <x:f>--AND(A90&lt;&gt;"",AH90&lt;&gt;"",AI90&lt;&gt;"",OR(AH90=AI90,AK90&lt;&gt;""))</x:f>
        <x:v>0</x:v>
      </x:c>
      <x:c r="AN90" t="n">
        <x:f>--AND(Y90&lt;&gt;"",COUNTIF($Y$4:Y90,Y90)=1)</x:f>
        <x:v>0</x:v>
      </x:c>
      <x:c r="AO90" t="n">
        <x:f>--AND(AN90=1,Z90=1,AM90=1)</x:f>
        <x:v>0</x:v>
      </x:c>
      <x:c r="AP90" t="n">
        <x:f>--AND(AO90=1,AA90=1,AL90=1)</x:f>
        <x:v>0</x:v>
      </x:c>
      <x:c r="AQ90" t="n">
        <x:f>--AND(AN90=1,Z90=1)</x:f>
        <x:v>0</x:v>
      </x:c>
      <x:c r="AR90" t="n">
        <x:f>--AND(AQ90=1,AA90=1)</x:f>
        <x:v>0</x:v>
      </x:c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  <x:c r="S91" s="28"/>
      <x:c r="T91" s="28"/>
      <x:c r="U91" s="28"/>
      <x:c r="V91" s="28"/>
      <x:c r="W91" s="28"/>
      <x:c r="X91" s="43" t="n">
        <x:f>--AND(S91=1,T91=1,U91=1,V91=1,W91=1)</x:f>
        <x:v>0</x:v>
      </x:c>
      <x:c r="AE91" s="43" t="n">
        <x:f>--AND(S91=1,M91&lt;&gt;"",M91&lt;&gt;"keep")</x:f>
        <x:v>0</x:v>
      </x:c>
      <x:c r="AG91" t="n">
        <x:f>--AND(S91=1,T91=1,U91=1,V91=1,W91=1,AE91=1)</x:f>
        <x:v>0</x:v>
      </x:c>
      <x:c r="AJ91" t="str">
        <x:f>IF(OR(AH91="",AI91=""),"",--(AH91&lt;&gt;AI91))</x:f>
      </x:c>
      <x:c r="AL91" t="str">
        <x:f>IF(OR(AH91="",AI91=""),"PENDING_HUMAN",IF(AH91=AI91,AH91,IF(AK91&lt;&gt;"",AK91,"PENDING_HUMAN")))</x:f>
        <x:v>PENDING_HUMAN</x:v>
      </x:c>
      <x:c r="AM91" t="n">
        <x:f>--AND(A91&lt;&gt;"",AH91&lt;&gt;"",AI91&lt;&gt;"",OR(AH91=AI91,AK91&lt;&gt;""))</x:f>
        <x:v>0</x:v>
      </x:c>
      <x:c r="AN91" t="n">
        <x:f>--AND(Y91&lt;&gt;"",COUNTIF($Y$4:Y91,Y91)=1)</x:f>
        <x:v>0</x:v>
      </x:c>
      <x:c r="AO91" t="n">
        <x:f>--AND(AN91=1,Z91=1,AM91=1)</x:f>
        <x:v>0</x:v>
      </x:c>
      <x:c r="AP91" t="n">
        <x:f>--AND(AO91=1,AA91=1,AL91=1)</x:f>
        <x:v>0</x:v>
      </x:c>
      <x:c r="AQ91" t="n">
        <x:f>--AND(AN91=1,Z91=1)</x:f>
        <x:v>0</x:v>
      </x:c>
      <x:c r="AR91" t="n">
        <x:f>--AND(AQ91=1,AA91=1)</x:f>
        <x:v>0</x:v>
      </x:c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  <x:c r="S92" s="28"/>
      <x:c r="T92" s="28"/>
      <x:c r="U92" s="28"/>
      <x:c r="V92" s="28"/>
      <x:c r="W92" s="28"/>
      <x:c r="X92" s="43" t="n">
        <x:f>--AND(S92=1,T92=1,U92=1,V92=1,W92=1)</x:f>
        <x:v>0</x:v>
      </x:c>
      <x:c r="AE92" s="43" t="n">
        <x:f>--AND(S92=1,M92&lt;&gt;"",M92&lt;&gt;"keep")</x:f>
        <x:v>0</x:v>
      </x:c>
      <x:c r="AG92" t="n">
        <x:f>--AND(S92=1,T92=1,U92=1,V92=1,W92=1,AE92=1)</x:f>
        <x:v>0</x:v>
      </x:c>
      <x:c r="AJ92" t="str">
        <x:f>IF(OR(AH92="",AI92=""),"",--(AH92&lt;&gt;AI92))</x:f>
      </x:c>
      <x:c r="AL92" t="str">
        <x:f>IF(OR(AH92="",AI92=""),"PENDING_HUMAN",IF(AH92=AI92,AH92,IF(AK92&lt;&gt;"",AK92,"PENDING_HUMAN")))</x:f>
        <x:v>PENDING_HUMAN</x:v>
      </x:c>
      <x:c r="AM92" t="n">
        <x:f>--AND(A92&lt;&gt;"",AH92&lt;&gt;"",AI92&lt;&gt;"",OR(AH92=AI92,AK92&lt;&gt;""))</x:f>
        <x:v>0</x:v>
      </x:c>
      <x:c r="AN92" t="n">
        <x:f>--AND(Y92&lt;&gt;"",COUNTIF($Y$4:Y92,Y92)=1)</x:f>
        <x:v>0</x:v>
      </x:c>
      <x:c r="AO92" t="n">
        <x:f>--AND(AN92=1,Z92=1,AM92=1)</x:f>
        <x:v>0</x:v>
      </x:c>
      <x:c r="AP92" t="n">
        <x:f>--AND(AO92=1,AA92=1,AL92=1)</x:f>
        <x:v>0</x:v>
      </x:c>
      <x:c r="AQ92" t="n">
        <x:f>--AND(AN92=1,Z92=1)</x:f>
        <x:v>0</x:v>
      </x:c>
      <x:c r="AR92" t="n">
        <x:f>--AND(AQ92=1,AA92=1)</x:f>
        <x:v>0</x:v>
      </x:c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  <x:c r="S93" s="28"/>
      <x:c r="T93" s="28"/>
      <x:c r="U93" s="28"/>
      <x:c r="V93" s="28"/>
      <x:c r="W93" s="28"/>
      <x:c r="X93" s="43" t="n">
        <x:f>--AND(S93=1,T93=1,U93=1,V93=1,W93=1)</x:f>
        <x:v>0</x:v>
      </x:c>
      <x:c r="AE93" s="43" t="n">
        <x:f>--AND(S93=1,M93&lt;&gt;"",M93&lt;&gt;"keep")</x:f>
        <x:v>0</x:v>
      </x:c>
      <x:c r="AG93" t="n">
        <x:f>--AND(S93=1,T93=1,U93=1,V93=1,W93=1,AE93=1)</x:f>
        <x:v>0</x:v>
      </x:c>
      <x:c r="AJ93" t="str">
        <x:f>IF(OR(AH93="",AI93=""),"",--(AH93&lt;&gt;AI93))</x:f>
      </x:c>
      <x:c r="AL93" t="str">
        <x:f>IF(OR(AH93="",AI93=""),"PENDING_HUMAN",IF(AH93=AI93,AH93,IF(AK93&lt;&gt;"",AK93,"PENDING_HUMAN")))</x:f>
        <x:v>PENDING_HUMAN</x:v>
      </x:c>
      <x:c r="AM93" t="n">
        <x:f>--AND(A93&lt;&gt;"",AH93&lt;&gt;"",AI93&lt;&gt;"",OR(AH93=AI93,AK93&lt;&gt;""))</x:f>
        <x:v>0</x:v>
      </x:c>
      <x:c r="AN93" t="n">
        <x:f>--AND(Y93&lt;&gt;"",COUNTIF($Y$4:Y93,Y93)=1)</x:f>
        <x:v>0</x:v>
      </x:c>
      <x:c r="AO93" t="n">
        <x:f>--AND(AN93=1,Z93=1,AM93=1)</x:f>
        <x:v>0</x:v>
      </x:c>
      <x:c r="AP93" t="n">
        <x:f>--AND(AO93=1,AA93=1,AL93=1)</x:f>
        <x:v>0</x:v>
      </x:c>
      <x:c r="AQ93" t="n">
        <x:f>--AND(AN93=1,Z93=1)</x:f>
        <x:v>0</x:v>
      </x:c>
      <x:c r="AR93" t="n">
        <x:f>--AND(AQ93=1,AA93=1)</x:f>
        <x:v>0</x:v>
      </x:c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  <x:c r="S94" s="28"/>
      <x:c r="T94" s="28"/>
      <x:c r="U94" s="28"/>
      <x:c r="V94" s="28"/>
      <x:c r="W94" s="28"/>
      <x:c r="X94" s="43" t="n">
        <x:f>--AND(S94=1,T94=1,U94=1,V94=1,W94=1)</x:f>
        <x:v>0</x:v>
      </x:c>
      <x:c r="AE94" s="43" t="n">
        <x:f>--AND(S94=1,M94&lt;&gt;"",M94&lt;&gt;"keep")</x:f>
        <x:v>0</x:v>
      </x:c>
      <x:c r="AG94" t="n">
        <x:f>--AND(S94=1,T94=1,U94=1,V94=1,W94=1,AE94=1)</x:f>
        <x:v>0</x:v>
      </x:c>
      <x:c r="AJ94" t="str">
        <x:f>IF(OR(AH94="",AI94=""),"",--(AH94&lt;&gt;AI94))</x:f>
      </x:c>
      <x:c r="AL94" t="str">
        <x:f>IF(OR(AH94="",AI94=""),"PENDING_HUMAN",IF(AH94=AI94,AH94,IF(AK94&lt;&gt;"",AK94,"PENDING_HUMAN")))</x:f>
        <x:v>PENDING_HUMAN</x:v>
      </x:c>
      <x:c r="AM94" t="n">
        <x:f>--AND(A94&lt;&gt;"",AH94&lt;&gt;"",AI94&lt;&gt;"",OR(AH94=AI94,AK94&lt;&gt;""))</x:f>
        <x:v>0</x:v>
      </x:c>
      <x:c r="AN94" t="n">
        <x:f>--AND(Y94&lt;&gt;"",COUNTIF($Y$4:Y94,Y94)=1)</x:f>
        <x:v>0</x:v>
      </x:c>
      <x:c r="AO94" t="n">
        <x:f>--AND(AN94=1,Z94=1,AM94=1)</x:f>
        <x:v>0</x:v>
      </x:c>
      <x:c r="AP94" t="n">
        <x:f>--AND(AO94=1,AA94=1,AL94=1)</x:f>
        <x:v>0</x:v>
      </x:c>
      <x:c r="AQ94" t="n">
        <x:f>--AND(AN94=1,Z94=1)</x:f>
        <x:v>0</x:v>
      </x:c>
      <x:c r="AR94" t="n">
        <x:f>--AND(AQ94=1,AA94=1)</x:f>
        <x:v>0</x:v>
      </x:c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  <x:c r="S95" s="28"/>
      <x:c r="T95" s="28"/>
      <x:c r="U95" s="28"/>
      <x:c r="V95" s="28"/>
      <x:c r="W95" s="28"/>
      <x:c r="X95" s="43" t="n">
        <x:f>--AND(S95=1,T95=1,U95=1,V95=1,W95=1)</x:f>
        <x:v>0</x:v>
      </x:c>
      <x:c r="AE95" s="43" t="n">
        <x:f>--AND(S95=1,M95&lt;&gt;"",M95&lt;&gt;"keep")</x:f>
        <x:v>0</x:v>
      </x:c>
      <x:c r="AG95" t="n">
        <x:f>--AND(S95=1,T95=1,U95=1,V95=1,W95=1,AE95=1)</x:f>
        <x:v>0</x:v>
      </x:c>
      <x:c r="AJ95" t="str">
        <x:f>IF(OR(AH95="",AI95=""),"",--(AH95&lt;&gt;AI95))</x:f>
      </x:c>
      <x:c r="AL95" t="str">
        <x:f>IF(OR(AH95="",AI95=""),"PENDING_HUMAN",IF(AH95=AI95,AH95,IF(AK95&lt;&gt;"",AK95,"PENDING_HUMAN")))</x:f>
        <x:v>PENDING_HUMAN</x:v>
      </x:c>
      <x:c r="AM95" t="n">
        <x:f>--AND(A95&lt;&gt;"",AH95&lt;&gt;"",AI95&lt;&gt;"",OR(AH95=AI95,AK95&lt;&gt;""))</x:f>
        <x:v>0</x:v>
      </x:c>
      <x:c r="AN95" t="n">
        <x:f>--AND(Y95&lt;&gt;"",COUNTIF($Y$4:Y95,Y95)=1)</x:f>
        <x:v>0</x:v>
      </x:c>
      <x:c r="AO95" t="n">
        <x:f>--AND(AN95=1,Z95=1,AM95=1)</x:f>
        <x:v>0</x:v>
      </x:c>
      <x:c r="AP95" t="n">
        <x:f>--AND(AO95=1,AA95=1,AL95=1)</x:f>
        <x:v>0</x:v>
      </x:c>
      <x:c r="AQ95" t="n">
        <x:f>--AND(AN95=1,Z95=1)</x:f>
        <x:v>0</x:v>
      </x:c>
      <x:c r="AR95" t="n">
        <x:f>--AND(AQ95=1,AA95=1)</x:f>
        <x:v>0</x:v>
      </x:c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  <x:c r="S96" s="28"/>
      <x:c r="T96" s="28"/>
      <x:c r="U96" s="28"/>
      <x:c r="V96" s="28"/>
      <x:c r="W96" s="28"/>
      <x:c r="X96" s="43" t="n">
        <x:f>--AND(S96=1,T96=1,U96=1,V96=1,W96=1)</x:f>
        <x:v>0</x:v>
      </x:c>
      <x:c r="AE96" s="43" t="n">
        <x:f>--AND(S96=1,M96&lt;&gt;"",M96&lt;&gt;"keep")</x:f>
        <x:v>0</x:v>
      </x:c>
      <x:c r="AG96" t="n">
        <x:f>--AND(S96=1,T96=1,U96=1,V96=1,W96=1,AE96=1)</x:f>
        <x:v>0</x:v>
      </x:c>
      <x:c r="AJ96" t="str">
        <x:f>IF(OR(AH96="",AI96=""),"",--(AH96&lt;&gt;AI96))</x:f>
      </x:c>
      <x:c r="AL96" t="str">
        <x:f>IF(OR(AH96="",AI96=""),"PENDING_HUMAN",IF(AH96=AI96,AH96,IF(AK96&lt;&gt;"",AK96,"PENDING_HUMAN")))</x:f>
        <x:v>PENDING_HUMAN</x:v>
      </x:c>
      <x:c r="AM96" t="n">
        <x:f>--AND(A96&lt;&gt;"",AH96&lt;&gt;"",AI96&lt;&gt;"",OR(AH96=AI96,AK96&lt;&gt;""))</x:f>
        <x:v>0</x:v>
      </x:c>
      <x:c r="AN96" t="n">
        <x:f>--AND(Y96&lt;&gt;"",COUNTIF($Y$4:Y96,Y96)=1)</x:f>
        <x:v>0</x:v>
      </x:c>
      <x:c r="AO96" t="n">
        <x:f>--AND(AN96=1,Z96=1,AM96=1)</x:f>
        <x:v>0</x:v>
      </x:c>
      <x:c r="AP96" t="n">
        <x:f>--AND(AO96=1,AA96=1,AL96=1)</x:f>
        <x:v>0</x:v>
      </x:c>
      <x:c r="AQ96" t="n">
        <x:f>--AND(AN96=1,Z96=1)</x:f>
        <x:v>0</x:v>
      </x:c>
      <x:c r="AR96" t="n">
        <x:f>--AND(AQ96=1,AA96=1)</x:f>
        <x:v>0</x:v>
      </x:c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  <x:c r="S97" s="28"/>
      <x:c r="T97" s="28"/>
      <x:c r="U97" s="28"/>
      <x:c r="V97" s="28"/>
      <x:c r="W97" s="28"/>
      <x:c r="X97" s="43" t="n">
        <x:f>--AND(S97=1,T97=1,U97=1,V97=1,W97=1)</x:f>
        <x:v>0</x:v>
      </x:c>
      <x:c r="AE97" s="43" t="n">
        <x:f>--AND(S97=1,M97&lt;&gt;"",M97&lt;&gt;"keep")</x:f>
        <x:v>0</x:v>
      </x:c>
      <x:c r="AG97" t="n">
        <x:f>--AND(S97=1,T97=1,U97=1,V97=1,W97=1,AE97=1)</x:f>
        <x:v>0</x:v>
      </x:c>
      <x:c r="AJ97" t="str">
        <x:f>IF(OR(AH97="",AI97=""),"",--(AH97&lt;&gt;AI97))</x:f>
      </x:c>
      <x:c r="AL97" t="str">
        <x:f>IF(OR(AH97="",AI97=""),"PENDING_HUMAN",IF(AH97=AI97,AH97,IF(AK97&lt;&gt;"",AK97,"PENDING_HUMAN")))</x:f>
        <x:v>PENDING_HUMAN</x:v>
      </x:c>
      <x:c r="AM97" t="n">
        <x:f>--AND(A97&lt;&gt;"",AH97&lt;&gt;"",AI97&lt;&gt;"",OR(AH97=AI97,AK97&lt;&gt;""))</x:f>
        <x:v>0</x:v>
      </x:c>
      <x:c r="AN97" t="n">
        <x:f>--AND(Y97&lt;&gt;"",COUNTIF($Y$4:Y97,Y97)=1)</x:f>
        <x:v>0</x:v>
      </x:c>
      <x:c r="AO97" t="n">
        <x:f>--AND(AN97=1,Z97=1,AM97=1)</x:f>
        <x:v>0</x:v>
      </x:c>
      <x:c r="AP97" t="n">
        <x:f>--AND(AO97=1,AA97=1,AL97=1)</x:f>
        <x:v>0</x:v>
      </x:c>
      <x:c r="AQ97" t="n">
        <x:f>--AND(AN97=1,Z97=1)</x:f>
        <x:v>0</x:v>
      </x:c>
      <x:c r="AR97" t="n">
        <x:f>--AND(AQ97=1,AA97=1)</x:f>
        <x:v>0</x:v>
      </x:c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  <x:c r="S98" s="28"/>
      <x:c r="T98" s="28"/>
      <x:c r="U98" s="28"/>
      <x:c r="V98" s="28"/>
      <x:c r="W98" s="28"/>
      <x:c r="X98" s="43" t="n">
        <x:f>--AND(S98=1,T98=1,U98=1,V98=1,W98=1)</x:f>
        <x:v>0</x:v>
      </x:c>
      <x:c r="AE98" s="43" t="n">
        <x:f>--AND(S98=1,M98&lt;&gt;"",M98&lt;&gt;"keep")</x:f>
        <x:v>0</x:v>
      </x:c>
      <x:c r="AG98" t="n">
        <x:f>--AND(S98=1,T98=1,U98=1,V98=1,W98=1,AE98=1)</x:f>
        <x:v>0</x:v>
      </x:c>
      <x:c r="AJ98" t="str">
        <x:f>IF(OR(AH98="",AI98=""),"",--(AH98&lt;&gt;AI98))</x:f>
      </x:c>
      <x:c r="AL98" t="str">
        <x:f>IF(OR(AH98="",AI98=""),"PENDING_HUMAN",IF(AH98=AI98,AH98,IF(AK98&lt;&gt;"",AK98,"PENDING_HUMAN")))</x:f>
        <x:v>PENDING_HUMAN</x:v>
      </x:c>
      <x:c r="AM98" t="n">
        <x:f>--AND(A98&lt;&gt;"",AH98&lt;&gt;"",AI98&lt;&gt;"",OR(AH98=AI98,AK98&lt;&gt;""))</x:f>
        <x:v>0</x:v>
      </x:c>
      <x:c r="AN98" t="n">
        <x:f>--AND(Y98&lt;&gt;"",COUNTIF($Y$4:Y98,Y98)=1)</x:f>
        <x:v>0</x:v>
      </x:c>
      <x:c r="AO98" t="n">
        <x:f>--AND(AN98=1,Z98=1,AM98=1)</x:f>
        <x:v>0</x:v>
      </x:c>
      <x:c r="AP98" t="n">
        <x:f>--AND(AO98=1,AA98=1,AL98=1)</x:f>
        <x:v>0</x:v>
      </x:c>
      <x:c r="AQ98" t="n">
        <x:f>--AND(AN98=1,Z98=1)</x:f>
        <x:v>0</x:v>
      </x:c>
      <x:c r="AR98" t="n">
        <x:f>--AND(AQ98=1,AA98=1)</x:f>
        <x:v>0</x:v>
      </x:c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  <x:c r="S99" s="28"/>
      <x:c r="T99" s="28"/>
      <x:c r="U99" s="28"/>
      <x:c r="V99" s="28"/>
      <x:c r="W99" s="28"/>
      <x:c r="X99" s="43" t="n">
        <x:f>--AND(S99=1,T99=1,U99=1,V99=1,W99=1)</x:f>
        <x:v>0</x:v>
      </x:c>
      <x:c r="AE99" s="43" t="n">
        <x:f>--AND(S99=1,M99&lt;&gt;"",M99&lt;&gt;"keep")</x:f>
        <x:v>0</x:v>
      </x:c>
      <x:c r="AG99" t="n">
        <x:f>--AND(S99=1,T99=1,U99=1,V99=1,W99=1,AE99=1)</x:f>
        <x:v>0</x:v>
      </x:c>
      <x:c r="AJ99" t="str">
        <x:f>IF(OR(AH99="",AI99=""),"",--(AH99&lt;&gt;AI99))</x:f>
      </x:c>
      <x:c r="AL99" t="str">
        <x:f>IF(OR(AH99="",AI99=""),"PENDING_HUMAN",IF(AH99=AI99,AH99,IF(AK99&lt;&gt;"",AK99,"PENDING_HUMAN")))</x:f>
        <x:v>PENDING_HUMAN</x:v>
      </x:c>
      <x:c r="AM99" t="n">
        <x:f>--AND(A99&lt;&gt;"",AH99&lt;&gt;"",AI99&lt;&gt;"",OR(AH99=AI99,AK99&lt;&gt;""))</x:f>
        <x:v>0</x:v>
      </x:c>
      <x:c r="AN99" t="n">
        <x:f>--AND(Y99&lt;&gt;"",COUNTIF($Y$4:Y99,Y99)=1)</x:f>
        <x:v>0</x:v>
      </x:c>
      <x:c r="AO99" t="n">
        <x:f>--AND(AN99=1,Z99=1,AM99=1)</x:f>
        <x:v>0</x:v>
      </x:c>
      <x:c r="AP99" t="n">
        <x:f>--AND(AO99=1,AA99=1,AL99=1)</x:f>
        <x:v>0</x:v>
      </x:c>
      <x:c r="AQ99" t="n">
        <x:f>--AND(AN99=1,Z99=1)</x:f>
        <x:v>0</x:v>
      </x:c>
      <x:c r="AR99" t="n">
        <x:f>--AND(AQ99=1,AA99=1)</x:f>
        <x:v>0</x:v>
      </x:c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  <x:c r="S100" s="28"/>
      <x:c r="T100" s="28"/>
      <x:c r="U100" s="28"/>
      <x:c r="V100" s="28"/>
      <x:c r="W100" s="28"/>
      <x:c r="X100" s="43" t="n">
        <x:f>--AND(S100=1,T100=1,U100=1,V100=1,W100=1)</x:f>
        <x:v>0</x:v>
      </x:c>
      <x:c r="AE100" s="43" t="n">
        <x:f>--AND(S100=1,M100&lt;&gt;"",M100&lt;&gt;"keep")</x:f>
        <x:v>0</x:v>
      </x:c>
      <x:c r="AG100" t="n">
        <x:f>--AND(S100=1,T100=1,U100=1,V100=1,W100=1,AE100=1)</x:f>
        <x:v>0</x:v>
      </x:c>
      <x:c r="AJ100" t="str">
        <x:f>IF(OR(AH100="",AI100=""),"",--(AH100&lt;&gt;AI100))</x:f>
      </x:c>
      <x:c r="AL100" t="str">
        <x:f>IF(OR(AH100="",AI100=""),"PENDING_HUMAN",IF(AH100=AI100,AH100,IF(AK100&lt;&gt;"",AK100,"PENDING_HUMAN")))</x:f>
        <x:v>PENDING_HUMAN</x:v>
      </x:c>
      <x:c r="AM100" t="n">
        <x:f>--AND(A100&lt;&gt;"",AH100&lt;&gt;"",AI100&lt;&gt;"",OR(AH100=AI100,AK100&lt;&gt;""))</x:f>
        <x:v>0</x:v>
      </x:c>
      <x:c r="AN100" t="n">
        <x:f>--AND(Y100&lt;&gt;"",COUNTIF($Y$4:Y100,Y100)=1)</x:f>
        <x:v>0</x:v>
      </x:c>
      <x:c r="AO100" t="n">
        <x:f>--AND(AN100=1,Z100=1,AM100=1)</x:f>
        <x:v>0</x:v>
      </x:c>
      <x:c r="AP100" t="n">
        <x:f>--AND(AO100=1,AA100=1,AL100=1)</x:f>
        <x:v>0</x:v>
      </x:c>
      <x:c r="AQ100" t="n">
        <x:f>--AND(AN100=1,Z100=1)</x:f>
        <x:v>0</x:v>
      </x:c>
      <x:c r="AR100" t="n">
        <x:f>--AND(AQ100=1,AA100=1)</x:f>
        <x:v>0</x:v>
      </x:c>
    </x:row>
    <x:row r="101">
      <x:c r="A101" s="28"/>
      <x:c r="B101" s="28"/>
      <x:c r="C101" s="28"/>
      <x:c r="D101" s="28"/>
      <x:c r="E101" s="28"/>
      <x:c r="F101" s="28"/>
      <x:c r="G101" s="28"/>
      <x:c r="H101" s="28"/>
      <x:c r="I101" s="28"/>
      <x:c r="J101" s="28"/>
      <x:c r="K101" s="28"/>
      <x:c r="L101" s="28"/>
      <x:c r="M101" s="28"/>
      <x:c r="N101" s="28"/>
      <x:c r="O101" s="28"/>
      <x:c r="P101" s="28"/>
      <x:c r="Q101" s="28"/>
      <x:c r="R101" s="28"/>
      <x:c r="S101" s="28"/>
      <x:c r="T101" s="28"/>
      <x:c r="U101" s="28"/>
      <x:c r="V101" s="28"/>
      <x:c r="W101" s="28"/>
      <x:c r="X101" s="43" t="n">
        <x:f>--AND(S101=1,T101=1,U101=1,V101=1,W101=1)</x:f>
        <x:v>0</x:v>
      </x:c>
      <x:c r="AE101" s="43" t="n">
        <x:f>--AND(S101=1,M101&lt;&gt;"",M101&lt;&gt;"keep")</x:f>
        <x:v>0</x:v>
      </x:c>
      <x:c r="AG101" t="n">
        <x:f>--AND(S101=1,T101=1,U101=1,V101=1,W101=1,AE101=1)</x:f>
        <x:v>0</x:v>
      </x:c>
      <x:c r="AJ101" t="str">
        <x:f>IF(OR(AH101="",AI101=""),"",--(AH101&lt;&gt;AI101))</x:f>
      </x:c>
      <x:c r="AL101" t="str">
        <x:f>IF(OR(AH101="",AI101=""),"PENDING_HUMAN",IF(AH101=AI101,AH101,IF(AK101&lt;&gt;"",AK101,"PENDING_HUMAN")))</x:f>
        <x:v>PENDING_HUMAN</x:v>
      </x:c>
      <x:c r="AM101" t="n">
        <x:f>--AND(A101&lt;&gt;"",AH101&lt;&gt;"",AI101&lt;&gt;"",OR(AH101=AI101,AK101&lt;&gt;""))</x:f>
        <x:v>0</x:v>
      </x:c>
      <x:c r="AN101" t="n">
        <x:f>--AND(Y101&lt;&gt;"",COUNTIF($Y$4:Y101,Y101)=1)</x:f>
        <x:v>0</x:v>
      </x:c>
      <x:c r="AO101" t="n">
        <x:f>--AND(AN101=1,Z101=1,AM101=1)</x:f>
        <x:v>0</x:v>
      </x:c>
      <x:c r="AP101" t="n">
        <x:f>--AND(AO101=1,AA101=1,AL101=1)</x:f>
        <x:v>0</x:v>
      </x:c>
      <x:c r="AQ101" t="n">
        <x:f>--AND(AN101=1,Z101=1)</x:f>
        <x:v>0</x:v>
      </x:c>
      <x:c r="AR101" t="n">
        <x:f>--AND(AQ101=1,AA101=1)</x:f>
        <x:v>0</x:v>
      </x:c>
    </x:row>
    <x:row r="102">
      <x:c r="A102" s="28"/>
      <x:c r="B102" s="28"/>
      <x:c r="C102" s="28"/>
      <x:c r="D102" s="28"/>
      <x:c r="E102" s="28"/>
      <x:c r="F102" s="28"/>
      <x:c r="G102" s="28"/>
      <x:c r="H102" s="28"/>
      <x:c r="I102" s="28"/>
      <x:c r="J102" s="28"/>
      <x:c r="K102" s="28"/>
      <x:c r="L102" s="28"/>
      <x:c r="M102" s="28"/>
      <x:c r="N102" s="28"/>
      <x:c r="O102" s="28"/>
      <x:c r="P102" s="28"/>
      <x:c r="Q102" s="28"/>
      <x:c r="R102" s="28"/>
      <x:c r="S102" s="28"/>
      <x:c r="T102" s="28"/>
      <x:c r="U102" s="28"/>
      <x:c r="V102" s="28"/>
      <x:c r="W102" s="28"/>
      <x:c r="X102" s="43" t="n">
        <x:f>--AND(S102=1,T102=1,U102=1,V102=1,W102=1)</x:f>
        <x:v>0</x:v>
      </x:c>
      <x:c r="AE102" s="43" t="n">
        <x:f>--AND(S102=1,M102&lt;&gt;"",M102&lt;&gt;"keep")</x:f>
        <x:v>0</x:v>
      </x:c>
      <x:c r="AG102" t="n">
        <x:f>--AND(S102=1,T102=1,U102=1,V102=1,W102=1,AE102=1)</x:f>
        <x:v>0</x:v>
      </x:c>
      <x:c r="AJ102" t="str">
        <x:f>IF(OR(AH102="",AI102=""),"",--(AH102&lt;&gt;AI102))</x:f>
      </x:c>
      <x:c r="AL102" t="str">
        <x:f>IF(OR(AH102="",AI102=""),"PENDING_HUMAN",IF(AH102=AI102,AH102,IF(AK102&lt;&gt;"",AK102,"PENDING_HUMAN")))</x:f>
        <x:v>PENDING_HUMAN</x:v>
      </x:c>
      <x:c r="AM102" t="n">
        <x:f>--AND(A102&lt;&gt;"",AH102&lt;&gt;"",AI102&lt;&gt;"",OR(AH102=AI102,AK102&lt;&gt;""))</x:f>
        <x:v>0</x:v>
      </x:c>
      <x:c r="AN102" t="n">
        <x:f>--AND(Y102&lt;&gt;"",COUNTIF($Y$4:Y102,Y102)=1)</x:f>
        <x:v>0</x:v>
      </x:c>
      <x:c r="AO102" t="n">
        <x:f>--AND(AN102=1,Z102=1,AM102=1)</x:f>
        <x:v>0</x:v>
      </x:c>
      <x:c r="AP102" t="n">
        <x:f>--AND(AO102=1,AA102=1,AL102=1)</x:f>
        <x:v>0</x:v>
      </x:c>
      <x:c r="AQ102" t="n">
        <x:f>--AND(AN102=1,Z102=1)</x:f>
        <x:v>0</x:v>
      </x:c>
      <x:c r="AR102" t="n">
        <x:f>--AND(AQ102=1,AA102=1)</x:f>
        <x:v>0</x:v>
      </x:c>
    </x:row>
    <x:row r="103">
      <x:c r="A103" s="28"/>
      <x:c r="B103" s="28"/>
      <x:c r="C103" s="28"/>
      <x:c r="D103" s="28"/>
      <x:c r="E103" s="28"/>
      <x:c r="F103" s="28"/>
      <x:c r="G103" s="28"/>
      <x:c r="H103" s="28"/>
      <x:c r="I103" s="28"/>
      <x:c r="J103" s="28"/>
      <x:c r="K103" s="28"/>
      <x:c r="L103" s="28"/>
      <x:c r="M103" s="28"/>
      <x:c r="N103" s="28"/>
      <x:c r="O103" s="28"/>
      <x:c r="P103" s="28"/>
      <x:c r="Q103" s="28"/>
      <x:c r="R103" s="28"/>
      <x:c r="S103" s="28"/>
      <x:c r="T103" s="28"/>
      <x:c r="U103" s="28"/>
      <x:c r="V103" s="28"/>
      <x:c r="W103" s="28"/>
      <x:c r="X103" s="43" t="n">
        <x:f>--AND(S103=1,T103=1,U103=1,V103=1,W103=1)</x:f>
        <x:v>0</x:v>
      </x:c>
      <x:c r="AE103" s="43" t="n">
        <x:f>--AND(S103=1,M103&lt;&gt;"",M103&lt;&gt;"keep")</x:f>
        <x:v>0</x:v>
      </x:c>
      <x:c r="AG103" t="n">
        <x:f>--AND(S103=1,T103=1,U103=1,V103=1,W103=1,AE103=1)</x:f>
        <x:v>0</x:v>
      </x:c>
      <x:c r="AJ103" t="str">
        <x:f>IF(OR(AH103="",AI103=""),"",--(AH103&lt;&gt;AI103))</x:f>
      </x:c>
      <x:c r="AL103" t="str">
        <x:f>IF(OR(AH103="",AI103=""),"PENDING_HUMAN",IF(AH103=AI103,AH103,IF(AK103&lt;&gt;"",AK103,"PENDING_HUMAN")))</x:f>
        <x:v>PENDING_HUMAN</x:v>
      </x:c>
      <x:c r="AM103" t="n">
        <x:f>--AND(A103&lt;&gt;"",AH103&lt;&gt;"",AI103&lt;&gt;"",OR(AH103=AI103,AK103&lt;&gt;""))</x:f>
        <x:v>0</x:v>
      </x:c>
      <x:c r="AN103" t="n">
        <x:f>--AND(Y103&lt;&gt;"",COUNTIF($Y$4:Y103,Y103)=1)</x:f>
        <x:v>0</x:v>
      </x:c>
      <x:c r="AO103" t="n">
        <x:f>--AND(AN103=1,Z103=1,AM103=1)</x:f>
        <x:v>0</x:v>
      </x:c>
      <x:c r="AP103" t="n">
        <x:f>--AND(AO103=1,AA103=1,AL103=1)</x:f>
        <x:v>0</x:v>
      </x:c>
      <x:c r="AQ103" t="n">
        <x:f>--AND(AN103=1,Z103=1)</x:f>
        <x:v>0</x:v>
      </x:c>
      <x:c r="AR103" t="n">
        <x:f>--AND(AQ103=1,AA103=1)</x:f>
        <x:v>0</x:v>
      </x:c>
    </x:row>
    <x:row r="104">
      <x:c r="A104" s="28"/>
      <x:c r="B104" s="28"/>
      <x:c r="C104" s="28"/>
      <x:c r="D104" s="28"/>
      <x:c r="E104" s="28"/>
      <x:c r="F104" s="28"/>
      <x:c r="G104" s="28"/>
      <x:c r="H104" s="28"/>
      <x:c r="I104" s="28"/>
      <x:c r="J104" s="28"/>
      <x:c r="K104" s="28"/>
      <x:c r="L104" s="28"/>
      <x:c r="M104" s="28"/>
      <x:c r="N104" s="28"/>
      <x:c r="O104" s="28"/>
      <x:c r="P104" s="28"/>
      <x:c r="Q104" s="28"/>
      <x:c r="R104" s="28"/>
      <x:c r="S104" s="28"/>
      <x:c r="T104" s="28"/>
      <x:c r="U104" s="28"/>
      <x:c r="V104" s="28"/>
      <x:c r="W104" s="28"/>
      <x:c r="X104" s="43" t="n">
        <x:f>--AND(S104=1,T104=1,U104=1,V104=1,W104=1)</x:f>
        <x:v>0</x:v>
      </x:c>
      <x:c r="AE104" s="43" t="n">
        <x:f>--AND(S104=1,M104&lt;&gt;"",M104&lt;&gt;"keep")</x:f>
        <x:v>0</x:v>
      </x:c>
      <x:c r="AG104" t="n">
        <x:f>--AND(S104=1,T104=1,U104=1,V104=1,W104=1,AE104=1)</x:f>
        <x:v>0</x:v>
      </x:c>
      <x:c r="AJ104" t="str">
        <x:f>IF(OR(AH104="",AI104=""),"",--(AH104&lt;&gt;AI104))</x:f>
      </x:c>
      <x:c r="AL104" t="str">
        <x:f>IF(OR(AH104="",AI104=""),"PENDING_HUMAN",IF(AH104=AI104,AH104,IF(AK104&lt;&gt;"",AK104,"PENDING_HUMAN")))</x:f>
        <x:v>PENDING_HUMAN</x:v>
      </x:c>
      <x:c r="AM104" t="n">
        <x:f>--AND(A104&lt;&gt;"",AH104&lt;&gt;"",AI104&lt;&gt;"",OR(AH104=AI104,AK104&lt;&gt;""))</x:f>
        <x:v>0</x:v>
      </x:c>
      <x:c r="AN104" t="n">
        <x:f>--AND(Y104&lt;&gt;"",COUNTIF($Y$4:Y104,Y104)=1)</x:f>
        <x:v>0</x:v>
      </x:c>
      <x:c r="AO104" t="n">
        <x:f>--AND(AN104=1,Z104=1,AM104=1)</x:f>
        <x:v>0</x:v>
      </x:c>
      <x:c r="AP104" t="n">
        <x:f>--AND(AO104=1,AA104=1,AL104=1)</x:f>
        <x:v>0</x:v>
      </x:c>
      <x:c r="AQ104" t="n">
        <x:f>--AND(AN104=1,Z104=1)</x:f>
        <x:v>0</x:v>
      </x:c>
      <x:c r="AR104" t="n">
        <x:f>--AND(AQ104=1,AA104=1)</x:f>
        <x:v>0</x:v>
      </x:c>
    </x:row>
    <x:row r="105">
      <x:c r="A105" s="28"/>
      <x:c r="B105" s="28"/>
      <x:c r="C105" s="28"/>
      <x:c r="D105" s="28"/>
      <x:c r="E105" s="28"/>
      <x:c r="F105" s="28"/>
      <x:c r="G105" s="28"/>
      <x:c r="H105" s="28"/>
      <x:c r="I105" s="28"/>
      <x:c r="J105" s="28"/>
      <x:c r="K105" s="28"/>
      <x:c r="L105" s="28"/>
      <x:c r="M105" s="28"/>
      <x:c r="N105" s="28"/>
      <x:c r="O105" s="28"/>
      <x:c r="P105" s="28"/>
      <x:c r="Q105" s="28"/>
      <x:c r="R105" s="28"/>
      <x:c r="S105" s="28"/>
      <x:c r="T105" s="28"/>
      <x:c r="U105" s="28"/>
      <x:c r="V105" s="28"/>
      <x:c r="W105" s="28"/>
      <x:c r="X105" s="43" t="n">
        <x:f>--AND(S105=1,T105=1,U105=1,V105=1,W105=1)</x:f>
        <x:v>0</x:v>
      </x:c>
      <x:c r="AE105" s="43" t="n">
        <x:f>--AND(S105=1,M105&lt;&gt;"",M105&lt;&gt;"keep")</x:f>
        <x:v>0</x:v>
      </x:c>
      <x:c r="AG105" t="n">
        <x:f>--AND(S105=1,T105=1,U105=1,V105=1,W105=1,AE105=1)</x:f>
        <x:v>0</x:v>
      </x:c>
      <x:c r="AJ105" t="str">
        <x:f>IF(OR(AH105="",AI105=""),"",--(AH105&lt;&gt;AI105))</x:f>
      </x:c>
      <x:c r="AL105" t="str">
        <x:f>IF(OR(AH105="",AI105=""),"PENDING_HUMAN",IF(AH105=AI105,AH105,IF(AK105&lt;&gt;"",AK105,"PENDING_HUMAN")))</x:f>
        <x:v>PENDING_HUMAN</x:v>
      </x:c>
      <x:c r="AM105" t="n">
        <x:f>--AND(A105&lt;&gt;"",AH105&lt;&gt;"",AI105&lt;&gt;"",OR(AH105=AI105,AK105&lt;&gt;""))</x:f>
        <x:v>0</x:v>
      </x:c>
      <x:c r="AN105" t="n">
        <x:f>--AND(Y105&lt;&gt;"",COUNTIF($Y$4:Y105,Y105)=1)</x:f>
        <x:v>0</x:v>
      </x:c>
      <x:c r="AO105" t="n">
        <x:f>--AND(AN105=1,Z105=1,AM105=1)</x:f>
        <x:v>0</x:v>
      </x:c>
      <x:c r="AP105" t="n">
        <x:f>--AND(AO105=1,AA105=1,AL105=1)</x:f>
        <x:v>0</x:v>
      </x:c>
      <x:c r="AQ105" t="n">
        <x:f>--AND(AN105=1,Z105=1)</x:f>
        <x:v>0</x:v>
      </x:c>
      <x:c r="AR105" t="n">
        <x:f>--AND(AQ105=1,AA105=1)</x:f>
        <x:v>0</x:v>
      </x:c>
    </x:row>
    <x:row r="106">
      <x:c r="A106" s="28"/>
      <x:c r="B106" s="28"/>
      <x:c r="C106" s="28"/>
      <x:c r="D106" s="28"/>
      <x:c r="E106" s="28"/>
      <x:c r="F106" s="28"/>
      <x:c r="G106" s="28"/>
      <x:c r="H106" s="28"/>
      <x:c r="I106" s="28"/>
      <x:c r="J106" s="28"/>
      <x:c r="K106" s="28"/>
      <x:c r="L106" s="28"/>
      <x:c r="M106" s="28"/>
      <x:c r="N106" s="28"/>
      <x:c r="O106" s="28"/>
      <x:c r="P106" s="28"/>
      <x:c r="Q106" s="28"/>
      <x:c r="R106" s="28"/>
      <x:c r="S106" s="28"/>
      <x:c r="T106" s="28"/>
      <x:c r="U106" s="28"/>
      <x:c r="V106" s="28"/>
      <x:c r="W106" s="28"/>
      <x:c r="X106" s="43" t="n">
        <x:f>--AND(S106=1,T106=1,U106=1,V106=1,W106=1)</x:f>
        <x:v>0</x:v>
      </x:c>
      <x:c r="AE106" s="43" t="n">
        <x:f>--AND(S106=1,M106&lt;&gt;"",M106&lt;&gt;"keep")</x:f>
        <x:v>0</x:v>
      </x:c>
      <x:c r="AG106" t="n">
        <x:f>--AND(S106=1,T106=1,U106=1,V106=1,W106=1,AE106=1)</x:f>
        <x:v>0</x:v>
      </x:c>
      <x:c r="AJ106" t="str">
        <x:f>IF(OR(AH106="",AI106=""),"",--(AH106&lt;&gt;AI106))</x:f>
      </x:c>
      <x:c r="AL106" t="str">
        <x:f>IF(OR(AH106="",AI106=""),"PENDING_HUMAN",IF(AH106=AI106,AH106,IF(AK106&lt;&gt;"",AK106,"PENDING_HUMAN")))</x:f>
        <x:v>PENDING_HUMAN</x:v>
      </x:c>
      <x:c r="AM106" t="n">
        <x:f>--AND(A106&lt;&gt;"",AH106&lt;&gt;"",AI106&lt;&gt;"",OR(AH106=AI106,AK106&lt;&gt;""))</x:f>
        <x:v>0</x:v>
      </x:c>
      <x:c r="AN106" t="n">
        <x:f>--AND(Y106&lt;&gt;"",COUNTIF($Y$4:Y106,Y106)=1)</x:f>
        <x:v>0</x:v>
      </x:c>
      <x:c r="AO106" t="n">
        <x:f>--AND(AN106=1,Z106=1,AM106=1)</x:f>
        <x:v>0</x:v>
      </x:c>
      <x:c r="AP106" t="n">
        <x:f>--AND(AO106=1,AA106=1,AL106=1)</x:f>
        <x:v>0</x:v>
      </x:c>
      <x:c r="AQ106" t="n">
        <x:f>--AND(AN106=1,Z106=1)</x:f>
        <x:v>0</x:v>
      </x:c>
      <x:c r="AR106" t="n">
        <x:f>--AND(AQ106=1,AA106=1)</x:f>
        <x:v>0</x:v>
      </x:c>
    </x:row>
    <x:row r="107">
      <x:c r="A107" s="28"/>
      <x:c r="B107" s="28"/>
      <x:c r="C107" s="28"/>
      <x:c r="D107" s="28"/>
      <x:c r="E107" s="28"/>
      <x:c r="F107" s="28"/>
      <x:c r="G107" s="28"/>
      <x:c r="H107" s="28"/>
      <x:c r="I107" s="28"/>
      <x:c r="J107" s="28"/>
      <x:c r="K107" s="28"/>
      <x:c r="L107" s="28"/>
      <x:c r="M107" s="28"/>
      <x:c r="N107" s="28"/>
      <x:c r="O107" s="28"/>
      <x:c r="P107" s="28"/>
      <x:c r="Q107" s="28"/>
      <x:c r="R107" s="28"/>
      <x:c r="S107" s="28"/>
      <x:c r="T107" s="28"/>
      <x:c r="U107" s="28"/>
      <x:c r="V107" s="28"/>
      <x:c r="W107" s="28"/>
      <x:c r="X107" s="43" t="n">
        <x:f>--AND(S107=1,T107=1,U107=1,V107=1,W107=1)</x:f>
        <x:v>0</x:v>
      </x:c>
      <x:c r="AE107" s="43" t="n">
        <x:f>--AND(S107=1,M107&lt;&gt;"",M107&lt;&gt;"keep")</x:f>
        <x:v>0</x:v>
      </x:c>
      <x:c r="AG107" t="n">
        <x:f>--AND(S107=1,T107=1,U107=1,V107=1,W107=1,AE107=1)</x:f>
        <x:v>0</x:v>
      </x:c>
      <x:c r="AJ107" t="str">
        <x:f>IF(OR(AH107="",AI107=""),"",--(AH107&lt;&gt;AI107))</x:f>
      </x:c>
      <x:c r="AL107" t="str">
        <x:f>IF(OR(AH107="",AI107=""),"PENDING_HUMAN",IF(AH107=AI107,AH107,IF(AK107&lt;&gt;"",AK107,"PENDING_HUMAN")))</x:f>
        <x:v>PENDING_HUMAN</x:v>
      </x:c>
      <x:c r="AM107" t="n">
        <x:f>--AND(A107&lt;&gt;"",AH107&lt;&gt;"",AI107&lt;&gt;"",OR(AH107=AI107,AK107&lt;&gt;""))</x:f>
        <x:v>0</x:v>
      </x:c>
      <x:c r="AN107" t="n">
        <x:f>--AND(Y107&lt;&gt;"",COUNTIF($Y$4:Y107,Y107)=1)</x:f>
        <x:v>0</x:v>
      </x:c>
      <x:c r="AO107" t="n">
        <x:f>--AND(AN107=1,Z107=1,AM107=1)</x:f>
        <x:v>0</x:v>
      </x:c>
      <x:c r="AP107" t="n">
        <x:f>--AND(AO107=1,AA107=1,AL107=1)</x:f>
        <x:v>0</x:v>
      </x:c>
      <x:c r="AQ107" t="n">
        <x:f>--AND(AN107=1,Z107=1)</x:f>
        <x:v>0</x:v>
      </x:c>
      <x:c r="AR107" t="n">
        <x:f>--AND(AQ107=1,AA107=1)</x:f>
        <x:v>0</x:v>
      </x:c>
    </x:row>
    <x:row r="108">
      <x:c r="A108" s="28"/>
      <x:c r="B108" s="28"/>
      <x:c r="C108" s="28"/>
      <x:c r="D108" s="28"/>
      <x:c r="E108" s="28"/>
      <x:c r="F108" s="28"/>
      <x:c r="G108" s="28"/>
      <x:c r="H108" s="28"/>
      <x:c r="I108" s="28"/>
      <x:c r="J108" s="28"/>
      <x:c r="K108" s="28"/>
      <x:c r="L108" s="28"/>
      <x:c r="M108" s="28"/>
      <x:c r="N108" s="28"/>
      <x:c r="O108" s="28"/>
      <x:c r="P108" s="28"/>
      <x:c r="Q108" s="28"/>
      <x:c r="R108" s="28"/>
      <x:c r="S108" s="28"/>
      <x:c r="T108" s="28"/>
      <x:c r="U108" s="28"/>
      <x:c r="V108" s="28"/>
      <x:c r="W108" s="28"/>
      <x:c r="X108" s="43" t="n">
        <x:f>--AND(S108=1,T108=1,U108=1,V108=1,W108=1)</x:f>
        <x:v>0</x:v>
      </x:c>
      <x:c r="AE108" s="43" t="n">
        <x:f>--AND(S108=1,M108&lt;&gt;"",M108&lt;&gt;"keep")</x:f>
        <x:v>0</x:v>
      </x:c>
      <x:c r="AG108" t="n">
        <x:f>--AND(S108=1,T108=1,U108=1,V108=1,W108=1,AE108=1)</x:f>
        <x:v>0</x:v>
      </x:c>
      <x:c r="AJ108" t="str">
        <x:f>IF(OR(AH108="",AI108=""),"",--(AH108&lt;&gt;AI108))</x:f>
      </x:c>
      <x:c r="AL108" t="str">
        <x:f>IF(OR(AH108="",AI108=""),"PENDING_HUMAN",IF(AH108=AI108,AH108,IF(AK108&lt;&gt;"",AK108,"PENDING_HUMAN")))</x:f>
        <x:v>PENDING_HUMAN</x:v>
      </x:c>
      <x:c r="AM108" t="n">
        <x:f>--AND(A108&lt;&gt;"",AH108&lt;&gt;"",AI108&lt;&gt;"",OR(AH108=AI108,AK108&lt;&gt;""))</x:f>
        <x:v>0</x:v>
      </x:c>
      <x:c r="AN108" t="n">
        <x:f>--AND(Y108&lt;&gt;"",COUNTIF($Y$4:Y108,Y108)=1)</x:f>
        <x:v>0</x:v>
      </x:c>
      <x:c r="AO108" t="n">
        <x:f>--AND(AN108=1,Z108=1,AM108=1)</x:f>
        <x:v>0</x:v>
      </x:c>
      <x:c r="AP108" t="n">
        <x:f>--AND(AO108=1,AA108=1,AL108=1)</x:f>
        <x:v>0</x:v>
      </x:c>
      <x:c r="AQ108" t="n">
        <x:f>--AND(AN108=1,Z108=1)</x:f>
        <x:v>0</x:v>
      </x:c>
      <x:c r="AR108" t="n">
        <x:f>--AND(AQ108=1,AA108=1)</x:f>
        <x:v>0</x:v>
      </x:c>
    </x:row>
    <x:row r="109">
      <x:c r="A109" s="28"/>
      <x:c r="B109" s="28"/>
      <x:c r="C109" s="28"/>
      <x:c r="D109" s="28"/>
      <x:c r="E109" s="28"/>
      <x:c r="F109" s="28"/>
      <x:c r="G109" s="28"/>
      <x:c r="H109" s="28"/>
      <x:c r="I109" s="28"/>
      <x:c r="J109" s="28"/>
      <x:c r="K109" s="28"/>
      <x:c r="L109" s="28"/>
      <x:c r="M109" s="28"/>
      <x:c r="N109" s="28"/>
      <x:c r="O109" s="28"/>
      <x:c r="P109" s="28"/>
      <x:c r="Q109" s="28"/>
      <x:c r="R109" s="28"/>
      <x:c r="S109" s="28"/>
      <x:c r="T109" s="28"/>
      <x:c r="U109" s="28"/>
      <x:c r="V109" s="28"/>
      <x:c r="W109" s="28"/>
      <x:c r="X109" s="43" t="n">
        <x:f>--AND(S109=1,T109=1,U109=1,V109=1,W109=1)</x:f>
        <x:v>0</x:v>
      </x:c>
      <x:c r="AE109" s="43" t="n">
        <x:f>--AND(S109=1,M109&lt;&gt;"",M109&lt;&gt;"keep")</x:f>
        <x:v>0</x:v>
      </x:c>
      <x:c r="AG109" t="n">
        <x:f>--AND(S109=1,T109=1,U109=1,V109=1,W109=1,AE109=1)</x:f>
        <x:v>0</x:v>
      </x:c>
      <x:c r="AJ109" t="str">
        <x:f>IF(OR(AH109="",AI109=""),"",--(AH109&lt;&gt;AI109))</x:f>
      </x:c>
      <x:c r="AL109" t="str">
        <x:f>IF(OR(AH109="",AI109=""),"PENDING_HUMAN",IF(AH109=AI109,AH109,IF(AK109&lt;&gt;"",AK109,"PENDING_HUMAN")))</x:f>
        <x:v>PENDING_HUMAN</x:v>
      </x:c>
      <x:c r="AM109" t="n">
        <x:f>--AND(A109&lt;&gt;"",AH109&lt;&gt;"",AI109&lt;&gt;"",OR(AH109=AI109,AK109&lt;&gt;""))</x:f>
        <x:v>0</x:v>
      </x:c>
      <x:c r="AN109" t="n">
        <x:f>--AND(Y109&lt;&gt;"",COUNTIF($Y$4:Y109,Y109)=1)</x:f>
        <x:v>0</x:v>
      </x:c>
      <x:c r="AO109" t="n">
        <x:f>--AND(AN109=1,Z109=1,AM109=1)</x:f>
        <x:v>0</x:v>
      </x:c>
      <x:c r="AP109" t="n">
        <x:f>--AND(AO109=1,AA109=1,AL109=1)</x:f>
        <x:v>0</x:v>
      </x:c>
      <x:c r="AQ109" t="n">
        <x:f>--AND(AN109=1,Z109=1)</x:f>
        <x:v>0</x:v>
      </x:c>
      <x:c r="AR109" t="n">
        <x:f>--AND(AQ109=1,AA109=1)</x:f>
        <x:v>0</x:v>
      </x:c>
    </x:row>
    <x:row r="110">
      <x:c r="A110" s="28"/>
      <x:c r="B110" s="28"/>
      <x:c r="C110" s="28"/>
      <x:c r="D110" s="28"/>
      <x:c r="E110" s="28"/>
      <x:c r="F110" s="28"/>
      <x:c r="G110" s="28"/>
      <x:c r="H110" s="28"/>
      <x:c r="I110" s="28"/>
      <x:c r="J110" s="28"/>
      <x:c r="K110" s="28"/>
      <x:c r="L110" s="28"/>
      <x:c r="M110" s="28"/>
      <x:c r="N110" s="28"/>
      <x:c r="O110" s="28"/>
      <x:c r="P110" s="28"/>
      <x:c r="Q110" s="28"/>
      <x:c r="R110" s="28"/>
      <x:c r="S110" s="28"/>
      <x:c r="T110" s="28"/>
      <x:c r="U110" s="28"/>
      <x:c r="V110" s="28"/>
      <x:c r="W110" s="28"/>
      <x:c r="X110" s="43" t="n">
        <x:f>--AND(S110=1,T110=1,U110=1,V110=1,W110=1)</x:f>
        <x:v>0</x:v>
      </x:c>
      <x:c r="AE110" s="43" t="n">
        <x:f>--AND(S110=1,M110&lt;&gt;"",M110&lt;&gt;"keep")</x:f>
        <x:v>0</x:v>
      </x:c>
      <x:c r="AG110" t="n">
        <x:f>--AND(S110=1,T110=1,U110=1,V110=1,W110=1,AE110=1)</x:f>
        <x:v>0</x:v>
      </x:c>
      <x:c r="AJ110" t="str">
        <x:f>IF(OR(AH110="",AI110=""),"",--(AH110&lt;&gt;AI110))</x:f>
      </x:c>
      <x:c r="AL110" t="str">
        <x:f>IF(OR(AH110="",AI110=""),"PENDING_HUMAN",IF(AH110=AI110,AH110,IF(AK110&lt;&gt;"",AK110,"PENDING_HUMAN")))</x:f>
        <x:v>PENDING_HUMAN</x:v>
      </x:c>
      <x:c r="AM110" t="n">
        <x:f>--AND(A110&lt;&gt;"",AH110&lt;&gt;"",AI110&lt;&gt;"",OR(AH110=AI110,AK110&lt;&gt;""))</x:f>
        <x:v>0</x:v>
      </x:c>
      <x:c r="AN110" t="n">
        <x:f>--AND(Y110&lt;&gt;"",COUNTIF($Y$4:Y110,Y110)=1)</x:f>
        <x:v>0</x:v>
      </x:c>
      <x:c r="AO110" t="n">
        <x:f>--AND(AN110=1,Z110=1,AM110=1)</x:f>
        <x:v>0</x:v>
      </x:c>
      <x:c r="AP110" t="n">
        <x:f>--AND(AO110=1,AA110=1,AL110=1)</x:f>
        <x:v>0</x:v>
      </x:c>
      <x:c r="AQ110" t="n">
        <x:f>--AND(AN110=1,Z110=1)</x:f>
        <x:v>0</x:v>
      </x:c>
      <x:c r="AR110" t="n">
        <x:f>--AND(AQ110=1,AA110=1)</x:f>
        <x:v>0</x:v>
      </x:c>
    </x:row>
    <x:row r="111">
      <x:c r="A111" s="28"/>
      <x:c r="B111" s="28"/>
      <x:c r="C111" s="28"/>
      <x:c r="D111" s="28"/>
      <x:c r="E111" s="28"/>
      <x:c r="F111" s="28"/>
      <x:c r="G111" s="28"/>
      <x:c r="H111" s="28"/>
      <x:c r="I111" s="28"/>
      <x:c r="J111" s="28"/>
      <x:c r="K111" s="28"/>
      <x:c r="L111" s="28"/>
      <x:c r="M111" s="28"/>
      <x:c r="N111" s="28"/>
      <x:c r="O111" s="28"/>
      <x:c r="P111" s="28"/>
      <x:c r="Q111" s="28"/>
      <x:c r="R111" s="28"/>
      <x:c r="S111" s="28"/>
      <x:c r="T111" s="28"/>
      <x:c r="U111" s="28"/>
      <x:c r="V111" s="28"/>
      <x:c r="W111" s="28"/>
      <x:c r="X111" s="43" t="n">
        <x:f>--AND(S111=1,T111=1,U111=1,V111=1,W111=1)</x:f>
        <x:v>0</x:v>
      </x:c>
      <x:c r="AE111" s="43" t="n">
        <x:f>--AND(S111=1,M111&lt;&gt;"",M111&lt;&gt;"keep")</x:f>
        <x:v>0</x:v>
      </x:c>
      <x:c r="AG111" t="n">
        <x:f>--AND(S111=1,T111=1,U111=1,V111=1,W111=1,AE111=1)</x:f>
        <x:v>0</x:v>
      </x:c>
      <x:c r="AJ111" t="str">
        <x:f>IF(OR(AH111="",AI111=""),"",--(AH111&lt;&gt;AI111))</x:f>
      </x:c>
      <x:c r="AL111" t="str">
        <x:f>IF(OR(AH111="",AI111=""),"PENDING_HUMAN",IF(AH111=AI111,AH111,IF(AK111&lt;&gt;"",AK111,"PENDING_HUMAN")))</x:f>
        <x:v>PENDING_HUMAN</x:v>
      </x:c>
      <x:c r="AM111" t="n">
        <x:f>--AND(A111&lt;&gt;"",AH111&lt;&gt;"",AI111&lt;&gt;"",OR(AH111=AI111,AK111&lt;&gt;""))</x:f>
        <x:v>0</x:v>
      </x:c>
      <x:c r="AN111" t="n">
        <x:f>--AND(Y111&lt;&gt;"",COUNTIF($Y$4:Y111,Y111)=1)</x:f>
        <x:v>0</x:v>
      </x:c>
      <x:c r="AO111" t="n">
        <x:f>--AND(AN111=1,Z111=1,AM111=1)</x:f>
        <x:v>0</x:v>
      </x:c>
      <x:c r="AP111" t="n">
        <x:f>--AND(AO111=1,AA111=1,AL111=1)</x:f>
        <x:v>0</x:v>
      </x:c>
      <x:c r="AQ111" t="n">
        <x:f>--AND(AN111=1,Z111=1)</x:f>
        <x:v>0</x:v>
      </x:c>
      <x:c r="AR111" t="n">
        <x:f>--AND(AQ111=1,AA111=1)</x:f>
        <x:v>0</x:v>
      </x:c>
    </x:row>
    <x:row r="112">
      <x:c r="A112" s="28"/>
      <x:c r="B112" s="28"/>
      <x:c r="C112" s="28"/>
      <x:c r="D112" s="28"/>
      <x:c r="E112" s="28"/>
      <x:c r="F112" s="28"/>
      <x:c r="G112" s="28"/>
      <x:c r="H112" s="28"/>
      <x:c r="I112" s="28"/>
      <x:c r="J112" s="28"/>
      <x:c r="K112" s="28"/>
      <x:c r="L112" s="28"/>
      <x:c r="M112" s="28"/>
      <x:c r="N112" s="28"/>
      <x:c r="O112" s="28"/>
      <x:c r="P112" s="28"/>
      <x:c r="Q112" s="28"/>
      <x:c r="R112" s="28"/>
      <x:c r="S112" s="28"/>
      <x:c r="T112" s="28"/>
      <x:c r="U112" s="28"/>
      <x:c r="V112" s="28"/>
      <x:c r="W112" s="28"/>
      <x:c r="X112" s="43" t="n">
        <x:f>--AND(S112=1,T112=1,U112=1,V112=1,W112=1)</x:f>
        <x:v>0</x:v>
      </x:c>
      <x:c r="AE112" s="43" t="n">
        <x:f>--AND(S112=1,M112&lt;&gt;"",M112&lt;&gt;"keep")</x:f>
        <x:v>0</x:v>
      </x:c>
      <x:c r="AG112" t="n">
        <x:f>--AND(S112=1,T112=1,U112=1,V112=1,W112=1,AE112=1)</x:f>
        <x:v>0</x:v>
      </x:c>
      <x:c r="AJ112" t="str">
        <x:f>IF(OR(AH112="",AI112=""),"",--(AH112&lt;&gt;AI112))</x:f>
      </x:c>
      <x:c r="AL112" t="str">
        <x:f>IF(OR(AH112="",AI112=""),"PENDING_HUMAN",IF(AH112=AI112,AH112,IF(AK112&lt;&gt;"",AK112,"PENDING_HUMAN")))</x:f>
        <x:v>PENDING_HUMAN</x:v>
      </x:c>
      <x:c r="AM112" t="n">
        <x:f>--AND(A112&lt;&gt;"",AH112&lt;&gt;"",AI112&lt;&gt;"",OR(AH112=AI112,AK112&lt;&gt;""))</x:f>
        <x:v>0</x:v>
      </x:c>
      <x:c r="AN112" t="n">
        <x:f>--AND(Y112&lt;&gt;"",COUNTIF($Y$4:Y112,Y112)=1)</x:f>
        <x:v>0</x:v>
      </x:c>
      <x:c r="AO112" t="n">
        <x:f>--AND(AN112=1,Z112=1,AM112=1)</x:f>
        <x:v>0</x:v>
      </x:c>
      <x:c r="AP112" t="n">
        <x:f>--AND(AO112=1,AA112=1,AL112=1)</x:f>
        <x:v>0</x:v>
      </x:c>
      <x:c r="AQ112" t="n">
        <x:f>--AND(AN112=1,Z112=1)</x:f>
        <x:v>0</x:v>
      </x:c>
      <x:c r="AR112" t="n">
        <x:f>--AND(AQ112=1,AA112=1)</x:f>
        <x:v>0</x:v>
      </x:c>
    </x:row>
    <x:row r="113">
      <x:c r="A113" s="28"/>
      <x:c r="B113" s="28"/>
      <x:c r="C113" s="28"/>
      <x:c r="D113" s="28"/>
      <x:c r="E113" s="28"/>
      <x:c r="F113" s="28"/>
      <x:c r="G113" s="28"/>
      <x:c r="H113" s="28"/>
      <x:c r="I113" s="28"/>
      <x:c r="J113" s="28"/>
      <x:c r="K113" s="28"/>
      <x:c r="L113" s="28"/>
      <x:c r="M113" s="28"/>
      <x:c r="N113" s="28"/>
      <x:c r="O113" s="28"/>
      <x:c r="P113" s="28"/>
      <x:c r="Q113" s="28"/>
      <x:c r="R113" s="28"/>
      <x:c r="S113" s="28"/>
      <x:c r="T113" s="28"/>
      <x:c r="U113" s="28"/>
      <x:c r="V113" s="28"/>
      <x:c r="W113" s="28"/>
      <x:c r="X113" s="43" t="n">
        <x:f>--AND(S113=1,T113=1,U113=1,V113=1,W113=1)</x:f>
        <x:v>0</x:v>
      </x:c>
      <x:c r="AE113" s="43" t="n">
        <x:f>--AND(S113=1,M113&lt;&gt;"",M113&lt;&gt;"keep")</x:f>
        <x:v>0</x:v>
      </x:c>
      <x:c r="AG113" t="n">
        <x:f>--AND(S113=1,T113=1,U113=1,V113=1,W113=1,AE113=1)</x:f>
        <x:v>0</x:v>
      </x:c>
      <x:c r="AJ113" t="str">
        <x:f>IF(OR(AH113="",AI113=""),"",--(AH113&lt;&gt;AI113))</x:f>
      </x:c>
      <x:c r="AL113" t="str">
        <x:f>IF(OR(AH113="",AI113=""),"PENDING_HUMAN",IF(AH113=AI113,AH113,IF(AK113&lt;&gt;"",AK113,"PENDING_HUMAN")))</x:f>
        <x:v>PENDING_HUMAN</x:v>
      </x:c>
      <x:c r="AM113" t="n">
        <x:f>--AND(A113&lt;&gt;"",AH113&lt;&gt;"",AI113&lt;&gt;"",OR(AH113=AI113,AK113&lt;&gt;""))</x:f>
        <x:v>0</x:v>
      </x:c>
      <x:c r="AN113" t="n">
        <x:f>--AND(Y113&lt;&gt;"",COUNTIF($Y$4:Y113,Y113)=1)</x:f>
        <x:v>0</x:v>
      </x:c>
      <x:c r="AO113" t="n">
        <x:f>--AND(AN113=1,Z113=1,AM113=1)</x:f>
        <x:v>0</x:v>
      </x:c>
      <x:c r="AP113" t="n">
        <x:f>--AND(AO113=1,AA113=1,AL113=1)</x:f>
        <x:v>0</x:v>
      </x:c>
      <x:c r="AQ113" t="n">
        <x:f>--AND(AN113=1,Z113=1)</x:f>
        <x:v>0</x:v>
      </x:c>
      <x:c r="AR113" t="n">
        <x:f>--AND(AQ113=1,AA113=1)</x:f>
        <x:v>0</x:v>
      </x:c>
    </x:row>
    <x:row r="114">
      <x:c r="A114" s="28"/>
      <x:c r="B114" s="28"/>
      <x:c r="C114" s="28"/>
      <x:c r="D114" s="28"/>
      <x:c r="E114" s="28"/>
      <x:c r="F114" s="28"/>
      <x:c r="G114" s="28"/>
      <x:c r="H114" s="28"/>
      <x:c r="I114" s="28"/>
      <x:c r="J114" s="28"/>
      <x:c r="K114" s="28"/>
      <x:c r="L114" s="28"/>
      <x:c r="M114" s="28"/>
      <x:c r="N114" s="28"/>
      <x:c r="O114" s="28"/>
      <x:c r="P114" s="28"/>
      <x:c r="Q114" s="28"/>
      <x:c r="R114" s="28"/>
      <x:c r="S114" s="28"/>
      <x:c r="T114" s="28"/>
      <x:c r="U114" s="28"/>
      <x:c r="V114" s="28"/>
      <x:c r="W114" s="28"/>
      <x:c r="X114" s="43" t="n">
        <x:f>--AND(S114=1,T114=1,U114=1,V114=1,W114=1)</x:f>
        <x:v>0</x:v>
      </x:c>
      <x:c r="AE114" s="43" t="n">
        <x:f>--AND(S114=1,M114&lt;&gt;"",M114&lt;&gt;"keep")</x:f>
        <x:v>0</x:v>
      </x:c>
      <x:c r="AG114" t="n">
        <x:f>--AND(S114=1,T114=1,U114=1,V114=1,W114=1,AE114=1)</x:f>
        <x:v>0</x:v>
      </x:c>
      <x:c r="AJ114" t="str">
        <x:f>IF(OR(AH114="",AI114=""),"",--(AH114&lt;&gt;AI114))</x:f>
      </x:c>
      <x:c r="AL114" t="str">
        <x:f>IF(OR(AH114="",AI114=""),"PENDING_HUMAN",IF(AH114=AI114,AH114,IF(AK114&lt;&gt;"",AK114,"PENDING_HUMAN")))</x:f>
        <x:v>PENDING_HUMAN</x:v>
      </x:c>
      <x:c r="AM114" t="n">
        <x:f>--AND(A114&lt;&gt;"",AH114&lt;&gt;"",AI114&lt;&gt;"",OR(AH114=AI114,AK114&lt;&gt;""))</x:f>
        <x:v>0</x:v>
      </x:c>
      <x:c r="AN114" t="n">
        <x:f>--AND(Y114&lt;&gt;"",COUNTIF($Y$4:Y114,Y114)=1)</x:f>
        <x:v>0</x:v>
      </x:c>
      <x:c r="AO114" t="n">
        <x:f>--AND(AN114=1,Z114=1,AM114=1)</x:f>
        <x:v>0</x:v>
      </x:c>
      <x:c r="AP114" t="n">
        <x:f>--AND(AO114=1,AA114=1,AL114=1)</x:f>
        <x:v>0</x:v>
      </x:c>
      <x:c r="AQ114" t="n">
        <x:f>--AND(AN114=1,Z114=1)</x:f>
        <x:v>0</x:v>
      </x:c>
      <x:c r="AR114" t="n">
        <x:f>--AND(AQ114=1,AA114=1)</x:f>
        <x:v>0</x:v>
      </x:c>
    </x:row>
    <x:row r="115">
      <x:c r="A115" s="28"/>
      <x:c r="B115" s="28"/>
      <x:c r="C115" s="28"/>
      <x:c r="D115" s="28"/>
      <x:c r="E115" s="28"/>
      <x:c r="F115" s="28"/>
      <x:c r="G115" s="28"/>
      <x:c r="H115" s="28"/>
      <x:c r="I115" s="28"/>
      <x:c r="J115" s="28"/>
      <x:c r="K115" s="28"/>
      <x:c r="L115" s="28"/>
      <x:c r="M115" s="28"/>
      <x:c r="N115" s="28"/>
      <x:c r="O115" s="28"/>
      <x:c r="P115" s="28"/>
      <x:c r="Q115" s="28"/>
      <x:c r="R115" s="28"/>
      <x:c r="S115" s="28"/>
      <x:c r="T115" s="28"/>
      <x:c r="U115" s="28"/>
      <x:c r="V115" s="28"/>
      <x:c r="W115" s="28"/>
      <x:c r="X115" s="43" t="n">
        <x:f>--AND(S115=1,T115=1,U115=1,V115=1,W115=1)</x:f>
        <x:v>0</x:v>
      </x:c>
      <x:c r="AE115" s="43" t="n">
        <x:f>--AND(S115=1,M115&lt;&gt;"",M115&lt;&gt;"keep")</x:f>
        <x:v>0</x:v>
      </x:c>
      <x:c r="AG115" t="n">
        <x:f>--AND(S115=1,T115=1,U115=1,V115=1,W115=1,AE115=1)</x:f>
        <x:v>0</x:v>
      </x:c>
      <x:c r="AJ115" t="str">
        <x:f>IF(OR(AH115="",AI115=""),"",--(AH115&lt;&gt;AI115))</x:f>
      </x:c>
      <x:c r="AL115" t="str">
        <x:f>IF(OR(AH115="",AI115=""),"PENDING_HUMAN",IF(AH115=AI115,AH115,IF(AK115&lt;&gt;"",AK115,"PENDING_HUMAN")))</x:f>
        <x:v>PENDING_HUMAN</x:v>
      </x:c>
      <x:c r="AM115" t="n">
        <x:f>--AND(A115&lt;&gt;"",AH115&lt;&gt;"",AI115&lt;&gt;"",OR(AH115=AI115,AK115&lt;&gt;""))</x:f>
        <x:v>0</x:v>
      </x:c>
      <x:c r="AN115" t="n">
        <x:f>--AND(Y115&lt;&gt;"",COUNTIF($Y$4:Y115,Y115)=1)</x:f>
        <x:v>0</x:v>
      </x:c>
      <x:c r="AO115" t="n">
        <x:f>--AND(AN115=1,Z115=1,AM115=1)</x:f>
        <x:v>0</x:v>
      </x:c>
      <x:c r="AP115" t="n">
        <x:f>--AND(AO115=1,AA115=1,AL115=1)</x:f>
        <x:v>0</x:v>
      </x:c>
      <x:c r="AQ115" t="n">
        <x:f>--AND(AN115=1,Z115=1)</x:f>
        <x:v>0</x:v>
      </x:c>
      <x:c r="AR115" t="n">
        <x:f>--AND(AQ115=1,AA115=1)</x:f>
        <x:v>0</x:v>
      </x:c>
    </x:row>
    <x:row r="116">
      <x:c r="A116" s="28"/>
      <x:c r="B116" s="28"/>
      <x:c r="C116" s="28"/>
      <x:c r="D116" s="28"/>
      <x:c r="E116" s="28"/>
      <x:c r="F116" s="28"/>
      <x:c r="G116" s="28"/>
      <x:c r="H116" s="28"/>
      <x:c r="I116" s="28"/>
      <x:c r="J116" s="28"/>
      <x:c r="K116" s="28"/>
      <x:c r="L116" s="28"/>
      <x:c r="M116" s="28"/>
      <x:c r="N116" s="28"/>
      <x:c r="O116" s="28"/>
      <x:c r="P116" s="28"/>
      <x:c r="Q116" s="28"/>
      <x:c r="R116" s="28"/>
      <x:c r="S116" s="28"/>
      <x:c r="T116" s="28"/>
      <x:c r="U116" s="28"/>
      <x:c r="V116" s="28"/>
      <x:c r="W116" s="28"/>
      <x:c r="X116" s="43" t="n">
        <x:f>--AND(S116=1,T116=1,U116=1,V116=1,W116=1)</x:f>
        <x:v>0</x:v>
      </x:c>
      <x:c r="AE116" s="43" t="n">
        <x:f>--AND(S116=1,M116&lt;&gt;"",M116&lt;&gt;"keep")</x:f>
        <x:v>0</x:v>
      </x:c>
      <x:c r="AG116" t="n">
        <x:f>--AND(S116=1,T116=1,U116=1,V116=1,W116=1,AE116=1)</x:f>
        <x:v>0</x:v>
      </x:c>
      <x:c r="AJ116" t="str">
        <x:f>IF(OR(AH116="",AI116=""),"",--(AH116&lt;&gt;AI116))</x:f>
      </x:c>
      <x:c r="AL116" t="str">
        <x:f>IF(OR(AH116="",AI116=""),"PENDING_HUMAN",IF(AH116=AI116,AH116,IF(AK116&lt;&gt;"",AK116,"PENDING_HUMAN")))</x:f>
        <x:v>PENDING_HUMAN</x:v>
      </x:c>
      <x:c r="AM116" t="n">
        <x:f>--AND(A116&lt;&gt;"",AH116&lt;&gt;"",AI116&lt;&gt;"",OR(AH116=AI116,AK116&lt;&gt;""))</x:f>
        <x:v>0</x:v>
      </x:c>
      <x:c r="AN116" t="n">
        <x:f>--AND(Y116&lt;&gt;"",COUNTIF($Y$4:Y116,Y116)=1)</x:f>
        <x:v>0</x:v>
      </x:c>
      <x:c r="AO116" t="n">
        <x:f>--AND(AN116=1,Z116=1,AM116=1)</x:f>
        <x:v>0</x:v>
      </x:c>
      <x:c r="AP116" t="n">
        <x:f>--AND(AO116=1,AA116=1,AL116=1)</x:f>
        <x:v>0</x:v>
      </x:c>
      <x:c r="AQ116" t="n">
        <x:f>--AND(AN116=1,Z116=1)</x:f>
        <x:v>0</x:v>
      </x:c>
      <x:c r="AR116" t="n">
        <x:f>--AND(AQ116=1,AA116=1)</x:f>
        <x:v>0</x:v>
      </x:c>
    </x:row>
    <x:row r="117">
      <x:c r="A117" s="28"/>
      <x:c r="B117" s="28"/>
      <x:c r="C117" s="28"/>
      <x:c r="D117" s="28"/>
      <x:c r="E117" s="28"/>
      <x:c r="F117" s="28"/>
      <x:c r="G117" s="28"/>
      <x:c r="H117" s="28"/>
      <x:c r="I117" s="28"/>
      <x:c r="J117" s="28"/>
      <x:c r="K117" s="28"/>
      <x:c r="L117" s="28"/>
      <x:c r="M117" s="28"/>
      <x:c r="N117" s="28"/>
      <x:c r="O117" s="28"/>
      <x:c r="P117" s="28"/>
      <x:c r="Q117" s="28"/>
      <x:c r="R117" s="28"/>
      <x:c r="S117" s="28"/>
      <x:c r="T117" s="28"/>
      <x:c r="U117" s="28"/>
      <x:c r="V117" s="28"/>
      <x:c r="W117" s="28"/>
      <x:c r="X117" s="43" t="n">
        <x:f>--AND(S117=1,T117=1,U117=1,V117=1,W117=1)</x:f>
        <x:v>0</x:v>
      </x:c>
      <x:c r="AE117" s="43" t="n">
        <x:f>--AND(S117=1,M117&lt;&gt;"",M117&lt;&gt;"keep")</x:f>
        <x:v>0</x:v>
      </x:c>
      <x:c r="AG117" t="n">
        <x:f>--AND(S117=1,T117=1,U117=1,V117=1,W117=1,AE117=1)</x:f>
        <x:v>0</x:v>
      </x:c>
      <x:c r="AJ117" t="str">
        <x:f>IF(OR(AH117="",AI117=""),"",--(AH117&lt;&gt;AI117))</x:f>
      </x:c>
      <x:c r="AL117" t="str">
        <x:f>IF(OR(AH117="",AI117=""),"PENDING_HUMAN",IF(AH117=AI117,AH117,IF(AK117&lt;&gt;"",AK117,"PENDING_HUMAN")))</x:f>
        <x:v>PENDING_HUMAN</x:v>
      </x:c>
      <x:c r="AM117" t="n">
        <x:f>--AND(A117&lt;&gt;"",AH117&lt;&gt;"",AI117&lt;&gt;"",OR(AH117=AI117,AK117&lt;&gt;""))</x:f>
        <x:v>0</x:v>
      </x:c>
      <x:c r="AN117" t="n">
        <x:f>--AND(Y117&lt;&gt;"",COUNTIF($Y$4:Y117,Y117)=1)</x:f>
        <x:v>0</x:v>
      </x:c>
      <x:c r="AO117" t="n">
        <x:f>--AND(AN117=1,Z117=1,AM117=1)</x:f>
        <x:v>0</x:v>
      </x:c>
      <x:c r="AP117" t="n">
        <x:f>--AND(AO117=1,AA117=1,AL117=1)</x:f>
        <x:v>0</x:v>
      </x:c>
      <x:c r="AQ117" t="n">
        <x:f>--AND(AN117=1,Z117=1)</x:f>
        <x:v>0</x:v>
      </x:c>
      <x:c r="AR117" t="n">
        <x:f>--AND(AQ117=1,AA117=1)</x:f>
        <x:v>0</x:v>
      </x:c>
    </x:row>
    <x:row r="118">
      <x:c r="A118" s="28"/>
      <x:c r="B118" s="28"/>
      <x:c r="C118" s="28"/>
      <x:c r="D118" s="28"/>
      <x:c r="E118" s="28"/>
      <x:c r="F118" s="28"/>
      <x:c r="G118" s="28"/>
      <x:c r="H118" s="28"/>
      <x:c r="I118" s="28"/>
      <x:c r="J118" s="28"/>
      <x:c r="K118" s="28"/>
      <x:c r="L118" s="28"/>
      <x:c r="M118" s="28"/>
      <x:c r="N118" s="28"/>
      <x:c r="O118" s="28"/>
      <x:c r="P118" s="28"/>
      <x:c r="Q118" s="28"/>
      <x:c r="R118" s="28"/>
      <x:c r="S118" s="28"/>
      <x:c r="T118" s="28"/>
      <x:c r="U118" s="28"/>
      <x:c r="V118" s="28"/>
      <x:c r="W118" s="28"/>
      <x:c r="X118" s="43" t="n">
        <x:f>--AND(S118=1,T118=1,U118=1,V118=1,W118=1)</x:f>
        <x:v>0</x:v>
      </x:c>
      <x:c r="AE118" s="43" t="n">
        <x:f>--AND(S118=1,M118&lt;&gt;"",M118&lt;&gt;"keep")</x:f>
        <x:v>0</x:v>
      </x:c>
      <x:c r="AG118" t="n">
        <x:f>--AND(S118=1,T118=1,U118=1,V118=1,W118=1,AE118=1)</x:f>
        <x:v>0</x:v>
      </x:c>
      <x:c r="AJ118" t="str">
        <x:f>IF(OR(AH118="",AI118=""),"",--(AH118&lt;&gt;AI118))</x:f>
      </x:c>
      <x:c r="AL118" t="str">
        <x:f>IF(OR(AH118="",AI118=""),"PENDING_HUMAN",IF(AH118=AI118,AH118,IF(AK118&lt;&gt;"",AK118,"PENDING_HUMAN")))</x:f>
        <x:v>PENDING_HUMAN</x:v>
      </x:c>
      <x:c r="AM118" t="n">
        <x:f>--AND(A118&lt;&gt;"",AH118&lt;&gt;"",AI118&lt;&gt;"",OR(AH118=AI118,AK118&lt;&gt;""))</x:f>
        <x:v>0</x:v>
      </x:c>
      <x:c r="AN118" t="n">
        <x:f>--AND(Y118&lt;&gt;"",COUNTIF($Y$4:Y118,Y118)=1)</x:f>
        <x:v>0</x:v>
      </x:c>
      <x:c r="AO118" t="n">
        <x:f>--AND(AN118=1,Z118=1,AM118=1)</x:f>
        <x:v>0</x:v>
      </x:c>
      <x:c r="AP118" t="n">
        <x:f>--AND(AO118=1,AA118=1,AL118=1)</x:f>
        <x:v>0</x:v>
      </x:c>
      <x:c r="AQ118" t="n">
        <x:f>--AND(AN118=1,Z118=1)</x:f>
        <x:v>0</x:v>
      </x:c>
      <x:c r="AR118" t="n">
        <x:f>--AND(AQ118=1,AA118=1)</x:f>
        <x:v>0</x:v>
      </x:c>
    </x:row>
    <x:row r="119">
      <x:c r="A119" s="28"/>
      <x:c r="B119" s="28"/>
      <x:c r="C119" s="28"/>
      <x:c r="D119" s="28"/>
      <x:c r="E119" s="28"/>
      <x:c r="F119" s="28"/>
      <x:c r="G119" s="28"/>
      <x:c r="H119" s="28"/>
      <x:c r="I119" s="28"/>
      <x:c r="J119" s="28"/>
      <x:c r="K119" s="28"/>
      <x:c r="L119" s="28"/>
      <x:c r="M119" s="28"/>
      <x:c r="N119" s="28"/>
      <x:c r="O119" s="28"/>
      <x:c r="P119" s="28"/>
      <x:c r="Q119" s="28"/>
      <x:c r="R119" s="28"/>
      <x:c r="S119" s="28"/>
      <x:c r="T119" s="28"/>
      <x:c r="U119" s="28"/>
      <x:c r="V119" s="28"/>
      <x:c r="W119" s="28"/>
      <x:c r="X119" s="43" t="n">
        <x:f>--AND(S119=1,T119=1,U119=1,V119=1,W119=1)</x:f>
        <x:v>0</x:v>
      </x:c>
      <x:c r="AE119" s="43" t="n">
        <x:f>--AND(S119=1,M119&lt;&gt;"",M119&lt;&gt;"keep")</x:f>
        <x:v>0</x:v>
      </x:c>
      <x:c r="AG119" t="n">
        <x:f>--AND(S119=1,T119=1,U119=1,V119=1,W119=1,AE119=1)</x:f>
        <x:v>0</x:v>
      </x:c>
      <x:c r="AJ119" t="str">
        <x:f>IF(OR(AH119="",AI119=""),"",--(AH119&lt;&gt;AI119))</x:f>
      </x:c>
      <x:c r="AL119" t="str">
        <x:f>IF(OR(AH119="",AI119=""),"PENDING_HUMAN",IF(AH119=AI119,AH119,IF(AK119&lt;&gt;"",AK119,"PENDING_HUMAN")))</x:f>
        <x:v>PENDING_HUMAN</x:v>
      </x:c>
      <x:c r="AM119" t="n">
        <x:f>--AND(A119&lt;&gt;"",AH119&lt;&gt;"",AI119&lt;&gt;"",OR(AH119=AI119,AK119&lt;&gt;""))</x:f>
        <x:v>0</x:v>
      </x:c>
      <x:c r="AN119" t="n">
        <x:f>--AND(Y119&lt;&gt;"",COUNTIF($Y$4:Y119,Y119)=1)</x:f>
        <x:v>0</x:v>
      </x:c>
      <x:c r="AO119" t="n">
        <x:f>--AND(AN119=1,Z119=1,AM119=1)</x:f>
        <x:v>0</x:v>
      </x:c>
      <x:c r="AP119" t="n">
        <x:f>--AND(AO119=1,AA119=1,AL119=1)</x:f>
        <x:v>0</x:v>
      </x:c>
      <x:c r="AQ119" t="n">
        <x:f>--AND(AN119=1,Z119=1)</x:f>
        <x:v>0</x:v>
      </x:c>
      <x:c r="AR119" t="n">
        <x:f>--AND(AQ119=1,AA119=1)</x:f>
        <x:v>0</x:v>
      </x:c>
    </x:row>
    <x:row r="120">
      <x:c r="A120" s="28"/>
      <x:c r="B120" s="28"/>
      <x:c r="C120" s="28"/>
      <x:c r="D120" s="28"/>
      <x:c r="E120" s="28"/>
      <x:c r="F120" s="28"/>
      <x:c r="G120" s="28"/>
      <x:c r="H120" s="28"/>
      <x:c r="I120" s="28"/>
      <x:c r="J120" s="28"/>
      <x:c r="K120" s="28"/>
      <x:c r="L120" s="28"/>
      <x:c r="M120" s="28"/>
      <x:c r="N120" s="28"/>
      <x:c r="O120" s="28"/>
      <x:c r="P120" s="28"/>
      <x:c r="Q120" s="28"/>
      <x:c r="R120" s="28"/>
      <x:c r="S120" s="28"/>
      <x:c r="T120" s="28"/>
      <x:c r="U120" s="28"/>
      <x:c r="V120" s="28"/>
      <x:c r="W120" s="28"/>
      <x:c r="X120" s="43" t="n">
        <x:f>--AND(S120=1,T120=1,U120=1,V120=1,W120=1)</x:f>
        <x:v>0</x:v>
      </x:c>
      <x:c r="AE120" s="43" t="n">
        <x:f>--AND(S120=1,M120&lt;&gt;"",M120&lt;&gt;"keep")</x:f>
        <x:v>0</x:v>
      </x:c>
      <x:c r="AG120" t="n">
        <x:f>--AND(S120=1,T120=1,U120=1,V120=1,W120=1,AE120=1)</x:f>
        <x:v>0</x:v>
      </x:c>
      <x:c r="AJ120" t="str">
        <x:f>IF(OR(AH120="",AI120=""),"",--(AH120&lt;&gt;AI120))</x:f>
      </x:c>
      <x:c r="AL120" t="str">
        <x:f>IF(OR(AH120="",AI120=""),"PENDING_HUMAN",IF(AH120=AI120,AH120,IF(AK120&lt;&gt;"",AK120,"PENDING_HUMAN")))</x:f>
        <x:v>PENDING_HUMAN</x:v>
      </x:c>
      <x:c r="AM120" t="n">
        <x:f>--AND(A120&lt;&gt;"",AH120&lt;&gt;"",AI120&lt;&gt;"",OR(AH120=AI120,AK120&lt;&gt;""))</x:f>
        <x:v>0</x:v>
      </x:c>
      <x:c r="AN120" t="n">
        <x:f>--AND(Y120&lt;&gt;"",COUNTIF($Y$4:Y120,Y120)=1)</x:f>
        <x:v>0</x:v>
      </x:c>
      <x:c r="AO120" t="n">
        <x:f>--AND(AN120=1,Z120=1,AM120=1)</x:f>
        <x:v>0</x:v>
      </x:c>
      <x:c r="AP120" t="n">
        <x:f>--AND(AO120=1,AA120=1,AL120=1)</x:f>
        <x:v>0</x:v>
      </x:c>
      <x:c r="AQ120" t="n">
        <x:f>--AND(AN120=1,Z120=1)</x:f>
        <x:v>0</x:v>
      </x:c>
      <x:c r="AR120" t="n">
        <x:f>--AND(AQ120=1,AA120=1)</x:f>
        <x:v>0</x:v>
      </x:c>
    </x:row>
    <x:row r="121">
      <x:c r="A121" s="28"/>
      <x:c r="B121" s="28"/>
      <x:c r="C121" s="28"/>
      <x:c r="D121" s="28"/>
      <x:c r="E121" s="28"/>
      <x:c r="F121" s="28"/>
      <x:c r="G121" s="28"/>
      <x:c r="H121" s="28"/>
      <x:c r="I121" s="28"/>
      <x:c r="J121" s="28"/>
      <x:c r="K121" s="28"/>
      <x:c r="L121" s="28"/>
      <x:c r="M121" s="28"/>
      <x:c r="N121" s="28"/>
      <x:c r="O121" s="28"/>
      <x:c r="P121" s="28"/>
      <x:c r="Q121" s="28"/>
      <x:c r="R121" s="28"/>
      <x:c r="S121" s="28"/>
      <x:c r="T121" s="28"/>
      <x:c r="U121" s="28"/>
      <x:c r="V121" s="28"/>
      <x:c r="W121" s="28"/>
      <x:c r="X121" s="43" t="n">
        <x:f>--AND(S121=1,T121=1,U121=1,V121=1,W121=1)</x:f>
        <x:v>0</x:v>
      </x:c>
      <x:c r="AE121" s="43" t="n">
        <x:f>--AND(S121=1,M121&lt;&gt;"",M121&lt;&gt;"keep")</x:f>
        <x:v>0</x:v>
      </x:c>
      <x:c r="AG121" t="n">
        <x:f>--AND(S121=1,T121=1,U121=1,V121=1,W121=1,AE121=1)</x:f>
        <x:v>0</x:v>
      </x:c>
      <x:c r="AJ121" t="str">
        <x:f>IF(OR(AH121="",AI121=""),"",--(AH121&lt;&gt;AI121))</x:f>
      </x:c>
      <x:c r="AL121" t="str">
        <x:f>IF(OR(AH121="",AI121=""),"PENDING_HUMAN",IF(AH121=AI121,AH121,IF(AK121&lt;&gt;"",AK121,"PENDING_HUMAN")))</x:f>
        <x:v>PENDING_HUMAN</x:v>
      </x:c>
      <x:c r="AM121" t="n">
        <x:f>--AND(A121&lt;&gt;"",AH121&lt;&gt;"",AI121&lt;&gt;"",OR(AH121=AI121,AK121&lt;&gt;""))</x:f>
        <x:v>0</x:v>
      </x:c>
      <x:c r="AN121" t="n">
        <x:f>--AND(Y121&lt;&gt;"",COUNTIF($Y$4:Y121,Y121)=1)</x:f>
        <x:v>0</x:v>
      </x:c>
      <x:c r="AO121" t="n">
        <x:f>--AND(AN121=1,Z121=1,AM121=1)</x:f>
        <x:v>0</x:v>
      </x:c>
      <x:c r="AP121" t="n">
        <x:f>--AND(AO121=1,AA121=1,AL121=1)</x:f>
        <x:v>0</x:v>
      </x:c>
      <x:c r="AQ121" t="n">
        <x:f>--AND(AN121=1,Z121=1)</x:f>
        <x:v>0</x:v>
      </x:c>
      <x:c r="AR121" t="n">
        <x:f>--AND(AQ121=1,AA121=1)</x:f>
        <x:v>0</x:v>
      </x:c>
    </x:row>
    <x:row r="122">
      <x:c r="A122" s="28"/>
      <x:c r="B122" s="28"/>
      <x:c r="C122" s="28"/>
      <x:c r="D122" s="28"/>
      <x:c r="E122" s="28"/>
      <x:c r="F122" s="28"/>
      <x:c r="G122" s="28"/>
      <x:c r="H122" s="28"/>
      <x:c r="I122" s="28"/>
      <x:c r="J122" s="28"/>
      <x:c r="K122" s="28"/>
      <x:c r="L122" s="28"/>
      <x:c r="M122" s="28"/>
      <x:c r="N122" s="28"/>
      <x:c r="O122" s="28"/>
      <x:c r="P122" s="28"/>
      <x:c r="Q122" s="28"/>
      <x:c r="R122" s="28"/>
      <x:c r="S122" s="28"/>
      <x:c r="T122" s="28"/>
      <x:c r="U122" s="28"/>
      <x:c r="V122" s="28"/>
      <x:c r="W122" s="28"/>
      <x:c r="X122" s="43" t="n">
        <x:f>--AND(S122=1,T122=1,U122=1,V122=1,W122=1)</x:f>
        <x:v>0</x:v>
      </x:c>
      <x:c r="AE122" s="43" t="n">
        <x:f>--AND(S122=1,M122&lt;&gt;"",M122&lt;&gt;"keep")</x:f>
        <x:v>0</x:v>
      </x:c>
      <x:c r="AG122" t="n">
        <x:f>--AND(S122=1,T122=1,U122=1,V122=1,W122=1,AE122=1)</x:f>
        <x:v>0</x:v>
      </x:c>
      <x:c r="AJ122" t="str">
        <x:f>IF(OR(AH122="",AI122=""),"",--(AH122&lt;&gt;AI122))</x:f>
      </x:c>
      <x:c r="AL122" t="str">
        <x:f>IF(OR(AH122="",AI122=""),"PENDING_HUMAN",IF(AH122=AI122,AH122,IF(AK122&lt;&gt;"",AK122,"PENDING_HUMAN")))</x:f>
        <x:v>PENDING_HUMAN</x:v>
      </x:c>
      <x:c r="AM122" t="n">
        <x:f>--AND(A122&lt;&gt;"",AH122&lt;&gt;"",AI122&lt;&gt;"",OR(AH122=AI122,AK122&lt;&gt;""))</x:f>
        <x:v>0</x:v>
      </x:c>
      <x:c r="AN122" t="n">
        <x:f>--AND(Y122&lt;&gt;"",COUNTIF($Y$4:Y122,Y122)=1)</x:f>
        <x:v>0</x:v>
      </x:c>
      <x:c r="AO122" t="n">
        <x:f>--AND(AN122=1,Z122=1,AM122=1)</x:f>
        <x:v>0</x:v>
      </x:c>
      <x:c r="AP122" t="n">
        <x:f>--AND(AO122=1,AA122=1,AL122=1)</x:f>
        <x:v>0</x:v>
      </x:c>
      <x:c r="AQ122" t="n">
        <x:f>--AND(AN122=1,Z122=1)</x:f>
        <x:v>0</x:v>
      </x:c>
      <x:c r="AR122" t="n">
        <x:f>--AND(AQ122=1,AA122=1)</x:f>
        <x:v>0</x:v>
      </x:c>
    </x:row>
    <x:row r="123">
      <x:c r="A123" s="28"/>
      <x:c r="B123" s="28"/>
      <x:c r="C123" s="28"/>
      <x:c r="D123" s="28"/>
      <x:c r="E123" s="28"/>
      <x:c r="F123" s="28"/>
      <x:c r="G123" s="28"/>
      <x:c r="H123" s="28"/>
      <x:c r="I123" s="28"/>
      <x:c r="J123" s="28"/>
      <x:c r="K123" s="28"/>
      <x:c r="L123" s="28"/>
      <x:c r="M123" s="28"/>
      <x:c r="N123" s="28"/>
      <x:c r="O123" s="28"/>
      <x:c r="P123" s="28"/>
      <x:c r="Q123" s="28"/>
      <x:c r="R123" s="28"/>
      <x:c r="S123" s="28"/>
      <x:c r="T123" s="28"/>
      <x:c r="U123" s="28"/>
      <x:c r="V123" s="28"/>
      <x:c r="W123" s="28"/>
      <x:c r="X123" s="43" t="n">
        <x:f>--AND(S123=1,T123=1,U123=1,V123=1,W123=1)</x:f>
        <x:v>0</x:v>
      </x:c>
      <x:c r="AE123" s="43" t="n">
        <x:f>--AND(S123=1,M123&lt;&gt;"",M123&lt;&gt;"keep")</x:f>
        <x:v>0</x:v>
      </x:c>
      <x:c r="AG123" t="n">
        <x:f>--AND(S123=1,T123=1,U123=1,V123=1,W123=1,AE123=1)</x:f>
        <x:v>0</x:v>
      </x:c>
      <x:c r="AJ123" t="str">
        <x:f>IF(OR(AH123="",AI123=""),"",--(AH123&lt;&gt;AI123))</x:f>
      </x:c>
      <x:c r="AL123" t="str">
        <x:f>IF(OR(AH123="",AI123=""),"PENDING_HUMAN",IF(AH123=AI123,AH123,IF(AK123&lt;&gt;"",AK123,"PENDING_HUMAN")))</x:f>
        <x:v>PENDING_HUMAN</x:v>
      </x:c>
      <x:c r="AM123" t="n">
        <x:f>--AND(A123&lt;&gt;"",AH123&lt;&gt;"",AI123&lt;&gt;"",OR(AH123=AI123,AK123&lt;&gt;""))</x:f>
        <x:v>0</x:v>
      </x:c>
      <x:c r="AN123" t="n">
        <x:f>--AND(Y123&lt;&gt;"",COUNTIF($Y$4:Y123,Y123)=1)</x:f>
        <x:v>0</x:v>
      </x:c>
      <x:c r="AO123" t="n">
        <x:f>--AND(AN123=1,Z123=1,AM123=1)</x:f>
        <x:v>0</x:v>
      </x:c>
      <x:c r="AP123" t="n">
        <x:f>--AND(AO123=1,AA123=1,AL123=1)</x:f>
        <x:v>0</x:v>
      </x:c>
      <x:c r="AQ123" t="n">
        <x:f>--AND(AN123=1,Z123=1)</x:f>
        <x:v>0</x:v>
      </x:c>
      <x:c r="AR123" t="n">
        <x:f>--AND(AQ123=1,AA123=1)</x:f>
        <x:v>0</x:v>
      </x:c>
    </x:row>
    <x:row r="124">
      <x:c r="A124" s="28"/>
      <x:c r="B124" s="28"/>
      <x:c r="C124" s="28"/>
      <x:c r="D124" s="28"/>
      <x:c r="E124" s="28"/>
      <x:c r="F124" s="28"/>
      <x:c r="G124" s="28"/>
      <x:c r="H124" s="28"/>
      <x:c r="I124" s="28"/>
      <x:c r="J124" s="28"/>
      <x:c r="K124" s="28"/>
      <x:c r="L124" s="28"/>
      <x:c r="M124" s="28"/>
      <x:c r="N124" s="28"/>
      <x:c r="O124" s="28"/>
      <x:c r="P124" s="28"/>
      <x:c r="Q124" s="28"/>
      <x:c r="R124" s="28"/>
      <x:c r="S124" s="28"/>
      <x:c r="T124" s="28"/>
      <x:c r="U124" s="28"/>
      <x:c r="V124" s="28"/>
      <x:c r="W124" s="28"/>
      <x:c r="X124" s="43" t="n">
        <x:f>--AND(S124=1,T124=1,U124=1,V124=1,W124=1)</x:f>
        <x:v>0</x:v>
      </x:c>
      <x:c r="AE124" s="43" t="n">
        <x:f>--AND(S124=1,M124&lt;&gt;"",M124&lt;&gt;"keep")</x:f>
        <x:v>0</x:v>
      </x:c>
      <x:c r="AG124" t="n">
        <x:f>--AND(S124=1,T124=1,U124=1,V124=1,W124=1,AE124=1)</x:f>
        <x:v>0</x:v>
      </x:c>
      <x:c r="AJ124" t="str">
        <x:f>IF(OR(AH124="",AI124=""),"",--(AH124&lt;&gt;AI124))</x:f>
      </x:c>
      <x:c r="AL124" t="str">
        <x:f>IF(OR(AH124="",AI124=""),"PENDING_HUMAN",IF(AH124=AI124,AH124,IF(AK124&lt;&gt;"",AK124,"PENDING_HUMAN")))</x:f>
        <x:v>PENDING_HUMAN</x:v>
      </x:c>
      <x:c r="AM124" t="n">
        <x:f>--AND(A124&lt;&gt;"",AH124&lt;&gt;"",AI124&lt;&gt;"",OR(AH124=AI124,AK124&lt;&gt;""))</x:f>
        <x:v>0</x:v>
      </x:c>
      <x:c r="AN124" t="n">
        <x:f>--AND(Y124&lt;&gt;"",COUNTIF($Y$4:Y124,Y124)=1)</x:f>
        <x:v>0</x:v>
      </x:c>
      <x:c r="AO124" t="n">
        <x:f>--AND(AN124=1,Z124=1,AM124=1)</x:f>
        <x:v>0</x:v>
      </x:c>
      <x:c r="AP124" t="n">
        <x:f>--AND(AO124=1,AA124=1,AL124=1)</x:f>
        <x:v>0</x:v>
      </x:c>
      <x:c r="AQ124" t="n">
        <x:f>--AND(AN124=1,Z124=1)</x:f>
        <x:v>0</x:v>
      </x:c>
      <x:c r="AR124" t="n">
        <x:f>--AND(AQ124=1,AA124=1)</x:f>
        <x:v>0</x:v>
      </x:c>
    </x:row>
    <x:row r="125">
      <x:c r="A125" s="28"/>
      <x:c r="B125" s="28"/>
      <x:c r="C125" s="28"/>
      <x:c r="D125" s="28"/>
      <x:c r="E125" s="28"/>
      <x:c r="F125" s="28"/>
      <x:c r="G125" s="28"/>
      <x:c r="H125" s="28"/>
      <x:c r="I125" s="28"/>
      <x:c r="J125" s="28"/>
      <x:c r="K125" s="28"/>
      <x:c r="L125" s="28"/>
      <x:c r="M125" s="28"/>
      <x:c r="N125" s="28"/>
      <x:c r="O125" s="28"/>
      <x:c r="P125" s="28"/>
      <x:c r="Q125" s="28"/>
      <x:c r="R125" s="28"/>
      <x:c r="S125" s="28"/>
      <x:c r="T125" s="28"/>
      <x:c r="U125" s="28"/>
      <x:c r="V125" s="28"/>
      <x:c r="W125" s="28"/>
      <x:c r="X125" s="43" t="n">
        <x:f>--AND(S125=1,T125=1,U125=1,V125=1,W125=1)</x:f>
        <x:v>0</x:v>
      </x:c>
      <x:c r="AE125" s="43" t="n">
        <x:f>--AND(S125=1,M125&lt;&gt;"",M125&lt;&gt;"keep")</x:f>
        <x:v>0</x:v>
      </x:c>
      <x:c r="AG125" t="n">
        <x:f>--AND(S125=1,T125=1,U125=1,V125=1,W125=1,AE125=1)</x:f>
        <x:v>0</x:v>
      </x:c>
      <x:c r="AJ125" t="str">
        <x:f>IF(OR(AH125="",AI125=""),"",--(AH125&lt;&gt;AI125))</x:f>
      </x:c>
      <x:c r="AL125" t="str">
        <x:f>IF(OR(AH125="",AI125=""),"PENDING_HUMAN",IF(AH125=AI125,AH125,IF(AK125&lt;&gt;"",AK125,"PENDING_HUMAN")))</x:f>
        <x:v>PENDING_HUMAN</x:v>
      </x:c>
      <x:c r="AM125" t="n">
        <x:f>--AND(A125&lt;&gt;"",AH125&lt;&gt;"",AI125&lt;&gt;"",OR(AH125=AI125,AK125&lt;&gt;""))</x:f>
        <x:v>0</x:v>
      </x:c>
      <x:c r="AN125" t="n">
        <x:f>--AND(Y125&lt;&gt;"",COUNTIF($Y$4:Y125,Y125)=1)</x:f>
        <x:v>0</x:v>
      </x:c>
      <x:c r="AO125" t="n">
        <x:f>--AND(AN125=1,Z125=1,AM125=1)</x:f>
        <x:v>0</x:v>
      </x:c>
      <x:c r="AP125" t="n">
        <x:f>--AND(AO125=1,AA125=1,AL125=1)</x:f>
        <x:v>0</x:v>
      </x:c>
      <x:c r="AQ125" t="n">
        <x:f>--AND(AN125=1,Z125=1)</x:f>
        <x:v>0</x:v>
      </x:c>
      <x:c r="AR125" t="n">
        <x:f>--AND(AQ125=1,AA125=1)</x:f>
        <x:v>0</x:v>
      </x:c>
    </x:row>
    <x:row r="126">
      <x:c r="A126" s="28"/>
      <x:c r="B126" s="28"/>
      <x:c r="C126" s="28"/>
      <x:c r="D126" s="28"/>
      <x:c r="E126" s="28"/>
      <x:c r="F126" s="28"/>
      <x:c r="G126" s="28"/>
      <x:c r="H126" s="28"/>
      <x:c r="I126" s="28"/>
      <x:c r="J126" s="28"/>
      <x:c r="K126" s="28"/>
      <x:c r="L126" s="28"/>
      <x:c r="M126" s="28"/>
      <x:c r="N126" s="28"/>
      <x:c r="O126" s="28"/>
      <x:c r="P126" s="28"/>
      <x:c r="Q126" s="28"/>
      <x:c r="R126" s="28"/>
      <x:c r="S126" s="28"/>
      <x:c r="T126" s="28"/>
      <x:c r="U126" s="28"/>
      <x:c r="V126" s="28"/>
      <x:c r="W126" s="28"/>
      <x:c r="X126" s="43" t="n">
        <x:f>--AND(S126=1,T126=1,U126=1,V126=1,W126=1)</x:f>
        <x:v>0</x:v>
      </x:c>
      <x:c r="AE126" s="43" t="n">
        <x:f>--AND(S126=1,M126&lt;&gt;"",M126&lt;&gt;"keep")</x:f>
        <x:v>0</x:v>
      </x:c>
      <x:c r="AG126" t="n">
        <x:f>--AND(S126=1,T126=1,U126=1,V126=1,W126=1,AE126=1)</x:f>
        <x:v>0</x:v>
      </x:c>
      <x:c r="AJ126" t="str">
        <x:f>IF(OR(AH126="",AI126=""),"",--(AH126&lt;&gt;AI126))</x:f>
      </x:c>
      <x:c r="AL126" t="str">
        <x:f>IF(OR(AH126="",AI126=""),"PENDING_HUMAN",IF(AH126=AI126,AH126,IF(AK126&lt;&gt;"",AK126,"PENDING_HUMAN")))</x:f>
        <x:v>PENDING_HUMAN</x:v>
      </x:c>
      <x:c r="AM126" t="n">
        <x:f>--AND(A126&lt;&gt;"",AH126&lt;&gt;"",AI126&lt;&gt;"",OR(AH126=AI126,AK126&lt;&gt;""))</x:f>
        <x:v>0</x:v>
      </x:c>
      <x:c r="AN126" t="n">
        <x:f>--AND(Y126&lt;&gt;"",COUNTIF($Y$4:Y126,Y126)=1)</x:f>
        <x:v>0</x:v>
      </x:c>
      <x:c r="AO126" t="n">
        <x:f>--AND(AN126=1,Z126=1,AM126=1)</x:f>
        <x:v>0</x:v>
      </x:c>
      <x:c r="AP126" t="n">
        <x:f>--AND(AO126=1,AA126=1,AL126=1)</x:f>
        <x:v>0</x:v>
      </x:c>
      <x:c r="AQ126" t="n">
        <x:f>--AND(AN126=1,Z126=1)</x:f>
        <x:v>0</x:v>
      </x:c>
      <x:c r="AR126" t="n">
        <x:f>--AND(AQ126=1,AA126=1)</x:f>
        <x:v>0</x:v>
      </x:c>
    </x:row>
    <x:row r="127">
      <x:c r="A127" s="28"/>
      <x:c r="B127" s="28"/>
      <x:c r="C127" s="28"/>
      <x:c r="D127" s="28"/>
      <x:c r="E127" s="28"/>
      <x:c r="F127" s="28"/>
      <x:c r="G127" s="28"/>
      <x:c r="H127" s="28"/>
      <x:c r="I127" s="28"/>
      <x:c r="J127" s="28"/>
      <x:c r="K127" s="28"/>
      <x:c r="L127" s="28"/>
      <x:c r="M127" s="28"/>
      <x:c r="N127" s="28"/>
      <x:c r="O127" s="28"/>
      <x:c r="P127" s="28"/>
      <x:c r="Q127" s="28"/>
      <x:c r="R127" s="28"/>
      <x:c r="S127" s="28"/>
      <x:c r="T127" s="28"/>
      <x:c r="U127" s="28"/>
      <x:c r="V127" s="28"/>
      <x:c r="W127" s="28"/>
      <x:c r="X127" s="43" t="n">
        <x:f>--AND(S127=1,T127=1,U127=1,V127=1,W127=1)</x:f>
        <x:v>0</x:v>
      </x:c>
      <x:c r="AE127" s="43" t="n">
        <x:f>--AND(S127=1,M127&lt;&gt;"",M127&lt;&gt;"keep")</x:f>
        <x:v>0</x:v>
      </x:c>
      <x:c r="AG127" t="n">
        <x:f>--AND(S127=1,T127=1,U127=1,V127=1,W127=1,AE127=1)</x:f>
        <x:v>0</x:v>
      </x:c>
      <x:c r="AJ127" t="str">
        <x:f>IF(OR(AH127="",AI127=""),"",--(AH127&lt;&gt;AI127))</x:f>
      </x:c>
      <x:c r="AL127" t="str">
        <x:f>IF(OR(AH127="",AI127=""),"PENDING_HUMAN",IF(AH127=AI127,AH127,IF(AK127&lt;&gt;"",AK127,"PENDING_HUMAN")))</x:f>
        <x:v>PENDING_HUMAN</x:v>
      </x:c>
      <x:c r="AM127" t="n">
        <x:f>--AND(A127&lt;&gt;"",AH127&lt;&gt;"",AI127&lt;&gt;"",OR(AH127=AI127,AK127&lt;&gt;""))</x:f>
        <x:v>0</x:v>
      </x:c>
      <x:c r="AN127" t="n">
        <x:f>--AND(Y127&lt;&gt;"",COUNTIF($Y$4:Y127,Y127)=1)</x:f>
        <x:v>0</x:v>
      </x:c>
      <x:c r="AO127" t="n">
        <x:f>--AND(AN127=1,Z127=1,AM127=1)</x:f>
        <x:v>0</x:v>
      </x:c>
      <x:c r="AP127" t="n">
        <x:f>--AND(AO127=1,AA127=1,AL127=1)</x:f>
        <x:v>0</x:v>
      </x:c>
      <x:c r="AQ127" t="n">
        <x:f>--AND(AN127=1,Z127=1)</x:f>
        <x:v>0</x:v>
      </x:c>
      <x:c r="AR127" t="n">
        <x:f>--AND(AQ127=1,AA127=1)</x:f>
        <x:v>0</x:v>
      </x:c>
    </x:row>
    <x:row r="128">
      <x:c r="A128" s="28"/>
      <x:c r="B128" s="28"/>
      <x:c r="C128" s="28"/>
      <x:c r="D128" s="28"/>
      <x:c r="E128" s="28"/>
      <x:c r="F128" s="28"/>
      <x:c r="G128" s="28"/>
      <x:c r="H128" s="28"/>
      <x:c r="I128" s="28"/>
      <x:c r="J128" s="28"/>
      <x:c r="K128" s="28"/>
      <x:c r="L128" s="28"/>
      <x:c r="M128" s="28"/>
      <x:c r="N128" s="28"/>
      <x:c r="O128" s="28"/>
      <x:c r="P128" s="28"/>
      <x:c r="Q128" s="28"/>
      <x:c r="R128" s="28"/>
      <x:c r="S128" s="28"/>
      <x:c r="T128" s="28"/>
      <x:c r="U128" s="28"/>
      <x:c r="V128" s="28"/>
      <x:c r="W128" s="28"/>
      <x:c r="X128" s="43" t="n">
        <x:f>--AND(S128=1,T128=1,U128=1,V128=1,W128=1)</x:f>
        <x:v>0</x:v>
      </x:c>
      <x:c r="AE128" s="43" t="n">
        <x:f>--AND(S128=1,M128&lt;&gt;"",M128&lt;&gt;"keep")</x:f>
        <x:v>0</x:v>
      </x:c>
      <x:c r="AG128" t="n">
        <x:f>--AND(S128=1,T128=1,U128=1,V128=1,W128=1,AE128=1)</x:f>
        <x:v>0</x:v>
      </x:c>
      <x:c r="AJ128" t="str">
        <x:f>IF(OR(AH128="",AI128=""),"",--(AH128&lt;&gt;AI128))</x:f>
      </x:c>
      <x:c r="AL128" t="str">
        <x:f>IF(OR(AH128="",AI128=""),"PENDING_HUMAN",IF(AH128=AI128,AH128,IF(AK128&lt;&gt;"",AK128,"PENDING_HUMAN")))</x:f>
        <x:v>PENDING_HUMAN</x:v>
      </x:c>
      <x:c r="AM128" t="n">
        <x:f>--AND(A128&lt;&gt;"",AH128&lt;&gt;"",AI128&lt;&gt;"",OR(AH128=AI128,AK128&lt;&gt;""))</x:f>
        <x:v>0</x:v>
      </x:c>
      <x:c r="AN128" t="n">
        <x:f>--AND(Y128&lt;&gt;"",COUNTIF($Y$4:Y128,Y128)=1)</x:f>
        <x:v>0</x:v>
      </x:c>
      <x:c r="AO128" t="n">
        <x:f>--AND(AN128=1,Z128=1,AM128=1)</x:f>
        <x:v>0</x:v>
      </x:c>
      <x:c r="AP128" t="n">
        <x:f>--AND(AO128=1,AA128=1,AL128=1)</x:f>
        <x:v>0</x:v>
      </x:c>
      <x:c r="AQ128" t="n">
        <x:f>--AND(AN128=1,Z128=1)</x:f>
        <x:v>0</x:v>
      </x:c>
      <x:c r="AR128" t="n">
        <x:f>--AND(AQ128=1,AA128=1)</x:f>
        <x:v>0</x:v>
      </x:c>
    </x:row>
    <x:row r="129">
      <x:c r="A129" s="28"/>
      <x:c r="B129" s="28"/>
      <x:c r="C129" s="28"/>
      <x:c r="D129" s="28"/>
      <x:c r="E129" s="28"/>
      <x:c r="F129" s="28"/>
      <x:c r="G129" s="28"/>
      <x:c r="H129" s="28"/>
      <x:c r="I129" s="28"/>
      <x:c r="J129" s="28"/>
      <x:c r="K129" s="28"/>
      <x:c r="L129" s="28"/>
      <x:c r="M129" s="28"/>
      <x:c r="N129" s="28"/>
      <x:c r="O129" s="28"/>
      <x:c r="P129" s="28"/>
      <x:c r="Q129" s="28"/>
      <x:c r="R129" s="28"/>
      <x:c r="S129" s="28"/>
      <x:c r="T129" s="28"/>
      <x:c r="U129" s="28"/>
      <x:c r="V129" s="28"/>
      <x:c r="W129" s="28"/>
      <x:c r="X129" s="43" t="n">
        <x:f>--AND(S129=1,T129=1,U129=1,V129=1,W129=1)</x:f>
        <x:v>0</x:v>
      </x:c>
      <x:c r="AE129" s="43" t="n">
        <x:f>--AND(S129=1,M129&lt;&gt;"",M129&lt;&gt;"keep")</x:f>
        <x:v>0</x:v>
      </x:c>
      <x:c r="AG129" t="n">
        <x:f>--AND(S129=1,T129=1,U129=1,V129=1,W129=1,AE129=1)</x:f>
        <x:v>0</x:v>
      </x:c>
      <x:c r="AJ129" t="str">
        <x:f>IF(OR(AH129="",AI129=""),"",--(AH129&lt;&gt;AI129))</x:f>
      </x:c>
      <x:c r="AL129" t="str">
        <x:f>IF(OR(AH129="",AI129=""),"PENDING_HUMAN",IF(AH129=AI129,AH129,IF(AK129&lt;&gt;"",AK129,"PENDING_HUMAN")))</x:f>
        <x:v>PENDING_HUMAN</x:v>
      </x:c>
      <x:c r="AM129" t="n">
        <x:f>--AND(A129&lt;&gt;"",AH129&lt;&gt;"",AI129&lt;&gt;"",OR(AH129=AI129,AK129&lt;&gt;""))</x:f>
        <x:v>0</x:v>
      </x:c>
      <x:c r="AN129" t="n">
        <x:f>--AND(Y129&lt;&gt;"",COUNTIF($Y$4:Y129,Y129)=1)</x:f>
        <x:v>0</x:v>
      </x:c>
      <x:c r="AO129" t="n">
        <x:f>--AND(AN129=1,Z129=1,AM129=1)</x:f>
        <x:v>0</x:v>
      </x:c>
      <x:c r="AP129" t="n">
        <x:f>--AND(AO129=1,AA129=1,AL129=1)</x:f>
        <x:v>0</x:v>
      </x:c>
      <x:c r="AQ129" t="n">
        <x:f>--AND(AN129=1,Z129=1)</x:f>
        <x:v>0</x:v>
      </x:c>
      <x:c r="AR129" t="n">
        <x:f>--AND(AQ129=1,AA129=1)</x:f>
        <x:v>0</x:v>
      </x:c>
    </x:row>
    <x:row r="130">
      <x:c r="A130" s="28"/>
      <x:c r="B130" s="28"/>
      <x:c r="C130" s="28"/>
      <x:c r="D130" s="28"/>
      <x:c r="E130" s="28"/>
      <x:c r="F130" s="28"/>
      <x:c r="G130" s="28"/>
      <x:c r="H130" s="28"/>
      <x:c r="I130" s="28"/>
      <x:c r="J130" s="28"/>
      <x:c r="K130" s="28"/>
      <x:c r="L130" s="28"/>
      <x:c r="M130" s="28"/>
      <x:c r="N130" s="28"/>
      <x:c r="O130" s="28"/>
      <x:c r="P130" s="28"/>
      <x:c r="Q130" s="28"/>
      <x:c r="R130" s="28"/>
      <x:c r="S130" s="28"/>
      <x:c r="T130" s="28"/>
      <x:c r="U130" s="28"/>
      <x:c r="V130" s="28"/>
      <x:c r="W130" s="28"/>
      <x:c r="X130" s="43" t="n">
        <x:f>--AND(S130=1,T130=1,U130=1,V130=1,W130=1)</x:f>
        <x:v>0</x:v>
      </x:c>
      <x:c r="AE130" s="43" t="n">
        <x:f>--AND(S130=1,M130&lt;&gt;"",M130&lt;&gt;"keep")</x:f>
        <x:v>0</x:v>
      </x:c>
      <x:c r="AG130" t="n">
        <x:f>--AND(S130=1,T130=1,U130=1,V130=1,W130=1,AE130=1)</x:f>
        <x:v>0</x:v>
      </x:c>
      <x:c r="AJ130" t="str">
        <x:f>IF(OR(AH130="",AI130=""),"",--(AH130&lt;&gt;AI130))</x:f>
      </x:c>
      <x:c r="AL130" t="str">
        <x:f>IF(OR(AH130="",AI130=""),"PENDING_HUMAN",IF(AH130=AI130,AH130,IF(AK130&lt;&gt;"",AK130,"PENDING_HUMAN")))</x:f>
        <x:v>PENDING_HUMAN</x:v>
      </x:c>
      <x:c r="AM130" t="n">
        <x:f>--AND(A130&lt;&gt;"",AH130&lt;&gt;"",AI130&lt;&gt;"",OR(AH130=AI130,AK130&lt;&gt;""))</x:f>
        <x:v>0</x:v>
      </x:c>
      <x:c r="AN130" t="n">
        <x:f>--AND(Y130&lt;&gt;"",COUNTIF($Y$4:Y130,Y130)=1)</x:f>
        <x:v>0</x:v>
      </x:c>
      <x:c r="AO130" t="n">
        <x:f>--AND(AN130=1,Z130=1,AM130=1)</x:f>
        <x:v>0</x:v>
      </x:c>
      <x:c r="AP130" t="n">
        <x:f>--AND(AO130=1,AA130=1,AL130=1)</x:f>
        <x:v>0</x:v>
      </x:c>
      <x:c r="AQ130" t="n">
        <x:f>--AND(AN130=1,Z130=1)</x:f>
        <x:v>0</x:v>
      </x:c>
      <x:c r="AR130" t="n">
        <x:f>--AND(AQ130=1,AA130=1)</x:f>
        <x:v>0</x:v>
      </x:c>
    </x:row>
    <x:row r="131">
      <x:c r="A131" s="28"/>
      <x:c r="B131" s="28"/>
      <x:c r="C131" s="28"/>
      <x:c r="D131" s="28"/>
      <x:c r="E131" s="28"/>
      <x:c r="F131" s="28"/>
      <x:c r="G131" s="28"/>
      <x:c r="H131" s="28"/>
      <x:c r="I131" s="28"/>
      <x:c r="J131" s="28"/>
      <x:c r="K131" s="28"/>
      <x:c r="L131" s="28"/>
      <x:c r="M131" s="28"/>
      <x:c r="N131" s="28"/>
      <x:c r="O131" s="28"/>
      <x:c r="P131" s="28"/>
      <x:c r="Q131" s="28"/>
      <x:c r="R131" s="28"/>
      <x:c r="S131" s="28"/>
      <x:c r="T131" s="28"/>
      <x:c r="U131" s="28"/>
      <x:c r="V131" s="28"/>
      <x:c r="W131" s="28"/>
      <x:c r="X131" s="43" t="n">
        <x:f>--AND(S131=1,T131=1,U131=1,V131=1,W131=1)</x:f>
        <x:v>0</x:v>
      </x:c>
      <x:c r="AE131" s="43" t="n">
        <x:f>--AND(S131=1,M131&lt;&gt;"",M131&lt;&gt;"keep")</x:f>
        <x:v>0</x:v>
      </x:c>
      <x:c r="AG131" t="n">
        <x:f>--AND(S131=1,T131=1,U131=1,V131=1,W131=1,AE131=1)</x:f>
        <x:v>0</x:v>
      </x:c>
      <x:c r="AJ131" t="str">
        <x:f>IF(OR(AH131="",AI131=""),"",--(AH131&lt;&gt;AI131))</x:f>
      </x:c>
      <x:c r="AL131" t="str">
        <x:f>IF(OR(AH131="",AI131=""),"PENDING_HUMAN",IF(AH131=AI131,AH131,IF(AK131&lt;&gt;"",AK131,"PENDING_HUMAN")))</x:f>
        <x:v>PENDING_HUMAN</x:v>
      </x:c>
      <x:c r="AM131" t="n">
        <x:f>--AND(A131&lt;&gt;"",AH131&lt;&gt;"",AI131&lt;&gt;"",OR(AH131=AI131,AK131&lt;&gt;""))</x:f>
        <x:v>0</x:v>
      </x:c>
      <x:c r="AN131" t="n">
        <x:f>--AND(Y131&lt;&gt;"",COUNTIF($Y$4:Y131,Y131)=1)</x:f>
        <x:v>0</x:v>
      </x:c>
      <x:c r="AO131" t="n">
        <x:f>--AND(AN131=1,Z131=1,AM131=1)</x:f>
        <x:v>0</x:v>
      </x:c>
      <x:c r="AP131" t="n">
        <x:f>--AND(AO131=1,AA131=1,AL131=1)</x:f>
        <x:v>0</x:v>
      </x:c>
      <x:c r="AQ131" t="n">
        <x:f>--AND(AN131=1,Z131=1)</x:f>
        <x:v>0</x:v>
      </x:c>
      <x:c r="AR131" t="n">
        <x:f>--AND(AQ131=1,AA131=1)</x:f>
        <x:v>0</x:v>
      </x:c>
    </x:row>
    <x:row r="132">
      <x:c r="A132" s="28"/>
      <x:c r="B132" s="28"/>
      <x:c r="C132" s="28"/>
      <x:c r="D132" s="28"/>
      <x:c r="E132" s="28"/>
      <x:c r="F132" s="28"/>
      <x:c r="G132" s="28"/>
      <x:c r="H132" s="28"/>
      <x:c r="I132" s="28"/>
      <x:c r="J132" s="28"/>
      <x:c r="K132" s="28"/>
      <x:c r="L132" s="28"/>
      <x:c r="M132" s="28"/>
      <x:c r="N132" s="28"/>
      <x:c r="O132" s="28"/>
      <x:c r="P132" s="28"/>
      <x:c r="Q132" s="28"/>
      <x:c r="R132" s="28"/>
      <x:c r="S132" s="28"/>
      <x:c r="T132" s="28"/>
      <x:c r="U132" s="28"/>
      <x:c r="V132" s="28"/>
      <x:c r="W132" s="28"/>
      <x:c r="X132" s="43" t="n">
        <x:f>--AND(S132=1,T132=1,U132=1,V132=1,W132=1)</x:f>
        <x:v>0</x:v>
      </x:c>
      <x:c r="AE132" s="43" t="n">
        <x:f>--AND(S132=1,M132&lt;&gt;"",M132&lt;&gt;"keep")</x:f>
        <x:v>0</x:v>
      </x:c>
      <x:c r="AG132" t="n">
        <x:f>--AND(S132=1,T132=1,U132=1,V132=1,W132=1,AE132=1)</x:f>
        <x:v>0</x:v>
      </x:c>
      <x:c r="AJ132" t="str">
        <x:f>IF(OR(AH132="",AI132=""),"",--(AH132&lt;&gt;AI132))</x:f>
      </x:c>
      <x:c r="AL132" t="str">
        <x:f>IF(OR(AH132="",AI132=""),"PENDING_HUMAN",IF(AH132=AI132,AH132,IF(AK132&lt;&gt;"",AK132,"PENDING_HUMAN")))</x:f>
        <x:v>PENDING_HUMAN</x:v>
      </x:c>
      <x:c r="AM132" t="n">
        <x:f>--AND(A132&lt;&gt;"",AH132&lt;&gt;"",AI132&lt;&gt;"",OR(AH132=AI132,AK132&lt;&gt;""))</x:f>
        <x:v>0</x:v>
      </x:c>
      <x:c r="AN132" t="n">
        <x:f>--AND(Y132&lt;&gt;"",COUNTIF($Y$4:Y132,Y132)=1)</x:f>
        <x:v>0</x:v>
      </x:c>
      <x:c r="AO132" t="n">
        <x:f>--AND(AN132=1,Z132=1,AM132=1)</x:f>
        <x:v>0</x:v>
      </x:c>
      <x:c r="AP132" t="n">
        <x:f>--AND(AO132=1,AA132=1,AL132=1)</x:f>
        <x:v>0</x:v>
      </x:c>
      <x:c r="AQ132" t="n">
        <x:f>--AND(AN132=1,Z132=1)</x:f>
        <x:v>0</x:v>
      </x:c>
      <x:c r="AR132" t="n">
        <x:f>--AND(AQ132=1,AA132=1)</x:f>
        <x:v>0</x:v>
      </x:c>
    </x:row>
    <x:row r="133">
      <x:c r="A133" s="28"/>
      <x:c r="B133" s="28"/>
      <x:c r="C133" s="28"/>
      <x:c r="D133" s="28"/>
      <x:c r="E133" s="28"/>
      <x:c r="F133" s="28"/>
      <x:c r="G133" s="28"/>
      <x:c r="H133" s="28"/>
      <x:c r="I133" s="28"/>
      <x:c r="J133" s="28"/>
      <x:c r="K133" s="28"/>
      <x:c r="L133" s="28"/>
      <x:c r="M133" s="28"/>
      <x:c r="N133" s="28"/>
      <x:c r="O133" s="28"/>
      <x:c r="P133" s="28"/>
      <x:c r="Q133" s="28"/>
      <x:c r="R133" s="28"/>
      <x:c r="S133" s="28"/>
      <x:c r="T133" s="28"/>
      <x:c r="U133" s="28"/>
      <x:c r="V133" s="28"/>
      <x:c r="W133" s="28"/>
      <x:c r="X133" s="43" t="n">
        <x:f>--AND(S133=1,T133=1,U133=1,V133=1,W133=1)</x:f>
        <x:v>0</x:v>
      </x:c>
      <x:c r="AE133" s="43" t="n">
        <x:f>--AND(S133=1,M133&lt;&gt;"",M133&lt;&gt;"keep")</x:f>
        <x:v>0</x:v>
      </x:c>
      <x:c r="AG133" t="n">
        <x:f>--AND(S133=1,T133=1,U133=1,V133=1,W133=1,AE133=1)</x:f>
        <x:v>0</x:v>
      </x:c>
      <x:c r="AJ133" t="str">
        <x:f>IF(OR(AH133="",AI133=""),"",--(AH133&lt;&gt;AI133))</x:f>
      </x:c>
      <x:c r="AL133" t="str">
        <x:f>IF(OR(AH133="",AI133=""),"PENDING_HUMAN",IF(AH133=AI133,AH133,IF(AK133&lt;&gt;"",AK133,"PENDING_HUMAN")))</x:f>
        <x:v>PENDING_HUMAN</x:v>
      </x:c>
      <x:c r="AM133" t="n">
        <x:f>--AND(A133&lt;&gt;"",AH133&lt;&gt;"",AI133&lt;&gt;"",OR(AH133=AI133,AK133&lt;&gt;""))</x:f>
        <x:v>0</x:v>
      </x:c>
      <x:c r="AN133" t="n">
        <x:f>--AND(Y133&lt;&gt;"",COUNTIF($Y$4:Y133,Y133)=1)</x:f>
        <x:v>0</x:v>
      </x:c>
      <x:c r="AO133" t="n">
        <x:f>--AND(AN133=1,Z133=1,AM133=1)</x:f>
        <x:v>0</x:v>
      </x:c>
      <x:c r="AP133" t="n">
        <x:f>--AND(AO133=1,AA133=1,AL133=1)</x:f>
        <x:v>0</x:v>
      </x:c>
      <x:c r="AQ133" t="n">
        <x:f>--AND(AN133=1,Z133=1)</x:f>
        <x:v>0</x:v>
      </x:c>
      <x:c r="AR133" t="n">
        <x:f>--AND(AQ133=1,AA133=1)</x:f>
        <x:v>0</x:v>
      </x:c>
    </x:row>
    <x:row r="134">
      <x:c r="A134" s="28"/>
      <x:c r="B134" s="28"/>
      <x:c r="C134" s="28"/>
      <x:c r="D134" s="28"/>
      <x:c r="E134" s="28"/>
      <x:c r="F134" s="28"/>
      <x:c r="G134" s="28"/>
      <x:c r="H134" s="28"/>
      <x:c r="I134" s="28"/>
      <x:c r="J134" s="28"/>
      <x:c r="K134" s="28"/>
      <x:c r="L134" s="28"/>
      <x:c r="M134" s="28"/>
      <x:c r="N134" s="28"/>
      <x:c r="O134" s="28"/>
      <x:c r="P134" s="28"/>
      <x:c r="Q134" s="28"/>
      <x:c r="R134" s="28"/>
      <x:c r="S134" s="28"/>
      <x:c r="T134" s="28"/>
      <x:c r="U134" s="28"/>
      <x:c r="V134" s="28"/>
      <x:c r="W134" s="28"/>
      <x:c r="X134" s="43" t="n">
        <x:f>--AND(S134=1,T134=1,U134=1,V134=1,W134=1)</x:f>
        <x:v>0</x:v>
      </x:c>
      <x:c r="AE134" s="43" t="n">
        <x:f>--AND(S134=1,M134&lt;&gt;"",M134&lt;&gt;"keep")</x:f>
        <x:v>0</x:v>
      </x:c>
      <x:c r="AG134" t="n">
        <x:f>--AND(S134=1,T134=1,U134=1,V134=1,W134=1,AE134=1)</x:f>
        <x:v>0</x:v>
      </x:c>
      <x:c r="AJ134" t="str">
        <x:f>IF(OR(AH134="",AI134=""),"",--(AH134&lt;&gt;AI134))</x:f>
      </x:c>
      <x:c r="AL134" t="str">
        <x:f>IF(OR(AH134="",AI134=""),"PENDING_HUMAN",IF(AH134=AI134,AH134,IF(AK134&lt;&gt;"",AK134,"PENDING_HUMAN")))</x:f>
        <x:v>PENDING_HUMAN</x:v>
      </x:c>
      <x:c r="AM134" t="n">
        <x:f>--AND(A134&lt;&gt;"",AH134&lt;&gt;"",AI134&lt;&gt;"",OR(AH134=AI134,AK134&lt;&gt;""))</x:f>
        <x:v>0</x:v>
      </x:c>
      <x:c r="AN134" t="n">
        <x:f>--AND(Y134&lt;&gt;"",COUNTIF($Y$4:Y134,Y134)=1)</x:f>
        <x:v>0</x:v>
      </x:c>
      <x:c r="AO134" t="n">
        <x:f>--AND(AN134=1,Z134=1,AM134=1)</x:f>
        <x:v>0</x:v>
      </x:c>
      <x:c r="AP134" t="n">
        <x:f>--AND(AO134=1,AA134=1,AL134=1)</x:f>
        <x:v>0</x:v>
      </x:c>
      <x:c r="AQ134" t="n">
        <x:f>--AND(AN134=1,Z134=1)</x:f>
        <x:v>0</x:v>
      </x:c>
      <x:c r="AR134" t="n">
        <x:f>--AND(AQ134=1,AA134=1)</x:f>
        <x:v>0</x:v>
      </x:c>
    </x:row>
    <x:row r="135">
      <x:c r="A135" s="28"/>
      <x:c r="B135" s="28"/>
      <x:c r="C135" s="28"/>
      <x:c r="D135" s="28"/>
      <x:c r="E135" s="28"/>
      <x:c r="F135" s="28"/>
      <x:c r="G135" s="28"/>
      <x:c r="H135" s="28"/>
      <x:c r="I135" s="28"/>
      <x:c r="J135" s="28"/>
      <x:c r="K135" s="28"/>
      <x:c r="L135" s="28"/>
      <x:c r="M135" s="28"/>
      <x:c r="N135" s="28"/>
      <x:c r="O135" s="28"/>
      <x:c r="P135" s="28"/>
      <x:c r="Q135" s="28"/>
      <x:c r="R135" s="28"/>
      <x:c r="S135" s="28"/>
      <x:c r="T135" s="28"/>
      <x:c r="U135" s="28"/>
      <x:c r="V135" s="28"/>
      <x:c r="W135" s="28"/>
      <x:c r="X135" s="43" t="n">
        <x:f>--AND(S135=1,T135=1,U135=1,V135=1,W135=1)</x:f>
        <x:v>0</x:v>
      </x:c>
      <x:c r="AE135" s="43" t="n">
        <x:f>--AND(S135=1,M135&lt;&gt;"",M135&lt;&gt;"keep")</x:f>
        <x:v>0</x:v>
      </x:c>
      <x:c r="AG135" t="n">
        <x:f>--AND(S135=1,T135=1,U135=1,V135=1,W135=1,AE135=1)</x:f>
        <x:v>0</x:v>
      </x:c>
      <x:c r="AJ135" t="str">
        <x:f>IF(OR(AH135="",AI135=""),"",--(AH135&lt;&gt;AI135))</x:f>
      </x:c>
      <x:c r="AL135" t="str">
        <x:f>IF(OR(AH135="",AI135=""),"PENDING_HUMAN",IF(AH135=AI135,AH135,IF(AK135&lt;&gt;"",AK135,"PENDING_HUMAN")))</x:f>
        <x:v>PENDING_HUMAN</x:v>
      </x:c>
      <x:c r="AM135" t="n">
        <x:f>--AND(A135&lt;&gt;"",AH135&lt;&gt;"",AI135&lt;&gt;"",OR(AH135=AI135,AK135&lt;&gt;""))</x:f>
        <x:v>0</x:v>
      </x:c>
      <x:c r="AN135" t="n">
        <x:f>--AND(Y135&lt;&gt;"",COUNTIF($Y$4:Y135,Y135)=1)</x:f>
        <x:v>0</x:v>
      </x:c>
      <x:c r="AO135" t="n">
        <x:f>--AND(AN135=1,Z135=1,AM135=1)</x:f>
        <x:v>0</x:v>
      </x:c>
      <x:c r="AP135" t="n">
        <x:f>--AND(AO135=1,AA135=1,AL135=1)</x:f>
        <x:v>0</x:v>
      </x:c>
      <x:c r="AQ135" t="n">
        <x:f>--AND(AN135=1,Z135=1)</x:f>
        <x:v>0</x:v>
      </x:c>
      <x:c r="AR135" t="n">
        <x:f>--AND(AQ135=1,AA135=1)</x:f>
        <x:v>0</x:v>
      </x:c>
    </x:row>
    <x:row r="136">
      <x:c r="A136" s="28"/>
      <x:c r="B136" s="28"/>
      <x:c r="C136" s="28"/>
      <x:c r="D136" s="28"/>
      <x:c r="E136" s="28"/>
      <x:c r="F136" s="28"/>
      <x:c r="G136" s="28"/>
      <x:c r="H136" s="28"/>
      <x:c r="I136" s="28"/>
      <x:c r="J136" s="28"/>
      <x:c r="K136" s="28"/>
      <x:c r="L136" s="28"/>
      <x:c r="M136" s="28"/>
      <x:c r="N136" s="28"/>
      <x:c r="O136" s="28"/>
      <x:c r="P136" s="28"/>
      <x:c r="Q136" s="28"/>
      <x:c r="R136" s="28"/>
      <x:c r="S136" s="28"/>
      <x:c r="T136" s="28"/>
      <x:c r="U136" s="28"/>
      <x:c r="V136" s="28"/>
      <x:c r="W136" s="28"/>
      <x:c r="X136" s="43" t="n">
        <x:f>--AND(S136=1,T136=1,U136=1,V136=1,W136=1)</x:f>
        <x:v>0</x:v>
      </x:c>
      <x:c r="AE136" s="43" t="n">
        <x:f>--AND(S136=1,M136&lt;&gt;"",M136&lt;&gt;"keep")</x:f>
        <x:v>0</x:v>
      </x:c>
      <x:c r="AG136" t="n">
        <x:f>--AND(S136=1,T136=1,U136=1,V136=1,W136=1,AE136=1)</x:f>
        <x:v>0</x:v>
      </x:c>
      <x:c r="AJ136" t="str">
        <x:f>IF(OR(AH136="",AI136=""),"",--(AH136&lt;&gt;AI136))</x:f>
      </x:c>
      <x:c r="AL136" t="str">
        <x:f>IF(OR(AH136="",AI136=""),"PENDING_HUMAN",IF(AH136=AI136,AH136,IF(AK136&lt;&gt;"",AK136,"PENDING_HUMAN")))</x:f>
        <x:v>PENDING_HUMAN</x:v>
      </x:c>
      <x:c r="AM136" t="n">
        <x:f>--AND(A136&lt;&gt;"",AH136&lt;&gt;"",AI136&lt;&gt;"",OR(AH136=AI136,AK136&lt;&gt;""))</x:f>
        <x:v>0</x:v>
      </x:c>
      <x:c r="AN136" t="n">
        <x:f>--AND(Y136&lt;&gt;"",COUNTIF($Y$4:Y136,Y136)=1)</x:f>
        <x:v>0</x:v>
      </x:c>
      <x:c r="AO136" t="n">
        <x:f>--AND(AN136=1,Z136=1,AM136=1)</x:f>
        <x:v>0</x:v>
      </x:c>
      <x:c r="AP136" t="n">
        <x:f>--AND(AO136=1,AA136=1,AL136=1)</x:f>
        <x:v>0</x:v>
      </x:c>
      <x:c r="AQ136" t="n">
        <x:f>--AND(AN136=1,Z136=1)</x:f>
        <x:v>0</x:v>
      </x:c>
      <x:c r="AR136" t="n">
        <x:f>--AND(AQ136=1,AA136=1)</x:f>
        <x:v>0</x:v>
      </x:c>
    </x:row>
    <x:row r="137">
      <x:c r="A137" s="28"/>
      <x:c r="B137" s="28"/>
      <x:c r="C137" s="28"/>
      <x:c r="D137" s="28"/>
      <x:c r="E137" s="28"/>
      <x:c r="F137" s="28"/>
      <x:c r="G137" s="28"/>
      <x:c r="H137" s="28"/>
      <x:c r="I137" s="28"/>
      <x:c r="J137" s="28"/>
      <x:c r="K137" s="28"/>
      <x:c r="L137" s="28"/>
      <x:c r="M137" s="28"/>
      <x:c r="N137" s="28"/>
      <x:c r="O137" s="28"/>
      <x:c r="P137" s="28"/>
      <x:c r="Q137" s="28"/>
      <x:c r="R137" s="28"/>
      <x:c r="S137" s="28"/>
      <x:c r="T137" s="28"/>
      <x:c r="U137" s="28"/>
      <x:c r="V137" s="28"/>
      <x:c r="W137" s="28"/>
      <x:c r="X137" s="43" t="n">
        <x:f>--AND(S137=1,T137=1,U137=1,V137=1,W137=1)</x:f>
        <x:v>0</x:v>
      </x:c>
      <x:c r="AE137" s="43" t="n">
        <x:f>--AND(S137=1,M137&lt;&gt;"",M137&lt;&gt;"keep")</x:f>
        <x:v>0</x:v>
      </x:c>
      <x:c r="AG137" t="n">
        <x:f>--AND(S137=1,T137=1,U137=1,V137=1,W137=1,AE137=1)</x:f>
        <x:v>0</x:v>
      </x:c>
      <x:c r="AJ137" t="str">
        <x:f>IF(OR(AH137="",AI137=""),"",--(AH137&lt;&gt;AI137))</x:f>
      </x:c>
      <x:c r="AL137" t="str">
        <x:f>IF(OR(AH137="",AI137=""),"PENDING_HUMAN",IF(AH137=AI137,AH137,IF(AK137&lt;&gt;"",AK137,"PENDING_HUMAN")))</x:f>
        <x:v>PENDING_HUMAN</x:v>
      </x:c>
      <x:c r="AM137" t="n">
        <x:f>--AND(A137&lt;&gt;"",AH137&lt;&gt;"",AI137&lt;&gt;"",OR(AH137=AI137,AK137&lt;&gt;""))</x:f>
        <x:v>0</x:v>
      </x:c>
      <x:c r="AN137" t="n">
        <x:f>--AND(Y137&lt;&gt;"",COUNTIF($Y$4:Y137,Y137)=1)</x:f>
        <x:v>0</x:v>
      </x:c>
      <x:c r="AO137" t="n">
        <x:f>--AND(AN137=1,Z137=1,AM137=1)</x:f>
        <x:v>0</x:v>
      </x:c>
      <x:c r="AP137" t="n">
        <x:f>--AND(AO137=1,AA137=1,AL137=1)</x:f>
        <x:v>0</x:v>
      </x:c>
      <x:c r="AQ137" t="n">
        <x:f>--AND(AN137=1,Z137=1)</x:f>
        <x:v>0</x:v>
      </x:c>
      <x:c r="AR137" t="n">
        <x:f>--AND(AQ137=1,AA137=1)</x:f>
        <x:v>0</x:v>
      </x:c>
    </x:row>
    <x:row r="138">
      <x:c r="A138" s="28"/>
      <x:c r="B138" s="28"/>
      <x:c r="C138" s="28"/>
      <x:c r="D138" s="28"/>
      <x:c r="E138" s="28"/>
      <x:c r="F138" s="28"/>
      <x:c r="G138" s="28"/>
      <x:c r="H138" s="28"/>
      <x:c r="I138" s="28"/>
      <x:c r="J138" s="28"/>
      <x:c r="K138" s="28"/>
      <x:c r="L138" s="28"/>
      <x:c r="M138" s="28"/>
      <x:c r="N138" s="28"/>
      <x:c r="O138" s="28"/>
      <x:c r="P138" s="28"/>
      <x:c r="Q138" s="28"/>
      <x:c r="R138" s="28"/>
      <x:c r="S138" s="28"/>
      <x:c r="T138" s="28"/>
      <x:c r="U138" s="28"/>
      <x:c r="V138" s="28"/>
      <x:c r="W138" s="28"/>
      <x:c r="X138" s="43" t="n">
        <x:f>--AND(S138=1,T138=1,U138=1,V138=1,W138=1)</x:f>
        <x:v>0</x:v>
      </x:c>
      <x:c r="AE138" s="43" t="n">
        <x:f>--AND(S138=1,M138&lt;&gt;"",M138&lt;&gt;"keep")</x:f>
        <x:v>0</x:v>
      </x:c>
      <x:c r="AG138" t="n">
        <x:f>--AND(S138=1,T138=1,U138=1,V138=1,W138=1,AE138=1)</x:f>
        <x:v>0</x:v>
      </x:c>
      <x:c r="AJ138" t="str">
        <x:f>IF(OR(AH138="",AI138=""),"",--(AH138&lt;&gt;AI138))</x:f>
      </x:c>
      <x:c r="AL138" t="str">
        <x:f>IF(OR(AH138="",AI138=""),"PENDING_HUMAN",IF(AH138=AI138,AH138,IF(AK138&lt;&gt;"",AK138,"PENDING_HUMAN")))</x:f>
        <x:v>PENDING_HUMAN</x:v>
      </x:c>
      <x:c r="AM138" t="n">
        <x:f>--AND(A138&lt;&gt;"",AH138&lt;&gt;"",AI138&lt;&gt;"",OR(AH138=AI138,AK138&lt;&gt;""))</x:f>
        <x:v>0</x:v>
      </x:c>
      <x:c r="AN138" t="n">
        <x:f>--AND(Y138&lt;&gt;"",COUNTIF($Y$4:Y138,Y138)=1)</x:f>
        <x:v>0</x:v>
      </x:c>
      <x:c r="AO138" t="n">
        <x:f>--AND(AN138=1,Z138=1,AM138=1)</x:f>
        <x:v>0</x:v>
      </x:c>
      <x:c r="AP138" t="n">
        <x:f>--AND(AO138=1,AA138=1,AL138=1)</x:f>
        <x:v>0</x:v>
      </x:c>
      <x:c r="AQ138" t="n">
        <x:f>--AND(AN138=1,Z138=1)</x:f>
        <x:v>0</x:v>
      </x:c>
      <x:c r="AR138" t="n">
        <x:f>--AND(AQ138=1,AA138=1)</x:f>
        <x:v>0</x:v>
      </x:c>
    </x:row>
    <x:row r="139">
      <x:c r="A139" s="28"/>
      <x:c r="B139" s="28"/>
      <x:c r="C139" s="28"/>
      <x:c r="D139" s="28"/>
      <x:c r="E139" s="28"/>
      <x:c r="F139" s="28"/>
      <x:c r="G139" s="28"/>
      <x:c r="H139" s="28"/>
      <x:c r="I139" s="28"/>
      <x:c r="J139" s="28"/>
      <x:c r="K139" s="28"/>
      <x:c r="L139" s="28"/>
      <x:c r="M139" s="28"/>
      <x:c r="N139" s="28"/>
      <x:c r="O139" s="28"/>
      <x:c r="P139" s="28"/>
      <x:c r="Q139" s="28"/>
      <x:c r="R139" s="28"/>
      <x:c r="S139" s="28"/>
      <x:c r="T139" s="28"/>
      <x:c r="U139" s="28"/>
      <x:c r="V139" s="28"/>
      <x:c r="W139" s="28"/>
      <x:c r="X139" s="43" t="n">
        <x:f>--AND(S139=1,T139=1,U139=1,V139=1,W139=1)</x:f>
        <x:v>0</x:v>
      </x:c>
      <x:c r="AE139" s="43" t="n">
        <x:f>--AND(S139=1,M139&lt;&gt;"",M139&lt;&gt;"keep")</x:f>
        <x:v>0</x:v>
      </x:c>
      <x:c r="AG139" t="n">
        <x:f>--AND(S139=1,T139=1,U139=1,V139=1,W139=1,AE139=1)</x:f>
        <x:v>0</x:v>
      </x:c>
      <x:c r="AJ139" t="str">
        <x:f>IF(OR(AH139="",AI139=""),"",--(AH139&lt;&gt;AI139))</x:f>
      </x:c>
      <x:c r="AL139" t="str">
        <x:f>IF(OR(AH139="",AI139=""),"PENDING_HUMAN",IF(AH139=AI139,AH139,IF(AK139&lt;&gt;"",AK139,"PENDING_HUMAN")))</x:f>
        <x:v>PENDING_HUMAN</x:v>
      </x:c>
      <x:c r="AM139" t="n">
        <x:f>--AND(A139&lt;&gt;"",AH139&lt;&gt;"",AI139&lt;&gt;"",OR(AH139=AI139,AK139&lt;&gt;""))</x:f>
        <x:v>0</x:v>
      </x:c>
      <x:c r="AN139" t="n">
        <x:f>--AND(Y139&lt;&gt;"",COUNTIF($Y$4:Y139,Y139)=1)</x:f>
        <x:v>0</x:v>
      </x:c>
      <x:c r="AO139" t="n">
        <x:f>--AND(AN139=1,Z139=1,AM139=1)</x:f>
        <x:v>0</x:v>
      </x:c>
      <x:c r="AP139" t="n">
        <x:f>--AND(AO139=1,AA139=1,AL139=1)</x:f>
        <x:v>0</x:v>
      </x:c>
      <x:c r="AQ139" t="n">
        <x:f>--AND(AN139=1,Z139=1)</x:f>
        <x:v>0</x:v>
      </x:c>
      <x:c r="AR139" t="n">
        <x:f>--AND(AQ139=1,AA139=1)</x:f>
        <x:v>0</x:v>
      </x:c>
    </x:row>
    <x:row r="140">
      <x:c r="A140" s="28"/>
      <x:c r="B140" s="28"/>
      <x:c r="C140" s="28"/>
      <x:c r="D140" s="28"/>
      <x:c r="E140" s="28"/>
      <x:c r="F140" s="28"/>
      <x:c r="G140" s="28"/>
      <x:c r="H140" s="28"/>
      <x:c r="I140" s="28"/>
      <x:c r="J140" s="28"/>
      <x:c r="K140" s="28"/>
      <x:c r="L140" s="28"/>
      <x:c r="M140" s="28"/>
      <x:c r="N140" s="28"/>
      <x:c r="O140" s="28"/>
      <x:c r="P140" s="28"/>
      <x:c r="Q140" s="28"/>
      <x:c r="R140" s="28"/>
      <x:c r="S140" s="28"/>
      <x:c r="T140" s="28"/>
      <x:c r="U140" s="28"/>
      <x:c r="V140" s="28"/>
      <x:c r="W140" s="28"/>
      <x:c r="X140" s="43" t="n">
        <x:f>--AND(S140=1,T140=1,U140=1,V140=1,W140=1)</x:f>
        <x:v>0</x:v>
      </x:c>
      <x:c r="AE140" s="43" t="n">
        <x:f>--AND(S140=1,M140&lt;&gt;"",M140&lt;&gt;"keep")</x:f>
        <x:v>0</x:v>
      </x:c>
      <x:c r="AG140" t="n">
        <x:f>--AND(S140=1,T140=1,U140=1,V140=1,W140=1,AE140=1)</x:f>
        <x:v>0</x:v>
      </x:c>
      <x:c r="AJ140" t="str">
        <x:f>IF(OR(AH140="",AI140=""),"",--(AH140&lt;&gt;AI140))</x:f>
      </x:c>
      <x:c r="AL140" t="str">
        <x:f>IF(OR(AH140="",AI140=""),"PENDING_HUMAN",IF(AH140=AI140,AH140,IF(AK140&lt;&gt;"",AK140,"PENDING_HUMAN")))</x:f>
        <x:v>PENDING_HUMAN</x:v>
      </x:c>
      <x:c r="AM140" t="n">
        <x:f>--AND(A140&lt;&gt;"",AH140&lt;&gt;"",AI140&lt;&gt;"",OR(AH140=AI140,AK140&lt;&gt;""))</x:f>
        <x:v>0</x:v>
      </x:c>
      <x:c r="AN140" t="n">
        <x:f>--AND(Y140&lt;&gt;"",COUNTIF($Y$4:Y140,Y140)=1)</x:f>
        <x:v>0</x:v>
      </x:c>
      <x:c r="AO140" t="n">
        <x:f>--AND(AN140=1,Z140=1,AM140=1)</x:f>
        <x:v>0</x:v>
      </x:c>
      <x:c r="AP140" t="n">
        <x:f>--AND(AO140=1,AA140=1,AL140=1)</x:f>
        <x:v>0</x:v>
      </x:c>
      <x:c r="AQ140" t="n">
        <x:f>--AND(AN140=1,Z140=1)</x:f>
        <x:v>0</x:v>
      </x:c>
      <x:c r="AR140" t="n">
        <x:f>--AND(AQ140=1,AA140=1)</x:f>
        <x:v>0</x:v>
      </x:c>
    </x:row>
    <x:row r="141">
      <x:c r="A141" s="28"/>
      <x:c r="B141" s="28"/>
      <x:c r="C141" s="28"/>
      <x:c r="D141" s="28"/>
      <x:c r="E141" s="28"/>
      <x:c r="F141" s="28"/>
      <x:c r="G141" s="28"/>
      <x:c r="H141" s="28"/>
      <x:c r="I141" s="28"/>
      <x:c r="J141" s="28"/>
      <x:c r="K141" s="28"/>
      <x:c r="L141" s="28"/>
      <x:c r="M141" s="28"/>
      <x:c r="N141" s="28"/>
      <x:c r="O141" s="28"/>
      <x:c r="P141" s="28"/>
      <x:c r="Q141" s="28"/>
      <x:c r="R141" s="28"/>
      <x:c r="S141" s="28"/>
      <x:c r="T141" s="28"/>
      <x:c r="U141" s="28"/>
      <x:c r="V141" s="28"/>
      <x:c r="W141" s="28"/>
      <x:c r="X141" s="43" t="n">
        <x:f>--AND(S141=1,T141=1,U141=1,V141=1,W141=1)</x:f>
        <x:v>0</x:v>
      </x:c>
      <x:c r="AE141" s="43" t="n">
        <x:f>--AND(S141=1,M141&lt;&gt;"",M141&lt;&gt;"keep")</x:f>
        <x:v>0</x:v>
      </x:c>
      <x:c r="AG141" t="n">
        <x:f>--AND(S141=1,T141=1,U141=1,V141=1,W141=1,AE141=1)</x:f>
        <x:v>0</x:v>
      </x:c>
      <x:c r="AJ141" t="str">
        <x:f>IF(OR(AH141="",AI141=""),"",--(AH141&lt;&gt;AI141))</x:f>
      </x:c>
      <x:c r="AL141" t="str">
        <x:f>IF(OR(AH141="",AI141=""),"PENDING_HUMAN",IF(AH141=AI141,AH141,IF(AK141&lt;&gt;"",AK141,"PENDING_HUMAN")))</x:f>
        <x:v>PENDING_HUMAN</x:v>
      </x:c>
      <x:c r="AM141" t="n">
        <x:f>--AND(A141&lt;&gt;"",AH141&lt;&gt;"",AI141&lt;&gt;"",OR(AH141=AI141,AK141&lt;&gt;""))</x:f>
        <x:v>0</x:v>
      </x:c>
      <x:c r="AN141" t="n">
        <x:f>--AND(Y141&lt;&gt;"",COUNTIF($Y$4:Y141,Y141)=1)</x:f>
        <x:v>0</x:v>
      </x:c>
      <x:c r="AO141" t="n">
        <x:f>--AND(AN141=1,Z141=1,AM141=1)</x:f>
        <x:v>0</x:v>
      </x:c>
      <x:c r="AP141" t="n">
        <x:f>--AND(AO141=1,AA141=1,AL141=1)</x:f>
        <x:v>0</x:v>
      </x:c>
      <x:c r="AQ141" t="n">
        <x:f>--AND(AN141=1,Z141=1)</x:f>
        <x:v>0</x:v>
      </x:c>
      <x:c r="AR141" t="n">
        <x:f>--AND(AQ141=1,AA141=1)</x:f>
        <x:v>0</x:v>
      </x:c>
    </x:row>
    <x:row r="142">
      <x:c r="A142" s="28"/>
      <x:c r="B142" s="28"/>
      <x:c r="C142" s="28"/>
      <x:c r="D142" s="28"/>
      <x:c r="E142" s="28"/>
      <x:c r="F142" s="28"/>
      <x:c r="G142" s="28"/>
      <x:c r="H142" s="28"/>
      <x:c r="I142" s="28"/>
      <x:c r="J142" s="28"/>
      <x:c r="K142" s="28"/>
      <x:c r="L142" s="28"/>
      <x:c r="M142" s="28"/>
      <x:c r="N142" s="28"/>
      <x:c r="O142" s="28"/>
      <x:c r="P142" s="28"/>
      <x:c r="Q142" s="28"/>
      <x:c r="R142" s="28"/>
      <x:c r="S142" s="28"/>
      <x:c r="T142" s="28"/>
      <x:c r="U142" s="28"/>
      <x:c r="V142" s="28"/>
      <x:c r="W142" s="28"/>
      <x:c r="X142" s="43" t="n">
        <x:f>--AND(S142=1,T142=1,U142=1,V142=1,W142=1)</x:f>
        <x:v>0</x:v>
      </x:c>
      <x:c r="AE142" s="43" t="n">
        <x:f>--AND(S142=1,M142&lt;&gt;"",M142&lt;&gt;"keep")</x:f>
        <x:v>0</x:v>
      </x:c>
      <x:c r="AG142" t="n">
        <x:f>--AND(S142=1,T142=1,U142=1,V142=1,W142=1,AE142=1)</x:f>
        <x:v>0</x:v>
      </x:c>
      <x:c r="AJ142" t="str">
        <x:f>IF(OR(AH142="",AI142=""),"",--(AH142&lt;&gt;AI142))</x:f>
      </x:c>
      <x:c r="AL142" t="str">
        <x:f>IF(OR(AH142="",AI142=""),"PENDING_HUMAN",IF(AH142=AI142,AH142,IF(AK142&lt;&gt;"",AK142,"PENDING_HUMAN")))</x:f>
        <x:v>PENDING_HUMAN</x:v>
      </x:c>
      <x:c r="AM142" t="n">
        <x:f>--AND(A142&lt;&gt;"",AH142&lt;&gt;"",AI142&lt;&gt;"",OR(AH142=AI142,AK142&lt;&gt;""))</x:f>
        <x:v>0</x:v>
      </x:c>
      <x:c r="AN142" t="n">
        <x:f>--AND(Y142&lt;&gt;"",COUNTIF($Y$4:Y142,Y142)=1)</x:f>
        <x:v>0</x:v>
      </x:c>
      <x:c r="AO142" t="n">
        <x:f>--AND(AN142=1,Z142=1,AM142=1)</x:f>
        <x:v>0</x:v>
      </x:c>
      <x:c r="AP142" t="n">
        <x:f>--AND(AO142=1,AA142=1,AL142=1)</x:f>
        <x:v>0</x:v>
      </x:c>
      <x:c r="AQ142" t="n">
        <x:f>--AND(AN142=1,Z142=1)</x:f>
        <x:v>0</x:v>
      </x:c>
      <x:c r="AR142" t="n">
        <x:f>--AND(AQ142=1,AA142=1)</x:f>
        <x:v>0</x:v>
      </x:c>
    </x:row>
    <x:row r="143">
      <x:c r="A143" s="28"/>
      <x:c r="B143" s="28"/>
      <x:c r="C143" s="28"/>
      <x:c r="D143" s="28"/>
      <x:c r="E143" s="28"/>
      <x:c r="F143" s="28"/>
      <x:c r="G143" s="28"/>
      <x:c r="H143" s="28"/>
      <x:c r="I143" s="28"/>
      <x:c r="J143" s="28"/>
      <x:c r="K143" s="28"/>
      <x:c r="L143" s="28"/>
      <x:c r="M143" s="28"/>
      <x:c r="N143" s="28"/>
      <x:c r="O143" s="28"/>
      <x:c r="P143" s="28"/>
      <x:c r="Q143" s="28"/>
      <x:c r="R143" s="28"/>
      <x:c r="S143" s="28"/>
      <x:c r="T143" s="28"/>
      <x:c r="U143" s="28"/>
      <x:c r="V143" s="28"/>
      <x:c r="W143" s="28"/>
      <x:c r="X143" s="43" t="n">
        <x:f>--AND(S143=1,T143=1,U143=1,V143=1,W143=1)</x:f>
        <x:v>0</x:v>
      </x:c>
      <x:c r="AE143" s="43" t="n">
        <x:f>--AND(S143=1,M143&lt;&gt;"",M143&lt;&gt;"keep")</x:f>
        <x:v>0</x:v>
      </x:c>
      <x:c r="AG143" t="n">
        <x:f>--AND(S143=1,T143=1,U143=1,V143=1,W143=1,AE143=1)</x:f>
        <x:v>0</x:v>
      </x:c>
      <x:c r="AJ143" t="str">
        <x:f>IF(OR(AH143="",AI143=""),"",--(AH143&lt;&gt;AI143))</x:f>
      </x:c>
      <x:c r="AL143" t="str">
        <x:f>IF(OR(AH143="",AI143=""),"PENDING_HUMAN",IF(AH143=AI143,AH143,IF(AK143&lt;&gt;"",AK143,"PENDING_HUMAN")))</x:f>
        <x:v>PENDING_HUMAN</x:v>
      </x:c>
      <x:c r="AM143" t="n">
        <x:f>--AND(A143&lt;&gt;"",AH143&lt;&gt;"",AI143&lt;&gt;"",OR(AH143=AI143,AK143&lt;&gt;""))</x:f>
        <x:v>0</x:v>
      </x:c>
      <x:c r="AN143" t="n">
        <x:f>--AND(Y143&lt;&gt;"",COUNTIF($Y$4:Y143,Y143)=1)</x:f>
        <x:v>0</x:v>
      </x:c>
      <x:c r="AO143" t="n">
        <x:f>--AND(AN143=1,Z143=1,AM143=1)</x:f>
        <x:v>0</x:v>
      </x:c>
      <x:c r="AP143" t="n">
        <x:f>--AND(AO143=1,AA143=1,AL143=1)</x:f>
        <x:v>0</x:v>
      </x:c>
      <x:c r="AQ143" t="n">
        <x:f>--AND(AN143=1,Z143=1)</x:f>
        <x:v>0</x:v>
      </x:c>
      <x:c r="AR143" t="n">
        <x:f>--AND(AQ143=1,AA143=1)</x:f>
        <x:v>0</x:v>
      </x:c>
    </x:row>
    <x:row r="144">
      <x:c r="A144" s="28"/>
      <x:c r="B144" s="28"/>
      <x:c r="C144" s="28"/>
      <x:c r="D144" s="28"/>
      <x:c r="E144" s="28"/>
      <x:c r="F144" s="28"/>
      <x:c r="G144" s="28"/>
      <x:c r="H144" s="28"/>
      <x:c r="I144" s="28"/>
      <x:c r="J144" s="28"/>
      <x:c r="K144" s="28"/>
      <x:c r="L144" s="28"/>
      <x:c r="M144" s="28"/>
      <x:c r="N144" s="28"/>
      <x:c r="O144" s="28"/>
      <x:c r="P144" s="28"/>
      <x:c r="Q144" s="28"/>
      <x:c r="R144" s="28"/>
      <x:c r="S144" s="28"/>
      <x:c r="T144" s="28"/>
      <x:c r="U144" s="28"/>
      <x:c r="V144" s="28"/>
      <x:c r="W144" s="28"/>
      <x:c r="X144" s="43" t="n">
        <x:f>--AND(S144=1,T144=1,U144=1,V144=1,W144=1)</x:f>
        <x:v>0</x:v>
      </x:c>
      <x:c r="AE144" s="43" t="n">
        <x:f>--AND(S144=1,M144&lt;&gt;"",M144&lt;&gt;"keep")</x:f>
        <x:v>0</x:v>
      </x:c>
      <x:c r="AG144" t="n">
        <x:f>--AND(S144=1,T144=1,U144=1,V144=1,W144=1,AE144=1)</x:f>
        <x:v>0</x:v>
      </x:c>
      <x:c r="AJ144" t="str">
        <x:f>IF(OR(AH144="",AI144=""),"",--(AH144&lt;&gt;AI144))</x:f>
      </x:c>
      <x:c r="AL144" t="str">
        <x:f>IF(OR(AH144="",AI144=""),"PENDING_HUMAN",IF(AH144=AI144,AH144,IF(AK144&lt;&gt;"",AK144,"PENDING_HUMAN")))</x:f>
        <x:v>PENDING_HUMAN</x:v>
      </x:c>
      <x:c r="AM144" t="n">
        <x:f>--AND(A144&lt;&gt;"",AH144&lt;&gt;"",AI144&lt;&gt;"",OR(AH144=AI144,AK144&lt;&gt;""))</x:f>
        <x:v>0</x:v>
      </x:c>
      <x:c r="AN144" t="n">
        <x:f>--AND(Y144&lt;&gt;"",COUNTIF($Y$4:Y144,Y144)=1)</x:f>
        <x:v>0</x:v>
      </x:c>
      <x:c r="AO144" t="n">
        <x:f>--AND(AN144=1,Z144=1,AM144=1)</x:f>
        <x:v>0</x:v>
      </x:c>
      <x:c r="AP144" t="n">
        <x:f>--AND(AO144=1,AA144=1,AL144=1)</x:f>
        <x:v>0</x:v>
      </x:c>
      <x:c r="AQ144" t="n">
        <x:f>--AND(AN144=1,Z144=1)</x:f>
        <x:v>0</x:v>
      </x:c>
      <x:c r="AR144" t="n">
        <x:f>--AND(AQ144=1,AA144=1)</x:f>
        <x:v>0</x:v>
      </x:c>
    </x:row>
    <x:row r="145">
      <x:c r="A145" s="28"/>
      <x:c r="B145" s="28"/>
      <x:c r="C145" s="28"/>
      <x:c r="D145" s="28"/>
      <x:c r="E145" s="28"/>
      <x:c r="F145" s="28"/>
      <x:c r="G145" s="28"/>
      <x:c r="H145" s="28"/>
      <x:c r="I145" s="28"/>
      <x:c r="J145" s="28"/>
      <x:c r="K145" s="28"/>
      <x:c r="L145" s="28"/>
      <x:c r="M145" s="28"/>
      <x:c r="N145" s="28"/>
      <x:c r="O145" s="28"/>
      <x:c r="P145" s="28"/>
      <x:c r="Q145" s="28"/>
      <x:c r="R145" s="28"/>
      <x:c r="S145" s="28"/>
      <x:c r="T145" s="28"/>
      <x:c r="U145" s="28"/>
      <x:c r="V145" s="28"/>
      <x:c r="W145" s="28"/>
      <x:c r="X145" s="43" t="n">
        <x:f>--AND(S145=1,T145=1,U145=1,V145=1,W145=1)</x:f>
        <x:v>0</x:v>
      </x:c>
      <x:c r="AE145" s="43" t="n">
        <x:f>--AND(S145=1,M145&lt;&gt;"",M145&lt;&gt;"keep")</x:f>
        <x:v>0</x:v>
      </x:c>
      <x:c r="AG145" t="n">
        <x:f>--AND(S145=1,T145=1,U145=1,V145=1,W145=1,AE145=1)</x:f>
        <x:v>0</x:v>
      </x:c>
      <x:c r="AJ145" t="str">
        <x:f>IF(OR(AH145="",AI145=""),"",--(AH145&lt;&gt;AI145))</x:f>
      </x:c>
      <x:c r="AL145" t="str">
        <x:f>IF(OR(AH145="",AI145=""),"PENDING_HUMAN",IF(AH145=AI145,AH145,IF(AK145&lt;&gt;"",AK145,"PENDING_HUMAN")))</x:f>
        <x:v>PENDING_HUMAN</x:v>
      </x:c>
      <x:c r="AM145" t="n">
        <x:f>--AND(A145&lt;&gt;"",AH145&lt;&gt;"",AI145&lt;&gt;"",OR(AH145=AI145,AK145&lt;&gt;""))</x:f>
        <x:v>0</x:v>
      </x:c>
      <x:c r="AN145" t="n">
        <x:f>--AND(Y145&lt;&gt;"",COUNTIF($Y$4:Y145,Y145)=1)</x:f>
        <x:v>0</x:v>
      </x:c>
      <x:c r="AO145" t="n">
        <x:f>--AND(AN145=1,Z145=1,AM145=1)</x:f>
        <x:v>0</x:v>
      </x:c>
      <x:c r="AP145" t="n">
        <x:f>--AND(AO145=1,AA145=1,AL145=1)</x:f>
        <x:v>0</x:v>
      </x:c>
      <x:c r="AQ145" t="n">
        <x:f>--AND(AN145=1,Z145=1)</x:f>
        <x:v>0</x:v>
      </x:c>
      <x:c r="AR145" t="n">
        <x:f>--AND(AQ145=1,AA145=1)</x:f>
        <x:v>0</x:v>
      </x:c>
    </x:row>
    <x:row r="146">
      <x:c r="A146" s="28"/>
      <x:c r="B146" s="28"/>
      <x:c r="C146" s="28"/>
      <x:c r="D146" s="28"/>
      <x:c r="E146" s="28"/>
      <x:c r="F146" s="28"/>
      <x:c r="G146" s="28"/>
      <x:c r="H146" s="28"/>
      <x:c r="I146" s="28"/>
      <x:c r="J146" s="28"/>
      <x:c r="K146" s="28"/>
      <x:c r="L146" s="28"/>
      <x:c r="M146" s="28"/>
      <x:c r="N146" s="28"/>
      <x:c r="O146" s="28"/>
      <x:c r="P146" s="28"/>
      <x:c r="Q146" s="28"/>
      <x:c r="R146" s="28"/>
      <x:c r="S146" s="28"/>
      <x:c r="T146" s="28"/>
      <x:c r="U146" s="28"/>
      <x:c r="V146" s="28"/>
      <x:c r="W146" s="28"/>
      <x:c r="X146" s="43" t="n">
        <x:f>--AND(S146=1,T146=1,U146=1,V146=1,W146=1)</x:f>
        <x:v>0</x:v>
      </x:c>
      <x:c r="AE146" s="43" t="n">
        <x:f>--AND(S146=1,M146&lt;&gt;"",M146&lt;&gt;"keep")</x:f>
        <x:v>0</x:v>
      </x:c>
      <x:c r="AG146" t="n">
        <x:f>--AND(S146=1,T146=1,U146=1,V146=1,W146=1,AE146=1)</x:f>
        <x:v>0</x:v>
      </x:c>
      <x:c r="AJ146" t="str">
        <x:f>IF(OR(AH146="",AI146=""),"",--(AH146&lt;&gt;AI146))</x:f>
      </x:c>
      <x:c r="AL146" t="str">
        <x:f>IF(OR(AH146="",AI146=""),"PENDING_HUMAN",IF(AH146=AI146,AH146,IF(AK146&lt;&gt;"",AK146,"PENDING_HUMAN")))</x:f>
        <x:v>PENDING_HUMAN</x:v>
      </x:c>
      <x:c r="AM146" t="n">
        <x:f>--AND(A146&lt;&gt;"",AH146&lt;&gt;"",AI146&lt;&gt;"",OR(AH146=AI146,AK146&lt;&gt;""))</x:f>
        <x:v>0</x:v>
      </x:c>
      <x:c r="AN146" t="n">
        <x:f>--AND(Y146&lt;&gt;"",COUNTIF($Y$4:Y146,Y146)=1)</x:f>
        <x:v>0</x:v>
      </x:c>
      <x:c r="AO146" t="n">
        <x:f>--AND(AN146=1,Z146=1,AM146=1)</x:f>
        <x:v>0</x:v>
      </x:c>
      <x:c r="AP146" t="n">
        <x:f>--AND(AO146=1,AA146=1,AL146=1)</x:f>
        <x:v>0</x:v>
      </x:c>
      <x:c r="AQ146" t="n">
        <x:f>--AND(AN146=1,Z146=1)</x:f>
        <x:v>0</x:v>
      </x:c>
      <x:c r="AR146" t="n">
        <x:f>--AND(AQ146=1,AA146=1)</x:f>
        <x:v>0</x:v>
      </x:c>
    </x:row>
    <x:row r="147">
      <x:c r="A147" s="28"/>
      <x:c r="B147" s="28"/>
      <x:c r="C147" s="28"/>
      <x:c r="D147" s="28"/>
      <x:c r="E147" s="28"/>
      <x:c r="F147" s="28"/>
      <x:c r="G147" s="28"/>
      <x:c r="H147" s="28"/>
      <x:c r="I147" s="28"/>
      <x:c r="J147" s="28"/>
      <x:c r="K147" s="28"/>
      <x:c r="L147" s="28"/>
      <x:c r="M147" s="28"/>
      <x:c r="N147" s="28"/>
      <x:c r="O147" s="28"/>
      <x:c r="P147" s="28"/>
      <x:c r="Q147" s="28"/>
      <x:c r="R147" s="28"/>
      <x:c r="S147" s="28"/>
      <x:c r="T147" s="28"/>
      <x:c r="U147" s="28"/>
      <x:c r="V147" s="28"/>
      <x:c r="W147" s="28"/>
      <x:c r="X147" s="43" t="n">
        <x:f>--AND(S147=1,T147=1,U147=1,V147=1,W147=1)</x:f>
        <x:v>0</x:v>
      </x:c>
      <x:c r="AE147" s="43" t="n">
        <x:f>--AND(S147=1,M147&lt;&gt;"",M147&lt;&gt;"keep")</x:f>
        <x:v>0</x:v>
      </x:c>
      <x:c r="AG147" t="n">
        <x:f>--AND(S147=1,T147=1,U147=1,V147=1,W147=1,AE147=1)</x:f>
        <x:v>0</x:v>
      </x:c>
      <x:c r="AJ147" t="str">
        <x:f>IF(OR(AH147="",AI147=""),"",--(AH147&lt;&gt;AI147))</x:f>
      </x:c>
      <x:c r="AL147" t="str">
        <x:f>IF(OR(AH147="",AI147=""),"PENDING_HUMAN",IF(AH147=AI147,AH147,IF(AK147&lt;&gt;"",AK147,"PENDING_HUMAN")))</x:f>
        <x:v>PENDING_HUMAN</x:v>
      </x:c>
      <x:c r="AM147" t="n">
        <x:f>--AND(A147&lt;&gt;"",AH147&lt;&gt;"",AI147&lt;&gt;"",OR(AH147=AI147,AK147&lt;&gt;""))</x:f>
        <x:v>0</x:v>
      </x:c>
      <x:c r="AN147" t="n">
        <x:f>--AND(Y147&lt;&gt;"",COUNTIF($Y$4:Y147,Y147)=1)</x:f>
        <x:v>0</x:v>
      </x:c>
      <x:c r="AO147" t="n">
        <x:f>--AND(AN147=1,Z147=1,AM147=1)</x:f>
        <x:v>0</x:v>
      </x:c>
      <x:c r="AP147" t="n">
        <x:f>--AND(AO147=1,AA147=1,AL147=1)</x:f>
        <x:v>0</x:v>
      </x:c>
      <x:c r="AQ147" t="n">
        <x:f>--AND(AN147=1,Z147=1)</x:f>
        <x:v>0</x:v>
      </x:c>
      <x:c r="AR147" t="n">
        <x:f>--AND(AQ147=1,AA147=1)</x:f>
        <x:v>0</x:v>
      </x:c>
    </x:row>
    <x:row r="148">
      <x:c r="A148" s="28"/>
      <x:c r="B148" s="28"/>
      <x:c r="C148" s="28"/>
      <x:c r="D148" s="28"/>
      <x:c r="E148" s="28"/>
      <x:c r="F148" s="28"/>
      <x:c r="G148" s="28"/>
      <x:c r="H148" s="28"/>
      <x:c r="I148" s="28"/>
      <x:c r="J148" s="28"/>
      <x:c r="K148" s="28"/>
      <x:c r="L148" s="28"/>
      <x:c r="M148" s="28"/>
      <x:c r="N148" s="28"/>
      <x:c r="O148" s="28"/>
      <x:c r="P148" s="28"/>
      <x:c r="Q148" s="28"/>
      <x:c r="R148" s="28"/>
      <x:c r="S148" s="28"/>
      <x:c r="T148" s="28"/>
      <x:c r="U148" s="28"/>
      <x:c r="V148" s="28"/>
      <x:c r="W148" s="28"/>
      <x:c r="X148" s="43" t="n">
        <x:f>--AND(S148=1,T148=1,U148=1,V148=1,W148=1)</x:f>
        <x:v>0</x:v>
      </x:c>
      <x:c r="AE148" s="43" t="n">
        <x:f>--AND(S148=1,M148&lt;&gt;"",M148&lt;&gt;"keep")</x:f>
        <x:v>0</x:v>
      </x:c>
      <x:c r="AG148" t="n">
        <x:f>--AND(S148=1,T148=1,U148=1,V148=1,W148=1,AE148=1)</x:f>
        <x:v>0</x:v>
      </x:c>
      <x:c r="AJ148" t="str">
        <x:f>IF(OR(AH148="",AI148=""),"",--(AH148&lt;&gt;AI148))</x:f>
      </x:c>
      <x:c r="AL148" t="str">
        <x:f>IF(OR(AH148="",AI148=""),"PENDING_HUMAN",IF(AH148=AI148,AH148,IF(AK148&lt;&gt;"",AK148,"PENDING_HUMAN")))</x:f>
        <x:v>PENDING_HUMAN</x:v>
      </x:c>
      <x:c r="AM148" t="n">
        <x:f>--AND(A148&lt;&gt;"",AH148&lt;&gt;"",AI148&lt;&gt;"",OR(AH148=AI148,AK148&lt;&gt;""))</x:f>
        <x:v>0</x:v>
      </x:c>
      <x:c r="AN148" t="n">
        <x:f>--AND(Y148&lt;&gt;"",COUNTIF($Y$4:Y148,Y148)=1)</x:f>
        <x:v>0</x:v>
      </x:c>
      <x:c r="AO148" t="n">
        <x:f>--AND(AN148=1,Z148=1,AM148=1)</x:f>
        <x:v>0</x:v>
      </x:c>
      <x:c r="AP148" t="n">
        <x:f>--AND(AO148=1,AA148=1,AL148=1)</x:f>
        <x:v>0</x:v>
      </x:c>
      <x:c r="AQ148" t="n">
        <x:f>--AND(AN148=1,Z148=1)</x:f>
        <x:v>0</x:v>
      </x:c>
      <x:c r="AR148" t="n">
        <x:f>--AND(AQ148=1,AA148=1)</x:f>
        <x:v>0</x:v>
      </x:c>
    </x:row>
    <x:row r="149">
      <x:c r="A149" s="28"/>
      <x:c r="B149" s="28"/>
      <x:c r="C149" s="28"/>
      <x:c r="D149" s="28"/>
      <x:c r="E149" s="28"/>
      <x:c r="F149" s="28"/>
      <x:c r="G149" s="28"/>
      <x:c r="H149" s="28"/>
      <x:c r="I149" s="28"/>
      <x:c r="J149" s="28"/>
      <x:c r="K149" s="28"/>
      <x:c r="L149" s="28"/>
      <x:c r="M149" s="28"/>
      <x:c r="N149" s="28"/>
      <x:c r="O149" s="28"/>
      <x:c r="P149" s="28"/>
      <x:c r="Q149" s="28"/>
      <x:c r="R149" s="28"/>
      <x:c r="S149" s="28"/>
      <x:c r="T149" s="28"/>
      <x:c r="U149" s="28"/>
      <x:c r="V149" s="28"/>
      <x:c r="W149" s="28"/>
      <x:c r="X149" s="43" t="n">
        <x:f>--AND(S149=1,T149=1,U149=1,V149=1,W149=1)</x:f>
        <x:v>0</x:v>
      </x:c>
      <x:c r="AE149" s="43" t="n">
        <x:f>--AND(S149=1,M149&lt;&gt;"",M149&lt;&gt;"keep")</x:f>
        <x:v>0</x:v>
      </x:c>
      <x:c r="AG149" t="n">
        <x:f>--AND(S149=1,T149=1,U149=1,V149=1,W149=1,AE149=1)</x:f>
        <x:v>0</x:v>
      </x:c>
      <x:c r="AJ149" t="str">
        <x:f>IF(OR(AH149="",AI149=""),"",--(AH149&lt;&gt;AI149))</x:f>
      </x:c>
      <x:c r="AL149" t="str">
        <x:f>IF(OR(AH149="",AI149=""),"PENDING_HUMAN",IF(AH149=AI149,AH149,IF(AK149&lt;&gt;"",AK149,"PENDING_HUMAN")))</x:f>
        <x:v>PENDING_HUMAN</x:v>
      </x:c>
      <x:c r="AM149" t="n">
        <x:f>--AND(A149&lt;&gt;"",AH149&lt;&gt;"",AI149&lt;&gt;"",OR(AH149=AI149,AK149&lt;&gt;""))</x:f>
        <x:v>0</x:v>
      </x:c>
      <x:c r="AN149" t="n">
        <x:f>--AND(Y149&lt;&gt;"",COUNTIF($Y$4:Y149,Y149)=1)</x:f>
        <x:v>0</x:v>
      </x:c>
      <x:c r="AO149" t="n">
        <x:f>--AND(AN149=1,Z149=1,AM149=1)</x:f>
        <x:v>0</x:v>
      </x:c>
      <x:c r="AP149" t="n">
        <x:f>--AND(AO149=1,AA149=1,AL149=1)</x:f>
        <x:v>0</x:v>
      </x:c>
      <x:c r="AQ149" t="n">
        <x:f>--AND(AN149=1,Z149=1)</x:f>
        <x:v>0</x:v>
      </x:c>
      <x:c r="AR149" t="n">
        <x:f>--AND(AQ149=1,AA149=1)</x:f>
        <x:v>0</x:v>
      </x:c>
    </x:row>
    <x:row r="150">
      <x:c r="A150" s="28"/>
      <x:c r="B150" s="28"/>
      <x:c r="C150" s="28"/>
      <x:c r="D150" s="28"/>
      <x:c r="E150" s="28"/>
      <x:c r="F150" s="28"/>
      <x:c r="G150" s="28"/>
      <x:c r="H150" s="28"/>
      <x:c r="I150" s="28"/>
      <x:c r="J150" s="28"/>
      <x:c r="K150" s="28"/>
      <x:c r="L150" s="28"/>
      <x:c r="M150" s="28"/>
      <x:c r="N150" s="28"/>
      <x:c r="O150" s="28"/>
      <x:c r="P150" s="28"/>
      <x:c r="Q150" s="28"/>
      <x:c r="R150" s="28"/>
      <x:c r="S150" s="28"/>
      <x:c r="T150" s="28"/>
      <x:c r="U150" s="28"/>
      <x:c r="V150" s="28"/>
      <x:c r="W150" s="28"/>
      <x:c r="X150" s="43" t="n">
        <x:f>--AND(S150=1,T150=1,U150=1,V150=1,W150=1)</x:f>
        <x:v>0</x:v>
      </x:c>
      <x:c r="AE150" s="43" t="n">
        <x:f>--AND(S150=1,M150&lt;&gt;"",M150&lt;&gt;"keep")</x:f>
        <x:v>0</x:v>
      </x:c>
      <x:c r="AG150" t="n">
        <x:f>--AND(S150=1,T150=1,U150=1,V150=1,W150=1,AE150=1)</x:f>
        <x:v>0</x:v>
      </x:c>
      <x:c r="AJ150" t="str">
        <x:f>IF(OR(AH150="",AI150=""),"",--(AH150&lt;&gt;AI150))</x:f>
      </x:c>
      <x:c r="AL150" t="str">
        <x:f>IF(OR(AH150="",AI150=""),"PENDING_HUMAN",IF(AH150=AI150,AH150,IF(AK150&lt;&gt;"",AK150,"PENDING_HUMAN")))</x:f>
        <x:v>PENDING_HUMAN</x:v>
      </x:c>
      <x:c r="AM150" t="n">
        <x:f>--AND(A150&lt;&gt;"",AH150&lt;&gt;"",AI150&lt;&gt;"",OR(AH150=AI150,AK150&lt;&gt;""))</x:f>
        <x:v>0</x:v>
      </x:c>
      <x:c r="AN150" t="n">
        <x:f>--AND(Y150&lt;&gt;"",COUNTIF($Y$4:Y150,Y150)=1)</x:f>
        <x:v>0</x:v>
      </x:c>
      <x:c r="AO150" t="n">
        <x:f>--AND(AN150=1,Z150=1,AM150=1)</x:f>
        <x:v>0</x:v>
      </x:c>
      <x:c r="AP150" t="n">
        <x:f>--AND(AO150=1,AA150=1,AL150=1)</x:f>
        <x:v>0</x:v>
      </x:c>
      <x:c r="AQ150" t="n">
        <x:f>--AND(AN150=1,Z150=1)</x:f>
        <x:v>0</x:v>
      </x:c>
      <x:c r="AR150" t="n">
        <x:f>--AND(AQ150=1,AA150=1)</x:f>
        <x:v>0</x:v>
      </x:c>
    </x:row>
    <x:row r="151">
      <x:c r="A151" s="28"/>
      <x:c r="B151" s="28"/>
      <x:c r="C151" s="28"/>
      <x:c r="D151" s="28"/>
      <x:c r="E151" s="28"/>
      <x:c r="F151" s="28"/>
      <x:c r="G151" s="28"/>
      <x:c r="H151" s="28"/>
      <x:c r="I151" s="28"/>
      <x:c r="J151" s="28"/>
      <x:c r="K151" s="28"/>
      <x:c r="L151" s="28"/>
      <x:c r="M151" s="28"/>
      <x:c r="N151" s="28"/>
      <x:c r="O151" s="28"/>
      <x:c r="P151" s="28"/>
      <x:c r="Q151" s="28"/>
      <x:c r="R151" s="28"/>
      <x:c r="S151" s="28"/>
      <x:c r="T151" s="28"/>
      <x:c r="U151" s="28"/>
      <x:c r="V151" s="28"/>
      <x:c r="W151" s="28"/>
      <x:c r="X151" s="43" t="n">
        <x:f>--AND(S151=1,T151=1,U151=1,V151=1,W151=1)</x:f>
        <x:v>0</x:v>
      </x:c>
      <x:c r="AE151" s="43" t="n">
        <x:f>--AND(S151=1,M151&lt;&gt;"",M151&lt;&gt;"keep")</x:f>
        <x:v>0</x:v>
      </x:c>
      <x:c r="AG151" t="n">
        <x:f>--AND(S151=1,T151=1,U151=1,V151=1,W151=1,AE151=1)</x:f>
        <x:v>0</x:v>
      </x:c>
      <x:c r="AJ151" t="str">
        <x:f>IF(OR(AH151="",AI151=""),"",--(AH151&lt;&gt;AI151))</x:f>
      </x:c>
      <x:c r="AL151" t="str">
        <x:f>IF(OR(AH151="",AI151=""),"PENDING_HUMAN",IF(AH151=AI151,AH151,IF(AK151&lt;&gt;"",AK151,"PENDING_HUMAN")))</x:f>
        <x:v>PENDING_HUMAN</x:v>
      </x:c>
      <x:c r="AM151" t="n">
        <x:f>--AND(A151&lt;&gt;"",AH151&lt;&gt;"",AI151&lt;&gt;"",OR(AH151=AI151,AK151&lt;&gt;""))</x:f>
        <x:v>0</x:v>
      </x:c>
      <x:c r="AN151" t="n">
        <x:f>--AND(Y151&lt;&gt;"",COUNTIF($Y$4:Y151,Y151)=1)</x:f>
        <x:v>0</x:v>
      </x:c>
      <x:c r="AO151" t="n">
        <x:f>--AND(AN151=1,Z151=1,AM151=1)</x:f>
        <x:v>0</x:v>
      </x:c>
      <x:c r="AP151" t="n">
        <x:f>--AND(AO151=1,AA151=1,AL151=1)</x:f>
        <x:v>0</x:v>
      </x:c>
      <x:c r="AQ151" t="n">
        <x:f>--AND(AN151=1,Z151=1)</x:f>
        <x:v>0</x:v>
      </x:c>
      <x:c r="AR151" t="n">
        <x:f>--AND(AQ151=1,AA151=1)</x:f>
        <x:v>0</x:v>
      </x:c>
    </x:row>
    <x:row r="152">
      <x:c r="A152" s="28"/>
      <x:c r="B152" s="28"/>
      <x:c r="C152" s="28"/>
      <x:c r="D152" s="28"/>
      <x:c r="E152" s="28"/>
      <x:c r="F152" s="28"/>
      <x:c r="G152" s="28"/>
      <x:c r="H152" s="28"/>
      <x:c r="I152" s="28"/>
      <x:c r="J152" s="28"/>
      <x:c r="K152" s="28"/>
      <x:c r="L152" s="28"/>
      <x:c r="M152" s="28"/>
      <x:c r="N152" s="28"/>
      <x:c r="O152" s="28"/>
      <x:c r="P152" s="28"/>
      <x:c r="Q152" s="28"/>
      <x:c r="R152" s="28"/>
      <x:c r="S152" s="28"/>
      <x:c r="T152" s="28"/>
      <x:c r="U152" s="28"/>
      <x:c r="V152" s="28"/>
      <x:c r="W152" s="28"/>
      <x:c r="X152" s="43" t="n">
        <x:f>--AND(S152=1,T152=1,U152=1,V152=1,W152=1)</x:f>
        <x:v>0</x:v>
      </x:c>
      <x:c r="AE152" s="43" t="n">
        <x:f>--AND(S152=1,M152&lt;&gt;"",M152&lt;&gt;"keep")</x:f>
        <x:v>0</x:v>
      </x:c>
      <x:c r="AG152" t="n">
        <x:f>--AND(S152=1,T152=1,U152=1,V152=1,W152=1,AE152=1)</x:f>
        <x:v>0</x:v>
      </x:c>
      <x:c r="AJ152" t="str">
        <x:f>IF(OR(AH152="",AI152=""),"",--(AH152&lt;&gt;AI152))</x:f>
      </x:c>
      <x:c r="AL152" t="str">
        <x:f>IF(OR(AH152="",AI152=""),"PENDING_HUMAN",IF(AH152=AI152,AH152,IF(AK152&lt;&gt;"",AK152,"PENDING_HUMAN")))</x:f>
        <x:v>PENDING_HUMAN</x:v>
      </x:c>
      <x:c r="AM152" t="n">
        <x:f>--AND(A152&lt;&gt;"",AH152&lt;&gt;"",AI152&lt;&gt;"",OR(AH152=AI152,AK152&lt;&gt;""))</x:f>
        <x:v>0</x:v>
      </x:c>
      <x:c r="AN152" t="n">
        <x:f>--AND(Y152&lt;&gt;"",COUNTIF($Y$4:Y152,Y152)=1)</x:f>
        <x:v>0</x:v>
      </x:c>
      <x:c r="AO152" t="n">
        <x:f>--AND(AN152=1,Z152=1,AM152=1)</x:f>
        <x:v>0</x:v>
      </x:c>
      <x:c r="AP152" t="n">
        <x:f>--AND(AO152=1,AA152=1,AL152=1)</x:f>
        <x:v>0</x:v>
      </x:c>
      <x:c r="AQ152" t="n">
        <x:f>--AND(AN152=1,Z152=1)</x:f>
        <x:v>0</x:v>
      </x:c>
      <x:c r="AR152" t="n">
        <x:f>--AND(AQ152=1,AA152=1)</x:f>
        <x:v>0</x:v>
      </x:c>
    </x:row>
    <x:row r="153">
      <x:c r="A153" s="28"/>
      <x:c r="B153" s="28"/>
      <x:c r="C153" s="28"/>
      <x:c r="D153" s="28"/>
      <x:c r="E153" s="28"/>
      <x:c r="F153" s="28"/>
      <x:c r="G153" s="28"/>
      <x:c r="H153" s="28"/>
      <x:c r="I153" s="28"/>
      <x:c r="J153" s="28"/>
      <x:c r="K153" s="28"/>
      <x:c r="L153" s="28"/>
      <x:c r="M153" s="28"/>
      <x:c r="N153" s="28"/>
      <x:c r="O153" s="28"/>
      <x:c r="P153" s="28"/>
      <x:c r="Q153" s="28"/>
      <x:c r="R153" s="28"/>
      <x:c r="S153" s="28"/>
      <x:c r="T153" s="28"/>
      <x:c r="U153" s="28"/>
      <x:c r="V153" s="28"/>
      <x:c r="W153" s="28"/>
      <x:c r="X153" s="43" t="n">
        <x:f>--AND(S153=1,T153=1,U153=1,V153=1,W153=1)</x:f>
        <x:v>0</x:v>
      </x:c>
      <x:c r="AE153" s="43" t="n">
        <x:f>--AND(S153=1,M153&lt;&gt;"",M153&lt;&gt;"keep")</x:f>
        <x:v>0</x:v>
      </x:c>
      <x:c r="AG153" t="n">
        <x:f>--AND(S153=1,T153=1,U153=1,V153=1,W153=1,AE153=1)</x:f>
        <x:v>0</x:v>
      </x:c>
      <x:c r="AJ153" t="str">
        <x:f>IF(OR(AH153="",AI153=""),"",--(AH153&lt;&gt;AI153))</x:f>
      </x:c>
      <x:c r="AL153" t="str">
        <x:f>IF(OR(AH153="",AI153=""),"PENDING_HUMAN",IF(AH153=AI153,AH153,IF(AK153&lt;&gt;"",AK153,"PENDING_HUMAN")))</x:f>
        <x:v>PENDING_HUMAN</x:v>
      </x:c>
      <x:c r="AM153" t="n">
        <x:f>--AND(A153&lt;&gt;"",AH153&lt;&gt;"",AI153&lt;&gt;"",OR(AH153=AI153,AK153&lt;&gt;""))</x:f>
        <x:v>0</x:v>
      </x:c>
      <x:c r="AN153" t="n">
        <x:f>--AND(Y153&lt;&gt;"",COUNTIF($Y$4:Y153,Y153)=1)</x:f>
        <x:v>0</x:v>
      </x:c>
      <x:c r="AO153" t="n">
        <x:f>--AND(AN153=1,Z153=1,AM153=1)</x:f>
        <x:v>0</x:v>
      </x:c>
      <x:c r="AP153" t="n">
        <x:f>--AND(AO153=1,AA153=1,AL153=1)</x:f>
        <x:v>0</x:v>
      </x:c>
      <x:c r="AQ153" t="n">
        <x:f>--AND(AN153=1,Z153=1)</x:f>
        <x:v>0</x:v>
      </x:c>
      <x:c r="AR153" t="n">
        <x:f>--AND(AQ153=1,AA153=1)</x:f>
        <x:v>0</x:v>
      </x:c>
    </x:row>
    <x:row r="154">
      <x:c r="A154" s="28"/>
      <x:c r="B154" s="28"/>
      <x:c r="C154" s="28"/>
      <x:c r="D154" s="28"/>
      <x:c r="E154" s="28"/>
      <x:c r="F154" s="28"/>
      <x:c r="G154" s="28"/>
      <x:c r="H154" s="28"/>
      <x:c r="I154" s="28"/>
      <x:c r="J154" s="28"/>
      <x:c r="K154" s="28"/>
      <x:c r="L154" s="28"/>
      <x:c r="M154" s="28"/>
      <x:c r="N154" s="28"/>
      <x:c r="O154" s="28"/>
      <x:c r="P154" s="28"/>
      <x:c r="Q154" s="28"/>
      <x:c r="R154" s="28"/>
      <x:c r="S154" s="28"/>
      <x:c r="T154" s="28"/>
      <x:c r="U154" s="28"/>
      <x:c r="V154" s="28"/>
      <x:c r="W154" s="28"/>
      <x:c r="X154" s="43" t="n">
        <x:f>--AND(S154=1,T154=1,U154=1,V154=1,W154=1)</x:f>
        <x:v>0</x:v>
      </x:c>
      <x:c r="AE154" s="43" t="n">
        <x:f>--AND(S154=1,M154&lt;&gt;"",M154&lt;&gt;"keep")</x:f>
        <x:v>0</x:v>
      </x:c>
      <x:c r="AG154" t="n">
        <x:f>--AND(S154=1,T154=1,U154=1,V154=1,W154=1,AE154=1)</x:f>
        <x:v>0</x:v>
      </x:c>
      <x:c r="AJ154" t="str">
        <x:f>IF(OR(AH154="",AI154=""),"",--(AH154&lt;&gt;AI154))</x:f>
      </x:c>
      <x:c r="AL154" t="str">
        <x:f>IF(OR(AH154="",AI154=""),"PENDING_HUMAN",IF(AH154=AI154,AH154,IF(AK154&lt;&gt;"",AK154,"PENDING_HUMAN")))</x:f>
        <x:v>PENDING_HUMAN</x:v>
      </x:c>
      <x:c r="AM154" t="n">
        <x:f>--AND(A154&lt;&gt;"",AH154&lt;&gt;"",AI154&lt;&gt;"",OR(AH154=AI154,AK154&lt;&gt;""))</x:f>
        <x:v>0</x:v>
      </x:c>
      <x:c r="AN154" t="n">
        <x:f>--AND(Y154&lt;&gt;"",COUNTIF($Y$4:Y154,Y154)=1)</x:f>
        <x:v>0</x:v>
      </x:c>
      <x:c r="AO154" t="n">
        <x:f>--AND(AN154=1,Z154=1,AM154=1)</x:f>
        <x:v>0</x:v>
      </x:c>
      <x:c r="AP154" t="n">
        <x:f>--AND(AO154=1,AA154=1,AL154=1)</x:f>
        <x:v>0</x:v>
      </x:c>
      <x:c r="AQ154" t="n">
        <x:f>--AND(AN154=1,Z154=1)</x:f>
        <x:v>0</x:v>
      </x:c>
      <x:c r="AR154" t="n">
        <x:f>--AND(AQ154=1,AA154=1)</x:f>
        <x:v>0</x:v>
      </x:c>
    </x:row>
    <x:row r="155">
      <x:c r="A155" s="28"/>
      <x:c r="B155" s="28"/>
      <x:c r="C155" s="28"/>
      <x:c r="D155" s="28"/>
      <x:c r="E155" s="28"/>
      <x:c r="F155" s="28"/>
      <x:c r="G155" s="28"/>
      <x:c r="H155" s="28"/>
      <x:c r="I155" s="28"/>
      <x:c r="J155" s="28"/>
      <x:c r="K155" s="28"/>
      <x:c r="L155" s="28"/>
      <x:c r="M155" s="28"/>
      <x:c r="N155" s="28"/>
      <x:c r="O155" s="28"/>
      <x:c r="P155" s="28"/>
      <x:c r="Q155" s="28"/>
      <x:c r="R155" s="28"/>
      <x:c r="S155" s="28"/>
      <x:c r="T155" s="28"/>
      <x:c r="U155" s="28"/>
      <x:c r="V155" s="28"/>
      <x:c r="W155" s="28"/>
      <x:c r="X155" s="43" t="n">
        <x:f>--AND(S155=1,T155=1,U155=1,V155=1,W155=1)</x:f>
        <x:v>0</x:v>
      </x:c>
      <x:c r="AE155" s="43" t="n">
        <x:f>--AND(S155=1,M155&lt;&gt;"",M155&lt;&gt;"keep")</x:f>
        <x:v>0</x:v>
      </x:c>
      <x:c r="AG155" t="n">
        <x:f>--AND(S155=1,T155=1,U155=1,V155=1,W155=1,AE155=1)</x:f>
        <x:v>0</x:v>
      </x:c>
      <x:c r="AJ155" t="str">
        <x:f>IF(OR(AH155="",AI155=""),"",--(AH155&lt;&gt;AI155))</x:f>
      </x:c>
      <x:c r="AL155" t="str">
        <x:f>IF(OR(AH155="",AI155=""),"PENDING_HUMAN",IF(AH155=AI155,AH155,IF(AK155&lt;&gt;"",AK155,"PENDING_HUMAN")))</x:f>
        <x:v>PENDING_HUMAN</x:v>
      </x:c>
      <x:c r="AM155" t="n">
        <x:f>--AND(A155&lt;&gt;"",AH155&lt;&gt;"",AI155&lt;&gt;"",OR(AH155=AI155,AK155&lt;&gt;""))</x:f>
        <x:v>0</x:v>
      </x:c>
      <x:c r="AN155" t="n">
        <x:f>--AND(Y155&lt;&gt;"",COUNTIF($Y$4:Y155,Y155)=1)</x:f>
        <x:v>0</x:v>
      </x:c>
      <x:c r="AO155" t="n">
        <x:f>--AND(AN155=1,Z155=1,AM155=1)</x:f>
        <x:v>0</x:v>
      </x:c>
      <x:c r="AP155" t="n">
        <x:f>--AND(AO155=1,AA155=1,AL155=1)</x:f>
        <x:v>0</x:v>
      </x:c>
      <x:c r="AQ155" t="n">
        <x:f>--AND(AN155=1,Z155=1)</x:f>
        <x:v>0</x:v>
      </x:c>
      <x:c r="AR155" t="n">
        <x:f>--AND(AQ155=1,AA155=1)</x:f>
        <x:v>0</x:v>
      </x:c>
    </x:row>
    <x:row r="156">
      <x:c r="A156" s="28"/>
      <x:c r="B156" s="28"/>
      <x:c r="C156" s="28"/>
      <x:c r="D156" s="28"/>
      <x:c r="E156" s="28"/>
      <x:c r="F156" s="28"/>
      <x:c r="G156" s="28"/>
      <x:c r="H156" s="28"/>
      <x:c r="I156" s="28"/>
      <x:c r="J156" s="28"/>
      <x:c r="K156" s="28"/>
      <x:c r="L156" s="28"/>
      <x:c r="M156" s="28"/>
      <x:c r="N156" s="28"/>
      <x:c r="O156" s="28"/>
      <x:c r="P156" s="28"/>
      <x:c r="Q156" s="28"/>
      <x:c r="R156" s="28"/>
      <x:c r="S156" s="28"/>
      <x:c r="T156" s="28"/>
      <x:c r="U156" s="28"/>
      <x:c r="V156" s="28"/>
      <x:c r="W156" s="28"/>
      <x:c r="X156" s="43" t="n">
        <x:f>--AND(S156=1,T156=1,U156=1,V156=1,W156=1)</x:f>
        <x:v>0</x:v>
      </x:c>
      <x:c r="AE156" s="43" t="n">
        <x:f>--AND(S156=1,M156&lt;&gt;"",M156&lt;&gt;"keep")</x:f>
        <x:v>0</x:v>
      </x:c>
      <x:c r="AG156" t="n">
        <x:f>--AND(S156=1,T156=1,U156=1,V156=1,W156=1,AE156=1)</x:f>
        <x:v>0</x:v>
      </x:c>
      <x:c r="AJ156" t="str">
        <x:f>IF(OR(AH156="",AI156=""),"",--(AH156&lt;&gt;AI156))</x:f>
      </x:c>
      <x:c r="AL156" t="str">
        <x:f>IF(OR(AH156="",AI156=""),"PENDING_HUMAN",IF(AH156=AI156,AH156,IF(AK156&lt;&gt;"",AK156,"PENDING_HUMAN")))</x:f>
        <x:v>PENDING_HUMAN</x:v>
      </x:c>
      <x:c r="AM156" t="n">
        <x:f>--AND(A156&lt;&gt;"",AH156&lt;&gt;"",AI156&lt;&gt;"",OR(AH156=AI156,AK156&lt;&gt;""))</x:f>
        <x:v>0</x:v>
      </x:c>
      <x:c r="AN156" t="n">
        <x:f>--AND(Y156&lt;&gt;"",COUNTIF($Y$4:Y156,Y156)=1)</x:f>
        <x:v>0</x:v>
      </x:c>
      <x:c r="AO156" t="n">
        <x:f>--AND(AN156=1,Z156=1,AM156=1)</x:f>
        <x:v>0</x:v>
      </x:c>
      <x:c r="AP156" t="n">
        <x:f>--AND(AO156=1,AA156=1,AL156=1)</x:f>
        <x:v>0</x:v>
      </x:c>
      <x:c r="AQ156" t="n">
        <x:f>--AND(AN156=1,Z156=1)</x:f>
        <x:v>0</x:v>
      </x:c>
      <x:c r="AR156" t="n">
        <x:f>--AND(AQ156=1,AA156=1)</x:f>
        <x:v>0</x:v>
      </x:c>
    </x:row>
    <x:row r="157">
      <x:c r="A157" s="28"/>
      <x:c r="B157" s="28"/>
      <x:c r="C157" s="28"/>
      <x:c r="D157" s="28"/>
      <x:c r="E157" s="28"/>
      <x:c r="F157" s="28"/>
      <x:c r="G157" s="28"/>
      <x:c r="H157" s="28"/>
      <x:c r="I157" s="28"/>
      <x:c r="J157" s="28"/>
      <x:c r="K157" s="28"/>
      <x:c r="L157" s="28"/>
      <x:c r="M157" s="28"/>
      <x:c r="N157" s="28"/>
      <x:c r="O157" s="28"/>
      <x:c r="P157" s="28"/>
      <x:c r="Q157" s="28"/>
      <x:c r="R157" s="28"/>
      <x:c r="S157" s="28"/>
      <x:c r="T157" s="28"/>
      <x:c r="U157" s="28"/>
      <x:c r="V157" s="28"/>
      <x:c r="W157" s="28"/>
      <x:c r="X157" s="43" t="n">
        <x:f>--AND(S157=1,T157=1,U157=1,V157=1,W157=1)</x:f>
        <x:v>0</x:v>
      </x:c>
      <x:c r="AE157" s="43" t="n">
        <x:f>--AND(S157=1,M157&lt;&gt;"",M157&lt;&gt;"keep")</x:f>
        <x:v>0</x:v>
      </x:c>
      <x:c r="AG157" t="n">
        <x:f>--AND(S157=1,T157=1,U157=1,V157=1,W157=1,AE157=1)</x:f>
        <x:v>0</x:v>
      </x:c>
      <x:c r="AJ157" t="str">
        <x:f>IF(OR(AH157="",AI157=""),"",--(AH157&lt;&gt;AI157))</x:f>
      </x:c>
      <x:c r="AL157" t="str">
        <x:f>IF(OR(AH157="",AI157=""),"PENDING_HUMAN",IF(AH157=AI157,AH157,IF(AK157&lt;&gt;"",AK157,"PENDING_HUMAN")))</x:f>
        <x:v>PENDING_HUMAN</x:v>
      </x:c>
      <x:c r="AM157" t="n">
        <x:f>--AND(A157&lt;&gt;"",AH157&lt;&gt;"",AI157&lt;&gt;"",OR(AH157=AI157,AK157&lt;&gt;""))</x:f>
        <x:v>0</x:v>
      </x:c>
      <x:c r="AN157" t="n">
        <x:f>--AND(Y157&lt;&gt;"",COUNTIF($Y$4:Y157,Y157)=1)</x:f>
        <x:v>0</x:v>
      </x:c>
      <x:c r="AO157" t="n">
        <x:f>--AND(AN157=1,Z157=1,AM157=1)</x:f>
        <x:v>0</x:v>
      </x:c>
      <x:c r="AP157" t="n">
        <x:f>--AND(AO157=1,AA157=1,AL157=1)</x:f>
        <x:v>0</x:v>
      </x:c>
      <x:c r="AQ157" t="n">
        <x:f>--AND(AN157=1,Z157=1)</x:f>
        <x:v>0</x:v>
      </x:c>
      <x:c r="AR157" t="n">
        <x:f>--AND(AQ157=1,AA157=1)</x:f>
        <x:v>0</x:v>
      </x:c>
    </x:row>
    <x:row r="158">
      <x:c r="A158" s="28"/>
      <x:c r="B158" s="28"/>
      <x:c r="C158" s="28"/>
      <x:c r="D158" s="28"/>
      <x:c r="E158" s="28"/>
      <x:c r="F158" s="28"/>
      <x:c r="G158" s="28"/>
      <x:c r="H158" s="28"/>
      <x:c r="I158" s="28"/>
      <x:c r="J158" s="28"/>
      <x:c r="K158" s="28"/>
      <x:c r="L158" s="28"/>
      <x:c r="M158" s="28"/>
      <x:c r="N158" s="28"/>
      <x:c r="O158" s="28"/>
      <x:c r="P158" s="28"/>
      <x:c r="Q158" s="28"/>
      <x:c r="R158" s="28"/>
      <x:c r="S158" s="28"/>
      <x:c r="T158" s="28"/>
      <x:c r="U158" s="28"/>
      <x:c r="V158" s="28"/>
      <x:c r="W158" s="28"/>
      <x:c r="X158" s="43" t="n">
        <x:f>--AND(S158=1,T158=1,U158=1,V158=1,W158=1)</x:f>
        <x:v>0</x:v>
      </x:c>
      <x:c r="AE158" s="43" t="n">
        <x:f>--AND(S158=1,M158&lt;&gt;"",M158&lt;&gt;"keep")</x:f>
        <x:v>0</x:v>
      </x:c>
      <x:c r="AG158" t="n">
        <x:f>--AND(S158=1,T158=1,U158=1,V158=1,W158=1,AE158=1)</x:f>
        <x:v>0</x:v>
      </x:c>
      <x:c r="AJ158" t="str">
        <x:f>IF(OR(AH158="",AI158=""),"",--(AH158&lt;&gt;AI158))</x:f>
      </x:c>
      <x:c r="AL158" t="str">
        <x:f>IF(OR(AH158="",AI158=""),"PENDING_HUMAN",IF(AH158=AI158,AH158,IF(AK158&lt;&gt;"",AK158,"PENDING_HUMAN")))</x:f>
        <x:v>PENDING_HUMAN</x:v>
      </x:c>
      <x:c r="AM158" t="n">
        <x:f>--AND(A158&lt;&gt;"",AH158&lt;&gt;"",AI158&lt;&gt;"",OR(AH158=AI158,AK158&lt;&gt;""))</x:f>
        <x:v>0</x:v>
      </x:c>
      <x:c r="AN158" t="n">
        <x:f>--AND(Y158&lt;&gt;"",COUNTIF($Y$4:Y158,Y158)=1)</x:f>
        <x:v>0</x:v>
      </x:c>
      <x:c r="AO158" t="n">
        <x:f>--AND(AN158=1,Z158=1,AM158=1)</x:f>
        <x:v>0</x:v>
      </x:c>
      <x:c r="AP158" t="n">
        <x:f>--AND(AO158=1,AA158=1,AL158=1)</x:f>
        <x:v>0</x:v>
      </x:c>
      <x:c r="AQ158" t="n">
        <x:f>--AND(AN158=1,Z158=1)</x:f>
        <x:v>0</x:v>
      </x:c>
      <x:c r="AR158" t="n">
        <x:f>--AND(AQ158=1,AA158=1)</x:f>
        <x:v>0</x:v>
      </x:c>
    </x:row>
    <x:row r="159">
      <x:c r="A159" s="28"/>
      <x:c r="B159" s="28"/>
      <x:c r="C159" s="28"/>
      <x:c r="D159" s="28"/>
      <x:c r="E159" s="28"/>
      <x:c r="F159" s="28"/>
      <x:c r="G159" s="28"/>
      <x:c r="H159" s="28"/>
      <x:c r="I159" s="28"/>
      <x:c r="J159" s="28"/>
      <x:c r="K159" s="28"/>
      <x:c r="L159" s="28"/>
      <x:c r="M159" s="28"/>
      <x:c r="N159" s="28"/>
      <x:c r="O159" s="28"/>
      <x:c r="P159" s="28"/>
      <x:c r="Q159" s="28"/>
      <x:c r="R159" s="28"/>
      <x:c r="S159" s="28"/>
      <x:c r="T159" s="28"/>
      <x:c r="U159" s="28"/>
      <x:c r="V159" s="28"/>
      <x:c r="W159" s="28"/>
      <x:c r="X159" s="43" t="n">
        <x:f>--AND(S159=1,T159=1,U159=1,V159=1,W159=1)</x:f>
        <x:v>0</x:v>
      </x:c>
      <x:c r="AE159" s="43" t="n">
        <x:f>--AND(S159=1,M159&lt;&gt;"",M159&lt;&gt;"keep")</x:f>
        <x:v>0</x:v>
      </x:c>
      <x:c r="AG159" t="n">
        <x:f>--AND(S159=1,T159=1,U159=1,V159=1,W159=1,AE159=1)</x:f>
        <x:v>0</x:v>
      </x:c>
      <x:c r="AJ159" t="str">
        <x:f>IF(OR(AH159="",AI159=""),"",--(AH159&lt;&gt;AI159))</x:f>
      </x:c>
      <x:c r="AL159" t="str">
        <x:f>IF(OR(AH159="",AI159=""),"PENDING_HUMAN",IF(AH159=AI159,AH159,IF(AK159&lt;&gt;"",AK159,"PENDING_HUMAN")))</x:f>
        <x:v>PENDING_HUMAN</x:v>
      </x:c>
      <x:c r="AM159" t="n">
        <x:f>--AND(A159&lt;&gt;"",AH159&lt;&gt;"",AI159&lt;&gt;"",OR(AH159=AI159,AK159&lt;&gt;""))</x:f>
        <x:v>0</x:v>
      </x:c>
      <x:c r="AN159" t="n">
        <x:f>--AND(Y159&lt;&gt;"",COUNTIF($Y$4:Y159,Y159)=1)</x:f>
        <x:v>0</x:v>
      </x:c>
      <x:c r="AO159" t="n">
        <x:f>--AND(AN159=1,Z159=1,AM159=1)</x:f>
        <x:v>0</x:v>
      </x:c>
      <x:c r="AP159" t="n">
        <x:f>--AND(AO159=1,AA159=1,AL159=1)</x:f>
        <x:v>0</x:v>
      </x:c>
      <x:c r="AQ159" t="n">
        <x:f>--AND(AN159=1,Z159=1)</x:f>
        <x:v>0</x:v>
      </x:c>
      <x:c r="AR159" t="n">
        <x:f>--AND(AQ159=1,AA159=1)</x:f>
        <x:v>0</x:v>
      </x:c>
    </x:row>
    <x:row r="160">
      <x:c r="A160" s="28"/>
      <x:c r="B160" s="28"/>
      <x:c r="C160" s="28"/>
      <x:c r="D160" s="28"/>
      <x:c r="E160" s="28"/>
      <x:c r="F160" s="28"/>
      <x:c r="G160" s="28"/>
      <x:c r="H160" s="28"/>
      <x:c r="I160" s="28"/>
      <x:c r="J160" s="28"/>
      <x:c r="K160" s="28"/>
      <x:c r="L160" s="28"/>
      <x:c r="M160" s="28"/>
      <x:c r="N160" s="28"/>
      <x:c r="O160" s="28"/>
      <x:c r="P160" s="28"/>
      <x:c r="Q160" s="28"/>
      <x:c r="R160" s="28"/>
      <x:c r="S160" s="28"/>
      <x:c r="T160" s="28"/>
      <x:c r="U160" s="28"/>
      <x:c r="V160" s="28"/>
      <x:c r="W160" s="28"/>
      <x:c r="X160" s="43" t="n">
        <x:f>--AND(S160=1,T160=1,U160=1,V160=1,W160=1)</x:f>
        <x:v>0</x:v>
      </x:c>
      <x:c r="AE160" s="43" t="n">
        <x:f>--AND(S160=1,M160&lt;&gt;"",M160&lt;&gt;"keep")</x:f>
        <x:v>0</x:v>
      </x:c>
      <x:c r="AG160" t="n">
        <x:f>--AND(S160=1,T160=1,U160=1,V160=1,W160=1,AE160=1)</x:f>
        <x:v>0</x:v>
      </x:c>
      <x:c r="AJ160" t="str">
        <x:f>IF(OR(AH160="",AI160=""),"",--(AH160&lt;&gt;AI160))</x:f>
      </x:c>
      <x:c r="AL160" t="str">
        <x:f>IF(OR(AH160="",AI160=""),"PENDING_HUMAN",IF(AH160=AI160,AH160,IF(AK160&lt;&gt;"",AK160,"PENDING_HUMAN")))</x:f>
        <x:v>PENDING_HUMAN</x:v>
      </x:c>
      <x:c r="AM160" t="n">
        <x:f>--AND(A160&lt;&gt;"",AH160&lt;&gt;"",AI160&lt;&gt;"",OR(AH160=AI160,AK160&lt;&gt;""))</x:f>
        <x:v>0</x:v>
      </x:c>
      <x:c r="AN160" t="n">
        <x:f>--AND(Y160&lt;&gt;"",COUNTIF($Y$4:Y160,Y160)=1)</x:f>
        <x:v>0</x:v>
      </x:c>
      <x:c r="AO160" t="n">
        <x:f>--AND(AN160=1,Z160=1,AM160=1)</x:f>
        <x:v>0</x:v>
      </x:c>
      <x:c r="AP160" t="n">
        <x:f>--AND(AO160=1,AA160=1,AL160=1)</x:f>
        <x:v>0</x:v>
      </x:c>
      <x:c r="AQ160" t="n">
        <x:f>--AND(AN160=1,Z160=1)</x:f>
        <x:v>0</x:v>
      </x:c>
      <x:c r="AR160" t="n">
        <x:f>--AND(AQ160=1,AA160=1)</x:f>
        <x:v>0</x:v>
      </x:c>
    </x:row>
    <x:row r="161">
      <x:c r="A161" s="28"/>
      <x:c r="B161" s="28"/>
      <x:c r="C161" s="28"/>
      <x:c r="D161" s="28"/>
      <x:c r="E161" s="28"/>
      <x:c r="F161" s="28"/>
      <x:c r="G161" s="28"/>
      <x:c r="H161" s="28"/>
      <x:c r="I161" s="28"/>
      <x:c r="J161" s="28"/>
      <x:c r="K161" s="28"/>
      <x:c r="L161" s="28"/>
      <x:c r="M161" s="28"/>
      <x:c r="N161" s="28"/>
      <x:c r="O161" s="28"/>
      <x:c r="P161" s="28"/>
      <x:c r="Q161" s="28"/>
      <x:c r="R161" s="28"/>
      <x:c r="S161" s="28"/>
      <x:c r="T161" s="28"/>
      <x:c r="U161" s="28"/>
      <x:c r="V161" s="28"/>
      <x:c r="W161" s="28"/>
      <x:c r="X161" s="43" t="n">
        <x:f>--AND(S161=1,T161=1,U161=1,V161=1,W161=1)</x:f>
        <x:v>0</x:v>
      </x:c>
      <x:c r="AE161" s="43" t="n">
        <x:f>--AND(S161=1,M161&lt;&gt;"",M161&lt;&gt;"keep")</x:f>
        <x:v>0</x:v>
      </x:c>
      <x:c r="AG161" t="n">
        <x:f>--AND(S161=1,T161=1,U161=1,V161=1,W161=1,AE161=1)</x:f>
        <x:v>0</x:v>
      </x:c>
      <x:c r="AJ161" t="str">
        <x:f>IF(OR(AH161="",AI161=""),"",--(AH161&lt;&gt;AI161))</x:f>
      </x:c>
      <x:c r="AL161" t="str">
        <x:f>IF(OR(AH161="",AI161=""),"PENDING_HUMAN",IF(AH161=AI161,AH161,IF(AK161&lt;&gt;"",AK161,"PENDING_HUMAN")))</x:f>
        <x:v>PENDING_HUMAN</x:v>
      </x:c>
      <x:c r="AM161" t="n">
        <x:f>--AND(A161&lt;&gt;"",AH161&lt;&gt;"",AI161&lt;&gt;"",OR(AH161=AI161,AK161&lt;&gt;""))</x:f>
        <x:v>0</x:v>
      </x:c>
      <x:c r="AN161" t="n">
        <x:f>--AND(Y161&lt;&gt;"",COUNTIF($Y$4:Y161,Y161)=1)</x:f>
        <x:v>0</x:v>
      </x:c>
      <x:c r="AO161" t="n">
        <x:f>--AND(AN161=1,Z161=1,AM161=1)</x:f>
        <x:v>0</x:v>
      </x:c>
      <x:c r="AP161" t="n">
        <x:f>--AND(AO161=1,AA161=1,AL161=1)</x:f>
        <x:v>0</x:v>
      </x:c>
      <x:c r="AQ161" t="n">
        <x:f>--AND(AN161=1,Z161=1)</x:f>
        <x:v>0</x:v>
      </x:c>
      <x:c r="AR161" t="n">
        <x:f>--AND(AQ161=1,AA161=1)</x:f>
        <x:v>0</x:v>
      </x:c>
    </x:row>
    <x:row r="162">
      <x:c r="A162" s="28"/>
      <x:c r="B162" s="28"/>
      <x:c r="C162" s="28"/>
      <x:c r="D162" s="28"/>
      <x:c r="E162" s="28"/>
      <x:c r="F162" s="28"/>
      <x:c r="G162" s="28"/>
      <x:c r="H162" s="28"/>
      <x:c r="I162" s="28"/>
      <x:c r="J162" s="28"/>
      <x:c r="K162" s="28"/>
      <x:c r="L162" s="28"/>
      <x:c r="M162" s="28"/>
      <x:c r="N162" s="28"/>
      <x:c r="O162" s="28"/>
      <x:c r="P162" s="28"/>
      <x:c r="Q162" s="28"/>
      <x:c r="R162" s="28"/>
      <x:c r="S162" s="28"/>
      <x:c r="T162" s="28"/>
      <x:c r="U162" s="28"/>
      <x:c r="V162" s="28"/>
      <x:c r="W162" s="28"/>
      <x:c r="X162" s="43" t="n">
        <x:f>--AND(S162=1,T162=1,U162=1,V162=1,W162=1)</x:f>
        <x:v>0</x:v>
      </x:c>
      <x:c r="AE162" s="43" t="n">
        <x:f>--AND(S162=1,M162&lt;&gt;"",M162&lt;&gt;"keep")</x:f>
        <x:v>0</x:v>
      </x:c>
      <x:c r="AG162" t="n">
        <x:f>--AND(S162=1,T162=1,U162=1,V162=1,W162=1,AE162=1)</x:f>
        <x:v>0</x:v>
      </x:c>
      <x:c r="AJ162" t="str">
        <x:f>IF(OR(AH162="",AI162=""),"",--(AH162&lt;&gt;AI162))</x:f>
      </x:c>
      <x:c r="AL162" t="str">
        <x:f>IF(OR(AH162="",AI162=""),"PENDING_HUMAN",IF(AH162=AI162,AH162,IF(AK162&lt;&gt;"",AK162,"PENDING_HUMAN")))</x:f>
        <x:v>PENDING_HUMAN</x:v>
      </x:c>
      <x:c r="AM162" t="n">
        <x:f>--AND(A162&lt;&gt;"",AH162&lt;&gt;"",AI162&lt;&gt;"",OR(AH162=AI162,AK162&lt;&gt;""))</x:f>
        <x:v>0</x:v>
      </x:c>
      <x:c r="AN162" t="n">
        <x:f>--AND(Y162&lt;&gt;"",COUNTIF($Y$4:Y162,Y162)=1)</x:f>
        <x:v>0</x:v>
      </x:c>
      <x:c r="AO162" t="n">
        <x:f>--AND(AN162=1,Z162=1,AM162=1)</x:f>
        <x:v>0</x:v>
      </x:c>
      <x:c r="AP162" t="n">
        <x:f>--AND(AO162=1,AA162=1,AL162=1)</x:f>
        <x:v>0</x:v>
      </x:c>
      <x:c r="AQ162" t="n">
        <x:f>--AND(AN162=1,Z162=1)</x:f>
        <x:v>0</x:v>
      </x:c>
      <x:c r="AR162" t="n">
        <x:f>--AND(AQ162=1,AA162=1)</x:f>
        <x:v>0</x:v>
      </x:c>
    </x:row>
    <x:row r="163">
      <x:c r="A163" s="28"/>
      <x:c r="B163" s="28"/>
      <x:c r="C163" s="28"/>
      <x:c r="D163" s="28"/>
      <x:c r="E163" s="28"/>
      <x:c r="F163" s="28"/>
      <x:c r="G163" s="28"/>
      <x:c r="H163" s="28"/>
      <x:c r="I163" s="28"/>
      <x:c r="J163" s="28"/>
      <x:c r="K163" s="28"/>
      <x:c r="L163" s="28"/>
      <x:c r="M163" s="28"/>
      <x:c r="N163" s="28"/>
      <x:c r="O163" s="28"/>
      <x:c r="P163" s="28"/>
      <x:c r="Q163" s="28"/>
      <x:c r="R163" s="28"/>
      <x:c r="S163" s="28"/>
      <x:c r="T163" s="28"/>
      <x:c r="U163" s="28"/>
      <x:c r="V163" s="28"/>
      <x:c r="W163" s="28"/>
      <x:c r="X163" s="43" t="n">
        <x:f>--AND(S163=1,T163=1,U163=1,V163=1,W163=1)</x:f>
        <x:v>0</x:v>
      </x:c>
      <x:c r="AE163" s="43" t="n">
        <x:f>--AND(S163=1,M163&lt;&gt;"",M163&lt;&gt;"keep")</x:f>
        <x:v>0</x:v>
      </x:c>
      <x:c r="AG163" t="n">
        <x:f>--AND(S163=1,T163=1,U163=1,V163=1,W163=1,AE163=1)</x:f>
        <x:v>0</x:v>
      </x:c>
      <x:c r="AJ163" t="str">
        <x:f>IF(OR(AH163="",AI163=""),"",--(AH163&lt;&gt;AI163))</x:f>
      </x:c>
      <x:c r="AL163" t="str">
        <x:f>IF(OR(AH163="",AI163=""),"PENDING_HUMAN",IF(AH163=AI163,AH163,IF(AK163&lt;&gt;"",AK163,"PENDING_HUMAN")))</x:f>
        <x:v>PENDING_HUMAN</x:v>
      </x:c>
      <x:c r="AM163" t="n">
        <x:f>--AND(A163&lt;&gt;"",AH163&lt;&gt;"",AI163&lt;&gt;"",OR(AH163=AI163,AK163&lt;&gt;""))</x:f>
        <x:v>0</x:v>
      </x:c>
      <x:c r="AN163" t="n">
        <x:f>--AND(Y163&lt;&gt;"",COUNTIF($Y$4:Y163,Y163)=1)</x:f>
        <x:v>0</x:v>
      </x:c>
      <x:c r="AO163" t="n">
        <x:f>--AND(AN163=1,Z163=1,AM163=1)</x:f>
        <x:v>0</x:v>
      </x:c>
      <x:c r="AP163" t="n">
        <x:f>--AND(AO163=1,AA163=1,AL163=1)</x:f>
        <x:v>0</x:v>
      </x:c>
      <x:c r="AQ163" t="n">
        <x:f>--AND(AN163=1,Z163=1)</x:f>
        <x:v>0</x:v>
      </x:c>
      <x:c r="AR163" t="n">
        <x:f>--AND(AQ163=1,AA163=1)</x:f>
        <x:v>0</x:v>
      </x:c>
    </x:row>
    <x:row r="164">
      <x:c r="A164" s="28"/>
      <x:c r="B164" s="28"/>
      <x:c r="C164" s="28"/>
      <x:c r="D164" s="28"/>
      <x:c r="E164" s="28"/>
      <x:c r="F164" s="28"/>
      <x:c r="G164" s="28"/>
      <x:c r="H164" s="28"/>
      <x:c r="I164" s="28"/>
      <x:c r="J164" s="28"/>
      <x:c r="K164" s="28"/>
      <x:c r="L164" s="28"/>
      <x:c r="M164" s="28"/>
      <x:c r="N164" s="28"/>
      <x:c r="O164" s="28"/>
      <x:c r="P164" s="28"/>
      <x:c r="Q164" s="28"/>
      <x:c r="R164" s="28"/>
      <x:c r="S164" s="28"/>
      <x:c r="T164" s="28"/>
      <x:c r="U164" s="28"/>
      <x:c r="V164" s="28"/>
      <x:c r="W164" s="28"/>
      <x:c r="X164" s="43" t="n">
        <x:f>--AND(S164=1,T164=1,U164=1,V164=1,W164=1)</x:f>
        <x:v>0</x:v>
      </x:c>
      <x:c r="AE164" s="43" t="n">
        <x:f>--AND(S164=1,M164&lt;&gt;"",M164&lt;&gt;"keep")</x:f>
        <x:v>0</x:v>
      </x:c>
      <x:c r="AG164" t="n">
        <x:f>--AND(S164=1,T164=1,U164=1,V164=1,W164=1,AE164=1)</x:f>
        <x:v>0</x:v>
      </x:c>
      <x:c r="AJ164" t="str">
        <x:f>IF(OR(AH164="",AI164=""),"",--(AH164&lt;&gt;AI164))</x:f>
      </x:c>
      <x:c r="AL164" t="str">
        <x:f>IF(OR(AH164="",AI164=""),"PENDING_HUMAN",IF(AH164=AI164,AH164,IF(AK164&lt;&gt;"",AK164,"PENDING_HUMAN")))</x:f>
        <x:v>PENDING_HUMAN</x:v>
      </x:c>
      <x:c r="AM164" t="n">
        <x:f>--AND(A164&lt;&gt;"",AH164&lt;&gt;"",AI164&lt;&gt;"",OR(AH164=AI164,AK164&lt;&gt;""))</x:f>
        <x:v>0</x:v>
      </x:c>
      <x:c r="AN164" t="n">
        <x:f>--AND(Y164&lt;&gt;"",COUNTIF($Y$4:Y164,Y164)=1)</x:f>
        <x:v>0</x:v>
      </x:c>
      <x:c r="AO164" t="n">
        <x:f>--AND(AN164=1,Z164=1,AM164=1)</x:f>
        <x:v>0</x:v>
      </x:c>
      <x:c r="AP164" t="n">
        <x:f>--AND(AO164=1,AA164=1,AL164=1)</x:f>
        <x:v>0</x:v>
      </x:c>
      <x:c r="AQ164" t="n">
        <x:f>--AND(AN164=1,Z164=1)</x:f>
        <x:v>0</x:v>
      </x:c>
      <x:c r="AR164" t="n">
        <x:f>--AND(AQ164=1,AA164=1)</x:f>
        <x:v>0</x:v>
      </x:c>
    </x:row>
    <x:row r="165">
      <x:c r="A165" s="28"/>
      <x:c r="B165" s="28"/>
      <x:c r="C165" s="28"/>
      <x:c r="D165" s="28"/>
      <x:c r="E165" s="28"/>
      <x:c r="F165" s="28"/>
      <x:c r="G165" s="28"/>
      <x:c r="H165" s="28"/>
      <x:c r="I165" s="28"/>
      <x:c r="J165" s="28"/>
      <x:c r="K165" s="28"/>
      <x:c r="L165" s="28"/>
      <x:c r="M165" s="28"/>
      <x:c r="N165" s="28"/>
      <x:c r="O165" s="28"/>
      <x:c r="P165" s="28"/>
      <x:c r="Q165" s="28"/>
      <x:c r="R165" s="28"/>
      <x:c r="S165" s="28"/>
      <x:c r="T165" s="28"/>
      <x:c r="U165" s="28"/>
      <x:c r="V165" s="28"/>
      <x:c r="W165" s="28"/>
      <x:c r="X165" s="43" t="n">
        <x:f>--AND(S165=1,T165=1,U165=1,V165=1,W165=1)</x:f>
        <x:v>0</x:v>
      </x:c>
      <x:c r="AE165" s="43" t="n">
        <x:f>--AND(S165=1,M165&lt;&gt;"",M165&lt;&gt;"keep")</x:f>
        <x:v>0</x:v>
      </x:c>
      <x:c r="AG165" t="n">
        <x:f>--AND(S165=1,T165=1,U165=1,V165=1,W165=1,AE165=1)</x:f>
        <x:v>0</x:v>
      </x:c>
      <x:c r="AJ165" t="str">
        <x:f>IF(OR(AH165="",AI165=""),"",--(AH165&lt;&gt;AI165))</x:f>
      </x:c>
      <x:c r="AL165" t="str">
        <x:f>IF(OR(AH165="",AI165=""),"PENDING_HUMAN",IF(AH165=AI165,AH165,IF(AK165&lt;&gt;"",AK165,"PENDING_HUMAN")))</x:f>
        <x:v>PENDING_HUMAN</x:v>
      </x:c>
      <x:c r="AM165" t="n">
        <x:f>--AND(A165&lt;&gt;"",AH165&lt;&gt;"",AI165&lt;&gt;"",OR(AH165=AI165,AK165&lt;&gt;""))</x:f>
        <x:v>0</x:v>
      </x:c>
      <x:c r="AN165" t="n">
        <x:f>--AND(Y165&lt;&gt;"",COUNTIF($Y$4:Y165,Y165)=1)</x:f>
        <x:v>0</x:v>
      </x:c>
      <x:c r="AO165" t="n">
        <x:f>--AND(AN165=1,Z165=1,AM165=1)</x:f>
        <x:v>0</x:v>
      </x:c>
      <x:c r="AP165" t="n">
        <x:f>--AND(AO165=1,AA165=1,AL165=1)</x:f>
        <x:v>0</x:v>
      </x:c>
      <x:c r="AQ165" t="n">
        <x:f>--AND(AN165=1,Z165=1)</x:f>
        <x:v>0</x:v>
      </x:c>
      <x:c r="AR165" t="n">
        <x:f>--AND(AQ165=1,AA165=1)</x:f>
        <x:v>0</x:v>
      </x:c>
    </x:row>
    <x:row r="166">
      <x:c r="A166" s="28"/>
      <x:c r="B166" s="28"/>
      <x:c r="C166" s="28"/>
      <x:c r="D166" s="28"/>
      <x:c r="E166" s="28"/>
      <x:c r="F166" s="28"/>
      <x:c r="G166" s="28"/>
      <x:c r="H166" s="28"/>
      <x:c r="I166" s="28"/>
      <x:c r="J166" s="28"/>
      <x:c r="K166" s="28"/>
      <x:c r="L166" s="28"/>
      <x:c r="M166" s="28"/>
      <x:c r="N166" s="28"/>
      <x:c r="O166" s="28"/>
      <x:c r="P166" s="28"/>
      <x:c r="Q166" s="28"/>
      <x:c r="R166" s="28"/>
      <x:c r="S166" s="28"/>
      <x:c r="T166" s="28"/>
      <x:c r="U166" s="28"/>
      <x:c r="V166" s="28"/>
      <x:c r="W166" s="28"/>
      <x:c r="X166" s="43" t="n">
        <x:f>--AND(S166=1,T166=1,U166=1,V166=1,W166=1)</x:f>
        <x:v>0</x:v>
      </x:c>
      <x:c r="AE166" s="43" t="n">
        <x:f>--AND(S166=1,M166&lt;&gt;"",M166&lt;&gt;"keep")</x:f>
        <x:v>0</x:v>
      </x:c>
      <x:c r="AG166" t="n">
        <x:f>--AND(S166=1,T166=1,U166=1,V166=1,W166=1,AE166=1)</x:f>
        <x:v>0</x:v>
      </x:c>
      <x:c r="AJ166" t="str">
        <x:f>IF(OR(AH166="",AI166=""),"",--(AH166&lt;&gt;AI166))</x:f>
      </x:c>
      <x:c r="AL166" t="str">
        <x:f>IF(OR(AH166="",AI166=""),"PENDING_HUMAN",IF(AH166=AI166,AH166,IF(AK166&lt;&gt;"",AK166,"PENDING_HUMAN")))</x:f>
        <x:v>PENDING_HUMAN</x:v>
      </x:c>
      <x:c r="AM166" t="n">
        <x:f>--AND(A166&lt;&gt;"",AH166&lt;&gt;"",AI166&lt;&gt;"",OR(AH166=AI166,AK166&lt;&gt;""))</x:f>
        <x:v>0</x:v>
      </x:c>
      <x:c r="AN166" t="n">
        <x:f>--AND(Y166&lt;&gt;"",COUNTIF($Y$4:Y166,Y166)=1)</x:f>
        <x:v>0</x:v>
      </x:c>
      <x:c r="AO166" t="n">
        <x:f>--AND(AN166=1,Z166=1,AM166=1)</x:f>
        <x:v>0</x:v>
      </x:c>
      <x:c r="AP166" t="n">
        <x:f>--AND(AO166=1,AA166=1,AL166=1)</x:f>
        <x:v>0</x:v>
      </x:c>
      <x:c r="AQ166" t="n">
        <x:f>--AND(AN166=1,Z166=1)</x:f>
        <x:v>0</x:v>
      </x:c>
      <x:c r="AR166" t="n">
        <x:f>--AND(AQ166=1,AA166=1)</x:f>
        <x:v>0</x:v>
      </x:c>
    </x:row>
    <x:row r="167">
      <x:c r="A167" s="28"/>
      <x:c r="B167" s="28"/>
      <x:c r="C167" s="28"/>
      <x:c r="D167" s="28"/>
      <x:c r="E167" s="28"/>
      <x:c r="F167" s="28"/>
      <x:c r="G167" s="28"/>
      <x:c r="H167" s="28"/>
      <x:c r="I167" s="28"/>
      <x:c r="J167" s="28"/>
      <x:c r="K167" s="28"/>
      <x:c r="L167" s="28"/>
      <x:c r="M167" s="28"/>
      <x:c r="N167" s="28"/>
      <x:c r="O167" s="28"/>
      <x:c r="P167" s="28"/>
      <x:c r="Q167" s="28"/>
      <x:c r="R167" s="28"/>
      <x:c r="S167" s="28"/>
      <x:c r="T167" s="28"/>
      <x:c r="U167" s="28"/>
      <x:c r="V167" s="28"/>
      <x:c r="W167" s="28"/>
      <x:c r="X167" s="43" t="n">
        <x:f>--AND(S167=1,T167=1,U167=1,V167=1,W167=1)</x:f>
        <x:v>0</x:v>
      </x:c>
      <x:c r="AE167" s="43" t="n">
        <x:f>--AND(S167=1,M167&lt;&gt;"",M167&lt;&gt;"keep")</x:f>
        <x:v>0</x:v>
      </x:c>
      <x:c r="AG167" t="n">
        <x:f>--AND(S167=1,T167=1,U167=1,V167=1,W167=1,AE167=1)</x:f>
        <x:v>0</x:v>
      </x:c>
      <x:c r="AJ167" t="str">
        <x:f>IF(OR(AH167="",AI167=""),"",--(AH167&lt;&gt;AI167))</x:f>
      </x:c>
      <x:c r="AL167" t="str">
        <x:f>IF(OR(AH167="",AI167=""),"PENDING_HUMAN",IF(AH167=AI167,AH167,IF(AK167&lt;&gt;"",AK167,"PENDING_HUMAN")))</x:f>
        <x:v>PENDING_HUMAN</x:v>
      </x:c>
      <x:c r="AM167" t="n">
        <x:f>--AND(A167&lt;&gt;"",AH167&lt;&gt;"",AI167&lt;&gt;"",OR(AH167=AI167,AK167&lt;&gt;""))</x:f>
        <x:v>0</x:v>
      </x:c>
      <x:c r="AN167" t="n">
        <x:f>--AND(Y167&lt;&gt;"",COUNTIF($Y$4:Y167,Y167)=1)</x:f>
        <x:v>0</x:v>
      </x:c>
      <x:c r="AO167" t="n">
        <x:f>--AND(AN167=1,Z167=1,AM167=1)</x:f>
        <x:v>0</x:v>
      </x:c>
      <x:c r="AP167" t="n">
        <x:f>--AND(AO167=1,AA167=1,AL167=1)</x:f>
        <x:v>0</x:v>
      </x:c>
      <x:c r="AQ167" t="n">
        <x:f>--AND(AN167=1,Z167=1)</x:f>
        <x:v>0</x:v>
      </x:c>
      <x:c r="AR167" t="n">
        <x:f>--AND(AQ167=1,AA167=1)</x:f>
        <x:v>0</x:v>
      </x:c>
    </x:row>
    <x:row r="168">
      <x:c r="A168" s="28"/>
      <x:c r="B168" s="28"/>
      <x:c r="C168" s="28"/>
      <x:c r="D168" s="28"/>
      <x:c r="E168" s="28"/>
      <x:c r="F168" s="28"/>
      <x:c r="G168" s="28"/>
      <x:c r="H168" s="28"/>
      <x:c r="I168" s="28"/>
      <x:c r="J168" s="28"/>
      <x:c r="K168" s="28"/>
      <x:c r="L168" s="28"/>
      <x:c r="M168" s="28"/>
      <x:c r="N168" s="28"/>
      <x:c r="O168" s="28"/>
      <x:c r="P168" s="28"/>
      <x:c r="Q168" s="28"/>
      <x:c r="R168" s="28"/>
      <x:c r="S168" s="28"/>
      <x:c r="T168" s="28"/>
      <x:c r="U168" s="28"/>
      <x:c r="V168" s="28"/>
      <x:c r="W168" s="28"/>
      <x:c r="X168" s="43" t="n">
        <x:f>--AND(S168=1,T168=1,U168=1,V168=1,W168=1)</x:f>
        <x:v>0</x:v>
      </x:c>
      <x:c r="AE168" s="43" t="n">
        <x:f>--AND(S168=1,M168&lt;&gt;"",M168&lt;&gt;"keep")</x:f>
        <x:v>0</x:v>
      </x:c>
      <x:c r="AG168" t="n">
        <x:f>--AND(S168=1,T168=1,U168=1,V168=1,W168=1,AE168=1)</x:f>
        <x:v>0</x:v>
      </x:c>
      <x:c r="AJ168" t="str">
        <x:f>IF(OR(AH168="",AI168=""),"",--(AH168&lt;&gt;AI168))</x:f>
      </x:c>
      <x:c r="AL168" t="str">
        <x:f>IF(OR(AH168="",AI168=""),"PENDING_HUMAN",IF(AH168=AI168,AH168,IF(AK168&lt;&gt;"",AK168,"PENDING_HUMAN")))</x:f>
        <x:v>PENDING_HUMAN</x:v>
      </x:c>
      <x:c r="AM168" t="n">
        <x:f>--AND(A168&lt;&gt;"",AH168&lt;&gt;"",AI168&lt;&gt;"",OR(AH168=AI168,AK168&lt;&gt;""))</x:f>
        <x:v>0</x:v>
      </x:c>
      <x:c r="AN168" t="n">
        <x:f>--AND(Y168&lt;&gt;"",COUNTIF($Y$4:Y168,Y168)=1)</x:f>
        <x:v>0</x:v>
      </x:c>
      <x:c r="AO168" t="n">
        <x:f>--AND(AN168=1,Z168=1,AM168=1)</x:f>
        <x:v>0</x:v>
      </x:c>
      <x:c r="AP168" t="n">
        <x:f>--AND(AO168=1,AA168=1,AL168=1)</x:f>
        <x:v>0</x:v>
      </x:c>
      <x:c r="AQ168" t="n">
        <x:f>--AND(AN168=1,Z168=1)</x:f>
        <x:v>0</x:v>
      </x:c>
      <x:c r="AR168" t="n">
        <x:f>--AND(AQ168=1,AA168=1)</x:f>
        <x:v>0</x:v>
      </x:c>
    </x:row>
    <x:row r="169">
      <x:c r="A169" s="28"/>
      <x:c r="B169" s="28"/>
      <x:c r="C169" s="28"/>
      <x:c r="D169" s="28"/>
      <x:c r="E169" s="28"/>
      <x:c r="F169" s="28"/>
      <x:c r="G169" s="28"/>
      <x:c r="H169" s="28"/>
      <x:c r="I169" s="28"/>
      <x:c r="J169" s="28"/>
      <x:c r="K169" s="28"/>
      <x:c r="L169" s="28"/>
      <x:c r="M169" s="28"/>
      <x:c r="N169" s="28"/>
      <x:c r="O169" s="28"/>
      <x:c r="P169" s="28"/>
      <x:c r="Q169" s="28"/>
      <x:c r="R169" s="28"/>
      <x:c r="S169" s="28"/>
      <x:c r="T169" s="28"/>
      <x:c r="U169" s="28"/>
      <x:c r="V169" s="28"/>
      <x:c r="W169" s="28"/>
      <x:c r="X169" s="43" t="n">
        <x:f>--AND(S169=1,T169=1,U169=1,V169=1,W169=1)</x:f>
        <x:v>0</x:v>
      </x:c>
      <x:c r="AE169" s="43" t="n">
        <x:f>--AND(S169=1,M169&lt;&gt;"",M169&lt;&gt;"keep")</x:f>
        <x:v>0</x:v>
      </x:c>
      <x:c r="AG169" t="n">
        <x:f>--AND(S169=1,T169=1,U169=1,V169=1,W169=1,AE169=1)</x:f>
        <x:v>0</x:v>
      </x:c>
      <x:c r="AJ169" t="str">
        <x:f>IF(OR(AH169="",AI169=""),"",--(AH169&lt;&gt;AI169))</x:f>
      </x:c>
      <x:c r="AL169" t="str">
        <x:f>IF(OR(AH169="",AI169=""),"PENDING_HUMAN",IF(AH169=AI169,AH169,IF(AK169&lt;&gt;"",AK169,"PENDING_HUMAN")))</x:f>
        <x:v>PENDING_HUMAN</x:v>
      </x:c>
      <x:c r="AM169" t="n">
        <x:f>--AND(A169&lt;&gt;"",AH169&lt;&gt;"",AI169&lt;&gt;"",OR(AH169=AI169,AK169&lt;&gt;""))</x:f>
        <x:v>0</x:v>
      </x:c>
      <x:c r="AN169" t="n">
        <x:f>--AND(Y169&lt;&gt;"",COUNTIF($Y$4:Y169,Y169)=1)</x:f>
        <x:v>0</x:v>
      </x:c>
      <x:c r="AO169" t="n">
        <x:f>--AND(AN169=1,Z169=1,AM169=1)</x:f>
        <x:v>0</x:v>
      </x:c>
      <x:c r="AP169" t="n">
        <x:f>--AND(AO169=1,AA169=1,AL169=1)</x:f>
        <x:v>0</x:v>
      </x:c>
      <x:c r="AQ169" t="n">
        <x:f>--AND(AN169=1,Z169=1)</x:f>
        <x:v>0</x:v>
      </x:c>
      <x:c r="AR169" t="n">
        <x:f>--AND(AQ169=1,AA169=1)</x:f>
        <x:v>0</x:v>
      </x:c>
    </x:row>
    <x:row r="170">
      <x:c r="A170" s="28"/>
      <x:c r="B170" s="28"/>
      <x:c r="C170" s="28"/>
      <x:c r="D170" s="28"/>
      <x:c r="E170" s="28"/>
      <x:c r="F170" s="28"/>
      <x:c r="G170" s="28"/>
      <x:c r="H170" s="28"/>
      <x:c r="I170" s="28"/>
      <x:c r="J170" s="28"/>
      <x:c r="K170" s="28"/>
      <x:c r="L170" s="28"/>
      <x:c r="M170" s="28"/>
      <x:c r="N170" s="28"/>
      <x:c r="O170" s="28"/>
      <x:c r="P170" s="28"/>
      <x:c r="Q170" s="28"/>
      <x:c r="R170" s="28"/>
      <x:c r="S170" s="28"/>
      <x:c r="T170" s="28"/>
      <x:c r="U170" s="28"/>
      <x:c r="V170" s="28"/>
      <x:c r="W170" s="28"/>
      <x:c r="X170" s="43" t="n">
        <x:f>--AND(S170=1,T170=1,U170=1,V170=1,W170=1)</x:f>
        <x:v>0</x:v>
      </x:c>
      <x:c r="AE170" s="43" t="n">
        <x:f>--AND(S170=1,M170&lt;&gt;"",M170&lt;&gt;"keep")</x:f>
        <x:v>0</x:v>
      </x:c>
      <x:c r="AG170" t="n">
        <x:f>--AND(S170=1,T170=1,U170=1,V170=1,W170=1,AE170=1)</x:f>
        <x:v>0</x:v>
      </x:c>
      <x:c r="AJ170" t="str">
        <x:f>IF(OR(AH170="",AI170=""),"",--(AH170&lt;&gt;AI170))</x:f>
      </x:c>
      <x:c r="AL170" t="str">
        <x:f>IF(OR(AH170="",AI170=""),"PENDING_HUMAN",IF(AH170=AI170,AH170,IF(AK170&lt;&gt;"",AK170,"PENDING_HUMAN")))</x:f>
        <x:v>PENDING_HUMAN</x:v>
      </x:c>
      <x:c r="AM170" t="n">
        <x:f>--AND(A170&lt;&gt;"",AH170&lt;&gt;"",AI170&lt;&gt;"",OR(AH170=AI170,AK170&lt;&gt;""))</x:f>
        <x:v>0</x:v>
      </x:c>
      <x:c r="AN170" t="n">
        <x:f>--AND(Y170&lt;&gt;"",COUNTIF($Y$4:Y170,Y170)=1)</x:f>
        <x:v>0</x:v>
      </x:c>
      <x:c r="AO170" t="n">
        <x:f>--AND(AN170=1,Z170=1,AM170=1)</x:f>
        <x:v>0</x:v>
      </x:c>
      <x:c r="AP170" t="n">
        <x:f>--AND(AO170=1,AA170=1,AL170=1)</x:f>
        <x:v>0</x:v>
      </x:c>
      <x:c r="AQ170" t="n">
        <x:f>--AND(AN170=1,Z170=1)</x:f>
        <x:v>0</x:v>
      </x:c>
      <x:c r="AR170" t="n">
        <x:f>--AND(AQ170=1,AA170=1)</x:f>
        <x:v>0</x:v>
      </x:c>
    </x:row>
    <x:row r="171">
      <x:c r="A171" s="28"/>
      <x:c r="B171" s="28"/>
      <x:c r="C171" s="28"/>
      <x:c r="D171" s="28"/>
      <x:c r="E171" s="28"/>
      <x:c r="F171" s="28"/>
      <x:c r="G171" s="28"/>
      <x:c r="H171" s="28"/>
      <x:c r="I171" s="28"/>
      <x:c r="J171" s="28"/>
      <x:c r="K171" s="28"/>
      <x:c r="L171" s="28"/>
      <x:c r="M171" s="28"/>
      <x:c r="N171" s="28"/>
      <x:c r="O171" s="28"/>
      <x:c r="P171" s="28"/>
      <x:c r="Q171" s="28"/>
      <x:c r="R171" s="28"/>
      <x:c r="S171" s="28"/>
      <x:c r="T171" s="28"/>
      <x:c r="U171" s="28"/>
      <x:c r="V171" s="28"/>
      <x:c r="W171" s="28"/>
      <x:c r="X171" s="43" t="n">
        <x:f>--AND(S171=1,T171=1,U171=1,V171=1,W171=1)</x:f>
        <x:v>0</x:v>
      </x:c>
      <x:c r="AE171" s="43" t="n">
        <x:f>--AND(S171=1,M171&lt;&gt;"",M171&lt;&gt;"keep")</x:f>
        <x:v>0</x:v>
      </x:c>
      <x:c r="AG171" t="n">
        <x:f>--AND(S171=1,T171=1,U171=1,V171=1,W171=1,AE171=1)</x:f>
        <x:v>0</x:v>
      </x:c>
      <x:c r="AJ171" t="str">
        <x:f>IF(OR(AH171="",AI171=""),"",--(AH171&lt;&gt;AI171))</x:f>
      </x:c>
      <x:c r="AL171" t="str">
        <x:f>IF(OR(AH171="",AI171=""),"PENDING_HUMAN",IF(AH171=AI171,AH171,IF(AK171&lt;&gt;"",AK171,"PENDING_HUMAN")))</x:f>
        <x:v>PENDING_HUMAN</x:v>
      </x:c>
      <x:c r="AM171" t="n">
        <x:f>--AND(A171&lt;&gt;"",AH171&lt;&gt;"",AI171&lt;&gt;"",OR(AH171=AI171,AK171&lt;&gt;""))</x:f>
        <x:v>0</x:v>
      </x:c>
      <x:c r="AN171" t="n">
        <x:f>--AND(Y171&lt;&gt;"",COUNTIF($Y$4:Y171,Y171)=1)</x:f>
        <x:v>0</x:v>
      </x:c>
      <x:c r="AO171" t="n">
        <x:f>--AND(AN171=1,Z171=1,AM171=1)</x:f>
        <x:v>0</x:v>
      </x:c>
      <x:c r="AP171" t="n">
        <x:f>--AND(AO171=1,AA171=1,AL171=1)</x:f>
        <x:v>0</x:v>
      </x:c>
      <x:c r="AQ171" t="n">
        <x:f>--AND(AN171=1,Z171=1)</x:f>
        <x:v>0</x:v>
      </x:c>
      <x:c r="AR171" t="n">
        <x:f>--AND(AQ171=1,AA171=1)</x:f>
        <x:v>0</x:v>
      </x:c>
    </x:row>
    <x:row r="172">
      <x:c r="A172" s="28"/>
      <x:c r="B172" s="28"/>
      <x:c r="C172" s="28"/>
      <x:c r="D172" s="28"/>
      <x:c r="E172" s="28"/>
      <x:c r="F172" s="28"/>
      <x:c r="G172" s="28"/>
      <x:c r="H172" s="28"/>
      <x:c r="I172" s="28"/>
      <x:c r="J172" s="28"/>
      <x:c r="K172" s="28"/>
      <x:c r="L172" s="28"/>
      <x:c r="M172" s="28"/>
      <x:c r="N172" s="28"/>
      <x:c r="O172" s="28"/>
      <x:c r="P172" s="28"/>
      <x:c r="Q172" s="28"/>
      <x:c r="R172" s="28"/>
      <x:c r="S172" s="28"/>
      <x:c r="T172" s="28"/>
      <x:c r="U172" s="28"/>
      <x:c r="V172" s="28"/>
      <x:c r="W172" s="28"/>
      <x:c r="X172" s="43" t="n">
        <x:f>--AND(S172=1,T172=1,U172=1,V172=1,W172=1)</x:f>
        <x:v>0</x:v>
      </x:c>
      <x:c r="AE172" s="43" t="n">
        <x:f>--AND(S172=1,M172&lt;&gt;"",M172&lt;&gt;"keep")</x:f>
        <x:v>0</x:v>
      </x:c>
      <x:c r="AG172" t="n">
        <x:f>--AND(S172=1,T172=1,U172=1,V172=1,W172=1,AE172=1)</x:f>
        <x:v>0</x:v>
      </x:c>
      <x:c r="AJ172" t="str">
        <x:f>IF(OR(AH172="",AI172=""),"",--(AH172&lt;&gt;AI172))</x:f>
      </x:c>
      <x:c r="AL172" t="str">
        <x:f>IF(OR(AH172="",AI172=""),"PENDING_HUMAN",IF(AH172=AI172,AH172,IF(AK172&lt;&gt;"",AK172,"PENDING_HUMAN")))</x:f>
        <x:v>PENDING_HUMAN</x:v>
      </x:c>
      <x:c r="AM172" t="n">
        <x:f>--AND(A172&lt;&gt;"",AH172&lt;&gt;"",AI172&lt;&gt;"",OR(AH172=AI172,AK172&lt;&gt;""))</x:f>
        <x:v>0</x:v>
      </x:c>
      <x:c r="AN172" t="n">
        <x:f>--AND(Y172&lt;&gt;"",COUNTIF($Y$4:Y172,Y172)=1)</x:f>
        <x:v>0</x:v>
      </x:c>
      <x:c r="AO172" t="n">
        <x:f>--AND(AN172=1,Z172=1,AM172=1)</x:f>
        <x:v>0</x:v>
      </x:c>
      <x:c r="AP172" t="n">
        <x:f>--AND(AO172=1,AA172=1,AL172=1)</x:f>
        <x:v>0</x:v>
      </x:c>
      <x:c r="AQ172" t="n">
        <x:f>--AND(AN172=1,Z172=1)</x:f>
        <x:v>0</x:v>
      </x:c>
      <x:c r="AR172" t="n">
        <x:f>--AND(AQ172=1,AA172=1)</x:f>
        <x:v>0</x:v>
      </x:c>
    </x:row>
    <x:row r="173">
      <x:c r="A173" s="28"/>
      <x:c r="B173" s="28"/>
      <x:c r="C173" s="28"/>
      <x:c r="D173" s="28"/>
      <x:c r="E173" s="28"/>
      <x:c r="F173" s="28"/>
      <x:c r="G173" s="28"/>
      <x:c r="H173" s="28"/>
      <x:c r="I173" s="28"/>
      <x:c r="J173" s="28"/>
      <x:c r="K173" s="28"/>
      <x:c r="L173" s="28"/>
      <x:c r="M173" s="28"/>
      <x:c r="N173" s="28"/>
      <x:c r="O173" s="28"/>
      <x:c r="P173" s="28"/>
      <x:c r="Q173" s="28"/>
      <x:c r="R173" s="28"/>
      <x:c r="S173" s="28"/>
      <x:c r="T173" s="28"/>
      <x:c r="U173" s="28"/>
      <x:c r="V173" s="28"/>
      <x:c r="W173" s="28"/>
      <x:c r="X173" s="43" t="n">
        <x:f>--AND(S173=1,T173=1,U173=1,V173=1,W173=1)</x:f>
        <x:v>0</x:v>
      </x:c>
      <x:c r="AE173" s="43" t="n">
        <x:f>--AND(S173=1,M173&lt;&gt;"",M173&lt;&gt;"keep")</x:f>
        <x:v>0</x:v>
      </x:c>
      <x:c r="AG173" t="n">
        <x:f>--AND(S173=1,T173=1,U173=1,V173=1,W173=1,AE173=1)</x:f>
        <x:v>0</x:v>
      </x:c>
      <x:c r="AJ173" t="str">
        <x:f>IF(OR(AH173="",AI173=""),"",--(AH173&lt;&gt;AI173))</x:f>
      </x:c>
      <x:c r="AL173" t="str">
        <x:f>IF(OR(AH173="",AI173=""),"PENDING_HUMAN",IF(AH173=AI173,AH173,IF(AK173&lt;&gt;"",AK173,"PENDING_HUMAN")))</x:f>
        <x:v>PENDING_HUMAN</x:v>
      </x:c>
      <x:c r="AM173" t="n">
        <x:f>--AND(A173&lt;&gt;"",AH173&lt;&gt;"",AI173&lt;&gt;"",OR(AH173=AI173,AK173&lt;&gt;""))</x:f>
        <x:v>0</x:v>
      </x:c>
      <x:c r="AN173" t="n">
        <x:f>--AND(Y173&lt;&gt;"",COUNTIF($Y$4:Y173,Y173)=1)</x:f>
        <x:v>0</x:v>
      </x:c>
      <x:c r="AO173" t="n">
        <x:f>--AND(AN173=1,Z173=1,AM173=1)</x:f>
        <x:v>0</x:v>
      </x:c>
      <x:c r="AP173" t="n">
        <x:f>--AND(AO173=1,AA173=1,AL173=1)</x:f>
        <x:v>0</x:v>
      </x:c>
      <x:c r="AQ173" t="n">
        <x:f>--AND(AN173=1,Z173=1)</x:f>
        <x:v>0</x:v>
      </x:c>
      <x:c r="AR173" t="n">
        <x:f>--AND(AQ173=1,AA173=1)</x:f>
        <x:v>0</x:v>
      </x:c>
    </x:row>
    <x:row r="174">
      <x:c r="A174" s="28"/>
      <x:c r="B174" s="28"/>
      <x:c r="C174" s="28"/>
      <x:c r="D174" s="28"/>
      <x:c r="E174" s="28"/>
      <x:c r="F174" s="28"/>
      <x:c r="G174" s="28"/>
      <x:c r="H174" s="28"/>
      <x:c r="I174" s="28"/>
      <x:c r="J174" s="28"/>
      <x:c r="K174" s="28"/>
      <x:c r="L174" s="28"/>
      <x:c r="M174" s="28"/>
      <x:c r="N174" s="28"/>
      <x:c r="O174" s="28"/>
      <x:c r="P174" s="28"/>
      <x:c r="Q174" s="28"/>
      <x:c r="R174" s="28"/>
      <x:c r="S174" s="28"/>
      <x:c r="T174" s="28"/>
      <x:c r="U174" s="28"/>
      <x:c r="V174" s="28"/>
      <x:c r="W174" s="28"/>
      <x:c r="X174" s="43" t="n">
        <x:f>--AND(S174=1,T174=1,U174=1,V174=1,W174=1)</x:f>
        <x:v>0</x:v>
      </x:c>
      <x:c r="AE174" s="43" t="n">
        <x:f>--AND(S174=1,M174&lt;&gt;"",M174&lt;&gt;"keep")</x:f>
        <x:v>0</x:v>
      </x:c>
      <x:c r="AG174" t="n">
        <x:f>--AND(S174=1,T174=1,U174=1,V174=1,W174=1,AE174=1)</x:f>
        <x:v>0</x:v>
      </x:c>
      <x:c r="AJ174" t="str">
        <x:f>IF(OR(AH174="",AI174=""),"",--(AH174&lt;&gt;AI174))</x:f>
      </x:c>
      <x:c r="AL174" t="str">
        <x:f>IF(OR(AH174="",AI174=""),"PENDING_HUMAN",IF(AH174=AI174,AH174,IF(AK174&lt;&gt;"",AK174,"PENDING_HUMAN")))</x:f>
        <x:v>PENDING_HUMAN</x:v>
      </x:c>
      <x:c r="AM174" t="n">
        <x:f>--AND(A174&lt;&gt;"",AH174&lt;&gt;"",AI174&lt;&gt;"",OR(AH174=AI174,AK174&lt;&gt;""))</x:f>
        <x:v>0</x:v>
      </x:c>
      <x:c r="AN174" t="n">
        <x:f>--AND(Y174&lt;&gt;"",COUNTIF($Y$4:Y174,Y174)=1)</x:f>
        <x:v>0</x:v>
      </x:c>
      <x:c r="AO174" t="n">
        <x:f>--AND(AN174=1,Z174=1,AM174=1)</x:f>
        <x:v>0</x:v>
      </x:c>
      <x:c r="AP174" t="n">
        <x:f>--AND(AO174=1,AA174=1,AL174=1)</x:f>
        <x:v>0</x:v>
      </x:c>
      <x:c r="AQ174" t="n">
        <x:f>--AND(AN174=1,Z174=1)</x:f>
        <x:v>0</x:v>
      </x:c>
      <x:c r="AR174" t="n">
        <x:f>--AND(AQ174=1,AA174=1)</x:f>
        <x:v>0</x:v>
      </x:c>
    </x:row>
    <x:row r="175">
      <x:c r="A175" s="28"/>
      <x:c r="B175" s="28"/>
      <x:c r="C175" s="28"/>
      <x:c r="D175" s="28"/>
      <x:c r="E175" s="28"/>
      <x:c r="F175" s="28"/>
      <x:c r="G175" s="28"/>
      <x:c r="H175" s="28"/>
      <x:c r="I175" s="28"/>
      <x:c r="J175" s="28"/>
      <x:c r="K175" s="28"/>
      <x:c r="L175" s="28"/>
      <x:c r="M175" s="28"/>
      <x:c r="N175" s="28"/>
      <x:c r="O175" s="28"/>
      <x:c r="P175" s="28"/>
      <x:c r="Q175" s="28"/>
      <x:c r="R175" s="28"/>
      <x:c r="S175" s="28"/>
      <x:c r="T175" s="28"/>
      <x:c r="U175" s="28"/>
      <x:c r="V175" s="28"/>
      <x:c r="W175" s="28"/>
      <x:c r="X175" s="43" t="n">
        <x:f>--AND(S175=1,T175=1,U175=1,V175=1,W175=1)</x:f>
        <x:v>0</x:v>
      </x:c>
      <x:c r="AE175" s="43" t="n">
        <x:f>--AND(S175=1,M175&lt;&gt;"",M175&lt;&gt;"keep")</x:f>
        <x:v>0</x:v>
      </x:c>
      <x:c r="AG175" t="n">
        <x:f>--AND(S175=1,T175=1,U175=1,V175=1,W175=1,AE175=1)</x:f>
        <x:v>0</x:v>
      </x:c>
      <x:c r="AJ175" t="str">
        <x:f>IF(OR(AH175="",AI175=""),"",--(AH175&lt;&gt;AI175))</x:f>
      </x:c>
      <x:c r="AL175" t="str">
        <x:f>IF(OR(AH175="",AI175=""),"PENDING_HUMAN",IF(AH175=AI175,AH175,IF(AK175&lt;&gt;"",AK175,"PENDING_HUMAN")))</x:f>
        <x:v>PENDING_HUMAN</x:v>
      </x:c>
      <x:c r="AM175" t="n">
        <x:f>--AND(A175&lt;&gt;"",AH175&lt;&gt;"",AI175&lt;&gt;"",OR(AH175=AI175,AK175&lt;&gt;""))</x:f>
        <x:v>0</x:v>
      </x:c>
      <x:c r="AN175" t="n">
        <x:f>--AND(Y175&lt;&gt;"",COUNTIF($Y$4:Y175,Y175)=1)</x:f>
        <x:v>0</x:v>
      </x:c>
      <x:c r="AO175" t="n">
        <x:f>--AND(AN175=1,Z175=1,AM175=1)</x:f>
        <x:v>0</x:v>
      </x:c>
      <x:c r="AP175" t="n">
        <x:f>--AND(AO175=1,AA175=1,AL175=1)</x:f>
        <x:v>0</x:v>
      </x:c>
      <x:c r="AQ175" t="n">
        <x:f>--AND(AN175=1,Z175=1)</x:f>
        <x:v>0</x:v>
      </x:c>
      <x:c r="AR175" t="n">
        <x:f>--AND(AQ175=1,AA175=1)</x:f>
        <x:v>0</x:v>
      </x:c>
    </x:row>
    <x:row r="176">
      <x:c r="A176" s="28"/>
      <x:c r="B176" s="28"/>
      <x:c r="C176" s="28"/>
      <x:c r="D176" s="28"/>
      <x:c r="E176" s="28"/>
      <x:c r="F176" s="28"/>
      <x:c r="G176" s="28"/>
      <x:c r="H176" s="28"/>
      <x:c r="I176" s="28"/>
      <x:c r="J176" s="28"/>
      <x:c r="K176" s="28"/>
      <x:c r="L176" s="28"/>
      <x:c r="M176" s="28"/>
      <x:c r="N176" s="28"/>
      <x:c r="O176" s="28"/>
      <x:c r="P176" s="28"/>
      <x:c r="Q176" s="28"/>
      <x:c r="R176" s="28"/>
      <x:c r="S176" s="28"/>
      <x:c r="T176" s="28"/>
      <x:c r="U176" s="28"/>
      <x:c r="V176" s="28"/>
      <x:c r="W176" s="28"/>
      <x:c r="X176" s="43" t="n">
        <x:f>--AND(S176=1,T176=1,U176=1,V176=1,W176=1)</x:f>
        <x:v>0</x:v>
      </x:c>
      <x:c r="AE176" s="43" t="n">
        <x:f>--AND(S176=1,M176&lt;&gt;"",M176&lt;&gt;"keep")</x:f>
        <x:v>0</x:v>
      </x:c>
      <x:c r="AG176" t="n">
        <x:f>--AND(S176=1,T176=1,U176=1,V176=1,W176=1,AE176=1)</x:f>
        <x:v>0</x:v>
      </x:c>
      <x:c r="AJ176" t="str">
        <x:f>IF(OR(AH176="",AI176=""),"",--(AH176&lt;&gt;AI176))</x:f>
      </x:c>
      <x:c r="AL176" t="str">
        <x:f>IF(OR(AH176="",AI176=""),"PENDING_HUMAN",IF(AH176=AI176,AH176,IF(AK176&lt;&gt;"",AK176,"PENDING_HUMAN")))</x:f>
        <x:v>PENDING_HUMAN</x:v>
      </x:c>
      <x:c r="AM176" t="n">
        <x:f>--AND(A176&lt;&gt;"",AH176&lt;&gt;"",AI176&lt;&gt;"",OR(AH176=AI176,AK176&lt;&gt;""))</x:f>
        <x:v>0</x:v>
      </x:c>
      <x:c r="AN176" t="n">
        <x:f>--AND(Y176&lt;&gt;"",COUNTIF($Y$4:Y176,Y176)=1)</x:f>
        <x:v>0</x:v>
      </x:c>
      <x:c r="AO176" t="n">
        <x:f>--AND(AN176=1,Z176=1,AM176=1)</x:f>
        <x:v>0</x:v>
      </x:c>
      <x:c r="AP176" t="n">
        <x:f>--AND(AO176=1,AA176=1,AL176=1)</x:f>
        <x:v>0</x:v>
      </x:c>
      <x:c r="AQ176" t="n">
        <x:f>--AND(AN176=1,Z176=1)</x:f>
        <x:v>0</x:v>
      </x:c>
      <x:c r="AR176" t="n">
        <x:f>--AND(AQ176=1,AA176=1)</x:f>
        <x:v>0</x:v>
      </x:c>
    </x:row>
    <x:row r="177">
      <x:c r="A177" s="28"/>
      <x:c r="B177" s="28"/>
      <x:c r="C177" s="28"/>
      <x:c r="D177" s="28"/>
      <x:c r="E177" s="28"/>
      <x:c r="F177" s="28"/>
      <x:c r="G177" s="28"/>
      <x:c r="H177" s="28"/>
      <x:c r="I177" s="28"/>
      <x:c r="J177" s="28"/>
      <x:c r="K177" s="28"/>
      <x:c r="L177" s="28"/>
      <x:c r="M177" s="28"/>
      <x:c r="N177" s="28"/>
      <x:c r="O177" s="28"/>
      <x:c r="P177" s="28"/>
      <x:c r="Q177" s="28"/>
      <x:c r="R177" s="28"/>
      <x:c r="S177" s="28"/>
      <x:c r="T177" s="28"/>
      <x:c r="U177" s="28"/>
      <x:c r="V177" s="28"/>
      <x:c r="W177" s="28"/>
      <x:c r="X177" s="43" t="n">
        <x:f>--AND(S177=1,T177=1,U177=1,V177=1,W177=1)</x:f>
        <x:v>0</x:v>
      </x:c>
      <x:c r="AE177" s="43" t="n">
        <x:f>--AND(S177=1,M177&lt;&gt;"",M177&lt;&gt;"keep")</x:f>
        <x:v>0</x:v>
      </x:c>
      <x:c r="AG177" t="n">
        <x:f>--AND(S177=1,T177=1,U177=1,V177=1,W177=1,AE177=1)</x:f>
        <x:v>0</x:v>
      </x:c>
      <x:c r="AJ177" t="str">
        <x:f>IF(OR(AH177="",AI177=""),"",--(AH177&lt;&gt;AI177))</x:f>
      </x:c>
      <x:c r="AL177" t="str">
        <x:f>IF(OR(AH177="",AI177=""),"PENDING_HUMAN",IF(AH177=AI177,AH177,IF(AK177&lt;&gt;"",AK177,"PENDING_HUMAN")))</x:f>
        <x:v>PENDING_HUMAN</x:v>
      </x:c>
      <x:c r="AM177" t="n">
        <x:f>--AND(A177&lt;&gt;"",AH177&lt;&gt;"",AI177&lt;&gt;"",OR(AH177=AI177,AK177&lt;&gt;""))</x:f>
        <x:v>0</x:v>
      </x:c>
      <x:c r="AN177" t="n">
        <x:f>--AND(Y177&lt;&gt;"",COUNTIF($Y$4:Y177,Y177)=1)</x:f>
        <x:v>0</x:v>
      </x:c>
      <x:c r="AO177" t="n">
        <x:f>--AND(AN177=1,Z177=1,AM177=1)</x:f>
        <x:v>0</x:v>
      </x:c>
      <x:c r="AP177" t="n">
        <x:f>--AND(AO177=1,AA177=1,AL177=1)</x:f>
        <x:v>0</x:v>
      </x:c>
      <x:c r="AQ177" t="n">
        <x:f>--AND(AN177=1,Z177=1)</x:f>
        <x:v>0</x:v>
      </x:c>
      <x:c r="AR177" t="n">
        <x:f>--AND(AQ177=1,AA177=1)</x:f>
        <x:v>0</x:v>
      </x:c>
    </x:row>
    <x:row r="178">
      <x:c r="A178" s="28"/>
      <x:c r="B178" s="28"/>
      <x:c r="C178" s="28"/>
      <x:c r="D178" s="28"/>
      <x:c r="E178" s="28"/>
      <x:c r="F178" s="28"/>
      <x:c r="G178" s="28"/>
      <x:c r="H178" s="28"/>
      <x:c r="I178" s="28"/>
      <x:c r="J178" s="28"/>
      <x:c r="K178" s="28"/>
      <x:c r="L178" s="28"/>
      <x:c r="M178" s="28"/>
      <x:c r="N178" s="28"/>
      <x:c r="O178" s="28"/>
      <x:c r="P178" s="28"/>
      <x:c r="Q178" s="28"/>
      <x:c r="R178" s="28"/>
      <x:c r="S178" s="28"/>
      <x:c r="T178" s="28"/>
      <x:c r="U178" s="28"/>
      <x:c r="V178" s="28"/>
      <x:c r="W178" s="28"/>
      <x:c r="X178" s="43" t="n">
        <x:f>--AND(S178=1,T178=1,U178=1,V178=1,W178=1)</x:f>
        <x:v>0</x:v>
      </x:c>
      <x:c r="AE178" s="43" t="n">
        <x:f>--AND(S178=1,M178&lt;&gt;"",M178&lt;&gt;"keep")</x:f>
        <x:v>0</x:v>
      </x:c>
      <x:c r="AG178" t="n">
        <x:f>--AND(S178=1,T178=1,U178=1,V178=1,W178=1,AE178=1)</x:f>
        <x:v>0</x:v>
      </x:c>
      <x:c r="AJ178" t="str">
        <x:f>IF(OR(AH178="",AI178=""),"",--(AH178&lt;&gt;AI178))</x:f>
      </x:c>
      <x:c r="AL178" t="str">
        <x:f>IF(OR(AH178="",AI178=""),"PENDING_HUMAN",IF(AH178=AI178,AH178,IF(AK178&lt;&gt;"",AK178,"PENDING_HUMAN")))</x:f>
        <x:v>PENDING_HUMAN</x:v>
      </x:c>
      <x:c r="AM178" t="n">
        <x:f>--AND(A178&lt;&gt;"",AH178&lt;&gt;"",AI178&lt;&gt;"",OR(AH178=AI178,AK178&lt;&gt;""))</x:f>
        <x:v>0</x:v>
      </x:c>
      <x:c r="AN178" t="n">
        <x:f>--AND(Y178&lt;&gt;"",COUNTIF($Y$4:Y178,Y178)=1)</x:f>
        <x:v>0</x:v>
      </x:c>
      <x:c r="AO178" t="n">
        <x:f>--AND(AN178=1,Z178=1,AM178=1)</x:f>
        <x:v>0</x:v>
      </x:c>
      <x:c r="AP178" t="n">
        <x:f>--AND(AO178=1,AA178=1,AL178=1)</x:f>
        <x:v>0</x:v>
      </x:c>
      <x:c r="AQ178" t="n">
        <x:f>--AND(AN178=1,Z178=1)</x:f>
        <x:v>0</x:v>
      </x:c>
      <x:c r="AR178" t="n">
        <x:f>--AND(AQ178=1,AA178=1)</x:f>
        <x:v>0</x:v>
      </x:c>
    </x:row>
    <x:row r="179">
      <x:c r="A179" s="28"/>
      <x:c r="B179" s="28"/>
      <x:c r="C179" s="28"/>
      <x:c r="D179" s="28"/>
      <x:c r="E179" s="28"/>
      <x:c r="F179" s="28"/>
      <x:c r="G179" s="28"/>
      <x:c r="H179" s="28"/>
      <x:c r="I179" s="28"/>
      <x:c r="J179" s="28"/>
      <x:c r="K179" s="28"/>
      <x:c r="L179" s="28"/>
      <x:c r="M179" s="28"/>
      <x:c r="N179" s="28"/>
      <x:c r="O179" s="28"/>
      <x:c r="P179" s="28"/>
      <x:c r="Q179" s="28"/>
      <x:c r="R179" s="28"/>
      <x:c r="S179" s="28"/>
      <x:c r="T179" s="28"/>
      <x:c r="U179" s="28"/>
      <x:c r="V179" s="28"/>
      <x:c r="W179" s="28"/>
      <x:c r="X179" s="43" t="n">
        <x:f>--AND(S179=1,T179=1,U179=1,V179=1,W179=1)</x:f>
        <x:v>0</x:v>
      </x:c>
      <x:c r="AE179" s="43" t="n">
        <x:f>--AND(S179=1,M179&lt;&gt;"",M179&lt;&gt;"keep")</x:f>
        <x:v>0</x:v>
      </x:c>
      <x:c r="AG179" t="n">
        <x:f>--AND(S179=1,T179=1,U179=1,V179=1,W179=1,AE179=1)</x:f>
        <x:v>0</x:v>
      </x:c>
      <x:c r="AJ179" t="str">
        <x:f>IF(OR(AH179="",AI179=""),"",--(AH179&lt;&gt;AI179))</x:f>
      </x:c>
      <x:c r="AL179" t="str">
        <x:f>IF(OR(AH179="",AI179=""),"PENDING_HUMAN",IF(AH179=AI179,AH179,IF(AK179&lt;&gt;"",AK179,"PENDING_HUMAN")))</x:f>
        <x:v>PENDING_HUMAN</x:v>
      </x:c>
      <x:c r="AM179" t="n">
        <x:f>--AND(A179&lt;&gt;"",AH179&lt;&gt;"",AI179&lt;&gt;"",OR(AH179=AI179,AK179&lt;&gt;""))</x:f>
        <x:v>0</x:v>
      </x:c>
      <x:c r="AN179" t="n">
        <x:f>--AND(Y179&lt;&gt;"",COUNTIF($Y$4:Y179,Y179)=1)</x:f>
        <x:v>0</x:v>
      </x:c>
      <x:c r="AO179" t="n">
        <x:f>--AND(AN179=1,Z179=1,AM179=1)</x:f>
        <x:v>0</x:v>
      </x:c>
      <x:c r="AP179" t="n">
        <x:f>--AND(AO179=1,AA179=1,AL179=1)</x:f>
        <x:v>0</x:v>
      </x:c>
      <x:c r="AQ179" t="n">
        <x:f>--AND(AN179=1,Z179=1)</x:f>
        <x:v>0</x:v>
      </x:c>
      <x:c r="AR179" t="n">
        <x:f>--AND(AQ179=1,AA179=1)</x:f>
        <x:v>0</x:v>
      </x:c>
    </x:row>
    <x:row r="180">
      <x:c r="A180" s="28"/>
      <x:c r="B180" s="28"/>
      <x:c r="C180" s="28"/>
      <x:c r="D180" s="28"/>
      <x:c r="E180" s="28"/>
      <x:c r="F180" s="28"/>
      <x:c r="G180" s="28"/>
      <x:c r="H180" s="28"/>
      <x:c r="I180" s="28"/>
      <x:c r="J180" s="28"/>
      <x:c r="K180" s="28"/>
      <x:c r="L180" s="28"/>
      <x:c r="M180" s="28"/>
      <x:c r="N180" s="28"/>
      <x:c r="O180" s="28"/>
      <x:c r="P180" s="28"/>
      <x:c r="Q180" s="28"/>
      <x:c r="R180" s="28"/>
      <x:c r="S180" s="28"/>
      <x:c r="T180" s="28"/>
      <x:c r="U180" s="28"/>
      <x:c r="V180" s="28"/>
      <x:c r="W180" s="28"/>
      <x:c r="X180" s="43" t="n">
        <x:f>--AND(S180=1,T180=1,U180=1,V180=1,W180=1)</x:f>
        <x:v>0</x:v>
      </x:c>
      <x:c r="AE180" s="43" t="n">
        <x:f>--AND(S180=1,M180&lt;&gt;"",M180&lt;&gt;"keep")</x:f>
        <x:v>0</x:v>
      </x:c>
      <x:c r="AG180" t="n">
        <x:f>--AND(S180=1,T180=1,U180=1,V180=1,W180=1,AE180=1)</x:f>
        <x:v>0</x:v>
      </x:c>
      <x:c r="AJ180" t="str">
        <x:f>IF(OR(AH180="",AI180=""),"",--(AH180&lt;&gt;AI180))</x:f>
      </x:c>
      <x:c r="AL180" t="str">
        <x:f>IF(OR(AH180="",AI180=""),"PENDING_HUMAN",IF(AH180=AI180,AH180,IF(AK180&lt;&gt;"",AK180,"PENDING_HUMAN")))</x:f>
        <x:v>PENDING_HUMAN</x:v>
      </x:c>
      <x:c r="AM180" t="n">
        <x:f>--AND(A180&lt;&gt;"",AH180&lt;&gt;"",AI180&lt;&gt;"",OR(AH180=AI180,AK180&lt;&gt;""))</x:f>
        <x:v>0</x:v>
      </x:c>
      <x:c r="AN180" t="n">
        <x:f>--AND(Y180&lt;&gt;"",COUNTIF($Y$4:Y180,Y180)=1)</x:f>
        <x:v>0</x:v>
      </x:c>
      <x:c r="AO180" t="n">
        <x:f>--AND(AN180=1,Z180=1,AM180=1)</x:f>
        <x:v>0</x:v>
      </x:c>
      <x:c r="AP180" t="n">
        <x:f>--AND(AO180=1,AA180=1,AL180=1)</x:f>
        <x:v>0</x:v>
      </x:c>
      <x:c r="AQ180" t="n">
        <x:f>--AND(AN180=1,Z180=1)</x:f>
        <x:v>0</x:v>
      </x:c>
      <x:c r="AR180" t="n">
        <x:f>--AND(AQ180=1,AA180=1)</x:f>
        <x:v>0</x:v>
      </x:c>
    </x:row>
    <x:row r="181">
      <x:c r="A181" s="28"/>
      <x:c r="B181" s="28"/>
      <x:c r="C181" s="28"/>
      <x:c r="D181" s="28"/>
      <x:c r="E181" s="28"/>
      <x:c r="F181" s="28"/>
      <x:c r="G181" s="28"/>
      <x:c r="H181" s="28"/>
      <x:c r="I181" s="28"/>
      <x:c r="J181" s="28"/>
      <x:c r="K181" s="28"/>
      <x:c r="L181" s="28"/>
      <x:c r="M181" s="28"/>
      <x:c r="N181" s="28"/>
      <x:c r="O181" s="28"/>
      <x:c r="P181" s="28"/>
      <x:c r="Q181" s="28"/>
      <x:c r="R181" s="28"/>
      <x:c r="S181" s="28"/>
      <x:c r="T181" s="28"/>
      <x:c r="U181" s="28"/>
      <x:c r="V181" s="28"/>
      <x:c r="W181" s="28"/>
      <x:c r="X181" s="43" t="n">
        <x:f>--AND(S181=1,T181=1,U181=1,V181=1,W181=1)</x:f>
        <x:v>0</x:v>
      </x:c>
      <x:c r="AE181" s="43" t="n">
        <x:f>--AND(S181=1,M181&lt;&gt;"",M181&lt;&gt;"keep")</x:f>
        <x:v>0</x:v>
      </x:c>
      <x:c r="AG181" t="n">
        <x:f>--AND(S181=1,T181=1,U181=1,V181=1,W181=1,AE181=1)</x:f>
        <x:v>0</x:v>
      </x:c>
      <x:c r="AJ181" t="str">
        <x:f>IF(OR(AH181="",AI181=""),"",--(AH181&lt;&gt;AI181))</x:f>
      </x:c>
      <x:c r="AL181" t="str">
        <x:f>IF(OR(AH181="",AI181=""),"PENDING_HUMAN",IF(AH181=AI181,AH181,IF(AK181&lt;&gt;"",AK181,"PENDING_HUMAN")))</x:f>
        <x:v>PENDING_HUMAN</x:v>
      </x:c>
      <x:c r="AM181" t="n">
        <x:f>--AND(A181&lt;&gt;"",AH181&lt;&gt;"",AI181&lt;&gt;"",OR(AH181=AI181,AK181&lt;&gt;""))</x:f>
        <x:v>0</x:v>
      </x:c>
      <x:c r="AN181" t="n">
        <x:f>--AND(Y181&lt;&gt;"",COUNTIF($Y$4:Y181,Y181)=1)</x:f>
        <x:v>0</x:v>
      </x:c>
      <x:c r="AO181" t="n">
        <x:f>--AND(AN181=1,Z181=1,AM181=1)</x:f>
        <x:v>0</x:v>
      </x:c>
      <x:c r="AP181" t="n">
        <x:f>--AND(AO181=1,AA181=1,AL181=1)</x:f>
        <x:v>0</x:v>
      </x:c>
      <x:c r="AQ181" t="n">
        <x:f>--AND(AN181=1,Z181=1)</x:f>
        <x:v>0</x:v>
      </x:c>
      <x:c r="AR181" t="n">
        <x:f>--AND(AQ181=1,AA181=1)</x:f>
        <x:v>0</x:v>
      </x:c>
    </x:row>
    <x:row r="182">
      <x:c r="A182" s="28"/>
      <x:c r="B182" s="28"/>
      <x:c r="C182" s="28"/>
      <x:c r="D182" s="28"/>
      <x:c r="E182" s="28"/>
      <x:c r="F182" s="28"/>
      <x:c r="G182" s="28"/>
      <x:c r="H182" s="28"/>
      <x:c r="I182" s="28"/>
      <x:c r="J182" s="28"/>
      <x:c r="K182" s="28"/>
      <x:c r="L182" s="28"/>
      <x:c r="M182" s="28"/>
      <x:c r="N182" s="28"/>
      <x:c r="O182" s="28"/>
      <x:c r="P182" s="28"/>
      <x:c r="Q182" s="28"/>
      <x:c r="R182" s="28"/>
      <x:c r="S182" s="28"/>
      <x:c r="T182" s="28"/>
      <x:c r="U182" s="28"/>
      <x:c r="V182" s="28"/>
      <x:c r="W182" s="28"/>
      <x:c r="X182" s="43" t="n">
        <x:f>--AND(S182=1,T182=1,U182=1,V182=1,W182=1)</x:f>
        <x:v>0</x:v>
      </x:c>
      <x:c r="AE182" s="43" t="n">
        <x:f>--AND(S182=1,M182&lt;&gt;"",M182&lt;&gt;"keep")</x:f>
        <x:v>0</x:v>
      </x:c>
      <x:c r="AG182" t="n">
        <x:f>--AND(S182=1,T182=1,U182=1,V182=1,W182=1,AE182=1)</x:f>
        <x:v>0</x:v>
      </x:c>
      <x:c r="AJ182" t="str">
        <x:f>IF(OR(AH182="",AI182=""),"",--(AH182&lt;&gt;AI182))</x:f>
      </x:c>
      <x:c r="AL182" t="str">
        <x:f>IF(OR(AH182="",AI182=""),"PENDING_HUMAN",IF(AH182=AI182,AH182,IF(AK182&lt;&gt;"",AK182,"PENDING_HUMAN")))</x:f>
        <x:v>PENDING_HUMAN</x:v>
      </x:c>
      <x:c r="AM182" t="n">
        <x:f>--AND(A182&lt;&gt;"",AH182&lt;&gt;"",AI182&lt;&gt;"",OR(AH182=AI182,AK182&lt;&gt;""))</x:f>
        <x:v>0</x:v>
      </x:c>
      <x:c r="AN182" t="n">
        <x:f>--AND(Y182&lt;&gt;"",COUNTIF($Y$4:Y182,Y182)=1)</x:f>
        <x:v>0</x:v>
      </x:c>
      <x:c r="AO182" t="n">
        <x:f>--AND(AN182=1,Z182=1,AM182=1)</x:f>
        <x:v>0</x:v>
      </x:c>
      <x:c r="AP182" t="n">
        <x:f>--AND(AO182=1,AA182=1,AL182=1)</x:f>
        <x:v>0</x:v>
      </x:c>
      <x:c r="AQ182" t="n">
        <x:f>--AND(AN182=1,Z182=1)</x:f>
        <x:v>0</x:v>
      </x:c>
      <x:c r="AR182" t="n">
        <x:f>--AND(AQ182=1,AA182=1)</x:f>
        <x:v>0</x:v>
      </x:c>
    </x:row>
    <x:row r="183">
      <x:c r="A183" s="28"/>
      <x:c r="B183" s="28"/>
      <x:c r="C183" s="28"/>
      <x:c r="D183" s="28"/>
      <x:c r="E183" s="28"/>
      <x:c r="F183" s="28"/>
      <x:c r="G183" s="28"/>
      <x:c r="H183" s="28"/>
      <x:c r="I183" s="28"/>
      <x:c r="J183" s="28"/>
      <x:c r="K183" s="28"/>
      <x:c r="L183" s="28"/>
      <x:c r="M183" s="28"/>
      <x:c r="N183" s="28"/>
      <x:c r="O183" s="28"/>
      <x:c r="P183" s="28"/>
      <x:c r="Q183" s="28"/>
      <x:c r="R183" s="28"/>
      <x:c r="S183" s="28"/>
      <x:c r="T183" s="28"/>
      <x:c r="U183" s="28"/>
      <x:c r="V183" s="28"/>
      <x:c r="W183" s="28"/>
      <x:c r="X183" s="43" t="n">
        <x:f>--AND(S183=1,T183=1,U183=1,V183=1,W183=1)</x:f>
        <x:v>0</x:v>
      </x:c>
      <x:c r="AE183" s="43" t="n">
        <x:f>--AND(S183=1,M183&lt;&gt;"",M183&lt;&gt;"keep")</x:f>
        <x:v>0</x:v>
      </x:c>
      <x:c r="AG183" t="n">
        <x:f>--AND(S183=1,T183=1,U183=1,V183=1,W183=1,AE183=1)</x:f>
        <x:v>0</x:v>
      </x:c>
      <x:c r="AJ183" t="str">
        <x:f>IF(OR(AH183="",AI183=""),"",--(AH183&lt;&gt;AI183))</x:f>
      </x:c>
      <x:c r="AL183" t="str">
        <x:f>IF(OR(AH183="",AI183=""),"PENDING_HUMAN",IF(AH183=AI183,AH183,IF(AK183&lt;&gt;"",AK183,"PENDING_HUMAN")))</x:f>
        <x:v>PENDING_HUMAN</x:v>
      </x:c>
      <x:c r="AM183" t="n">
        <x:f>--AND(A183&lt;&gt;"",AH183&lt;&gt;"",AI183&lt;&gt;"",OR(AH183=AI183,AK183&lt;&gt;""))</x:f>
        <x:v>0</x:v>
      </x:c>
      <x:c r="AN183" t="n">
        <x:f>--AND(Y183&lt;&gt;"",COUNTIF($Y$4:Y183,Y183)=1)</x:f>
        <x:v>0</x:v>
      </x:c>
      <x:c r="AO183" t="n">
        <x:f>--AND(AN183=1,Z183=1,AM183=1)</x:f>
        <x:v>0</x:v>
      </x:c>
      <x:c r="AP183" t="n">
        <x:f>--AND(AO183=1,AA183=1,AL183=1)</x:f>
        <x:v>0</x:v>
      </x:c>
      <x:c r="AQ183" t="n">
        <x:f>--AND(AN183=1,Z183=1)</x:f>
        <x:v>0</x:v>
      </x:c>
      <x:c r="AR183" t="n">
        <x:f>--AND(AQ183=1,AA183=1)</x:f>
        <x:v>0</x:v>
      </x:c>
    </x:row>
    <x:row r="184">
      <x:c r="A184" s="28"/>
      <x:c r="B184" s="28"/>
      <x:c r="C184" s="28"/>
      <x:c r="D184" s="28"/>
      <x:c r="E184" s="28"/>
      <x:c r="F184" s="28"/>
      <x:c r="G184" s="28"/>
      <x:c r="H184" s="28"/>
      <x:c r="I184" s="28"/>
      <x:c r="J184" s="28"/>
      <x:c r="K184" s="28"/>
      <x:c r="L184" s="28"/>
      <x:c r="M184" s="28"/>
      <x:c r="N184" s="28"/>
      <x:c r="O184" s="28"/>
      <x:c r="P184" s="28"/>
      <x:c r="Q184" s="28"/>
      <x:c r="R184" s="28"/>
      <x:c r="S184" s="28"/>
      <x:c r="T184" s="28"/>
      <x:c r="U184" s="28"/>
      <x:c r="V184" s="28"/>
      <x:c r="W184" s="28"/>
      <x:c r="X184" s="43" t="n">
        <x:f>--AND(S184=1,T184=1,U184=1,V184=1,W184=1)</x:f>
        <x:v>0</x:v>
      </x:c>
      <x:c r="AE184" s="43" t="n">
        <x:f>--AND(S184=1,M184&lt;&gt;"",M184&lt;&gt;"keep")</x:f>
        <x:v>0</x:v>
      </x:c>
      <x:c r="AG184" t="n">
        <x:f>--AND(S184=1,T184=1,U184=1,V184=1,W184=1,AE184=1)</x:f>
        <x:v>0</x:v>
      </x:c>
      <x:c r="AJ184" t="str">
        <x:f>IF(OR(AH184="",AI184=""),"",--(AH184&lt;&gt;AI184))</x:f>
      </x:c>
      <x:c r="AL184" t="str">
        <x:f>IF(OR(AH184="",AI184=""),"PENDING_HUMAN",IF(AH184=AI184,AH184,IF(AK184&lt;&gt;"",AK184,"PENDING_HUMAN")))</x:f>
        <x:v>PENDING_HUMAN</x:v>
      </x:c>
      <x:c r="AM184" t="n">
        <x:f>--AND(A184&lt;&gt;"",AH184&lt;&gt;"",AI184&lt;&gt;"",OR(AH184=AI184,AK184&lt;&gt;""))</x:f>
        <x:v>0</x:v>
      </x:c>
      <x:c r="AN184" t="n">
        <x:f>--AND(Y184&lt;&gt;"",COUNTIF($Y$4:Y184,Y184)=1)</x:f>
        <x:v>0</x:v>
      </x:c>
      <x:c r="AO184" t="n">
        <x:f>--AND(AN184=1,Z184=1,AM184=1)</x:f>
        <x:v>0</x:v>
      </x:c>
      <x:c r="AP184" t="n">
        <x:f>--AND(AO184=1,AA184=1,AL184=1)</x:f>
        <x:v>0</x:v>
      </x:c>
      <x:c r="AQ184" t="n">
        <x:f>--AND(AN184=1,Z184=1)</x:f>
        <x:v>0</x:v>
      </x:c>
      <x:c r="AR184" t="n">
        <x:f>--AND(AQ184=1,AA184=1)</x:f>
        <x:v>0</x:v>
      </x:c>
    </x:row>
    <x:row r="185">
      <x:c r="A185" s="28"/>
      <x:c r="B185" s="28"/>
      <x:c r="C185" s="28"/>
      <x:c r="D185" s="28"/>
      <x:c r="E185" s="28"/>
      <x:c r="F185" s="28"/>
      <x:c r="G185" s="28"/>
      <x:c r="H185" s="28"/>
      <x:c r="I185" s="28"/>
      <x:c r="J185" s="28"/>
      <x:c r="K185" s="28"/>
      <x:c r="L185" s="28"/>
      <x:c r="M185" s="28"/>
      <x:c r="N185" s="28"/>
      <x:c r="O185" s="28"/>
      <x:c r="P185" s="28"/>
      <x:c r="Q185" s="28"/>
      <x:c r="R185" s="28"/>
      <x:c r="S185" s="28"/>
      <x:c r="T185" s="28"/>
      <x:c r="U185" s="28"/>
      <x:c r="V185" s="28"/>
      <x:c r="W185" s="28"/>
      <x:c r="X185" s="43" t="n">
        <x:f>--AND(S185=1,T185=1,U185=1,V185=1,W185=1)</x:f>
        <x:v>0</x:v>
      </x:c>
      <x:c r="AE185" s="43" t="n">
        <x:f>--AND(S185=1,M185&lt;&gt;"",M185&lt;&gt;"keep")</x:f>
        <x:v>0</x:v>
      </x:c>
      <x:c r="AG185" t="n">
        <x:f>--AND(S185=1,T185=1,U185=1,V185=1,W185=1,AE185=1)</x:f>
        <x:v>0</x:v>
      </x:c>
      <x:c r="AJ185" t="str">
        <x:f>IF(OR(AH185="",AI185=""),"",--(AH185&lt;&gt;AI185))</x:f>
      </x:c>
      <x:c r="AL185" t="str">
        <x:f>IF(OR(AH185="",AI185=""),"PENDING_HUMAN",IF(AH185=AI185,AH185,IF(AK185&lt;&gt;"",AK185,"PENDING_HUMAN")))</x:f>
        <x:v>PENDING_HUMAN</x:v>
      </x:c>
      <x:c r="AM185" t="n">
        <x:f>--AND(A185&lt;&gt;"",AH185&lt;&gt;"",AI185&lt;&gt;"",OR(AH185=AI185,AK185&lt;&gt;""))</x:f>
        <x:v>0</x:v>
      </x:c>
      <x:c r="AN185" t="n">
        <x:f>--AND(Y185&lt;&gt;"",COUNTIF($Y$4:Y185,Y185)=1)</x:f>
        <x:v>0</x:v>
      </x:c>
      <x:c r="AO185" t="n">
        <x:f>--AND(AN185=1,Z185=1,AM185=1)</x:f>
        <x:v>0</x:v>
      </x:c>
      <x:c r="AP185" t="n">
        <x:f>--AND(AO185=1,AA185=1,AL185=1)</x:f>
        <x:v>0</x:v>
      </x:c>
      <x:c r="AQ185" t="n">
        <x:f>--AND(AN185=1,Z185=1)</x:f>
        <x:v>0</x:v>
      </x:c>
      <x:c r="AR185" t="n">
        <x:f>--AND(AQ185=1,AA185=1)</x:f>
        <x:v>0</x:v>
      </x:c>
    </x:row>
    <x:row r="186">
      <x:c r="A186" s="28"/>
      <x:c r="B186" s="28"/>
      <x:c r="C186" s="28"/>
      <x:c r="D186" s="28"/>
      <x:c r="E186" s="28"/>
      <x:c r="F186" s="28"/>
      <x:c r="G186" s="28"/>
      <x:c r="H186" s="28"/>
      <x:c r="I186" s="28"/>
      <x:c r="J186" s="28"/>
      <x:c r="K186" s="28"/>
      <x:c r="L186" s="28"/>
      <x:c r="M186" s="28"/>
      <x:c r="N186" s="28"/>
      <x:c r="O186" s="28"/>
      <x:c r="P186" s="28"/>
      <x:c r="Q186" s="28"/>
      <x:c r="R186" s="28"/>
      <x:c r="S186" s="28"/>
      <x:c r="T186" s="28"/>
      <x:c r="U186" s="28"/>
      <x:c r="V186" s="28"/>
      <x:c r="W186" s="28"/>
      <x:c r="X186" s="43" t="n">
        <x:f>--AND(S186=1,T186=1,U186=1,V186=1,W186=1)</x:f>
        <x:v>0</x:v>
      </x:c>
      <x:c r="AE186" s="43" t="n">
        <x:f>--AND(S186=1,M186&lt;&gt;"",M186&lt;&gt;"keep")</x:f>
        <x:v>0</x:v>
      </x:c>
      <x:c r="AG186" t="n">
        <x:f>--AND(S186=1,T186=1,U186=1,V186=1,W186=1,AE186=1)</x:f>
        <x:v>0</x:v>
      </x:c>
      <x:c r="AJ186" t="str">
        <x:f>IF(OR(AH186="",AI186=""),"",--(AH186&lt;&gt;AI186))</x:f>
      </x:c>
      <x:c r="AL186" t="str">
        <x:f>IF(OR(AH186="",AI186=""),"PENDING_HUMAN",IF(AH186=AI186,AH186,IF(AK186&lt;&gt;"",AK186,"PENDING_HUMAN")))</x:f>
        <x:v>PENDING_HUMAN</x:v>
      </x:c>
      <x:c r="AM186" t="n">
        <x:f>--AND(A186&lt;&gt;"",AH186&lt;&gt;"",AI186&lt;&gt;"",OR(AH186=AI186,AK186&lt;&gt;""))</x:f>
        <x:v>0</x:v>
      </x:c>
      <x:c r="AN186" t="n">
        <x:f>--AND(Y186&lt;&gt;"",COUNTIF($Y$4:Y186,Y186)=1)</x:f>
        <x:v>0</x:v>
      </x:c>
      <x:c r="AO186" t="n">
        <x:f>--AND(AN186=1,Z186=1,AM186=1)</x:f>
        <x:v>0</x:v>
      </x:c>
      <x:c r="AP186" t="n">
        <x:f>--AND(AO186=1,AA186=1,AL186=1)</x:f>
        <x:v>0</x:v>
      </x:c>
      <x:c r="AQ186" t="n">
        <x:f>--AND(AN186=1,Z186=1)</x:f>
        <x:v>0</x:v>
      </x:c>
      <x:c r="AR186" t="n">
        <x:f>--AND(AQ186=1,AA186=1)</x:f>
        <x:v>0</x:v>
      </x:c>
    </x:row>
    <x:row r="187">
      <x:c r="A187" s="28"/>
      <x:c r="B187" s="28"/>
      <x:c r="C187" s="28"/>
      <x:c r="D187" s="28"/>
      <x:c r="E187" s="28"/>
      <x:c r="F187" s="28"/>
      <x:c r="G187" s="28"/>
      <x:c r="H187" s="28"/>
      <x:c r="I187" s="28"/>
      <x:c r="J187" s="28"/>
      <x:c r="K187" s="28"/>
      <x:c r="L187" s="28"/>
      <x:c r="M187" s="28"/>
      <x:c r="N187" s="28"/>
      <x:c r="O187" s="28"/>
      <x:c r="P187" s="28"/>
      <x:c r="Q187" s="28"/>
      <x:c r="R187" s="28"/>
      <x:c r="S187" s="28"/>
      <x:c r="T187" s="28"/>
      <x:c r="U187" s="28"/>
      <x:c r="V187" s="28"/>
      <x:c r="W187" s="28"/>
      <x:c r="X187" s="43" t="n">
        <x:f>--AND(S187=1,T187=1,U187=1,V187=1,W187=1)</x:f>
        <x:v>0</x:v>
      </x:c>
      <x:c r="AE187" s="43" t="n">
        <x:f>--AND(S187=1,M187&lt;&gt;"",M187&lt;&gt;"keep")</x:f>
        <x:v>0</x:v>
      </x:c>
      <x:c r="AG187" t="n">
        <x:f>--AND(S187=1,T187=1,U187=1,V187=1,W187=1,AE187=1)</x:f>
        <x:v>0</x:v>
      </x:c>
      <x:c r="AJ187" t="str">
        <x:f>IF(OR(AH187="",AI187=""),"",--(AH187&lt;&gt;AI187))</x:f>
      </x:c>
      <x:c r="AL187" t="str">
        <x:f>IF(OR(AH187="",AI187=""),"PENDING_HUMAN",IF(AH187=AI187,AH187,IF(AK187&lt;&gt;"",AK187,"PENDING_HUMAN")))</x:f>
        <x:v>PENDING_HUMAN</x:v>
      </x:c>
      <x:c r="AM187" t="n">
        <x:f>--AND(A187&lt;&gt;"",AH187&lt;&gt;"",AI187&lt;&gt;"",OR(AH187=AI187,AK187&lt;&gt;""))</x:f>
        <x:v>0</x:v>
      </x:c>
      <x:c r="AN187" t="n">
        <x:f>--AND(Y187&lt;&gt;"",COUNTIF($Y$4:Y187,Y187)=1)</x:f>
        <x:v>0</x:v>
      </x:c>
      <x:c r="AO187" t="n">
        <x:f>--AND(AN187=1,Z187=1,AM187=1)</x:f>
        <x:v>0</x:v>
      </x:c>
      <x:c r="AP187" t="n">
        <x:f>--AND(AO187=1,AA187=1,AL187=1)</x:f>
        <x:v>0</x:v>
      </x:c>
      <x:c r="AQ187" t="n">
        <x:f>--AND(AN187=1,Z187=1)</x:f>
        <x:v>0</x:v>
      </x:c>
      <x:c r="AR187" t="n">
        <x:f>--AND(AQ187=1,AA187=1)</x:f>
        <x:v>0</x:v>
      </x:c>
    </x:row>
    <x:row r="188">
      <x:c r="A188" s="28"/>
      <x:c r="B188" s="28"/>
      <x:c r="C188" s="28"/>
      <x:c r="D188" s="28"/>
      <x:c r="E188" s="28"/>
      <x:c r="F188" s="28"/>
      <x:c r="G188" s="28"/>
      <x:c r="H188" s="28"/>
      <x:c r="I188" s="28"/>
      <x:c r="J188" s="28"/>
      <x:c r="K188" s="28"/>
      <x:c r="L188" s="28"/>
      <x:c r="M188" s="28"/>
      <x:c r="N188" s="28"/>
      <x:c r="O188" s="28"/>
      <x:c r="P188" s="28"/>
      <x:c r="Q188" s="28"/>
      <x:c r="R188" s="28"/>
      <x:c r="S188" s="28"/>
      <x:c r="T188" s="28"/>
      <x:c r="U188" s="28"/>
      <x:c r="V188" s="28"/>
      <x:c r="W188" s="28"/>
      <x:c r="X188" s="43" t="n">
        <x:f>--AND(S188=1,T188=1,U188=1,V188=1,W188=1)</x:f>
        <x:v>0</x:v>
      </x:c>
      <x:c r="AE188" s="43" t="n">
        <x:f>--AND(S188=1,M188&lt;&gt;"",M188&lt;&gt;"keep")</x:f>
        <x:v>0</x:v>
      </x:c>
      <x:c r="AG188" t="n">
        <x:f>--AND(S188=1,T188=1,U188=1,V188=1,W188=1,AE188=1)</x:f>
        <x:v>0</x:v>
      </x:c>
      <x:c r="AJ188" t="str">
        <x:f>IF(OR(AH188="",AI188=""),"",--(AH188&lt;&gt;AI188))</x:f>
      </x:c>
      <x:c r="AL188" t="str">
        <x:f>IF(OR(AH188="",AI188=""),"PENDING_HUMAN",IF(AH188=AI188,AH188,IF(AK188&lt;&gt;"",AK188,"PENDING_HUMAN")))</x:f>
        <x:v>PENDING_HUMAN</x:v>
      </x:c>
      <x:c r="AM188" t="n">
        <x:f>--AND(A188&lt;&gt;"",AH188&lt;&gt;"",AI188&lt;&gt;"",OR(AH188=AI188,AK188&lt;&gt;""))</x:f>
        <x:v>0</x:v>
      </x:c>
      <x:c r="AN188" t="n">
        <x:f>--AND(Y188&lt;&gt;"",COUNTIF($Y$4:Y188,Y188)=1)</x:f>
        <x:v>0</x:v>
      </x:c>
      <x:c r="AO188" t="n">
        <x:f>--AND(AN188=1,Z188=1,AM188=1)</x:f>
        <x:v>0</x:v>
      </x:c>
      <x:c r="AP188" t="n">
        <x:f>--AND(AO188=1,AA188=1,AL188=1)</x:f>
        <x:v>0</x:v>
      </x:c>
      <x:c r="AQ188" t="n">
        <x:f>--AND(AN188=1,Z188=1)</x:f>
        <x:v>0</x:v>
      </x:c>
      <x:c r="AR188" t="n">
        <x:f>--AND(AQ188=1,AA188=1)</x:f>
        <x:v>0</x:v>
      </x:c>
    </x:row>
    <x:row r="189">
      <x:c r="A189" s="28"/>
      <x:c r="B189" s="28"/>
      <x:c r="C189" s="28"/>
      <x:c r="D189" s="28"/>
      <x:c r="E189" s="28"/>
      <x:c r="F189" s="28"/>
      <x:c r="G189" s="28"/>
      <x:c r="H189" s="28"/>
      <x:c r="I189" s="28"/>
      <x:c r="J189" s="28"/>
      <x:c r="K189" s="28"/>
      <x:c r="L189" s="28"/>
      <x:c r="M189" s="28"/>
      <x:c r="N189" s="28"/>
      <x:c r="O189" s="28"/>
      <x:c r="P189" s="28"/>
      <x:c r="Q189" s="28"/>
      <x:c r="R189" s="28"/>
      <x:c r="S189" s="28"/>
      <x:c r="T189" s="28"/>
      <x:c r="U189" s="28"/>
      <x:c r="V189" s="28"/>
      <x:c r="W189" s="28"/>
      <x:c r="X189" s="43" t="n">
        <x:f>--AND(S189=1,T189=1,U189=1,V189=1,W189=1)</x:f>
        <x:v>0</x:v>
      </x:c>
      <x:c r="AE189" s="43" t="n">
        <x:f>--AND(S189=1,M189&lt;&gt;"",M189&lt;&gt;"keep")</x:f>
        <x:v>0</x:v>
      </x:c>
      <x:c r="AG189" t="n">
        <x:f>--AND(S189=1,T189=1,U189=1,V189=1,W189=1,AE189=1)</x:f>
        <x:v>0</x:v>
      </x:c>
      <x:c r="AJ189" t="str">
        <x:f>IF(OR(AH189="",AI189=""),"",--(AH189&lt;&gt;AI189))</x:f>
      </x:c>
      <x:c r="AL189" t="str">
        <x:f>IF(OR(AH189="",AI189=""),"PENDING_HUMAN",IF(AH189=AI189,AH189,IF(AK189&lt;&gt;"",AK189,"PENDING_HUMAN")))</x:f>
        <x:v>PENDING_HUMAN</x:v>
      </x:c>
      <x:c r="AM189" t="n">
        <x:f>--AND(A189&lt;&gt;"",AH189&lt;&gt;"",AI189&lt;&gt;"",OR(AH189=AI189,AK189&lt;&gt;""))</x:f>
        <x:v>0</x:v>
      </x:c>
      <x:c r="AN189" t="n">
        <x:f>--AND(Y189&lt;&gt;"",COUNTIF($Y$4:Y189,Y189)=1)</x:f>
        <x:v>0</x:v>
      </x:c>
      <x:c r="AO189" t="n">
        <x:f>--AND(AN189=1,Z189=1,AM189=1)</x:f>
        <x:v>0</x:v>
      </x:c>
      <x:c r="AP189" t="n">
        <x:f>--AND(AO189=1,AA189=1,AL189=1)</x:f>
        <x:v>0</x:v>
      </x:c>
      <x:c r="AQ189" t="n">
        <x:f>--AND(AN189=1,Z189=1)</x:f>
        <x:v>0</x:v>
      </x:c>
      <x:c r="AR189" t="n">
        <x:f>--AND(AQ189=1,AA189=1)</x:f>
        <x:v>0</x:v>
      </x:c>
    </x:row>
    <x:row r="190">
      <x:c r="A190" s="28"/>
      <x:c r="B190" s="28"/>
      <x:c r="C190" s="28"/>
      <x:c r="D190" s="28"/>
      <x:c r="E190" s="28"/>
      <x:c r="F190" s="28"/>
      <x:c r="G190" s="28"/>
      <x:c r="H190" s="28"/>
      <x:c r="I190" s="28"/>
      <x:c r="J190" s="28"/>
      <x:c r="K190" s="28"/>
      <x:c r="L190" s="28"/>
      <x:c r="M190" s="28"/>
      <x:c r="N190" s="28"/>
      <x:c r="O190" s="28"/>
      <x:c r="P190" s="28"/>
      <x:c r="Q190" s="28"/>
      <x:c r="R190" s="28"/>
      <x:c r="S190" s="28"/>
      <x:c r="T190" s="28"/>
      <x:c r="U190" s="28"/>
      <x:c r="V190" s="28"/>
      <x:c r="W190" s="28"/>
      <x:c r="X190" s="43" t="n">
        <x:f>--AND(S190=1,T190=1,U190=1,V190=1,W190=1)</x:f>
        <x:v>0</x:v>
      </x:c>
      <x:c r="AE190" s="43" t="n">
        <x:f>--AND(S190=1,M190&lt;&gt;"",M190&lt;&gt;"keep")</x:f>
        <x:v>0</x:v>
      </x:c>
      <x:c r="AG190" t="n">
        <x:f>--AND(S190=1,T190=1,U190=1,V190=1,W190=1,AE190=1)</x:f>
        <x:v>0</x:v>
      </x:c>
      <x:c r="AJ190" t="str">
        <x:f>IF(OR(AH190="",AI190=""),"",--(AH190&lt;&gt;AI190))</x:f>
      </x:c>
      <x:c r="AL190" t="str">
        <x:f>IF(OR(AH190="",AI190=""),"PENDING_HUMAN",IF(AH190=AI190,AH190,IF(AK190&lt;&gt;"",AK190,"PENDING_HUMAN")))</x:f>
        <x:v>PENDING_HUMAN</x:v>
      </x:c>
      <x:c r="AM190" t="n">
        <x:f>--AND(A190&lt;&gt;"",AH190&lt;&gt;"",AI190&lt;&gt;"",OR(AH190=AI190,AK190&lt;&gt;""))</x:f>
        <x:v>0</x:v>
      </x:c>
      <x:c r="AN190" t="n">
        <x:f>--AND(Y190&lt;&gt;"",COUNTIF($Y$4:Y190,Y190)=1)</x:f>
        <x:v>0</x:v>
      </x:c>
      <x:c r="AO190" t="n">
        <x:f>--AND(AN190=1,Z190=1,AM190=1)</x:f>
        <x:v>0</x:v>
      </x:c>
      <x:c r="AP190" t="n">
        <x:f>--AND(AO190=1,AA190=1,AL190=1)</x:f>
        <x:v>0</x:v>
      </x:c>
      <x:c r="AQ190" t="n">
        <x:f>--AND(AN190=1,Z190=1)</x:f>
        <x:v>0</x:v>
      </x:c>
      <x:c r="AR190" t="n">
        <x:f>--AND(AQ190=1,AA190=1)</x:f>
        <x:v>0</x:v>
      </x:c>
    </x:row>
    <x:row r="191">
      <x:c r="A191" s="28"/>
      <x:c r="B191" s="28"/>
      <x:c r="C191" s="28"/>
      <x:c r="D191" s="28"/>
      <x:c r="E191" s="28"/>
      <x:c r="F191" s="28"/>
      <x:c r="G191" s="28"/>
      <x:c r="H191" s="28"/>
      <x:c r="I191" s="28"/>
      <x:c r="J191" s="28"/>
      <x:c r="K191" s="28"/>
      <x:c r="L191" s="28"/>
      <x:c r="M191" s="28"/>
      <x:c r="N191" s="28"/>
      <x:c r="O191" s="28"/>
      <x:c r="P191" s="28"/>
      <x:c r="Q191" s="28"/>
      <x:c r="R191" s="28"/>
      <x:c r="S191" s="28"/>
      <x:c r="T191" s="28"/>
      <x:c r="U191" s="28"/>
      <x:c r="V191" s="28"/>
      <x:c r="W191" s="28"/>
      <x:c r="X191" s="43" t="n">
        <x:f>--AND(S191=1,T191=1,U191=1,V191=1,W191=1)</x:f>
        <x:v>0</x:v>
      </x:c>
      <x:c r="AE191" s="43" t="n">
        <x:f>--AND(S191=1,M191&lt;&gt;"",M191&lt;&gt;"keep")</x:f>
        <x:v>0</x:v>
      </x:c>
      <x:c r="AG191" t="n">
        <x:f>--AND(S191=1,T191=1,U191=1,V191=1,W191=1,AE191=1)</x:f>
        <x:v>0</x:v>
      </x:c>
      <x:c r="AJ191" t="str">
        <x:f>IF(OR(AH191="",AI191=""),"",--(AH191&lt;&gt;AI191))</x:f>
      </x:c>
      <x:c r="AL191" t="str">
        <x:f>IF(OR(AH191="",AI191=""),"PENDING_HUMAN",IF(AH191=AI191,AH191,IF(AK191&lt;&gt;"",AK191,"PENDING_HUMAN")))</x:f>
        <x:v>PENDING_HUMAN</x:v>
      </x:c>
      <x:c r="AM191" t="n">
        <x:f>--AND(A191&lt;&gt;"",AH191&lt;&gt;"",AI191&lt;&gt;"",OR(AH191=AI191,AK191&lt;&gt;""))</x:f>
        <x:v>0</x:v>
      </x:c>
      <x:c r="AN191" t="n">
        <x:f>--AND(Y191&lt;&gt;"",COUNTIF($Y$4:Y191,Y191)=1)</x:f>
        <x:v>0</x:v>
      </x:c>
      <x:c r="AO191" t="n">
        <x:f>--AND(AN191=1,Z191=1,AM191=1)</x:f>
        <x:v>0</x:v>
      </x:c>
      <x:c r="AP191" t="n">
        <x:f>--AND(AO191=1,AA191=1,AL191=1)</x:f>
        <x:v>0</x:v>
      </x:c>
      <x:c r="AQ191" t="n">
        <x:f>--AND(AN191=1,Z191=1)</x:f>
        <x:v>0</x:v>
      </x:c>
      <x:c r="AR191" t="n">
        <x:f>--AND(AQ191=1,AA191=1)</x:f>
        <x:v>0</x:v>
      </x:c>
    </x:row>
    <x:row r="192">
      <x:c r="A192" s="28"/>
      <x:c r="B192" s="28"/>
      <x:c r="C192" s="28"/>
      <x:c r="D192" s="28"/>
      <x:c r="E192" s="28"/>
      <x:c r="F192" s="28"/>
      <x:c r="G192" s="28"/>
      <x:c r="H192" s="28"/>
      <x:c r="I192" s="28"/>
      <x:c r="J192" s="28"/>
      <x:c r="K192" s="28"/>
      <x:c r="L192" s="28"/>
      <x:c r="M192" s="28"/>
      <x:c r="N192" s="28"/>
      <x:c r="O192" s="28"/>
      <x:c r="P192" s="28"/>
      <x:c r="Q192" s="28"/>
      <x:c r="R192" s="28"/>
      <x:c r="S192" s="28"/>
      <x:c r="T192" s="28"/>
      <x:c r="U192" s="28"/>
      <x:c r="V192" s="28"/>
      <x:c r="W192" s="28"/>
      <x:c r="X192" s="43" t="n">
        <x:f>--AND(S192=1,T192=1,U192=1,V192=1,W192=1)</x:f>
        <x:v>0</x:v>
      </x:c>
      <x:c r="AE192" s="43" t="n">
        <x:f>--AND(S192=1,M192&lt;&gt;"",M192&lt;&gt;"keep")</x:f>
        <x:v>0</x:v>
      </x:c>
      <x:c r="AG192" t="n">
        <x:f>--AND(S192=1,T192=1,U192=1,V192=1,W192=1,AE192=1)</x:f>
        <x:v>0</x:v>
      </x:c>
      <x:c r="AJ192" t="str">
        <x:f>IF(OR(AH192="",AI192=""),"",--(AH192&lt;&gt;AI192))</x:f>
      </x:c>
      <x:c r="AL192" t="str">
        <x:f>IF(OR(AH192="",AI192=""),"PENDING_HUMAN",IF(AH192=AI192,AH192,IF(AK192&lt;&gt;"",AK192,"PENDING_HUMAN")))</x:f>
        <x:v>PENDING_HUMAN</x:v>
      </x:c>
      <x:c r="AM192" t="n">
        <x:f>--AND(A192&lt;&gt;"",AH192&lt;&gt;"",AI192&lt;&gt;"",OR(AH192=AI192,AK192&lt;&gt;""))</x:f>
        <x:v>0</x:v>
      </x:c>
      <x:c r="AN192" t="n">
        <x:f>--AND(Y192&lt;&gt;"",COUNTIF($Y$4:Y192,Y192)=1)</x:f>
        <x:v>0</x:v>
      </x:c>
      <x:c r="AO192" t="n">
        <x:f>--AND(AN192=1,Z192=1,AM192=1)</x:f>
        <x:v>0</x:v>
      </x:c>
      <x:c r="AP192" t="n">
        <x:f>--AND(AO192=1,AA192=1,AL192=1)</x:f>
        <x:v>0</x:v>
      </x:c>
      <x:c r="AQ192" t="n">
        <x:f>--AND(AN192=1,Z192=1)</x:f>
        <x:v>0</x:v>
      </x:c>
      <x:c r="AR192" t="n">
        <x:f>--AND(AQ192=1,AA192=1)</x:f>
        <x:v>0</x:v>
      </x:c>
    </x:row>
    <x:row r="193">
      <x:c r="A193" s="28"/>
      <x:c r="B193" s="28"/>
      <x:c r="C193" s="28"/>
      <x:c r="D193" s="28"/>
      <x:c r="E193" s="28"/>
      <x:c r="F193" s="28"/>
      <x:c r="G193" s="28"/>
      <x:c r="H193" s="28"/>
      <x:c r="I193" s="28"/>
      <x:c r="J193" s="28"/>
      <x:c r="K193" s="28"/>
      <x:c r="L193" s="28"/>
      <x:c r="M193" s="28"/>
      <x:c r="N193" s="28"/>
      <x:c r="O193" s="28"/>
      <x:c r="P193" s="28"/>
      <x:c r="Q193" s="28"/>
      <x:c r="R193" s="28"/>
      <x:c r="S193" s="28"/>
      <x:c r="T193" s="28"/>
      <x:c r="U193" s="28"/>
      <x:c r="V193" s="28"/>
      <x:c r="W193" s="28"/>
      <x:c r="X193" s="43" t="n">
        <x:f>--AND(S193=1,T193=1,U193=1,V193=1,W193=1)</x:f>
        <x:v>0</x:v>
      </x:c>
      <x:c r="AE193" s="43" t="n">
        <x:f>--AND(S193=1,M193&lt;&gt;"",M193&lt;&gt;"keep")</x:f>
        <x:v>0</x:v>
      </x:c>
      <x:c r="AG193" t="n">
        <x:f>--AND(S193=1,T193=1,U193=1,V193=1,W193=1,AE193=1)</x:f>
        <x:v>0</x:v>
      </x:c>
      <x:c r="AJ193" t="str">
        <x:f>IF(OR(AH193="",AI193=""),"",--(AH193&lt;&gt;AI193))</x:f>
      </x:c>
      <x:c r="AL193" t="str">
        <x:f>IF(OR(AH193="",AI193=""),"PENDING_HUMAN",IF(AH193=AI193,AH193,IF(AK193&lt;&gt;"",AK193,"PENDING_HUMAN")))</x:f>
        <x:v>PENDING_HUMAN</x:v>
      </x:c>
      <x:c r="AM193" t="n">
        <x:f>--AND(A193&lt;&gt;"",AH193&lt;&gt;"",AI193&lt;&gt;"",OR(AH193=AI193,AK193&lt;&gt;""))</x:f>
        <x:v>0</x:v>
      </x:c>
      <x:c r="AN193" t="n">
        <x:f>--AND(Y193&lt;&gt;"",COUNTIF($Y$4:Y193,Y193)=1)</x:f>
        <x:v>0</x:v>
      </x:c>
      <x:c r="AO193" t="n">
        <x:f>--AND(AN193=1,Z193=1,AM193=1)</x:f>
        <x:v>0</x:v>
      </x:c>
      <x:c r="AP193" t="n">
        <x:f>--AND(AO193=1,AA193=1,AL193=1)</x:f>
        <x:v>0</x:v>
      </x:c>
      <x:c r="AQ193" t="n">
        <x:f>--AND(AN193=1,Z193=1)</x:f>
        <x:v>0</x:v>
      </x:c>
      <x:c r="AR193" t="n">
        <x:f>--AND(AQ193=1,AA193=1)</x:f>
        <x:v>0</x:v>
      </x:c>
    </x:row>
    <x:row r="194">
      <x:c r="A194" s="28"/>
      <x:c r="B194" s="28"/>
      <x:c r="C194" s="28"/>
      <x:c r="D194" s="28"/>
      <x:c r="E194" s="28"/>
      <x:c r="F194" s="28"/>
      <x:c r="G194" s="28"/>
      <x:c r="H194" s="28"/>
      <x:c r="I194" s="28"/>
      <x:c r="J194" s="28"/>
      <x:c r="K194" s="28"/>
      <x:c r="L194" s="28"/>
      <x:c r="M194" s="28"/>
      <x:c r="N194" s="28"/>
      <x:c r="O194" s="28"/>
      <x:c r="P194" s="28"/>
      <x:c r="Q194" s="28"/>
      <x:c r="R194" s="28"/>
      <x:c r="S194" s="28"/>
      <x:c r="T194" s="28"/>
      <x:c r="U194" s="28"/>
      <x:c r="V194" s="28"/>
      <x:c r="W194" s="28"/>
      <x:c r="X194" s="43" t="n">
        <x:f>--AND(S194=1,T194=1,U194=1,V194=1,W194=1)</x:f>
        <x:v>0</x:v>
      </x:c>
      <x:c r="AE194" s="43" t="n">
        <x:f>--AND(S194=1,M194&lt;&gt;"",M194&lt;&gt;"keep")</x:f>
        <x:v>0</x:v>
      </x:c>
      <x:c r="AG194" t="n">
        <x:f>--AND(S194=1,T194=1,U194=1,V194=1,W194=1,AE194=1)</x:f>
        <x:v>0</x:v>
      </x:c>
      <x:c r="AJ194" t="str">
        <x:f>IF(OR(AH194="",AI194=""),"",--(AH194&lt;&gt;AI194))</x:f>
      </x:c>
      <x:c r="AL194" t="str">
        <x:f>IF(OR(AH194="",AI194=""),"PENDING_HUMAN",IF(AH194=AI194,AH194,IF(AK194&lt;&gt;"",AK194,"PENDING_HUMAN")))</x:f>
        <x:v>PENDING_HUMAN</x:v>
      </x:c>
      <x:c r="AM194" t="n">
        <x:f>--AND(A194&lt;&gt;"",AH194&lt;&gt;"",AI194&lt;&gt;"",OR(AH194=AI194,AK194&lt;&gt;""))</x:f>
        <x:v>0</x:v>
      </x:c>
      <x:c r="AN194" t="n">
        <x:f>--AND(Y194&lt;&gt;"",COUNTIF($Y$4:Y194,Y194)=1)</x:f>
        <x:v>0</x:v>
      </x:c>
      <x:c r="AO194" t="n">
        <x:f>--AND(AN194=1,Z194=1,AM194=1)</x:f>
        <x:v>0</x:v>
      </x:c>
      <x:c r="AP194" t="n">
        <x:f>--AND(AO194=1,AA194=1,AL194=1)</x:f>
        <x:v>0</x:v>
      </x:c>
      <x:c r="AQ194" t="n">
        <x:f>--AND(AN194=1,Z194=1)</x:f>
        <x:v>0</x:v>
      </x:c>
      <x:c r="AR194" t="n">
        <x:f>--AND(AQ194=1,AA194=1)</x:f>
        <x:v>0</x:v>
      </x:c>
    </x:row>
    <x:row r="195">
      <x:c r="A195" s="28"/>
      <x:c r="B195" s="28"/>
      <x:c r="C195" s="28"/>
      <x:c r="D195" s="28"/>
      <x:c r="E195" s="28"/>
      <x:c r="F195" s="28"/>
      <x:c r="G195" s="28"/>
      <x:c r="H195" s="28"/>
      <x:c r="I195" s="28"/>
      <x:c r="J195" s="28"/>
      <x:c r="K195" s="28"/>
      <x:c r="L195" s="28"/>
      <x:c r="M195" s="28"/>
      <x:c r="N195" s="28"/>
      <x:c r="O195" s="28"/>
      <x:c r="P195" s="28"/>
      <x:c r="Q195" s="28"/>
      <x:c r="R195" s="28"/>
      <x:c r="S195" s="28"/>
      <x:c r="T195" s="28"/>
      <x:c r="U195" s="28"/>
      <x:c r="V195" s="28"/>
      <x:c r="W195" s="28"/>
      <x:c r="X195" s="43" t="n">
        <x:f>--AND(S195=1,T195=1,U195=1,V195=1,W195=1)</x:f>
        <x:v>0</x:v>
      </x:c>
      <x:c r="AE195" s="43" t="n">
        <x:f>--AND(S195=1,M195&lt;&gt;"",M195&lt;&gt;"keep")</x:f>
        <x:v>0</x:v>
      </x:c>
      <x:c r="AG195" t="n">
        <x:f>--AND(S195=1,T195=1,U195=1,V195=1,W195=1,AE195=1)</x:f>
        <x:v>0</x:v>
      </x:c>
      <x:c r="AJ195" t="str">
        <x:f>IF(OR(AH195="",AI195=""),"",--(AH195&lt;&gt;AI195))</x:f>
      </x:c>
      <x:c r="AL195" t="str">
        <x:f>IF(OR(AH195="",AI195=""),"PENDING_HUMAN",IF(AH195=AI195,AH195,IF(AK195&lt;&gt;"",AK195,"PENDING_HUMAN")))</x:f>
        <x:v>PENDING_HUMAN</x:v>
      </x:c>
      <x:c r="AM195" t="n">
        <x:f>--AND(A195&lt;&gt;"",AH195&lt;&gt;"",AI195&lt;&gt;"",OR(AH195=AI195,AK195&lt;&gt;""))</x:f>
        <x:v>0</x:v>
      </x:c>
      <x:c r="AN195" t="n">
        <x:f>--AND(Y195&lt;&gt;"",COUNTIF($Y$4:Y195,Y195)=1)</x:f>
        <x:v>0</x:v>
      </x:c>
      <x:c r="AO195" t="n">
        <x:f>--AND(AN195=1,Z195=1,AM195=1)</x:f>
        <x:v>0</x:v>
      </x:c>
      <x:c r="AP195" t="n">
        <x:f>--AND(AO195=1,AA195=1,AL195=1)</x:f>
        <x:v>0</x:v>
      </x:c>
      <x:c r="AQ195" t="n">
        <x:f>--AND(AN195=1,Z195=1)</x:f>
        <x:v>0</x:v>
      </x:c>
      <x:c r="AR195" t="n">
        <x:f>--AND(AQ195=1,AA195=1)</x:f>
        <x:v>0</x:v>
      </x:c>
    </x:row>
    <x:row r="196">
      <x:c r="A196" s="28"/>
      <x:c r="B196" s="28"/>
      <x:c r="C196" s="28"/>
      <x:c r="D196" s="28"/>
      <x:c r="E196" s="28"/>
      <x:c r="F196" s="28"/>
      <x:c r="G196" s="28"/>
      <x:c r="H196" s="28"/>
      <x:c r="I196" s="28"/>
      <x:c r="J196" s="28"/>
      <x:c r="K196" s="28"/>
      <x:c r="L196" s="28"/>
      <x:c r="M196" s="28"/>
      <x:c r="N196" s="28"/>
      <x:c r="O196" s="28"/>
      <x:c r="P196" s="28"/>
      <x:c r="Q196" s="28"/>
      <x:c r="R196" s="28"/>
      <x:c r="S196" s="28"/>
      <x:c r="T196" s="28"/>
      <x:c r="U196" s="28"/>
      <x:c r="V196" s="28"/>
      <x:c r="W196" s="28"/>
      <x:c r="X196" s="43" t="n">
        <x:f>--AND(S196=1,T196=1,U196=1,V196=1,W196=1)</x:f>
        <x:v>0</x:v>
      </x:c>
      <x:c r="AE196" s="43" t="n">
        <x:f>--AND(S196=1,M196&lt;&gt;"",M196&lt;&gt;"keep")</x:f>
        <x:v>0</x:v>
      </x:c>
      <x:c r="AG196" t="n">
        <x:f>--AND(S196=1,T196=1,U196=1,V196=1,W196=1,AE196=1)</x:f>
        <x:v>0</x:v>
      </x:c>
      <x:c r="AJ196" t="str">
        <x:f>IF(OR(AH196="",AI196=""),"",--(AH196&lt;&gt;AI196))</x:f>
      </x:c>
      <x:c r="AL196" t="str">
        <x:f>IF(OR(AH196="",AI196=""),"PENDING_HUMAN",IF(AH196=AI196,AH196,IF(AK196&lt;&gt;"",AK196,"PENDING_HUMAN")))</x:f>
        <x:v>PENDING_HUMAN</x:v>
      </x:c>
      <x:c r="AM196" t="n">
        <x:f>--AND(A196&lt;&gt;"",AH196&lt;&gt;"",AI196&lt;&gt;"",OR(AH196=AI196,AK196&lt;&gt;""))</x:f>
        <x:v>0</x:v>
      </x:c>
      <x:c r="AN196" t="n">
        <x:f>--AND(Y196&lt;&gt;"",COUNTIF($Y$4:Y196,Y196)=1)</x:f>
        <x:v>0</x:v>
      </x:c>
      <x:c r="AO196" t="n">
        <x:f>--AND(AN196=1,Z196=1,AM196=1)</x:f>
        <x:v>0</x:v>
      </x:c>
      <x:c r="AP196" t="n">
        <x:f>--AND(AO196=1,AA196=1,AL196=1)</x:f>
        <x:v>0</x:v>
      </x:c>
      <x:c r="AQ196" t="n">
        <x:f>--AND(AN196=1,Z196=1)</x:f>
        <x:v>0</x:v>
      </x:c>
      <x:c r="AR196" t="n">
        <x:f>--AND(AQ196=1,AA196=1)</x:f>
        <x:v>0</x:v>
      </x:c>
    </x:row>
    <x:row r="197">
      <x:c r="A197" s="28"/>
      <x:c r="B197" s="28"/>
      <x:c r="C197" s="28"/>
      <x:c r="D197" s="28"/>
      <x:c r="E197" s="28"/>
      <x:c r="F197" s="28"/>
      <x:c r="G197" s="28"/>
      <x:c r="H197" s="28"/>
      <x:c r="I197" s="28"/>
      <x:c r="J197" s="28"/>
      <x:c r="K197" s="28"/>
      <x:c r="L197" s="28"/>
      <x:c r="M197" s="28"/>
      <x:c r="N197" s="28"/>
      <x:c r="O197" s="28"/>
      <x:c r="P197" s="28"/>
      <x:c r="Q197" s="28"/>
      <x:c r="R197" s="28"/>
      <x:c r="S197" s="28"/>
      <x:c r="T197" s="28"/>
      <x:c r="U197" s="28"/>
      <x:c r="V197" s="28"/>
      <x:c r="W197" s="28"/>
      <x:c r="X197" s="43" t="n">
        <x:f>--AND(S197=1,T197=1,U197=1,V197=1,W197=1)</x:f>
        <x:v>0</x:v>
      </x:c>
      <x:c r="AE197" s="43" t="n">
        <x:f>--AND(S197=1,M197&lt;&gt;"",M197&lt;&gt;"keep")</x:f>
        <x:v>0</x:v>
      </x:c>
      <x:c r="AG197" t="n">
        <x:f>--AND(S197=1,T197=1,U197=1,V197=1,W197=1,AE197=1)</x:f>
        <x:v>0</x:v>
      </x:c>
      <x:c r="AJ197" t="str">
        <x:f>IF(OR(AH197="",AI197=""),"",--(AH197&lt;&gt;AI197))</x:f>
      </x:c>
      <x:c r="AL197" t="str">
        <x:f>IF(OR(AH197="",AI197=""),"PENDING_HUMAN",IF(AH197=AI197,AH197,IF(AK197&lt;&gt;"",AK197,"PENDING_HUMAN")))</x:f>
        <x:v>PENDING_HUMAN</x:v>
      </x:c>
      <x:c r="AM197" t="n">
        <x:f>--AND(A197&lt;&gt;"",AH197&lt;&gt;"",AI197&lt;&gt;"",OR(AH197=AI197,AK197&lt;&gt;""))</x:f>
        <x:v>0</x:v>
      </x:c>
      <x:c r="AN197" t="n">
        <x:f>--AND(Y197&lt;&gt;"",COUNTIF($Y$4:Y197,Y197)=1)</x:f>
        <x:v>0</x:v>
      </x:c>
      <x:c r="AO197" t="n">
        <x:f>--AND(AN197=1,Z197=1,AM197=1)</x:f>
        <x:v>0</x:v>
      </x:c>
      <x:c r="AP197" t="n">
        <x:f>--AND(AO197=1,AA197=1,AL197=1)</x:f>
        <x:v>0</x:v>
      </x:c>
      <x:c r="AQ197" t="n">
        <x:f>--AND(AN197=1,Z197=1)</x:f>
        <x:v>0</x:v>
      </x:c>
      <x:c r="AR197" t="n">
        <x:f>--AND(AQ197=1,AA197=1)</x:f>
        <x:v>0</x:v>
      </x:c>
    </x:row>
    <x:row r="198">
      <x:c r="A198" s="28"/>
      <x:c r="B198" s="28"/>
      <x:c r="C198" s="28"/>
      <x:c r="D198" s="28"/>
      <x:c r="E198" s="28"/>
      <x:c r="F198" s="28"/>
      <x:c r="G198" s="28"/>
      <x:c r="H198" s="28"/>
      <x:c r="I198" s="28"/>
      <x:c r="J198" s="28"/>
      <x:c r="K198" s="28"/>
      <x:c r="L198" s="28"/>
      <x:c r="M198" s="28"/>
      <x:c r="N198" s="28"/>
      <x:c r="O198" s="28"/>
      <x:c r="P198" s="28"/>
      <x:c r="Q198" s="28"/>
      <x:c r="R198" s="28"/>
      <x:c r="S198" s="28"/>
      <x:c r="T198" s="28"/>
      <x:c r="U198" s="28"/>
      <x:c r="V198" s="28"/>
      <x:c r="W198" s="28"/>
      <x:c r="X198" s="43" t="n">
        <x:f>--AND(S198=1,T198=1,U198=1,V198=1,W198=1)</x:f>
        <x:v>0</x:v>
      </x:c>
      <x:c r="AE198" s="43" t="n">
        <x:f>--AND(S198=1,M198&lt;&gt;"",M198&lt;&gt;"keep")</x:f>
        <x:v>0</x:v>
      </x:c>
      <x:c r="AG198" t="n">
        <x:f>--AND(S198=1,T198=1,U198=1,V198=1,W198=1,AE198=1)</x:f>
        <x:v>0</x:v>
      </x:c>
      <x:c r="AJ198" t="str">
        <x:f>IF(OR(AH198="",AI198=""),"",--(AH198&lt;&gt;AI198))</x:f>
      </x:c>
      <x:c r="AL198" t="str">
        <x:f>IF(OR(AH198="",AI198=""),"PENDING_HUMAN",IF(AH198=AI198,AH198,IF(AK198&lt;&gt;"",AK198,"PENDING_HUMAN")))</x:f>
        <x:v>PENDING_HUMAN</x:v>
      </x:c>
      <x:c r="AM198" t="n">
        <x:f>--AND(A198&lt;&gt;"",AH198&lt;&gt;"",AI198&lt;&gt;"",OR(AH198=AI198,AK198&lt;&gt;""))</x:f>
        <x:v>0</x:v>
      </x:c>
      <x:c r="AN198" t="n">
        <x:f>--AND(Y198&lt;&gt;"",COUNTIF($Y$4:Y198,Y198)=1)</x:f>
        <x:v>0</x:v>
      </x:c>
      <x:c r="AO198" t="n">
        <x:f>--AND(AN198=1,Z198=1,AM198=1)</x:f>
        <x:v>0</x:v>
      </x:c>
      <x:c r="AP198" t="n">
        <x:f>--AND(AO198=1,AA198=1,AL198=1)</x:f>
        <x:v>0</x:v>
      </x:c>
      <x:c r="AQ198" t="n">
        <x:f>--AND(AN198=1,Z198=1)</x:f>
        <x:v>0</x:v>
      </x:c>
      <x:c r="AR198" t="n">
        <x:f>--AND(AQ198=1,AA198=1)</x:f>
        <x:v>0</x:v>
      </x:c>
    </x:row>
    <x:row r="199">
      <x:c r="A199" s="28"/>
      <x:c r="B199" s="28"/>
      <x:c r="C199" s="28"/>
      <x:c r="D199" s="28"/>
      <x:c r="E199" s="28"/>
      <x:c r="F199" s="28"/>
      <x:c r="G199" s="28"/>
      <x:c r="H199" s="28"/>
      <x:c r="I199" s="28"/>
      <x:c r="J199" s="28"/>
      <x:c r="K199" s="28"/>
      <x:c r="L199" s="28"/>
      <x:c r="M199" s="28"/>
      <x:c r="N199" s="28"/>
      <x:c r="O199" s="28"/>
      <x:c r="P199" s="28"/>
      <x:c r="Q199" s="28"/>
      <x:c r="R199" s="28"/>
      <x:c r="S199" s="28"/>
      <x:c r="T199" s="28"/>
      <x:c r="U199" s="28"/>
      <x:c r="V199" s="28"/>
      <x:c r="W199" s="28"/>
      <x:c r="X199" s="43" t="n">
        <x:f>--AND(S199=1,T199=1,U199=1,V199=1,W199=1)</x:f>
        <x:v>0</x:v>
      </x:c>
      <x:c r="AE199" s="43" t="n">
        <x:f>--AND(S199=1,M199&lt;&gt;"",M199&lt;&gt;"keep")</x:f>
        <x:v>0</x:v>
      </x:c>
      <x:c r="AG199" t="n">
        <x:f>--AND(S199=1,T199=1,U199=1,V199=1,W199=1,AE199=1)</x:f>
        <x:v>0</x:v>
      </x:c>
      <x:c r="AJ199" t="str">
        <x:f>IF(OR(AH199="",AI199=""),"",--(AH199&lt;&gt;AI199))</x:f>
      </x:c>
      <x:c r="AL199" t="str">
        <x:f>IF(OR(AH199="",AI199=""),"PENDING_HUMAN",IF(AH199=AI199,AH199,IF(AK199&lt;&gt;"",AK199,"PENDING_HUMAN")))</x:f>
        <x:v>PENDING_HUMAN</x:v>
      </x:c>
      <x:c r="AM199" t="n">
        <x:f>--AND(A199&lt;&gt;"",AH199&lt;&gt;"",AI199&lt;&gt;"",OR(AH199=AI199,AK199&lt;&gt;""))</x:f>
        <x:v>0</x:v>
      </x:c>
      <x:c r="AN199" t="n">
        <x:f>--AND(Y199&lt;&gt;"",COUNTIF($Y$4:Y199,Y199)=1)</x:f>
        <x:v>0</x:v>
      </x:c>
      <x:c r="AO199" t="n">
        <x:f>--AND(AN199=1,Z199=1,AM199=1)</x:f>
        <x:v>0</x:v>
      </x:c>
      <x:c r="AP199" t="n">
        <x:f>--AND(AO199=1,AA199=1,AL199=1)</x:f>
        <x:v>0</x:v>
      </x:c>
      <x:c r="AQ199" t="n">
        <x:f>--AND(AN199=1,Z199=1)</x:f>
        <x:v>0</x:v>
      </x:c>
      <x:c r="AR199" t="n">
        <x:f>--AND(AQ199=1,AA199=1)</x:f>
        <x:v>0</x:v>
      </x:c>
    </x:row>
    <x:row r="200">
      <x:c r="A200" s="28"/>
      <x:c r="B200" s="28"/>
      <x:c r="C200" s="28"/>
      <x:c r="D200" s="28"/>
      <x:c r="E200" s="28"/>
      <x:c r="F200" s="28"/>
      <x:c r="G200" s="28"/>
      <x:c r="H200" s="28"/>
      <x:c r="I200" s="28"/>
      <x:c r="J200" s="28"/>
      <x:c r="K200" s="28"/>
      <x:c r="L200" s="28"/>
      <x:c r="M200" s="28"/>
      <x:c r="N200" s="28"/>
      <x:c r="O200" s="28"/>
      <x:c r="P200" s="28"/>
      <x:c r="Q200" s="28"/>
      <x:c r="R200" s="28"/>
      <x:c r="S200" s="28"/>
      <x:c r="T200" s="28"/>
      <x:c r="U200" s="28"/>
      <x:c r="V200" s="28"/>
      <x:c r="W200" s="28"/>
      <x:c r="X200" s="43" t="n">
        <x:f>--AND(S200=1,T200=1,U200=1,V200=1,W200=1)</x:f>
        <x:v>0</x:v>
      </x:c>
      <x:c r="AE200" s="43" t="n">
        <x:f>--AND(S200=1,M200&lt;&gt;"",M200&lt;&gt;"keep")</x:f>
        <x:v>0</x:v>
      </x:c>
      <x:c r="AG200" t="n">
        <x:f>--AND(S200=1,T200=1,U200=1,V200=1,W200=1,AE200=1)</x:f>
        <x:v>0</x:v>
      </x:c>
      <x:c r="AJ200" t="str">
        <x:f>IF(OR(AH200="",AI200=""),"",--(AH200&lt;&gt;AI200))</x:f>
      </x:c>
      <x:c r="AL200" t="str">
        <x:f>IF(OR(AH200="",AI200=""),"PENDING_HUMAN",IF(AH200=AI200,AH200,IF(AK200&lt;&gt;"",AK200,"PENDING_HUMAN")))</x:f>
        <x:v>PENDING_HUMAN</x:v>
      </x:c>
      <x:c r="AM200" t="n">
        <x:f>--AND(A200&lt;&gt;"",AH200&lt;&gt;"",AI200&lt;&gt;"",OR(AH200=AI200,AK200&lt;&gt;""))</x:f>
        <x:v>0</x:v>
      </x:c>
      <x:c r="AN200" t="n">
        <x:f>--AND(Y200&lt;&gt;"",COUNTIF($Y$4:Y200,Y200)=1)</x:f>
        <x:v>0</x:v>
      </x:c>
      <x:c r="AO200" t="n">
        <x:f>--AND(AN200=1,Z200=1,AM200=1)</x:f>
        <x:v>0</x:v>
      </x:c>
      <x:c r="AP200" t="n">
        <x:f>--AND(AO200=1,AA200=1,AL200=1)</x:f>
        <x:v>0</x:v>
      </x:c>
      <x:c r="AQ200" t="n">
        <x:f>--AND(AN200=1,Z200=1)</x:f>
        <x:v>0</x:v>
      </x:c>
      <x:c r="AR200" t="n">
        <x:f>--AND(AQ200=1,AA200=1)</x:f>
        <x:v>0</x:v>
      </x:c>
    </x:row>
    <x:row r="201">
      <x:c r="A201" s="28"/>
      <x:c r="B201" s="28"/>
      <x:c r="C201" s="28"/>
      <x:c r="D201" s="28"/>
      <x:c r="E201" s="28"/>
      <x:c r="F201" s="28"/>
      <x:c r="G201" s="28"/>
      <x:c r="H201" s="28"/>
      <x:c r="I201" s="28"/>
      <x:c r="J201" s="28"/>
      <x:c r="K201" s="28"/>
      <x:c r="L201" s="28"/>
      <x:c r="M201" s="28"/>
      <x:c r="N201" s="28"/>
      <x:c r="O201" s="28"/>
      <x:c r="P201" s="28"/>
      <x:c r="Q201" s="28"/>
      <x:c r="R201" s="28"/>
      <x:c r="S201" s="28"/>
      <x:c r="T201" s="28"/>
      <x:c r="U201" s="28"/>
      <x:c r="V201" s="28"/>
      <x:c r="W201" s="28"/>
      <x:c r="X201" s="43" t="n">
        <x:f>--AND(S201=1,T201=1,U201=1,V201=1,W201=1)</x:f>
        <x:v>0</x:v>
      </x:c>
      <x:c r="AE201" s="43" t="n">
        <x:f>--AND(S201=1,M201&lt;&gt;"",M201&lt;&gt;"keep")</x:f>
        <x:v>0</x:v>
      </x:c>
      <x:c r="AG201" t="n">
        <x:f>--AND(S201=1,T201=1,U201=1,V201=1,W201=1,AE201=1)</x:f>
        <x:v>0</x:v>
      </x:c>
      <x:c r="AJ201" t="str">
        <x:f>IF(OR(AH201="",AI201=""),"",--(AH201&lt;&gt;AI201))</x:f>
      </x:c>
      <x:c r="AL201" t="str">
        <x:f>IF(OR(AH201="",AI201=""),"PENDING_HUMAN",IF(AH201=AI201,AH201,IF(AK201&lt;&gt;"",AK201,"PENDING_HUMAN")))</x:f>
        <x:v>PENDING_HUMAN</x:v>
      </x:c>
      <x:c r="AM201" t="n">
        <x:f>--AND(A201&lt;&gt;"",AH201&lt;&gt;"",AI201&lt;&gt;"",OR(AH201=AI201,AK201&lt;&gt;""))</x:f>
        <x:v>0</x:v>
      </x:c>
      <x:c r="AN201" t="n">
        <x:f>--AND(Y201&lt;&gt;"",COUNTIF($Y$4:Y201,Y201)=1)</x:f>
        <x:v>0</x:v>
      </x:c>
      <x:c r="AO201" t="n">
        <x:f>--AND(AN201=1,Z201=1,AM201=1)</x:f>
        <x:v>0</x:v>
      </x:c>
      <x:c r="AP201" t="n">
        <x:f>--AND(AO201=1,AA201=1,AL201=1)</x:f>
        <x:v>0</x:v>
      </x:c>
      <x:c r="AQ201" t="n">
        <x:f>--AND(AN201=1,Z201=1)</x:f>
        <x:v>0</x:v>
      </x:c>
      <x:c r="AR201" t="n">
        <x:f>--AND(AQ201=1,AA201=1)</x:f>
        <x:v>0</x:v>
      </x:c>
    </x:row>
    <x:row r="202">
      <x:c r="A202" s="28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8"/>
      <x:c r="N202" s="28"/>
      <x:c r="O202" s="28"/>
      <x:c r="P202" s="28"/>
      <x:c r="Q202" s="28"/>
      <x:c r="R202" s="28"/>
      <x:c r="S202" s="28"/>
      <x:c r="T202" s="28"/>
      <x:c r="U202" s="28"/>
      <x:c r="V202" s="28"/>
      <x:c r="W202" s="28"/>
      <x:c r="X202" s="43" t="n">
        <x:f>--AND(S202=1,T202=1,U202=1,V202=1,W202=1)</x:f>
        <x:v>0</x:v>
      </x:c>
      <x:c r="AE202" s="43" t="n">
        <x:f>--AND(S202=1,M202&lt;&gt;"",M202&lt;&gt;"keep")</x:f>
        <x:v>0</x:v>
      </x:c>
      <x:c r="AG202" t="n">
        <x:f>--AND(S202=1,T202=1,U202=1,V202=1,W202=1,AE202=1)</x:f>
        <x:v>0</x:v>
      </x:c>
      <x:c r="AJ202" t="str">
        <x:f>IF(OR(AH202="",AI202=""),"",--(AH202&lt;&gt;AI202))</x:f>
      </x:c>
      <x:c r="AL202" t="str">
        <x:f>IF(OR(AH202="",AI202=""),"PENDING_HUMAN",IF(AH202=AI202,AH202,IF(AK202&lt;&gt;"",AK202,"PENDING_HUMAN")))</x:f>
        <x:v>PENDING_HUMAN</x:v>
      </x:c>
      <x:c r="AM202" t="n">
        <x:f>--AND(A202&lt;&gt;"",AH202&lt;&gt;"",AI202&lt;&gt;"",OR(AH202=AI202,AK202&lt;&gt;""))</x:f>
        <x:v>0</x:v>
      </x:c>
      <x:c r="AN202" t="n">
        <x:f>--AND(Y202&lt;&gt;"",COUNTIF($Y$4:Y202,Y202)=1)</x:f>
        <x:v>0</x:v>
      </x:c>
      <x:c r="AO202" t="n">
        <x:f>--AND(AN202=1,Z202=1,AM202=1)</x:f>
        <x:v>0</x:v>
      </x:c>
      <x:c r="AP202" t="n">
        <x:f>--AND(AO202=1,AA202=1,AL202=1)</x:f>
        <x:v>0</x:v>
      </x:c>
      <x:c r="AQ202" t="n">
        <x:f>--AND(AN202=1,Z202=1)</x:f>
        <x:v>0</x:v>
      </x:c>
      <x:c r="AR202" t="n">
        <x:f>--AND(AQ202=1,AA202=1)</x:f>
        <x:v>0</x:v>
      </x:c>
    </x:row>
    <x:row r="203">
      <x:c r="A203" s="28"/>
      <x:c r="B203" s="28"/>
      <x:c r="C203" s="28"/>
      <x:c r="D203" s="28"/>
      <x:c r="E203" s="28"/>
      <x:c r="F203" s="28"/>
      <x:c r="G203" s="28"/>
      <x:c r="H203" s="28"/>
      <x:c r="I203" s="28"/>
      <x:c r="J203" s="28"/>
      <x:c r="K203" s="28"/>
      <x:c r="L203" s="28"/>
      <x:c r="M203" s="28"/>
      <x:c r="N203" s="28"/>
      <x:c r="O203" s="28"/>
      <x:c r="P203" s="28"/>
      <x:c r="Q203" s="28"/>
      <x:c r="R203" s="28"/>
      <x:c r="S203" s="28"/>
      <x:c r="T203" s="28"/>
      <x:c r="U203" s="28"/>
      <x:c r="V203" s="28"/>
      <x:c r="W203" s="28"/>
      <x:c r="X203" s="43" t="n">
        <x:f>--AND(S203=1,T203=1,U203=1,V203=1,W203=1)</x:f>
        <x:v>0</x:v>
      </x:c>
      <x:c r="AE203" s="43" t="n">
        <x:f>--AND(S203=1,M203&lt;&gt;"",M203&lt;&gt;"keep")</x:f>
        <x:v>0</x:v>
      </x:c>
      <x:c r="AG203" t="n">
        <x:f>--AND(S203=1,T203=1,U203=1,V203=1,W203=1,AE203=1)</x:f>
        <x:v>0</x:v>
      </x:c>
      <x:c r="AJ203" t="str">
        <x:f>IF(OR(AH203="",AI203=""),"",--(AH203&lt;&gt;AI203))</x:f>
      </x:c>
      <x:c r="AL203" t="str">
        <x:f>IF(OR(AH203="",AI203=""),"PENDING_HUMAN",IF(AH203=AI203,AH203,IF(AK203&lt;&gt;"",AK203,"PENDING_HUMAN")))</x:f>
        <x:v>PENDING_HUMAN</x:v>
      </x:c>
      <x:c r="AM203" t="n">
        <x:f>--AND(A203&lt;&gt;"",AH203&lt;&gt;"",AI203&lt;&gt;"",OR(AH203=AI203,AK203&lt;&gt;""))</x:f>
        <x:v>0</x:v>
      </x:c>
      <x:c r="AN203" t="n">
        <x:f>--AND(Y203&lt;&gt;"",COUNTIF($Y$4:Y203,Y203)=1)</x:f>
        <x:v>0</x:v>
      </x:c>
      <x:c r="AO203" t="n">
        <x:f>--AND(AN203=1,Z203=1,AM203=1)</x:f>
        <x:v>0</x:v>
      </x:c>
      <x:c r="AP203" t="n">
        <x:f>--AND(AO203=1,AA203=1,AL203=1)</x:f>
        <x:v>0</x:v>
      </x:c>
      <x:c r="AQ203" t="n">
        <x:f>--AND(AN203=1,Z203=1)</x:f>
        <x:v>0</x:v>
      </x:c>
      <x:c r="AR203" t="n">
        <x:f>--AND(AQ203=1,AA203=1)</x:f>
        <x:v>0</x:v>
      </x:c>
    </x:row>
    <x:row r="204">
      <x:c r="A204" s="28"/>
      <x:c r="B204" s="28"/>
      <x:c r="C204" s="28"/>
      <x:c r="D204" s="28"/>
      <x:c r="E204" s="28"/>
      <x:c r="F204" s="28"/>
      <x:c r="G204" s="28"/>
      <x:c r="H204" s="28"/>
      <x:c r="I204" s="28"/>
      <x:c r="J204" s="28"/>
      <x:c r="K204" s="28"/>
      <x:c r="L204" s="28"/>
      <x:c r="M204" s="28"/>
      <x:c r="N204" s="28"/>
      <x:c r="O204" s="28"/>
      <x:c r="P204" s="28"/>
      <x:c r="Q204" s="28"/>
      <x:c r="R204" s="28"/>
      <x:c r="S204" s="28"/>
      <x:c r="T204" s="28"/>
      <x:c r="U204" s="28"/>
      <x:c r="V204" s="28"/>
      <x:c r="W204" s="28"/>
      <x:c r="X204" s="43" t="n">
        <x:f>--AND(S204=1,T204=1,U204=1,V204=1,W204=1)</x:f>
        <x:v>0</x:v>
      </x:c>
      <x:c r="AE204" s="43" t="n">
        <x:f>--AND(S204=1,M204&lt;&gt;"",M204&lt;&gt;"keep")</x:f>
        <x:v>0</x:v>
      </x:c>
      <x:c r="AG204" t="n">
        <x:f>--AND(S204=1,T204=1,U204=1,V204=1,W204=1,AE204=1)</x:f>
        <x:v>0</x:v>
      </x:c>
      <x:c r="AJ204" t="str">
        <x:f>IF(OR(AH204="",AI204=""),"",--(AH204&lt;&gt;AI204))</x:f>
      </x:c>
      <x:c r="AL204" t="str">
        <x:f>IF(OR(AH204="",AI204=""),"PENDING_HUMAN",IF(AH204=AI204,AH204,IF(AK204&lt;&gt;"",AK204,"PENDING_HUMAN")))</x:f>
        <x:v>PENDING_HUMAN</x:v>
      </x:c>
      <x:c r="AM204" t="n">
        <x:f>--AND(A204&lt;&gt;"",AH204&lt;&gt;"",AI204&lt;&gt;"",OR(AH204=AI204,AK204&lt;&gt;""))</x:f>
        <x:v>0</x:v>
      </x:c>
      <x:c r="AN204" t="n">
        <x:f>--AND(Y204&lt;&gt;"",COUNTIF($Y$4:Y204,Y204)=1)</x:f>
        <x:v>0</x:v>
      </x:c>
      <x:c r="AO204" t="n">
        <x:f>--AND(AN204=1,Z204=1,AM204=1)</x:f>
        <x:v>0</x:v>
      </x:c>
      <x:c r="AP204" t="n">
        <x:f>--AND(AO204=1,AA204=1,AL204=1)</x:f>
        <x:v>0</x:v>
      </x:c>
      <x:c r="AQ204" t="n">
        <x:f>--AND(AN204=1,Z204=1)</x:f>
        <x:v>0</x:v>
      </x:c>
      <x:c r="AR204" t="n">
        <x:f>--AND(AQ204=1,AA204=1)</x:f>
        <x:v>0</x:v>
      </x:c>
    </x:row>
    <x:row r="205">
      <x:c r="A205" s="28"/>
      <x:c r="B205" s="28"/>
      <x:c r="C205" s="28"/>
      <x:c r="D205" s="28"/>
      <x:c r="E205" s="28"/>
      <x:c r="F205" s="28"/>
      <x:c r="G205" s="28"/>
      <x:c r="H205" s="28"/>
      <x:c r="I205" s="28"/>
      <x:c r="J205" s="28"/>
      <x:c r="K205" s="28"/>
      <x:c r="L205" s="28"/>
      <x:c r="M205" s="28"/>
      <x:c r="N205" s="28"/>
      <x:c r="O205" s="28"/>
      <x:c r="P205" s="28"/>
      <x:c r="Q205" s="28"/>
      <x:c r="R205" s="28"/>
      <x:c r="S205" s="28"/>
      <x:c r="T205" s="28"/>
      <x:c r="U205" s="28"/>
      <x:c r="V205" s="28"/>
      <x:c r="W205" s="28"/>
      <x:c r="X205" s="43" t="n">
        <x:f>--AND(S205=1,T205=1,U205=1,V205=1,W205=1)</x:f>
        <x:v>0</x:v>
      </x:c>
      <x:c r="AE205" s="43" t="n">
        <x:f>--AND(S205=1,M205&lt;&gt;"",M205&lt;&gt;"keep")</x:f>
        <x:v>0</x:v>
      </x:c>
      <x:c r="AG205" t="n">
        <x:f>--AND(S205=1,T205=1,U205=1,V205=1,W205=1,AE205=1)</x:f>
        <x:v>0</x:v>
      </x:c>
      <x:c r="AJ205" t="str">
        <x:f>IF(OR(AH205="",AI205=""),"",--(AH205&lt;&gt;AI205))</x:f>
      </x:c>
      <x:c r="AL205" t="str">
        <x:f>IF(OR(AH205="",AI205=""),"PENDING_HUMAN",IF(AH205=AI205,AH205,IF(AK205&lt;&gt;"",AK205,"PENDING_HUMAN")))</x:f>
        <x:v>PENDING_HUMAN</x:v>
      </x:c>
      <x:c r="AM205" t="n">
        <x:f>--AND(A205&lt;&gt;"",AH205&lt;&gt;"",AI205&lt;&gt;"",OR(AH205=AI205,AK205&lt;&gt;""))</x:f>
        <x:v>0</x:v>
      </x:c>
      <x:c r="AN205" t="n">
        <x:f>--AND(Y205&lt;&gt;"",COUNTIF($Y$4:Y205,Y205)=1)</x:f>
        <x:v>0</x:v>
      </x:c>
      <x:c r="AO205" t="n">
        <x:f>--AND(AN205=1,Z205=1,AM205=1)</x:f>
        <x:v>0</x:v>
      </x:c>
      <x:c r="AP205" t="n">
        <x:f>--AND(AO205=1,AA205=1,AL205=1)</x:f>
        <x:v>0</x:v>
      </x:c>
      <x:c r="AQ205" t="n">
        <x:f>--AND(AN205=1,Z205=1)</x:f>
        <x:v>0</x:v>
      </x:c>
      <x:c r="AR205" t="n">
        <x:f>--AND(AQ205=1,AA205=1)</x:f>
        <x:v>0</x:v>
      </x:c>
    </x:row>
    <x:row r="206">
      <x:c r="A206" s="28"/>
      <x:c r="B206" s="28"/>
      <x:c r="C206" s="28"/>
      <x:c r="D206" s="28"/>
      <x:c r="E206" s="28"/>
      <x:c r="F206" s="28"/>
      <x:c r="G206" s="28"/>
      <x:c r="H206" s="28"/>
      <x:c r="I206" s="28"/>
      <x:c r="J206" s="28"/>
      <x:c r="K206" s="28"/>
      <x:c r="L206" s="28"/>
      <x:c r="M206" s="28"/>
      <x:c r="N206" s="28"/>
      <x:c r="O206" s="28"/>
      <x:c r="P206" s="28"/>
      <x:c r="Q206" s="28"/>
      <x:c r="R206" s="28"/>
      <x:c r="S206" s="28"/>
      <x:c r="T206" s="28"/>
      <x:c r="U206" s="28"/>
      <x:c r="V206" s="28"/>
      <x:c r="W206" s="28"/>
      <x:c r="X206" s="43" t="n">
        <x:f>--AND(S206=1,T206=1,U206=1,V206=1,W206=1)</x:f>
        <x:v>0</x:v>
      </x:c>
      <x:c r="AE206" s="43" t="n">
        <x:f>--AND(S206=1,M206&lt;&gt;"",M206&lt;&gt;"keep")</x:f>
        <x:v>0</x:v>
      </x:c>
      <x:c r="AG206" t="n">
        <x:f>--AND(S206=1,T206=1,U206=1,V206=1,W206=1,AE206=1)</x:f>
        <x:v>0</x:v>
      </x:c>
      <x:c r="AJ206" t="str">
        <x:f>IF(OR(AH206="",AI206=""),"",--(AH206&lt;&gt;AI206))</x:f>
      </x:c>
      <x:c r="AL206" t="str">
        <x:f>IF(OR(AH206="",AI206=""),"PENDING_HUMAN",IF(AH206=AI206,AH206,IF(AK206&lt;&gt;"",AK206,"PENDING_HUMAN")))</x:f>
        <x:v>PENDING_HUMAN</x:v>
      </x:c>
      <x:c r="AM206" t="n">
        <x:f>--AND(A206&lt;&gt;"",AH206&lt;&gt;"",AI206&lt;&gt;"",OR(AH206=AI206,AK206&lt;&gt;""))</x:f>
        <x:v>0</x:v>
      </x:c>
      <x:c r="AN206" t="n">
        <x:f>--AND(Y206&lt;&gt;"",COUNTIF($Y$4:Y206,Y206)=1)</x:f>
        <x:v>0</x:v>
      </x:c>
      <x:c r="AO206" t="n">
        <x:f>--AND(AN206=1,Z206=1,AM206=1)</x:f>
        <x:v>0</x:v>
      </x:c>
      <x:c r="AP206" t="n">
        <x:f>--AND(AO206=1,AA206=1,AL206=1)</x:f>
        <x:v>0</x:v>
      </x:c>
      <x:c r="AQ206" t="n">
        <x:f>--AND(AN206=1,Z206=1)</x:f>
        <x:v>0</x:v>
      </x:c>
      <x:c r="AR206" t="n">
        <x:f>--AND(AQ206=1,AA206=1)</x:f>
        <x:v>0</x:v>
      </x:c>
    </x:row>
    <x:row r="207">
      <x:c r="A207" s="28"/>
      <x:c r="B207" s="28"/>
      <x:c r="C207" s="28"/>
      <x:c r="D207" s="28"/>
      <x:c r="E207" s="28"/>
      <x:c r="F207" s="28"/>
      <x:c r="G207" s="28"/>
      <x:c r="H207" s="28"/>
      <x:c r="I207" s="28"/>
      <x:c r="J207" s="28"/>
      <x:c r="K207" s="28"/>
      <x:c r="L207" s="28"/>
      <x:c r="M207" s="28"/>
      <x:c r="N207" s="28"/>
      <x:c r="O207" s="28"/>
      <x:c r="P207" s="28"/>
      <x:c r="Q207" s="28"/>
      <x:c r="R207" s="28"/>
      <x:c r="S207" s="28"/>
      <x:c r="T207" s="28"/>
      <x:c r="U207" s="28"/>
      <x:c r="V207" s="28"/>
      <x:c r="W207" s="28"/>
      <x:c r="X207" s="43" t="n">
        <x:f>--AND(S207=1,T207=1,U207=1,V207=1,W207=1)</x:f>
        <x:v>0</x:v>
      </x:c>
      <x:c r="AE207" s="43" t="n">
        <x:f>--AND(S207=1,M207&lt;&gt;"",M207&lt;&gt;"keep")</x:f>
        <x:v>0</x:v>
      </x:c>
      <x:c r="AG207" t="n">
        <x:f>--AND(S207=1,T207=1,U207=1,V207=1,W207=1,AE207=1)</x:f>
        <x:v>0</x:v>
      </x:c>
      <x:c r="AJ207" t="str">
        <x:f>IF(OR(AH207="",AI207=""),"",--(AH207&lt;&gt;AI207))</x:f>
      </x:c>
      <x:c r="AL207" t="str">
        <x:f>IF(OR(AH207="",AI207=""),"PENDING_HUMAN",IF(AH207=AI207,AH207,IF(AK207&lt;&gt;"",AK207,"PENDING_HUMAN")))</x:f>
        <x:v>PENDING_HUMAN</x:v>
      </x:c>
      <x:c r="AM207" t="n">
        <x:f>--AND(A207&lt;&gt;"",AH207&lt;&gt;"",AI207&lt;&gt;"",OR(AH207=AI207,AK207&lt;&gt;""))</x:f>
        <x:v>0</x:v>
      </x:c>
      <x:c r="AN207" t="n">
        <x:f>--AND(Y207&lt;&gt;"",COUNTIF($Y$4:Y207,Y207)=1)</x:f>
        <x:v>0</x:v>
      </x:c>
      <x:c r="AO207" t="n">
        <x:f>--AND(AN207=1,Z207=1,AM207=1)</x:f>
        <x:v>0</x:v>
      </x:c>
      <x:c r="AP207" t="n">
        <x:f>--AND(AO207=1,AA207=1,AL207=1)</x:f>
        <x:v>0</x:v>
      </x:c>
      <x:c r="AQ207" t="n">
        <x:f>--AND(AN207=1,Z207=1)</x:f>
        <x:v>0</x:v>
      </x:c>
      <x:c r="AR207" t="n">
        <x:f>--AND(AQ207=1,AA207=1)</x:f>
        <x:v>0</x:v>
      </x:c>
    </x:row>
    <x:row r="208">
      <x:c r="A208" s="28"/>
      <x:c r="B208" s="28"/>
      <x:c r="C208" s="28"/>
      <x:c r="D208" s="28"/>
      <x:c r="E208" s="28"/>
      <x:c r="F208" s="28"/>
      <x:c r="G208" s="28"/>
      <x:c r="H208" s="28"/>
      <x:c r="I208" s="28"/>
      <x:c r="J208" s="28"/>
      <x:c r="K208" s="28"/>
      <x:c r="L208" s="28"/>
      <x:c r="M208" s="28"/>
      <x:c r="N208" s="28"/>
      <x:c r="O208" s="28"/>
      <x:c r="P208" s="28"/>
      <x:c r="Q208" s="28"/>
      <x:c r="R208" s="28"/>
      <x:c r="S208" s="28"/>
      <x:c r="T208" s="28"/>
      <x:c r="U208" s="28"/>
      <x:c r="V208" s="28"/>
      <x:c r="W208" s="28"/>
      <x:c r="X208" s="43" t="n">
        <x:f>--AND(S208=1,T208=1,U208=1,V208=1,W208=1)</x:f>
        <x:v>0</x:v>
      </x:c>
      <x:c r="AE208" s="43" t="n">
        <x:f>--AND(S208=1,M208&lt;&gt;"",M208&lt;&gt;"keep")</x:f>
        <x:v>0</x:v>
      </x:c>
      <x:c r="AG208" t="n">
        <x:f>--AND(S208=1,T208=1,U208=1,V208=1,W208=1,AE208=1)</x:f>
        <x:v>0</x:v>
      </x:c>
      <x:c r="AJ208" t="str">
        <x:f>IF(OR(AH208="",AI208=""),"",--(AH208&lt;&gt;AI208))</x:f>
      </x:c>
      <x:c r="AL208" t="str">
        <x:f>IF(OR(AH208="",AI208=""),"PENDING_HUMAN",IF(AH208=AI208,AH208,IF(AK208&lt;&gt;"",AK208,"PENDING_HUMAN")))</x:f>
        <x:v>PENDING_HUMAN</x:v>
      </x:c>
      <x:c r="AM208" t="n">
        <x:f>--AND(A208&lt;&gt;"",AH208&lt;&gt;"",AI208&lt;&gt;"",OR(AH208=AI208,AK208&lt;&gt;""))</x:f>
        <x:v>0</x:v>
      </x:c>
      <x:c r="AN208" t="n">
        <x:f>--AND(Y208&lt;&gt;"",COUNTIF($Y$4:Y208,Y208)=1)</x:f>
        <x:v>0</x:v>
      </x:c>
      <x:c r="AO208" t="n">
        <x:f>--AND(AN208=1,Z208=1,AM208=1)</x:f>
        <x:v>0</x:v>
      </x:c>
      <x:c r="AP208" t="n">
        <x:f>--AND(AO208=1,AA208=1,AL208=1)</x:f>
        <x:v>0</x:v>
      </x:c>
      <x:c r="AQ208" t="n">
        <x:f>--AND(AN208=1,Z208=1)</x:f>
        <x:v>0</x:v>
      </x:c>
      <x:c r="AR208" t="n">
        <x:f>--AND(AQ208=1,AA208=1)</x:f>
        <x:v>0</x:v>
      </x:c>
    </x:row>
    <x:row r="209">
      <x:c r="A209" s="28"/>
      <x:c r="B209" s="28"/>
      <x:c r="C209" s="28"/>
      <x:c r="D209" s="28"/>
      <x:c r="E209" s="28"/>
      <x:c r="F209" s="28"/>
      <x:c r="G209" s="28"/>
      <x:c r="H209" s="28"/>
      <x:c r="I209" s="28"/>
      <x:c r="J209" s="28"/>
      <x:c r="K209" s="28"/>
      <x:c r="L209" s="28"/>
      <x:c r="M209" s="28"/>
      <x:c r="N209" s="28"/>
      <x:c r="O209" s="28"/>
      <x:c r="P209" s="28"/>
      <x:c r="Q209" s="28"/>
      <x:c r="R209" s="28"/>
      <x:c r="S209" s="28"/>
      <x:c r="T209" s="28"/>
      <x:c r="U209" s="28"/>
      <x:c r="V209" s="28"/>
      <x:c r="W209" s="28"/>
      <x:c r="X209" s="43" t="n">
        <x:f>--AND(S209=1,T209=1,U209=1,V209=1,W209=1)</x:f>
        <x:v>0</x:v>
      </x:c>
      <x:c r="AE209" s="43" t="n">
        <x:f>--AND(S209=1,M209&lt;&gt;"",M209&lt;&gt;"keep")</x:f>
        <x:v>0</x:v>
      </x:c>
      <x:c r="AG209" t="n">
        <x:f>--AND(S209=1,T209=1,U209=1,V209=1,W209=1,AE209=1)</x:f>
        <x:v>0</x:v>
      </x:c>
      <x:c r="AJ209" t="str">
        <x:f>IF(OR(AH209="",AI209=""),"",--(AH209&lt;&gt;AI209))</x:f>
      </x:c>
      <x:c r="AL209" t="str">
        <x:f>IF(OR(AH209="",AI209=""),"PENDING_HUMAN",IF(AH209=AI209,AH209,IF(AK209&lt;&gt;"",AK209,"PENDING_HUMAN")))</x:f>
        <x:v>PENDING_HUMAN</x:v>
      </x:c>
      <x:c r="AM209" t="n">
        <x:f>--AND(A209&lt;&gt;"",AH209&lt;&gt;"",AI209&lt;&gt;"",OR(AH209=AI209,AK209&lt;&gt;""))</x:f>
        <x:v>0</x:v>
      </x:c>
      <x:c r="AN209" t="n">
        <x:f>--AND(Y209&lt;&gt;"",COUNTIF($Y$4:Y209,Y209)=1)</x:f>
        <x:v>0</x:v>
      </x:c>
      <x:c r="AO209" t="n">
        <x:f>--AND(AN209=1,Z209=1,AM209=1)</x:f>
        <x:v>0</x:v>
      </x:c>
      <x:c r="AP209" t="n">
        <x:f>--AND(AO209=1,AA209=1,AL209=1)</x:f>
        <x:v>0</x:v>
      </x:c>
      <x:c r="AQ209" t="n">
        <x:f>--AND(AN209=1,Z209=1)</x:f>
        <x:v>0</x:v>
      </x:c>
      <x:c r="AR209" t="n">
        <x:f>--AND(AQ209=1,AA209=1)</x:f>
        <x:v>0</x:v>
      </x:c>
    </x:row>
    <x:row r="210">
      <x:c r="A210" s="28"/>
      <x:c r="B210" s="28"/>
      <x:c r="C210" s="28"/>
      <x:c r="D210" s="28"/>
      <x:c r="E210" s="28"/>
      <x:c r="F210" s="28"/>
      <x:c r="G210" s="28"/>
      <x:c r="H210" s="28"/>
      <x:c r="I210" s="28"/>
      <x:c r="J210" s="28"/>
      <x:c r="K210" s="28"/>
      <x:c r="L210" s="28"/>
      <x:c r="M210" s="28"/>
      <x:c r="N210" s="28"/>
      <x:c r="O210" s="28"/>
      <x:c r="P210" s="28"/>
      <x:c r="Q210" s="28"/>
      <x:c r="R210" s="28"/>
      <x:c r="S210" s="28"/>
      <x:c r="T210" s="28"/>
      <x:c r="U210" s="28"/>
      <x:c r="V210" s="28"/>
      <x:c r="W210" s="28"/>
      <x:c r="X210" s="43" t="n">
        <x:f>--AND(S210=1,T210=1,U210=1,V210=1,W210=1)</x:f>
        <x:v>0</x:v>
      </x:c>
      <x:c r="AE210" s="43" t="n">
        <x:f>--AND(S210=1,M210&lt;&gt;"",M210&lt;&gt;"keep")</x:f>
        <x:v>0</x:v>
      </x:c>
      <x:c r="AG210" t="n">
        <x:f>--AND(S210=1,T210=1,U210=1,V210=1,W210=1,AE210=1)</x:f>
        <x:v>0</x:v>
      </x:c>
      <x:c r="AJ210" t="str">
        <x:f>IF(OR(AH210="",AI210=""),"",--(AH210&lt;&gt;AI210))</x:f>
      </x:c>
      <x:c r="AL210" t="str">
        <x:f>IF(OR(AH210="",AI210=""),"PENDING_HUMAN",IF(AH210=AI210,AH210,IF(AK210&lt;&gt;"",AK210,"PENDING_HUMAN")))</x:f>
        <x:v>PENDING_HUMAN</x:v>
      </x:c>
      <x:c r="AM210" t="n">
        <x:f>--AND(A210&lt;&gt;"",AH210&lt;&gt;"",AI210&lt;&gt;"",OR(AH210=AI210,AK210&lt;&gt;""))</x:f>
        <x:v>0</x:v>
      </x:c>
      <x:c r="AN210" t="n">
        <x:f>--AND(Y210&lt;&gt;"",COUNTIF($Y$4:Y210,Y210)=1)</x:f>
        <x:v>0</x:v>
      </x:c>
      <x:c r="AO210" t="n">
        <x:f>--AND(AN210=1,Z210=1,AM210=1)</x:f>
        <x:v>0</x:v>
      </x:c>
      <x:c r="AP210" t="n">
        <x:f>--AND(AO210=1,AA210=1,AL210=1)</x:f>
        <x:v>0</x:v>
      </x:c>
      <x:c r="AQ210" t="n">
        <x:f>--AND(AN210=1,Z210=1)</x:f>
        <x:v>0</x:v>
      </x:c>
      <x:c r="AR210" t="n">
        <x:f>--AND(AQ210=1,AA210=1)</x:f>
        <x:v>0</x:v>
      </x:c>
    </x:row>
    <x:row r="211">
      <x:c r="A211" s="28"/>
      <x:c r="B211" s="28"/>
      <x:c r="C211" s="28"/>
      <x:c r="D211" s="28"/>
      <x:c r="E211" s="28"/>
      <x:c r="F211" s="28"/>
      <x:c r="G211" s="28"/>
      <x:c r="H211" s="28"/>
      <x:c r="I211" s="28"/>
      <x:c r="J211" s="28"/>
      <x:c r="K211" s="28"/>
      <x:c r="L211" s="28"/>
      <x:c r="M211" s="28"/>
      <x:c r="N211" s="28"/>
      <x:c r="O211" s="28"/>
      <x:c r="P211" s="28"/>
      <x:c r="Q211" s="28"/>
      <x:c r="R211" s="28"/>
      <x:c r="S211" s="28"/>
      <x:c r="T211" s="28"/>
      <x:c r="U211" s="28"/>
      <x:c r="V211" s="28"/>
      <x:c r="W211" s="28"/>
      <x:c r="X211" s="43" t="n">
        <x:f>--AND(S211=1,T211=1,U211=1,V211=1,W211=1)</x:f>
        <x:v>0</x:v>
      </x:c>
      <x:c r="AE211" s="43" t="n">
        <x:f>--AND(S211=1,M211&lt;&gt;"",M211&lt;&gt;"keep")</x:f>
        <x:v>0</x:v>
      </x:c>
      <x:c r="AG211" t="n">
        <x:f>--AND(S211=1,T211=1,U211=1,V211=1,W211=1,AE211=1)</x:f>
        <x:v>0</x:v>
      </x:c>
      <x:c r="AJ211" t="str">
        <x:f>IF(OR(AH211="",AI211=""),"",--(AH211&lt;&gt;AI211))</x:f>
      </x:c>
      <x:c r="AL211" t="str">
        <x:f>IF(OR(AH211="",AI211=""),"PENDING_HUMAN",IF(AH211=AI211,AH211,IF(AK211&lt;&gt;"",AK211,"PENDING_HUMAN")))</x:f>
        <x:v>PENDING_HUMAN</x:v>
      </x:c>
      <x:c r="AM211" t="n">
        <x:f>--AND(A211&lt;&gt;"",AH211&lt;&gt;"",AI211&lt;&gt;"",OR(AH211=AI211,AK211&lt;&gt;""))</x:f>
        <x:v>0</x:v>
      </x:c>
      <x:c r="AN211" t="n">
        <x:f>--AND(Y211&lt;&gt;"",COUNTIF($Y$4:Y211,Y211)=1)</x:f>
        <x:v>0</x:v>
      </x:c>
      <x:c r="AO211" t="n">
        <x:f>--AND(AN211=1,Z211=1,AM211=1)</x:f>
        <x:v>0</x:v>
      </x:c>
      <x:c r="AP211" t="n">
        <x:f>--AND(AO211=1,AA211=1,AL211=1)</x:f>
        <x:v>0</x:v>
      </x:c>
      <x:c r="AQ211" t="n">
        <x:f>--AND(AN211=1,Z211=1)</x:f>
        <x:v>0</x:v>
      </x:c>
      <x:c r="AR211" t="n">
        <x:f>--AND(AQ211=1,AA211=1)</x:f>
        <x:v>0</x:v>
      </x:c>
    </x:row>
    <x:row r="212">
      <x:c r="A212" s="28"/>
      <x:c r="B212" s="28"/>
      <x:c r="C212" s="28"/>
      <x:c r="D212" s="28"/>
      <x:c r="E212" s="28"/>
      <x:c r="F212" s="28"/>
      <x:c r="G212" s="28"/>
      <x:c r="H212" s="28"/>
      <x:c r="I212" s="28"/>
      <x:c r="J212" s="28"/>
      <x:c r="K212" s="28"/>
      <x:c r="L212" s="28"/>
      <x:c r="M212" s="28"/>
      <x:c r="N212" s="28"/>
      <x:c r="O212" s="28"/>
      <x:c r="P212" s="28"/>
      <x:c r="Q212" s="28"/>
      <x:c r="R212" s="28"/>
      <x:c r="S212" s="28"/>
      <x:c r="T212" s="28"/>
      <x:c r="U212" s="28"/>
      <x:c r="V212" s="28"/>
      <x:c r="W212" s="28"/>
      <x:c r="X212" s="43" t="n">
        <x:f>--AND(S212=1,T212=1,U212=1,V212=1,W212=1)</x:f>
        <x:v>0</x:v>
      </x:c>
      <x:c r="AE212" s="43" t="n">
        <x:f>--AND(S212=1,M212&lt;&gt;"",M212&lt;&gt;"keep")</x:f>
        <x:v>0</x:v>
      </x:c>
      <x:c r="AG212" t="n">
        <x:f>--AND(S212=1,T212=1,U212=1,V212=1,W212=1,AE212=1)</x:f>
        <x:v>0</x:v>
      </x:c>
      <x:c r="AJ212" t="str">
        <x:f>IF(OR(AH212="",AI212=""),"",--(AH212&lt;&gt;AI212))</x:f>
      </x:c>
      <x:c r="AL212" t="str">
        <x:f>IF(OR(AH212="",AI212=""),"PENDING_HUMAN",IF(AH212=AI212,AH212,IF(AK212&lt;&gt;"",AK212,"PENDING_HUMAN")))</x:f>
        <x:v>PENDING_HUMAN</x:v>
      </x:c>
      <x:c r="AM212" t="n">
        <x:f>--AND(A212&lt;&gt;"",AH212&lt;&gt;"",AI212&lt;&gt;"",OR(AH212=AI212,AK212&lt;&gt;""))</x:f>
        <x:v>0</x:v>
      </x:c>
      <x:c r="AN212" t="n">
        <x:f>--AND(Y212&lt;&gt;"",COUNTIF($Y$4:Y212,Y212)=1)</x:f>
        <x:v>0</x:v>
      </x:c>
      <x:c r="AO212" t="n">
        <x:f>--AND(AN212=1,Z212=1,AM212=1)</x:f>
        <x:v>0</x:v>
      </x:c>
      <x:c r="AP212" t="n">
        <x:f>--AND(AO212=1,AA212=1,AL212=1)</x:f>
        <x:v>0</x:v>
      </x:c>
      <x:c r="AQ212" t="n">
        <x:f>--AND(AN212=1,Z212=1)</x:f>
        <x:v>0</x:v>
      </x:c>
      <x:c r="AR212" t="n">
        <x:f>--AND(AQ212=1,AA212=1)</x:f>
        <x:v>0</x:v>
      </x:c>
    </x:row>
    <x:row r="213">
      <x:c r="A213" s="28"/>
      <x:c r="B213" s="28"/>
      <x:c r="C213" s="28"/>
      <x:c r="D213" s="28"/>
      <x:c r="E213" s="28"/>
      <x:c r="F213" s="28"/>
      <x:c r="G213" s="28"/>
      <x:c r="H213" s="28"/>
      <x:c r="I213" s="28"/>
      <x:c r="J213" s="28"/>
      <x:c r="K213" s="28"/>
      <x:c r="L213" s="28"/>
      <x:c r="M213" s="28"/>
      <x:c r="N213" s="28"/>
      <x:c r="O213" s="28"/>
      <x:c r="P213" s="28"/>
      <x:c r="Q213" s="28"/>
      <x:c r="R213" s="28"/>
      <x:c r="S213" s="28"/>
      <x:c r="T213" s="28"/>
      <x:c r="U213" s="28"/>
      <x:c r="V213" s="28"/>
      <x:c r="W213" s="28"/>
      <x:c r="X213" s="43" t="n">
        <x:f>--AND(S213=1,T213=1,U213=1,V213=1,W213=1)</x:f>
        <x:v>0</x:v>
      </x:c>
      <x:c r="AE213" s="43" t="n">
        <x:f>--AND(S213=1,M213&lt;&gt;"",M213&lt;&gt;"keep")</x:f>
        <x:v>0</x:v>
      </x:c>
      <x:c r="AG213" t="n">
        <x:f>--AND(S213=1,T213=1,U213=1,V213=1,W213=1,AE213=1)</x:f>
        <x:v>0</x:v>
      </x:c>
      <x:c r="AJ213" t="str">
        <x:f>IF(OR(AH213="",AI213=""),"",--(AH213&lt;&gt;AI213))</x:f>
      </x:c>
      <x:c r="AL213" t="str">
        <x:f>IF(OR(AH213="",AI213=""),"PENDING_HUMAN",IF(AH213=AI213,AH213,IF(AK213&lt;&gt;"",AK213,"PENDING_HUMAN")))</x:f>
        <x:v>PENDING_HUMAN</x:v>
      </x:c>
      <x:c r="AM213" t="n">
        <x:f>--AND(A213&lt;&gt;"",AH213&lt;&gt;"",AI213&lt;&gt;"",OR(AH213=AI213,AK213&lt;&gt;""))</x:f>
        <x:v>0</x:v>
      </x:c>
      <x:c r="AN213" t="n">
        <x:f>--AND(Y213&lt;&gt;"",COUNTIF($Y$4:Y213,Y213)=1)</x:f>
        <x:v>0</x:v>
      </x:c>
      <x:c r="AO213" t="n">
        <x:f>--AND(AN213=1,Z213=1,AM213=1)</x:f>
        <x:v>0</x:v>
      </x:c>
      <x:c r="AP213" t="n">
        <x:f>--AND(AO213=1,AA213=1,AL213=1)</x:f>
        <x:v>0</x:v>
      </x:c>
      <x:c r="AQ213" t="n">
        <x:f>--AND(AN213=1,Z213=1)</x:f>
        <x:v>0</x:v>
      </x:c>
      <x:c r="AR213" t="n">
        <x:f>--AND(AQ213=1,AA213=1)</x:f>
        <x:v>0</x:v>
      </x:c>
    </x:row>
    <x:row r="214">
      <x:c r="A214" s="28"/>
      <x:c r="B214" s="28"/>
      <x:c r="C214" s="28"/>
      <x:c r="D214" s="28"/>
      <x:c r="E214" s="28"/>
      <x:c r="F214" s="28"/>
      <x:c r="G214" s="28"/>
      <x:c r="H214" s="28"/>
      <x:c r="I214" s="28"/>
      <x:c r="J214" s="28"/>
      <x:c r="K214" s="28"/>
      <x:c r="L214" s="28"/>
      <x:c r="M214" s="28"/>
      <x:c r="N214" s="28"/>
      <x:c r="O214" s="28"/>
      <x:c r="P214" s="28"/>
      <x:c r="Q214" s="28"/>
      <x:c r="R214" s="28"/>
      <x:c r="S214" s="28"/>
      <x:c r="T214" s="28"/>
      <x:c r="U214" s="28"/>
      <x:c r="V214" s="28"/>
      <x:c r="W214" s="28"/>
      <x:c r="X214" s="43" t="n">
        <x:f>--AND(S214=1,T214=1,U214=1,V214=1,W214=1)</x:f>
        <x:v>0</x:v>
      </x:c>
      <x:c r="AE214" s="43" t="n">
        <x:f>--AND(S214=1,M214&lt;&gt;"",M214&lt;&gt;"keep")</x:f>
        <x:v>0</x:v>
      </x:c>
      <x:c r="AG214" t="n">
        <x:f>--AND(S214=1,T214=1,U214=1,V214=1,W214=1,AE214=1)</x:f>
        <x:v>0</x:v>
      </x:c>
      <x:c r="AJ214" t="str">
        <x:f>IF(OR(AH214="",AI214=""),"",--(AH214&lt;&gt;AI214))</x:f>
      </x:c>
      <x:c r="AL214" t="str">
        <x:f>IF(OR(AH214="",AI214=""),"PENDING_HUMAN",IF(AH214=AI214,AH214,IF(AK214&lt;&gt;"",AK214,"PENDING_HUMAN")))</x:f>
        <x:v>PENDING_HUMAN</x:v>
      </x:c>
      <x:c r="AM214" t="n">
        <x:f>--AND(A214&lt;&gt;"",AH214&lt;&gt;"",AI214&lt;&gt;"",OR(AH214=AI214,AK214&lt;&gt;""))</x:f>
        <x:v>0</x:v>
      </x:c>
      <x:c r="AN214" t="n">
        <x:f>--AND(Y214&lt;&gt;"",COUNTIF($Y$4:Y214,Y214)=1)</x:f>
        <x:v>0</x:v>
      </x:c>
      <x:c r="AO214" t="n">
        <x:f>--AND(AN214=1,Z214=1,AM214=1)</x:f>
        <x:v>0</x:v>
      </x:c>
      <x:c r="AP214" t="n">
        <x:f>--AND(AO214=1,AA214=1,AL214=1)</x:f>
        <x:v>0</x:v>
      </x:c>
      <x:c r="AQ214" t="n">
        <x:f>--AND(AN214=1,Z214=1)</x:f>
        <x:v>0</x:v>
      </x:c>
      <x:c r="AR214" t="n">
        <x:f>--AND(AQ214=1,AA214=1)</x:f>
        <x:v>0</x:v>
      </x:c>
    </x:row>
    <x:row r="215">
      <x:c r="A215" s="28"/>
      <x:c r="B215" s="28"/>
      <x:c r="C215" s="28"/>
      <x:c r="D215" s="28"/>
      <x:c r="E215" s="28"/>
      <x:c r="F215" s="28"/>
      <x:c r="G215" s="28"/>
      <x:c r="H215" s="28"/>
      <x:c r="I215" s="28"/>
      <x:c r="J215" s="28"/>
      <x:c r="K215" s="28"/>
      <x:c r="L215" s="28"/>
      <x:c r="M215" s="28"/>
      <x:c r="N215" s="28"/>
      <x:c r="O215" s="28"/>
      <x:c r="P215" s="28"/>
      <x:c r="Q215" s="28"/>
      <x:c r="R215" s="28"/>
      <x:c r="S215" s="28"/>
      <x:c r="T215" s="28"/>
      <x:c r="U215" s="28"/>
      <x:c r="V215" s="28"/>
      <x:c r="W215" s="28"/>
      <x:c r="X215" s="43" t="n">
        <x:f>--AND(S215=1,T215=1,U215=1,V215=1,W215=1)</x:f>
        <x:v>0</x:v>
      </x:c>
      <x:c r="AE215" s="43" t="n">
        <x:f>--AND(S215=1,M215&lt;&gt;"",M215&lt;&gt;"keep")</x:f>
        <x:v>0</x:v>
      </x:c>
      <x:c r="AG215" t="n">
        <x:f>--AND(S215=1,T215=1,U215=1,V215=1,W215=1,AE215=1)</x:f>
        <x:v>0</x:v>
      </x:c>
      <x:c r="AJ215" t="str">
        <x:f>IF(OR(AH215="",AI215=""),"",--(AH215&lt;&gt;AI215))</x:f>
      </x:c>
      <x:c r="AL215" t="str">
        <x:f>IF(OR(AH215="",AI215=""),"PENDING_HUMAN",IF(AH215=AI215,AH215,IF(AK215&lt;&gt;"",AK215,"PENDING_HUMAN")))</x:f>
        <x:v>PENDING_HUMAN</x:v>
      </x:c>
      <x:c r="AM215" t="n">
        <x:f>--AND(A215&lt;&gt;"",AH215&lt;&gt;"",AI215&lt;&gt;"",OR(AH215=AI215,AK215&lt;&gt;""))</x:f>
        <x:v>0</x:v>
      </x:c>
      <x:c r="AN215" t="n">
        <x:f>--AND(Y215&lt;&gt;"",COUNTIF($Y$4:Y215,Y215)=1)</x:f>
        <x:v>0</x:v>
      </x:c>
      <x:c r="AO215" t="n">
        <x:f>--AND(AN215=1,Z215=1,AM215=1)</x:f>
        <x:v>0</x:v>
      </x:c>
      <x:c r="AP215" t="n">
        <x:f>--AND(AO215=1,AA215=1,AL215=1)</x:f>
        <x:v>0</x:v>
      </x:c>
      <x:c r="AQ215" t="n">
        <x:f>--AND(AN215=1,Z215=1)</x:f>
        <x:v>0</x:v>
      </x:c>
      <x:c r="AR215" t="n">
        <x:f>--AND(AQ215=1,AA215=1)</x:f>
        <x:v>0</x:v>
      </x:c>
    </x:row>
    <x:row r="216">
      <x:c r="A216" s="28"/>
      <x:c r="B216" s="28"/>
      <x:c r="C216" s="28"/>
      <x:c r="D216" s="28"/>
      <x:c r="E216" s="28"/>
      <x:c r="F216" s="28"/>
      <x:c r="G216" s="28"/>
      <x:c r="H216" s="28"/>
      <x:c r="I216" s="28"/>
      <x:c r="J216" s="28"/>
      <x:c r="K216" s="28"/>
      <x:c r="L216" s="28"/>
      <x:c r="M216" s="28"/>
      <x:c r="N216" s="28"/>
      <x:c r="O216" s="28"/>
      <x:c r="P216" s="28"/>
      <x:c r="Q216" s="28"/>
      <x:c r="R216" s="28"/>
      <x:c r="S216" s="28"/>
      <x:c r="T216" s="28"/>
      <x:c r="U216" s="28"/>
      <x:c r="V216" s="28"/>
      <x:c r="W216" s="28"/>
      <x:c r="X216" s="43" t="n">
        <x:f>--AND(S216=1,T216=1,U216=1,V216=1,W216=1)</x:f>
        <x:v>0</x:v>
      </x:c>
      <x:c r="AE216" s="43" t="n">
        <x:f>--AND(S216=1,M216&lt;&gt;"",M216&lt;&gt;"keep")</x:f>
        <x:v>0</x:v>
      </x:c>
      <x:c r="AG216" t="n">
        <x:f>--AND(S216=1,T216=1,U216=1,V216=1,W216=1,AE216=1)</x:f>
        <x:v>0</x:v>
      </x:c>
      <x:c r="AJ216" t="str">
        <x:f>IF(OR(AH216="",AI216=""),"",--(AH216&lt;&gt;AI216))</x:f>
      </x:c>
      <x:c r="AL216" t="str">
        <x:f>IF(OR(AH216="",AI216=""),"PENDING_HUMAN",IF(AH216=AI216,AH216,IF(AK216&lt;&gt;"",AK216,"PENDING_HUMAN")))</x:f>
        <x:v>PENDING_HUMAN</x:v>
      </x:c>
      <x:c r="AM216" t="n">
        <x:f>--AND(A216&lt;&gt;"",AH216&lt;&gt;"",AI216&lt;&gt;"",OR(AH216=AI216,AK216&lt;&gt;""))</x:f>
        <x:v>0</x:v>
      </x:c>
      <x:c r="AN216" t="n">
        <x:f>--AND(Y216&lt;&gt;"",COUNTIF($Y$4:Y216,Y216)=1)</x:f>
        <x:v>0</x:v>
      </x:c>
      <x:c r="AO216" t="n">
        <x:f>--AND(AN216=1,Z216=1,AM216=1)</x:f>
        <x:v>0</x:v>
      </x:c>
      <x:c r="AP216" t="n">
        <x:f>--AND(AO216=1,AA216=1,AL216=1)</x:f>
        <x:v>0</x:v>
      </x:c>
      <x:c r="AQ216" t="n">
        <x:f>--AND(AN216=1,Z216=1)</x:f>
        <x:v>0</x:v>
      </x:c>
      <x:c r="AR216" t="n">
        <x:f>--AND(AQ216=1,AA216=1)</x:f>
        <x:v>0</x:v>
      </x:c>
    </x:row>
    <x:row r="217">
      <x:c r="A217" s="28"/>
      <x:c r="B217" s="28"/>
      <x:c r="C217" s="28"/>
      <x:c r="D217" s="28"/>
      <x:c r="E217" s="28"/>
      <x:c r="F217" s="28"/>
      <x:c r="G217" s="28"/>
      <x:c r="H217" s="28"/>
      <x:c r="I217" s="28"/>
      <x:c r="J217" s="28"/>
      <x:c r="K217" s="28"/>
      <x:c r="L217" s="28"/>
      <x:c r="M217" s="28"/>
      <x:c r="N217" s="28"/>
      <x:c r="O217" s="28"/>
      <x:c r="P217" s="28"/>
      <x:c r="Q217" s="28"/>
      <x:c r="R217" s="28"/>
      <x:c r="S217" s="28"/>
      <x:c r="T217" s="28"/>
      <x:c r="U217" s="28"/>
      <x:c r="V217" s="28"/>
      <x:c r="W217" s="28"/>
      <x:c r="X217" s="43" t="n">
        <x:f>--AND(S217=1,T217=1,U217=1,V217=1,W217=1)</x:f>
        <x:v>0</x:v>
      </x:c>
      <x:c r="AE217" s="43" t="n">
        <x:f>--AND(S217=1,M217&lt;&gt;"",M217&lt;&gt;"keep")</x:f>
        <x:v>0</x:v>
      </x:c>
      <x:c r="AG217" t="n">
        <x:f>--AND(S217=1,T217=1,U217=1,V217=1,W217=1,AE217=1)</x:f>
        <x:v>0</x:v>
      </x:c>
      <x:c r="AJ217" t="str">
        <x:f>IF(OR(AH217="",AI217=""),"",--(AH217&lt;&gt;AI217))</x:f>
      </x:c>
      <x:c r="AL217" t="str">
        <x:f>IF(OR(AH217="",AI217=""),"PENDING_HUMAN",IF(AH217=AI217,AH217,IF(AK217&lt;&gt;"",AK217,"PENDING_HUMAN")))</x:f>
        <x:v>PENDING_HUMAN</x:v>
      </x:c>
      <x:c r="AM217" t="n">
        <x:f>--AND(A217&lt;&gt;"",AH217&lt;&gt;"",AI217&lt;&gt;"",OR(AH217=AI217,AK217&lt;&gt;""))</x:f>
        <x:v>0</x:v>
      </x:c>
      <x:c r="AN217" t="n">
        <x:f>--AND(Y217&lt;&gt;"",COUNTIF($Y$4:Y217,Y217)=1)</x:f>
        <x:v>0</x:v>
      </x:c>
      <x:c r="AO217" t="n">
        <x:f>--AND(AN217=1,Z217=1,AM217=1)</x:f>
        <x:v>0</x:v>
      </x:c>
      <x:c r="AP217" t="n">
        <x:f>--AND(AO217=1,AA217=1,AL217=1)</x:f>
        <x:v>0</x:v>
      </x:c>
      <x:c r="AQ217" t="n">
        <x:f>--AND(AN217=1,Z217=1)</x:f>
        <x:v>0</x:v>
      </x:c>
      <x:c r="AR217" t="n">
        <x:f>--AND(AQ217=1,AA217=1)</x:f>
        <x:v>0</x:v>
      </x:c>
    </x:row>
    <x:row r="218">
      <x:c r="A218" s="28"/>
      <x:c r="B218" s="28"/>
      <x:c r="C218" s="28"/>
      <x:c r="D218" s="28"/>
      <x:c r="E218" s="28"/>
      <x:c r="F218" s="28"/>
      <x:c r="G218" s="28"/>
      <x:c r="H218" s="28"/>
      <x:c r="I218" s="28"/>
      <x:c r="J218" s="28"/>
      <x:c r="K218" s="28"/>
      <x:c r="L218" s="28"/>
      <x:c r="M218" s="28"/>
      <x:c r="N218" s="28"/>
      <x:c r="O218" s="28"/>
      <x:c r="P218" s="28"/>
      <x:c r="Q218" s="28"/>
      <x:c r="R218" s="28"/>
      <x:c r="S218" s="28"/>
      <x:c r="T218" s="28"/>
      <x:c r="U218" s="28"/>
      <x:c r="V218" s="28"/>
      <x:c r="W218" s="28"/>
      <x:c r="X218" s="43" t="n">
        <x:f>--AND(S218=1,T218=1,U218=1,V218=1,W218=1)</x:f>
        <x:v>0</x:v>
      </x:c>
      <x:c r="AE218" s="43" t="n">
        <x:f>--AND(S218=1,M218&lt;&gt;"",M218&lt;&gt;"keep")</x:f>
        <x:v>0</x:v>
      </x:c>
      <x:c r="AG218" t="n">
        <x:f>--AND(S218=1,T218=1,U218=1,V218=1,W218=1,AE218=1)</x:f>
        <x:v>0</x:v>
      </x:c>
      <x:c r="AJ218" t="str">
        <x:f>IF(OR(AH218="",AI218=""),"",--(AH218&lt;&gt;AI218))</x:f>
      </x:c>
      <x:c r="AL218" t="str">
        <x:f>IF(OR(AH218="",AI218=""),"PENDING_HUMAN",IF(AH218=AI218,AH218,IF(AK218&lt;&gt;"",AK218,"PENDING_HUMAN")))</x:f>
        <x:v>PENDING_HUMAN</x:v>
      </x:c>
      <x:c r="AM218" t="n">
        <x:f>--AND(A218&lt;&gt;"",AH218&lt;&gt;"",AI218&lt;&gt;"",OR(AH218=AI218,AK218&lt;&gt;""))</x:f>
        <x:v>0</x:v>
      </x:c>
      <x:c r="AN218" t="n">
        <x:f>--AND(Y218&lt;&gt;"",COUNTIF($Y$4:Y218,Y218)=1)</x:f>
        <x:v>0</x:v>
      </x:c>
      <x:c r="AO218" t="n">
        <x:f>--AND(AN218=1,Z218=1,AM218=1)</x:f>
        <x:v>0</x:v>
      </x:c>
      <x:c r="AP218" t="n">
        <x:f>--AND(AO218=1,AA218=1,AL218=1)</x:f>
        <x:v>0</x:v>
      </x:c>
      <x:c r="AQ218" t="n">
        <x:f>--AND(AN218=1,Z218=1)</x:f>
        <x:v>0</x:v>
      </x:c>
      <x:c r="AR218" t="n">
        <x:f>--AND(AQ218=1,AA218=1)</x:f>
        <x:v>0</x:v>
      </x:c>
    </x:row>
    <x:row r="219">
      <x:c r="A219" s="28"/>
      <x:c r="B219" s="28"/>
      <x:c r="C219" s="28"/>
      <x:c r="D219" s="28"/>
      <x:c r="E219" s="28"/>
      <x:c r="F219" s="28"/>
      <x:c r="G219" s="28"/>
      <x:c r="H219" s="28"/>
      <x:c r="I219" s="28"/>
      <x:c r="J219" s="28"/>
      <x:c r="K219" s="28"/>
      <x:c r="L219" s="28"/>
      <x:c r="M219" s="28"/>
      <x:c r="N219" s="28"/>
      <x:c r="O219" s="28"/>
      <x:c r="P219" s="28"/>
      <x:c r="Q219" s="28"/>
      <x:c r="R219" s="28"/>
      <x:c r="S219" s="28"/>
      <x:c r="T219" s="28"/>
      <x:c r="U219" s="28"/>
      <x:c r="V219" s="28"/>
      <x:c r="W219" s="28"/>
      <x:c r="X219" s="43" t="n">
        <x:f>--AND(S219=1,T219=1,U219=1,V219=1,W219=1)</x:f>
        <x:v>0</x:v>
      </x:c>
      <x:c r="AE219" s="43" t="n">
        <x:f>--AND(S219=1,M219&lt;&gt;"",M219&lt;&gt;"keep")</x:f>
        <x:v>0</x:v>
      </x:c>
      <x:c r="AG219" t="n">
        <x:f>--AND(S219=1,T219=1,U219=1,V219=1,W219=1,AE219=1)</x:f>
        <x:v>0</x:v>
      </x:c>
      <x:c r="AJ219" t="str">
        <x:f>IF(OR(AH219="",AI219=""),"",--(AH219&lt;&gt;AI219))</x:f>
      </x:c>
      <x:c r="AL219" t="str">
        <x:f>IF(OR(AH219="",AI219=""),"PENDING_HUMAN",IF(AH219=AI219,AH219,IF(AK219&lt;&gt;"",AK219,"PENDING_HUMAN")))</x:f>
        <x:v>PENDING_HUMAN</x:v>
      </x:c>
      <x:c r="AM219" t="n">
        <x:f>--AND(A219&lt;&gt;"",AH219&lt;&gt;"",AI219&lt;&gt;"",OR(AH219=AI219,AK219&lt;&gt;""))</x:f>
        <x:v>0</x:v>
      </x:c>
      <x:c r="AN219" t="n">
        <x:f>--AND(Y219&lt;&gt;"",COUNTIF($Y$4:Y219,Y219)=1)</x:f>
        <x:v>0</x:v>
      </x:c>
      <x:c r="AO219" t="n">
        <x:f>--AND(AN219=1,Z219=1,AM219=1)</x:f>
        <x:v>0</x:v>
      </x:c>
      <x:c r="AP219" t="n">
        <x:f>--AND(AO219=1,AA219=1,AL219=1)</x:f>
        <x:v>0</x:v>
      </x:c>
      <x:c r="AQ219" t="n">
        <x:f>--AND(AN219=1,Z219=1)</x:f>
        <x:v>0</x:v>
      </x:c>
      <x:c r="AR219" t="n">
        <x:f>--AND(AQ219=1,AA219=1)</x:f>
        <x:v>0</x:v>
      </x:c>
    </x:row>
    <x:row r="220">
      <x:c r="A220" s="28"/>
      <x:c r="B220" s="28"/>
      <x:c r="C220" s="28"/>
      <x:c r="D220" s="28"/>
      <x:c r="E220" s="28"/>
      <x:c r="F220" s="28"/>
      <x:c r="G220" s="28"/>
      <x:c r="H220" s="28"/>
      <x:c r="I220" s="28"/>
      <x:c r="J220" s="28"/>
      <x:c r="K220" s="28"/>
      <x:c r="L220" s="28"/>
      <x:c r="M220" s="28"/>
      <x:c r="N220" s="28"/>
      <x:c r="O220" s="28"/>
      <x:c r="P220" s="28"/>
      <x:c r="Q220" s="28"/>
      <x:c r="R220" s="28"/>
      <x:c r="S220" s="28"/>
      <x:c r="T220" s="28"/>
      <x:c r="U220" s="28"/>
      <x:c r="V220" s="28"/>
      <x:c r="W220" s="28"/>
      <x:c r="X220" s="43" t="n">
        <x:f>--AND(S220=1,T220=1,U220=1,V220=1,W220=1)</x:f>
        <x:v>0</x:v>
      </x:c>
      <x:c r="AE220" s="43" t="n">
        <x:f>--AND(S220=1,M220&lt;&gt;"",M220&lt;&gt;"keep")</x:f>
        <x:v>0</x:v>
      </x:c>
      <x:c r="AG220" t="n">
        <x:f>--AND(S220=1,T220=1,U220=1,V220=1,W220=1,AE220=1)</x:f>
        <x:v>0</x:v>
      </x:c>
      <x:c r="AJ220" t="str">
        <x:f>IF(OR(AH220="",AI220=""),"",--(AH220&lt;&gt;AI220))</x:f>
      </x:c>
      <x:c r="AL220" t="str">
        <x:f>IF(OR(AH220="",AI220=""),"PENDING_HUMAN",IF(AH220=AI220,AH220,IF(AK220&lt;&gt;"",AK220,"PENDING_HUMAN")))</x:f>
        <x:v>PENDING_HUMAN</x:v>
      </x:c>
      <x:c r="AM220" t="n">
        <x:f>--AND(A220&lt;&gt;"",AH220&lt;&gt;"",AI220&lt;&gt;"",OR(AH220=AI220,AK220&lt;&gt;""))</x:f>
        <x:v>0</x:v>
      </x:c>
      <x:c r="AN220" t="n">
        <x:f>--AND(Y220&lt;&gt;"",COUNTIF($Y$4:Y220,Y220)=1)</x:f>
        <x:v>0</x:v>
      </x:c>
      <x:c r="AO220" t="n">
        <x:f>--AND(AN220=1,Z220=1,AM220=1)</x:f>
        <x:v>0</x:v>
      </x:c>
      <x:c r="AP220" t="n">
        <x:f>--AND(AO220=1,AA220=1,AL220=1)</x:f>
        <x:v>0</x:v>
      </x:c>
      <x:c r="AQ220" t="n">
        <x:f>--AND(AN220=1,Z220=1)</x:f>
        <x:v>0</x:v>
      </x:c>
      <x:c r="AR220" t="n">
        <x:f>--AND(AQ220=1,AA220=1)</x:f>
        <x:v>0</x:v>
      </x:c>
    </x:row>
    <x:row r="221">
      <x:c r="A221" s="28"/>
      <x:c r="B221" s="28"/>
      <x:c r="C221" s="28"/>
      <x:c r="D221" s="28"/>
      <x:c r="E221" s="28"/>
      <x:c r="F221" s="28"/>
      <x:c r="G221" s="28"/>
      <x:c r="H221" s="28"/>
      <x:c r="I221" s="28"/>
      <x:c r="J221" s="28"/>
      <x:c r="K221" s="28"/>
      <x:c r="L221" s="28"/>
      <x:c r="M221" s="28"/>
      <x:c r="N221" s="28"/>
      <x:c r="O221" s="28"/>
      <x:c r="P221" s="28"/>
      <x:c r="Q221" s="28"/>
      <x:c r="R221" s="28"/>
      <x:c r="S221" s="28"/>
      <x:c r="T221" s="28"/>
      <x:c r="U221" s="28"/>
      <x:c r="V221" s="28"/>
      <x:c r="W221" s="28"/>
      <x:c r="X221" s="43" t="n">
        <x:f>--AND(S221=1,T221=1,U221=1,V221=1,W221=1)</x:f>
        <x:v>0</x:v>
      </x:c>
      <x:c r="AE221" s="43" t="n">
        <x:f>--AND(S221=1,M221&lt;&gt;"",M221&lt;&gt;"keep")</x:f>
        <x:v>0</x:v>
      </x:c>
      <x:c r="AG221" t="n">
        <x:f>--AND(S221=1,T221=1,U221=1,V221=1,W221=1,AE221=1)</x:f>
        <x:v>0</x:v>
      </x:c>
      <x:c r="AJ221" t="str">
        <x:f>IF(OR(AH221="",AI221=""),"",--(AH221&lt;&gt;AI221))</x:f>
      </x:c>
      <x:c r="AL221" t="str">
        <x:f>IF(OR(AH221="",AI221=""),"PENDING_HUMAN",IF(AH221=AI221,AH221,IF(AK221&lt;&gt;"",AK221,"PENDING_HUMAN")))</x:f>
        <x:v>PENDING_HUMAN</x:v>
      </x:c>
      <x:c r="AM221" t="n">
        <x:f>--AND(A221&lt;&gt;"",AH221&lt;&gt;"",AI221&lt;&gt;"",OR(AH221=AI221,AK221&lt;&gt;""))</x:f>
        <x:v>0</x:v>
      </x:c>
      <x:c r="AN221" t="n">
        <x:f>--AND(Y221&lt;&gt;"",COUNTIF($Y$4:Y221,Y221)=1)</x:f>
        <x:v>0</x:v>
      </x:c>
      <x:c r="AO221" t="n">
        <x:f>--AND(AN221=1,Z221=1,AM221=1)</x:f>
        <x:v>0</x:v>
      </x:c>
      <x:c r="AP221" t="n">
        <x:f>--AND(AO221=1,AA221=1,AL221=1)</x:f>
        <x:v>0</x:v>
      </x:c>
      <x:c r="AQ221" t="n">
        <x:f>--AND(AN221=1,Z221=1)</x:f>
        <x:v>0</x:v>
      </x:c>
      <x:c r="AR221" t="n">
        <x:f>--AND(AQ221=1,AA221=1)</x:f>
        <x:v>0</x:v>
      </x:c>
    </x:row>
    <x:row r="222">
      <x:c r="A222" s="28"/>
      <x:c r="B222" s="28"/>
      <x:c r="C222" s="28"/>
      <x:c r="D222" s="28"/>
      <x:c r="E222" s="28"/>
      <x:c r="F222" s="28"/>
      <x:c r="G222" s="28"/>
      <x:c r="H222" s="28"/>
      <x:c r="I222" s="28"/>
      <x:c r="J222" s="28"/>
      <x:c r="K222" s="28"/>
      <x:c r="L222" s="28"/>
      <x:c r="M222" s="28"/>
      <x:c r="N222" s="28"/>
      <x:c r="O222" s="28"/>
      <x:c r="P222" s="28"/>
      <x:c r="Q222" s="28"/>
      <x:c r="R222" s="28"/>
      <x:c r="S222" s="28"/>
      <x:c r="T222" s="28"/>
      <x:c r="U222" s="28"/>
      <x:c r="V222" s="28"/>
      <x:c r="W222" s="28"/>
      <x:c r="X222" s="43" t="n">
        <x:f>--AND(S222=1,T222=1,U222=1,V222=1,W222=1)</x:f>
        <x:v>0</x:v>
      </x:c>
      <x:c r="AE222" s="43" t="n">
        <x:f>--AND(S222=1,M222&lt;&gt;"",M222&lt;&gt;"keep")</x:f>
        <x:v>0</x:v>
      </x:c>
      <x:c r="AG222" t="n">
        <x:f>--AND(S222=1,T222=1,U222=1,V222=1,W222=1,AE222=1)</x:f>
        <x:v>0</x:v>
      </x:c>
      <x:c r="AJ222" t="str">
        <x:f>IF(OR(AH222="",AI222=""),"",--(AH222&lt;&gt;AI222))</x:f>
      </x:c>
      <x:c r="AL222" t="str">
        <x:f>IF(OR(AH222="",AI222=""),"PENDING_HUMAN",IF(AH222=AI222,AH222,IF(AK222&lt;&gt;"",AK222,"PENDING_HUMAN")))</x:f>
        <x:v>PENDING_HUMAN</x:v>
      </x:c>
      <x:c r="AM222" t="n">
        <x:f>--AND(A222&lt;&gt;"",AH222&lt;&gt;"",AI222&lt;&gt;"",OR(AH222=AI222,AK222&lt;&gt;""))</x:f>
        <x:v>0</x:v>
      </x:c>
      <x:c r="AN222" t="n">
        <x:f>--AND(Y222&lt;&gt;"",COUNTIF($Y$4:Y222,Y222)=1)</x:f>
        <x:v>0</x:v>
      </x:c>
      <x:c r="AO222" t="n">
        <x:f>--AND(AN222=1,Z222=1,AM222=1)</x:f>
        <x:v>0</x:v>
      </x:c>
      <x:c r="AP222" t="n">
        <x:f>--AND(AO222=1,AA222=1,AL222=1)</x:f>
        <x:v>0</x:v>
      </x:c>
      <x:c r="AQ222" t="n">
        <x:f>--AND(AN222=1,Z222=1)</x:f>
        <x:v>0</x:v>
      </x:c>
      <x:c r="AR222" t="n">
        <x:f>--AND(AQ222=1,AA222=1)</x:f>
        <x:v>0</x:v>
      </x:c>
    </x:row>
    <x:row r="223">
      <x:c r="A223" s="28"/>
      <x:c r="B223" s="28"/>
      <x:c r="C223" s="28"/>
      <x:c r="D223" s="28"/>
      <x:c r="E223" s="28"/>
      <x:c r="F223" s="28"/>
      <x:c r="G223" s="28"/>
      <x:c r="H223" s="28"/>
      <x:c r="I223" s="28"/>
      <x:c r="J223" s="28"/>
      <x:c r="K223" s="28"/>
      <x:c r="L223" s="28"/>
      <x:c r="M223" s="28"/>
      <x:c r="N223" s="28"/>
      <x:c r="O223" s="28"/>
      <x:c r="P223" s="28"/>
      <x:c r="Q223" s="28"/>
      <x:c r="R223" s="28"/>
      <x:c r="S223" s="28"/>
      <x:c r="T223" s="28"/>
      <x:c r="U223" s="28"/>
      <x:c r="V223" s="28"/>
      <x:c r="W223" s="28"/>
      <x:c r="X223" s="43" t="n">
        <x:f>--AND(S223=1,T223=1,U223=1,V223=1,W223=1)</x:f>
        <x:v>0</x:v>
      </x:c>
      <x:c r="AE223" s="43" t="n">
        <x:f>--AND(S223=1,M223&lt;&gt;"",M223&lt;&gt;"keep")</x:f>
        <x:v>0</x:v>
      </x:c>
      <x:c r="AG223" t="n">
        <x:f>--AND(S223=1,T223=1,U223=1,V223=1,W223=1,AE223=1)</x:f>
        <x:v>0</x:v>
      </x:c>
      <x:c r="AJ223" t="str">
        <x:f>IF(OR(AH223="",AI223=""),"",--(AH223&lt;&gt;AI223))</x:f>
      </x:c>
      <x:c r="AL223" t="str">
        <x:f>IF(OR(AH223="",AI223=""),"PENDING_HUMAN",IF(AH223=AI223,AH223,IF(AK223&lt;&gt;"",AK223,"PENDING_HUMAN")))</x:f>
        <x:v>PENDING_HUMAN</x:v>
      </x:c>
      <x:c r="AM223" t="n">
        <x:f>--AND(A223&lt;&gt;"",AH223&lt;&gt;"",AI223&lt;&gt;"",OR(AH223=AI223,AK223&lt;&gt;""))</x:f>
        <x:v>0</x:v>
      </x:c>
      <x:c r="AN223" t="n">
        <x:f>--AND(Y223&lt;&gt;"",COUNTIF($Y$4:Y223,Y223)=1)</x:f>
        <x:v>0</x:v>
      </x:c>
      <x:c r="AO223" t="n">
        <x:f>--AND(AN223=1,Z223=1,AM223=1)</x:f>
        <x:v>0</x:v>
      </x:c>
      <x:c r="AP223" t="n">
        <x:f>--AND(AO223=1,AA223=1,AL223=1)</x:f>
        <x:v>0</x:v>
      </x:c>
      <x:c r="AQ223" t="n">
        <x:f>--AND(AN223=1,Z223=1)</x:f>
        <x:v>0</x:v>
      </x:c>
      <x:c r="AR223" t="n">
        <x:f>--AND(AQ223=1,AA223=1)</x:f>
        <x:v>0</x:v>
      </x:c>
    </x:row>
    <x:row r="224">
      <x:c r="A224" s="28"/>
      <x:c r="B224" s="28"/>
      <x:c r="C224" s="28"/>
      <x:c r="D224" s="28"/>
      <x:c r="E224" s="28"/>
      <x:c r="F224" s="28"/>
      <x:c r="G224" s="28"/>
      <x:c r="H224" s="28"/>
      <x:c r="I224" s="28"/>
      <x:c r="J224" s="28"/>
      <x:c r="K224" s="28"/>
      <x:c r="L224" s="28"/>
      <x:c r="M224" s="28"/>
      <x:c r="N224" s="28"/>
      <x:c r="O224" s="28"/>
      <x:c r="P224" s="28"/>
      <x:c r="Q224" s="28"/>
      <x:c r="R224" s="28"/>
      <x:c r="S224" s="28"/>
      <x:c r="T224" s="28"/>
      <x:c r="U224" s="28"/>
      <x:c r="V224" s="28"/>
      <x:c r="W224" s="28"/>
      <x:c r="X224" s="43" t="n">
        <x:f>--AND(S224=1,T224=1,U224=1,V224=1,W224=1)</x:f>
        <x:v>0</x:v>
      </x:c>
      <x:c r="AE224" s="43" t="n">
        <x:f>--AND(S224=1,M224&lt;&gt;"",M224&lt;&gt;"keep")</x:f>
        <x:v>0</x:v>
      </x:c>
      <x:c r="AG224" t="n">
        <x:f>--AND(S224=1,T224=1,U224=1,V224=1,W224=1,AE224=1)</x:f>
        <x:v>0</x:v>
      </x:c>
      <x:c r="AJ224" t="str">
        <x:f>IF(OR(AH224="",AI224=""),"",--(AH224&lt;&gt;AI224))</x:f>
      </x:c>
      <x:c r="AL224" t="str">
        <x:f>IF(OR(AH224="",AI224=""),"PENDING_HUMAN",IF(AH224=AI224,AH224,IF(AK224&lt;&gt;"",AK224,"PENDING_HUMAN")))</x:f>
        <x:v>PENDING_HUMAN</x:v>
      </x:c>
      <x:c r="AM224" t="n">
        <x:f>--AND(A224&lt;&gt;"",AH224&lt;&gt;"",AI224&lt;&gt;"",OR(AH224=AI224,AK224&lt;&gt;""))</x:f>
        <x:v>0</x:v>
      </x:c>
      <x:c r="AN224" t="n">
        <x:f>--AND(Y224&lt;&gt;"",COUNTIF($Y$4:Y224,Y224)=1)</x:f>
        <x:v>0</x:v>
      </x:c>
      <x:c r="AO224" t="n">
        <x:f>--AND(AN224=1,Z224=1,AM224=1)</x:f>
        <x:v>0</x:v>
      </x:c>
      <x:c r="AP224" t="n">
        <x:f>--AND(AO224=1,AA224=1,AL224=1)</x:f>
        <x:v>0</x:v>
      </x:c>
      <x:c r="AQ224" t="n">
        <x:f>--AND(AN224=1,Z224=1)</x:f>
        <x:v>0</x:v>
      </x:c>
      <x:c r="AR224" t="n">
        <x:f>--AND(AQ224=1,AA224=1)</x:f>
        <x:v>0</x:v>
      </x:c>
    </x:row>
    <x:row r="225">
      <x:c r="A225" s="28"/>
      <x:c r="B225" s="28"/>
      <x:c r="C225" s="28"/>
      <x:c r="D225" s="28"/>
      <x:c r="E225" s="28"/>
      <x:c r="F225" s="28"/>
      <x:c r="G225" s="28"/>
      <x:c r="H225" s="28"/>
      <x:c r="I225" s="28"/>
      <x:c r="J225" s="28"/>
      <x:c r="K225" s="28"/>
      <x:c r="L225" s="28"/>
      <x:c r="M225" s="28"/>
      <x:c r="N225" s="28"/>
      <x:c r="O225" s="28"/>
      <x:c r="P225" s="28"/>
      <x:c r="Q225" s="28"/>
      <x:c r="R225" s="28"/>
      <x:c r="S225" s="28"/>
      <x:c r="T225" s="28"/>
      <x:c r="U225" s="28"/>
      <x:c r="V225" s="28"/>
      <x:c r="W225" s="28"/>
      <x:c r="X225" s="43" t="n">
        <x:f>--AND(S225=1,T225=1,U225=1,V225=1,W225=1)</x:f>
        <x:v>0</x:v>
      </x:c>
      <x:c r="AE225" s="43" t="n">
        <x:f>--AND(S225=1,M225&lt;&gt;"",M225&lt;&gt;"keep")</x:f>
        <x:v>0</x:v>
      </x:c>
      <x:c r="AG225" t="n">
        <x:f>--AND(S225=1,T225=1,U225=1,V225=1,W225=1,AE225=1)</x:f>
        <x:v>0</x:v>
      </x:c>
      <x:c r="AJ225" t="str">
        <x:f>IF(OR(AH225="",AI225=""),"",--(AH225&lt;&gt;AI225))</x:f>
      </x:c>
      <x:c r="AL225" t="str">
        <x:f>IF(OR(AH225="",AI225=""),"PENDING_HUMAN",IF(AH225=AI225,AH225,IF(AK225&lt;&gt;"",AK225,"PENDING_HUMAN")))</x:f>
        <x:v>PENDING_HUMAN</x:v>
      </x:c>
      <x:c r="AM225" t="n">
        <x:f>--AND(A225&lt;&gt;"",AH225&lt;&gt;"",AI225&lt;&gt;"",OR(AH225=AI225,AK225&lt;&gt;""))</x:f>
        <x:v>0</x:v>
      </x:c>
      <x:c r="AN225" t="n">
        <x:f>--AND(Y225&lt;&gt;"",COUNTIF($Y$4:Y225,Y225)=1)</x:f>
        <x:v>0</x:v>
      </x:c>
      <x:c r="AO225" t="n">
        <x:f>--AND(AN225=1,Z225=1,AM225=1)</x:f>
        <x:v>0</x:v>
      </x:c>
      <x:c r="AP225" t="n">
        <x:f>--AND(AO225=1,AA225=1,AL225=1)</x:f>
        <x:v>0</x:v>
      </x:c>
      <x:c r="AQ225" t="n">
        <x:f>--AND(AN225=1,Z225=1)</x:f>
        <x:v>0</x:v>
      </x:c>
      <x:c r="AR225" t="n">
        <x:f>--AND(AQ225=1,AA225=1)</x:f>
        <x:v>0</x:v>
      </x:c>
    </x:row>
    <x:row r="226">
      <x:c r="A226" s="28"/>
      <x:c r="B226" s="28"/>
      <x:c r="C226" s="28"/>
      <x:c r="D226" s="28"/>
      <x:c r="E226" s="28"/>
      <x:c r="F226" s="28"/>
      <x:c r="G226" s="28"/>
      <x:c r="H226" s="28"/>
      <x:c r="I226" s="28"/>
      <x:c r="J226" s="28"/>
      <x:c r="K226" s="28"/>
      <x:c r="L226" s="28"/>
      <x:c r="M226" s="28"/>
      <x:c r="N226" s="28"/>
      <x:c r="O226" s="28"/>
      <x:c r="P226" s="28"/>
      <x:c r="Q226" s="28"/>
      <x:c r="R226" s="28"/>
      <x:c r="S226" s="28"/>
      <x:c r="T226" s="28"/>
      <x:c r="U226" s="28"/>
      <x:c r="V226" s="28"/>
      <x:c r="W226" s="28"/>
      <x:c r="X226" s="43" t="n">
        <x:f>--AND(S226=1,T226=1,U226=1,V226=1,W226=1)</x:f>
        <x:v>0</x:v>
      </x:c>
      <x:c r="AE226" s="43" t="n">
        <x:f>--AND(S226=1,M226&lt;&gt;"",M226&lt;&gt;"keep")</x:f>
        <x:v>0</x:v>
      </x:c>
      <x:c r="AG226" t="n">
        <x:f>--AND(S226=1,T226=1,U226=1,V226=1,W226=1,AE226=1)</x:f>
        <x:v>0</x:v>
      </x:c>
      <x:c r="AJ226" t="str">
        <x:f>IF(OR(AH226="",AI226=""),"",--(AH226&lt;&gt;AI226))</x:f>
      </x:c>
      <x:c r="AL226" t="str">
        <x:f>IF(OR(AH226="",AI226=""),"PENDING_HUMAN",IF(AH226=AI226,AH226,IF(AK226&lt;&gt;"",AK226,"PENDING_HUMAN")))</x:f>
        <x:v>PENDING_HUMAN</x:v>
      </x:c>
      <x:c r="AM226" t="n">
        <x:f>--AND(A226&lt;&gt;"",AH226&lt;&gt;"",AI226&lt;&gt;"",OR(AH226=AI226,AK226&lt;&gt;""))</x:f>
        <x:v>0</x:v>
      </x:c>
      <x:c r="AN226" t="n">
        <x:f>--AND(Y226&lt;&gt;"",COUNTIF($Y$4:Y226,Y226)=1)</x:f>
        <x:v>0</x:v>
      </x:c>
      <x:c r="AO226" t="n">
        <x:f>--AND(AN226=1,Z226=1,AM226=1)</x:f>
        <x:v>0</x:v>
      </x:c>
      <x:c r="AP226" t="n">
        <x:f>--AND(AO226=1,AA226=1,AL226=1)</x:f>
        <x:v>0</x:v>
      </x:c>
      <x:c r="AQ226" t="n">
        <x:f>--AND(AN226=1,Z226=1)</x:f>
        <x:v>0</x:v>
      </x:c>
      <x:c r="AR226" t="n">
        <x:f>--AND(AQ226=1,AA226=1)</x:f>
        <x:v>0</x:v>
      </x:c>
    </x:row>
    <x:row r="227">
      <x:c r="A227" s="28"/>
      <x:c r="B227" s="28"/>
      <x:c r="C227" s="28"/>
      <x:c r="D227" s="28"/>
      <x:c r="E227" s="28"/>
      <x:c r="F227" s="28"/>
      <x:c r="G227" s="28"/>
      <x:c r="H227" s="28"/>
      <x:c r="I227" s="28"/>
      <x:c r="J227" s="28"/>
      <x:c r="K227" s="28"/>
      <x:c r="L227" s="28"/>
      <x:c r="M227" s="28"/>
      <x:c r="N227" s="28"/>
      <x:c r="O227" s="28"/>
      <x:c r="P227" s="28"/>
      <x:c r="Q227" s="28"/>
      <x:c r="R227" s="28"/>
      <x:c r="S227" s="28"/>
      <x:c r="T227" s="28"/>
      <x:c r="U227" s="28"/>
      <x:c r="V227" s="28"/>
      <x:c r="W227" s="28"/>
      <x:c r="X227" s="43" t="n">
        <x:f>--AND(S227=1,T227=1,U227=1,V227=1,W227=1)</x:f>
        <x:v>0</x:v>
      </x:c>
      <x:c r="AE227" s="43" t="n">
        <x:f>--AND(S227=1,M227&lt;&gt;"",M227&lt;&gt;"keep")</x:f>
        <x:v>0</x:v>
      </x:c>
      <x:c r="AG227" t="n">
        <x:f>--AND(S227=1,T227=1,U227=1,V227=1,W227=1,AE227=1)</x:f>
        <x:v>0</x:v>
      </x:c>
      <x:c r="AJ227" t="str">
        <x:f>IF(OR(AH227="",AI227=""),"",--(AH227&lt;&gt;AI227))</x:f>
      </x:c>
      <x:c r="AL227" t="str">
        <x:f>IF(OR(AH227="",AI227=""),"PENDING_HUMAN",IF(AH227=AI227,AH227,IF(AK227&lt;&gt;"",AK227,"PENDING_HUMAN")))</x:f>
        <x:v>PENDING_HUMAN</x:v>
      </x:c>
      <x:c r="AM227" t="n">
        <x:f>--AND(A227&lt;&gt;"",AH227&lt;&gt;"",AI227&lt;&gt;"",OR(AH227=AI227,AK227&lt;&gt;""))</x:f>
        <x:v>0</x:v>
      </x:c>
      <x:c r="AN227" t="n">
        <x:f>--AND(Y227&lt;&gt;"",COUNTIF($Y$4:Y227,Y227)=1)</x:f>
        <x:v>0</x:v>
      </x:c>
      <x:c r="AO227" t="n">
        <x:f>--AND(AN227=1,Z227=1,AM227=1)</x:f>
        <x:v>0</x:v>
      </x:c>
      <x:c r="AP227" t="n">
        <x:f>--AND(AO227=1,AA227=1,AL227=1)</x:f>
        <x:v>0</x:v>
      </x:c>
      <x:c r="AQ227" t="n">
        <x:f>--AND(AN227=1,Z227=1)</x:f>
        <x:v>0</x:v>
      </x:c>
      <x:c r="AR227" t="n">
        <x:f>--AND(AQ227=1,AA227=1)</x:f>
        <x:v>0</x:v>
      </x:c>
    </x:row>
    <x:row r="228">
      <x:c r="A228" s="28"/>
      <x:c r="B228" s="28"/>
      <x:c r="C228" s="28"/>
      <x:c r="D228" s="28"/>
      <x:c r="E228" s="28"/>
      <x:c r="F228" s="28"/>
      <x:c r="G228" s="28"/>
      <x:c r="H228" s="28"/>
      <x:c r="I228" s="28"/>
      <x:c r="J228" s="28"/>
      <x:c r="K228" s="28"/>
      <x:c r="L228" s="28"/>
      <x:c r="M228" s="28"/>
      <x:c r="N228" s="28"/>
      <x:c r="O228" s="28"/>
      <x:c r="P228" s="28"/>
      <x:c r="Q228" s="28"/>
      <x:c r="R228" s="28"/>
      <x:c r="S228" s="28"/>
      <x:c r="T228" s="28"/>
      <x:c r="U228" s="28"/>
      <x:c r="V228" s="28"/>
      <x:c r="W228" s="28"/>
      <x:c r="X228" s="43" t="n">
        <x:f>--AND(S228=1,T228=1,U228=1,V228=1,W228=1)</x:f>
        <x:v>0</x:v>
      </x:c>
      <x:c r="AE228" s="43" t="n">
        <x:f>--AND(S228=1,M228&lt;&gt;"",M228&lt;&gt;"keep")</x:f>
        <x:v>0</x:v>
      </x:c>
      <x:c r="AG228" t="n">
        <x:f>--AND(S228=1,T228=1,U228=1,V228=1,W228=1,AE228=1)</x:f>
        <x:v>0</x:v>
      </x:c>
      <x:c r="AJ228" t="str">
        <x:f>IF(OR(AH228="",AI228=""),"",--(AH228&lt;&gt;AI228))</x:f>
      </x:c>
      <x:c r="AL228" t="str">
        <x:f>IF(OR(AH228="",AI228=""),"PENDING_HUMAN",IF(AH228=AI228,AH228,IF(AK228&lt;&gt;"",AK228,"PENDING_HUMAN")))</x:f>
        <x:v>PENDING_HUMAN</x:v>
      </x:c>
      <x:c r="AM228" t="n">
        <x:f>--AND(A228&lt;&gt;"",AH228&lt;&gt;"",AI228&lt;&gt;"",OR(AH228=AI228,AK228&lt;&gt;""))</x:f>
        <x:v>0</x:v>
      </x:c>
      <x:c r="AN228" t="n">
        <x:f>--AND(Y228&lt;&gt;"",COUNTIF($Y$4:Y228,Y228)=1)</x:f>
        <x:v>0</x:v>
      </x:c>
      <x:c r="AO228" t="n">
        <x:f>--AND(AN228=1,Z228=1,AM228=1)</x:f>
        <x:v>0</x:v>
      </x:c>
      <x:c r="AP228" t="n">
        <x:f>--AND(AO228=1,AA228=1,AL228=1)</x:f>
        <x:v>0</x:v>
      </x:c>
      <x:c r="AQ228" t="n">
        <x:f>--AND(AN228=1,Z228=1)</x:f>
        <x:v>0</x:v>
      </x:c>
      <x:c r="AR228" t="n">
        <x:f>--AND(AQ228=1,AA228=1)</x:f>
        <x:v>0</x:v>
      </x:c>
    </x:row>
    <x:row r="229">
      <x:c r="A229" s="28"/>
      <x:c r="B229" s="28"/>
      <x:c r="C229" s="28"/>
      <x:c r="D229" s="28"/>
      <x:c r="E229" s="28"/>
      <x:c r="F229" s="28"/>
      <x:c r="G229" s="28"/>
      <x:c r="H229" s="28"/>
      <x:c r="I229" s="28"/>
      <x:c r="J229" s="28"/>
      <x:c r="K229" s="28"/>
      <x:c r="L229" s="28"/>
      <x:c r="M229" s="28"/>
      <x:c r="N229" s="28"/>
      <x:c r="O229" s="28"/>
      <x:c r="P229" s="28"/>
      <x:c r="Q229" s="28"/>
      <x:c r="R229" s="28"/>
      <x:c r="S229" s="28"/>
      <x:c r="T229" s="28"/>
      <x:c r="U229" s="28"/>
      <x:c r="V229" s="28"/>
      <x:c r="W229" s="28"/>
      <x:c r="X229" s="43" t="n">
        <x:f>--AND(S229=1,T229=1,U229=1,V229=1,W229=1)</x:f>
        <x:v>0</x:v>
      </x:c>
      <x:c r="AE229" s="43" t="n">
        <x:f>--AND(S229=1,M229&lt;&gt;"",M229&lt;&gt;"keep")</x:f>
        <x:v>0</x:v>
      </x:c>
      <x:c r="AG229" t="n">
        <x:f>--AND(S229=1,T229=1,U229=1,V229=1,W229=1,AE229=1)</x:f>
        <x:v>0</x:v>
      </x:c>
      <x:c r="AJ229" t="str">
        <x:f>IF(OR(AH229="",AI229=""),"",--(AH229&lt;&gt;AI229))</x:f>
      </x:c>
      <x:c r="AL229" t="str">
        <x:f>IF(OR(AH229="",AI229=""),"PENDING_HUMAN",IF(AH229=AI229,AH229,IF(AK229&lt;&gt;"",AK229,"PENDING_HUMAN")))</x:f>
        <x:v>PENDING_HUMAN</x:v>
      </x:c>
      <x:c r="AM229" t="n">
        <x:f>--AND(A229&lt;&gt;"",AH229&lt;&gt;"",AI229&lt;&gt;"",OR(AH229=AI229,AK229&lt;&gt;""))</x:f>
        <x:v>0</x:v>
      </x:c>
      <x:c r="AN229" t="n">
        <x:f>--AND(Y229&lt;&gt;"",COUNTIF($Y$4:Y229,Y229)=1)</x:f>
        <x:v>0</x:v>
      </x:c>
      <x:c r="AO229" t="n">
        <x:f>--AND(AN229=1,Z229=1,AM229=1)</x:f>
        <x:v>0</x:v>
      </x:c>
      <x:c r="AP229" t="n">
        <x:f>--AND(AO229=1,AA229=1,AL229=1)</x:f>
        <x:v>0</x:v>
      </x:c>
      <x:c r="AQ229" t="n">
        <x:f>--AND(AN229=1,Z229=1)</x:f>
        <x:v>0</x:v>
      </x:c>
      <x:c r="AR229" t="n">
        <x:f>--AND(AQ229=1,AA229=1)</x:f>
        <x:v>0</x:v>
      </x:c>
    </x:row>
    <x:row r="230">
      <x:c r="A230" s="28"/>
      <x:c r="B230" s="28"/>
      <x:c r="C230" s="28"/>
      <x:c r="D230" s="28"/>
      <x:c r="E230" s="28"/>
      <x:c r="F230" s="28"/>
      <x:c r="G230" s="28"/>
      <x:c r="H230" s="28"/>
      <x:c r="I230" s="28"/>
      <x:c r="J230" s="28"/>
      <x:c r="K230" s="28"/>
      <x:c r="L230" s="28"/>
      <x:c r="M230" s="28"/>
      <x:c r="N230" s="28"/>
      <x:c r="O230" s="28"/>
      <x:c r="P230" s="28"/>
      <x:c r="Q230" s="28"/>
      <x:c r="R230" s="28"/>
      <x:c r="S230" s="28"/>
      <x:c r="T230" s="28"/>
      <x:c r="U230" s="28"/>
      <x:c r="V230" s="28"/>
      <x:c r="W230" s="28"/>
      <x:c r="X230" s="43" t="n">
        <x:f>--AND(S230=1,T230=1,U230=1,V230=1,W230=1)</x:f>
        <x:v>0</x:v>
      </x:c>
      <x:c r="AE230" s="43" t="n">
        <x:f>--AND(S230=1,M230&lt;&gt;"",M230&lt;&gt;"keep")</x:f>
        <x:v>0</x:v>
      </x:c>
      <x:c r="AG230" t="n">
        <x:f>--AND(S230=1,T230=1,U230=1,V230=1,W230=1,AE230=1)</x:f>
        <x:v>0</x:v>
      </x:c>
      <x:c r="AJ230" t="str">
        <x:f>IF(OR(AH230="",AI230=""),"",--(AH230&lt;&gt;AI230))</x:f>
      </x:c>
      <x:c r="AL230" t="str">
        <x:f>IF(OR(AH230="",AI230=""),"PENDING_HUMAN",IF(AH230=AI230,AH230,IF(AK230&lt;&gt;"",AK230,"PENDING_HUMAN")))</x:f>
        <x:v>PENDING_HUMAN</x:v>
      </x:c>
      <x:c r="AM230" t="n">
        <x:f>--AND(A230&lt;&gt;"",AH230&lt;&gt;"",AI230&lt;&gt;"",OR(AH230=AI230,AK230&lt;&gt;""))</x:f>
        <x:v>0</x:v>
      </x:c>
      <x:c r="AN230" t="n">
        <x:f>--AND(Y230&lt;&gt;"",COUNTIF($Y$4:Y230,Y230)=1)</x:f>
        <x:v>0</x:v>
      </x:c>
      <x:c r="AO230" t="n">
        <x:f>--AND(AN230=1,Z230=1,AM230=1)</x:f>
        <x:v>0</x:v>
      </x:c>
      <x:c r="AP230" t="n">
        <x:f>--AND(AO230=1,AA230=1,AL230=1)</x:f>
        <x:v>0</x:v>
      </x:c>
      <x:c r="AQ230" t="n">
        <x:f>--AND(AN230=1,Z230=1)</x:f>
        <x:v>0</x:v>
      </x:c>
      <x:c r="AR230" t="n">
        <x:f>--AND(AQ230=1,AA230=1)</x:f>
        <x:v>0</x:v>
      </x:c>
    </x:row>
    <x:row r="231">
      <x:c r="A231" s="28"/>
      <x:c r="B231" s="28"/>
      <x:c r="C231" s="28"/>
      <x:c r="D231" s="28"/>
      <x:c r="E231" s="28"/>
      <x:c r="F231" s="28"/>
      <x:c r="G231" s="28"/>
      <x:c r="H231" s="28"/>
      <x:c r="I231" s="28"/>
      <x:c r="J231" s="28"/>
      <x:c r="K231" s="28"/>
      <x:c r="L231" s="28"/>
      <x:c r="M231" s="28"/>
      <x:c r="N231" s="28"/>
      <x:c r="O231" s="28"/>
      <x:c r="P231" s="28"/>
      <x:c r="Q231" s="28"/>
      <x:c r="R231" s="28"/>
      <x:c r="S231" s="28"/>
      <x:c r="T231" s="28"/>
      <x:c r="U231" s="28"/>
      <x:c r="V231" s="28"/>
      <x:c r="W231" s="28"/>
      <x:c r="X231" s="43" t="n">
        <x:f>--AND(S231=1,T231=1,U231=1,V231=1,W231=1)</x:f>
        <x:v>0</x:v>
      </x:c>
      <x:c r="AE231" s="43" t="n">
        <x:f>--AND(S231=1,M231&lt;&gt;"",M231&lt;&gt;"keep")</x:f>
        <x:v>0</x:v>
      </x:c>
      <x:c r="AG231" t="n">
        <x:f>--AND(S231=1,T231=1,U231=1,V231=1,W231=1,AE231=1)</x:f>
        <x:v>0</x:v>
      </x:c>
      <x:c r="AJ231" t="str">
        <x:f>IF(OR(AH231="",AI231=""),"",--(AH231&lt;&gt;AI231))</x:f>
      </x:c>
      <x:c r="AL231" t="str">
        <x:f>IF(OR(AH231="",AI231=""),"PENDING_HUMAN",IF(AH231=AI231,AH231,IF(AK231&lt;&gt;"",AK231,"PENDING_HUMAN")))</x:f>
        <x:v>PENDING_HUMAN</x:v>
      </x:c>
      <x:c r="AM231" t="n">
        <x:f>--AND(A231&lt;&gt;"",AH231&lt;&gt;"",AI231&lt;&gt;"",OR(AH231=AI231,AK231&lt;&gt;""))</x:f>
        <x:v>0</x:v>
      </x:c>
      <x:c r="AN231" t="n">
        <x:f>--AND(Y231&lt;&gt;"",COUNTIF($Y$4:Y231,Y231)=1)</x:f>
        <x:v>0</x:v>
      </x:c>
      <x:c r="AO231" t="n">
        <x:f>--AND(AN231=1,Z231=1,AM231=1)</x:f>
        <x:v>0</x:v>
      </x:c>
      <x:c r="AP231" t="n">
        <x:f>--AND(AO231=1,AA231=1,AL231=1)</x:f>
        <x:v>0</x:v>
      </x:c>
      <x:c r="AQ231" t="n">
        <x:f>--AND(AN231=1,Z231=1)</x:f>
        <x:v>0</x:v>
      </x:c>
      <x:c r="AR231" t="n">
        <x:f>--AND(AQ231=1,AA231=1)</x:f>
        <x:v>0</x:v>
      </x:c>
    </x:row>
    <x:row r="232">
      <x:c r="A232" s="28"/>
      <x:c r="B232" s="28"/>
      <x:c r="C232" s="28"/>
      <x:c r="D232" s="28"/>
      <x:c r="E232" s="28"/>
      <x:c r="F232" s="28"/>
      <x:c r="G232" s="28"/>
      <x:c r="H232" s="28"/>
      <x:c r="I232" s="28"/>
      <x:c r="J232" s="28"/>
      <x:c r="K232" s="28"/>
      <x:c r="L232" s="28"/>
      <x:c r="M232" s="28"/>
      <x:c r="N232" s="28"/>
      <x:c r="O232" s="28"/>
      <x:c r="P232" s="28"/>
      <x:c r="Q232" s="28"/>
      <x:c r="R232" s="28"/>
      <x:c r="S232" s="28"/>
      <x:c r="T232" s="28"/>
      <x:c r="U232" s="28"/>
      <x:c r="V232" s="28"/>
      <x:c r="W232" s="28"/>
      <x:c r="X232" s="43" t="n">
        <x:f>--AND(S232=1,T232=1,U232=1,V232=1,W232=1)</x:f>
        <x:v>0</x:v>
      </x:c>
      <x:c r="AE232" s="43" t="n">
        <x:f>--AND(S232=1,M232&lt;&gt;"",M232&lt;&gt;"keep")</x:f>
        <x:v>0</x:v>
      </x:c>
      <x:c r="AG232" t="n">
        <x:f>--AND(S232=1,T232=1,U232=1,V232=1,W232=1,AE232=1)</x:f>
        <x:v>0</x:v>
      </x:c>
      <x:c r="AJ232" t="str">
        <x:f>IF(OR(AH232="",AI232=""),"",--(AH232&lt;&gt;AI232))</x:f>
      </x:c>
      <x:c r="AL232" t="str">
        <x:f>IF(OR(AH232="",AI232=""),"PENDING_HUMAN",IF(AH232=AI232,AH232,IF(AK232&lt;&gt;"",AK232,"PENDING_HUMAN")))</x:f>
        <x:v>PENDING_HUMAN</x:v>
      </x:c>
      <x:c r="AM232" t="n">
        <x:f>--AND(A232&lt;&gt;"",AH232&lt;&gt;"",AI232&lt;&gt;"",OR(AH232=AI232,AK232&lt;&gt;""))</x:f>
        <x:v>0</x:v>
      </x:c>
      <x:c r="AN232" t="n">
        <x:f>--AND(Y232&lt;&gt;"",COUNTIF($Y$4:Y232,Y232)=1)</x:f>
        <x:v>0</x:v>
      </x:c>
      <x:c r="AO232" t="n">
        <x:f>--AND(AN232=1,Z232=1,AM232=1)</x:f>
        <x:v>0</x:v>
      </x:c>
      <x:c r="AP232" t="n">
        <x:f>--AND(AO232=1,AA232=1,AL232=1)</x:f>
        <x:v>0</x:v>
      </x:c>
      <x:c r="AQ232" t="n">
        <x:f>--AND(AN232=1,Z232=1)</x:f>
        <x:v>0</x:v>
      </x:c>
      <x:c r="AR232" t="n">
        <x:f>--AND(AQ232=1,AA232=1)</x:f>
        <x:v>0</x:v>
      </x:c>
    </x:row>
    <x:row r="233">
      <x:c r="A233" s="28"/>
      <x:c r="B233" s="28"/>
      <x:c r="C233" s="28"/>
      <x:c r="D233" s="28"/>
      <x:c r="E233" s="28"/>
      <x:c r="F233" s="28"/>
      <x:c r="G233" s="28"/>
      <x:c r="H233" s="28"/>
      <x:c r="I233" s="28"/>
      <x:c r="J233" s="28"/>
      <x:c r="K233" s="28"/>
      <x:c r="L233" s="28"/>
      <x:c r="M233" s="28"/>
      <x:c r="N233" s="28"/>
      <x:c r="O233" s="28"/>
      <x:c r="P233" s="28"/>
      <x:c r="Q233" s="28"/>
      <x:c r="R233" s="28"/>
      <x:c r="S233" s="28"/>
      <x:c r="T233" s="28"/>
      <x:c r="U233" s="28"/>
      <x:c r="V233" s="28"/>
      <x:c r="W233" s="28"/>
      <x:c r="X233" s="43" t="n">
        <x:f>--AND(S233=1,T233=1,U233=1,V233=1,W233=1)</x:f>
        <x:v>0</x:v>
      </x:c>
      <x:c r="AE233" s="43" t="n">
        <x:f>--AND(S233=1,M233&lt;&gt;"",M233&lt;&gt;"keep")</x:f>
        <x:v>0</x:v>
      </x:c>
      <x:c r="AG233" t="n">
        <x:f>--AND(S233=1,T233=1,U233=1,V233=1,W233=1,AE233=1)</x:f>
        <x:v>0</x:v>
      </x:c>
      <x:c r="AJ233" t="str">
        <x:f>IF(OR(AH233="",AI233=""),"",--(AH233&lt;&gt;AI233))</x:f>
      </x:c>
      <x:c r="AL233" t="str">
        <x:f>IF(OR(AH233="",AI233=""),"PENDING_HUMAN",IF(AH233=AI233,AH233,IF(AK233&lt;&gt;"",AK233,"PENDING_HUMAN")))</x:f>
        <x:v>PENDING_HUMAN</x:v>
      </x:c>
      <x:c r="AM233" t="n">
        <x:f>--AND(A233&lt;&gt;"",AH233&lt;&gt;"",AI233&lt;&gt;"",OR(AH233=AI233,AK233&lt;&gt;""))</x:f>
        <x:v>0</x:v>
      </x:c>
      <x:c r="AN233" t="n">
        <x:f>--AND(Y233&lt;&gt;"",COUNTIF($Y$4:Y233,Y233)=1)</x:f>
        <x:v>0</x:v>
      </x:c>
      <x:c r="AO233" t="n">
        <x:f>--AND(AN233=1,Z233=1,AM233=1)</x:f>
        <x:v>0</x:v>
      </x:c>
      <x:c r="AP233" t="n">
        <x:f>--AND(AO233=1,AA233=1,AL233=1)</x:f>
        <x:v>0</x:v>
      </x:c>
      <x:c r="AQ233" t="n">
        <x:f>--AND(AN233=1,Z233=1)</x:f>
        <x:v>0</x:v>
      </x:c>
      <x:c r="AR233" t="n">
        <x:f>--AND(AQ233=1,AA233=1)</x:f>
        <x:v>0</x:v>
      </x:c>
    </x:row>
    <x:row r="234">
      <x:c r="A234" s="28"/>
      <x:c r="B234" s="28"/>
      <x:c r="C234" s="28"/>
      <x:c r="D234" s="28"/>
      <x:c r="E234" s="28"/>
      <x:c r="F234" s="28"/>
      <x:c r="G234" s="28"/>
      <x:c r="H234" s="28"/>
      <x:c r="I234" s="28"/>
      <x:c r="J234" s="28"/>
      <x:c r="K234" s="28"/>
      <x:c r="L234" s="28"/>
      <x:c r="M234" s="28"/>
      <x:c r="N234" s="28"/>
      <x:c r="O234" s="28"/>
      <x:c r="P234" s="28"/>
      <x:c r="Q234" s="28"/>
      <x:c r="R234" s="28"/>
      <x:c r="S234" s="28"/>
      <x:c r="T234" s="28"/>
      <x:c r="U234" s="28"/>
      <x:c r="V234" s="28"/>
      <x:c r="W234" s="28"/>
      <x:c r="X234" s="43" t="n">
        <x:f>--AND(S234=1,T234=1,U234=1,V234=1,W234=1)</x:f>
        <x:v>0</x:v>
      </x:c>
      <x:c r="AE234" s="43" t="n">
        <x:f>--AND(S234=1,M234&lt;&gt;"",M234&lt;&gt;"keep")</x:f>
        <x:v>0</x:v>
      </x:c>
      <x:c r="AG234" t="n">
        <x:f>--AND(S234=1,T234=1,U234=1,V234=1,W234=1,AE234=1)</x:f>
        <x:v>0</x:v>
      </x:c>
      <x:c r="AJ234" t="str">
        <x:f>IF(OR(AH234="",AI234=""),"",--(AH234&lt;&gt;AI234))</x:f>
      </x:c>
      <x:c r="AL234" t="str">
        <x:f>IF(OR(AH234="",AI234=""),"PENDING_HUMAN",IF(AH234=AI234,AH234,IF(AK234&lt;&gt;"",AK234,"PENDING_HUMAN")))</x:f>
        <x:v>PENDING_HUMAN</x:v>
      </x:c>
      <x:c r="AM234" t="n">
        <x:f>--AND(A234&lt;&gt;"",AH234&lt;&gt;"",AI234&lt;&gt;"",OR(AH234=AI234,AK234&lt;&gt;""))</x:f>
        <x:v>0</x:v>
      </x:c>
      <x:c r="AN234" t="n">
        <x:f>--AND(Y234&lt;&gt;"",COUNTIF($Y$4:Y234,Y234)=1)</x:f>
        <x:v>0</x:v>
      </x:c>
      <x:c r="AO234" t="n">
        <x:f>--AND(AN234=1,Z234=1,AM234=1)</x:f>
        <x:v>0</x:v>
      </x:c>
      <x:c r="AP234" t="n">
        <x:f>--AND(AO234=1,AA234=1,AL234=1)</x:f>
        <x:v>0</x:v>
      </x:c>
      <x:c r="AQ234" t="n">
        <x:f>--AND(AN234=1,Z234=1)</x:f>
        <x:v>0</x:v>
      </x:c>
      <x:c r="AR234" t="n">
        <x:f>--AND(AQ234=1,AA234=1)</x:f>
        <x:v>0</x:v>
      </x:c>
    </x:row>
    <x:row r="235">
      <x:c r="A235" s="28"/>
      <x:c r="B235" s="28"/>
      <x:c r="C235" s="28"/>
      <x:c r="D235" s="28"/>
      <x:c r="E235" s="28"/>
      <x:c r="F235" s="28"/>
      <x:c r="G235" s="28"/>
      <x:c r="H235" s="28"/>
      <x:c r="I235" s="28"/>
      <x:c r="J235" s="28"/>
      <x:c r="K235" s="28"/>
      <x:c r="L235" s="28"/>
      <x:c r="M235" s="28"/>
      <x:c r="N235" s="28"/>
      <x:c r="O235" s="28"/>
      <x:c r="P235" s="28"/>
      <x:c r="Q235" s="28"/>
      <x:c r="R235" s="28"/>
      <x:c r="S235" s="28"/>
      <x:c r="T235" s="28"/>
      <x:c r="U235" s="28"/>
      <x:c r="V235" s="28"/>
      <x:c r="W235" s="28"/>
      <x:c r="X235" s="43" t="n">
        <x:f>--AND(S235=1,T235=1,U235=1,V235=1,W235=1)</x:f>
        <x:v>0</x:v>
      </x:c>
      <x:c r="AE235" s="43" t="n">
        <x:f>--AND(S235=1,M235&lt;&gt;"",M235&lt;&gt;"keep")</x:f>
        <x:v>0</x:v>
      </x:c>
      <x:c r="AG235" t="n">
        <x:f>--AND(S235=1,T235=1,U235=1,V235=1,W235=1,AE235=1)</x:f>
        <x:v>0</x:v>
      </x:c>
      <x:c r="AJ235" t="str">
        <x:f>IF(OR(AH235="",AI235=""),"",--(AH235&lt;&gt;AI235))</x:f>
      </x:c>
      <x:c r="AL235" t="str">
        <x:f>IF(OR(AH235="",AI235=""),"PENDING_HUMAN",IF(AH235=AI235,AH235,IF(AK235&lt;&gt;"",AK235,"PENDING_HUMAN")))</x:f>
        <x:v>PENDING_HUMAN</x:v>
      </x:c>
      <x:c r="AM235" t="n">
        <x:f>--AND(A235&lt;&gt;"",AH235&lt;&gt;"",AI235&lt;&gt;"",OR(AH235=AI235,AK235&lt;&gt;""))</x:f>
        <x:v>0</x:v>
      </x:c>
      <x:c r="AN235" t="n">
        <x:f>--AND(Y235&lt;&gt;"",COUNTIF($Y$4:Y235,Y235)=1)</x:f>
        <x:v>0</x:v>
      </x:c>
      <x:c r="AO235" t="n">
        <x:f>--AND(AN235=1,Z235=1,AM235=1)</x:f>
        <x:v>0</x:v>
      </x:c>
      <x:c r="AP235" t="n">
        <x:f>--AND(AO235=1,AA235=1,AL235=1)</x:f>
        <x:v>0</x:v>
      </x:c>
      <x:c r="AQ235" t="n">
        <x:f>--AND(AN235=1,Z235=1)</x:f>
        <x:v>0</x:v>
      </x:c>
      <x:c r="AR235" t="n">
        <x:f>--AND(AQ235=1,AA235=1)</x:f>
        <x:v>0</x:v>
      </x:c>
    </x:row>
    <x:row r="236">
      <x:c r="A236" s="28"/>
      <x:c r="B236" s="28"/>
      <x:c r="C236" s="28"/>
      <x:c r="D236" s="28"/>
      <x:c r="E236" s="28"/>
      <x:c r="F236" s="28"/>
      <x:c r="G236" s="28"/>
      <x:c r="H236" s="28"/>
      <x:c r="I236" s="28"/>
      <x:c r="J236" s="28"/>
      <x:c r="K236" s="28"/>
      <x:c r="L236" s="28"/>
      <x:c r="M236" s="28"/>
      <x:c r="N236" s="28"/>
      <x:c r="O236" s="28"/>
      <x:c r="P236" s="28"/>
      <x:c r="Q236" s="28"/>
      <x:c r="R236" s="28"/>
      <x:c r="S236" s="28"/>
      <x:c r="T236" s="28"/>
      <x:c r="U236" s="28"/>
      <x:c r="V236" s="28"/>
      <x:c r="W236" s="28"/>
      <x:c r="X236" s="43" t="n">
        <x:f>--AND(S236=1,T236=1,U236=1,V236=1,W236=1)</x:f>
        <x:v>0</x:v>
      </x:c>
      <x:c r="AE236" s="43" t="n">
        <x:f>--AND(S236=1,M236&lt;&gt;"",M236&lt;&gt;"keep")</x:f>
        <x:v>0</x:v>
      </x:c>
      <x:c r="AG236" t="n">
        <x:f>--AND(S236=1,T236=1,U236=1,V236=1,W236=1,AE236=1)</x:f>
        <x:v>0</x:v>
      </x:c>
      <x:c r="AJ236" t="str">
        <x:f>IF(OR(AH236="",AI236=""),"",--(AH236&lt;&gt;AI236))</x:f>
      </x:c>
      <x:c r="AL236" t="str">
        <x:f>IF(OR(AH236="",AI236=""),"PENDING_HUMAN",IF(AH236=AI236,AH236,IF(AK236&lt;&gt;"",AK236,"PENDING_HUMAN")))</x:f>
        <x:v>PENDING_HUMAN</x:v>
      </x:c>
      <x:c r="AM236" t="n">
        <x:f>--AND(A236&lt;&gt;"",AH236&lt;&gt;"",AI236&lt;&gt;"",OR(AH236=AI236,AK236&lt;&gt;""))</x:f>
        <x:v>0</x:v>
      </x:c>
      <x:c r="AN236" t="n">
        <x:f>--AND(Y236&lt;&gt;"",COUNTIF($Y$4:Y236,Y236)=1)</x:f>
        <x:v>0</x:v>
      </x:c>
      <x:c r="AO236" t="n">
        <x:f>--AND(AN236=1,Z236=1,AM236=1)</x:f>
        <x:v>0</x:v>
      </x:c>
      <x:c r="AP236" t="n">
        <x:f>--AND(AO236=1,AA236=1,AL236=1)</x:f>
        <x:v>0</x:v>
      </x:c>
      <x:c r="AQ236" t="n">
        <x:f>--AND(AN236=1,Z236=1)</x:f>
        <x:v>0</x:v>
      </x:c>
      <x:c r="AR236" t="n">
        <x:f>--AND(AQ236=1,AA236=1)</x:f>
        <x:v>0</x:v>
      </x:c>
    </x:row>
    <x:row r="237">
      <x:c r="A237" s="28"/>
      <x:c r="B237" s="28"/>
      <x:c r="C237" s="28"/>
      <x:c r="D237" s="28"/>
      <x:c r="E237" s="28"/>
      <x:c r="F237" s="28"/>
      <x:c r="G237" s="28"/>
      <x:c r="H237" s="28"/>
      <x:c r="I237" s="28"/>
      <x:c r="J237" s="28"/>
      <x:c r="K237" s="28"/>
      <x:c r="L237" s="28"/>
      <x:c r="M237" s="28"/>
      <x:c r="N237" s="28"/>
      <x:c r="O237" s="28"/>
      <x:c r="P237" s="28"/>
      <x:c r="Q237" s="28"/>
      <x:c r="R237" s="28"/>
      <x:c r="S237" s="28"/>
      <x:c r="T237" s="28"/>
      <x:c r="U237" s="28"/>
      <x:c r="V237" s="28"/>
      <x:c r="W237" s="28"/>
      <x:c r="X237" s="43" t="n">
        <x:f>--AND(S237=1,T237=1,U237=1,V237=1,W237=1)</x:f>
        <x:v>0</x:v>
      </x:c>
      <x:c r="AE237" s="43" t="n">
        <x:f>--AND(S237=1,M237&lt;&gt;"",M237&lt;&gt;"keep")</x:f>
        <x:v>0</x:v>
      </x:c>
      <x:c r="AG237" t="n">
        <x:f>--AND(S237=1,T237=1,U237=1,V237=1,W237=1,AE237=1)</x:f>
        <x:v>0</x:v>
      </x:c>
      <x:c r="AJ237" t="str">
        <x:f>IF(OR(AH237="",AI237=""),"",--(AH237&lt;&gt;AI237))</x:f>
      </x:c>
      <x:c r="AL237" t="str">
        <x:f>IF(OR(AH237="",AI237=""),"PENDING_HUMAN",IF(AH237=AI237,AH237,IF(AK237&lt;&gt;"",AK237,"PENDING_HUMAN")))</x:f>
        <x:v>PENDING_HUMAN</x:v>
      </x:c>
      <x:c r="AM237" t="n">
        <x:f>--AND(A237&lt;&gt;"",AH237&lt;&gt;"",AI237&lt;&gt;"",OR(AH237=AI237,AK237&lt;&gt;""))</x:f>
        <x:v>0</x:v>
      </x:c>
      <x:c r="AN237" t="n">
        <x:f>--AND(Y237&lt;&gt;"",COUNTIF($Y$4:Y237,Y237)=1)</x:f>
        <x:v>0</x:v>
      </x:c>
      <x:c r="AO237" t="n">
        <x:f>--AND(AN237=1,Z237=1,AM237=1)</x:f>
        <x:v>0</x:v>
      </x:c>
      <x:c r="AP237" t="n">
        <x:f>--AND(AO237=1,AA237=1,AL237=1)</x:f>
        <x:v>0</x:v>
      </x:c>
      <x:c r="AQ237" t="n">
        <x:f>--AND(AN237=1,Z237=1)</x:f>
        <x:v>0</x:v>
      </x:c>
      <x:c r="AR237" t="n">
        <x:f>--AND(AQ237=1,AA237=1)</x:f>
        <x:v>0</x:v>
      </x:c>
    </x:row>
    <x:row r="238">
      <x:c r="A238" s="28"/>
      <x:c r="B238" s="28"/>
      <x:c r="C238" s="28"/>
      <x:c r="D238" s="28"/>
      <x:c r="E238" s="28"/>
      <x:c r="F238" s="28"/>
      <x:c r="G238" s="28"/>
      <x:c r="H238" s="28"/>
      <x:c r="I238" s="28"/>
      <x:c r="J238" s="28"/>
      <x:c r="K238" s="28"/>
      <x:c r="L238" s="28"/>
      <x:c r="M238" s="28"/>
      <x:c r="N238" s="28"/>
      <x:c r="O238" s="28"/>
      <x:c r="P238" s="28"/>
      <x:c r="Q238" s="28"/>
      <x:c r="R238" s="28"/>
      <x:c r="S238" s="28"/>
      <x:c r="T238" s="28"/>
      <x:c r="U238" s="28"/>
      <x:c r="V238" s="28"/>
      <x:c r="W238" s="28"/>
      <x:c r="X238" s="43" t="n">
        <x:f>--AND(S238=1,T238=1,U238=1,V238=1,W238=1)</x:f>
        <x:v>0</x:v>
      </x:c>
      <x:c r="AE238" s="43" t="n">
        <x:f>--AND(S238=1,M238&lt;&gt;"",M238&lt;&gt;"keep")</x:f>
        <x:v>0</x:v>
      </x:c>
      <x:c r="AG238" t="n">
        <x:f>--AND(S238=1,T238=1,U238=1,V238=1,W238=1,AE238=1)</x:f>
        <x:v>0</x:v>
      </x:c>
      <x:c r="AJ238" t="str">
        <x:f>IF(OR(AH238="",AI238=""),"",--(AH238&lt;&gt;AI238))</x:f>
      </x:c>
      <x:c r="AL238" t="str">
        <x:f>IF(OR(AH238="",AI238=""),"PENDING_HUMAN",IF(AH238=AI238,AH238,IF(AK238&lt;&gt;"",AK238,"PENDING_HUMAN")))</x:f>
        <x:v>PENDING_HUMAN</x:v>
      </x:c>
      <x:c r="AM238" t="n">
        <x:f>--AND(A238&lt;&gt;"",AH238&lt;&gt;"",AI238&lt;&gt;"",OR(AH238=AI238,AK238&lt;&gt;""))</x:f>
        <x:v>0</x:v>
      </x:c>
      <x:c r="AN238" t="n">
        <x:f>--AND(Y238&lt;&gt;"",COUNTIF($Y$4:Y238,Y238)=1)</x:f>
        <x:v>0</x:v>
      </x:c>
      <x:c r="AO238" t="n">
        <x:f>--AND(AN238=1,Z238=1,AM238=1)</x:f>
        <x:v>0</x:v>
      </x:c>
      <x:c r="AP238" t="n">
        <x:f>--AND(AO238=1,AA238=1,AL238=1)</x:f>
        <x:v>0</x:v>
      </x:c>
      <x:c r="AQ238" t="n">
        <x:f>--AND(AN238=1,Z238=1)</x:f>
        <x:v>0</x:v>
      </x:c>
      <x:c r="AR238" t="n">
        <x:f>--AND(AQ238=1,AA238=1)</x:f>
        <x:v>0</x:v>
      </x:c>
    </x:row>
    <x:row r="239">
      <x:c r="A239" s="28"/>
      <x:c r="B239" s="28"/>
      <x:c r="C239" s="28"/>
      <x:c r="D239" s="28"/>
      <x:c r="E239" s="28"/>
      <x:c r="F239" s="28"/>
      <x:c r="G239" s="28"/>
      <x:c r="H239" s="28"/>
      <x:c r="I239" s="28"/>
      <x:c r="J239" s="28"/>
      <x:c r="K239" s="28"/>
      <x:c r="L239" s="28"/>
      <x:c r="M239" s="28"/>
      <x:c r="N239" s="28"/>
      <x:c r="O239" s="28"/>
      <x:c r="P239" s="28"/>
      <x:c r="Q239" s="28"/>
      <x:c r="R239" s="28"/>
      <x:c r="S239" s="28"/>
      <x:c r="T239" s="28"/>
      <x:c r="U239" s="28"/>
      <x:c r="V239" s="28"/>
      <x:c r="W239" s="28"/>
      <x:c r="X239" s="43" t="n">
        <x:f>--AND(S239=1,T239=1,U239=1,V239=1,W239=1)</x:f>
        <x:v>0</x:v>
      </x:c>
      <x:c r="AE239" s="43" t="n">
        <x:f>--AND(S239=1,M239&lt;&gt;"",M239&lt;&gt;"keep")</x:f>
        <x:v>0</x:v>
      </x:c>
      <x:c r="AG239" t="n">
        <x:f>--AND(S239=1,T239=1,U239=1,V239=1,W239=1,AE239=1)</x:f>
        <x:v>0</x:v>
      </x:c>
      <x:c r="AJ239" t="str">
        <x:f>IF(OR(AH239="",AI239=""),"",--(AH239&lt;&gt;AI239))</x:f>
      </x:c>
      <x:c r="AL239" t="str">
        <x:f>IF(OR(AH239="",AI239=""),"PENDING_HUMAN",IF(AH239=AI239,AH239,IF(AK239&lt;&gt;"",AK239,"PENDING_HUMAN")))</x:f>
        <x:v>PENDING_HUMAN</x:v>
      </x:c>
      <x:c r="AM239" t="n">
        <x:f>--AND(A239&lt;&gt;"",AH239&lt;&gt;"",AI239&lt;&gt;"",OR(AH239=AI239,AK239&lt;&gt;""))</x:f>
        <x:v>0</x:v>
      </x:c>
      <x:c r="AN239" t="n">
        <x:f>--AND(Y239&lt;&gt;"",COUNTIF($Y$4:Y239,Y239)=1)</x:f>
        <x:v>0</x:v>
      </x:c>
      <x:c r="AO239" t="n">
        <x:f>--AND(AN239=1,Z239=1,AM239=1)</x:f>
        <x:v>0</x:v>
      </x:c>
      <x:c r="AP239" t="n">
        <x:f>--AND(AO239=1,AA239=1,AL239=1)</x:f>
        <x:v>0</x:v>
      </x:c>
      <x:c r="AQ239" t="n">
        <x:f>--AND(AN239=1,Z239=1)</x:f>
        <x:v>0</x:v>
      </x:c>
      <x:c r="AR239" t="n">
        <x:f>--AND(AQ239=1,AA239=1)</x:f>
        <x:v>0</x:v>
      </x:c>
    </x:row>
    <x:row r="240">
      <x:c r="A240" s="28"/>
      <x:c r="B240" s="28"/>
      <x:c r="C240" s="28"/>
      <x:c r="D240" s="28"/>
      <x:c r="E240" s="28"/>
      <x:c r="F240" s="28"/>
      <x:c r="G240" s="28"/>
      <x:c r="H240" s="28"/>
      <x:c r="I240" s="28"/>
      <x:c r="J240" s="28"/>
      <x:c r="K240" s="28"/>
      <x:c r="L240" s="28"/>
      <x:c r="M240" s="28"/>
      <x:c r="N240" s="28"/>
      <x:c r="O240" s="28"/>
      <x:c r="P240" s="28"/>
      <x:c r="Q240" s="28"/>
      <x:c r="R240" s="28"/>
      <x:c r="S240" s="28"/>
      <x:c r="T240" s="28"/>
      <x:c r="U240" s="28"/>
      <x:c r="V240" s="28"/>
      <x:c r="W240" s="28"/>
      <x:c r="X240" s="43" t="n">
        <x:f>--AND(S240=1,T240=1,U240=1,V240=1,W240=1)</x:f>
        <x:v>0</x:v>
      </x:c>
      <x:c r="AE240" s="43" t="n">
        <x:f>--AND(S240=1,M240&lt;&gt;"",M240&lt;&gt;"keep")</x:f>
        <x:v>0</x:v>
      </x:c>
      <x:c r="AG240" t="n">
        <x:f>--AND(S240=1,T240=1,U240=1,V240=1,W240=1,AE240=1)</x:f>
        <x:v>0</x:v>
      </x:c>
      <x:c r="AJ240" t="str">
        <x:f>IF(OR(AH240="",AI240=""),"",--(AH240&lt;&gt;AI240))</x:f>
      </x:c>
      <x:c r="AL240" t="str">
        <x:f>IF(OR(AH240="",AI240=""),"PENDING_HUMAN",IF(AH240=AI240,AH240,IF(AK240&lt;&gt;"",AK240,"PENDING_HUMAN")))</x:f>
        <x:v>PENDING_HUMAN</x:v>
      </x:c>
      <x:c r="AM240" t="n">
        <x:f>--AND(A240&lt;&gt;"",AH240&lt;&gt;"",AI240&lt;&gt;"",OR(AH240=AI240,AK240&lt;&gt;""))</x:f>
        <x:v>0</x:v>
      </x:c>
      <x:c r="AN240" t="n">
        <x:f>--AND(Y240&lt;&gt;"",COUNTIF($Y$4:Y240,Y240)=1)</x:f>
        <x:v>0</x:v>
      </x:c>
      <x:c r="AO240" t="n">
        <x:f>--AND(AN240=1,Z240=1,AM240=1)</x:f>
        <x:v>0</x:v>
      </x:c>
      <x:c r="AP240" t="n">
        <x:f>--AND(AO240=1,AA240=1,AL240=1)</x:f>
        <x:v>0</x:v>
      </x:c>
      <x:c r="AQ240" t="n">
        <x:f>--AND(AN240=1,Z240=1)</x:f>
        <x:v>0</x:v>
      </x:c>
      <x:c r="AR240" t="n">
        <x:f>--AND(AQ240=1,AA240=1)</x:f>
        <x:v>0</x:v>
      </x:c>
    </x:row>
    <x:row r="241">
      <x:c r="A241" s="28"/>
      <x:c r="B241" s="28"/>
      <x:c r="C241" s="28"/>
      <x:c r="D241" s="28"/>
      <x:c r="E241" s="28"/>
      <x:c r="F241" s="28"/>
      <x:c r="G241" s="28"/>
      <x:c r="H241" s="28"/>
      <x:c r="I241" s="28"/>
      <x:c r="J241" s="28"/>
      <x:c r="K241" s="28"/>
      <x:c r="L241" s="28"/>
      <x:c r="M241" s="28"/>
      <x:c r="N241" s="28"/>
      <x:c r="O241" s="28"/>
      <x:c r="P241" s="28"/>
      <x:c r="Q241" s="28"/>
      <x:c r="R241" s="28"/>
      <x:c r="S241" s="28"/>
      <x:c r="T241" s="28"/>
      <x:c r="U241" s="28"/>
      <x:c r="V241" s="28"/>
      <x:c r="W241" s="28"/>
      <x:c r="X241" s="43" t="n">
        <x:f>--AND(S241=1,T241=1,U241=1,V241=1,W241=1)</x:f>
        <x:v>0</x:v>
      </x:c>
      <x:c r="AE241" s="43" t="n">
        <x:f>--AND(S241=1,M241&lt;&gt;"",M241&lt;&gt;"keep")</x:f>
        <x:v>0</x:v>
      </x:c>
      <x:c r="AG241" t="n">
        <x:f>--AND(S241=1,T241=1,U241=1,V241=1,W241=1,AE241=1)</x:f>
        <x:v>0</x:v>
      </x:c>
      <x:c r="AJ241" t="str">
        <x:f>IF(OR(AH241="",AI241=""),"",--(AH241&lt;&gt;AI241))</x:f>
      </x:c>
      <x:c r="AL241" t="str">
        <x:f>IF(OR(AH241="",AI241=""),"PENDING_HUMAN",IF(AH241=AI241,AH241,IF(AK241&lt;&gt;"",AK241,"PENDING_HUMAN")))</x:f>
        <x:v>PENDING_HUMAN</x:v>
      </x:c>
      <x:c r="AM241" t="n">
        <x:f>--AND(A241&lt;&gt;"",AH241&lt;&gt;"",AI241&lt;&gt;"",OR(AH241=AI241,AK241&lt;&gt;""))</x:f>
        <x:v>0</x:v>
      </x:c>
      <x:c r="AN241" t="n">
        <x:f>--AND(Y241&lt;&gt;"",COUNTIF($Y$4:Y241,Y241)=1)</x:f>
        <x:v>0</x:v>
      </x:c>
      <x:c r="AO241" t="n">
        <x:f>--AND(AN241=1,Z241=1,AM241=1)</x:f>
        <x:v>0</x:v>
      </x:c>
      <x:c r="AP241" t="n">
        <x:f>--AND(AO241=1,AA241=1,AL241=1)</x:f>
        <x:v>0</x:v>
      </x:c>
      <x:c r="AQ241" t="n">
        <x:f>--AND(AN241=1,Z241=1)</x:f>
        <x:v>0</x:v>
      </x:c>
      <x:c r="AR241" t="n">
        <x:f>--AND(AQ241=1,AA241=1)</x:f>
        <x:v>0</x:v>
      </x:c>
    </x:row>
    <x:row r="242">
      <x:c r="A242" s="28"/>
      <x:c r="B242" s="28"/>
      <x:c r="C242" s="28"/>
      <x:c r="D242" s="28"/>
      <x:c r="E242" s="28"/>
      <x:c r="F242" s="28"/>
      <x:c r="G242" s="28"/>
      <x:c r="H242" s="28"/>
      <x:c r="I242" s="28"/>
      <x:c r="J242" s="28"/>
      <x:c r="K242" s="28"/>
      <x:c r="L242" s="28"/>
      <x:c r="M242" s="28"/>
      <x:c r="N242" s="28"/>
      <x:c r="O242" s="28"/>
      <x:c r="P242" s="28"/>
      <x:c r="Q242" s="28"/>
      <x:c r="R242" s="28"/>
      <x:c r="S242" s="28"/>
      <x:c r="T242" s="28"/>
      <x:c r="U242" s="28"/>
      <x:c r="V242" s="28"/>
      <x:c r="W242" s="28"/>
      <x:c r="X242" s="43" t="n">
        <x:f>--AND(S242=1,T242=1,U242=1,V242=1,W242=1)</x:f>
        <x:v>0</x:v>
      </x:c>
      <x:c r="AE242" s="43" t="n">
        <x:f>--AND(S242=1,M242&lt;&gt;"",M242&lt;&gt;"keep")</x:f>
        <x:v>0</x:v>
      </x:c>
      <x:c r="AG242" t="n">
        <x:f>--AND(S242=1,T242=1,U242=1,V242=1,W242=1,AE242=1)</x:f>
        <x:v>0</x:v>
      </x:c>
      <x:c r="AJ242" t="str">
        <x:f>IF(OR(AH242="",AI242=""),"",--(AH242&lt;&gt;AI242))</x:f>
      </x:c>
      <x:c r="AL242" t="str">
        <x:f>IF(OR(AH242="",AI242=""),"PENDING_HUMAN",IF(AH242=AI242,AH242,IF(AK242&lt;&gt;"",AK242,"PENDING_HUMAN")))</x:f>
        <x:v>PENDING_HUMAN</x:v>
      </x:c>
      <x:c r="AM242" t="n">
        <x:f>--AND(A242&lt;&gt;"",AH242&lt;&gt;"",AI242&lt;&gt;"",OR(AH242=AI242,AK242&lt;&gt;""))</x:f>
        <x:v>0</x:v>
      </x:c>
      <x:c r="AN242" t="n">
        <x:f>--AND(Y242&lt;&gt;"",COUNTIF($Y$4:Y242,Y242)=1)</x:f>
        <x:v>0</x:v>
      </x:c>
      <x:c r="AO242" t="n">
        <x:f>--AND(AN242=1,Z242=1,AM242=1)</x:f>
        <x:v>0</x:v>
      </x:c>
      <x:c r="AP242" t="n">
        <x:f>--AND(AO242=1,AA242=1,AL242=1)</x:f>
        <x:v>0</x:v>
      </x:c>
      <x:c r="AQ242" t="n">
        <x:f>--AND(AN242=1,Z242=1)</x:f>
        <x:v>0</x:v>
      </x:c>
      <x:c r="AR242" t="n">
        <x:f>--AND(AQ242=1,AA242=1)</x:f>
        <x:v>0</x:v>
      </x:c>
    </x:row>
    <x:row r="243">
      <x:c r="A243" s="28"/>
      <x:c r="B243" s="28"/>
      <x:c r="C243" s="28"/>
      <x:c r="D243" s="28"/>
      <x:c r="E243" s="28"/>
      <x:c r="F243" s="28"/>
      <x:c r="G243" s="28"/>
      <x:c r="H243" s="28"/>
      <x:c r="I243" s="28"/>
      <x:c r="J243" s="28"/>
      <x:c r="K243" s="28"/>
      <x:c r="L243" s="28"/>
      <x:c r="M243" s="28"/>
      <x:c r="N243" s="28"/>
      <x:c r="O243" s="28"/>
      <x:c r="P243" s="28"/>
      <x:c r="Q243" s="28"/>
      <x:c r="R243" s="28"/>
      <x:c r="S243" s="28"/>
      <x:c r="T243" s="28"/>
      <x:c r="U243" s="28"/>
      <x:c r="V243" s="28"/>
      <x:c r="W243" s="28"/>
      <x:c r="X243" s="43" t="n">
        <x:f>--AND(S243=1,T243=1,U243=1,V243=1,W243=1)</x:f>
        <x:v>0</x:v>
      </x:c>
      <x:c r="AE243" s="43" t="n">
        <x:f>--AND(S243=1,M243&lt;&gt;"",M243&lt;&gt;"keep")</x:f>
        <x:v>0</x:v>
      </x:c>
      <x:c r="AG243" t="n">
        <x:f>--AND(S243=1,T243=1,U243=1,V243=1,W243=1,AE243=1)</x:f>
        <x:v>0</x:v>
      </x:c>
      <x:c r="AJ243" t="str">
        <x:f>IF(OR(AH243="",AI243=""),"",--(AH243&lt;&gt;AI243))</x:f>
      </x:c>
      <x:c r="AL243" t="str">
        <x:f>IF(OR(AH243="",AI243=""),"PENDING_HUMAN",IF(AH243=AI243,AH243,IF(AK243&lt;&gt;"",AK243,"PENDING_HUMAN")))</x:f>
        <x:v>PENDING_HUMAN</x:v>
      </x:c>
      <x:c r="AM243" t="n">
        <x:f>--AND(A243&lt;&gt;"",AH243&lt;&gt;"",AI243&lt;&gt;"",OR(AH243=AI243,AK243&lt;&gt;""))</x:f>
        <x:v>0</x:v>
      </x:c>
      <x:c r="AN243" t="n">
        <x:f>--AND(Y243&lt;&gt;"",COUNTIF($Y$4:Y243,Y243)=1)</x:f>
        <x:v>0</x:v>
      </x:c>
      <x:c r="AO243" t="n">
        <x:f>--AND(AN243=1,Z243=1,AM243=1)</x:f>
        <x:v>0</x:v>
      </x:c>
      <x:c r="AP243" t="n">
        <x:f>--AND(AO243=1,AA243=1,AL243=1)</x:f>
        <x:v>0</x:v>
      </x:c>
      <x:c r="AQ243" t="n">
        <x:f>--AND(AN243=1,Z243=1)</x:f>
        <x:v>0</x:v>
      </x:c>
      <x:c r="AR243" t="n">
        <x:f>--AND(AQ243=1,AA243=1)</x:f>
        <x:v>0</x:v>
      </x:c>
    </x:row>
    <x:row r="244">
      <x:c r="A244" s="28"/>
      <x:c r="B244" s="28"/>
      <x:c r="C244" s="28"/>
      <x:c r="D244" s="28"/>
      <x:c r="E244" s="28"/>
      <x:c r="F244" s="28"/>
      <x:c r="G244" s="28"/>
      <x:c r="H244" s="28"/>
      <x:c r="I244" s="28"/>
      <x:c r="J244" s="28"/>
      <x:c r="K244" s="28"/>
      <x:c r="L244" s="28"/>
      <x:c r="M244" s="28"/>
      <x:c r="N244" s="28"/>
      <x:c r="O244" s="28"/>
      <x:c r="P244" s="28"/>
      <x:c r="Q244" s="28"/>
      <x:c r="R244" s="28"/>
      <x:c r="S244" s="28"/>
      <x:c r="T244" s="28"/>
      <x:c r="U244" s="28"/>
      <x:c r="V244" s="28"/>
      <x:c r="W244" s="28"/>
      <x:c r="X244" s="43" t="n">
        <x:f>--AND(S244=1,T244=1,U244=1,V244=1,W244=1)</x:f>
        <x:v>0</x:v>
      </x:c>
      <x:c r="AE244" s="43" t="n">
        <x:f>--AND(S244=1,M244&lt;&gt;"",M244&lt;&gt;"keep")</x:f>
        <x:v>0</x:v>
      </x:c>
      <x:c r="AG244" t="n">
        <x:f>--AND(S244=1,T244=1,U244=1,V244=1,W244=1,AE244=1)</x:f>
        <x:v>0</x:v>
      </x:c>
      <x:c r="AJ244" t="str">
        <x:f>IF(OR(AH244="",AI244=""),"",--(AH244&lt;&gt;AI244))</x:f>
      </x:c>
      <x:c r="AL244" t="str">
        <x:f>IF(OR(AH244="",AI244=""),"PENDING_HUMAN",IF(AH244=AI244,AH244,IF(AK244&lt;&gt;"",AK244,"PENDING_HUMAN")))</x:f>
        <x:v>PENDING_HUMAN</x:v>
      </x:c>
      <x:c r="AM244" t="n">
        <x:f>--AND(A244&lt;&gt;"",AH244&lt;&gt;"",AI244&lt;&gt;"",OR(AH244=AI244,AK244&lt;&gt;""))</x:f>
        <x:v>0</x:v>
      </x:c>
      <x:c r="AN244" t="n">
        <x:f>--AND(Y244&lt;&gt;"",COUNTIF($Y$4:Y244,Y244)=1)</x:f>
        <x:v>0</x:v>
      </x:c>
      <x:c r="AO244" t="n">
        <x:f>--AND(AN244=1,Z244=1,AM244=1)</x:f>
        <x:v>0</x:v>
      </x:c>
      <x:c r="AP244" t="n">
        <x:f>--AND(AO244=1,AA244=1,AL244=1)</x:f>
        <x:v>0</x:v>
      </x:c>
      <x:c r="AQ244" t="n">
        <x:f>--AND(AN244=1,Z244=1)</x:f>
        <x:v>0</x:v>
      </x:c>
      <x:c r="AR244" t="n">
        <x:f>--AND(AQ244=1,AA244=1)</x:f>
        <x:v>0</x:v>
      </x:c>
    </x:row>
    <x:row r="245">
      <x:c r="A245" s="28"/>
      <x:c r="B245" s="28"/>
      <x:c r="C245" s="28"/>
      <x:c r="D245" s="28"/>
      <x:c r="E245" s="28"/>
      <x:c r="F245" s="28"/>
      <x:c r="G245" s="28"/>
      <x:c r="H245" s="28"/>
      <x:c r="I245" s="28"/>
      <x:c r="J245" s="28"/>
      <x:c r="K245" s="28"/>
      <x:c r="L245" s="28"/>
      <x:c r="M245" s="28"/>
      <x:c r="N245" s="28"/>
      <x:c r="O245" s="28"/>
      <x:c r="P245" s="28"/>
      <x:c r="Q245" s="28"/>
      <x:c r="R245" s="28"/>
      <x:c r="S245" s="28"/>
      <x:c r="T245" s="28"/>
      <x:c r="U245" s="28"/>
      <x:c r="V245" s="28"/>
      <x:c r="W245" s="28"/>
      <x:c r="X245" s="43" t="n">
        <x:f>--AND(S245=1,T245=1,U245=1,V245=1,W245=1)</x:f>
        <x:v>0</x:v>
      </x:c>
      <x:c r="AE245" s="43" t="n">
        <x:f>--AND(S245=1,M245&lt;&gt;"",M245&lt;&gt;"keep")</x:f>
        <x:v>0</x:v>
      </x:c>
      <x:c r="AG245" t="n">
        <x:f>--AND(S245=1,T245=1,U245=1,V245=1,W245=1,AE245=1)</x:f>
        <x:v>0</x:v>
      </x:c>
      <x:c r="AJ245" t="str">
        <x:f>IF(OR(AH245="",AI245=""),"",--(AH245&lt;&gt;AI245))</x:f>
      </x:c>
      <x:c r="AL245" t="str">
        <x:f>IF(OR(AH245="",AI245=""),"PENDING_HUMAN",IF(AH245=AI245,AH245,IF(AK245&lt;&gt;"",AK245,"PENDING_HUMAN")))</x:f>
        <x:v>PENDING_HUMAN</x:v>
      </x:c>
      <x:c r="AM245" t="n">
        <x:f>--AND(A245&lt;&gt;"",AH245&lt;&gt;"",AI245&lt;&gt;"",OR(AH245=AI245,AK245&lt;&gt;""))</x:f>
        <x:v>0</x:v>
      </x:c>
      <x:c r="AN245" t="n">
        <x:f>--AND(Y245&lt;&gt;"",COUNTIF($Y$4:Y245,Y245)=1)</x:f>
        <x:v>0</x:v>
      </x:c>
      <x:c r="AO245" t="n">
        <x:f>--AND(AN245=1,Z245=1,AM245=1)</x:f>
        <x:v>0</x:v>
      </x:c>
      <x:c r="AP245" t="n">
        <x:f>--AND(AO245=1,AA245=1,AL245=1)</x:f>
        <x:v>0</x:v>
      </x:c>
      <x:c r="AQ245" t="n">
        <x:f>--AND(AN245=1,Z245=1)</x:f>
        <x:v>0</x:v>
      </x:c>
      <x:c r="AR245" t="n">
        <x:f>--AND(AQ245=1,AA245=1)</x:f>
        <x:v>0</x:v>
      </x:c>
    </x:row>
    <x:row r="246">
      <x:c r="A246" s="28"/>
      <x:c r="B246" s="28"/>
      <x:c r="C246" s="28"/>
      <x:c r="D246" s="28"/>
      <x:c r="E246" s="28"/>
      <x:c r="F246" s="28"/>
      <x:c r="G246" s="28"/>
      <x:c r="H246" s="28"/>
      <x:c r="I246" s="28"/>
      <x:c r="J246" s="28"/>
      <x:c r="K246" s="28"/>
      <x:c r="L246" s="28"/>
      <x:c r="M246" s="28"/>
      <x:c r="N246" s="28"/>
      <x:c r="O246" s="28"/>
      <x:c r="P246" s="28"/>
      <x:c r="Q246" s="28"/>
      <x:c r="R246" s="28"/>
      <x:c r="S246" s="28"/>
      <x:c r="T246" s="28"/>
      <x:c r="U246" s="28"/>
      <x:c r="V246" s="28"/>
      <x:c r="W246" s="28"/>
      <x:c r="X246" s="43" t="n">
        <x:f>--AND(S246=1,T246=1,U246=1,V246=1,W246=1)</x:f>
        <x:v>0</x:v>
      </x:c>
      <x:c r="AE246" s="43" t="n">
        <x:f>--AND(S246=1,M246&lt;&gt;"",M246&lt;&gt;"keep")</x:f>
        <x:v>0</x:v>
      </x:c>
      <x:c r="AG246" t="n">
        <x:f>--AND(S246=1,T246=1,U246=1,V246=1,W246=1,AE246=1)</x:f>
        <x:v>0</x:v>
      </x:c>
      <x:c r="AJ246" t="str">
        <x:f>IF(OR(AH246="",AI246=""),"",--(AH246&lt;&gt;AI246))</x:f>
      </x:c>
      <x:c r="AL246" t="str">
        <x:f>IF(OR(AH246="",AI246=""),"PENDING_HUMAN",IF(AH246=AI246,AH246,IF(AK246&lt;&gt;"",AK246,"PENDING_HUMAN")))</x:f>
        <x:v>PENDING_HUMAN</x:v>
      </x:c>
      <x:c r="AM246" t="n">
        <x:f>--AND(A246&lt;&gt;"",AH246&lt;&gt;"",AI246&lt;&gt;"",OR(AH246=AI246,AK246&lt;&gt;""))</x:f>
        <x:v>0</x:v>
      </x:c>
      <x:c r="AN246" t="n">
        <x:f>--AND(Y246&lt;&gt;"",COUNTIF($Y$4:Y246,Y246)=1)</x:f>
        <x:v>0</x:v>
      </x:c>
      <x:c r="AO246" t="n">
        <x:f>--AND(AN246=1,Z246=1,AM246=1)</x:f>
        <x:v>0</x:v>
      </x:c>
      <x:c r="AP246" t="n">
        <x:f>--AND(AO246=1,AA246=1,AL246=1)</x:f>
        <x:v>0</x:v>
      </x:c>
      <x:c r="AQ246" t="n">
        <x:f>--AND(AN246=1,Z246=1)</x:f>
        <x:v>0</x:v>
      </x:c>
      <x:c r="AR246" t="n">
        <x:f>--AND(AQ246=1,AA246=1)</x:f>
        <x:v>0</x:v>
      </x:c>
    </x:row>
    <x:row r="247">
      <x:c r="A247" s="28"/>
      <x:c r="B247" s="28"/>
      <x:c r="C247" s="28"/>
      <x:c r="D247" s="28"/>
      <x:c r="E247" s="28"/>
      <x:c r="F247" s="28"/>
      <x:c r="G247" s="28"/>
      <x:c r="H247" s="28"/>
      <x:c r="I247" s="28"/>
      <x:c r="J247" s="28"/>
      <x:c r="K247" s="28"/>
      <x:c r="L247" s="28"/>
      <x:c r="M247" s="28"/>
      <x:c r="N247" s="28"/>
      <x:c r="O247" s="28"/>
      <x:c r="P247" s="28"/>
      <x:c r="Q247" s="28"/>
      <x:c r="R247" s="28"/>
      <x:c r="S247" s="28"/>
      <x:c r="T247" s="28"/>
      <x:c r="U247" s="28"/>
      <x:c r="V247" s="28"/>
      <x:c r="W247" s="28"/>
      <x:c r="X247" s="43" t="n">
        <x:f>--AND(S247=1,T247=1,U247=1,V247=1,W247=1)</x:f>
        <x:v>0</x:v>
      </x:c>
      <x:c r="AE247" s="43" t="n">
        <x:f>--AND(S247=1,M247&lt;&gt;"",M247&lt;&gt;"keep")</x:f>
        <x:v>0</x:v>
      </x:c>
      <x:c r="AG247" t="n">
        <x:f>--AND(S247=1,T247=1,U247=1,V247=1,W247=1,AE247=1)</x:f>
        <x:v>0</x:v>
      </x:c>
      <x:c r="AJ247" t="str">
        <x:f>IF(OR(AH247="",AI247=""),"",--(AH247&lt;&gt;AI247))</x:f>
      </x:c>
      <x:c r="AL247" t="str">
        <x:f>IF(OR(AH247="",AI247=""),"PENDING_HUMAN",IF(AH247=AI247,AH247,IF(AK247&lt;&gt;"",AK247,"PENDING_HUMAN")))</x:f>
        <x:v>PENDING_HUMAN</x:v>
      </x:c>
      <x:c r="AM247" t="n">
        <x:f>--AND(A247&lt;&gt;"",AH247&lt;&gt;"",AI247&lt;&gt;"",OR(AH247=AI247,AK247&lt;&gt;""))</x:f>
        <x:v>0</x:v>
      </x:c>
      <x:c r="AN247" t="n">
        <x:f>--AND(Y247&lt;&gt;"",COUNTIF($Y$4:Y247,Y247)=1)</x:f>
        <x:v>0</x:v>
      </x:c>
      <x:c r="AO247" t="n">
        <x:f>--AND(AN247=1,Z247=1,AM247=1)</x:f>
        <x:v>0</x:v>
      </x:c>
      <x:c r="AP247" t="n">
        <x:f>--AND(AO247=1,AA247=1,AL247=1)</x:f>
        <x:v>0</x:v>
      </x:c>
      <x:c r="AQ247" t="n">
        <x:f>--AND(AN247=1,Z247=1)</x:f>
        <x:v>0</x:v>
      </x:c>
      <x:c r="AR247" t="n">
        <x:f>--AND(AQ247=1,AA247=1)</x:f>
        <x:v>0</x:v>
      </x:c>
    </x:row>
    <x:row r="248">
      <x:c r="A248" s="28"/>
      <x:c r="B248" s="28"/>
      <x:c r="C248" s="28"/>
      <x:c r="D248" s="28"/>
      <x:c r="E248" s="28"/>
      <x:c r="F248" s="28"/>
      <x:c r="G248" s="28"/>
      <x:c r="H248" s="28"/>
      <x:c r="I248" s="28"/>
      <x:c r="J248" s="28"/>
      <x:c r="K248" s="28"/>
      <x:c r="L248" s="28"/>
      <x:c r="M248" s="28"/>
      <x:c r="N248" s="28"/>
      <x:c r="O248" s="28"/>
      <x:c r="P248" s="28"/>
      <x:c r="Q248" s="28"/>
      <x:c r="R248" s="28"/>
      <x:c r="S248" s="28"/>
      <x:c r="T248" s="28"/>
      <x:c r="U248" s="28"/>
      <x:c r="V248" s="28"/>
      <x:c r="W248" s="28"/>
      <x:c r="X248" s="43" t="n">
        <x:f>--AND(S248=1,T248=1,U248=1,V248=1,W248=1)</x:f>
        <x:v>0</x:v>
      </x:c>
      <x:c r="AE248" s="43" t="n">
        <x:f>--AND(S248=1,M248&lt;&gt;"",M248&lt;&gt;"keep")</x:f>
        <x:v>0</x:v>
      </x:c>
      <x:c r="AG248" t="n">
        <x:f>--AND(S248=1,T248=1,U248=1,V248=1,W248=1,AE248=1)</x:f>
        <x:v>0</x:v>
      </x:c>
      <x:c r="AJ248" t="str">
        <x:f>IF(OR(AH248="",AI248=""),"",--(AH248&lt;&gt;AI248))</x:f>
      </x:c>
      <x:c r="AL248" t="str">
        <x:f>IF(OR(AH248="",AI248=""),"PENDING_HUMAN",IF(AH248=AI248,AH248,IF(AK248&lt;&gt;"",AK248,"PENDING_HUMAN")))</x:f>
        <x:v>PENDING_HUMAN</x:v>
      </x:c>
      <x:c r="AM248" t="n">
        <x:f>--AND(A248&lt;&gt;"",AH248&lt;&gt;"",AI248&lt;&gt;"",OR(AH248=AI248,AK248&lt;&gt;""))</x:f>
        <x:v>0</x:v>
      </x:c>
      <x:c r="AN248" t="n">
        <x:f>--AND(Y248&lt;&gt;"",COUNTIF($Y$4:Y248,Y248)=1)</x:f>
        <x:v>0</x:v>
      </x:c>
      <x:c r="AO248" t="n">
        <x:f>--AND(AN248=1,Z248=1,AM248=1)</x:f>
        <x:v>0</x:v>
      </x:c>
      <x:c r="AP248" t="n">
        <x:f>--AND(AO248=1,AA248=1,AL248=1)</x:f>
        <x:v>0</x:v>
      </x:c>
      <x:c r="AQ248" t="n">
        <x:f>--AND(AN248=1,Z248=1)</x:f>
        <x:v>0</x:v>
      </x:c>
      <x:c r="AR248" t="n">
        <x:f>--AND(AQ248=1,AA248=1)</x:f>
        <x:v>0</x:v>
      </x:c>
    </x:row>
    <x:row r="249">
      <x:c r="A249" s="28"/>
      <x:c r="B249" s="28"/>
      <x:c r="C249" s="28"/>
      <x:c r="D249" s="28"/>
      <x:c r="E249" s="28"/>
      <x:c r="F249" s="28"/>
      <x:c r="G249" s="28"/>
      <x:c r="H249" s="28"/>
      <x:c r="I249" s="28"/>
      <x:c r="J249" s="28"/>
      <x:c r="K249" s="28"/>
      <x:c r="L249" s="28"/>
      <x:c r="M249" s="28"/>
      <x:c r="N249" s="28"/>
      <x:c r="O249" s="28"/>
      <x:c r="P249" s="28"/>
      <x:c r="Q249" s="28"/>
      <x:c r="R249" s="28"/>
      <x:c r="S249" s="28"/>
      <x:c r="T249" s="28"/>
      <x:c r="U249" s="28"/>
      <x:c r="V249" s="28"/>
      <x:c r="W249" s="28"/>
      <x:c r="X249" s="43" t="n">
        <x:f>--AND(S249=1,T249=1,U249=1,V249=1,W249=1)</x:f>
        <x:v>0</x:v>
      </x:c>
      <x:c r="AE249" s="43" t="n">
        <x:f>--AND(S249=1,M249&lt;&gt;"",M249&lt;&gt;"keep")</x:f>
        <x:v>0</x:v>
      </x:c>
      <x:c r="AG249" t="n">
        <x:f>--AND(S249=1,T249=1,U249=1,V249=1,W249=1,AE249=1)</x:f>
        <x:v>0</x:v>
      </x:c>
      <x:c r="AJ249" t="str">
        <x:f>IF(OR(AH249="",AI249=""),"",--(AH249&lt;&gt;AI249))</x:f>
      </x:c>
      <x:c r="AL249" t="str">
        <x:f>IF(OR(AH249="",AI249=""),"PENDING_HUMAN",IF(AH249=AI249,AH249,IF(AK249&lt;&gt;"",AK249,"PENDING_HUMAN")))</x:f>
        <x:v>PENDING_HUMAN</x:v>
      </x:c>
      <x:c r="AM249" t="n">
        <x:f>--AND(A249&lt;&gt;"",AH249&lt;&gt;"",AI249&lt;&gt;"",OR(AH249=AI249,AK249&lt;&gt;""))</x:f>
        <x:v>0</x:v>
      </x:c>
      <x:c r="AN249" t="n">
        <x:f>--AND(Y249&lt;&gt;"",COUNTIF($Y$4:Y249,Y249)=1)</x:f>
        <x:v>0</x:v>
      </x:c>
      <x:c r="AO249" t="n">
        <x:f>--AND(AN249=1,Z249=1,AM249=1)</x:f>
        <x:v>0</x:v>
      </x:c>
      <x:c r="AP249" t="n">
        <x:f>--AND(AO249=1,AA249=1,AL249=1)</x:f>
        <x:v>0</x:v>
      </x:c>
      <x:c r="AQ249" t="n">
        <x:f>--AND(AN249=1,Z249=1)</x:f>
        <x:v>0</x:v>
      </x:c>
      <x:c r="AR249" t="n">
        <x:f>--AND(AQ249=1,AA249=1)</x:f>
        <x:v>0</x:v>
      </x:c>
    </x:row>
    <x:row r="250">
      <x:c r="A250" s="28"/>
      <x:c r="B250" s="28"/>
      <x:c r="C250" s="28"/>
      <x:c r="D250" s="28"/>
      <x:c r="E250" s="28"/>
      <x:c r="F250" s="28"/>
      <x:c r="G250" s="28"/>
      <x:c r="H250" s="28"/>
      <x:c r="I250" s="28"/>
      <x:c r="J250" s="28"/>
      <x:c r="K250" s="28"/>
      <x:c r="L250" s="28"/>
      <x:c r="M250" s="28"/>
      <x:c r="N250" s="28"/>
      <x:c r="O250" s="28"/>
      <x:c r="P250" s="28"/>
      <x:c r="Q250" s="28"/>
      <x:c r="R250" s="28"/>
      <x:c r="S250" s="28"/>
      <x:c r="T250" s="28"/>
      <x:c r="U250" s="28"/>
      <x:c r="V250" s="28"/>
      <x:c r="W250" s="28"/>
      <x:c r="X250" s="43" t="n">
        <x:f>--AND(S250=1,T250=1,U250=1,V250=1,W250=1)</x:f>
        <x:v>0</x:v>
      </x:c>
      <x:c r="AE250" s="43" t="n">
        <x:f>--AND(S250=1,M250&lt;&gt;"",M250&lt;&gt;"keep")</x:f>
        <x:v>0</x:v>
      </x:c>
      <x:c r="AG250" t="n">
        <x:f>--AND(S250=1,T250=1,U250=1,V250=1,W250=1,AE250=1)</x:f>
        <x:v>0</x:v>
      </x:c>
      <x:c r="AJ250" t="str">
        <x:f>IF(OR(AH250="",AI250=""),"",--(AH250&lt;&gt;AI250))</x:f>
      </x:c>
      <x:c r="AL250" t="str">
        <x:f>IF(OR(AH250="",AI250=""),"PENDING_HUMAN",IF(AH250=AI250,AH250,IF(AK250&lt;&gt;"",AK250,"PENDING_HUMAN")))</x:f>
        <x:v>PENDING_HUMAN</x:v>
      </x:c>
      <x:c r="AM250" t="n">
        <x:f>--AND(A250&lt;&gt;"",AH250&lt;&gt;"",AI250&lt;&gt;"",OR(AH250=AI250,AK250&lt;&gt;""))</x:f>
        <x:v>0</x:v>
      </x:c>
      <x:c r="AN250" t="n">
        <x:f>--AND(Y250&lt;&gt;"",COUNTIF($Y$4:Y250,Y250)=1)</x:f>
        <x:v>0</x:v>
      </x:c>
      <x:c r="AO250" t="n">
        <x:f>--AND(AN250=1,Z250=1,AM250=1)</x:f>
        <x:v>0</x:v>
      </x:c>
      <x:c r="AP250" t="n">
        <x:f>--AND(AO250=1,AA250=1,AL250=1)</x:f>
        <x:v>0</x:v>
      </x:c>
      <x:c r="AQ250" t="n">
        <x:f>--AND(AN250=1,Z250=1)</x:f>
        <x:v>0</x:v>
      </x:c>
      <x:c r="AR250" t="n">
        <x:f>--AND(AQ250=1,AA250=1)</x:f>
        <x:v>0</x:v>
      </x:c>
    </x:row>
    <x:row r="251">
      <x:c r="A251" s="28"/>
      <x:c r="B251" s="28"/>
      <x:c r="C251" s="28"/>
      <x:c r="D251" s="28"/>
      <x:c r="E251" s="28"/>
      <x:c r="F251" s="28"/>
      <x:c r="G251" s="28"/>
      <x:c r="H251" s="28"/>
      <x:c r="I251" s="28"/>
      <x:c r="J251" s="28"/>
      <x:c r="K251" s="28"/>
      <x:c r="L251" s="28"/>
      <x:c r="M251" s="28"/>
      <x:c r="N251" s="28"/>
      <x:c r="O251" s="28"/>
      <x:c r="P251" s="28"/>
      <x:c r="Q251" s="28"/>
      <x:c r="R251" s="28"/>
      <x:c r="S251" s="28"/>
      <x:c r="T251" s="28"/>
      <x:c r="U251" s="28"/>
      <x:c r="V251" s="28"/>
      <x:c r="W251" s="28"/>
      <x:c r="X251" s="43" t="n">
        <x:f>--AND(S251=1,T251=1,U251=1,V251=1,W251=1)</x:f>
        <x:v>0</x:v>
      </x:c>
      <x:c r="AE251" s="43" t="n">
        <x:f>--AND(S251=1,M251&lt;&gt;"",M251&lt;&gt;"keep")</x:f>
        <x:v>0</x:v>
      </x:c>
      <x:c r="AG251" t="n">
        <x:f>--AND(S251=1,T251=1,U251=1,V251=1,W251=1,AE251=1)</x:f>
        <x:v>0</x:v>
      </x:c>
      <x:c r="AJ251" t="str">
        <x:f>IF(OR(AH251="",AI251=""),"",--(AH251&lt;&gt;AI251))</x:f>
      </x:c>
      <x:c r="AL251" t="str">
        <x:f>IF(OR(AH251="",AI251=""),"PENDING_HUMAN",IF(AH251=AI251,AH251,IF(AK251&lt;&gt;"",AK251,"PENDING_HUMAN")))</x:f>
        <x:v>PENDING_HUMAN</x:v>
      </x:c>
      <x:c r="AM251" t="n">
        <x:f>--AND(A251&lt;&gt;"",AH251&lt;&gt;"",AI251&lt;&gt;"",OR(AH251=AI251,AK251&lt;&gt;""))</x:f>
        <x:v>0</x:v>
      </x:c>
      <x:c r="AN251" t="n">
        <x:f>--AND(Y251&lt;&gt;"",COUNTIF($Y$4:Y251,Y251)=1)</x:f>
        <x:v>0</x:v>
      </x:c>
      <x:c r="AO251" t="n">
        <x:f>--AND(AN251=1,Z251=1,AM251=1)</x:f>
        <x:v>0</x:v>
      </x:c>
      <x:c r="AP251" t="n">
        <x:f>--AND(AO251=1,AA251=1,AL251=1)</x:f>
        <x:v>0</x:v>
      </x:c>
      <x:c r="AQ251" t="n">
        <x:f>--AND(AN251=1,Z251=1)</x:f>
        <x:v>0</x:v>
      </x:c>
      <x:c r="AR251" t="n">
        <x:f>--AND(AQ251=1,AA251=1)</x:f>
        <x:v>0</x:v>
      </x:c>
    </x:row>
    <x:row r="252">
      <x:c r="A252" s="28"/>
      <x:c r="B252" s="28"/>
      <x:c r="C252" s="28"/>
      <x:c r="D252" s="28"/>
      <x:c r="E252" s="28"/>
      <x:c r="F252" s="28"/>
      <x:c r="G252" s="28"/>
      <x:c r="H252" s="28"/>
      <x:c r="I252" s="28"/>
      <x:c r="J252" s="28"/>
      <x:c r="K252" s="28"/>
      <x:c r="L252" s="28"/>
      <x:c r="M252" s="28"/>
      <x:c r="N252" s="28"/>
      <x:c r="O252" s="28"/>
      <x:c r="P252" s="28"/>
      <x:c r="Q252" s="28"/>
      <x:c r="R252" s="28"/>
      <x:c r="S252" s="28"/>
      <x:c r="T252" s="28"/>
      <x:c r="U252" s="28"/>
      <x:c r="V252" s="28"/>
      <x:c r="W252" s="28"/>
      <x:c r="X252" s="43" t="n">
        <x:f>--AND(S252=1,T252=1,U252=1,V252=1,W252=1)</x:f>
        <x:v>0</x:v>
      </x:c>
      <x:c r="AE252" s="43" t="n">
        <x:f>--AND(S252=1,M252&lt;&gt;"",M252&lt;&gt;"keep")</x:f>
        <x:v>0</x:v>
      </x:c>
      <x:c r="AG252" t="n">
        <x:f>--AND(S252=1,T252=1,U252=1,V252=1,W252=1,AE252=1)</x:f>
        <x:v>0</x:v>
      </x:c>
      <x:c r="AJ252" t="str">
        <x:f>IF(OR(AH252="",AI252=""),"",--(AH252&lt;&gt;AI252))</x:f>
      </x:c>
      <x:c r="AL252" t="str">
        <x:f>IF(OR(AH252="",AI252=""),"PENDING_HUMAN",IF(AH252=AI252,AH252,IF(AK252&lt;&gt;"",AK252,"PENDING_HUMAN")))</x:f>
        <x:v>PENDING_HUMAN</x:v>
      </x:c>
      <x:c r="AM252" t="n">
        <x:f>--AND(A252&lt;&gt;"",AH252&lt;&gt;"",AI252&lt;&gt;"",OR(AH252=AI252,AK252&lt;&gt;""))</x:f>
        <x:v>0</x:v>
      </x:c>
      <x:c r="AN252" t="n">
        <x:f>--AND(Y252&lt;&gt;"",COUNTIF($Y$4:Y252,Y252)=1)</x:f>
        <x:v>0</x:v>
      </x:c>
      <x:c r="AO252" t="n">
        <x:f>--AND(AN252=1,Z252=1,AM252=1)</x:f>
        <x:v>0</x:v>
      </x:c>
      <x:c r="AP252" t="n">
        <x:f>--AND(AO252=1,AA252=1,AL252=1)</x:f>
        <x:v>0</x:v>
      </x:c>
      <x:c r="AQ252" t="n">
        <x:f>--AND(AN252=1,Z252=1)</x:f>
        <x:v>0</x:v>
      </x:c>
      <x:c r="AR252" t="n">
        <x:f>--AND(AQ252=1,AA252=1)</x:f>
        <x:v>0</x:v>
      </x:c>
    </x:row>
    <x:row r="253">
      <x:c r="A253" s="28"/>
      <x:c r="B253" s="28"/>
      <x:c r="C253" s="28"/>
      <x:c r="D253" s="28"/>
      <x:c r="E253" s="28"/>
      <x:c r="F253" s="28"/>
      <x:c r="G253" s="28"/>
      <x:c r="H253" s="28"/>
      <x:c r="I253" s="28"/>
      <x:c r="J253" s="28"/>
      <x:c r="K253" s="28"/>
      <x:c r="L253" s="28"/>
      <x:c r="M253" s="28"/>
      <x:c r="N253" s="28"/>
      <x:c r="O253" s="28"/>
      <x:c r="P253" s="28"/>
      <x:c r="Q253" s="28"/>
      <x:c r="R253" s="28"/>
      <x:c r="S253" s="28"/>
      <x:c r="T253" s="28"/>
      <x:c r="U253" s="28"/>
      <x:c r="V253" s="28"/>
      <x:c r="W253" s="28"/>
      <x:c r="X253" s="43" t="n">
        <x:f>--AND(S253=1,T253=1,U253=1,V253=1,W253=1)</x:f>
        <x:v>0</x:v>
      </x:c>
      <x:c r="AE253" s="43" t="n">
        <x:f>--AND(S253=1,M253&lt;&gt;"",M253&lt;&gt;"keep")</x:f>
        <x:v>0</x:v>
      </x:c>
      <x:c r="AG253" t="n">
        <x:f>--AND(S253=1,T253=1,U253=1,V253=1,W253=1,AE253=1)</x:f>
        <x:v>0</x:v>
      </x:c>
      <x:c r="AJ253" t="str">
        <x:f>IF(OR(AH253="",AI253=""),"",--(AH253&lt;&gt;AI253))</x:f>
      </x:c>
      <x:c r="AL253" t="str">
        <x:f>IF(OR(AH253="",AI253=""),"PENDING_HUMAN",IF(AH253=AI253,AH253,IF(AK253&lt;&gt;"",AK253,"PENDING_HUMAN")))</x:f>
        <x:v>PENDING_HUMAN</x:v>
      </x:c>
      <x:c r="AM253" t="n">
        <x:f>--AND(A253&lt;&gt;"",AH253&lt;&gt;"",AI253&lt;&gt;"",OR(AH253=AI253,AK253&lt;&gt;""))</x:f>
        <x:v>0</x:v>
      </x:c>
      <x:c r="AN253" t="n">
        <x:f>--AND(Y253&lt;&gt;"",COUNTIF($Y$4:Y253,Y253)=1)</x:f>
        <x:v>0</x:v>
      </x:c>
      <x:c r="AO253" t="n">
        <x:f>--AND(AN253=1,Z253=1,AM253=1)</x:f>
        <x:v>0</x:v>
      </x:c>
      <x:c r="AP253" t="n">
        <x:f>--AND(AO253=1,AA253=1,AL253=1)</x:f>
        <x:v>0</x:v>
      </x:c>
      <x:c r="AQ253" t="n">
        <x:f>--AND(AN253=1,Z253=1)</x:f>
        <x:v>0</x:v>
      </x:c>
      <x:c r="AR253" t="n">
        <x:f>--AND(AQ253=1,AA253=1)</x:f>
        <x:v>0</x:v>
      </x:c>
    </x:row>
    <x:row r="254">
      <x:c r="A254" s="28"/>
      <x:c r="B254" s="28"/>
      <x:c r="C254" s="28"/>
      <x:c r="D254" s="28"/>
      <x:c r="E254" s="28"/>
      <x:c r="F254" s="28"/>
      <x:c r="G254" s="28"/>
      <x:c r="H254" s="28"/>
      <x:c r="I254" s="28"/>
      <x:c r="J254" s="28"/>
      <x:c r="K254" s="28"/>
      <x:c r="L254" s="28"/>
      <x:c r="M254" s="28"/>
      <x:c r="N254" s="28"/>
      <x:c r="O254" s="28"/>
      <x:c r="P254" s="28"/>
      <x:c r="Q254" s="28"/>
      <x:c r="R254" s="28"/>
      <x:c r="S254" s="28"/>
      <x:c r="T254" s="28"/>
      <x:c r="U254" s="28"/>
      <x:c r="V254" s="28"/>
      <x:c r="W254" s="28"/>
      <x:c r="X254" s="43" t="n">
        <x:f>--AND(S254=1,T254=1,U254=1,V254=1,W254=1)</x:f>
        <x:v>0</x:v>
      </x:c>
      <x:c r="AE254" s="43" t="n">
        <x:f>--AND(S254=1,M254&lt;&gt;"",M254&lt;&gt;"keep")</x:f>
        <x:v>0</x:v>
      </x:c>
      <x:c r="AG254" t="n">
        <x:f>--AND(S254=1,T254=1,U254=1,V254=1,W254=1,AE254=1)</x:f>
        <x:v>0</x:v>
      </x:c>
      <x:c r="AJ254" t="str">
        <x:f>IF(OR(AH254="",AI254=""),"",--(AH254&lt;&gt;AI254))</x:f>
      </x:c>
      <x:c r="AL254" t="str">
        <x:f>IF(OR(AH254="",AI254=""),"PENDING_HUMAN",IF(AH254=AI254,AH254,IF(AK254&lt;&gt;"",AK254,"PENDING_HUMAN")))</x:f>
        <x:v>PENDING_HUMAN</x:v>
      </x:c>
      <x:c r="AM254" t="n">
        <x:f>--AND(A254&lt;&gt;"",AH254&lt;&gt;"",AI254&lt;&gt;"",OR(AH254=AI254,AK254&lt;&gt;""))</x:f>
        <x:v>0</x:v>
      </x:c>
      <x:c r="AN254" t="n">
        <x:f>--AND(Y254&lt;&gt;"",COUNTIF($Y$4:Y254,Y254)=1)</x:f>
        <x:v>0</x:v>
      </x:c>
      <x:c r="AO254" t="n">
        <x:f>--AND(AN254=1,Z254=1,AM254=1)</x:f>
        <x:v>0</x:v>
      </x:c>
      <x:c r="AP254" t="n">
        <x:f>--AND(AO254=1,AA254=1,AL254=1)</x:f>
        <x:v>0</x:v>
      </x:c>
      <x:c r="AQ254" t="n">
        <x:f>--AND(AN254=1,Z254=1)</x:f>
        <x:v>0</x:v>
      </x:c>
      <x:c r="AR254" t="n">
        <x:f>--AND(AQ254=1,AA254=1)</x:f>
        <x:v>0</x:v>
      </x:c>
    </x:row>
    <x:row r="255">
      <x:c r="A255" s="28"/>
      <x:c r="B255" s="28"/>
      <x:c r="C255" s="28"/>
      <x:c r="D255" s="28"/>
      <x:c r="E255" s="28"/>
      <x:c r="F255" s="28"/>
      <x:c r="G255" s="28"/>
      <x:c r="H255" s="28"/>
      <x:c r="I255" s="28"/>
      <x:c r="J255" s="28"/>
      <x:c r="K255" s="28"/>
      <x:c r="L255" s="28"/>
      <x:c r="M255" s="28"/>
      <x:c r="N255" s="28"/>
      <x:c r="O255" s="28"/>
      <x:c r="P255" s="28"/>
      <x:c r="Q255" s="28"/>
      <x:c r="R255" s="28"/>
      <x:c r="S255" s="28"/>
      <x:c r="T255" s="28"/>
      <x:c r="U255" s="28"/>
      <x:c r="V255" s="28"/>
      <x:c r="W255" s="28"/>
      <x:c r="X255" s="43" t="n">
        <x:f>--AND(S255=1,T255=1,U255=1,V255=1,W255=1)</x:f>
        <x:v>0</x:v>
      </x:c>
      <x:c r="AE255" s="43" t="n">
        <x:f>--AND(S255=1,M255&lt;&gt;"",M255&lt;&gt;"keep")</x:f>
        <x:v>0</x:v>
      </x:c>
      <x:c r="AG255" t="n">
        <x:f>--AND(S255=1,T255=1,U255=1,V255=1,W255=1,AE255=1)</x:f>
        <x:v>0</x:v>
      </x:c>
      <x:c r="AJ255" t="str">
        <x:f>IF(OR(AH255="",AI255=""),"",--(AH255&lt;&gt;AI255))</x:f>
      </x:c>
      <x:c r="AL255" t="str">
        <x:f>IF(OR(AH255="",AI255=""),"PENDING_HUMAN",IF(AH255=AI255,AH255,IF(AK255&lt;&gt;"",AK255,"PENDING_HUMAN")))</x:f>
        <x:v>PENDING_HUMAN</x:v>
      </x:c>
      <x:c r="AM255" t="n">
        <x:f>--AND(A255&lt;&gt;"",AH255&lt;&gt;"",AI255&lt;&gt;"",OR(AH255=AI255,AK255&lt;&gt;""))</x:f>
        <x:v>0</x:v>
      </x:c>
      <x:c r="AN255" t="n">
        <x:f>--AND(Y255&lt;&gt;"",COUNTIF($Y$4:Y255,Y255)=1)</x:f>
        <x:v>0</x:v>
      </x:c>
      <x:c r="AO255" t="n">
        <x:f>--AND(AN255=1,Z255=1,AM255=1)</x:f>
        <x:v>0</x:v>
      </x:c>
      <x:c r="AP255" t="n">
        <x:f>--AND(AO255=1,AA255=1,AL255=1)</x:f>
        <x:v>0</x:v>
      </x:c>
      <x:c r="AQ255" t="n">
        <x:f>--AND(AN255=1,Z255=1)</x:f>
        <x:v>0</x:v>
      </x:c>
      <x:c r="AR255" t="n">
        <x:f>--AND(AQ255=1,AA255=1)</x:f>
        <x:v>0</x:v>
      </x:c>
    </x:row>
    <x:row r="256">
      <x:c r="A256" s="28"/>
      <x:c r="B256" s="28"/>
      <x:c r="C256" s="28"/>
      <x:c r="D256" s="28"/>
      <x:c r="E256" s="28"/>
      <x:c r="F256" s="28"/>
      <x:c r="G256" s="28"/>
      <x:c r="H256" s="28"/>
      <x:c r="I256" s="28"/>
      <x:c r="J256" s="28"/>
      <x:c r="K256" s="28"/>
      <x:c r="L256" s="28"/>
      <x:c r="M256" s="28"/>
      <x:c r="N256" s="28"/>
      <x:c r="O256" s="28"/>
      <x:c r="P256" s="28"/>
      <x:c r="Q256" s="28"/>
      <x:c r="R256" s="28"/>
      <x:c r="S256" s="28"/>
      <x:c r="T256" s="28"/>
      <x:c r="U256" s="28"/>
      <x:c r="V256" s="28"/>
      <x:c r="W256" s="28"/>
      <x:c r="X256" s="43" t="n">
        <x:f>--AND(S256=1,T256=1,U256=1,V256=1,W256=1)</x:f>
        <x:v>0</x:v>
      </x:c>
      <x:c r="AE256" s="43" t="n">
        <x:f>--AND(S256=1,M256&lt;&gt;"",M256&lt;&gt;"keep")</x:f>
        <x:v>0</x:v>
      </x:c>
      <x:c r="AG256" t="n">
        <x:f>--AND(S256=1,T256=1,U256=1,V256=1,W256=1,AE256=1)</x:f>
        <x:v>0</x:v>
      </x:c>
      <x:c r="AJ256" t="str">
        <x:f>IF(OR(AH256="",AI256=""),"",--(AH256&lt;&gt;AI256))</x:f>
      </x:c>
      <x:c r="AL256" t="str">
        <x:f>IF(OR(AH256="",AI256=""),"PENDING_HUMAN",IF(AH256=AI256,AH256,IF(AK256&lt;&gt;"",AK256,"PENDING_HUMAN")))</x:f>
        <x:v>PENDING_HUMAN</x:v>
      </x:c>
      <x:c r="AM256" t="n">
        <x:f>--AND(A256&lt;&gt;"",AH256&lt;&gt;"",AI256&lt;&gt;"",OR(AH256=AI256,AK256&lt;&gt;""))</x:f>
        <x:v>0</x:v>
      </x:c>
      <x:c r="AN256" t="n">
        <x:f>--AND(Y256&lt;&gt;"",COUNTIF($Y$4:Y256,Y256)=1)</x:f>
        <x:v>0</x:v>
      </x:c>
      <x:c r="AO256" t="n">
        <x:f>--AND(AN256=1,Z256=1,AM256=1)</x:f>
        <x:v>0</x:v>
      </x:c>
      <x:c r="AP256" t="n">
        <x:f>--AND(AO256=1,AA256=1,AL256=1)</x:f>
        <x:v>0</x:v>
      </x:c>
      <x:c r="AQ256" t="n">
        <x:f>--AND(AN256=1,Z256=1)</x:f>
        <x:v>0</x:v>
      </x:c>
      <x:c r="AR256" t="n">
        <x:f>--AND(AQ256=1,AA256=1)</x:f>
        <x:v>0</x:v>
      </x:c>
    </x:row>
    <x:row r="257">
      <x:c r="A257" s="28"/>
      <x:c r="B257" s="28"/>
      <x:c r="C257" s="28"/>
      <x:c r="D257" s="28"/>
      <x:c r="E257" s="28"/>
      <x:c r="F257" s="28"/>
      <x:c r="G257" s="28"/>
      <x:c r="H257" s="28"/>
      <x:c r="I257" s="28"/>
      <x:c r="J257" s="28"/>
      <x:c r="K257" s="28"/>
      <x:c r="L257" s="28"/>
      <x:c r="M257" s="28"/>
      <x:c r="N257" s="28"/>
      <x:c r="O257" s="28"/>
      <x:c r="P257" s="28"/>
      <x:c r="Q257" s="28"/>
      <x:c r="R257" s="28"/>
      <x:c r="S257" s="28"/>
      <x:c r="T257" s="28"/>
      <x:c r="U257" s="28"/>
      <x:c r="V257" s="28"/>
      <x:c r="W257" s="28"/>
      <x:c r="X257" s="43" t="n">
        <x:f>--AND(S257=1,T257=1,U257=1,V257=1,W257=1)</x:f>
        <x:v>0</x:v>
      </x:c>
      <x:c r="AE257" s="43" t="n">
        <x:f>--AND(S257=1,M257&lt;&gt;"",M257&lt;&gt;"keep")</x:f>
        <x:v>0</x:v>
      </x:c>
      <x:c r="AG257" t="n">
        <x:f>--AND(S257=1,T257=1,U257=1,V257=1,W257=1,AE257=1)</x:f>
        <x:v>0</x:v>
      </x:c>
      <x:c r="AJ257" t="str">
        <x:f>IF(OR(AH257="",AI257=""),"",--(AH257&lt;&gt;AI257))</x:f>
      </x:c>
      <x:c r="AL257" t="str">
        <x:f>IF(OR(AH257="",AI257=""),"PENDING_HUMAN",IF(AH257=AI257,AH257,IF(AK257&lt;&gt;"",AK257,"PENDING_HUMAN")))</x:f>
        <x:v>PENDING_HUMAN</x:v>
      </x:c>
      <x:c r="AM257" t="n">
        <x:f>--AND(A257&lt;&gt;"",AH257&lt;&gt;"",AI257&lt;&gt;"",OR(AH257=AI257,AK257&lt;&gt;""))</x:f>
        <x:v>0</x:v>
      </x:c>
      <x:c r="AN257" t="n">
        <x:f>--AND(Y257&lt;&gt;"",COUNTIF($Y$4:Y257,Y257)=1)</x:f>
        <x:v>0</x:v>
      </x:c>
      <x:c r="AO257" t="n">
        <x:f>--AND(AN257=1,Z257=1,AM257=1)</x:f>
        <x:v>0</x:v>
      </x:c>
      <x:c r="AP257" t="n">
        <x:f>--AND(AO257=1,AA257=1,AL257=1)</x:f>
        <x:v>0</x:v>
      </x:c>
      <x:c r="AQ257" t="n">
        <x:f>--AND(AN257=1,Z257=1)</x:f>
        <x:v>0</x:v>
      </x:c>
      <x:c r="AR257" t="n">
        <x:f>--AND(AQ257=1,AA257=1)</x:f>
        <x:v>0</x:v>
      </x:c>
    </x:row>
    <x:row r="258">
      <x:c r="A258" s="28"/>
      <x:c r="B258" s="28"/>
      <x:c r="C258" s="28"/>
      <x:c r="D258" s="28"/>
      <x:c r="E258" s="28"/>
      <x:c r="F258" s="28"/>
      <x:c r="G258" s="28"/>
      <x:c r="H258" s="28"/>
      <x:c r="I258" s="28"/>
      <x:c r="J258" s="28"/>
      <x:c r="K258" s="28"/>
      <x:c r="L258" s="28"/>
      <x:c r="M258" s="28"/>
      <x:c r="N258" s="28"/>
      <x:c r="O258" s="28"/>
      <x:c r="P258" s="28"/>
      <x:c r="Q258" s="28"/>
      <x:c r="R258" s="28"/>
      <x:c r="S258" s="28"/>
      <x:c r="T258" s="28"/>
      <x:c r="U258" s="28"/>
      <x:c r="V258" s="28"/>
      <x:c r="W258" s="28"/>
      <x:c r="X258" s="43" t="n">
        <x:f>--AND(S258=1,T258=1,U258=1,V258=1,W258=1)</x:f>
        <x:v>0</x:v>
      </x:c>
      <x:c r="AE258" s="43" t="n">
        <x:f>--AND(S258=1,M258&lt;&gt;"",M258&lt;&gt;"keep")</x:f>
        <x:v>0</x:v>
      </x:c>
      <x:c r="AG258" t="n">
        <x:f>--AND(S258=1,T258=1,U258=1,V258=1,W258=1,AE258=1)</x:f>
        <x:v>0</x:v>
      </x:c>
      <x:c r="AJ258" t="str">
        <x:f>IF(OR(AH258="",AI258=""),"",--(AH258&lt;&gt;AI258))</x:f>
      </x:c>
      <x:c r="AL258" t="str">
        <x:f>IF(OR(AH258="",AI258=""),"PENDING_HUMAN",IF(AH258=AI258,AH258,IF(AK258&lt;&gt;"",AK258,"PENDING_HUMAN")))</x:f>
        <x:v>PENDING_HUMAN</x:v>
      </x:c>
      <x:c r="AM258" t="n">
        <x:f>--AND(A258&lt;&gt;"",AH258&lt;&gt;"",AI258&lt;&gt;"",OR(AH258=AI258,AK258&lt;&gt;""))</x:f>
        <x:v>0</x:v>
      </x:c>
      <x:c r="AN258" t="n">
        <x:f>--AND(Y258&lt;&gt;"",COUNTIF($Y$4:Y258,Y258)=1)</x:f>
        <x:v>0</x:v>
      </x:c>
      <x:c r="AO258" t="n">
        <x:f>--AND(AN258=1,Z258=1,AM258=1)</x:f>
        <x:v>0</x:v>
      </x:c>
      <x:c r="AP258" t="n">
        <x:f>--AND(AO258=1,AA258=1,AL258=1)</x:f>
        <x:v>0</x:v>
      </x:c>
      <x:c r="AQ258" t="n">
        <x:f>--AND(AN258=1,Z258=1)</x:f>
        <x:v>0</x:v>
      </x:c>
      <x:c r="AR258" t="n">
        <x:f>--AND(AQ258=1,AA258=1)</x:f>
        <x:v>0</x:v>
      </x:c>
    </x:row>
    <x:row r="259">
      <x:c r="A259" s="28"/>
      <x:c r="B259" s="28"/>
      <x:c r="C259" s="28"/>
      <x:c r="D259" s="28"/>
      <x:c r="E259" s="28"/>
      <x:c r="F259" s="28"/>
      <x:c r="G259" s="28"/>
      <x:c r="H259" s="28"/>
      <x:c r="I259" s="28"/>
      <x:c r="J259" s="28"/>
      <x:c r="K259" s="28"/>
      <x:c r="L259" s="28"/>
      <x:c r="M259" s="28"/>
      <x:c r="N259" s="28"/>
      <x:c r="O259" s="28"/>
      <x:c r="P259" s="28"/>
      <x:c r="Q259" s="28"/>
      <x:c r="R259" s="28"/>
      <x:c r="S259" s="28"/>
      <x:c r="T259" s="28"/>
      <x:c r="U259" s="28"/>
      <x:c r="V259" s="28"/>
      <x:c r="W259" s="28"/>
      <x:c r="X259" s="43" t="n">
        <x:f>--AND(S259=1,T259=1,U259=1,V259=1,W259=1)</x:f>
        <x:v>0</x:v>
      </x:c>
      <x:c r="AE259" s="43" t="n">
        <x:f>--AND(S259=1,M259&lt;&gt;"",M259&lt;&gt;"keep")</x:f>
        <x:v>0</x:v>
      </x:c>
      <x:c r="AG259" t="n">
        <x:f>--AND(S259=1,T259=1,U259=1,V259=1,W259=1,AE259=1)</x:f>
        <x:v>0</x:v>
      </x:c>
      <x:c r="AJ259" t="str">
        <x:f>IF(OR(AH259="",AI259=""),"",--(AH259&lt;&gt;AI259))</x:f>
      </x:c>
      <x:c r="AL259" t="str">
        <x:f>IF(OR(AH259="",AI259=""),"PENDING_HUMAN",IF(AH259=AI259,AH259,IF(AK259&lt;&gt;"",AK259,"PENDING_HUMAN")))</x:f>
        <x:v>PENDING_HUMAN</x:v>
      </x:c>
      <x:c r="AM259" t="n">
        <x:f>--AND(A259&lt;&gt;"",AH259&lt;&gt;"",AI259&lt;&gt;"",OR(AH259=AI259,AK259&lt;&gt;""))</x:f>
        <x:v>0</x:v>
      </x:c>
      <x:c r="AN259" t="n">
        <x:f>--AND(Y259&lt;&gt;"",COUNTIF($Y$4:Y259,Y259)=1)</x:f>
        <x:v>0</x:v>
      </x:c>
      <x:c r="AO259" t="n">
        <x:f>--AND(AN259=1,Z259=1,AM259=1)</x:f>
        <x:v>0</x:v>
      </x:c>
      <x:c r="AP259" t="n">
        <x:f>--AND(AO259=1,AA259=1,AL259=1)</x:f>
        <x:v>0</x:v>
      </x:c>
      <x:c r="AQ259" t="n">
        <x:f>--AND(AN259=1,Z259=1)</x:f>
        <x:v>0</x:v>
      </x:c>
      <x:c r="AR259" t="n">
        <x:f>--AND(AQ259=1,AA259=1)</x:f>
        <x:v>0</x:v>
      </x:c>
    </x:row>
    <x:row r="260">
      <x:c r="A260" s="28"/>
      <x:c r="B260" s="28"/>
      <x:c r="C260" s="28"/>
      <x:c r="D260" s="28"/>
      <x:c r="E260" s="28"/>
      <x:c r="F260" s="28"/>
      <x:c r="G260" s="28"/>
      <x:c r="H260" s="28"/>
      <x:c r="I260" s="28"/>
      <x:c r="J260" s="28"/>
      <x:c r="K260" s="28"/>
      <x:c r="L260" s="28"/>
      <x:c r="M260" s="28"/>
      <x:c r="N260" s="28"/>
      <x:c r="O260" s="28"/>
      <x:c r="P260" s="28"/>
      <x:c r="Q260" s="28"/>
      <x:c r="R260" s="28"/>
      <x:c r="S260" s="28"/>
      <x:c r="T260" s="28"/>
      <x:c r="U260" s="28"/>
      <x:c r="V260" s="28"/>
      <x:c r="W260" s="28"/>
      <x:c r="X260" s="43" t="n">
        <x:f>--AND(S260=1,T260=1,U260=1,V260=1,W260=1)</x:f>
        <x:v>0</x:v>
      </x:c>
      <x:c r="AE260" s="43" t="n">
        <x:f>--AND(S260=1,M260&lt;&gt;"",M260&lt;&gt;"keep")</x:f>
        <x:v>0</x:v>
      </x:c>
      <x:c r="AG260" t="n">
        <x:f>--AND(S260=1,T260=1,U260=1,V260=1,W260=1,AE260=1)</x:f>
        <x:v>0</x:v>
      </x:c>
      <x:c r="AJ260" t="str">
        <x:f>IF(OR(AH260="",AI260=""),"",--(AH260&lt;&gt;AI260))</x:f>
      </x:c>
      <x:c r="AL260" t="str">
        <x:f>IF(OR(AH260="",AI260=""),"PENDING_HUMAN",IF(AH260=AI260,AH260,IF(AK260&lt;&gt;"",AK260,"PENDING_HUMAN")))</x:f>
        <x:v>PENDING_HUMAN</x:v>
      </x:c>
      <x:c r="AM260" t="n">
        <x:f>--AND(A260&lt;&gt;"",AH260&lt;&gt;"",AI260&lt;&gt;"",OR(AH260=AI260,AK260&lt;&gt;""))</x:f>
        <x:v>0</x:v>
      </x:c>
      <x:c r="AN260" t="n">
        <x:f>--AND(Y260&lt;&gt;"",COUNTIF($Y$4:Y260,Y260)=1)</x:f>
        <x:v>0</x:v>
      </x:c>
      <x:c r="AO260" t="n">
        <x:f>--AND(AN260=1,Z260=1,AM260=1)</x:f>
        <x:v>0</x:v>
      </x:c>
      <x:c r="AP260" t="n">
        <x:f>--AND(AO260=1,AA260=1,AL260=1)</x:f>
        <x:v>0</x:v>
      </x:c>
      <x:c r="AQ260" t="n">
        <x:f>--AND(AN260=1,Z260=1)</x:f>
        <x:v>0</x:v>
      </x:c>
      <x:c r="AR260" t="n">
        <x:f>--AND(AQ260=1,AA260=1)</x:f>
        <x:v>0</x:v>
      </x:c>
    </x:row>
    <x:row r="261">
      <x:c r="A261" s="28"/>
      <x:c r="B261" s="28"/>
      <x:c r="C261" s="28"/>
      <x:c r="D261" s="28"/>
      <x:c r="E261" s="28"/>
      <x:c r="F261" s="28"/>
      <x:c r="G261" s="28"/>
      <x:c r="H261" s="28"/>
      <x:c r="I261" s="28"/>
      <x:c r="J261" s="28"/>
      <x:c r="K261" s="28"/>
      <x:c r="L261" s="28"/>
      <x:c r="M261" s="28"/>
      <x:c r="N261" s="28"/>
      <x:c r="O261" s="28"/>
      <x:c r="P261" s="28"/>
      <x:c r="Q261" s="28"/>
      <x:c r="R261" s="28"/>
      <x:c r="S261" s="28"/>
      <x:c r="T261" s="28"/>
      <x:c r="U261" s="28"/>
      <x:c r="V261" s="28"/>
      <x:c r="W261" s="28"/>
      <x:c r="X261" s="43" t="n">
        <x:f>--AND(S261=1,T261=1,U261=1,V261=1,W261=1)</x:f>
        <x:v>0</x:v>
      </x:c>
      <x:c r="AE261" s="43" t="n">
        <x:f>--AND(S261=1,M261&lt;&gt;"",M261&lt;&gt;"keep")</x:f>
        <x:v>0</x:v>
      </x:c>
      <x:c r="AG261" t="n">
        <x:f>--AND(S261=1,T261=1,U261=1,V261=1,W261=1,AE261=1)</x:f>
        <x:v>0</x:v>
      </x:c>
      <x:c r="AJ261" t="str">
        <x:f>IF(OR(AH261="",AI261=""),"",--(AH261&lt;&gt;AI261))</x:f>
      </x:c>
      <x:c r="AL261" t="str">
        <x:f>IF(OR(AH261="",AI261=""),"PENDING_HUMAN",IF(AH261=AI261,AH261,IF(AK261&lt;&gt;"",AK261,"PENDING_HUMAN")))</x:f>
        <x:v>PENDING_HUMAN</x:v>
      </x:c>
      <x:c r="AM261" t="n">
        <x:f>--AND(A261&lt;&gt;"",AH261&lt;&gt;"",AI261&lt;&gt;"",OR(AH261=AI261,AK261&lt;&gt;""))</x:f>
        <x:v>0</x:v>
      </x:c>
      <x:c r="AN261" t="n">
        <x:f>--AND(Y261&lt;&gt;"",COUNTIF($Y$4:Y261,Y261)=1)</x:f>
        <x:v>0</x:v>
      </x:c>
      <x:c r="AO261" t="n">
        <x:f>--AND(AN261=1,Z261=1,AM261=1)</x:f>
        <x:v>0</x:v>
      </x:c>
      <x:c r="AP261" t="n">
        <x:f>--AND(AO261=1,AA261=1,AL261=1)</x:f>
        <x:v>0</x:v>
      </x:c>
      <x:c r="AQ261" t="n">
        <x:f>--AND(AN261=1,Z261=1)</x:f>
        <x:v>0</x:v>
      </x:c>
      <x:c r="AR261" t="n">
        <x:f>--AND(AQ261=1,AA261=1)</x:f>
        <x:v>0</x:v>
      </x:c>
    </x:row>
    <x:row r="262">
      <x:c r="A262" s="28"/>
      <x:c r="B262" s="28"/>
      <x:c r="C262" s="28"/>
      <x:c r="D262" s="28"/>
      <x:c r="E262" s="28"/>
      <x:c r="F262" s="28"/>
      <x:c r="G262" s="28"/>
      <x:c r="H262" s="28"/>
      <x:c r="I262" s="28"/>
      <x:c r="J262" s="28"/>
      <x:c r="K262" s="28"/>
      <x:c r="L262" s="28"/>
      <x:c r="M262" s="28"/>
      <x:c r="N262" s="28"/>
      <x:c r="O262" s="28"/>
      <x:c r="P262" s="28"/>
      <x:c r="Q262" s="28"/>
      <x:c r="R262" s="28"/>
      <x:c r="S262" s="28"/>
      <x:c r="T262" s="28"/>
      <x:c r="U262" s="28"/>
      <x:c r="V262" s="28"/>
      <x:c r="W262" s="28"/>
      <x:c r="X262" s="43" t="n">
        <x:f>--AND(S262=1,T262=1,U262=1,V262=1,W262=1)</x:f>
        <x:v>0</x:v>
      </x:c>
      <x:c r="AE262" s="43" t="n">
        <x:f>--AND(S262=1,M262&lt;&gt;"",M262&lt;&gt;"keep")</x:f>
        <x:v>0</x:v>
      </x:c>
      <x:c r="AG262" t="n">
        <x:f>--AND(S262=1,T262=1,U262=1,V262=1,W262=1,AE262=1)</x:f>
        <x:v>0</x:v>
      </x:c>
      <x:c r="AJ262" t="str">
        <x:f>IF(OR(AH262="",AI262=""),"",--(AH262&lt;&gt;AI262))</x:f>
      </x:c>
      <x:c r="AL262" t="str">
        <x:f>IF(OR(AH262="",AI262=""),"PENDING_HUMAN",IF(AH262=AI262,AH262,IF(AK262&lt;&gt;"",AK262,"PENDING_HUMAN")))</x:f>
        <x:v>PENDING_HUMAN</x:v>
      </x:c>
      <x:c r="AM262" t="n">
        <x:f>--AND(A262&lt;&gt;"",AH262&lt;&gt;"",AI262&lt;&gt;"",OR(AH262=AI262,AK262&lt;&gt;""))</x:f>
        <x:v>0</x:v>
      </x:c>
      <x:c r="AN262" t="n">
        <x:f>--AND(Y262&lt;&gt;"",COUNTIF($Y$4:Y262,Y262)=1)</x:f>
        <x:v>0</x:v>
      </x:c>
      <x:c r="AO262" t="n">
        <x:f>--AND(AN262=1,Z262=1,AM262=1)</x:f>
        <x:v>0</x:v>
      </x:c>
      <x:c r="AP262" t="n">
        <x:f>--AND(AO262=1,AA262=1,AL262=1)</x:f>
        <x:v>0</x:v>
      </x:c>
      <x:c r="AQ262" t="n">
        <x:f>--AND(AN262=1,Z262=1)</x:f>
        <x:v>0</x:v>
      </x:c>
      <x:c r="AR262" t="n">
        <x:f>--AND(AQ262=1,AA262=1)</x:f>
        <x:v>0</x:v>
      </x:c>
    </x:row>
    <x:row r="263">
      <x:c r="A263" s="28"/>
      <x:c r="B263" s="28"/>
      <x:c r="C263" s="28"/>
      <x:c r="D263" s="28"/>
      <x:c r="E263" s="28"/>
      <x:c r="F263" s="28"/>
      <x:c r="G263" s="28"/>
      <x:c r="H263" s="28"/>
      <x:c r="I263" s="28"/>
      <x:c r="J263" s="28"/>
      <x:c r="K263" s="28"/>
      <x:c r="L263" s="28"/>
      <x:c r="M263" s="28"/>
      <x:c r="N263" s="28"/>
      <x:c r="O263" s="28"/>
      <x:c r="P263" s="28"/>
      <x:c r="Q263" s="28"/>
      <x:c r="R263" s="28"/>
      <x:c r="S263" s="28"/>
      <x:c r="T263" s="28"/>
      <x:c r="U263" s="28"/>
      <x:c r="V263" s="28"/>
      <x:c r="W263" s="28"/>
      <x:c r="X263" s="43" t="n">
        <x:f>--AND(S263=1,T263=1,U263=1,V263=1,W263=1)</x:f>
        <x:v>0</x:v>
      </x:c>
      <x:c r="AE263" s="43" t="n">
        <x:f>--AND(S263=1,M263&lt;&gt;"",M263&lt;&gt;"keep")</x:f>
        <x:v>0</x:v>
      </x:c>
      <x:c r="AG263" t="n">
        <x:f>--AND(S263=1,T263=1,U263=1,V263=1,W263=1,AE263=1)</x:f>
        <x:v>0</x:v>
      </x:c>
      <x:c r="AJ263" t="str">
        <x:f>IF(OR(AH263="",AI263=""),"",--(AH263&lt;&gt;AI263))</x:f>
      </x:c>
      <x:c r="AL263" t="str">
        <x:f>IF(OR(AH263="",AI263=""),"PENDING_HUMAN",IF(AH263=AI263,AH263,IF(AK263&lt;&gt;"",AK263,"PENDING_HUMAN")))</x:f>
        <x:v>PENDING_HUMAN</x:v>
      </x:c>
      <x:c r="AM263" t="n">
        <x:f>--AND(A263&lt;&gt;"",AH263&lt;&gt;"",AI263&lt;&gt;"",OR(AH263=AI263,AK263&lt;&gt;""))</x:f>
        <x:v>0</x:v>
      </x:c>
      <x:c r="AN263" t="n">
        <x:f>--AND(Y263&lt;&gt;"",COUNTIF($Y$4:Y263,Y263)=1)</x:f>
        <x:v>0</x:v>
      </x:c>
      <x:c r="AO263" t="n">
        <x:f>--AND(AN263=1,Z263=1,AM263=1)</x:f>
        <x:v>0</x:v>
      </x:c>
      <x:c r="AP263" t="n">
        <x:f>--AND(AO263=1,AA263=1,AL263=1)</x:f>
        <x:v>0</x:v>
      </x:c>
      <x:c r="AQ263" t="n">
        <x:f>--AND(AN263=1,Z263=1)</x:f>
        <x:v>0</x:v>
      </x:c>
      <x:c r="AR263" t="n">
        <x:f>--AND(AQ263=1,AA263=1)</x:f>
        <x:v>0</x:v>
      </x:c>
    </x:row>
    <x:row r="264">
      <x:c r="A264" s="28"/>
      <x:c r="B264" s="28"/>
      <x:c r="C264" s="28"/>
      <x:c r="D264" s="28"/>
      <x:c r="E264" s="28"/>
      <x:c r="F264" s="28"/>
      <x:c r="G264" s="28"/>
      <x:c r="H264" s="28"/>
      <x:c r="I264" s="28"/>
      <x:c r="J264" s="28"/>
      <x:c r="K264" s="28"/>
      <x:c r="L264" s="28"/>
      <x:c r="M264" s="28"/>
      <x:c r="N264" s="28"/>
      <x:c r="O264" s="28"/>
      <x:c r="P264" s="28"/>
      <x:c r="Q264" s="28"/>
      <x:c r="R264" s="28"/>
      <x:c r="S264" s="28"/>
      <x:c r="T264" s="28"/>
      <x:c r="U264" s="28"/>
      <x:c r="V264" s="28"/>
      <x:c r="W264" s="28"/>
      <x:c r="X264" s="43" t="n">
        <x:f>--AND(S264=1,T264=1,U264=1,V264=1,W264=1)</x:f>
        <x:v>0</x:v>
      </x:c>
      <x:c r="AE264" s="43" t="n">
        <x:f>--AND(S264=1,M264&lt;&gt;"",M264&lt;&gt;"keep")</x:f>
        <x:v>0</x:v>
      </x:c>
      <x:c r="AG264" t="n">
        <x:f>--AND(S264=1,T264=1,U264=1,V264=1,W264=1,AE264=1)</x:f>
        <x:v>0</x:v>
      </x:c>
      <x:c r="AJ264" t="str">
        <x:f>IF(OR(AH264="",AI264=""),"",--(AH264&lt;&gt;AI264))</x:f>
      </x:c>
      <x:c r="AL264" t="str">
        <x:f>IF(OR(AH264="",AI264=""),"PENDING_HUMAN",IF(AH264=AI264,AH264,IF(AK264&lt;&gt;"",AK264,"PENDING_HUMAN")))</x:f>
        <x:v>PENDING_HUMAN</x:v>
      </x:c>
      <x:c r="AM264" t="n">
        <x:f>--AND(A264&lt;&gt;"",AH264&lt;&gt;"",AI264&lt;&gt;"",OR(AH264=AI264,AK264&lt;&gt;""))</x:f>
        <x:v>0</x:v>
      </x:c>
      <x:c r="AN264" t="n">
        <x:f>--AND(Y264&lt;&gt;"",COUNTIF($Y$4:Y264,Y264)=1)</x:f>
        <x:v>0</x:v>
      </x:c>
      <x:c r="AO264" t="n">
        <x:f>--AND(AN264=1,Z264=1,AM264=1)</x:f>
        <x:v>0</x:v>
      </x:c>
      <x:c r="AP264" t="n">
        <x:f>--AND(AO264=1,AA264=1,AL264=1)</x:f>
        <x:v>0</x:v>
      </x:c>
      <x:c r="AQ264" t="n">
        <x:f>--AND(AN264=1,Z264=1)</x:f>
        <x:v>0</x:v>
      </x:c>
      <x:c r="AR264" t="n">
        <x:f>--AND(AQ264=1,AA264=1)</x:f>
        <x:v>0</x:v>
      </x:c>
    </x:row>
    <x:row r="265">
      <x:c r="A265" s="28"/>
      <x:c r="B265" s="28"/>
      <x:c r="C265" s="28"/>
      <x:c r="D265" s="28"/>
      <x:c r="E265" s="28"/>
      <x:c r="F265" s="28"/>
      <x:c r="G265" s="28"/>
      <x:c r="H265" s="28"/>
      <x:c r="I265" s="28"/>
      <x:c r="J265" s="28"/>
      <x:c r="K265" s="28"/>
      <x:c r="L265" s="28"/>
      <x:c r="M265" s="28"/>
      <x:c r="N265" s="28"/>
      <x:c r="O265" s="28"/>
      <x:c r="P265" s="28"/>
      <x:c r="Q265" s="28"/>
      <x:c r="R265" s="28"/>
      <x:c r="S265" s="28"/>
      <x:c r="T265" s="28"/>
      <x:c r="U265" s="28"/>
      <x:c r="V265" s="28"/>
      <x:c r="W265" s="28"/>
      <x:c r="X265" s="43" t="n">
        <x:f>--AND(S265=1,T265=1,U265=1,V265=1,W265=1)</x:f>
        <x:v>0</x:v>
      </x:c>
      <x:c r="AE265" s="43" t="n">
        <x:f>--AND(S265=1,M265&lt;&gt;"",M265&lt;&gt;"keep")</x:f>
        <x:v>0</x:v>
      </x:c>
      <x:c r="AG265" t="n">
        <x:f>--AND(S265=1,T265=1,U265=1,V265=1,W265=1,AE265=1)</x:f>
        <x:v>0</x:v>
      </x:c>
      <x:c r="AJ265" t="str">
        <x:f>IF(OR(AH265="",AI265=""),"",--(AH265&lt;&gt;AI265))</x:f>
      </x:c>
      <x:c r="AL265" t="str">
        <x:f>IF(OR(AH265="",AI265=""),"PENDING_HUMAN",IF(AH265=AI265,AH265,IF(AK265&lt;&gt;"",AK265,"PENDING_HUMAN")))</x:f>
        <x:v>PENDING_HUMAN</x:v>
      </x:c>
      <x:c r="AM265" t="n">
        <x:f>--AND(A265&lt;&gt;"",AH265&lt;&gt;"",AI265&lt;&gt;"",OR(AH265=AI265,AK265&lt;&gt;""))</x:f>
        <x:v>0</x:v>
      </x:c>
      <x:c r="AN265" t="n">
        <x:f>--AND(Y265&lt;&gt;"",COUNTIF($Y$4:Y265,Y265)=1)</x:f>
        <x:v>0</x:v>
      </x:c>
      <x:c r="AO265" t="n">
        <x:f>--AND(AN265=1,Z265=1,AM265=1)</x:f>
        <x:v>0</x:v>
      </x:c>
      <x:c r="AP265" t="n">
        <x:f>--AND(AO265=1,AA265=1,AL265=1)</x:f>
        <x:v>0</x:v>
      </x:c>
      <x:c r="AQ265" t="n">
        <x:f>--AND(AN265=1,Z265=1)</x:f>
        <x:v>0</x:v>
      </x:c>
      <x:c r="AR265" t="n">
        <x:f>--AND(AQ265=1,AA265=1)</x:f>
        <x:v>0</x:v>
      </x:c>
    </x:row>
    <x:row r="266">
      <x:c r="A266" s="28"/>
      <x:c r="B266" s="28"/>
      <x:c r="C266" s="28"/>
      <x:c r="D266" s="28"/>
      <x:c r="E266" s="28"/>
      <x:c r="F266" s="28"/>
      <x:c r="G266" s="28"/>
      <x:c r="H266" s="28"/>
      <x:c r="I266" s="28"/>
      <x:c r="J266" s="28"/>
      <x:c r="K266" s="28"/>
      <x:c r="L266" s="28"/>
      <x:c r="M266" s="28"/>
      <x:c r="N266" s="28"/>
      <x:c r="O266" s="28"/>
      <x:c r="P266" s="28"/>
      <x:c r="Q266" s="28"/>
      <x:c r="R266" s="28"/>
      <x:c r="S266" s="28"/>
      <x:c r="T266" s="28"/>
      <x:c r="U266" s="28"/>
      <x:c r="V266" s="28"/>
      <x:c r="W266" s="28"/>
      <x:c r="X266" s="43" t="n">
        <x:f>--AND(S266=1,T266=1,U266=1,V266=1,W266=1)</x:f>
        <x:v>0</x:v>
      </x:c>
      <x:c r="AE266" s="43" t="n">
        <x:f>--AND(S266=1,M266&lt;&gt;"",M266&lt;&gt;"keep")</x:f>
        <x:v>0</x:v>
      </x:c>
      <x:c r="AG266" t="n">
        <x:f>--AND(S266=1,T266=1,U266=1,V266=1,W266=1,AE266=1)</x:f>
        <x:v>0</x:v>
      </x:c>
      <x:c r="AJ266" t="str">
        <x:f>IF(OR(AH266="",AI266=""),"",--(AH266&lt;&gt;AI266))</x:f>
      </x:c>
      <x:c r="AL266" t="str">
        <x:f>IF(OR(AH266="",AI266=""),"PENDING_HUMAN",IF(AH266=AI266,AH266,IF(AK266&lt;&gt;"",AK266,"PENDING_HUMAN")))</x:f>
        <x:v>PENDING_HUMAN</x:v>
      </x:c>
      <x:c r="AM266" t="n">
        <x:f>--AND(A266&lt;&gt;"",AH266&lt;&gt;"",AI266&lt;&gt;"",OR(AH266=AI266,AK266&lt;&gt;""))</x:f>
        <x:v>0</x:v>
      </x:c>
      <x:c r="AN266" t="n">
        <x:f>--AND(Y266&lt;&gt;"",COUNTIF($Y$4:Y266,Y266)=1)</x:f>
        <x:v>0</x:v>
      </x:c>
      <x:c r="AO266" t="n">
        <x:f>--AND(AN266=1,Z266=1,AM266=1)</x:f>
        <x:v>0</x:v>
      </x:c>
      <x:c r="AP266" t="n">
        <x:f>--AND(AO266=1,AA266=1,AL266=1)</x:f>
        <x:v>0</x:v>
      </x:c>
      <x:c r="AQ266" t="n">
        <x:f>--AND(AN266=1,Z266=1)</x:f>
        <x:v>0</x:v>
      </x:c>
      <x:c r="AR266" t="n">
        <x:f>--AND(AQ266=1,AA266=1)</x:f>
        <x:v>0</x:v>
      </x:c>
    </x:row>
    <x:row r="267">
      <x:c r="A267" s="28"/>
      <x:c r="B267" s="28"/>
      <x:c r="C267" s="28"/>
      <x:c r="D267" s="28"/>
      <x:c r="E267" s="28"/>
      <x:c r="F267" s="28"/>
      <x:c r="G267" s="28"/>
      <x:c r="H267" s="28"/>
      <x:c r="I267" s="28"/>
      <x:c r="J267" s="28"/>
      <x:c r="K267" s="28"/>
      <x:c r="L267" s="28"/>
      <x:c r="M267" s="28"/>
      <x:c r="N267" s="28"/>
      <x:c r="O267" s="28"/>
      <x:c r="P267" s="28"/>
      <x:c r="Q267" s="28"/>
      <x:c r="R267" s="28"/>
      <x:c r="S267" s="28"/>
      <x:c r="T267" s="28"/>
      <x:c r="U267" s="28"/>
      <x:c r="V267" s="28"/>
      <x:c r="W267" s="28"/>
      <x:c r="X267" s="43" t="n">
        <x:f>--AND(S267=1,T267=1,U267=1,V267=1,W267=1)</x:f>
        <x:v>0</x:v>
      </x:c>
      <x:c r="AE267" s="43" t="n">
        <x:f>--AND(S267=1,M267&lt;&gt;"",M267&lt;&gt;"keep")</x:f>
        <x:v>0</x:v>
      </x:c>
      <x:c r="AG267" t="n">
        <x:f>--AND(S267=1,T267=1,U267=1,V267=1,W267=1,AE267=1)</x:f>
        <x:v>0</x:v>
      </x:c>
      <x:c r="AJ267" t="str">
        <x:f>IF(OR(AH267="",AI267=""),"",--(AH267&lt;&gt;AI267))</x:f>
      </x:c>
      <x:c r="AL267" t="str">
        <x:f>IF(OR(AH267="",AI267=""),"PENDING_HUMAN",IF(AH267=AI267,AH267,IF(AK267&lt;&gt;"",AK267,"PENDING_HUMAN")))</x:f>
        <x:v>PENDING_HUMAN</x:v>
      </x:c>
      <x:c r="AM267" t="n">
        <x:f>--AND(A267&lt;&gt;"",AH267&lt;&gt;"",AI267&lt;&gt;"",OR(AH267=AI267,AK267&lt;&gt;""))</x:f>
        <x:v>0</x:v>
      </x:c>
      <x:c r="AN267" t="n">
        <x:f>--AND(Y267&lt;&gt;"",COUNTIF($Y$4:Y267,Y267)=1)</x:f>
        <x:v>0</x:v>
      </x:c>
      <x:c r="AO267" t="n">
        <x:f>--AND(AN267=1,Z267=1,AM267=1)</x:f>
        <x:v>0</x:v>
      </x:c>
      <x:c r="AP267" t="n">
        <x:f>--AND(AO267=1,AA267=1,AL267=1)</x:f>
        <x:v>0</x:v>
      </x:c>
      <x:c r="AQ267" t="n">
        <x:f>--AND(AN267=1,Z267=1)</x:f>
        <x:v>0</x:v>
      </x:c>
      <x:c r="AR267" t="n">
        <x:f>--AND(AQ267=1,AA267=1)</x:f>
        <x:v>0</x:v>
      </x:c>
    </x:row>
    <x:row r="268">
      <x:c r="A268" s="28"/>
      <x:c r="B268" s="28"/>
      <x:c r="C268" s="28"/>
      <x:c r="D268" s="28"/>
      <x:c r="E268" s="28"/>
      <x:c r="F268" s="28"/>
      <x:c r="G268" s="28"/>
      <x:c r="H268" s="28"/>
      <x:c r="I268" s="28"/>
      <x:c r="J268" s="28"/>
      <x:c r="K268" s="28"/>
      <x:c r="L268" s="28"/>
      <x:c r="M268" s="28"/>
      <x:c r="N268" s="28"/>
      <x:c r="O268" s="28"/>
      <x:c r="P268" s="28"/>
      <x:c r="Q268" s="28"/>
      <x:c r="R268" s="28"/>
      <x:c r="S268" s="28"/>
      <x:c r="T268" s="28"/>
      <x:c r="U268" s="28"/>
      <x:c r="V268" s="28"/>
      <x:c r="W268" s="28"/>
      <x:c r="X268" s="43" t="n">
        <x:f>--AND(S268=1,T268=1,U268=1,V268=1,W268=1)</x:f>
        <x:v>0</x:v>
      </x:c>
      <x:c r="AE268" s="43" t="n">
        <x:f>--AND(S268=1,M268&lt;&gt;"",M268&lt;&gt;"keep")</x:f>
        <x:v>0</x:v>
      </x:c>
      <x:c r="AG268" t="n">
        <x:f>--AND(S268=1,T268=1,U268=1,V268=1,W268=1,AE268=1)</x:f>
        <x:v>0</x:v>
      </x:c>
      <x:c r="AJ268" t="str">
        <x:f>IF(OR(AH268="",AI268=""),"",--(AH268&lt;&gt;AI268))</x:f>
      </x:c>
      <x:c r="AL268" t="str">
        <x:f>IF(OR(AH268="",AI268=""),"PENDING_HUMAN",IF(AH268=AI268,AH268,IF(AK268&lt;&gt;"",AK268,"PENDING_HUMAN")))</x:f>
        <x:v>PENDING_HUMAN</x:v>
      </x:c>
      <x:c r="AM268" t="n">
        <x:f>--AND(A268&lt;&gt;"",AH268&lt;&gt;"",AI268&lt;&gt;"",OR(AH268=AI268,AK268&lt;&gt;""))</x:f>
        <x:v>0</x:v>
      </x:c>
      <x:c r="AN268" t="n">
        <x:f>--AND(Y268&lt;&gt;"",COUNTIF($Y$4:Y268,Y268)=1)</x:f>
        <x:v>0</x:v>
      </x:c>
      <x:c r="AO268" t="n">
        <x:f>--AND(AN268=1,Z268=1,AM268=1)</x:f>
        <x:v>0</x:v>
      </x:c>
      <x:c r="AP268" t="n">
        <x:f>--AND(AO268=1,AA268=1,AL268=1)</x:f>
        <x:v>0</x:v>
      </x:c>
      <x:c r="AQ268" t="n">
        <x:f>--AND(AN268=1,Z268=1)</x:f>
        <x:v>0</x:v>
      </x:c>
      <x:c r="AR268" t="n">
        <x:f>--AND(AQ268=1,AA268=1)</x:f>
        <x:v>0</x:v>
      </x:c>
    </x:row>
    <x:row r="269">
      <x:c r="A269" s="28"/>
      <x:c r="B269" s="28"/>
      <x:c r="C269" s="28"/>
      <x:c r="D269" s="28"/>
      <x:c r="E269" s="28"/>
      <x:c r="F269" s="28"/>
      <x:c r="G269" s="28"/>
      <x:c r="H269" s="28"/>
      <x:c r="I269" s="28"/>
      <x:c r="J269" s="28"/>
      <x:c r="K269" s="28"/>
      <x:c r="L269" s="28"/>
      <x:c r="M269" s="28"/>
      <x:c r="N269" s="28"/>
      <x:c r="O269" s="28"/>
      <x:c r="P269" s="28"/>
      <x:c r="Q269" s="28"/>
      <x:c r="R269" s="28"/>
      <x:c r="S269" s="28"/>
      <x:c r="T269" s="28"/>
      <x:c r="U269" s="28"/>
      <x:c r="V269" s="28"/>
      <x:c r="W269" s="28"/>
      <x:c r="X269" s="43" t="n">
        <x:f>--AND(S269=1,T269=1,U269=1,V269=1,W269=1)</x:f>
        <x:v>0</x:v>
      </x:c>
      <x:c r="AE269" s="43" t="n">
        <x:f>--AND(S269=1,M269&lt;&gt;"",M269&lt;&gt;"keep")</x:f>
        <x:v>0</x:v>
      </x:c>
      <x:c r="AG269" t="n">
        <x:f>--AND(S269=1,T269=1,U269=1,V269=1,W269=1,AE269=1)</x:f>
        <x:v>0</x:v>
      </x:c>
      <x:c r="AJ269" t="str">
        <x:f>IF(OR(AH269="",AI269=""),"",--(AH269&lt;&gt;AI269))</x:f>
      </x:c>
      <x:c r="AL269" t="str">
        <x:f>IF(OR(AH269="",AI269=""),"PENDING_HUMAN",IF(AH269=AI269,AH269,IF(AK269&lt;&gt;"",AK269,"PENDING_HUMAN")))</x:f>
        <x:v>PENDING_HUMAN</x:v>
      </x:c>
      <x:c r="AM269" t="n">
        <x:f>--AND(A269&lt;&gt;"",AH269&lt;&gt;"",AI269&lt;&gt;"",OR(AH269=AI269,AK269&lt;&gt;""))</x:f>
        <x:v>0</x:v>
      </x:c>
      <x:c r="AN269" t="n">
        <x:f>--AND(Y269&lt;&gt;"",COUNTIF($Y$4:Y269,Y269)=1)</x:f>
        <x:v>0</x:v>
      </x:c>
      <x:c r="AO269" t="n">
        <x:f>--AND(AN269=1,Z269=1,AM269=1)</x:f>
        <x:v>0</x:v>
      </x:c>
      <x:c r="AP269" t="n">
        <x:f>--AND(AO269=1,AA269=1,AL269=1)</x:f>
        <x:v>0</x:v>
      </x:c>
      <x:c r="AQ269" t="n">
        <x:f>--AND(AN269=1,Z269=1)</x:f>
        <x:v>0</x:v>
      </x:c>
      <x:c r="AR269" t="n">
        <x:f>--AND(AQ269=1,AA269=1)</x:f>
        <x:v>0</x:v>
      </x:c>
    </x:row>
    <x:row r="270">
      <x:c r="A270" s="28"/>
      <x:c r="B270" s="28"/>
      <x:c r="C270" s="28"/>
      <x:c r="D270" s="28"/>
      <x:c r="E270" s="28"/>
      <x:c r="F270" s="28"/>
      <x:c r="G270" s="28"/>
      <x:c r="H270" s="28"/>
      <x:c r="I270" s="28"/>
      <x:c r="J270" s="28"/>
      <x:c r="K270" s="28"/>
      <x:c r="L270" s="28"/>
      <x:c r="M270" s="28"/>
      <x:c r="N270" s="28"/>
      <x:c r="O270" s="28"/>
      <x:c r="P270" s="28"/>
      <x:c r="Q270" s="28"/>
      <x:c r="R270" s="28"/>
      <x:c r="S270" s="28"/>
      <x:c r="T270" s="28"/>
      <x:c r="U270" s="28"/>
      <x:c r="V270" s="28"/>
      <x:c r="W270" s="28"/>
      <x:c r="X270" s="43" t="n">
        <x:f>--AND(S270=1,T270=1,U270=1,V270=1,W270=1)</x:f>
        <x:v>0</x:v>
      </x:c>
      <x:c r="AE270" s="43" t="n">
        <x:f>--AND(S270=1,M270&lt;&gt;"",M270&lt;&gt;"keep")</x:f>
        <x:v>0</x:v>
      </x:c>
      <x:c r="AG270" t="n">
        <x:f>--AND(S270=1,T270=1,U270=1,V270=1,W270=1,AE270=1)</x:f>
        <x:v>0</x:v>
      </x:c>
      <x:c r="AJ270" t="str">
        <x:f>IF(OR(AH270="",AI270=""),"",--(AH270&lt;&gt;AI270))</x:f>
      </x:c>
      <x:c r="AL270" t="str">
        <x:f>IF(OR(AH270="",AI270=""),"PENDING_HUMAN",IF(AH270=AI270,AH270,IF(AK270&lt;&gt;"",AK270,"PENDING_HUMAN")))</x:f>
        <x:v>PENDING_HUMAN</x:v>
      </x:c>
      <x:c r="AM270" t="n">
        <x:f>--AND(A270&lt;&gt;"",AH270&lt;&gt;"",AI270&lt;&gt;"",OR(AH270=AI270,AK270&lt;&gt;""))</x:f>
        <x:v>0</x:v>
      </x:c>
      <x:c r="AN270" t="n">
        <x:f>--AND(Y270&lt;&gt;"",COUNTIF($Y$4:Y270,Y270)=1)</x:f>
        <x:v>0</x:v>
      </x:c>
      <x:c r="AO270" t="n">
        <x:f>--AND(AN270=1,Z270=1,AM270=1)</x:f>
        <x:v>0</x:v>
      </x:c>
      <x:c r="AP270" t="n">
        <x:f>--AND(AO270=1,AA270=1,AL270=1)</x:f>
        <x:v>0</x:v>
      </x:c>
      <x:c r="AQ270" t="n">
        <x:f>--AND(AN270=1,Z270=1)</x:f>
        <x:v>0</x:v>
      </x:c>
      <x:c r="AR270" t="n">
        <x:f>--AND(AQ270=1,AA270=1)</x:f>
        <x:v>0</x:v>
      </x:c>
    </x:row>
    <x:row r="271">
      <x:c r="A271" s="28"/>
      <x:c r="B271" s="28"/>
      <x:c r="C271" s="28"/>
      <x:c r="D271" s="28"/>
      <x:c r="E271" s="28"/>
      <x:c r="F271" s="28"/>
      <x:c r="G271" s="28"/>
      <x:c r="H271" s="28"/>
      <x:c r="I271" s="28"/>
      <x:c r="J271" s="28"/>
      <x:c r="K271" s="28"/>
      <x:c r="L271" s="28"/>
      <x:c r="M271" s="28"/>
      <x:c r="N271" s="28"/>
      <x:c r="O271" s="28"/>
      <x:c r="P271" s="28"/>
      <x:c r="Q271" s="28"/>
      <x:c r="R271" s="28"/>
      <x:c r="S271" s="28"/>
      <x:c r="T271" s="28"/>
      <x:c r="U271" s="28"/>
      <x:c r="V271" s="28"/>
      <x:c r="W271" s="28"/>
      <x:c r="X271" s="43" t="n">
        <x:f>--AND(S271=1,T271=1,U271=1,V271=1,W271=1)</x:f>
        <x:v>0</x:v>
      </x:c>
      <x:c r="AE271" s="43" t="n">
        <x:f>--AND(S271=1,M271&lt;&gt;"",M271&lt;&gt;"keep")</x:f>
        <x:v>0</x:v>
      </x:c>
      <x:c r="AG271" t="n">
        <x:f>--AND(S271=1,T271=1,U271=1,V271=1,W271=1,AE271=1)</x:f>
        <x:v>0</x:v>
      </x:c>
      <x:c r="AJ271" t="str">
        <x:f>IF(OR(AH271="",AI271=""),"",--(AH271&lt;&gt;AI271))</x:f>
      </x:c>
      <x:c r="AL271" t="str">
        <x:f>IF(OR(AH271="",AI271=""),"PENDING_HUMAN",IF(AH271=AI271,AH271,IF(AK271&lt;&gt;"",AK271,"PENDING_HUMAN")))</x:f>
        <x:v>PENDING_HUMAN</x:v>
      </x:c>
      <x:c r="AM271" t="n">
        <x:f>--AND(A271&lt;&gt;"",AH271&lt;&gt;"",AI271&lt;&gt;"",OR(AH271=AI271,AK271&lt;&gt;""))</x:f>
        <x:v>0</x:v>
      </x:c>
      <x:c r="AN271" t="n">
        <x:f>--AND(Y271&lt;&gt;"",COUNTIF($Y$4:Y271,Y271)=1)</x:f>
        <x:v>0</x:v>
      </x:c>
      <x:c r="AO271" t="n">
        <x:f>--AND(AN271=1,Z271=1,AM271=1)</x:f>
        <x:v>0</x:v>
      </x:c>
      <x:c r="AP271" t="n">
        <x:f>--AND(AO271=1,AA271=1,AL271=1)</x:f>
        <x:v>0</x:v>
      </x:c>
      <x:c r="AQ271" t="n">
        <x:f>--AND(AN271=1,Z271=1)</x:f>
        <x:v>0</x:v>
      </x:c>
      <x:c r="AR271" t="n">
        <x:f>--AND(AQ271=1,AA271=1)</x:f>
        <x:v>0</x:v>
      </x:c>
    </x:row>
    <x:row r="272">
      <x:c r="A272" s="28"/>
      <x:c r="B272" s="28"/>
      <x:c r="C272" s="28"/>
      <x:c r="D272" s="28"/>
      <x:c r="E272" s="28"/>
      <x:c r="F272" s="28"/>
      <x:c r="G272" s="28"/>
      <x:c r="H272" s="28"/>
      <x:c r="I272" s="28"/>
      <x:c r="J272" s="28"/>
      <x:c r="K272" s="28"/>
      <x:c r="L272" s="28"/>
      <x:c r="M272" s="28"/>
      <x:c r="N272" s="28"/>
      <x:c r="O272" s="28"/>
      <x:c r="P272" s="28"/>
      <x:c r="Q272" s="28"/>
      <x:c r="R272" s="28"/>
      <x:c r="S272" s="28"/>
      <x:c r="T272" s="28"/>
      <x:c r="U272" s="28"/>
      <x:c r="V272" s="28"/>
      <x:c r="W272" s="28"/>
      <x:c r="X272" s="43" t="n">
        <x:f>--AND(S272=1,T272=1,U272=1,V272=1,W272=1)</x:f>
        <x:v>0</x:v>
      </x:c>
      <x:c r="AE272" s="43" t="n">
        <x:f>--AND(S272=1,M272&lt;&gt;"",M272&lt;&gt;"keep")</x:f>
        <x:v>0</x:v>
      </x:c>
      <x:c r="AG272" t="n">
        <x:f>--AND(S272=1,T272=1,U272=1,V272=1,W272=1,AE272=1)</x:f>
        <x:v>0</x:v>
      </x:c>
      <x:c r="AJ272" t="str">
        <x:f>IF(OR(AH272="",AI272=""),"",--(AH272&lt;&gt;AI272))</x:f>
      </x:c>
      <x:c r="AL272" t="str">
        <x:f>IF(OR(AH272="",AI272=""),"PENDING_HUMAN",IF(AH272=AI272,AH272,IF(AK272&lt;&gt;"",AK272,"PENDING_HUMAN")))</x:f>
        <x:v>PENDING_HUMAN</x:v>
      </x:c>
      <x:c r="AM272" t="n">
        <x:f>--AND(A272&lt;&gt;"",AH272&lt;&gt;"",AI272&lt;&gt;"",OR(AH272=AI272,AK272&lt;&gt;""))</x:f>
        <x:v>0</x:v>
      </x:c>
      <x:c r="AN272" t="n">
        <x:f>--AND(Y272&lt;&gt;"",COUNTIF($Y$4:Y272,Y272)=1)</x:f>
        <x:v>0</x:v>
      </x:c>
      <x:c r="AO272" t="n">
        <x:f>--AND(AN272=1,Z272=1,AM272=1)</x:f>
        <x:v>0</x:v>
      </x:c>
      <x:c r="AP272" t="n">
        <x:f>--AND(AO272=1,AA272=1,AL272=1)</x:f>
        <x:v>0</x:v>
      </x:c>
      <x:c r="AQ272" t="n">
        <x:f>--AND(AN272=1,Z272=1)</x:f>
        <x:v>0</x:v>
      </x:c>
      <x:c r="AR272" t="n">
        <x:f>--AND(AQ272=1,AA272=1)</x:f>
        <x:v>0</x:v>
      </x:c>
    </x:row>
    <x:row r="273">
      <x:c r="A273" s="28"/>
      <x:c r="B273" s="28"/>
      <x:c r="C273" s="28"/>
      <x:c r="D273" s="28"/>
      <x:c r="E273" s="28"/>
      <x:c r="F273" s="28"/>
      <x:c r="G273" s="28"/>
      <x:c r="H273" s="28"/>
      <x:c r="I273" s="28"/>
      <x:c r="J273" s="28"/>
      <x:c r="K273" s="28"/>
      <x:c r="L273" s="28"/>
      <x:c r="M273" s="28"/>
      <x:c r="N273" s="28"/>
      <x:c r="O273" s="28"/>
      <x:c r="P273" s="28"/>
      <x:c r="Q273" s="28"/>
      <x:c r="R273" s="28"/>
      <x:c r="S273" s="28"/>
      <x:c r="T273" s="28"/>
      <x:c r="U273" s="28"/>
      <x:c r="V273" s="28"/>
      <x:c r="W273" s="28"/>
      <x:c r="X273" s="43" t="n">
        <x:f>--AND(S273=1,T273=1,U273=1,V273=1,W273=1)</x:f>
        <x:v>0</x:v>
      </x:c>
      <x:c r="AE273" s="43" t="n">
        <x:f>--AND(S273=1,M273&lt;&gt;"",M273&lt;&gt;"keep")</x:f>
        <x:v>0</x:v>
      </x:c>
      <x:c r="AG273" t="n">
        <x:f>--AND(S273=1,T273=1,U273=1,V273=1,W273=1,AE273=1)</x:f>
        <x:v>0</x:v>
      </x:c>
      <x:c r="AJ273" t="str">
        <x:f>IF(OR(AH273="",AI273=""),"",--(AH273&lt;&gt;AI273))</x:f>
      </x:c>
      <x:c r="AL273" t="str">
        <x:f>IF(OR(AH273="",AI273=""),"PENDING_HUMAN",IF(AH273=AI273,AH273,IF(AK273&lt;&gt;"",AK273,"PENDING_HUMAN")))</x:f>
        <x:v>PENDING_HUMAN</x:v>
      </x:c>
      <x:c r="AM273" t="n">
        <x:f>--AND(A273&lt;&gt;"",AH273&lt;&gt;"",AI273&lt;&gt;"",OR(AH273=AI273,AK273&lt;&gt;""))</x:f>
        <x:v>0</x:v>
      </x:c>
      <x:c r="AN273" t="n">
        <x:f>--AND(Y273&lt;&gt;"",COUNTIF($Y$4:Y273,Y273)=1)</x:f>
        <x:v>0</x:v>
      </x:c>
      <x:c r="AO273" t="n">
        <x:f>--AND(AN273=1,Z273=1,AM273=1)</x:f>
        <x:v>0</x:v>
      </x:c>
      <x:c r="AP273" t="n">
        <x:f>--AND(AO273=1,AA273=1,AL273=1)</x:f>
        <x:v>0</x:v>
      </x:c>
      <x:c r="AQ273" t="n">
        <x:f>--AND(AN273=1,Z273=1)</x:f>
        <x:v>0</x:v>
      </x:c>
      <x:c r="AR273" t="n">
        <x:f>--AND(AQ273=1,AA273=1)</x:f>
        <x:v>0</x:v>
      </x:c>
    </x:row>
    <x:row r="274">
      <x:c r="A274" s="28"/>
      <x:c r="B274" s="28"/>
      <x:c r="C274" s="28"/>
      <x:c r="D274" s="28"/>
      <x:c r="E274" s="28"/>
      <x:c r="F274" s="28"/>
      <x:c r="G274" s="28"/>
      <x:c r="H274" s="28"/>
      <x:c r="I274" s="28"/>
      <x:c r="J274" s="28"/>
      <x:c r="K274" s="28"/>
      <x:c r="L274" s="28"/>
      <x:c r="M274" s="28"/>
      <x:c r="N274" s="28"/>
      <x:c r="O274" s="28"/>
      <x:c r="P274" s="28"/>
      <x:c r="Q274" s="28"/>
      <x:c r="R274" s="28"/>
      <x:c r="S274" s="28"/>
      <x:c r="T274" s="28"/>
      <x:c r="U274" s="28"/>
      <x:c r="V274" s="28"/>
      <x:c r="W274" s="28"/>
      <x:c r="X274" s="43" t="n">
        <x:f>--AND(S274=1,T274=1,U274=1,V274=1,W274=1)</x:f>
        <x:v>0</x:v>
      </x:c>
      <x:c r="AE274" s="43" t="n">
        <x:f>--AND(S274=1,M274&lt;&gt;"",M274&lt;&gt;"keep")</x:f>
        <x:v>0</x:v>
      </x:c>
      <x:c r="AG274" t="n">
        <x:f>--AND(S274=1,T274=1,U274=1,V274=1,W274=1,AE274=1)</x:f>
        <x:v>0</x:v>
      </x:c>
      <x:c r="AJ274" t="str">
        <x:f>IF(OR(AH274="",AI274=""),"",--(AH274&lt;&gt;AI274))</x:f>
      </x:c>
      <x:c r="AL274" t="str">
        <x:f>IF(OR(AH274="",AI274=""),"PENDING_HUMAN",IF(AH274=AI274,AH274,IF(AK274&lt;&gt;"",AK274,"PENDING_HUMAN")))</x:f>
        <x:v>PENDING_HUMAN</x:v>
      </x:c>
      <x:c r="AM274" t="n">
        <x:f>--AND(A274&lt;&gt;"",AH274&lt;&gt;"",AI274&lt;&gt;"",OR(AH274=AI274,AK274&lt;&gt;""))</x:f>
        <x:v>0</x:v>
      </x:c>
      <x:c r="AN274" t="n">
        <x:f>--AND(Y274&lt;&gt;"",COUNTIF($Y$4:Y274,Y274)=1)</x:f>
        <x:v>0</x:v>
      </x:c>
      <x:c r="AO274" t="n">
        <x:f>--AND(AN274=1,Z274=1,AM274=1)</x:f>
        <x:v>0</x:v>
      </x:c>
      <x:c r="AP274" t="n">
        <x:f>--AND(AO274=1,AA274=1,AL274=1)</x:f>
        <x:v>0</x:v>
      </x:c>
      <x:c r="AQ274" t="n">
        <x:f>--AND(AN274=1,Z274=1)</x:f>
        <x:v>0</x:v>
      </x:c>
      <x:c r="AR274" t="n">
        <x:f>--AND(AQ274=1,AA274=1)</x:f>
        <x:v>0</x:v>
      </x:c>
    </x:row>
    <x:row r="275">
      <x:c r="A275" s="28"/>
      <x:c r="B275" s="28"/>
      <x:c r="C275" s="28"/>
      <x:c r="D275" s="28"/>
      <x:c r="E275" s="28"/>
      <x:c r="F275" s="28"/>
      <x:c r="G275" s="28"/>
      <x:c r="H275" s="28"/>
      <x:c r="I275" s="28"/>
      <x:c r="J275" s="28"/>
      <x:c r="K275" s="28"/>
      <x:c r="L275" s="28"/>
      <x:c r="M275" s="28"/>
      <x:c r="N275" s="28"/>
      <x:c r="O275" s="28"/>
      <x:c r="P275" s="28"/>
      <x:c r="Q275" s="28"/>
      <x:c r="R275" s="28"/>
      <x:c r="S275" s="28"/>
      <x:c r="T275" s="28"/>
      <x:c r="U275" s="28"/>
      <x:c r="V275" s="28"/>
      <x:c r="W275" s="28"/>
      <x:c r="X275" s="43" t="n">
        <x:f>--AND(S275=1,T275=1,U275=1,V275=1,W275=1)</x:f>
        <x:v>0</x:v>
      </x:c>
      <x:c r="AE275" s="43" t="n">
        <x:f>--AND(S275=1,M275&lt;&gt;"",M275&lt;&gt;"keep")</x:f>
        <x:v>0</x:v>
      </x:c>
      <x:c r="AG275" t="n">
        <x:f>--AND(S275=1,T275=1,U275=1,V275=1,W275=1,AE275=1)</x:f>
        <x:v>0</x:v>
      </x:c>
      <x:c r="AJ275" t="str">
        <x:f>IF(OR(AH275="",AI275=""),"",--(AH275&lt;&gt;AI275))</x:f>
      </x:c>
      <x:c r="AL275" t="str">
        <x:f>IF(OR(AH275="",AI275=""),"PENDING_HUMAN",IF(AH275=AI275,AH275,IF(AK275&lt;&gt;"",AK275,"PENDING_HUMAN")))</x:f>
        <x:v>PENDING_HUMAN</x:v>
      </x:c>
      <x:c r="AM275" t="n">
        <x:f>--AND(A275&lt;&gt;"",AH275&lt;&gt;"",AI275&lt;&gt;"",OR(AH275=AI275,AK275&lt;&gt;""))</x:f>
        <x:v>0</x:v>
      </x:c>
      <x:c r="AN275" t="n">
        <x:f>--AND(Y275&lt;&gt;"",COUNTIF($Y$4:Y275,Y275)=1)</x:f>
        <x:v>0</x:v>
      </x:c>
      <x:c r="AO275" t="n">
        <x:f>--AND(AN275=1,Z275=1,AM275=1)</x:f>
        <x:v>0</x:v>
      </x:c>
      <x:c r="AP275" t="n">
        <x:f>--AND(AO275=1,AA275=1,AL275=1)</x:f>
        <x:v>0</x:v>
      </x:c>
      <x:c r="AQ275" t="n">
        <x:f>--AND(AN275=1,Z275=1)</x:f>
        <x:v>0</x:v>
      </x:c>
      <x:c r="AR275" t="n">
        <x:f>--AND(AQ275=1,AA275=1)</x:f>
        <x:v>0</x:v>
      </x:c>
    </x:row>
    <x:row r="276">
      <x:c r="A276" s="28"/>
      <x:c r="B276" s="28"/>
      <x:c r="C276" s="28"/>
      <x:c r="D276" s="28"/>
      <x:c r="E276" s="28"/>
      <x:c r="F276" s="28"/>
      <x:c r="G276" s="28"/>
      <x:c r="H276" s="28"/>
      <x:c r="I276" s="28"/>
      <x:c r="J276" s="28"/>
      <x:c r="K276" s="28"/>
      <x:c r="L276" s="28"/>
      <x:c r="M276" s="28"/>
      <x:c r="N276" s="28"/>
      <x:c r="O276" s="28"/>
      <x:c r="P276" s="28"/>
      <x:c r="Q276" s="28"/>
      <x:c r="R276" s="28"/>
      <x:c r="S276" s="28"/>
      <x:c r="T276" s="28"/>
      <x:c r="U276" s="28"/>
      <x:c r="V276" s="28"/>
      <x:c r="W276" s="28"/>
      <x:c r="X276" s="43" t="n">
        <x:f>--AND(S276=1,T276=1,U276=1,V276=1,W276=1)</x:f>
        <x:v>0</x:v>
      </x:c>
      <x:c r="AE276" s="43" t="n">
        <x:f>--AND(S276=1,M276&lt;&gt;"",M276&lt;&gt;"keep")</x:f>
        <x:v>0</x:v>
      </x:c>
      <x:c r="AG276" t="n">
        <x:f>--AND(S276=1,T276=1,U276=1,V276=1,W276=1,AE276=1)</x:f>
        <x:v>0</x:v>
      </x:c>
      <x:c r="AJ276" t="str">
        <x:f>IF(OR(AH276="",AI276=""),"",--(AH276&lt;&gt;AI276))</x:f>
      </x:c>
      <x:c r="AL276" t="str">
        <x:f>IF(OR(AH276="",AI276=""),"PENDING_HUMAN",IF(AH276=AI276,AH276,IF(AK276&lt;&gt;"",AK276,"PENDING_HUMAN")))</x:f>
        <x:v>PENDING_HUMAN</x:v>
      </x:c>
      <x:c r="AM276" t="n">
        <x:f>--AND(A276&lt;&gt;"",AH276&lt;&gt;"",AI276&lt;&gt;"",OR(AH276=AI276,AK276&lt;&gt;""))</x:f>
        <x:v>0</x:v>
      </x:c>
      <x:c r="AN276" t="n">
        <x:f>--AND(Y276&lt;&gt;"",COUNTIF($Y$4:Y276,Y276)=1)</x:f>
        <x:v>0</x:v>
      </x:c>
      <x:c r="AO276" t="n">
        <x:f>--AND(AN276=1,Z276=1,AM276=1)</x:f>
        <x:v>0</x:v>
      </x:c>
      <x:c r="AP276" t="n">
        <x:f>--AND(AO276=1,AA276=1,AL276=1)</x:f>
        <x:v>0</x:v>
      </x:c>
      <x:c r="AQ276" t="n">
        <x:f>--AND(AN276=1,Z276=1)</x:f>
        <x:v>0</x:v>
      </x:c>
      <x:c r="AR276" t="n">
        <x:f>--AND(AQ276=1,AA276=1)</x:f>
        <x:v>0</x:v>
      </x:c>
    </x:row>
    <x:row r="277">
      <x:c r="A277" s="28"/>
      <x:c r="B277" s="28"/>
      <x:c r="C277" s="28"/>
      <x:c r="D277" s="28"/>
      <x:c r="E277" s="28"/>
      <x:c r="F277" s="28"/>
      <x:c r="G277" s="28"/>
      <x:c r="H277" s="28"/>
      <x:c r="I277" s="28"/>
      <x:c r="J277" s="28"/>
      <x:c r="K277" s="28"/>
      <x:c r="L277" s="28"/>
      <x:c r="M277" s="28"/>
      <x:c r="N277" s="28"/>
      <x:c r="O277" s="28"/>
      <x:c r="P277" s="28"/>
      <x:c r="Q277" s="28"/>
      <x:c r="R277" s="28"/>
      <x:c r="S277" s="28"/>
      <x:c r="T277" s="28"/>
      <x:c r="U277" s="28"/>
      <x:c r="V277" s="28"/>
      <x:c r="W277" s="28"/>
      <x:c r="X277" s="43" t="n">
        <x:f>--AND(S277=1,T277=1,U277=1,V277=1,W277=1)</x:f>
        <x:v>0</x:v>
      </x:c>
      <x:c r="AE277" s="43" t="n">
        <x:f>--AND(S277=1,M277&lt;&gt;"",M277&lt;&gt;"keep")</x:f>
        <x:v>0</x:v>
      </x:c>
      <x:c r="AG277" t="n">
        <x:f>--AND(S277=1,T277=1,U277=1,V277=1,W277=1,AE277=1)</x:f>
        <x:v>0</x:v>
      </x:c>
      <x:c r="AJ277" t="str">
        <x:f>IF(OR(AH277="",AI277=""),"",--(AH277&lt;&gt;AI277))</x:f>
      </x:c>
      <x:c r="AL277" t="str">
        <x:f>IF(OR(AH277="",AI277=""),"PENDING_HUMAN",IF(AH277=AI277,AH277,IF(AK277&lt;&gt;"",AK277,"PENDING_HUMAN")))</x:f>
        <x:v>PENDING_HUMAN</x:v>
      </x:c>
      <x:c r="AM277" t="n">
        <x:f>--AND(A277&lt;&gt;"",AH277&lt;&gt;"",AI277&lt;&gt;"",OR(AH277=AI277,AK277&lt;&gt;""))</x:f>
        <x:v>0</x:v>
      </x:c>
      <x:c r="AN277" t="n">
        <x:f>--AND(Y277&lt;&gt;"",COUNTIF($Y$4:Y277,Y277)=1)</x:f>
        <x:v>0</x:v>
      </x:c>
      <x:c r="AO277" t="n">
        <x:f>--AND(AN277=1,Z277=1,AM277=1)</x:f>
        <x:v>0</x:v>
      </x:c>
      <x:c r="AP277" t="n">
        <x:f>--AND(AO277=1,AA277=1,AL277=1)</x:f>
        <x:v>0</x:v>
      </x:c>
      <x:c r="AQ277" t="n">
        <x:f>--AND(AN277=1,Z277=1)</x:f>
        <x:v>0</x:v>
      </x:c>
      <x:c r="AR277" t="n">
        <x:f>--AND(AQ277=1,AA277=1)</x:f>
        <x:v>0</x:v>
      </x:c>
    </x:row>
    <x:row r="278">
      <x:c r="A278" s="28"/>
      <x:c r="B278" s="28"/>
      <x:c r="C278" s="28"/>
      <x:c r="D278" s="28"/>
      <x:c r="E278" s="28"/>
      <x:c r="F278" s="28"/>
      <x:c r="G278" s="28"/>
      <x:c r="H278" s="28"/>
      <x:c r="I278" s="28"/>
      <x:c r="J278" s="28"/>
      <x:c r="K278" s="28"/>
      <x:c r="L278" s="28"/>
      <x:c r="M278" s="28"/>
      <x:c r="N278" s="28"/>
      <x:c r="O278" s="28"/>
      <x:c r="P278" s="28"/>
      <x:c r="Q278" s="28"/>
      <x:c r="R278" s="28"/>
      <x:c r="S278" s="28"/>
      <x:c r="T278" s="28"/>
      <x:c r="U278" s="28"/>
      <x:c r="V278" s="28"/>
      <x:c r="W278" s="28"/>
      <x:c r="X278" s="43" t="n">
        <x:f>--AND(S278=1,T278=1,U278=1,V278=1,W278=1)</x:f>
        <x:v>0</x:v>
      </x:c>
      <x:c r="AE278" s="43" t="n">
        <x:f>--AND(S278=1,M278&lt;&gt;"",M278&lt;&gt;"keep")</x:f>
        <x:v>0</x:v>
      </x:c>
      <x:c r="AG278" t="n">
        <x:f>--AND(S278=1,T278=1,U278=1,V278=1,W278=1,AE278=1)</x:f>
        <x:v>0</x:v>
      </x:c>
      <x:c r="AJ278" t="str">
        <x:f>IF(OR(AH278="",AI278=""),"",--(AH278&lt;&gt;AI278))</x:f>
      </x:c>
      <x:c r="AL278" t="str">
        <x:f>IF(OR(AH278="",AI278=""),"PENDING_HUMAN",IF(AH278=AI278,AH278,IF(AK278&lt;&gt;"",AK278,"PENDING_HUMAN")))</x:f>
        <x:v>PENDING_HUMAN</x:v>
      </x:c>
      <x:c r="AM278" t="n">
        <x:f>--AND(A278&lt;&gt;"",AH278&lt;&gt;"",AI278&lt;&gt;"",OR(AH278=AI278,AK278&lt;&gt;""))</x:f>
        <x:v>0</x:v>
      </x:c>
      <x:c r="AN278" t="n">
        <x:f>--AND(Y278&lt;&gt;"",COUNTIF($Y$4:Y278,Y278)=1)</x:f>
        <x:v>0</x:v>
      </x:c>
      <x:c r="AO278" t="n">
        <x:f>--AND(AN278=1,Z278=1,AM278=1)</x:f>
        <x:v>0</x:v>
      </x:c>
      <x:c r="AP278" t="n">
        <x:f>--AND(AO278=1,AA278=1,AL278=1)</x:f>
        <x:v>0</x:v>
      </x:c>
      <x:c r="AQ278" t="n">
        <x:f>--AND(AN278=1,Z278=1)</x:f>
        <x:v>0</x:v>
      </x:c>
      <x:c r="AR278" t="n">
        <x:f>--AND(AQ278=1,AA278=1)</x:f>
        <x:v>0</x:v>
      </x:c>
    </x:row>
    <x:row r="279">
      <x:c r="A279" s="28"/>
      <x:c r="B279" s="28"/>
      <x:c r="C279" s="28"/>
      <x:c r="D279" s="28"/>
      <x:c r="E279" s="28"/>
      <x:c r="F279" s="28"/>
      <x:c r="G279" s="28"/>
      <x:c r="H279" s="28"/>
      <x:c r="I279" s="28"/>
      <x:c r="J279" s="28"/>
      <x:c r="K279" s="28"/>
      <x:c r="L279" s="28"/>
      <x:c r="M279" s="28"/>
      <x:c r="N279" s="28"/>
      <x:c r="O279" s="28"/>
      <x:c r="P279" s="28"/>
      <x:c r="Q279" s="28"/>
      <x:c r="R279" s="28"/>
      <x:c r="S279" s="28"/>
      <x:c r="T279" s="28"/>
      <x:c r="U279" s="28"/>
      <x:c r="V279" s="28"/>
      <x:c r="W279" s="28"/>
      <x:c r="X279" s="43" t="n">
        <x:f>--AND(S279=1,T279=1,U279=1,V279=1,W279=1)</x:f>
        <x:v>0</x:v>
      </x:c>
      <x:c r="AE279" s="43" t="n">
        <x:f>--AND(S279=1,M279&lt;&gt;"",M279&lt;&gt;"keep")</x:f>
        <x:v>0</x:v>
      </x:c>
      <x:c r="AG279" t="n">
        <x:f>--AND(S279=1,T279=1,U279=1,V279=1,W279=1,AE279=1)</x:f>
        <x:v>0</x:v>
      </x:c>
      <x:c r="AJ279" t="str">
        <x:f>IF(OR(AH279="",AI279=""),"",--(AH279&lt;&gt;AI279))</x:f>
      </x:c>
      <x:c r="AL279" t="str">
        <x:f>IF(OR(AH279="",AI279=""),"PENDING_HUMAN",IF(AH279=AI279,AH279,IF(AK279&lt;&gt;"",AK279,"PENDING_HUMAN")))</x:f>
        <x:v>PENDING_HUMAN</x:v>
      </x:c>
      <x:c r="AM279" t="n">
        <x:f>--AND(A279&lt;&gt;"",AH279&lt;&gt;"",AI279&lt;&gt;"",OR(AH279=AI279,AK279&lt;&gt;""))</x:f>
        <x:v>0</x:v>
      </x:c>
      <x:c r="AN279" t="n">
        <x:f>--AND(Y279&lt;&gt;"",COUNTIF($Y$4:Y279,Y279)=1)</x:f>
        <x:v>0</x:v>
      </x:c>
      <x:c r="AO279" t="n">
        <x:f>--AND(AN279=1,Z279=1,AM279=1)</x:f>
        <x:v>0</x:v>
      </x:c>
      <x:c r="AP279" t="n">
        <x:f>--AND(AO279=1,AA279=1,AL279=1)</x:f>
        <x:v>0</x:v>
      </x:c>
      <x:c r="AQ279" t="n">
        <x:f>--AND(AN279=1,Z279=1)</x:f>
        <x:v>0</x:v>
      </x:c>
      <x:c r="AR279" t="n">
        <x:f>--AND(AQ279=1,AA279=1)</x:f>
        <x:v>0</x:v>
      </x:c>
    </x:row>
    <x:row r="280">
      <x:c r="A280" s="28"/>
      <x:c r="B280" s="28"/>
      <x:c r="C280" s="28"/>
      <x:c r="D280" s="28"/>
      <x:c r="E280" s="28"/>
      <x:c r="F280" s="28"/>
      <x:c r="G280" s="28"/>
      <x:c r="H280" s="28"/>
      <x:c r="I280" s="28"/>
      <x:c r="J280" s="28"/>
      <x:c r="K280" s="28"/>
      <x:c r="L280" s="28"/>
      <x:c r="M280" s="28"/>
      <x:c r="N280" s="28"/>
      <x:c r="O280" s="28"/>
      <x:c r="P280" s="28"/>
      <x:c r="Q280" s="28"/>
      <x:c r="R280" s="28"/>
      <x:c r="S280" s="28"/>
      <x:c r="T280" s="28"/>
      <x:c r="U280" s="28"/>
      <x:c r="V280" s="28"/>
      <x:c r="W280" s="28"/>
      <x:c r="X280" s="43" t="n">
        <x:f>--AND(S280=1,T280=1,U280=1,V280=1,W280=1)</x:f>
        <x:v>0</x:v>
      </x:c>
      <x:c r="AE280" s="43" t="n">
        <x:f>--AND(S280=1,M280&lt;&gt;"",M280&lt;&gt;"keep")</x:f>
        <x:v>0</x:v>
      </x:c>
      <x:c r="AG280" t="n">
        <x:f>--AND(S280=1,T280=1,U280=1,V280=1,W280=1,AE280=1)</x:f>
        <x:v>0</x:v>
      </x:c>
      <x:c r="AJ280" t="str">
        <x:f>IF(OR(AH280="",AI280=""),"",--(AH280&lt;&gt;AI280))</x:f>
      </x:c>
      <x:c r="AL280" t="str">
        <x:f>IF(OR(AH280="",AI280=""),"PENDING_HUMAN",IF(AH280=AI280,AH280,IF(AK280&lt;&gt;"",AK280,"PENDING_HUMAN")))</x:f>
        <x:v>PENDING_HUMAN</x:v>
      </x:c>
      <x:c r="AM280" t="n">
        <x:f>--AND(A280&lt;&gt;"",AH280&lt;&gt;"",AI280&lt;&gt;"",OR(AH280=AI280,AK280&lt;&gt;""))</x:f>
        <x:v>0</x:v>
      </x:c>
      <x:c r="AN280" t="n">
        <x:f>--AND(Y280&lt;&gt;"",COUNTIF($Y$4:Y280,Y280)=1)</x:f>
        <x:v>0</x:v>
      </x:c>
      <x:c r="AO280" t="n">
        <x:f>--AND(AN280=1,Z280=1,AM280=1)</x:f>
        <x:v>0</x:v>
      </x:c>
      <x:c r="AP280" t="n">
        <x:f>--AND(AO280=1,AA280=1,AL280=1)</x:f>
        <x:v>0</x:v>
      </x:c>
      <x:c r="AQ280" t="n">
        <x:f>--AND(AN280=1,Z280=1)</x:f>
        <x:v>0</x:v>
      </x:c>
      <x:c r="AR280" t="n">
        <x:f>--AND(AQ280=1,AA280=1)</x:f>
        <x:v>0</x:v>
      </x:c>
    </x:row>
    <x:row r="281">
      <x:c r="A281" s="28"/>
      <x:c r="B281" s="28"/>
      <x:c r="C281" s="28"/>
      <x:c r="D281" s="28"/>
      <x:c r="E281" s="28"/>
      <x:c r="F281" s="28"/>
      <x:c r="G281" s="28"/>
      <x:c r="H281" s="28"/>
      <x:c r="I281" s="28"/>
      <x:c r="J281" s="28"/>
      <x:c r="K281" s="28"/>
      <x:c r="L281" s="28"/>
      <x:c r="M281" s="28"/>
      <x:c r="N281" s="28"/>
      <x:c r="O281" s="28"/>
      <x:c r="P281" s="28"/>
      <x:c r="Q281" s="28"/>
      <x:c r="R281" s="28"/>
      <x:c r="S281" s="28"/>
      <x:c r="T281" s="28"/>
      <x:c r="U281" s="28"/>
      <x:c r="V281" s="28"/>
      <x:c r="W281" s="28"/>
      <x:c r="X281" s="43" t="n">
        <x:f>--AND(S281=1,T281=1,U281=1,V281=1,W281=1)</x:f>
        <x:v>0</x:v>
      </x:c>
      <x:c r="AE281" s="43" t="n">
        <x:f>--AND(S281=1,M281&lt;&gt;"",M281&lt;&gt;"keep")</x:f>
        <x:v>0</x:v>
      </x:c>
      <x:c r="AG281" t="n">
        <x:f>--AND(S281=1,T281=1,U281=1,V281=1,W281=1,AE281=1)</x:f>
        <x:v>0</x:v>
      </x:c>
      <x:c r="AJ281" t="str">
        <x:f>IF(OR(AH281="",AI281=""),"",--(AH281&lt;&gt;AI281))</x:f>
      </x:c>
      <x:c r="AL281" t="str">
        <x:f>IF(OR(AH281="",AI281=""),"PENDING_HUMAN",IF(AH281=AI281,AH281,IF(AK281&lt;&gt;"",AK281,"PENDING_HUMAN")))</x:f>
        <x:v>PENDING_HUMAN</x:v>
      </x:c>
      <x:c r="AM281" t="n">
        <x:f>--AND(A281&lt;&gt;"",AH281&lt;&gt;"",AI281&lt;&gt;"",OR(AH281=AI281,AK281&lt;&gt;""))</x:f>
        <x:v>0</x:v>
      </x:c>
      <x:c r="AN281" t="n">
        <x:f>--AND(Y281&lt;&gt;"",COUNTIF($Y$4:Y281,Y281)=1)</x:f>
        <x:v>0</x:v>
      </x:c>
      <x:c r="AO281" t="n">
        <x:f>--AND(AN281=1,Z281=1,AM281=1)</x:f>
        <x:v>0</x:v>
      </x:c>
      <x:c r="AP281" t="n">
        <x:f>--AND(AO281=1,AA281=1,AL281=1)</x:f>
        <x:v>0</x:v>
      </x:c>
      <x:c r="AQ281" t="n">
        <x:f>--AND(AN281=1,Z281=1)</x:f>
        <x:v>0</x:v>
      </x:c>
      <x:c r="AR281" t="n">
        <x:f>--AND(AQ281=1,AA281=1)</x:f>
        <x:v>0</x:v>
      </x:c>
    </x:row>
    <x:row r="282">
      <x:c r="A282" s="28"/>
      <x:c r="B282" s="28"/>
      <x:c r="C282" s="28"/>
      <x:c r="D282" s="28"/>
      <x:c r="E282" s="28"/>
      <x:c r="F282" s="28"/>
      <x:c r="G282" s="28"/>
      <x:c r="H282" s="28"/>
      <x:c r="I282" s="28"/>
      <x:c r="J282" s="28"/>
      <x:c r="K282" s="28"/>
      <x:c r="L282" s="28"/>
      <x:c r="M282" s="28"/>
      <x:c r="N282" s="28"/>
      <x:c r="O282" s="28"/>
      <x:c r="P282" s="28"/>
      <x:c r="Q282" s="28"/>
      <x:c r="R282" s="28"/>
      <x:c r="S282" s="28"/>
      <x:c r="T282" s="28"/>
      <x:c r="U282" s="28"/>
      <x:c r="V282" s="28"/>
      <x:c r="W282" s="28"/>
      <x:c r="X282" s="43" t="n">
        <x:f>--AND(S282=1,T282=1,U282=1,V282=1,W282=1)</x:f>
        <x:v>0</x:v>
      </x:c>
      <x:c r="AE282" s="43" t="n">
        <x:f>--AND(S282=1,M282&lt;&gt;"",M282&lt;&gt;"keep")</x:f>
        <x:v>0</x:v>
      </x:c>
      <x:c r="AG282" t="n">
        <x:f>--AND(S282=1,T282=1,U282=1,V282=1,W282=1,AE282=1)</x:f>
        <x:v>0</x:v>
      </x:c>
      <x:c r="AJ282" t="str">
        <x:f>IF(OR(AH282="",AI282=""),"",--(AH282&lt;&gt;AI282))</x:f>
      </x:c>
      <x:c r="AL282" t="str">
        <x:f>IF(OR(AH282="",AI282=""),"PENDING_HUMAN",IF(AH282=AI282,AH282,IF(AK282&lt;&gt;"",AK282,"PENDING_HUMAN")))</x:f>
        <x:v>PENDING_HUMAN</x:v>
      </x:c>
      <x:c r="AM282" t="n">
        <x:f>--AND(A282&lt;&gt;"",AH282&lt;&gt;"",AI282&lt;&gt;"",OR(AH282=AI282,AK282&lt;&gt;""))</x:f>
        <x:v>0</x:v>
      </x:c>
      <x:c r="AN282" t="n">
        <x:f>--AND(Y282&lt;&gt;"",COUNTIF($Y$4:Y282,Y282)=1)</x:f>
        <x:v>0</x:v>
      </x:c>
      <x:c r="AO282" t="n">
        <x:f>--AND(AN282=1,Z282=1,AM282=1)</x:f>
        <x:v>0</x:v>
      </x:c>
      <x:c r="AP282" t="n">
        <x:f>--AND(AO282=1,AA282=1,AL282=1)</x:f>
        <x:v>0</x:v>
      </x:c>
      <x:c r="AQ282" t="n">
        <x:f>--AND(AN282=1,Z282=1)</x:f>
        <x:v>0</x:v>
      </x:c>
      <x:c r="AR282" t="n">
        <x:f>--AND(AQ282=1,AA282=1)</x:f>
        <x:v>0</x:v>
      </x:c>
    </x:row>
    <x:row r="283">
      <x:c r="A283" s="28"/>
      <x:c r="B283" s="28"/>
      <x:c r="C283" s="28"/>
      <x:c r="D283" s="28"/>
      <x:c r="E283" s="28"/>
      <x:c r="F283" s="28"/>
      <x:c r="G283" s="28"/>
      <x:c r="H283" s="28"/>
      <x:c r="I283" s="28"/>
      <x:c r="J283" s="28"/>
      <x:c r="K283" s="28"/>
      <x:c r="L283" s="28"/>
      <x:c r="M283" s="28"/>
      <x:c r="N283" s="28"/>
      <x:c r="O283" s="28"/>
      <x:c r="P283" s="28"/>
      <x:c r="Q283" s="28"/>
      <x:c r="R283" s="28"/>
      <x:c r="S283" s="28"/>
      <x:c r="T283" s="28"/>
      <x:c r="U283" s="28"/>
      <x:c r="V283" s="28"/>
      <x:c r="W283" s="28"/>
      <x:c r="X283" s="43" t="n">
        <x:f>--AND(S283=1,T283=1,U283=1,V283=1,W283=1)</x:f>
        <x:v>0</x:v>
      </x:c>
      <x:c r="AE283" s="43" t="n">
        <x:f>--AND(S283=1,M283&lt;&gt;"",M283&lt;&gt;"keep")</x:f>
        <x:v>0</x:v>
      </x:c>
      <x:c r="AG283" t="n">
        <x:f>--AND(S283=1,T283=1,U283=1,V283=1,W283=1,AE283=1)</x:f>
        <x:v>0</x:v>
      </x:c>
      <x:c r="AJ283" t="str">
        <x:f>IF(OR(AH283="",AI283=""),"",--(AH283&lt;&gt;AI283))</x:f>
      </x:c>
      <x:c r="AL283" t="str">
        <x:f>IF(OR(AH283="",AI283=""),"PENDING_HUMAN",IF(AH283=AI283,AH283,IF(AK283&lt;&gt;"",AK283,"PENDING_HUMAN")))</x:f>
        <x:v>PENDING_HUMAN</x:v>
      </x:c>
      <x:c r="AM283" t="n">
        <x:f>--AND(A283&lt;&gt;"",AH283&lt;&gt;"",AI283&lt;&gt;"",OR(AH283=AI283,AK283&lt;&gt;""))</x:f>
        <x:v>0</x:v>
      </x:c>
      <x:c r="AN283" t="n">
        <x:f>--AND(Y283&lt;&gt;"",COUNTIF($Y$4:Y283,Y283)=1)</x:f>
        <x:v>0</x:v>
      </x:c>
      <x:c r="AO283" t="n">
        <x:f>--AND(AN283=1,Z283=1,AM283=1)</x:f>
        <x:v>0</x:v>
      </x:c>
      <x:c r="AP283" t="n">
        <x:f>--AND(AO283=1,AA283=1,AL283=1)</x:f>
        <x:v>0</x:v>
      </x:c>
      <x:c r="AQ283" t="n">
        <x:f>--AND(AN283=1,Z283=1)</x:f>
        <x:v>0</x:v>
      </x:c>
      <x:c r="AR283" t="n">
        <x:f>--AND(AQ283=1,AA283=1)</x:f>
        <x:v>0</x:v>
      </x:c>
    </x:row>
    <x:row r="284">
      <x:c r="A284" s="28"/>
      <x:c r="B284" s="28"/>
      <x:c r="C284" s="28"/>
      <x:c r="D284" s="28"/>
      <x:c r="E284" s="28"/>
      <x:c r="F284" s="28"/>
      <x:c r="G284" s="28"/>
      <x:c r="H284" s="28"/>
      <x:c r="I284" s="28"/>
      <x:c r="J284" s="28"/>
      <x:c r="K284" s="28"/>
      <x:c r="L284" s="28"/>
      <x:c r="M284" s="28"/>
      <x:c r="N284" s="28"/>
      <x:c r="O284" s="28"/>
      <x:c r="P284" s="28"/>
      <x:c r="Q284" s="28"/>
      <x:c r="R284" s="28"/>
      <x:c r="S284" s="28"/>
      <x:c r="T284" s="28"/>
      <x:c r="U284" s="28"/>
      <x:c r="V284" s="28"/>
      <x:c r="W284" s="28"/>
      <x:c r="X284" s="43" t="n">
        <x:f>--AND(S284=1,T284=1,U284=1,V284=1,W284=1)</x:f>
        <x:v>0</x:v>
      </x:c>
      <x:c r="AE284" s="43" t="n">
        <x:f>--AND(S284=1,M284&lt;&gt;"",M284&lt;&gt;"keep")</x:f>
        <x:v>0</x:v>
      </x:c>
      <x:c r="AG284" t="n">
        <x:f>--AND(S284=1,T284=1,U284=1,V284=1,W284=1,AE284=1)</x:f>
        <x:v>0</x:v>
      </x:c>
      <x:c r="AJ284" t="str">
        <x:f>IF(OR(AH284="",AI284=""),"",--(AH284&lt;&gt;AI284))</x:f>
      </x:c>
      <x:c r="AL284" t="str">
        <x:f>IF(OR(AH284="",AI284=""),"PENDING_HUMAN",IF(AH284=AI284,AH284,IF(AK284&lt;&gt;"",AK284,"PENDING_HUMAN")))</x:f>
        <x:v>PENDING_HUMAN</x:v>
      </x:c>
      <x:c r="AM284" t="n">
        <x:f>--AND(A284&lt;&gt;"",AH284&lt;&gt;"",AI284&lt;&gt;"",OR(AH284=AI284,AK284&lt;&gt;""))</x:f>
        <x:v>0</x:v>
      </x:c>
      <x:c r="AN284" t="n">
        <x:f>--AND(Y284&lt;&gt;"",COUNTIF($Y$4:Y284,Y284)=1)</x:f>
        <x:v>0</x:v>
      </x:c>
      <x:c r="AO284" t="n">
        <x:f>--AND(AN284=1,Z284=1,AM284=1)</x:f>
        <x:v>0</x:v>
      </x:c>
      <x:c r="AP284" t="n">
        <x:f>--AND(AO284=1,AA284=1,AL284=1)</x:f>
        <x:v>0</x:v>
      </x:c>
      <x:c r="AQ284" t="n">
        <x:f>--AND(AN284=1,Z284=1)</x:f>
        <x:v>0</x:v>
      </x:c>
      <x:c r="AR284" t="n">
        <x:f>--AND(AQ284=1,AA284=1)</x:f>
        <x:v>0</x:v>
      </x:c>
    </x:row>
    <x:row r="285">
      <x:c r="A285" s="28"/>
      <x:c r="B285" s="28"/>
      <x:c r="C285" s="28"/>
      <x:c r="D285" s="28"/>
      <x:c r="E285" s="28"/>
      <x:c r="F285" s="28"/>
      <x:c r="G285" s="28"/>
      <x:c r="H285" s="28"/>
      <x:c r="I285" s="28"/>
      <x:c r="J285" s="28"/>
      <x:c r="K285" s="28"/>
      <x:c r="L285" s="28"/>
      <x:c r="M285" s="28"/>
      <x:c r="N285" s="28"/>
      <x:c r="O285" s="28"/>
      <x:c r="P285" s="28"/>
      <x:c r="Q285" s="28"/>
      <x:c r="R285" s="28"/>
      <x:c r="S285" s="28"/>
      <x:c r="T285" s="28"/>
      <x:c r="U285" s="28"/>
      <x:c r="V285" s="28"/>
      <x:c r="W285" s="28"/>
      <x:c r="X285" s="43" t="n">
        <x:f>--AND(S285=1,T285=1,U285=1,V285=1,W285=1)</x:f>
        <x:v>0</x:v>
      </x:c>
      <x:c r="AE285" s="43" t="n">
        <x:f>--AND(S285=1,M285&lt;&gt;"",M285&lt;&gt;"keep")</x:f>
        <x:v>0</x:v>
      </x:c>
      <x:c r="AG285" t="n">
        <x:f>--AND(S285=1,T285=1,U285=1,V285=1,W285=1,AE285=1)</x:f>
        <x:v>0</x:v>
      </x:c>
      <x:c r="AJ285" t="str">
        <x:f>IF(OR(AH285="",AI285=""),"",--(AH285&lt;&gt;AI285))</x:f>
      </x:c>
      <x:c r="AL285" t="str">
        <x:f>IF(OR(AH285="",AI285=""),"PENDING_HUMAN",IF(AH285=AI285,AH285,IF(AK285&lt;&gt;"",AK285,"PENDING_HUMAN")))</x:f>
        <x:v>PENDING_HUMAN</x:v>
      </x:c>
      <x:c r="AM285" t="n">
        <x:f>--AND(A285&lt;&gt;"",AH285&lt;&gt;"",AI285&lt;&gt;"",OR(AH285=AI285,AK285&lt;&gt;""))</x:f>
        <x:v>0</x:v>
      </x:c>
      <x:c r="AN285" t="n">
        <x:f>--AND(Y285&lt;&gt;"",COUNTIF($Y$4:Y285,Y285)=1)</x:f>
        <x:v>0</x:v>
      </x:c>
      <x:c r="AO285" t="n">
        <x:f>--AND(AN285=1,Z285=1,AM285=1)</x:f>
        <x:v>0</x:v>
      </x:c>
      <x:c r="AP285" t="n">
        <x:f>--AND(AO285=1,AA285=1,AL285=1)</x:f>
        <x:v>0</x:v>
      </x:c>
      <x:c r="AQ285" t="n">
        <x:f>--AND(AN285=1,Z285=1)</x:f>
        <x:v>0</x:v>
      </x:c>
      <x:c r="AR285" t="n">
        <x:f>--AND(AQ285=1,AA285=1)</x:f>
        <x:v>0</x:v>
      </x:c>
    </x:row>
    <x:row r="286">
      <x:c r="A286" s="28"/>
      <x:c r="B286" s="28"/>
      <x:c r="C286" s="28"/>
      <x:c r="D286" s="28"/>
      <x:c r="E286" s="28"/>
      <x:c r="F286" s="28"/>
      <x:c r="G286" s="28"/>
      <x:c r="H286" s="28"/>
      <x:c r="I286" s="28"/>
      <x:c r="J286" s="28"/>
      <x:c r="K286" s="28"/>
      <x:c r="L286" s="28"/>
      <x:c r="M286" s="28"/>
      <x:c r="N286" s="28"/>
      <x:c r="O286" s="28"/>
      <x:c r="P286" s="28"/>
      <x:c r="Q286" s="28"/>
      <x:c r="R286" s="28"/>
      <x:c r="S286" s="28"/>
      <x:c r="T286" s="28"/>
      <x:c r="U286" s="28"/>
      <x:c r="V286" s="28"/>
      <x:c r="W286" s="28"/>
      <x:c r="X286" s="43" t="n">
        <x:f>--AND(S286=1,T286=1,U286=1,V286=1,W286=1)</x:f>
        <x:v>0</x:v>
      </x:c>
      <x:c r="AE286" s="43" t="n">
        <x:f>--AND(S286=1,M286&lt;&gt;"",M286&lt;&gt;"keep")</x:f>
        <x:v>0</x:v>
      </x:c>
      <x:c r="AG286" t="n">
        <x:f>--AND(S286=1,T286=1,U286=1,V286=1,W286=1,AE286=1)</x:f>
        <x:v>0</x:v>
      </x:c>
      <x:c r="AJ286" t="str">
        <x:f>IF(OR(AH286="",AI286=""),"",--(AH286&lt;&gt;AI286))</x:f>
      </x:c>
      <x:c r="AL286" t="str">
        <x:f>IF(OR(AH286="",AI286=""),"PENDING_HUMAN",IF(AH286=AI286,AH286,IF(AK286&lt;&gt;"",AK286,"PENDING_HUMAN")))</x:f>
        <x:v>PENDING_HUMAN</x:v>
      </x:c>
      <x:c r="AM286" t="n">
        <x:f>--AND(A286&lt;&gt;"",AH286&lt;&gt;"",AI286&lt;&gt;"",OR(AH286=AI286,AK286&lt;&gt;""))</x:f>
        <x:v>0</x:v>
      </x:c>
      <x:c r="AN286" t="n">
        <x:f>--AND(Y286&lt;&gt;"",COUNTIF($Y$4:Y286,Y286)=1)</x:f>
        <x:v>0</x:v>
      </x:c>
      <x:c r="AO286" t="n">
        <x:f>--AND(AN286=1,Z286=1,AM286=1)</x:f>
        <x:v>0</x:v>
      </x:c>
      <x:c r="AP286" t="n">
        <x:f>--AND(AO286=1,AA286=1,AL286=1)</x:f>
        <x:v>0</x:v>
      </x:c>
      <x:c r="AQ286" t="n">
        <x:f>--AND(AN286=1,Z286=1)</x:f>
        <x:v>0</x:v>
      </x:c>
      <x:c r="AR286" t="n">
        <x:f>--AND(AQ286=1,AA286=1)</x:f>
        <x:v>0</x:v>
      </x:c>
    </x:row>
    <x:row r="287">
      <x:c r="A287" s="28"/>
      <x:c r="B287" s="28"/>
      <x:c r="C287" s="28"/>
      <x:c r="D287" s="28"/>
      <x:c r="E287" s="28"/>
      <x:c r="F287" s="28"/>
      <x:c r="G287" s="28"/>
      <x:c r="H287" s="28"/>
      <x:c r="I287" s="28"/>
      <x:c r="J287" s="28"/>
      <x:c r="K287" s="28"/>
      <x:c r="L287" s="28"/>
      <x:c r="M287" s="28"/>
      <x:c r="N287" s="28"/>
      <x:c r="O287" s="28"/>
      <x:c r="P287" s="28"/>
      <x:c r="Q287" s="28"/>
      <x:c r="R287" s="28"/>
      <x:c r="S287" s="28"/>
      <x:c r="T287" s="28"/>
      <x:c r="U287" s="28"/>
      <x:c r="V287" s="28"/>
      <x:c r="W287" s="28"/>
      <x:c r="X287" s="43" t="n">
        <x:f>--AND(S287=1,T287=1,U287=1,V287=1,W287=1)</x:f>
        <x:v>0</x:v>
      </x:c>
      <x:c r="AE287" s="43" t="n">
        <x:f>--AND(S287=1,M287&lt;&gt;"",M287&lt;&gt;"keep")</x:f>
        <x:v>0</x:v>
      </x:c>
      <x:c r="AG287" t="n">
        <x:f>--AND(S287=1,T287=1,U287=1,V287=1,W287=1,AE287=1)</x:f>
        <x:v>0</x:v>
      </x:c>
      <x:c r="AJ287" t="str">
        <x:f>IF(OR(AH287="",AI287=""),"",--(AH287&lt;&gt;AI287))</x:f>
      </x:c>
      <x:c r="AL287" t="str">
        <x:f>IF(OR(AH287="",AI287=""),"PENDING_HUMAN",IF(AH287=AI287,AH287,IF(AK287&lt;&gt;"",AK287,"PENDING_HUMAN")))</x:f>
        <x:v>PENDING_HUMAN</x:v>
      </x:c>
      <x:c r="AM287" t="n">
        <x:f>--AND(A287&lt;&gt;"",AH287&lt;&gt;"",AI287&lt;&gt;"",OR(AH287=AI287,AK287&lt;&gt;""))</x:f>
        <x:v>0</x:v>
      </x:c>
      <x:c r="AN287" t="n">
        <x:f>--AND(Y287&lt;&gt;"",COUNTIF($Y$4:Y287,Y287)=1)</x:f>
        <x:v>0</x:v>
      </x:c>
      <x:c r="AO287" t="n">
        <x:f>--AND(AN287=1,Z287=1,AM287=1)</x:f>
        <x:v>0</x:v>
      </x:c>
      <x:c r="AP287" t="n">
        <x:f>--AND(AO287=1,AA287=1,AL287=1)</x:f>
        <x:v>0</x:v>
      </x:c>
      <x:c r="AQ287" t="n">
        <x:f>--AND(AN287=1,Z287=1)</x:f>
        <x:v>0</x:v>
      </x:c>
      <x:c r="AR287" t="n">
        <x:f>--AND(AQ287=1,AA287=1)</x:f>
        <x:v>0</x:v>
      </x:c>
    </x:row>
    <x:row r="288">
      <x:c r="A288" s="28"/>
      <x:c r="B288" s="28"/>
      <x:c r="C288" s="28"/>
      <x:c r="D288" s="28"/>
      <x:c r="E288" s="28"/>
      <x:c r="F288" s="28"/>
      <x:c r="G288" s="28"/>
      <x:c r="H288" s="28"/>
      <x:c r="I288" s="28"/>
      <x:c r="J288" s="28"/>
      <x:c r="K288" s="28"/>
      <x:c r="L288" s="28"/>
      <x:c r="M288" s="28"/>
      <x:c r="N288" s="28"/>
      <x:c r="O288" s="28"/>
      <x:c r="P288" s="28"/>
      <x:c r="Q288" s="28"/>
      <x:c r="R288" s="28"/>
      <x:c r="S288" s="28"/>
      <x:c r="T288" s="28"/>
      <x:c r="U288" s="28"/>
      <x:c r="V288" s="28"/>
      <x:c r="W288" s="28"/>
      <x:c r="X288" s="43" t="n">
        <x:f>--AND(S288=1,T288=1,U288=1,V288=1,W288=1)</x:f>
        <x:v>0</x:v>
      </x:c>
      <x:c r="AE288" s="43" t="n">
        <x:f>--AND(S288=1,M288&lt;&gt;"",M288&lt;&gt;"keep")</x:f>
        <x:v>0</x:v>
      </x:c>
      <x:c r="AG288" t="n">
        <x:f>--AND(S288=1,T288=1,U288=1,V288=1,W288=1,AE288=1)</x:f>
        <x:v>0</x:v>
      </x:c>
      <x:c r="AJ288" t="str">
        <x:f>IF(OR(AH288="",AI288=""),"",--(AH288&lt;&gt;AI288))</x:f>
      </x:c>
      <x:c r="AL288" t="str">
        <x:f>IF(OR(AH288="",AI288=""),"PENDING_HUMAN",IF(AH288=AI288,AH288,IF(AK288&lt;&gt;"",AK288,"PENDING_HUMAN")))</x:f>
        <x:v>PENDING_HUMAN</x:v>
      </x:c>
      <x:c r="AM288" t="n">
        <x:f>--AND(A288&lt;&gt;"",AH288&lt;&gt;"",AI288&lt;&gt;"",OR(AH288=AI288,AK288&lt;&gt;""))</x:f>
        <x:v>0</x:v>
      </x:c>
      <x:c r="AN288" t="n">
        <x:f>--AND(Y288&lt;&gt;"",COUNTIF($Y$4:Y288,Y288)=1)</x:f>
        <x:v>0</x:v>
      </x:c>
      <x:c r="AO288" t="n">
        <x:f>--AND(AN288=1,Z288=1,AM288=1)</x:f>
        <x:v>0</x:v>
      </x:c>
      <x:c r="AP288" t="n">
        <x:f>--AND(AO288=1,AA288=1,AL288=1)</x:f>
        <x:v>0</x:v>
      </x:c>
      <x:c r="AQ288" t="n">
        <x:f>--AND(AN288=1,Z288=1)</x:f>
        <x:v>0</x:v>
      </x:c>
      <x:c r="AR288" t="n">
        <x:f>--AND(AQ288=1,AA288=1)</x:f>
        <x:v>0</x:v>
      </x:c>
    </x:row>
    <x:row r="289">
      <x:c r="A289" s="28"/>
      <x:c r="B289" s="28"/>
      <x:c r="C289" s="28"/>
      <x:c r="D289" s="28"/>
      <x:c r="E289" s="28"/>
      <x:c r="F289" s="28"/>
      <x:c r="G289" s="28"/>
      <x:c r="H289" s="28"/>
      <x:c r="I289" s="28"/>
      <x:c r="J289" s="28"/>
      <x:c r="K289" s="28"/>
      <x:c r="L289" s="28"/>
      <x:c r="M289" s="28"/>
      <x:c r="N289" s="28"/>
      <x:c r="O289" s="28"/>
      <x:c r="P289" s="28"/>
      <x:c r="Q289" s="28"/>
      <x:c r="R289" s="28"/>
      <x:c r="S289" s="28"/>
      <x:c r="T289" s="28"/>
      <x:c r="U289" s="28"/>
      <x:c r="V289" s="28"/>
      <x:c r="W289" s="28"/>
      <x:c r="X289" s="43" t="n">
        <x:f>--AND(S289=1,T289=1,U289=1,V289=1,W289=1)</x:f>
        <x:v>0</x:v>
      </x:c>
      <x:c r="AE289" s="43" t="n">
        <x:f>--AND(S289=1,M289&lt;&gt;"",M289&lt;&gt;"keep")</x:f>
        <x:v>0</x:v>
      </x:c>
      <x:c r="AG289" t="n">
        <x:f>--AND(S289=1,T289=1,U289=1,V289=1,W289=1,AE289=1)</x:f>
        <x:v>0</x:v>
      </x:c>
      <x:c r="AJ289" t="str">
        <x:f>IF(OR(AH289="",AI289=""),"",--(AH289&lt;&gt;AI289))</x:f>
      </x:c>
      <x:c r="AL289" t="str">
        <x:f>IF(OR(AH289="",AI289=""),"PENDING_HUMAN",IF(AH289=AI289,AH289,IF(AK289&lt;&gt;"",AK289,"PENDING_HUMAN")))</x:f>
        <x:v>PENDING_HUMAN</x:v>
      </x:c>
      <x:c r="AM289" t="n">
        <x:f>--AND(A289&lt;&gt;"",AH289&lt;&gt;"",AI289&lt;&gt;"",OR(AH289=AI289,AK289&lt;&gt;""))</x:f>
        <x:v>0</x:v>
      </x:c>
      <x:c r="AN289" t="n">
        <x:f>--AND(Y289&lt;&gt;"",COUNTIF($Y$4:Y289,Y289)=1)</x:f>
        <x:v>0</x:v>
      </x:c>
      <x:c r="AO289" t="n">
        <x:f>--AND(AN289=1,Z289=1,AM289=1)</x:f>
        <x:v>0</x:v>
      </x:c>
      <x:c r="AP289" t="n">
        <x:f>--AND(AO289=1,AA289=1,AL289=1)</x:f>
        <x:v>0</x:v>
      </x:c>
      <x:c r="AQ289" t="n">
        <x:f>--AND(AN289=1,Z289=1)</x:f>
        <x:v>0</x:v>
      </x:c>
      <x:c r="AR289" t="n">
        <x:f>--AND(AQ289=1,AA289=1)</x:f>
        <x:v>0</x:v>
      </x:c>
    </x:row>
    <x:row r="290">
      <x:c r="A290" s="28"/>
      <x:c r="B290" s="28"/>
      <x:c r="C290" s="28"/>
      <x:c r="D290" s="28"/>
      <x:c r="E290" s="28"/>
      <x:c r="F290" s="28"/>
      <x:c r="G290" s="28"/>
      <x:c r="H290" s="28"/>
      <x:c r="I290" s="28"/>
      <x:c r="J290" s="28"/>
      <x:c r="K290" s="28"/>
      <x:c r="L290" s="28"/>
      <x:c r="M290" s="28"/>
      <x:c r="N290" s="28"/>
      <x:c r="O290" s="28"/>
      <x:c r="P290" s="28"/>
      <x:c r="Q290" s="28"/>
      <x:c r="R290" s="28"/>
      <x:c r="S290" s="28"/>
      <x:c r="T290" s="28"/>
      <x:c r="U290" s="28"/>
      <x:c r="V290" s="28"/>
      <x:c r="W290" s="28"/>
      <x:c r="X290" s="43" t="n">
        <x:f>--AND(S290=1,T290=1,U290=1,V290=1,W290=1)</x:f>
        <x:v>0</x:v>
      </x:c>
      <x:c r="AE290" s="43" t="n">
        <x:f>--AND(S290=1,M290&lt;&gt;"",M290&lt;&gt;"keep")</x:f>
        <x:v>0</x:v>
      </x:c>
      <x:c r="AG290" t="n">
        <x:f>--AND(S290=1,T290=1,U290=1,V290=1,W290=1,AE290=1)</x:f>
        <x:v>0</x:v>
      </x:c>
      <x:c r="AJ290" t="str">
        <x:f>IF(OR(AH290="",AI290=""),"",--(AH290&lt;&gt;AI290))</x:f>
      </x:c>
      <x:c r="AL290" t="str">
        <x:f>IF(OR(AH290="",AI290=""),"PENDING_HUMAN",IF(AH290=AI290,AH290,IF(AK290&lt;&gt;"",AK290,"PENDING_HUMAN")))</x:f>
        <x:v>PENDING_HUMAN</x:v>
      </x:c>
      <x:c r="AM290" t="n">
        <x:f>--AND(A290&lt;&gt;"",AH290&lt;&gt;"",AI290&lt;&gt;"",OR(AH290=AI290,AK290&lt;&gt;""))</x:f>
        <x:v>0</x:v>
      </x:c>
      <x:c r="AN290" t="n">
        <x:f>--AND(Y290&lt;&gt;"",COUNTIF($Y$4:Y290,Y290)=1)</x:f>
        <x:v>0</x:v>
      </x:c>
      <x:c r="AO290" t="n">
        <x:f>--AND(AN290=1,Z290=1,AM290=1)</x:f>
        <x:v>0</x:v>
      </x:c>
      <x:c r="AP290" t="n">
        <x:f>--AND(AO290=1,AA290=1,AL290=1)</x:f>
        <x:v>0</x:v>
      </x:c>
      <x:c r="AQ290" t="n">
        <x:f>--AND(AN290=1,Z290=1)</x:f>
        <x:v>0</x:v>
      </x:c>
      <x:c r="AR290" t="n">
        <x:f>--AND(AQ290=1,AA290=1)</x:f>
        <x:v>0</x:v>
      </x:c>
    </x:row>
    <x:row r="291">
      <x:c r="A291" s="28"/>
      <x:c r="B291" s="28"/>
      <x:c r="C291" s="28"/>
      <x:c r="D291" s="28"/>
      <x:c r="E291" s="28"/>
      <x:c r="F291" s="28"/>
      <x:c r="G291" s="28"/>
      <x:c r="H291" s="28"/>
      <x:c r="I291" s="28"/>
      <x:c r="J291" s="28"/>
      <x:c r="K291" s="28"/>
      <x:c r="L291" s="28"/>
      <x:c r="M291" s="28"/>
      <x:c r="N291" s="28"/>
      <x:c r="O291" s="28"/>
      <x:c r="P291" s="28"/>
      <x:c r="Q291" s="28"/>
      <x:c r="R291" s="28"/>
      <x:c r="S291" s="28"/>
      <x:c r="T291" s="28"/>
      <x:c r="U291" s="28"/>
      <x:c r="V291" s="28"/>
      <x:c r="W291" s="28"/>
      <x:c r="X291" s="43" t="n">
        <x:f>--AND(S291=1,T291=1,U291=1,V291=1,W291=1)</x:f>
        <x:v>0</x:v>
      </x:c>
      <x:c r="AE291" s="43" t="n">
        <x:f>--AND(S291=1,M291&lt;&gt;"",M291&lt;&gt;"keep")</x:f>
        <x:v>0</x:v>
      </x:c>
      <x:c r="AG291" t="n">
        <x:f>--AND(S291=1,T291=1,U291=1,V291=1,W291=1,AE291=1)</x:f>
        <x:v>0</x:v>
      </x:c>
      <x:c r="AJ291" t="str">
        <x:f>IF(OR(AH291="",AI291=""),"",--(AH291&lt;&gt;AI291))</x:f>
      </x:c>
      <x:c r="AL291" t="str">
        <x:f>IF(OR(AH291="",AI291=""),"PENDING_HUMAN",IF(AH291=AI291,AH291,IF(AK291&lt;&gt;"",AK291,"PENDING_HUMAN")))</x:f>
        <x:v>PENDING_HUMAN</x:v>
      </x:c>
      <x:c r="AM291" t="n">
        <x:f>--AND(A291&lt;&gt;"",AH291&lt;&gt;"",AI291&lt;&gt;"",OR(AH291=AI291,AK291&lt;&gt;""))</x:f>
        <x:v>0</x:v>
      </x:c>
      <x:c r="AN291" t="n">
        <x:f>--AND(Y291&lt;&gt;"",COUNTIF($Y$4:Y291,Y291)=1)</x:f>
        <x:v>0</x:v>
      </x:c>
      <x:c r="AO291" t="n">
        <x:f>--AND(AN291=1,Z291=1,AM291=1)</x:f>
        <x:v>0</x:v>
      </x:c>
      <x:c r="AP291" t="n">
        <x:f>--AND(AO291=1,AA291=1,AL291=1)</x:f>
        <x:v>0</x:v>
      </x:c>
      <x:c r="AQ291" t="n">
        <x:f>--AND(AN291=1,Z291=1)</x:f>
        <x:v>0</x:v>
      </x:c>
      <x:c r="AR291" t="n">
        <x:f>--AND(AQ291=1,AA291=1)</x:f>
        <x:v>0</x:v>
      </x:c>
    </x:row>
    <x:row r="292">
      <x:c r="A292" s="28"/>
      <x:c r="B292" s="28"/>
      <x:c r="C292" s="28"/>
      <x:c r="D292" s="28"/>
      <x:c r="E292" s="28"/>
      <x:c r="F292" s="28"/>
      <x:c r="G292" s="28"/>
      <x:c r="H292" s="28"/>
      <x:c r="I292" s="28"/>
      <x:c r="J292" s="28"/>
      <x:c r="K292" s="28"/>
      <x:c r="L292" s="28"/>
      <x:c r="M292" s="28"/>
      <x:c r="N292" s="28"/>
      <x:c r="O292" s="28"/>
      <x:c r="P292" s="28"/>
      <x:c r="Q292" s="28"/>
      <x:c r="R292" s="28"/>
      <x:c r="S292" s="28"/>
      <x:c r="T292" s="28"/>
      <x:c r="U292" s="28"/>
      <x:c r="V292" s="28"/>
      <x:c r="W292" s="28"/>
      <x:c r="X292" s="43" t="n">
        <x:f>--AND(S292=1,T292=1,U292=1,V292=1,W292=1)</x:f>
        <x:v>0</x:v>
      </x:c>
      <x:c r="AE292" s="43" t="n">
        <x:f>--AND(S292=1,M292&lt;&gt;"",M292&lt;&gt;"keep")</x:f>
        <x:v>0</x:v>
      </x:c>
      <x:c r="AG292" t="n">
        <x:f>--AND(S292=1,T292=1,U292=1,V292=1,W292=1,AE292=1)</x:f>
        <x:v>0</x:v>
      </x:c>
      <x:c r="AJ292" t="str">
        <x:f>IF(OR(AH292="",AI292=""),"",--(AH292&lt;&gt;AI292))</x:f>
      </x:c>
      <x:c r="AL292" t="str">
        <x:f>IF(OR(AH292="",AI292=""),"PENDING_HUMAN",IF(AH292=AI292,AH292,IF(AK292&lt;&gt;"",AK292,"PENDING_HUMAN")))</x:f>
        <x:v>PENDING_HUMAN</x:v>
      </x:c>
      <x:c r="AM292" t="n">
        <x:f>--AND(A292&lt;&gt;"",AH292&lt;&gt;"",AI292&lt;&gt;"",OR(AH292=AI292,AK292&lt;&gt;""))</x:f>
        <x:v>0</x:v>
      </x:c>
      <x:c r="AN292" t="n">
        <x:f>--AND(Y292&lt;&gt;"",COUNTIF($Y$4:Y292,Y292)=1)</x:f>
        <x:v>0</x:v>
      </x:c>
      <x:c r="AO292" t="n">
        <x:f>--AND(AN292=1,Z292=1,AM292=1)</x:f>
        <x:v>0</x:v>
      </x:c>
      <x:c r="AP292" t="n">
        <x:f>--AND(AO292=1,AA292=1,AL292=1)</x:f>
        <x:v>0</x:v>
      </x:c>
      <x:c r="AQ292" t="n">
        <x:f>--AND(AN292=1,Z292=1)</x:f>
        <x:v>0</x:v>
      </x:c>
      <x:c r="AR292" t="n">
        <x:f>--AND(AQ292=1,AA292=1)</x:f>
        <x:v>0</x:v>
      </x:c>
    </x:row>
    <x:row r="293">
      <x:c r="A293" s="28"/>
      <x:c r="B293" s="28"/>
      <x:c r="C293" s="28"/>
      <x:c r="D293" s="28"/>
      <x:c r="E293" s="28"/>
      <x:c r="F293" s="28"/>
      <x:c r="G293" s="28"/>
      <x:c r="H293" s="28"/>
      <x:c r="I293" s="28"/>
      <x:c r="J293" s="28"/>
      <x:c r="K293" s="28"/>
      <x:c r="L293" s="28"/>
      <x:c r="M293" s="28"/>
      <x:c r="N293" s="28"/>
      <x:c r="O293" s="28"/>
      <x:c r="P293" s="28"/>
      <x:c r="Q293" s="28"/>
      <x:c r="R293" s="28"/>
      <x:c r="S293" s="28"/>
      <x:c r="T293" s="28"/>
      <x:c r="U293" s="28"/>
      <x:c r="V293" s="28"/>
      <x:c r="W293" s="28"/>
      <x:c r="X293" s="43" t="n">
        <x:f>--AND(S293=1,T293=1,U293=1,V293=1,W293=1)</x:f>
        <x:v>0</x:v>
      </x:c>
      <x:c r="AE293" s="43" t="n">
        <x:f>--AND(S293=1,M293&lt;&gt;"",M293&lt;&gt;"keep")</x:f>
        <x:v>0</x:v>
      </x:c>
      <x:c r="AG293" t="n">
        <x:f>--AND(S293=1,T293=1,U293=1,V293=1,W293=1,AE293=1)</x:f>
        <x:v>0</x:v>
      </x:c>
      <x:c r="AJ293" t="str">
        <x:f>IF(OR(AH293="",AI293=""),"",--(AH293&lt;&gt;AI293))</x:f>
      </x:c>
      <x:c r="AL293" t="str">
        <x:f>IF(OR(AH293="",AI293=""),"PENDING_HUMAN",IF(AH293=AI293,AH293,IF(AK293&lt;&gt;"",AK293,"PENDING_HUMAN")))</x:f>
        <x:v>PENDING_HUMAN</x:v>
      </x:c>
      <x:c r="AM293" t="n">
        <x:f>--AND(A293&lt;&gt;"",AH293&lt;&gt;"",AI293&lt;&gt;"",OR(AH293=AI293,AK293&lt;&gt;""))</x:f>
        <x:v>0</x:v>
      </x:c>
      <x:c r="AN293" t="n">
        <x:f>--AND(Y293&lt;&gt;"",COUNTIF($Y$4:Y293,Y293)=1)</x:f>
        <x:v>0</x:v>
      </x:c>
      <x:c r="AO293" t="n">
        <x:f>--AND(AN293=1,Z293=1,AM293=1)</x:f>
        <x:v>0</x:v>
      </x:c>
      <x:c r="AP293" t="n">
        <x:f>--AND(AO293=1,AA293=1,AL293=1)</x:f>
        <x:v>0</x:v>
      </x:c>
      <x:c r="AQ293" t="n">
        <x:f>--AND(AN293=1,Z293=1)</x:f>
        <x:v>0</x:v>
      </x:c>
      <x:c r="AR293" t="n">
        <x:f>--AND(AQ293=1,AA293=1)</x:f>
        <x:v>0</x:v>
      </x:c>
    </x:row>
    <x:row r="294">
      <x:c r="A294" s="28"/>
      <x:c r="B294" s="28"/>
      <x:c r="C294" s="28"/>
      <x:c r="D294" s="28"/>
      <x:c r="E294" s="28"/>
      <x:c r="F294" s="28"/>
      <x:c r="G294" s="28"/>
      <x:c r="H294" s="28"/>
      <x:c r="I294" s="28"/>
      <x:c r="J294" s="28"/>
      <x:c r="K294" s="28"/>
      <x:c r="L294" s="28"/>
      <x:c r="M294" s="28"/>
      <x:c r="N294" s="28"/>
      <x:c r="O294" s="28"/>
      <x:c r="P294" s="28"/>
      <x:c r="Q294" s="28"/>
      <x:c r="R294" s="28"/>
      <x:c r="S294" s="28"/>
      <x:c r="T294" s="28"/>
      <x:c r="U294" s="28"/>
      <x:c r="V294" s="28"/>
      <x:c r="W294" s="28"/>
      <x:c r="X294" s="43" t="n">
        <x:f>--AND(S294=1,T294=1,U294=1,V294=1,W294=1)</x:f>
        <x:v>0</x:v>
      </x:c>
      <x:c r="AE294" s="43" t="n">
        <x:f>--AND(S294=1,M294&lt;&gt;"",M294&lt;&gt;"keep")</x:f>
        <x:v>0</x:v>
      </x:c>
      <x:c r="AG294" t="n">
        <x:f>--AND(S294=1,T294=1,U294=1,V294=1,W294=1,AE294=1)</x:f>
        <x:v>0</x:v>
      </x:c>
      <x:c r="AJ294" t="str">
        <x:f>IF(OR(AH294="",AI294=""),"",--(AH294&lt;&gt;AI294))</x:f>
      </x:c>
      <x:c r="AL294" t="str">
        <x:f>IF(OR(AH294="",AI294=""),"PENDING_HUMAN",IF(AH294=AI294,AH294,IF(AK294&lt;&gt;"",AK294,"PENDING_HUMAN")))</x:f>
        <x:v>PENDING_HUMAN</x:v>
      </x:c>
      <x:c r="AM294" t="n">
        <x:f>--AND(A294&lt;&gt;"",AH294&lt;&gt;"",AI294&lt;&gt;"",OR(AH294=AI294,AK294&lt;&gt;""))</x:f>
        <x:v>0</x:v>
      </x:c>
      <x:c r="AN294" t="n">
        <x:f>--AND(Y294&lt;&gt;"",COUNTIF($Y$4:Y294,Y294)=1)</x:f>
        <x:v>0</x:v>
      </x:c>
      <x:c r="AO294" t="n">
        <x:f>--AND(AN294=1,Z294=1,AM294=1)</x:f>
        <x:v>0</x:v>
      </x:c>
      <x:c r="AP294" t="n">
        <x:f>--AND(AO294=1,AA294=1,AL294=1)</x:f>
        <x:v>0</x:v>
      </x:c>
      <x:c r="AQ294" t="n">
        <x:f>--AND(AN294=1,Z294=1)</x:f>
        <x:v>0</x:v>
      </x:c>
      <x:c r="AR294" t="n">
        <x:f>--AND(AQ294=1,AA294=1)</x:f>
        <x:v>0</x:v>
      </x:c>
    </x:row>
    <x:row r="295">
      <x:c r="A295" s="28"/>
      <x:c r="B295" s="28"/>
      <x:c r="C295" s="28"/>
      <x:c r="D295" s="28"/>
      <x:c r="E295" s="28"/>
      <x:c r="F295" s="28"/>
      <x:c r="G295" s="28"/>
      <x:c r="H295" s="28"/>
      <x:c r="I295" s="28"/>
      <x:c r="J295" s="28"/>
      <x:c r="K295" s="28"/>
      <x:c r="L295" s="28"/>
      <x:c r="M295" s="28"/>
      <x:c r="N295" s="28"/>
      <x:c r="O295" s="28"/>
      <x:c r="P295" s="28"/>
      <x:c r="Q295" s="28"/>
      <x:c r="R295" s="28"/>
      <x:c r="S295" s="28"/>
      <x:c r="T295" s="28"/>
      <x:c r="U295" s="28"/>
      <x:c r="V295" s="28"/>
      <x:c r="W295" s="28"/>
      <x:c r="X295" s="43" t="n">
        <x:f>--AND(S295=1,T295=1,U295=1,V295=1,W295=1)</x:f>
        <x:v>0</x:v>
      </x:c>
      <x:c r="AE295" s="43" t="n">
        <x:f>--AND(S295=1,M295&lt;&gt;"",M295&lt;&gt;"keep")</x:f>
        <x:v>0</x:v>
      </x:c>
      <x:c r="AG295" t="n">
        <x:f>--AND(S295=1,T295=1,U295=1,V295=1,W295=1,AE295=1)</x:f>
        <x:v>0</x:v>
      </x:c>
      <x:c r="AJ295" t="str">
        <x:f>IF(OR(AH295="",AI295=""),"",--(AH295&lt;&gt;AI295))</x:f>
      </x:c>
      <x:c r="AL295" t="str">
        <x:f>IF(OR(AH295="",AI295=""),"PENDING_HUMAN",IF(AH295=AI295,AH295,IF(AK295&lt;&gt;"",AK295,"PENDING_HUMAN")))</x:f>
        <x:v>PENDING_HUMAN</x:v>
      </x:c>
      <x:c r="AM295" t="n">
        <x:f>--AND(A295&lt;&gt;"",AH295&lt;&gt;"",AI295&lt;&gt;"",OR(AH295=AI295,AK295&lt;&gt;""))</x:f>
        <x:v>0</x:v>
      </x:c>
      <x:c r="AN295" t="n">
        <x:f>--AND(Y295&lt;&gt;"",COUNTIF($Y$4:Y295,Y295)=1)</x:f>
        <x:v>0</x:v>
      </x:c>
      <x:c r="AO295" t="n">
        <x:f>--AND(AN295=1,Z295=1,AM295=1)</x:f>
        <x:v>0</x:v>
      </x:c>
      <x:c r="AP295" t="n">
        <x:f>--AND(AO295=1,AA295=1,AL295=1)</x:f>
        <x:v>0</x:v>
      </x:c>
      <x:c r="AQ295" t="n">
        <x:f>--AND(AN295=1,Z295=1)</x:f>
        <x:v>0</x:v>
      </x:c>
      <x:c r="AR295" t="n">
        <x:f>--AND(AQ295=1,AA295=1)</x:f>
        <x:v>0</x:v>
      </x:c>
    </x:row>
    <x:row r="296">
      <x:c r="A296" s="28"/>
      <x:c r="B296" s="28"/>
      <x:c r="C296" s="28"/>
      <x:c r="D296" s="28"/>
      <x:c r="E296" s="28"/>
      <x:c r="F296" s="28"/>
      <x:c r="G296" s="28"/>
      <x:c r="H296" s="28"/>
      <x:c r="I296" s="28"/>
      <x:c r="J296" s="28"/>
      <x:c r="K296" s="28"/>
      <x:c r="L296" s="28"/>
      <x:c r="M296" s="28"/>
      <x:c r="N296" s="28"/>
      <x:c r="O296" s="28"/>
      <x:c r="P296" s="28"/>
      <x:c r="Q296" s="28"/>
      <x:c r="R296" s="28"/>
      <x:c r="S296" s="28"/>
      <x:c r="T296" s="28"/>
      <x:c r="U296" s="28"/>
      <x:c r="V296" s="28"/>
      <x:c r="W296" s="28"/>
      <x:c r="X296" s="43" t="n">
        <x:f>--AND(S296=1,T296=1,U296=1,V296=1,W296=1)</x:f>
        <x:v>0</x:v>
      </x:c>
      <x:c r="AE296" s="43" t="n">
        <x:f>--AND(S296=1,M296&lt;&gt;"",M296&lt;&gt;"keep")</x:f>
        <x:v>0</x:v>
      </x:c>
      <x:c r="AG296" t="n">
        <x:f>--AND(S296=1,T296=1,U296=1,V296=1,W296=1,AE296=1)</x:f>
        <x:v>0</x:v>
      </x:c>
      <x:c r="AJ296" t="str">
        <x:f>IF(OR(AH296="",AI296=""),"",--(AH296&lt;&gt;AI296))</x:f>
      </x:c>
      <x:c r="AL296" t="str">
        <x:f>IF(OR(AH296="",AI296=""),"PENDING_HUMAN",IF(AH296=AI296,AH296,IF(AK296&lt;&gt;"",AK296,"PENDING_HUMAN")))</x:f>
        <x:v>PENDING_HUMAN</x:v>
      </x:c>
      <x:c r="AM296" t="n">
        <x:f>--AND(A296&lt;&gt;"",AH296&lt;&gt;"",AI296&lt;&gt;"",OR(AH296=AI296,AK296&lt;&gt;""))</x:f>
        <x:v>0</x:v>
      </x:c>
      <x:c r="AN296" t="n">
        <x:f>--AND(Y296&lt;&gt;"",COUNTIF($Y$4:Y296,Y296)=1)</x:f>
        <x:v>0</x:v>
      </x:c>
      <x:c r="AO296" t="n">
        <x:f>--AND(AN296=1,Z296=1,AM296=1)</x:f>
        <x:v>0</x:v>
      </x:c>
      <x:c r="AP296" t="n">
        <x:f>--AND(AO296=1,AA296=1,AL296=1)</x:f>
        <x:v>0</x:v>
      </x:c>
      <x:c r="AQ296" t="n">
        <x:f>--AND(AN296=1,Z296=1)</x:f>
        <x:v>0</x:v>
      </x:c>
      <x:c r="AR296" t="n">
        <x:f>--AND(AQ296=1,AA296=1)</x:f>
        <x:v>0</x:v>
      </x:c>
    </x:row>
    <x:row r="297">
      <x:c r="A297" s="28"/>
      <x:c r="B297" s="28"/>
      <x:c r="C297" s="28"/>
      <x:c r="D297" s="28"/>
      <x:c r="E297" s="28"/>
      <x:c r="F297" s="28"/>
      <x:c r="G297" s="28"/>
      <x:c r="H297" s="28"/>
      <x:c r="I297" s="28"/>
      <x:c r="J297" s="28"/>
      <x:c r="K297" s="28"/>
      <x:c r="L297" s="28"/>
      <x:c r="M297" s="28"/>
      <x:c r="N297" s="28"/>
      <x:c r="O297" s="28"/>
      <x:c r="P297" s="28"/>
      <x:c r="Q297" s="28"/>
      <x:c r="R297" s="28"/>
      <x:c r="S297" s="28"/>
      <x:c r="T297" s="28"/>
      <x:c r="U297" s="28"/>
      <x:c r="V297" s="28"/>
      <x:c r="W297" s="28"/>
      <x:c r="X297" s="43" t="n">
        <x:f>--AND(S297=1,T297=1,U297=1,V297=1,W297=1)</x:f>
        <x:v>0</x:v>
      </x:c>
      <x:c r="AE297" s="43" t="n">
        <x:f>--AND(S297=1,M297&lt;&gt;"",M297&lt;&gt;"keep")</x:f>
        <x:v>0</x:v>
      </x:c>
      <x:c r="AG297" t="n">
        <x:f>--AND(S297=1,T297=1,U297=1,V297=1,W297=1,AE297=1)</x:f>
        <x:v>0</x:v>
      </x:c>
      <x:c r="AJ297" t="str">
        <x:f>IF(OR(AH297="",AI297=""),"",--(AH297&lt;&gt;AI297))</x:f>
      </x:c>
      <x:c r="AL297" t="str">
        <x:f>IF(OR(AH297="",AI297=""),"PENDING_HUMAN",IF(AH297=AI297,AH297,IF(AK297&lt;&gt;"",AK297,"PENDING_HUMAN")))</x:f>
        <x:v>PENDING_HUMAN</x:v>
      </x:c>
      <x:c r="AM297" t="n">
        <x:f>--AND(A297&lt;&gt;"",AH297&lt;&gt;"",AI297&lt;&gt;"",OR(AH297=AI297,AK297&lt;&gt;""))</x:f>
        <x:v>0</x:v>
      </x:c>
      <x:c r="AN297" t="n">
        <x:f>--AND(Y297&lt;&gt;"",COUNTIF($Y$4:Y297,Y297)=1)</x:f>
        <x:v>0</x:v>
      </x:c>
      <x:c r="AO297" t="n">
        <x:f>--AND(AN297=1,Z297=1,AM297=1)</x:f>
        <x:v>0</x:v>
      </x:c>
      <x:c r="AP297" t="n">
        <x:f>--AND(AO297=1,AA297=1,AL297=1)</x:f>
        <x:v>0</x:v>
      </x:c>
      <x:c r="AQ297" t="n">
        <x:f>--AND(AN297=1,Z297=1)</x:f>
        <x:v>0</x:v>
      </x:c>
      <x:c r="AR297" t="n">
        <x:f>--AND(AQ297=1,AA297=1)</x:f>
        <x:v>0</x:v>
      </x:c>
    </x:row>
    <x:row r="298">
      <x:c r="A298" s="28"/>
      <x:c r="B298" s="28"/>
      <x:c r="C298" s="28"/>
      <x:c r="D298" s="28"/>
      <x:c r="E298" s="28"/>
      <x:c r="F298" s="28"/>
      <x:c r="G298" s="28"/>
      <x:c r="H298" s="28"/>
      <x:c r="I298" s="28"/>
      <x:c r="J298" s="28"/>
      <x:c r="K298" s="28"/>
      <x:c r="L298" s="28"/>
      <x:c r="M298" s="28"/>
      <x:c r="N298" s="28"/>
      <x:c r="O298" s="28"/>
      <x:c r="P298" s="28"/>
      <x:c r="Q298" s="28"/>
      <x:c r="R298" s="28"/>
      <x:c r="S298" s="28"/>
      <x:c r="T298" s="28"/>
      <x:c r="U298" s="28"/>
      <x:c r="V298" s="28"/>
      <x:c r="W298" s="28"/>
      <x:c r="X298" s="43" t="n">
        <x:f>--AND(S298=1,T298=1,U298=1,V298=1,W298=1)</x:f>
        <x:v>0</x:v>
      </x:c>
      <x:c r="AE298" s="43" t="n">
        <x:f>--AND(S298=1,M298&lt;&gt;"",M298&lt;&gt;"keep")</x:f>
        <x:v>0</x:v>
      </x:c>
      <x:c r="AG298" t="n">
        <x:f>--AND(S298=1,T298=1,U298=1,V298=1,W298=1,AE298=1)</x:f>
        <x:v>0</x:v>
      </x:c>
      <x:c r="AJ298" t="str">
        <x:f>IF(OR(AH298="",AI298=""),"",--(AH298&lt;&gt;AI298))</x:f>
      </x:c>
      <x:c r="AL298" t="str">
        <x:f>IF(OR(AH298="",AI298=""),"PENDING_HUMAN",IF(AH298=AI298,AH298,IF(AK298&lt;&gt;"",AK298,"PENDING_HUMAN")))</x:f>
        <x:v>PENDING_HUMAN</x:v>
      </x:c>
      <x:c r="AM298" t="n">
        <x:f>--AND(A298&lt;&gt;"",AH298&lt;&gt;"",AI298&lt;&gt;"",OR(AH298=AI298,AK298&lt;&gt;""))</x:f>
        <x:v>0</x:v>
      </x:c>
      <x:c r="AN298" t="n">
        <x:f>--AND(Y298&lt;&gt;"",COUNTIF($Y$4:Y298,Y298)=1)</x:f>
        <x:v>0</x:v>
      </x:c>
      <x:c r="AO298" t="n">
        <x:f>--AND(AN298=1,Z298=1,AM298=1)</x:f>
        <x:v>0</x:v>
      </x:c>
      <x:c r="AP298" t="n">
        <x:f>--AND(AO298=1,AA298=1,AL298=1)</x:f>
        <x:v>0</x:v>
      </x:c>
      <x:c r="AQ298" t="n">
        <x:f>--AND(AN298=1,Z298=1)</x:f>
        <x:v>0</x:v>
      </x:c>
      <x:c r="AR298" t="n">
        <x:f>--AND(AQ298=1,AA298=1)</x:f>
        <x:v>0</x:v>
      </x:c>
    </x:row>
    <x:row r="299">
      <x:c r="A299" s="28"/>
      <x:c r="B299" s="28"/>
      <x:c r="C299" s="28"/>
      <x:c r="D299" s="28"/>
      <x:c r="E299" s="28"/>
      <x:c r="F299" s="28"/>
      <x:c r="G299" s="28"/>
      <x:c r="H299" s="28"/>
      <x:c r="I299" s="28"/>
      <x:c r="J299" s="28"/>
      <x:c r="K299" s="28"/>
      <x:c r="L299" s="28"/>
      <x:c r="M299" s="28"/>
      <x:c r="N299" s="28"/>
      <x:c r="O299" s="28"/>
      <x:c r="P299" s="28"/>
      <x:c r="Q299" s="28"/>
      <x:c r="R299" s="28"/>
      <x:c r="S299" s="28"/>
      <x:c r="T299" s="28"/>
      <x:c r="U299" s="28"/>
      <x:c r="V299" s="28"/>
      <x:c r="W299" s="28"/>
      <x:c r="X299" s="43" t="n">
        <x:f>--AND(S299=1,T299=1,U299=1,V299=1,W299=1)</x:f>
        <x:v>0</x:v>
      </x:c>
      <x:c r="AE299" s="43" t="n">
        <x:f>--AND(S299=1,M299&lt;&gt;"",M299&lt;&gt;"keep")</x:f>
        <x:v>0</x:v>
      </x:c>
      <x:c r="AG299" t="n">
        <x:f>--AND(S299=1,T299=1,U299=1,V299=1,W299=1,AE299=1)</x:f>
        <x:v>0</x:v>
      </x:c>
      <x:c r="AJ299" t="str">
        <x:f>IF(OR(AH299="",AI299=""),"",--(AH299&lt;&gt;AI299))</x:f>
      </x:c>
      <x:c r="AL299" t="str">
        <x:f>IF(OR(AH299="",AI299=""),"PENDING_HUMAN",IF(AH299=AI299,AH299,IF(AK299&lt;&gt;"",AK299,"PENDING_HUMAN")))</x:f>
        <x:v>PENDING_HUMAN</x:v>
      </x:c>
      <x:c r="AM299" t="n">
        <x:f>--AND(A299&lt;&gt;"",AH299&lt;&gt;"",AI299&lt;&gt;"",OR(AH299=AI299,AK299&lt;&gt;""))</x:f>
        <x:v>0</x:v>
      </x:c>
      <x:c r="AN299" t="n">
        <x:f>--AND(Y299&lt;&gt;"",COUNTIF($Y$4:Y299,Y299)=1)</x:f>
        <x:v>0</x:v>
      </x:c>
      <x:c r="AO299" t="n">
        <x:f>--AND(AN299=1,Z299=1,AM299=1)</x:f>
        <x:v>0</x:v>
      </x:c>
      <x:c r="AP299" t="n">
        <x:f>--AND(AO299=1,AA299=1,AL299=1)</x:f>
        <x:v>0</x:v>
      </x:c>
      <x:c r="AQ299" t="n">
        <x:f>--AND(AN299=1,Z299=1)</x:f>
        <x:v>0</x:v>
      </x:c>
      <x:c r="AR299" t="n">
        <x:f>--AND(AQ299=1,AA299=1)</x:f>
        <x:v>0</x:v>
      </x:c>
    </x:row>
    <x:row r="300">
      <x:c r="A300" s="28"/>
      <x:c r="B300" s="28"/>
      <x:c r="C300" s="28"/>
      <x:c r="D300" s="28"/>
      <x:c r="E300" s="28"/>
      <x:c r="F300" s="28"/>
      <x:c r="G300" s="28"/>
      <x:c r="H300" s="28"/>
      <x:c r="I300" s="28"/>
      <x:c r="J300" s="28"/>
      <x:c r="K300" s="28"/>
      <x:c r="L300" s="28"/>
      <x:c r="M300" s="28"/>
      <x:c r="N300" s="28"/>
      <x:c r="O300" s="28"/>
      <x:c r="P300" s="28"/>
      <x:c r="Q300" s="28"/>
      <x:c r="R300" s="28"/>
      <x:c r="S300" s="28"/>
      <x:c r="T300" s="28"/>
      <x:c r="U300" s="28"/>
      <x:c r="V300" s="28"/>
      <x:c r="W300" s="28"/>
      <x:c r="X300" s="43" t="n">
        <x:f>--AND(S300=1,T300=1,U300=1,V300=1,W300=1)</x:f>
        <x:v>0</x:v>
      </x:c>
      <x:c r="AE300" s="43" t="n">
        <x:f>--AND(S300=1,M300&lt;&gt;"",M300&lt;&gt;"keep")</x:f>
        <x:v>0</x:v>
      </x:c>
      <x:c r="AG300" t="n">
        <x:f>--AND(S300=1,T300=1,U300=1,V300=1,W300=1,AE300=1)</x:f>
        <x:v>0</x:v>
      </x:c>
      <x:c r="AJ300" t="str">
        <x:f>IF(OR(AH300="",AI300=""),"",--(AH300&lt;&gt;AI300))</x:f>
      </x:c>
      <x:c r="AL300" t="str">
        <x:f>IF(OR(AH300="",AI300=""),"PENDING_HUMAN",IF(AH300=AI300,AH300,IF(AK300&lt;&gt;"",AK300,"PENDING_HUMAN")))</x:f>
        <x:v>PENDING_HUMAN</x:v>
      </x:c>
      <x:c r="AM300" t="n">
        <x:f>--AND(A300&lt;&gt;"",AH300&lt;&gt;"",AI300&lt;&gt;"",OR(AH300=AI300,AK300&lt;&gt;""))</x:f>
        <x:v>0</x:v>
      </x:c>
      <x:c r="AN300" t="n">
        <x:f>--AND(Y300&lt;&gt;"",COUNTIF($Y$4:Y300,Y300)=1)</x:f>
        <x:v>0</x:v>
      </x:c>
      <x:c r="AO300" t="n">
        <x:f>--AND(AN300=1,Z300=1,AM300=1)</x:f>
        <x:v>0</x:v>
      </x:c>
      <x:c r="AP300" t="n">
        <x:f>--AND(AO300=1,AA300=1,AL300=1)</x:f>
        <x:v>0</x:v>
      </x:c>
      <x:c r="AQ300" t="n">
        <x:f>--AND(AN300=1,Z300=1)</x:f>
        <x:v>0</x:v>
      </x:c>
      <x:c r="AR300" t="n">
        <x:f>--AND(AQ300=1,AA300=1)</x:f>
        <x:v>0</x:v>
      </x:c>
    </x:row>
    <x:row r="301">
      <x:c r="A301" s="28"/>
      <x:c r="B301" s="28"/>
      <x:c r="C301" s="28"/>
      <x:c r="D301" s="28"/>
      <x:c r="E301" s="28"/>
      <x:c r="F301" s="28"/>
      <x:c r="G301" s="28"/>
      <x:c r="H301" s="28"/>
      <x:c r="I301" s="28"/>
      <x:c r="J301" s="28"/>
      <x:c r="K301" s="28"/>
      <x:c r="L301" s="28"/>
      <x:c r="M301" s="28"/>
      <x:c r="N301" s="28"/>
      <x:c r="O301" s="28"/>
      <x:c r="P301" s="28"/>
      <x:c r="Q301" s="28"/>
      <x:c r="R301" s="28"/>
      <x:c r="S301" s="28"/>
      <x:c r="T301" s="28"/>
      <x:c r="U301" s="28"/>
      <x:c r="V301" s="28"/>
      <x:c r="W301" s="28"/>
      <x:c r="X301" s="43" t="n">
        <x:f>--AND(S301=1,T301=1,U301=1,V301=1,W301=1)</x:f>
        <x:v>0</x:v>
      </x:c>
      <x:c r="AE301" s="43" t="n">
        <x:f>--AND(S301=1,M301&lt;&gt;"",M301&lt;&gt;"keep")</x:f>
        <x:v>0</x:v>
      </x:c>
      <x:c r="AG301" t="n">
        <x:f>--AND(S301=1,T301=1,U301=1,V301=1,W301=1,AE301=1)</x:f>
        <x:v>0</x:v>
      </x:c>
      <x:c r="AJ301" t="str">
        <x:f>IF(OR(AH301="",AI301=""),"",--(AH301&lt;&gt;AI301))</x:f>
      </x:c>
      <x:c r="AL301" t="str">
        <x:f>IF(OR(AH301="",AI301=""),"PENDING_HUMAN",IF(AH301=AI301,AH301,IF(AK301&lt;&gt;"",AK301,"PENDING_HUMAN")))</x:f>
        <x:v>PENDING_HUMAN</x:v>
      </x:c>
      <x:c r="AM301" t="n">
        <x:f>--AND(A301&lt;&gt;"",AH301&lt;&gt;"",AI301&lt;&gt;"",OR(AH301=AI301,AK301&lt;&gt;""))</x:f>
        <x:v>0</x:v>
      </x:c>
      <x:c r="AN301" t="n">
        <x:f>--AND(Y301&lt;&gt;"",COUNTIF($Y$4:Y301,Y301)=1)</x:f>
        <x:v>0</x:v>
      </x:c>
      <x:c r="AO301" t="n">
        <x:f>--AND(AN301=1,Z301=1,AM301=1)</x:f>
        <x:v>0</x:v>
      </x:c>
      <x:c r="AP301" t="n">
        <x:f>--AND(AO301=1,AA301=1,AL301=1)</x:f>
        <x:v>0</x:v>
      </x:c>
      <x:c r="AQ301" t="n">
        <x:f>--AND(AN301=1,Z301=1)</x:f>
        <x:v>0</x:v>
      </x:c>
      <x:c r="AR301" t="n">
        <x:f>--AND(AQ301=1,AA301=1)</x:f>
        <x:v>0</x:v>
      </x:c>
    </x:row>
    <x:row r="302">
      <x:c r="A302" s="28"/>
      <x:c r="B302" s="28"/>
      <x:c r="C302" s="28"/>
      <x:c r="D302" s="28"/>
      <x:c r="E302" s="28"/>
      <x:c r="F302" s="28"/>
      <x:c r="G302" s="28"/>
      <x:c r="H302" s="28"/>
      <x:c r="I302" s="28"/>
      <x:c r="J302" s="28"/>
      <x:c r="K302" s="28"/>
      <x:c r="L302" s="28"/>
      <x:c r="M302" s="28"/>
      <x:c r="N302" s="28"/>
      <x:c r="O302" s="28"/>
      <x:c r="P302" s="28"/>
      <x:c r="Q302" s="28"/>
      <x:c r="R302" s="28"/>
      <x:c r="S302" s="28"/>
      <x:c r="T302" s="28"/>
      <x:c r="U302" s="28"/>
      <x:c r="V302" s="28"/>
      <x:c r="W302" s="28"/>
      <x:c r="X302" s="43" t="n">
        <x:f>--AND(S302=1,T302=1,U302=1,V302=1,W302=1)</x:f>
        <x:v>0</x:v>
      </x:c>
      <x:c r="AE302" s="43" t="n">
        <x:f>--AND(S302=1,M302&lt;&gt;"",M302&lt;&gt;"keep")</x:f>
        <x:v>0</x:v>
      </x:c>
      <x:c r="AG302" t="n">
        <x:f>--AND(S302=1,T302=1,U302=1,V302=1,W302=1,AE302=1)</x:f>
        <x:v>0</x:v>
      </x:c>
      <x:c r="AJ302" t="str">
        <x:f>IF(OR(AH302="",AI302=""),"",--(AH302&lt;&gt;AI302))</x:f>
      </x:c>
      <x:c r="AL302" t="str">
        <x:f>IF(OR(AH302="",AI302=""),"PENDING_HUMAN",IF(AH302=AI302,AH302,IF(AK302&lt;&gt;"",AK302,"PENDING_HUMAN")))</x:f>
        <x:v>PENDING_HUMAN</x:v>
      </x:c>
      <x:c r="AM302" t="n">
        <x:f>--AND(A302&lt;&gt;"",AH302&lt;&gt;"",AI302&lt;&gt;"",OR(AH302=AI302,AK302&lt;&gt;""))</x:f>
        <x:v>0</x:v>
      </x:c>
      <x:c r="AN302" t="n">
        <x:f>--AND(Y302&lt;&gt;"",COUNTIF($Y$4:Y302,Y302)=1)</x:f>
        <x:v>0</x:v>
      </x:c>
      <x:c r="AO302" t="n">
        <x:f>--AND(AN302=1,Z302=1,AM302=1)</x:f>
        <x:v>0</x:v>
      </x:c>
      <x:c r="AP302" t="n">
        <x:f>--AND(AO302=1,AA302=1,AL302=1)</x:f>
        <x:v>0</x:v>
      </x:c>
      <x:c r="AQ302" t="n">
        <x:f>--AND(AN302=1,Z302=1)</x:f>
        <x:v>0</x:v>
      </x:c>
      <x:c r="AR302" t="n">
        <x:f>--AND(AQ302=1,AA302=1)</x:f>
        <x:v>0</x:v>
      </x:c>
    </x:row>
    <x:row r="303">
      <x:c r="A303" s="28"/>
      <x:c r="B303" s="28"/>
      <x:c r="C303" s="28"/>
      <x:c r="D303" s="28"/>
      <x:c r="E303" s="28"/>
      <x:c r="F303" s="28"/>
      <x:c r="G303" s="28"/>
      <x:c r="H303" s="28"/>
      <x:c r="I303" s="28"/>
      <x:c r="J303" s="28"/>
      <x:c r="K303" s="28"/>
      <x:c r="L303" s="28"/>
      <x:c r="M303" s="28"/>
      <x:c r="N303" s="28"/>
      <x:c r="O303" s="28"/>
      <x:c r="P303" s="28"/>
      <x:c r="Q303" s="28"/>
      <x:c r="R303" s="28"/>
      <x:c r="S303" s="28"/>
      <x:c r="T303" s="28"/>
      <x:c r="U303" s="28"/>
      <x:c r="V303" s="28"/>
      <x:c r="W303" s="28"/>
      <x:c r="X303" s="43" t="n">
        <x:f>--AND(S303=1,T303=1,U303=1,V303=1,W303=1)</x:f>
        <x:v>0</x:v>
      </x:c>
      <x:c r="AE303" s="43" t="n">
        <x:f>--AND(S303=1,M303&lt;&gt;"",M303&lt;&gt;"keep")</x:f>
        <x:v>0</x:v>
      </x:c>
      <x:c r="AG303" t="n">
        <x:f>--AND(S303=1,T303=1,U303=1,V303=1,W303=1,AE303=1)</x:f>
        <x:v>0</x:v>
      </x:c>
      <x:c r="AJ303" t="str">
        <x:f>IF(OR(AH303="",AI303=""),"",--(AH303&lt;&gt;AI303))</x:f>
      </x:c>
      <x:c r="AL303" t="str">
        <x:f>IF(OR(AH303="",AI303=""),"PENDING_HUMAN",IF(AH303=AI303,AH303,IF(AK303&lt;&gt;"",AK303,"PENDING_HUMAN")))</x:f>
        <x:v>PENDING_HUMAN</x:v>
      </x:c>
      <x:c r="AM303" t="n">
        <x:f>--AND(A303&lt;&gt;"",AH303&lt;&gt;"",AI303&lt;&gt;"",OR(AH303=AI303,AK303&lt;&gt;""))</x:f>
        <x:v>0</x:v>
      </x:c>
      <x:c r="AN303" t="n">
        <x:f>--AND(Y303&lt;&gt;"",COUNTIF($Y$4:Y303,Y303)=1)</x:f>
        <x:v>0</x:v>
      </x:c>
      <x:c r="AO303" t="n">
        <x:f>--AND(AN303=1,Z303=1,AM303=1)</x:f>
        <x:v>0</x:v>
      </x:c>
      <x:c r="AP303" t="n">
        <x:f>--AND(AO303=1,AA303=1,AL303=1)</x:f>
        <x:v>0</x:v>
      </x:c>
      <x:c r="AQ303" t="n">
        <x:f>--AND(AN303=1,Z303=1)</x:f>
        <x:v>0</x:v>
      </x:c>
      <x:c r="AR303" t="n">
        <x:f>--AND(AQ303=1,AA303=1)</x:f>
        <x:v>0</x:v>
      </x:c>
    </x:row>
    <x:row r="304">
      <x:c r="A304" s="28"/>
      <x:c r="B304" s="28"/>
      <x:c r="C304" s="28"/>
      <x:c r="D304" s="28"/>
      <x:c r="E304" s="28"/>
      <x:c r="F304" s="28"/>
      <x:c r="G304" s="28"/>
      <x:c r="H304" s="28"/>
      <x:c r="I304" s="28"/>
      <x:c r="J304" s="28"/>
      <x:c r="K304" s="28"/>
      <x:c r="L304" s="28"/>
      <x:c r="M304" s="28"/>
      <x:c r="N304" s="28"/>
      <x:c r="O304" s="28"/>
      <x:c r="P304" s="28"/>
      <x:c r="Q304" s="28"/>
      <x:c r="R304" s="28"/>
      <x:c r="S304" s="28"/>
      <x:c r="T304" s="28"/>
      <x:c r="U304" s="28"/>
      <x:c r="V304" s="28"/>
      <x:c r="W304" s="28"/>
      <x:c r="X304" s="43" t="n">
        <x:f>--AND(S304=1,T304=1,U304=1,V304=1,W304=1)</x:f>
        <x:v>0</x:v>
      </x:c>
      <x:c r="AE304" s="43" t="n">
        <x:f>--AND(S304=1,M304&lt;&gt;"",M304&lt;&gt;"keep")</x:f>
        <x:v>0</x:v>
      </x:c>
      <x:c r="AG304" t="n">
        <x:f>--AND(S304=1,T304=1,U304=1,V304=1,W304=1,AE304=1)</x:f>
        <x:v>0</x:v>
      </x:c>
      <x:c r="AJ304" t="str">
        <x:f>IF(OR(AH304="",AI304=""),"",--(AH304&lt;&gt;AI304))</x:f>
      </x:c>
      <x:c r="AL304" t="str">
        <x:f>IF(OR(AH304="",AI304=""),"PENDING_HUMAN",IF(AH304=AI304,AH304,IF(AK304&lt;&gt;"",AK304,"PENDING_HUMAN")))</x:f>
        <x:v>PENDING_HUMAN</x:v>
      </x:c>
      <x:c r="AM304" t="n">
        <x:f>--AND(A304&lt;&gt;"",AH304&lt;&gt;"",AI304&lt;&gt;"",OR(AH304=AI304,AK304&lt;&gt;""))</x:f>
        <x:v>0</x:v>
      </x:c>
      <x:c r="AN304" t="n">
        <x:f>--AND(Y304&lt;&gt;"",COUNTIF($Y$4:Y304,Y304)=1)</x:f>
        <x:v>0</x:v>
      </x:c>
      <x:c r="AO304" t="n">
        <x:f>--AND(AN304=1,Z304=1,AM304=1)</x:f>
        <x:v>0</x:v>
      </x:c>
      <x:c r="AP304" t="n">
        <x:f>--AND(AO304=1,AA304=1,AL304=1)</x:f>
        <x:v>0</x:v>
      </x:c>
      <x:c r="AQ304" t="n">
        <x:f>--AND(AN304=1,Z304=1)</x:f>
        <x:v>0</x:v>
      </x:c>
      <x:c r="AR304" t="n">
        <x:f>--AND(AQ304=1,AA304=1)</x:f>
        <x:v>0</x:v>
      </x:c>
    </x:row>
    <x:row r="305">
      <x:c r="A305" s="28"/>
      <x:c r="B305" s="28"/>
      <x:c r="C305" s="28"/>
      <x:c r="D305" s="28"/>
      <x:c r="E305" s="28"/>
      <x:c r="F305" s="28"/>
      <x:c r="G305" s="28"/>
      <x:c r="H305" s="28"/>
      <x:c r="I305" s="28"/>
      <x:c r="J305" s="28"/>
      <x:c r="K305" s="28"/>
      <x:c r="L305" s="28"/>
      <x:c r="M305" s="28"/>
      <x:c r="N305" s="28"/>
      <x:c r="O305" s="28"/>
      <x:c r="P305" s="28"/>
      <x:c r="Q305" s="28"/>
      <x:c r="R305" s="28"/>
      <x:c r="S305" s="28"/>
      <x:c r="T305" s="28"/>
      <x:c r="U305" s="28"/>
      <x:c r="V305" s="28"/>
      <x:c r="W305" s="28"/>
      <x:c r="X305" s="43" t="n">
        <x:f>--AND(S305=1,T305=1,U305=1,V305=1,W305=1)</x:f>
        <x:v>0</x:v>
      </x:c>
      <x:c r="AE305" s="43" t="n">
        <x:f>--AND(S305=1,M305&lt;&gt;"",M305&lt;&gt;"keep")</x:f>
        <x:v>0</x:v>
      </x:c>
      <x:c r="AG305" t="n">
        <x:f>--AND(S305=1,T305=1,U305=1,V305=1,W305=1,AE305=1)</x:f>
        <x:v>0</x:v>
      </x:c>
      <x:c r="AJ305" t="str">
        <x:f>IF(OR(AH305="",AI305=""),"",--(AH305&lt;&gt;AI305))</x:f>
      </x:c>
      <x:c r="AL305" t="str">
        <x:f>IF(OR(AH305="",AI305=""),"PENDING_HUMAN",IF(AH305=AI305,AH305,IF(AK305&lt;&gt;"",AK305,"PENDING_HUMAN")))</x:f>
        <x:v>PENDING_HUMAN</x:v>
      </x:c>
      <x:c r="AM305" t="n">
        <x:f>--AND(A305&lt;&gt;"",AH305&lt;&gt;"",AI305&lt;&gt;"",OR(AH305=AI305,AK305&lt;&gt;""))</x:f>
        <x:v>0</x:v>
      </x:c>
      <x:c r="AN305" t="n">
        <x:f>--AND(Y305&lt;&gt;"",COUNTIF($Y$4:Y305,Y305)=1)</x:f>
        <x:v>0</x:v>
      </x:c>
      <x:c r="AO305" t="n">
        <x:f>--AND(AN305=1,Z305=1,AM305=1)</x:f>
        <x:v>0</x:v>
      </x:c>
      <x:c r="AP305" t="n">
        <x:f>--AND(AO305=1,AA305=1,AL305=1)</x:f>
        <x:v>0</x:v>
      </x:c>
      <x:c r="AQ305" t="n">
        <x:f>--AND(AN305=1,Z305=1)</x:f>
        <x:v>0</x:v>
      </x:c>
      <x:c r="AR305" t="n">
        <x:f>--AND(AQ305=1,AA305=1)</x:f>
        <x:v>0</x:v>
      </x:c>
    </x:row>
    <x:row r="306">
      <x:c r="A306" s="28"/>
      <x:c r="B306" s="28"/>
      <x:c r="C306" s="28"/>
      <x:c r="D306" s="28"/>
      <x:c r="E306" s="28"/>
      <x:c r="F306" s="28"/>
      <x:c r="G306" s="28"/>
      <x:c r="H306" s="28"/>
      <x:c r="I306" s="28"/>
      <x:c r="J306" s="28"/>
      <x:c r="K306" s="28"/>
      <x:c r="L306" s="28"/>
      <x:c r="M306" s="28"/>
      <x:c r="N306" s="28"/>
      <x:c r="O306" s="28"/>
      <x:c r="P306" s="28"/>
      <x:c r="Q306" s="28"/>
      <x:c r="R306" s="28"/>
      <x:c r="S306" s="28"/>
      <x:c r="T306" s="28"/>
      <x:c r="U306" s="28"/>
      <x:c r="V306" s="28"/>
      <x:c r="W306" s="28"/>
      <x:c r="X306" s="43" t="n">
        <x:f>--AND(S306=1,T306=1,U306=1,V306=1,W306=1)</x:f>
        <x:v>0</x:v>
      </x:c>
      <x:c r="AE306" s="43" t="n">
        <x:f>--AND(S306=1,M306&lt;&gt;"",M306&lt;&gt;"keep")</x:f>
        <x:v>0</x:v>
      </x:c>
      <x:c r="AG306" t="n">
        <x:f>--AND(S306=1,T306=1,U306=1,V306=1,W306=1,AE306=1)</x:f>
        <x:v>0</x:v>
      </x:c>
      <x:c r="AJ306" t="str">
        <x:f>IF(OR(AH306="",AI306=""),"",--(AH306&lt;&gt;AI306))</x:f>
      </x:c>
      <x:c r="AL306" t="str">
        <x:f>IF(OR(AH306="",AI306=""),"PENDING_HUMAN",IF(AH306=AI306,AH306,IF(AK306&lt;&gt;"",AK306,"PENDING_HUMAN")))</x:f>
        <x:v>PENDING_HUMAN</x:v>
      </x:c>
      <x:c r="AM306" t="n">
        <x:f>--AND(A306&lt;&gt;"",AH306&lt;&gt;"",AI306&lt;&gt;"",OR(AH306=AI306,AK306&lt;&gt;""))</x:f>
        <x:v>0</x:v>
      </x:c>
      <x:c r="AN306" t="n">
        <x:f>--AND(Y306&lt;&gt;"",COUNTIF($Y$4:Y306,Y306)=1)</x:f>
        <x:v>0</x:v>
      </x:c>
      <x:c r="AO306" t="n">
        <x:f>--AND(AN306=1,Z306=1,AM306=1)</x:f>
        <x:v>0</x:v>
      </x:c>
      <x:c r="AP306" t="n">
        <x:f>--AND(AO306=1,AA306=1,AL306=1)</x:f>
        <x:v>0</x:v>
      </x:c>
      <x:c r="AQ306" t="n">
        <x:f>--AND(AN306=1,Z306=1)</x:f>
        <x:v>0</x:v>
      </x:c>
      <x:c r="AR306" t="n">
        <x:f>--AND(AQ306=1,AA306=1)</x:f>
        <x:v>0</x:v>
      </x:c>
    </x:row>
    <x:row r="307">
      <x:c r="A307" s="28"/>
      <x:c r="B307" s="28"/>
      <x:c r="C307" s="28"/>
      <x:c r="D307" s="28"/>
      <x:c r="E307" s="28"/>
      <x:c r="F307" s="28"/>
      <x:c r="G307" s="28"/>
      <x:c r="H307" s="28"/>
      <x:c r="I307" s="28"/>
      <x:c r="J307" s="28"/>
      <x:c r="K307" s="28"/>
      <x:c r="L307" s="28"/>
      <x:c r="M307" s="28"/>
      <x:c r="N307" s="28"/>
      <x:c r="O307" s="28"/>
      <x:c r="P307" s="28"/>
      <x:c r="Q307" s="28"/>
      <x:c r="R307" s="28"/>
      <x:c r="S307" s="28"/>
      <x:c r="T307" s="28"/>
      <x:c r="U307" s="28"/>
      <x:c r="V307" s="28"/>
      <x:c r="W307" s="28"/>
      <x:c r="X307" s="43" t="n">
        <x:f>--AND(S307=1,T307=1,U307=1,V307=1,W307=1)</x:f>
        <x:v>0</x:v>
      </x:c>
      <x:c r="AE307" s="43" t="n">
        <x:f>--AND(S307=1,M307&lt;&gt;"",M307&lt;&gt;"keep")</x:f>
        <x:v>0</x:v>
      </x:c>
      <x:c r="AG307" t="n">
        <x:f>--AND(S307=1,T307=1,U307=1,V307=1,W307=1,AE307=1)</x:f>
        <x:v>0</x:v>
      </x:c>
      <x:c r="AJ307" t="str">
        <x:f>IF(OR(AH307="",AI307=""),"",--(AH307&lt;&gt;AI307))</x:f>
      </x:c>
      <x:c r="AL307" t="str">
        <x:f>IF(OR(AH307="",AI307=""),"PENDING_HUMAN",IF(AH307=AI307,AH307,IF(AK307&lt;&gt;"",AK307,"PENDING_HUMAN")))</x:f>
        <x:v>PENDING_HUMAN</x:v>
      </x:c>
      <x:c r="AM307" t="n">
        <x:f>--AND(A307&lt;&gt;"",AH307&lt;&gt;"",AI307&lt;&gt;"",OR(AH307=AI307,AK307&lt;&gt;""))</x:f>
        <x:v>0</x:v>
      </x:c>
      <x:c r="AN307" t="n">
        <x:f>--AND(Y307&lt;&gt;"",COUNTIF($Y$4:Y307,Y307)=1)</x:f>
        <x:v>0</x:v>
      </x:c>
      <x:c r="AO307" t="n">
        <x:f>--AND(AN307=1,Z307=1,AM307=1)</x:f>
        <x:v>0</x:v>
      </x:c>
      <x:c r="AP307" t="n">
        <x:f>--AND(AO307=1,AA307=1,AL307=1)</x:f>
        <x:v>0</x:v>
      </x:c>
      <x:c r="AQ307" t="n">
        <x:f>--AND(AN307=1,Z307=1)</x:f>
        <x:v>0</x:v>
      </x:c>
      <x:c r="AR307" t="n">
        <x:f>--AND(AQ307=1,AA307=1)</x:f>
        <x:v>0</x:v>
      </x:c>
    </x:row>
    <x:row r="308">
      <x:c r="A308" s="28"/>
      <x:c r="B308" s="28"/>
      <x:c r="C308" s="28"/>
      <x:c r="D308" s="28"/>
      <x:c r="E308" s="28"/>
      <x:c r="F308" s="28"/>
      <x:c r="G308" s="28"/>
      <x:c r="H308" s="28"/>
      <x:c r="I308" s="28"/>
      <x:c r="J308" s="28"/>
      <x:c r="K308" s="28"/>
      <x:c r="L308" s="28"/>
      <x:c r="M308" s="28"/>
      <x:c r="N308" s="28"/>
      <x:c r="O308" s="28"/>
      <x:c r="P308" s="28"/>
      <x:c r="Q308" s="28"/>
      <x:c r="R308" s="28"/>
      <x:c r="S308" s="28"/>
      <x:c r="T308" s="28"/>
      <x:c r="U308" s="28"/>
      <x:c r="V308" s="28"/>
      <x:c r="W308" s="28"/>
      <x:c r="X308" s="43" t="n">
        <x:f>--AND(S308=1,T308=1,U308=1,V308=1,W308=1)</x:f>
        <x:v>0</x:v>
      </x:c>
      <x:c r="AE308" s="43" t="n">
        <x:f>--AND(S308=1,M308&lt;&gt;"",M308&lt;&gt;"keep")</x:f>
        <x:v>0</x:v>
      </x:c>
      <x:c r="AG308" t="n">
        <x:f>--AND(S308=1,T308=1,U308=1,V308=1,W308=1,AE308=1)</x:f>
        <x:v>0</x:v>
      </x:c>
      <x:c r="AJ308" t="str">
        <x:f>IF(OR(AH308="",AI308=""),"",--(AH308&lt;&gt;AI308))</x:f>
      </x:c>
      <x:c r="AL308" t="str">
        <x:f>IF(OR(AH308="",AI308=""),"PENDING_HUMAN",IF(AH308=AI308,AH308,IF(AK308&lt;&gt;"",AK308,"PENDING_HUMAN")))</x:f>
        <x:v>PENDING_HUMAN</x:v>
      </x:c>
      <x:c r="AM308" t="n">
        <x:f>--AND(A308&lt;&gt;"",AH308&lt;&gt;"",AI308&lt;&gt;"",OR(AH308=AI308,AK308&lt;&gt;""))</x:f>
        <x:v>0</x:v>
      </x:c>
      <x:c r="AN308" t="n">
        <x:f>--AND(Y308&lt;&gt;"",COUNTIF($Y$4:Y308,Y308)=1)</x:f>
        <x:v>0</x:v>
      </x:c>
      <x:c r="AO308" t="n">
        <x:f>--AND(AN308=1,Z308=1,AM308=1)</x:f>
        <x:v>0</x:v>
      </x:c>
      <x:c r="AP308" t="n">
        <x:f>--AND(AO308=1,AA308=1,AL308=1)</x:f>
        <x:v>0</x:v>
      </x:c>
      <x:c r="AQ308" t="n">
        <x:f>--AND(AN308=1,Z308=1)</x:f>
        <x:v>0</x:v>
      </x:c>
      <x:c r="AR308" t="n">
        <x:f>--AND(AQ308=1,AA308=1)</x:f>
        <x:v>0</x:v>
      </x:c>
    </x:row>
    <x:row r="309">
      <x:c r="A309" s="28"/>
      <x:c r="B309" s="28"/>
      <x:c r="C309" s="28"/>
      <x:c r="D309" s="28"/>
      <x:c r="E309" s="28"/>
      <x:c r="F309" s="28"/>
      <x:c r="G309" s="28"/>
      <x:c r="H309" s="28"/>
      <x:c r="I309" s="28"/>
      <x:c r="J309" s="28"/>
      <x:c r="K309" s="28"/>
      <x:c r="L309" s="28"/>
      <x:c r="M309" s="28"/>
      <x:c r="N309" s="28"/>
      <x:c r="O309" s="28"/>
      <x:c r="P309" s="28"/>
      <x:c r="Q309" s="28"/>
      <x:c r="R309" s="28"/>
      <x:c r="S309" s="28"/>
      <x:c r="T309" s="28"/>
      <x:c r="U309" s="28"/>
      <x:c r="V309" s="28"/>
      <x:c r="W309" s="28"/>
      <x:c r="X309" s="43" t="n">
        <x:f>--AND(S309=1,T309=1,U309=1,V309=1,W309=1)</x:f>
        <x:v>0</x:v>
      </x:c>
      <x:c r="AE309" s="43" t="n">
        <x:f>--AND(S309=1,M309&lt;&gt;"",M309&lt;&gt;"keep")</x:f>
        <x:v>0</x:v>
      </x:c>
      <x:c r="AG309" t="n">
        <x:f>--AND(S309=1,T309=1,U309=1,V309=1,W309=1,AE309=1)</x:f>
        <x:v>0</x:v>
      </x:c>
      <x:c r="AJ309" t="str">
        <x:f>IF(OR(AH309="",AI309=""),"",--(AH309&lt;&gt;AI309))</x:f>
      </x:c>
      <x:c r="AL309" t="str">
        <x:f>IF(OR(AH309="",AI309=""),"PENDING_HUMAN",IF(AH309=AI309,AH309,IF(AK309&lt;&gt;"",AK309,"PENDING_HUMAN")))</x:f>
        <x:v>PENDING_HUMAN</x:v>
      </x:c>
      <x:c r="AM309" t="n">
        <x:f>--AND(A309&lt;&gt;"",AH309&lt;&gt;"",AI309&lt;&gt;"",OR(AH309=AI309,AK309&lt;&gt;""))</x:f>
        <x:v>0</x:v>
      </x:c>
      <x:c r="AN309" t="n">
        <x:f>--AND(Y309&lt;&gt;"",COUNTIF($Y$4:Y309,Y309)=1)</x:f>
        <x:v>0</x:v>
      </x:c>
      <x:c r="AO309" t="n">
        <x:f>--AND(AN309=1,Z309=1,AM309=1)</x:f>
        <x:v>0</x:v>
      </x:c>
      <x:c r="AP309" t="n">
        <x:f>--AND(AO309=1,AA309=1,AL309=1)</x:f>
        <x:v>0</x:v>
      </x:c>
      <x:c r="AQ309" t="n">
        <x:f>--AND(AN309=1,Z309=1)</x:f>
        <x:v>0</x:v>
      </x:c>
      <x:c r="AR309" t="n">
        <x:f>--AND(AQ309=1,AA309=1)</x:f>
        <x:v>0</x:v>
      </x:c>
    </x:row>
    <x:row r="310">
      <x:c r="A310" s="28"/>
      <x:c r="B310" s="28"/>
      <x:c r="C310" s="28"/>
      <x:c r="D310" s="28"/>
      <x:c r="E310" s="28"/>
      <x:c r="F310" s="28"/>
      <x:c r="G310" s="28"/>
      <x:c r="H310" s="28"/>
      <x:c r="I310" s="28"/>
      <x:c r="J310" s="28"/>
      <x:c r="K310" s="28"/>
      <x:c r="L310" s="28"/>
      <x:c r="M310" s="28"/>
      <x:c r="N310" s="28"/>
      <x:c r="O310" s="28"/>
      <x:c r="P310" s="28"/>
      <x:c r="Q310" s="28"/>
      <x:c r="R310" s="28"/>
      <x:c r="S310" s="28"/>
      <x:c r="T310" s="28"/>
      <x:c r="U310" s="28"/>
      <x:c r="V310" s="28"/>
      <x:c r="W310" s="28"/>
      <x:c r="X310" s="43" t="n">
        <x:f>--AND(S310=1,T310=1,U310=1,V310=1,W310=1)</x:f>
        <x:v>0</x:v>
      </x:c>
      <x:c r="AE310" s="43" t="n">
        <x:f>--AND(S310=1,M310&lt;&gt;"",M310&lt;&gt;"keep")</x:f>
        <x:v>0</x:v>
      </x:c>
      <x:c r="AG310" t="n">
        <x:f>--AND(S310=1,T310=1,U310=1,V310=1,W310=1,AE310=1)</x:f>
        <x:v>0</x:v>
      </x:c>
      <x:c r="AJ310" t="str">
        <x:f>IF(OR(AH310="",AI310=""),"",--(AH310&lt;&gt;AI310))</x:f>
      </x:c>
      <x:c r="AL310" t="str">
        <x:f>IF(OR(AH310="",AI310=""),"PENDING_HUMAN",IF(AH310=AI310,AH310,IF(AK310&lt;&gt;"",AK310,"PENDING_HUMAN")))</x:f>
        <x:v>PENDING_HUMAN</x:v>
      </x:c>
      <x:c r="AM310" t="n">
        <x:f>--AND(A310&lt;&gt;"",AH310&lt;&gt;"",AI310&lt;&gt;"",OR(AH310=AI310,AK310&lt;&gt;""))</x:f>
        <x:v>0</x:v>
      </x:c>
      <x:c r="AN310" t="n">
        <x:f>--AND(Y310&lt;&gt;"",COUNTIF($Y$4:Y310,Y310)=1)</x:f>
        <x:v>0</x:v>
      </x:c>
      <x:c r="AO310" t="n">
        <x:f>--AND(AN310=1,Z310=1,AM310=1)</x:f>
        <x:v>0</x:v>
      </x:c>
      <x:c r="AP310" t="n">
        <x:f>--AND(AO310=1,AA310=1,AL310=1)</x:f>
        <x:v>0</x:v>
      </x:c>
      <x:c r="AQ310" t="n">
        <x:f>--AND(AN310=1,Z310=1)</x:f>
        <x:v>0</x:v>
      </x:c>
      <x:c r="AR310" t="n">
        <x:f>--AND(AQ310=1,AA310=1)</x:f>
        <x:v>0</x:v>
      </x:c>
    </x:row>
    <x:row r="311">
      <x:c r="A311" s="28"/>
      <x:c r="B311" s="28"/>
      <x:c r="C311" s="28"/>
      <x:c r="D311" s="28"/>
      <x:c r="E311" s="28"/>
      <x:c r="F311" s="28"/>
      <x:c r="G311" s="28"/>
      <x:c r="H311" s="28"/>
      <x:c r="I311" s="28"/>
      <x:c r="J311" s="28"/>
      <x:c r="K311" s="28"/>
      <x:c r="L311" s="28"/>
      <x:c r="M311" s="28"/>
      <x:c r="N311" s="28"/>
      <x:c r="O311" s="28"/>
      <x:c r="P311" s="28"/>
      <x:c r="Q311" s="28"/>
      <x:c r="R311" s="28"/>
      <x:c r="S311" s="28"/>
      <x:c r="T311" s="28"/>
      <x:c r="U311" s="28"/>
      <x:c r="V311" s="28"/>
      <x:c r="W311" s="28"/>
      <x:c r="X311" s="43" t="n">
        <x:f>--AND(S311=1,T311=1,U311=1,V311=1,W311=1)</x:f>
        <x:v>0</x:v>
      </x:c>
      <x:c r="AE311" s="43" t="n">
        <x:f>--AND(S311=1,M311&lt;&gt;"",M311&lt;&gt;"keep")</x:f>
        <x:v>0</x:v>
      </x:c>
      <x:c r="AG311" t="n">
        <x:f>--AND(S311=1,T311=1,U311=1,V311=1,W311=1,AE311=1)</x:f>
        <x:v>0</x:v>
      </x:c>
      <x:c r="AJ311" t="str">
        <x:f>IF(OR(AH311="",AI311=""),"",--(AH311&lt;&gt;AI311))</x:f>
      </x:c>
      <x:c r="AL311" t="str">
        <x:f>IF(OR(AH311="",AI311=""),"PENDING_HUMAN",IF(AH311=AI311,AH311,IF(AK311&lt;&gt;"",AK311,"PENDING_HUMAN")))</x:f>
        <x:v>PENDING_HUMAN</x:v>
      </x:c>
      <x:c r="AM311" t="n">
        <x:f>--AND(A311&lt;&gt;"",AH311&lt;&gt;"",AI311&lt;&gt;"",OR(AH311=AI311,AK311&lt;&gt;""))</x:f>
        <x:v>0</x:v>
      </x:c>
      <x:c r="AN311" t="n">
        <x:f>--AND(Y311&lt;&gt;"",COUNTIF($Y$4:Y311,Y311)=1)</x:f>
        <x:v>0</x:v>
      </x:c>
      <x:c r="AO311" t="n">
        <x:f>--AND(AN311=1,Z311=1,AM311=1)</x:f>
        <x:v>0</x:v>
      </x:c>
      <x:c r="AP311" t="n">
        <x:f>--AND(AO311=1,AA311=1,AL311=1)</x:f>
        <x:v>0</x:v>
      </x:c>
      <x:c r="AQ311" t="n">
        <x:f>--AND(AN311=1,Z311=1)</x:f>
        <x:v>0</x:v>
      </x:c>
      <x:c r="AR311" t="n">
        <x:f>--AND(AQ311=1,AA311=1)</x:f>
        <x:v>0</x:v>
      </x:c>
    </x:row>
    <x:row r="312">
      <x:c r="A312" s="28"/>
      <x:c r="B312" s="28"/>
      <x:c r="C312" s="28"/>
      <x:c r="D312" s="28"/>
      <x:c r="E312" s="28"/>
      <x:c r="F312" s="28"/>
      <x:c r="G312" s="28"/>
      <x:c r="H312" s="28"/>
      <x:c r="I312" s="28"/>
      <x:c r="J312" s="28"/>
      <x:c r="K312" s="28"/>
      <x:c r="L312" s="28"/>
      <x:c r="M312" s="28"/>
      <x:c r="N312" s="28"/>
      <x:c r="O312" s="28"/>
      <x:c r="P312" s="28"/>
      <x:c r="Q312" s="28"/>
      <x:c r="R312" s="28"/>
      <x:c r="S312" s="28"/>
      <x:c r="T312" s="28"/>
      <x:c r="U312" s="28"/>
      <x:c r="V312" s="28"/>
      <x:c r="W312" s="28"/>
      <x:c r="X312" s="43" t="n">
        <x:f>--AND(S312=1,T312=1,U312=1,V312=1,W312=1)</x:f>
        <x:v>0</x:v>
      </x:c>
      <x:c r="AE312" s="43" t="n">
        <x:f>--AND(S312=1,M312&lt;&gt;"",M312&lt;&gt;"keep")</x:f>
        <x:v>0</x:v>
      </x:c>
      <x:c r="AG312" t="n">
        <x:f>--AND(S312=1,T312=1,U312=1,V312=1,W312=1,AE312=1)</x:f>
        <x:v>0</x:v>
      </x:c>
      <x:c r="AJ312" t="str">
        <x:f>IF(OR(AH312="",AI312=""),"",--(AH312&lt;&gt;AI312))</x:f>
      </x:c>
      <x:c r="AL312" t="str">
        <x:f>IF(OR(AH312="",AI312=""),"PENDING_HUMAN",IF(AH312=AI312,AH312,IF(AK312&lt;&gt;"",AK312,"PENDING_HUMAN")))</x:f>
        <x:v>PENDING_HUMAN</x:v>
      </x:c>
      <x:c r="AM312" t="n">
        <x:f>--AND(A312&lt;&gt;"",AH312&lt;&gt;"",AI312&lt;&gt;"",OR(AH312=AI312,AK312&lt;&gt;""))</x:f>
        <x:v>0</x:v>
      </x:c>
      <x:c r="AN312" t="n">
        <x:f>--AND(Y312&lt;&gt;"",COUNTIF($Y$4:Y312,Y312)=1)</x:f>
        <x:v>0</x:v>
      </x:c>
      <x:c r="AO312" t="n">
        <x:f>--AND(AN312=1,Z312=1,AM312=1)</x:f>
        <x:v>0</x:v>
      </x:c>
      <x:c r="AP312" t="n">
        <x:f>--AND(AO312=1,AA312=1,AL312=1)</x:f>
        <x:v>0</x:v>
      </x:c>
      <x:c r="AQ312" t="n">
        <x:f>--AND(AN312=1,Z312=1)</x:f>
        <x:v>0</x:v>
      </x:c>
      <x:c r="AR312" t="n">
        <x:f>--AND(AQ312=1,AA312=1)</x:f>
        <x:v>0</x:v>
      </x:c>
    </x:row>
    <x:row r="313">
      <x:c r="A313" s="28"/>
      <x:c r="B313" s="28"/>
      <x:c r="C313" s="28"/>
      <x:c r="D313" s="28"/>
      <x:c r="E313" s="28"/>
      <x:c r="F313" s="28"/>
      <x:c r="G313" s="28"/>
      <x:c r="H313" s="28"/>
      <x:c r="I313" s="28"/>
      <x:c r="J313" s="28"/>
      <x:c r="K313" s="28"/>
      <x:c r="L313" s="28"/>
      <x:c r="M313" s="28"/>
      <x:c r="N313" s="28"/>
      <x:c r="O313" s="28"/>
      <x:c r="P313" s="28"/>
      <x:c r="Q313" s="28"/>
      <x:c r="R313" s="28"/>
      <x:c r="S313" s="28"/>
      <x:c r="T313" s="28"/>
      <x:c r="U313" s="28"/>
      <x:c r="V313" s="28"/>
      <x:c r="W313" s="28"/>
      <x:c r="X313" s="43" t="n">
        <x:f>--AND(S313=1,T313=1,U313=1,V313=1,W313=1)</x:f>
        <x:v>0</x:v>
      </x:c>
      <x:c r="AE313" s="43" t="n">
        <x:f>--AND(S313=1,M313&lt;&gt;"",M313&lt;&gt;"keep")</x:f>
        <x:v>0</x:v>
      </x:c>
      <x:c r="AG313" t="n">
        <x:f>--AND(S313=1,T313=1,U313=1,V313=1,W313=1,AE313=1)</x:f>
        <x:v>0</x:v>
      </x:c>
      <x:c r="AJ313" t="str">
        <x:f>IF(OR(AH313="",AI313=""),"",--(AH313&lt;&gt;AI313))</x:f>
      </x:c>
      <x:c r="AL313" t="str">
        <x:f>IF(OR(AH313="",AI313=""),"PENDING_HUMAN",IF(AH313=AI313,AH313,IF(AK313&lt;&gt;"",AK313,"PENDING_HUMAN")))</x:f>
        <x:v>PENDING_HUMAN</x:v>
      </x:c>
      <x:c r="AM313" t="n">
        <x:f>--AND(A313&lt;&gt;"",AH313&lt;&gt;"",AI313&lt;&gt;"",OR(AH313=AI313,AK313&lt;&gt;""))</x:f>
        <x:v>0</x:v>
      </x:c>
      <x:c r="AN313" t="n">
        <x:f>--AND(Y313&lt;&gt;"",COUNTIF($Y$4:Y313,Y313)=1)</x:f>
        <x:v>0</x:v>
      </x:c>
      <x:c r="AO313" t="n">
        <x:f>--AND(AN313=1,Z313=1,AM313=1)</x:f>
        <x:v>0</x:v>
      </x:c>
      <x:c r="AP313" t="n">
        <x:f>--AND(AO313=1,AA313=1,AL313=1)</x:f>
        <x:v>0</x:v>
      </x:c>
      <x:c r="AQ313" t="n">
        <x:f>--AND(AN313=1,Z313=1)</x:f>
        <x:v>0</x:v>
      </x:c>
      <x:c r="AR313" t="n">
        <x:f>--AND(AQ313=1,AA313=1)</x:f>
        <x:v>0</x:v>
      </x:c>
    </x:row>
    <x:row r="314">
      <x:c r="A314" s="28"/>
      <x:c r="B314" s="28"/>
      <x:c r="C314" s="28"/>
      <x:c r="D314" s="28"/>
      <x:c r="E314" s="28"/>
      <x:c r="F314" s="28"/>
      <x:c r="G314" s="28"/>
      <x:c r="H314" s="28"/>
      <x:c r="I314" s="28"/>
      <x:c r="J314" s="28"/>
      <x:c r="K314" s="28"/>
      <x:c r="L314" s="28"/>
      <x:c r="M314" s="28"/>
      <x:c r="N314" s="28"/>
      <x:c r="O314" s="28"/>
      <x:c r="P314" s="28"/>
      <x:c r="Q314" s="28"/>
      <x:c r="R314" s="28"/>
      <x:c r="S314" s="28"/>
      <x:c r="T314" s="28"/>
      <x:c r="U314" s="28"/>
      <x:c r="V314" s="28"/>
      <x:c r="W314" s="28"/>
      <x:c r="X314" s="43" t="n">
        <x:f>--AND(S314=1,T314=1,U314=1,V314=1,W314=1)</x:f>
        <x:v>0</x:v>
      </x:c>
      <x:c r="AE314" s="43" t="n">
        <x:f>--AND(S314=1,M314&lt;&gt;"",M314&lt;&gt;"keep")</x:f>
        <x:v>0</x:v>
      </x:c>
      <x:c r="AG314" t="n">
        <x:f>--AND(S314=1,T314=1,U314=1,V314=1,W314=1,AE314=1)</x:f>
        <x:v>0</x:v>
      </x:c>
      <x:c r="AJ314" t="str">
        <x:f>IF(OR(AH314="",AI314=""),"",--(AH314&lt;&gt;AI314))</x:f>
      </x:c>
      <x:c r="AL314" t="str">
        <x:f>IF(OR(AH314="",AI314=""),"PENDING_HUMAN",IF(AH314=AI314,AH314,IF(AK314&lt;&gt;"",AK314,"PENDING_HUMAN")))</x:f>
        <x:v>PENDING_HUMAN</x:v>
      </x:c>
      <x:c r="AM314" t="n">
        <x:f>--AND(A314&lt;&gt;"",AH314&lt;&gt;"",AI314&lt;&gt;"",OR(AH314=AI314,AK314&lt;&gt;""))</x:f>
        <x:v>0</x:v>
      </x:c>
      <x:c r="AN314" t="n">
        <x:f>--AND(Y314&lt;&gt;"",COUNTIF($Y$4:Y314,Y314)=1)</x:f>
        <x:v>0</x:v>
      </x:c>
      <x:c r="AO314" t="n">
        <x:f>--AND(AN314=1,Z314=1,AM314=1)</x:f>
        <x:v>0</x:v>
      </x:c>
      <x:c r="AP314" t="n">
        <x:f>--AND(AO314=1,AA314=1,AL314=1)</x:f>
        <x:v>0</x:v>
      </x:c>
      <x:c r="AQ314" t="n">
        <x:f>--AND(AN314=1,Z314=1)</x:f>
        <x:v>0</x:v>
      </x:c>
      <x:c r="AR314" t="n">
        <x:f>--AND(AQ314=1,AA314=1)</x:f>
        <x:v>0</x:v>
      </x:c>
    </x:row>
    <x:row r="315">
      <x:c r="A315" s="28"/>
      <x:c r="B315" s="28"/>
      <x:c r="C315" s="28"/>
      <x:c r="D315" s="28"/>
      <x:c r="E315" s="28"/>
      <x:c r="F315" s="28"/>
      <x:c r="G315" s="28"/>
      <x:c r="H315" s="28"/>
      <x:c r="I315" s="28"/>
      <x:c r="J315" s="28"/>
      <x:c r="K315" s="28"/>
      <x:c r="L315" s="28"/>
      <x:c r="M315" s="28"/>
      <x:c r="N315" s="28"/>
      <x:c r="O315" s="28"/>
      <x:c r="P315" s="28"/>
      <x:c r="Q315" s="28"/>
      <x:c r="R315" s="28"/>
      <x:c r="S315" s="28"/>
      <x:c r="T315" s="28"/>
      <x:c r="U315" s="28"/>
      <x:c r="V315" s="28"/>
      <x:c r="W315" s="28"/>
      <x:c r="X315" s="43" t="n">
        <x:f>--AND(S315=1,T315=1,U315=1,V315=1,W315=1)</x:f>
        <x:v>0</x:v>
      </x:c>
      <x:c r="AE315" s="43" t="n">
        <x:f>--AND(S315=1,M315&lt;&gt;"",M315&lt;&gt;"keep")</x:f>
        <x:v>0</x:v>
      </x:c>
      <x:c r="AG315" t="n">
        <x:f>--AND(S315=1,T315=1,U315=1,V315=1,W315=1,AE315=1)</x:f>
        <x:v>0</x:v>
      </x:c>
      <x:c r="AJ315" t="str">
        <x:f>IF(OR(AH315="",AI315=""),"",--(AH315&lt;&gt;AI315))</x:f>
      </x:c>
      <x:c r="AL315" t="str">
        <x:f>IF(OR(AH315="",AI315=""),"PENDING_HUMAN",IF(AH315=AI315,AH315,IF(AK315&lt;&gt;"",AK315,"PENDING_HUMAN")))</x:f>
        <x:v>PENDING_HUMAN</x:v>
      </x:c>
      <x:c r="AM315" t="n">
        <x:f>--AND(A315&lt;&gt;"",AH315&lt;&gt;"",AI315&lt;&gt;"",OR(AH315=AI315,AK315&lt;&gt;""))</x:f>
        <x:v>0</x:v>
      </x:c>
      <x:c r="AN315" t="n">
        <x:f>--AND(Y315&lt;&gt;"",COUNTIF($Y$4:Y315,Y315)=1)</x:f>
        <x:v>0</x:v>
      </x:c>
      <x:c r="AO315" t="n">
        <x:f>--AND(AN315=1,Z315=1,AM315=1)</x:f>
        <x:v>0</x:v>
      </x:c>
      <x:c r="AP315" t="n">
        <x:f>--AND(AO315=1,AA315=1,AL315=1)</x:f>
        <x:v>0</x:v>
      </x:c>
      <x:c r="AQ315" t="n">
        <x:f>--AND(AN315=1,Z315=1)</x:f>
        <x:v>0</x:v>
      </x:c>
      <x:c r="AR315" t="n">
        <x:f>--AND(AQ315=1,AA315=1)</x:f>
        <x:v>0</x:v>
      </x:c>
    </x:row>
    <x:row r="316">
      <x:c r="A316" s="28"/>
      <x:c r="B316" s="28"/>
      <x:c r="C316" s="28"/>
      <x:c r="D316" s="28"/>
      <x:c r="E316" s="28"/>
      <x:c r="F316" s="28"/>
      <x:c r="G316" s="28"/>
      <x:c r="H316" s="28"/>
      <x:c r="I316" s="28"/>
      <x:c r="J316" s="28"/>
      <x:c r="K316" s="28"/>
      <x:c r="L316" s="28"/>
      <x:c r="M316" s="28"/>
      <x:c r="N316" s="28"/>
      <x:c r="O316" s="28"/>
      <x:c r="P316" s="28"/>
      <x:c r="Q316" s="28"/>
      <x:c r="R316" s="28"/>
      <x:c r="S316" s="28"/>
      <x:c r="T316" s="28"/>
      <x:c r="U316" s="28"/>
      <x:c r="V316" s="28"/>
      <x:c r="W316" s="28"/>
      <x:c r="X316" s="43" t="n">
        <x:f>--AND(S316=1,T316=1,U316=1,V316=1,W316=1)</x:f>
        <x:v>0</x:v>
      </x:c>
      <x:c r="AE316" s="43" t="n">
        <x:f>--AND(S316=1,M316&lt;&gt;"",M316&lt;&gt;"keep")</x:f>
        <x:v>0</x:v>
      </x:c>
      <x:c r="AG316" t="n">
        <x:f>--AND(S316=1,T316=1,U316=1,V316=1,W316=1,AE316=1)</x:f>
        <x:v>0</x:v>
      </x:c>
      <x:c r="AJ316" t="str">
        <x:f>IF(OR(AH316="",AI316=""),"",--(AH316&lt;&gt;AI316))</x:f>
      </x:c>
      <x:c r="AL316" t="str">
        <x:f>IF(OR(AH316="",AI316=""),"PENDING_HUMAN",IF(AH316=AI316,AH316,IF(AK316&lt;&gt;"",AK316,"PENDING_HUMAN")))</x:f>
        <x:v>PENDING_HUMAN</x:v>
      </x:c>
      <x:c r="AM316" t="n">
        <x:f>--AND(A316&lt;&gt;"",AH316&lt;&gt;"",AI316&lt;&gt;"",OR(AH316=AI316,AK316&lt;&gt;""))</x:f>
        <x:v>0</x:v>
      </x:c>
      <x:c r="AN316" t="n">
        <x:f>--AND(Y316&lt;&gt;"",COUNTIF($Y$4:Y316,Y316)=1)</x:f>
        <x:v>0</x:v>
      </x:c>
      <x:c r="AO316" t="n">
        <x:f>--AND(AN316=1,Z316=1,AM316=1)</x:f>
        <x:v>0</x:v>
      </x:c>
      <x:c r="AP316" t="n">
        <x:f>--AND(AO316=1,AA316=1,AL316=1)</x:f>
        <x:v>0</x:v>
      </x:c>
      <x:c r="AQ316" t="n">
        <x:f>--AND(AN316=1,Z316=1)</x:f>
        <x:v>0</x:v>
      </x:c>
      <x:c r="AR316" t="n">
        <x:f>--AND(AQ316=1,AA316=1)</x:f>
        <x:v>0</x:v>
      </x:c>
    </x:row>
    <x:row r="317">
      <x:c r="A317" s="28"/>
      <x:c r="B317" s="28"/>
      <x:c r="C317" s="28"/>
      <x:c r="D317" s="28"/>
      <x:c r="E317" s="28"/>
      <x:c r="F317" s="28"/>
      <x:c r="G317" s="28"/>
      <x:c r="H317" s="28"/>
      <x:c r="I317" s="28"/>
      <x:c r="J317" s="28"/>
      <x:c r="K317" s="28"/>
      <x:c r="L317" s="28"/>
      <x:c r="M317" s="28"/>
      <x:c r="N317" s="28"/>
      <x:c r="O317" s="28"/>
      <x:c r="P317" s="28"/>
      <x:c r="Q317" s="28"/>
      <x:c r="R317" s="28"/>
      <x:c r="S317" s="28"/>
      <x:c r="T317" s="28"/>
      <x:c r="U317" s="28"/>
      <x:c r="V317" s="28"/>
      <x:c r="W317" s="28"/>
      <x:c r="X317" s="43" t="n">
        <x:f>--AND(S317=1,T317=1,U317=1,V317=1,W317=1)</x:f>
        <x:v>0</x:v>
      </x:c>
      <x:c r="AE317" s="43" t="n">
        <x:f>--AND(S317=1,M317&lt;&gt;"",M317&lt;&gt;"keep")</x:f>
        <x:v>0</x:v>
      </x:c>
      <x:c r="AG317" t="n">
        <x:f>--AND(S317=1,T317=1,U317=1,V317=1,W317=1,AE317=1)</x:f>
        <x:v>0</x:v>
      </x:c>
      <x:c r="AJ317" t="str">
        <x:f>IF(OR(AH317="",AI317=""),"",--(AH317&lt;&gt;AI317))</x:f>
      </x:c>
      <x:c r="AL317" t="str">
        <x:f>IF(OR(AH317="",AI317=""),"PENDING_HUMAN",IF(AH317=AI317,AH317,IF(AK317&lt;&gt;"",AK317,"PENDING_HUMAN")))</x:f>
        <x:v>PENDING_HUMAN</x:v>
      </x:c>
      <x:c r="AM317" t="n">
        <x:f>--AND(A317&lt;&gt;"",AH317&lt;&gt;"",AI317&lt;&gt;"",OR(AH317=AI317,AK317&lt;&gt;""))</x:f>
        <x:v>0</x:v>
      </x:c>
      <x:c r="AN317" t="n">
        <x:f>--AND(Y317&lt;&gt;"",COUNTIF($Y$4:Y317,Y317)=1)</x:f>
        <x:v>0</x:v>
      </x:c>
      <x:c r="AO317" t="n">
        <x:f>--AND(AN317=1,Z317=1,AM317=1)</x:f>
        <x:v>0</x:v>
      </x:c>
      <x:c r="AP317" t="n">
        <x:f>--AND(AO317=1,AA317=1,AL317=1)</x:f>
        <x:v>0</x:v>
      </x:c>
      <x:c r="AQ317" t="n">
        <x:f>--AND(AN317=1,Z317=1)</x:f>
        <x:v>0</x:v>
      </x:c>
      <x:c r="AR317" t="n">
        <x:f>--AND(AQ317=1,AA317=1)</x:f>
        <x:v>0</x:v>
      </x:c>
    </x:row>
    <x:row r="318">
      <x:c r="A318" s="28"/>
      <x:c r="B318" s="28"/>
      <x:c r="C318" s="28"/>
      <x:c r="D318" s="28"/>
      <x:c r="E318" s="28"/>
      <x:c r="F318" s="28"/>
      <x:c r="G318" s="28"/>
      <x:c r="H318" s="28"/>
      <x:c r="I318" s="28"/>
      <x:c r="J318" s="28"/>
      <x:c r="K318" s="28"/>
      <x:c r="L318" s="28"/>
      <x:c r="M318" s="28"/>
      <x:c r="N318" s="28"/>
      <x:c r="O318" s="28"/>
      <x:c r="P318" s="28"/>
      <x:c r="Q318" s="28"/>
      <x:c r="R318" s="28"/>
      <x:c r="S318" s="28"/>
      <x:c r="T318" s="28"/>
      <x:c r="U318" s="28"/>
      <x:c r="V318" s="28"/>
      <x:c r="W318" s="28"/>
      <x:c r="X318" s="43" t="n">
        <x:f>--AND(S318=1,T318=1,U318=1,V318=1,W318=1)</x:f>
        <x:v>0</x:v>
      </x:c>
      <x:c r="AE318" s="43" t="n">
        <x:f>--AND(S318=1,M318&lt;&gt;"",M318&lt;&gt;"keep")</x:f>
        <x:v>0</x:v>
      </x:c>
      <x:c r="AG318" t="n">
        <x:f>--AND(S318=1,T318=1,U318=1,V318=1,W318=1,AE318=1)</x:f>
        <x:v>0</x:v>
      </x:c>
      <x:c r="AJ318" t="str">
        <x:f>IF(OR(AH318="",AI318=""),"",--(AH318&lt;&gt;AI318))</x:f>
      </x:c>
      <x:c r="AL318" t="str">
        <x:f>IF(OR(AH318="",AI318=""),"PENDING_HUMAN",IF(AH318=AI318,AH318,IF(AK318&lt;&gt;"",AK318,"PENDING_HUMAN")))</x:f>
        <x:v>PENDING_HUMAN</x:v>
      </x:c>
      <x:c r="AM318" t="n">
        <x:f>--AND(A318&lt;&gt;"",AH318&lt;&gt;"",AI318&lt;&gt;"",OR(AH318=AI318,AK318&lt;&gt;""))</x:f>
        <x:v>0</x:v>
      </x:c>
      <x:c r="AN318" t="n">
        <x:f>--AND(Y318&lt;&gt;"",COUNTIF($Y$4:Y318,Y318)=1)</x:f>
        <x:v>0</x:v>
      </x:c>
      <x:c r="AO318" t="n">
        <x:f>--AND(AN318=1,Z318=1,AM318=1)</x:f>
        <x:v>0</x:v>
      </x:c>
      <x:c r="AP318" t="n">
        <x:f>--AND(AO318=1,AA318=1,AL318=1)</x:f>
        <x:v>0</x:v>
      </x:c>
      <x:c r="AQ318" t="n">
        <x:f>--AND(AN318=1,Z318=1)</x:f>
        <x:v>0</x:v>
      </x:c>
      <x:c r="AR318" t="n">
        <x:f>--AND(AQ318=1,AA318=1)</x:f>
        <x:v>0</x:v>
      </x:c>
    </x:row>
    <x:row r="319">
      <x:c r="A319" s="28"/>
      <x:c r="B319" s="28"/>
      <x:c r="C319" s="28"/>
      <x:c r="D319" s="28"/>
      <x:c r="E319" s="28"/>
      <x:c r="F319" s="28"/>
      <x:c r="G319" s="28"/>
      <x:c r="H319" s="28"/>
      <x:c r="I319" s="28"/>
      <x:c r="J319" s="28"/>
      <x:c r="K319" s="28"/>
      <x:c r="L319" s="28"/>
      <x:c r="M319" s="28"/>
      <x:c r="N319" s="28"/>
      <x:c r="O319" s="28"/>
      <x:c r="P319" s="28"/>
      <x:c r="Q319" s="28"/>
      <x:c r="R319" s="28"/>
      <x:c r="S319" s="28"/>
      <x:c r="T319" s="28"/>
      <x:c r="U319" s="28"/>
      <x:c r="V319" s="28"/>
      <x:c r="W319" s="28"/>
      <x:c r="X319" s="43" t="n">
        <x:f>--AND(S319=1,T319=1,U319=1,V319=1,W319=1)</x:f>
        <x:v>0</x:v>
      </x:c>
      <x:c r="AE319" s="43" t="n">
        <x:f>--AND(S319=1,M319&lt;&gt;"",M319&lt;&gt;"keep")</x:f>
        <x:v>0</x:v>
      </x:c>
      <x:c r="AG319" t="n">
        <x:f>--AND(S319=1,T319=1,U319=1,V319=1,W319=1,AE319=1)</x:f>
        <x:v>0</x:v>
      </x:c>
      <x:c r="AJ319" t="str">
        <x:f>IF(OR(AH319="",AI319=""),"",--(AH319&lt;&gt;AI319))</x:f>
      </x:c>
      <x:c r="AL319" t="str">
        <x:f>IF(OR(AH319="",AI319=""),"PENDING_HUMAN",IF(AH319=AI319,AH319,IF(AK319&lt;&gt;"",AK319,"PENDING_HUMAN")))</x:f>
        <x:v>PENDING_HUMAN</x:v>
      </x:c>
      <x:c r="AM319" t="n">
        <x:f>--AND(A319&lt;&gt;"",AH319&lt;&gt;"",AI319&lt;&gt;"",OR(AH319=AI319,AK319&lt;&gt;""))</x:f>
        <x:v>0</x:v>
      </x:c>
      <x:c r="AN319" t="n">
        <x:f>--AND(Y319&lt;&gt;"",COUNTIF($Y$4:Y319,Y319)=1)</x:f>
        <x:v>0</x:v>
      </x:c>
      <x:c r="AO319" t="n">
        <x:f>--AND(AN319=1,Z319=1,AM319=1)</x:f>
        <x:v>0</x:v>
      </x:c>
      <x:c r="AP319" t="n">
        <x:f>--AND(AO319=1,AA319=1,AL319=1)</x:f>
        <x:v>0</x:v>
      </x:c>
      <x:c r="AQ319" t="n">
        <x:f>--AND(AN319=1,Z319=1)</x:f>
        <x:v>0</x:v>
      </x:c>
      <x:c r="AR319" t="n">
        <x:f>--AND(AQ319=1,AA319=1)</x:f>
        <x:v>0</x:v>
      </x:c>
    </x:row>
    <x:row r="320">
      <x:c r="A320" s="28"/>
      <x:c r="B320" s="28"/>
      <x:c r="C320" s="28"/>
      <x:c r="D320" s="28"/>
      <x:c r="E320" s="28"/>
      <x:c r="F320" s="28"/>
      <x:c r="G320" s="28"/>
      <x:c r="H320" s="28"/>
      <x:c r="I320" s="28"/>
      <x:c r="J320" s="28"/>
      <x:c r="K320" s="28"/>
      <x:c r="L320" s="28"/>
      <x:c r="M320" s="28"/>
      <x:c r="N320" s="28"/>
      <x:c r="O320" s="28"/>
      <x:c r="P320" s="28"/>
      <x:c r="Q320" s="28"/>
      <x:c r="R320" s="28"/>
      <x:c r="S320" s="28"/>
      <x:c r="T320" s="28"/>
      <x:c r="U320" s="28"/>
      <x:c r="V320" s="28"/>
      <x:c r="W320" s="28"/>
      <x:c r="X320" s="43" t="n">
        <x:f>--AND(S320=1,T320=1,U320=1,V320=1,W320=1)</x:f>
        <x:v>0</x:v>
      </x:c>
      <x:c r="AE320" s="43" t="n">
        <x:f>--AND(S320=1,M320&lt;&gt;"",M320&lt;&gt;"keep")</x:f>
        <x:v>0</x:v>
      </x:c>
      <x:c r="AG320" t="n">
        <x:f>--AND(S320=1,T320=1,U320=1,V320=1,W320=1,AE320=1)</x:f>
        <x:v>0</x:v>
      </x:c>
      <x:c r="AJ320" t="str">
        <x:f>IF(OR(AH320="",AI320=""),"",--(AH320&lt;&gt;AI320))</x:f>
      </x:c>
      <x:c r="AL320" t="str">
        <x:f>IF(OR(AH320="",AI320=""),"PENDING_HUMAN",IF(AH320=AI320,AH320,IF(AK320&lt;&gt;"",AK320,"PENDING_HUMAN")))</x:f>
        <x:v>PENDING_HUMAN</x:v>
      </x:c>
      <x:c r="AM320" t="n">
        <x:f>--AND(A320&lt;&gt;"",AH320&lt;&gt;"",AI320&lt;&gt;"",OR(AH320=AI320,AK320&lt;&gt;""))</x:f>
        <x:v>0</x:v>
      </x:c>
      <x:c r="AN320" t="n">
        <x:f>--AND(Y320&lt;&gt;"",COUNTIF($Y$4:Y320,Y320)=1)</x:f>
        <x:v>0</x:v>
      </x:c>
      <x:c r="AO320" t="n">
        <x:f>--AND(AN320=1,Z320=1,AM320=1)</x:f>
        <x:v>0</x:v>
      </x:c>
      <x:c r="AP320" t="n">
        <x:f>--AND(AO320=1,AA320=1,AL320=1)</x:f>
        <x:v>0</x:v>
      </x:c>
      <x:c r="AQ320" t="n">
        <x:f>--AND(AN320=1,Z320=1)</x:f>
        <x:v>0</x:v>
      </x:c>
      <x:c r="AR320" t="n">
        <x:f>--AND(AQ320=1,AA320=1)</x:f>
        <x:v>0</x:v>
      </x:c>
    </x:row>
    <x:row r="321">
      <x:c r="A321" s="28"/>
      <x:c r="B321" s="28"/>
      <x:c r="C321" s="28"/>
      <x:c r="D321" s="28"/>
      <x:c r="E321" s="28"/>
      <x:c r="F321" s="28"/>
      <x:c r="G321" s="28"/>
      <x:c r="H321" s="28"/>
      <x:c r="I321" s="28"/>
      <x:c r="J321" s="28"/>
      <x:c r="K321" s="28"/>
      <x:c r="L321" s="28"/>
      <x:c r="M321" s="28"/>
      <x:c r="N321" s="28"/>
      <x:c r="O321" s="28"/>
      <x:c r="P321" s="28"/>
      <x:c r="Q321" s="28"/>
      <x:c r="R321" s="28"/>
      <x:c r="S321" s="28"/>
      <x:c r="T321" s="28"/>
      <x:c r="U321" s="28"/>
      <x:c r="V321" s="28"/>
      <x:c r="W321" s="28"/>
      <x:c r="X321" s="43" t="n">
        <x:f>--AND(S321=1,T321=1,U321=1,V321=1,W321=1)</x:f>
        <x:v>0</x:v>
      </x:c>
      <x:c r="AE321" s="43" t="n">
        <x:f>--AND(S321=1,M321&lt;&gt;"",M321&lt;&gt;"keep")</x:f>
        <x:v>0</x:v>
      </x:c>
      <x:c r="AG321" t="n">
        <x:f>--AND(S321=1,T321=1,U321=1,V321=1,W321=1,AE321=1)</x:f>
        <x:v>0</x:v>
      </x:c>
      <x:c r="AJ321" t="str">
        <x:f>IF(OR(AH321="",AI321=""),"",--(AH321&lt;&gt;AI321))</x:f>
      </x:c>
      <x:c r="AL321" t="str">
        <x:f>IF(OR(AH321="",AI321=""),"PENDING_HUMAN",IF(AH321=AI321,AH321,IF(AK321&lt;&gt;"",AK321,"PENDING_HUMAN")))</x:f>
        <x:v>PENDING_HUMAN</x:v>
      </x:c>
      <x:c r="AM321" t="n">
        <x:f>--AND(A321&lt;&gt;"",AH321&lt;&gt;"",AI321&lt;&gt;"",OR(AH321=AI321,AK321&lt;&gt;""))</x:f>
        <x:v>0</x:v>
      </x:c>
      <x:c r="AN321" t="n">
        <x:f>--AND(Y321&lt;&gt;"",COUNTIF($Y$4:Y321,Y321)=1)</x:f>
        <x:v>0</x:v>
      </x:c>
      <x:c r="AO321" t="n">
        <x:f>--AND(AN321=1,Z321=1,AM321=1)</x:f>
        <x:v>0</x:v>
      </x:c>
      <x:c r="AP321" t="n">
        <x:f>--AND(AO321=1,AA321=1,AL321=1)</x:f>
        <x:v>0</x:v>
      </x:c>
      <x:c r="AQ321" t="n">
        <x:f>--AND(AN321=1,Z321=1)</x:f>
        <x:v>0</x:v>
      </x:c>
      <x:c r="AR321" t="n">
        <x:f>--AND(AQ321=1,AA321=1)</x:f>
        <x:v>0</x:v>
      </x:c>
    </x:row>
    <x:row r="322">
      <x:c r="A322" s="28"/>
      <x:c r="B322" s="28"/>
      <x:c r="C322" s="28"/>
      <x:c r="D322" s="28"/>
      <x:c r="E322" s="28"/>
      <x:c r="F322" s="28"/>
      <x:c r="G322" s="28"/>
      <x:c r="H322" s="28"/>
      <x:c r="I322" s="28"/>
      <x:c r="J322" s="28"/>
      <x:c r="K322" s="28"/>
      <x:c r="L322" s="28"/>
      <x:c r="M322" s="28"/>
      <x:c r="N322" s="28"/>
      <x:c r="O322" s="28"/>
      <x:c r="P322" s="28"/>
      <x:c r="Q322" s="28"/>
      <x:c r="R322" s="28"/>
      <x:c r="S322" s="28"/>
      <x:c r="T322" s="28"/>
      <x:c r="U322" s="28"/>
      <x:c r="V322" s="28"/>
      <x:c r="W322" s="28"/>
      <x:c r="X322" s="43" t="n">
        <x:f>--AND(S322=1,T322=1,U322=1,V322=1,W322=1)</x:f>
        <x:v>0</x:v>
      </x:c>
      <x:c r="AE322" s="43" t="n">
        <x:f>--AND(S322=1,M322&lt;&gt;"",M322&lt;&gt;"keep")</x:f>
        <x:v>0</x:v>
      </x:c>
      <x:c r="AG322" t="n">
        <x:f>--AND(S322=1,T322=1,U322=1,V322=1,W322=1,AE322=1)</x:f>
        <x:v>0</x:v>
      </x:c>
      <x:c r="AJ322" t="str">
        <x:f>IF(OR(AH322="",AI322=""),"",--(AH322&lt;&gt;AI322))</x:f>
      </x:c>
      <x:c r="AL322" t="str">
        <x:f>IF(OR(AH322="",AI322=""),"PENDING_HUMAN",IF(AH322=AI322,AH322,IF(AK322&lt;&gt;"",AK322,"PENDING_HUMAN")))</x:f>
        <x:v>PENDING_HUMAN</x:v>
      </x:c>
      <x:c r="AM322" t="n">
        <x:f>--AND(A322&lt;&gt;"",AH322&lt;&gt;"",AI322&lt;&gt;"",OR(AH322=AI322,AK322&lt;&gt;""))</x:f>
        <x:v>0</x:v>
      </x:c>
      <x:c r="AN322" t="n">
        <x:f>--AND(Y322&lt;&gt;"",COUNTIF($Y$4:Y322,Y322)=1)</x:f>
        <x:v>0</x:v>
      </x:c>
      <x:c r="AO322" t="n">
        <x:f>--AND(AN322=1,Z322=1,AM322=1)</x:f>
        <x:v>0</x:v>
      </x:c>
      <x:c r="AP322" t="n">
        <x:f>--AND(AO322=1,AA322=1,AL322=1)</x:f>
        <x:v>0</x:v>
      </x:c>
      <x:c r="AQ322" t="n">
        <x:f>--AND(AN322=1,Z322=1)</x:f>
        <x:v>0</x:v>
      </x:c>
      <x:c r="AR322" t="n">
        <x:f>--AND(AQ322=1,AA322=1)</x:f>
        <x:v>0</x:v>
      </x:c>
    </x:row>
    <x:row r="323">
      <x:c r="A323" s="28"/>
      <x:c r="B323" s="28"/>
      <x:c r="C323" s="28"/>
      <x:c r="D323" s="28"/>
      <x:c r="E323" s="28"/>
      <x:c r="F323" s="28"/>
      <x:c r="G323" s="28"/>
      <x:c r="H323" s="28"/>
      <x:c r="I323" s="28"/>
      <x:c r="J323" s="28"/>
      <x:c r="K323" s="28"/>
      <x:c r="L323" s="28"/>
      <x:c r="M323" s="28"/>
      <x:c r="N323" s="28"/>
      <x:c r="O323" s="28"/>
      <x:c r="P323" s="28"/>
      <x:c r="Q323" s="28"/>
      <x:c r="R323" s="28"/>
      <x:c r="S323" s="28"/>
      <x:c r="T323" s="28"/>
      <x:c r="U323" s="28"/>
      <x:c r="V323" s="28"/>
      <x:c r="W323" s="28"/>
      <x:c r="X323" s="43" t="n">
        <x:f>--AND(S323=1,T323=1,U323=1,V323=1,W323=1)</x:f>
        <x:v>0</x:v>
      </x:c>
      <x:c r="AE323" s="43" t="n">
        <x:f>--AND(S323=1,M323&lt;&gt;"",M323&lt;&gt;"keep")</x:f>
        <x:v>0</x:v>
      </x:c>
      <x:c r="AG323" t="n">
        <x:f>--AND(S323=1,T323=1,U323=1,V323=1,W323=1,AE323=1)</x:f>
        <x:v>0</x:v>
      </x:c>
      <x:c r="AJ323" t="str">
        <x:f>IF(OR(AH323="",AI323=""),"",--(AH323&lt;&gt;AI323))</x:f>
      </x:c>
      <x:c r="AL323" t="str">
        <x:f>IF(OR(AH323="",AI323=""),"PENDING_HUMAN",IF(AH323=AI323,AH323,IF(AK323&lt;&gt;"",AK323,"PENDING_HUMAN")))</x:f>
        <x:v>PENDING_HUMAN</x:v>
      </x:c>
      <x:c r="AM323" t="n">
        <x:f>--AND(A323&lt;&gt;"",AH323&lt;&gt;"",AI323&lt;&gt;"",OR(AH323=AI323,AK323&lt;&gt;""))</x:f>
        <x:v>0</x:v>
      </x:c>
      <x:c r="AN323" t="n">
        <x:f>--AND(Y323&lt;&gt;"",COUNTIF($Y$4:Y323,Y323)=1)</x:f>
        <x:v>0</x:v>
      </x:c>
      <x:c r="AO323" t="n">
        <x:f>--AND(AN323=1,Z323=1,AM323=1)</x:f>
        <x:v>0</x:v>
      </x:c>
      <x:c r="AP323" t="n">
        <x:f>--AND(AO323=1,AA323=1,AL323=1)</x:f>
        <x:v>0</x:v>
      </x:c>
      <x:c r="AQ323" t="n">
        <x:f>--AND(AN323=1,Z323=1)</x:f>
        <x:v>0</x:v>
      </x:c>
      <x:c r="AR323" t="n">
        <x:f>--AND(AQ323=1,AA323=1)</x:f>
        <x:v>0</x:v>
      </x:c>
    </x:row>
    <x:row r="324">
      <x:c r="A324" s="28"/>
      <x:c r="B324" s="28"/>
      <x:c r="C324" s="28"/>
      <x:c r="D324" s="28"/>
      <x:c r="E324" s="28"/>
      <x:c r="F324" s="28"/>
      <x:c r="G324" s="28"/>
      <x:c r="H324" s="28"/>
      <x:c r="I324" s="28"/>
      <x:c r="J324" s="28"/>
      <x:c r="K324" s="28"/>
      <x:c r="L324" s="28"/>
      <x:c r="M324" s="28"/>
      <x:c r="N324" s="28"/>
      <x:c r="O324" s="28"/>
      <x:c r="P324" s="28"/>
      <x:c r="Q324" s="28"/>
      <x:c r="R324" s="28"/>
      <x:c r="S324" s="28"/>
      <x:c r="T324" s="28"/>
      <x:c r="U324" s="28"/>
      <x:c r="V324" s="28"/>
      <x:c r="W324" s="28"/>
      <x:c r="X324" s="43" t="n">
        <x:f>--AND(S324=1,T324=1,U324=1,V324=1,W324=1)</x:f>
        <x:v>0</x:v>
      </x:c>
      <x:c r="AE324" s="43" t="n">
        <x:f>--AND(S324=1,M324&lt;&gt;"",M324&lt;&gt;"keep")</x:f>
        <x:v>0</x:v>
      </x:c>
      <x:c r="AG324" t="n">
        <x:f>--AND(S324=1,T324=1,U324=1,V324=1,W324=1,AE324=1)</x:f>
        <x:v>0</x:v>
      </x:c>
      <x:c r="AJ324" t="str">
        <x:f>IF(OR(AH324="",AI324=""),"",--(AH324&lt;&gt;AI324))</x:f>
      </x:c>
      <x:c r="AL324" t="str">
        <x:f>IF(OR(AH324="",AI324=""),"PENDING_HUMAN",IF(AH324=AI324,AH324,IF(AK324&lt;&gt;"",AK324,"PENDING_HUMAN")))</x:f>
        <x:v>PENDING_HUMAN</x:v>
      </x:c>
      <x:c r="AM324" t="n">
        <x:f>--AND(A324&lt;&gt;"",AH324&lt;&gt;"",AI324&lt;&gt;"",OR(AH324=AI324,AK324&lt;&gt;""))</x:f>
        <x:v>0</x:v>
      </x:c>
      <x:c r="AN324" t="n">
        <x:f>--AND(Y324&lt;&gt;"",COUNTIF($Y$4:Y324,Y324)=1)</x:f>
        <x:v>0</x:v>
      </x:c>
      <x:c r="AO324" t="n">
        <x:f>--AND(AN324=1,Z324=1,AM324=1)</x:f>
        <x:v>0</x:v>
      </x:c>
      <x:c r="AP324" t="n">
        <x:f>--AND(AO324=1,AA324=1,AL324=1)</x:f>
        <x:v>0</x:v>
      </x:c>
      <x:c r="AQ324" t="n">
        <x:f>--AND(AN324=1,Z324=1)</x:f>
        <x:v>0</x:v>
      </x:c>
      <x:c r="AR324" t="n">
        <x:f>--AND(AQ324=1,AA324=1)</x:f>
        <x:v>0</x:v>
      </x:c>
    </x:row>
    <x:row r="325">
      <x:c r="A325" s="28"/>
      <x:c r="B325" s="28"/>
      <x:c r="C325" s="28"/>
      <x:c r="D325" s="28"/>
      <x:c r="E325" s="28"/>
      <x:c r="F325" s="28"/>
      <x:c r="G325" s="28"/>
      <x:c r="H325" s="28"/>
      <x:c r="I325" s="28"/>
      <x:c r="J325" s="28"/>
      <x:c r="K325" s="28"/>
      <x:c r="L325" s="28"/>
      <x:c r="M325" s="28"/>
      <x:c r="N325" s="28"/>
      <x:c r="O325" s="28"/>
      <x:c r="P325" s="28"/>
      <x:c r="Q325" s="28"/>
      <x:c r="R325" s="28"/>
      <x:c r="S325" s="28"/>
      <x:c r="T325" s="28"/>
      <x:c r="U325" s="28"/>
      <x:c r="V325" s="28"/>
      <x:c r="W325" s="28"/>
      <x:c r="X325" s="43" t="n">
        <x:f>--AND(S325=1,T325=1,U325=1,V325=1,W325=1)</x:f>
        <x:v>0</x:v>
      </x:c>
      <x:c r="AE325" s="43" t="n">
        <x:f>--AND(S325=1,M325&lt;&gt;"",M325&lt;&gt;"keep")</x:f>
        <x:v>0</x:v>
      </x:c>
      <x:c r="AG325" t="n">
        <x:f>--AND(S325=1,T325=1,U325=1,V325=1,W325=1,AE325=1)</x:f>
        <x:v>0</x:v>
      </x:c>
      <x:c r="AJ325" t="str">
        <x:f>IF(OR(AH325="",AI325=""),"",--(AH325&lt;&gt;AI325))</x:f>
      </x:c>
      <x:c r="AL325" t="str">
        <x:f>IF(OR(AH325="",AI325=""),"PENDING_HUMAN",IF(AH325=AI325,AH325,IF(AK325&lt;&gt;"",AK325,"PENDING_HUMAN")))</x:f>
        <x:v>PENDING_HUMAN</x:v>
      </x:c>
      <x:c r="AM325" t="n">
        <x:f>--AND(A325&lt;&gt;"",AH325&lt;&gt;"",AI325&lt;&gt;"",OR(AH325=AI325,AK325&lt;&gt;""))</x:f>
        <x:v>0</x:v>
      </x:c>
      <x:c r="AN325" t="n">
        <x:f>--AND(Y325&lt;&gt;"",COUNTIF($Y$4:Y325,Y325)=1)</x:f>
        <x:v>0</x:v>
      </x:c>
      <x:c r="AO325" t="n">
        <x:f>--AND(AN325=1,Z325=1,AM325=1)</x:f>
        <x:v>0</x:v>
      </x:c>
      <x:c r="AP325" t="n">
        <x:f>--AND(AO325=1,AA325=1,AL325=1)</x:f>
        <x:v>0</x:v>
      </x:c>
      <x:c r="AQ325" t="n">
        <x:f>--AND(AN325=1,Z325=1)</x:f>
        <x:v>0</x:v>
      </x:c>
      <x:c r="AR325" t="n">
        <x:f>--AND(AQ325=1,AA325=1)</x:f>
        <x:v>0</x:v>
      </x:c>
    </x:row>
    <x:row r="326">
      <x:c r="A326" s="28"/>
      <x:c r="B326" s="28"/>
      <x:c r="C326" s="28"/>
      <x:c r="D326" s="28"/>
      <x:c r="E326" s="28"/>
      <x:c r="F326" s="28"/>
      <x:c r="G326" s="28"/>
      <x:c r="H326" s="28"/>
      <x:c r="I326" s="28"/>
      <x:c r="J326" s="28"/>
      <x:c r="K326" s="28"/>
      <x:c r="L326" s="28"/>
      <x:c r="M326" s="28"/>
      <x:c r="N326" s="28"/>
      <x:c r="O326" s="28"/>
      <x:c r="P326" s="28"/>
      <x:c r="Q326" s="28"/>
      <x:c r="R326" s="28"/>
      <x:c r="S326" s="28"/>
      <x:c r="T326" s="28"/>
      <x:c r="U326" s="28"/>
      <x:c r="V326" s="28"/>
      <x:c r="W326" s="28"/>
      <x:c r="X326" s="43" t="n">
        <x:f>--AND(S326=1,T326=1,U326=1,V326=1,W326=1)</x:f>
        <x:v>0</x:v>
      </x:c>
      <x:c r="AE326" s="43" t="n">
        <x:f>--AND(S326=1,M326&lt;&gt;"",M326&lt;&gt;"keep")</x:f>
        <x:v>0</x:v>
      </x:c>
      <x:c r="AG326" t="n">
        <x:f>--AND(S326=1,T326=1,U326=1,V326=1,W326=1,AE326=1)</x:f>
        <x:v>0</x:v>
      </x:c>
      <x:c r="AJ326" t="str">
        <x:f>IF(OR(AH326="",AI326=""),"",--(AH326&lt;&gt;AI326))</x:f>
      </x:c>
      <x:c r="AL326" t="str">
        <x:f>IF(OR(AH326="",AI326=""),"PENDING_HUMAN",IF(AH326=AI326,AH326,IF(AK326&lt;&gt;"",AK326,"PENDING_HUMAN")))</x:f>
        <x:v>PENDING_HUMAN</x:v>
      </x:c>
      <x:c r="AM326" t="n">
        <x:f>--AND(A326&lt;&gt;"",AH326&lt;&gt;"",AI326&lt;&gt;"",OR(AH326=AI326,AK326&lt;&gt;""))</x:f>
        <x:v>0</x:v>
      </x:c>
      <x:c r="AN326" t="n">
        <x:f>--AND(Y326&lt;&gt;"",COUNTIF($Y$4:Y326,Y326)=1)</x:f>
        <x:v>0</x:v>
      </x:c>
      <x:c r="AO326" t="n">
        <x:f>--AND(AN326=1,Z326=1,AM326=1)</x:f>
        <x:v>0</x:v>
      </x:c>
      <x:c r="AP326" t="n">
        <x:f>--AND(AO326=1,AA326=1,AL326=1)</x:f>
        <x:v>0</x:v>
      </x:c>
      <x:c r="AQ326" t="n">
        <x:f>--AND(AN326=1,Z326=1)</x:f>
        <x:v>0</x:v>
      </x:c>
      <x:c r="AR326" t="n">
        <x:f>--AND(AQ326=1,AA326=1)</x:f>
        <x:v>0</x:v>
      </x:c>
    </x:row>
    <x:row r="327">
      <x:c r="A327" s="28"/>
      <x:c r="B327" s="28"/>
      <x:c r="C327" s="28"/>
      <x:c r="D327" s="28"/>
      <x:c r="E327" s="28"/>
      <x:c r="F327" s="28"/>
      <x:c r="G327" s="28"/>
      <x:c r="H327" s="28"/>
      <x:c r="I327" s="28"/>
      <x:c r="J327" s="28"/>
      <x:c r="K327" s="28"/>
      <x:c r="L327" s="28"/>
      <x:c r="M327" s="28"/>
      <x:c r="N327" s="28"/>
      <x:c r="O327" s="28"/>
      <x:c r="P327" s="28"/>
      <x:c r="Q327" s="28"/>
      <x:c r="R327" s="28"/>
      <x:c r="S327" s="28"/>
      <x:c r="T327" s="28"/>
      <x:c r="U327" s="28"/>
      <x:c r="V327" s="28"/>
      <x:c r="W327" s="28"/>
      <x:c r="X327" s="43" t="n">
        <x:f>--AND(S327=1,T327=1,U327=1,V327=1,W327=1)</x:f>
        <x:v>0</x:v>
      </x:c>
      <x:c r="AE327" s="43" t="n">
        <x:f>--AND(S327=1,M327&lt;&gt;"",M327&lt;&gt;"keep")</x:f>
        <x:v>0</x:v>
      </x:c>
      <x:c r="AG327" t="n">
        <x:f>--AND(S327=1,T327=1,U327=1,V327=1,W327=1,AE327=1)</x:f>
        <x:v>0</x:v>
      </x:c>
      <x:c r="AJ327" t="str">
        <x:f>IF(OR(AH327="",AI327=""),"",--(AH327&lt;&gt;AI327))</x:f>
      </x:c>
      <x:c r="AL327" t="str">
        <x:f>IF(OR(AH327="",AI327=""),"PENDING_HUMAN",IF(AH327=AI327,AH327,IF(AK327&lt;&gt;"",AK327,"PENDING_HUMAN")))</x:f>
        <x:v>PENDING_HUMAN</x:v>
      </x:c>
      <x:c r="AM327" t="n">
        <x:f>--AND(A327&lt;&gt;"",AH327&lt;&gt;"",AI327&lt;&gt;"",OR(AH327=AI327,AK327&lt;&gt;""))</x:f>
        <x:v>0</x:v>
      </x:c>
      <x:c r="AN327" t="n">
        <x:f>--AND(Y327&lt;&gt;"",COUNTIF($Y$4:Y327,Y327)=1)</x:f>
        <x:v>0</x:v>
      </x:c>
      <x:c r="AO327" t="n">
        <x:f>--AND(AN327=1,Z327=1,AM327=1)</x:f>
        <x:v>0</x:v>
      </x:c>
      <x:c r="AP327" t="n">
        <x:f>--AND(AO327=1,AA327=1,AL327=1)</x:f>
        <x:v>0</x:v>
      </x:c>
      <x:c r="AQ327" t="n">
        <x:f>--AND(AN327=1,Z327=1)</x:f>
        <x:v>0</x:v>
      </x:c>
      <x:c r="AR327" t="n">
        <x:f>--AND(AQ327=1,AA327=1)</x:f>
        <x:v>0</x:v>
      </x:c>
    </x:row>
    <x:row r="328">
      <x:c r="A328" s="28"/>
      <x:c r="B328" s="28"/>
      <x:c r="C328" s="28"/>
      <x:c r="D328" s="28"/>
      <x:c r="E328" s="28"/>
      <x:c r="F328" s="28"/>
      <x:c r="G328" s="28"/>
      <x:c r="H328" s="28"/>
      <x:c r="I328" s="28"/>
      <x:c r="J328" s="28"/>
      <x:c r="K328" s="28"/>
      <x:c r="L328" s="28"/>
      <x:c r="M328" s="28"/>
      <x:c r="N328" s="28"/>
      <x:c r="O328" s="28"/>
      <x:c r="P328" s="28"/>
      <x:c r="Q328" s="28"/>
      <x:c r="R328" s="28"/>
      <x:c r="S328" s="28"/>
      <x:c r="T328" s="28"/>
      <x:c r="U328" s="28"/>
      <x:c r="V328" s="28"/>
      <x:c r="W328" s="28"/>
      <x:c r="X328" s="43" t="n">
        <x:f>--AND(S328=1,T328=1,U328=1,V328=1,W328=1)</x:f>
        <x:v>0</x:v>
      </x:c>
      <x:c r="AE328" s="43" t="n">
        <x:f>--AND(S328=1,M328&lt;&gt;"",M328&lt;&gt;"keep")</x:f>
        <x:v>0</x:v>
      </x:c>
      <x:c r="AG328" t="n">
        <x:f>--AND(S328=1,T328=1,U328=1,V328=1,W328=1,AE328=1)</x:f>
        <x:v>0</x:v>
      </x:c>
      <x:c r="AJ328" t="str">
        <x:f>IF(OR(AH328="",AI328=""),"",--(AH328&lt;&gt;AI328))</x:f>
      </x:c>
      <x:c r="AL328" t="str">
        <x:f>IF(OR(AH328="",AI328=""),"PENDING_HUMAN",IF(AH328=AI328,AH328,IF(AK328&lt;&gt;"",AK328,"PENDING_HUMAN")))</x:f>
        <x:v>PENDING_HUMAN</x:v>
      </x:c>
      <x:c r="AM328" t="n">
        <x:f>--AND(A328&lt;&gt;"",AH328&lt;&gt;"",AI328&lt;&gt;"",OR(AH328=AI328,AK328&lt;&gt;""))</x:f>
        <x:v>0</x:v>
      </x:c>
      <x:c r="AN328" t="n">
        <x:f>--AND(Y328&lt;&gt;"",COUNTIF($Y$4:Y328,Y328)=1)</x:f>
        <x:v>0</x:v>
      </x:c>
      <x:c r="AO328" t="n">
        <x:f>--AND(AN328=1,Z328=1,AM328=1)</x:f>
        <x:v>0</x:v>
      </x:c>
      <x:c r="AP328" t="n">
        <x:f>--AND(AO328=1,AA328=1,AL328=1)</x:f>
        <x:v>0</x:v>
      </x:c>
      <x:c r="AQ328" t="n">
        <x:f>--AND(AN328=1,Z328=1)</x:f>
        <x:v>0</x:v>
      </x:c>
      <x:c r="AR328" t="n">
        <x:f>--AND(AQ328=1,AA328=1)</x:f>
        <x:v>0</x:v>
      </x:c>
    </x:row>
    <x:row r="329">
      <x:c r="A329" s="28"/>
      <x:c r="B329" s="28"/>
      <x:c r="C329" s="28"/>
      <x:c r="D329" s="28"/>
      <x:c r="E329" s="28"/>
      <x:c r="F329" s="28"/>
      <x:c r="G329" s="28"/>
      <x:c r="H329" s="28"/>
      <x:c r="I329" s="28"/>
      <x:c r="J329" s="28"/>
      <x:c r="K329" s="28"/>
      <x:c r="L329" s="28"/>
      <x:c r="M329" s="28"/>
      <x:c r="N329" s="28"/>
      <x:c r="O329" s="28"/>
      <x:c r="P329" s="28"/>
      <x:c r="Q329" s="28"/>
      <x:c r="R329" s="28"/>
      <x:c r="S329" s="28"/>
      <x:c r="T329" s="28"/>
      <x:c r="U329" s="28"/>
      <x:c r="V329" s="28"/>
      <x:c r="W329" s="28"/>
      <x:c r="X329" s="43" t="n">
        <x:f>--AND(S329=1,T329=1,U329=1,V329=1,W329=1)</x:f>
        <x:v>0</x:v>
      </x:c>
      <x:c r="AE329" s="43" t="n">
        <x:f>--AND(S329=1,M329&lt;&gt;"",M329&lt;&gt;"keep")</x:f>
        <x:v>0</x:v>
      </x:c>
      <x:c r="AG329" t="n">
        <x:f>--AND(S329=1,T329=1,U329=1,V329=1,W329=1,AE329=1)</x:f>
        <x:v>0</x:v>
      </x:c>
      <x:c r="AJ329" t="str">
        <x:f>IF(OR(AH329="",AI329=""),"",--(AH329&lt;&gt;AI329))</x:f>
      </x:c>
      <x:c r="AL329" t="str">
        <x:f>IF(OR(AH329="",AI329=""),"PENDING_HUMAN",IF(AH329=AI329,AH329,IF(AK329&lt;&gt;"",AK329,"PENDING_HUMAN")))</x:f>
        <x:v>PENDING_HUMAN</x:v>
      </x:c>
      <x:c r="AM329" t="n">
        <x:f>--AND(A329&lt;&gt;"",AH329&lt;&gt;"",AI329&lt;&gt;"",OR(AH329=AI329,AK329&lt;&gt;""))</x:f>
        <x:v>0</x:v>
      </x:c>
      <x:c r="AN329" t="n">
        <x:f>--AND(Y329&lt;&gt;"",COUNTIF($Y$4:Y329,Y329)=1)</x:f>
        <x:v>0</x:v>
      </x:c>
      <x:c r="AO329" t="n">
        <x:f>--AND(AN329=1,Z329=1,AM329=1)</x:f>
        <x:v>0</x:v>
      </x:c>
      <x:c r="AP329" t="n">
        <x:f>--AND(AO329=1,AA329=1,AL329=1)</x:f>
        <x:v>0</x:v>
      </x:c>
      <x:c r="AQ329" t="n">
        <x:f>--AND(AN329=1,Z329=1)</x:f>
        <x:v>0</x:v>
      </x:c>
      <x:c r="AR329" t="n">
        <x:f>--AND(AQ329=1,AA329=1)</x:f>
        <x:v>0</x:v>
      </x:c>
    </x:row>
    <x:row r="330">
      <x:c r="A330" s="28"/>
      <x:c r="B330" s="28"/>
      <x:c r="C330" s="28"/>
      <x:c r="D330" s="28"/>
      <x:c r="E330" s="28"/>
      <x:c r="F330" s="28"/>
      <x:c r="G330" s="28"/>
      <x:c r="H330" s="28"/>
      <x:c r="I330" s="28"/>
      <x:c r="J330" s="28"/>
      <x:c r="K330" s="28"/>
      <x:c r="L330" s="28"/>
      <x:c r="M330" s="28"/>
      <x:c r="N330" s="28"/>
      <x:c r="O330" s="28"/>
      <x:c r="P330" s="28"/>
      <x:c r="Q330" s="28"/>
      <x:c r="R330" s="28"/>
      <x:c r="S330" s="28"/>
      <x:c r="T330" s="28"/>
      <x:c r="U330" s="28"/>
      <x:c r="V330" s="28"/>
      <x:c r="W330" s="28"/>
      <x:c r="X330" s="43" t="n">
        <x:f>--AND(S330=1,T330=1,U330=1,V330=1,W330=1)</x:f>
        <x:v>0</x:v>
      </x:c>
      <x:c r="AE330" s="43" t="n">
        <x:f>--AND(S330=1,M330&lt;&gt;"",M330&lt;&gt;"keep")</x:f>
        <x:v>0</x:v>
      </x:c>
      <x:c r="AG330" t="n">
        <x:f>--AND(S330=1,T330=1,U330=1,V330=1,W330=1,AE330=1)</x:f>
        <x:v>0</x:v>
      </x:c>
      <x:c r="AJ330" t="str">
        <x:f>IF(OR(AH330="",AI330=""),"",--(AH330&lt;&gt;AI330))</x:f>
      </x:c>
      <x:c r="AL330" t="str">
        <x:f>IF(OR(AH330="",AI330=""),"PENDING_HUMAN",IF(AH330=AI330,AH330,IF(AK330&lt;&gt;"",AK330,"PENDING_HUMAN")))</x:f>
        <x:v>PENDING_HUMAN</x:v>
      </x:c>
      <x:c r="AM330" t="n">
        <x:f>--AND(A330&lt;&gt;"",AH330&lt;&gt;"",AI330&lt;&gt;"",OR(AH330=AI330,AK330&lt;&gt;""))</x:f>
        <x:v>0</x:v>
      </x:c>
      <x:c r="AN330" t="n">
        <x:f>--AND(Y330&lt;&gt;"",COUNTIF($Y$4:Y330,Y330)=1)</x:f>
        <x:v>0</x:v>
      </x:c>
      <x:c r="AO330" t="n">
        <x:f>--AND(AN330=1,Z330=1,AM330=1)</x:f>
        <x:v>0</x:v>
      </x:c>
      <x:c r="AP330" t="n">
        <x:f>--AND(AO330=1,AA330=1,AL330=1)</x:f>
        <x:v>0</x:v>
      </x:c>
      <x:c r="AQ330" t="n">
        <x:f>--AND(AN330=1,Z330=1)</x:f>
        <x:v>0</x:v>
      </x:c>
      <x:c r="AR330" t="n">
        <x:f>--AND(AQ330=1,AA330=1)</x:f>
        <x:v>0</x:v>
      </x:c>
    </x:row>
    <x:row r="331">
      <x:c r="A331" s="28"/>
      <x:c r="B331" s="28"/>
      <x:c r="C331" s="28"/>
      <x:c r="D331" s="28"/>
      <x:c r="E331" s="28"/>
      <x:c r="F331" s="28"/>
      <x:c r="G331" s="28"/>
      <x:c r="H331" s="28"/>
      <x:c r="I331" s="28"/>
      <x:c r="J331" s="28"/>
      <x:c r="K331" s="28"/>
      <x:c r="L331" s="28"/>
      <x:c r="M331" s="28"/>
      <x:c r="N331" s="28"/>
      <x:c r="O331" s="28"/>
      <x:c r="P331" s="28"/>
      <x:c r="Q331" s="28"/>
      <x:c r="R331" s="28"/>
      <x:c r="S331" s="28"/>
      <x:c r="T331" s="28"/>
      <x:c r="U331" s="28"/>
      <x:c r="V331" s="28"/>
      <x:c r="W331" s="28"/>
      <x:c r="X331" s="43" t="n">
        <x:f>--AND(S331=1,T331=1,U331=1,V331=1,W331=1)</x:f>
        <x:v>0</x:v>
      </x:c>
      <x:c r="AE331" s="43" t="n">
        <x:f>--AND(S331=1,M331&lt;&gt;"",M331&lt;&gt;"keep")</x:f>
        <x:v>0</x:v>
      </x:c>
      <x:c r="AG331" t="n">
        <x:f>--AND(S331=1,T331=1,U331=1,V331=1,W331=1,AE331=1)</x:f>
        <x:v>0</x:v>
      </x:c>
      <x:c r="AJ331" t="str">
        <x:f>IF(OR(AH331="",AI331=""),"",--(AH331&lt;&gt;AI331))</x:f>
      </x:c>
      <x:c r="AL331" t="str">
        <x:f>IF(OR(AH331="",AI331=""),"PENDING_HUMAN",IF(AH331=AI331,AH331,IF(AK331&lt;&gt;"",AK331,"PENDING_HUMAN")))</x:f>
        <x:v>PENDING_HUMAN</x:v>
      </x:c>
      <x:c r="AM331" t="n">
        <x:f>--AND(A331&lt;&gt;"",AH331&lt;&gt;"",AI331&lt;&gt;"",OR(AH331=AI331,AK331&lt;&gt;""))</x:f>
        <x:v>0</x:v>
      </x:c>
      <x:c r="AN331" t="n">
        <x:f>--AND(Y331&lt;&gt;"",COUNTIF($Y$4:Y331,Y331)=1)</x:f>
        <x:v>0</x:v>
      </x:c>
      <x:c r="AO331" t="n">
        <x:f>--AND(AN331=1,Z331=1,AM331=1)</x:f>
        <x:v>0</x:v>
      </x:c>
      <x:c r="AP331" t="n">
        <x:f>--AND(AO331=1,AA331=1,AL331=1)</x:f>
        <x:v>0</x:v>
      </x:c>
      <x:c r="AQ331" t="n">
        <x:f>--AND(AN331=1,Z331=1)</x:f>
        <x:v>0</x:v>
      </x:c>
      <x:c r="AR331" t="n">
        <x:f>--AND(AQ331=1,AA331=1)</x:f>
        <x:v>0</x:v>
      </x:c>
    </x:row>
    <x:row r="332">
      <x:c r="A332" s="28"/>
      <x:c r="B332" s="28"/>
      <x:c r="C332" s="28"/>
      <x:c r="D332" s="28"/>
      <x:c r="E332" s="28"/>
      <x:c r="F332" s="28"/>
      <x:c r="G332" s="28"/>
      <x:c r="H332" s="28"/>
      <x:c r="I332" s="28"/>
      <x:c r="J332" s="28"/>
      <x:c r="K332" s="28"/>
      <x:c r="L332" s="28"/>
      <x:c r="M332" s="28"/>
      <x:c r="N332" s="28"/>
      <x:c r="O332" s="28"/>
      <x:c r="P332" s="28"/>
      <x:c r="Q332" s="28"/>
      <x:c r="R332" s="28"/>
      <x:c r="S332" s="28"/>
      <x:c r="T332" s="28"/>
      <x:c r="U332" s="28"/>
      <x:c r="V332" s="28"/>
      <x:c r="W332" s="28"/>
      <x:c r="X332" s="43" t="n">
        <x:f>--AND(S332=1,T332=1,U332=1,V332=1,W332=1)</x:f>
        <x:v>0</x:v>
      </x:c>
      <x:c r="AE332" s="43" t="n">
        <x:f>--AND(S332=1,M332&lt;&gt;"",M332&lt;&gt;"keep")</x:f>
        <x:v>0</x:v>
      </x:c>
      <x:c r="AG332" t="n">
        <x:f>--AND(S332=1,T332=1,U332=1,V332=1,W332=1,AE332=1)</x:f>
        <x:v>0</x:v>
      </x:c>
      <x:c r="AJ332" t="str">
        <x:f>IF(OR(AH332="",AI332=""),"",--(AH332&lt;&gt;AI332))</x:f>
      </x:c>
      <x:c r="AL332" t="str">
        <x:f>IF(OR(AH332="",AI332=""),"PENDING_HUMAN",IF(AH332=AI332,AH332,IF(AK332&lt;&gt;"",AK332,"PENDING_HUMAN")))</x:f>
        <x:v>PENDING_HUMAN</x:v>
      </x:c>
      <x:c r="AM332" t="n">
        <x:f>--AND(A332&lt;&gt;"",AH332&lt;&gt;"",AI332&lt;&gt;"",OR(AH332=AI332,AK332&lt;&gt;""))</x:f>
        <x:v>0</x:v>
      </x:c>
      <x:c r="AN332" t="n">
        <x:f>--AND(Y332&lt;&gt;"",COUNTIF($Y$4:Y332,Y332)=1)</x:f>
        <x:v>0</x:v>
      </x:c>
      <x:c r="AO332" t="n">
        <x:f>--AND(AN332=1,Z332=1,AM332=1)</x:f>
        <x:v>0</x:v>
      </x:c>
      <x:c r="AP332" t="n">
        <x:f>--AND(AO332=1,AA332=1,AL332=1)</x:f>
        <x:v>0</x:v>
      </x:c>
      <x:c r="AQ332" t="n">
        <x:f>--AND(AN332=1,Z332=1)</x:f>
        <x:v>0</x:v>
      </x:c>
      <x:c r="AR332" t="n">
        <x:f>--AND(AQ332=1,AA332=1)</x:f>
        <x:v>0</x:v>
      </x:c>
    </x:row>
    <x:row r="333">
      <x:c r="A333" s="28"/>
      <x:c r="B333" s="28"/>
      <x:c r="C333" s="28"/>
      <x:c r="D333" s="28"/>
      <x:c r="E333" s="28"/>
      <x:c r="F333" s="28"/>
      <x:c r="G333" s="28"/>
      <x:c r="H333" s="28"/>
      <x:c r="I333" s="28"/>
      <x:c r="J333" s="28"/>
      <x:c r="K333" s="28"/>
      <x:c r="L333" s="28"/>
      <x:c r="M333" s="28"/>
      <x:c r="N333" s="28"/>
      <x:c r="O333" s="28"/>
      <x:c r="P333" s="28"/>
      <x:c r="Q333" s="28"/>
      <x:c r="R333" s="28"/>
      <x:c r="S333" s="28"/>
      <x:c r="T333" s="28"/>
      <x:c r="U333" s="28"/>
      <x:c r="V333" s="28"/>
      <x:c r="W333" s="28"/>
      <x:c r="X333" s="43" t="n">
        <x:f>--AND(S333=1,T333=1,U333=1,V333=1,W333=1)</x:f>
        <x:v>0</x:v>
      </x:c>
      <x:c r="AE333" s="43" t="n">
        <x:f>--AND(S333=1,M333&lt;&gt;"",M333&lt;&gt;"keep")</x:f>
        <x:v>0</x:v>
      </x:c>
      <x:c r="AG333" t="n">
        <x:f>--AND(S333=1,T333=1,U333=1,V333=1,W333=1,AE333=1)</x:f>
        <x:v>0</x:v>
      </x:c>
      <x:c r="AJ333" t="str">
        <x:f>IF(OR(AH333="",AI333=""),"",--(AH333&lt;&gt;AI333))</x:f>
      </x:c>
      <x:c r="AL333" t="str">
        <x:f>IF(OR(AH333="",AI333=""),"PENDING_HUMAN",IF(AH333=AI333,AH333,IF(AK333&lt;&gt;"",AK333,"PENDING_HUMAN")))</x:f>
        <x:v>PENDING_HUMAN</x:v>
      </x:c>
      <x:c r="AM333" t="n">
        <x:f>--AND(A333&lt;&gt;"",AH333&lt;&gt;"",AI333&lt;&gt;"",OR(AH333=AI333,AK333&lt;&gt;""))</x:f>
        <x:v>0</x:v>
      </x:c>
      <x:c r="AN333" t="n">
        <x:f>--AND(Y333&lt;&gt;"",COUNTIF($Y$4:Y333,Y333)=1)</x:f>
        <x:v>0</x:v>
      </x:c>
      <x:c r="AO333" t="n">
        <x:f>--AND(AN333=1,Z333=1,AM333=1)</x:f>
        <x:v>0</x:v>
      </x:c>
      <x:c r="AP333" t="n">
        <x:f>--AND(AO333=1,AA333=1,AL333=1)</x:f>
        <x:v>0</x:v>
      </x:c>
      <x:c r="AQ333" t="n">
        <x:f>--AND(AN333=1,Z333=1)</x:f>
        <x:v>0</x:v>
      </x:c>
      <x:c r="AR333" t="n">
        <x:f>--AND(AQ333=1,AA333=1)</x:f>
        <x:v>0</x:v>
      </x:c>
    </x:row>
    <x:row r="334">
      <x:c r="A334" s="28"/>
      <x:c r="B334" s="28"/>
      <x:c r="C334" s="28"/>
      <x:c r="D334" s="28"/>
      <x:c r="E334" s="28"/>
      <x:c r="F334" s="28"/>
      <x:c r="G334" s="28"/>
      <x:c r="H334" s="28"/>
      <x:c r="I334" s="28"/>
      <x:c r="J334" s="28"/>
      <x:c r="K334" s="28"/>
      <x:c r="L334" s="28"/>
      <x:c r="M334" s="28"/>
      <x:c r="N334" s="28"/>
      <x:c r="O334" s="28"/>
      <x:c r="P334" s="28"/>
      <x:c r="Q334" s="28"/>
      <x:c r="R334" s="28"/>
      <x:c r="S334" s="28"/>
      <x:c r="T334" s="28"/>
      <x:c r="U334" s="28"/>
      <x:c r="V334" s="28"/>
      <x:c r="W334" s="28"/>
      <x:c r="X334" s="43" t="n">
        <x:f>--AND(S334=1,T334=1,U334=1,V334=1,W334=1)</x:f>
        <x:v>0</x:v>
      </x:c>
      <x:c r="AE334" s="43" t="n">
        <x:f>--AND(S334=1,M334&lt;&gt;"",M334&lt;&gt;"keep")</x:f>
        <x:v>0</x:v>
      </x:c>
      <x:c r="AG334" t="n">
        <x:f>--AND(S334=1,T334=1,U334=1,V334=1,W334=1,AE334=1)</x:f>
        <x:v>0</x:v>
      </x:c>
      <x:c r="AJ334" t="str">
        <x:f>IF(OR(AH334="",AI334=""),"",--(AH334&lt;&gt;AI334))</x:f>
      </x:c>
      <x:c r="AL334" t="str">
        <x:f>IF(OR(AH334="",AI334=""),"PENDING_HUMAN",IF(AH334=AI334,AH334,IF(AK334&lt;&gt;"",AK334,"PENDING_HUMAN")))</x:f>
        <x:v>PENDING_HUMAN</x:v>
      </x:c>
      <x:c r="AM334" t="n">
        <x:f>--AND(A334&lt;&gt;"",AH334&lt;&gt;"",AI334&lt;&gt;"",OR(AH334=AI334,AK334&lt;&gt;""))</x:f>
        <x:v>0</x:v>
      </x:c>
      <x:c r="AN334" t="n">
        <x:f>--AND(Y334&lt;&gt;"",COUNTIF($Y$4:Y334,Y334)=1)</x:f>
        <x:v>0</x:v>
      </x:c>
      <x:c r="AO334" t="n">
        <x:f>--AND(AN334=1,Z334=1,AM334=1)</x:f>
        <x:v>0</x:v>
      </x:c>
      <x:c r="AP334" t="n">
        <x:f>--AND(AO334=1,AA334=1,AL334=1)</x:f>
        <x:v>0</x:v>
      </x:c>
      <x:c r="AQ334" t="n">
        <x:f>--AND(AN334=1,Z334=1)</x:f>
        <x:v>0</x:v>
      </x:c>
      <x:c r="AR334" t="n">
        <x:f>--AND(AQ334=1,AA334=1)</x:f>
        <x:v>0</x:v>
      </x:c>
    </x:row>
    <x:row r="335">
      <x:c r="A335" s="28"/>
      <x:c r="B335" s="28"/>
      <x:c r="C335" s="28"/>
      <x:c r="D335" s="28"/>
      <x:c r="E335" s="28"/>
      <x:c r="F335" s="28"/>
      <x:c r="G335" s="28"/>
      <x:c r="H335" s="28"/>
      <x:c r="I335" s="28"/>
      <x:c r="J335" s="28"/>
      <x:c r="K335" s="28"/>
      <x:c r="L335" s="28"/>
      <x:c r="M335" s="28"/>
      <x:c r="N335" s="28"/>
      <x:c r="O335" s="28"/>
      <x:c r="P335" s="28"/>
      <x:c r="Q335" s="28"/>
      <x:c r="R335" s="28"/>
      <x:c r="S335" s="28"/>
      <x:c r="T335" s="28"/>
      <x:c r="U335" s="28"/>
      <x:c r="V335" s="28"/>
      <x:c r="W335" s="28"/>
      <x:c r="X335" s="43" t="n">
        <x:f>--AND(S335=1,T335=1,U335=1,V335=1,W335=1)</x:f>
        <x:v>0</x:v>
      </x:c>
      <x:c r="AE335" s="43" t="n">
        <x:f>--AND(S335=1,M335&lt;&gt;"",M335&lt;&gt;"keep")</x:f>
        <x:v>0</x:v>
      </x:c>
      <x:c r="AG335" t="n">
        <x:f>--AND(S335=1,T335=1,U335=1,V335=1,W335=1,AE335=1)</x:f>
        <x:v>0</x:v>
      </x:c>
      <x:c r="AJ335" t="str">
        <x:f>IF(OR(AH335="",AI335=""),"",--(AH335&lt;&gt;AI335))</x:f>
      </x:c>
      <x:c r="AL335" t="str">
        <x:f>IF(OR(AH335="",AI335=""),"PENDING_HUMAN",IF(AH335=AI335,AH335,IF(AK335&lt;&gt;"",AK335,"PENDING_HUMAN")))</x:f>
        <x:v>PENDING_HUMAN</x:v>
      </x:c>
      <x:c r="AM335" t="n">
        <x:f>--AND(A335&lt;&gt;"",AH335&lt;&gt;"",AI335&lt;&gt;"",OR(AH335=AI335,AK335&lt;&gt;""))</x:f>
        <x:v>0</x:v>
      </x:c>
      <x:c r="AN335" t="n">
        <x:f>--AND(Y335&lt;&gt;"",COUNTIF($Y$4:Y335,Y335)=1)</x:f>
        <x:v>0</x:v>
      </x:c>
      <x:c r="AO335" t="n">
        <x:f>--AND(AN335=1,Z335=1,AM335=1)</x:f>
        <x:v>0</x:v>
      </x:c>
      <x:c r="AP335" t="n">
        <x:f>--AND(AO335=1,AA335=1,AL335=1)</x:f>
        <x:v>0</x:v>
      </x:c>
      <x:c r="AQ335" t="n">
        <x:f>--AND(AN335=1,Z335=1)</x:f>
        <x:v>0</x:v>
      </x:c>
      <x:c r="AR335" t="n">
        <x:f>--AND(AQ335=1,AA335=1)</x:f>
        <x:v>0</x:v>
      </x:c>
    </x:row>
    <x:row r="336">
      <x:c r="A336" s="28"/>
      <x:c r="B336" s="28"/>
      <x:c r="C336" s="28"/>
      <x:c r="D336" s="28"/>
      <x:c r="E336" s="28"/>
      <x:c r="F336" s="28"/>
      <x:c r="G336" s="28"/>
      <x:c r="H336" s="28"/>
      <x:c r="I336" s="28"/>
      <x:c r="J336" s="28"/>
      <x:c r="K336" s="28"/>
      <x:c r="L336" s="28"/>
      <x:c r="M336" s="28"/>
      <x:c r="N336" s="28"/>
      <x:c r="O336" s="28"/>
      <x:c r="P336" s="28"/>
      <x:c r="Q336" s="28"/>
      <x:c r="R336" s="28"/>
      <x:c r="S336" s="28"/>
      <x:c r="T336" s="28"/>
      <x:c r="U336" s="28"/>
      <x:c r="V336" s="28"/>
      <x:c r="W336" s="28"/>
      <x:c r="X336" s="43" t="n">
        <x:f>--AND(S336=1,T336=1,U336=1,V336=1,W336=1)</x:f>
        <x:v>0</x:v>
      </x:c>
      <x:c r="AE336" s="43" t="n">
        <x:f>--AND(S336=1,M336&lt;&gt;"",M336&lt;&gt;"keep")</x:f>
        <x:v>0</x:v>
      </x:c>
      <x:c r="AG336" t="n">
        <x:f>--AND(S336=1,T336=1,U336=1,V336=1,W336=1,AE336=1)</x:f>
        <x:v>0</x:v>
      </x:c>
      <x:c r="AJ336" t="str">
        <x:f>IF(OR(AH336="",AI336=""),"",--(AH336&lt;&gt;AI336))</x:f>
      </x:c>
      <x:c r="AL336" t="str">
        <x:f>IF(OR(AH336="",AI336=""),"PENDING_HUMAN",IF(AH336=AI336,AH336,IF(AK336&lt;&gt;"",AK336,"PENDING_HUMAN")))</x:f>
        <x:v>PENDING_HUMAN</x:v>
      </x:c>
      <x:c r="AM336" t="n">
        <x:f>--AND(A336&lt;&gt;"",AH336&lt;&gt;"",AI336&lt;&gt;"",OR(AH336=AI336,AK336&lt;&gt;""))</x:f>
        <x:v>0</x:v>
      </x:c>
      <x:c r="AN336" t="n">
        <x:f>--AND(Y336&lt;&gt;"",COUNTIF($Y$4:Y336,Y336)=1)</x:f>
        <x:v>0</x:v>
      </x:c>
      <x:c r="AO336" t="n">
        <x:f>--AND(AN336=1,Z336=1,AM336=1)</x:f>
        <x:v>0</x:v>
      </x:c>
      <x:c r="AP336" t="n">
        <x:f>--AND(AO336=1,AA336=1,AL336=1)</x:f>
        <x:v>0</x:v>
      </x:c>
      <x:c r="AQ336" t="n">
        <x:f>--AND(AN336=1,Z336=1)</x:f>
        <x:v>0</x:v>
      </x:c>
      <x:c r="AR336" t="n">
        <x:f>--AND(AQ336=1,AA336=1)</x:f>
        <x:v>0</x:v>
      </x:c>
    </x:row>
    <x:row r="337">
      <x:c r="A337" s="28"/>
      <x:c r="B337" s="28"/>
      <x:c r="C337" s="28"/>
      <x:c r="D337" s="28"/>
      <x:c r="E337" s="28"/>
      <x:c r="F337" s="28"/>
      <x:c r="G337" s="28"/>
      <x:c r="H337" s="28"/>
      <x:c r="I337" s="28"/>
      <x:c r="J337" s="28"/>
      <x:c r="K337" s="28"/>
      <x:c r="L337" s="28"/>
      <x:c r="M337" s="28"/>
      <x:c r="N337" s="28"/>
      <x:c r="O337" s="28"/>
      <x:c r="P337" s="28"/>
      <x:c r="Q337" s="28"/>
      <x:c r="R337" s="28"/>
      <x:c r="S337" s="28"/>
      <x:c r="T337" s="28"/>
      <x:c r="U337" s="28"/>
      <x:c r="V337" s="28"/>
      <x:c r="W337" s="28"/>
      <x:c r="X337" s="43" t="n">
        <x:f>--AND(S337=1,T337=1,U337=1,V337=1,W337=1)</x:f>
        <x:v>0</x:v>
      </x:c>
      <x:c r="AE337" s="43" t="n">
        <x:f>--AND(S337=1,M337&lt;&gt;"",M337&lt;&gt;"keep")</x:f>
        <x:v>0</x:v>
      </x:c>
      <x:c r="AG337" t="n">
        <x:f>--AND(S337=1,T337=1,U337=1,V337=1,W337=1,AE337=1)</x:f>
        <x:v>0</x:v>
      </x:c>
      <x:c r="AJ337" t="str">
        <x:f>IF(OR(AH337="",AI337=""),"",--(AH337&lt;&gt;AI337))</x:f>
      </x:c>
      <x:c r="AL337" t="str">
        <x:f>IF(OR(AH337="",AI337=""),"PENDING_HUMAN",IF(AH337=AI337,AH337,IF(AK337&lt;&gt;"",AK337,"PENDING_HUMAN")))</x:f>
        <x:v>PENDING_HUMAN</x:v>
      </x:c>
      <x:c r="AM337" t="n">
        <x:f>--AND(A337&lt;&gt;"",AH337&lt;&gt;"",AI337&lt;&gt;"",OR(AH337=AI337,AK337&lt;&gt;""))</x:f>
        <x:v>0</x:v>
      </x:c>
      <x:c r="AN337" t="n">
        <x:f>--AND(Y337&lt;&gt;"",COUNTIF($Y$4:Y337,Y337)=1)</x:f>
        <x:v>0</x:v>
      </x:c>
      <x:c r="AO337" t="n">
        <x:f>--AND(AN337=1,Z337=1,AM337=1)</x:f>
        <x:v>0</x:v>
      </x:c>
      <x:c r="AP337" t="n">
        <x:f>--AND(AO337=1,AA337=1,AL337=1)</x:f>
        <x:v>0</x:v>
      </x:c>
      <x:c r="AQ337" t="n">
        <x:f>--AND(AN337=1,Z337=1)</x:f>
        <x:v>0</x:v>
      </x:c>
      <x:c r="AR337" t="n">
        <x:f>--AND(AQ337=1,AA337=1)</x:f>
        <x:v>0</x:v>
      </x:c>
    </x:row>
    <x:row r="338">
      <x:c r="A338" s="28"/>
      <x:c r="B338" s="28"/>
      <x:c r="C338" s="28"/>
      <x:c r="D338" s="28"/>
      <x:c r="E338" s="28"/>
      <x:c r="F338" s="28"/>
      <x:c r="G338" s="28"/>
      <x:c r="H338" s="28"/>
      <x:c r="I338" s="28"/>
      <x:c r="J338" s="28"/>
      <x:c r="K338" s="28"/>
      <x:c r="L338" s="28"/>
      <x:c r="M338" s="28"/>
      <x:c r="N338" s="28"/>
      <x:c r="O338" s="28"/>
      <x:c r="P338" s="28"/>
      <x:c r="Q338" s="28"/>
      <x:c r="R338" s="28"/>
      <x:c r="S338" s="28"/>
      <x:c r="T338" s="28"/>
      <x:c r="U338" s="28"/>
      <x:c r="V338" s="28"/>
      <x:c r="W338" s="28"/>
      <x:c r="X338" s="43" t="n">
        <x:f>--AND(S338=1,T338=1,U338=1,V338=1,W338=1)</x:f>
        <x:v>0</x:v>
      </x:c>
      <x:c r="AE338" s="43" t="n">
        <x:f>--AND(S338=1,M338&lt;&gt;"",M338&lt;&gt;"keep")</x:f>
        <x:v>0</x:v>
      </x:c>
      <x:c r="AG338" t="n">
        <x:f>--AND(S338=1,T338=1,U338=1,V338=1,W338=1,AE338=1)</x:f>
        <x:v>0</x:v>
      </x:c>
      <x:c r="AJ338" t="str">
        <x:f>IF(OR(AH338="",AI338=""),"",--(AH338&lt;&gt;AI338))</x:f>
      </x:c>
      <x:c r="AL338" t="str">
        <x:f>IF(OR(AH338="",AI338=""),"PENDING_HUMAN",IF(AH338=AI338,AH338,IF(AK338&lt;&gt;"",AK338,"PENDING_HUMAN")))</x:f>
        <x:v>PENDING_HUMAN</x:v>
      </x:c>
      <x:c r="AM338" t="n">
        <x:f>--AND(A338&lt;&gt;"",AH338&lt;&gt;"",AI338&lt;&gt;"",OR(AH338=AI338,AK338&lt;&gt;""))</x:f>
        <x:v>0</x:v>
      </x:c>
      <x:c r="AN338" t="n">
        <x:f>--AND(Y338&lt;&gt;"",COUNTIF($Y$4:Y338,Y338)=1)</x:f>
        <x:v>0</x:v>
      </x:c>
      <x:c r="AO338" t="n">
        <x:f>--AND(AN338=1,Z338=1,AM338=1)</x:f>
        <x:v>0</x:v>
      </x:c>
      <x:c r="AP338" t="n">
        <x:f>--AND(AO338=1,AA338=1,AL338=1)</x:f>
        <x:v>0</x:v>
      </x:c>
      <x:c r="AQ338" t="n">
        <x:f>--AND(AN338=1,Z338=1)</x:f>
        <x:v>0</x:v>
      </x:c>
      <x:c r="AR338" t="n">
        <x:f>--AND(AQ338=1,AA338=1)</x:f>
        <x:v>0</x:v>
      </x:c>
    </x:row>
    <x:row r="339">
      <x:c r="A339" s="28"/>
      <x:c r="B339" s="28"/>
      <x:c r="C339" s="28"/>
      <x:c r="D339" s="28"/>
      <x:c r="E339" s="28"/>
      <x:c r="F339" s="28"/>
      <x:c r="G339" s="28"/>
      <x:c r="H339" s="28"/>
      <x:c r="I339" s="28"/>
      <x:c r="J339" s="28"/>
      <x:c r="K339" s="28"/>
      <x:c r="L339" s="28"/>
      <x:c r="M339" s="28"/>
      <x:c r="N339" s="28"/>
      <x:c r="O339" s="28"/>
      <x:c r="P339" s="28"/>
      <x:c r="Q339" s="28"/>
      <x:c r="R339" s="28"/>
      <x:c r="S339" s="28"/>
      <x:c r="T339" s="28"/>
      <x:c r="U339" s="28"/>
      <x:c r="V339" s="28"/>
      <x:c r="W339" s="28"/>
      <x:c r="X339" s="43" t="n">
        <x:f>--AND(S339=1,T339=1,U339=1,V339=1,W339=1)</x:f>
        <x:v>0</x:v>
      </x:c>
      <x:c r="AE339" s="43" t="n">
        <x:f>--AND(S339=1,M339&lt;&gt;"",M339&lt;&gt;"keep")</x:f>
        <x:v>0</x:v>
      </x:c>
      <x:c r="AG339" t="n">
        <x:f>--AND(S339=1,T339=1,U339=1,V339=1,W339=1,AE339=1)</x:f>
        <x:v>0</x:v>
      </x:c>
      <x:c r="AJ339" t="str">
        <x:f>IF(OR(AH339="",AI339=""),"",--(AH339&lt;&gt;AI339))</x:f>
      </x:c>
      <x:c r="AL339" t="str">
        <x:f>IF(OR(AH339="",AI339=""),"PENDING_HUMAN",IF(AH339=AI339,AH339,IF(AK339&lt;&gt;"",AK339,"PENDING_HUMAN")))</x:f>
        <x:v>PENDING_HUMAN</x:v>
      </x:c>
      <x:c r="AM339" t="n">
        <x:f>--AND(A339&lt;&gt;"",AH339&lt;&gt;"",AI339&lt;&gt;"",OR(AH339=AI339,AK339&lt;&gt;""))</x:f>
        <x:v>0</x:v>
      </x:c>
      <x:c r="AN339" t="n">
        <x:f>--AND(Y339&lt;&gt;"",COUNTIF($Y$4:Y339,Y339)=1)</x:f>
        <x:v>0</x:v>
      </x:c>
      <x:c r="AO339" t="n">
        <x:f>--AND(AN339=1,Z339=1,AM339=1)</x:f>
        <x:v>0</x:v>
      </x:c>
      <x:c r="AP339" t="n">
        <x:f>--AND(AO339=1,AA339=1,AL339=1)</x:f>
        <x:v>0</x:v>
      </x:c>
      <x:c r="AQ339" t="n">
        <x:f>--AND(AN339=1,Z339=1)</x:f>
        <x:v>0</x:v>
      </x:c>
      <x:c r="AR339" t="n">
        <x:f>--AND(AQ339=1,AA339=1)</x:f>
        <x:v>0</x:v>
      </x:c>
    </x:row>
    <x:row r="340">
      <x:c r="A340" s="28"/>
      <x:c r="B340" s="28"/>
      <x:c r="C340" s="28"/>
      <x:c r="D340" s="28"/>
      <x:c r="E340" s="28"/>
      <x:c r="F340" s="28"/>
      <x:c r="G340" s="28"/>
      <x:c r="H340" s="28"/>
      <x:c r="I340" s="28"/>
      <x:c r="J340" s="28"/>
      <x:c r="K340" s="28"/>
      <x:c r="L340" s="28"/>
      <x:c r="M340" s="28"/>
      <x:c r="N340" s="28"/>
      <x:c r="O340" s="28"/>
      <x:c r="P340" s="28"/>
      <x:c r="Q340" s="28"/>
      <x:c r="R340" s="28"/>
      <x:c r="S340" s="28"/>
      <x:c r="T340" s="28"/>
      <x:c r="U340" s="28"/>
      <x:c r="V340" s="28"/>
      <x:c r="W340" s="28"/>
      <x:c r="X340" s="43" t="n">
        <x:f>--AND(S340=1,T340=1,U340=1,V340=1,W340=1)</x:f>
        <x:v>0</x:v>
      </x:c>
      <x:c r="AE340" s="43" t="n">
        <x:f>--AND(S340=1,M340&lt;&gt;"",M340&lt;&gt;"keep")</x:f>
        <x:v>0</x:v>
      </x:c>
      <x:c r="AG340" t="n">
        <x:f>--AND(S340=1,T340=1,U340=1,V340=1,W340=1,AE340=1)</x:f>
        <x:v>0</x:v>
      </x:c>
      <x:c r="AJ340" t="str">
        <x:f>IF(OR(AH340="",AI340=""),"",--(AH340&lt;&gt;AI340))</x:f>
      </x:c>
      <x:c r="AL340" t="str">
        <x:f>IF(OR(AH340="",AI340=""),"PENDING_HUMAN",IF(AH340=AI340,AH340,IF(AK340&lt;&gt;"",AK340,"PENDING_HUMAN")))</x:f>
        <x:v>PENDING_HUMAN</x:v>
      </x:c>
      <x:c r="AM340" t="n">
        <x:f>--AND(A340&lt;&gt;"",AH340&lt;&gt;"",AI340&lt;&gt;"",OR(AH340=AI340,AK340&lt;&gt;""))</x:f>
        <x:v>0</x:v>
      </x:c>
      <x:c r="AN340" t="n">
        <x:f>--AND(Y340&lt;&gt;"",COUNTIF($Y$4:Y340,Y340)=1)</x:f>
        <x:v>0</x:v>
      </x:c>
      <x:c r="AO340" t="n">
        <x:f>--AND(AN340=1,Z340=1,AM340=1)</x:f>
        <x:v>0</x:v>
      </x:c>
      <x:c r="AP340" t="n">
        <x:f>--AND(AO340=1,AA340=1,AL340=1)</x:f>
        <x:v>0</x:v>
      </x:c>
      <x:c r="AQ340" t="n">
        <x:f>--AND(AN340=1,Z340=1)</x:f>
        <x:v>0</x:v>
      </x:c>
      <x:c r="AR340" t="n">
        <x:f>--AND(AQ340=1,AA340=1)</x:f>
        <x:v>0</x:v>
      </x:c>
    </x:row>
    <x:row r="341">
      <x:c r="A341" s="28"/>
      <x:c r="B341" s="28"/>
      <x:c r="C341" s="28"/>
      <x:c r="D341" s="28"/>
      <x:c r="E341" s="28"/>
      <x:c r="F341" s="28"/>
      <x:c r="G341" s="28"/>
      <x:c r="H341" s="28"/>
      <x:c r="I341" s="28"/>
      <x:c r="J341" s="28"/>
      <x:c r="K341" s="28"/>
      <x:c r="L341" s="28"/>
      <x:c r="M341" s="28"/>
      <x:c r="N341" s="28"/>
      <x:c r="O341" s="28"/>
      <x:c r="P341" s="28"/>
      <x:c r="Q341" s="28"/>
      <x:c r="R341" s="28"/>
      <x:c r="S341" s="28"/>
      <x:c r="T341" s="28"/>
      <x:c r="U341" s="28"/>
      <x:c r="V341" s="28"/>
      <x:c r="W341" s="28"/>
      <x:c r="X341" s="43" t="n">
        <x:f>--AND(S341=1,T341=1,U341=1,V341=1,W341=1)</x:f>
        <x:v>0</x:v>
      </x:c>
      <x:c r="AE341" s="43" t="n">
        <x:f>--AND(S341=1,M341&lt;&gt;"",M341&lt;&gt;"keep")</x:f>
        <x:v>0</x:v>
      </x:c>
      <x:c r="AG341" t="n">
        <x:f>--AND(S341=1,T341=1,U341=1,V341=1,W341=1,AE341=1)</x:f>
        <x:v>0</x:v>
      </x:c>
      <x:c r="AJ341" t="str">
        <x:f>IF(OR(AH341="",AI341=""),"",--(AH341&lt;&gt;AI341))</x:f>
      </x:c>
      <x:c r="AL341" t="str">
        <x:f>IF(OR(AH341="",AI341=""),"PENDING_HUMAN",IF(AH341=AI341,AH341,IF(AK341&lt;&gt;"",AK341,"PENDING_HUMAN")))</x:f>
        <x:v>PENDING_HUMAN</x:v>
      </x:c>
      <x:c r="AM341" t="n">
        <x:f>--AND(A341&lt;&gt;"",AH341&lt;&gt;"",AI341&lt;&gt;"",OR(AH341=AI341,AK341&lt;&gt;""))</x:f>
        <x:v>0</x:v>
      </x:c>
      <x:c r="AN341" t="n">
        <x:f>--AND(Y341&lt;&gt;"",COUNTIF($Y$4:Y341,Y341)=1)</x:f>
        <x:v>0</x:v>
      </x:c>
      <x:c r="AO341" t="n">
        <x:f>--AND(AN341=1,Z341=1,AM341=1)</x:f>
        <x:v>0</x:v>
      </x:c>
      <x:c r="AP341" t="n">
        <x:f>--AND(AO341=1,AA341=1,AL341=1)</x:f>
        <x:v>0</x:v>
      </x:c>
      <x:c r="AQ341" t="n">
        <x:f>--AND(AN341=1,Z341=1)</x:f>
        <x:v>0</x:v>
      </x:c>
      <x:c r="AR341" t="n">
        <x:f>--AND(AQ341=1,AA341=1)</x:f>
        <x:v>0</x:v>
      </x:c>
    </x:row>
    <x:row r="342">
      <x:c r="A342" s="28"/>
      <x:c r="B342" s="28"/>
      <x:c r="C342" s="28"/>
      <x:c r="D342" s="28"/>
      <x:c r="E342" s="28"/>
      <x:c r="F342" s="28"/>
      <x:c r="G342" s="28"/>
      <x:c r="H342" s="28"/>
      <x:c r="I342" s="28"/>
      <x:c r="J342" s="28"/>
      <x:c r="K342" s="28"/>
      <x:c r="L342" s="28"/>
      <x:c r="M342" s="28"/>
      <x:c r="N342" s="28"/>
      <x:c r="O342" s="28"/>
      <x:c r="P342" s="28"/>
      <x:c r="Q342" s="28"/>
      <x:c r="R342" s="28"/>
      <x:c r="S342" s="28"/>
      <x:c r="T342" s="28"/>
      <x:c r="U342" s="28"/>
      <x:c r="V342" s="28"/>
      <x:c r="W342" s="28"/>
      <x:c r="X342" s="43" t="n">
        <x:f>--AND(S342=1,T342=1,U342=1,V342=1,W342=1)</x:f>
        <x:v>0</x:v>
      </x:c>
      <x:c r="AE342" s="43" t="n">
        <x:f>--AND(S342=1,M342&lt;&gt;"",M342&lt;&gt;"keep")</x:f>
        <x:v>0</x:v>
      </x:c>
      <x:c r="AG342" t="n">
        <x:f>--AND(S342=1,T342=1,U342=1,V342=1,W342=1,AE342=1)</x:f>
        <x:v>0</x:v>
      </x:c>
      <x:c r="AJ342" t="str">
        <x:f>IF(OR(AH342="",AI342=""),"",--(AH342&lt;&gt;AI342))</x:f>
      </x:c>
      <x:c r="AL342" t="str">
        <x:f>IF(OR(AH342="",AI342=""),"PENDING_HUMAN",IF(AH342=AI342,AH342,IF(AK342&lt;&gt;"",AK342,"PENDING_HUMAN")))</x:f>
        <x:v>PENDING_HUMAN</x:v>
      </x:c>
      <x:c r="AM342" t="n">
        <x:f>--AND(A342&lt;&gt;"",AH342&lt;&gt;"",AI342&lt;&gt;"",OR(AH342=AI342,AK342&lt;&gt;""))</x:f>
        <x:v>0</x:v>
      </x:c>
      <x:c r="AN342" t="n">
        <x:f>--AND(Y342&lt;&gt;"",COUNTIF($Y$4:Y342,Y342)=1)</x:f>
        <x:v>0</x:v>
      </x:c>
      <x:c r="AO342" t="n">
        <x:f>--AND(AN342=1,Z342=1,AM342=1)</x:f>
        <x:v>0</x:v>
      </x:c>
      <x:c r="AP342" t="n">
        <x:f>--AND(AO342=1,AA342=1,AL342=1)</x:f>
        <x:v>0</x:v>
      </x:c>
      <x:c r="AQ342" t="n">
        <x:f>--AND(AN342=1,Z342=1)</x:f>
        <x:v>0</x:v>
      </x:c>
      <x:c r="AR342" t="n">
        <x:f>--AND(AQ342=1,AA342=1)</x:f>
        <x:v>0</x:v>
      </x:c>
    </x:row>
    <x:row r="343">
      <x:c r="A343" s="28"/>
      <x:c r="B343" s="28"/>
      <x:c r="C343" s="28"/>
      <x:c r="D343" s="28"/>
      <x:c r="E343" s="28"/>
      <x:c r="F343" s="28"/>
      <x:c r="G343" s="28"/>
      <x:c r="H343" s="28"/>
      <x:c r="I343" s="28"/>
      <x:c r="J343" s="28"/>
      <x:c r="K343" s="28"/>
      <x:c r="L343" s="28"/>
      <x:c r="M343" s="28"/>
      <x:c r="N343" s="28"/>
      <x:c r="O343" s="28"/>
      <x:c r="P343" s="28"/>
      <x:c r="Q343" s="28"/>
      <x:c r="R343" s="28"/>
      <x:c r="S343" s="28"/>
      <x:c r="T343" s="28"/>
      <x:c r="U343" s="28"/>
      <x:c r="V343" s="28"/>
      <x:c r="W343" s="28"/>
      <x:c r="X343" s="43" t="n">
        <x:f>--AND(S343=1,T343=1,U343=1,V343=1,W343=1)</x:f>
        <x:v>0</x:v>
      </x:c>
      <x:c r="AE343" s="43" t="n">
        <x:f>--AND(S343=1,M343&lt;&gt;"",M343&lt;&gt;"keep")</x:f>
        <x:v>0</x:v>
      </x:c>
      <x:c r="AG343" t="n">
        <x:f>--AND(S343=1,T343=1,U343=1,V343=1,W343=1,AE343=1)</x:f>
        <x:v>0</x:v>
      </x:c>
      <x:c r="AJ343" t="str">
        <x:f>IF(OR(AH343="",AI343=""),"",--(AH343&lt;&gt;AI343))</x:f>
      </x:c>
      <x:c r="AL343" t="str">
        <x:f>IF(OR(AH343="",AI343=""),"PENDING_HUMAN",IF(AH343=AI343,AH343,IF(AK343&lt;&gt;"",AK343,"PENDING_HUMAN")))</x:f>
        <x:v>PENDING_HUMAN</x:v>
      </x:c>
      <x:c r="AM343" t="n">
        <x:f>--AND(A343&lt;&gt;"",AH343&lt;&gt;"",AI343&lt;&gt;"",OR(AH343=AI343,AK343&lt;&gt;""))</x:f>
        <x:v>0</x:v>
      </x:c>
      <x:c r="AN343" t="n">
        <x:f>--AND(Y343&lt;&gt;"",COUNTIF($Y$4:Y343,Y343)=1)</x:f>
        <x:v>0</x:v>
      </x:c>
      <x:c r="AO343" t="n">
        <x:f>--AND(AN343=1,Z343=1,AM343=1)</x:f>
        <x:v>0</x:v>
      </x:c>
      <x:c r="AP343" t="n">
        <x:f>--AND(AO343=1,AA343=1,AL343=1)</x:f>
        <x:v>0</x:v>
      </x:c>
      <x:c r="AQ343" t="n">
        <x:f>--AND(AN343=1,Z343=1)</x:f>
        <x:v>0</x:v>
      </x:c>
      <x:c r="AR343" t="n">
        <x:f>--AND(AQ343=1,AA343=1)</x:f>
        <x:v>0</x:v>
      </x:c>
    </x:row>
    <x:row r="344">
      <x:c r="A344" s="28"/>
      <x:c r="B344" s="28"/>
      <x:c r="C344" s="28"/>
      <x:c r="D344" s="28"/>
      <x:c r="E344" s="28"/>
      <x:c r="F344" s="28"/>
      <x:c r="G344" s="28"/>
      <x:c r="H344" s="28"/>
      <x:c r="I344" s="28"/>
      <x:c r="J344" s="28"/>
      <x:c r="K344" s="28"/>
      <x:c r="L344" s="28"/>
      <x:c r="M344" s="28"/>
      <x:c r="N344" s="28"/>
      <x:c r="O344" s="28"/>
      <x:c r="P344" s="28"/>
      <x:c r="Q344" s="28"/>
      <x:c r="R344" s="28"/>
      <x:c r="S344" s="28"/>
      <x:c r="T344" s="28"/>
      <x:c r="U344" s="28"/>
      <x:c r="V344" s="28"/>
      <x:c r="W344" s="28"/>
      <x:c r="X344" s="43" t="n">
        <x:f>--AND(S344=1,T344=1,U344=1,V344=1,W344=1)</x:f>
        <x:v>0</x:v>
      </x:c>
      <x:c r="AE344" s="43" t="n">
        <x:f>--AND(S344=1,M344&lt;&gt;"",M344&lt;&gt;"keep")</x:f>
        <x:v>0</x:v>
      </x:c>
      <x:c r="AG344" t="n">
        <x:f>--AND(S344=1,T344=1,U344=1,V344=1,W344=1,AE344=1)</x:f>
        <x:v>0</x:v>
      </x:c>
      <x:c r="AJ344" t="str">
        <x:f>IF(OR(AH344="",AI344=""),"",--(AH344&lt;&gt;AI344))</x:f>
      </x:c>
      <x:c r="AL344" t="str">
        <x:f>IF(OR(AH344="",AI344=""),"PENDING_HUMAN",IF(AH344=AI344,AH344,IF(AK344&lt;&gt;"",AK344,"PENDING_HUMAN")))</x:f>
        <x:v>PENDING_HUMAN</x:v>
      </x:c>
      <x:c r="AM344" t="n">
        <x:f>--AND(A344&lt;&gt;"",AH344&lt;&gt;"",AI344&lt;&gt;"",OR(AH344=AI344,AK344&lt;&gt;""))</x:f>
        <x:v>0</x:v>
      </x:c>
      <x:c r="AN344" t="n">
        <x:f>--AND(Y344&lt;&gt;"",COUNTIF($Y$4:Y344,Y344)=1)</x:f>
        <x:v>0</x:v>
      </x:c>
      <x:c r="AO344" t="n">
        <x:f>--AND(AN344=1,Z344=1,AM344=1)</x:f>
        <x:v>0</x:v>
      </x:c>
      <x:c r="AP344" t="n">
        <x:f>--AND(AO344=1,AA344=1,AL344=1)</x:f>
        <x:v>0</x:v>
      </x:c>
      <x:c r="AQ344" t="n">
        <x:f>--AND(AN344=1,Z344=1)</x:f>
        <x:v>0</x:v>
      </x:c>
      <x:c r="AR344" t="n">
        <x:f>--AND(AQ344=1,AA344=1)</x:f>
        <x:v>0</x:v>
      </x:c>
    </x:row>
    <x:row r="345">
      <x:c r="A345" s="28"/>
      <x:c r="B345" s="28"/>
      <x:c r="C345" s="28"/>
      <x:c r="D345" s="28"/>
      <x:c r="E345" s="28"/>
      <x:c r="F345" s="28"/>
      <x:c r="G345" s="28"/>
      <x:c r="H345" s="28"/>
      <x:c r="I345" s="28"/>
      <x:c r="J345" s="28"/>
      <x:c r="K345" s="28"/>
      <x:c r="L345" s="28"/>
      <x:c r="M345" s="28"/>
      <x:c r="N345" s="28"/>
      <x:c r="O345" s="28"/>
      <x:c r="P345" s="28"/>
      <x:c r="Q345" s="28"/>
      <x:c r="R345" s="28"/>
      <x:c r="S345" s="28"/>
      <x:c r="T345" s="28"/>
      <x:c r="U345" s="28"/>
      <x:c r="V345" s="28"/>
      <x:c r="W345" s="28"/>
      <x:c r="X345" s="43" t="n">
        <x:f>--AND(S345=1,T345=1,U345=1,V345=1,W345=1)</x:f>
        <x:v>0</x:v>
      </x:c>
      <x:c r="AE345" s="43" t="n">
        <x:f>--AND(S345=1,M345&lt;&gt;"",M345&lt;&gt;"keep")</x:f>
        <x:v>0</x:v>
      </x:c>
      <x:c r="AG345" t="n">
        <x:f>--AND(S345=1,T345=1,U345=1,V345=1,W345=1,AE345=1)</x:f>
        <x:v>0</x:v>
      </x:c>
      <x:c r="AJ345" t="str">
        <x:f>IF(OR(AH345="",AI345=""),"",--(AH345&lt;&gt;AI345))</x:f>
      </x:c>
      <x:c r="AL345" t="str">
        <x:f>IF(OR(AH345="",AI345=""),"PENDING_HUMAN",IF(AH345=AI345,AH345,IF(AK345&lt;&gt;"",AK345,"PENDING_HUMAN")))</x:f>
        <x:v>PENDING_HUMAN</x:v>
      </x:c>
      <x:c r="AM345" t="n">
        <x:f>--AND(A345&lt;&gt;"",AH345&lt;&gt;"",AI345&lt;&gt;"",OR(AH345=AI345,AK345&lt;&gt;""))</x:f>
        <x:v>0</x:v>
      </x:c>
      <x:c r="AN345" t="n">
        <x:f>--AND(Y345&lt;&gt;"",COUNTIF($Y$4:Y345,Y345)=1)</x:f>
        <x:v>0</x:v>
      </x:c>
      <x:c r="AO345" t="n">
        <x:f>--AND(AN345=1,Z345=1,AM345=1)</x:f>
        <x:v>0</x:v>
      </x:c>
      <x:c r="AP345" t="n">
        <x:f>--AND(AO345=1,AA345=1,AL345=1)</x:f>
        <x:v>0</x:v>
      </x:c>
      <x:c r="AQ345" t="n">
        <x:f>--AND(AN345=1,Z345=1)</x:f>
        <x:v>0</x:v>
      </x:c>
      <x:c r="AR345" t="n">
        <x:f>--AND(AQ345=1,AA345=1)</x:f>
        <x:v>0</x:v>
      </x:c>
    </x:row>
    <x:row r="346">
      <x:c r="A346" s="28"/>
      <x:c r="B346" s="28"/>
      <x:c r="C346" s="28"/>
      <x:c r="D346" s="28"/>
      <x:c r="E346" s="28"/>
      <x:c r="F346" s="28"/>
      <x:c r="G346" s="28"/>
      <x:c r="H346" s="28"/>
      <x:c r="I346" s="28"/>
      <x:c r="J346" s="28"/>
      <x:c r="K346" s="28"/>
      <x:c r="L346" s="28"/>
      <x:c r="M346" s="28"/>
      <x:c r="N346" s="28"/>
      <x:c r="O346" s="28"/>
      <x:c r="P346" s="28"/>
      <x:c r="Q346" s="28"/>
      <x:c r="R346" s="28"/>
      <x:c r="S346" s="28"/>
      <x:c r="T346" s="28"/>
      <x:c r="U346" s="28"/>
      <x:c r="V346" s="28"/>
      <x:c r="W346" s="28"/>
      <x:c r="X346" s="43" t="n">
        <x:f>--AND(S346=1,T346=1,U346=1,V346=1,W346=1)</x:f>
        <x:v>0</x:v>
      </x:c>
      <x:c r="AE346" s="43" t="n">
        <x:f>--AND(S346=1,M346&lt;&gt;"",M346&lt;&gt;"keep")</x:f>
        <x:v>0</x:v>
      </x:c>
      <x:c r="AG346" t="n">
        <x:f>--AND(S346=1,T346=1,U346=1,V346=1,W346=1,AE346=1)</x:f>
        <x:v>0</x:v>
      </x:c>
      <x:c r="AJ346" t="str">
        <x:f>IF(OR(AH346="",AI346=""),"",--(AH346&lt;&gt;AI346))</x:f>
      </x:c>
      <x:c r="AL346" t="str">
        <x:f>IF(OR(AH346="",AI346=""),"PENDING_HUMAN",IF(AH346=AI346,AH346,IF(AK346&lt;&gt;"",AK346,"PENDING_HUMAN")))</x:f>
        <x:v>PENDING_HUMAN</x:v>
      </x:c>
      <x:c r="AM346" t="n">
        <x:f>--AND(A346&lt;&gt;"",AH346&lt;&gt;"",AI346&lt;&gt;"",OR(AH346=AI346,AK346&lt;&gt;""))</x:f>
        <x:v>0</x:v>
      </x:c>
      <x:c r="AN346" t="n">
        <x:f>--AND(Y346&lt;&gt;"",COUNTIF($Y$4:Y346,Y346)=1)</x:f>
        <x:v>0</x:v>
      </x:c>
      <x:c r="AO346" t="n">
        <x:f>--AND(AN346=1,Z346=1,AM346=1)</x:f>
        <x:v>0</x:v>
      </x:c>
      <x:c r="AP346" t="n">
        <x:f>--AND(AO346=1,AA346=1,AL346=1)</x:f>
        <x:v>0</x:v>
      </x:c>
      <x:c r="AQ346" t="n">
        <x:f>--AND(AN346=1,Z346=1)</x:f>
        <x:v>0</x:v>
      </x:c>
      <x:c r="AR346" t="n">
        <x:f>--AND(AQ346=1,AA346=1)</x:f>
        <x:v>0</x:v>
      </x:c>
    </x:row>
    <x:row r="347">
      <x:c r="A347" s="28"/>
      <x:c r="B347" s="28"/>
      <x:c r="C347" s="28"/>
      <x:c r="D347" s="28"/>
      <x:c r="E347" s="28"/>
      <x:c r="F347" s="28"/>
      <x:c r="G347" s="28"/>
      <x:c r="H347" s="28"/>
      <x:c r="I347" s="28"/>
      <x:c r="J347" s="28"/>
      <x:c r="K347" s="28"/>
      <x:c r="L347" s="28"/>
      <x:c r="M347" s="28"/>
      <x:c r="N347" s="28"/>
      <x:c r="O347" s="28"/>
      <x:c r="P347" s="28"/>
      <x:c r="Q347" s="28"/>
      <x:c r="R347" s="28"/>
      <x:c r="S347" s="28"/>
      <x:c r="T347" s="28"/>
      <x:c r="U347" s="28"/>
      <x:c r="V347" s="28"/>
      <x:c r="W347" s="28"/>
      <x:c r="X347" s="43" t="n">
        <x:f>--AND(S347=1,T347=1,U347=1,V347=1,W347=1)</x:f>
        <x:v>0</x:v>
      </x:c>
      <x:c r="AE347" s="43" t="n">
        <x:f>--AND(S347=1,M347&lt;&gt;"",M347&lt;&gt;"keep")</x:f>
        <x:v>0</x:v>
      </x:c>
      <x:c r="AG347" t="n">
        <x:f>--AND(S347=1,T347=1,U347=1,V347=1,W347=1,AE347=1)</x:f>
        <x:v>0</x:v>
      </x:c>
      <x:c r="AJ347" t="str">
        <x:f>IF(OR(AH347="",AI347=""),"",--(AH347&lt;&gt;AI347))</x:f>
      </x:c>
      <x:c r="AL347" t="str">
        <x:f>IF(OR(AH347="",AI347=""),"PENDING_HUMAN",IF(AH347=AI347,AH347,IF(AK347&lt;&gt;"",AK347,"PENDING_HUMAN")))</x:f>
        <x:v>PENDING_HUMAN</x:v>
      </x:c>
      <x:c r="AM347" t="n">
        <x:f>--AND(A347&lt;&gt;"",AH347&lt;&gt;"",AI347&lt;&gt;"",OR(AH347=AI347,AK347&lt;&gt;""))</x:f>
        <x:v>0</x:v>
      </x:c>
      <x:c r="AN347" t="n">
        <x:f>--AND(Y347&lt;&gt;"",COUNTIF($Y$4:Y347,Y347)=1)</x:f>
        <x:v>0</x:v>
      </x:c>
      <x:c r="AO347" t="n">
        <x:f>--AND(AN347=1,Z347=1,AM347=1)</x:f>
        <x:v>0</x:v>
      </x:c>
      <x:c r="AP347" t="n">
        <x:f>--AND(AO347=1,AA347=1,AL347=1)</x:f>
        <x:v>0</x:v>
      </x:c>
      <x:c r="AQ347" t="n">
        <x:f>--AND(AN347=1,Z347=1)</x:f>
        <x:v>0</x:v>
      </x:c>
      <x:c r="AR347" t="n">
        <x:f>--AND(AQ347=1,AA347=1)</x:f>
        <x:v>0</x:v>
      </x:c>
    </x:row>
    <x:row r="348">
      <x:c r="A348" s="28"/>
      <x:c r="B348" s="28"/>
      <x:c r="C348" s="28"/>
      <x:c r="D348" s="28"/>
      <x:c r="E348" s="28"/>
      <x:c r="F348" s="28"/>
      <x:c r="G348" s="28"/>
      <x:c r="H348" s="28"/>
      <x:c r="I348" s="28"/>
      <x:c r="J348" s="28"/>
      <x:c r="K348" s="28"/>
      <x:c r="L348" s="28"/>
      <x:c r="M348" s="28"/>
      <x:c r="N348" s="28"/>
      <x:c r="O348" s="28"/>
      <x:c r="P348" s="28"/>
      <x:c r="Q348" s="28"/>
      <x:c r="R348" s="28"/>
      <x:c r="S348" s="28"/>
      <x:c r="T348" s="28"/>
      <x:c r="U348" s="28"/>
      <x:c r="V348" s="28"/>
      <x:c r="W348" s="28"/>
      <x:c r="X348" s="43" t="n">
        <x:f>--AND(S348=1,T348=1,U348=1,V348=1,W348=1)</x:f>
        <x:v>0</x:v>
      </x:c>
      <x:c r="AE348" s="43" t="n">
        <x:f>--AND(S348=1,M348&lt;&gt;"",M348&lt;&gt;"keep")</x:f>
        <x:v>0</x:v>
      </x:c>
      <x:c r="AG348" t="n">
        <x:f>--AND(S348=1,T348=1,U348=1,V348=1,W348=1,AE348=1)</x:f>
        <x:v>0</x:v>
      </x:c>
      <x:c r="AJ348" t="str">
        <x:f>IF(OR(AH348="",AI348=""),"",--(AH348&lt;&gt;AI348))</x:f>
      </x:c>
      <x:c r="AL348" t="str">
        <x:f>IF(OR(AH348="",AI348=""),"PENDING_HUMAN",IF(AH348=AI348,AH348,IF(AK348&lt;&gt;"",AK348,"PENDING_HUMAN")))</x:f>
        <x:v>PENDING_HUMAN</x:v>
      </x:c>
      <x:c r="AM348" t="n">
        <x:f>--AND(A348&lt;&gt;"",AH348&lt;&gt;"",AI348&lt;&gt;"",OR(AH348=AI348,AK348&lt;&gt;""))</x:f>
        <x:v>0</x:v>
      </x:c>
      <x:c r="AN348" t="n">
        <x:f>--AND(Y348&lt;&gt;"",COUNTIF($Y$4:Y348,Y348)=1)</x:f>
        <x:v>0</x:v>
      </x:c>
      <x:c r="AO348" t="n">
        <x:f>--AND(AN348=1,Z348=1,AM348=1)</x:f>
        <x:v>0</x:v>
      </x:c>
      <x:c r="AP348" t="n">
        <x:f>--AND(AO348=1,AA348=1,AL348=1)</x:f>
        <x:v>0</x:v>
      </x:c>
      <x:c r="AQ348" t="n">
        <x:f>--AND(AN348=1,Z348=1)</x:f>
        <x:v>0</x:v>
      </x:c>
      <x:c r="AR348" t="n">
        <x:f>--AND(AQ348=1,AA348=1)</x:f>
        <x:v>0</x:v>
      </x:c>
    </x:row>
    <x:row r="349">
      <x:c r="A349" s="28"/>
      <x:c r="B349" s="28"/>
      <x:c r="C349" s="28"/>
      <x:c r="D349" s="28"/>
      <x:c r="E349" s="28"/>
      <x:c r="F349" s="28"/>
      <x:c r="G349" s="28"/>
      <x:c r="H349" s="28"/>
      <x:c r="I349" s="28"/>
      <x:c r="J349" s="28"/>
      <x:c r="K349" s="28"/>
      <x:c r="L349" s="28"/>
      <x:c r="M349" s="28"/>
      <x:c r="N349" s="28"/>
      <x:c r="O349" s="28"/>
      <x:c r="P349" s="28"/>
      <x:c r="Q349" s="28"/>
      <x:c r="R349" s="28"/>
      <x:c r="S349" s="28"/>
      <x:c r="T349" s="28"/>
      <x:c r="U349" s="28"/>
      <x:c r="V349" s="28"/>
      <x:c r="W349" s="28"/>
      <x:c r="X349" s="43" t="n">
        <x:f>--AND(S349=1,T349=1,U349=1,V349=1,W349=1)</x:f>
        <x:v>0</x:v>
      </x:c>
      <x:c r="AE349" s="43" t="n">
        <x:f>--AND(S349=1,M349&lt;&gt;"",M349&lt;&gt;"keep")</x:f>
        <x:v>0</x:v>
      </x:c>
      <x:c r="AG349" t="n">
        <x:f>--AND(S349=1,T349=1,U349=1,V349=1,W349=1,AE349=1)</x:f>
        <x:v>0</x:v>
      </x:c>
      <x:c r="AJ349" t="str">
        <x:f>IF(OR(AH349="",AI349=""),"",--(AH349&lt;&gt;AI349))</x:f>
      </x:c>
      <x:c r="AL349" t="str">
        <x:f>IF(OR(AH349="",AI349=""),"PENDING_HUMAN",IF(AH349=AI349,AH349,IF(AK349&lt;&gt;"",AK349,"PENDING_HUMAN")))</x:f>
        <x:v>PENDING_HUMAN</x:v>
      </x:c>
      <x:c r="AM349" t="n">
        <x:f>--AND(A349&lt;&gt;"",AH349&lt;&gt;"",AI349&lt;&gt;"",OR(AH349=AI349,AK349&lt;&gt;""))</x:f>
        <x:v>0</x:v>
      </x:c>
      <x:c r="AN349" t="n">
        <x:f>--AND(Y349&lt;&gt;"",COUNTIF($Y$4:Y349,Y349)=1)</x:f>
        <x:v>0</x:v>
      </x:c>
      <x:c r="AO349" t="n">
        <x:f>--AND(AN349=1,Z349=1,AM349=1)</x:f>
        <x:v>0</x:v>
      </x:c>
      <x:c r="AP349" t="n">
        <x:f>--AND(AO349=1,AA349=1,AL349=1)</x:f>
        <x:v>0</x:v>
      </x:c>
      <x:c r="AQ349" t="n">
        <x:f>--AND(AN349=1,Z349=1)</x:f>
        <x:v>0</x:v>
      </x:c>
      <x:c r="AR349" t="n">
        <x:f>--AND(AQ349=1,AA349=1)</x:f>
        <x:v>0</x:v>
      </x:c>
    </x:row>
    <x:row r="350">
      <x:c r="A350" s="28"/>
      <x:c r="B350" s="28"/>
      <x:c r="C350" s="28"/>
      <x:c r="D350" s="28"/>
      <x:c r="E350" s="28"/>
      <x:c r="F350" s="28"/>
      <x:c r="G350" s="28"/>
      <x:c r="H350" s="28"/>
      <x:c r="I350" s="28"/>
      <x:c r="J350" s="28"/>
      <x:c r="K350" s="28"/>
      <x:c r="L350" s="28"/>
      <x:c r="M350" s="28"/>
      <x:c r="N350" s="28"/>
      <x:c r="O350" s="28"/>
      <x:c r="P350" s="28"/>
      <x:c r="Q350" s="28"/>
      <x:c r="R350" s="28"/>
      <x:c r="S350" s="28"/>
      <x:c r="T350" s="28"/>
      <x:c r="U350" s="28"/>
      <x:c r="V350" s="28"/>
      <x:c r="W350" s="28"/>
      <x:c r="X350" s="43" t="n">
        <x:f>--AND(S350=1,T350=1,U350=1,V350=1,W350=1)</x:f>
        <x:v>0</x:v>
      </x:c>
      <x:c r="AE350" s="43" t="n">
        <x:f>--AND(S350=1,M350&lt;&gt;"",M350&lt;&gt;"keep")</x:f>
        <x:v>0</x:v>
      </x:c>
      <x:c r="AG350" t="n">
        <x:f>--AND(S350=1,T350=1,U350=1,V350=1,W350=1,AE350=1)</x:f>
        <x:v>0</x:v>
      </x:c>
      <x:c r="AJ350" t="str">
        <x:f>IF(OR(AH350="",AI350=""),"",--(AH350&lt;&gt;AI350))</x:f>
      </x:c>
      <x:c r="AL350" t="str">
        <x:f>IF(OR(AH350="",AI350=""),"PENDING_HUMAN",IF(AH350=AI350,AH350,IF(AK350&lt;&gt;"",AK350,"PENDING_HUMAN")))</x:f>
        <x:v>PENDING_HUMAN</x:v>
      </x:c>
      <x:c r="AM350" t="n">
        <x:f>--AND(A350&lt;&gt;"",AH350&lt;&gt;"",AI350&lt;&gt;"",OR(AH350=AI350,AK350&lt;&gt;""))</x:f>
        <x:v>0</x:v>
      </x:c>
      <x:c r="AN350" t="n">
        <x:f>--AND(Y350&lt;&gt;"",COUNTIF($Y$4:Y350,Y350)=1)</x:f>
        <x:v>0</x:v>
      </x:c>
      <x:c r="AO350" t="n">
        <x:f>--AND(AN350=1,Z350=1,AM350=1)</x:f>
        <x:v>0</x:v>
      </x:c>
      <x:c r="AP350" t="n">
        <x:f>--AND(AO350=1,AA350=1,AL350=1)</x:f>
        <x:v>0</x:v>
      </x:c>
      <x:c r="AQ350" t="n">
        <x:f>--AND(AN350=1,Z350=1)</x:f>
        <x:v>0</x:v>
      </x:c>
      <x:c r="AR350" t="n">
        <x:f>--AND(AQ350=1,AA350=1)</x:f>
        <x:v>0</x:v>
      </x:c>
    </x:row>
    <x:row r="351">
      <x:c r="A351" s="28"/>
      <x:c r="B351" s="28"/>
      <x:c r="C351" s="28"/>
      <x:c r="D351" s="28"/>
      <x:c r="E351" s="28"/>
      <x:c r="F351" s="28"/>
      <x:c r="G351" s="28"/>
      <x:c r="H351" s="28"/>
      <x:c r="I351" s="28"/>
      <x:c r="J351" s="28"/>
      <x:c r="K351" s="28"/>
      <x:c r="L351" s="28"/>
      <x:c r="M351" s="28"/>
      <x:c r="N351" s="28"/>
      <x:c r="O351" s="28"/>
      <x:c r="P351" s="28"/>
      <x:c r="Q351" s="28"/>
      <x:c r="R351" s="28"/>
      <x:c r="S351" s="28"/>
      <x:c r="T351" s="28"/>
      <x:c r="U351" s="28"/>
      <x:c r="V351" s="28"/>
      <x:c r="W351" s="28"/>
      <x:c r="X351" s="43" t="n">
        <x:f>--AND(S351=1,T351=1,U351=1,V351=1,W351=1)</x:f>
        <x:v>0</x:v>
      </x:c>
      <x:c r="AE351" s="43" t="n">
        <x:f>--AND(S351=1,M351&lt;&gt;"",M351&lt;&gt;"keep")</x:f>
        <x:v>0</x:v>
      </x:c>
      <x:c r="AG351" t="n">
        <x:f>--AND(S351=1,T351=1,U351=1,V351=1,W351=1,AE351=1)</x:f>
        <x:v>0</x:v>
      </x:c>
      <x:c r="AJ351" t="str">
        <x:f>IF(OR(AH351="",AI351=""),"",--(AH351&lt;&gt;AI351))</x:f>
      </x:c>
      <x:c r="AL351" t="str">
        <x:f>IF(OR(AH351="",AI351=""),"PENDING_HUMAN",IF(AH351=AI351,AH351,IF(AK351&lt;&gt;"",AK351,"PENDING_HUMAN")))</x:f>
        <x:v>PENDING_HUMAN</x:v>
      </x:c>
      <x:c r="AM351" t="n">
        <x:f>--AND(A351&lt;&gt;"",AH351&lt;&gt;"",AI351&lt;&gt;"",OR(AH351=AI351,AK351&lt;&gt;""))</x:f>
        <x:v>0</x:v>
      </x:c>
      <x:c r="AN351" t="n">
        <x:f>--AND(Y351&lt;&gt;"",COUNTIF($Y$4:Y351,Y351)=1)</x:f>
        <x:v>0</x:v>
      </x:c>
      <x:c r="AO351" t="n">
        <x:f>--AND(AN351=1,Z351=1,AM351=1)</x:f>
        <x:v>0</x:v>
      </x:c>
      <x:c r="AP351" t="n">
        <x:f>--AND(AO351=1,AA351=1,AL351=1)</x:f>
        <x:v>0</x:v>
      </x:c>
      <x:c r="AQ351" t="n">
        <x:f>--AND(AN351=1,Z351=1)</x:f>
        <x:v>0</x:v>
      </x:c>
      <x:c r="AR351" t="n">
        <x:f>--AND(AQ351=1,AA351=1)</x:f>
        <x:v>0</x:v>
      </x:c>
    </x:row>
    <x:row r="352">
      <x:c r="A352" s="28"/>
      <x:c r="B352" s="28"/>
      <x:c r="C352" s="28"/>
      <x:c r="D352" s="28"/>
      <x:c r="E352" s="28"/>
      <x:c r="F352" s="28"/>
      <x:c r="G352" s="28"/>
      <x:c r="H352" s="28"/>
      <x:c r="I352" s="28"/>
      <x:c r="J352" s="28"/>
      <x:c r="K352" s="28"/>
      <x:c r="L352" s="28"/>
      <x:c r="M352" s="28"/>
      <x:c r="N352" s="28"/>
      <x:c r="O352" s="28"/>
      <x:c r="P352" s="28"/>
      <x:c r="Q352" s="28"/>
      <x:c r="R352" s="28"/>
      <x:c r="S352" s="28"/>
      <x:c r="T352" s="28"/>
      <x:c r="U352" s="28"/>
      <x:c r="V352" s="28"/>
      <x:c r="W352" s="28"/>
      <x:c r="X352" s="43" t="n">
        <x:f>--AND(S352=1,T352=1,U352=1,V352=1,W352=1)</x:f>
        <x:v>0</x:v>
      </x:c>
      <x:c r="AE352" s="43" t="n">
        <x:f>--AND(S352=1,M352&lt;&gt;"",M352&lt;&gt;"keep")</x:f>
        <x:v>0</x:v>
      </x:c>
      <x:c r="AG352" t="n">
        <x:f>--AND(S352=1,T352=1,U352=1,V352=1,W352=1,AE352=1)</x:f>
        <x:v>0</x:v>
      </x:c>
      <x:c r="AJ352" t="str">
        <x:f>IF(OR(AH352="",AI352=""),"",--(AH352&lt;&gt;AI352))</x:f>
      </x:c>
      <x:c r="AL352" t="str">
        <x:f>IF(OR(AH352="",AI352=""),"PENDING_HUMAN",IF(AH352=AI352,AH352,IF(AK352&lt;&gt;"",AK352,"PENDING_HUMAN")))</x:f>
        <x:v>PENDING_HUMAN</x:v>
      </x:c>
      <x:c r="AM352" t="n">
        <x:f>--AND(A352&lt;&gt;"",AH352&lt;&gt;"",AI352&lt;&gt;"",OR(AH352=AI352,AK352&lt;&gt;""))</x:f>
        <x:v>0</x:v>
      </x:c>
      <x:c r="AN352" t="n">
        <x:f>--AND(Y352&lt;&gt;"",COUNTIF($Y$4:Y352,Y352)=1)</x:f>
        <x:v>0</x:v>
      </x:c>
      <x:c r="AO352" t="n">
        <x:f>--AND(AN352=1,Z352=1,AM352=1)</x:f>
        <x:v>0</x:v>
      </x:c>
      <x:c r="AP352" t="n">
        <x:f>--AND(AO352=1,AA352=1,AL352=1)</x:f>
        <x:v>0</x:v>
      </x:c>
      <x:c r="AQ352" t="n">
        <x:f>--AND(AN352=1,Z352=1)</x:f>
        <x:v>0</x:v>
      </x:c>
      <x:c r="AR352" t="n">
        <x:f>--AND(AQ352=1,AA352=1)</x:f>
        <x:v>0</x:v>
      </x:c>
    </x:row>
    <x:row r="353">
      <x:c r="A353" s="28"/>
      <x:c r="B353" s="28"/>
      <x:c r="C353" s="28"/>
      <x:c r="D353" s="28"/>
      <x:c r="E353" s="28"/>
      <x:c r="F353" s="28"/>
      <x:c r="G353" s="28"/>
      <x:c r="H353" s="28"/>
      <x:c r="I353" s="28"/>
      <x:c r="J353" s="28"/>
      <x:c r="K353" s="28"/>
      <x:c r="L353" s="28"/>
      <x:c r="M353" s="28"/>
      <x:c r="N353" s="28"/>
      <x:c r="O353" s="28"/>
      <x:c r="P353" s="28"/>
      <x:c r="Q353" s="28"/>
      <x:c r="R353" s="28"/>
      <x:c r="S353" s="28"/>
      <x:c r="T353" s="28"/>
      <x:c r="U353" s="28"/>
      <x:c r="V353" s="28"/>
      <x:c r="W353" s="28"/>
      <x:c r="X353" s="43" t="n">
        <x:f>--AND(S353=1,T353=1,U353=1,V353=1,W353=1)</x:f>
        <x:v>0</x:v>
      </x:c>
      <x:c r="AE353" s="43" t="n">
        <x:f>--AND(S353=1,M353&lt;&gt;"",M353&lt;&gt;"keep")</x:f>
        <x:v>0</x:v>
      </x:c>
      <x:c r="AG353" t="n">
        <x:f>--AND(S353=1,T353=1,U353=1,V353=1,W353=1,AE353=1)</x:f>
        <x:v>0</x:v>
      </x:c>
      <x:c r="AJ353" t="str">
        <x:f>IF(OR(AH353="",AI353=""),"",--(AH353&lt;&gt;AI353))</x:f>
      </x:c>
      <x:c r="AL353" t="str">
        <x:f>IF(OR(AH353="",AI353=""),"PENDING_HUMAN",IF(AH353=AI353,AH353,IF(AK353&lt;&gt;"",AK353,"PENDING_HUMAN")))</x:f>
        <x:v>PENDING_HUMAN</x:v>
      </x:c>
      <x:c r="AM353" t="n">
        <x:f>--AND(A353&lt;&gt;"",AH353&lt;&gt;"",AI353&lt;&gt;"",OR(AH353=AI353,AK353&lt;&gt;""))</x:f>
        <x:v>0</x:v>
      </x:c>
      <x:c r="AN353" t="n">
        <x:f>--AND(Y353&lt;&gt;"",COUNTIF($Y$4:Y353,Y353)=1)</x:f>
        <x:v>0</x:v>
      </x:c>
      <x:c r="AO353" t="n">
        <x:f>--AND(AN353=1,Z353=1,AM353=1)</x:f>
        <x:v>0</x:v>
      </x:c>
      <x:c r="AP353" t="n">
        <x:f>--AND(AO353=1,AA353=1,AL353=1)</x:f>
        <x:v>0</x:v>
      </x:c>
      <x:c r="AQ353" t="n">
        <x:f>--AND(AN353=1,Z353=1)</x:f>
        <x:v>0</x:v>
      </x:c>
      <x:c r="AR353" t="n">
        <x:f>--AND(AQ353=1,AA353=1)</x:f>
        <x:v>0</x:v>
      </x:c>
    </x:row>
    <x:row r="354">
      <x:c r="A354" s="28"/>
      <x:c r="B354" s="28"/>
      <x:c r="C354" s="28"/>
      <x:c r="D354" s="28"/>
      <x:c r="E354" s="28"/>
      <x:c r="F354" s="28"/>
      <x:c r="G354" s="28"/>
      <x:c r="H354" s="28"/>
      <x:c r="I354" s="28"/>
      <x:c r="J354" s="28"/>
      <x:c r="K354" s="28"/>
      <x:c r="L354" s="28"/>
      <x:c r="M354" s="28"/>
      <x:c r="N354" s="28"/>
      <x:c r="O354" s="28"/>
      <x:c r="P354" s="28"/>
      <x:c r="Q354" s="28"/>
      <x:c r="R354" s="28"/>
      <x:c r="S354" s="28"/>
      <x:c r="T354" s="28"/>
      <x:c r="U354" s="28"/>
      <x:c r="V354" s="28"/>
      <x:c r="W354" s="28"/>
      <x:c r="X354" s="43" t="n">
        <x:f>--AND(S354=1,T354=1,U354=1,V354=1,W354=1)</x:f>
        <x:v>0</x:v>
      </x:c>
      <x:c r="AE354" s="43" t="n">
        <x:f>--AND(S354=1,M354&lt;&gt;"",M354&lt;&gt;"keep")</x:f>
        <x:v>0</x:v>
      </x:c>
      <x:c r="AG354" t="n">
        <x:f>--AND(S354=1,T354=1,U354=1,V354=1,W354=1,AE354=1)</x:f>
        <x:v>0</x:v>
      </x:c>
      <x:c r="AJ354" t="str">
        <x:f>IF(OR(AH354="",AI354=""),"",--(AH354&lt;&gt;AI354))</x:f>
      </x:c>
      <x:c r="AL354" t="str">
        <x:f>IF(OR(AH354="",AI354=""),"PENDING_HUMAN",IF(AH354=AI354,AH354,IF(AK354&lt;&gt;"",AK354,"PENDING_HUMAN")))</x:f>
        <x:v>PENDING_HUMAN</x:v>
      </x:c>
      <x:c r="AM354" t="n">
        <x:f>--AND(A354&lt;&gt;"",AH354&lt;&gt;"",AI354&lt;&gt;"",OR(AH354=AI354,AK354&lt;&gt;""))</x:f>
        <x:v>0</x:v>
      </x:c>
      <x:c r="AN354" t="n">
        <x:f>--AND(Y354&lt;&gt;"",COUNTIF($Y$4:Y354,Y354)=1)</x:f>
        <x:v>0</x:v>
      </x:c>
      <x:c r="AO354" t="n">
        <x:f>--AND(AN354=1,Z354=1,AM354=1)</x:f>
        <x:v>0</x:v>
      </x:c>
      <x:c r="AP354" t="n">
        <x:f>--AND(AO354=1,AA354=1,AL354=1)</x:f>
        <x:v>0</x:v>
      </x:c>
      <x:c r="AQ354" t="n">
        <x:f>--AND(AN354=1,Z354=1)</x:f>
        <x:v>0</x:v>
      </x:c>
      <x:c r="AR354" t="n">
        <x:f>--AND(AQ354=1,AA354=1)</x:f>
        <x:v>0</x:v>
      </x:c>
    </x:row>
    <x:row r="355">
      <x:c r="A355" s="28"/>
      <x:c r="B355" s="28"/>
      <x:c r="C355" s="28"/>
      <x:c r="D355" s="28"/>
      <x:c r="E355" s="28"/>
      <x:c r="F355" s="28"/>
      <x:c r="G355" s="28"/>
      <x:c r="H355" s="28"/>
      <x:c r="I355" s="28"/>
      <x:c r="J355" s="28"/>
      <x:c r="K355" s="28"/>
      <x:c r="L355" s="28"/>
      <x:c r="M355" s="28"/>
      <x:c r="N355" s="28"/>
      <x:c r="O355" s="28"/>
      <x:c r="P355" s="28"/>
      <x:c r="Q355" s="28"/>
      <x:c r="R355" s="28"/>
      <x:c r="S355" s="28"/>
      <x:c r="T355" s="28"/>
      <x:c r="U355" s="28"/>
      <x:c r="V355" s="28"/>
      <x:c r="W355" s="28"/>
      <x:c r="X355" s="43" t="n">
        <x:f>--AND(S355=1,T355=1,U355=1,V355=1,W355=1)</x:f>
        <x:v>0</x:v>
      </x:c>
      <x:c r="AE355" s="43" t="n">
        <x:f>--AND(S355=1,M355&lt;&gt;"",M355&lt;&gt;"keep")</x:f>
        <x:v>0</x:v>
      </x:c>
      <x:c r="AG355" t="n">
        <x:f>--AND(S355=1,T355=1,U355=1,V355=1,W355=1,AE355=1)</x:f>
        <x:v>0</x:v>
      </x:c>
      <x:c r="AJ355" t="str">
        <x:f>IF(OR(AH355="",AI355=""),"",--(AH355&lt;&gt;AI355))</x:f>
      </x:c>
      <x:c r="AL355" t="str">
        <x:f>IF(OR(AH355="",AI355=""),"PENDING_HUMAN",IF(AH355=AI355,AH355,IF(AK355&lt;&gt;"",AK355,"PENDING_HUMAN")))</x:f>
        <x:v>PENDING_HUMAN</x:v>
      </x:c>
      <x:c r="AM355" t="n">
        <x:f>--AND(A355&lt;&gt;"",AH355&lt;&gt;"",AI355&lt;&gt;"",OR(AH355=AI355,AK355&lt;&gt;""))</x:f>
        <x:v>0</x:v>
      </x:c>
      <x:c r="AN355" t="n">
        <x:f>--AND(Y355&lt;&gt;"",COUNTIF($Y$4:Y355,Y355)=1)</x:f>
        <x:v>0</x:v>
      </x:c>
      <x:c r="AO355" t="n">
        <x:f>--AND(AN355=1,Z355=1,AM355=1)</x:f>
        <x:v>0</x:v>
      </x:c>
      <x:c r="AP355" t="n">
        <x:f>--AND(AO355=1,AA355=1,AL355=1)</x:f>
        <x:v>0</x:v>
      </x:c>
      <x:c r="AQ355" t="n">
        <x:f>--AND(AN355=1,Z355=1)</x:f>
        <x:v>0</x:v>
      </x:c>
      <x:c r="AR355" t="n">
        <x:f>--AND(AQ355=1,AA355=1)</x:f>
        <x:v>0</x:v>
      </x:c>
    </x:row>
    <x:row r="356">
      <x:c r="A356" s="28"/>
      <x:c r="B356" s="28"/>
      <x:c r="C356" s="28"/>
      <x:c r="D356" s="28"/>
      <x:c r="E356" s="28"/>
      <x:c r="F356" s="28"/>
      <x:c r="G356" s="28"/>
      <x:c r="H356" s="28"/>
      <x:c r="I356" s="28"/>
      <x:c r="J356" s="28"/>
      <x:c r="K356" s="28"/>
      <x:c r="L356" s="28"/>
      <x:c r="M356" s="28"/>
      <x:c r="N356" s="28"/>
      <x:c r="O356" s="28"/>
      <x:c r="P356" s="28"/>
      <x:c r="Q356" s="28"/>
      <x:c r="R356" s="28"/>
      <x:c r="S356" s="28"/>
      <x:c r="T356" s="28"/>
      <x:c r="U356" s="28"/>
      <x:c r="V356" s="28"/>
      <x:c r="W356" s="28"/>
      <x:c r="X356" s="43" t="n">
        <x:f>--AND(S356=1,T356=1,U356=1,V356=1,W356=1)</x:f>
        <x:v>0</x:v>
      </x:c>
      <x:c r="AE356" s="43" t="n">
        <x:f>--AND(S356=1,M356&lt;&gt;"",M356&lt;&gt;"keep")</x:f>
        <x:v>0</x:v>
      </x:c>
      <x:c r="AG356" t="n">
        <x:f>--AND(S356=1,T356=1,U356=1,V356=1,W356=1,AE356=1)</x:f>
        <x:v>0</x:v>
      </x:c>
      <x:c r="AJ356" t="str">
        <x:f>IF(OR(AH356="",AI356=""),"",--(AH356&lt;&gt;AI356))</x:f>
      </x:c>
      <x:c r="AL356" t="str">
        <x:f>IF(OR(AH356="",AI356=""),"PENDING_HUMAN",IF(AH356=AI356,AH356,IF(AK356&lt;&gt;"",AK356,"PENDING_HUMAN")))</x:f>
        <x:v>PENDING_HUMAN</x:v>
      </x:c>
      <x:c r="AM356" t="n">
        <x:f>--AND(A356&lt;&gt;"",AH356&lt;&gt;"",AI356&lt;&gt;"",OR(AH356=AI356,AK356&lt;&gt;""))</x:f>
        <x:v>0</x:v>
      </x:c>
      <x:c r="AN356" t="n">
        <x:f>--AND(Y356&lt;&gt;"",COUNTIF($Y$4:Y356,Y356)=1)</x:f>
        <x:v>0</x:v>
      </x:c>
      <x:c r="AO356" t="n">
        <x:f>--AND(AN356=1,Z356=1,AM356=1)</x:f>
        <x:v>0</x:v>
      </x:c>
      <x:c r="AP356" t="n">
        <x:f>--AND(AO356=1,AA356=1,AL356=1)</x:f>
        <x:v>0</x:v>
      </x:c>
      <x:c r="AQ356" t="n">
        <x:f>--AND(AN356=1,Z356=1)</x:f>
        <x:v>0</x:v>
      </x:c>
      <x:c r="AR356" t="n">
        <x:f>--AND(AQ356=1,AA356=1)</x:f>
        <x:v>0</x:v>
      </x:c>
    </x:row>
    <x:row r="357">
      <x:c r="A357" s="28"/>
      <x:c r="B357" s="28"/>
      <x:c r="C357" s="28"/>
      <x:c r="D357" s="28"/>
      <x:c r="E357" s="28"/>
      <x:c r="F357" s="28"/>
      <x:c r="G357" s="28"/>
      <x:c r="H357" s="28"/>
      <x:c r="I357" s="28"/>
      <x:c r="J357" s="28"/>
      <x:c r="K357" s="28"/>
      <x:c r="L357" s="28"/>
      <x:c r="M357" s="28"/>
      <x:c r="N357" s="28"/>
      <x:c r="O357" s="28"/>
      <x:c r="P357" s="28"/>
      <x:c r="Q357" s="28"/>
      <x:c r="R357" s="28"/>
      <x:c r="S357" s="28"/>
      <x:c r="T357" s="28"/>
      <x:c r="U357" s="28"/>
      <x:c r="V357" s="28"/>
      <x:c r="W357" s="28"/>
      <x:c r="X357" s="43" t="n">
        <x:f>--AND(S357=1,T357=1,U357=1,V357=1,W357=1)</x:f>
        <x:v>0</x:v>
      </x:c>
      <x:c r="AE357" s="43" t="n">
        <x:f>--AND(S357=1,M357&lt;&gt;"",M357&lt;&gt;"keep")</x:f>
        <x:v>0</x:v>
      </x:c>
      <x:c r="AG357" t="n">
        <x:f>--AND(S357=1,T357=1,U357=1,V357=1,W357=1,AE357=1)</x:f>
        <x:v>0</x:v>
      </x:c>
      <x:c r="AJ357" t="str">
        <x:f>IF(OR(AH357="",AI357=""),"",--(AH357&lt;&gt;AI357))</x:f>
      </x:c>
      <x:c r="AL357" t="str">
        <x:f>IF(OR(AH357="",AI357=""),"PENDING_HUMAN",IF(AH357=AI357,AH357,IF(AK357&lt;&gt;"",AK357,"PENDING_HUMAN")))</x:f>
        <x:v>PENDING_HUMAN</x:v>
      </x:c>
      <x:c r="AM357" t="n">
        <x:f>--AND(A357&lt;&gt;"",AH357&lt;&gt;"",AI357&lt;&gt;"",OR(AH357=AI357,AK357&lt;&gt;""))</x:f>
        <x:v>0</x:v>
      </x:c>
      <x:c r="AN357" t="n">
        <x:f>--AND(Y357&lt;&gt;"",COUNTIF($Y$4:Y357,Y357)=1)</x:f>
        <x:v>0</x:v>
      </x:c>
      <x:c r="AO357" t="n">
        <x:f>--AND(AN357=1,Z357=1,AM357=1)</x:f>
        <x:v>0</x:v>
      </x:c>
      <x:c r="AP357" t="n">
        <x:f>--AND(AO357=1,AA357=1,AL357=1)</x:f>
        <x:v>0</x:v>
      </x:c>
      <x:c r="AQ357" t="n">
        <x:f>--AND(AN357=1,Z357=1)</x:f>
        <x:v>0</x:v>
      </x:c>
      <x:c r="AR357" t="n">
        <x:f>--AND(AQ357=1,AA357=1)</x:f>
        <x:v>0</x:v>
      </x:c>
    </x:row>
    <x:row r="358">
      <x:c r="A358" s="28"/>
      <x:c r="B358" s="28"/>
      <x:c r="C358" s="28"/>
      <x:c r="D358" s="28"/>
      <x:c r="E358" s="28"/>
      <x:c r="F358" s="28"/>
      <x:c r="G358" s="28"/>
      <x:c r="H358" s="28"/>
      <x:c r="I358" s="28"/>
      <x:c r="J358" s="28"/>
      <x:c r="K358" s="28"/>
      <x:c r="L358" s="28"/>
      <x:c r="M358" s="28"/>
      <x:c r="N358" s="28"/>
      <x:c r="O358" s="28"/>
      <x:c r="P358" s="28"/>
      <x:c r="Q358" s="28"/>
      <x:c r="R358" s="28"/>
      <x:c r="S358" s="28"/>
      <x:c r="T358" s="28"/>
      <x:c r="U358" s="28"/>
      <x:c r="V358" s="28"/>
      <x:c r="W358" s="28"/>
      <x:c r="X358" s="43" t="n">
        <x:f>--AND(S358=1,T358=1,U358=1,V358=1,W358=1)</x:f>
        <x:v>0</x:v>
      </x:c>
      <x:c r="AE358" s="43" t="n">
        <x:f>--AND(S358=1,M358&lt;&gt;"",M358&lt;&gt;"keep")</x:f>
        <x:v>0</x:v>
      </x:c>
      <x:c r="AG358" t="n">
        <x:f>--AND(S358=1,T358=1,U358=1,V358=1,W358=1,AE358=1)</x:f>
        <x:v>0</x:v>
      </x:c>
      <x:c r="AJ358" t="str">
        <x:f>IF(OR(AH358="",AI358=""),"",--(AH358&lt;&gt;AI358))</x:f>
      </x:c>
      <x:c r="AL358" t="str">
        <x:f>IF(OR(AH358="",AI358=""),"PENDING_HUMAN",IF(AH358=AI358,AH358,IF(AK358&lt;&gt;"",AK358,"PENDING_HUMAN")))</x:f>
        <x:v>PENDING_HUMAN</x:v>
      </x:c>
      <x:c r="AM358" t="n">
        <x:f>--AND(A358&lt;&gt;"",AH358&lt;&gt;"",AI358&lt;&gt;"",OR(AH358=AI358,AK358&lt;&gt;""))</x:f>
        <x:v>0</x:v>
      </x:c>
      <x:c r="AN358" t="n">
        <x:f>--AND(Y358&lt;&gt;"",COUNTIF($Y$4:Y358,Y358)=1)</x:f>
        <x:v>0</x:v>
      </x:c>
      <x:c r="AO358" t="n">
        <x:f>--AND(AN358=1,Z358=1,AM358=1)</x:f>
        <x:v>0</x:v>
      </x:c>
      <x:c r="AP358" t="n">
        <x:f>--AND(AO358=1,AA358=1,AL358=1)</x:f>
        <x:v>0</x:v>
      </x:c>
      <x:c r="AQ358" t="n">
        <x:f>--AND(AN358=1,Z358=1)</x:f>
        <x:v>0</x:v>
      </x:c>
      <x:c r="AR358" t="n">
        <x:f>--AND(AQ358=1,AA358=1)</x:f>
        <x:v>0</x:v>
      </x:c>
    </x:row>
    <x:row r="359">
      <x:c r="A359" s="28"/>
      <x:c r="B359" s="28"/>
      <x:c r="C359" s="28"/>
      <x:c r="D359" s="28"/>
      <x:c r="E359" s="28"/>
      <x:c r="F359" s="28"/>
      <x:c r="G359" s="28"/>
      <x:c r="H359" s="28"/>
      <x:c r="I359" s="28"/>
      <x:c r="J359" s="28"/>
      <x:c r="K359" s="28"/>
      <x:c r="L359" s="28"/>
      <x:c r="M359" s="28"/>
      <x:c r="N359" s="28"/>
      <x:c r="O359" s="28"/>
      <x:c r="P359" s="28"/>
      <x:c r="Q359" s="28"/>
      <x:c r="R359" s="28"/>
      <x:c r="S359" s="28"/>
      <x:c r="T359" s="28"/>
      <x:c r="U359" s="28"/>
      <x:c r="V359" s="28"/>
      <x:c r="W359" s="28"/>
      <x:c r="X359" s="43" t="n">
        <x:f>--AND(S359=1,T359=1,U359=1,V359=1,W359=1)</x:f>
        <x:v>0</x:v>
      </x:c>
      <x:c r="AE359" s="43" t="n">
        <x:f>--AND(S359=1,M359&lt;&gt;"",M359&lt;&gt;"keep")</x:f>
        <x:v>0</x:v>
      </x:c>
      <x:c r="AG359" t="n">
        <x:f>--AND(S359=1,T359=1,U359=1,V359=1,W359=1,AE359=1)</x:f>
        <x:v>0</x:v>
      </x:c>
      <x:c r="AJ359" t="str">
        <x:f>IF(OR(AH359="",AI359=""),"",--(AH359&lt;&gt;AI359))</x:f>
      </x:c>
      <x:c r="AL359" t="str">
        <x:f>IF(OR(AH359="",AI359=""),"PENDING_HUMAN",IF(AH359=AI359,AH359,IF(AK359&lt;&gt;"",AK359,"PENDING_HUMAN")))</x:f>
        <x:v>PENDING_HUMAN</x:v>
      </x:c>
      <x:c r="AM359" t="n">
        <x:f>--AND(A359&lt;&gt;"",AH359&lt;&gt;"",AI359&lt;&gt;"",OR(AH359=AI359,AK359&lt;&gt;""))</x:f>
        <x:v>0</x:v>
      </x:c>
      <x:c r="AN359" t="n">
        <x:f>--AND(Y359&lt;&gt;"",COUNTIF($Y$4:Y359,Y359)=1)</x:f>
        <x:v>0</x:v>
      </x:c>
      <x:c r="AO359" t="n">
        <x:f>--AND(AN359=1,Z359=1,AM359=1)</x:f>
        <x:v>0</x:v>
      </x:c>
      <x:c r="AP359" t="n">
        <x:f>--AND(AO359=1,AA359=1,AL359=1)</x:f>
        <x:v>0</x:v>
      </x:c>
      <x:c r="AQ359" t="n">
        <x:f>--AND(AN359=1,Z359=1)</x:f>
        <x:v>0</x:v>
      </x:c>
      <x:c r="AR359" t="n">
        <x:f>--AND(AQ359=1,AA359=1)</x:f>
        <x:v>0</x:v>
      </x:c>
    </x:row>
    <x:row r="360">
      <x:c r="A360" s="28"/>
      <x:c r="B360" s="28"/>
      <x:c r="C360" s="28"/>
      <x:c r="D360" s="28"/>
      <x:c r="E360" s="28"/>
      <x:c r="F360" s="28"/>
      <x:c r="G360" s="28"/>
      <x:c r="H360" s="28"/>
      <x:c r="I360" s="28"/>
      <x:c r="J360" s="28"/>
      <x:c r="K360" s="28"/>
      <x:c r="L360" s="28"/>
      <x:c r="M360" s="28"/>
      <x:c r="N360" s="28"/>
      <x:c r="O360" s="28"/>
      <x:c r="P360" s="28"/>
      <x:c r="Q360" s="28"/>
      <x:c r="R360" s="28"/>
      <x:c r="S360" s="28"/>
      <x:c r="T360" s="28"/>
      <x:c r="U360" s="28"/>
      <x:c r="V360" s="28"/>
      <x:c r="W360" s="28"/>
      <x:c r="X360" s="43" t="n">
        <x:f>--AND(S360=1,T360=1,U360=1,V360=1,W360=1)</x:f>
        <x:v>0</x:v>
      </x:c>
      <x:c r="AE360" s="43" t="n">
        <x:f>--AND(S360=1,M360&lt;&gt;"",M360&lt;&gt;"keep")</x:f>
        <x:v>0</x:v>
      </x:c>
      <x:c r="AG360" t="n">
        <x:f>--AND(S360=1,T360=1,U360=1,V360=1,W360=1,AE360=1)</x:f>
        <x:v>0</x:v>
      </x:c>
      <x:c r="AJ360" t="str">
        <x:f>IF(OR(AH360="",AI360=""),"",--(AH360&lt;&gt;AI360))</x:f>
      </x:c>
      <x:c r="AL360" t="str">
        <x:f>IF(OR(AH360="",AI360=""),"PENDING_HUMAN",IF(AH360=AI360,AH360,IF(AK360&lt;&gt;"",AK360,"PENDING_HUMAN")))</x:f>
        <x:v>PENDING_HUMAN</x:v>
      </x:c>
      <x:c r="AM360" t="n">
        <x:f>--AND(A360&lt;&gt;"",AH360&lt;&gt;"",AI360&lt;&gt;"",OR(AH360=AI360,AK360&lt;&gt;""))</x:f>
        <x:v>0</x:v>
      </x:c>
      <x:c r="AN360" t="n">
        <x:f>--AND(Y360&lt;&gt;"",COUNTIF($Y$4:Y360,Y360)=1)</x:f>
        <x:v>0</x:v>
      </x:c>
      <x:c r="AO360" t="n">
        <x:f>--AND(AN360=1,Z360=1,AM360=1)</x:f>
        <x:v>0</x:v>
      </x:c>
      <x:c r="AP360" t="n">
        <x:f>--AND(AO360=1,AA360=1,AL360=1)</x:f>
        <x:v>0</x:v>
      </x:c>
      <x:c r="AQ360" t="n">
        <x:f>--AND(AN360=1,Z360=1)</x:f>
        <x:v>0</x:v>
      </x:c>
      <x:c r="AR360" t="n">
        <x:f>--AND(AQ360=1,AA360=1)</x:f>
        <x:v>0</x:v>
      </x:c>
    </x:row>
    <x:row r="361">
      <x:c r="A361" s="28"/>
      <x:c r="B361" s="28"/>
      <x:c r="C361" s="28"/>
      <x:c r="D361" s="28"/>
      <x:c r="E361" s="28"/>
      <x:c r="F361" s="28"/>
      <x:c r="G361" s="28"/>
      <x:c r="H361" s="28"/>
      <x:c r="I361" s="28"/>
      <x:c r="J361" s="28"/>
      <x:c r="K361" s="28"/>
      <x:c r="L361" s="28"/>
      <x:c r="M361" s="28"/>
      <x:c r="N361" s="28"/>
      <x:c r="O361" s="28"/>
      <x:c r="P361" s="28"/>
      <x:c r="Q361" s="28"/>
      <x:c r="R361" s="28"/>
      <x:c r="S361" s="28"/>
      <x:c r="T361" s="28"/>
      <x:c r="U361" s="28"/>
      <x:c r="V361" s="28"/>
      <x:c r="W361" s="28"/>
      <x:c r="X361" s="43" t="n">
        <x:f>--AND(S361=1,T361=1,U361=1,V361=1,W361=1)</x:f>
        <x:v>0</x:v>
      </x:c>
      <x:c r="AE361" s="43" t="n">
        <x:f>--AND(S361=1,M361&lt;&gt;"",M361&lt;&gt;"keep")</x:f>
        <x:v>0</x:v>
      </x:c>
      <x:c r="AG361" t="n">
        <x:f>--AND(S361=1,T361=1,U361=1,V361=1,W361=1,AE361=1)</x:f>
        <x:v>0</x:v>
      </x:c>
      <x:c r="AJ361" t="str">
        <x:f>IF(OR(AH361="",AI361=""),"",--(AH361&lt;&gt;AI361))</x:f>
      </x:c>
      <x:c r="AL361" t="str">
        <x:f>IF(OR(AH361="",AI361=""),"PENDING_HUMAN",IF(AH361=AI361,AH361,IF(AK361&lt;&gt;"",AK361,"PENDING_HUMAN")))</x:f>
        <x:v>PENDING_HUMAN</x:v>
      </x:c>
      <x:c r="AM361" t="n">
        <x:f>--AND(A361&lt;&gt;"",AH361&lt;&gt;"",AI361&lt;&gt;"",OR(AH361=AI361,AK361&lt;&gt;""))</x:f>
        <x:v>0</x:v>
      </x:c>
      <x:c r="AN361" t="n">
        <x:f>--AND(Y361&lt;&gt;"",COUNTIF($Y$4:Y361,Y361)=1)</x:f>
        <x:v>0</x:v>
      </x:c>
      <x:c r="AO361" t="n">
        <x:f>--AND(AN361=1,Z361=1,AM361=1)</x:f>
        <x:v>0</x:v>
      </x:c>
      <x:c r="AP361" t="n">
        <x:f>--AND(AO361=1,AA361=1,AL361=1)</x:f>
        <x:v>0</x:v>
      </x:c>
      <x:c r="AQ361" t="n">
        <x:f>--AND(AN361=1,Z361=1)</x:f>
        <x:v>0</x:v>
      </x:c>
      <x:c r="AR361" t="n">
        <x:f>--AND(AQ361=1,AA361=1)</x:f>
        <x:v>0</x:v>
      </x:c>
    </x:row>
    <x:row r="362">
      <x:c r="A362" s="28"/>
      <x:c r="B362" s="28"/>
      <x:c r="C362" s="28"/>
      <x:c r="D362" s="28"/>
      <x:c r="E362" s="28"/>
      <x:c r="F362" s="28"/>
      <x:c r="G362" s="28"/>
      <x:c r="H362" s="28"/>
      <x:c r="I362" s="28"/>
      <x:c r="J362" s="28"/>
      <x:c r="K362" s="28"/>
      <x:c r="L362" s="28"/>
      <x:c r="M362" s="28"/>
      <x:c r="N362" s="28"/>
      <x:c r="O362" s="28"/>
      <x:c r="P362" s="28"/>
      <x:c r="Q362" s="28"/>
      <x:c r="R362" s="28"/>
      <x:c r="S362" s="28"/>
      <x:c r="T362" s="28"/>
      <x:c r="U362" s="28"/>
      <x:c r="V362" s="28"/>
      <x:c r="W362" s="28"/>
      <x:c r="X362" s="43" t="n">
        <x:f>--AND(S362=1,T362=1,U362=1,V362=1,W362=1)</x:f>
        <x:v>0</x:v>
      </x:c>
      <x:c r="AE362" s="43" t="n">
        <x:f>--AND(S362=1,M362&lt;&gt;"",M362&lt;&gt;"keep")</x:f>
        <x:v>0</x:v>
      </x:c>
      <x:c r="AG362" t="n">
        <x:f>--AND(S362=1,T362=1,U362=1,V362=1,W362=1,AE362=1)</x:f>
        <x:v>0</x:v>
      </x:c>
      <x:c r="AJ362" t="str">
        <x:f>IF(OR(AH362="",AI362=""),"",--(AH362&lt;&gt;AI362))</x:f>
      </x:c>
      <x:c r="AL362" t="str">
        <x:f>IF(OR(AH362="",AI362=""),"PENDING_HUMAN",IF(AH362=AI362,AH362,IF(AK362&lt;&gt;"",AK362,"PENDING_HUMAN")))</x:f>
        <x:v>PENDING_HUMAN</x:v>
      </x:c>
      <x:c r="AM362" t="n">
        <x:f>--AND(A362&lt;&gt;"",AH362&lt;&gt;"",AI362&lt;&gt;"",OR(AH362=AI362,AK362&lt;&gt;""))</x:f>
        <x:v>0</x:v>
      </x:c>
      <x:c r="AN362" t="n">
        <x:f>--AND(Y362&lt;&gt;"",COUNTIF($Y$4:Y362,Y362)=1)</x:f>
        <x:v>0</x:v>
      </x:c>
      <x:c r="AO362" t="n">
        <x:f>--AND(AN362=1,Z362=1,AM362=1)</x:f>
        <x:v>0</x:v>
      </x:c>
      <x:c r="AP362" t="n">
        <x:f>--AND(AO362=1,AA362=1,AL362=1)</x:f>
        <x:v>0</x:v>
      </x:c>
      <x:c r="AQ362" t="n">
        <x:f>--AND(AN362=1,Z362=1)</x:f>
        <x:v>0</x:v>
      </x:c>
      <x:c r="AR362" t="n">
        <x:f>--AND(AQ362=1,AA362=1)</x:f>
        <x:v>0</x:v>
      </x:c>
    </x:row>
    <x:row r="363">
      <x:c r="A363" s="28"/>
      <x:c r="B363" s="28"/>
      <x:c r="C363" s="28"/>
      <x:c r="D363" s="28"/>
      <x:c r="E363" s="28"/>
      <x:c r="F363" s="28"/>
      <x:c r="G363" s="28"/>
      <x:c r="H363" s="28"/>
      <x:c r="I363" s="28"/>
      <x:c r="J363" s="28"/>
      <x:c r="K363" s="28"/>
      <x:c r="L363" s="28"/>
      <x:c r="M363" s="28"/>
      <x:c r="N363" s="28"/>
      <x:c r="O363" s="28"/>
      <x:c r="P363" s="28"/>
      <x:c r="Q363" s="28"/>
      <x:c r="R363" s="28"/>
      <x:c r="S363" s="28"/>
      <x:c r="T363" s="28"/>
      <x:c r="U363" s="28"/>
      <x:c r="V363" s="28"/>
      <x:c r="W363" s="28"/>
      <x:c r="X363" s="43" t="n">
        <x:f>--AND(S363=1,T363=1,U363=1,V363=1,W363=1)</x:f>
        <x:v>0</x:v>
      </x:c>
      <x:c r="AE363" s="43" t="n">
        <x:f>--AND(S363=1,M363&lt;&gt;"",M363&lt;&gt;"keep")</x:f>
        <x:v>0</x:v>
      </x:c>
      <x:c r="AG363" t="n">
        <x:f>--AND(S363=1,T363=1,U363=1,V363=1,W363=1,AE363=1)</x:f>
        <x:v>0</x:v>
      </x:c>
      <x:c r="AJ363" t="str">
        <x:f>IF(OR(AH363="",AI363=""),"",--(AH363&lt;&gt;AI363))</x:f>
      </x:c>
      <x:c r="AL363" t="str">
        <x:f>IF(OR(AH363="",AI363=""),"PENDING_HUMAN",IF(AH363=AI363,AH363,IF(AK363&lt;&gt;"",AK363,"PENDING_HUMAN")))</x:f>
        <x:v>PENDING_HUMAN</x:v>
      </x:c>
      <x:c r="AM363" t="n">
        <x:f>--AND(A363&lt;&gt;"",AH363&lt;&gt;"",AI363&lt;&gt;"",OR(AH363=AI363,AK363&lt;&gt;""))</x:f>
        <x:v>0</x:v>
      </x:c>
      <x:c r="AN363" t="n">
        <x:f>--AND(Y363&lt;&gt;"",COUNTIF($Y$4:Y363,Y363)=1)</x:f>
        <x:v>0</x:v>
      </x:c>
      <x:c r="AO363" t="n">
        <x:f>--AND(AN363=1,Z363=1,AM363=1)</x:f>
        <x:v>0</x:v>
      </x:c>
      <x:c r="AP363" t="n">
        <x:f>--AND(AO363=1,AA363=1,AL363=1)</x:f>
        <x:v>0</x:v>
      </x:c>
      <x:c r="AQ363" t="n">
        <x:f>--AND(AN363=1,Z363=1)</x:f>
        <x:v>0</x:v>
      </x:c>
      <x:c r="AR363" t="n">
        <x:f>--AND(AQ363=1,AA363=1)</x:f>
        <x:v>0</x:v>
      </x:c>
    </x:row>
    <x:row r="364">
      <x:c r="A364" s="28"/>
      <x:c r="B364" s="28"/>
      <x:c r="C364" s="28"/>
      <x:c r="D364" s="28"/>
      <x:c r="E364" s="28"/>
      <x:c r="F364" s="28"/>
      <x:c r="G364" s="28"/>
      <x:c r="H364" s="28"/>
      <x:c r="I364" s="28"/>
      <x:c r="J364" s="28"/>
      <x:c r="K364" s="28"/>
      <x:c r="L364" s="28"/>
      <x:c r="M364" s="28"/>
      <x:c r="N364" s="28"/>
      <x:c r="O364" s="28"/>
      <x:c r="P364" s="28"/>
      <x:c r="Q364" s="28"/>
      <x:c r="R364" s="28"/>
      <x:c r="S364" s="28"/>
      <x:c r="T364" s="28"/>
      <x:c r="U364" s="28"/>
      <x:c r="V364" s="28"/>
      <x:c r="W364" s="28"/>
      <x:c r="X364" s="43" t="n">
        <x:f>--AND(S364=1,T364=1,U364=1,V364=1,W364=1)</x:f>
        <x:v>0</x:v>
      </x:c>
      <x:c r="AE364" s="43" t="n">
        <x:f>--AND(S364=1,M364&lt;&gt;"",M364&lt;&gt;"keep")</x:f>
        <x:v>0</x:v>
      </x:c>
      <x:c r="AG364" t="n">
        <x:f>--AND(S364=1,T364=1,U364=1,V364=1,W364=1,AE364=1)</x:f>
        <x:v>0</x:v>
      </x:c>
      <x:c r="AJ364" t="str">
        <x:f>IF(OR(AH364="",AI364=""),"",--(AH364&lt;&gt;AI364))</x:f>
      </x:c>
      <x:c r="AL364" t="str">
        <x:f>IF(OR(AH364="",AI364=""),"PENDING_HUMAN",IF(AH364=AI364,AH364,IF(AK364&lt;&gt;"",AK364,"PENDING_HUMAN")))</x:f>
        <x:v>PENDING_HUMAN</x:v>
      </x:c>
      <x:c r="AM364" t="n">
        <x:f>--AND(A364&lt;&gt;"",AH364&lt;&gt;"",AI364&lt;&gt;"",OR(AH364=AI364,AK364&lt;&gt;""))</x:f>
        <x:v>0</x:v>
      </x:c>
      <x:c r="AN364" t="n">
        <x:f>--AND(Y364&lt;&gt;"",COUNTIF($Y$4:Y364,Y364)=1)</x:f>
        <x:v>0</x:v>
      </x:c>
      <x:c r="AO364" t="n">
        <x:f>--AND(AN364=1,Z364=1,AM364=1)</x:f>
        <x:v>0</x:v>
      </x:c>
      <x:c r="AP364" t="n">
        <x:f>--AND(AO364=1,AA364=1,AL364=1)</x:f>
        <x:v>0</x:v>
      </x:c>
      <x:c r="AQ364" t="n">
        <x:f>--AND(AN364=1,Z364=1)</x:f>
        <x:v>0</x:v>
      </x:c>
      <x:c r="AR364" t="n">
        <x:f>--AND(AQ364=1,AA364=1)</x:f>
        <x:v>0</x:v>
      </x:c>
    </x:row>
    <x:row r="365">
      <x:c r="A365" s="28"/>
      <x:c r="B365" s="28"/>
      <x:c r="C365" s="28"/>
      <x:c r="D365" s="28"/>
      <x:c r="E365" s="28"/>
      <x:c r="F365" s="28"/>
      <x:c r="G365" s="28"/>
      <x:c r="H365" s="28"/>
      <x:c r="I365" s="28"/>
      <x:c r="J365" s="28"/>
      <x:c r="K365" s="28"/>
      <x:c r="L365" s="28"/>
      <x:c r="M365" s="28"/>
      <x:c r="N365" s="28"/>
      <x:c r="O365" s="28"/>
      <x:c r="P365" s="28"/>
      <x:c r="Q365" s="28"/>
      <x:c r="R365" s="28"/>
      <x:c r="S365" s="28"/>
      <x:c r="T365" s="28"/>
      <x:c r="U365" s="28"/>
      <x:c r="V365" s="28"/>
      <x:c r="W365" s="28"/>
      <x:c r="X365" s="43" t="n">
        <x:f>--AND(S365=1,T365=1,U365=1,V365=1,W365=1)</x:f>
        <x:v>0</x:v>
      </x:c>
      <x:c r="AE365" s="43" t="n">
        <x:f>--AND(S365=1,M365&lt;&gt;"",M365&lt;&gt;"keep")</x:f>
        <x:v>0</x:v>
      </x:c>
      <x:c r="AG365" t="n">
        <x:f>--AND(S365=1,T365=1,U365=1,V365=1,W365=1,AE365=1)</x:f>
        <x:v>0</x:v>
      </x:c>
      <x:c r="AJ365" t="str">
        <x:f>IF(OR(AH365="",AI365=""),"",--(AH365&lt;&gt;AI365))</x:f>
      </x:c>
      <x:c r="AL365" t="str">
        <x:f>IF(OR(AH365="",AI365=""),"PENDING_HUMAN",IF(AH365=AI365,AH365,IF(AK365&lt;&gt;"",AK365,"PENDING_HUMAN")))</x:f>
        <x:v>PENDING_HUMAN</x:v>
      </x:c>
      <x:c r="AM365" t="n">
        <x:f>--AND(A365&lt;&gt;"",AH365&lt;&gt;"",AI365&lt;&gt;"",OR(AH365=AI365,AK365&lt;&gt;""))</x:f>
        <x:v>0</x:v>
      </x:c>
      <x:c r="AN365" t="n">
        <x:f>--AND(Y365&lt;&gt;"",COUNTIF($Y$4:Y365,Y365)=1)</x:f>
        <x:v>0</x:v>
      </x:c>
      <x:c r="AO365" t="n">
        <x:f>--AND(AN365=1,Z365=1,AM365=1)</x:f>
        <x:v>0</x:v>
      </x:c>
      <x:c r="AP365" t="n">
        <x:f>--AND(AO365=1,AA365=1,AL365=1)</x:f>
        <x:v>0</x:v>
      </x:c>
      <x:c r="AQ365" t="n">
        <x:f>--AND(AN365=1,Z365=1)</x:f>
        <x:v>0</x:v>
      </x:c>
      <x:c r="AR365" t="n">
        <x:f>--AND(AQ365=1,AA365=1)</x:f>
        <x:v>0</x:v>
      </x:c>
    </x:row>
    <x:row r="366">
      <x:c r="A366" s="28"/>
      <x:c r="B366" s="28"/>
      <x:c r="C366" s="28"/>
      <x:c r="D366" s="28"/>
      <x:c r="E366" s="28"/>
      <x:c r="F366" s="28"/>
      <x:c r="G366" s="28"/>
      <x:c r="H366" s="28"/>
      <x:c r="I366" s="28"/>
      <x:c r="J366" s="28"/>
      <x:c r="K366" s="28"/>
      <x:c r="L366" s="28"/>
      <x:c r="M366" s="28"/>
      <x:c r="N366" s="28"/>
      <x:c r="O366" s="28"/>
      <x:c r="P366" s="28"/>
      <x:c r="Q366" s="28"/>
      <x:c r="R366" s="28"/>
      <x:c r="S366" s="28"/>
      <x:c r="T366" s="28"/>
      <x:c r="U366" s="28"/>
      <x:c r="V366" s="28"/>
      <x:c r="W366" s="28"/>
      <x:c r="X366" s="43" t="n">
        <x:f>--AND(S366=1,T366=1,U366=1,V366=1,W366=1)</x:f>
        <x:v>0</x:v>
      </x:c>
      <x:c r="AE366" s="43" t="n">
        <x:f>--AND(S366=1,M366&lt;&gt;"",M366&lt;&gt;"keep")</x:f>
        <x:v>0</x:v>
      </x:c>
      <x:c r="AG366" t="n">
        <x:f>--AND(S366=1,T366=1,U366=1,V366=1,W366=1,AE366=1)</x:f>
        <x:v>0</x:v>
      </x:c>
      <x:c r="AJ366" t="str">
        <x:f>IF(OR(AH366="",AI366=""),"",--(AH366&lt;&gt;AI366))</x:f>
      </x:c>
      <x:c r="AL366" t="str">
        <x:f>IF(OR(AH366="",AI366=""),"PENDING_HUMAN",IF(AH366=AI366,AH366,IF(AK366&lt;&gt;"",AK366,"PENDING_HUMAN")))</x:f>
        <x:v>PENDING_HUMAN</x:v>
      </x:c>
      <x:c r="AM366" t="n">
        <x:f>--AND(A366&lt;&gt;"",AH366&lt;&gt;"",AI366&lt;&gt;"",OR(AH366=AI366,AK366&lt;&gt;""))</x:f>
        <x:v>0</x:v>
      </x:c>
      <x:c r="AN366" t="n">
        <x:f>--AND(Y366&lt;&gt;"",COUNTIF($Y$4:Y366,Y366)=1)</x:f>
        <x:v>0</x:v>
      </x:c>
      <x:c r="AO366" t="n">
        <x:f>--AND(AN366=1,Z366=1,AM366=1)</x:f>
        <x:v>0</x:v>
      </x:c>
      <x:c r="AP366" t="n">
        <x:f>--AND(AO366=1,AA366=1,AL366=1)</x:f>
        <x:v>0</x:v>
      </x:c>
      <x:c r="AQ366" t="n">
        <x:f>--AND(AN366=1,Z366=1)</x:f>
        <x:v>0</x:v>
      </x:c>
      <x:c r="AR366" t="n">
        <x:f>--AND(AQ366=1,AA366=1)</x:f>
        <x:v>0</x:v>
      </x:c>
    </x:row>
    <x:row r="367">
      <x:c r="A367" s="28"/>
      <x:c r="B367" s="28"/>
      <x:c r="C367" s="28"/>
      <x:c r="D367" s="28"/>
      <x:c r="E367" s="28"/>
      <x:c r="F367" s="28"/>
      <x:c r="G367" s="28"/>
      <x:c r="H367" s="28"/>
      <x:c r="I367" s="28"/>
      <x:c r="J367" s="28"/>
      <x:c r="K367" s="28"/>
      <x:c r="L367" s="28"/>
      <x:c r="M367" s="28"/>
      <x:c r="N367" s="28"/>
      <x:c r="O367" s="28"/>
      <x:c r="P367" s="28"/>
      <x:c r="Q367" s="28"/>
      <x:c r="R367" s="28"/>
      <x:c r="S367" s="28"/>
      <x:c r="T367" s="28"/>
      <x:c r="U367" s="28"/>
      <x:c r="V367" s="28"/>
      <x:c r="W367" s="28"/>
      <x:c r="X367" s="43" t="n">
        <x:f>--AND(S367=1,T367=1,U367=1,V367=1,W367=1)</x:f>
        <x:v>0</x:v>
      </x:c>
      <x:c r="AE367" s="43" t="n">
        <x:f>--AND(S367=1,M367&lt;&gt;"",M367&lt;&gt;"keep")</x:f>
        <x:v>0</x:v>
      </x:c>
      <x:c r="AG367" t="n">
        <x:f>--AND(S367=1,T367=1,U367=1,V367=1,W367=1,AE367=1)</x:f>
        <x:v>0</x:v>
      </x:c>
      <x:c r="AJ367" t="str">
        <x:f>IF(OR(AH367="",AI367=""),"",--(AH367&lt;&gt;AI367))</x:f>
      </x:c>
      <x:c r="AL367" t="str">
        <x:f>IF(OR(AH367="",AI367=""),"PENDING_HUMAN",IF(AH367=AI367,AH367,IF(AK367&lt;&gt;"",AK367,"PENDING_HUMAN")))</x:f>
        <x:v>PENDING_HUMAN</x:v>
      </x:c>
      <x:c r="AM367" t="n">
        <x:f>--AND(A367&lt;&gt;"",AH367&lt;&gt;"",AI367&lt;&gt;"",OR(AH367=AI367,AK367&lt;&gt;""))</x:f>
        <x:v>0</x:v>
      </x:c>
      <x:c r="AN367" t="n">
        <x:f>--AND(Y367&lt;&gt;"",COUNTIF($Y$4:Y367,Y367)=1)</x:f>
        <x:v>0</x:v>
      </x:c>
      <x:c r="AO367" t="n">
        <x:f>--AND(AN367=1,Z367=1,AM367=1)</x:f>
        <x:v>0</x:v>
      </x:c>
      <x:c r="AP367" t="n">
        <x:f>--AND(AO367=1,AA367=1,AL367=1)</x:f>
        <x:v>0</x:v>
      </x:c>
      <x:c r="AQ367" t="n">
        <x:f>--AND(AN367=1,Z367=1)</x:f>
        <x:v>0</x:v>
      </x:c>
      <x:c r="AR367" t="n">
        <x:f>--AND(AQ367=1,AA367=1)</x:f>
        <x:v>0</x:v>
      </x:c>
    </x:row>
    <x:row r="368">
      <x:c r="A368" s="28"/>
      <x:c r="B368" s="28"/>
      <x:c r="C368" s="28"/>
      <x:c r="D368" s="28"/>
      <x:c r="E368" s="28"/>
      <x:c r="F368" s="28"/>
      <x:c r="G368" s="28"/>
      <x:c r="H368" s="28"/>
      <x:c r="I368" s="28"/>
      <x:c r="J368" s="28"/>
      <x:c r="K368" s="28"/>
      <x:c r="L368" s="28"/>
      <x:c r="M368" s="28"/>
      <x:c r="N368" s="28"/>
      <x:c r="O368" s="28"/>
      <x:c r="P368" s="28"/>
      <x:c r="Q368" s="28"/>
      <x:c r="R368" s="28"/>
      <x:c r="S368" s="28"/>
      <x:c r="T368" s="28"/>
      <x:c r="U368" s="28"/>
      <x:c r="V368" s="28"/>
      <x:c r="W368" s="28"/>
      <x:c r="X368" s="43" t="n">
        <x:f>--AND(S368=1,T368=1,U368=1,V368=1,W368=1)</x:f>
        <x:v>0</x:v>
      </x:c>
      <x:c r="AE368" s="43" t="n">
        <x:f>--AND(S368=1,M368&lt;&gt;"",M368&lt;&gt;"keep")</x:f>
        <x:v>0</x:v>
      </x:c>
      <x:c r="AG368" t="n">
        <x:f>--AND(S368=1,T368=1,U368=1,V368=1,W368=1,AE368=1)</x:f>
        <x:v>0</x:v>
      </x:c>
      <x:c r="AJ368" t="str">
        <x:f>IF(OR(AH368="",AI368=""),"",--(AH368&lt;&gt;AI368))</x:f>
      </x:c>
      <x:c r="AL368" t="str">
        <x:f>IF(OR(AH368="",AI368=""),"PENDING_HUMAN",IF(AH368=AI368,AH368,IF(AK368&lt;&gt;"",AK368,"PENDING_HUMAN")))</x:f>
        <x:v>PENDING_HUMAN</x:v>
      </x:c>
      <x:c r="AM368" t="n">
        <x:f>--AND(A368&lt;&gt;"",AH368&lt;&gt;"",AI368&lt;&gt;"",OR(AH368=AI368,AK368&lt;&gt;""))</x:f>
        <x:v>0</x:v>
      </x:c>
      <x:c r="AN368" t="n">
        <x:f>--AND(Y368&lt;&gt;"",COUNTIF($Y$4:Y368,Y368)=1)</x:f>
        <x:v>0</x:v>
      </x:c>
      <x:c r="AO368" t="n">
        <x:f>--AND(AN368=1,Z368=1,AM368=1)</x:f>
        <x:v>0</x:v>
      </x:c>
      <x:c r="AP368" t="n">
        <x:f>--AND(AO368=1,AA368=1,AL368=1)</x:f>
        <x:v>0</x:v>
      </x:c>
      <x:c r="AQ368" t="n">
        <x:f>--AND(AN368=1,Z368=1)</x:f>
        <x:v>0</x:v>
      </x:c>
      <x:c r="AR368" t="n">
        <x:f>--AND(AQ368=1,AA368=1)</x:f>
        <x:v>0</x:v>
      </x:c>
    </x:row>
    <x:row r="369">
      <x:c r="A369" s="28"/>
      <x:c r="B369" s="28"/>
      <x:c r="C369" s="28"/>
      <x:c r="D369" s="28"/>
      <x:c r="E369" s="28"/>
      <x:c r="F369" s="28"/>
      <x:c r="G369" s="28"/>
      <x:c r="H369" s="28"/>
      <x:c r="I369" s="28"/>
      <x:c r="J369" s="28"/>
      <x:c r="K369" s="28"/>
      <x:c r="L369" s="28"/>
      <x:c r="M369" s="28"/>
      <x:c r="N369" s="28"/>
      <x:c r="O369" s="28"/>
      <x:c r="P369" s="28"/>
      <x:c r="Q369" s="28"/>
      <x:c r="R369" s="28"/>
      <x:c r="S369" s="28"/>
      <x:c r="T369" s="28"/>
      <x:c r="U369" s="28"/>
      <x:c r="V369" s="28"/>
      <x:c r="W369" s="28"/>
      <x:c r="X369" s="43" t="n">
        <x:f>--AND(S369=1,T369=1,U369=1,V369=1,W369=1)</x:f>
        <x:v>0</x:v>
      </x:c>
      <x:c r="AE369" s="43" t="n">
        <x:f>--AND(S369=1,M369&lt;&gt;"",M369&lt;&gt;"keep")</x:f>
        <x:v>0</x:v>
      </x:c>
      <x:c r="AG369" t="n">
        <x:f>--AND(S369=1,T369=1,U369=1,V369=1,W369=1,AE369=1)</x:f>
        <x:v>0</x:v>
      </x:c>
      <x:c r="AJ369" t="str">
        <x:f>IF(OR(AH369="",AI369=""),"",--(AH369&lt;&gt;AI369))</x:f>
      </x:c>
      <x:c r="AL369" t="str">
        <x:f>IF(OR(AH369="",AI369=""),"PENDING_HUMAN",IF(AH369=AI369,AH369,IF(AK369&lt;&gt;"",AK369,"PENDING_HUMAN")))</x:f>
        <x:v>PENDING_HUMAN</x:v>
      </x:c>
      <x:c r="AM369" t="n">
        <x:f>--AND(A369&lt;&gt;"",AH369&lt;&gt;"",AI369&lt;&gt;"",OR(AH369=AI369,AK369&lt;&gt;""))</x:f>
        <x:v>0</x:v>
      </x:c>
      <x:c r="AN369" t="n">
        <x:f>--AND(Y369&lt;&gt;"",COUNTIF($Y$4:Y369,Y369)=1)</x:f>
        <x:v>0</x:v>
      </x:c>
      <x:c r="AO369" t="n">
        <x:f>--AND(AN369=1,Z369=1,AM369=1)</x:f>
        <x:v>0</x:v>
      </x:c>
      <x:c r="AP369" t="n">
        <x:f>--AND(AO369=1,AA369=1,AL369=1)</x:f>
        <x:v>0</x:v>
      </x:c>
      <x:c r="AQ369" t="n">
        <x:f>--AND(AN369=1,Z369=1)</x:f>
        <x:v>0</x:v>
      </x:c>
      <x:c r="AR369" t="n">
        <x:f>--AND(AQ369=1,AA369=1)</x:f>
        <x:v>0</x:v>
      </x:c>
    </x:row>
    <x:row r="370">
      <x:c r="A370" s="28"/>
      <x:c r="B370" s="28"/>
      <x:c r="C370" s="28"/>
      <x:c r="D370" s="28"/>
      <x:c r="E370" s="28"/>
      <x:c r="F370" s="28"/>
      <x:c r="G370" s="28"/>
      <x:c r="H370" s="28"/>
      <x:c r="I370" s="28"/>
      <x:c r="J370" s="28"/>
      <x:c r="K370" s="28"/>
      <x:c r="L370" s="28"/>
      <x:c r="M370" s="28"/>
      <x:c r="N370" s="28"/>
      <x:c r="O370" s="28"/>
      <x:c r="P370" s="28"/>
      <x:c r="Q370" s="28"/>
      <x:c r="R370" s="28"/>
      <x:c r="S370" s="28"/>
      <x:c r="T370" s="28"/>
      <x:c r="U370" s="28"/>
      <x:c r="V370" s="28"/>
      <x:c r="W370" s="28"/>
      <x:c r="X370" s="43" t="n">
        <x:f>--AND(S370=1,T370=1,U370=1,V370=1,W370=1)</x:f>
        <x:v>0</x:v>
      </x:c>
      <x:c r="AE370" s="43" t="n">
        <x:f>--AND(S370=1,M370&lt;&gt;"",M370&lt;&gt;"keep")</x:f>
        <x:v>0</x:v>
      </x:c>
      <x:c r="AG370" t="n">
        <x:f>--AND(S370=1,T370=1,U370=1,V370=1,W370=1,AE370=1)</x:f>
        <x:v>0</x:v>
      </x:c>
      <x:c r="AJ370" t="str">
        <x:f>IF(OR(AH370="",AI370=""),"",--(AH370&lt;&gt;AI370))</x:f>
      </x:c>
      <x:c r="AL370" t="str">
        <x:f>IF(OR(AH370="",AI370=""),"PENDING_HUMAN",IF(AH370=AI370,AH370,IF(AK370&lt;&gt;"",AK370,"PENDING_HUMAN")))</x:f>
        <x:v>PENDING_HUMAN</x:v>
      </x:c>
      <x:c r="AM370" t="n">
        <x:f>--AND(A370&lt;&gt;"",AH370&lt;&gt;"",AI370&lt;&gt;"",OR(AH370=AI370,AK370&lt;&gt;""))</x:f>
        <x:v>0</x:v>
      </x:c>
      <x:c r="AN370" t="n">
        <x:f>--AND(Y370&lt;&gt;"",COUNTIF($Y$4:Y370,Y370)=1)</x:f>
        <x:v>0</x:v>
      </x:c>
      <x:c r="AO370" t="n">
        <x:f>--AND(AN370=1,Z370=1,AM370=1)</x:f>
        <x:v>0</x:v>
      </x:c>
      <x:c r="AP370" t="n">
        <x:f>--AND(AO370=1,AA370=1,AL370=1)</x:f>
        <x:v>0</x:v>
      </x:c>
      <x:c r="AQ370" t="n">
        <x:f>--AND(AN370=1,Z370=1)</x:f>
        <x:v>0</x:v>
      </x:c>
      <x:c r="AR370" t="n">
        <x:f>--AND(AQ370=1,AA370=1)</x:f>
        <x:v>0</x:v>
      </x:c>
    </x:row>
    <x:row r="371">
      <x:c r="A371" s="28"/>
      <x:c r="B371" s="28"/>
      <x:c r="C371" s="28"/>
      <x:c r="D371" s="28"/>
      <x:c r="E371" s="28"/>
      <x:c r="F371" s="28"/>
      <x:c r="G371" s="28"/>
      <x:c r="H371" s="28"/>
      <x:c r="I371" s="28"/>
      <x:c r="J371" s="28"/>
      <x:c r="K371" s="28"/>
      <x:c r="L371" s="28"/>
      <x:c r="M371" s="28"/>
      <x:c r="N371" s="28"/>
      <x:c r="O371" s="28"/>
      <x:c r="P371" s="28"/>
      <x:c r="Q371" s="28"/>
      <x:c r="R371" s="28"/>
      <x:c r="S371" s="28"/>
      <x:c r="T371" s="28"/>
      <x:c r="U371" s="28"/>
      <x:c r="V371" s="28"/>
      <x:c r="W371" s="28"/>
      <x:c r="X371" s="43" t="n">
        <x:f>--AND(S371=1,T371=1,U371=1,V371=1,W371=1)</x:f>
        <x:v>0</x:v>
      </x:c>
      <x:c r="AE371" s="43" t="n">
        <x:f>--AND(S371=1,M371&lt;&gt;"",M371&lt;&gt;"keep")</x:f>
        <x:v>0</x:v>
      </x:c>
      <x:c r="AG371" t="n">
        <x:f>--AND(S371=1,T371=1,U371=1,V371=1,W371=1,AE371=1)</x:f>
        <x:v>0</x:v>
      </x:c>
      <x:c r="AJ371" t="str">
        <x:f>IF(OR(AH371="",AI371=""),"",--(AH371&lt;&gt;AI371))</x:f>
      </x:c>
      <x:c r="AL371" t="str">
        <x:f>IF(OR(AH371="",AI371=""),"PENDING_HUMAN",IF(AH371=AI371,AH371,IF(AK371&lt;&gt;"",AK371,"PENDING_HUMAN")))</x:f>
        <x:v>PENDING_HUMAN</x:v>
      </x:c>
      <x:c r="AM371" t="n">
        <x:f>--AND(A371&lt;&gt;"",AH371&lt;&gt;"",AI371&lt;&gt;"",OR(AH371=AI371,AK371&lt;&gt;""))</x:f>
        <x:v>0</x:v>
      </x:c>
      <x:c r="AN371" t="n">
        <x:f>--AND(Y371&lt;&gt;"",COUNTIF($Y$4:Y371,Y371)=1)</x:f>
        <x:v>0</x:v>
      </x:c>
      <x:c r="AO371" t="n">
        <x:f>--AND(AN371=1,Z371=1,AM371=1)</x:f>
        <x:v>0</x:v>
      </x:c>
      <x:c r="AP371" t="n">
        <x:f>--AND(AO371=1,AA371=1,AL371=1)</x:f>
        <x:v>0</x:v>
      </x:c>
      <x:c r="AQ371" t="n">
        <x:f>--AND(AN371=1,Z371=1)</x:f>
        <x:v>0</x:v>
      </x:c>
      <x:c r="AR371" t="n">
        <x:f>--AND(AQ371=1,AA371=1)</x:f>
        <x:v>0</x:v>
      </x:c>
    </x:row>
    <x:row r="372">
      <x:c r="A372" s="28"/>
      <x:c r="B372" s="28"/>
      <x:c r="C372" s="28"/>
      <x:c r="D372" s="28"/>
      <x:c r="E372" s="28"/>
      <x:c r="F372" s="28"/>
      <x:c r="G372" s="28"/>
      <x:c r="H372" s="28"/>
      <x:c r="I372" s="28"/>
      <x:c r="J372" s="28"/>
      <x:c r="K372" s="28"/>
      <x:c r="L372" s="28"/>
      <x:c r="M372" s="28"/>
      <x:c r="N372" s="28"/>
      <x:c r="O372" s="28"/>
      <x:c r="P372" s="28"/>
      <x:c r="Q372" s="28"/>
      <x:c r="R372" s="28"/>
      <x:c r="S372" s="28"/>
      <x:c r="T372" s="28"/>
      <x:c r="U372" s="28"/>
      <x:c r="V372" s="28"/>
      <x:c r="W372" s="28"/>
      <x:c r="X372" s="43" t="n">
        <x:f>--AND(S372=1,T372=1,U372=1,V372=1,W372=1)</x:f>
        <x:v>0</x:v>
      </x:c>
      <x:c r="AE372" s="43" t="n">
        <x:f>--AND(S372=1,M372&lt;&gt;"",M372&lt;&gt;"keep")</x:f>
        <x:v>0</x:v>
      </x:c>
      <x:c r="AG372" t="n">
        <x:f>--AND(S372=1,T372=1,U372=1,V372=1,W372=1,AE372=1)</x:f>
        <x:v>0</x:v>
      </x:c>
      <x:c r="AJ372" t="str">
        <x:f>IF(OR(AH372="",AI372=""),"",--(AH372&lt;&gt;AI372))</x:f>
      </x:c>
      <x:c r="AL372" t="str">
        <x:f>IF(OR(AH372="",AI372=""),"PENDING_HUMAN",IF(AH372=AI372,AH372,IF(AK372&lt;&gt;"",AK372,"PENDING_HUMAN")))</x:f>
        <x:v>PENDING_HUMAN</x:v>
      </x:c>
      <x:c r="AM372" t="n">
        <x:f>--AND(A372&lt;&gt;"",AH372&lt;&gt;"",AI372&lt;&gt;"",OR(AH372=AI372,AK372&lt;&gt;""))</x:f>
        <x:v>0</x:v>
      </x:c>
      <x:c r="AN372" t="n">
        <x:f>--AND(Y372&lt;&gt;"",COUNTIF($Y$4:Y372,Y372)=1)</x:f>
        <x:v>0</x:v>
      </x:c>
      <x:c r="AO372" t="n">
        <x:f>--AND(AN372=1,Z372=1,AM372=1)</x:f>
        <x:v>0</x:v>
      </x:c>
      <x:c r="AP372" t="n">
        <x:f>--AND(AO372=1,AA372=1,AL372=1)</x:f>
        <x:v>0</x:v>
      </x:c>
      <x:c r="AQ372" t="n">
        <x:f>--AND(AN372=1,Z372=1)</x:f>
        <x:v>0</x:v>
      </x:c>
      <x:c r="AR372" t="n">
        <x:f>--AND(AQ372=1,AA372=1)</x:f>
        <x:v>0</x:v>
      </x:c>
    </x:row>
    <x:row r="373">
      <x:c r="A373" s="28"/>
      <x:c r="B373" s="28"/>
      <x:c r="C373" s="28"/>
      <x:c r="D373" s="28"/>
      <x:c r="E373" s="28"/>
      <x:c r="F373" s="28"/>
      <x:c r="G373" s="28"/>
      <x:c r="H373" s="28"/>
      <x:c r="I373" s="28"/>
      <x:c r="J373" s="28"/>
      <x:c r="K373" s="28"/>
      <x:c r="L373" s="28"/>
      <x:c r="M373" s="28"/>
      <x:c r="N373" s="28"/>
      <x:c r="O373" s="28"/>
      <x:c r="P373" s="28"/>
      <x:c r="Q373" s="28"/>
      <x:c r="R373" s="28"/>
      <x:c r="S373" s="28"/>
      <x:c r="T373" s="28"/>
      <x:c r="U373" s="28"/>
      <x:c r="V373" s="28"/>
      <x:c r="W373" s="28"/>
      <x:c r="X373" s="43" t="n">
        <x:f>--AND(S373=1,T373=1,U373=1,V373=1,W373=1)</x:f>
        <x:v>0</x:v>
      </x:c>
      <x:c r="AE373" s="43" t="n">
        <x:f>--AND(S373=1,M373&lt;&gt;"",M373&lt;&gt;"keep")</x:f>
        <x:v>0</x:v>
      </x:c>
      <x:c r="AG373" t="n">
        <x:f>--AND(S373=1,T373=1,U373=1,V373=1,W373=1,AE373=1)</x:f>
        <x:v>0</x:v>
      </x:c>
      <x:c r="AJ373" t="str">
        <x:f>IF(OR(AH373="",AI373=""),"",--(AH373&lt;&gt;AI373))</x:f>
      </x:c>
      <x:c r="AL373" t="str">
        <x:f>IF(OR(AH373="",AI373=""),"PENDING_HUMAN",IF(AH373=AI373,AH373,IF(AK373&lt;&gt;"",AK373,"PENDING_HUMAN")))</x:f>
        <x:v>PENDING_HUMAN</x:v>
      </x:c>
      <x:c r="AM373" t="n">
        <x:f>--AND(A373&lt;&gt;"",AH373&lt;&gt;"",AI373&lt;&gt;"",OR(AH373=AI373,AK373&lt;&gt;""))</x:f>
        <x:v>0</x:v>
      </x:c>
      <x:c r="AN373" t="n">
        <x:f>--AND(Y373&lt;&gt;"",COUNTIF($Y$4:Y373,Y373)=1)</x:f>
        <x:v>0</x:v>
      </x:c>
      <x:c r="AO373" t="n">
        <x:f>--AND(AN373=1,Z373=1,AM373=1)</x:f>
        <x:v>0</x:v>
      </x:c>
      <x:c r="AP373" t="n">
        <x:f>--AND(AO373=1,AA373=1,AL373=1)</x:f>
        <x:v>0</x:v>
      </x:c>
      <x:c r="AQ373" t="n">
        <x:f>--AND(AN373=1,Z373=1)</x:f>
        <x:v>0</x:v>
      </x:c>
      <x:c r="AR373" t="n">
        <x:f>--AND(AQ373=1,AA373=1)</x:f>
        <x:v>0</x:v>
      </x:c>
    </x:row>
    <x:row r="374">
      <x:c r="A374" s="28"/>
      <x:c r="B374" s="28"/>
      <x:c r="C374" s="28"/>
      <x:c r="D374" s="28"/>
      <x:c r="E374" s="28"/>
      <x:c r="F374" s="28"/>
      <x:c r="G374" s="28"/>
      <x:c r="H374" s="28"/>
      <x:c r="I374" s="28"/>
      <x:c r="J374" s="28"/>
      <x:c r="K374" s="28"/>
      <x:c r="L374" s="28"/>
      <x:c r="M374" s="28"/>
      <x:c r="N374" s="28"/>
      <x:c r="O374" s="28"/>
      <x:c r="P374" s="28"/>
      <x:c r="Q374" s="28"/>
      <x:c r="R374" s="28"/>
      <x:c r="S374" s="28"/>
      <x:c r="T374" s="28"/>
      <x:c r="U374" s="28"/>
      <x:c r="V374" s="28"/>
      <x:c r="W374" s="28"/>
      <x:c r="X374" s="43" t="n">
        <x:f>--AND(S374=1,T374=1,U374=1,V374=1,W374=1)</x:f>
        <x:v>0</x:v>
      </x:c>
      <x:c r="AE374" s="43" t="n">
        <x:f>--AND(S374=1,M374&lt;&gt;"",M374&lt;&gt;"keep")</x:f>
        <x:v>0</x:v>
      </x:c>
      <x:c r="AG374" t="n">
        <x:f>--AND(S374=1,T374=1,U374=1,V374=1,W374=1,AE374=1)</x:f>
        <x:v>0</x:v>
      </x:c>
      <x:c r="AJ374" t="str">
        <x:f>IF(OR(AH374="",AI374=""),"",--(AH374&lt;&gt;AI374))</x:f>
      </x:c>
      <x:c r="AL374" t="str">
        <x:f>IF(OR(AH374="",AI374=""),"PENDING_HUMAN",IF(AH374=AI374,AH374,IF(AK374&lt;&gt;"",AK374,"PENDING_HUMAN")))</x:f>
        <x:v>PENDING_HUMAN</x:v>
      </x:c>
      <x:c r="AM374" t="n">
        <x:f>--AND(A374&lt;&gt;"",AH374&lt;&gt;"",AI374&lt;&gt;"",OR(AH374=AI374,AK374&lt;&gt;""))</x:f>
        <x:v>0</x:v>
      </x:c>
      <x:c r="AN374" t="n">
        <x:f>--AND(Y374&lt;&gt;"",COUNTIF($Y$4:Y374,Y374)=1)</x:f>
        <x:v>0</x:v>
      </x:c>
      <x:c r="AO374" t="n">
        <x:f>--AND(AN374=1,Z374=1,AM374=1)</x:f>
        <x:v>0</x:v>
      </x:c>
      <x:c r="AP374" t="n">
        <x:f>--AND(AO374=1,AA374=1,AL374=1)</x:f>
        <x:v>0</x:v>
      </x:c>
      <x:c r="AQ374" t="n">
        <x:f>--AND(AN374=1,Z374=1)</x:f>
        <x:v>0</x:v>
      </x:c>
      <x:c r="AR374" t="n">
        <x:f>--AND(AQ374=1,AA374=1)</x:f>
        <x:v>0</x:v>
      </x:c>
    </x:row>
    <x:row r="375">
      <x:c r="A375" s="28"/>
      <x:c r="B375" s="28"/>
      <x:c r="C375" s="28"/>
      <x:c r="D375" s="28"/>
      <x:c r="E375" s="28"/>
      <x:c r="F375" s="28"/>
      <x:c r="G375" s="28"/>
      <x:c r="H375" s="28"/>
      <x:c r="I375" s="28"/>
      <x:c r="J375" s="28"/>
      <x:c r="K375" s="28"/>
      <x:c r="L375" s="28"/>
      <x:c r="M375" s="28"/>
      <x:c r="N375" s="28"/>
      <x:c r="O375" s="28"/>
      <x:c r="P375" s="28"/>
      <x:c r="Q375" s="28"/>
      <x:c r="R375" s="28"/>
      <x:c r="S375" s="28"/>
      <x:c r="T375" s="28"/>
      <x:c r="U375" s="28"/>
      <x:c r="V375" s="28"/>
      <x:c r="W375" s="28"/>
      <x:c r="X375" s="43" t="n">
        <x:f>--AND(S375=1,T375=1,U375=1,V375=1,W375=1)</x:f>
        <x:v>0</x:v>
      </x:c>
      <x:c r="AE375" s="43" t="n">
        <x:f>--AND(S375=1,M375&lt;&gt;"",M375&lt;&gt;"keep")</x:f>
        <x:v>0</x:v>
      </x:c>
      <x:c r="AG375" t="n">
        <x:f>--AND(S375=1,T375=1,U375=1,V375=1,W375=1,AE375=1)</x:f>
        <x:v>0</x:v>
      </x:c>
      <x:c r="AJ375" t="str">
        <x:f>IF(OR(AH375="",AI375=""),"",--(AH375&lt;&gt;AI375))</x:f>
      </x:c>
      <x:c r="AL375" t="str">
        <x:f>IF(OR(AH375="",AI375=""),"PENDING_HUMAN",IF(AH375=AI375,AH375,IF(AK375&lt;&gt;"",AK375,"PENDING_HUMAN")))</x:f>
        <x:v>PENDING_HUMAN</x:v>
      </x:c>
      <x:c r="AM375" t="n">
        <x:f>--AND(A375&lt;&gt;"",AH375&lt;&gt;"",AI375&lt;&gt;"",OR(AH375=AI375,AK375&lt;&gt;""))</x:f>
        <x:v>0</x:v>
      </x:c>
      <x:c r="AN375" t="n">
        <x:f>--AND(Y375&lt;&gt;"",COUNTIF($Y$4:Y375,Y375)=1)</x:f>
        <x:v>0</x:v>
      </x:c>
      <x:c r="AO375" t="n">
        <x:f>--AND(AN375=1,Z375=1,AM375=1)</x:f>
        <x:v>0</x:v>
      </x:c>
      <x:c r="AP375" t="n">
        <x:f>--AND(AO375=1,AA375=1,AL375=1)</x:f>
        <x:v>0</x:v>
      </x:c>
      <x:c r="AQ375" t="n">
        <x:f>--AND(AN375=1,Z375=1)</x:f>
        <x:v>0</x:v>
      </x:c>
      <x:c r="AR375" t="n">
        <x:f>--AND(AQ375=1,AA375=1)</x:f>
        <x:v>0</x:v>
      </x:c>
    </x:row>
    <x:row r="376">
      <x:c r="A376" s="28"/>
      <x:c r="B376" s="28"/>
      <x:c r="C376" s="28"/>
      <x:c r="D376" s="28"/>
      <x:c r="E376" s="28"/>
      <x:c r="F376" s="28"/>
      <x:c r="G376" s="28"/>
      <x:c r="H376" s="28"/>
      <x:c r="I376" s="28"/>
      <x:c r="J376" s="28"/>
      <x:c r="K376" s="28"/>
      <x:c r="L376" s="28"/>
      <x:c r="M376" s="28"/>
      <x:c r="N376" s="28"/>
      <x:c r="O376" s="28"/>
      <x:c r="P376" s="28"/>
      <x:c r="Q376" s="28"/>
      <x:c r="R376" s="28"/>
      <x:c r="S376" s="28"/>
      <x:c r="T376" s="28"/>
      <x:c r="U376" s="28"/>
      <x:c r="V376" s="28"/>
      <x:c r="W376" s="28"/>
      <x:c r="X376" s="43" t="n">
        <x:f>--AND(S376=1,T376=1,U376=1,V376=1,W376=1)</x:f>
        <x:v>0</x:v>
      </x:c>
      <x:c r="AE376" s="43" t="n">
        <x:f>--AND(S376=1,M376&lt;&gt;"",M376&lt;&gt;"keep")</x:f>
        <x:v>0</x:v>
      </x:c>
      <x:c r="AG376" t="n">
        <x:f>--AND(S376=1,T376=1,U376=1,V376=1,W376=1,AE376=1)</x:f>
        <x:v>0</x:v>
      </x:c>
      <x:c r="AJ376" t="str">
        <x:f>IF(OR(AH376="",AI376=""),"",--(AH376&lt;&gt;AI376))</x:f>
      </x:c>
      <x:c r="AL376" t="str">
        <x:f>IF(OR(AH376="",AI376=""),"PENDING_HUMAN",IF(AH376=AI376,AH376,IF(AK376&lt;&gt;"",AK376,"PENDING_HUMAN")))</x:f>
        <x:v>PENDING_HUMAN</x:v>
      </x:c>
      <x:c r="AM376" t="n">
        <x:f>--AND(A376&lt;&gt;"",AH376&lt;&gt;"",AI376&lt;&gt;"",OR(AH376=AI376,AK376&lt;&gt;""))</x:f>
        <x:v>0</x:v>
      </x:c>
      <x:c r="AN376" t="n">
        <x:f>--AND(Y376&lt;&gt;"",COUNTIF($Y$4:Y376,Y376)=1)</x:f>
        <x:v>0</x:v>
      </x:c>
      <x:c r="AO376" t="n">
        <x:f>--AND(AN376=1,Z376=1,AM376=1)</x:f>
        <x:v>0</x:v>
      </x:c>
      <x:c r="AP376" t="n">
        <x:f>--AND(AO376=1,AA376=1,AL376=1)</x:f>
        <x:v>0</x:v>
      </x:c>
      <x:c r="AQ376" t="n">
        <x:f>--AND(AN376=1,Z376=1)</x:f>
        <x:v>0</x:v>
      </x:c>
      <x:c r="AR376" t="n">
        <x:f>--AND(AQ376=1,AA376=1)</x:f>
        <x:v>0</x:v>
      </x:c>
    </x:row>
    <x:row r="377">
      <x:c r="A377" s="28"/>
      <x:c r="B377" s="28"/>
      <x:c r="C377" s="28"/>
      <x:c r="D377" s="28"/>
      <x:c r="E377" s="28"/>
      <x:c r="F377" s="28"/>
      <x:c r="G377" s="28"/>
      <x:c r="H377" s="28"/>
      <x:c r="I377" s="28"/>
      <x:c r="J377" s="28"/>
      <x:c r="K377" s="28"/>
      <x:c r="L377" s="28"/>
      <x:c r="M377" s="28"/>
      <x:c r="N377" s="28"/>
      <x:c r="O377" s="28"/>
      <x:c r="P377" s="28"/>
      <x:c r="Q377" s="28"/>
      <x:c r="R377" s="28"/>
      <x:c r="S377" s="28"/>
      <x:c r="T377" s="28"/>
      <x:c r="U377" s="28"/>
      <x:c r="V377" s="28"/>
      <x:c r="W377" s="28"/>
      <x:c r="X377" s="43" t="n">
        <x:f>--AND(S377=1,T377=1,U377=1,V377=1,W377=1)</x:f>
        <x:v>0</x:v>
      </x:c>
      <x:c r="AE377" s="43" t="n">
        <x:f>--AND(S377=1,M377&lt;&gt;"",M377&lt;&gt;"keep")</x:f>
        <x:v>0</x:v>
      </x:c>
      <x:c r="AG377" t="n">
        <x:f>--AND(S377=1,T377=1,U377=1,V377=1,W377=1,AE377=1)</x:f>
        <x:v>0</x:v>
      </x:c>
      <x:c r="AJ377" t="str">
        <x:f>IF(OR(AH377="",AI377=""),"",--(AH377&lt;&gt;AI377))</x:f>
      </x:c>
      <x:c r="AL377" t="str">
        <x:f>IF(OR(AH377="",AI377=""),"PENDING_HUMAN",IF(AH377=AI377,AH377,IF(AK377&lt;&gt;"",AK377,"PENDING_HUMAN")))</x:f>
        <x:v>PENDING_HUMAN</x:v>
      </x:c>
      <x:c r="AM377" t="n">
        <x:f>--AND(A377&lt;&gt;"",AH377&lt;&gt;"",AI377&lt;&gt;"",OR(AH377=AI377,AK377&lt;&gt;""))</x:f>
        <x:v>0</x:v>
      </x:c>
      <x:c r="AN377" t="n">
        <x:f>--AND(Y377&lt;&gt;"",COUNTIF($Y$4:Y377,Y377)=1)</x:f>
        <x:v>0</x:v>
      </x:c>
      <x:c r="AO377" t="n">
        <x:f>--AND(AN377=1,Z377=1,AM377=1)</x:f>
        <x:v>0</x:v>
      </x:c>
      <x:c r="AP377" t="n">
        <x:f>--AND(AO377=1,AA377=1,AL377=1)</x:f>
        <x:v>0</x:v>
      </x:c>
      <x:c r="AQ377" t="n">
        <x:f>--AND(AN377=1,Z377=1)</x:f>
        <x:v>0</x:v>
      </x:c>
      <x:c r="AR377" t="n">
        <x:f>--AND(AQ377=1,AA377=1)</x:f>
        <x:v>0</x:v>
      </x:c>
    </x:row>
    <x:row r="378">
      <x:c r="A378" s="28"/>
      <x:c r="B378" s="28"/>
      <x:c r="C378" s="28"/>
      <x:c r="D378" s="28"/>
      <x:c r="E378" s="28"/>
      <x:c r="F378" s="28"/>
      <x:c r="G378" s="28"/>
      <x:c r="H378" s="28"/>
      <x:c r="I378" s="28"/>
      <x:c r="J378" s="28"/>
      <x:c r="K378" s="28"/>
      <x:c r="L378" s="28"/>
      <x:c r="M378" s="28"/>
      <x:c r="N378" s="28"/>
      <x:c r="O378" s="28"/>
      <x:c r="P378" s="28"/>
      <x:c r="Q378" s="28"/>
      <x:c r="R378" s="28"/>
      <x:c r="S378" s="28"/>
      <x:c r="T378" s="28"/>
      <x:c r="U378" s="28"/>
      <x:c r="V378" s="28"/>
      <x:c r="W378" s="28"/>
      <x:c r="X378" s="43" t="n">
        <x:f>--AND(S378=1,T378=1,U378=1,V378=1,W378=1)</x:f>
        <x:v>0</x:v>
      </x:c>
      <x:c r="AE378" s="43" t="n">
        <x:f>--AND(S378=1,M378&lt;&gt;"",M378&lt;&gt;"keep")</x:f>
        <x:v>0</x:v>
      </x:c>
      <x:c r="AG378" t="n">
        <x:f>--AND(S378=1,T378=1,U378=1,V378=1,W378=1,AE378=1)</x:f>
        <x:v>0</x:v>
      </x:c>
      <x:c r="AJ378" t="str">
        <x:f>IF(OR(AH378="",AI378=""),"",--(AH378&lt;&gt;AI378))</x:f>
      </x:c>
      <x:c r="AL378" t="str">
        <x:f>IF(OR(AH378="",AI378=""),"PENDING_HUMAN",IF(AH378=AI378,AH378,IF(AK378&lt;&gt;"",AK378,"PENDING_HUMAN")))</x:f>
        <x:v>PENDING_HUMAN</x:v>
      </x:c>
      <x:c r="AM378" t="n">
        <x:f>--AND(A378&lt;&gt;"",AH378&lt;&gt;"",AI378&lt;&gt;"",OR(AH378=AI378,AK378&lt;&gt;""))</x:f>
        <x:v>0</x:v>
      </x:c>
      <x:c r="AN378" t="n">
        <x:f>--AND(Y378&lt;&gt;"",COUNTIF($Y$4:Y378,Y378)=1)</x:f>
        <x:v>0</x:v>
      </x:c>
      <x:c r="AO378" t="n">
        <x:f>--AND(AN378=1,Z378=1,AM378=1)</x:f>
        <x:v>0</x:v>
      </x:c>
      <x:c r="AP378" t="n">
        <x:f>--AND(AO378=1,AA378=1,AL378=1)</x:f>
        <x:v>0</x:v>
      </x:c>
      <x:c r="AQ378" t="n">
        <x:f>--AND(AN378=1,Z378=1)</x:f>
        <x:v>0</x:v>
      </x:c>
      <x:c r="AR378" t="n">
        <x:f>--AND(AQ378=1,AA378=1)</x:f>
        <x:v>0</x:v>
      </x:c>
    </x:row>
    <x:row r="379">
      <x:c r="A379" s="28"/>
      <x:c r="B379" s="28"/>
      <x:c r="C379" s="28"/>
      <x:c r="D379" s="28"/>
      <x:c r="E379" s="28"/>
      <x:c r="F379" s="28"/>
      <x:c r="G379" s="28"/>
      <x:c r="H379" s="28"/>
      <x:c r="I379" s="28"/>
      <x:c r="J379" s="28"/>
      <x:c r="K379" s="28"/>
      <x:c r="L379" s="28"/>
      <x:c r="M379" s="28"/>
      <x:c r="N379" s="28"/>
      <x:c r="O379" s="28"/>
      <x:c r="P379" s="28"/>
      <x:c r="Q379" s="28"/>
      <x:c r="R379" s="28"/>
      <x:c r="S379" s="28"/>
      <x:c r="T379" s="28"/>
      <x:c r="U379" s="28"/>
      <x:c r="V379" s="28"/>
      <x:c r="W379" s="28"/>
      <x:c r="X379" s="43" t="n">
        <x:f>--AND(S379=1,T379=1,U379=1,V379=1,W379=1)</x:f>
        <x:v>0</x:v>
      </x:c>
      <x:c r="AE379" s="43" t="n">
        <x:f>--AND(S379=1,M379&lt;&gt;"",M379&lt;&gt;"keep")</x:f>
        <x:v>0</x:v>
      </x:c>
      <x:c r="AG379" t="n">
        <x:f>--AND(S379=1,T379=1,U379=1,V379=1,W379=1,AE379=1)</x:f>
        <x:v>0</x:v>
      </x:c>
      <x:c r="AJ379" t="str">
        <x:f>IF(OR(AH379="",AI379=""),"",--(AH379&lt;&gt;AI379))</x:f>
      </x:c>
      <x:c r="AL379" t="str">
        <x:f>IF(OR(AH379="",AI379=""),"PENDING_HUMAN",IF(AH379=AI379,AH379,IF(AK379&lt;&gt;"",AK379,"PENDING_HUMAN")))</x:f>
        <x:v>PENDING_HUMAN</x:v>
      </x:c>
      <x:c r="AM379" t="n">
        <x:f>--AND(A379&lt;&gt;"",AH379&lt;&gt;"",AI379&lt;&gt;"",OR(AH379=AI379,AK379&lt;&gt;""))</x:f>
        <x:v>0</x:v>
      </x:c>
      <x:c r="AN379" t="n">
        <x:f>--AND(Y379&lt;&gt;"",COUNTIF($Y$4:Y379,Y379)=1)</x:f>
        <x:v>0</x:v>
      </x:c>
      <x:c r="AO379" t="n">
        <x:f>--AND(AN379=1,Z379=1,AM379=1)</x:f>
        <x:v>0</x:v>
      </x:c>
      <x:c r="AP379" t="n">
        <x:f>--AND(AO379=1,AA379=1,AL379=1)</x:f>
        <x:v>0</x:v>
      </x:c>
      <x:c r="AQ379" t="n">
        <x:f>--AND(AN379=1,Z379=1)</x:f>
        <x:v>0</x:v>
      </x:c>
      <x:c r="AR379" t="n">
        <x:f>--AND(AQ379=1,AA379=1)</x:f>
        <x:v>0</x:v>
      </x:c>
    </x:row>
    <x:row r="380">
      <x:c r="A380" s="28"/>
      <x:c r="B380" s="28"/>
      <x:c r="C380" s="28"/>
      <x:c r="D380" s="28"/>
      <x:c r="E380" s="28"/>
      <x:c r="F380" s="28"/>
      <x:c r="G380" s="28"/>
      <x:c r="H380" s="28"/>
      <x:c r="I380" s="28"/>
      <x:c r="J380" s="28"/>
      <x:c r="K380" s="28"/>
      <x:c r="L380" s="28"/>
      <x:c r="M380" s="28"/>
      <x:c r="N380" s="28"/>
      <x:c r="O380" s="28"/>
      <x:c r="P380" s="28"/>
      <x:c r="Q380" s="28"/>
      <x:c r="R380" s="28"/>
      <x:c r="S380" s="28"/>
      <x:c r="T380" s="28"/>
      <x:c r="U380" s="28"/>
      <x:c r="V380" s="28"/>
      <x:c r="W380" s="28"/>
      <x:c r="X380" s="43" t="n">
        <x:f>--AND(S380=1,T380=1,U380=1,V380=1,W380=1)</x:f>
        <x:v>0</x:v>
      </x:c>
      <x:c r="AE380" s="43" t="n">
        <x:f>--AND(S380=1,M380&lt;&gt;"",M380&lt;&gt;"keep")</x:f>
        <x:v>0</x:v>
      </x:c>
      <x:c r="AG380" t="n">
        <x:f>--AND(S380=1,T380=1,U380=1,V380=1,W380=1,AE380=1)</x:f>
        <x:v>0</x:v>
      </x:c>
      <x:c r="AJ380" t="str">
        <x:f>IF(OR(AH380="",AI380=""),"",--(AH380&lt;&gt;AI380))</x:f>
      </x:c>
      <x:c r="AL380" t="str">
        <x:f>IF(OR(AH380="",AI380=""),"PENDING_HUMAN",IF(AH380=AI380,AH380,IF(AK380&lt;&gt;"",AK380,"PENDING_HUMAN")))</x:f>
        <x:v>PENDING_HUMAN</x:v>
      </x:c>
      <x:c r="AM380" t="n">
        <x:f>--AND(A380&lt;&gt;"",AH380&lt;&gt;"",AI380&lt;&gt;"",OR(AH380=AI380,AK380&lt;&gt;""))</x:f>
        <x:v>0</x:v>
      </x:c>
      <x:c r="AN380" t="n">
        <x:f>--AND(Y380&lt;&gt;"",COUNTIF($Y$4:Y380,Y380)=1)</x:f>
        <x:v>0</x:v>
      </x:c>
      <x:c r="AO380" t="n">
        <x:f>--AND(AN380=1,Z380=1,AM380=1)</x:f>
        <x:v>0</x:v>
      </x:c>
      <x:c r="AP380" t="n">
        <x:f>--AND(AO380=1,AA380=1,AL380=1)</x:f>
        <x:v>0</x:v>
      </x:c>
      <x:c r="AQ380" t="n">
        <x:f>--AND(AN380=1,Z380=1)</x:f>
        <x:v>0</x:v>
      </x:c>
      <x:c r="AR380" t="n">
        <x:f>--AND(AQ380=1,AA380=1)</x:f>
        <x:v>0</x:v>
      </x:c>
    </x:row>
    <x:row r="381">
      <x:c r="A381" s="28"/>
      <x:c r="B381" s="28"/>
      <x:c r="C381" s="28"/>
      <x:c r="D381" s="28"/>
      <x:c r="E381" s="28"/>
      <x:c r="F381" s="28"/>
      <x:c r="G381" s="28"/>
      <x:c r="H381" s="28"/>
      <x:c r="I381" s="28"/>
      <x:c r="J381" s="28"/>
      <x:c r="K381" s="28"/>
      <x:c r="L381" s="28"/>
      <x:c r="M381" s="28"/>
      <x:c r="N381" s="28"/>
      <x:c r="O381" s="28"/>
      <x:c r="P381" s="28"/>
      <x:c r="Q381" s="28"/>
      <x:c r="R381" s="28"/>
      <x:c r="S381" s="28"/>
      <x:c r="T381" s="28"/>
      <x:c r="U381" s="28"/>
      <x:c r="V381" s="28"/>
      <x:c r="W381" s="28"/>
      <x:c r="X381" s="43" t="n">
        <x:f>--AND(S381=1,T381=1,U381=1,V381=1,W381=1)</x:f>
        <x:v>0</x:v>
      </x:c>
      <x:c r="AE381" s="43" t="n">
        <x:f>--AND(S381=1,M381&lt;&gt;"",M381&lt;&gt;"keep")</x:f>
        <x:v>0</x:v>
      </x:c>
      <x:c r="AG381" t="n">
        <x:f>--AND(S381=1,T381=1,U381=1,V381=1,W381=1,AE381=1)</x:f>
        <x:v>0</x:v>
      </x:c>
      <x:c r="AJ381" t="str">
        <x:f>IF(OR(AH381="",AI381=""),"",--(AH381&lt;&gt;AI381))</x:f>
      </x:c>
      <x:c r="AL381" t="str">
        <x:f>IF(OR(AH381="",AI381=""),"PENDING_HUMAN",IF(AH381=AI381,AH381,IF(AK381&lt;&gt;"",AK381,"PENDING_HUMAN")))</x:f>
        <x:v>PENDING_HUMAN</x:v>
      </x:c>
      <x:c r="AM381" t="n">
        <x:f>--AND(A381&lt;&gt;"",AH381&lt;&gt;"",AI381&lt;&gt;"",OR(AH381=AI381,AK381&lt;&gt;""))</x:f>
        <x:v>0</x:v>
      </x:c>
      <x:c r="AN381" t="n">
        <x:f>--AND(Y381&lt;&gt;"",COUNTIF($Y$4:Y381,Y381)=1)</x:f>
        <x:v>0</x:v>
      </x:c>
      <x:c r="AO381" t="n">
        <x:f>--AND(AN381=1,Z381=1,AM381=1)</x:f>
        <x:v>0</x:v>
      </x:c>
      <x:c r="AP381" t="n">
        <x:f>--AND(AO381=1,AA381=1,AL381=1)</x:f>
        <x:v>0</x:v>
      </x:c>
      <x:c r="AQ381" t="n">
        <x:f>--AND(AN381=1,Z381=1)</x:f>
        <x:v>0</x:v>
      </x:c>
      <x:c r="AR381" t="n">
        <x:f>--AND(AQ381=1,AA381=1)</x:f>
        <x:v>0</x:v>
      </x:c>
    </x:row>
    <x:row r="382">
      <x:c r="A382" s="28"/>
      <x:c r="B382" s="28"/>
      <x:c r="C382" s="28"/>
      <x:c r="D382" s="28"/>
      <x:c r="E382" s="28"/>
      <x:c r="F382" s="28"/>
      <x:c r="G382" s="28"/>
      <x:c r="H382" s="28"/>
      <x:c r="I382" s="28"/>
      <x:c r="J382" s="28"/>
      <x:c r="K382" s="28"/>
      <x:c r="L382" s="28"/>
      <x:c r="M382" s="28"/>
      <x:c r="N382" s="28"/>
      <x:c r="O382" s="28"/>
      <x:c r="P382" s="28"/>
      <x:c r="Q382" s="28"/>
      <x:c r="R382" s="28"/>
      <x:c r="S382" s="28"/>
      <x:c r="T382" s="28"/>
      <x:c r="U382" s="28"/>
      <x:c r="V382" s="28"/>
      <x:c r="W382" s="28"/>
      <x:c r="X382" s="43" t="n">
        <x:f>--AND(S382=1,T382=1,U382=1,V382=1,W382=1)</x:f>
        <x:v>0</x:v>
      </x:c>
      <x:c r="AE382" s="43" t="n">
        <x:f>--AND(S382=1,M382&lt;&gt;"",M382&lt;&gt;"keep")</x:f>
        <x:v>0</x:v>
      </x:c>
      <x:c r="AG382" t="n">
        <x:f>--AND(S382=1,T382=1,U382=1,V382=1,W382=1,AE382=1)</x:f>
        <x:v>0</x:v>
      </x:c>
      <x:c r="AJ382" t="str">
        <x:f>IF(OR(AH382="",AI382=""),"",--(AH382&lt;&gt;AI382))</x:f>
      </x:c>
      <x:c r="AL382" t="str">
        <x:f>IF(OR(AH382="",AI382=""),"PENDING_HUMAN",IF(AH382=AI382,AH382,IF(AK382&lt;&gt;"",AK382,"PENDING_HUMAN")))</x:f>
        <x:v>PENDING_HUMAN</x:v>
      </x:c>
      <x:c r="AM382" t="n">
        <x:f>--AND(A382&lt;&gt;"",AH382&lt;&gt;"",AI382&lt;&gt;"",OR(AH382=AI382,AK382&lt;&gt;""))</x:f>
        <x:v>0</x:v>
      </x:c>
      <x:c r="AN382" t="n">
        <x:f>--AND(Y382&lt;&gt;"",COUNTIF($Y$4:Y382,Y382)=1)</x:f>
        <x:v>0</x:v>
      </x:c>
      <x:c r="AO382" t="n">
        <x:f>--AND(AN382=1,Z382=1,AM382=1)</x:f>
        <x:v>0</x:v>
      </x:c>
      <x:c r="AP382" t="n">
        <x:f>--AND(AO382=1,AA382=1,AL382=1)</x:f>
        <x:v>0</x:v>
      </x:c>
      <x:c r="AQ382" t="n">
        <x:f>--AND(AN382=1,Z382=1)</x:f>
        <x:v>0</x:v>
      </x:c>
      <x:c r="AR382" t="n">
        <x:f>--AND(AQ382=1,AA382=1)</x:f>
        <x:v>0</x:v>
      </x:c>
    </x:row>
    <x:row r="383">
      <x:c r="A383" s="28"/>
      <x:c r="B383" s="28"/>
      <x:c r="C383" s="28"/>
      <x:c r="D383" s="28"/>
      <x:c r="E383" s="28"/>
      <x:c r="F383" s="28"/>
      <x:c r="G383" s="28"/>
      <x:c r="H383" s="28"/>
      <x:c r="I383" s="28"/>
      <x:c r="J383" s="28"/>
      <x:c r="K383" s="28"/>
      <x:c r="L383" s="28"/>
      <x:c r="M383" s="28"/>
      <x:c r="N383" s="28"/>
      <x:c r="O383" s="28"/>
      <x:c r="P383" s="28"/>
      <x:c r="Q383" s="28"/>
      <x:c r="R383" s="28"/>
      <x:c r="S383" s="28"/>
      <x:c r="T383" s="28"/>
      <x:c r="U383" s="28"/>
      <x:c r="V383" s="28"/>
      <x:c r="W383" s="28"/>
      <x:c r="X383" s="43" t="n">
        <x:f>--AND(S383=1,T383=1,U383=1,V383=1,W383=1)</x:f>
        <x:v>0</x:v>
      </x:c>
      <x:c r="AE383" s="43" t="n">
        <x:f>--AND(S383=1,M383&lt;&gt;"",M383&lt;&gt;"keep")</x:f>
        <x:v>0</x:v>
      </x:c>
      <x:c r="AG383" t="n">
        <x:f>--AND(S383=1,T383=1,U383=1,V383=1,W383=1,AE383=1)</x:f>
        <x:v>0</x:v>
      </x:c>
      <x:c r="AJ383" t="str">
        <x:f>IF(OR(AH383="",AI383=""),"",--(AH383&lt;&gt;AI383))</x:f>
      </x:c>
      <x:c r="AL383" t="str">
        <x:f>IF(OR(AH383="",AI383=""),"PENDING_HUMAN",IF(AH383=AI383,AH383,IF(AK383&lt;&gt;"",AK383,"PENDING_HUMAN")))</x:f>
        <x:v>PENDING_HUMAN</x:v>
      </x:c>
      <x:c r="AM383" t="n">
        <x:f>--AND(A383&lt;&gt;"",AH383&lt;&gt;"",AI383&lt;&gt;"",OR(AH383=AI383,AK383&lt;&gt;""))</x:f>
        <x:v>0</x:v>
      </x:c>
      <x:c r="AN383" t="n">
        <x:f>--AND(Y383&lt;&gt;"",COUNTIF($Y$4:Y383,Y383)=1)</x:f>
        <x:v>0</x:v>
      </x:c>
      <x:c r="AO383" t="n">
        <x:f>--AND(AN383=1,Z383=1,AM383=1)</x:f>
        <x:v>0</x:v>
      </x:c>
      <x:c r="AP383" t="n">
        <x:f>--AND(AO383=1,AA383=1,AL383=1)</x:f>
        <x:v>0</x:v>
      </x:c>
      <x:c r="AQ383" t="n">
        <x:f>--AND(AN383=1,Z383=1)</x:f>
        <x:v>0</x:v>
      </x:c>
      <x:c r="AR383" t="n">
        <x:f>--AND(AQ383=1,AA383=1)</x:f>
        <x:v>0</x:v>
      </x:c>
    </x:row>
    <x:row r="384">
      <x:c r="A384" s="28"/>
      <x:c r="B384" s="28"/>
      <x:c r="C384" s="28"/>
      <x:c r="D384" s="28"/>
      <x:c r="E384" s="28"/>
      <x:c r="F384" s="28"/>
      <x:c r="G384" s="28"/>
      <x:c r="H384" s="28"/>
      <x:c r="I384" s="28"/>
      <x:c r="J384" s="28"/>
      <x:c r="K384" s="28"/>
      <x:c r="L384" s="28"/>
      <x:c r="M384" s="28"/>
      <x:c r="N384" s="28"/>
      <x:c r="O384" s="28"/>
      <x:c r="P384" s="28"/>
      <x:c r="Q384" s="28"/>
      <x:c r="R384" s="28"/>
      <x:c r="S384" s="28"/>
      <x:c r="T384" s="28"/>
      <x:c r="U384" s="28"/>
      <x:c r="V384" s="28"/>
      <x:c r="W384" s="28"/>
      <x:c r="X384" s="43" t="n">
        <x:f>--AND(S384=1,T384=1,U384=1,V384=1,W384=1)</x:f>
        <x:v>0</x:v>
      </x:c>
      <x:c r="AE384" s="43" t="n">
        <x:f>--AND(S384=1,M384&lt;&gt;"",M384&lt;&gt;"keep")</x:f>
        <x:v>0</x:v>
      </x:c>
      <x:c r="AG384" t="n">
        <x:f>--AND(S384=1,T384=1,U384=1,V384=1,W384=1,AE384=1)</x:f>
        <x:v>0</x:v>
      </x:c>
      <x:c r="AJ384" t="str">
        <x:f>IF(OR(AH384="",AI384=""),"",--(AH384&lt;&gt;AI384))</x:f>
      </x:c>
      <x:c r="AL384" t="str">
        <x:f>IF(OR(AH384="",AI384=""),"PENDING_HUMAN",IF(AH384=AI384,AH384,IF(AK384&lt;&gt;"",AK384,"PENDING_HUMAN")))</x:f>
        <x:v>PENDING_HUMAN</x:v>
      </x:c>
      <x:c r="AM384" t="n">
        <x:f>--AND(A384&lt;&gt;"",AH384&lt;&gt;"",AI384&lt;&gt;"",OR(AH384=AI384,AK384&lt;&gt;""))</x:f>
        <x:v>0</x:v>
      </x:c>
      <x:c r="AN384" t="n">
        <x:f>--AND(Y384&lt;&gt;"",COUNTIF($Y$4:Y384,Y384)=1)</x:f>
        <x:v>0</x:v>
      </x:c>
      <x:c r="AO384" t="n">
        <x:f>--AND(AN384=1,Z384=1,AM384=1)</x:f>
        <x:v>0</x:v>
      </x:c>
      <x:c r="AP384" t="n">
        <x:f>--AND(AO384=1,AA384=1,AL384=1)</x:f>
        <x:v>0</x:v>
      </x:c>
      <x:c r="AQ384" t="n">
        <x:f>--AND(AN384=1,Z384=1)</x:f>
        <x:v>0</x:v>
      </x:c>
      <x:c r="AR384" t="n">
        <x:f>--AND(AQ384=1,AA384=1)</x:f>
        <x:v>0</x:v>
      </x:c>
    </x:row>
    <x:row r="385">
      <x:c r="A385" s="28"/>
      <x:c r="B385" s="28"/>
      <x:c r="C385" s="28"/>
      <x:c r="D385" s="28"/>
      <x:c r="E385" s="28"/>
      <x:c r="F385" s="28"/>
      <x:c r="G385" s="28"/>
      <x:c r="H385" s="28"/>
      <x:c r="I385" s="28"/>
      <x:c r="J385" s="28"/>
      <x:c r="K385" s="28"/>
      <x:c r="L385" s="28"/>
      <x:c r="M385" s="28"/>
      <x:c r="N385" s="28"/>
      <x:c r="O385" s="28"/>
      <x:c r="P385" s="28"/>
      <x:c r="Q385" s="28"/>
      <x:c r="R385" s="28"/>
      <x:c r="S385" s="28"/>
      <x:c r="T385" s="28"/>
      <x:c r="U385" s="28"/>
      <x:c r="V385" s="28"/>
      <x:c r="W385" s="28"/>
      <x:c r="X385" s="43" t="n">
        <x:f>--AND(S385=1,T385=1,U385=1,V385=1,W385=1)</x:f>
        <x:v>0</x:v>
      </x:c>
      <x:c r="AE385" s="43" t="n">
        <x:f>--AND(S385=1,M385&lt;&gt;"",M385&lt;&gt;"keep")</x:f>
        <x:v>0</x:v>
      </x:c>
      <x:c r="AG385" t="n">
        <x:f>--AND(S385=1,T385=1,U385=1,V385=1,W385=1,AE385=1)</x:f>
        <x:v>0</x:v>
      </x:c>
      <x:c r="AJ385" t="str">
        <x:f>IF(OR(AH385="",AI385=""),"",--(AH385&lt;&gt;AI385))</x:f>
      </x:c>
      <x:c r="AL385" t="str">
        <x:f>IF(OR(AH385="",AI385=""),"PENDING_HUMAN",IF(AH385=AI385,AH385,IF(AK385&lt;&gt;"",AK385,"PENDING_HUMAN")))</x:f>
        <x:v>PENDING_HUMAN</x:v>
      </x:c>
      <x:c r="AM385" t="n">
        <x:f>--AND(A385&lt;&gt;"",AH385&lt;&gt;"",AI385&lt;&gt;"",OR(AH385=AI385,AK385&lt;&gt;""))</x:f>
        <x:v>0</x:v>
      </x:c>
      <x:c r="AN385" t="n">
        <x:f>--AND(Y385&lt;&gt;"",COUNTIF($Y$4:Y385,Y385)=1)</x:f>
        <x:v>0</x:v>
      </x:c>
      <x:c r="AO385" t="n">
        <x:f>--AND(AN385=1,Z385=1,AM385=1)</x:f>
        <x:v>0</x:v>
      </x:c>
      <x:c r="AP385" t="n">
        <x:f>--AND(AO385=1,AA385=1,AL385=1)</x:f>
        <x:v>0</x:v>
      </x:c>
      <x:c r="AQ385" t="n">
        <x:f>--AND(AN385=1,Z385=1)</x:f>
        <x:v>0</x:v>
      </x:c>
      <x:c r="AR385" t="n">
        <x:f>--AND(AQ385=1,AA385=1)</x:f>
        <x:v>0</x:v>
      </x:c>
    </x:row>
    <x:row r="386">
      <x:c r="A386" s="28"/>
      <x:c r="B386" s="28"/>
      <x:c r="C386" s="28"/>
      <x:c r="D386" s="28"/>
      <x:c r="E386" s="28"/>
      <x:c r="F386" s="28"/>
      <x:c r="G386" s="28"/>
      <x:c r="H386" s="28"/>
      <x:c r="I386" s="28"/>
      <x:c r="J386" s="28"/>
      <x:c r="K386" s="28"/>
      <x:c r="L386" s="28"/>
      <x:c r="M386" s="28"/>
      <x:c r="N386" s="28"/>
      <x:c r="O386" s="28"/>
      <x:c r="P386" s="28"/>
      <x:c r="Q386" s="28"/>
      <x:c r="R386" s="28"/>
      <x:c r="S386" s="28"/>
      <x:c r="T386" s="28"/>
      <x:c r="U386" s="28"/>
      <x:c r="V386" s="28"/>
      <x:c r="W386" s="28"/>
      <x:c r="X386" s="43" t="n">
        <x:f>--AND(S386=1,T386=1,U386=1,V386=1,W386=1)</x:f>
        <x:v>0</x:v>
      </x:c>
      <x:c r="AE386" s="43" t="n">
        <x:f>--AND(S386=1,M386&lt;&gt;"",M386&lt;&gt;"keep")</x:f>
        <x:v>0</x:v>
      </x:c>
      <x:c r="AG386" t="n">
        <x:f>--AND(S386=1,T386=1,U386=1,V386=1,W386=1,AE386=1)</x:f>
        <x:v>0</x:v>
      </x:c>
      <x:c r="AJ386" t="str">
        <x:f>IF(OR(AH386="",AI386=""),"",--(AH386&lt;&gt;AI386))</x:f>
      </x:c>
      <x:c r="AL386" t="str">
        <x:f>IF(OR(AH386="",AI386=""),"PENDING_HUMAN",IF(AH386=AI386,AH386,IF(AK386&lt;&gt;"",AK386,"PENDING_HUMAN")))</x:f>
        <x:v>PENDING_HUMAN</x:v>
      </x:c>
      <x:c r="AM386" t="n">
        <x:f>--AND(A386&lt;&gt;"",AH386&lt;&gt;"",AI386&lt;&gt;"",OR(AH386=AI386,AK386&lt;&gt;""))</x:f>
        <x:v>0</x:v>
      </x:c>
      <x:c r="AN386" t="n">
        <x:f>--AND(Y386&lt;&gt;"",COUNTIF($Y$4:Y386,Y386)=1)</x:f>
        <x:v>0</x:v>
      </x:c>
      <x:c r="AO386" t="n">
        <x:f>--AND(AN386=1,Z386=1,AM386=1)</x:f>
        <x:v>0</x:v>
      </x:c>
      <x:c r="AP386" t="n">
        <x:f>--AND(AO386=1,AA386=1,AL386=1)</x:f>
        <x:v>0</x:v>
      </x:c>
      <x:c r="AQ386" t="n">
        <x:f>--AND(AN386=1,Z386=1)</x:f>
        <x:v>0</x:v>
      </x:c>
      <x:c r="AR386" t="n">
        <x:f>--AND(AQ386=1,AA386=1)</x:f>
        <x:v>0</x:v>
      </x:c>
    </x:row>
    <x:row r="387">
      <x:c r="A387" s="28"/>
      <x:c r="B387" s="28"/>
      <x:c r="C387" s="28"/>
      <x:c r="D387" s="28"/>
      <x:c r="E387" s="28"/>
      <x:c r="F387" s="28"/>
      <x:c r="G387" s="28"/>
      <x:c r="H387" s="28"/>
      <x:c r="I387" s="28"/>
      <x:c r="J387" s="28"/>
      <x:c r="K387" s="28"/>
      <x:c r="L387" s="28"/>
      <x:c r="M387" s="28"/>
      <x:c r="N387" s="28"/>
      <x:c r="O387" s="28"/>
      <x:c r="P387" s="28"/>
      <x:c r="Q387" s="28"/>
      <x:c r="R387" s="28"/>
      <x:c r="S387" s="28"/>
      <x:c r="T387" s="28"/>
      <x:c r="U387" s="28"/>
      <x:c r="V387" s="28"/>
      <x:c r="W387" s="28"/>
      <x:c r="X387" s="43" t="n">
        <x:f>--AND(S387=1,T387=1,U387=1,V387=1,W387=1)</x:f>
        <x:v>0</x:v>
      </x:c>
      <x:c r="AE387" s="43" t="n">
        <x:f>--AND(S387=1,M387&lt;&gt;"",M387&lt;&gt;"keep")</x:f>
        <x:v>0</x:v>
      </x:c>
      <x:c r="AG387" t="n">
        <x:f>--AND(S387=1,T387=1,U387=1,V387=1,W387=1,AE387=1)</x:f>
        <x:v>0</x:v>
      </x:c>
      <x:c r="AJ387" t="str">
        <x:f>IF(OR(AH387="",AI387=""),"",--(AH387&lt;&gt;AI387))</x:f>
      </x:c>
      <x:c r="AL387" t="str">
        <x:f>IF(OR(AH387="",AI387=""),"PENDING_HUMAN",IF(AH387=AI387,AH387,IF(AK387&lt;&gt;"",AK387,"PENDING_HUMAN")))</x:f>
        <x:v>PENDING_HUMAN</x:v>
      </x:c>
      <x:c r="AM387" t="n">
        <x:f>--AND(A387&lt;&gt;"",AH387&lt;&gt;"",AI387&lt;&gt;"",OR(AH387=AI387,AK387&lt;&gt;""))</x:f>
        <x:v>0</x:v>
      </x:c>
      <x:c r="AN387" t="n">
        <x:f>--AND(Y387&lt;&gt;"",COUNTIF($Y$4:Y387,Y387)=1)</x:f>
        <x:v>0</x:v>
      </x:c>
      <x:c r="AO387" t="n">
        <x:f>--AND(AN387=1,Z387=1,AM387=1)</x:f>
        <x:v>0</x:v>
      </x:c>
      <x:c r="AP387" t="n">
        <x:f>--AND(AO387=1,AA387=1,AL387=1)</x:f>
        <x:v>0</x:v>
      </x:c>
      <x:c r="AQ387" t="n">
        <x:f>--AND(AN387=1,Z387=1)</x:f>
        <x:v>0</x:v>
      </x:c>
      <x:c r="AR387" t="n">
        <x:f>--AND(AQ387=1,AA387=1)</x:f>
        <x:v>0</x:v>
      </x:c>
    </x:row>
    <x:row r="388">
      <x:c r="A388" s="28"/>
      <x:c r="B388" s="28"/>
      <x:c r="C388" s="28"/>
      <x:c r="D388" s="28"/>
      <x:c r="E388" s="28"/>
      <x:c r="F388" s="28"/>
      <x:c r="G388" s="28"/>
      <x:c r="H388" s="28"/>
      <x:c r="I388" s="28"/>
      <x:c r="J388" s="28"/>
      <x:c r="K388" s="28"/>
      <x:c r="L388" s="28"/>
      <x:c r="M388" s="28"/>
      <x:c r="N388" s="28"/>
      <x:c r="O388" s="28"/>
      <x:c r="P388" s="28"/>
      <x:c r="Q388" s="28"/>
      <x:c r="R388" s="28"/>
      <x:c r="S388" s="28"/>
      <x:c r="T388" s="28"/>
      <x:c r="U388" s="28"/>
      <x:c r="V388" s="28"/>
      <x:c r="W388" s="28"/>
      <x:c r="X388" s="43" t="n">
        <x:f>--AND(S388=1,T388=1,U388=1,V388=1,W388=1)</x:f>
        <x:v>0</x:v>
      </x:c>
      <x:c r="AE388" s="43" t="n">
        <x:f>--AND(S388=1,M388&lt;&gt;"",M388&lt;&gt;"keep")</x:f>
        <x:v>0</x:v>
      </x:c>
      <x:c r="AG388" t="n">
        <x:f>--AND(S388=1,T388=1,U388=1,V388=1,W388=1,AE388=1)</x:f>
        <x:v>0</x:v>
      </x:c>
      <x:c r="AJ388" t="str">
        <x:f>IF(OR(AH388="",AI388=""),"",--(AH388&lt;&gt;AI388))</x:f>
      </x:c>
      <x:c r="AL388" t="str">
        <x:f>IF(OR(AH388="",AI388=""),"PENDING_HUMAN",IF(AH388=AI388,AH388,IF(AK388&lt;&gt;"",AK388,"PENDING_HUMAN")))</x:f>
        <x:v>PENDING_HUMAN</x:v>
      </x:c>
      <x:c r="AM388" t="n">
        <x:f>--AND(A388&lt;&gt;"",AH388&lt;&gt;"",AI388&lt;&gt;"",OR(AH388=AI388,AK388&lt;&gt;""))</x:f>
        <x:v>0</x:v>
      </x:c>
      <x:c r="AN388" t="n">
        <x:f>--AND(Y388&lt;&gt;"",COUNTIF($Y$4:Y388,Y388)=1)</x:f>
        <x:v>0</x:v>
      </x:c>
      <x:c r="AO388" t="n">
        <x:f>--AND(AN388=1,Z388=1,AM388=1)</x:f>
        <x:v>0</x:v>
      </x:c>
      <x:c r="AP388" t="n">
        <x:f>--AND(AO388=1,AA388=1,AL388=1)</x:f>
        <x:v>0</x:v>
      </x:c>
      <x:c r="AQ388" t="n">
        <x:f>--AND(AN388=1,Z388=1)</x:f>
        <x:v>0</x:v>
      </x:c>
      <x:c r="AR388" t="n">
        <x:f>--AND(AQ388=1,AA388=1)</x:f>
        <x:v>0</x:v>
      </x:c>
    </x:row>
    <x:row r="389">
      <x:c r="A389" s="28"/>
      <x:c r="B389" s="28"/>
      <x:c r="C389" s="28"/>
      <x:c r="D389" s="28"/>
      <x:c r="E389" s="28"/>
      <x:c r="F389" s="28"/>
      <x:c r="G389" s="28"/>
      <x:c r="H389" s="28"/>
      <x:c r="I389" s="28"/>
      <x:c r="J389" s="28"/>
      <x:c r="K389" s="28"/>
      <x:c r="L389" s="28"/>
      <x:c r="M389" s="28"/>
      <x:c r="N389" s="28"/>
      <x:c r="O389" s="28"/>
      <x:c r="P389" s="28"/>
      <x:c r="Q389" s="28"/>
      <x:c r="R389" s="28"/>
      <x:c r="S389" s="28"/>
      <x:c r="T389" s="28"/>
      <x:c r="U389" s="28"/>
      <x:c r="V389" s="28"/>
      <x:c r="W389" s="28"/>
      <x:c r="X389" s="43" t="n">
        <x:f>--AND(S389=1,T389=1,U389=1,V389=1,W389=1)</x:f>
        <x:v>0</x:v>
      </x:c>
      <x:c r="AE389" s="43" t="n">
        <x:f>--AND(S389=1,M389&lt;&gt;"",M389&lt;&gt;"keep")</x:f>
        <x:v>0</x:v>
      </x:c>
      <x:c r="AG389" t="n">
        <x:f>--AND(S389=1,T389=1,U389=1,V389=1,W389=1,AE389=1)</x:f>
        <x:v>0</x:v>
      </x:c>
      <x:c r="AJ389" t="str">
        <x:f>IF(OR(AH389="",AI389=""),"",--(AH389&lt;&gt;AI389))</x:f>
      </x:c>
      <x:c r="AL389" t="str">
        <x:f>IF(OR(AH389="",AI389=""),"PENDING_HUMAN",IF(AH389=AI389,AH389,IF(AK389&lt;&gt;"",AK389,"PENDING_HUMAN")))</x:f>
        <x:v>PENDING_HUMAN</x:v>
      </x:c>
      <x:c r="AM389" t="n">
        <x:f>--AND(A389&lt;&gt;"",AH389&lt;&gt;"",AI389&lt;&gt;"",OR(AH389=AI389,AK389&lt;&gt;""))</x:f>
        <x:v>0</x:v>
      </x:c>
      <x:c r="AN389" t="n">
        <x:f>--AND(Y389&lt;&gt;"",COUNTIF($Y$4:Y389,Y389)=1)</x:f>
        <x:v>0</x:v>
      </x:c>
      <x:c r="AO389" t="n">
        <x:f>--AND(AN389=1,Z389=1,AM389=1)</x:f>
        <x:v>0</x:v>
      </x:c>
      <x:c r="AP389" t="n">
        <x:f>--AND(AO389=1,AA389=1,AL389=1)</x:f>
        <x:v>0</x:v>
      </x:c>
      <x:c r="AQ389" t="n">
        <x:f>--AND(AN389=1,Z389=1)</x:f>
        <x:v>0</x:v>
      </x:c>
      <x:c r="AR389" t="n">
        <x:f>--AND(AQ389=1,AA389=1)</x:f>
        <x:v>0</x:v>
      </x:c>
    </x:row>
    <x:row r="390">
      <x:c r="A390" s="28"/>
      <x:c r="B390" s="28"/>
      <x:c r="C390" s="28"/>
      <x:c r="D390" s="28"/>
      <x:c r="E390" s="28"/>
      <x:c r="F390" s="28"/>
      <x:c r="G390" s="28"/>
      <x:c r="H390" s="28"/>
      <x:c r="I390" s="28"/>
      <x:c r="J390" s="28"/>
      <x:c r="K390" s="28"/>
      <x:c r="L390" s="28"/>
      <x:c r="M390" s="28"/>
      <x:c r="N390" s="28"/>
      <x:c r="O390" s="28"/>
      <x:c r="P390" s="28"/>
      <x:c r="Q390" s="28"/>
      <x:c r="R390" s="28"/>
      <x:c r="S390" s="28"/>
      <x:c r="T390" s="28"/>
      <x:c r="U390" s="28"/>
      <x:c r="V390" s="28"/>
      <x:c r="W390" s="28"/>
      <x:c r="X390" s="43" t="n">
        <x:f>--AND(S390=1,T390=1,U390=1,V390=1,W390=1)</x:f>
        <x:v>0</x:v>
      </x:c>
      <x:c r="AE390" s="43" t="n">
        <x:f>--AND(S390=1,M390&lt;&gt;"",M390&lt;&gt;"keep")</x:f>
        <x:v>0</x:v>
      </x:c>
      <x:c r="AG390" t="n">
        <x:f>--AND(S390=1,T390=1,U390=1,V390=1,W390=1,AE390=1)</x:f>
        <x:v>0</x:v>
      </x:c>
      <x:c r="AJ390" t="str">
        <x:f>IF(OR(AH390="",AI390=""),"",--(AH390&lt;&gt;AI390))</x:f>
      </x:c>
      <x:c r="AL390" t="str">
        <x:f>IF(OR(AH390="",AI390=""),"PENDING_HUMAN",IF(AH390=AI390,AH390,IF(AK390&lt;&gt;"",AK390,"PENDING_HUMAN")))</x:f>
        <x:v>PENDING_HUMAN</x:v>
      </x:c>
      <x:c r="AM390" t="n">
        <x:f>--AND(A390&lt;&gt;"",AH390&lt;&gt;"",AI390&lt;&gt;"",OR(AH390=AI390,AK390&lt;&gt;""))</x:f>
        <x:v>0</x:v>
      </x:c>
      <x:c r="AN390" t="n">
        <x:f>--AND(Y390&lt;&gt;"",COUNTIF($Y$4:Y390,Y390)=1)</x:f>
        <x:v>0</x:v>
      </x:c>
      <x:c r="AO390" t="n">
        <x:f>--AND(AN390=1,Z390=1,AM390=1)</x:f>
        <x:v>0</x:v>
      </x:c>
      <x:c r="AP390" t="n">
        <x:f>--AND(AO390=1,AA390=1,AL390=1)</x:f>
        <x:v>0</x:v>
      </x:c>
      <x:c r="AQ390" t="n">
        <x:f>--AND(AN390=1,Z390=1)</x:f>
        <x:v>0</x:v>
      </x:c>
      <x:c r="AR390" t="n">
        <x:f>--AND(AQ390=1,AA390=1)</x:f>
        <x:v>0</x:v>
      </x:c>
    </x:row>
    <x:row r="391">
      <x:c r="A391" s="28"/>
      <x:c r="B391" s="28"/>
      <x:c r="C391" s="28"/>
      <x:c r="D391" s="28"/>
      <x:c r="E391" s="28"/>
      <x:c r="F391" s="28"/>
      <x:c r="G391" s="28"/>
      <x:c r="H391" s="28"/>
      <x:c r="I391" s="28"/>
      <x:c r="J391" s="28"/>
      <x:c r="K391" s="28"/>
      <x:c r="L391" s="28"/>
      <x:c r="M391" s="28"/>
      <x:c r="N391" s="28"/>
      <x:c r="O391" s="28"/>
      <x:c r="P391" s="28"/>
      <x:c r="Q391" s="28"/>
      <x:c r="R391" s="28"/>
      <x:c r="S391" s="28"/>
      <x:c r="T391" s="28"/>
      <x:c r="U391" s="28"/>
      <x:c r="V391" s="28"/>
      <x:c r="W391" s="28"/>
      <x:c r="X391" s="43" t="n">
        <x:f>--AND(S391=1,T391=1,U391=1,V391=1,W391=1)</x:f>
        <x:v>0</x:v>
      </x:c>
      <x:c r="AE391" s="43" t="n">
        <x:f>--AND(S391=1,M391&lt;&gt;"",M391&lt;&gt;"keep")</x:f>
        <x:v>0</x:v>
      </x:c>
      <x:c r="AG391" t="n">
        <x:f>--AND(S391=1,T391=1,U391=1,V391=1,W391=1,AE391=1)</x:f>
        <x:v>0</x:v>
      </x:c>
      <x:c r="AJ391" t="str">
        <x:f>IF(OR(AH391="",AI391=""),"",--(AH391&lt;&gt;AI391))</x:f>
      </x:c>
      <x:c r="AL391" t="str">
        <x:f>IF(OR(AH391="",AI391=""),"PENDING_HUMAN",IF(AH391=AI391,AH391,IF(AK391&lt;&gt;"",AK391,"PENDING_HUMAN")))</x:f>
        <x:v>PENDING_HUMAN</x:v>
      </x:c>
      <x:c r="AM391" t="n">
        <x:f>--AND(A391&lt;&gt;"",AH391&lt;&gt;"",AI391&lt;&gt;"",OR(AH391=AI391,AK391&lt;&gt;""))</x:f>
        <x:v>0</x:v>
      </x:c>
      <x:c r="AN391" t="n">
        <x:f>--AND(Y391&lt;&gt;"",COUNTIF($Y$4:Y391,Y391)=1)</x:f>
        <x:v>0</x:v>
      </x:c>
      <x:c r="AO391" t="n">
        <x:f>--AND(AN391=1,Z391=1,AM391=1)</x:f>
        <x:v>0</x:v>
      </x:c>
      <x:c r="AP391" t="n">
        <x:f>--AND(AO391=1,AA391=1,AL391=1)</x:f>
        <x:v>0</x:v>
      </x:c>
      <x:c r="AQ391" t="n">
        <x:f>--AND(AN391=1,Z391=1)</x:f>
        <x:v>0</x:v>
      </x:c>
      <x:c r="AR391" t="n">
        <x:f>--AND(AQ391=1,AA391=1)</x:f>
        <x:v>0</x:v>
      </x:c>
    </x:row>
    <x:row r="392">
      <x:c r="A392" s="28"/>
      <x:c r="B392" s="28"/>
      <x:c r="C392" s="28"/>
      <x:c r="D392" s="28"/>
      <x:c r="E392" s="28"/>
      <x:c r="F392" s="28"/>
      <x:c r="G392" s="28"/>
      <x:c r="H392" s="28"/>
      <x:c r="I392" s="28"/>
      <x:c r="J392" s="28"/>
      <x:c r="K392" s="28"/>
      <x:c r="L392" s="28"/>
      <x:c r="M392" s="28"/>
      <x:c r="N392" s="28"/>
      <x:c r="O392" s="28"/>
      <x:c r="P392" s="28"/>
      <x:c r="Q392" s="28"/>
      <x:c r="R392" s="28"/>
      <x:c r="S392" s="28"/>
      <x:c r="T392" s="28"/>
      <x:c r="U392" s="28"/>
      <x:c r="V392" s="28"/>
      <x:c r="W392" s="28"/>
      <x:c r="X392" s="43" t="n">
        <x:f>--AND(S392=1,T392=1,U392=1,V392=1,W392=1)</x:f>
        <x:v>0</x:v>
      </x:c>
      <x:c r="AE392" s="43" t="n">
        <x:f>--AND(S392=1,M392&lt;&gt;"",M392&lt;&gt;"keep")</x:f>
        <x:v>0</x:v>
      </x:c>
      <x:c r="AG392" t="n">
        <x:f>--AND(S392=1,T392=1,U392=1,V392=1,W392=1,AE392=1)</x:f>
        <x:v>0</x:v>
      </x:c>
      <x:c r="AJ392" t="str">
        <x:f>IF(OR(AH392="",AI392=""),"",--(AH392&lt;&gt;AI392))</x:f>
      </x:c>
      <x:c r="AL392" t="str">
        <x:f>IF(OR(AH392="",AI392=""),"PENDING_HUMAN",IF(AH392=AI392,AH392,IF(AK392&lt;&gt;"",AK392,"PENDING_HUMAN")))</x:f>
        <x:v>PENDING_HUMAN</x:v>
      </x:c>
      <x:c r="AM392" t="n">
        <x:f>--AND(A392&lt;&gt;"",AH392&lt;&gt;"",AI392&lt;&gt;"",OR(AH392=AI392,AK392&lt;&gt;""))</x:f>
        <x:v>0</x:v>
      </x:c>
      <x:c r="AN392" t="n">
        <x:f>--AND(Y392&lt;&gt;"",COUNTIF($Y$4:Y392,Y392)=1)</x:f>
        <x:v>0</x:v>
      </x:c>
      <x:c r="AO392" t="n">
        <x:f>--AND(AN392=1,Z392=1,AM392=1)</x:f>
        <x:v>0</x:v>
      </x:c>
      <x:c r="AP392" t="n">
        <x:f>--AND(AO392=1,AA392=1,AL392=1)</x:f>
        <x:v>0</x:v>
      </x:c>
      <x:c r="AQ392" t="n">
        <x:f>--AND(AN392=1,Z392=1)</x:f>
        <x:v>0</x:v>
      </x:c>
      <x:c r="AR392" t="n">
        <x:f>--AND(AQ392=1,AA392=1)</x:f>
        <x:v>0</x:v>
      </x:c>
    </x:row>
    <x:row r="393">
      <x:c r="A393" s="28"/>
      <x:c r="B393" s="28"/>
      <x:c r="C393" s="28"/>
      <x:c r="D393" s="28"/>
      <x:c r="E393" s="28"/>
      <x:c r="F393" s="28"/>
      <x:c r="G393" s="28"/>
      <x:c r="H393" s="28"/>
      <x:c r="I393" s="28"/>
      <x:c r="J393" s="28"/>
      <x:c r="K393" s="28"/>
      <x:c r="L393" s="28"/>
      <x:c r="M393" s="28"/>
      <x:c r="N393" s="28"/>
      <x:c r="O393" s="28"/>
      <x:c r="P393" s="28"/>
      <x:c r="Q393" s="28"/>
      <x:c r="R393" s="28"/>
      <x:c r="S393" s="28"/>
      <x:c r="T393" s="28"/>
      <x:c r="U393" s="28"/>
      <x:c r="V393" s="28"/>
      <x:c r="W393" s="28"/>
      <x:c r="X393" s="43" t="n">
        <x:f>--AND(S393=1,T393=1,U393=1,V393=1,W393=1)</x:f>
        <x:v>0</x:v>
      </x:c>
      <x:c r="AE393" s="43" t="n">
        <x:f>--AND(S393=1,M393&lt;&gt;"",M393&lt;&gt;"keep")</x:f>
        <x:v>0</x:v>
      </x:c>
      <x:c r="AG393" t="n">
        <x:f>--AND(S393=1,T393=1,U393=1,V393=1,W393=1,AE393=1)</x:f>
        <x:v>0</x:v>
      </x:c>
      <x:c r="AJ393" t="str">
        <x:f>IF(OR(AH393="",AI393=""),"",--(AH393&lt;&gt;AI393))</x:f>
      </x:c>
      <x:c r="AL393" t="str">
        <x:f>IF(OR(AH393="",AI393=""),"PENDING_HUMAN",IF(AH393=AI393,AH393,IF(AK393&lt;&gt;"",AK393,"PENDING_HUMAN")))</x:f>
        <x:v>PENDING_HUMAN</x:v>
      </x:c>
      <x:c r="AM393" t="n">
        <x:f>--AND(A393&lt;&gt;"",AH393&lt;&gt;"",AI393&lt;&gt;"",OR(AH393=AI393,AK393&lt;&gt;""))</x:f>
        <x:v>0</x:v>
      </x:c>
      <x:c r="AN393" t="n">
        <x:f>--AND(Y393&lt;&gt;"",COUNTIF($Y$4:Y393,Y393)=1)</x:f>
        <x:v>0</x:v>
      </x:c>
      <x:c r="AO393" t="n">
        <x:f>--AND(AN393=1,Z393=1,AM393=1)</x:f>
        <x:v>0</x:v>
      </x:c>
      <x:c r="AP393" t="n">
        <x:f>--AND(AO393=1,AA393=1,AL393=1)</x:f>
        <x:v>0</x:v>
      </x:c>
      <x:c r="AQ393" t="n">
        <x:f>--AND(AN393=1,Z393=1)</x:f>
        <x:v>0</x:v>
      </x:c>
      <x:c r="AR393" t="n">
        <x:f>--AND(AQ393=1,AA393=1)</x:f>
        <x:v>0</x:v>
      </x:c>
    </x:row>
    <x:row r="394">
      <x:c r="A394" s="28"/>
      <x:c r="B394" s="28"/>
      <x:c r="C394" s="28"/>
      <x:c r="D394" s="28"/>
      <x:c r="E394" s="28"/>
      <x:c r="F394" s="28"/>
      <x:c r="G394" s="28"/>
      <x:c r="H394" s="28"/>
      <x:c r="I394" s="28"/>
      <x:c r="J394" s="28"/>
      <x:c r="K394" s="28"/>
      <x:c r="L394" s="28"/>
      <x:c r="M394" s="28"/>
      <x:c r="N394" s="28"/>
      <x:c r="O394" s="28"/>
      <x:c r="P394" s="28"/>
      <x:c r="Q394" s="28"/>
      <x:c r="R394" s="28"/>
      <x:c r="S394" s="28"/>
      <x:c r="T394" s="28"/>
      <x:c r="U394" s="28"/>
      <x:c r="V394" s="28"/>
      <x:c r="W394" s="28"/>
      <x:c r="X394" s="43" t="n">
        <x:f>--AND(S394=1,T394=1,U394=1,V394=1,W394=1)</x:f>
        <x:v>0</x:v>
      </x:c>
      <x:c r="AE394" s="43" t="n">
        <x:f>--AND(S394=1,M394&lt;&gt;"",M394&lt;&gt;"keep")</x:f>
        <x:v>0</x:v>
      </x:c>
      <x:c r="AG394" t="n">
        <x:f>--AND(S394=1,T394=1,U394=1,V394=1,W394=1,AE394=1)</x:f>
        <x:v>0</x:v>
      </x:c>
      <x:c r="AJ394" t="str">
        <x:f>IF(OR(AH394="",AI394=""),"",--(AH394&lt;&gt;AI394))</x:f>
      </x:c>
      <x:c r="AL394" t="str">
        <x:f>IF(OR(AH394="",AI394=""),"PENDING_HUMAN",IF(AH394=AI394,AH394,IF(AK394&lt;&gt;"",AK394,"PENDING_HUMAN")))</x:f>
        <x:v>PENDING_HUMAN</x:v>
      </x:c>
      <x:c r="AM394" t="n">
        <x:f>--AND(A394&lt;&gt;"",AH394&lt;&gt;"",AI394&lt;&gt;"",OR(AH394=AI394,AK394&lt;&gt;""))</x:f>
        <x:v>0</x:v>
      </x:c>
      <x:c r="AN394" t="n">
        <x:f>--AND(Y394&lt;&gt;"",COUNTIF($Y$4:Y394,Y394)=1)</x:f>
        <x:v>0</x:v>
      </x:c>
      <x:c r="AO394" t="n">
        <x:f>--AND(AN394=1,Z394=1,AM394=1)</x:f>
        <x:v>0</x:v>
      </x:c>
      <x:c r="AP394" t="n">
        <x:f>--AND(AO394=1,AA394=1,AL394=1)</x:f>
        <x:v>0</x:v>
      </x:c>
      <x:c r="AQ394" t="n">
        <x:f>--AND(AN394=1,Z394=1)</x:f>
        <x:v>0</x:v>
      </x:c>
      <x:c r="AR394" t="n">
        <x:f>--AND(AQ394=1,AA394=1)</x:f>
        <x:v>0</x:v>
      </x:c>
    </x:row>
    <x:row r="395">
      <x:c r="A395" s="28"/>
      <x:c r="B395" s="28"/>
      <x:c r="C395" s="28"/>
      <x:c r="D395" s="28"/>
      <x:c r="E395" s="28"/>
      <x:c r="F395" s="28"/>
      <x:c r="G395" s="28"/>
      <x:c r="H395" s="28"/>
      <x:c r="I395" s="28"/>
      <x:c r="J395" s="28"/>
      <x:c r="K395" s="28"/>
      <x:c r="L395" s="28"/>
      <x:c r="M395" s="28"/>
      <x:c r="N395" s="28"/>
      <x:c r="O395" s="28"/>
      <x:c r="P395" s="28"/>
      <x:c r="Q395" s="28"/>
      <x:c r="R395" s="28"/>
      <x:c r="S395" s="28"/>
      <x:c r="T395" s="28"/>
      <x:c r="U395" s="28"/>
      <x:c r="V395" s="28"/>
      <x:c r="W395" s="28"/>
      <x:c r="X395" s="43" t="n">
        <x:f>--AND(S395=1,T395=1,U395=1,V395=1,W395=1)</x:f>
        <x:v>0</x:v>
      </x:c>
      <x:c r="AE395" s="43" t="n">
        <x:f>--AND(S395=1,M395&lt;&gt;"",M395&lt;&gt;"keep")</x:f>
        <x:v>0</x:v>
      </x:c>
      <x:c r="AG395" t="n">
        <x:f>--AND(S395=1,T395=1,U395=1,V395=1,W395=1,AE395=1)</x:f>
        <x:v>0</x:v>
      </x:c>
      <x:c r="AJ395" t="str">
        <x:f>IF(OR(AH395="",AI395=""),"",--(AH395&lt;&gt;AI395))</x:f>
      </x:c>
      <x:c r="AL395" t="str">
        <x:f>IF(OR(AH395="",AI395=""),"PENDING_HUMAN",IF(AH395=AI395,AH395,IF(AK395&lt;&gt;"",AK395,"PENDING_HUMAN")))</x:f>
        <x:v>PENDING_HUMAN</x:v>
      </x:c>
      <x:c r="AM395" t="n">
        <x:f>--AND(A395&lt;&gt;"",AH395&lt;&gt;"",AI395&lt;&gt;"",OR(AH395=AI395,AK395&lt;&gt;""))</x:f>
        <x:v>0</x:v>
      </x:c>
      <x:c r="AN395" t="n">
        <x:f>--AND(Y395&lt;&gt;"",COUNTIF($Y$4:Y395,Y395)=1)</x:f>
        <x:v>0</x:v>
      </x:c>
      <x:c r="AO395" t="n">
        <x:f>--AND(AN395=1,Z395=1,AM395=1)</x:f>
        <x:v>0</x:v>
      </x:c>
      <x:c r="AP395" t="n">
        <x:f>--AND(AO395=1,AA395=1,AL395=1)</x:f>
        <x:v>0</x:v>
      </x:c>
      <x:c r="AQ395" t="n">
        <x:f>--AND(AN395=1,Z395=1)</x:f>
        <x:v>0</x:v>
      </x:c>
      <x:c r="AR395" t="n">
        <x:f>--AND(AQ395=1,AA395=1)</x:f>
        <x:v>0</x:v>
      </x:c>
    </x:row>
    <x:row r="396">
      <x:c r="A396" s="28"/>
      <x:c r="B396" s="28"/>
      <x:c r="C396" s="28"/>
      <x:c r="D396" s="28"/>
      <x:c r="E396" s="28"/>
      <x:c r="F396" s="28"/>
      <x:c r="G396" s="28"/>
      <x:c r="H396" s="28"/>
      <x:c r="I396" s="28"/>
      <x:c r="J396" s="28"/>
      <x:c r="K396" s="28"/>
      <x:c r="L396" s="28"/>
      <x:c r="M396" s="28"/>
      <x:c r="N396" s="28"/>
      <x:c r="O396" s="28"/>
      <x:c r="P396" s="28"/>
      <x:c r="Q396" s="28"/>
      <x:c r="R396" s="28"/>
      <x:c r="S396" s="28"/>
      <x:c r="T396" s="28"/>
      <x:c r="U396" s="28"/>
      <x:c r="V396" s="28"/>
      <x:c r="W396" s="28"/>
      <x:c r="X396" s="43" t="n">
        <x:f>--AND(S396=1,T396=1,U396=1,V396=1,W396=1)</x:f>
        <x:v>0</x:v>
      </x:c>
      <x:c r="AE396" s="43" t="n">
        <x:f>--AND(S396=1,M396&lt;&gt;"",M396&lt;&gt;"keep")</x:f>
        <x:v>0</x:v>
      </x:c>
      <x:c r="AG396" t="n">
        <x:f>--AND(S396=1,T396=1,U396=1,V396=1,W396=1,AE396=1)</x:f>
        <x:v>0</x:v>
      </x:c>
      <x:c r="AJ396" t="str">
        <x:f>IF(OR(AH396="",AI396=""),"",--(AH396&lt;&gt;AI396))</x:f>
      </x:c>
      <x:c r="AL396" t="str">
        <x:f>IF(OR(AH396="",AI396=""),"PENDING_HUMAN",IF(AH396=AI396,AH396,IF(AK396&lt;&gt;"",AK396,"PENDING_HUMAN")))</x:f>
        <x:v>PENDING_HUMAN</x:v>
      </x:c>
      <x:c r="AM396" t="n">
        <x:f>--AND(A396&lt;&gt;"",AH396&lt;&gt;"",AI396&lt;&gt;"",OR(AH396=AI396,AK396&lt;&gt;""))</x:f>
        <x:v>0</x:v>
      </x:c>
      <x:c r="AN396" t="n">
        <x:f>--AND(Y396&lt;&gt;"",COUNTIF($Y$4:Y396,Y396)=1)</x:f>
        <x:v>0</x:v>
      </x:c>
      <x:c r="AO396" t="n">
        <x:f>--AND(AN396=1,Z396=1,AM396=1)</x:f>
        <x:v>0</x:v>
      </x:c>
      <x:c r="AP396" t="n">
        <x:f>--AND(AO396=1,AA396=1,AL396=1)</x:f>
        <x:v>0</x:v>
      </x:c>
      <x:c r="AQ396" t="n">
        <x:f>--AND(AN396=1,Z396=1)</x:f>
        <x:v>0</x:v>
      </x:c>
      <x:c r="AR396" t="n">
        <x:f>--AND(AQ396=1,AA396=1)</x:f>
        <x:v>0</x:v>
      </x:c>
    </x:row>
    <x:row r="397">
      <x:c r="A397" s="28"/>
      <x:c r="B397" s="28"/>
      <x:c r="C397" s="28"/>
      <x:c r="D397" s="28"/>
      <x:c r="E397" s="28"/>
      <x:c r="F397" s="28"/>
      <x:c r="G397" s="28"/>
      <x:c r="H397" s="28"/>
      <x:c r="I397" s="28"/>
      <x:c r="J397" s="28"/>
      <x:c r="K397" s="28"/>
      <x:c r="L397" s="28"/>
      <x:c r="M397" s="28"/>
      <x:c r="N397" s="28"/>
      <x:c r="O397" s="28"/>
      <x:c r="P397" s="28"/>
      <x:c r="Q397" s="28"/>
      <x:c r="R397" s="28"/>
      <x:c r="S397" s="28"/>
      <x:c r="T397" s="28"/>
      <x:c r="U397" s="28"/>
      <x:c r="V397" s="28"/>
      <x:c r="W397" s="28"/>
      <x:c r="X397" s="43" t="n">
        <x:f>--AND(S397=1,T397=1,U397=1,V397=1,W397=1)</x:f>
        <x:v>0</x:v>
      </x:c>
      <x:c r="AE397" s="43" t="n">
        <x:f>--AND(S397=1,M397&lt;&gt;"",M397&lt;&gt;"keep")</x:f>
        <x:v>0</x:v>
      </x:c>
      <x:c r="AG397" t="n">
        <x:f>--AND(S397=1,T397=1,U397=1,V397=1,W397=1,AE397=1)</x:f>
        <x:v>0</x:v>
      </x:c>
      <x:c r="AJ397" t="str">
        <x:f>IF(OR(AH397="",AI397=""),"",--(AH397&lt;&gt;AI397))</x:f>
      </x:c>
      <x:c r="AL397" t="str">
        <x:f>IF(OR(AH397="",AI397=""),"PENDING_HUMAN",IF(AH397=AI397,AH397,IF(AK397&lt;&gt;"",AK397,"PENDING_HUMAN")))</x:f>
        <x:v>PENDING_HUMAN</x:v>
      </x:c>
      <x:c r="AM397" t="n">
        <x:f>--AND(A397&lt;&gt;"",AH397&lt;&gt;"",AI397&lt;&gt;"",OR(AH397=AI397,AK397&lt;&gt;""))</x:f>
        <x:v>0</x:v>
      </x:c>
      <x:c r="AN397" t="n">
        <x:f>--AND(Y397&lt;&gt;"",COUNTIF($Y$4:Y397,Y397)=1)</x:f>
        <x:v>0</x:v>
      </x:c>
      <x:c r="AO397" t="n">
        <x:f>--AND(AN397=1,Z397=1,AM397=1)</x:f>
        <x:v>0</x:v>
      </x:c>
      <x:c r="AP397" t="n">
        <x:f>--AND(AO397=1,AA397=1,AL397=1)</x:f>
        <x:v>0</x:v>
      </x:c>
      <x:c r="AQ397" t="n">
        <x:f>--AND(AN397=1,Z397=1)</x:f>
        <x:v>0</x:v>
      </x:c>
      <x:c r="AR397" t="n">
        <x:f>--AND(AQ397=1,AA397=1)</x:f>
        <x:v>0</x:v>
      </x:c>
    </x:row>
    <x:row r="398">
      <x:c r="A398" s="28"/>
      <x:c r="B398" s="28"/>
      <x:c r="C398" s="28"/>
      <x:c r="D398" s="28"/>
      <x:c r="E398" s="28"/>
      <x:c r="F398" s="28"/>
      <x:c r="G398" s="28"/>
      <x:c r="H398" s="28"/>
      <x:c r="I398" s="28"/>
      <x:c r="J398" s="28"/>
      <x:c r="K398" s="28"/>
      <x:c r="L398" s="28"/>
      <x:c r="M398" s="28"/>
      <x:c r="N398" s="28"/>
      <x:c r="O398" s="28"/>
      <x:c r="P398" s="28"/>
      <x:c r="Q398" s="28"/>
      <x:c r="R398" s="28"/>
      <x:c r="S398" s="28"/>
      <x:c r="T398" s="28"/>
      <x:c r="U398" s="28"/>
      <x:c r="V398" s="28"/>
      <x:c r="W398" s="28"/>
      <x:c r="X398" s="43" t="n">
        <x:f>--AND(S398=1,T398=1,U398=1,V398=1,W398=1)</x:f>
        <x:v>0</x:v>
      </x:c>
      <x:c r="AE398" s="43" t="n">
        <x:f>--AND(S398=1,M398&lt;&gt;"",M398&lt;&gt;"keep")</x:f>
        <x:v>0</x:v>
      </x:c>
      <x:c r="AG398" t="n">
        <x:f>--AND(S398=1,T398=1,U398=1,V398=1,W398=1,AE398=1)</x:f>
        <x:v>0</x:v>
      </x:c>
      <x:c r="AJ398" t="str">
        <x:f>IF(OR(AH398="",AI398=""),"",--(AH398&lt;&gt;AI398))</x:f>
      </x:c>
      <x:c r="AL398" t="str">
        <x:f>IF(OR(AH398="",AI398=""),"PENDING_HUMAN",IF(AH398=AI398,AH398,IF(AK398&lt;&gt;"",AK398,"PENDING_HUMAN")))</x:f>
        <x:v>PENDING_HUMAN</x:v>
      </x:c>
      <x:c r="AM398" t="n">
        <x:f>--AND(A398&lt;&gt;"",AH398&lt;&gt;"",AI398&lt;&gt;"",OR(AH398=AI398,AK398&lt;&gt;""))</x:f>
        <x:v>0</x:v>
      </x:c>
      <x:c r="AN398" t="n">
        <x:f>--AND(Y398&lt;&gt;"",COUNTIF($Y$4:Y398,Y398)=1)</x:f>
        <x:v>0</x:v>
      </x:c>
      <x:c r="AO398" t="n">
        <x:f>--AND(AN398=1,Z398=1,AM398=1)</x:f>
        <x:v>0</x:v>
      </x:c>
      <x:c r="AP398" t="n">
        <x:f>--AND(AO398=1,AA398=1,AL398=1)</x:f>
        <x:v>0</x:v>
      </x:c>
      <x:c r="AQ398" t="n">
        <x:f>--AND(AN398=1,Z398=1)</x:f>
        <x:v>0</x:v>
      </x:c>
      <x:c r="AR398" t="n">
        <x:f>--AND(AQ398=1,AA398=1)</x:f>
        <x:v>0</x:v>
      </x:c>
    </x:row>
    <x:row r="399">
      <x:c r="A399" s="28"/>
      <x:c r="B399" s="28"/>
      <x:c r="C399" s="28"/>
      <x:c r="D399" s="28"/>
      <x:c r="E399" s="28"/>
      <x:c r="F399" s="28"/>
      <x:c r="G399" s="28"/>
      <x:c r="H399" s="28"/>
      <x:c r="I399" s="28"/>
      <x:c r="J399" s="28"/>
      <x:c r="K399" s="28"/>
      <x:c r="L399" s="28"/>
      <x:c r="M399" s="28"/>
      <x:c r="N399" s="28"/>
      <x:c r="O399" s="28"/>
      <x:c r="P399" s="28"/>
      <x:c r="Q399" s="28"/>
      <x:c r="R399" s="28"/>
      <x:c r="S399" s="28"/>
      <x:c r="T399" s="28"/>
      <x:c r="U399" s="28"/>
      <x:c r="V399" s="28"/>
      <x:c r="W399" s="28"/>
      <x:c r="X399" s="43" t="n">
        <x:f>--AND(S399=1,T399=1,U399=1,V399=1,W399=1)</x:f>
        <x:v>0</x:v>
      </x:c>
      <x:c r="AE399" s="43" t="n">
        <x:f>--AND(S399=1,M399&lt;&gt;"",M399&lt;&gt;"keep")</x:f>
        <x:v>0</x:v>
      </x:c>
      <x:c r="AG399" t="n">
        <x:f>--AND(S399=1,T399=1,U399=1,V399=1,W399=1,AE399=1)</x:f>
        <x:v>0</x:v>
      </x:c>
      <x:c r="AJ399" t="str">
        <x:f>IF(OR(AH399="",AI399=""),"",--(AH399&lt;&gt;AI399))</x:f>
      </x:c>
      <x:c r="AL399" t="str">
        <x:f>IF(OR(AH399="",AI399=""),"PENDING_HUMAN",IF(AH399=AI399,AH399,IF(AK399&lt;&gt;"",AK399,"PENDING_HUMAN")))</x:f>
        <x:v>PENDING_HUMAN</x:v>
      </x:c>
      <x:c r="AM399" t="n">
        <x:f>--AND(A399&lt;&gt;"",AH399&lt;&gt;"",AI399&lt;&gt;"",OR(AH399=AI399,AK399&lt;&gt;""))</x:f>
        <x:v>0</x:v>
      </x:c>
      <x:c r="AN399" t="n">
        <x:f>--AND(Y399&lt;&gt;"",COUNTIF($Y$4:Y399,Y399)=1)</x:f>
        <x:v>0</x:v>
      </x:c>
      <x:c r="AO399" t="n">
        <x:f>--AND(AN399=1,Z399=1,AM399=1)</x:f>
        <x:v>0</x:v>
      </x:c>
      <x:c r="AP399" t="n">
        <x:f>--AND(AO399=1,AA399=1,AL399=1)</x:f>
        <x:v>0</x:v>
      </x:c>
      <x:c r="AQ399" t="n">
        <x:f>--AND(AN399=1,Z399=1)</x:f>
        <x:v>0</x:v>
      </x:c>
      <x:c r="AR399" t="n">
        <x:f>--AND(AQ399=1,AA399=1)</x:f>
        <x:v>0</x:v>
      </x:c>
    </x:row>
    <x:row r="400">
      <x:c r="A400" s="28"/>
      <x:c r="B400" s="28"/>
      <x:c r="C400" s="28"/>
      <x:c r="D400" s="28"/>
      <x:c r="E400" s="28"/>
      <x:c r="F400" s="28"/>
      <x:c r="G400" s="28"/>
      <x:c r="H400" s="28"/>
      <x:c r="I400" s="28"/>
      <x:c r="J400" s="28"/>
      <x:c r="K400" s="28"/>
      <x:c r="L400" s="28"/>
      <x:c r="M400" s="28"/>
      <x:c r="N400" s="28"/>
      <x:c r="O400" s="28"/>
      <x:c r="P400" s="28"/>
      <x:c r="Q400" s="28"/>
      <x:c r="R400" s="28"/>
      <x:c r="S400" s="28"/>
      <x:c r="T400" s="28"/>
      <x:c r="U400" s="28"/>
      <x:c r="V400" s="28"/>
      <x:c r="W400" s="28"/>
      <x:c r="X400" s="43" t="n">
        <x:f>--AND(S400=1,T400=1,U400=1,V400=1,W400=1)</x:f>
        <x:v>0</x:v>
      </x:c>
      <x:c r="AE400" s="43" t="n">
        <x:f>--AND(S400=1,M400&lt;&gt;"",M400&lt;&gt;"keep")</x:f>
        <x:v>0</x:v>
      </x:c>
      <x:c r="AG400" t="n">
        <x:f>--AND(S400=1,T400=1,U400=1,V400=1,W400=1,AE400=1)</x:f>
        <x:v>0</x:v>
      </x:c>
      <x:c r="AJ400" t="str">
        <x:f>IF(OR(AH400="",AI400=""),"",--(AH400&lt;&gt;AI400))</x:f>
      </x:c>
      <x:c r="AL400" t="str">
        <x:f>IF(OR(AH400="",AI400=""),"PENDING_HUMAN",IF(AH400=AI400,AH400,IF(AK400&lt;&gt;"",AK400,"PENDING_HUMAN")))</x:f>
        <x:v>PENDING_HUMAN</x:v>
      </x:c>
      <x:c r="AM400" t="n">
        <x:f>--AND(A400&lt;&gt;"",AH400&lt;&gt;"",AI400&lt;&gt;"",OR(AH400=AI400,AK400&lt;&gt;""))</x:f>
        <x:v>0</x:v>
      </x:c>
      <x:c r="AN400" t="n">
        <x:f>--AND(Y400&lt;&gt;"",COUNTIF($Y$4:Y400,Y400)=1)</x:f>
        <x:v>0</x:v>
      </x:c>
      <x:c r="AO400" t="n">
        <x:f>--AND(AN400=1,Z400=1,AM400=1)</x:f>
        <x:v>0</x:v>
      </x:c>
      <x:c r="AP400" t="n">
        <x:f>--AND(AO400=1,AA400=1,AL400=1)</x:f>
        <x:v>0</x:v>
      </x:c>
      <x:c r="AQ400" t="n">
        <x:f>--AND(AN400=1,Z400=1)</x:f>
        <x:v>0</x:v>
      </x:c>
      <x:c r="AR400" t="n">
        <x:f>--AND(AQ400=1,AA400=1)</x:f>
        <x:v>0</x:v>
      </x:c>
    </x:row>
    <x:row r="401">
      <x:c r="A401" s="28"/>
      <x:c r="B401" s="28"/>
      <x:c r="C401" s="28"/>
      <x:c r="D401" s="28"/>
      <x:c r="E401" s="28"/>
      <x:c r="F401" s="28"/>
      <x:c r="G401" s="28"/>
      <x:c r="H401" s="28"/>
      <x:c r="I401" s="28"/>
      <x:c r="J401" s="28"/>
      <x:c r="K401" s="28"/>
      <x:c r="L401" s="28"/>
      <x:c r="M401" s="28"/>
      <x:c r="N401" s="28"/>
      <x:c r="O401" s="28"/>
      <x:c r="P401" s="28"/>
      <x:c r="Q401" s="28"/>
      <x:c r="R401" s="28"/>
      <x:c r="S401" s="28"/>
      <x:c r="T401" s="28"/>
      <x:c r="U401" s="28"/>
      <x:c r="V401" s="28"/>
      <x:c r="W401" s="28"/>
      <x:c r="X401" s="43" t="n">
        <x:f>--AND(S401=1,T401=1,U401=1,V401=1,W401=1)</x:f>
        <x:v>0</x:v>
      </x:c>
      <x:c r="AE401" s="43" t="n">
        <x:f>--AND(S401=1,M401&lt;&gt;"",M401&lt;&gt;"keep")</x:f>
        <x:v>0</x:v>
      </x:c>
      <x:c r="AG401" t="n">
        <x:f>--AND(S401=1,T401=1,U401=1,V401=1,W401=1,AE401=1)</x:f>
        <x:v>0</x:v>
      </x:c>
      <x:c r="AJ401" t="str">
        <x:f>IF(OR(AH401="",AI401=""),"",--(AH401&lt;&gt;AI401))</x:f>
      </x:c>
      <x:c r="AL401" t="str">
        <x:f>IF(OR(AH401="",AI401=""),"PENDING_HUMAN",IF(AH401=AI401,AH401,IF(AK401&lt;&gt;"",AK401,"PENDING_HUMAN")))</x:f>
        <x:v>PENDING_HUMAN</x:v>
      </x:c>
      <x:c r="AM401" t="n">
        <x:f>--AND(A401&lt;&gt;"",AH401&lt;&gt;"",AI401&lt;&gt;"",OR(AH401=AI401,AK401&lt;&gt;""))</x:f>
        <x:v>0</x:v>
      </x:c>
      <x:c r="AN401" t="n">
        <x:f>--AND(Y401&lt;&gt;"",COUNTIF($Y$4:Y401,Y401)=1)</x:f>
        <x:v>0</x:v>
      </x:c>
      <x:c r="AO401" t="n">
        <x:f>--AND(AN401=1,Z401=1,AM401=1)</x:f>
        <x:v>0</x:v>
      </x:c>
      <x:c r="AP401" t="n">
        <x:f>--AND(AO401=1,AA401=1,AL401=1)</x:f>
        <x:v>0</x:v>
      </x:c>
      <x:c r="AQ401" t="n">
        <x:f>--AND(AN401=1,Z401=1)</x:f>
        <x:v>0</x:v>
      </x:c>
      <x:c r="AR401" t="n">
        <x:f>--AND(AQ401=1,AA401=1)</x:f>
        <x:v>0</x:v>
      </x:c>
    </x:row>
    <x:row r="402">
      <x:c r="A402" s="28"/>
      <x:c r="B402" s="28"/>
      <x:c r="C402" s="28"/>
      <x:c r="D402" s="28"/>
      <x:c r="E402" s="28"/>
      <x:c r="F402" s="28"/>
      <x:c r="G402" s="28"/>
      <x:c r="H402" s="28"/>
      <x:c r="I402" s="28"/>
      <x:c r="J402" s="28"/>
      <x:c r="K402" s="28"/>
      <x:c r="L402" s="28"/>
      <x:c r="M402" s="28"/>
      <x:c r="N402" s="28"/>
      <x:c r="O402" s="28"/>
      <x:c r="P402" s="28"/>
      <x:c r="Q402" s="28"/>
      <x:c r="R402" s="28"/>
      <x:c r="S402" s="28"/>
      <x:c r="T402" s="28"/>
      <x:c r="U402" s="28"/>
      <x:c r="V402" s="28"/>
      <x:c r="W402" s="28"/>
      <x:c r="X402" s="43" t="n">
        <x:f>--AND(S402=1,T402=1,U402=1,V402=1,W402=1)</x:f>
        <x:v>0</x:v>
      </x:c>
      <x:c r="AE402" s="43" t="n">
        <x:f>--AND(S402=1,M402&lt;&gt;"",M402&lt;&gt;"keep")</x:f>
        <x:v>0</x:v>
      </x:c>
      <x:c r="AG402" t="n">
        <x:f>--AND(S402=1,T402=1,U402=1,V402=1,W402=1,AE402=1)</x:f>
        <x:v>0</x:v>
      </x:c>
      <x:c r="AJ402" t="str">
        <x:f>IF(OR(AH402="",AI402=""),"",--(AH402&lt;&gt;AI402))</x:f>
      </x:c>
      <x:c r="AL402" t="str">
        <x:f>IF(OR(AH402="",AI402=""),"PENDING_HUMAN",IF(AH402=AI402,AH402,IF(AK402&lt;&gt;"",AK402,"PENDING_HUMAN")))</x:f>
        <x:v>PENDING_HUMAN</x:v>
      </x:c>
      <x:c r="AM402" t="n">
        <x:f>--AND(A402&lt;&gt;"",AH402&lt;&gt;"",AI402&lt;&gt;"",OR(AH402=AI402,AK402&lt;&gt;""))</x:f>
        <x:v>0</x:v>
      </x:c>
      <x:c r="AN402" t="n">
        <x:f>--AND(Y402&lt;&gt;"",COUNTIF($Y$4:Y402,Y402)=1)</x:f>
        <x:v>0</x:v>
      </x:c>
      <x:c r="AO402" t="n">
        <x:f>--AND(AN402=1,Z402=1,AM402=1)</x:f>
        <x:v>0</x:v>
      </x:c>
      <x:c r="AP402" t="n">
        <x:f>--AND(AO402=1,AA402=1,AL402=1)</x:f>
        <x:v>0</x:v>
      </x:c>
      <x:c r="AQ402" t="n">
        <x:f>--AND(AN402=1,Z402=1)</x:f>
        <x:v>0</x:v>
      </x:c>
      <x:c r="AR402" t="n">
        <x:f>--AND(AQ402=1,AA402=1)</x:f>
        <x:v>0</x:v>
      </x:c>
    </x:row>
    <x:row r="403">
      <x:c r="A403" s="28"/>
      <x:c r="B403" s="28"/>
      <x:c r="C403" s="28"/>
      <x:c r="D403" s="28"/>
      <x:c r="E403" s="28"/>
      <x:c r="F403" s="28"/>
      <x:c r="G403" s="28"/>
      <x:c r="H403" s="28"/>
      <x:c r="I403" s="28"/>
      <x:c r="J403" s="28"/>
      <x:c r="K403" s="28"/>
      <x:c r="L403" s="28"/>
      <x:c r="M403" s="28"/>
      <x:c r="N403" s="28"/>
      <x:c r="O403" s="28"/>
      <x:c r="P403" s="28"/>
      <x:c r="Q403" s="28"/>
      <x:c r="R403" s="28"/>
      <x:c r="S403" s="28"/>
      <x:c r="T403" s="28"/>
      <x:c r="U403" s="28"/>
      <x:c r="V403" s="28"/>
      <x:c r="W403" s="28"/>
      <x:c r="X403" s="43" t="n">
        <x:f>--AND(S403=1,T403=1,U403=1,V403=1,W403=1)</x:f>
        <x:v>0</x:v>
      </x:c>
      <x:c r="AE403" s="43" t="n">
        <x:f>--AND(S403=1,M403&lt;&gt;"",M403&lt;&gt;"keep")</x:f>
        <x:v>0</x:v>
      </x:c>
      <x:c r="AG403" t="n">
        <x:f>--AND(S403=1,T403=1,U403=1,V403=1,W403=1,AE403=1)</x:f>
        <x:v>0</x:v>
      </x:c>
      <x:c r="AJ403" t="str">
        <x:f>IF(OR(AH403="",AI403=""),"",--(AH403&lt;&gt;AI403))</x:f>
      </x:c>
      <x:c r="AL403" t="str">
        <x:f>IF(OR(AH403="",AI403=""),"PENDING_HUMAN",IF(AH403=AI403,AH403,IF(AK403&lt;&gt;"",AK403,"PENDING_HUMAN")))</x:f>
        <x:v>PENDING_HUMAN</x:v>
      </x:c>
      <x:c r="AM403" t="n">
        <x:f>--AND(A403&lt;&gt;"",AH403&lt;&gt;"",AI403&lt;&gt;"",OR(AH403=AI403,AK403&lt;&gt;""))</x:f>
        <x:v>0</x:v>
      </x:c>
      <x:c r="AN403" t="n">
        <x:f>--AND(Y403&lt;&gt;"",COUNTIF($Y$4:Y403,Y403)=1)</x:f>
        <x:v>0</x:v>
      </x:c>
      <x:c r="AO403" t="n">
        <x:f>--AND(AN403=1,Z403=1,AM403=1)</x:f>
        <x:v>0</x:v>
      </x:c>
      <x:c r="AP403" t="n">
        <x:f>--AND(AO403=1,AA403=1,AL403=1)</x:f>
        <x:v>0</x:v>
      </x:c>
      <x:c r="AQ403" t="n">
        <x:f>--AND(AN403=1,Z403=1)</x:f>
        <x:v>0</x:v>
      </x:c>
      <x:c r="AR403" t="n">
        <x:f>--AND(AQ403=1,AA403=1)</x:f>
        <x:v>0</x:v>
      </x:c>
    </x:row>
    <x:row r="404">
      <x:c r="A404" s="28"/>
      <x:c r="B404" s="28"/>
      <x:c r="C404" s="28"/>
      <x:c r="D404" s="28"/>
      <x:c r="E404" s="28"/>
      <x:c r="F404" s="28"/>
      <x:c r="G404" s="28"/>
      <x:c r="H404" s="28"/>
      <x:c r="I404" s="28"/>
      <x:c r="J404" s="28"/>
      <x:c r="K404" s="28"/>
      <x:c r="L404" s="28"/>
      <x:c r="M404" s="28"/>
      <x:c r="N404" s="28"/>
      <x:c r="O404" s="28"/>
      <x:c r="P404" s="28"/>
      <x:c r="Q404" s="28"/>
      <x:c r="R404" s="28"/>
      <x:c r="S404" s="28"/>
      <x:c r="T404" s="28"/>
      <x:c r="U404" s="28"/>
      <x:c r="V404" s="28"/>
      <x:c r="W404" s="28"/>
      <x:c r="X404" s="43" t="n">
        <x:f>--AND(S404=1,T404=1,U404=1,V404=1,W404=1)</x:f>
        <x:v>0</x:v>
      </x:c>
      <x:c r="AE404" s="43" t="n">
        <x:f>--AND(S404=1,M404&lt;&gt;"",M404&lt;&gt;"keep")</x:f>
        <x:v>0</x:v>
      </x:c>
      <x:c r="AG404" t="n">
        <x:f>--AND(S404=1,T404=1,U404=1,V404=1,W404=1,AE404=1)</x:f>
        <x:v>0</x:v>
      </x:c>
      <x:c r="AJ404" t="str">
        <x:f>IF(OR(AH404="",AI404=""),"",--(AH404&lt;&gt;AI404))</x:f>
      </x:c>
      <x:c r="AL404" t="str">
        <x:f>IF(OR(AH404="",AI404=""),"PENDING_HUMAN",IF(AH404=AI404,AH404,IF(AK404&lt;&gt;"",AK404,"PENDING_HUMAN")))</x:f>
        <x:v>PENDING_HUMAN</x:v>
      </x:c>
      <x:c r="AM404" t="n">
        <x:f>--AND(A404&lt;&gt;"",AH404&lt;&gt;"",AI404&lt;&gt;"",OR(AH404=AI404,AK404&lt;&gt;""))</x:f>
        <x:v>0</x:v>
      </x:c>
      <x:c r="AN404" t="n">
        <x:f>--AND(Y404&lt;&gt;"",COUNTIF($Y$4:Y404,Y404)=1)</x:f>
        <x:v>0</x:v>
      </x:c>
      <x:c r="AO404" t="n">
        <x:f>--AND(AN404=1,Z404=1,AM404=1)</x:f>
        <x:v>0</x:v>
      </x:c>
      <x:c r="AP404" t="n">
        <x:f>--AND(AO404=1,AA404=1,AL404=1)</x:f>
        <x:v>0</x:v>
      </x:c>
      <x:c r="AQ404" t="n">
        <x:f>--AND(AN404=1,Z404=1)</x:f>
        <x:v>0</x:v>
      </x:c>
      <x:c r="AR404" t="n">
        <x:f>--AND(AQ404=1,AA404=1)</x:f>
        <x:v>0</x:v>
      </x:c>
    </x:row>
    <x:row r="405">
      <x:c r="A405" s="28"/>
      <x:c r="B405" s="28"/>
      <x:c r="C405" s="28"/>
      <x:c r="D405" s="28"/>
      <x:c r="E405" s="28"/>
      <x:c r="F405" s="28"/>
      <x:c r="G405" s="28"/>
      <x:c r="H405" s="28"/>
      <x:c r="I405" s="28"/>
      <x:c r="J405" s="28"/>
      <x:c r="K405" s="28"/>
      <x:c r="L405" s="28"/>
      <x:c r="M405" s="28"/>
      <x:c r="N405" s="28"/>
      <x:c r="O405" s="28"/>
      <x:c r="P405" s="28"/>
      <x:c r="Q405" s="28"/>
      <x:c r="R405" s="28"/>
      <x:c r="S405" s="28"/>
      <x:c r="T405" s="28"/>
      <x:c r="U405" s="28"/>
      <x:c r="V405" s="28"/>
      <x:c r="W405" s="28"/>
      <x:c r="X405" s="43" t="n">
        <x:f>--AND(S405=1,T405=1,U405=1,V405=1,W405=1)</x:f>
        <x:v>0</x:v>
      </x:c>
      <x:c r="AE405" s="43" t="n">
        <x:f>--AND(S405=1,M405&lt;&gt;"",M405&lt;&gt;"keep")</x:f>
        <x:v>0</x:v>
      </x:c>
      <x:c r="AG405" t="n">
        <x:f>--AND(S405=1,T405=1,U405=1,V405=1,W405=1,AE405=1)</x:f>
        <x:v>0</x:v>
      </x:c>
      <x:c r="AJ405" t="str">
        <x:f>IF(OR(AH405="",AI405=""),"",--(AH405&lt;&gt;AI405))</x:f>
      </x:c>
      <x:c r="AL405" t="str">
        <x:f>IF(OR(AH405="",AI405=""),"PENDING_HUMAN",IF(AH405=AI405,AH405,IF(AK405&lt;&gt;"",AK405,"PENDING_HUMAN")))</x:f>
        <x:v>PENDING_HUMAN</x:v>
      </x:c>
      <x:c r="AM405" t="n">
        <x:f>--AND(A405&lt;&gt;"",AH405&lt;&gt;"",AI405&lt;&gt;"",OR(AH405=AI405,AK405&lt;&gt;""))</x:f>
        <x:v>0</x:v>
      </x:c>
      <x:c r="AN405" t="n">
        <x:f>--AND(Y405&lt;&gt;"",COUNTIF($Y$4:Y405,Y405)=1)</x:f>
        <x:v>0</x:v>
      </x:c>
      <x:c r="AO405" t="n">
        <x:f>--AND(AN405=1,Z405=1,AM405=1)</x:f>
        <x:v>0</x:v>
      </x:c>
      <x:c r="AP405" t="n">
        <x:f>--AND(AO405=1,AA405=1,AL405=1)</x:f>
        <x:v>0</x:v>
      </x:c>
      <x:c r="AQ405" t="n">
        <x:f>--AND(AN405=1,Z405=1)</x:f>
        <x:v>0</x:v>
      </x:c>
      <x:c r="AR405" t="n">
        <x:f>--AND(AQ405=1,AA405=1)</x:f>
        <x:v>0</x:v>
      </x:c>
    </x:row>
    <x:row r="406">
      <x:c r="A406" s="28"/>
      <x:c r="B406" s="28"/>
      <x:c r="C406" s="28"/>
      <x:c r="D406" s="28"/>
      <x:c r="E406" s="28"/>
      <x:c r="F406" s="28"/>
      <x:c r="G406" s="28"/>
      <x:c r="H406" s="28"/>
      <x:c r="I406" s="28"/>
      <x:c r="J406" s="28"/>
      <x:c r="K406" s="28"/>
      <x:c r="L406" s="28"/>
      <x:c r="M406" s="28"/>
      <x:c r="N406" s="28"/>
      <x:c r="O406" s="28"/>
      <x:c r="P406" s="28"/>
      <x:c r="Q406" s="28"/>
      <x:c r="R406" s="28"/>
      <x:c r="S406" s="28"/>
      <x:c r="T406" s="28"/>
      <x:c r="U406" s="28"/>
      <x:c r="V406" s="28"/>
      <x:c r="W406" s="28"/>
      <x:c r="X406" s="43" t="n">
        <x:f>--AND(S406=1,T406=1,U406=1,V406=1,W406=1)</x:f>
        <x:v>0</x:v>
      </x:c>
      <x:c r="AE406" s="43" t="n">
        <x:f>--AND(S406=1,M406&lt;&gt;"",M406&lt;&gt;"keep")</x:f>
        <x:v>0</x:v>
      </x:c>
      <x:c r="AG406" t="n">
        <x:f>--AND(S406=1,T406=1,U406=1,V406=1,W406=1,AE406=1)</x:f>
        <x:v>0</x:v>
      </x:c>
      <x:c r="AJ406" t="str">
        <x:f>IF(OR(AH406="",AI406=""),"",--(AH406&lt;&gt;AI406))</x:f>
      </x:c>
      <x:c r="AL406" t="str">
        <x:f>IF(OR(AH406="",AI406=""),"PENDING_HUMAN",IF(AH406=AI406,AH406,IF(AK406&lt;&gt;"",AK406,"PENDING_HUMAN")))</x:f>
        <x:v>PENDING_HUMAN</x:v>
      </x:c>
      <x:c r="AM406" t="n">
        <x:f>--AND(A406&lt;&gt;"",AH406&lt;&gt;"",AI406&lt;&gt;"",OR(AH406=AI406,AK406&lt;&gt;""))</x:f>
        <x:v>0</x:v>
      </x:c>
      <x:c r="AN406" t="n">
        <x:f>--AND(Y406&lt;&gt;"",COUNTIF($Y$4:Y406,Y406)=1)</x:f>
        <x:v>0</x:v>
      </x:c>
      <x:c r="AO406" t="n">
        <x:f>--AND(AN406=1,Z406=1,AM406=1)</x:f>
        <x:v>0</x:v>
      </x:c>
      <x:c r="AP406" t="n">
        <x:f>--AND(AO406=1,AA406=1,AL406=1)</x:f>
        <x:v>0</x:v>
      </x:c>
      <x:c r="AQ406" t="n">
        <x:f>--AND(AN406=1,Z406=1)</x:f>
        <x:v>0</x:v>
      </x:c>
      <x:c r="AR406" t="n">
        <x:f>--AND(AQ406=1,AA406=1)</x:f>
        <x:v>0</x:v>
      </x:c>
    </x:row>
    <x:row r="407">
      <x:c r="A407" s="28"/>
      <x:c r="B407" s="28"/>
      <x:c r="C407" s="28"/>
      <x:c r="D407" s="28"/>
      <x:c r="E407" s="28"/>
      <x:c r="F407" s="28"/>
      <x:c r="G407" s="28"/>
      <x:c r="H407" s="28"/>
      <x:c r="I407" s="28"/>
      <x:c r="J407" s="28"/>
      <x:c r="K407" s="28"/>
      <x:c r="L407" s="28"/>
      <x:c r="M407" s="28"/>
      <x:c r="N407" s="28"/>
      <x:c r="O407" s="28"/>
      <x:c r="P407" s="28"/>
      <x:c r="Q407" s="28"/>
      <x:c r="R407" s="28"/>
      <x:c r="S407" s="28"/>
      <x:c r="T407" s="28"/>
      <x:c r="U407" s="28"/>
      <x:c r="V407" s="28"/>
      <x:c r="W407" s="28"/>
      <x:c r="X407" s="43" t="n">
        <x:f>--AND(S407=1,T407=1,U407=1,V407=1,W407=1)</x:f>
        <x:v>0</x:v>
      </x:c>
      <x:c r="AE407" s="43" t="n">
        <x:f>--AND(S407=1,M407&lt;&gt;"",M407&lt;&gt;"keep")</x:f>
        <x:v>0</x:v>
      </x:c>
      <x:c r="AG407" t="n">
        <x:f>--AND(S407=1,T407=1,U407=1,V407=1,W407=1,AE407=1)</x:f>
        <x:v>0</x:v>
      </x:c>
      <x:c r="AJ407" t="str">
        <x:f>IF(OR(AH407="",AI407=""),"",--(AH407&lt;&gt;AI407))</x:f>
      </x:c>
      <x:c r="AL407" t="str">
        <x:f>IF(OR(AH407="",AI407=""),"PENDING_HUMAN",IF(AH407=AI407,AH407,IF(AK407&lt;&gt;"",AK407,"PENDING_HUMAN")))</x:f>
        <x:v>PENDING_HUMAN</x:v>
      </x:c>
      <x:c r="AM407" t="n">
        <x:f>--AND(A407&lt;&gt;"",AH407&lt;&gt;"",AI407&lt;&gt;"",OR(AH407=AI407,AK407&lt;&gt;""))</x:f>
        <x:v>0</x:v>
      </x:c>
      <x:c r="AN407" t="n">
        <x:f>--AND(Y407&lt;&gt;"",COUNTIF($Y$4:Y407,Y407)=1)</x:f>
        <x:v>0</x:v>
      </x:c>
      <x:c r="AO407" t="n">
        <x:f>--AND(AN407=1,Z407=1,AM407=1)</x:f>
        <x:v>0</x:v>
      </x:c>
      <x:c r="AP407" t="n">
        <x:f>--AND(AO407=1,AA407=1,AL407=1)</x:f>
        <x:v>0</x:v>
      </x:c>
      <x:c r="AQ407" t="n">
        <x:f>--AND(AN407=1,Z407=1)</x:f>
        <x:v>0</x:v>
      </x:c>
      <x:c r="AR407" t="n">
        <x:f>--AND(AQ407=1,AA407=1)</x:f>
        <x:v>0</x:v>
      </x:c>
    </x:row>
    <x:row r="408">
      <x:c r="A408" s="28"/>
      <x:c r="B408" s="28"/>
      <x:c r="C408" s="28"/>
      <x:c r="D408" s="28"/>
      <x:c r="E408" s="28"/>
      <x:c r="F408" s="28"/>
      <x:c r="G408" s="28"/>
      <x:c r="H408" s="28"/>
      <x:c r="I408" s="28"/>
      <x:c r="J408" s="28"/>
      <x:c r="K408" s="28"/>
      <x:c r="L408" s="28"/>
      <x:c r="M408" s="28"/>
      <x:c r="N408" s="28"/>
      <x:c r="O408" s="28"/>
      <x:c r="P408" s="28"/>
      <x:c r="Q408" s="28"/>
      <x:c r="R408" s="28"/>
      <x:c r="S408" s="28"/>
      <x:c r="T408" s="28"/>
      <x:c r="U408" s="28"/>
      <x:c r="V408" s="28"/>
      <x:c r="W408" s="28"/>
      <x:c r="X408" s="43" t="n">
        <x:f>--AND(S408=1,T408=1,U408=1,V408=1,W408=1)</x:f>
        <x:v>0</x:v>
      </x:c>
      <x:c r="AE408" s="43" t="n">
        <x:f>--AND(S408=1,M408&lt;&gt;"",M408&lt;&gt;"keep")</x:f>
        <x:v>0</x:v>
      </x:c>
      <x:c r="AG408" t="n">
        <x:f>--AND(S408=1,T408=1,U408=1,V408=1,W408=1,AE408=1)</x:f>
        <x:v>0</x:v>
      </x:c>
      <x:c r="AJ408" t="str">
        <x:f>IF(OR(AH408="",AI408=""),"",--(AH408&lt;&gt;AI408))</x:f>
      </x:c>
      <x:c r="AL408" t="str">
        <x:f>IF(OR(AH408="",AI408=""),"PENDING_HUMAN",IF(AH408=AI408,AH408,IF(AK408&lt;&gt;"",AK408,"PENDING_HUMAN")))</x:f>
        <x:v>PENDING_HUMAN</x:v>
      </x:c>
      <x:c r="AM408" t="n">
        <x:f>--AND(A408&lt;&gt;"",AH408&lt;&gt;"",AI408&lt;&gt;"",OR(AH408=AI408,AK408&lt;&gt;""))</x:f>
        <x:v>0</x:v>
      </x:c>
      <x:c r="AN408" t="n">
        <x:f>--AND(Y408&lt;&gt;"",COUNTIF($Y$4:Y408,Y408)=1)</x:f>
        <x:v>0</x:v>
      </x:c>
      <x:c r="AO408" t="n">
        <x:f>--AND(AN408=1,Z408=1,AM408=1)</x:f>
        <x:v>0</x:v>
      </x:c>
      <x:c r="AP408" t="n">
        <x:f>--AND(AO408=1,AA408=1,AL408=1)</x:f>
        <x:v>0</x:v>
      </x:c>
      <x:c r="AQ408" t="n">
        <x:f>--AND(AN408=1,Z408=1)</x:f>
        <x:v>0</x:v>
      </x:c>
      <x:c r="AR408" t="n">
        <x:f>--AND(AQ408=1,AA408=1)</x:f>
        <x:v>0</x:v>
      </x:c>
    </x:row>
    <x:row r="409">
      <x:c r="A409" s="28"/>
      <x:c r="B409" s="28"/>
      <x:c r="C409" s="28"/>
      <x:c r="D409" s="28"/>
      <x:c r="E409" s="28"/>
      <x:c r="F409" s="28"/>
      <x:c r="G409" s="28"/>
      <x:c r="H409" s="28"/>
      <x:c r="I409" s="28"/>
      <x:c r="J409" s="28"/>
      <x:c r="K409" s="28"/>
      <x:c r="L409" s="28"/>
      <x:c r="M409" s="28"/>
      <x:c r="N409" s="28"/>
      <x:c r="O409" s="28"/>
      <x:c r="P409" s="28"/>
      <x:c r="Q409" s="28"/>
      <x:c r="R409" s="28"/>
      <x:c r="S409" s="28"/>
      <x:c r="T409" s="28"/>
      <x:c r="U409" s="28"/>
      <x:c r="V409" s="28"/>
      <x:c r="W409" s="28"/>
      <x:c r="X409" s="43" t="n">
        <x:f>--AND(S409=1,T409=1,U409=1,V409=1,W409=1)</x:f>
        <x:v>0</x:v>
      </x:c>
      <x:c r="AE409" s="43" t="n">
        <x:f>--AND(S409=1,M409&lt;&gt;"",M409&lt;&gt;"keep")</x:f>
        <x:v>0</x:v>
      </x:c>
      <x:c r="AG409" t="n">
        <x:f>--AND(S409=1,T409=1,U409=1,V409=1,W409=1,AE409=1)</x:f>
        <x:v>0</x:v>
      </x:c>
      <x:c r="AJ409" t="str">
        <x:f>IF(OR(AH409="",AI409=""),"",--(AH409&lt;&gt;AI409))</x:f>
      </x:c>
      <x:c r="AL409" t="str">
        <x:f>IF(OR(AH409="",AI409=""),"PENDING_HUMAN",IF(AH409=AI409,AH409,IF(AK409&lt;&gt;"",AK409,"PENDING_HUMAN")))</x:f>
        <x:v>PENDING_HUMAN</x:v>
      </x:c>
      <x:c r="AM409" t="n">
        <x:f>--AND(A409&lt;&gt;"",AH409&lt;&gt;"",AI409&lt;&gt;"",OR(AH409=AI409,AK409&lt;&gt;""))</x:f>
        <x:v>0</x:v>
      </x:c>
      <x:c r="AN409" t="n">
        <x:f>--AND(Y409&lt;&gt;"",COUNTIF($Y$4:Y409,Y409)=1)</x:f>
        <x:v>0</x:v>
      </x:c>
      <x:c r="AO409" t="n">
        <x:f>--AND(AN409=1,Z409=1,AM409=1)</x:f>
        <x:v>0</x:v>
      </x:c>
      <x:c r="AP409" t="n">
        <x:f>--AND(AO409=1,AA409=1,AL409=1)</x:f>
        <x:v>0</x:v>
      </x:c>
      <x:c r="AQ409" t="n">
        <x:f>--AND(AN409=1,Z409=1)</x:f>
        <x:v>0</x:v>
      </x:c>
      <x:c r="AR409" t="n">
        <x:f>--AND(AQ409=1,AA409=1)</x:f>
        <x:v>0</x:v>
      </x:c>
    </x:row>
    <x:row r="410">
      <x:c r="A410" s="28"/>
      <x:c r="B410" s="28"/>
      <x:c r="C410" s="28"/>
      <x:c r="D410" s="28"/>
      <x:c r="E410" s="28"/>
      <x:c r="F410" s="28"/>
      <x:c r="G410" s="28"/>
      <x:c r="H410" s="28"/>
      <x:c r="I410" s="28"/>
      <x:c r="J410" s="28"/>
      <x:c r="K410" s="28"/>
      <x:c r="L410" s="28"/>
      <x:c r="M410" s="28"/>
      <x:c r="N410" s="28"/>
      <x:c r="O410" s="28"/>
      <x:c r="P410" s="28"/>
      <x:c r="Q410" s="28"/>
      <x:c r="R410" s="28"/>
      <x:c r="S410" s="28"/>
      <x:c r="T410" s="28"/>
      <x:c r="U410" s="28"/>
      <x:c r="V410" s="28"/>
      <x:c r="W410" s="28"/>
      <x:c r="X410" s="43" t="n">
        <x:f>--AND(S410=1,T410=1,U410=1,V410=1,W410=1)</x:f>
        <x:v>0</x:v>
      </x:c>
      <x:c r="AE410" s="43" t="n">
        <x:f>--AND(S410=1,M410&lt;&gt;"",M410&lt;&gt;"keep")</x:f>
        <x:v>0</x:v>
      </x:c>
      <x:c r="AG410" t="n">
        <x:f>--AND(S410=1,T410=1,U410=1,V410=1,W410=1,AE410=1)</x:f>
        <x:v>0</x:v>
      </x:c>
      <x:c r="AJ410" t="str">
        <x:f>IF(OR(AH410="",AI410=""),"",--(AH410&lt;&gt;AI410))</x:f>
      </x:c>
      <x:c r="AL410" t="str">
        <x:f>IF(OR(AH410="",AI410=""),"PENDING_HUMAN",IF(AH410=AI410,AH410,IF(AK410&lt;&gt;"",AK410,"PENDING_HUMAN")))</x:f>
        <x:v>PENDING_HUMAN</x:v>
      </x:c>
      <x:c r="AM410" t="n">
        <x:f>--AND(A410&lt;&gt;"",AH410&lt;&gt;"",AI410&lt;&gt;"",OR(AH410=AI410,AK410&lt;&gt;""))</x:f>
        <x:v>0</x:v>
      </x:c>
      <x:c r="AN410" t="n">
        <x:f>--AND(Y410&lt;&gt;"",COUNTIF($Y$4:Y410,Y410)=1)</x:f>
        <x:v>0</x:v>
      </x:c>
      <x:c r="AO410" t="n">
        <x:f>--AND(AN410=1,Z410=1,AM410=1)</x:f>
        <x:v>0</x:v>
      </x:c>
      <x:c r="AP410" t="n">
        <x:f>--AND(AO410=1,AA410=1,AL410=1)</x:f>
        <x:v>0</x:v>
      </x:c>
      <x:c r="AQ410" t="n">
        <x:f>--AND(AN410=1,Z410=1)</x:f>
        <x:v>0</x:v>
      </x:c>
      <x:c r="AR410" t="n">
        <x:f>--AND(AQ410=1,AA410=1)</x:f>
        <x:v>0</x:v>
      </x:c>
    </x:row>
    <x:row r="411">
      <x:c r="A411" s="28"/>
      <x:c r="B411" s="28"/>
      <x:c r="C411" s="28"/>
      <x:c r="D411" s="28"/>
      <x:c r="E411" s="28"/>
      <x:c r="F411" s="28"/>
      <x:c r="G411" s="28"/>
      <x:c r="H411" s="28"/>
      <x:c r="I411" s="28"/>
      <x:c r="J411" s="28"/>
      <x:c r="K411" s="28"/>
      <x:c r="L411" s="28"/>
      <x:c r="M411" s="28"/>
      <x:c r="N411" s="28"/>
      <x:c r="O411" s="28"/>
      <x:c r="P411" s="28"/>
      <x:c r="Q411" s="28"/>
      <x:c r="R411" s="28"/>
      <x:c r="S411" s="28"/>
      <x:c r="T411" s="28"/>
      <x:c r="U411" s="28"/>
      <x:c r="V411" s="28"/>
      <x:c r="W411" s="28"/>
      <x:c r="X411" s="43" t="n">
        <x:f>--AND(S411=1,T411=1,U411=1,V411=1,W411=1)</x:f>
        <x:v>0</x:v>
      </x:c>
      <x:c r="AE411" s="43" t="n">
        <x:f>--AND(S411=1,M411&lt;&gt;"",M411&lt;&gt;"keep")</x:f>
        <x:v>0</x:v>
      </x:c>
      <x:c r="AG411" t="n">
        <x:f>--AND(S411=1,T411=1,U411=1,V411=1,W411=1,AE411=1)</x:f>
        <x:v>0</x:v>
      </x:c>
      <x:c r="AJ411" t="str">
        <x:f>IF(OR(AH411="",AI411=""),"",--(AH411&lt;&gt;AI411))</x:f>
      </x:c>
      <x:c r="AL411" t="str">
        <x:f>IF(OR(AH411="",AI411=""),"PENDING_HUMAN",IF(AH411=AI411,AH411,IF(AK411&lt;&gt;"",AK411,"PENDING_HUMAN")))</x:f>
        <x:v>PENDING_HUMAN</x:v>
      </x:c>
      <x:c r="AM411" t="n">
        <x:f>--AND(A411&lt;&gt;"",AH411&lt;&gt;"",AI411&lt;&gt;"",OR(AH411=AI411,AK411&lt;&gt;""))</x:f>
        <x:v>0</x:v>
      </x:c>
      <x:c r="AN411" t="n">
        <x:f>--AND(Y411&lt;&gt;"",COUNTIF($Y$4:Y411,Y411)=1)</x:f>
        <x:v>0</x:v>
      </x:c>
      <x:c r="AO411" t="n">
        <x:f>--AND(AN411=1,Z411=1,AM411=1)</x:f>
        <x:v>0</x:v>
      </x:c>
      <x:c r="AP411" t="n">
        <x:f>--AND(AO411=1,AA411=1,AL411=1)</x:f>
        <x:v>0</x:v>
      </x:c>
      <x:c r="AQ411" t="n">
        <x:f>--AND(AN411=1,Z411=1)</x:f>
        <x:v>0</x:v>
      </x:c>
      <x:c r="AR411" t="n">
        <x:f>--AND(AQ411=1,AA411=1)</x:f>
        <x:v>0</x:v>
      </x:c>
    </x:row>
    <x:row r="412">
      <x:c r="A412" s="28"/>
      <x:c r="B412" s="28"/>
      <x:c r="C412" s="28"/>
      <x:c r="D412" s="28"/>
      <x:c r="E412" s="28"/>
      <x:c r="F412" s="28"/>
      <x:c r="G412" s="28"/>
      <x:c r="H412" s="28"/>
      <x:c r="I412" s="28"/>
      <x:c r="J412" s="28"/>
      <x:c r="K412" s="28"/>
      <x:c r="L412" s="28"/>
      <x:c r="M412" s="28"/>
      <x:c r="N412" s="28"/>
      <x:c r="O412" s="28"/>
      <x:c r="P412" s="28"/>
      <x:c r="Q412" s="28"/>
      <x:c r="R412" s="28"/>
      <x:c r="S412" s="28"/>
      <x:c r="T412" s="28"/>
      <x:c r="U412" s="28"/>
      <x:c r="V412" s="28"/>
      <x:c r="W412" s="28"/>
      <x:c r="X412" s="43" t="n">
        <x:f>--AND(S412=1,T412=1,U412=1,V412=1,W412=1)</x:f>
        <x:v>0</x:v>
      </x:c>
      <x:c r="AE412" s="43" t="n">
        <x:f>--AND(S412=1,M412&lt;&gt;"",M412&lt;&gt;"keep")</x:f>
        <x:v>0</x:v>
      </x:c>
      <x:c r="AG412" t="n">
        <x:f>--AND(S412=1,T412=1,U412=1,V412=1,W412=1,AE412=1)</x:f>
        <x:v>0</x:v>
      </x:c>
      <x:c r="AJ412" t="str">
        <x:f>IF(OR(AH412="",AI412=""),"",--(AH412&lt;&gt;AI412))</x:f>
      </x:c>
      <x:c r="AL412" t="str">
        <x:f>IF(OR(AH412="",AI412=""),"PENDING_HUMAN",IF(AH412=AI412,AH412,IF(AK412&lt;&gt;"",AK412,"PENDING_HUMAN")))</x:f>
        <x:v>PENDING_HUMAN</x:v>
      </x:c>
      <x:c r="AM412" t="n">
        <x:f>--AND(A412&lt;&gt;"",AH412&lt;&gt;"",AI412&lt;&gt;"",OR(AH412=AI412,AK412&lt;&gt;""))</x:f>
        <x:v>0</x:v>
      </x:c>
      <x:c r="AN412" t="n">
        <x:f>--AND(Y412&lt;&gt;"",COUNTIF($Y$4:Y412,Y412)=1)</x:f>
        <x:v>0</x:v>
      </x:c>
      <x:c r="AO412" t="n">
        <x:f>--AND(AN412=1,Z412=1,AM412=1)</x:f>
        <x:v>0</x:v>
      </x:c>
      <x:c r="AP412" t="n">
        <x:f>--AND(AO412=1,AA412=1,AL412=1)</x:f>
        <x:v>0</x:v>
      </x:c>
      <x:c r="AQ412" t="n">
        <x:f>--AND(AN412=1,Z412=1)</x:f>
        <x:v>0</x:v>
      </x:c>
      <x:c r="AR412" t="n">
        <x:f>--AND(AQ412=1,AA412=1)</x:f>
        <x:v>0</x:v>
      </x:c>
    </x:row>
    <x:row r="413">
      <x:c r="A413" s="28"/>
      <x:c r="B413" s="28"/>
      <x:c r="C413" s="28"/>
      <x:c r="D413" s="28"/>
      <x:c r="E413" s="28"/>
      <x:c r="F413" s="28"/>
      <x:c r="G413" s="28"/>
      <x:c r="H413" s="28"/>
      <x:c r="I413" s="28"/>
      <x:c r="J413" s="28"/>
      <x:c r="K413" s="28"/>
      <x:c r="L413" s="28"/>
      <x:c r="M413" s="28"/>
      <x:c r="N413" s="28"/>
      <x:c r="O413" s="28"/>
      <x:c r="P413" s="28"/>
      <x:c r="Q413" s="28"/>
      <x:c r="R413" s="28"/>
      <x:c r="S413" s="28"/>
      <x:c r="T413" s="28"/>
      <x:c r="U413" s="28"/>
      <x:c r="V413" s="28"/>
      <x:c r="W413" s="28"/>
      <x:c r="X413" s="43" t="n">
        <x:f>--AND(S413=1,T413=1,U413=1,V413=1,W413=1)</x:f>
        <x:v>0</x:v>
      </x:c>
      <x:c r="AE413" s="43" t="n">
        <x:f>--AND(S413=1,M413&lt;&gt;"",M413&lt;&gt;"keep")</x:f>
        <x:v>0</x:v>
      </x:c>
      <x:c r="AG413" t="n">
        <x:f>--AND(S413=1,T413=1,U413=1,V413=1,W413=1,AE413=1)</x:f>
        <x:v>0</x:v>
      </x:c>
      <x:c r="AJ413" t="str">
        <x:f>IF(OR(AH413="",AI413=""),"",--(AH413&lt;&gt;AI413))</x:f>
      </x:c>
      <x:c r="AL413" t="str">
        <x:f>IF(OR(AH413="",AI413=""),"PENDING_HUMAN",IF(AH413=AI413,AH413,IF(AK413&lt;&gt;"",AK413,"PENDING_HUMAN")))</x:f>
        <x:v>PENDING_HUMAN</x:v>
      </x:c>
      <x:c r="AM413" t="n">
        <x:f>--AND(A413&lt;&gt;"",AH413&lt;&gt;"",AI413&lt;&gt;"",OR(AH413=AI413,AK413&lt;&gt;""))</x:f>
        <x:v>0</x:v>
      </x:c>
      <x:c r="AN413" t="n">
        <x:f>--AND(Y413&lt;&gt;"",COUNTIF($Y$4:Y413,Y413)=1)</x:f>
        <x:v>0</x:v>
      </x:c>
      <x:c r="AO413" t="n">
        <x:f>--AND(AN413=1,Z413=1,AM413=1)</x:f>
        <x:v>0</x:v>
      </x:c>
      <x:c r="AP413" t="n">
        <x:f>--AND(AO413=1,AA413=1,AL413=1)</x:f>
        <x:v>0</x:v>
      </x:c>
      <x:c r="AQ413" t="n">
        <x:f>--AND(AN413=1,Z413=1)</x:f>
        <x:v>0</x:v>
      </x:c>
      <x:c r="AR413" t="n">
        <x:f>--AND(AQ413=1,AA413=1)</x:f>
        <x:v>0</x:v>
      </x:c>
    </x:row>
    <x:row r="414">
      <x:c r="A414" s="28"/>
      <x:c r="B414" s="28"/>
      <x:c r="C414" s="28"/>
      <x:c r="D414" s="28"/>
      <x:c r="E414" s="28"/>
      <x:c r="F414" s="28"/>
      <x:c r="G414" s="28"/>
      <x:c r="H414" s="28"/>
      <x:c r="I414" s="28"/>
      <x:c r="J414" s="28"/>
      <x:c r="K414" s="28"/>
      <x:c r="L414" s="28"/>
      <x:c r="M414" s="28"/>
      <x:c r="N414" s="28"/>
      <x:c r="O414" s="28"/>
      <x:c r="P414" s="28"/>
      <x:c r="Q414" s="28"/>
      <x:c r="R414" s="28"/>
      <x:c r="S414" s="28"/>
      <x:c r="T414" s="28"/>
      <x:c r="U414" s="28"/>
      <x:c r="V414" s="28"/>
      <x:c r="W414" s="28"/>
      <x:c r="X414" s="43" t="n">
        <x:f>--AND(S414=1,T414=1,U414=1,V414=1,W414=1)</x:f>
        <x:v>0</x:v>
      </x:c>
      <x:c r="AE414" s="43" t="n">
        <x:f>--AND(S414=1,M414&lt;&gt;"",M414&lt;&gt;"keep")</x:f>
        <x:v>0</x:v>
      </x:c>
      <x:c r="AG414" t="n">
        <x:f>--AND(S414=1,T414=1,U414=1,V414=1,W414=1,AE414=1)</x:f>
        <x:v>0</x:v>
      </x:c>
      <x:c r="AJ414" t="str">
        <x:f>IF(OR(AH414="",AI414=""),"",--(AH414&lt;&gt;AI414))</x:f>
      </x:c>
      <x:c r="AL414" t="str">
        <x:f>IF(OR(AH414="",AI414=""),"PENDING_HUMAN",IF(AH414=AI414,AH414,IF(AK414&lt;&gt;"",AK414,"PENDING_HUMAN")))</x:f>
        <x:v>PENDING_HUMAN</x:v>
      </x:c>
      <x:c r="AM414" t="n">
        <x:f>--AND(A414&lt;&gt;"",AH414&lt;&gt;"",AI414&lt;&gt;"",OR(AH414=AI414,AK414&lt;&gt;""))</x:f>
        <x:v>0</x:v>
      </x:c>
      <x:c r="AN414" t="n">
        <x:f>--AND(Y414&lt;&gt;"",COUNTIF($Y$4:Y414,Y414)=1)</x:f>
        <x:v>0</x:v>
      </x:c>
      <x:c r="AO414" t="n">
        <x:f>--AND(AN414=1,Z414=1,AM414=1)</x:f>
        <x:v>0</x:v>
      </x:c>
      <x:c r="AP414" t="n">
        <x:f>--AND(AO414=1,AA414=1,AL414=1)</x:f>
        <x:v>0</x:v>
      </x:c>
      <x:c r="AQ414" t="n">
        <x:f>--AND(AN414=1,Z414=1)</x:f>
        <x:v>0</x:v>
      </x:c>
      <x:c r="AR414" t="n">
        <x:f>--AND(AQ414=1,AA414=1)</x:f>
        <x:v>0</x:v>
      </x:c>
    </x:row>
    <x:row r="415">
      <x:c r="A415" s="28"/>
      <x:c r="B415" s="28"/>
      <x:c r="C415" s="28"/>
      <x:c r="D415" s="28"/>
      <x:c r="E415" s="28"/>
      <x:c r="F415" s="28"/>
      <x:c r="G415" s="28"/>
      <x:c r="H415" s="28"/>
      <x:c r="I415" s="28"/>
      <x:c r="J415" s="28"/>
      <x:c r="K415" s="28"/>
      <x:c r="L415" s="28"/>
      <x:c r="M415" s="28"/>
      <x:c r="N415" s="28"/>
      <x:c r="O415" s="28"/>
      <x:c r="P415" s="28"/>
      <x:c r="Q415" s="28"/>
      <x:c r="R415" s="28"/>
      <x:c r="S415" s="28"/>
      <x:c r="T415" s="28"/>
      <x:c r="U415" s="28"/>
      <x:c r="V415" s="28"/>
      <x:c r="W415" s="28"/>
      <x:c r="X415" s="43" t="n">
        <x:f>--AND(S415=1,T415=1,U415=1,V415=1,W415=1)</x:f>
        <x:v>0</x:v>
      </x:c>
      <x:c r="AE415" s="43" t="n">
        <x:f>--AND(S415=1,M415&lt;&gt;"",M415&lt;&gt;"keep")</x:f>
        <x:v>0</x:v>
      </x:c>
      <x:c r="AG415" t="n">
        <x:f>--AND(S415=1,T415=1,U415=1,V415=1,W415=1,AE415=1)</x:f>
        <x:v>0</x:v>
      </x:c>
      <x:c r="AJ415" t="str">
        <x:f>IF(OR(AH415="",AI415=""),"",--(AH415&lt;&gt;AI415))</x:f>
      </x:c>
      <x:c r="AL415" t="str">
        <x:f>IF(OR(AH415="",AI415=""),"PENDING_HUMAN",IF(AH415=AI415,AH415,IF(AK415&lt;&gt;"",AK415,"PENDING_HUMAN")))</x:f>
        <x:v>PENDING_HUMAN</x:v>
      </x:c>
      <x:c r="AM415" t="n">
        <x:f>--AND(A415&lt;&gt;"",AH415&lt;&gt;"",AI415&lt;&gt;"",OR(AH415=AI415,AK415&lt;&gt;""))</x:f>
        <x:v>0</x:v>
      </x:c>
      <x:c r="AN415" t="n">
        <x:f>--AND(Y415&lt;&gt;"",COUNTIF($Y$4:Y415,Y415)=1)</x:f>
        <x:v>0</x:v>
      </x:c>
      <x:c r="AO415" t="n">
        <x:f>--AND(AN415=1,Z415=1,AM415=1)</x:f>
        <x:v>0</x:v>
      </x:c>
      <x:c r="AP415" t="n">
        <x:f>--AND(AO415=1,AA415=1,AL415=1)</x:f>
        <x:v>0</x:v>
      </x:c>
      <x:c r="AQ415" t="n">
        <x:f>--AND(AN415=1,Z415=1)</x:f>
        <x:v>0</x:v>
      </x:c>
      <x:c r="AR415" t="n">
        <x:f>--AND(AQ415=1,AA415=1)</x:f>
        <x:v>0</x:v>
      </x:c>
    </x:row>
    <x:row r="416">
      <x:c r="A416" s="28"/>
      <x:c r="B416" s="28"/>
      <x:c r="C416" s="28"/>
      <x:c r="D416" s="28"/>
      <x:c r="E416" s="28"/>
      <x:c r="F416" s="28"/>
      <x:c r="G416" s="28"/>
      <x:c r="H416" s="28"/>
      <x:c r="I416" s="28"/>
      <x:c r="J416" s="28"/>
      <x:c r="K416" s="28"/>
      <x:c r="L416" s="28"/>
      <x:c r="M416" s="28"/>
      <x:c r="N416" s="28"/>
      <x:c r="O416" s="28"/>
      <x:c r="P416" s="28"/>
      <x:c r="Q416" s="28"/>
      <x:c r="R416" s="28"/>
      <x:c r="S416" s="28"/>
      <x:c r="T416" s="28"/>
      <x:c r="U416" s="28"/>
      <x:c r="V416" s="28"/>
      <x:c r="W416" s="28"/>
      <x:c r="X416" s="43" t="n">
        <x:f>--AND(S416=1,T416=1,U416=1,V416=1,W416=1)</x:f>
        <x:v>0</x:v>
      </x:c>
      <x:c r="AE416" s="43" t="n">
        <x:f>--AND(S416=1,M416&lt;&gt;"",M416&lt;&gt;"keep")</x:f>
        <x:v>0</x:v>
      </x:c>
      <x:c r="AG416" t="n">
        <x:f>--AND(S416=1,T416=1,U416=1,V416=1,W416=1,AE416=1)</x:f>
        <x:v>0</x:v>
      </x:c>
      <x:c r="AJ416" t="str">
        <x:f>IF(OR(AH416="",AI416=""),"",--(AH416&lt;&gt;AI416))</x:f>
      </x:c>
      <x:c r="AL416" t="str">
        <x:f>IF(OR(AH416="",AI416=""),"PENDING_HUMAN",IF(AH416=AI416,AH416,IF(AK416&lt;&gt;"",AK416,"PENDING_HUMAN")))</x:f>
        <x:v>PENDING_HUMAN</x:v>
      </x:c>
      <x:c r="AM416" t="n">
        <x:f>--AND(A416&lt;&gt;"",AH416&lt;&gt;"",AI416&lt;&gt;"",OR(AH416=AI416,AK416&lt;&gt;""))</x:f>
        <x:v>0</x:v>
      </x:c>
      <x:c r="AN416" t="n">
        <x:f>--AND(Y416&lt;&gt;"",COUNTIF($Y$4:Y416,Y416)=1)</x:f>
        <x:v>0</x:v>
      </x:c>
      <x:c r="AO416" t="n">
        <x:f>--AND(AN416=1,Z416=1,AM416=1)</x:f>
        <x:v>0</x:v>
      </x:c>
      <x:c r="AP416" t="n">
        <x:f>--AND(AO416=1,AA416=1,AL416=1)</x:f>
        <x:v>0</x:v>
      </x:c>
      <x:c r="AQ416" t="n">
        <x:f>--AND(AN416=1,Z416=1)</x:f>
        <x:v>0</x:v>
      </x:c>
      <x:c r="AR416" t="n">
        <x:f>--AND(AQ416=1,AA416=1)</x:f>
        <x:v>0</x:v>
      </x:c>
    </x:row>
    <x:row r="417">
      <x:c r="A417" s="28"/>
      <x:c r="B417" s="28"/>
      <x:c r="C417" s="28"/>
      <x:c r="D417" s="28"/>
      <x:c r="E417" s="28"/>
      <x:c r="F417" s="28"/>
      <x:c r="G417" s="28"/>
      <x:c r="H417" s="28"/>
      <x:c r="I417" s="28"/>
      <x:c r="J417" s="28"/>
      <x:c r="K417" s="28"/>
      <x:c r="L417" s="28"/>
      <x:c r="M417" s="28"/>
      <x:c r="N417" s="28"/>
      <x:c r="O417" s="28"/>
      <x:c r="P417" s="28"/>
      <x:c r="Q417" s="28"/>
      <x:c r="R417" s="28"/>
      <x:c r="S417" s="28"/>
      <x:c r="T417" s="28"/>
      <x:c r="U417" s="28"/>
      <x:c r="V417" s="28"/>
      <x:c r="W417" s="28"/>
      <x:c r="X417" s="43" t="n">
        <x:f>--AND(S417=1,T417=1,U417=1,V417=1,W417=1)</x:f>
        <x:v>0</x:v>
      </x:c>
      <x:c r="AE417" s="43" t="n">
        <x:f>--AND(S417=1,M417&lt;&gt;"",M417&lt;&gt;"keep")</x:f>
        <x:v>0</x:v>
      </x:c>
      <x:c r="AG417" t="n">
        <x:f>--AND(S417=1,T417=1,U417=1,V417=1,W417=1,AE417=1)</x:f>
        <x:v>0</x:v>
      </x:c>
      <x:c r="AJ417" t="str">
        <x:f>IF(OR(AH417="",AI417=""),"",--(AH417&lt;&gt;AI417))</x:f>
      </x:c>
      <x:c r="AL417" t="str">
        <x:f>IF(OR(AH417="",AI417=""),"PENDING_HUMAN",IF(AH417=AI417,AH417,IF(AK417&lt;&gt;"",AK417,"PENDING_HUMAN")))</x:f>
        <x:v>PENDING_HUMAN</x:v>
      </x:c>
      <x:c r="AM417" t="n">
        <x:f>--AND(A417&lt;&gt;"",AH417&lt;&gt;"",AI417&lt;&gt;"",OR(AH417=AI417,AK417&lt;&gt;""))</x:f>
        <x:v>0</x:v>
      </x:c>
      <x:c r="AN417" t="n">
        <x:f>--AND(Y417&lt;&gt;"",COUNTIF($Y$4:Y417,Y417)=1)</x:f>
        <x:v>0</x:v>
      </x:c>
      <x:c r="AO417" t="n">
        <x:f>--AND(AN417=1,Z417=1,AM417=1)</x:f>
        <x:v>0</x:v>
      </x:c>
      <x:c r="AP417" t="n">
        <x:f>--AND(AO417=1,AA417=1,AL417=1)</x:f>
        <x:v>0</x:v>
      </x:c>
      <x:c r="AQ417" t="n">
        <x:f>--AND(AN417=1,Z417=1)</x:f>
        <x:v>0</x:v>
      </x:c>
      <x:c r="AR417" t="n">
        <x:f>--AND(AQ417=1,AA417=1)</x:f>
        <x:v>0</x:v>
      </x:c>
    </x:row>
    <x:row r="418">
      <x:c r="A418" s="28"/>
      <x:c r="B418" s="28"/>
      <x:c r="C418" s="28"/>
      <x:c r="D418" s="28"/>
      <x:c r="E418" s="28"/>
      <x:c r="F418" s="28"/>
      <x:c r="G418" s="28"/>
      <x:c r="H418" s="28"/>
      <x:c r="I418" s="28"/>
      <x:c r="J418" s="28"/>
      <x:c r="K418" s="28"/>
      <x:c r="L418" s="28"/>
      <x:c r="M418" s="28"/>
      <x:c r="N418" s="28"/>
      <x:c r="O418" s="28"/>
      <x:c r="P418" s="28"/>
      <x:c r="Q418" s="28"/>
      <x:c r="R418" s="28"/>
      <x:c r="S418" s="28"/>
      <x:c r="T418" s="28"/>
      <x:c r="U418" s="28"/>
      <x:c r="V418" s="28"/>
      <x:c r="W418" s="28"/>
      <x:c r="X418" s="43" t="n">
        <x:f>--AND(S418=1,T418=1,U418=1,V418=1,W418=1)</x:f>
        <x:v>0</x:v>
      </x:c>
      <x:c r="AE418" s="43" t="n">
        <x:f>--AND(S418=1,M418&lt;&gt;"",M418&lt;&gt;"keep")</x:f>
        <x:v>0</x:v>
      </x:c>
      <x:c r="AG418" t="n">
        <x:f>--AND(S418=1,T418=1,U418=1,V418=1,W418=1,AE418=1)</x:f>
        <x:v>0</x:v>
      </x:c>
      <x:c r="AJ418" t="str">
        <x:f>IF(OR(AH418="",AI418=""),"",--(AH418&lt;&gt;AI418))</x:f>
      </x:c>
      <x:c r="AL418" t="str">
        <x:f>IF(OR(AH418="",AI418=""),"PENDING_HUMAN",IF(AH418=AI418,AH418,IF(AK418&lt;&gt;"",AK418,"PENDING_HUMAN")))</x:f>
        <x:v>PENDING_HUMAN</x:v>
      </x:c>
      <x:c r="AM418" t="n">
        <x:f>--AND(A418&lt;&gt;"",AH418&lt;&gt;"",AI418&lt;&gt;"",OR(AH418=AI418,AK418&lt;&gt;""))</x:f>
        <x:v>0</x:v>
      </x:c>
      <x:c r="AN418" t="n">
        <x:f>--AND(Y418&lt;&gt;"",COUNTIF($Y$4:Y418,Y418)=1)</x:f>
        <x:v>0</x:v>
      </x:c>
      <x:c r="AO418" t="n">
        <x:f>--AND(AN418=1,Z418=1,AM418=1)</x:f>
        <x:v>0</x:v>
      </x:c>
      <x:c r="AP418" t="n">
        <x:f>--AND(AO418=1,AA418=1,AL418=1)</x:f>
        <x:v>0</x:v>
      </x:c>
      <x:c r="AQ418" t="n">
        <x:f>--AND(AN418=1,Z418=1)</x:f>
        <x:v>0</x:v>
      </x:c>
      <x:c r="AR418" t="n">
        <x:f>--AND(AQ418=1,AA418=1)</x:f>
        <x:v>0</x:v>
      </x:c>
    </x:row>
    <x:row r="419">
      <x:c r="A419" s="28"/>
      <x:c r="B419" s="28"/>
      <x:c r="C419" s="28"/>
      <x:c r="D419" s="28"/>
      <x:c r="E419" s="28"/>
      <x:c r="F419" s="28"/>
      <x:c r="G419" s="28"/>
      <x:c r="H419" s="28"/>
      <x:c r="I419" s="28"/>
      <x:c r="J419" s="28"/>
      <x:c r="K419" s="28"/>
      <x:c r="L419" s="28"/>
      <x:c r="M419" s="28"/>
      <x:c r="N419" s="28"/>
      <x:c r="O419" s="28"/>
      <x:c r="P419" s="28"/>
      <x:c r="Q419" s="28"/>
      <x:c r="R419" s="28"/>
      <x:c r="S419" s="28"/>
      <x:c r="T419" s="28"/>
      <x:c r="U419" s="28"/>
      <x:c r="V419" s="28"/>
      <x:c r="W419" s="28"/>
      <x:c r="X419" s="43" t="n">
        <x:f>--AND(S419=1,T419=1,U419=1,V419=1,W419=1)</x:f>
        <x:v>0</x:v>
      </x:c>
      <x:c r="AE419" s="43" t="n">
        <x:f>--AND(S419=1,M419&lt;&gt;"",M419&lt;&gt;"keep")</x:f>
        <x:v>0</x:v>
      </x:c>
      <x:c r="AG419" t="n">
        <x:f>--AND(S419=1,T419=1,U419=1,V419=1,W419=1,AE419=1)</x:f>
        <x:v>0</x:v>
      </x:c>
      <x:c r="AJ419" t="str">
        <x:f>IF(OR(AH419="",AI419=""),"",--(AH419&lt;&gt;AI419))</x:f>
      </x:c>
      <x:c r="AL419" t="str">
        <x:f>IF(OR(AH419="",AI419=""),"PENDING_HUMAN",IF(AH419=AI419,AH419,IF(AK419&lt;&gt;"",AK419,"PENDING_HUMAN")))</x:f>
        <x:v>PENDING_HUMAN</x:v>
      </x:c>
      <x:c r="AM419" t="n">
        <x:f>--AND(A419&lt;&gt;"",AH419&lt;&gt;"",AI419&lt;&gt;"",OR(AH419=AI419,AK419&lt;&gt;""))</x:f>
        <x:v>0</x:v>
      </x:c>
      <x:c r="AN419" t="n">
        <x:f>--AND(Y419&lt;&gt;"",COUNTIF($Y$4:Y419,Y419)=1)</x:f>
        <x:v>0</x:v>
      </x:c>
      <x:c r="AO419" t="n">
        <x:f>--AND(AN419=1,Z419=1,AM419=1)</x:f>
        <x:v>0</x:v>
      </x:c>
      <x:c r="AP419" t="n">
        <x:f>--AND(AO419=1,AA419=1,AL419=1)</x:f>
        <x:v>0</x:v>
      </x:c>
      <x:c r="AQ419" t="n">
        <x:f>--AND(AN419=1,Z419=1)</x:f>
        <x:v>0</x:v>
      </x:c>
      <x:c r="AR419" t="n">
        <x:f>--AND(AQ419=1,AA419=1)</x:f>
        <x:v>0</x:v>
      </x:c>
    </x:row>
    <x:row r="420">
      <x:c r="A420" s="28"/>
      <x:c r="B420" s="28"/>
      <x:c r="C420" s="28"/>
      <x:c r="D420" s="28"/>
      <x:c r="E420" s="28"/>
      <x:c r="F420" s="28"/>
      <x:c r="G420" s="28"/>
      <x:c r="H420" s="28"/>
      <x:c r="I420" s="28"/>
      <x:c r="J420" s="28"/>
      <x:c r="K420" s="28"/>
      <x:c r="L420" s="28"/>
      <x:c r="M420" s="28"/>
      <x:c r="N420" s="28"/>
      <x:c r="O420" s="28"/>
      <x:c r="P420" s="28"/>
      <x:c r="Q420" s="28"/>
      <x:c r="R420" s="28"/>
      <x:c r="S420" s="28"/>
      <x:c r="T420" s="28"/>
      <x:c r="U420" s="28"/>
      <x:c r="V420" s="28"/>
      <x:c r="W420" s="28"/>
      <x:c r="X420" s="43" t="n">
        <x:f>--AND(S420=1,T420=1,U420=1,V420=1,W420=1)</x:f>
        <x:v>0</x:v>
      </x:c>
      <x:c r="AE420" s="43" t="n">
        <x:f>--AND(S420=1,M420&lt;&gt;"",M420&lt;&gt;"keep")</x:f>
        <x:v>0</x:v>
      </x:c>
      <x:c r="AG420" t="n">
        <x:f>--AND(S420=1,T420=1,U420=1,V420=1,W420=1,AE420=1)</x:f>
        <x:v>0</x:v>
      </x:c>
      <x:c r="AJ420" t="str">
        <x:f>IF(OR(AH420="",AI420=""),"",--(AH420&lt;&gt;AI420))</x:f>
      </x:c>
      <x:c r="AL420" t="str">
        <x:f>IF(OR(AH420="",AI420=""),"PENDING_HUMAN",IF(AH420=AI420,AH420,IF(AK420&lt;&gt;"",AK420,"PENDING_HUMAN")))</x:f>
        <x:v>PENDING_HUMAN</x:v>
      </x:c>
      <x:c r="AM420" t="n">
        <x:f>--AND(A420&lt;&gt;"",AH420&lt;&gt;"",AI420&lt;&gt;"",OR(AH420=AI420,AK420&lt;&gt;""))</x:f>
        <x:v>0</x:v>
      </x:c>
      <x:c r="AN420" t="n">
        <x:f>--AND(Y420&lt;&gt;"",COUNTIF($Y$4:Y420,Y420)=1)</x:f>
        <x:v>0</x:v>
      </x:c>
      <x:c r="AO420" t="n">
        <x:f>--AND(AN420=1,Z420=1,AM420=1)</x:f>
        <x:v>0</x:v>
      </x:c>
      <x:c r="AP420" t="n">
        <x:f>--AND(AO420=1,AA420=1,AL420=1)</x:f>
        <x:v>0</x:v>
      </x:c>
      <x:c r="AQ420" t="n">
        <x:f>--AND(AN420=1,Z420=1)</x:f>
        <x:v>0</x:v>
      </x:c>
      <x:c r="AR420" t="n">
        <x:f>--AND(AQ420=1,AA420=1)</x:f>
        <x:v>0</x:v>
      </x:c>
    </x:row>
    <x:row r="421">
      <x:c r="A421" s="28"/>
      <x:c r="B421" s="28"/>
      <x:c r="C421" s="28"/>
      <x:c r="D421" s="28"/>
      <x:c r="E421" s="28"/>
      <x:c r="F421" s="28"/>
      <x:c r="G421" s="28"/>
      <x:c r="H421" s="28"/>
      <x:c r="I421" s="28"/>
      <x:c r="J421" s="28"/>
      <x:c r="K421" s="28"/>
      <x:c r="L421" s="28"/>
      <x:c r="M421" s="28"/>
      <x:c r="N421" s="28"/>
      <x:c r="O421" s="28"/>
      <x:c r="P421" s="28"/>
      <x:c r="Q421" s="28"/>
      <x:c r="R421" s="28"/>
      <x:c r="S421" s="28"/>
      <x:c r="T421" s="28"/>
      <x:c r="U421" s="28"/>
      <x:c r="V421" s="28"/>
      <x:c r="W421" s="28"/>
      <x:c r="X421" s="43" t="n">
        <x:f>--AND(S421=1,T421=1,U421=1,V421=1,W421=1)</x:f>
        <x:v>0</x:v>
      </x:c>
      <x:c r="AE421" s="43" t="n">
        <x:f>--AND(S421=1,M421&lt;&gt;"",M421&lt;&gt;"keep")</x:f>
        <x:v>0</x:v>
      </x:c>
      <x:c r="AG421" t="n">
        <x:f>--AND(S421=1,T421=1,U421=1,V421=1,W421=1,AE421=1)</x:f>
        <x:v>0</x:v>
      </x:c>
      <x:c r="AJ421" t="str">
        <x:f>IF(OR(AH421="",AI421=""),"",--(AH421&lt;&gt;AI421))</x:f>
      </x:c>
      <x:c r="AL421" t="str">
        <x:f>IF(OR(AH421="",AI421=""),"PENDING_HUMAN",IF(AH421=AI421,AH421,IF(AK421&lt;&gt;"",AK421,"PENDING_HUMAN")))</x:f>
        <x:v>PENDING_HUMAN</x:v>
      </x:c>
      <x:c r="AM421" t="n">
        <x:f>--AND(A421&lt;&gt;"",AH421&lt;&gt;"",AI421&lt;&gt;"",OR(AH421=AI421,AK421&lt;&gt;""))</x:f>
        <x:v>0</x:v>
      </x:c>
      <x:c r="AN421" t="n">
        <x:f>--AND(Y421&lt;&gt;"",COUNTIF($Y$4:Y421,Y421)=1)</x:f>
        <x:v>0</x:v>
      </x:c>
      <x:c r="AO421" t="n">
        <x:f>--AND(AN421=1,Z421=1,AM421=1)</x:f>
        <x:v>0</x:v>
      </x:c>
      <x:c r="AP421" t="n">
        <x:f>--AND(AO421=1,AA421=1,AL421=1)</x:f>
        <x:v>0</x:v>
      </x:c>
      <x:c r="AQ421" t="n">
        <x:f>--AND(AN421=1,Z421=1)</x:f>
        <x:v>0</x:v>
      </x:c>
      <x:c r="AR421" t="n">
        <x:f>--AND(AQ421=1,AA421=1)</x:f>
        <x:v>0</x:v>
      </x:c>
    </x:row>
    <x:row r="422">
      <x:c r="A422" s="28"/>
      <x:c r="B422" s="28"/>
      <x:c r="C422" s="28"/>
      <x:c r="D422" s="28"/>
      <x:c r="E422" s="28"/>
      <x:c r="F422" s="28"/>
      <x:c r="G422" s="28"/>
      <x:c r="H422" s="28"/>
      <x:c r="I422" s="28"/>
      <x:c r="J422" s="28"/>
      <x:c r="K422" s="28"/>
      <x:c r="L422" s="28"/>
      <x:c r="M422" s="28"/>
      <x:c r="N422" s="28"/>
      <x:c r="O422" s="28"/>
      <x:c r="P422" s="28"/>
      <x:c r="Q422" s="28"/>
      <x:c r="R422" s="28"/>
      <x:c r="S422" s="28"/>
      <x:c r="T422" s="28"/>
      <x:c r="U422" s="28"/>
      <x:c r="V422" s="28"/>
      <x:c r="W422" s="28"/>
      <x:c r="X422" s="43" t="n">
        <x:f>--AND(S422=1,T422=1,U422=1,V422=1,W422=1)</x:f>
        <x:v>0</x:v>
      </x:c>
      <x:c r="AE422" s="43" t="n">
        <x:f>--AND(S422=1,M422&lt;&gt;"",M422&lt;&gt;"keep")</x:f>
        <x:v>0</x:v>
      </x:c>
      <x:c r="AG422" t="n">
        <x:f>--AND(S422=1,T422=1,U422=1,V422=1,W422=1,AE422=1)</x:f>
        <x:v>0</x:v>
      </x:c>
      <x:c r="AJ422" t="str">
        <x:f>IF(OR(AH422="",AI422=""),"",--(AH422&lt;&gt;AI422))</x:f>
      </x:c>
      <x:c r="AL422" t="str">
        <x:f>IF(OR(AH422="",AI422=""),"PENDING_HUMAN",IF(AH422=AI422,AH422,IF(AK422&lt;&gt;"",AK422,"PENDING_HUMAN")))</x:f>
        <x:v>PENDING_HUMAN</x:v>
      </x:c>
      <x:c r="AM422" t="n">
        <x:f>--AND(A422&lt;&gt;"",AH422&lt;&gt;"",AI422&lt;&gt;"",OR(AH422=AI422,AK422&lt;&gt;""))</x:f>
        <x:v>0</x:v>
      </x:c>
      <x:c r="AN422" t="n">
        <x:f>--AND(Y422&lt;&gt;"",COUNTIF($Y$4:Y422,Y422)=1)</x:f>
        <x:v>0</x:v>
      </x:c>
      <x:c r="AO422" t="n">
        <x:f>--AND(AN422=1,Z422=1,AM422=1)</x:f>
        <x:v>0</x:v>
      </x:c>
      <x:c r="AP422" t="n">
        <x:f>--AND(AO422=1,AA422=1,AL422=1)</x:f>
        <x:v>0</x:v>
      </x:c>
      <x:c r="AQ422" t="n">
        <x:f>--AND(AN422=1,Z422=1)</x:f>
        <x:v>0</x:v>
      </x:c>
      <x:c r="AR422" t="n">
        <x:f>--AND(AQ422=1,AA422=1)</x:f>
        <x:v>0</x:v>
      </x:c>
    </x:row>
    <x:row r="423">
      <x:c r="A423" s="28"/>
      <x:c r="B423" s="28"/>
      <x:c r="C423" s="28"/>
      <x:c r="D423" s="28"/>
      <x:c r="E423" s="28"/>
      <x:c r="F423" s="28"/>
      <x:c r="G423" s="28"/>
      <x:c r="H423" s="28"/>
      <x:c r="I423" s="28"/>
      <x:c r="J423" s="28"/>
      <x:c r="K423" s="28"/>
      <x:c r="L423" s="28"/>
      <x:c r="M423" s="28"/>
      <x:c r="N423" s="28"/>
      <x:c r="O423" s="28"/>
      <x:c r="P423" s="28"/>
      <x:c r="Q423" s="28"/>
      <x:c r="R423" s="28"/>
      <x:c r="S423" s="28"/>
      <x:c r="T423" s="28"/>
      <x:c r="U423" s="28"/>
      <x:c r="V423" s="28"/>
      <x:c r="W423" s="28"/>
      <x:c r="X423" s="43" t="n">
        <x:f>--AND(S423=1,T423=1,U423=1,V423=1,W423=1)</x:f>
        <x:v>0</x:v>
      </x:c>
      <x:c r="AE423" s="43" t="n">
        <x:f>--AND(S423=1,M423&lt;&gt;"",M423&lt;&gt;"keep")</x:f>
        <x:v>0</x:v>
      </x:c>
      <x:c r="AG423" t="n">
        <x:f>--AND(S423=1,T423=1,U423=1,V423=1,W423=1,AE423=1)</x:f>
        <x:v>0</x:v>
      </x:c>
      <x:c r="AJ423" t="str">
        <x:f>IF(OR(AH423="",AI423=""),"",--(AH423&lt;&gt;AI423))</x:f>
      </x:c>
      <x:c r="AL423" t="str">
        <x:f>IF(OR(AH423="",AI423=""),"PENDING_HUMAN",IF(AH423=AI423,AH423,IF(AK423&lt;&gt;"",AK423,"PENDING_HUMAN")))</x:f>
        <x:v>PENDING_HUMAN</x:v>
      </x:c>
      <x:c r="AM423" t="n">
        <x:f>--AND(A423&lt;&gt;"",AH423&lt;&gt;"",AI423&lt;&gt;"",OR(AH423=AI423,AK423&lt;&gt;""))</x:f>
        <x:v>0</x:v>
      </x:c>
      <x:c r="AN423" t="n">
        <x:f>--AND(Y423&lt;&gt;"",COUNTIF($Y$4:Y423,Y423)=1)</x:f>
        <x:v>0</x:v>
      </x:c>
      <x:c r="AO423" t="n">
        <x:f>--AND(AN423=1,Z423=1,AM423=1)</x:f>
        <x:v>0</x:v>
      </x:c>
      <x:c r="AP423" t="n">
        <x:f>--AND(AO423=1,AA423=1,AL423=1)</x:f>
        <x:v>0</x:v>
      </x:c>
      <x:c r="AQ423" t="n">
        <x:f>--AND(AN423=1,Z423=1)</x:f>
        <x:v>0</x:v>
      </x:c>
      <x:c r="AR423" t="n">
        <x:f>--AND(AQ423=1,AA423=1)</x:f>
        <x:v>0</x:v>
      </x:c>
    </x:row>
    <x:row r="424">
      <x:c r="A424" s="28"/>
      <x:c r="B424" s="28"/>
      <x:c r="C424" s="28"/>
      <x:c r="D424" s="28"/>
      <x:c r="E424" s="28"/>
      <x:c r="F424" s="28"/>
      <x:c r="G424" s="28"/>
      <x:c r="H424" s="28"/>
      <x:c r="I424" s="28"/>
      <x:c r="J424" s="28"/>
      <x:c r="K424" s="28"/>
      <x:c r="L424" s="28"/>
      <x:c r="M424" s="28"/>
      <x:c r="N424" s="28"/>
      <x:c r="O424" s="28"/>
      <x:c r="P424" s="28"/>
      <x:c r="Q424" s="28"/>
      <x:c r="R424" s="28"/>
      <x:c r="S424" s="28"/>
      <x:c r="T424" s="28"/>
      <x:c r="U424" s="28"/>
      <x:c r="V424" s="28"/>
      <x:c r="W424" s="28"/>
      <x:c r="X424" s="43" t="n">
        <x:f>--AND(S424=1,T424=1,U424=1,V424=1,W424=1)</x:f>
        <x:v>0</x:v>
      </x:c>
      <x:c r="AE424" s="43" t="n">
        <x:f>--AND(S424=1,M424&lt;&gt;"",M424&lt;&gt;"keep")</x:f>
        <x:v>0</x:v>
      </x:c>
      <x:c r="AG424" t="n">
        <x:f>--AND(S424=1,T424=1,U424=1,V424=1,W424=1,AE424=1)</x:f>
        <x:v>0</x:v>
      </x:c>
      <x:c r="AJ424" t="str">
        <x:f>IF(OR(AH424="",AI424=""),"",--(AH424&lt;&gt;AI424))</x:f>
      </x:c>
      <x:c r="AL424" t="str">
        <x:f>IF(OR(AH424="",AI424=""),"PENDING_HUMAN",IF(AH424=AI424,AH424,IF(AK424&lt;&gt;"",AK424,"PENDING_HUMAN")))</x:f>
        <x:v>PENDING_HUMAN</x:v>
      </x:c>
      <x:c r="AM424" t="n">
        <x:f>--AND(A424&lt;&gt;"",AH424&lt;&gt;"",AI424&lt;&gt;"",OR(AH424=AI424,AK424&lt;&gt;""))</x:f>
        <x:v>0</x:v>
      </x:c>
      <x:c r="AN424" t="n">
        <x:f>--AND(Y424&lt;&gt;"",COUNTIF($Y$4:Y424,Y424)=1)</x:f>
        <x:v>0</x:v>
      </x:c>
      <x:c r="AO424" t="n">
        <x:f>--AND(AN424=1,Z424=1,AM424=1)</x:f>
        <x:v>0</x:v>
      </x:c>
      <x:c r="AP424" t="n">
        <x:f>--AND(AO424=1,AA424=1,AL424=1)</x:f>
        <x:v>0</x:v>
      </x:c>
      <x:c r="AQ424" t="n">
        <x:f>--AND(AN424=1,Z424=1)</x:f>
        <x:v>0</x:v>
      </x:c>
      <x:c r="AR424" t="n">
        <x:f>--AND(AQ424=1,AA424=1)</x:f>
        <x:v>0</x:v>
      </x:c>
    </x:row>
    <x:row r="425">
      <x:c r="A425" s="28"/>
      <x:c r="B425" s="28"/>
      <x:c r="C425" s="28"/>
      <x:c r="D425" s="28"/>
      <x:c r="E425" s="28"/>
      <x:c r="F425" s="28"/>
      <x:c r="G425" s="28"/>
      <x:c r="H425" s="28"/>
      <x:c r="I425" s="28"/>
      <x:c r="J425" s="28"/>
      <x:c r="K425" s="28"/>
      <x:c r="L425" s="28"/>
      <x:c r="M425" s="28"/>
      <x:c r="N425" s="28"/>
      <x:c r="O425" s="28"/>
      <x:c r="P425" s="28"/>
      <x:c r="Q425" s="28"/>
      <x:c r="R425" s="28"/>
      <x:c r="S425" s="28"/>
      <x:c r="T425" s="28"/>
      <x:c r="U425" s="28"/>
      <x:c r="V425" s="28"/>
      <x:c r="W425" s="28"/>
      <x:c r="X425" s="43" t="n">
        <x:f>--AND(S425=1,T425=1,U425=1,V425=1,W425=1)</x:f>
        <x:v>0</x:v>
      </x:c>
      <x:c r="AE425" s="43" t="n">
        <x:f>--AND(S425=1,M425&lt;&gt;"",M425&lt;&gt;"keep")</x:f>
        <x:v>0</x:v>
      </x:c>
      <x:c r="AG425" t="n">
        <x:f>--AND(S425=1,T425=1,U425=1,V425=1,W425=1,AE425=1)</x:f>
        <x:v>0</x:v>
      </x:c>
      <x:c r="AJ425" t="str">
        <x:f>IF(OR(AH425="",AI425=""),"",--(AH425&lt;&gt;AI425))</x:f>
      </x:c>
      <x:c r="AL425" t="str">
        <x:f>IF(OR(AH425="",AI425=""),"PENDING_HUMAN",IF(AH425=AI425,AH425,IF(AK425&lt;&gt;"",AK425,"PENDING_HUMAN")))</x:f>
        <x:v>PENDING_HUMAN</x:v>
      </x:c>
      <x:c r="AM425" t="n">
        <x:f>--AND(A425&lt;&gt;"",AH425&lt;&gt;"",AI425&lt;&gt;"",OR(AH425=AI425,AK425&lt;&gt;""))</x:f>
        <x:v>0</x:v>
      </x:c>
      <x:c r="AN425" t="n">
        <x:f>--AND(Y425&lt;&gt;"",COUNTIF($Y$4:Y425,Y425)=1)</x:f>
        <x:v>0</x:v>
      </x:c>
      <x:c r="AO425" t="n">
        <x:f>--AND(AN425=1,Z425=1,AM425=1)</x:f>
        <x:v>0</x:v>
      </x:c>
      <x:c r="AP425" t="n">
        <x:f>--AND(AO425=1,AA425=1,AL425=1)</x:f>
        <x:v>0</x:v>
      </x:c>
      <x:c r="AQ425" t="n">
        <x:f>--AND(AN425=1,Z425=1)</x:f>
        <x:v>0</x:v>
      </x:c>
      <x:c r="AR425" t="n">
        <x:f>--AND(AQ425=1,AA425=1)</x:f>
        <x:v>0</x:v>
      </x:c>
    </x:row>
    <x:row r="426">
      <x:c r="A426" s="28"/>
      <x:c r="B426" s="28"/>
      <x:c r="C426" s="28"/>
      <x:c r="D426" s="28"/>
      <x:c r="E426" s="28"/>
      <x:c r="F426" s="28"/>
      <x:c r="G426" s="28"/>
      <x:c r="H426" s="28"/>
      <x:c r="I426" s="28"/>
      <x:c r="J426" s="28"/>
      <x:c r="K426" s="28"/>
      <x:c r="L426" s="28"/>
      <x:c r="M426" s="28"/>
      <x:c r="N426" s="28"/>
      <x:c r="O426" s="28"/>
      <x:c r="P426" s="28"/>
      <x:c r="Q426" s="28"/>
      <x:c r="R426" s="28"/>
      <x:c r="S426" s="28"/>
      <x:c r="T426" s="28"/>
      <x:c r="U426" s="28"/>
      <x:c r="V426" s="28"/>
      <x:c r="W426" s="28"/>
      <x:c r="X426" s="43" t="n">
        <x:f>--AND(S426=1,T426=1,U426=1,V426=1,W426=1)</x:f>
        <x:v>0</x:v>
      </x:c>
      <x:c r="AE426" s="43" t="n">
        <x:f>--AND(S426=1,M426&lt;&gt;"",M426&lt;&gt;"keep")</x:f>
        <x:v>0</x:v>
      </x:c>
      <x:c r="AG426" t="n">
        <x:f>--AND(S426=1,T426=1,U426=1,V426=1,W426=1,AE426=1)</x:f>
        <x:v>0</x:v>
      </x:c>
      <x:c r="AJ426" t="str">
        <x:f>IF(OR(AH426="",AI426=""),"",--(AH426&lt;&gt;AI426))</x:f>
      </x:c>
      <x:c r="AL426" t="str">
        <x:f>IF(OR(AH426="",AI426=""),"PENDING_HUMAN",IF(AH426=AI426,AH426,IF(AK426&lt;&gt;"",AK426,"PENDING_HUMAN")))</x:f>
        <x:v>PENDING_HUMAN</x:v>
      </x:c>
      <x:c r="AM426" t="n">
        <x:f>--AND(A426&lt;&gt;"",AH426&lt;&gt;"",AI426&lt;&gt;"",OR(AH426=AI426,AK426&lt;&gt;""))</x:f>
        <x:v>0</x:v>
      </x:c>
      <x:c r="AN426" t="n">
        <x:f>--AND(Y426&lt;&gt;"",COUNTIF($Y$4:Y426,Y426)=1)</x:f>
        <x:v>0</x:v>
      </x:c>
      <x:c r="AO426" t="n">
        <x:f>--AND(AN426=1,Z426=1,AM426=1)</x:f>
        <x:v>0</x:v>
      </x:c>
      <x:c r="AP426" t="n">
        <x:f>--AND(AO426=1,AA426=1,AL426=1)</x:f>
        <x:v>0</x:v>
      </x:c>
      <x:c r="AQ426" t="n">
        <x:f>--AND(AN426=1,Z426=1)</x:f>
        <x:v>0</x:v>
      </x:c>
      <x:c r="AR426" t="n">
        <x:f>--AND(AQ426=1,AA426=1)</x:f>
        <x:v>0</x:v>
      </x:c>
    </x:row>
    <x:row r="427">
      <x:c r="A427" s="28"/>
      <x:c r="B427" s="28"/>
      <x:c r="C427" s="28"/>
      <x:c r="D427" s="28"/>
      <x:c r="E427" s="28"/>
      <x:c r="F427" s="28"/>
      <x:c r="G427" s="28"/>
      <x:c r="H427" s="28"/>
      <x:c r="I427" s="28"/>
      <x:c r="J427" s="28"/>
      <x:c r="K427" s="28"/>
      <x:c r="L427" s="28"/>
      <x:c r="M427" s="28"/>
      <x:c r="N427" s="28"/>
      <x:c r="O427" s="28"/>
      <x:c r="P427" s="28"/>
      <x:c r="Q427" s="28"/>
      <x:c r="R427" s="28"/>
      <x:c r="S427" s="28"/>
      <x:c r="T427" s="28"/>
      <x:c r="U427" s="28"/>
      <x:c r="V427" s="28"/>
      <x:c r="W427" s="28"/>
      <x:c r="X427" s="43" t="n">
        <x:f>--AND(S427=1,T427=1,U427=1,V427=1,W427=1)</x:f>
        <x:v>0</x:v>
      </x:c>
      <x:c r="AE427" s="43" t="n">
        <x:f>--AND(S427=1,M427&lt;&gt;"",M427&lt;&gt;"keep")</x:f>
        <x:v>0</x:v>
      </x:c>
      <x:c r="AG427" t="n">
        <x:f>--AND(S427=1,T427=1,U427=1,V427=1,W427=1,AE427=1)</x:f>
        <x:v>0</x:v>
      </x:c>
      <x:c r="AJ427" t="str">
        <x:f>IF(OR(AH427="",AI427=""),"",--(AH427&lt;&gt;AI427))</x:f>
      </x:c>
      <x:c r="AL427" t="str">
        <x:f>IF(OR(AH427="",AI427=""),"PENDING_HUMAN",IF(AH427=AI427,AH427,IF(AK427&lt;&gt;"",AK427,"PENDING_HUMAN")))</x:f>
        <x:v>PENDING_HUMAN</x:v>
      </x:c>
      <x:c r="AM427" t="n">
        <x:f>--AND(A427&lt;&gt;"",AH427&lt;&gt;"",AI427&lt;&gt;"",OR(AH427=AI427,AK427&lt;&gt;""))</x:f>
        <x:v>0</x:v>
      </x:c>
      <x:c r="AN427" t="n">
        <x:f>--AND(Y427&lt;&gt;"",COUNTIF($Y$4:Y427,Y427)=1)</x:f>
        <x:v>0</x:v>
      </x:c>
      <x:c r="AO427" t="n">
        <x:f>--AND(AN427=1,Z427=1,AM427=1)</x:f>
        <x:v>0</x:v>
      </x:c>
      <x:c r="AP427" t="n">
        <x:f>--AND(AO427=1,AA427=1,AL427=1)</x:f>
        <x:v>0</x:v>
      </x:c>
      <x:c r="AQ427" t="n">
        <x:f>--AND(AN427=1,Z427=1)</x:f>
        <x:v>0</x:v>
      </x:c>
      <x:c r="AR427" t="n">
        <x:f>--AND(AQ427=1,AA427=1)</x:f>
        <x:v>0</x:v>
      </x:c>
    </x:row>
    <x:row r="428">
      <x:c r="A428" s="28"/>
      <x:c r="B428" s="28"/>
      <x:c r="C428" s="28"/>
      <x:c r="D428" s="28"/>
      <x:c r="E428" s="28"/>
      <x:c r="F428" s="28"/>
      <x:c r="G428" s="28"/>
      <x:c r="H428" s="28"/>
      <x:c r="I428" s="28"/>
      <x:c r="J428" s="28"/>
      <x:c r="K428" s="28"/>
      <x:c r="L428" s="28"/>
      <x:c r="M428" s="28"/>
      <x:c r="N428" s="28"/>
      <x:c r="O428" s="28"/>
      <x:c r="P428" s="28"/>
      <x:c r="Q428" s="28"/>
      <x:c r="R428" s="28"/>
      <x:c r="S428" s="28"/>
      <x:c r="T428" s="28"/>
      <x:c r="U428" s="28"/>
      <x:c r="V428" s="28"/>
      <x:c r="W428" s="28"/>
      <x:c r="X428" s="43" t="n">
        <x:f>--AND(S428=1,T428=1,U428=1,V428=1,W428=1)</x:f>
        <x:v>0</x:v>
      </x:c>
      <x:c r="AE428" s="43" t="n">
        <x:f>--AND(S428=1,M428&lt;&gt;"",M428&lt;&gt;"keep")</x:f>
        <x:v>0</x:v>
      </x:c>
      <x:c r="AG428" t="n">
        <x:f>--AND(S428=1,T428=1,U428=1,V428=1,W428=1,AE428=1)</x:f>
        <x:v>0</x:v>
      </x:c>
      <x:c r="AJ428" t="str">
        <x:f>IF(OR(AH428="",AI428=""),"",--(AH428&lt;&gt;AI428))</x:f>
      </x:c>
      <x:c r="AL428" t="str">
        <x:f>IF(OR(AH428="",AI428=""),"PENDING_HUMAN",IF(AH428=AI428,AH428,IF(AK428&lt;&gt;"",AK428,"PENDING_HUMAN")))</x:f>
        <x:v>PENDING_HUMAN</x:v>
      </x:c>
      <x:c r="AM428" t="n">
        <x:f>--AND(A428&lt;&gt;"",AH428&lt;&gt;"",AI428&lt;&gt;"",OR(AH428=AI428,AK428&lt;&gt;""))</x:f>
        <x:v>0</x:v>
      </x:c>
      <x:c r="AN428" t="n">
        <x:f>--AND(Y428&lt;&gt;"",COUNTIF($Y$4:Y428,Y428)=1)</x:f>
        <x:v>0</x:v>
      </x:c>
      <x:c r="AO428" t="n">
        <x:f>--AND(AN428=1,Z428=1,AM428=1)</x:f>
        <x:v>0</x:v>
      </x:c>
      <x:c r="AP428" t="n">
        <x:f>--AND(AO428=1,AA428=1,AL428=1)</x:f>
        <x:v>0</x:v>
      </x:c>
      <x:c r="AQ428" t="n">
        <x:f>--AND(AN428=1,Z428=1)</x:f>
        <x:v>0</x:v>
      </x:c>
      <x:c r="AR428" t="n">
        <x:f>--AND(AQ428=1,AA428=1)</x:f>
        <x:v>0</x:v>
      </x:c>
    </x:row>
    <x:row r="429">
      <x:c r="A429" s="28"/>
      <x:c r="B429" s="28"/>
      <x:c r="C429" s="28"/>
      <x:c r="D429" s="28"/>
      <x:c r="E429" s="28"/>
      <x:c r="F429" s="28"/>
      <x:c r="G429" s="28"/>
      <x:c r="H429" s="28"/>
      <x:c r="I429" s="28"/>
      <x:c r="J429" s="28"/>
      <x:c r="K429" s="28"/>
      <x:c r="L429" s="28"/>
      <x:c r="M429" s="28"/>
      <x:c r="N429" s="28"/>
      <x:c r="O429" s="28"/>
      <x:c r="P429" s="28"/>
      <x:c r="Q429" s="28"/>
      <x:c r="R429" s="28"/>
      <x:c r="S429" s="28"/>
      <x:c r="T429" s="28"/>
      <x:c r="U429" s="28"/>
      <x:c r="V429" s="28"/>
      <x:c r="W429" s="28"/>
      <x:c r="X429" s="43" t="n">
        <x:f>--AND(S429=1,T429=1,U429=1,V429=1,W429=1)</x:f>
        <x:v>0</x:v>
      </x:c>
      <x:c r="AE429" s="43" t="n">
        <x:f>--AND(S429=1,M429&lt;&gt;"",M429&lt;&gt;"keep")</x:f>
        <x:v>0</x:v>
      </x:c>
      <x:c r="AG429" t="n">
        <x:f>--AND(S429=1,T429=1,U429=1,V429=1,W429=1,AE429=1)</x:f>
        <x:v>0</x:v>
      </x:c>
      <x:c r="AJ429" t="str">
        <x:f>IF(OR(AH429="",AI429=""),"",--(AH429&lt;&gt;AI429))</x:f>
      </x:c>
      <x:c r="AL429" t="str">
        <x:f>IF(OR(AH429="",AI429=""),"PENDING_HUMAN",IF(AH429=AI429,AH429,IF(AK429&lt;&gt;"",AK429,"PENDING_HUMAN")))</x:f>
        <x:v>PENDING_HUMAN</x:v>
      </x:c>
      <x:c r="AM429" t="n">
        <x:f>--AND(A429&lt;&gt;"",AH429&lt;&gt;"",AI429&lt;&gt;"",OR(AH429=AI429,AK429&lt;&gt;""))</x:f>
        <x:v>0</x:v>
      </x:c>
      <x:c r="AN429" t="n">
        <x:f>--AND(Y429&lt;&gt;"",COUNTIF($Y$4:Y429,Y429)=1)</x:f>
        <x:v>0</x:v>
      </x:c>
      <x:c r="AO429" t="n">
        <x:f>--AND(AN429=1,Z429=1,AM429=1)</x:f>
        <x:v>0</x:v>
      </x:c>
      <x:c r="AP429" t="n">
        <x:f>--AND(AO429=1,AA429=1,AL429=1)</x:f>
        <x:v>0</x:v>
      </x:c>
      <x:c r="AQ429" t="n">
        <x:f>--AND(AN429=1,Z429=1)</x:f>
        <x:v>0</x:v>
      </x:c>
      <x:c r="AR429" t="n">
        <x:f>--AND(AQ429=1,AA429=1)</x:f>
        <x:v>0</x:v>
      </x:c>
    </x:row>
    <x:row r="430">
      <x:c r="A430" s="28"/>
      <x:c r="B430" s="28"/>
      <x:c r="C430" s="28"/>
      <x:c r="D430" s="28"/>
      <x:c r="E430" s="28"/>
      <x:c r="F430" s="28"/>
      <x:c r="G430" s="28"/>
      <x:c r="H430" s="28"/>
      <x:c r="I430" s="28"/>
      <x:c r="J430" s="28"/>
      <x:c r="K430" s="28"/>
      <x:c r="L430" s="28"/>
      <x:c r="M430" s="28"/>
      <x:c r="N430" s="28"/>
      <x:c r="O430" s="28"/>
      <x:c r="P430" s="28"/>
      <x:c r="Q430" s="28"/>
      <x:c r="R430" s="28"/>
      <x:c r="S430" s="28"/>
      <x:c r="T430" s="28"/>
      <x:c r="U430" s="28"/>
      <x:c r="V430" s="28"/>
      <x:c r="W430" s="28"/>
      <x:c r="X430" s="43" t="n">
        <x:f>--AND(S430=1,T430=1,U430=1,V430=1,W430=1)</x:f>
        <x:v>0</x:v>
      </x:c>
      <x:c r="AE430" s="43" t="n">
        <x:f>--AND(S430=1,M430&lt;&gt;"",M430&lt;&gt;"keep")</x:f>
        <x:v>0</x:v>
      </x:c>
      <x:c r="AG430" t="n">
        <x:f>--AND(S430=1,T430=1,U430=1,V430=1,W430=1,AE430=1)</x:f>
        <x:v>0</x:v>
      </x:c>
      <x:c r="AJ430" t="str">
        <x:f>IF(OR(AH430="",AI430=""),"",--(AH430&lt;&gt;AI430))</x:f>
      </x:c>
      <x:c r="AL430" t="str">
        <x:f>IF(OR(AH430="",AI430=""),"PENDING_HUMAN",IF(AH430=AI430,AH430,IF(AK430&lt;&gt;"",AK430,"PENDING_HUMAN")))</x:f>
        <x:v>PENDING_HUMAN</x:v>
      </x:c>
      <x:c r="AM430" t="n">
        <x:f>--AND(A430&lt;&gt;"",AH430&lt;&gt;"",AI430&lt;&gt;"",OR(AH430=AI430,AK430&lt;&gt;""))</x:f>
        <x:v>0</x:v>
      </x:c>
      <x:c r="AN430" t="n">
        <x:f>--AND(Y430&lt;&gt;"",COUNTIF($Y$4:Y430,Y430)=1)</x:f>
        <x:v>0</x:v>
      </x:c>
      <x:c r="AO430" t="n">
        <x:f>--AND(AN430=1,Z430=1,AM430=1)</x:f>
        <x:v>0</x:v>
      </x:c>
      <x:c r="AP430" t="n">
        <x:f>--AND(AO430=1,AA430=1,AL430=1)</x:f>
        <x:v>0</x:v>
      </x:c>
      <x:c r="AQ430" t="n">
        <x:f>--AND(AN430=1,Z430=1)</x:f>
        <x:v>0</x:v>
      </x:c>
      <x:c r="AR430" t="n">
        <x:f>--AND(AQ430=1,AA430=1)</x:f>
        <x:v>0</x:v>
      </x:c>
    </x:row>
    <x:row r="431">
      <x:c r="A431" s="28"/>
      <x:c r="B431" s="28"/>
      <x:c r="C431" s="28"/>
      <x:c r="D431" s="28"/>
      <x:c r="E431" s="28"/>
      <x:c r="F431" s="28"/>
      <x:c r="G431" s="28"/>
      <x:c r="H431" s="28"/>
      <x:c r="I431" s="28"/>
      <x:c r="J431" s="28"/>
      <x:c r="K431" s="28"/>
      <x:c r="L431" s="28"/>
      <x:c r="M431" s="28"/>
      <x:c r="N431" s="28"/>
      <x:c r="O431" s="28"/>
      <x:c r="P431" s="28"/>
      <x:c r="Q431" s="28"/>
      <x:c r="R431" s="28"/>
      <x:c r="S431" s="28"/>
      <x:c r="T431" s="28"/>
      <x:c r="U431" s="28"/>
      <x:c r="V431" s="28"/>
      <x:c r="W431" s="28"/>
      <x:c r="X431" s="43" t="n">
        <x:f>--AND(S431=1,T431=1,U431=1,V431=1,W431=1)</x:f>
        <x:v>0</x:v>
      </x:c>
      <x:c r="AE431" s="43" t="n">
        <x:f>--AND(S431=1,M431&lt;&gt;"",M431&lt;&gt;"keep")</x:f>
        <x:v>0</x:v>
      </x:c>
      <x:c r="AG431" t="n">
        <x:f>--AND(S431=1,T431=1,U431=1,V431=1,W431=1,AE431=1)</x:f>
        <x:v>0</x:v>
      </x:c>
      <x:c r="AJ431" t="str">
        <x:f>IF(OR(AH431="",AI431=""),"",--(AH431&lt;&gt;AI431))</x:f>
      </x:c>
      <x:c r="AL431" t="str">
        <x:f>IF(OR(AH431="",AI431=""),"PENDING_HUMAN",IF(AH431=AI431,AH431,IF(AK431&lt;&gt;"",AK431,"PENDING_HUMAN")))</x:f>
        <x:v>PENDING_HUMAN</x:v>
      </x:c>
      <x:c r="AM431" t="n">
        <x:f>--AND(A431&lt;&gt;"",AH431&lt;&gt;"",AI431&lt;&gt;"",OR(AH431=AI431,AK431&lt;&gt;""))</x:f>
        <x:v>0</x:v>
      </x:c>
      <x:c r="AN431" t="n">
        <x:f>--AND(Y431&lt;&gt;"",COUNTIF($Y$4:Y431,Y431)=1)</x:f>
        <x:v>0</x:v>
      </x:c>
      <x:c r="AO431" t="n">
        <x:f>--AND(AN431=1,Z431=1,AM431=1)</x:f>
        <x:v>0</x:v>
      </x:c>
      <x:c r="AP431" t="n">
        <x:f>--AND(AO431=1,AA431=1,AL431=1)</x:f>
        <x:v>0</x:v>
      </x:c>
      <x:c r="AQ431" t="n">
        <x:f>--AND(AN431=1,Z431=1)</x:f>
        <x:v>0</x:v>
      </x:c>
      <x:c r="AR431" t="n">
        <x:f>--AND(AQ431=1,AA431=1)</x:f>
        <x:v>0</x:v>
      </x:c>
    </x:row>
    <x:row r="432">
      <x:c r="A432" s="28"/>
      <x:c r="B432" s="28"/>
      <x:c r="C432" s="28"/>
      <x:c r="D432" s="28"/>
      <x:c r="E432" s="28"/>
      <x:c r="F432" s="28"/>
      <x:c r="G432" s="28"/>
      <x:c r="H432" s="28"/>
      <x:c r="I432" s="28"/>
      <x:c r="J432" s="28"/>
      <x:c r="K432" s="28"/>
      <x:c r="L432" s="28"/>
      <x:c r="M432" s="28"/>
      <x:c r="N432" s="28"/>
      <x:c r="O432" s="28"/>
      <x:c r="P432" s="28"/>
      <x:c r="Q432" s="28"/>
      <x:c r="R432" s="28"/>
      <x:c r="S432" s="28"/>
      <x:c r="T432" s="28"/>
      <x:c r="U432" s="28"/>
      <x:c r="V432" s="28"/>
      <x:c r="W432" s="28"/>
      <x:c r="X432" s="43" t="n">
        <x:f>--AND(S432=1,T432=1,U432=1,V432=1,W432=1)</x:f>
        <x:v>0</x:v>
      </x:c>
      <x:c r="AE432" s="43" t="n">
        <x:f>--AND(S432=1,M432&lt;&gt;"",M432&lt;&gt;"keep")</x:f>
        <x:v>0</x:v>
      </x:c>
      <x:c r="AG432" t="n">
        <x:f>--AND(S432=1,T432=1,U432=1,V432=1,W432=1,AE432=1)</x:f>
        <x:v>0</x:v>
      </x:c>
      <x:c r="AJ432" t="str">
        <x:f>IF(OR(AH432="",AI432=""),"",--(AH432&lt;&gt;AI432))</x:f>
      </x:c>
      <x:c r="AL432" t="str">
        <x:f>IF(OR(AH432="",AI432=""),"PENDING_HUMAN",IF(AH432=AI432,AH432,IF(AK432&lt;&gt;"",AK432,"PENDING_HUMAN")))</x:f>
        <x:v>PENDING_HUMAN</x:v>
      </x:c>
      <x:c r="AM432" t="n">
        <x:f>--AND(A432&lt;&gt;"",AH432&lt;&gt;"",AI432&lt;&gt;"",OR(AH432=AI432,AK432&lt;&gt;""))</x:f>
        <x:v>0</x:v>
      </x:c>
      <x:c r="AN432" t="n">
        <x:f>--AND(Y432&lt;&gt;"",COUNTIF($Y$4:Y432,Y432)=1)</x:f>
        <x:v>0</x:v>
      </x:c>
      <x:c r="AO432" t="n">
        <x:f>--AND(AN432=1,Z432=1,AM432=1)</x:f>
        <x:v>0</x:v>
      </x:c>
      <x:c r="AP432" t="n">
        <x:f>--AND(AO432=1,AA432=1,AL432=1)</x:f>
        <x:v>0</x:v>
      </x:c>
      <x:c r="AQ432" t="n">
        <x:f>--AND(AN432=1,Z432=1)</x:f>
        <x:v>0</x:v>
      </x:c>
      <x:c r="AR432" t="n">
        <x:f>--AND(AQ432=1,AA432=1)</x:f>
        <x:v>0</x:v>
      </x:c>
    </x:row>
    <x:row r="433">
      <x:c r="A433" s="28"/>
      <x:c r="B433" s="28"/>
      <x:c r="C433" s="28"/>
      <x:c r="D433" s="28"/>
      <x:c r="E433" s="28"/>
      <x:c r="F433" s="28"/>
      <x:c r="G433" s="28"/>
      <x:c r="H433" s="28"/>
      <x:c r="I433" s="28"/>
      <x:c r="J433" s="28"/>
      <x:c r="K433" s="28"/>
      <x:c r="L433" s="28"/>
      <x:c r="M433" s="28"/>
      <x:c r="N433" s="28"/>
      <x:c r="O433" s="28"/>
      <x:c r="P433" s="28"/>
      <x:c r="Q433" s="28"/>
      <x:c r="R433" s="28"/>
      <x:c r="S433" s="28"/>
      <x:c r="T433" s="28"/>
      <x:c r="U433" s="28"/>
      <x:c r="V433" s="28"/>
      <x:c r="W433" s="28"/>
      <x:c r="X433" s="43" t="n">
        <x:f>--AND(S433=1,T433=1,U433=1,V433=1,W433=1)</x:f>
        <x:v>0</x:v>
      </x:c>
      <x:c r="AE433" s="43" t="n">
        <x:f>--AND(S433=1,M433&lt;&gt;"",M433&lt;&gt;"keep")</x:f>
        <x:v>0</x:v>
      </x:c>
      <x:c r="AG433" t="n">
        <x:f>--AND(S433=1,T433=1,U433=1,V433=1,W433=1,AE433=1)</x:f>
        <x:v>0</x:v>
      </x:c>
      <x:c r="AJ433" t="str">
        <x:f>IF(OR(AH433="",AI433=""),"",--(AH433&lt;&gt;AI433))</x:f>
      </x:c>
      <x:c r="AL433" t="str">
        <x:f>IF(OR(AH433="",AI433=""),"PENDING_HUMAN",IF(AH433=AI433,AH433,IF(AK433&lt;&gt;"",AK433,"PENDING_HUMAN")))</x:f>
        <x:v>PENDING_HUMAN</x:v>
      </x:c>
      <x:c r="AM433" t="n">
        <x:f>--AND(A433&lt;&gt;"",AH433&lt;&gt;"",AI433&lt;&gt;"",OR(AH433=AI433,AK433&lt;&gt;""))</x:f>
        <x:v>0</x:v>
      </x:c>
      <x:c r="AN433" t="n">
        <x:f>--AND(Y433&lt;&gt;"",COUNTIF($Y$4:Y433,Y433)=1)</x:f>
        <x:v>0</x:v>
      </x:c>
      <x:c r="AO433" t="n">
        <x:f>--AND(AN433=1,Z433=1,AM433=1)</x:f>
        <x:v>0</x:v>
      </x:c>
      <x:c r="AP433" t="n">
        <x:f>--AND(AO433=1,AA433=1,AL433=1)</x:f>
        <x:v>0</x:v>
      </x:c>
      <x:c r="AQ433" t="n">
        <x:f>--AND(AN433=1,Z433=1)</x:f>
        <x:v>0</x:v>
      </x:c>
      <x:c r="AR433" t="n">
        <x:f>--AND(AQ433=1,AA433=1)</x:f>
        <x:v>0</x:v>
      </x:c>
    </x:row>
    <x:row r="434">
      <x:c r="A434" s="28"/>
      <x:c r="B434" s="28"/>
      <x:c r="C434" s="28"/>
      <x:c r="D434" s="28"/>
      <x:c r="E434" s="28"/>
      <x:c r="F434" s="28"/>
      <x:c r="G434" s="28"/>
      <x:c r="H434" s="28"/>
      <x:c r="I434" s="28"/>
      <x:c r="J434" s="28"/>
      <x:c r="K434" s="28"/>
      <x:c r="L434" s="28"/>
      <x:c r="M434" s="28"/>
      <x:c r="N434" s="28"/>
      <x:c r="O434" s="28"/>
      <x:c r="P434" s="28"/>
      <x:c r="Q434" s="28"/>
      <x:c r="R434" s="28"/>
      <x:c r="S434" s="28"/>
      <x:c r="T434" s="28"/>
      <x:c r="U434" s="28"/>
      <x:c r="V434" s="28"/>
      <x:c r="W434" s="28"/>
      <x:c r="X434" s="43" t="n">
        <x:f>--AND(S434=1,T434=1,U434=1,V434=1,W434=1)</x:f>
        <x:v>0</x:v>
      </x:c>
      <x:c r="AE434" s="43" t="n">
        <x:f>--AND(S434=1,M434&lt;&gt;"",M434&lt;&gt;"keep")</x:f>
        <x:v>0</x:v>
      </x:c>
      <x:c r="AG434" t="n">
        <x:f>--AND(S434=1,T434=1,U434=1,V434=1,W434=1,AE434=1)</x:f>
        <x:v>0</x:v>
      </x:c>
      <x:c r="AJ434" t="str">
        <x:f>IF(OR(AH434="",AI434=""),"",--(AH434&lt;&gt;AI434))</x:f>
      </x:c>
      <x:c r="AL434" t="str">
        <x:f>IF(OR(AH434="",AI434=""),"PENDING_HUMAN",IF(AH434=AI434,AH434,IF(AK434&lt;&gt;"",AK434,"PENDING_HUMAN")))</x:f>
        <x:v>PENDING_HUMAN</x:v>
      </x:c>
      <x:c r="AM434" t="n">
        <x:f>--AND(A434&lt;&gt;"",AH434&lt;&gt;"",AI434&lt;&gt;"",OR(AH434=AI434,AK434&lt;&gt;""))</x:f>
        <x:v>0</x:v>
      </x:c>
      <x:c r="AN434" t="n">
        <x:f>--AND(Y434&lt;&gt;"",COUNTIF($Y$4:Y434,Y434)=1)</x:f>
        <x:v>0</x:v>
      </x:c>
      <x:c r="AO434" t="n">
        <x:f>--AND(AN434=1,Z434=1,AM434=1)</x:f>
        <x:v>0</x:v>
      </x:c>
      <x:c r="AP434" t="n">
        <x:f>--AND(AO434=1,AA434=1,AL434=1)</x:f>
        <x:v>0</x:v>
      </x:c>
      <x:c r="AQ434" t="n">
        <x:f>--AND(AN434=1,Z434=1)</x:f>
        <x:v>0</x:v>
      </x:c>
      <x:c r="AR434" t="n">
        <x:f>--AND(AQ434=1,AA434=1)</x:f>
        <x:v>0</x:v>
      </x:c>
    </x:row>
    <x:row r="435">
      <x:c r="A435" s="28"/>
      <x:c r="B435" s="28"/>
      <x:c r="C435" s="28"/>
      <x:c r="D435" s="28"/>
      <x:c r="E435" s="28"/>
      <x:c r="F435" s="28"/>
      <x:c r="G435" s="28"/>
      <x:c r="H435" s="28"/>
      <x:c r="I435" s="28"/>
      <x:c r="J435" s="28"/>
      <x:c r="K435" s="28"/>
      <x:c r="L435" s="28"/>
      <x:c r="M435" s="28"/>
      <x:c r="N435" s="28"/>
      <x:c r="O435" s="28"/>
      <x:c r="P435" s="28"/>
      <x:c r="Q435" s="28"/>
      <x:c r="R435" s="28"/>
      <x:c r="S435" s="28"/>
      <x:c r="T435" s="28"/>
      <x:c r="U435" s="28"/>
      <x:c r="V435" s="28"/>
      <x:c r="W435" s="28"/>
      <x:c r="X435" s="43" t="n">
        <x:f>--AND(S435=1,T435=1,U435=1,V435=1,W435=1)</x:f>
        <x:v>0</x:v>
      </x:c>
      <x:c r="AE435" s="43" t="n">
        <x:f>--AND(S435=1,M435&lt;&gt;"",M435&lt;&gt;"keep")</x:f>
        <x:v>0</x:v>
      </x:c>
      <x:c r="AG435" t="n">
        <x:f>--AND(S435=1,T435=1,U435=1,V435=1,W435=1,AE435=1)</x:f>
        <x:v>0</x:v>
      </x:c>
      <x:c r="AJ435" t="str">
        <x:f>IF(OR(AH435="",AI435=""),"",--(AH435&lt;&gt;AI435))</x:f>
      </x:c>
      <x:c r="AL435" t="str">
        <x:f>IF(OR(AH435="",AI435=""),"PENDING_HUMAN",IF(AH435=AI435,AH435,IF(AK435&lt;&gt;"",AK435,"PENDING_HUMAN")))</x:f>
        <x:v>PENDING_HUMAN</x:v>
      </x:c>
      <x:c r="AM435" t="n">
        <x:f>--AND(A435&lt;&gt;"",AH435&lt;&gt;"",AI435&lt;&gt;"",OR(AH435=AI435,AK435&lt;&gt;""))</x:f>
        <x:v>0</x:v>
      </x:c>
      <x:c r="AN435" t="n">
        <x:f>--AND(Y435&lt;&gt;"",COUNTIF($Y$4:Y435,Y435)=1)</x:f>
        <x:v>0</x:v>
      </x:c>
      <x:c r="AO435" t="n">
        <x:f>--AND(AN435=1,Z435=1,AM435=1)</x:f>
        <x:v>0</x:v>
      </x:c>
      <x:c r="AP435" t="n">
        <x:f>--AND(AO435=1,AA435=1,AL435=1)</x:f>
        <x:v>0</x:v>
      </x:c>
      <x:c r="AQ435" t="n">
        <x:f>--AND(AN435=1,Z435=1)</x:f>
        <x:v>0</x:v>
      </x:c>
      <x:c r="AR435" t="n">
        <x:f>--AND(AQ435=1,AA435=1)</x:f>
        <x:v>0</x:v>
      </x:c>
    </x:row>
    <x:row r="436">
      <x:c r="A436" s="28"/>
      <x:c r="B436" s="28"/>
      <x:c r="C436" s="28"/>
      <x:c r="D436" s="28"/>
      <x:c r="E436" s="28"/>
      <x:c r="F436" s="28"/>
      <x:c r="G436" s="28"/>
      <x:c r="H436" s="28"/>
      <x:c r="I436" s="28"/>
      <x:c r="J436" s="28"/>
      <x:c r="K436" s="28"/>
      <x:c r="L436" s="28"/>
      <x:c r="M436" s="28"/>
      <x:c r="N436" s="28"/>
      <x:c r="O436" s="28"/>
      <x:c r="P436" s="28"/>
      <x:c r="Q436" s="28"/>
      <x:c r="R436" s="28"/>
      <x:c r="S436" s="28"/>
      <x:c r="T436" s="28"/>
      <x:c r="U436" s="28"/>
      <x:c r="V436" s="28"/>
      <x:c r="W436" s="28"/>
      <x:c r="X436" s="43" t="n">
        <x:f>--AND(S436=1,T436=1,U436=1,V436=1,W436=1)</x:f>
        <x:v>0</x:v>
      </x:c>
      <x:c r="AE436" s="43" t="n">
        <x:f>--AND(S436=1,M436&lt;&gt;"",M436&lt;&gt;"keep")</x:f>
        <x:v>0</x:v>
      </x:c>
      <x:c r="AG436" t="n">
        <x:f>--AND(S436=1,T436=1,U436=1,V436=1,W436=1,AE436=1)</x:f>
        <x:v>0</x:v>
      </x:c>
      <x:c r="AJ436" t="str">
        <x:f>IF(OR(AH436="",AI436=""),"",--(AH436&lt;&gt;AI436))</x:f>
      </x:c>
      <x:c r="AL436" t="str">
        <x:f>IF(OR(AH436="",AI436=""),"PENDING_HUMAN",IF(AH436=AI436,AH436,IF(AK436&lt;&gt;"",AK436,"PENDING_HUMAN")))</x:f>
        <x:v>PENDING_HUMAN</x:v>
      </x:c>
      <x:c r="AM436" t="n">
        <x:f>--AND(A436&lt;&gt;"",AH436&lt;&gt;"",AI436&lt;&gt;"",OR(AH436=AI436,AK436&lt;&gt;""))</x:f>
        <x:v>0</x:v>
      </x:c>
      <x:c r="AN436" t="n">
        <x:f>--AND(Y436&lt;&gt;"",COUNTIF($Y$4:Y436,Y436)=1)</x:f>
        <x:v>0</x:v>
      </x:c>
      <x:c r="AO436" t="n">
        <x:f>--AND(AN436=1,Z436=1,AM436=1)</x:f>
        <x:v>0</x:v>
      </x:c>
      <x:c r="AP436" t="n">
        <x:f>--AND(AO436=1,AA436=1,AL436=1)</x:f>
        <x:v>0</x:v>
      </x:c>
      <x:c r="AQ436" t="n">
        <x:f>--AND(AN436=1,Z436=1)</x:f>
        <x:v>0</x:v>
      </x:c>
      <x:c r="AR436" t="n">
        <x:f>--AND(AQ436=1,AA436=1)</x:f>
        <x:v>0</x:v>
      </x:c>
    </x:row>
    <x:row r="437">
      <x:c r="A437" s="28"/>
      <x:c r="B437" s="28"/>
      <x:c r="C437" s="28"/>
      <x:c r="D437" s="28"/>
      <x:c r="E437" s="28"/>
      <x:c r="F437" s="28"/>
      <x:c r="G437" s="28"/>
      <x:c r="H437" s="28"/>
      <x:c r="I437" s="28"/>
      <x:c r="J437" s="28"/>
      <x:c r="K437" s="28"/>
      <x:c r="L437" s="28"/>
      <x:c r="M437" s="28"/>
      <x:c r="N437" s="28"/>
      <x:c r="O437" s="28"/>
      <x:c r="P437" s="28"/>
      <x:c r="Q437" s="28"/>
      <x:c r="R437" s="28"/>
      <x:c r="S437" s="28"/>
      <x:c r="T437" s="28"/>
      <x:c r="U437" s="28"/>
      <x:c r="V437" s="28"/>
      <x:c r="W437" s="28"/>
      <x:c r="X437" s="43" t="n">
        <x:f>--AND(S437=1,T437=1,U437=1,V437=1,W437=1)</x:f>
        <x:v>0</x:v>
      </x:c>
      <x:c r="AE437" s="43" t="n">
        <x:f>--AND(S437=1,M437&lt;&gt;"",M437&lt;&gt;"keep")</x:f>
        <x:v>0</x:v>
      </x:c>
      <x:c r="AG437" t="n">
        <x:f>--AND(S437=1,T437=1,U437=1,V437=1,W437=1,AE437=1)</x:f>
        <x:v>0</x:v>
      </x:c>
      <x:c r="AJ437" t="str">
        <x:f>IF(OR(AH437="",AI437=""),"",--(AH437&lt;&gt;AI437))</x:f>
      </x:c>
      <x:c r="AL437" t="str">
        <x:f>IF(OR(AH437="",AI437=""),"PENDING_HUMAN",IF(AH437=AI437,AH437,IF(AK437&lt;&gt;"",AK437,"PENDING_HUMAN")))</x:f>
        <x:v>PENDING_HUMAN</x:v>
      </x:c>
      <x:c r="AM437" t="n">
        <x:f>--AND(A437&lt;&gt;"",AH437&lt;&gt;"",AI437&lt;&gt;"",OR(AH437=AI437,AK437&lt;&gt;""))</x:f>
        <x:v>0</x:v>
      </x:c>
      <x:c r="AN437" t="n">
        <x:f>--AND(Y437&lt;&gt;"",COUNTIF($Y$4:Y437,Y437)=1)</x:f>
        <x:v>0</x:v>
      </x:c>
      <x:c r="AO437" t="n">
        <x:f>--AND(AN437=1,Z437=1,AM437=1)</x:f>
        <x:v>0</x:v>
      </x:c>
      <x:c r="AP437" t="n">
        <x:f>--AND(AO437=1,AA437=1,AL437=1)</x:f>
        <x:v>0</x:v>
      </x:c>
      <x:c r="AQ437" t="n">
        <x:f>--AND(AN437=1,Z437=1)</x:f>
        <x:v>0</x:v>
      </x:c>
      <x:c r="AR437" t="n">
        <x:f>--AND(AQ437=1,AA437=1)</x:f>
        <x:v>0</x:v>
      </x:c>
    </x:row>
    <x:row r="438">
      <x:c r="A438" s="28"/>
      <x:c r="B438" s="28"/>
      <x:c r="C438" s="28"/>
      <x:c r="D438" s="28"/>
      <x:c r="E438" s="28"/>
      <x:c r="F438" s="28"/>
      <x:c r="G438" s="28"/>
      <x:c r="H438" s="28"/>
      <x:c r="I438" s="28"/>
      <x:c r="J438" s="28"/>
      <x:c r="K438" s="28"/>
      <x:c r="L438" s="28"/>
      <x:c r="M438" s="28"/>
      <x:c r="N438" s="28"/>
      <x:c r="O438" s="28"/>
      <x:c r="P438" s="28"/>
      <x:c r="Q438" s="28"/>
      <x:c r="R438" s="28"/>
      <x:c r="S438" s="28"/>
      <x:c r="T438" s="28"/>
      <x:c r="U438" s="28"/>
      <x:c r="V438" s="28"/>
      <x:c r="W438" s="28"/>
      <x:c r="X438" s="43" t="n">
        <x:f>--AND(S438=1,T438=1,U438=1,V438=1,W438=1)</x:f>
        <x:v>0</x:v>
      </x:c>
      <x:c r="AE438" s="43" t="n">
        <x:f>--AND(S438=1,M438&lt;&gt;"",M438&lt;&gt;"keep")</x:f>
        <x:v>0</x:v>
      </x:c>
      <x:c r="AG438" t="n">
        <x:f>--AND(S438=1,T438=1,U438=1,V438=1,W438=1,AE438=1)</x:f>
        <x:v>0</x:v>
      </x:c>
      <x:c r="AJ438" t="str">
        <x:f>IF(OR(AH438="",AI438=""),"",--(AH438&lt;&gt;AI438))</x:f>
      </x:c>
      <x:c r="AL438" t="str">
        <x:f>IF(OR(AH438="",AI438=""),"PENDING_HUMAN",IF(AH438=AI438,AH438,IF(AK438&lt;&gt;"",AK438,"PENDING_HUMAN")))</x:f>
        <x:v>PENDING_HUMAN</x:v>
      </x:c>
      <x:c r="AM438" t="n">
        <x:f>--AND(A438&lt;&gt;"",AH438&lt;&gt;"",AI438&lt;&gt;"",OR(AH438=AI438,AK438&lt;&gt;""))</x:f>
        <x:v>0</x:v>
      </x:c>
      <x:c r="AN438" t="n">
        <x:f>--AND(Y438&lt;&gt;"",COUNTIF($Y$4:Y438,Y438)=1)</x:f>
        <x:v>0</x:v>
      </x:c>
      <x:c r="AO438" t="n">
        <x:f>--AND(AN438=1,Z438=1,AM438=1)</x:f>
        <x:v>0</x:v>
      </x:c>
      <x:c r="AP438" t="n">
        <x:f>--AND(AO438=1,AA438=1,AL438=1)</x:f>
        <x:v>0</x:v>
      </x:c>
      <x:c r="AQ438" t="n">
        <x:f>--AND(AN438=1,Z438=1)</x:f>
        <x:v>0</x:v>
      </x:c>
      <x:c r="AR438" t="n">
        <x:f>--AND(AQ438=1,AA438=1)</x:f>
        <x:v>0</x:v>
      </x:c>
    </x:row>
    <x:row r="439">
      <x:c r="A439" s="28"/>
      <x:c r="B439" s="28"/>
      <x:c r="C439" s="28"/>
      <x:c r="D439" s="28"/>
      <x:c r="E439" s="28"/>
      <x:c r="F439" s="28"/>
      <x:c r="G439" s="28"/>
      <x:c r="H439" s="28"/>
      <x:c r="I439" s="28"/>
      <x:c r="J439" s="28"/>
      <x:c r="K439" s="28"/>
      <x:c r="L439" s="28"/>
      <x:c r="M439" s="28"/>
      <x:c r="N439" s="28"/>
      <x:c r="O439" s="28"/>
      <x:c r="P439" s="28"/>
      <x:c r="Q439" s="28"/>
      <x:c r="R439" s="28"/>
      <x:c r="S439" s="28"/>
      <x:c r="T439" s="28"/>
      <x:c r="U439" s="28"/>
      <x:c r="V439" s="28"/>
      <x:c r="W439" s="28"/>
      <x:c r="X439" s="43" t="n">
        <x:f>--AND(S439=1,T439=1,U439=1,V439=1,W439=1)</x:f>
        <x:v>0</x:v>
      </x:c>
      <x:c r="AE439" s="43" t="n">
        <x:f>--AND(S439=1,M439&lt;&gt;"",M439&lt;&gt;"keep")</x:f>
        <x:v>0</x:v>
      </x:c>
      <x:c r="AG439" t="n">
        <x:f>--AND(S439=1,T439=1,U439=1,V439=1,W439=1,AE439=1)</x:f>
        <x:v>0</x:v>
      </x:c>
      <x:c r="AJ439" t="str">
        <x:f>IF(OR(AH439="",AI439=""),"",--(AH439&lt;&gt;AI439))</x:f>
      </x:c>
      <x:c r="AL439" t="str">
        <x:f>IF(OR(AH439="",AI439=""),"PENDING_HUMAN",IF(AH439=AI439,AH439,IF(AK439&lt;&gt;"",AK439,"PENDING_HUMAN")))</x:f>
        <x:v>PENDING_HUMAN</x:v>
      </x:c>
      <x:c r="AM439" t="n">
        <x:f>--AND(A439&lt;&gt;"",AH439&lt;&gt;"",AI439&lt;&gt;"",OR(AH439=AI439,AK439&lt;&gt;""))</x:f>
        <x:v>0</x:v>
      </x:c>
      <x:c r="AN439" t="n">
        <x:f>--AND(Y439&lt;&gt;"",COUNTIF($Y$4:Y439,Y439)=1)</x:f>
        <x:v>0</x:v>
      </x:c>
      <x:c r="AO439" t="n">
        <x:f>--AND(AN439=1,Z439=1,AM439=1)</x:f>
        <x:v>0</x:v>
      </x:c>
      <x:c r="AP439" t="n">
        <x:f>--AND(AO439=1,AA439=1,AL439=1)</x:f>
        <x:v>0</x:v>
      </x:c>
      <x:c r="AQ439" t="n">
        <x:f>--AND(AN439=1,Z439=1)</x:f>
        <x:v>0</x:v>
      </x:c>
      <x:c r="AR439" t="n">
        <x:f>--AND(AQ439=1,AA439=1)</x:f>
        <x:v>0</x:v>
      </x:c>
    </x:row>
    <x:row r="440">
      <x:c r="A440" s="28"/>
      <x:c r="B440" s="28"/>
      <x:c r="C440" s="28"/>
      <x:c r="D440" s="28"/>
      <x:c r="E440" s="28"/>
      <x:c r="F440" s="28"/>
      <x:c r="G440" s="28"/>
      <x:c r="H440" s="28"/>
      <x:c r="I440" s="28"/>
      <x:c r="J440" s="28"/>
      <x:c r="K440" s="28"/>
      <x:c r="L440" s="28"/>
      <x:c r="M440" s="28"/>
      <x:c r="N440" s="28"/>
      <x:c r="O440" s="28"/>
      <x:c r="P440" s="28"/>
      <x:c r="Q440" s="28"/>
      <x:c r="R440" s="28"/>
      <x:c r="S440" s="28"/>
      <x:c r="T440" s="28"/>
      <x:c r="U440" s="28"/>
      <x:c r="V440" s="28"/>
      <x:c r="W440" s="28"/>
      <x:c r="X440" s="43" t="n">
        <x:f>--AND(S440=1,T440=1,U440=1,V440=1,W440=1)</x:f>
        <x:v>0</x:v>
      </x:c>
      <x:c r="AE440" s="43" t="n">
        <x:f>--AND(S440=1,M440&lt;&gt;"",M440&lt;&gt;"keep")</x:f>
        <x:v>0</x:v>
      </x:c>
      <x:c r="AG440" t="n">
        <x:f>--AND(S440=1,T440=1,U440=1,V440=1,W440=1,AE440=1)</x:f>
        <x:v>0</x:v>
      </x:c>
      <x:c r="AJ440" t="str">
        <x:f>IF(OR(AH440="",AI440=""),"",--(AH440&lt;&gt;AI440))</x:f>
      </x:c>
      <x:c r="AL440" t="str">
        <x:f>IF(OR(AH440="",AI440=""),"PENDING_HUMAN",IF(AH440=AI440,AH440,IF(AK440&lt;&gt;"",AK440,"PENDING_HUMAN")))</x:f>
        <x:v>PENDING_HUMAN</x:v>
      </x:c>
      <x:c r="AM440" t="n">
        <x:f>--AND(A440&lt;&gt;"",AH440&lt;&gt;"",AI440&lt;&gt;"",OR(AH440=AI440,AK440&lt;&gt;""))</x:f>
        <x:v>0</x:v>
      </x:c>
      <x:c r="AN440" t="n">
        <x:f>--AND(Y440&lt;&gt;"",COUNTIF($Y$4:Y440,Y440)=1)</x:f>
        <x:v>0</x:v>
      </x:c>
      <x:c r="AO440" t="n">
        <x:f>--AND(AN440=1,Z440=1,AM440=1)</x:f>
        <x:v>0</x:v>
      </x:c>
      <x:c r="AP440" t="n">
        <x:f>--AND(AO440=1,AA440=1,AL440=1)</x:f>
        <x:v>0</x:v>
      </x:c>
      <x:c r="AQ440" t="n">
        <x:f>--AND(AN440=1,Z440=1)</x:f>
        <x:v>0</x:v>
      </x:c>
      <x:c r="AR440" t="n">
        <x:f>--AND(AQ440=1,AA440=1)</x:f>
        <x:v>0</x:v>
      </x:c>
    </x:row>
    <x:row r="441">
      <x:c r="A441" s="28"/>
      <x:c r="B441" s="28"/>
      <x:c r="C441" s="28"/>
      <x:c r="D441" s="28"/>
      <x:c r="E441" s="28"/>
      <x:c r="F441" s="28"/>
      <x:c r="G441" s="28"/>
      <x:c r="H441" s="28"/>
      <x:c r="I441" s="28"/>
      <x:c r="J441" s="28"/>
      <x:c r="K441" s="28"/>
      <x:c r="L441" s="28"/>
      <x:c r="M441" s="28"/>
      <x:c r="N441" s="28"/>
      <x:c r="O441" s="28"/>
      <x:c r="P441" s="28"/>
      <x:c r="Q441" s="28"/>
      <x:c r="R441" s="28"/>
      <x:c r="S441" s="28"/>
      <x:c r="T441" s="28"/>
      <x:c r="U441" s="28"/>
      <x:c r="V441" s="28"/>
      <x:c r="W441" s="28"/>
      <x:c r="X441" s="43" t="n">
        <x:f>--AND(S441=1,T441=1,U441=1,V441=1,W441=1)</x:f>
        <x:v>0</x:v>
      </x:c>
      <x:c r="AE441" s="43" t="n">
        <x:f>--AND(S441=1,M441&lt;&gt;"",M441&lt;&gt;"keep")</x:f>
        <x:v>0</x:v>
      </x:c>
      <x:c r="AG441" t="n">
        <x:f>--AND(S441=1,T441=1,U441=1,V441=1,W441=1,AE441=1)</x:f>
        <x:v>0</x:v>
      </x:c>
      <x:c r="AJ441" t="str">
        <x:f>IF(OR(AH441="",AI441=""),"",--(AH441&lt;&gt;AI441))</x:f>
      </x:c>
      <x:c r="AL441" t="str">
        <x:f>IF(OR(AH441="",AI441=""),"PENDING_HUMAN",IF(AH441=AI441,AH441,IF(AK441&lt;&gt;"",AK441,"PENDING_HUMAN")))</x:f>
        <x:v>PENDING_HUMAN</x:v>
      </x:c>
      <x:c r="AM441" t="n">
        <x:f>--AND(A441&lt;&gt;"",AH441&lt;&gt;"",AI441&lt;&gt;"",OR(AH441=AI441,AK441&lt;&gt;""))</x:f>
        <x:v>0</x:v>
      </x:c>
      <x:c r="AN441" t="n">
        <x:f>--AND(Y441&lt;&gt;"",COUNTIF($Y$4:Y441,Y441)=1)</x:f>
        <x:v>0</x:v>
      </x:c>
      <x:c r="AO441" t="n">
        <x:f>--AND(AN441=1,Z441=1,AM441=1)</x:f>
        <x:v>0</x:v>
      </x:c>
      <x:c r="AP441" t="n">
        <x:f>--AND(AO441=1,AA441=1,AL441=1)</x:f>
        <x:v>0</x:v>
      </x:c>
      <x:c r="AQ441" t="n">
        <x:f>--AND(AN441=1,Z441=1)</x:f>
        <x:v>0</x:v>
      </x:c>
      <x:c r="AR441" t="n">
        <x:f>--AND(AQ441=1,AA441=1)</x:f>
        <x:v>0</x:v>
      </x:c>
    </x:row>
    <x:row r="442">
      <x:c r="A442" s="28"/>
      <x:c r="B442" s="28"/>
      <x:c r="C442" s="28"/>
      <x:c r="D442" s="28"/>
      <x:c r="E442" s="28"/>
      <x:c r="F442" s="28"/>
      <x:c r="G442" s="28"/>
      <x:c r="H442" s="28"/>
      <x:c r="I442" s="28"/>
      <x:c r="J442" s="28"/>
      <x:c r="K442" s="28"/>
      <x:c r="L442" s="28"/>
      <x:c r="M442" s="28"/>
      <x:c r="N442" s="28"/>
      <x:c r="O442" s="28"/>
      <x:c r="P442" s="28"/>
      <x:c r="Q442" s="28"/>
      <x:c r="R442" s="28"/>
      <x:c r="S442" s="28"/>
      <x:c r="T442" s="28"/>
      <x:c r="U442" s="28"/>
      <x:c r="V442" s="28"/>
      <x:c r="W442" s="28"/>
      <x:c r="X442" s="43" t="n">
        <x:f>--AND(S442=1,T442=1,U442=1,V442=1,W442=1)</x:f>
        <x:v>0</x:v>
      </x:c>
      <x:c r="AE442" s="43" t="n">
        <x:f>--AND(S442=1,M442&lt;&gt;"",M442&lt;&gt;"keep")</x:f>
        <x:v>0</x:v>
      </x:c>
      <x:c r="AG442" t="n">
        <x:f>--AND(S442=1,T442=1,U442=1,V442=1,W442=1,AE442=1)</x:f>
        <x:v>0</x:v>
      </x:c>
      <x:c r="AJ442" t="str">
        <x:f>IF(OR(AH442="",AI442=""),"",--(AH442&lt;&gt;AI442))</x:f>
      </x:c>
      <x:c r="AL442" t="str">
        <x:f>IF(OR(AH442="",AI442=""),"PENDING_HUMAN",IF(AH442=AI442,AH442,IF(AK442&lt;&gt;"",AK442,"PENDING_HUMAN")))</x:f>
        <x:v>PENDING_HUMAN</x:v>
      </x:c>
      <x:c r="AM442" t="n">
        <x:f>--AND(A442&lt;&gt;"",AH442&lt;&gt;"",AI442&lt;&gt;"",OR(AH442=AI442,AK442&lt;&gt;""))</x:f>
        <x:v>0</x:v>
      </x:c>
      <x:c r="AN442" t="n">
        <x:f>--AND(Y442&lt;&gt;"",COUNTIF($Y$4:Y442,Y442)=1)</x:f>
        <x:v>0</x:v>
      </x:c>
      <x:c r="AO442" t="n">
        <x:f>--AND(AN442=1,Z442=1,AM442=1)</x:f>
        <x:v>0</x:v>
      </x:c>
      <x:c r="AP442" t="n">
        <x:f>--AND(AO442=1,AA442=1,AL442=1)</x:f>
        <x:v>0</x:v>
      </x:c>
      <x:c r="AQ442" t="n">
        <x:f>--AND(AN442=1,Z442=1)</x:f>
        <x:v>0</x:v>
      </x:c>
      <x:c r="AR442" t="n">
        <x:f>--AND(AQ442=1,AA442=1)</x:f>
        <x:v>0</x:v>
      </x:c>
    </x:row>
    <x:row r="443">
      <x:c r="A443" s="28"/>
      <x:c r="B443" s="28"/>
      <x:c r="C443" s="28"/>
      <x:c r="D443" s="28"/>
      <x:c r="E443" s="28"/>
      <x:c r="F443" s="28"/>
      <x:c r="G443" s="28"/>
      <x:c r="H443" s="28"/>
      <x:c r="I443" s="28"/>
      <x:c r="J443" s="28"/>
      <x:c r="K443" s="28"/>
      <x:c r="L443" s="28"/>
      <x:c r="M443" s="28"/>
      <x:c r="N443" s="28"/>
      <x:c r="O443" s="28"/>
      <x:c r="P443" s="28"/>
      <x:c r="Q443" s="28"/>
      <x:c r="R443" s="28"/>
      <x:c r="S443" s="28"/>
      <x:c r="T443" s="28"/>
      <x:c r="U443" s="28"/>
      <x:c r="V443" s="28"/>
      <x:c r="W443" s="28"/>
      <x:c r="X443" s="43" t="n">
        <x:f>--AND(S443=1,T443=1,U443=1,V443=1,W443=1)</x:f>
        <x:v>0</x:v>
      </x:c>
      <x:c r="AE443" s="43" t="n">
        <x:f>--AND(S443=1,M443&lt;&gt;"",M443&lt;&gt;"keep")</x:f>
        <x:v>0</x:v>
      </x:c>
      <x:c r="AG443" t="n">
        <x:f>--AND(S443=1,T443=1,U443=1,V443=1,W443=1,AE443=1)</x:f>
        <x:v>0</x:v>
      </x:c>
      <x:c r="AJ443" t="str">
        <x:f>IF(OR(AH443="",AI443=""),"",--(AH443&lt;&gt;AI443))</x:f>
      </x:c>
      <x:c r="AL443" t="str">
        <x:f>IF(OR(AH443="",AI443=""),"PENDING_HUMAN",IF(AH443=AI443,AH443,IF(AK443&lt;&gt;"",AK443,"PENDING_HUMAN")))</x:f>
        <x:v>PENDING_HUMAN</x:v>
      </x:c>
      <x:c r="AM443" t="n">
        <x:f>--AND(A443&lt;&gt;"",AH443&lt;&gt;"",AI443&lt;&gt;"",OR(AH443=AI443,AK443&lt;&gt;""))</x:f>
        <x:v>0</x:v>
      </x:c>
      <x:c r="AN443" t="n">
        <x:f>--AND(Y443&lt;&gt;"",COUNTIF($Y$4:Y443,Y443)=1)</x:f>
        <x:v>0</x:v>
      </x:c>
      <x:c r="AO443" t="n">
        <x:f>--AND(AN443=1,Z443=1,AM443=1)</x:f>
        <x:v>0</x:v>
      </x:c>
      <x:c r="AP443" t="n">
        <x:f>--AND(AO443=1,AA443=1,AL443=1)</x:f>
        <x:v>0</x:v>
      </x:c>
      <x:c r="AQ443" t="n">
        <x:f>--AND(AN443=1,Z443=1)</x:f>
        <x:v>0</x:v>
      </x:c>
      <x:c r="AR443" t="n">
        <x:f>--AND(AQ443=1,AA443=1)</x:f>
        <x:v>0</x:v>
      </x:c>
    </x:row>
    <x:row r="444">
      <x:c r="A444" s="28"/>
      <x:c r="B444" s="28"/>
      <x:c r="C444" s="28"/>
      <x:c r="D444" s="28"/>
      <x:c r="E444" s="28"/>
      <x:c r="F444" s="28"/>
      <x:c r="G444" s="28"/>
      <x:c r="H444" s="28"/>
      <x:c r="I444" s="28"/>
      <x:c r="J444" s="28"/>
      <x:c r="K444" s="28"/>
      <x:c r="L444" s="28"/>
      <x:c r="M444" s="28"/>
      <x:c r="N444" s="28"/>
      <x:c r="O444" s="28"/>
      <x:c r="P444" s="28"/>
      <x:c r="Q444" s="28"/>
      <x:c r="R444" s="28"/>
      <x:c r="S444" s="28"/>
      <x:c r="T444" s="28"/>
      <x:c r="U444" s="28"/>
      <x:c r="V444" s="28"/>
      <x:c r="W444" s="28"/>
      <x:c r="X444" s="43" t="n">
        <x:f>--AND(S444=1,T444=1,U444=1,V444=1,W444=1)</x:f>
        <x:v>0</x:v>
      </x:c>
      <x:c r="AE444" s="43" t="n">
        <x:f>--AND(S444=1,M444&lt;&gt;"",M444&lt;&gt;"keep")</x:f>
        <x:v>0</x:v>
      </x:c>
      <x:c r="AG444" t="n">
        <x:f>--AND(S444=1,T444=1,U444=1,V444=1,W444=1,AE444=1)</x:f>
        <x:v>0</x:v>
      </x:c>
      <x:c r="AJ444" t="str">
        <x:f>IF(OR(AH444="",AI444=""),"",--(AH444&lt;&gt;AI444))</x:f>
      </x:c>
      <x:c r="AL444" t="str">
        <x:f>IF(OR(AH444="",AI444=""),"PENDING_HUMAN",IF(AH444=AI444,AH444,IF(AK444&lt;&gt;"",AK444,"PENDING_HUMAN")))</x:f>
        <x:v>PENDING_HUMAN</x:v>
      </x:c>
      <x:c r="AM444" t="n">
        <x:f>--AND(A444&lt;&gt;"",AH444&lt;&gt;"",AI444&lt;&gt;"",OR(AH444=AI444,AK444&lt;&gt;""))</x:f>
        <x:v>0</x:v>
      </x:c>
      <x:c r="AN444" t="n">
        <x:f>--AND(Y444&lt;&gt;"",COUNTIF($Y$4:Y444,Y444)=1)</x:f>
        <x:v>0</x:v>
      </x:c>
      <x:c r="AO444" t="n">
        <x:f>--AND(AN444=1,Z444=1,AM444=1)</x:f>
        <x:v>0</x:v>
      </x:c>
      <x:c r="AP444" t="n">
        <x:f>--AND(AO444=1,AA444=1,AL444=1)</x:f>
        <x:v>0</x:v>
      </x:c>
      <x:c r="AQ444" t="n">
        <x:f>--AND(AN444=1,Z444=1)</x:f>
        <x:v>0</x:v>
      </x:c>
      <x:c r="AR444" t="n">
        <x:f>--AND(AQ444=1,AA444=1)</x:f>
        <x:v>0</x:v>
      </x:c>
    </x:row>
    <x:row r="445">
      <x:c r="A445" s="28"/>
      <x:c r="B445" s="28"/>
      <x:c r="C445" s="28"/>
      <x:c r="D445" s="28"/>
      <x:c r="E445" s="28"/>
      <x:c r="F445" s="28"/>
      <x:c r="G445" s="28"/>
      <x:c r="H445" s="28"/>
      <x:c r="I445" s="28"/>
      <x:c r="J445" s="28"/>
      <x:c r="K445" s="28"/>
      <x:c r="L445" s="28"/>
      <x:c r="M445" s="28"/>
      <x:c r="N445" s="28"/>
      <x:c r="O445" s="28"/>
      <x:c r="P445" s="28"/>
      <x:c r="Q445" s="28"/>
      <x:c r="R445" s="28"/>
      <x:c r="S445" s="28"/>
      <x:c r="T445" s="28"/>
      <x:c r="U445" s="28"/>
      <x:c r="V445" s="28"/>
      <x:c r="W445" s="28"/>
      <x:c r="X445" s="43" t="n">
        <x:f>--AND(S445=1,T445=1,U445=1,V445=1,W445=1)</x:f>
        <x:v>0</x:v>
      </x:c>
      <x:c r="AE445" s="43" t="n">
        <x:f>--AND(S445=1,M445&lt;&gt;"",M445&lt;&gt;"keep")</x:f>
        <x:v>0</x:v>
      </x:c>
      <x:c r="AG445" t="n">
        <x:f>--AND(S445=1,T445=1,U445=1,V445=1,W445=1,AE445=1)</x:f>
        <x:v>0</x:v>
      </x:c>
      <x:c r="AJ445" t="str">
        <x:f>IF(OR(AH445="",AI445=""),"",--(AH445&lt;&gt;AI445))</x:f>
      </x:c>
      <x:c r="AL445" t="str">
        <x:f>IF(OR(AH445="",AI445=""),"PENDING_HUMAN",IF(AH445=AI445,AH445,IF(AK445&lt;&gt;"",AK445,"PENDING_HUMAN")))</x:f>
        <x:v>PENDING_HUMAN</x:v>
      </x:c>
      <x:c r="AM445" t="n">
        <x:f>--AND(A445&lt;&gt;"",AH445&lt;&gt;"",AI445&lt;&gt;"",OR(AH445=AI445,AK445&lt;&gt;""))</x:f>
        <x:v>0</x:v>
      </x:c>
      <x:c r="AN445" t="n">
        <x:f>--AND(Y445&lt;&gt;"",COUNTIF($Y$4:Y445,Y445)=1)</x:f>
        <x:v>0</x:v>
      </x:c>
      <x:c r="AO445" t="n">
        <x:f>--AND(AN445=1,Z445=1,AM445=1)</x:f>
        <x:v>0</x:v>
      </x:c>
      <x:c r="AP445" t="n">
        <x:f>--AND(AO445=1,AA445=1,AL445=1)</x:f>
        <x:v>0</x:v>
      </x:c>
      <x:c r="AQ445" t="n">
        <x:f>--AND(AN445=1,Z445=1)</x:f>
        <x:v>0</x:v>
      </x:c>
      <x:c r="AR445" t="n">
        <x:f>--AND(AQ445=1,AA445=1)</x:f>
        <x:v>0</x:v>
      </x:c>
    </x:row>
    <x:row r="446">
      <x:c r="A446" s="28"/>
      <x:c r="B446" s="28"/>
      <x:c r="C446" s="28"/>
      <x:c r="D446" s="28"/>
      <x:c r="E446" s="28"/>
      <x:c r="F446" s="28"/>
      <x:c r="G446" s="28"/>
      <x:c r="H446" s="28"/>
      <x:c r="I446" s="28"/>
      <x:c r="J446" s="28"/>
      <x:c r="K446" s="28"/>
      <x:c r="L446" s="28"/>
      <x:c r="M446" s="28"/>
      <x:c r="N446" s="28"/>
      <x:c r="O446" s="28"/>
      <x:c r="P446" s="28"/>
      <x:c r="Q446" s="28"/>
      <x:c r="R446" s="28"/>
      <x:c r="S446" s="28"/>
      <x:c r="T446" s="28"/>
      <x:c r="U446" s="28"/>
      <x:c r="V446" s="28"/>
      <x:c r="W446" s="28"/>
      <x:c r="X446" s="43" t="n">
        <x:f>--AND(S446=1,T446=1,U446=1,V446=1,W446=1)</x:f>
        <x:v>0</x:v>
      </x:c>
      <x:c r="AE446" s="43" t="n">
        <x:f>--AND(S446=1,M446&lt;&gt;"",M446&lt;&gt;"keep")</x:f>
        <x:v>0</x:v>
      </x:c>
      <x:c r="AG446" t="n">
        <x:f>--AND(S446=1,T446=1,U446=1,V446=1,W446=1,AE446=1)</x:f>
        <x:v>0</x:v>
      </x:c>
      <x:c r="AJ446" t="str">
        <x:f>IF(OR(AH446="",AI446=""),"",--(AH446&lt;&gt;AI446))</x:f>
      </x:c>
      <x:c r="AL446" t="str">
        <x:f>IF(OR(AH446="",AI446=""),"PENDING_HUMAN",IF(AH446=AI446,AH446,IF(AK446&lt;&gt;"",AK446,"PENDING_HUMAN")))</x:f>
        <x:v>PENDING_HUMAN</x:v>
      </x:c>
      <x:c r="AM446" t="n">
        <x:f>--AND(A446&lt;&gt;"",AH446&lt;&gt;"",AI446&lt;&gt;"",OR(AH446=AI446,AK446&lt;&gt;""))</x:f>
        <x:v>0</x:v>
      </x:c>
      <x:c r="AN446" t="n">
        <x:f>--AND(Y446&lt;&gt;"",COUNTIF($Y$4:Y446,Y446)=1)</x:f>
        <x:v>0</x:v>
      </x:c>
      <x:c r="AO446" t="n">
        <x:f>--AND(AN446=1,Z446=1,AM446=1)</x:f>
        <x:v>0</x:v>
      </x:c>
      <x:c r="AP446" t="n">
        <x:f>--AND(AO446=1,AA446=1,AL446=1)</x:f>
        <x:v>0</x:v>
      </x:c>
      <x:c r="AQ446" t="n">
        <x:f>--AND(AN446=1,Z446=1)</x:f>
        <x:v>0</x:v>
      </x:c>
      <x:c r="AR446" t="n">
        <x:f>--AND(AQ446=1,AA446=1)</x:f>
        <x:v>0</x:v>
      </x:c>
    </x:row>
    <x:row r="447">
      <x:c r="A447" s="28"/>
      <x:c r="B447" s="28"/>
      <x:c r="C447" s="28"/>
      <x:c r="D447" s="28"/>
      <x:c r="E447" s="28"/>
      <x:c r="F447" s="28"/>
      <x:c r="G447" s="28"/>
      <x:c r="H447" s="28"/>
      <x:c r="I447" s="28"/>
      <x:c r="J447" s="28"/>
      <x:c r="K447" s="28"/>
      <x:c r="L447" s="28"/>
      <x:c r="M447" s="28"/>
      <x:c r="N447" s="28"/>
      <x:c r="O447" s="28"/>
      <x:c r="P447" s="28"/>
      <x:c r="Q447" s="28"/>
      <x:c r="R447" s="28"/>
      <x:c r="S447" s="28"/>
      <x:c r="T447" s="28"/>
      <x:c r="U447" s="28"/>
      <x:c r="V447" s="28"/>
      <x:c r="W447" s="28"/>
      <x:c r="X447" s="43" t="n">
        <x:f>--AND(S447=1,T447=1,U447=1,V447=1,W447=1)</x:f>
        <x:v>0</x:v>
      </x:c>
      <x:c r="AE447" s="43" t="n">
        <x:f>--AND(S447=1,M447&lt;&gt;"",M447&lt;&gt;"keep")</x:f>
        <x:v>0</x:v>
      </x:c>
      <x:c r="AG447" t="n">
        <x:f>--AND(S447=1,T447=1,U447=1,V447=1,W447=1,AE447=1)</x:f>
        <x:v>0</x:v>
      </x:c>
      <x:c r="AJ447" t="str">
        <x:f>IF(OR(AH447="",AI447=""),"",--(AH447&lt;&gt;AI447))</x:f>
      </x:c>
      <x:c r="AL447" t="str">
        <x:f>IF(OR(AH447="",AI447=""),"PENDING_HUMAN",IF(AH447=AI447,AH447,IF(AK447&lt;&gt;"",AK447,"PENDING_HUMAN")))</x:f>
        <x:v>PENDING_HUMAN</x:v>
      </x:c>
      <x:c r="AM447" t="n">
        <x:f>--AND(A447&lt;&gt;"",AH447&lt;&gt;"",AI447&lt;&gt;"",OR(AH447=AI447,AK447&lt;&gt;""))</x:f>
        <x:v>0</x:v>
      </x:c>
      <x:c r="AN447" t="n">
        <x:f>--AND(Y447&lt;&gt;"",COUNTIF($Y$4:Y447,Y447)=1)</x:f>
        <x:v>0</x:v>
      </x:c>
      <x:c r="AO447" t="n">
        <x:f>--AND(AN447=1,Z447=1,AM447=1)</x:f>
        <x:v>0</x:v>
      </x:c>
      <x:c r="AP447" t="n">
        <x:f>--AND(AO447=1,AA447=1,AL447=1)</x:f>
        <x:v>0</x:v>
      </x:c>
      <x:c r="AQ447" t="n">
        <x:f>--AND(AN447=1,Z447=1)</x:f>
        <x:v>0</x:v>
      </x:c>
      <x:c r="AR447" t="n">
        <x:f>--AND(AQ447=1,AA447=1)</x:f>
        <x:v>0</x:v>
      </x:c>
    </x:row>
    <x:row r="448">
      <x:c r="A448" s="28"/>
      <x:c r="B448" s="28"/>
      <x:c r="C448" s="28"/>
      <x:c r="D448" s="28"/>
      <x:c r="E448" s="28"/>
      <x:c r="F448" s="28"/>
      <x:c r="G448" s="28"/>
      <x:c r="H448" s="28"/>
      <x:c r="I448" s="28"/>
      <x:c r="J448" s="28"/>
      <x:c r="K448" s="28"/>
      <x:c r="L448" s="28"/>
      <x:c r="M448" s="28"/>
      <x:c r="N448" s="28"/>
      <x:c r="O448" s="28"/>
      <x:c r="P448" s="28"/>
      <x:c r="Q448" s="28"/>
      <x:c r="R448" s="28"/>
      <x:c r="S448" s="28"/>
      <x:c r="T448" s="28"/>
      <x:c r="U448" s="28"/>
      <x:c r="V448" s="28"/>
      <x:c r="W448" s="28"/>
      <x:c r="X448" s="43" t="n">
        <x:f>--AND(S448=1,T448=1,U448=1,V448=1,W448=1)</x:f>
        <x:v>0</x:v>
      </x:c>
      <x:c r="AE448" s="43" t="n">
        <x:f>--AND(S448=1,M448&lt;&gt;"",M448&lt;&gt;"keep")</x:f>
        <x:v>0</x:v>
      </x:c>
      <x:c r="AG448" t="n">
        <x:f>--AND(S448=1,T448=1,U448=1,V448=1,W448=1,AE448=1)</x:f>
        <x:v>0</x:v>
      </x:c>
      <x:c r="AJ448" t="str">
        <x:f>IF(OR(AH448="",AI448=""),"",--(AH448&lt;&gt;AI448))</x:f>
      </x:c>
      <x:c r="AL448" t="str">
        <x:f>IF(OR(AH448="",AI448=""),"PENDING_HUMAN",IF(AH448=AI448,AH448,IF(AK448&lt;&gt;"",AK448,"PENDING_HUMAN")))</x:f>
        <x:v>PENDING_HUMAN</x:v>
      </x:c>
      <x:c r="AM448" t="n">
        <x:f>--AND(A448&lt;&gt;"",AH448&lt;&gt;"",AI448&lt;&gt;"",OR(AH448=AI448,AK448&lt;&gt;""))</x:f>
        <x:v>0</x:v>
      </x:c>
      <x:c r="AN448" t="n">
        <x:f>--AND(Y448&lt;&gt;"",COUNTIF($Y$4:Y448,Y448)=1)</x:f>
        <x:v>0</x:v>
      </x:c>
      <x:c r="AO448" t="n">
        <x:f>--AND(AN448=1,Z448=1,AM448=1)</x:f>
        <x:v>0</x:v>
      </x:c>
      <x:c r="AP448" t="n">
        <x:f>--AND(AO448=1,AA448=1,AL448=1)</x:f>
        <x:v>0</x:v>
      </x:c>
      <x:c r="AQ448" t="n">
        <x:f>--AND(AN448=1,Z448=1)</x:f>
        <x:v>0</x:v>
      </x:c>
      <x:c r="AR448" t="n">
        <x:f>--AND(AQ448=1,AA448=1)</x:f>
        <x:v>0</x:v>
      </x:c>
    </x:row>
    <x:row r="449">
      <x:c r="A449" s="28"/>
      <x:c r="B449" s="28"/>
      <x:c r="C449" s="28"/>
      <x:c r="D449" s="28"/>
      <x:c r="E449" s="28"/>
      <x:c r="F449" s="28"/>
      <x:c r="G449" s="28"/>
      <x:c r="H449" s="28"/>
      <x:c r="I449" s="28"/>
      <x:c r="J449" s="28"/>
      <x:c r="K449" s="28"/>
      <x:c r="L449" s="28"/>
      <x:c r="M449" s="28"/>
      <x:c r="N449" s="28"/>
      <x:c r="O449" s="28"/>
      <x:c r="P449" s="28"/>
      <x:c r="Q449" s="28"/>
      <x:c r="R449" s="28"/>
      <x:c r="S449" s="28"/>
      <x:c r="T449" s="28"/>
      <x:c r="U449" s="28"/>
      <x:c r="V449" s="28"/>
      <x:c r="W449" s="28"/>
      <x:c r="X449" s="43" t="n">
        <x:f>--AND(S449=1,T449=1,U449=1,V449=1,W449=1)</x:f>
        <x:v>0</x:v>
      </x:c>
      <x:c r="AE449" s="43" t="n">
        <x:f>--AND(S449=1,M449&lt;&gt;"",M449&lt;&gt;"keep")</x:f>
        <x:v>0</x:v>
      </x:c>
      <x:c r="AG449" t="n">
        <x:f>--AND(S449=1,T449=1,U449=1,V449=1,W449=1,AE449=1)</x:f>
        <x:v>0</x:v>
      </x:c>
      <x:c r="AJ449" t="str">
        <x:f>IF(OR(AH449="",AI449=""),"",--(AH449&lt;&gt;AI449))</x:f>
      </x:c>
      <x:c r="AL449" t="str">
        <x:f>IF(OR(AH449="",AI449=""),"PENDING_HUMAN",IF(AH449=AI449,AH449,IF(AK449&lt;&gt;"",AK449,"PENDING_HUMAN")))</x:f>
        <x:v>PENDING_HUMAN</x:v>
      </x:c>
      <x:c r="AM449" t="n">
        <x:f>--AND(A449&lt;&gt;"",AH449&lt;&gt;"",AI449&lt;&gt;"",OR(AH449=AI449,AK449&lt;&gt;""))</x:f>
        <x:v>0</x:v>
      </x:c>
      <x:c r="AN449" t="n">
        <x:f>--AND(Y449&lt;&gt;"",COUNTIF($Y$4:Y449,Y449)=1)</x:f>
        <x:v>0</x:v>
      </x:c>
      <x:c r="AO449" t="n">
        <x:f>--AND(AN449=1,Z449=1,AM449=1)</x:f>
        <x:v>0</x:v>
      </x:c>
      <x:c r="AP449" t="n">
        <x:f>--AND(AO449=1,AA449=1,AL449=1)</x:f>
        <x:v>0</x:v>
      </x:c>
      <x:c r="AQ449" t="n">
        <x:f>--AND(AN449=1,Z449=1)</x:f>
        <x:v>0</x:v>
      </x:c>
      <x:c r="AR449" t="n">
        <x:f>--AND(AQ449=1,AA449=1)</x:f>
        <x:v>0</x:v>
      </x:c>
    </x:row>
    <x:row r="450">
      <x:c r="A450" s="28"/>
      <x:c r="B450" s="28"/>
      <x:c r="C450" s="28"/>
      <x:c r="D450" s="28"/>
      <x:c r="E450" s="28"/>
      <x:c r="F450" s="28"/>
      <x:c r="G450" s="28"/>
      <x:c r="H450" s="28"/>
      <x:c r="I450" s="28"/>
      <x:c r="J450" s="28"/>
      <x:c r="K450" s="28"/>
      <x:c r="L450" s="28"/>
      <x:c r="M450" s="28"/>
      <x:c r="N450" s="28"/>
      <x:c r="O450" s="28"/>
      <x:c r="P450" s="28"/>
      <x:c r="Q450" s="28"/>
      <x:c r="R450" s="28"/>
      <x:c r="S450" s="28"/>
      <x:c r="T450" s="28"/>
      <x:c r="U450" s="28"/>
      <x:c r="V450" s="28"/>
      <x:c r="W450" s="28"/>
      <x:c r="X450" s="43" t="n">
        <x:f>--AND(S450=1,T450=1,U450=1,V450=1,W450=1)</x:f>
        <x:v>0</x:v>
      </x:c>
      <x:c r="AE450" s="43" t="n">
        <x:f>--AND(S450=1,M450&lt;&gt;"",M450&lt;&gt;"keep")</x:f>
        <x:v>0</x:v>
      </x:c>
      <x:c r="AG450" t="n">
        <x:f>--AND(S450=1,T450=1,U450=1,V450=1,W450=1,AE450=1)</x:f>
        <x:v>0</x:v>
      </x:c>
      <x:c r="AJ450" t="str">
        <x:f>IF(OR(AH450="",AI450=""),"",--(AH450&lt;&gt;AI450))</x:f>
      </x:c>
      <x:c r="AL450" t="str">
        <x:f>IF(OR(AH450="",AI450=""),"PENDING_HUMAN",IF(AH450=AI450,AH450,IF(AK450&lt;&gt;"",AK450,"PENDING_HUMAN")))</x:f>
        <x:v>PENDING_HUMAN</x:v>
      </x:c>
      <x:c r="AM450" t="n">
        <x:f>--AND(A450&lt;&gt;"",AH450&lt;&gt;"",AI450&lt;&gt;"",OR(AH450=AI450,AK450&lt;&gt;""))</x:f>
        <x:v>0</x:v>
      </x:c>
      <x:c r="AN450" t="n">
        <x:f>--AND(Y450&lt;&gt;"",COUNTIF($Y$4:Y450,Y450)=1)</x:f>
        <x:v>0</x:v>
      </x:c>
      <x:c r="AO450" t="n">
        <x:f>--AND(AN450=1,Z450=1,AM450=1)</x:f>
        <x:v>0</x:v>
      </x:c>
      <x:c r="AP450" t="n">
        <x:f>--AND(AO450=1,AA450=1,AL450=1)</x:f>
        <x:v>0</x:v>
      </x:c>
      <x:c r="AQ450" t="n">
        <x:f>--AND(AN450=1,Z450=1)</x:f>
        <x:v>0</x:v>
      </x:c>
      <x:c r="AR450" t="n">
        <x:f>--AND(AQ450=1,AA450=1)</x:f>
        <x:v>0</x:v>
      </x:c>
    </x:row>
    <x:row r="451">
      <x:c r="A451" s="28"/>
      <x:c r="B451" s="28"/>
      <x:c r="C451" s="28"/>
      <x:c r="D451" s="28"/>
      <x:c r="E451" s="28"/>
      <x:c r="F451" s="28"/>
      <x:c r="G451" s="28"/>
      <x:c r="H451" s="28"/>
      <x:c r="I451" s="28"/>
      <x:c r="J451" s="28"/>
      <x:c r="K451" s="28"/>
      <x:c r="L451" s="28"/>
      <x:c r="M451" s="28"/>
      <x:c r="N451" s="28"/>
      <x:c r="O451" s="28"/>
      <x:c r="P451" s="28"/>
      <x:c r="Q451" s="28"/>
      <x:c r="R451" s="28"/>
      <x:c r="S451" s="28"/>
      <x:c r="T451" s="28"/>
      <x:c r="U451" s="28"/>
      <x:c r="V451" s="28"/>
      <x:c r="W451" s="28"/>
      <x:c r="X451" s="43" t="n">
        <x:f>--AND(S451=1,T451=1,U451=1,V451=1,W451=1)</x:f>
        <x:v>0</x:v>
      </x:c>
      <x:c r="AE451" s="43" t="n">
        <x:f>--AND(S451=1,M451&lt;&gt;"",M451&lt;&gt;"keep")</x:f>
        <x:v>0</x:v>
      </x:c>
      <x:c r="AG451" t="n">
        <x:f>--AND(S451=1,T451=1,U451=1,V451=1,W451=1,AE451=1)</x:f>
        <x:v>0</x:v>
      </x:c>
      <x:c r="AJ451" t="str">
        <x:f>IF(OR(AH451="",AI451=""),"",--(AH451&lt;&gt;AI451))</x:f>
      </x:c>
      <x:c r="AL451" t="str">
        <x:f>IF(OR(AH451="",AI451=""),"PENDING_HUMAN",IF(AH451=AI451,AH451,IF(AK451&lt;&gt;"",AK451,"PENDING_HUMAN")))</x:f>
        <x:v>PENDING_HUMAN</x:v>
      </x:c>
      <x:c r="AM451" t="n">
        <x:f>--AND(A451&lt;&gt;"",AH451&lt;&gt;"",AI451&lt;&gt;"",OR(AH451=AI451,AK451&lt;&gt;""))</x:f>
        <x:v>0</x:v>
      </x:c>
      <x:c r="AN451" t="n">
        <x:f>--AND(Y451&lt;&gt;"",COUNTIF($Y$4:Y451,Y451)=1)</x:f>
        <x:v>0</x:v>
      </x:c>
      <x:c r="AO451" t="n">
        <x:f>--AND(AN451=1,Z451=1,AM451=1)</x:f>
        <x:v>0</x:v>
      </x:c>
      <x:c r="AP451" t="n">
        <x:f>--AND(AO451=1,AA451=1,AL451=1)</x:f>
        <x:v>0</x:v>
      </x:c>
      <x:c r="AQ451" t="n">
        <x:f>--AND(AN451=1,Z451=1)</x:f>
        <x:v>0</x:v>
      </x:c>
      <x:c r="AR451" t="n">
        <x:f>--AND(AQ451=1,AA451=1)</x:f>
        <x:v>0</x:v>
      </x:c>
    </x:row>
    <x:row r="452">
      <x:c r="A452" s="28"/>
      <x:c r="B452" s="28"/>
      <x:c r="C452" s="28"/>
      <x:c r="D452" s="28"/>
      <x:c r="E452" s="28"/>
      <x:c r="F452" s="28"/>
      <x:c r="G452" s="28"/>
      <x:c r="H452" s="28"/>
      <x:c r="I452" s="28"/>
      <x:c r="J452" s="28"/>
      <x:c r="K452" s="28"/>
      <x:c r="L452" s="28"/>
      <x:c r="M452" s="28"/>
      <x:c r="N452" s="28"/>
      <x:c r="O452" s="28"/>
      <x:c r="P452" s="28"/>
      <x:c r="Q452" s="28"/>
      <x:c r="R452" s="28"/>
      <x:c r="S452" s="28"/>
      <x:c r="T452" s="28"/>
      <x:c r="U452" s="28"/>
      <x:c r="V452" s="28"/>
      <x:c r="W452" s="28"/>
      <x:c r="X452" s="43" t="n">
        <x:f>--AND(S452=1,T452=1,U452=1,V452=1,W452=1)</x:f>
        <x:v>0</x:v>
      </x:c>
      <x:c r="AE452" s="43" t="n">
        <x:f>--AND(S452=1,M452&lt;&gt;"",M452&lt;&gt;"keep")</x:f>
        <x:v>0</x:v>
      </x:c>
      <x:c r="AG452" t="n">
        <x:f>--AND(S452=1,T452=1,U452=1,V452=1,W452=1,AE452=1)</x:f>
        <x:v>0</x:v>
      </x:c>
      <x:c r="AJ452" t="str">
        <x:f>IF(OR(AH452="",AI452=""),"",--(AH452&lt;&gt;AI452))</x:f>
      </x:c>
      <x:c r="AL452" t="str">
        <x:f>IF(OR(AH452="",AI452=""),"PENDING_HUMAN",IF(AH452=AI452,AH452,IF(AK452&lt;&gt;"",AK452,"PENDING_HUMAN")))</x:f>
        <x:v>PENDING_HUMAN</x:v>
      </x:c>
      <x:c r="AM452" t="n">
        <x:f>--AND(A452&lt;&gt;"",AH452&lt;&gt;"",AI452&lt;&gt;"",OR(AH452=AI452,AK452&lt;&gt;""))</x:f>
        <x:v>0</x:v>
      </x:c>
      <x:c r="AN452" t="n">
        <x:f>--AND(Y452&lt;&gt;"",COUNTIF($Y$4:Y452,Y452)=1)</x:f>
        <x:v>0</x:v>
      </x:c>
      <x:c r="AO452" t="n">
        <x:f>--AND(AN452=1,Z452=1,AM452=1)</x:f>
        <x:v>0</x:v>
      </x:c>
      <x:c r="AP452" t="n">
        <x:f>--AND(AO452=1,AA452=1,AL452=1)</x:f>
        <x:v>0</x:v>
      </x:c>
      <x:c r="AQ452" t="n">
        <x:f>--AND(AN452=1,Z452=1)</x:f>
        <x:v>0</x:v>
      </x:c>
      <x:c r="AR452" t="n">
        <x:f>--AND(AQ452=1,AA452=1)</x:f>
        <x:v>0</x:v>
      </x:c>
    </x:row>
    <x:row r="453">
      <x:c r="A453" s="28"/>
      <x:c r="B453" s="28"/>
      <x:c r="C453" s="28"/>
      <x:c r="D453" s="28"/>
      <x:c r="E453" s="28"/>
      <x:c r="F453" s="28"/>
      <x:c r="G453" s="28"/>
      <x:c r="H453" s="28"/>
      <x:c r="I453" s="28"/>
      <x:c r="J453" s="28"/>
      <x:c r="K453" s="28"/>
      <x:c r="L453" s="28"/>
      <x:c r="M453" s="28"/>
      <x:c r="N453" s="28"/>
      <x:c r="O453" s="28"/>
      <x:c r="P453" s="28"/>
      <x:c r="Q453" s="28"/>
      <x:c r="R453" s="28"/>
      <x:c r="S453" s="28"/>
      <x:c r="T453" s="28"/>
      <x:c r="U453" s="28"/>
      <x:c r="V453" s="28"/>
      <x:c r="W453" s="28"/>
      <x:c r="X453" s="43" t="n">
        <x:f>--AND(S453=1,T453=1,U453=1,V453=1,W453=1)</x:f>
        <x:v>0</x:v>
      </x:c>
      <x:c r="AE453" s="43" t="n">
        <x:f>--AND(S453=1,M453&lt;&gt;"",M453&lt;&gt;"keep")</x:f>
        <x:v>0</x:v>
      </x:c>
      <x:c r="AG453" t="n">
        <x:f>--AND(S453=1,T453=1,U453=1,V453=1,W453=1,AE453=1)</x:f>
        <x:v>0</x:v>
      </x:c>
      <x:c r="AJ453" t="str">
        <x:f>IF(OR(AH453="",AI453=""),"",--(AH453&lt;&gt;AI453))</x:f>
      </x:c>
      <x:c r="AL453" t="str">
        <x:f>IF(OR(AH453="",AI453=""),"PENDING_HUMAN",IF(AH453=AI453,AH453,IF(AK453&lt;&gt;"",AK453,"PENDING_HUMAN")))</x:f>
        <x:v>PENDING_HUMAN</x:v>
      </x:c>
      <x:c r="AM453" t="n">
        <x:f>--AND(A453&lt;&gt;"",AH453&lt;&gt;"",AI453&lt;&gt;"",OR(AH453=AI453,AK453&lt;&gt;""))</x:f>
        <x:v>0</x:v>
      </x:c>
      <x:c r="AN453" t="n">
        <x:f>--AND(Y453&lt;&gt;"",COUNTIF($Y$4:Y453,Y453)=1)</x:f>
        <x:v>0</x:v>
      </x:c>
      <x:c r="AO453" t="n">
        <x:f>--AND(AN453=1,Z453=1,AM453=1)</x:f>
        <x:v>0</x:v>
      </x:c>
      <x:c r="AP453" t="n">
        <x:f>--AND(AO453=1,AA453=1,AL453=1)</x:f>
        <x:v>0</x:v>
      </x:c>
      <x:c r="AQ453" t="n">
        <x:f>--AND(AN453=1,Z453=1)</x:f>
        <x:v>0</x:v>
      </x:c>
      <x:c r="AR453" t="n">
        <x:f>--AND(AQ453=1,AA453=1)</x:f>
        <x:v>0</x:v>
      </x:c>
    </x:row>
    <x:row r="454">
      <x:c r="A454" s="28"/>
      <x:c r="B454" s="28"/>
      <x:c r="C454" s="28"/>
      <x:c r="D454" s="28"/>
      <x:c r="E454" s="28"/>
      <x:c r="F454" s="28"/>
      <x:c r="G454" s="28"/>
      <x:c r="H454" s="28"/>
      <x:c r="I454" s="28"/>
      <x:c r="J454" s="28"/>
      <x:c r="K454" s="28"/>
      <x:c r="L454" s="28"/>
      <x:c r="M454" s="28"/>
      <x:c r="N454" s="28"/>
      <x:c r="O454" s="28"/>
      <x:c r="P454" s="28"/>
      <x:c r="Q454" s="28"/>
      <x:c r="R454" s="28"/>
      <x:c r="S454" s="28"/>
      <x:c r="T454" s="28"/>
      <x:c r="U454" s="28"/>
      <x:c r="V454" s="28"/>
      <x:c r="W454" s="28"/>
      <x:c r="X454" s="43" t="n">
        <x:f>--AND(S454=1,T454=1,U454=1,V454=1,W454=1)</x:f>
        <x:v>0</x:v>
      </x:c>
      <x:c r="AE454" s="43" t="n">
        <x:f>--AND(S454=1,M454&lt;&gt;"",M454&lt;&gt;"keep")</x:f>
        <x:v>0</x:v>
      </x:c>
      <x:c r="AG454" t="n">
        <x:f>--AND(S454=1,T454=1,U454=1,V454=1,W454=1,AE454=1)</x:f>
        <x:v>0</x:v>
      </x:c>
      <x:c r="AJ454" t="str">
        <x:f>IF(OR(AH454="",AI454=""),"",--(AH454&lt;&gt;AI454))</x:f>
      </x:c>
      <x:c r="AL454" t="str">
        <x:f>IF(OR(AH454="",AI454=""),"PENDING_HUMAN",IF(AH454=AI454,AH454,IF(AK454&lt;&gt;"",AK454,"PENDING_HUMAN")))</x:f>
        <x:v>PENDING_HUMAN</x:v>
      </x:c>
      <x:c r="AM454" t="n">
        <x:f>--AND(A454&lt;&gt;"",AH454&lt;&gt;"",AI454&lt;&gt;"",OR(AH454=AI454,AK454&lt;&gt;""))</x:f>
        <x:v>0</x:v>
      </x:c>
      <x:c r="AN454" t="n">
        <x:f>--AND(Y454&lt;&gt;"",COUNTIF($Y$4:Y454,Y454)=1)</x:f>
        <x:v>0</x:v>
      </x:c>
      <x:c r="AO454" t="n">
        <x:f>--AND(AN454=1,Z454=1,AM454=1)</x:f>
        <x:v>0</x:v>
      </x:c>
      <x:c r="AP454" t="n">
        <x:f>--AND(AO454=1,AA454=1,AL454=1)</x:f>
        <x:v>0</x:v>
      </x:c>
      <x:c r="AQ454" t="n">
        <x:f>--AND(AN454=1,Z454=1)</x:f>
        <x:v>0</x:v>
      </x:c>
      <x:c r="AR454" t="n">
        <x:f>--AND(AQ454=1,AA454=1)</x:f>
        <x:v>0</x:v>
      </x:c>
    </x:row>
    <x:row r="455">
      <x:c r="A455" s="28"/>
      <x:c r="B455" s="28"/>
      <x:c r="C455" s="28"/>
      <x:c r="D455" s="28"/>
      <x:c r="E455" s="28"/>
      <x:c r="F455" s="28"/>
      <x:c r="G455" s="28"/>
      <x:c r="H455" s="28"/>
      <x:c r="I455" s="28"/>
      <x:c r="J455" s="28"/>
      <x:c r="K455" s="28"/>
      <x:c r="L455" s="28"/>
      <x:c r="M455" s="28"/>
      <x:c r="N455" s="28"/>
      <x:c r="O455" s="28"/>
      <x:c r="P455" s="28"/>
      <x:c r="Q455" s="28"/>
      <x:c r="R455" s="28"/>
      <x:c r="S455" s="28"/>
      <x:c r="T455" s="28"/>
      <x:c r="U455" s="28"/>
      <x:c r="V455" s="28"/>
      <x:c r="W455" s="28"/>
      <x:c r="X455" s="43" t="n">
        <x:f>--AND(S455=1,T455=1,U455=1,V455=1,W455=1)</x:f>
        <x:v>0</x:v>
      </x:c>
      <x:c r="AE455" s="43" t="n">
        <x:f>--AND(S455=1,M455&lt;&gt;"",M455&lt;&gt;"keep")</x:f>
        <x:v>0</x:v>
      </x:c>
      <x:c r="AG455" t="n">
        <x:f>--AND(S455=1,T455=1,U455=1,V455=1,W455=1,AE455=1)</x:f>
        <x:v>0</x:v>
      </x:c>
      <x:c r="AJ455" t="str">
        <x:f>IF(OR(AH455="",AI455=""),"",--(AH455&lt;&gt;AI455))</x:f>
      </x:c>
      <x:c r="AL455" t="str">
        <x:f>IF(OR(AH455="",AI455=""),"PENDING_HUMAN",IF(AH455=AI455,AH455,IF(AK455&lt;&gt;"",AK455,"PENDING_HUMAN")))</x:f>
        <x:v>PENDING_HUMAN</x:v>
      </x:c>
      <x:c r="AM455" t="n">
        <x:f>--AND(A455&lt;&gt;"",AH455&lt;&gt;"",AI455&lt;&gt;"",OR(AH455=AI455,AK455&lt;&gt;""))</x:f>
        <x:v>0</x:v>
      </x:c>
      <x:c r="AN455" t="n">
        <x:f>--AND(Y455&lt;&gt;"",COUNTIF($Y$4:Y455,Y455)=1)</x:f>
        <x:v>0</x:v>
      </x:c>
      <x:c r="AO455" t="n">
        <x:f>--AND(AN455=1,Z455=1,AM455=1)</x:f>
        <x:v>0</x:v>
      </x:c>
      <x:c r="AP455" t="n">
        <x:f>--AND(AO455=1,AA455=1,AL455=1)</x:f>
        <x:v>0</x:v>
      </x:c>
      <x:c r="AQ455" t="n">
        <x:f>--AND(AN455=1,Z455=1)</x:f>
        <x:v>0</x:v>
      </x:c>
      <x:c r="AR455" t="n">
        <x:f>--AND(AQ455=1,AA455=1)</x:f>
        <x:v>0</x:v>
      </x:c>
    </x:row>
    <x:row r="456">
      <x:c r="A456" s="28"/>
      <x:c r="B456" s="28"/>
      <x:c r="C456" s="28"/>
      <x:c r="D456" s="28"/>
      <x:c r="E456" s="28"/>
      <x:c r="F456" s="28"/>
      <x:c r="G456" s="28"/>
      <x:c r="H456" s="28"/>
      <x:c r="I456" s="28"/>
      <x:c r="J456" s="28"/>
      <x:c r="K456" s="28"/>
      <x:c r="L456" s="28"/>
      <x:c r="M456" s="28"/>
      <x:c r="N456" s="28"/>
      <x:c r="O456" s="28"/>
      <x:c r="P456" s="28"/>
      <x:c r="Q456" s="28"/>
      <x:c r="R456" s="28"/>
      <x:c r="S456" s="28"/>
      <x:c r="T456" s="28"/>
      <x:c r="U456" s="28"/>
      <x:c r="V456" s="28"/>
      <x:c r="W456" s="28"/>
      <x:c r="X456" s="43" t="n">
        <x:f>--AND(S456=1,T456=1,U456=1,V456=1,W456=1)</x:f>
        <x:v>0</x:v>
      </x:c>
      <x:c r="AE456" s="43" t="n">
        <x:f>--AND(S456=1,M456&lt;&gt;"",M456&lt;&gt;"keep")</x:f>
        <x:v>0</x:v>
      </x:c>
      <x:c r="AG456" t="n">
        <x:f>--AND(S456=1,T456=1,U456=1,V456=1,W456=1,AE456=1)</x:f>
        <x:v>0</x:v>
      </x:c>
      <x:c r="AJ456" t="str">
        <x:f>IF(OR(AH456="",AI456=""),"",--(AH456&lt;&gt;AI456))</x:f>
      </x:c>
      <x:c r="AL456" t="str">
        <x:f>IF(OR(AH456="",AI456=""),"PENDING_HUMAN",IF(AH456=AI456,AH456,IF(AK456&lt;&gt;"",AK456,"PENDING_HUMAN")))</x:f>
        <x:v>PENDING_HUMAN</x:v>
      </x:c>
      <x:c r="AM456" t="n">
        <x:f>--AND(A456&lt;&gt;"",AH456&lt;&gt;"",AI456&lt;&gt;"",OR(AH456=AI456,AK456&lt;&gt;""))</x:f>
        <x:v>0</x:v>
      </x:c>
      <x:c r="AN456" t="n">
        <x:f>--AND(Y456&lt;&gt;"",COUNTIF($Y$4:Y456,Y456)=1)</x:f>
        <x:v>0</x:v>
      </x:c>
      <x:c r="AO456" t="n">
        <x:f>--AND(AN456=1,Z456=1,AM456=1)</x:f>
        <x:v>0</x:v>
      </x:c>
      <x:c r="AP456" t="n">
        <x:f>--AND(AO456=1,AA456=1,AL456=1)</x:f>
        <x:v>0</x:v>
      </x:c>
      <x:c r="AQ456" t="n">
        <x:f>--AND(AN456=1,Z456=1)</x:f>
        <x:v>0</x:v>
      </x:c>
      <x:c r="AR456" t="n">
        <x:f>--AND(AQ456=1,AA456=1)</x:f>
        <x:v>0</x:v>
      </x:c>
    </x:row>
    <x:row r="457">
      <x:c r="A457" s="28"/>
      <x:c r="B457" s="28"/>
      <x:c r="C457" s="28"/>
      <x:c r="D457" s="28"/>
      <x:c r="E457" s="28"/>
      <x:c r="F457" s="28"/>
      <x:c r="G457" s="28"/>
      <x:c r="H457" s="28"/>
      <x:c r="I457" s="28"/>
      <x:c r="J457" s="28"/>
      <x:c r="K457" s="28"/>
      <x:c r="L457" s="28"/>
      <x:c r="M457" s="28"/>
      <x:c r="N457" s="28"/>
      <x:c r="O457" s="28"/>
      <x:c r="P457" s="28"/>
      <x:c r="Q457" s="28"/>
      <x:c r="R457" s="28"/>
      <x:c r="S457" s="28"/>
      <x:c r="T457" s="28"/>
      <x:c r="U457" s="28"/>
      <x:c r="V457" s="28"/>
      <x:c r="W457" s="28"/>
      <x:c r="X457" s="43" t="n">
        <x:f>--AND(S457=1,T457=1,U457=1,V457=1,W457=1)</x:f>
        <x:v>0</x:v>
      </x:c>
      <x:c r="AE457" s="43" t="n">
        <x:f>--AND(S457=1,M457&lt;&gt;"",M457&lt;&gt;"keep")</x:f>
        <x:v>0</x:v>
      </x:c>
      <x:c r="AG457" t="n">
        <x:f>--AND(S457=1,T457=1,U457=1,V457=1,W457=1,AE457=1)</x:f>
        <x:v>0</x:v>
      </x:c>
      <x:c r="AJ457" t="str">
        <x:f>IF(OR(AH457="",AI457=""),"",--(AH457&lt;&gt;AI457))</x:f>
      </x:c>
      <x:c r="AL457" t="str">
        <x:f>IF(OR(AH457="",AI457=""),"PENDING_HUMAN",IF(AH457=AI457,AH457,IF(AK457&lt;&gt;"",AK457,"PENDING_HUMAN")))</x:f>
        <x:v>PENDING_HUMAN</x:v>
      </x:c>
      <x:c r="AM457" t="n">
        <x:f>--AND(A457&lt;&gt;"",AH457&lt;&gt;"",AI457&lt;&gt;"",OR(AH457=AI457,AK457&lt;&gt;""))</x:f>
        <x:v>0</x:v>
      </x:c>
      <x:c r="AN457" t="n">
        <x:f>--AND(Y457&lt;&gt;"",COUNTIF($Y$4:Y457,Y457)=1)</x:f>
        <x:v>0</x:v>
      </x:c>
      <x:c r="AO457" t="n">
        <x:f>--AND(AN457=1,Z457=1,AM457=1)</x:f>
        <x:v>0</x:v>
      </x:c>
      <x:c r="AP457" t="n">
        <x:f>--AND(AO457=1,AA457=1,AL457=1)</x:f>
        <x:v>0</x:v>
      </x:c>
      <x:c r="AQ457" t="n">
        <x:f>--AND(AN457=1,Z457=1)</x:f>
        <x:v>0</x:v>
      </x:c>
      <x:c r="AR457" t="n">
        <x:f>--AND(AQ457=1,AA457=1)</x:f>
        <x:v>0</x:v>
      </x:c>
    </x:row>
    <x:row r="458">
      <x:c r="A458" s="28"/>
      <x:c r="B458" s="28"/>
      <x:c r="C458" s="28"/>
      <x:c r="D458" s="28"/>
      <x:c r="E458" s="28"/>
      <x:c r="F458" s="28"/>
      <x:c r="G458" s="28"/>
      <x:c r="H458" s="28"/>
      <x:c r="I458" s="28"/>
      <x:c r="J458" s="28"/>
      <x:c r="K458" s="28"/>
      <x:c r="L458" s="28"/>
      <x:c r="M458" s="28"/>
      <x:c r="N458" s="28"/>
      <x:c r="O458" s="28"/>
      <x:c r="P458" s="28"/>
      <x:c r="Q458" s="28"/>
      <x:c r="R458" s="28"/>
      <x:c r="S458" s="28"/>
      <x:c r="T458" s="28"/>
      <x:c r="U458" s="28"/>
      <x:c r="V458" s="28"/>
      <x:c r="W458" s="28"/>
      <x:c r="X458" s="43" t="n">
        <x:f>--AND(S458=1,T458=1,U458=1,V458=1,W458=1)</x:f>
        <x:v>0</x:v>
      </x:c>
      <x:c r="AE458" s="43" t="n">
        <x:f>--AND(S458=1,M458&lt;&gt;"",M458&lt;&gt;"keep")</x:f>
        <x:v>0</x:v>
      </x:c>
      <x:c r="AG458" t="n">
        <x:f>--AND(S458=1,T458=1,U458=1,V458=1,W458=1,AE458=1)</x:f>
        <x:v>0</x:v>
      </x:c>
      <x:c r="AJ458" t="str">
        <x:f>IF(OR(AH458="",AI458=""),"",--(AH458&lt;&gt;AI458))</x:f>
      </x:c>
      <x:c r="AL458" t="str">
        <x:f>IF(OR(AH458="",AI458=""),"PENDING_HUMAN",IF(AH458=AI458,AH458,IF(AK458&lt;&gt;"",AK458,"PENDING_HUMAN")))</x:f>
        <x:v>PENDING_HUMAN</x:v>
      </x:c>
      <x:c r="AM458" t="n">
        <x:f>--AND(A458&lt;&gt;"",AH458&lt;&gt;"",AI458&lt;&gt;"",OR(AH458=AI458,AK458&lt;&gt;""))</x:f>
        <x:v>0</x:v>
      </x:c>
      <x:c r="AN458" t="n">
        <x:f>--AND(Y458&lt;&gt;"",COUNTIF($Y$4:Y458,Y458)=1)</x:f>
        <x:v>0</x:v>
      </x:c>
      <x:c r="AO458" t="n">
        <x:f>--AND(AN458=1,Z458=1,AM458=1)</x:f>
        <x:v>0</x:v>
      </x:c>
      <x:c r="AP458" t="n">
        <x:f>--AND(AO458=1,AA458=1,AL458=1)</x:f>
        <x:v>0</x:v>
      </x:c>
      <x:c r="AQ458" t="n">
        <x:f>--AND(AN458=1,Z458=1)</x:f>
        <x:v>0</x:v>
      </x:c>
      <x:c r="AR458" t="n">
        <x:f>--AND(AQ458=1,AA458=1)</x:f>
        <x:v>0</x:v>
      </x:c>
    </x:row>
    <x:row r="459">
      <x:c r="A459" s="28"/>
      <x:c r="B459" s="28"/>
      <x:c r="C459" s="28"/>
      <x:c r="D459" s="28"/>
      <x:c r="E459" s="28"/>
      <x:c r="F459" s="28"/>
      <x:c r="G459" s="28"/>
      <x:c r="H459" s="28"/>
      <x:c r="I459" s="28"/>
      <x:c r="J459" s="28"/>
      <x:c r="K459" s="28"/>
      <x:c r="L459" s="28"/>
      <x:c r="M459" s="28"/>
      <x:c r="N459" s="28"/>
      <x:c r="O459" s="28"/>
      <x:c r="P459" s="28"/>
      <x:c r="Q459" s="28"/>
      <x:c r="R459" s="28"/>
      <x:c r="S459" s="28"/>
      <x:c r="T459" s="28"/>
      <x:c r="U459" s="28"/>
      <x:c r="V459" s="28"/>
      <x:c r="W459" s="28"/>
      <x:c r="X459" s="43" t="n">
        <x:f>--AND(S459=1,T459=1,U459=1,V459=1,W459=1)</x:f>
        <x:v>0</x:v>
      </x:c>
      <x:c r="AE459" s="43" t="n">
        <x:f>--AND(S459=1,M459&lt;&gt;"",M459&lt;&gt;"keep")</x:f>
        <x:v>0</x:v>
      </x:c>
      <x:c r="AG459" t="n">
        <x:f>--AND(S459=1,T459=1,U459=1,V459=1,W459=1,AE459=1)</x:f>
        <x:v>0</x:v>
      </x:c>
      <x:c r="AJ459" t="str">
        <x:f>IF(OR(AH459="",AI459=""),"",--(AH459&lt;&gt;AI459))</x:f>
      </x:c>
      <x:c r="AL459" t="str">
        <x:f>IF(OR(AH459="",AI459=""),"PENDING_HUMAN",IF(AH459=AI459,AH459,IF(AK459&lt;&gt;"",AK459,"PENDING_HUMAN")))</x:f>
        <x:v>PENDING_HUMAN</x:v>
      </x:c>
      <x:c r="AM459" t="n">
        <x:f>--AND(A459&lt;&gt;"",AH459&lt;&gt;"",AI459&lt;&gt;"",OR(AH459=AI459,AK459&lt;&gt;""))</x:f>
        <x:v>0</x:v>
      </x:c>
      <x:c r="AN459" t="n">
        <x:f>--AND(Y459&lt;&gt;"",COUNTIF($Y$4:Y459,Y459)=1)</x:f>
        <x:v>0</x:v>
      </x:c>
      <x:c r="AO459" t="n">
        <x:f>--AND(AN459=1,Z459=1,AM459=1)</x:f>
        <x:v>0</x:v>
      </x:c>
      <x:c r="AP459" t="n">
        <x:f>--AND(AO459=1,AA459=1,AL459=1)</x:f>
        <x:v>0</x:v>
      </x:c>
      <x:c r="AQ459" t="n">
        <x:f>--AND(AN459=1,Z459=1)</x:f>
        <x:v>0</x:v>
      </x:c>
      <x:c r="AR459" t="n">
        <x:f>--AND(AQ459=1,AA459=1)</x:f>
        <x:v>0</x:v>
      </x:c>
    </x:row>
    <x:row r="460">
      <x:c r="A460" s="28"/>
      <x:c r="B460" s="28"/>
      <x:c r="C460" s="28"/>
      <x:c r="D460" s="28"/>
      <x:c r="E460" s="28"/>
      <x:c r="F460" s="28"/>
      <x:c r="G460" s="28"/>
      <x:c r="H460" s="28"/>
      <x:c r="I460" s="28"/>
      <x:c r="J460" s="28"/>
      <x:c r="K460" s="28"/>
      <x:c r="L460" s="28"/>
      <x:c r="M460" s="28"/>
      <x:c r="N460" s="28"/>
      <x:c r="O460" s="28"/>
      <x:c r="P460" s="28"/>
      <x:c r="Q460" s="28"/>
      <x:c r="R460" s="28"/>
      <x:c r="S460" s="28"/>
      <x:c r="T460" s="28"/>
      <x:c r="U460" s="28"/>
      <x:c r="V460" s="28"/>
      <x:c r="W460" s="28"/>
      <x:c r="X460" s="43" t="n">
        <x:f>--AND(S460=1,T460=1,U460=1,V460=1,W460=1)</x:f>
        <x:v>0</x:v>
      </x:c>
      <x:c r="AE460" s="43" t="n">
        <x:f>--AND(S460=1,M460&lt;&gt;"",M460&lt;&gt;"keep")</x:f>
        <x:v>0</x:v>
      </x:c>
      <x:c r="AG460" t="n">
        <x:f>--AND(S460=1,T460=1,U460=1,V460=1,W460=1,AE460=1)</x:f>
        <x:v>0</x:v>
      </x:c>
      <x:c r="AJ460" t="str">
        <x:f>IF(OR(AH460="",AI460=""),"",--(AH460&lt;&gt;AI460))</x:f>
      </x:c>
      <x:c r="AL460" t="str">
        <x:f>IF(OR(AH460="",AI460=""),"PENDING_HUMAN",IF(AH460=AI460,AH460,IF(AK460&lt;&gt;"",AK460,"PENDING_HUMAN")))</x:f>
        <x:v>PENDING_HUMAN</x:v>
      </x:c>
      <x:c r="AM460" t="n">
        <x:f>--AND(A460&lt;&gt;"",AH460&lt;&gt;"",AI460&lt;&gt;"",OR(AH460=AI460,AK460&lt;&gt;""))</x:f>
        <x:v>0</x:v>
      </x:c>
      <x:c r="AN460" t="n">
        <x:f>--AND(Y460&lt;&gt;"",COUNTIF($Y$4:Y460,Y460)=1)</x:f>
        <x:v>0</x:v>
      </x:c>
      <x:c r="AO460" t="n">
        <x:f>--AND(AN460=1,Z460=1,AM460=1)</x:f>
        <x:v>0</x:v>
      </x:c>
      <x:c r="AP460" t="n">
        <x:f>--AND(AO460=1,AA460=1,AL460=1)</x:f>
        <x:v>0</x:v>
      </x:c>
      <x:c r="AQ460" t="n">
        <x:f>--AND(AN460=1,Z460=1)</x:f>
        <x:v>0</x:v>
      </x:c>
      <x:c r="AR460" t="n">
        <x:f>--AND(AQ460=1,AA460=1)</x:f>
        <x:v>0</x:v>
      </x:c>
    </x:row>
    <x:row r="461">
      <x:c r="A461" s="28"/>
      <x:c r="B461" s="28"/>
      <x:c r="C461" s="28"/>
      <x:c r="D461" s="28"/>
      <x:c r="E461" s="28"/>
      <x:c r="F461" s="28"/>
      <x:c r="G461" s="28"/>
      <x:c r="H461" s="28"/>
      <x:c r="I461" s="28"/>
      <x:c r="J461" s="28"/>
      <x:c r="K461" s="28"/>
      <x:c r="L461" s="28"/>
      <x:c r="M461" s="28"/>
      <x:c r="N461" s="28"/>
      <x:c r="O461" s="28"/>
      <x:c r="P461" s="28"/>
      <x:c r="Q461" s="28"/>
      <x:c r="R461" s="28"/>
      <x:c r="S461" s="28"/>
      <x:c r="T461" s="28"/>
      <x:c r="U461" s="28"/>
      <x:c r="V461" s="28"/>
      <x:c r="W461" s="28"/>
      <x:c r="X461" s="43" t="n">
        <x:f>--AND(S461=1,T461=1,U461=1,V461=1,W461=1)</x:f>
        <x:v>0</x:v>
      </x:c>
      <x:c r="AE461" s="43" t="n">
        <x:f>--AND(S461=1,M461&lt;&gt;"",M461&lt;&gt;"keep")</x:f>
        <x:v>0</x:v>
      </x:c>
      <x:c r="AG461" t="n">
        <x:f>--AND(S461=1,T461=1,U461=1,V461=1,W461=1,AE461=1)</x:f>
        <x:v>0</x:v>
      </x:c>
      <x:c r="AJ461" t="str">
        <x:f>IF(OR(AH461="",AI461=""),"",--(AH461&lt;&gt;AI461))</x:f>
      </x:c>
      <x:c r="AL461" t="str">
        <x:f>IF(OR(AH461="",AI461=""),"PENDING_HUMAN",IF(AH461=AI461,AH461,IF(AK461&lt;&gt;"",AK461,"PENDING_HUMAN")))</x:f>
        <x:v>PENDING_HUMAN</x:v>
      </x:c>
      <x:c r="AM461" t="n">
        <x:f>--AND(A461&lt;&gt;"",AH461&lt;&gt;"",AI461&lt;&gt;"",OR(AH461=AI461,AK461&lt;&gt;""))</x:f>
        <x:v>0</x:v>
      </x:c>
      <x:c r="AN461" t="n">
        <x:f>--AND(Y461&lt;&gt;"",COUNTIF($Y$4:Y461,Y461)=1)</x:f>
        <x:v>0</x:v>
      </x:c>
      <x:c r="AO461" t="n">
        <x:f>--AND(AN461=1,Z461=1,AM461=1)</x:f>
        <x:v>0</x:v>
      </x:c>
      <x:c r="AP461" t="n">
        <x:f>--AND(AO461=1,AA461=1,AL461=1)</x:f>
        <x:v>0</x:v>
      </x:c>
      <x:c r="AQ461" t="n">
        <x:f>--AND(AN461=1,Z461=1)</x:f>
        <x:v>0</x:v>
      </x:c>
      <x:c r="AR461" t="n">
        <x:f>--AND(AQ461=1,AA461=1)</x:f>
        <x:v>0</x:v>
      </x:c>
    </x:row>
    <x:row r="462">
      <x:c r="A462" s="28"/>
      <x:c r="B462" s="28"/>
      <x:c r="C462" s="28"/>
      <x:c r="D462" s="28"/>
      <x:c r="E462" s="28"/>
      <x:c r="F462" s="28"/>
      <x:c r="G462" s="28"/>
      <x:c r="H462" s="28"/>
      <x:c r="I462" s="28"/>
      <x:c r="J462" s="28"/>
      <x:c r="K462" s="28"/>
      <x:c r="L462" s="28"/>
      <x:c r="M462" s="28"/>
      <x:c r="N462" s="28"/>
      <x:c r="O462" s="28"/>
      <x:c r="P462" s="28"/>
      <x:c r="Q462" s="28"/>
      <x:c r="R462" s="28"/>
      <x:c r="S462" s="28"/>
      <x:c r="T462" s="28"/>
      <x:c r="U462" s="28"/>
      <x:c r="V462" s="28"/>
      <x:c r="W462" s="28"/>
      <x:c r="X462" s="43" t="n">
        <x:f>--AND(S462=1,T462=1,U462=1,V462=1,W462=1)</x:f>
        <x:v>0</x:v>
      </x:c>
      <x:c r="AE462" s="43" t="n">
        <x:f>--AND(S462=1,M462&lt;&gt;"",M462&lt;&gt;"keep")</x:f>
        <x:v>0</x:v>
      </x:c>
      <x:c r="AG462" t="n">
        <x:f>--AND(S462=1,T462=1,U462=1,V462=1,W462=1,AE462=1)</x:f>
        <x:v>0</x:v>
      </x:c>
      <x:c r="AJ462" t="str">
        <x:f>IF(OR(AH462="",AI462=""),"",--(AH462&lt;&gt;AI462))</x:f>
      </x:c>
      <x:c r="AL462" t="str">
        <x:f>IF(OR(AH462="",AI462=""),"PENDING_HUMAN",IF(AH462=AI462,AH462,IF(AK462&lt;&gt;"",AK462,"PENDING_HUMAN")))</x:f>
        <x:v>PENDING_HUMAN</x:v>
      </x:c>
      <x:c r="AM462" t="n">
        <x:f>--AND(A462&lt;&gt;"",AH462&lt;&gt;"",AI462&lt;&gt;"",OR(AH462=AI462,AK462&lt;&gt;""))</x:f>
        <x:v>0</x:v>
      </x:c>
      <x:c r="AN462" t="n">
        <x:f>--AND(Y462&lt;&gt;"",COUNTIF($Y$4:Y462,Y462)=1)</x:f>
        <x:v>0</x:v>
      </x:c>
      <x:c r="AO462" t="n">
        <x:f>--AND(AN462=1,Z462=1,AM462=1)</x:f>
        <x:v>0</x:v>
      </x:c>
      <x:c r="AP462" t="n">
        <x:f>--AND(AO462=1,AA462=1,AL462=1)</x:f>
        <x:v>0</x:v>
      </x:c>
      <x:c r="AQ462" t="n">
        <x:f>--AND(AN462=1,Z462=1)</x:f>
        <x:v>0</x:v>
      </x:c>
      <x:c r="AR462" t="n">
        <x:f>--AND(AQ462=1,AA462=1)</x:f>
        <x:v>0</x:v>
      </x:c>
    </x:row>
    <x:row r="463">
      <x:c r="A463" s="28"/>
      <x:c r="B463" s="28"/>
      <x:c r="C463" s="28"/>
      <x:c r="D463" s="28"/>
      <x:c r="E463" s="28"/>
      <x:c r="F463" s="28"/>
      <x:c r="G463" s="28"/>
      <x:c r="H463" s="28"/>
      <x:c r="I463" s="28"/>
      <x:c r="J463" s="28"/>
      <x:c r="K463" s="28"/>
      <x:c r="L463" s="28"/>
      <x:c r="M463" s="28"/>
      <x:c r="N463" s="28"/>
      <x:c r="O463" s="28"/>
      <x:c r="P463" s="28"/>
      <x:c r="Q463" s="28"/>
      <x:c r="R463" s="28"/>
      <x:c r="S463" s="28"/>
      <x:c r="T463" s="28"/>
      <x:c r="U463" s="28"/>
      <x:c r="V463" s="28"/>
      <x:c r="W463" s="28"/>
      <x:c r="X463" s="43" t="n">
        <x:f>--AND(S463=1,T463=1,U463=1,V463=1,W463=1)</x:f>
        <x:v>0</x:v>
      </x:c>
      <x:c r="AE463" s="43" t="n">
        <x:f>--AND(S463=1,M463&lt;&gt;"",M463&lt;&gt;"keep")</x:f>
        <x:v>0</x:v>
      </x:c>
      <x:c r="AG463" t="n">
        <x:f>--AND(S463=1,T463=1,U463=1,V463=1,W463=1,AE463=1)</x:f>
        <x:v>0</x:v>
      </x:c>
      <x:c r="AJ463" t="str">
        <x:f>IF(OR(AH463="",AI463=""),"",--(AH463&lt;&gt;AI463))</x:f>
      </x:c>
      <x:c r="AL463" t="str">
        <x:f>IF(OR(AH463="",AI463=""),"PENDING_HUMAN",IF(AH463=AI463,AH463,IF(AK463&lt;&gt;"",AK463,"PENDING_HUMAN")))</x:f>
        <x:v>PENDING_HUMAN</x:v>
      </x:c>
      <x:c r="AM463" t="n">
        <x:f>--AND(A463&lt;&gt;"",AH463&lt;&gt;"",AI463&lt;&gt;"",OR(AH463=AI463,AK463&lt;&gt;""))</x:f>
        <x:v>0</x:v>
      </x:c>
      <x:c r="AN463" t="n">
        <x:f>--AND(Y463&lt;&gt;"",COUNTIF($Y$4:Y463,Y463)=1)</x:f>
        <x:v>0</x:v>
      </x:c>
      <x:c r="AO463" t="n">
        <x:f>--AND(AN463=1,Z463=1,AM463=1)</x:f>
        <x:v>0</x:v>
      </x:c>
      <x:c r="AP463" t="n">
        <x:f>--AND(AO463=1,AA463=1,AL463=1)</x:f>
        <x:v>0</x:v>
      </x:c>
      <x:c r="AQ463" t="n">
        <x:f>--AND(AN463=1,Z463=1)</x:f>
        <x:v>0</x:v>
      </x:c>
      <x:c r="AR463" t="n">
        <x:f>--AND(AQ463=1,AA463=1)</x:f>
        <x:v>0</x:v>
      </x:c>
    </x:row>
    <x:row r="464">
      <x:c r="A464" s="28"/>
      <x:c r="B464" s="28"/>
      <x:c r="C464" s="28"/>
      <x:c r="D464" s="28"/>
      <x:c r="E464" s="28"/>
      <x:c r="F464" s="28"/>
      <x:c r="G464" s="28"/>
      <x:c r="H464" s="28"/>
      <x:c r="I464" s="28"/>
      <x:c r="J464" s="28"/>
      <x:c r="K464" s="28"/>
      <x:c r="L464" s="28"/>
      <x:c r="M464" s="28"/>
      <x:c r="N464" s="28"/>
      <x:c r="O464" s="28"/>
      <x:c r="P464" s="28"/>
      <x:c r="Q464" s="28"/>
      <x:c r="R464" s="28"/>
      <x:c r="S464" s="28"/>
      <x:c r="T464" s="28"/>
      <x:c r="U464" s="28"/>
      <x:c r="V464" s="28"/>
      <x:c r="W464" s="28"/>
      <x:c r="X464" s="43" t="n">
        <x:f>--AND(S464=1,T464=1,U464=1,V464=1,W464=1)</x:f>
        <x:v>0</x:v>
      </x:c>
      <x:c r="AE464" s="43" t="n">
        <x:f>--AND(S464=1,M464&lt;&gt;"",M464&lt;&gt;"keep")</x:f>
        <x:v>0</x:v>
      </x:c>
      <x:c r="AG464" t="n">
        <x:f>--AND(S464=1,T464=1,U464=1,V464=1,W464=1,AE464=1)</x:f>
        <x:v>0</x:v>
      </x:c>
      <x:c r="AJ464" t="str">
        <x:f>IF(OR(AH464="",AI464=""),"",--(AH464&lt;&gt;AI464))</x:f>
      </x:c>
      <x:c r="AL464" t="str">
        <x:f>IF(OR(AH464="",AI464=""),"PENDING_HUMAN",IF(AH464=AI464,AH464,IF(AK464&lt;&gt;"",AK464,"PENDING_HUMAN")))</x:f>
        <x:v>PENDING_HUMAN</x:v>
      </x:c>
      <x:c r="AM464" t="n">
        <x:f>--AND(A464&lt;&gt;"",AH464&lt;&gt;"",AI464&lt;&gt;"",OR(AH464=AI464,AK464&lt;&gt;""))</x:f>
        <x:v>0</x:v>
      </x:c>
      <x:c r="AN464" t="n">
        <x:f>--AND(Y464&lt;&gt;"",COUNTIF($Y$4:Y464,Y464)=1)</x:f>
        <x:v>0</x:v>
      </x:c>
      <x:c r="AO464" t="n">
        <x:f>--AND(AN464=1,Z464=1,AM464=1)</x:f>
        <x:v>0</x:v>
      </x:c>
      <x:c r="AP464" t="n">
        <x:f>--AND(AO464=1,AA464=1,AL464=1)</x:f>
        <x:v>0</x:v>
      </x:c>
      <x:c r="AQ464" t="n">
        <x:f>--AND(AN464=1,Z464=1)</x:f>
        <x:v>0</x:v>
      </x:c>
      <x:c r="AR464" t="n">
        <x:f>--AND(AQ464=1,AA464=1)</x:f>
        <x:v>0</x:v>
      </x:c>
    </x:row>
    <x:row r="465">
      <x:c r="A465" s="28"/>
      <x:c r="B465" s="28"/>
      <x:c r="C465" s="28"/>
      <x:c r="D465" s="28"/>
      <x:c r="E465" s="28"/>
      <x:c r="F465" s="28"/>
      <x:c r="G465" s="28"/>
      <x:c r="H465" s="28"/>
      <x:c r="I465" s="28"/>
      <x:c r="J465" s="28"/>
      <x:c r="K465" s="28"/>
      <x:c r="L465" s="28"/>
      <x:c r="M465" s="28"/>
      <x:c r="N465" s="28"/>
      <x:c r="O465" s="28"/>
      <x:c r="P465" s="28"/>
      <x:c r="Q465" s="28"/>
      <x:c r="R465" s="28"/>
      <x:c r="S465" s="28"/>
      <x:c r="T465" s="28"/>
      <x:c r="U465" s="28"/>
      <x:c r="V465" s="28"/>
      <x:c r="W465" s="28"/>
      <x:c r="X465" s="43" t="n">
        <x:f>--AND(S465=1,T465=1,U465=1,V465=1,W465=1)</x:f>
        <x:v>0</x:v>
      </x:c>
      <x:c r="AE465" s="43" t="n">
        <x:f>--AND(S465=1,M465&lt;&gt;"",M465&lt;&gt;"keep")</x:f>
        <x:v>0</x:v>
      </x:c>
      <x:c r="AG465" t="n">
        <x:f>--AND(S465=1,T465=1,U465=1,V465=1,W465=1,AE465=1)</x:f>
        <x:v>0</x:v>
      </x:c>
      <x:c r="AJ465" t="str">
        <x:f>IF(OR(AH465="",AI465=""),"",--(AH465&lt;&gt;AI465))</x:f>
      </x:c>
      <x:c r="AL465" t="str">
        <x:f>IF(OR(AH465="",AI465=""),"PENDING_HUMAN",IF(AH465=AI465,AH465,IF(AK465&lt;&gt;"",AK465,"PENDING_HUMAN")))</x:f>
        <x:v>PENDING_HUMAN</x:v>
      </x:c>
      <x:c r="AM465" t="n">
        <x:f>--AND(A465&lt;&gt;"",AH465&lt;&gt;"",AI465&lt;&gt;"",OR(AH465=AI465,AK465&lt;&gt;""))</x:f>
        <x:v>0</x:v>
      </x:c>
      <x:c r="AN465" t="n">
        <x:f>--AND(Y465&lt;&gt;"",COUNTIF($Y$4:Y465,Y465)=1)</x:f>
        <x:v>0</x:v>
      </x:c>
      <x:c r="AO465" t="n">
        <x:f>--AND(AN465=1,Z465=1,AM465=1)</x:f>
        <x:v>0</x:v>
      </x:c>
      <x:c r="AP465" t="n">
        <x:f>--AND(AO465=1,AA465=1,AL465=1)</x:f>
        <x:v>0</x:v>
      </x:c>
      <x:c r="AQ465" t="n">
        <x:f>--AND(AN465=1,Z465=1)</x:f>
        <x:v>0</x:v>
      </x:c>
      <x:c r="AR465" t="n">
        <x:f>--AND(AQ465=1,AA465=1)</x:f>
        <x:v>0</x:v>
      </x:c>
    </x:row>
    <x:row r="466">
      <x:c r="A466" s="28"/>
      <x:c r="B466" s="28"/>
      <x:c r="C466" s="28"/>
      <x:c r="D466" s="28"/>
      <x:c r="E466" s="28"/>
      <x:c r="F466" s="28"/>
      <x:c r="G466" s="28"/>
      <x:c r="H466" s="28"/>
      <x:c r="I466" s="28"/>
      <x:c r="J466" s="28"/>
      <x:c r="K466" s="28"/>
      <x:c r="L466" s="28"/>
      <x:c r="M466" s="28"/>
      <x:c r="N466" s="28"/>
      <x:c r="O466" s="28"/>
      <x:c r="P466" s="28"/>
      <x:c r="Q466" s="28"/>
      <x:c r="R466" s="28"/>
      <x:c r="S466" s="28"/>
      <x:c r="T466" s="28"/>
      <x:c r="U466" s="28"/>
      <x:c r="V466" s="28"/>
      <x:c r="W466" s="28"/>
      <x:c r="X466" s="43" t="n">
        <x:f>--AND(S466=1,T466=1,U466=1,V466=1,W466=1)</x:f>
        <x:v>0</x:v>
      </x:c>
      <x:c r="AE466" s="43" t="n">
        <x:f>--AND(S466=1,M466&lt;&gt;"",M466&lt;&gt;"keep")</x:f>
        <x:v>0</x:v>
      </x:c>
      <x:c r="AG466" t="n">
        <x:f>--AND(S466=1,T466=1,U466=1,V466=1,W466=1,AE466=1)</x:f>
        <x:v>0</x:v>
      </x:c>
      <x:c r="AJ466" t="str">
        <x:f>IF(OR(AH466="",AI466=""),"",--(AH466&lt;&gt;AI466))</x:f>
      </x:c>
      <x:c r="AL466" t="str">
        <x:f>IF(OR(AH466="",AI466=""),"PENDING_HUMAN",IF(AH466=AI466,AH466,IF(AK466&lt;&gt;"",AK466,"PENDING_HUMAN")))</x:f>
        <x:v>PENDING_HUMAN</x:v>
      </x:c>
      <x:c r="AM466" t="n">
        <x:f>--AND(A466&lt;&gt;"",AH466&lt;&gt;"",AI466&lt;&gt;"",OR(AH466=AI466,AK466&lt;&gt;""))</x:f>
        <x:v>0</x:v>
      </x:c>
      <x:c r="AN466" t="n">
        <x:f>--AND(Y466&lt;&gt;"",COUNTIF($Y$4:Y466,Y466)=1)</x:f>
        <x:v>0</x:v>
      </x:c>
      <x:c r="AO466" t="n">
        <x:f>--AND(AN466=1,Z466=1,AM466=1)</x:f>
        <x:v>0</x:v>
      </x:c>
      <x:c r="AP466" t="n">
        <x:f>--AND(AO466=1,AA466=1,AL466=1)</x:f>
        <x:v>0</x:v>
      </x:c>
      <x:c r="AQ466" t="n">
        <x:f>--AND(AN466=1,Z466=1)</x:f>
        <x:v>0</x:v>
      </x:c>
      <x:c r="AR466" t="n">
        <x:f>--AND(AQ466=1,AA466=1)</x:f>
        <x:v>0</x:v>
      </x:c>
    </x:row>
    <x:row r="467">
      <x:c r="A467" s="28"/>
      <x:c r="B467" s="28"/>
      <x:c r="C467" s="28"/>
      <x:c r="D467" s="28"/>
      <x:c r="E467" s="28"/>
      <x:c r="F467" s="28"/>
      <x:c r="G467" s="28"/>
      <x:c r="H467" s="28"/>
      <x:c r="I467" s="28"/>
      <x:c r="J467" s="28"/>
      <x:c r="K467" s="28"/>
      <x:c r="L467" s="28"/>
      <x:c r="M467" s="28"/>
      <x:c r="N467" s="28"/>
      <x:c r="O467" s="28"/>
      <x:c r="P467" s="28"/>
      <x:c r="Q467" s="28"/>
      <x:c r="R467" s="28"/>
      <x:c r="S467" s="28"/>
      <x:c r="T467" s="28"/>
      <x:c r="U467" s="28"/>
      <x:c r="V467" s="28"/>
      <x:c r="W467" s="28"/>
      <x:c r="X467" s="43" t="n">
        <x:f>--AND(S467=1,T467=1,U467=1,V467=1,W467=1)</x:f>
        <x:v>0</x:v>
      </x:c>
      <x:c r="AE467" s="43" t="n">
        <x:f>--AND(S467=1,M467&lt;&gt;"",M467&lt;&gt;"keep")</x:f>
        <x:v>0</x:v>
      </x:c>
      <x:c r="AG467" t="n">
        <x:f>--AND(S467=1,T467=1,U467=1,V467=1,W467=1,AE467=1)</x:f>
        <x:v>0</x:v>
      </x:c>
      <x:c r="AJ467" t="str">
        <x:f>IF(OR(AH467="",AI467=""),"",--(AH467&lt;&gt;AI467))</x:f>
      </x:c>
      <x:c r="AL467" t="str">
        <x:f>IF(OR(AH467="",AI467=""),"PENDING_HUMAN",IF(AH467=AI467,AH467,IF(AK467&lt;&gt;"",AK467,"PENDING_HUMAN")))</x:f>
        <x:v>PENDING_HUMAN</x:v>
      </x:c>
      <x:c r="AM467" t="n">
        <x:f>--AND(A467&lt;&gt;"",AH467&lt;&gt;"",AI467&lt;&gt;"",OR(AH467=AI467,AK467&lt;&gt;""))</x:f>
        <x:v>0</x:v>
      </x:c>
      <x:c r="AN467" t="n">
        <x:f>--AND(Y467&lt;&gt;"",COUNTIF($Y$4:Y467,Y467)=1)</x:f>
        <x:v>0</x:v>
      </x:c>
      <x:c r="AO467" t="n">
        <x:f>--AND(AN467=1,Z467=1,AM467=1)</x:f>
        <x:v>0</x:v>
      </x:c>
      <x:c r="AP467" t="n">
        <x:f>--AND(AO467=1,AA467=1,AL467=1)</x:f>
        <x:v>0</x:v>
      </x:c>
      <x:c r="AQ467" t="n">
        <x:f>--AND(AN467=1,Z467=1)</x:f>
        <x:v>0</x:v>
      </x:c>
      <x:c r="AR467" t="n">
        <x:f>--AND(AQ467=1,AA467=1)</x:f>
        <x:v>0</x:v>
      </x:c>
    </x:row>
    <x:row r="468">
      <x:c r="A468" s="28"/>
      <x:c r="B468" s="28"/>
      <x:c r="C468" s="28"/>
      <x:c r="D468" s="28"/>
      <x:c r="E468" s="28"/>
      <x:c r="F468" s="28"/>
      <x:c r="G468" s="28"/>
      <x:c r="H468" s="28"/>
      <x:c r="I468" s="28"/>
      <x:c r="J468" s="28"/>
      <x:c r="K468" s="28"/>
      <x:c r="L468" s="28"/>
      <x:c r="M468" s="28"/>
      <x:c r="N468" s="28"/>
      <x:c r="O468" s="28"/>
      <x:c r="P468" s="28"/>
      <x:c r="Q468" s="28"/>
      <x:c r="R468" s="28"/>
      <x:c r="S468" s="28"/>
      <x:c r="T468" s="28"/>
      <x:c r="U468" s="28"/>
      <x:c r="V468" s="28"/>
      <x:c r="W468" s="28"/>
      <x:c r="X468" s="43" t="n">
        <x:f>--AND(S468=1,T468=1,U468=1,V468=1,W468=1)</x:f>
        <x:v>0</x:v>
      </x:c>
      <x:c r="AE468" s="43" t="n">
        <x:f>--AND(S468=1,M468&lt;&gt;"",M468&lt;&gt;"keep")</x:f>
        <x:v>0</x:v>
      </x:c>
      <x:c r="AG468" t="n">
        <x:f>--AND(S468=1,T468=1,U468=1,V468=1,W468=1,AE468=1)</x:f>
        <x:v>0</x:v>
      </x:c>
      <x:c r="AJ468" t="str">
        <x:f>IF(OR(AH468="",AI468=""),"",--(AH468&lt;&gt;AI468))</x:f>
      </x:c>
      <x:c r="AL468" t="str">
        <x:f>IF(OR(AH468="",AI468=""),"PENDING_HUMAN",IF(AH468=AI468,AH468,IF(AK468&lt;&gt;"",AK468,"PENDING_HUMAN")))</x:f>
        <x:v>PENDING_HUMAN</x:v>
      </x:c>
      <x:c r="AM468" t="n">
        <x:f>--AND(A468&lt;&gt;"",AH468&lt;&gt;"",AI468&lt;&gt;"",OR(AH468=AI468,AK468&lt;&gt;""))</x:f>
        <x:v>0</x:v>
      </x:c>
      <x:c r="AN468" t="n">
        <x:f>--AND(Y468&lt;&gt;"",COUNTIF($Y$4:Y468,Y468)=1)</x:f>
        <x:v>0</x:v>
      </x:c>
      <x:c r="AO468" t="n">
        <x:f>--AND(AN468=1,Z468=1,AM468=1)</x:f>
        <x:v>0</x:v>
      </x:c>
      <x:c r="AP468" t="n">
        <x:f>--AND(AO468=1,AA468=1,AL468=1)</x:f>
        <x:v>0</x:v>
      </x:c>
      <x:c r="AQ468" t="n">
        <x:f>--AND(AN468=1,Z468=1)</x:f>
        <x:v>0</x:v>
      </x:c>
      <x:c r="AR468" t="n">
        <x:f>--AND(AQ468=1,AA468=1)</x:f>
        <x:v>0</x:v>
      </x:c>
    </x:row>
    <x:row r="469">
      <x:c r="A469" s="28"/>
      <x:c r="B469" s="28"/>
      <x:c r="C469" s="28"/>
      <x:c r="D469" s="28"/>
      <x:c r="E469" s="28"/>
      <x:c r="F469" s="28"/>
      <x:c r="G469" s="28"/>
      <x:c r="H469" s="28"/>
      <x:c r="I469" s="28"/>
      <x:c r="J469" s="28"/>
      <x:c r="K469" s="28"/>
      <x:c r="L469" s="28"/>
      <x:c r="M469" s="28"/>
      <x:c r="N469" s="28"/>
      <x:c r="O469" s="28"/>
      <x:c r="P469" s="28"/>
      <x:c r="Q469" s="28"/>
      <x:c r="R469" s="28"/>
      <x:c r="S469" s="28"/>
      <x:c r="T469" s="28"/>
      <x:c r="U469" s="28"/>
      <x:c r="V469" s="28"/>
      <x:c r="W469" s="28"/>
      <x:c r="X469" s="43" t="n">
        <x:f>--AND(S469=1,T469=1,U469=1,V469=1,W469=1)</x:f>
        <x:v>0</x:v>
      </x:c>
      <x:c r="AE469" s="43" t="n">
        <x:f>--AND(S469=1,M469&lt;&gt;"",M469&lt;&gt;"keep")</x:f>
        <x:v>0</x:v>
      </x:c>
      <x:c r="AG469" t="n">
        <x:f>--AND(S469=1,T469=1,U469=1,V469=1,W469=1,AE469=1)</x:f>
        <x:v>0</x:v>
      </x:c>
      <x:c r="AJ469" t="str">
        <x:f>IF(OR(AH469="",AI469=""),"",--(AH469&lt;&gt;AI469))</x:f>
      </x:c>
      <x:c r="AL469" t="str">
        <x:f>IF(OR(AH469="",AI469=""),"PENDING_HUMAN",IF(AH469=AI469,AH469,IF(AK469&lt;&gt;"",AK469,"PENDING_HUMAN")))</x:f>
        <x:v>PENDING_HUMAN</x:v>
      </x:c>
      <x:c r="AM469" t="n">
        <x:f>--AND(A469&lt;&gt;"",AH469&lt;&gt;"",AI469&lt;&gt;"",OR(AH469=AI469,AK469&lt;&gt;""))</x:f>
        <x:v>0</x:v>
      </x:c>
      <x:c r="AN469" t="n">
        <x:f>--AND(Y469&lt;&gt;"",COUNTIF($Y$4:Y469,Y469)=1)</x:f>
        <x:v>0</x:v>
      </x:c>
      <x:c r="AO469" t="n">
        <x:f>--AND(AN469=1,Z469=1,AM469=1)</x:f>
        <x:v>0</x:v>
      </x:c>
      <x:c r="AP469" t="n">
        <x:f>--AND(AO469=1,AA469=1,AL469=1)</x:f>
        <x:v>0</x:v>
      </x:c>
      <x:c r="AQ469" t="n">
        <x:f>--AND(AN469=1,Z469=1)</x:f>
        <x:v>0</x:v>
      </x:c>
      <x:c r="AR469" t="n">
        <x:f>--AND(AQ469=1,AA469=1)</x:f>
        <x:v>0</x:v>
      </x:c>
    </x:row>
    <x:row r="470">
      <x:c r="A470" s="28"/>
      <x:c r="B470" s="28"/>
      <x:c r="C470" s="28"/>
      <x:c r="D470" s="28"/>
      <x:c r="E470" s="28"/>
      <x:c r="F470" s="28"/>
      <x:c r="G470" s="28"/>
      <x:c r="H470" s="28"/>
      <x:c r="I470" s="28"/>
      <x:c r="J470" s="28"/>
      <x:c r="K470" s="28"/>
      <x:c r="L470" s="28"/>
      <x:c r="M470" s="28"/>
      <x:c r="N470" s="28"/>
      <x:c r="O470" s="28"/>
      <x:c r="P470" s="28"/>
      <x:c r="Q470" s="28"/>
      <x:c r="R470" s="28"/>
      <x:c r="S470" s="28"/>
      <x:c r="T470" s="28"/>
      <x:c r="U470" s="28"/>
      <x:c r="V470" s="28"/>
      <x:c r="W470" s="28"/>
      <x:c r="X470" s="43" t="n">
        <x:f>--AND(S470=1,T470=1,U470=1,V470=1,W470=1)</x:f>
        <x:v>0</x:v>
      </x:c>
      <x:c r="AE470" s="43" t="n">
        <x:f>--AND(S470=1,M470&lt;&gt;"",M470&lt;&gt;"keep")</x:f>
        <x:v>0</x:v>
      </x:c>
      <x:c r="AG470" t="n">
        <x:f>--AND(S470=1,T470=1,U470=1,V470=1,W470=1,AE470=1)</x:f>
        <x:v>0</x:v>
      </x:c>
      <x:c r="AJ470" t="str">
        <x:f>IF(OR(AH470="",AI470=""),"",--(AH470&lt;&gt;AI470))</x:f>
      </x:c>
      <x:c r="AL470" t="str">
        <x:f>IF(OR(AH470="",AI470=""),"PENDING_HUMAN",IF(AH470=AI470,AH470,IF(AK470&lt;&gt;"",AK470,"PENDING_HUMAN")))</x:f>
        <x:v>PENDING_HUMAN</x:v>
      </x:c>
      <x:c r="AM470" t="n">
        <x:f>--AND(A470&lt;&gt;"",AH470&lt;&gt;"",AI470&lt;&gt;"",OR(AH470=AI470,AK470&lt;&gt;""))</x:f>
        <x:v>0</x:v>
      </x:c>
      <x:c r="AN470" t="n">
        <x:f>--AND(Y470&lt;&gt;"",COUNTIF($Y$4:Y470,Y470)=1)</x:f>
        <x:v>0</x:v>
      </x:c>
      <x:c r="AO470" t="n">
        <x:f>--AND(AN470=1,Z470=1,AM470=1)</x:f>
        <x:v>0</x:v>
      </x:c>
      <x:c r="AP470" t="n">
        <x:f>--AND(AO470=1,AA470=1,AL470=1)</x:f>
        <x:v>0</x:v>
      </x:c>
      <x:c r="AQ470" t="n">
        <x:f>--AND(AN470=1,Z470=1)</x:f>
        <x:v>0</x:v>
      </x:c>
      <x:c r="AR470" t="n">
        <x:f>--AND(AQ470=1,AA470=1)</x:f>
        <x:v>0</x:v>
      </x:c>
    </x:row>
    <x:row r="471">
      <x:c r="A471" s="28"/>
      <x:c r="B471" s="28"/>
      <x:c r="C471" s="28"/>
      <x:c r="D471" s="28"/>
      <x:c r="E471" s="28"/>
      <x:c r="F471" s="28"/>
      <x:c r="G471" s="28"/>
      <x:c r="H471" s="28"/>
      <x:c r="I471" s="28"/>
      <x:c r="J471" s="28"/>
      <x:c r="K471" s="28"/>
      <x:c r="L471" s="28"/>
      <x:c r="M471" s="28"/>
      <x:c r="N471" s="28"/>
      <x:c r="O471" s="28"/>
      <x:c r="P471" s="28"/>
      <x:c r="Q471" s="28"/>
      <x:c r="R471" s="28"/>
      <x:c r="S471" s="28"/>
      <x:c r="T471" s="28"/>
      <x:c r="U471" s="28"/>
      <x:c r="V471" s="28"/>
      <x:c r="W471" s="28"/>
      <x:c r="X471" s="43" t="n">
        <x:f>--AND(S471=1,T471=1,U471=1,V471=1,W471=1)</x:f>
        <x:v>0</x:v>
      </x:c>
      <x:c r="AE471" s="43" t="n">
        <x:f>--AND(S471=1,M471&lt;&gt;"",M471&lt;&gt;"keep")</x:f>
        <x:v>0</x:v>
      </x:c>
      <x:c r="AG471" t="n">
        <x:f>--AND(S471=1,T471=1,U471=1,V471=1,W471=1,AE471=1)</x:f>
        <x:v>0</x:v>
      </x:c>
      <x:c r="AJ471" t="str">
        <x:f>IF(OR(AH471="",AI471=""),"",--(AH471&lt;&gt;AI471))</x:f>
      </x:c>
      <x:c r="AL471" t="str">
        <x:f>IF(OR(AH471="",AI471=""),"PENDING_HUMAN",IF(AH471=AI471,AH471,IF(AK471&lt;&gt;"",AK471,"PENDING_HUMAN")))</x:f>
        <x:v>PENDING_HUMAN</x:v>
      </x:c>
      <x:c r="AM471" t="n">
        <x:f>--AND(A471&lt;&gt;"",AH471&lt;&gt;"",AI471&lt;&gt;"",OR(AH471=AI471,AK471&lt;&gt;""))</x:f>
        <x:v>0</x:v>
      </x:c>
      <x:c r="AN471" t="n">
        <x:f>--AND(Y471&lt;&gt;"",COUNTIF($Y$4:Y471,Y471)=1)</x:f>
        <x:v>0</x:v>
      </x:c>
      <x:c r="AO471" t="n">
        <x:f>--AND(AN471=1,Z471=1,AM471=1)</x:f>
        <x:v>0</x:v>
      </x:c>
      <x:c r="AP471" t="n">
        <x:f>--AND(AO471=1,AA471=1,AL471=1)</x:f>
        <x:v>0</x:v>
      </x:c>
      <x:c r="AQ471" t="n">
        <x:f>--AND(AN471=1,Z471=1)</x:f>
        <x:v>0</x:v>
      </x:c>
      <x:c r="AR471" t="n">
        <x:f>--AND(AQ471=1,AA471=1)</x:f>
        <x:v>0</x:v>
      </x:c>
    </x:row>
    <x:row r="472">
      <x:c r="A472" s="28"/>
      <x:c r="B472" s="28"/>
      <x:c r="C472" s="28"/>
      <x:c r="D472" s="28"/>
      <x:c r="E472" s="28"/>
      <x:c r="F472" s="28"/>
      <x:c r="G472" s="28"/>
      <x:c r="H472" s="28"/>
      <x:c r="I472" s="28"/>
      <x:c r="J472" s="28"/>
      <x:c r="K472" s="28"/>
      <x:c r="L472" s="28"/>
      <x:c r="M472" s="28"/>
      <x:c r="N472" s="28"/>
      <x:c r="O472" s="28"/>
      <x:c r="P472" s="28"/>
      <x:c r="Q472" s="28"/>
      <x:c r="R472" s="28"/>
      <x:c r="S472" s="28"/>
      <x:c r="T472" s="28"/>
      <x:c r="U472" s="28"/>
      <x:c r="V472" s="28"/>
      <x:c r="W472" s="28"/>
      <x:c r="X472" s="43" t="n">
        <x:f>--AND(S472=1,T472=1,U472=1,V472=1,W472=1)</x:f>
        <x:v>0</x:v>
      </x:c>
      <x:c r="AE472" s="43" t="n">
        <x:f>--AND(S472=1,M472&lt;&gt;"",M472&lt;&gt;"keep")</x:f>
        <x:v>0</x:v>
      </x:c>
      <x:c r="AG472" t="n">
        <x:f>--AND(S472=1,T472=1,U472=1,V472=1,W472=1,AE472=1)</x:f>
        <x:v>0</x:v>
      </x:c>
      <x:c r="AJ472" t="str">
        <x:f>IF(OR(AH472="",AI472=""),"",--(AH472&lt;&gt;AI472))</x:f>
      </x:c>
      <x:c r="AL472" t="str">
        <x:f>IF(OR(AH472="",AI472=""),"PENDING_HUMAN",IF(AH472=AI472,AH472,IF(AK472&lt;&gt;"",AK472,"PENDING_HUMAN")))</x:f>
        <x:v>PENDING_HUMAN</x:v>
      </x:c>
      <x:c r="AM472" t="n">
        <x:f>--AND(A472&lt;&gt;"",AH472&lt;&gt;"",AI472&lt;&gt;"",OR(AH472=AI472,AK472&lt;&gt;""))</x:f>
        <x:v>0</x:v>
      </x:c>
      <x:c r="AN472" t="n">
        <x:f>--AND(Y472&lt;&gt;"",COUNTIF($Y$4:Y472,Y472)=1)</x:f>
        <x:v>0</x:v>
      </x:c>
      <x:c r="AO472" t="n">
        <x:f>--AND(AN472=1,Z472=1,AM472=1)</x:f>
        <x:v>0</x:v>
      </x:c>
      <x:c r="AP472" t="n">
        <x:f>--AND(AO472=1,AA472=1,AL472=1)</x:f>
        <x:v>0</x:v>
      </x:c>
      <x:c r="AQ472" t="n">
        <x:f>--AND(AN472=1,Z472=1)</x:f>
        <x:v>0</x:v>
      </x:c>
      <x:c r="AR472" t="n">
        <x:f>--AND(AQ472=1,AA472=1)</x:f>
        <x:v>0</x:v>
      </x:c>
    </x:row>
    <x:row r="473">
      <x:c r="A473" s="28"/>
      <x:c r="B473" s="28"/>
      <x:c r="C473" s="28"/>
      <x:c r="D473" s="28"/>
      <x:c r="E473" s="28"/>
      <x:c r="F473" s="28"/>
      <x:c r="G473" s="28"/>
      <x:c r="H473" s="28"/>
      <x:c r="I473" s="28"/>
      <x:c r="J473" s="28"/>
      <x:c r="K473" s="28"/>
      <x:c r="L473" s="28"/>
      <x:c r="M473" s="28"/>
      <x:c r="N473" s="28"/>
      <x:c r="O473" s="28"/>
      <x:c r="P473" s="28"/>
      <x:c r="Q473" s="28"/>
      <x:c r="R473" s="28"/>
      <x:c r="S473" s="28"/>
      <x:c r="T473" s="28"/>
      <x:c r="U473" s="28"/>
      <x:c r="V473" s="28"/>
      <x:c r="W473" s="28"/>
      <x:c r="X473" s="43" t="n">
        <x:f>--AND(S473=1,T473=1,U473=1,V473=1,W473=1)</x:f>
        <x:v>0</x:v>
      </x:c>
      <x:c r="AE473" s="43" t="n">
        <x:f>--AND(S473=1,M473&lt;&gt;"",M473&lt;&gt;"keep")</x:f>
        <x:v>0</x:v>
      </x:c>
      <x:c r="AG473" t="n">
        <x:f>--AND(S473=1,T473=1,U473=1,V473=1,W473=1,AE473=1)</x:f>
        <x:v>0</x:v>
      </x:c>
      <x:c r="AJ473" t="str">
        <x:f>IF(OR(AH473="",AI473=""),"",--(AH473&lt;&gt;AI473))</x:f>
      </x:c>
      <x:c r="AL473" t="str">
        <x:f>IF(OR(AH473="",AI473=""),"PENDING_HUMAN",IF(AH473=AI473,AH473,IF(AK473&lt;&gt;"",AK473,"PENDING_HUMAN")))</x:f>
        <x:v>PENDING_HUMAN</x:v>
      </x:c>
      <x:c r="AM473" t="n">
        <x:f>--AND(A473&lt;&gt;"",AH473&lt;&gt;"",AI473&lt;&gt;"",OR(AH473=AI473,AK473&lt;&gt;""))</x:f>
        <x:v>0</x:v>
      </x:c>
      <x:c r="AN473" t="n">
        <x:f>--AND(Y473&lt;&gt;"",COUNTIF($Y$4:Y473,Y473)=1)</x:f>
        <x:v>0</x:v>
      </x:c>
      <x:c r="AO473" t="n">
        <x:f>--AND(AN473=1,Z473=1,AM473=1)</x:f>
        <x:v>0</x:v>
      </x:c>
      <x:c r="AP473" t="n">
        <x:f>--AND(AO473=1,AA473=1,AL473=1)</x:f>
        <x:v>0</x:v>
      </x:c>
      <x:c r="AQ473" t="n">
        <x:f>--AND(AN473=1,Z473=1)</x:f>
        <x:v>0</x:v>
      </x:c>
      <x:c r="AR473" t="n">
        <x:f>--AND(AQ473=1,AA473=1)</x:f>
        <x:v>0</x:v>
      </x:c>
    </x:row>
    <x:row r="474">
      <x:c r="A474" s="28"/>
      <x:c r="B474" s="28"/>
      <x:c r="C474" s="28"/>
      <x:c r="D474" s="28"/>
      <x:c r="E474" s="28"/>
      <x:c r="F474" s="28"/>
      <x:c r="G474" s="28"/>
      <x:c r="H474" s="28"/>
      <x:c r="I474" s="28"/>
      <x:c r="J474" s="28"/>
      <x:c r="K474" s="28"/>
      <x:c r="L474" s="28"/>
      <x:c r="M474" s="28"/>
      <x:c r="N474" s="28"/>
      <x:c r="O474" s="28"/>
      <x:c r="P474" s="28"/>
      <x:c r="Q474" s="28"/>
      <x:c r="R474" s="28"/>
      <x:c r="S474" s="28"/>
      <x:c r="T474" s="28"/>
      <x:c r="U474" s="28"/>
      <x:c r="V474" s="28"/>
      <x:c r="W474" s="28"/>
      <x:c r="X474" s="43" t="n">
        <x:f>--AND(S474=1,T474=1,U474=1,V474=1,W474=1)</x:f>
        <x:v>0</x:v>
      </x:c>
      <x:c r="AE474" s="43" t="n">
        <x:f>--AND(S474=1,M474&lt;&gt;"",M474&lt;&gt;"keep")</x:f>
        <x:v>0</x:v>
      </x:c>
      <x:c r="AG474" t="n">
        <x:f>--AND(S474=1,T474=1,U474=1,V474=1,W474=1,AE474=1)</x:f>
        <x:v>0</x:v>
      </x:c>
      <x:c r="AJ474" t="str">
        <x:f>IF(OR(AH474="",AI474=""),"",--(AH474&lt;&gt;AI474))</x:f>
      </x:c>
      <x:c r="AL474" t="str">
        <x:f>IF(OR(AH474="",AI474=""),"PENDING_HUMAN",IF(AH474=AI474,AH474,IF(AK474&lt;&gt;"",AK474,"PENDING_HUMAN")))</x:f>
        <x:v>PENDING_HUMAN</x:v>
      </x:c>
      <x:c r="AM474" t="n">
        <x:f>--AND(A474&lt;&gt;"",AH474&lt;&gt;"",AI474&lt;&gt;"",OR(AH474=AI474,AK474&lt;&gt;""))</x:f>
        <x:v>0</x:v>
      </x:c>
      <x:c r="AN474" t="n">
        <x:f>--AND(Y474&lt;&gt;"",COUNTIF($Y$4:Y474,Y474)=1)</x:f>
        <x:v>0</x:v>
      </x:c>
      <x:c r="AO474" t="n">
        <x:f>--AND(AN474=1,Z474=1,AM474=1)</x:f>
        <x:v>0</x:v>
      </x:c>
      <x:c r="AP474" t="n">
        <x:f>--AND(AO474=1,AA474=1,AL474=1)</x:f>
        <x:v>0</x:v>
      </x:c>
      <x:c r="AQ474" t="n">
        <x:f>--AND(AN474=1,Z474=1)</x:f>
        <x:v>0</x:v>
      </x:c>
      <x:c r="AR474" t="n">
        <x:f>--AND(AQ474=1,AA474=1)</x:f>
        <x:v>0</x:v>
      </x:c>
    </x:row>
    <x:row r="475">
      <x:c r="A475" s="28"/>
      <x:c r="B475" s="28"/>
      <x:c r="C475" s="28"/>
      <x:c r="D475" s="28"/>
      <x:c r="E475" s="28"/>
      <x:c r="F475" s="28"/>
      <x:c r="G475" s="28"/>
      <x:c r="H475" s="28"/>
      <x:c r="I475" s="28"/>
      <x:c r="J475" s="28"/>
      <x:c r="K475" s="28"/>
      <x:c r="L475" s="28"/>
      <x:c r="M475" s="28"/>
      <x:c r="N475" s="28"/>
      <x:c r="O475" s="28"/>
      <x:c r="P475" s="28"/>
      <x:c r="Q475" s="28"/>
      <x:c r="R475" s="28"/>
      <x:c r="S475" s="28"/>
      <x:c r="T475" s="28"/>
      <x:c r="U475" s="28"/>
      <x:c r="V475" s="28"/>
      <x:c r="W475" s="28"/>
      <x:c r="X475" s="43" t="n">
        <x:f>--AND(S475=1,T475=1,U475=1,V475=1,W475=1)</x:f>
        <x:v>0</x:v>
      </x:c>
      <x:c r="AE475" s="43" t="n">
        <x:f>--AND(S475=1,M475&lt;&gt;"",M475&lt;&gt;"keep")</x:f>
        <x:v>0</x:v>
      </x:c>
      <x:c r="AG475" t="n">
        <x:f>--AND(S475=1,T475=1,U475=1,V475=1,W475=1,AE475=1)</x:f>
        <x:v>0</x:v>
      </x:c>
      <x:c r="AJ475" t="str">
        <x:f>IF(OR(AH475="",AI475=""),"",--(AH475&lt;&gt;AI475))</x:f>
      </x:c>
      <x:c r="AL475" t="str">
        <x:f>IF(OR(AH475="",AI475=""),"PENDING_HUMAN",IF(AH475=AI475,AH475,IF(AK475&lt;&gt;"",AK475,"PENDING_HUMAN")))</x:f>
        <x:v>PENDING_HUMAN</x:v>
      </x:c>
      <x:c r="AM475" t="n">
        <x:f>--AND(A475&lt;&gt;"",AH475&lt;&gt;"",AI475&lt;&gt;"",OR(AH475=AI475,AK475&lt;&gt;""))</x:f>
        <x:v>0</x:v>
      </x:c>
      <x:c r="AN475" t="n">
        <x:f>--AND(Y475&lt;&gt;"",COUNTIF($Y$4:Y475,Y475)=1)</x:f>
        <x:v>0</x:v>
      </x:c>
      <x:c r="AO475" t="n">
        <x:f>--AND(AN475=1,Z475=1,AM475=1)</x:f>
        <x:v>0</x:v>
      </x:c>
      <x:c r="AP475" t="n">
        <x:f>--AND(AO475=1,AA475=1,AL475=1)</x:f>
        <x:v>0</x:v>
      </x:c>
      <x:c r="AQ475" t="n">
        <x:f>--AND(AN475=1,Z475=1)</x:f>
        <x:v>0</x:v>
      </x:c>
      <x:c r="AR475" t="n">
        <x:f>--AND(AQ475=1,AA475=1)</x:f>
        <x:v>0</x:v>
      </x:c>
    </x:row>
    <x:row r="476">
      <x:c r="A476" s="28"/>
      <x:c r="B476" s="28"/>
      <x:c r="C476" s="28"/>
      <x:c r="D476" s="28"/>
      <x:c r="E476" s="28"/>
      <x:c r="F476" s="28"/>
      <x:c r="G476" s="28"/>
      <x:c r="H476" s="28"/>
      <x:c r="I476" s="28"/>
      <x:c r="J476" s="28"/>
      <x:c r="K476" s="28"/>
      <x:c r="L476" s="28"/>
      <x:c r="M476" s="28"/>
      <x:c r="N476" s="28"/>
      <x:c r="O476" s="28"/>
      <x:c r="P476" s="28"/>
      <x:c r="Q476" s="28"/>
      <x:c r="R476" s="28"/>
      <x:c r="S476" s="28"/>
      <x:c r="T476" s="28"/>
      <x:c r="U476" s="28"/>
      <x:c r="V476" s="28"/>
      <x:c r="W476" s="28"/>
      <x:c r="X476" s="43" t="n">
        <x:f>--AND(S476=1,T476=1,U476=1,V476=1,W476=1)</x:f>
        <x:v>0</x:v>
      </x:c>
      <x:c r="AE476" s="43" t="n">
        <x:f>--AND(S476=1,M476&lt;&gt;"",M476&lt;&gt;"keep")</x:f>
        <x:v>0</x:v>
      </x:c>
      <x:c r="AG476" t="n">
        <x:f>--AND(S476=1,T476=1,U476=1,V476=1,W476=1,AE476=1)</x:f>
        <x:v>0</x:v>
      </x:c>
      <x:c r="AJ476" t="str">
        <x:f>IF(OR(AH476="",AI476=""),"",--(AH476&lt;&gt;AI476))</x:f>
      </x:c>
      <x:c r="AL476" t="str">
        <x:f>IF(OR(AH476="",AI476=""),"PENDING_HUMAN",IF(AH476=AI476,AH476,IF(AK476&lt;&gt;"",AK476,"PENDING_HUMAN")))</x:f>
        <x:v>PENDING_HUMAN</x:v>
      </x:c>
      <x:c r="AM476" t="n">
        <x:f>--AND(A476&lt;&gt;"",AH476&lt;&gt;"",AI476&lt;&gt;"",OR(AH476=AI476,AK476&lt;&gt;""))</x:f>
        <x:v>0</x:v>
      </x:c>
      <x:c r="AN476" t="n">
        <x:f>--AND(Y476&lt;&gt;"",COUNTIF($Y$4:Y476,Y476)=1)</x:f>
        <x:v>0</x:v>
      </x:c>
      <x:c r="AO476" t="n">
        <x:f>--AND(AN476=1,Z476=1,AM476=1)</x:f>
        <x:v>0</x:v>
      </x:c>
      <x:c r="AP476" t="n">
        <x:f>--AND(AO476=1,AA476=1,AL476=1)</x:f>
        <x:v>0</x:v>
      </x:c>
      <x:c r="AQ476" t="n">
        <x:f>--AND(AN476=1,Z476=1)</x:f>
        <x:v>0</x:v>
      </x:c>
      <x:c r="AR476" t="n">
        <x:f>--AND(AQ476=1,AA476=1)</x:f>
        <x:v>0</x:v>
      </x:c>
    </x:row>
    <x:row r="477">
      <x:c r="A477" s="28"/>
      <x:c r="B477" s="28"/>
      <x:c r="C477" s="28"/>
      <x:c r="D477" s="28"/>
      <x:c r="E477" s="28"/>
      <x:c r="F477" s="28"/>
      <x:c r="G477" s="28"/>
      <x:c r="H477" s="28"/>
      <x:c r="I477" s="28"/>
      <x:c r="J477" s="28"/>
      <x:c r="K477" s="28"/>
      <x:c r="L477" s="28"/>
      <x:c r="M477" s="28"/>
      <x:c r="N477" s="28"/>
      <x:c r="O477" s="28"/>
      <x:c r="P477" s="28"/>
      <x:c r="Q477" s="28"/>
      <x:c r="R477" s="28"/>
      <x:c r="S477" s="28"/>
      <x:c r="T477" s="28"/>
      <x:c r="U477" s="28"/>
      <x:c r="V477" s="28"/>
      <x:c r="W477" s="28"/>
      <x:c r="X477" s="43" t="n">
        <x:f>--AND(S477=1,T477=1,U477=1,V477=1,W477=1)</x:f>
        <x:v>0</x:v>
      </x:c>
      <x:c r="AE477" s="43" t="n">
        <x:f>--AND(S477=1,M477&lt;&gt;"",M477&lt;&gt;"keep")</x:f>
        <x:v>0</x:v>
      </x:c>
      <x:c r="AG477" t="n">
        <x:f>--AND(S477=1,T477=1,U477=1,V477=1,W477=1,AE477=1)</x:f>
        <x:v>0</x:v>
      </x:c>
      <x:c r="AJ477" t="str">
        <x:f>IF(OR(AH477="",AI477=""),"",--(AH477&lt;&gt;AI477))</x:f>
      </x:c>
      <x:c r="AL477" t="str">
        <x:f>IF(OR(AH477="",AI477=""),"PENDING_HUMAN",IF(AH477=AI477,AH477,IF(AK477&lt;&gt;"",AK477,"PENDING_HUMAN")))</x:f>
        <x:v>PENDING_HUMAN</x:v>
      </x:c>
      <x:c r="AM477" t="n">
        <x:f>--AND(A477&lt;&gt;"",AH477&lt;&gt;"",AI477&lt;&gt;"",OR(AH477=AI477,AK477&lt;&gt;""))</x:f>
        <x:v>0</x:v>
      </x:c>
      <x:c r="AN477" t="n">
        <x:f>--AND(Y477&lt;&gt;"",COUNTIF($Y$4:Y477,Y477)=1)</x:f>
        <x:v>0</x:v>
      </x:c>
      <x:c r="AO477" t="n">
        <x:f>--AND(AN477=1,Z477=1,AM477=1)</x:f>
        <x:v>0</x:v>
      </x:c>
      <x:c r="AP477" t="n">
        <x:f>--AND(AO477=1,AA477=1,AL477=1)</x:f>
        <x:v>0</x:v>
      </x:c>
      <x:c r="AQ477" t="n">
        <x:f>--AND(AN477=1,Z477=1)</x:f>
        <x:v>0</x:v>
      </x:c>
      <x:c r="AR477" t="n">
        <x:f>--AND(AQ477=1,AA477=1)</x:f>
        <x:v>0</x:v>
      </x:c>
    </x:row>
    <x:row r="478">
      <x:c r="A478" s="28"/>
      <x:c r="B478" s="28"/>
      <x:c r="C478" s="28"/>
      <x:c r="D478" s="28"/>
      <x:c r="E478" s="28"/>
      <x:c r="F478" s="28"/>
      <x:c r="G478" s="28"/>
      <x:c r="H478" s="28"/>
      <x:c r="I478" s="28"/>
      <x:c r="J478" s="28"/>
      <x:c r="K478" s="28"/>
      <x:c r="L478" s="28"/>
      <x:c r="M478" s="28"/>
      <x:c r="N478" s="28"/>
      <x:c r="O478" s="28"/>
      <x:c r="P478" s="28"/>
      <x:c r="Q478" s="28"/>
      <x:c r="R478" s="28"/>
      <x:c r="S478" s="28"/>
      <x:c r="T478" s="28"/>
      <x:c r="U478" s="28"/>
      <x:c r="V478" s="28"/>
      <x:c r="W478" s="28"/>
      <x:c r="X478" s="43" t="n">
        <x:f>--AND(S478=1,T478=1,U478=1,V478=1,W478=1)</x:f>
        <x:v>0</x:v>
      </x:c>
      <x:c r="AE478" s="43" t="n">
        <x:f>--AND(S478=1,M478&lt;&gt;"",M478&lt;&gt;"keep")</x:f>
        <x:v>0</x:v>
      </x:c>
      <x:c r="AG478" t="n">
        <x:f>--AND(S478=1,T478=1,U478=1,V478=1,W478=1,AE478=1)</x:f>
        <x:v>0</x:v>
      </x:c>
      <x:c r="AJ478" t="str">
        <x:f>IF(OR(AH478="",AI478=""),"",--(AH478&lt;&gt;AI478))</x:f>
      </x:c>
      <x:c r="AL478" t="str">
        <x:f>IF(OR(AH478="",AI478=""),"PENDING_HUMAN",IF(AH478=AI478,AH478,IF(AK478&lt;&gt;"",AK478,"PENDING_HUMAN")))</x:f>
        <x:v>PENDING_HUMAN</x:v>
      </x:c>
      <x:c r="AM478" t="n">
        <x:f>--AND(A478&lt;&gt;"",AH478&lt;&gt;"",AI478&lt;&gt;"",OR(AH478=AI478,AK478&lt;&gt;""))</x:f>
        <x:v>0</x:v>
      </x:c>
      <x:c r="AN478" t="n">
        <x:f>--AND(Y478&lt;&gt;"",COUNTIF($Y$4:Y478,Y478)=1)</x:f>
        <x:v>0</x:v>
      </x:c>
      <x:c r="AO478" t="n">
        <x:f>--AND(AN478=1,Z478=1,AM478=1)</x:f>
        <x:v>0</x:v>
      </x:c>
      <x:c r="AP478" t="n">
        <x:f>--AND(AO478=1,AA478=1,AL478=1)</x:f>
        <x:v>0</x:v>
      </x:c>
      <x:c r="AQ478" t="n">
        <x:f>--AND(AN478=1,Z478=1)</x:f>
        <x:v>0</x:v>
      </x:c>
      <x:c r="AR478" t="n">
        <x:f>--AND(AQ478=1,AA478=1)</x:f>
        <x:v>0</x:v>
      </x:c>
    </x:row>
    <x:row r="479">
      <x:c r="A479" s="28"/>
      <x:c r="B479" s="28"/>
      <x:c r="C479" s="28"/>
      <x:c r="D479" s="28"/>
      <x:c r="E479" s="28"/>
      <x:c r="F479" s="28"/>
      <x:c r="G479" s="28"/>
      <x:c r="H479" s="28"/>
      <x:c r="I479" s="28"/>
      <x:c r="J479" s="28"/>
      <x:c r="K479" s="28"/>
      <x:c r="L479" s="28"/>
      <x:c r="M479" s="28"/>
      <x:c r="N479" s="28"/>
      <x:c r="O479" s="28"/>
      <x:c r="P479" s="28"/>
      <x:c r="Q479" s="28"/>
      <x:c r="R479" s="28"/>
      <x:c r="S479" s="28"/>
      <x:c r="T479" s="28"/>
      <x:c r="U479" s="28"/>
      <x:c r="V479" s="28"/>
      <x:c r="W479" s="28"/>
      <x:c r="X479" s="43" t="n">
        <x:f>--AND(S479=1,T479=1,U479=1,V479=1,W479=1)</x:f>
        <x:v>0</x:v>
      </x:c>
      <x:c r="AE479" s="43" t="n">
        <x:f>--AND(S479=1,M479&lt;&gt;"",M479&lt;&gt;"keep")</x:f>
        <x:v>0</x:v>
      </x:c>
      <x:c r="AG479" t="n">
        <x:f>--AND(S479=1,T479=1,U479=1,V479=1,W479=1,AE479=1)</x:f>
        <x:v>0</x:v>
      </x:c>
      <x:c r="AJ479" t="str">
        <x:f>IF(OR(AH479="",AI479=""),"",--(AH479&lt;&gt;AI479))</x:f>
      </x:c>
      <x:c r="AL479" t="str">
        <x:f>IF(OR(AH479="",AI479=""),"PENDING_HUMAN",IF(AH479=AI479,AH479,IF(AK479&lt;&gt;"",AK479,"PENDING_HUMAN")))</x:f>
        <x:v>PENDING_HUMAN</x:v>
      </x:c>
      <x:c r="AM479" t="n">
        <x:f>--AND(A479&lt;&gt;"",AH479&lt;&gt;"",AI479&lt;&gt;"",OR(AH479=AI479,AK479&lt;&gt;""))</x:f>
        <x:v>0</x:v>
      </x:c>
      <x:c r="AN479" t="n">
        <x:f>--AND(Y479&lt;&gt;"",COUNTIF($Y$4:Y479,Y479)=1)</x:f>
        <x:v>0</x:v>
      </x:c>
      <x:c r="AO479" t="n">
        <x:f>--AND(AN479=1,Z479=1,AM479=1)</x:f>
        <x:v>0</x:v>
      </x:c>
      <x:c r="AP479" t="n">
        <x:f>--AND(AO479=1,AA479=1,AL479=1)</x:f>
        <x:v>0</x:v>
      </x:c>
      <x:c r="AQ479" t="n">
        <x:f>--AND(AN479=1,Z479=1)</x:f>
        <x:v>0</x:v>
      </x:c>
      <x:c r="AR479" t="n">
        <x:f>--AND(AQ479=1,AA479=1)</x:f>
        <x:v>0</x:v>
      </x:c>
    </x:row>
    <x:row r="480">
      <x:c r="A480" s="28"/>
      <x:c r="B480" s="28"/>
      <x:c r="C480" s="28"/>
      <x:c r="D480" s="28"/>
      <x:c r="E480" s="28"/>
      <x:c r="F480" s="28"/>
      <x:c r="G480" s="28"/>
      <x:c r="H480" s="28"/>
      <x:c r="I480" s="28"/>
      <x:c r="J480" s="28"/>
      <x:c r="K480" s="28"/>
      <x:c r="L480" s="28"/>
      <x:c r="M480" s="28"/>
      <x:c r="N480" s="28"/>
      <x:c r="O480" s="28"/>
      <x:c r="P480" s="28"/>
      <x:c r="Q480" s="28"/>
      <x:c r="R480" s="28"/>
      <x:c r="S480" s="28"/>
      <x:c r="T480" s="28"/>
      <x:c r="U480" s="28"/>
      <x:c r="V480" s="28"/>
      <x:c r="W480" s="28"/>
      <x:c r="X480" s="43" t="n">
        <x:f>--AND(S480=1,T480=1,U480=1,V480=1,W480=1)</x:f>
        <x:v>0</x:v>
      </x:c>
      <x:c r="AE480" s="43" t="n">
        <x:f>--AND(S480=1,M480&lt;&gt;"",M480&lt;&gt;"keep")</x:f>
        <x:v>0</x:v>
      </x:c>
      <x:c r="AG480" t="n">
        <x:f>--AND(S480=1,T480=1,U480=1,V480=1,W480=1,AE480=1)</x:f>
        <x:v>0</x:v>
      </x:c>
      <x:c r="AJ480" t="str">
        <x:f>IF(OR(AH480="",AI480=""),"",--(AH480&lt;&gt;AI480))</x:f>
      </x:c>
      <x:c r="AL480" t="str">
        <x:f>IF(OR(AH480="",AI480=""),"PENDING_HUMAN",IF(AH480=AI480,AH480,IF(AK480&lt;&gt;"",AK480,"PENDING_HUMAN")))</x:f>
        <x:v>PENDING_HUMAN</x:v>
      </x:c>
      <x:c r="AM480" t="n">
        <x:f>--AND(A480&lt;&gt;"",AH480&lt;&gt;"",AI480&lt;&gt;"",OR(AH480=AI480,AK480&lt;&gt;""))</x:f>
        <x:v>0</x:v>
      </x:c>
      <x:c r="AN480" t="n">
        <x:f>--AND(Y480&lt;&gt;"",COUNTIF($Y$4:Y480,Y480)=1)</x:f>
        <x:v>0</x:v>
      </x:c>
      <x:c r="AO480" t="n">
        <x:f>--AND(AN480=1,Z480=1,AM480=1)</x:f>
        <x:v>0</x:v>
      </x:c>
      <x:c r="AP480" t="n">
        <x:f>--AND(AO480=1,AA480=1,AL480=1)</x:f>
        <x:v>0</x:v>
      </x:c>
      <x:c r="AQ480" t="n">
        <x:f>--AND(AN480=1,Z480=1)</x:f>
        <x:v>0</x:v>
      </x:c>
      <x:c r="AR480" t="n">
        <x:f>--AND(AQ480=1,AA480=1)</x:f>
        <x:v>0</x:v>
      </x:c>
    </x:row>
    <x:row r="481">
      <x:c r="A481" s="28"/>
      <x:c r="B481" s="28"/>
      <x:c r="C481" s="28"/>
      <x:c r="D481" s="28"/>
      <x:c r="E481" s="28"/>
      <x:c r="F481" s="28"/>
      <x:c r="G481" s="28"/>
      <x:c r="H481" s="28"/>
      <x:c r="I481" s="28"/>
      <x:c r="J481" s="28"/>
      <x:c r="K481" s="28"/>
      <x:c r="L481" s="28"/>
      <x:c r="M481" s="28"/>
      <x:c r="N481" s="28"/>
      <x:c r="O481" s="28"/>
      <x:c r="P481" s="28"/>
      <x:c r="Q481" s="28"/>
      <x:c r="R481" s="28"/>
      <x:c r="S481" s="28"/>
      <x:c r="T481" s="28"/>
      <x:c r="U481" s="28"/>
      <x:c r="V481" s="28"/>
      <x:c r="W481" s="28"/>
      <x:c r="X481" s="43" t="n">
        <x:f>--AND(S481=1,T481=1,U481=1,V481=1,W481=1)</x:f>
        <x:v>0</x:v>
      </x:c>
      <x:c r="AE481" s="43" t="n">
        <x:f>--AND(S481=1,M481&lt;&gt;"",M481&lt;&gt;"keep")</x:f>
        <x:v>0</x:v>
      </x:c>
      <x:c r="AG481" t="n">
        <x:f>--AND(S481=1,T481=1,U481=1,V481=1,W481=1,AE481=1)</x:f>
        <x:v>0</x:v>
      </x:c>
      <x:c r="AJ481" t="str">
        <x:f>IF(OR(AH481="",AI481=""),"",--(AH481&lt;&gt;AI481))</x:f>
      </x:c>
      <x:c r="AL481" t="str">
        <x:f>IF(OR(AH481="",AI481=""),"PENDING_HUMAN",IF(AH481=AI481,AH481,IF(AK481&lt;&gt;"",AK481,"PENDING_HUMAN")))</x:f>
        <x:v>PENDING_HUMAN</x:v>
      </x:c>
      <x:c r="AM481" t="n">
        <x:f>--AND(A481&lt;&gt;"",AH481&lt;&gt;"",AI481&lt;&gt;"",OR(AH481=AI481,AK481&lt;&gt;""))</x:f>
        <x:v>0</x:v>
      </x:c>
      <x:c r="AN481" t="n">
        <x:f>--AND(Y481&lt;&gt;"",COUNTIF($Y$4:Y481,Y481)=1)</x:f>
        <x:v>0</x:v>
      </x:c>
      <x:c r="AO481" t="n">
        <x:f>--AND(AN481=1,Z481=1,AM481=1)</x:f>
        <x:v>0</x:v>
      </x:c>
      <x:c r="AP481" t="n">
        <x:f>--AND(AO481=1,AA481=1,AL481=1)</x:f>
        <x:v>0</x:v>
      </x:c>
      <x:c r="AQ481" t="n">
        <x:f>--AND(AN481=1,Z481=1)</x:f>
        <x:v>0</x:v>
      </x:c>
      <x:c r="AR481" t="n">
        <x:f>--AND(AQ481=1,AA481=1)</x:f>
        <x:v>0</x:v>
      </x:c>
    </x:row>
    <x:row r="482">
      <x:c r="A482" s="28"/>
      <x:c r="B482" s="28"/>
      <x:c r="C482" s="28"/>
      <x:c r="D482" s="28"/>
      <x:c r="E482" s="28"/>
      <x:c r="F482" s="28"/>
      <x:c r="G482" s="28"/>
      <x:c r="H482" s="28"/>
      <x:c r="I482" s="28"/>
      <x:c r="J482" s="28"/>
      <x:c r="K482" s="28"/>
      <x:c r="L482" s="28"/>
      <x:c r="M482" s="28"/>
      <x:c r="N482" s="28"/>
      <x:c r="O482" s="28"/>
      <x:c r="P482" s="28"/>
      <x:c r="Q482" s="28"/>
      <x:c r="R482" s="28"/>
      <x:c r="S482" s="28"/>
      <x:c r="T482" s="28"/>
      <x:c r="U482" s="28"/>
      <x:c r="V482" s="28"/>
      <x:c r="W482" s="28"/>
      <x:c r="X482" s="43" t="n">
        <x:f>--AND(S482=1,T482=1,U482=1,V482=1,W482=1)</x:f>
        <x:v>0</x:v>
      </x:c>
      <x:c r="AE482" s="43" t="n">
        <x:f>--AND(S482=1,M482&lt;&gt;"",M482&lt;&gt;"keep")</x:f>
        <x:v>0</x:v>
      </x:c>
      <x:c r="AG482" t="n">
        <x:f>--AND(S482=1,T482=1,U482=1,V482=1,W482=1,AE482=1)</x:f>
        <x:v>0</x:v>
      </x:c>
      <x:c r="AJ482" t="str">
        <x:f>IF(OR(AH482="",AI482=""),"",--(AH482&lt;&gt;AI482))</x:f>
      </x:c>
      <x:c r="AL482" t="str">
        <x:f>IF(OR(AH482="",AI482=""),"PENDING_HUMAN",IF(AH482=AI482,AH482,IF(AK482&lt;&gt;"",AK482,"PENDING_HUMAN")))</x:f>
        <x:v>PENDING_HUMAN</x:v>
      </x:c>
      <x:c r="AM482" t="n">
        <x:f>--AND(A482&lt;&gt;"",AH482&lt;&gt;"",AI482&lt;&gt;"",OR(AH482=AI482,AK482&lt;&gt;""))</x:f>
        <x:v>0</x:v>
      </x:c>
      <x:c r="AN482" t="n">
        <x:f>--AND(Y482&lt;&gt;"",COUNTIF($Y$4:Y482,Y482)=1)</x:f>
        <x:v>0</x:v>
      </x:c>
      <x:c r="AO482" t="n">
        <x:f>--AND(AN482=1,Z482=1,AM482=1)</x:f>
        <x:v>0</x:v>
      </x:c>
      <x:c r="AP482" t="n">
        <x:f>--AND(AO482=1,AA482=1,AL482=1)</x:f>
        <x:v>0</x:v>
      </x:c>
      <x:c r="AQ482" t="n">
        <x:f>--AND(AN482=1,Z482=1)</x:f>
        <x:v>0</x:v>
      </x:c>
      <x:c r="AR482" t="n">
        <x:f>--AND(AQ482=1,AA482=1)</x:f>
        <x:v>0</x:v>
      </x:c>
    </x:row>
    <x:row r="483">
      <x:c r="A483" s="28"/>
      <x:c r="B483" s="28"/>
      <x:c r="C483" s="28"/>
      <x:c r="D483" s="28"/>
      <x:c r="E483" s="28"/>
      <x:c r="F483" s="28"/>
      <x:c r="G483" s="28"/>
      <x:c r="H483" s="28"/>
      <x:c r="I483" s="28"/>
      <x:c r="J483" s="28"/>
      <x:c r="K483" s="28"/>
      <x:c r="L483" s="28"/>
      <x:c r="M483" s="28"/>
      <x:c r="N483" s="28"/>
      <x:c r="O483" s="28"/>
      <x:c r="P483" s="28"/>
      <x:c r="Q483" s="28"/>
      <x:c r="R483" s="28"/>
      <x:c r="S483" s="28"/>
      <x:c r="T483" s="28"/>
      <x:c r="U483" s="28"/>
      <x:c r="V483" s="28"/>
      <x:c r="W483" s="28"/>
      <x:c r="X483" s="43" t="n">
        <x:f>--AND(S483=1,T483=1,U483=1,V483=1,W483=1)</x:f>
        <x:v>0</x:v>
      </x:c>
      <x:c r="AE483" s="43" t="n">
        <x:f>--AND(S483=1,M483&lt;&gt;"",M483&lt;&gt;"keep")</x:f>
        <x:v>0</x:v>
      </x:c>
      <x:c r="AG483" t="n">
        <x:f>--AND(S483=1,T483=1,U483=1,V483=1,W483=1,AE483=1)</x:f>
        <x:v>0</x:v>
      </x:c>
      <x:c r="AJ483" t="str">
        <x:f>IF(OR(AH483="",AI483=""),"",--(AH483&lt;&gt;AI483))</x:f>
      </x:c>
      <x:c r="AL483" t="str">
        <x:f>IF(OR(AH483="",AI483=""),"PENDING_HUMAN",IF(AH483=AI483,AH483,IF(AK483&lt;&gt;"",AK483,"PENDING_HUMAN")))</x:f>
        <x:v>PENDING_HUMAN</x:v>
      </x:c>
      <x:c r="AM483" t="n">
        <x:f>--AND(A483&lt;&gt;"",AH483&lt;&gt;"",AI483&lt;&gt;"",OR(AH483=AI483,AK483&lt;&gt;""))</x:f>
        <x:v>0</x:v>
      </x:c>
      <x:c r="AN483" t="n">
        <x:f>--AND(Y483&lt;&gt;"",COUNTIF($Y$4:Y483,Y483)=1)</x:f>
        <x:v>0</x:v>
      </x:c>
      <x:c r="AO483" t="n">
        <x:f>--AND(AN483=1,Z483=1,AM483=1)</x:f>
        <x:v>0</x:v>
      </x:c>
      <x:c r="AP483" t="n">
        <x:f>--AND(AO483=1,AA483=1,AL483=1)</x:f>
        <x:v>0</x:v>
      </x:c>
      <x:c r="AQ483" t="n">
        <x:f>--AND(AN483=1,Z483=1)</x:f>
        <x:v>0</x:v>
      </x:c>
      <x:c r="AR483" t="n">
        <x:f>--AND(AQ483=1,AA483=1)</x:f>
        <x:v>0</x:v>
      </x:c>
    </x:row>
    <x:row r="484">
      <x:c r="A484" s="28"/>
      <x:c r="B484" s="28"/>
      <x:c r="C484" s="28"/>
      <x:c r="D484" s="28"/>
      <x:c r="E484" s="28"/>
      <x:c r="F484" s="28"/>
      <x:c r="G484" s="28"/>
      <x:c r="H484" s="28"/>
      <x:c r="I484" s="28"/>
      <x:c r="J484" s="28"/>
      <x:c r="K484" s="28"/>
      <x:c r="L484" s="28"/>
      <x:c r="M484" s="28"/>
      <x:c r="N484" s="28"/>
      <x:c r="O484" s="28"/>
      <x:c r="P484" s="28"/>
      <x:c r="Q484" s="28"/>
      <x:c r="R484" s="28"/>
      <x:c r="S484" s="28"/>
      <x:c r="T484" s="28"/>
      <x:c r="U484" s="28"/>
      <x:c r="V484" s="28"/>
      <x:c r="W484" s="28"/>
      <x:c r="X484" s="43" t="n">
        <x:f>--AND(S484=1,T484=1,U484=1,V484=1,W484=1)</x:f>
        <x:v>0</x:v>
      </x:c>
      <x:c r="AE484" s="43" t="n">
        <x:f>--AND(S484=1,M484&lt;&gt;"",M484&lt;&gt;"keep")</x:f>
        <x:v>0</x:v>
      </x:c>
      <x:c r="AG484" t="n">
        <x:f>--AND(S484=1,T484=1,U484=1,V484=1,W484=1,AE484=1)</x:f>
        <x:v>0</x:v>
      </x:c>
      <x:c r="AJ484" t="str">
        <x:f>IF(OR(AH484="",AI484=""),"",--(AH484&lt;&gt;AI484))</x:f>
      </x:c>
      <x:c r="AL484" t="str">
        <x:f>IF(OR(AH484="",AI484=""),"PENDING_HUMAN",IF(AH484=AI484,AH484,IF(AK484&lt;&gt;"",AK484,"PENDING_HUMAN")))</x:f>
        <x:v>PENDING_HUMAN</x:v>
      </x:c>
      <x:c r="AM484" t="n">
        <x:f>--AND(A484&lt;&gt;"",AH484&lt;&gt;"",AI484&lt;&gt;"",OR(AH484=AI484,AK484&lt;&gt;""))</x:f>
        <x:v>0</x:v>
      </x:c>
      <x:c r="AN484" t="n">
        <x:f>--AND(Y484&lt;&gt;"",COUNTIF($Y$4:Y484,Y484)=1)</x:f>
        <x:v>0</x:v>
      </x:c>
      <x:c r="AO484" t="n">
        <x:f>--AND(AN484=1,Z484=1,AM484=1)</x:f>
        <x:v>0</x:v>
      </x:c>
      <x:c r="AP484" t="n">
        <x:f>--AND(AO484=1,AA484=1,AL484=1)</x:f>
        <x:v>0</x:v>
      </x:c>
      <x:c r="AQ484" t="n">
        <x:f>--AND(AN484=1,Z484=1)</x:f>
        <x:v>0</x:v>
      </x:c>
      <x:c r="AR484" t="n">
        <x:f>--AND(AQ484=1,AA484=1)</x:f>
        <x:v>0</x:v>
      </x:c>
    </x:row>
    <x:row r="485">
      <x:c r="A485" s="28"/>
      <x:c r="B485" s="28"/>
      <x:c r="C485" s="28"/>
      <x:c r="D485" s="28"/>
      <x:c r="E485" s="28"/>
      <x:c r="F485" s="28"/>
      <x:c r="G485" s="28"/>
      <x:c r="H485" s="28"/>
      <x:c r="I485" s="28"/>
      <x:c r="J485" s="28"/>
      <x:c r="K485" s="28"/>
      <x:c r="L485" s="28"/>
      <x:c r="M485" s="28"/>
      <x:c r="N485" s="28"/>
      <x:c r="O485" s="28"/>
      <x:c r="P485" s="28"/>
      <x:c r="Q485" s="28"/>
      <x:c r="R485" s="28"/>
      <x:c r="S485" s="28"/>
      <x:c r="T485" s="28"/>
      <x:c r="U485" s="28"/>
      <x:c r="V485" s="28"/>
      <x:c r="W485" s="28"/>
      <x:c r="X485" s="43" t="n">
        <x:f>--AND(S485=1,T485=1,U485=1,V485=1,W485=1)</x:f>
        <x:v>0</x:v>
      </x:c>
      <x:c r="AE485" s="43" t="n">
        <x:f>--AND(S485=1,M485&lt;&gt;"",M485&lt;&gt;"keep")</x:f>
        <x:v>0</x:v>
      </x:c>
      <x:c r="AG485" t="n">
        <x:f>--AND(S485=1,T485=1,U485=1,V485=1,W485=1,AE485=1)</x:f>
        <x:v>0</x:v>
      </x:c>
      <x:c r="AJ485" t="str">
        <x:f>IF(OR(AH485="",AI485=""),"",--(AH485&lt;&gt;AI485))</x:f>
      </x:c>
      <x:c r="AL485" t="str">
        <x:f>IF(OR(AH485="",AI485=""),"PENDING_HUMAN",IF(AH485=AI485,AH485,IF(AK485&lt;&gt;"",AK485,"PENDING_HUMAN")))</x:f>
        <x:v>PENDING_HUMAN</x:v>
      </x:c>
      <x:c r="AM485" t="n">
        <x:f>--AND(A485&lt;&gt;"",AH485&lt;&gt;"",AI485&lt;&gt;"",OR(AH485=AI485,AK485&lt;&gt;""))</x:f>
        <x:v>0</x:v>
      </x:c>
      <x:c r="AN485" t="n">
        <x:f>--AND(Y485&lt;&gt;"",COUNTIF($Y$4:Y485,Y485)=1)</x:f>
        <x:v>0</x:v>
      </x:c>
      <x:c r="AO485" t="n">
        <x:f>--AND(AN485=1,Z485=1,AM485=1)</x:f>
        <x:v>0</x:v>
      </x:c>
      <x:c r="AP485" t="n">
        <x:f>--AND(AO485=1,AA485=1,AL485=1)</x:f>
        <x:v>0</x:v>
      </x:c>
      <x:c r="AQ485" t="n">
        <x:f>--AND(AN485=1,Z485=1)</x:f>
        <x:v>0</x:v>
      </x:c>
      <x:c r="AR485" t="n">
        <x:f>--AND(AQ485=1,AA485=1)</x:f>
        <x:v>0</x:v>
      </x:c>
    </x:row>
    <x:row r="486">
      <x:c r="A486" s="28"/>
      <x:c r="B486" s="28"/>
      <x:c r="C486" s="28"/>
      <x:c r="D486" s="28"/>
      <x:c r="E486" s="28"/>
      <x:c r="F486" s="28"/>
      <x:c r="G486" s="28"/>
      <x:c r="H486" s="28"/>
      <x:c r="I486" s="28"/>
      <x:c r="J486" s="28"/>
      <x:c r="K486" s="28"/>
      <x:c r="L486" s="28"/>
      <x:c r="M486" s="28"/>
      <x:c r="N486" s="28"/>
      <x:c r="O486" s="28"/>
      <x:c r="P486" s="28"/>
      <x:c r="Q486" s="28"/>
      <x:c r="R486" s="28"/>
      <x:c r="S486" s="28"/>
      <x:c r="T486" s="28"/>
      <x:c r="U486" s="28"/>
      <x:c r="V486" s="28"/>
      <x:c r="W486" s="28"/>
      <x:c r="X486" s="43" t="n">
        <x:f>--AND(S486=1,T486=1,U486=1,V486=1,W486=1)</x:f>
        <x:v>0</x:v>
      </x:c>
      <x:c r="AE486" s="43" t="n">
        <x:f>--AND(S486=1,M486&lt;&gt;"",M486&lt;&gt;"keep")</x:f>
        <x:v>0</x:v>
      </x:c>
      <x:c r="AG486" t="n">
        <x:f>--AND(S486=1,T486=1,U486=1,V486=1,W486=1,AE486=1)</x:f>
        <x:v>0</x:v>
      </x:c>
      <x:c r="AJ486" t="str">
        <x:f>IF(OR(AH486="",AI486=""),"",--(AH486&lt;&gt;AI486))</x:f>
      </x:c>
      <x:c r="AL486" t="str">
        <x:f>IF(OR(AH486="",AI486=""),"PENDING_HUMAN",IF(AH486=AI486,AH486,IF(AK486&lt;&gt;"",AK486,"PENDING_HUMAN")))</x:f>
        <x:v>PENDING_HUMAN</x:v>
      </x:c>
      <x:c r="AM486" t="n">
        <x:f>--AND(A486&lt;&gt;"",AH486&lt;&gt;"",AI486&lt;&gt;"",OR(AH486=AI486,AK486&lt;&gt;""))</x:f>
        <x:v>0</x:v>
      </x:c>
      <x:c r="AN486" t="n">
        <x:f>--AND(Y486&lt;&gt;"",COUNTIF($Y$4:Y486,Y486)=1)</x:f>
        <x:v>0</x:v>
      </x:c>
      <x:c r="AO486" t="n">
        <x:f>--AND(AN486=1,Z486=1,AM486=1)</x:f>
        <x:v>0</x:v>
      </x:c>
      <x:c r="AP486" t="n">
        <x:f>--AND(AO486=1,AA486=1,AL486=1)</x:f>
        <x:v>0</x:v>
      </x:c>
      <x:c r="AQ486" t="n">
        <x:f>--AND(AN486=1,Z486=1)</x:f>
        <x:v>0</x:v>
      </x:c>
      <x:c r="AR486" t="n">
        <x:f>--AND(AQ486=1,AA486=1)</x:f>
        <x:v>0</x:v>
      </x:c>
    </x:row>
    <x:row r="487">
      <x:c r="A487" s="28"/>
      <x:c r="B487" s="28"/>
      <x:c r="C487" s="28"/>
      <x:c r="D487" s="28"/>
      <x:c r="E487" s="28"/>
      <x:c r="F487" s="28"/>
      <x:c r="G487" s="28"/>
      <x:c r="H487" s="28"/>
      <x:c r="I487" s="28"/>
      <x:c r="J487" s="28"/>
      <x:c r="K487" s="28"/>
      <x:c r="L487" s="28"/>
      <x:c r="M487" s="28"/>
      <x:c r="N487" s="28"/>
      <x:c r="O487" s="28"/>
      <x:c r="P487" s="28"/>
      <x:c r="Q487" s="28"/>
      <x:c r="R487" s="28"/>
      <x:c r="S487" s="28"/>
      <x:c r="T487" s="28"/>
      <x:c r="U487" s="28"/>
      <x:c r="V487" s="28"/>
      <x:c r="W487" s="28"/>
      <x:c r="X487" s="43" t="n">
        <x:f>--AND(S487=1,T487=1,U487=1,V487=1,W487=1)</x:f>
        <x:v>0</x:v>
      </x:c>
      <x:c r="AE487" s="43" t="n">
        <x:f>--AND(S487=1,M487&lt;&gt;"",M487&lt;&gt;"keep")</x:f>
        <x:v>0</x:v>
      </x:c>
      <x:c r="AG487" t="n">
        <x:f>--AND(S487=1,T487=1,U487=1,V487=1,W487=1,AE487=1)</x:f>
        <x:v>0</x:v>
      </x:c>
      <x:c r="AJ487" t="str">
        <x:f>IF(OR(AH487="",AI487=""),"",--(AH487&lt;&gt;AI487))</x:f>
      </x:c>
      <x:c r="AL487" t="str">
        <x:f>IF(OR(AH487="",AI487=""),"PENDING_HUMAN",IF(AH487=AI487,AH487,IF(AK487&lt;&gt;"",AK487,"PENDING_HUMAN")))</x:f>
        <x:v>PENDING_HUMAN</x:v>
      </x:c>
      <x:c r="AM487" t="n">
        <x:f>--AND(A487&lt;&gt;"",AH487&lt;&gt;"",AI487&lt;&gt;"",OR(AH487=AI487,AK487&lt;&gt;""))</x:f>
        <x:v>0</x:v>
      </x:c>
      <x:c r="AN487" t="n">
        <x:f>--AND(Y487&lt;&gt;"",COUNTIF($Y$4:Y487,Y487)=1)</x:f>
        <x:v>0</x:v>
      </x:c>
      <x:c r="AO487" t="n">
        <x:f>--AND(AN487=1,Z487=1,AM487=1)</x:f>
        <x:v>0</x:v>
      </x:c>
      <x:c r="AP487" t="n">
        <x:f>--AND(AO487=1,AA487=1,AL487=1)</x:f>
        <x:v>0</x:v>
      </x:c>
      <x:c r="AQ487" t="n">
        <x:f>--AND(AN487=1,Z487=1)</x:f>
        <x:v>0</x:v>
      </x:c>
      <x:c r="AR487" t="n">
        <x:f>--AND(AQ487=1,AA487=1)</x:f>
        <x:v>0</x:v>
      </x:c>
    </x:row>
    <x:row r="488">
      <x:c r="A488" s="28"/>
      <x:c r="B488" s="28"/>
      <x:c r="C488" s="28"/>
      <x:c r="D488" s="28"/>
      <x:c r="E488" s="28"/>
      <x:c r="F488" s="28"/>
      <x:c r="G488" s="28"/>
      <x:c r="H488" s="28"/>
      <x:c r="I488" s="28"/>
      <x:c r="J488" s="28"/>
      <x:c r="K488" s="28"/>
      <x:c r="L488" s="28"/>
      <x:c r="M488" s="28"/>
      <x:c r="N488" s="28"/>
      <x:c r="O488" s="28"/>
      <x:c r="P488" s="28"/>
      <x:c r="Q488" s="28"/>
      <x:c r="R488" s="28"/>
      <x:c r="S488" s="28"/>
      <x:c r="T488" s="28"/>
      <x:c r="U488" s="28"/>
      <x:c r="V488" s="28"/>
      <x:c r="W488" s="28"/>
      <x:c r="X488" s="43" t="n">
        <x:f>--AND(S488=1,T488=1,U488=1,V488=1,W488=1)</x:f>
        <x:v>0</x:v>
      </x:c>
      <x:c r="AE488" s="43" t="n">
        <x:f>--AND(S488=1,M488&lt;&gt;"",M488&lt;&gt;"keep")</x:f>
        <x:v>0</x:v>
      </x:c>
      <x:c r="AG488" t="n">
        <x:f>--AND(S488=1,T488=1,U488=1,V488=1,W488=1,AE488=1)</x:f>
        <x:v>0</x:v>
      </x:c>
      <x:c r="AJ488" t="str">
        <x:f>IF(OR(AH488="",AI488=""),"",--(AH488&lt;&gt;AI488))</x:f>
      </x:c>
      <x:c r="AL488" t="str">
        <x:f>IF(OR(AH488="",AI488=""),"PENDING_HUMAN",IF(AH488=AI488,AH488,IF(AK488&lt;&gt;"",AK488,"PENDING_HUMAN")))</x:f>
        <x:v>PENDING_HUMAN</x:v>
      </x:c>
      <x:c r="AM488" t="n">
        <x:f>--AND(A488&lt;&gt;"",AH488&lt;&gt;"",AI488&lt;&gt;"",OR(AH488=AI488,AK488&lt;&gt;""))</x:f>
        <x:v>0</x:v>
      </x:c>
      <x:c r="AN488" t="n">
        <x:f>--AND(Y488&lt;&gt;"",COUNTIF($Y$4:Y488,Y488)=1)</x:f>
        <x:v>0</x:v>
      </x:c>
      <x:c r="AO488" t="n">
        <x:f>--AND(AN488=1,Z488=1,AM488=1)</x:f>
        <x:v>0</x:v>
      </x:c>
      <x:c r="AP488" t="n">
        <x:f>--AND(AO488=1,AA488=1,AL488=1)</x:f>
        <x:v>0</x:v>
      </x:c>
      <x:c r="AQ488" t="n">
        <x:f>--AND(AN488=1,Z488=1)</x:f>
        <x:v>0</x:v>
      </x:c>
      <x:c r="AR488" t="n">
        <x:f>--AND(AQ488=1,AA488=1)</x:f>
        <x:v>0</x:v>
      </x:c>
    </x:row>
    <x:row r="489">
      <x:c r="A489" s="28"/>
      <x:c r="B489" s="28"/>
      <x:c r="C489" s="28"/>
      <x:c r="D489" s="28"/>
      <x:c r="E489" s="28"/>
      <x:c r="F489" s="28"/>
      <x:c r="G489" s="28"/>
      <x:c r="H489" s="28"/>
      <x:c r="I489" s="28"/>
      <x:c r="J489" s="28"/>
      <x:c r="K489" s="28"/>
      <x:c r="L489" s="28"/>
      <x:c r="M489" s="28"/>
      <x:c r="N489" s="28"/>
      <x:c r="O489" s="28"/>
      <x:c r="P489" s="28"/>
      <x:c r="Q489" s="28"/>
      <x:c r="R489" s="28"/>
      <x:c r="S489" s="28"/>
      <x:c r="T489" s="28"/>
      <x:c r="U489" s="28"/>
      <x:c r="V489" s="28"/>
      <x:c r="W489" s="28"/>
      <x:c r="X489" s="43" t="n">
        <x:f>--AND(S489=1,T489=1,U489=1,V489=1,W489=1)</x:f>
        <x:v>0</x:v>
      </x:c>
      <x:c r="AE489" s="43" t="n">
        <x:f>--AND(S489=1,M489&lt;&gt;"",M489&lt;&gt;"keep")</x:f>
        <x:v>0</x:v>
      </x:c>
      <x:c r="AG489" t="n">
        <x:f>--AND(S489=1,T489=1,U489=1,V489=1,W489=1,AE489=1)</x:f>
        <x:v>0</x:v>
      </x:c>
      <x:c r="AJ489" t="str">
        <x:f>IF(OR(AH489="",AI489=""),"",--(AH489&lt;&gt;AI489))</x:f>
      </x:c>
      <x:c r="AL489" t="str">
        <x:f>IF(OR(AH489="",AI489=""),"PENDING_HUMAN",IF(AH489=AI489,AH489,IF(AK489&lt;&gt;"",AK489,"PENDING_HUMAN")))</x:f>
        <x:v>PENDING_HUMAN</x:v>
      </x:c>
      <x:c r="AM489" t="n">
        <x:f>--AND(A489&lt;&gt;"",AH489&lt;&gt;"",AI489&lt;&gt;"",OR(AH489=AI489,AK489&lt;&gt;""))</x:f>
        <x:v>0</x:v>
      </x:c>
      <x:c r="AN489" t="n">
        <x:f>--AND(Y489&lt;&gt;"",COUNTIF($Y$4:Y489,Y489)=1)</x:f>
        <x:v>0</x:v>
      </x:c>
      <x:c r="AO489" t="n">
        <x:f>--AND(AN489=1,Z489=1,AM489=1)</x:f>
        <x:v>0</x:v>
      </x:c>
      <x:c r="AP489" t="n">
        <x:f>--AND(AO489=1,AA489=1,AL489=1)</x:f>
        <x:v>0</x:v>
      </x:c>
      <x:c r="AQ489" t="n">
        <x:f>--AND(AN489=1,Z489=1)</x:f>
        <x:v>0</x:v>
      </x:c>
      <x:c r="AR489" t="n">
        <x:f>--AND(AQ489=1,AA489=1)</x:f>
        <x:v>0</x:v>
      </x:c>
    </x:row>
    <x:row r="490">
      <x:c r="A490" s="28"/>
      <x:c r="B490" s="28"/>
      <x:c r="C490" s="28"/>
      <x:c r="D490" s="28"/>
      <x:c r="E490" s="28"/>
      <x:c r="F490" s="28"/>
      <x:c r="G490" s="28"/>
      <x:c r="H490" s="28"/>
      <x:c r="I490" s="28"/>
      <x:c r="J490" s="28"/>
      <x:c r="K490" s="28"/>
      <x:c r="L490" s="28"/>
      <x:c r="M490" s="28"/>
      <x:c r="N490" s="28"/>
      <x:c r="O490" s="28"/>
      <x:c r="P490" s="28"/>
      <x:c r="Q490" s="28"/>
      <x:c r="R490" s="28"/>
      <x:c r="S490" s="28"/>
      <x:c r="T490" s="28"/>
      <x:c r="U490" s="28"/>
      <x:c r="V490" s="28"/>
      <x:c r="W490" s="28"/>
      <x:c r="X490" s="43" t="n">
        <x:f>--AND(S490=1,T490=1,U490=1,V490=1,W490=1)</x:f>
        <x:v>0</x:v>
      </x:c>
      <x:c r="AE490" s="43" t="n">
        <x:f>--AND(S490=1,M490&lt;&gt;"",M490&lt;&gt;"keep")</x:f>
        <x:v>0</x:v>
      </x:c>
      <x:c r="AG490" t="n">
        <x:f>--AND(S490=1,T490=1,U490=1,V490=1,W490=1,AE490=1)</x:f>
        <x:v>0</x:v>
      </x:c>
      <x:c r="AJ490" t="str">
        <x:f>IF(OR(AH490="",AI490=""),"",--(AH490&lt;&gt;AI490))</x:f>
      </x:c>
      <x:c r="AL490" t="str">
        <x:f>IF(OR(AH490="",AI490=""),"PENDING_HUMAN",IF(AH490=AI490,AH490,IF(AK490&lt;&gt;"",AK490,"PENDING_HUMAN")))</x:f>
        <x:v>PENDING_HUMAN</x:v>
      </x:c>
      <x:c r="AM490" t="n">
        <x:f>--AND(A490&lt;&gt;"",AH490&lt;&gt;"",AI490&lt;&gt;"",OR(AH490=AI490,AK490&lt;&gt;""))</x:f>
        <x:v>0</x:v>
      </x:c>
      <x:c r="AN490" t="n">
        <x:f>--AND(Y490&lt;&gt;"",COUNTIF($Y$4:Y490,Y490)=1)</x:f>
        <x:v>0</x:v>
      </x:c>
      <x:c r="AO490" t="n">
        <x:f>--AND(AN490=1,Z490=1,AM490=1)</x:f>
        <x:v>0</x:v>
      </x:c>
      <x:c r="AP490" t="n">
        <x:f>--AND(AO490=1,AA490=1,AL490=1)</x:f>
        <x:v>0</x:v>
      </x:c>
      <x:c r="AQ490" t="n">
        <x:f>--AND(AN490=1,Z490=1)</x:f>
        <x:v>0</x:v>
      </x:c>
      <x:c r="AR490" t="n">
        <x:f>--AND(AQ490=1,AA490=1)</x:f>
        <x:v>0</x:v>
      </x:c>
    </x:row>
    <x:row r="491">
      <x:c r="A491" s="28"/>
      <x:c r="B491" s="28"/>
      <x:c r="C491" s="28"/>
      <x:c r="D491" s="28"/>
      <x:c r="E491" s="28"/>
      <x:c r="F491" s="28"/>
      <x:c r="G491" s="28"/>
      <x:c r="H491" s="28"/>
      <x:c r="I491" s="28"/>
      <x:c r="J491" s="28"/>
      <x:c r="K491" s="28"/>
      <x:c r="L491" s="28"/>
      <x:c r="M491" s="28"/>
      <x:c r="N491" s="28"/>
      <x:c r="O491" s="28"/>
      <x:c r="P491" s="28"/>
      <x:c r="Q491" s="28"/>
      <x:c r="R491" s="28"/>
      <x:c r="S491" s="28"/>
      <x:c r="T491" s="28"/>
      <x:c r="U491" s="28"/>
      <x:c r="V491" s="28"/>
      <x:c r="W491" s="28"/>
      <x:c r="X491" s="43" t="n">
        <x:f>--AND(S491=1,T491=1,U491=1,V491=1,W491=1)</x:f>
        <x:v>0</x:v>
      </x:c>
      <x:c r="AE491" s="43" t="n">
        <x:f>--AND(S491=1,M491&lt;&gt;"",M491&lt;&gt;"keep")</x:f>
        <x:v>0</x:v>
      </x:c>
      <x:c r="AG491" t="n">
        <x:f>--AND(S491=1,T491=1,U491=1,V491=1,W491=1,AE491=1)</x:f>
        <x:v>0</x:v>
      </x:c>
      <x:c r="AJ491" t="str">
        <x:f>IF(OR(AH491="",AI491=""),"",--(AH491&lt;&gt;AI491))</x:f>
      </x:c>
      <x:c r="AL491" t="str">
        <x:f>IF(OR(AH491="",AI491=""),"PENDING_HUMAN",IF(AH491=AI491,AH491,IF(AK491&lt;&gt;"",AK491,"PENDING_HUMAN")))</x:f>
        <x:v>PENDING_HUMAN</x:v>
      </x:c>
      <x:c r="AM491" t="n">
        <x:f>--AND(A491&lt;&gt;"",AH491&lt;&gt;"",AI491&lt;&gt;"",OR(AH491=AI491,AK491&lt;&gt;""))</x:f>
        <x:v>0</x:v>
      </x:c>
      <x:c r="AN491" t="n">
        <x:f>--AND(Y491&lt;&gt;"",COUNTIF($Y$4:Y491,Y491)=1)</x:f>
        <x:v>0</x:v>
      </x:c>
      <x:c r="AO491" t="n">
        <x:f>--AND(AN491=1,Z491=1,AM491=1)</x:f>
        <x:v>0</x:v>
      </x:c>
      <x:c r="AP491" t="n">
        <x:f>--AND(AO491=1,AA491=1,AL491=1)</x:f>
        <x:v>0</x:v>
      </x:c>
      <x:c r="AQ491" t="n">
        <x:f>--AND(AN491=1,Z491=1)</x:f>
        <x:v>0</x:v>
      </x:c>
      <x:c r="AR491" t="n">
        <x:f>--AND(AQ491=1,AA491=1)</x:f>
        <x:v>0</x:v>
      </x:c>
    </x:row>
    <x:row r="492">
      <x:c r="A492" s="28"/>
      <x:c r="B492" s="28"/>
      <x:c r="C492" s="28"/>
      <x:c r="D492" s="28"/>
      <x:c r="E492" s="28"/>
      <x:c r="F492" s="28"/>
      <x:c r="G492" s="28"/>
      <x:c r="H492" s="28"/>
      <x:c r="I492" s="28"/>
      <x:c r="J492" s="28"/>
      <x:c r="K492" s="28"/>
      <x:c r="L492" s="28"/>
      <x:c r="M492" s="28"/>
      <x:c r="N492" s="28"/>
      <x:c r="O492" s="28"/>
      <x:c r="P492" s="28"/>
      <x:c r="Q492" s="28"/>
      <x:c r="R492" s="28"/>
      <x:c r="S492" s="28"/>
      <x:c r="T492" s="28"/>
      <x:c r="U492" s="28"/>
      <x:c r="V492" s="28"/>
      <x:c r="W492" s="28"/>
      <x:c r="X492" s="43" t="n">
        <x:f>--AND(S492=1,T492=1,U492=1,V492=1,W492=1)</x:f>
        <x:v>0</x:v>
      </x:c>
      <x:c r="AE492" s="43" t="n">
        <x:f>--AND(S492=1,M492&lt;&gt;"",M492&lt;&gt;"keep")</x:f>
        <x:v>0</x:v>
      </x:c>
      <x:c r="AG492" t="n">
        <x:f>--AND(S492=1,T492=1,U492=1,V492=1,W492=1,AE492=1)</x:f>
        <x:v>0</x:v>
      </x:c>
      <x:c r="AJ492" t="str">
        <x:f>IF(OR(AH492="",AI492=""),"",--(AH492&lt;&gt;AI492))</x:f>
      </x:c>
      <x:c r="AL492" t="str">
        <x:f>IF(OR(AH492="",AI492=""),"PENDING_HUMAN",IF(AH492=AI492,AH492,IF(AK492&lt;&gt;"",AK492,"PENDING_HUMAN")))</x:f>
        <x:v>PENDING_HUMAN</x:v>
      </x:c>
      <x:c r="AM492" t="n">
        <x:f>--AND(A492&lt;&gt;"",AH492&lt;&gt;"",AI492&lt;&gt;"",OR(AH492=AI492,AK492&lt;&gt;""))</x:f>
        <x:v>0</x:v>
      </x:c>
      <x:c r="AN492" t="n">
        <x:f>--AND(Y492&lt;&gt;"",COUNTIF($Y$4:Y492,Y492)=1)</x:f>
        <x:v>0</x:v>
      </x:c>
      <x:c r="AO492" t="n">
        <x:f>--AND(AN492=1,Z492=1,AM492=1)</x:f>
        <x:v>0</x:v>
      </x:c>
      <x:c r="AP492" t="n">
        <x:f>--AND(AO492=1,AA492=1,AL492=1)</x:f>
        <x:v>0</x:v>
      </x:c>
      <x:c r="AQ492" t="n">
        <x:f>--AND(AN492=1,Z492=1)</x:f>
        <x:v>0</x:v>
      </x:c>
      <x:c r="AR492" t="n">
        <x:f>--AND(AQ492=1,AA492=1)</x:f>
        <x:v>0</x:v>
      </x:c>
    </x:row>
    <x:row r="493">
      <x:c r="A493" s="28"/>
      <x:c r="B493" s="28"/>
      <x:c r="C493" s="28"/>
      <x:c r="D493" s="28"/>
      <x:c r="E493" s="28"/>
      <x:c r="F493" s="28"/>
      <x:c r="G493" s="28"/>
      <x:c r="H493" s="28"/>
      <x:c r="I493" s="28"/>
      <x:c r="J493" s="28"/>
      <x:c r="K493" s="28"/>
      <x:c r="L493" s="28"/>
      <x:c r="M493" s="28"/>
      <x:c r="N493" s="28"/>
      <x:c r="O493" s="28"/>
      <x:c r="P493" s="28"/>
      <x:c r="Q493" s="28"/>
      <x:c r="R493" s="28"/>
      <x:c r="S493" s="28"/>
      <x:c r="T493" s="28"/>
      <x:c r="U493" s="28"/>
      <x:c r="V493" s="28"/>
      <x:c r="W493" s="28"/>
      <x:c r="X493" s="43" t="n">
        <x:f>--AND(S493=1,T493=1,U493=1,V493=1,W493=1)</x:f>
        <x:v>0</x:v>
      </x:c>
      <x:c r="AE493" s="43" t="n">
        <x:f>--AND(S493=1,M493&lt;&gt;"",M493&lt;&gt;"keep")</x:f>
        <x:v>0</x:v>
      </x:c>
      <x:c r="AG493" t="n">
        <x:f>--AND(S493=1,T493=1,U493=1,V493=1,W493=1,AE493=1)</x:f>
        <x:v>0</x:v>
      </x:c>
      <x:c r="AJ493" t="str">
        <x:f>IF(OR(AH493="",AI493=""),"",--(AH493&lt;&gt;AI493))</x:f>
      </x:c>
      <x:c r="AL493" t="str">
        <x:f>IF(OR(AH493="",AI493=""),"PENDING_HUMAN",IF(AH493=AI493,AH493,IF(AK493&lt;&gt;"",AK493,"PENDING_HUMAN")))</x:f>
        <x:v>PENDING_HUMAN</x:v>
      </x:c>
      <x:c r="AM493" t="n">
        <x:f>--AND(A493&lt;&gt;"",AH493&lt;&gt;"",AI493&lt;&gt;"",OR(AH493=AI493,AK493&lt;&gt;""))</x:f>
        <x:v>0</x:v>
      </x:c>
      <x:c r="AN493" t="n">
        <x:f>--AND(Y493&lt;&gt;"",COUNTIF($Y$4:Y493,Y493)=1)</x:f>
        <x:v>0</x:v>
      </x:c>
      <x:c r="AO493" t="n">
        <x:f>--AND(AN493=1,Z493=1,AM493=1)</x:f>
        <x:v>0</x:v>
      </x:c>
      <x:c r="AP493" t="n">
        <x:f>--AND(AO493=1,AA493=1,AL493=1)</x:f>
        <x:v>0</x:v>
      </x:c>
      <x:c r="AQ493" t="n">
        <x:f>--AND(AN493=1,Z493=1)</x:f>
        <x:v>0</x:v>
      </x:c>
      <x:c r="AR493" t="n">
        <x:f>--AND(AQ493=1,AA493=1)</x:f>
        <x:v>0</x:v>
      </x:c>
    </x:row>
    <x:row r="494">
      <x:c r="A494" s="28"/>
      <x:c r="B494" s="28"/>
      <x:c r="C494" s="28"/>
      <x:c r="D494" s="28"/>
      <x:c r="E494" s="28"/>
      <x:c r="F494" s="28"/>
      <x:c r="G494" s="28"/>
      <x:c r="H494" s="28"/>
      <x:c r="I494" s="28"/>
      <x:c r="J494" s="28"/>
      <x:c r="K494" s="28"/>
      <x:c r="L494" s="28"/>
      <x:c r="M494" s="28"/>
      <x:c r="N494" s="28"/>
      <x:c r="O494" s="28"/>
      <x:c r="P494" s="28"/>
      <x:c r="Q494" s="28"/>
      <x:c r="R494" s="28"/>
      <x:c r="S494" s="28"/>
      <x:c r="T494" s="28"/>
      <x:c r="U494" s="28"/>
      <x:c r="V494" s="28"/>
      <x:c r="W494" s="28"/>
      <x:c r="X494" s="43" t="n">
        <x:f>--AND(S494=1,T494=1,U494=1,V494=1,W494=1)</x:f>
        <x:v>0</x:v>
      </x:c>
      <x:c r="AE494" s="43" t="n">
        <x:f>--AND(S494=1,M494&lt;&gt;"",M494&lt;&gt;"keep")</x:f>
        <x:v>0</x:v>
      </x:c>
      <x:c r="AG494" t="n">
        <x:f>--AND(S494=1,T494=1,U494=1,V494=1,W494=1,AE494=1)</x:f>
        <x:v>0</x:v>
      </x:c>
      <x:c r="AJ494" t="str">
        <x:f>IF(OR(AH494="",AI494=""),"",--(AH494&lt;&gt;AI494))</x:f>
      </x:c>
      <x:c r="AL494" t="str">
        <x:f>IF(OR(AH494="",AI494=""),"PENDING_HUMAN",IF(AH494=AI494,AH494,IF(AK494&lt;&gt;"",AK494,"PENDING_HUMAN")))</x:f>
        <x:v>PENDING_HUMAN</x:v>
      </x:c>
      <x:c r="AM494" t="n">
        <x:f>--AND(A494&lt;&gt;"",AH494&lt;&gt;"",AI494&lt;&gt;"",OR(AH494=AI494,AK494&lt;&gt;""))</x:f>
        <x:v>0</x:v>
      </x:c>
      <x:c r="AN494" t="n">
        <x:f>--AND(Y494&lt;&gt;"",COUNTIF($Y$4:Y494,Y494)=1)</x:f>
        <x:v>0</x:v>
      </x:c>
      <x:c r="AO494" t="n">
        <x:f>--AND(AN494=1,Z494=1,AM494=1)</x:f>
        <x:v>0</x:v>
      </x:c>
      <x:c r="AP494" t="n">
        <x:f>--AND(AO494=1,AA494=1,AL494=1)</x:f>
        <x:v>0</x:v>
      </x:c>
      <x:c r="AQ494" t="n">
        <x:f>--AND(AN494=1,Z494=1)</x:f>
        <x:v>0</x:v>
      </x:c>
      <x:c r="AR494" t="n">
        <x:f>--AND(AQ494=1,AA494=1)</x:f>
        <x:v>0</x:v>
      </x:c>
    </x:row>
    <x:row r="495">
      <x:c r="A495" s="28"/>
      <x:c r="B495" s="28"/>
      <x:c r="C495" s="28"/>
      <x:c r="D495" s="28"/>
      <x:c r="E495" s="28"/>
      <x:c r="F495" s="28"/>
      <x:c r="G495" s="28"/>
      <x:c r="H495" s="28"/>
      <x:c r="I495" s="28"/>
      <x:c r="J495" s="28"/>
      <x:c r="K495" s="28"/>
      <x:c r="L495" s="28"/>
      <x:c r="M495" s="28"/>
      <x:c r="N495" s="28"/>
      <x:c r="O495" s="28"/>
      <x:c r="P495" s="28"/>
      <x:c r="Q495" s="28"/>
      <x:c r="R495" s="28"/>
      <x:c r="S495" s="28"/>
      <x:c r="T495" s="28"/>
      <x:c r="U495" s="28"/>
      <x:c r="V495" s="28"/>
      <x:c r="W495" s="28"/>
      <x:c r="X495" s="43" t="n">
        <x:f>--AND(S495=1,T495=1,U495=1,V495=1,W495=1)</x:f>
        <x:v>0</x:v>
      </x:c>
      <x:c r="AE495" s="43" t="n">
        <x:f>--AND(S495=1,M495&lt;&gt;"",M495&lt;&gt;"keep")</x:f>
        <x:v>0</x:v>
      </x:c>
      <x:c r="AG495" t="n">
        <x:f>--AND(S495=1,T495=1,U495=1,V495=1,W495=1,AE495=1)</x:f>
        <x:v>0</x:v>
      </x:c>
      <x:c r="AJ495" t="str">
        <x:f>IF(OR(AH495="",AI495=""),"",--(AH495&lt;&gt;AI495))</x:f>
      </x:c>
      <x:c r="AL495" t="str">
        <x:f>IF(OR(AH495="",AI495=""),"PENDING_HUMAN",IF(AH495=AI495,AH495,IF(AK495&lt;&gt;"",AK495,"PENDING_HUMAN")))</x:f>
        <x:v>PENDING_HUMAN</x:v>
      </x:c>
      <x:c r="AM495" t="n">
        <x:f>--AND(A495&lt;&gt;"",AH495&lt;&gt;"",AI495&lt;&gt;"",OR(AH495=AI495,AK495&lt;&gt;""))</x:f>
        <x:v>0</x:v>
      </x:c>
      <x:c r="AN495" t="n">
        <x:f>--AND(Y495&lt;&gt;"",COUNTIF($Y$4:Y495,Y495)=1)</x:f>
        <x:v>0</x:v>
      </x:c>
      <x:c r="AO495" t="n">
        <x:f>--AND(AN495=1,Z495=1,AM495=1)</x:f>
        <x:v>0</x:v>
      </x:c>
      <x:c r="AP495" t="n">
        <x:f>--AND(AO495=1,AA495=1,AL495=1)</x:f>
        <x:v>0</x:v>
      </x:c>
      <x:c r="AQ495" t="n">
        <x:f>--AND(AN495=1,Z495=1)</x:f>
        <x:v>0</x:v>
      </x:c>
      <x:c r="AR495" t="n">
        <x:f>--AND(AQ495=1,AA495=1)</x:f>
        <x:v>0</x:v>
      </x:c>
    </x:row>
    <x:row r="496">
      <x:c r="A496" s="28"/>
      <x:c r="B496" s="28"/>
      <x:c r="C496" s="28"/>
      <x:c r="D496" s="28"/>
      <x:c r="E496" s="28"/>
      <x:c r="F496" s="28"/>
      <x:c r="G496" s="28"/>
      <x:c r="H496" s="28"/>
      <x:c r="I496" s="28"/>
      <x:c r="J496" s="28"/>
      <x:c r="K496" s="28"/>
      <x:c r="L496" s="28"/>
      <x:c r="M496" s="28"/>
      <x:c r="N496" s="28"/>
      <x:c r="O496" s="28"/>
      <x:c r="P496" s="28"/>
      <x:c r="Q496" s="28"/>
      <x:c r="R496" s="28"/>
      <x:c r="S496" s="28"/>
      <x:c r="T496" s="28"/>
      <x:c r="U496" s="28"/>
      <x:c r="V496" s="28"/>
      <x:c r="W496" s="28"/>
      <x:c r="X496" s="43" t="n">
        <x:f>--AND(S496=1,T496=1,U496=1,V496=1,W496=1)</x:f>
        <x:v>0</x:v>
      </x:c>
      <x:c r="AE496" s="43" t="n">
        <x:f>--AND(S496=1,M496&lt;&gt;"",M496&lt;&gt;"keep")</x:f>
        <x:v>0</x:v>
      </x:c>
      <x:c r="AG496" t="n">
        <x:f>--AND(S496=1,T496=1,U496=1,V496=1,W496=1,AE496=1)</x:f>
        <x:v>0</x:v>
      </x:c>
      <x:c r="AJ496" t="str">
        <x:f>IF(OR(AH496="",AI496=""),"",--(AH496&lt;&gt;AI496))</x:f>
      </x:c>
      <x:c r="AL496" t="str">
        <x:f>IF(OR(AH496="",AI496=""),"PENDING_HUMAN",IF(AH496=AI496,AH496,IF(AK496&lt;&gt;"",AK496,"PENDING_HUMAN")))</x:f>
        <x:v>PENDING_HUMAN</x:v>
      </x:c>
      <x:c r="AM496" t="n">
        <x:f>--AND(A496&lt;&gt;"",AH496&lt;&gt;"",AI496&lt;&gt;"",OR(AH496=AI496,AK496&lt;&gt;""))</x:f>
        <x:v>0</x:v>
      </x:c>
      <x:c r="AN496" t="n">
        <x:f>--AND(Y496&lt;&gt;"",COUNTIF($Y$4:Y496,Y496)=1)</x:f>
        <x:v>0</x:v>
      </x:c>
      <x:c r="AO496" t="n">
        <x:f>--AND(AN496=1,Z496=1,AM496=1)</x:f>
        <x:v>0</x:v>
      </x:c>
      <x:c r="AP496" t="n">
        <x:f>--AND(AO496=1,AA496=1,AL496=1)</x:f>
        <x:v>0</x:v>
      </x:c>
      <x:c r="AQ496" t="n">
        <x:f>--AND(AN496=1,Z496=1)</x:f>
        <x:v>0</x:v>
      </x:c>
      <x:c r="AR496" t="n">
        <x:f>--AND(AQ496=1,AA496=1)</x:f>
        <x:v>0</x:v>
      </x:c>
    </x:row>
    <x:row r="497">
      <x:c r="A497" s="28"/>
      <x:c r="B497" s="28"/>
      <x:c r="C497" s="28"/>
      <x:c r="D497" s="28"/>
      <x:c r="E497" s="28"/>
      <x:c r="F497" s="28"/>
      <x:c r="G497" s="28"/>
      <x:c r="H497" s="28"/>
      <x:c r="I497" s="28"/>
      <x:c r="J497" s="28"/>
      <x:c r="K497" s="28"/>
      <x:c r="L497" s="28"/>
      <x:c r="M497" s="28"/>
      <x:c r="N497" s="28"/>
      <x:c r="O497" s="28"/>
      <x:c r="P497" s="28"/>
      <x:c r="Q497" s="28"/>
      <x:c r="R497" s="28"/>
      <x:c r="S497" s="28"/>
      <x:c r="T497" s="28"/>
      <x:c r="U497" s="28"/>
      <x:c r="V497" s="28"/>
      <x:c r="W497" s="28"/>
      <x:c r="X497" s="43" t="n">
        <x:f>--AND(S497=1,T497=1,U497=1,V497=1,W497=1)</x:f>
        <x:v>0</x:v>
      </x:c>
      <x:c r="AE497" s="43" t="n">
        <x:f>--AND(S497=1,M497&lt;&gt;"",M497&lt;&gt;"keep")</x:f>
        <x:v>0</x:v>
      </x:c>
      <x:c r="AG497" t="n">
        <x:f>--AND(S497=1,T497=1,U497=1,V497=1,W497=1,AE497=1)</x:f>
        <x:v>0</x:v>
      </x:c>
      <x:c r="AJ497" t="str">
        <x:f>IF(OR(AH497="",AI497=""),"",--(AH497&lt;&gt;AI497))</x:f>
      </x:c>
      <x:c r="AL497" t="str">
        <x:f>IF(OR(AH497="",AI497=""),"PENDING_HUMAN",IF(AH497=AI497,AH497,IF(AK497&lt;&gt;"",AK497,"PENDING_HUMAN")))</x:f>
        <x:v>PENDING_HUMAN</x:v>
      </x:c>
      <x:c r="AM497" t="n">
        <x:f>--AND(A497&lt;&gt;"",AH497&lt;&gt;"",AI497&lt;&gt;"",OR(AH497=AI497,AK497&lt;&gt;""))</x:f>
        <x:v>0</x:v>
      </x:c>
      <x:c r="AN497" t="n">
        <x:f>--AND(Y497&lt;&gt;"",COUNTIF($Y$4:Y497,Y497)=1)</x:f>
        <x:v>0</x:v>
      </x:c>
      <x:c r="AO497" t="n">
        <x:f>--AND(AN497=1,Z497=1,AM497=1)</x:f>
        <x:v>0</x:v>
      </x:c>
      <x:c r="AP497" t="n">
        <x:f>--AND(AO497=1,AA497=1,AL497=1)</x:f>
        <x:v>0</x:v>
      </x:c>
      <x:c r="AQ497" t="n">
        <x:f>--AND(AN497=1,Z497=1)</x:f>
        <x:v>0</x:v>
      </x:c>
      <x:c r="AR497" t="n">
        <x:f>--AND(AQ497=1,AA497=1)</x:f>
        <x:v>0</x:v>
      </x:c>
    </x:row>
    <x:row r="498">
      <x:c r="A498" s="28"/>
      <x:c r="B498" s="28"/>
      <x:c r="C498" s="28"/>
      <x:c r="D498" s="28"/>
      <x:c r="E498" s="28"/>
      <x:c r="F498" s="28"/>
      <x:c r="G498" s="28"/>
      <x:c r="H498" s="28"/>
      <x:c r="I498" s="28"/>
      <x:c r="J498" s="28"/>
      <x:c r="K498" s="28"/>
      <x:c r="L498" s="28"/>
      <x:c r="M498" s="28"/>
      <x:c r="N498" s="28"/>
      <x:c r="O498" s="28"/>
      <x:c r="P498" s="28"/>
      <x:c r="Q498" s="28"/>
      <x:c r="R498" s="28"/>
      <x:c r="S498" s="28"/>
      <x:c r="T498" s="28"/>
      <x:c r="U498" s="28"/>
      <x:c r="V498" s="28"/>
      <x:c r="W498" s="28"/>
      <x:c r="X498" s="43" t="n">
        <x:f>--AND(S498=1,T498=1,U498=1,V498=1,W498=1)</x:f>
        <x:v>0</x:v>
      </x:c>
      <x:c r="AE498" s="43" t="n">
        <x:f>--AND(S498=1,M498&lt;&gt;"",M498&lt;&gt;"keep")</x:f>
        <x:v>0</x:v>
      </x:c>
      <x:c r="AG498" t="n">
        <x:f>--AND(S498=1,T498=1,U498=1,V498=1,W498=1,AE498=1)</x:f>
        <x:v>0</x:v>
      </x:c>
      <x:c r="AJ498" t="str">
        <x:f>IF(OR(AH498="",AI498=""),"",--(AH498&lt;&gt;AI498))</x:f>
      </x:c>
      <x:c r="AL498" t="str">
        <x:f>IF(OR(AH498="",AI498=""),"PENDING_HUMAN",IF(AH498=AI498,AH498,IF(AK498&lt;&gt;"",AK498,"PENDING_HUMAN")))</x:f>
        <x:v>PENDING_HUMAN</x:v>
      </x:c>
      <x:c r="AM498" t="n">
        <x:f>--AND(A498&lt;&gt;"",AH498&lt;&gt;"",AI498&lt;&gt;"",OR(AH498=AI498,AK498&lt;&gt;""))</x:f>
        <x:v>0</x:v>
      </x:c>
      <x:c r="AN498" t="n">
        <x:f>--AND(Y498&lt;&gt;"",COUNTIF($Y$4:Y498,Y498)=1)</x:f>
        <x:v>0</x:v>
      </x:c>
      <x:c r="AO498" t="n">
        <x:f>--AND(AN498=1,Z498=1,AM498=1)</x:f>
        <x:v>0</x:v>
      </x:c>
      <x:c r="AP498" t="n">
        <x:f>--AND(AO498=1,AA498=1,AL498=1)</x:f>
        <x:v>0</x:v>
      </x:c>
      <x:c r="AQ498" t="n">
        <x:f>--AND(AN498=1,Z498=1)</x:f>
        <x:v>0</x:v>
      </x:c>
      <x:c r="AR498" t="n">
        <x:f>--AND(AQ498=1,AA498=1)</x:f>
        <x:v>0</x:v>
      </x:c>
    </x:row>
    <x:row r="499">
      <x:c r="A499" s="28"/>
      <x:c r="B499" s="28"/>
      <x:c r="C499" s="28"/>
      <x:c r="D499" s="28"/>
      <x:c r="E499" s="28"/>
      <x:c r="F499" s="28"/>
      <x:c r="G499" s="28"/>
      <x:c r="H499" s="28"/>
      <x:c r="I499" s="28"/>
      <x:c r="J499" s="28"/>
      <x:c r="K499" s="28"/>
      <x:c r="L499" s="28"/>
      <x:c r="M499" s="28"/>
      <x:c r="N499" s="28"/>
      <x:c r="O499" s="28"/>
      <x:c r="P499" s="28"/>
      <x:c r="Q499" s="28"/>
      <x:c r="R499" s="28"/>
      <x:c r="S499" s="28"/>
      <x:c r="T499" s="28"/>
      <x:c r="U499" s="28"/>
      <x:c r="V499" s="28"/>
      <x:c r="W499" s="28"/>
      <x:c r="X499" s="43" t="n">
        <x:f>--AND(S499=1,T499=1,U499=1,V499=1,W499=1)</x:f>
        <x:v>0</x:v>
      </x:c>
      <x:c r="AE499" s="43" t="n">
        <x:f>--AND(S499=1,M499&lt;&gt;"",M499&lt;&gt;"keep")</x:f>
        <x:v>0</x:v>
      </x:c>
      <x:c r="AG499" t="n">
        <x:f>--AND(S499=1,T499=1,U499=1,V499=1,W499=1,AE499=1)</x:f>
        <x:v>0</x:v>
      </x:c>
      <x:c r="AJ499" t="str">
        <x:f>IF(OR(AH499="",AI499=""),"",--(AH499&lt;&gt;AI499))</x:f>
      </x:c>
      <x:c r="AL499" t="str">
        <x:f>IF(OR(AH499="",AI499=""),"PENDING_HUMAN",IF(AH499=AI499,AH499,IF(AK499&lt;&gt;"",AK499,"PENDING_HUMAN")))</x:f>
        <x:v>PENDING_HUMAN</x:v>
      </x:c>
      <x:c r="AM499" t="n">
        <x:f>--AND(A499&lt;&gt;"",AH499&lt;&gt;"",AI499&lt;&gt;"",OR(AH499=AI499,AK499&lt;&gt;""))</x:f>
        <x:v>0</x:v>
      </x:c>
      <x:c r="AN499" t="n">
        <x:f>--AND(Y499&lt;&gt;"",COUNTIF($Y$4:Y499,Y499)=1)</x:f>
        <x:v>0</x:v>
      </x:c>
      <x:c r="AO499" t="n">
        <x:f>--AND(AN499=1,Z499=1,AM499=1)</x:f>
        <x:v>0</x:v>
      </x:c>
      <x:c r="AP499" t="n">
        <x:f>--AND(AO499=1,AA499=1,AL499=1)</x:f>
        <x:v>0</x:v>
      </x:c>
      <x:c r="AQ499" t="n">
        <x:f>--AND(AN499=1,Z499=1)</x:f>
        <x:v>0</x:v>
      </x:c>
      <x:c r="AR499" t="n">
        <x:f>--AND(AQ499=1,AA499=1)</x:f>
        <x:v>0</x:v>
      </x:c>
    </x:row>
    <x:row r="500">
      <x:c r="A500" s="28"/>
      <x:c r="B500" s="28"/>
      <x:c r="C500" s="28"/>
      <x:c r="D500" s="28"/>
      <x:c r="E500" s="28"/>
      <x:c r="F500" s="28"/>
      <x:c r="G500" s="28"/>
      <x:c r="H500" s="28"/>
      <x:c r="I500" s="28"/>
      <x:c r="J500" s="28"/>
      <x:c r="K500" s="28"/>
      <x:c r="L500" s="28"/>
      <x:c r="M500" s="28"/>
      <x:c r="N500" s="28"/>
      <x:c r="O500" s="28"/>
      <x:c r="P500" s="28"/>
      <x:c r="Q500" s="28"/>
      <x:c r="R500" s="28"/>
      <x:c r="S500" s="28"/>
      <x:c r="T500" s="28"/>
      <x:c r="U500" s="28"/>
      <x:c r="V500" s="28"/>
      <x:c r="W500" s="28"/>
      <x:c r="X500" s="43" t="n">
        <x:f>--AND(S500=1,T500=1,U500=1,V500=1,W500=1)</x:f>
        <x:v>0</x:v>
      </x:c>
      <x:c r="AE500" s="43" t="n">
        <x:f>--AND(S500=1,M500&lt;&gt;"",M500&lt;&gt;"keep")</x:f>
        <x:v>0</x:v>
      </x:c>
      <x:c r="AG500" t="n">
        <x:f>--AND(S500=1,T500=1,U500=1,V500=1,W500=1,AE500=1)</x:f>
        <x:v>0</x:v>
      </x:c>
      <x:c r="AJ500" t="str">
        <x:f>IF(OR(AH500="",AI500=""),"",--(AH500&lt;&gt;AI500))</x:f>
      </x:c>
      <x:c r="AL500" t="str">
        <x:f>IF(OR(AH500="",AI500=""),"PENDING_HUMAN",IF(AH500=AI500,AH500,IF(AK500&lt;&gt;"",AK500,"PENDING_HUMAN")))</x:f>
        <x:v>PENDING_HUMAN</x:v>
      </x:c>
      <x:c r="AM500" t="n">
        <x:f>--AND(A500&lt;&gt;"",AH500&lt;&gt;"",AI500&lt;&gt;"",OR(AH500=AI500,AK500&lt;&gt;""))</x:f>
        <x:v>0</x:v>
      </x:c>
      <x:c r="AN500" t="n">
        <x:f>--AND(Y500&lt;&gt;"",COUNTIF($Y$4:Y500,Y500)=1)</x:f>
        <x:v>0</x:v>
      </x:c>
      <x:c r="AO500" t="n">
        <x:f>--AND(AN500=1,Z500=1,AM500=1)</x:f>
        <x:v>0</x:v>
      </x:c>
      <x:c r="AP500" t="n">
        <x:f>--AND(AO500=1,AA500=1,AL500=1)</x:f>
        <x:v>0</x:v>
      </x:c>
      <x:c r="AQ500" t="n">
        <x:f>--AND(AN500=1,Z500=1)</x:f>
        <x:v>0</x:v>
      </x:c>
      <x:c r="AR500" t="n">
        <x:f>--AND(AQ500=1,AA500=1)</x:f>
        <x:v>0</x:v>
      </x:c>
    </x:row>
    <x:row r="501">
      <x:c r="A501" s="28"/>
      <x:c r="B501" s="28"/>
      <x:c r="C501" s="28"/>
      <x:c r="D501" s="28"/>
      <x:c r="E501" s="28"/>
      <x:c r="F501" s="28"/>
      <x:c r="G501" s="28"/>
      <x:c r="H501" s="28"/>
      <x:c r="I501" s="28"/>
      <x:c r="J501" s="28"/>
      <x:c r="K501" s="28"/>
      <x:c r="L501" s="28"/>
      <x:c r="M501" s="28"/>
      <x:c r="N501" s="28"/>
      <x:c r="O501" s="28"/>
      <x:c r="P501" s="28"/>
      <x:c r="Q501" s="28"/>
      <x:c r="R501" s="28"/>
      <x:c r="S501" s="28"/>
      <x:c r="T501" s="28"/>
      <x:c r="U501" s="28"/>
      <x:c r="V501" s="28"/>
      <x:c r="W501" s="28"/>
      <x:c r="X501" s="43" t="n">
        <x:f>--AND(S501=1,T501=1,U501=1,V501=1,W501=1)</x:f>
        <x:v>0</x:v>
      </x:c>
      <x:c r="AE501" s="43" t="n">
        <x:f>--AND(S501=1,M501&lt;&gt;"",M501&lt;&gt;"keep")</x:f>
        <x:v>0</x:v>
      </x:c>
      <x:c r="AG501" t="n">
        <x:f>--AND(S501=1,T501=1,U501=1,V501=1,W501=1,AE501=1)</x:f>
        <x:v>0</x:v>
      </x:c>
      <x:c r="AJ501" t="str">
        <x:f>IF(OR(AH501="",AI501=""),"",--(AH501&lt;&gt;AI501))</x:f>
      </x:c>
      <x:c r="AL501" t="str">
        <x:f>IF(OR(AH501="",AI501=""),"PENDING_HUMAN",IF(AH501=AI501,AH501,IF(AK501&lt;&gt;"",AK501,"PENDING_HUMAN")))</x:f>
        <x:v>PENDING_HUMAN</x:v>
      </x:c>
      <x:c r="AM501" t="n">
        <x:f>--AND(A501&lt;&gt;"",AH501&lt;&gt;"",AI501&lt;&gt;"",OR(AH501=AI501,AK501&lt;&gt;""))</x:f>
        <x:v>0</x:v>
      </x:c>
      <x:c r="AN501" t="n">
        <x:f>--AND(Y501&lt;&gt;"",COUNTIF($Y$4:Y501,Y501)=1)</x:f>
        <x:v>0</x:v>
      </x:c>
      <x:c r="AO501" t="n">
        <x:f>--AND(AN501=1,Z501=1,AM501=1)</x:f>
        <x:v>0</x:v>
      </x:c>
      <x:c r="AP501" t="n">
        <x:f>--AND(AO501=1,AA501=1,AL501=1)</x:f>
        <x:v>0</x:v>
      </x:c>
      <x:c r="AQ501" t="n">
        <x:f>--AND(AN501=1,Z501=1)</x:f>
        <x:v>0</x:v>
      </x:c>
      <x:c r="AR501" t="n">
        <x:f>--AND(AQ501=1,AA501=1)</x:f>
        <x:v>0</x:v>
      </x:c>
    </x:row>
    <x:row r="502">
      <x:c r="A502" s="28"/>
      <x:c r="B502" s="28"/>
      <x:c r="C502" s="28"/>
      <x:c r="D502" s="28"/>
      <x:c r="E502" s="28"/>
      <x:c r="F502" s="28"/>
      <x:c r="G502" s="28"/>
      <x:c r="H502" s="28"/>
      <x:c r="I502" s="28"/>
      <x:c r="J502" s="28"/>
      <x:c r="K502" s="28"/>
      <x:c r="L502" s="28"/>
      <x:c r="M502" s="28"/>
      <x:c r="N502" s="28"/>
      <x:c r="O502" s="28"/>
      <x:c r="P502" s="28"/>
      <x:c r="Q502" s="28"/>
      <x:c r="R502" s="28"/>
      <x:c r="S502" s="28"/>
      <x:c r="T502" s="28"/>
      <x:c r="U502" s="28"/>
      <x:c r="V502" s="28"/>
      <x:c r="W502" s="28"/>
      <x:c r="X502" s="43" t="n">
        <x:f>--AND(S502=1,T502=1,U502=1,V502=1,W502=1)</x:f>
        <x:v>0</x:v>
      </x:c>
      <x:c r="AE502" s="43" t="n">
        <x:f>--AND(S502=1,M502&lt;&gt;"",M502&lt;&gt;"keep")</x:f>
        <x:v>0</x:v>
      </x:c>
      <x:c r="AG502" t="n">
        <x:f>--AND(S502=1,T502=1,U502=1,V502=1,W502=1,AE502=1)</x:f>
        <x:v>0</x:v>
      </x:c>
      <x:c r="AJ502" t="str">
        <x:f>IF(OR(AH502="",AI502=""),"",--(AH502&lt;&gt;AI502))</x:f>
      </x:c>
      <x:c r="AL502" t="str">
        <x:f>IF(OR(AH502="",AI502=""),"PENDING_HUMAN",IF(AH502=AI502,AH502,IF(AK502&lt;&gt;"",AK502,"PENDING_HUMAN")))</x:f>
        <x:v>PENDING_HUMAN</x:v>
      </x:c>
      <x:c r="AM502" t="n">
        <x:f>--AND(A502&lt;&gt;"",AH502&lt;&gt;"",AI502&lt;&gt;"",OR(AH502=AI502,AK502&lt;&gt;""))</x:f>
        <x:v>0</x:v>
      </x:c>
      <x:c r="AN502" t="n">
        <x:f>--AND(Y502&lt;&gt;"",COUNTIF($Y$4:Y502,Y502)=1)</x:f>
        <x:v>0</x:v>
      </x:c>
      <x:c r="AO502" t="n">
        <x:f>--AND(AN502=1,Z502=1,AM502=1)</x:f>
        <x:v>0</x:v>
      </x:c>
      <x:c r="AP502" t="n">
        <x:f>--AND(AO502=1,AA502=1,AL502=1)</x:f>
        <x:v>0</x:v>
      </x:c>
      <x:c r="AQ502" t="n">
        <x:f>--AND(AN502=1,Z502=1)</x:f>
        <x:v>0</x:v>
      </x:c>
      <x:c r="AR502" t="n">
        <x:f>--AND(AQ502=1,AA502=1)</x:f>
        <x:v>0</x:v>
      </x:c>
    </x:row>
    <x:row r="503">
      <x:c r="A503" s="28"/>
      <x:c r="B503" s="28"/>
      <x:c r="C503" s="28"/>
      <x:c r="D503" s="28"/>
      <x:c r="E503" s="28"/>
      <x:c r="F503" s="28"/>
      <x:c r="G503" s="28"/>
      <x:c r="H503" s="28"/>
      <x:c r="I503" s="28"/>
      <x:c r="J503" s="28"/>
      <x:c r="K503" s="28"/>
      <x:c r="L503" s="28"/>
      <x:c r="M503" s="28"/>
      <x:c r="N503" s="28"/>
      <x:c r="O503" s="28"/>
      <x:c r="P503" s="28"/>
      <x:c r="Q503" s="28"/>
      <x:c r="R503" s="28"/>
      <x:c r="S503" s="28"/>
      <x:c r="T503" s="28"/>
      <x:c r="U503" s="28"/>
      <x:c r="V503" s="28"/>
      <x:c r="W503" s="28"/>
      <x:c r="X503" s="43" t="n">
        <x:f>--AND(S503=1,T503=1,U503=1,V503=1,W503=1)</x:f>
        <x:v>0</x:v>
      </x:c>
      <x:c r="AE503" s="43" t="n">
        <x:f>--AND(S503=1,M503&lt;&gt;"",M503&lt;&gt;"keep")</x:f>
        <x:v>0</x:v>
      </x:c>
      <x:c r="AG503" t="n">
        <x:f>--AND(S503=1,T503=1,U503=1,V503=1,W503=1,AE503=1)</x:f>
        <x:v>0</x:v>
      </x:c>
      <x:c r="AJ503" t="str">
        <x:f>IF(OR(AH503="",AI503=""),"",--(AH503&lt;&gt;AI503))</x:f>
      </x:c>
      <x:c r="AL503" t="str">
        <x:f>IF(OR(AH503="",AI503=""),"PENDING_HUMAN",IF(AH503=AI503,AH503,IF(AK503&lt;&gt;"",AK503,"PENDING_HUMAN")))</x:f>
        <x:v>PENDING_HUMAN</x:v>
      </x:c>
      <x:c r="AM503" t="n">
        <x:f>--AND(A503&lt;&gt;"",AH503&lt;&gt;"",AI503&lt;&gt;"",OR(AH503=AI503,AK503&lt;&gt;""))</x:f>
        <x:v>0</x:v>
      </x:c>
      <x:c r="AN503" t="n">
        <x:f>--AND(Y503&lt;&gt;"",COUNTIF($Y$4:Y503,Y503)=1)</x:f>
        <x:v>0</x:v>
      </x:c>
      <x:c r="AO503" t="n">
        <x:f>--AND(AN503=1,Z503=1,AM503=1)</x:f>
        <x:v>0</x:v>
      </x:c>
      <x:c r="AP503" t="n">
        <x:f>--AND(AO503=1,AA503=1,AL503=1)</x:f>
        <x:v>0</x:v>
      </x:c>
      <x:c r="AQ503" t="n">
        <x:f>--AND(AN503=1,Z503=1)</x:f>
        <x:v>0</x:v>
      </x:c>
      <x:c r="AR503" t="n">
        <x:f>--AND(AQ503=1,AA503=1)</x:f>
        <x:v>0</x:v>
      </x:c>
    </x:row>
    <x:row r="504">
      <x:c r="A504" s="28"/>
      <x:c r="B504" s="28"/>
      <x:c r="C504" s="28"/>
      <x:c r="D504" s="28"/>
      <x:c r="E504" s="28"/>
      <x:c r="F504" s="28"/>
      <x:c r="G504" s="28"/>
      <x:c r="H504" s="28"/>
      <x:c r="I504" s="28"/>
      <x:c r="J504" s="28"/>
      <x:c r="K504" s="28"/>
      <x:c r="L504" s="28"/>
      <x:c r="M504" s="28"/>
      <x:c r="N504" s="28"/>
      <x:c r="O504" s="28"/>
      <x:c r="P504" s="28"/>
      <x:c r="Q504" s="28"/>
      <x:c r="R504" s="28"/>
      <x:c r="S504" s="28"/>
      <x:c r="T504" s="28"/>
      <x:c r="U504" s="28"/>
      <x:c r="V504" s="28"/>
      <x:c r="W504" s="28"/>
      <x:c r="X504" s="43" t="n">
        <x:f>--AND(S504=1,T504=1,U504=1,V504=1,W504=1)</x:f>
        <x:v>0</x:v>
      </x:c>
      <x:c r="AE504" s="43" t="n">
        <x:f>--AND(S504=1,M504&lt;&gt;"",M504&lt;&gt;"keep")</x:f>
        <x:v>0</x:v>
      </x:c>
      <x:c r="AG504" t="n">
        <x:f>--AND(S504=1,T504=1,U504=1,V504=1,W504=1,AE504=1)</x:f>
        <x:v>0</x:v>
      </x:c>
      <x:c r="AJ504" t="str">
        <x:f>IF(OR(AH504="",AI504=""),"",--(AH504&lt;&gt;AI504))</x:f>
      </x:c>
      <x:c r="AL504" t="str">
        <x:f>IF(OR(AH504="",AI504=""),"PENDING_HUMAN",IF(AH504=AI504,AH504,IF(AK504&lt;&gt;"",AK504,"PENDING_HUMAN")))</x:f>
        <x:v>PENDING_HUMAN</x:v>
      </x:c>
      <x:c r="AM504" t="n">
        <x:f>--AND(A504&lt;&gt;"",AH504&lt;&gt;"",AI504&lt;&gt;"",OR(AH504=AI504,AK504&lt;&gt;""))</x:f>
        <x:v>0</x:v>
      </x:c>
      <x:c r="AN504" t="n">
        <x:f>--AND(Y504&lt;&gt;"",COUNTIF($Y$4:Y504,Y504)=1)</x:f>
        <x:v>0</x:v>
      </x:c>
      <x:c r="AO504" t="n">
        <x:f>--AND(AN504=1,Z504=1,AM504=1)</x:f>
        <x:v>0</x:v>
      </x:c>
      <x:c r="AP504" t="n">
        <x:f>--AND(AO504=1,AA504=1,AL504=1)</x:f>
        <x:v>0</x:v>
      </x:c>
      <x:c r="AQ504" t="n">
        <x:f>--AND(AN504=1,Z504=1)</x:f>
        <x:v>0</x:v>
      </x:c>
      <x:c r="AR504" t="n">
        <x:f>--AND(AQ504=1,AA504=1)</x:f>
        <x:v>0</x:v>
      </x:c>
    </x:row>
    <x:row r="505">
      <x:c r="A505" s="28"/>
      <x:c r="B505" s="28"/>
      <x:c r="C505" s="28"/>
      <x:c r="D505" s="28"/>
      <x:c r="E505" s="28"/>
      <x:c r="F505" s="28"/>
      <x:c r="G505" s="28"/>
      <x:c r="H505" s="28"/>
      <x:c r="I505" s="28"/>
      <x:c r="J505" s="28"/>
      <x:c r="K505" s="28"/>
      <x:c r="L505" s="28"/>
      <x:c r="M505" s="28"/>
      <x:c r="N505" s="28"/>
      <x:c r="O505" s="28"/>
      <x:c r="P505" s="28"/>
      <x:c r="Q505" s="28"/>
      <x:c r="R505" s="28"/>
      <x:c r="S505" s="28"/>
      <x:c r="T505" s="28"/>
      <x:c r="U505" s="28"/>
      <x:c r="V505" s="28"/>
      <x:c r="W505" s="28"/>
      <x:c r="X505" s="43" t="n">
        <x:f>--AND(S505=1,T505=1,U505=1,V505=1,W505=1)</x:f>
        <x:v>0</x:v>
      </x:c>
      <x:c r="AE505" s="43" t="n">
        <x:f>--AND(S505=1,M505&lt;&gt;"",M505&lt;&gt;"keep")</x:f>
        <x:v>0</x:v>
      </x:c>
      <x:c r="AG505" t="n">
        <x:f>--AND(S505=1,T505=1,U505=1,V505=1,W505=1,AE505=1)</x:f>
        <x:v>0</x:v>
      </x:c>
      <x:c r="AJ505" t="str">
        <x:f>IF(OR(AH505="",AI505=""),"",--(AH505&lt;&gt;AI505))</x:f>
      </x:c>
      <x:c r="AL505" t="str">
        <x:f>IF(OR(AH505="",AI505=""),"PENDING_HUMAN",IF(AH505=AI505,AH505,IF(AK505&lt;&gt;"",AK505,"PENDING_HUMAN")))</x:f>
        <x:v>PENDING_HUMAN</x:v>
      </x:c>
      <x:c r="AM505" t="n">
        <x:f>--AND(A505&lt;&gt;"",AH505&lt;&gt;"",AI505&lt;&gt;"",OR(AH505=AI505,AK505&lt;&gt;""))</x:f>
        <x:v>0</x:v>
      </x:c>
      <x:c r="AN505" t="n">
        <x:f>--AND(Y505&lt;&gt;"",COUNTIF($Y$4:Y505,Y505)=1)</x:f>
        <x:v>0</x:v>
      </x:c>
      <x:c r="AO505" t="n">
        <x:f>--AND(AN505=1,Z505=1,AM505=1)</x:f>
        <x:v>0</x:v>
      </x:c>
      <x:c r="AP505" t="n">
        <x:f>--AND(AO505=1,AA505=1,AL505=1)</x:f>
        <x:v>0</x:v>
      </x:c>
      <x:c r="AQ505" t="n">
        <x:f>--AND(AN505=1,Z505=1)</x:f>
        <x:v>0</x:v>
      </x:c>
      <x:c r="AR505" t="n">
        <x:f>--AND(AQ505=1,AA505=1)</x:f>
        <x:v>0</x:v>
      </x:c>
    </x:row>
    <x:row r="506">
      <x:c r="A506" s="28"/>
      <x:c r="B506" s="28"/>
      <x:c r="C506" s="28"/>
      <x:c r="D506" s="28"/>
      <x:c r="E506" s="28"/>
      <x:c r="F506" s="28"/>
      <x:c r="G506" s="28"/>
      <x:c r="H506" s="28"/>
      <x:c r="I506" s="28"/>
      <x:c r="J506" s="28"/>
      <x:c r="K506" s="28"/>
      <x:c r="L506" s="28"/>
      <x:c r="M506" s="28"/>
      <x:c r="N506" s="28"/>
      <x:c r="O506" s="28"/>
      <x:c r="P506" s="28"/>
      <x:c r="Q506" s="28"/>
      <x:c r="R506" s="28"/>
      <x:c r="S506" s="28"/>
      <x:c r="T506" s="28"/>
      <x:c r="U506" s="28"/>
      <x:c r="V506" s="28"/>
      <x:c r="W506" s="28"/>
      <x:c r="X506" s="43" t="n">
        <x:f>--AND(S506=1,T506=1,U506=1,V506=1,W506=1)</x:f>
        <x:v>0</x:v>
      </x:c>
      <x:c r="AE506" s="43" t="n">
        <x:f>--AND(S506=1,M506&lt;&gt;"",M506&lt;&gt;"keep")</x:f>
        <x:v>0</x:v>
      </x:c>
      <x:c r="AG506" t="n">
        <x:f>--AND(S506=1,T506=1,U506=1,V506=1,W506=1,AE506=1)</x:f>
        <x:v>0</x:v>
      </x:c>
      <x:c r="AJ506" t="str">
        <x:f>IF(OR(AH506="",AI506=""),"",--(AH506&lt;&gt;AI506))</x:f>
      </x:c>
      <x:c r="AL506" t="str">
        <x:f>IF(OR(AH506="",AI506=""),"PENDING_HUMAN",IF(AH506=AI506,AH506,IF(AK506&lt;&gt;"",AK506,"PENDING_HUMAN")))</x:f>
        <x:v>PENDING_HUMAN</x:v>
      </x:c>
      <x:c r="AM506" t="n">
        <x:f>--AND(A506&lt;&gt;"",AH506&lt;&gt;"",AI506&lt;&gt;"",OR(AH506=AI506,AK506&lt;&gt;""))</x:f>
        <x:v>0</x:v>
      </x:c>
      <x:c r="AN506" t="n">
        <x:f>--AND(Y506&lt;&gt;"",COUNTIF($Y$4:Y506,Y506)=1)</x:f>
        <x:v>0</x:v>
      </x:c>
      <x:c r="AO506" t="n">
        <x:f>--AND(AN506=1,Z506=1,AM506=1)</x:f>
        <x:v>0</x:v>
      </x:c>
      <x:c r="AP506" t="n">
        <x:f>--AND(AO506=1,AA506=1,AL506=1)</x:f>
        <x:v>0</x:v>
      </x:c>
      <x:c r="AQ506" t="n">
        <x:f>--AND(AN506=1,Z506=1)</x:f>
        <x:v>0</x:v>
      </x:c>
      <x:c r="AR506" t="n">
        <x:f>--AND(AQ506=1,AA506=1)</x:f>
        <x:v>0</x:v>
      </x:c>
    </x:row>
    <x:row r="507">
      <x:c r="A507" s="28"/>
      <x:c r="B507" s="28"/>
      <x:c r="C507" s="28"/>
      <x:c r="D507" s="28"/>
      <x:c r="E507" s="28"/>
      <x:c r="F507" s="28"/>
      <x:c r="G507" s="28"/>
      <x:c r="H507" s="28"/>
      <x:c r="I507" s="28"/>
      <x:c r="J507" s="28"/>
      <x:c r="K507" s="28"/>
      <x:c r="L507" s="28"/>
      <x:c r="M507" s="28"/>
      <x:c r="N507" s="28"/>
      <x:c r="O507" s="28"/>
      <x:c r="P507" s="28"/>
      <x:c r="Q507" s="28"/>
      <x:c r="R507" s="28"/>
      <x:c r="S507" s="28"/>
      <x:c r="T507" s="28"/>
      <x:c r="U507" s="28"/>
      <x:c r="V507" s="28"/>
      <x:c r="W507" s="28"/>
      <x:c r="X507" s="43" t="n">
        <x:f>--AND(S507=1,T507=1,U507=1,V507=1,W507=1)</x:f>
        <x:v>0</x:v>
      </x:c>
      <x:c r="AE507" s="43" t="n">
        <x:f>--AND(S507=1,M507&lt;&gt;"",M507&lt;&gt;"keep")</x:f>
        <x:v>0</x:v>
      </x:c>
      <x:c r="AG507" t="n">
        <x:f>--AND(S507=1,T507=1,U507=1,V507=1,W507=1,AE507=1)</x:f>
        <x:v>0</x:v>
      </x:c>
      <x:c r="AJ507" t="str">
        <x:f>IF(OR(AH507="",AI507=""),"",--(AH507&lt;&gt;AI507))</x:f>
      </x:c>
      <x:c r="AL507" t="str">
        <x:f>IF(OR(AH507="",AI507=""),"PENDING_HUMAN",IF(AH507=AI507,AH507,IF(AK507&lt;&gt;"",AK507,"PENDING_HUMAN")))</x:f>
        <x:v>PENDING_HUMAN</x:v>
      </x:c>
      <x:c r="AM507" t="n">
        <x:f>--AND(A507&lt;&gt;"",AH507&lt;&gt;"",AI507&lt;&gt;"",OR(AH507=AI507,AK507&lt;&gt;""))</x:f>
        <x:v>0</x:v>
      </x:c>
      <x:c r="AN507" t="n">
        <x:f>--AND(Y507&lt;&gt;"",COUNTIF($Y$4:Y507,Y507)=1)</x:f>
        <x:v>0</x:v>
      </x:c>
      <x:c r="AO507" t="n">
        <x:f>--AND(AN507=1,Z507=1,AM507=1)</x:f>
        <x:v>0</x:v>
      </x:c>
      <x:c r="AP507" t="n">
        <x:f>--AND(AO507=1,AA507=1,AL507=1)</x:f>
        <x:v>0</x:v>
      </x:c>
      <x:c r="AQ507" t="n">
        <x:f>--AND(AN507=1,Z507=1)</x:f>
        <x:v>0</x:v>
      </x:c>
      <x:c r="AR507" t="n">
        <x:f>--AND(AQ507=1,AA507=1)</x:f>
        <x:v>0</x:v>
      </x:c>
    </x:row>
    <x:row r="508">
      <x:c r="A508" s="28"/>
      <x:c r="B508" s="28"/>
      <x:c r="C508" s="28"/>
      <x:c r="D508" s="28"/>
      <x:c r="E508" s="28"/>
      <x:c r="F508" s="28"/>
      <x:c r="G508" s="28"/>
      <x:c r="H508" s="28"/>
      <x:c r="I508" s="28"/>
      <x:c r="J508" s="28"/>
      <x:c r="K508" s="28"/>
      <x:c r="L508" s="28"/>
      <x:c r="M508" s="28"/>
      <x:c r="N508" s="28"/>
      <x:c r="O508" s="28"/>
      <x:c r="P508" s="28"/>
      <x:c r="Q508" s="28"/>
      <x:c r="R508" s="28"/>
      <x:c r="S508" s="28"/>
      <x:c r="T508" s="28"/>
      <x:c r="U508" s="28"/>
      <x:c r="V508" s="28"/>
      <x:c r="W508" s="28"/>
      <x:c r="X508" s="43" t="n">
        <x:f>--AND(S508=1,T508=1,U508=1,V508=1,W508=1)</x:f>
        <x:v>0</x:v>
      </x:c>
      <x:c r="AE508" s="43" t="n">
        <x:f>--AND(S508=1,M508&lt;&gt;"",M508&lt;&gt;"keep")</x:f>
        <x:v>0</x:v>
      </x:c>
      <x:c r="AG508" t="n">
        <x:f>--AND(S508=1,T508=1,U508=1,V508=1,W508=1,AE508=1)</x:f>
        <x:v>0</x:v>
      </x:c>
      <x:c r="AJ508" t="str">
        <x:f>IF(OR(AH508="",AI508=""),"",--(AH508&lt;&gt;AI508))</x:f>
      </x:c>
      <x:c r="AL508" t="str">
        <x:f>IF(OR(AH508="",AI508=""),"PENDING_HUMAN",IF(AH508=AI508,AH508,IF(AK508&lt;&gt;"",AK508,"PENDING_HUMAN")))</x:f>
        <x:v>PENDING_HUMAN</x:v>
      </x:c>
      <x:c r="AM508" t="n">
        <x:f>--AND(A508&lt;&gt;"",AH508&lt;&gt;"",AI508&lt;&gt;"",OR(AH508=AI508,AK508&lt;&gt;""))</x:f>
        <x:v>0</x:v>
      </x:c>
      <x:c r="AN508" t="n">
        <x:f>--AND(Y508&lt;&gt;"",COUNTIF($Y$4:Y508,Y508)=1)</x:f>
        <x:v>0</x:v>
      </x:c>
      <x:c r="AO508" t="n">
        <x:f>--AND(AN508=1,Z508=1,AM508=1)</x:f>
        <x:v>0</x:v>
      </x:c>
      <x:c r="AP508" t="n">
        <x:f>--AND(AO508=1,AA508=1,AL508=1)</x:f>
        <x:v>0</x:v>
      </x:c>
      <x:c r="AQ508" t="n">
        <x:f>--AND(AN508=1,Z508=1)</x:f>
        <x:v>0</x:v>
      </x:c>
      <x:c r="AR508" t="n">
        <x:f>--AND(AQ508=1,AA508=1)</x:f>
        <x:v>0</x:v>
      </x:c>
    </x:row>
    <x:row r="509">
      <x:c r="A509" s="28"/>
      <x:c r="B509" s="28"/>
      <x:c r="C509" s="28"/>
      <x:c r="D509" s="28"/>
      <x:c r="E509" s="28"/>
      <x:c r="F509" s="28"/>
      <x:c r="G509" s="28"/>
      <x:c r="H509" s="28"/>
      <x:c r="I509" s="28"/>
      <x:c r="J509" s="28"/>
      <x:c r="K509" s="28"/>
      <x:c r="L509" s="28"/>
      <x:c r="M509" s="28"/>
      <x:c r="N509" s="28"/>
      <x:c r="O509" s="28"/>
      <x:c r="P509" s="28"/>
      <x:c r="Q509" s="28"/>
      <x:c r="R509" s="28"/>
      <x:c r="S509" s="28"/>
      <x:c r="T509" s="28"/>
      <x:c r="U509" s="28"/>
      <x:c r="V509" s="28"/>
      <x:c r="W509" s="28"/>
      <x:c r="X509" s="43" t="n">
        <x:f>--AND(S509=1,T509=1,U509=1,V509=1,W509=1)</x:f>
        <x:v>0</x:v>
      </x:c>
      <x:c r="AE509" s="43" t="n">
        <x:f>--AND(S509=1,M509&lt;&gt;"",M509&lt;&gt;"keep")</x:f>
        <x:v>0</x:v>
      </x:c>
      <x:c r="AG509" t="n">
        <x:f>--AND(S509=1,T509=1,U509=1,V509=1,W509=1,AE509=1)</x:f>
        <x:v>0</x:v>
      </x:c>
      <x:c r="AJ509" t="str">
        <x:f>IF(OR(AH509="",AI509=""),"",--(AH509&lt;&gt;AI509))</x:f>
      </x:c>
      <x:c r="AL509" t="str">
        <x:f>IF(OR(AH509="",AI509=""),"PENDING_HUMAN",IF(AH509=AI509,AH509,IF(AK509&lt;&gt;"",AK509,"PENDING_HUMAN")))</x:f>
        <x:v>PENDING_HUMAN</x:v>
      </x:c>
      <x:c r="AM509" t="n">
        <x:f>--AND(A509&lt;&gt;"",AH509&lt;&gt;"",AI509&lt;&gt;"",OR(AH509=AI509,AK509&lt;&gt;""))</x:f>
        <x:v>0</x:v>
      </x:c>
      <x:c r="AN509" t="n">
        <x:f>--AND(Y509&lt;&gt;"",COUNTIF($Y$4:Y509,Y509)=1)</x:f>
        <x:v>0</x:v>
      </x:c>
      <x:c r="AO509" t="n">
        <x:f>--AND(AN509=1,Z509=1,AM509=1)</x:f>
        <x:v>0</x:v>
      </x:c>
      <x:c r="AP509" t="n">
        <x:f>--AND(AO509=1,AA509=1,AL509=1)</x:f>
        <x:v>0</x:v>
      </x:c>
      <x:c r="AQ509" t="n">
        <x:f>--AND(AN509=1,Z509=1)</x:f>
        <x:v>0</x:v>
      </x:c>
      <x:c r="AR509" t="n">
        <x:f>--AND(AQ509=1,AA509=1)</x:f>
        <x:v>0</x:v>
      </x:c>
    </x:row>
    <x:row r="510">
      <x:c r="A510" s="28"/>
      <x:c r="B510" s="28"/>
      <x:c r="C510" s="28"/>
      <x:c r="D510" s="28"/>
      <x:c r="E510" s="28"/>
      <x:c r="F510" s="28"/>
      <x:c r="G510" s="28"/>
      <x:c r="H510" s="28"/>
      <x:c r="I510" s="28"/>
      <x:c r="J510" s="28"/>
      <x:c r="K510" s="28"/>
      <x:c r="L510" s="28"/>
      <x:c r="M510" s="28"/>
      <x:c r="N510" s="28"/>
      <x:c r="O510" s="28"/>
      <x:c r="P510" s="28"/>
      <x:c r="Q510" s="28"/>
      <x:c r="R510" s="28"/>
      <x:c r="S510" s="28"/>
      <x:c r="T510" s="28"/>
      <x:c r="U510" s="28"/>
      <x:c r="V510" s="28"/>
      <x:c r="W510" s="28"/>
      <x:c r="X510" s="43" t="n">
        <x:f>--AND(S510=1,T510=1,U510=1,V510=1,W510=1)</x:f>
        <x:v>0</x:v>
      </x:c>
      <x:c r="AE510" s="43" t="n">
        <x:f>--AND(S510=1,M510&lt;&gt;"",M510&lt;&gt;"keep")</x:f>
        <x:v>0</x:v>
      </x:c>
      <x:c r="AG510" t="n">
        <x:f>--AND(S510=1,T510=1,U510=1,V510=1,W510=1,AE510=1)</x:f>
        <x:v>0</x:v>
      </x:c>
      <x:c r="AJ510" t="str">
        <x:f>IF(OR(AH510="",AI510=""),"",--(AH510&lt;&gt;AI510))</x:f>
      </x:c>
      <x:c r="AL510" t="str">
        <x:f>IF(OR(AH510="",AI510=""),"PENDING_HUMAN",IF(AH510=AI510,AH510,IF(AK510&lt;&gt;"",AK510,"PENDING_HUMAN")))</x:f>
        <x:v>PENDING_HUMAN</x:v>
      </x:c>
      <x:c r="AM510" t="n">
        <x:f>--AND(A510&lt;&gt;"",AH510&lt;&gt;"",AI510&lt;&gt;"",OR(AH510=AI510,AK510&lt;&gt;""))</x:f>
        <x:v>0</x:v>
      </x:c>
      <x:c r="AN510" t="n">
        <x:f>--AND(Y510&lt;&gt;"",COUNTIF($Y$4:Y510,Y510)=1)</x:f>
        <x:v>0</x:v>
      </x:c>
      <x:c r="AO510" t="n">
        <x:f>--AND(AN510=1,Z510=1,AM510=1)</x:f>
        <x:v>0</x:v>
      </x:c>
      <x:c r="AP510" t="n">
        <x:f>--AND(AO510=1,AA510=1,AL510=1)</x:f>
        <x:v>0</x:v>
      </x:c>
      <x:c r="AQ510" t="n">
        <x:f>--AND(AN510=1,Z510=1)</x:f>
        <x:v>0</x:v>
      </x:c>
      <x:c r="AR510" t="n">
        <x:f>--AND(AQ510=1,AA510=1)</x:f>
        <x:v>0</x:v>
      </x:c>
    </x:row>
    <x:row r="511">
      <x:c r="A511" s="28"/>
      <x:c r="B511" s="28"/>
      <x:c r="C511" s="28"/>
      <x:c r="D511" s="28"/>
      <x:c r="E511" s="28"/>
      <x:c r="F511" s="28"/>
      <x:c r="G511" s="28"/>
      <x:c r="H511" s="28"/>
      <x:c r="I511" s="28"/>
      <x:c r="J511" s="28"/>
      <x:c r="K511" s="28"/>
      <x:c r="L511" s="28"/>
      <x:c r="M511" s="28"/>
      <x:c r="N511" s="28"/>
      <x:c r="O511" s="28"/>
      <x:c r="P511" s="28"/>
      <x:c r="Q511" s="28"/>
      <x:c r="R511" s="28"/>
      <x:c r="S511" s="28"/>
      <x:c r="T511" s="28"/>
      <x:c r="U511" s="28"/>
      <x:c r="V511" s="28"/>
      <x:c r="W511" s="28"/>
      <x:c r="X511" s="43" t="n">
        <x:f>--AND(S511=1,T511=1,U511=1,V511=1,W511=1)</x:f>
        <x:v>0</x:v>
      </x:c>
      <x:c r="AE511" s="43" t="n">
        <x:f>--AND(S511=1,M511&lt;&gt;"",M511&lt;&gt;"keep")</x:f>
        <x:v>0</x:v>
      </x:c>
      <x:c r="AG511" t="n">
        <x:f>--AND(S511=1,T511=1,U511=1,V511=1,W511=1,AE511=1)</x:f>
        <x:v>0</x:v>
      </x:c>
      <x:c r="AJ511" t="str">
        <x:f>IF(OR(AH511="",AI511=""),"",--(AH511&lt;&gt;AI511))</x:f>
      </x:c>
      <x:c r="AL511" t="str">
        <x:f>IF(OR(AH511="",AI511=""),"PENDING_HUMAN",IF(AH511=AI511,AH511,IF(AK511&lt;&gt;"",AK511,"PENDING_HUMAN")))</x:f>
        <x:v>PENDING_HUMAN</x:v>
      </x:c>
      <x:c r="AM511" t="n">
        <x:f>--AND(A511&lt;&gt;"",AH511&lt;&gt;"",AI511&lt;&gt;"",OR(AH511=AI511,AK511&lt;&gt;""))</x:f>
        <x:v>0</x:v>
      </x:c>
      <x:c r="AN511" t="n">
        <x:f>--AND(Y511&lt;&gt;"",COUNTIF($Y$4:Y511,Y511)=1)</x:f>
        <x:v>0</x:v>
      </x:c>
      <x:c r="AO511" t="n">
        <x:f>--AND(AN511=1,Z511=1,AM511=1)</x:f>
        <x:v>0</x:v>
      </x:c>
      <x:c r="AP511" t="n">
        <x:f>--AND(AO511=1,AA511=1,AL511=1)</x:f>
        <x:v>0</x:v>
      </x:c>
      <x:c r="AQ511" t="n">
        <x:f>--AND(AN511=1,Z511=1)</x:f>
        <x:v>0</x:v>
      </x:c>
      <x:c r="AR511" t="n">
        <x:f>--AND(AQ511=1,AA511=1)</x:f>
        <x:v>0</x:v>
      </x:c>
    </x:row>
    <x:row r="512">
      <x:c r="A512" s="28"/>
      <x:c r="B512" s="28"/>
      <x:c r="C512" s="28"/>
      <x:c r="D512" s="28"/>
      <x:c r="E512" s="28"/>
      <x:c r="F512" s="28"/>
      <x:c r="G512" s="28"/>
      <x:c r="H512" s="28"/>
      <x:c r="I512" s="28"/>
      <x:c r="J512" s="28"/>
      <x:c r="K512" s="28"/>
      <x:c r="L512" s="28"/>
      <x:c r="M512" s="28"/>
      <x:c r="N512" s="28"/>
      <x:c r="O512" s="28"/>
      <x:c r="P512" s="28"/>
      <x:c r="Q512" s="28"/>
      <x:c r="R512" s="28"/>
      <x:c r="S512" s="28"/>
      <x:c r="T512" s="28"/>
      <x:c r="U512" s="28"/>
      <x:c r="V512" s="28"/>
      <x:c r="W512" s="28"/>
      <x:c r="X512" s="43" t="n">
        <x:f>--AND(S512=1,T512=1,U512=1,V512=1,W512=1)</x:f>
        <x:v>0</x:v>
      </x:c>
      <x:c r="AE512" s="43" t="n">
        <x:f>--AND(S512=1,M512&lt;&gt;"",M512&lt;&gt;"keep")</x:f>
        <x:v>0</x:v>
      </x:c>
      <x:c r="AG512" t="n">
        <x:f>--AND(S512=1,T512=1,U512=1,V512=1,W512=1,AE512=1)</x:f>
        <x:v>0</x:v>
      </x:c>
      <x:c r="AJ512" t="str">
        <x:f>IF(OR(AH512="",AI512=""),"",--(AH512&lt;&gt;AI512))</x:f>
      </x:c>
      <x:c r="AL512" t="str">
        <x:f>IF(OR(AH512="",AI512=""),"PENDING_HUMAN",IF(AH512=AI512,AH512,IF(AK512&lt;&gt;"",AK512,"PENDING_HUMAN")))</x:f>
        <x:v>PENDING_HUMAN</x:v>
      </x:c>
      <x:c r="AM512" t="n">
        <x:f>--AND(A512&lt;&gt;"",AH512&lt;&gt;"",AI512&lt;&gt;"",OR(AH512=AI512,AK512&lt;&gt;""))</x:f>
        <x:v>0</x:v>
      </x:c>
      <x:c r="AN512" t="n">
        <x:f>--AND(Y512&lt;&gt;"",COUNTIF($Y$4:Y512,Y512)=1)</x:f>
        <x:v>0</x:v>
      </x:c>
      <x:c r="AO512" t="n">
        <x:f>--AND(AN512=1,Z512=1,AM512=1)</x:f>
        <x:v>0</x:v>
      </x:c>
      <x:c r="AP512" t="n">
        <x:f>--AND(AO512=1,AA512=1,AL512=1)</x:f>
        <x:v>0</x:v>
      </x:c>
      <x:c r="AQ512" t="n">
        <x:f>--AND(AN512=1,Z512=1)</x:f>
        <x:v>0</x:v>
      </x:c>
      <x:c r="AR512" t="n">
        <x:f>--AND(AQ512=1,AA512=1)</x:f>
        <x:v>0</x:v>
      </x:c>
    </x:row>
    <x:row r="513">
      <x:c r="A513" s="28"/>
      <x:c r="B513" s="28"/>
      <x:c r="C513" s="28"/>
      <x:c r="D513" s="28"/>
      <x:c r="E513" s="28"/>
      <x:c r="F513" s="28"/>
      <x:c r="G513" s="28"/>
      <x:c r="H513" s="28"/>
      <x:c r="I513" s="28"/>
      <x:c r="J513" s="28"/>
      <x:c r="K513" s="28"/>
      <x:c r="L513" s="28"/>
      <x:c r="M513" s="28"/>
      <x:c r="N513" s="28"/>
      <x:c r="O513" s="28"/>
      <x:c r="P513" s="28"/>
      <x:c r="Q513" s="28"/>
      <x:c r="R513" s="28"/>
      <x:c r="S513" s="28"/>
      <x:c r="T513" s="28"/>
      <x:c r="U513" s="28"/>
      <x:c r="V513" s="28"/>
      <x:c r="W513" s="28"/>
      <x:c r="X513" s="43" t="n">
        <x:f>--AND(S513=1,T513=1,U513=1,V513=1,W513=1)</x:f>
        <x:v>0</x:v>
      </x:c>
      <x:c r="AE513" s="43" t="n">
        <x:f>--AND(S513=1,M513&lt;&gt;"",M513&lt;&gt;"keep")</x:f>
        <x:v>0</x:v>
      </x:c>
      <x:c r="AG513" t="n">
        <x:f>--AND(S513=1,T513=1,U513=1,V513=1,W513=1,AE513=1)</x:f>
        <x:v>0</x:v>
      </x:c>
      <x:c r="AJ513" t="str">
        <x:f>IF(OR(AH513="",AI513=""),"",--(AH513&lt;&gt;AI513))</x:f>
      </x:c>
      <x:c r="AL513" t="str">
        <x:f>IF(OR(AH513="",AI513=""),"PENDING_HUMAN",IF(AH513=AI513,AH513,IF(AK513&lt;&gt;"",AK513,"PENDING_HUMAN")))</x:f>
        <x:v>PENDING_HUMAN</x:v>
      </x:c>
      <x:c r="AM513" t="n">
        <x:f>--AND(A513&lt;&gt;"",AH513&lt;&gt;"",AI513&lt;&gt;"",OR(AH513=AI513,AK513&lt;&gt;""))</x:f>
        <x:v>0</x:v>
      </x:c>
      <x:c r="AN513" t="n">
        <x:f>--AND(Y513&lt;&gt;"",COUNTIF($Y$4:Y513,Y513)=1)</x:f>
        <x:v>0</x:v>
      </x:c>
      <x:c r="AO513" t="n">
        <x:f>--AND(AN513=1,Z513=1,AM513=1)</x:f>
        <x:v>0</x:v>
      </x:c>
      <x:c r="AP513" t="n">
        <x:f>--AND(AO513=1,AA513=1,AL513=1)</x:f>
        <x:v>0</x:v>
      </x:c>
      <x:c r="AQ513" t="n">
        <x:f>--AND(AN513=1,Z513=1)</x:f>
        <x:v>0</x:v>
      </x:c>
      <x:c r="AR513" t="n">
        <x:f>--AND(AQ513=1,AA513=1)</x:f>
        <x:v>0</x:v>
      </x:c>
    </x:row>
    <x:row r="514">
      <x:c r="A514" s="28"/>
      <x:c r="B514" s="28"/>
      <x:c r="C514" s="28"/>
      <x:c r="D514" s="28"/>
      <x:c r="E514" s="28"/>
      <x:c r="F514" s="28"/>
      <x:c r="G514" s="28"/>
      <x:c r="H514" s="28"/>
      <x:c r="I514" s="28"/>
      <x:c r="J514" s="28"/>
      <x:c r="K514" s="28"/>
      <x:c r="L514" s="28"/>
      <x:c r="M514" s="28"/>
      <x:c r="N514" s="28"/>
      <x:c r="O514" s="28"/>
      <x:c r="P514" s="28"/>
      <x:c r="Q514" s="28"/>
      <x:c r="R514" s="28"/>
      <x:c r="S514" s="28"/>
      <x:c r="T514" s="28"/>
      <x:c r="U514" s="28"/>
      <x:c r="V514" s="28"/>
      <x:c r="W514" s="28"/>
      <x:c r="X514" s="43" t="n">
        <x:f>--AND(S514=1,T514=1,U514=1,V514=1,W514=1)</x:f>
        <x:v>0</x:v>
      </x:c>
      <x:c r="AE514" s="43" t="n">
        <x:f>--AND(S514=1,M514&lt;&gt;"",M514&lt;&gt;"keep")</x:f>
        <x:v>0</x:v>
      </x:c>
      <x:c r="AG514" t="n">
        <x:f>--AND(S514=1,T514=1,U514=1,V514=1,W514=1,AE514=1)</x:f>
        <x:v>0</x:v>
      </x:c>
      <x:c r="AJ514" t="str">
        <x:f>IF(OR(AH514="",AI514=""),"",--(AH514&lt;&gt;AI514))</x:f>
      </x:c>
      <x:c r="AL514" t="str">
        <x:f>IF(OR(AH514="",AI514=""),"PENDING_HUMAN",IF(AH514=AI514,AH514,IF(AK514&lt;&gt;"",AK514,"PENDING_HUMAN")))</x:f>
        <x:v>PENDING_HUMAN</x:v>
      </x:c>
      <x:c r="AM514" t="n">
        <x:f>--AND(A514&lt;&gt;"",AH514&lt;&gt;"",AI514&lt;&gt;"",OR(AH514=AI514,AK514&lt;&gt;""))</x:f>
        <x:v>0</x:v>
      </x:c>
      <x:c r="AN514" t="n">
        <x:f>--AND(Y514&lt;&gt;"",COUNTIF($Y$4:Y514,Y514)=1)</x:f>
        <x:v>0</x:v>
      </x:c>
      <x:c r="AO514" t="n">
        <x:f>--AND(AN514=1,Z514=1,AM514=1)</x:f>
        <x:v>0</x:v>
      </x:c>
      <x:c r="AP514" t="n">
        <x:f>--AND(AO514=1,AA514=1,AL514=1)</x:f>
        <x:v>0</x:v>
      </x:c>
      <x:c r="AQ514" t="n">
        <x:f>--AND(AN514=1,Z514=1)</x:f>
        <x:v>0</x:v>
      </x:c>
      <x:c r="AR514" t="n">
        <x:f>--AND(AQ514=1,AA514=1)</x:f>
        <x:v>0</x:v>
      </x:c>
    </x:row>
    <x:row r="515">
      <x:c r="A515" s="28"/>
      <x:c r="B515" s="28"/>
      <x:c r="C515" s="28"/>
      <x:c r="D515" s="28"/>
      <x:c r="E515" s="28"/>
      <x:c r="F515" s="28"/>
      <x:c r="G515" s="28"/>
      <x:c r="H515" s="28"/>
      <x:c r="I515" s="28"/>
      <x:c r="J515" s="28"/>
      <x:c r="K515" s="28"/>
      <x:c r="L515" s="28"/>
      <x:c r="M515" s="28"/>
      <x:c r="N515" s="28"/>
      <x:c r="O515" s="28"/>
      <x:c r="P515" s="28"/>
      <x:c r="Q515" s="28"/>
      <x:c r="R515" s="28"/>
      <x:c r="S515" s="28"/>
      <x:c r="T515" s="28"/>
      <x:c r="U515" s="28"/>
      <x:c r="V515" s="28"/>
      <x:c r="W515" s="28"/>
      <x:c r="X515" s="43" t="n">
        <x:f>--AND(S515=1,T515=1,U515=1,V515=1,W515=1)</x:f>
        <x:v>0</x:v>
      </x:c>
      <x:c r="AE515" s="43" t="n">
        <x:f>--AND(S515=1,M515&lt;&gt;"",M515&lt;&gt;"keep")</x:f>
        <x:v>0</x:v>
      </x:c>
      <x:c r="AG515" t="n">
        <x:f>--AND(S515=1,T515=1,U515=1,V515=1,W515=1,AE515=1)</x:f>
        <x:v>0</x:v>
      </x:c>
      <x:c r="AJ515" t="str">
        <x:f>IF(OR(AH515="",AI515=""),"",--(AH515&lt;&gt;AI515))</x:f>
      </x:c>
      <x:c r="AL515" t="str">
        <x:f>IF(OR(AH515="",AI515=""),"PENDING_HUMAN",IF(AH515=AI515,AH515,IF(AK515&lt;&gt;"",AK515,"PENDING_HUMAN")))</x:f>
        <x:v>PENDING_HUMAN</x:v>
      </x:c>
      <x:c r="AM515" t="n">
        <x:f>--AND(A515&lt;&gt;"",AH515&lt;&gt;"",AI515&lt;&gt;"",OR(AH515=AI515,AK515&lt;&gt;""))</x:f>
        <x:v>0</x:v>
      </x:c>
      <x:c r="AN515" t="n">
        <x:f>--AND(Y515&lt;&gt;"",COUNTIF($Y$4:Y515,Y515)=1)</x:f>
        <x:v>0</x:v>
      </x:c>
      <x:c r="AO515" t="n">
        <x:f>--AND(AN515=1,Z515=1,AM515=1)</x:f>
        <x:v>0</x:v>
      </x:c>
      <x:c r="AP515" t="n">
        <x:f>--AND(AO515=1,AA515=1,AL515=1)</x:f>
        <x:v>0</x:v>
      </x:c>
      <x:c r="AQ515" t="n">
        <x:f>--AND(AN515=1,Z515=1)</x:f>
        <x:v>0</x:v>
      </x:c>
      <x:c r="AR515" t="n">
        <x:f>--AND(AQ515=1,AA515=1)</x:f>
        <x:v>0</x:v>
      </x:c>
    </x:row>
    <x:row r="516">
      <x:c r="A516" s="28"/>
      <x:c r="B516" s="28"/>
      <x:c r="C516" s="28"/>
      <x:c r="D516" s="28"/>
      <x:c r="E516" s="28"/>
      <x:c r="F516" s="28"/>
      <x:c r="G516" s="28"/>
      <x:c r="H516" s="28"/>
      <x:c r="I516" s="28"/>
      <x:c r="J516" s="28"/>
      <x:c r="K516" s="28"/>
      <x:c r="L516" s="28"/>
      <x:c r="M516" s="28"/>
      <x:c r="N516" s="28"/>
      <x:c r="O516" s="28"/>
      <x:c r="P516" s="28"/>
      <x:c r="Q516" s="28"/>
      <x:c r="R516" s="28"/>
      <x:c r="S516" s="28"/>
      <x:c r="T516" s="28"/>
      <x:c r="U516" s="28"/>
      <x:c r="V516" s="28"/>
      <x:c r="W516" s="28"/>
      <x:c r="X516" s="43" t="n">
        <x:f>--AND(S516=1,T516=1,U516=1,V516=1,W516=1)</x:f>
        <x:v>0</x:v>
      </x:c>
      <x:c r="AE516" s="43" t="n">
        <x:f>--AND(S516=1,M516&lt;&gt;"",M516&lt;&gt;"keep")</x:f>
        <x:v>0</x:v>
      </x:c>
      <x:c r="AG516" t="n">
        <x:f>--AND(S516=1,T516=1,U516=1,V516=1,W516=1,AE516=1)</x:f>
        <x:v>0</x:v>
      </x:c>
      <x:c r="AJ516" t="str">
        <x:f>IF(OR(AH516="",AI516=""),"",--(AH516&lt;&gt;AI516))</x:f>
      </x:c>
      <x:c r="AL516" t="str">
        <x:f>IF(OR(AH516="",AI516=""),"PENDING_HUMAN",IF(AH516=AI516,AH516,IF(AK516&lt;&gt;"",AK516,"PENDING_HUMAN")))</x:f>
        <x:v>PENDING_HUMAN</x:v>
      </x:c>
      <x:c r="AM516" t="n">
        <x:f>--AND(A516&lt;&gt;"",AH516&lt;&gt;"",AI516&lt;&gt;"",OR(AH516=AI516,AK516&lt;&gt;""))</x:f>
        <x:v>0</x:v>
      </x:c>
      <x:c r="AN516" t="n">
        <x:f>--AND(Y516&lt;&gt;"",COUNTIF($Y$4:Y516,Y516)=1)</x:f>
        <x:v>0</x:v>
      </x:c>
      <x:c r="AO516" t="n">
        <x:f>--AND(AN516=1,Z516=1,AM516=1)</x:f>
        <x:v>0</x:v>
      </x:c>
      <x:c r="AP516" t="n">
        <x:f>--AND(AO516=1,AA516=1,AL516=1)</x:f>
        <x:v>0</x:v>
      </x:c>
      <x:c r="AQ516" t="n">
        <x:f>--AND(AN516=1,Z516=1)</x:f>
        <x:v>0</x:v>
      </x:c>
      <x:c r="AR516" t="n">
        <x:f>--AND(AQ516=1,AA516=1)</x:f>
        <x:v>0</x:v>
      </x:c>
    </x:row>
    <x:row r="517">
      <x:c r="A517" s="28"/>
      <x:c r="B517" s="28"/>
      <x:c r="C517" s="28"/>
      <x:c r="D517" s="28"/>
      <x:c r="E517" s="28"/>
      <x:c r="F517" s="28"/>
      <x:c r="G517" s="28"/>
      <x:c r="H517" s="28"/>
      <x:c r="I517" s="28"/>
      <x:c r="J517" s="28"/>
      <x:c r="K517" s="28"/>
      <x:c r="L517" s="28"/>
      <x:c r="M517" s="28"/>
      <x:c r="N517" s="28"/>
      <x:c r="O517" s="28"/>
      <x:c r="P517" s="28"/>
      <x:c r="Q517" s="28"/>
      <x:c r="R517" s="28"/>
      <x:c r="S517" s="28"/>
      <x:c r="T517" s="28"/>
      <x:c r="U517" s="28"/>
      <x:c r="V517" s="28"/>
      <x:c r="W517" s="28"/>
      <x:c r="X517" s="43" t="n">
        <x:f>--AND(S517=1,T517=1,U517=1,V517=1,W517=1)</x:f>
        <x:v>0</x:v>
      </x:c>
      <x:c r="AE517" s="43" t="n">
        <x:f>--AND(S517=1,M517&lt;&gt;"",M517&lt;&gt;"keep")</x:f>
        <x:v>0</x:v>
      </x:c>
      <x:c r="AG517" t="n">
        <x:f>--AND(S517=1,T517=1,U517=1,V517=1,W517=1,AE517=1)</x:f>
        <x:v>0</x:v>
      </x:c>
      <x:c r="AJ517" t="str">
        <x:f>IF(OR(AH517="",AI517=""),"",--(AH517&lt;&gt;AI517))</x:f>
      </x:c>
      <x:c r="AL517" t="str">
        <x:f>IF(OR(AH517="",AI517=""),"PENDING_HUMAN",IF(AH517=AI517,AH517,IF(AK517&lt;&gt;"",AK517,"PENDING_HUMAN")))</x:f>
        <x:v>PENDING_HUMAN</x:v>
      </x:c>
      <x:c r="AM517" t="n">
        <x:f>--AND(A517&lt;&gt;"",AH517&lt;&gt;"",AI517&lt;&gt;"",OR(AH517=AI517,AK517&lt;&gt;""))</x:f>
        <x:v>0</x:v>
      </x:c>
      <x:c r="AN517" t="n">
        <x:f>--AND(Y517&lt;&gt;"",COUNTIF($Y$4:Y517,Y517)=1)</x:f>
        <x:v>0</x:v>
      </x:c>
      <x:c r="AO517" t="n">
        <x:f>--AND(AN517=1,Z517=1,AM517=1)</x:f>
        <x:v>0</x:v>
      </x:c>
      <x:c r="AP517" t="n">
        <x:f>--AND(AO517=1,AA517=1,AL517=1)</x:f>
        <x:v>0</x:v>
      </x:c>
      <x:c r="AQ517" t="n">
        <x:f>--AND(AN517=1,Z517=1)</x:f>
        <x:v>0</x:v>
      </x:c>
      <x:c r="AR517" t="n">
        <x:f>--AND(AQ517=1,AA517=1)</x:f>
        <x:v>0</x:v>
      </x:c>
    </x:row>
    <x:row r="518">
      <x:c r="A518" s="28"/>
      <x:c r="B518" s="28"/>
      <x:c r="C518" s="28"/>
      <x:c r="D518" s="28"/>
      <x:c r="E518" s="28"/>
      <x:c r="F518" s="28"/>
      <x:c r="G518" s="28"/>
      <x:c r="H518" s="28"/>
      <x:c r="I518" s="28"/>
      <x:c r="J518" s="28"/>
      <x:c r="K518" s="28"/>
      <x:c r="L518" s="28"/>
      <x:c r="M518" s="28"/>
      <x:c r="N518" s="28"/>
      <x:c r="O518" s="28"/>
      <x:c r="P518" s="28"/>
      <x:c r="Q518" s="28"/>
      <x:c r="R518" s="28"/>
      <x:c r="S518" s="28"/>
      <x:c r="T518" s="28"/>
      <x:c r="U518" s="28"/>
      <x:c r="V518" s="28"/>
      <x:c r="W518" s="28"/>
      <x:c r="X518" s="43" t="n">
        <x:f>--AND(S518=1,T518=1,U518=1,V518=1,W518=1)</x:f>
        <x:v>0</x:v>
      </x:c>
      <x:c r="AE518" s="43" t="n">
        <x:f>--AND(S518=1,M518&lt;&gt;"",M518&lt;&gt;"keep")</x:f>
        <x:v>0</x:v>
      </x:c>
      <x:c r="AG518" t="n">
        <x:f>--AND(S518=1,T518=1,U518=1,V518=1,W518=1,AE518=1)</x:f>
        <x:v>0</x:v>
      </x:c>
      <x:c r="AJ518" t="str">
        <x:f>IF(OR(AH518="",AI518=""),"",--(AH518&lt;&gt;AI518))</x:f>
      </x:c>
      <x:c r="AL518" t="str">
        <x:f>IF(OR(AH518="",AI518=""),"PENDING_HUMAN",IF(AH518=AI518,AH518,IF(AK518&lt;&gt;"",AK518,"PENDING_HUMAN")))</x:f>
        <x:v>PENDING_HUMAN</x:v>
      </x:c>
      <x:c r="AM518" t="n">
        <x:f>--AND(A518&lt;&gt;"",AH518&lt;&gt;"",AI518&lt;&gt;"",OR(AH518=AI518,AK518&lt;&gt;""))</x:f>
        <x:v>0</x:v>
      </x:c>
      <x:c r="AN518" t="n">
        <x:f>--AND(Y518&lt;&gt;"",COUNTIF($Y$4:Y518,Y518)=1)</x:f>
        <x:v>0</x:v>
      </x:c>
      <x:c r="AO518" t="n">
        <x:f>--AND(AN518=1,Z518=1,AM518=1)</x:f>
        <x:v>0</x:v>
      </x:c>
      <x:c r="AP518" t="n">
        <x:f>--AND(AO518=1,AA518=1,AL518=1)</x:f>
        <x:v>0</x:v>
      </x:c>
      <x:c r="AQ518" t="n">
        <x:f>--AND(AN518=1,Z518=1)</x:f>
        <x:v>0</x:v>
      </x:c>
      <x:c r="AR518" t="n">
        <x:f>--AND(AQ518=1,AA518=1)</x:f>
        <x:v>0</x:v>
      </x:c>
    </x:row>
    <x:row r="519">
      <x:c r="A519" s="28"/>
      <x:c r="B519" s="28"/>
      <x:c r="C519" s="28"/>
      <x:c r="D519" s="28"/>
      <x:c r="E519" s="28"/>
      <x:c r="F519" s="28"/>
      <x:c r="G519" s="28"/>
      <x:c r="H519" s="28"/>
      <x:c r="I519" s="28"/>
      <x:c r="J519" s="28"/>
      <x:c r="K519" s="28"/>
      <x:c r="L519" s="28"/>
      <x:c r="M519" s="28"/>
      <x:c r="N519" s="28"/>
      <x:c r="O519" s="28"/>
      <x:c r="P519" s="28"/>
      <x:c r="Q519" s="28"/>
      <x:c r="R519" s="28"/>
      <x:c r="S519" s="28"/>
      <x:c r="T519" s="28"/>
      <x:c r="U519" s="28"/>
      <x:c r="V519" s="28"/>
      <x:c r="W519" s="28"/>
      <x:c r="X519" s="43" t="n">
        <x:f>--AND(S519=1,T519=1,U519=1,V519=1,W519=1)</x:f>
        <x:v>0</x:v>
      </x:c>
      <x:c r="AE519" s="43" t="n">
        <x:f>--AND(S519=1,M519&lt;&gt;"",M519&lt;&gt;"keep")</x:f>
        <x:v>0</x:v>
      </x:c>
      <x:c r="AG519" t="n">
        <x:f>--AND(S519=1,T519=1,U519=1,V519=1,W519=1,AE519=1)</x:f>
        <x:v>0</x:v>
      </x:c>
      <x:c r="AJ519" t="str">
        <x:f>IF(OR(AH519="",AI519=""),"",--(AH519&lt;&gt;AI519))</x:f>
      </x:c>
      <x:c r="AL519" t="str">
        <x:f>IF(OR(AH519="",AI519=""),"PENDING_HUMAN",IF(AH519=AI519,AH519,IF(AK519&lt;&gt;"",AK519,"PENDING_HUMAN")))</x:f>
        <x:v>PENDING_HUMAN</x:v>
      </x:c>
      <x:c r="AM519" t="n">
        <x:f>--AND(A519&lt;&gt;"",AH519&lt;&gt;"",AI519&lt;&gt;"",OR(AH519=AI519,AK519&lt;&gt;""))</x:f>
        <x:v>0</x:v>
      </x:c>
      <x:c r="AN519" t="n">
        <x:f>--AND(Y519&lt;&gt;"",COUNTIF($Y$4:Y519,Y519)=1)</x:f>
        <x:v>0</x:v>
      </x:c>
      <x:c r="AO519" t="n">
        <x:f>--AND(AN519=1,Z519=1,AM519=1)</x:f>
        <x:v>0</x:v>
      </x:c>
      <x:c r="AP519" t="n">
        <x:f>--AND(AO519=1,AA519=1,AL519=1)</x:f>
        <x:v>0</x:v>
      </x:c>
      <x:c r="AQ519" t="n">
        <x:f>--AND(AN519=1,Z519=1)</x:f>
        <x:v>0</x:v>
      </x:c>
      <x:c r="AR519" t="n">
        <x:f>--AND(AQ519=1,AA519=1)</x:f>
        <x:v>0</x:v>
      </x:c>
    </x:row>
    <x:row r="520">
      <x:c r="A520" s="28"/>
      <x:c r="B520" s="28"/>
      <x:c r="C520" s="28"/>
      <x:c r="D520" s="28"/>
      <x:c r="E520" s="28"/>
      <x:c r="F520" s="28"/>
      <x:c r="G520" s="28"/>
      <x:c r="H520" s="28"/>
      <x:c r="I520" s="28"/>
      <x:c r="J520" s="28"/>
      <x:c r="K520" s="28"/>
      <x:c r="L520" s="28"/>
      <x:c r="M520" s="28"/>
      <x:c r="N520" s="28"/>
      <x:c r="O520" s="28"/>
      <x:c r="P520" s="28"/>
      <x:c r="Q520" s="28"/>
      <x:c r="R520" s="28"/>
      <x:c r="S520" s="28"/>
      <x:c r="T520" s="28"/>
      <x:c r="U520" s="28"/>
      <x:c r="V520" s="28"/>
      <x:c r="W520" s="28"/>
      <x:c r="X520" s="43" t="n">
        <x:f>--AND(S520=1,T520=1,U520=1,V520=1,W520=1)</x:f>
        <x:v>0</x:v>
      </x:c>
      <x:c r="AE520" s="43" t="n">
        <x:f>--AND(S520=1,M520&lt;&gt;"",M520&lt;&gt;"keep")</x:f>
        <x:v>0</x:v>
      </x:c>
      <x:c r="AG520" t="n">
        <x:f>--AND(S520=1,T520=1,U520=1,V520=1,W520=1,AE520=1)</x:f>
        <x:v>0</x:v>
      </x:c>
      <x:c r="AJ520" t="str">
        <x:f>IF(OR(AH520="",AI520=""),"",--(AH520&lt;&gt;AI520))</x:f>
      </x:c>
      <x:c r="AL520" t="str">
        <x:f>IF(OR(AH520="",AI520=""),"PENDING_HUMAN",IF(AH520=AI520,AH520,IF(AK520&lt;&gt;"",AK520,"PENDING_HUMAN")))</x:f>
        <x:v>PENDING_HUMAN</x:v>
      </x:c>
      <x:c r="AM520" t="n">
        <x:f>--AND(A520&lt;&gt;"",AH520&lt;&gt;"",AI520&lt;&gt;"",OR(AH520=AI520,AK520&lt;&gt;""))</x:f>
        <x:v>0</x:v>
      </x:c>
      <x:c r="AN520" t="n">
        <x:f>--AND(Y520&lt;&gt;"",COUNTIF($Y$4:Y520,Y520)=1)</x:f>
        <x:v>0</x:v>
      </x:c>
      <x:c r="AO520" t="n">
        <x:f>--AND(AN520=1,Z520=1,AM520=1)</x:f>
        <x:v>0</x:v>
      </x:c>
      <x:c r="AP520" t="n">
        <x:f>--AND(AO520=1,AA520=1,AL520=1)</x:f>
        <x:v>0</x:v>
      </x:c>
      <x:c r="AQ520" t="n">
        <x:f>--AND(AN520=1,Z520=1)</x:f>
        <x:v>0</x:v>
      </x:c>
      <x:c r="AR520" t="n">
        <x:f>--AND(AQ520=1,AA520=1)</x:f>
        <x:v>0</x:v>
      </x:c>
    </x:row>
    <x:row r="521">
      <x:c r="A521" s="28"/>
      <x:c r="B521" s="28"/>
      <x:c r="C521" s="28"/>
      <x:c r="D521" s="28"/>
      <x:c r="E521" s="28"/>
      <x:c r="F521" s="28"/>
      <x:c r="G521" s="28"/>
      <x:c r="H521" s="28"/>
      <x:c r="I521" s="28"/>
      <x:c r="J521" s="28"/>
      <x:c r="K521" s="28"/>
      <x:c r="L521" s="28"/>
      <x:c r="M521" s="28"/>
      <x:c r="N521" s="28"/>
      <x:c r="O521" s="28"/>
      <x:c r="P521" s="28"/>
      <x:c r="Q521" s="28"/>
      <x:c r="R521" s="28"/>
      <x:c r="S521" s="28"/>
      <x:c r="T521" s="28"/>
      <x:c r="U521" s="28"/>
      <x:c r="V521" s="28"/>
      <x:c r="W521" s="28"/>
      <x:c r="X521" s="43" t="n">
        <x:f>--AND(S521=1,T521=1,U521=1,V521=1,W521=1)</x:f>
        <x:v>0</x:v>
      </x:c>
      <x:c r="AE521" s="43" t="n">
        <x:f>--AND(S521=1,M521&lt;&gt;"",M521&lt;&gt;"keep")</x:f>
        <x:v>0</x:v>
      </x:c>
      <x:c r="AG521" t="n">
        <x:f>--AND(S521=1,T521=1,U521=1,V521=1,W521=1,AE521=1)</x:f>
        <x:v>0</x:v>
      </x:c>
      <x:c r="AJ521" t="str">
        <x:f>IF(OR(AH521="",AI521=""),"",--(AH521&lt;&gt;AI521))</x:f>
      </x:c>
      <x:c r="AL521" t="str">
        <x:f>IF(OR(AH521="",AI521=""),"PENDING_HUMAN",IF(AH521=AI521,AH521,IF(AK521&lt;&gt;"",AK521,"PENDING_HUMAN")))</x:f>
        <x:v>PENDING_HUMAN</x:v>
      </x:c>
      <x:c r="AM521" t="n">
        <x:f>--AND(A521&lt;&gt;"",AH521&lt;&gt;"",AI521&lt;&gt;"",OR(AH521=AI521,AK521&lt;&gt;""))</x:f>
        <x:v>0</x:v>
      </x:c>
      <x:c r="AN521" t="n">
        <x:f>--AND(Y521&lt;&gt;"",COUNTIF($Y$4:Y521,Y521)=1)</x:f>
        <x:v>0</x:v>
      </x:c>
      <x:c r="AO521" t="n">
        <x:f>--AND(AN521=1,Z521=1,AM521=1)</x:f>
        <x:v>0</x:v>
      </x:c>
      <x:c r="AP521" t="n">
        <x:f>--AND(AO521=1,AA521=1,AL521=1)</x:f>
        <x:v>0</x:v>
      </x:c>
      <x:c r="AQ521" t="n">
        <x:f>--AND(AN521=1,Z521=1)</x:f>
        <x:v>0</x:v>
      </x:c>
      <x:c r="AR521" t="n">
        <x:f>--AND(AQ521=1,AA521=1)</x:f>
        <x:v>0</x:v>
      </x:c>
    </x:row>
    <x:row r="522">
      <x:c r="A522" s="28"/>
      <x:c r="B522" s="28"/>
      <x:c r="C522" s="28"/>
      <x:c r="D522" s="28"/>
      <x:c r="E522" s="28"/>
      <x:c r="F522" s="28"/>
      <x:c r="G522" s="28"/>
      <x:c r="H522" s="28"/>
      <x:c r="I522" s="28"/>
      <x:c r="J522" s="28"/>
      <x:c r="K522" s="28"/>
      <x:c r="L522" s="28"/>
      <x:c r="M522" s="28"/>
      <x:c r="N522" s="28"/>
      <x:c r="O522" s="28"/>
      <x:c r="P522" s="28"/>
      <x:c r="Q522" s="28"/>
      <x:c r="R522" s="28"/>
      <x:c r="S522" s="28"/>
      <x:c r="T522" s="28"/>
      <x:c r="U522" s="28"/>
      <x:c r="V522" s="28"/>
      <x:c r="W522" s="28"/>
      <x:c r="X522" s="43" t="n">
        <x:f>--AND(S522=1,T522=1,U522=1,V522=1,W522=1)</x:f>
        <x:v>0</x:v>
      </x:c>
      <x:c r="AE522" s="43" t="n">
        <x:f>--AND(S522=1,M522&lt;&gt;"",M522&lt;&gt;"keep")</x:f>
        <x:v>0</x:v>
      </x:c>
      <x:c r="AG522" t="n">
        <x:f>--AND(S522=1,T522=1,U522=1,V522=1,W522=1,AE522=1)</x:f>
        <x:v>0</x:v>
      </x:c>
      <x:c r="AJ522" t="str">
        <x:f>IF(OR(AH522="",AI522=""),"",--(AH522&lt;&gt;AI522))</x:f>
      </x:c>
      <x:c r="AL522" t="str">
        <x:f>IF(OR(AH522="",AI522=""),"PENDING_HUMAN",IF(AH522=AI522,AH522,IF(AK522&lt;&gt;"",AK522,"PENDING_HUMAN")))</x:f>
        <x:v>PENDING_HUMAN</x:v>
      </x:c>
      <x:c r="AM522" t="n">
        <x:f>--AND(A522&lt;&gt;"",AH522&lt;&gt;"",AI522&lt;&gt;"",OR(AH522=AI522,AK522&lt;&gt;""))</x:f>
        <x:v>0</x:v>
      </x:c>
      <x:c r="AN522" t="n">
        <x:f>--AND(Y522&lt;&gt;"",COUNTIF($Y$4:Y522,Y522)=1)</x:f>
        <x:v>0</x:v>
      </x:c>
      <x:c r="AO522" t="n">
        <x:f>--AND(AN522=1,Z522=1,AM522=1)</x:f>
        <x:v>0</x:v>
      </x:c>
      <x:c r="AP522" t="n">
        <x:f>--AND(AO522=1,AA522=1,AL522=1)</x:f>
        <x:v>0</x:v>
      </x:c>
      <x:c r="AQ522" t="n">
        <x:f>--AND(AN522=1,Z522=1)</x:f>
        <x:v>0</x:v>
      </x:c>
      <x:c r="AR522" t="n">
        <x:f>--AND(AQ522=1,AA522=1)</x:f>
        <x:v>0</x:v>
      </x:c>
    </x:row>
    <x:row r="523">
      <x:c r="A523" s="28"/>
      <x:c r="B523" s="28"/>
      <x:c r="C523" s="28"/>
      <x:c r="D523" s="28"/>
      <x:c r="E523" s="28"/>
      <x:c r="F523" s="28"/>
      <x:c r="G523" s="28"/>
      <x:c r="H523" s="28"/>
      <x:c r="I523" s="28"/>
      <x:c r="J523" s="28"/>
      <x:c r="K523" s="28"/>
      <x:c r="L523" s="28"/>
      <x:c r="M523" s="28"/>
      <x:c r="N523" s="28"/>
      <x:c r="O523" s="28"/>
      <x:c r="P523" s="28"/>
      <x:c r="Q523" s="28"/>
      <x:c r="R523" s="28"/>
      <x:c r="S523" s="28"/>
      <x:c r="T523" s="28"/>
      <x:c r="U523" s="28"/>
      <x:c r="V523" s="28"/>
      <x:c r="W523" s="28"/>
      <x:c r="X523" s="43" t="n">
        <x:f>--AND(S523=1,T523=1,U523=1,V523=1,W523=1)</x:f>
        <x:v>0</x:v>
      </x:c>
      <x:c r="AE523" s="43" t="n">
        <x:f>--AND(S523=1,M523&lt;&gt;"",M523&lt;&gt;"keep")</x:f>
        <x:v>0</x:v>
      </x:c>
      <x:c r="AG523" t="n">
        <x:f>--AND(S523=1,T523=1,U523=1,V523=1,W523=1,AE523=1)</x:f>
        <x:v>0</x:v>
      </x:c>
      <x:c r="AJ523" t="str">
        <x:f>IF(OR(AH523="",AI523=""),"",--(AH523&lt;&gt;AI523))</x:f>
      </x:c>
      <x:c r="AL523" t="str">
        <x:f>IF(OR(AH523="",AI523=""),"PENDING_HUMAN",IF(AH523=AI523,AH523,IF(AK523&lt;&gt;"",AK523,"PENDING_HUMAN")))</x:f>
        <x:v>PENDING_HUMAN</x:v>
      </x:c>
      <x:c r="AM523" t="n">
        <x:f>--AND(A523&lt;&gt;"",AH523&lt;&gt;"",AI523&lt;&gt;"",OR(AH523=AI523,AK523&lt;&gt;""))</x:f>
        <x:v>0</x:v>
      </x:c>
      <x:c r="AN523" t="n">
        <x:f>--AND(Y523&lt;&gt;"",COUNTIF($Y$4:Y523,Y523)=1)</x:f>
        <x:v>0</x:v>
      </x:c>
      <x:c r="AO523" t="n">
        <x:f>--AND(AN523=1,Z523=1,AM523=1)</x:f>
        <x:v>0</x:v>
      </x:c>
      <x:c r="AP523" t="n">
        <x:f>--AND(AO523=1,AA523=1,AL523=1)</x:f>
        <x:v>0</x:v>
      </x:c>
      <x:c r="AQ523" t="n">
        <x:f>--AND(AN523=1,Z523=1)</x:f>
        <x:v>0</x:v>
      </x:c>
      <x:c r="AR523" t="n">
        <x:f>--AND(AQ523=1,AA523=1)</x:f>
        <x:v>0</x:v>
      </x:c>
    </x:row>
    <x:row r="524">
      <x:c r="A524" s="28"/>
      <x:c r="B524" s="28"/>
      <x:c r="C524" s="28"/>
      <x:c r="D524" s="28"/>
      <x:c r="E524" s="28"/>
      <x:c r="F524" s="28"/>
      <x:c r="G524" s="28"/>
      <x:c r="H524" s="28"/>
      <x:c r="I524" s="28"/>
      <x:c r="J524" s="28"/>
      <x:c r="K524" s="28"/>
      <x:c r="L524" s="28"/>
      <x:c r="M524" s="28"/>
      <x:c r="N524" s="28"/>
      <x:c r="O524" s="28"/>
      <x:c r="P524" s="28"/>
      <x:c r="Q524" s="28"/>
      <x:c r="R524" s="28"/>
      <x:c r="S524" s="28"/>
      <x:c r="T524" s="28"/>
      <x:c r="U524" s="28"/>
      <x:c r="V524" s="28"/>
      <x:c r="W524" s="28"/>
      <x:c r="X524" s="43" t="n">
        <x:f>--AND(S524=1,T524=1,U524=1,V524=1,W524=1)</x:f>
        <x:v>0</x:v>
      </x:c>
      <x:c r="AE524" s="43" t="n">
        <x:f>--AND(S524=1,M524&lt;&gt;"",M524&lt;&gt;"keep")</x:f>
        <x:v>0</x:v>
      </x:c>
      <x:c r="AG524" t="n">
        <x:f>--AND(S524=1,T524=1,U524=1,V524=1,W524=1,AE524=1)</x:f>
        <x:v>0</x:v>
      </x:c>
      <x:c r="AJ524" t="str">
        <x:f>IF(OR(AH524="",AI524=""),"",--(AH524&lt;&gt;AI524))</x:f>
      </x:c>
      <x:c r="AL524" t="str">
        <x:f>IF(OR(AH524="",AI524=""),"PENDING_HUMAN",IF(AH524=AI524,AH524,IF(AK524&lt;&gt;"",AK524,"PENDING_HUMAN")))</x:f>
        <x:v>PENDING_HUMAN</x:v>
      </x:c>
      <x:c r="AM524" t="n">
        <x:f>--AND(A524&lt;&gt;"",AH524&lt;&gt;"",AI524&lt;&gt;"",OR(AH524=AI524,AK524&lt;&gt;""))</x:f>
        <x:v>0</x:v>
      </x:c>
      <x:c r="AN524" t="n">
        <x:f>--AND(Y524&lt;&gt;"",COUNTIF($Y$4:Y524,Y524)=1)</x:f>
        <x:v>0</x:v>
      </x:c>
      <x:c r="AO524" t="n">
        <x:f>--AND(AN524=1,Z524=1,AM524=1)</x:f>
        <x:v>0</x:v>
      </x:c>
      <x:c r="AP524" t="n">
        <x:f>--AND(AO524=1,AA524=1,AL524=1)</x:f>
        <x:v>0</x:v>
      </x:c>
      <x:c r="AQ524" t="n">
        <x:f>--AND(AN524=1,Z524=1)</x:f>
        <x:v>0</x:v>
      </x:c>
      <x:c r="AR524" t="n">
        <x:f>--AND(AQ524=1,AA524=1)</x:f>
        <x:v>0</x:v>
      </x:c>
    </x:row>
    <x:row r="525">
      <x:c r="A525" s="28"/>
      <x:c r="B525" s="28"/>
      <x:c r="C525" s="28"/>
      <x:c r="D525" s="28"/>
      <x:c r="E525" s="28"/>
      <x:c r="F525" s="28"/>
      <x:c r="G525" s="28"/>
      <x:c r="H525" s="28"/>
      <x:c r="I525" s="28"/>
      <x:c r="J525" s="28"/>
      <x:c r="K525" s="28"/>
      <x:c r="L525" s="28"/>
      <x:c r="M525" s="28"/>
      <x:c r="N525" s="28"/>
      <x:c r="O525" s="28"/>
      <x:c r="P525" s="28"/>
      <x:c r="Q525" s="28"/>
      <x:c r="R525" s="28"/>
      <x:c r="S525" s="28"/>
      <x:c r="T525" s="28"/>
      <x:c r="U525" s="28"/>
      <x:c r="V525" s="28"/>
      <x:c r="W525" s="28"/>
      <x:c r="X525" s="43" t="n">
        <x:f>--AND(S525=1,T525=1,U525=1,V525=1,W525=1)</x:f>
        <x:v>0</x:v>
      </x:c>
      <x:c r="AE525" s="43" t="n">
        <x:f>--AND(S525=1,M525&lt;&gt;"",M525&lt;&gt;"keep")</x:f>
        <x:v>0</x:v>
      </x:c>
      <x:c r="AG525" t="n">
        <x:f>--AND(S525=1,T525=1,U525=1,V525=1,W525=1,AE525=1)</x:f>
        <x:v>0</x:v>
      </x:c>
      <x:c r="AJ525" t="str">
        <x:f>IF(OR(AH525="",AI525=""),"",--(AH525&lt;&gt;AI525))</x:f>
      </x:c>
      <x:c r="AL525" t="str">
        <x:f>IF(OR(AH525="",AI525=""),"PENDING_HUMAN",IF(AH525=AI525,AH525,IF(AK525&lt;&gt;"",AK525,"PENDING_HUMAN")))</x:f>
        <x:v>PENDING_HUMAN</x:v>
      </x:c>
      <x:c r="AM525" t="n">
        <x:f>--AND(A525&lt;&gt;"",AH525&lt;&gt;"",AI525&lt;&gt;"",OR(AH525=AI525,AK525&lt;&gt;""))</x:f>
        <x:v>0</x:v>
      </x:c>
      <x:c r="AN525" t="n">
        <x:f>--AND(Y525&lt;&gt;"",COUNTIF($Y$4:Y525,Y525)=1)</x:f>
        <x:v>0</x:v>
      </x:c>
      <x:c r="AO525" t="n">
        <x:f>--AND(AN525=1,Z525=1,AM525=1)</x:f>
        <x:v>0</x:v>
      </x:c>
      <x:c r="AP525" t="n">
        <x:f>--AND(AO525=1,AA525=1,AL525=1)</x:f>
        <x:v>0</x:v>
      </x:c>
      <x:c r="AQ525" t="n">
        <x:f>--AND(AN525=1,Z525=1)</x:f>
        <x:v>0</x:v>
      </x:c>
      <x:c r="AR525" t="n">
        <x:f>--AND(AQ525=1,AA525=1)</x:f>
        <x:v>0</x:v>
      </x:c>
    </x:row>
    <x:row r="526">
      <x:c r="A526" s="28"/>
      <x:c r="B526" s="28"/>
      <x:c r="C526" s="28"/>
      <x:c r="D526" s="28"/>
      <x:c r="E526" s="28"/>
      <x:c r="F526" s="28"/>
      <x:c r="G526" s="28"/>
      <x:c r="H526" s="28"/>
      <x:c r="I526" s="28"/>
      <x:c r="J526" s="28"/>
      <x:c r="K526" s="28"/>
      <x:c r="L526" s="28"/>
      <x:c r="M526" s="28"/>
      <x:c r="N526" s="28"/>
      <x:c r="O526" s="28"/>
      <x:c r="P526" s="28"/>
      <x:c r="Q526" s="28"/>
      <x:c r="R526" s="28"/>
      <x:c r="S526" s="28"/>
      <x:c r="T526" s="28"/>
      <x:c r="U526" s="28"/>
      <x:c r="V526" s="28"/>
      <x:c r="W526" s="28"/>
      <x:c r="X526" s="43" t="n">
        <x:f>--AND(S526=1,T526=1,U526=1,V526=1,W526=1)</x:f>
        <x:v>0</x:v>
      </x:c>
      <x:c r="AE526" s="43" t="n">
        <x:f>--AND(S526=1,M526&lt;&gt;"",M526&lt;&gt;"keep")</x:f>
        <x:v>0</x:v>
      </x:c>
      <x:c r="AG526" t="n">
        <x:f>--AND(S526=1,T526=1,U526=1,V526=1,W526=1,AE526=1)</x:f>
        <x:v>0</x:v>
      </x:c>
      <x:c r="AJ526" t="str">
        <x:f>IF(OR(AH526="",AI526=""),"",--(AH526&lt;&gt;AI526))</x:f>
      </x:c>
      <x:c r="AL526" t="str">
        <x:f>IF(OR(AH526="",AI526=""),"PENDING_HUMAN",IF(AH526=AI526,AH526,IF(AK526&lt;&gt;"",AK526,"PENDING_HUMAN")))</x:f>
        <x:v>PENDING_HUMAN</x:v>
      </x:c>
      <x:c r="AM526" t="n">
        <x:f>--AND(A526&lt;&gt;"",AH526&lt;&gt;"",AI526&lt;&gt;"",OR(AH526=AI526,AK526&lt;&gt;""))</x:f>
        <x:v>0</x:v>
      </x:c>
      <x:c r="AN526" t="n">
        <x:f>--AND(Y526&lt;&gt;"",COUNTIF($Y$4:Y526,Y526)=1)</x:f>
        <x:v>0</x:v>
      </x:c>
      <x:c r="AO526" t="n">
        <x:f>--AND(AN526=1,Z526=1,AM526=1)</x:f>
        <x:v>0</x:v>
      </x:c>
      <x:c r="AP526" t="n">
        <x:f>--AND(AO526=1,AA526=1,AL526=1)</x:f>
        <x:v>0</x:v>
      </x:c>
      <x:c r="AQ526" t="n">
        <x:f>--AND(AN526=1,Z526=1)</x:f>
        <x:v>0</x:v>
      </x:c>
      <x:c r="AR526" t="n">
        <x:f>--AND(AQ526=1,AA526=1)</x:f>
        <x:v>0</x:v>
      </x:c>
    </x:row>
    <x:row r="527">
      <x:c r="A527" s="28"/>
      <x:c r="B527" s="28"/>
      <x:c r="C527" s="28"/>
      <x:c r="D527" s="28"/>
      <x:c r="E527" s="28"/>
      <x:c r="F527" s="28"/>
      <x:c r="G527" s="28"/>
      <x:c r="H527" s="28"/>
      <x:c r="I527" s="28"/>
      <x:c r="J527" s="28"/>
      <x:c r="K527" s="28"/>
      <x:c r="L527" s="28"/>
      <x:c r="M527" s="28"/>
      <x:c r="N527" s="28"/>
      <x:c r="O527" s="28"/>
      <x:c r="P527" s="28"/>
      <x:c r="Q527" s="28"/>
      <x:c r="R527" s="28"/>
      <x:c r="S527" s="28"/>
      <x:c r="T527" s="28"/>
      <x:c r="U527" s="28"/>
      <x:c r="V527" s="28"/>
      <x:c r="W527" s="28"/>
      <x:c r="X527" s="43" t="n">
        <x:f>--AND(S527=1,T527=1,U527=1,V527=1,W527=1)</x:f>
        <x:v>0</x:v>
      </x:c>
      <x:c r="AE527" s="43" t="n">
        <x:f>--AND(S527=1,M527&lt;&gt;"",M527&lt;&gt;"keep")</x:f>
        <x:v>0</x:v>
      </x:c>
      <x:c r="AG527" t="n">
        <x:f>--AND(S527=1,T527=1,U527=1,V527=1,W527=1,AE527=1)</x:f>
        <x:v>0</x:v>
      </x:c>
      <x:c r="AJ527" t="str">
        <x:f>IF(OR(AH527="",AI527=""),"",--(AH527&lt;&gt;AI527))</x:f>
      </x:c>
      <x:c r="AL527" t="str">
        <x:f>IF(OR(AH527="",AI527=""),"PENDING_HUMAN",IF(AH527=AI527,AH527,IF(AK527&lt;&gt;"",AK527,"PENDING_HUMAN")))</x:f>
        <x:v>PENDING_HUMAN</x:v>
      </x:c>
      <x:c r="AM527" t="n">
        <x:f>--AND(A527&lt;&gt;"",AH527&lt;&gt;"",AI527&lt;&gt;"",OR(AH527=AI527,AK527&lt;&gt;""))</x:f>
        <x:v>0</x:v>
      </x:c>
      <x:c r="AN527" t="n">
        <x:f>--AND(Y527&lt;&gt;"",COUNTIF($Y$4:Y527,Y527)=1)</x:f>
        <x:v>0</x:v>
      </x:c>
      <x:c r="AO527" t="n">
        <x:f>--AND(AN527=1,Z527=1,AM527=1)</x:f>
        <x:v>0</x:v>
      </x:c>
      <x:c r="AP527" t="n">
        <x:f>--AND(AO527=1,AA527=1,AL527=1)</x:f>
        <x:v>0</x:v>
      </x:c>
      <x:c r="AQ527" t="n">
        <x:f>--AND(AN527=1,Z527=1)</x:f>
        <x:v>0</x:v>
      </x:c>
      <x:c r="AR527" t="n">
        <x:f>--AND(AQ527=1,AA527=1)</x:f>
        <x:v>0</x:v>
      </x:c>
    </x:row>
    <x:row r="528">
      <x:c r="A528" s="28"/>
      <x:c r="B528" s="28"/>
      <x:c r="C528" s="28"/>
      <x:c r="D528" s="28"/>
      <x:c r="E528" s="28"/>
      <x:c r="F528" s="28"/>
      <x:c r="G528" s="28"/>
      <x:c r="H528" s="28"/>
      <x:c r="I528" s="28"/>
      <x:c r="J528" s="28"/>
      <x:c r="K528" s="28"/>
      <x:c r="L528" s="28"/>
      <x:c r="M528" s="28"/>
      <x:c r="N528" s="28"/>
      <x:c r="O528" s="28"/>
      <x:c r="P528" s="28"/>
      <x:c r="Q528" s="28"/>
      <x:c r="R528" s="28"/>
      <x:c r="S528" s="28"/>
      <x:c r="T528" s="28"/>
      <x:c r="U528" s="28"/>
      <x:c r="V528" s="28"/>
      <x:c r="W528" s="28"/>
      <x:c r="X528" s="43" t="n">
        <x:f>--AND(S528=1,T528=1,U528=1,V528=1,W528=1)</x:f>
        <x:v>0</x:v>
      </x:c>
      <x:c r="AE528" s="43" t="n">
        <x:f>--AND(S528=1,M528&lt;&gt;"",M528&lt;&gt;"keep")</x:f>
        <x:v>0</x:v>
      </x:c>
      <x:c r="AG528" t="n">
        <x:f>--AND(S528=1,T528=1,U528=1,V528=1,W528=1,AE528=1)</x:f>
        <x:v>0</x:v>
      </x:c>
      <x:c r="AJ528" t="str">
        <x:f>IF(OR(AH528="",AI528=""),"",--(AH528&lt;&gt;AI528))</x:f>
      </x:c>
      <x:c r="AL528" t="str">
        <x:f>IF(OR(AH528="",AI528=""),"PENDING_HUMAN",IF(AH528=AI528,AH528,IF(AK528&lt;&gt;"",AK528,"PENDING_HUMAN")))</x:f>
        <x:v>PENDING_HUMAN</x:v>
      </x:c>
      <x:c r="AM528" t="n">
        <x:f>--AND(A528&lt;&gt;"",AH528&lt;&gt;"",AI528&lt;&gt;"",OR(AH528=AI528,AK528&lt;&gt;""))</x:f>
        <x:v>0</x:v>
      </x:c>
      <x:c r="AN528" t="n">
        <x:f>--AND(Y528&lt;&gt;"",COUNTIF($Y$4:Y528,Y528)=1)</x:f>
        <x:v>0</x:v>
      </x:c>
      <x:c r="AO528" t="n">
        <x:f>--AND(AN528=1,Z528=1,AM528=1)</x:f>
        <x:v>0</x:v>
      </x:c>
      <x:c r="AP528" t="n">
        <x:f>--AND(AO528=1,AA528=1,AL528=1)</x:f>
        <x:v>0</x:v>
      </x:c>
      <x:c r="AQ528" t="n">
        <x:f>--AND(AN528=1,Z528=1)</x:f>
        <x:v>0</x:v>
      </x:c>
      <x:c r="AR528" t="n">
        <x:f>--AND(AQ528=1,AA528=1)</x:f>
        <x:v>0</x:v>
      </x:c>
    </x:row>
    <x:row r="529">
      <x:c r="A529" s="28"/>
      <x:c r="B529" s="28"/>
      <x:c r="C529" s="28"/>
      <x:c r="D529" s="28"/>
      <x:c r="E529" s="28"/>
      <x:c r="F529" s="28"/>
      <x:c r="G529" s="28"/>
      <x:c r="H529" s="28"/>
      <x:c r="I529" s="28"/>
      <x:c r="J529" s="28"/>
      <x:c r="K529" s="28"/>
      <x:c r="L529" s="28"/>
      <x:c r="M529" s="28"/>
      <x:c r="N529" s="28"/>
      <x:c r="O529" s="28"/>
      <x:c r="P529" s="28"/>
      <x:c r="Q529" s="28"/>
      <x:c r="R529" s="28"/>
      <x:c r="S529" s="28"/>
      <x:c r="T529" s="28"/>
      <x:c r="U529" s="28"/>
      <x:c r="V529" s="28"/>
      <x:c r="W529" s="28"/>
      <x:c r="X529" s="43" t="n">
        <x:f>--AND(S529=1,T529=1,U529=1,V529=1,W529=1)</x:f>
        <x:v>0</x:v>
      </x:c>
      <x:c r="AE529" s="43" t="n">
        <x:f>--AND(S529=1,M529&lt;&gt;"",M529&lt;&gt;"keep")</x:f>
        <x:v>0</x:v>
      </x:c>
      <x:c r="AG529" t="n">
        <x:f>--AND(S529=1,T529=1,U529=1,V529=1,W529=1,AE529=1)</x:f>
        <x:v>0</x:v>
      </x:c>
      <x:c r="AJ529" t="str">
        <x:f>IF(OR(AH529="",AI529=""),"",--(AH529&lt;&gt;AI529))</x:f>
      </x:c>
      <x:c r="AL529" t="str">
        <x:f>IF(OR(AH529="",AI529=""),"PENDING_HUMAN",IF(AH529=AI529,AH529,IF(AK529&lt;&gt;"",AK529,"PENDING_HUMAN")))</x:f>
        <x:v>PENDING_HUMAN</x:v>
      </x:c>
      <x:c r="AM529" t="n">
        <x:f>--AND(A529&lt;&gt;"",AH529&lt;&gt;"",AI529&lt;&gt;"",OR(AH529=AI529,AK529&lt;&gt;""))</x:f>
        <x:v>0</x:v>
      </x:c>
      <x:c r="AN529" t="n">
        <x:f>--AND(Y529&lt;&gt;"",COUNTIF($Y$4:Y529,Y529)=1)</x:f>
        <x:v>0</x:v>
      </x:c>
      <x:c r="AO529" t="n">
        <x:f>--AND(AN529=1,Z529=1,AM529=1)</x:f>
        <x:v>0</x:v>
      </x:c>
      <x:c r="AP529" t="n">
        <x:f>--AND(AO529=1,AA529=1,AL529=1)</x:f>
        <x:v>0</x:v>
      </x:c>
      <x:c r="AQ529" t="n">
        <x:f>--AND(AN529=1,Z529=1)</x:f>
        <x:v>0</x:v>
      </x:c>
      <x:c r="AR529" t="n">
        <x:f>--AND(AQ529=1,AA529=1)</x:f>
        <x:v>0</x:v>
      </x:c>
    </x:row>
    <x:row r="530">
      <x:c r="A530" s="28"/>
      <x:c r="B530" s="28"/>
      <x:c r="C530" s="28"/>
      <x:c r="D530" s="28"/>
      <x:c r="E530" s="28"/>
      <x:c r="F530" s="28"/>
      <x:c r="G530" s="28"/>
      <x:c r="H530" s="28"/>
      <x:c r="I530" s="28"/>
      <x:c r="J530" s="28"/>
      <x:c r="K530" s="28"/>
      <x:c r="L530" s="28"/>
      <x:c r="M530" s="28"/>
      <x:c r="N530" s="28"/>
      <x:c r="O530" s="28"/>
      <x:c r="P530" s="28"/>
      <x:c r="Q530" s="28"/>
      <x:c r="R530" s="28"/>
      <x:c r="S530" s="28"/>
      <x:c r="T530" s="28"/>
      <x:c r="U530" s="28"/>
      <x:c r="V530" s="28"/>
      <x:c r="W530" s="28"/>
      <x:c r="X530" s="43" t="n">
        <x:f>--AND(S530=1,T530=1,U530=1,V530=1,W530=1)</x:f>
        <x:v>0</x:v>
      </x:c>
      <x:c r="AE530" s="43" t="n">
        <x:f>--AND(S530=1,M530&lt;&gt;"",M530&lt;&gt;"keep")</x:f>
        <x:v>0</x:v>
      </x:c>
      <x:c r="AG530" t="n">
        <x:f>--AND(S530=1,T530=1,U530=1,V530=1,W530=1,AE530=1)</x:f>
        <x:v>0</x:v>
      </x:c>
      <x:c r="AJ530" t="str">
        <x:f>IF(OR(AH530="",AI530=""),"",--(AH530&lt;&gt;AI530))</x:f>
      </x:c>
      <x:c r="AL530" t="str">
        <x:f>IF(OR(AH530="",AI530=""),"PENDING_HUMAN",IF(AH530=AI530,AH530,IF(AK530&lt;&gt;"",AK530,"PENDING_HUMAN")))</x:f>
        <x:v>PENDING_HUMAN</x:v>
      </x:c>
      <x:c r="AM530" t="n">
        <x:f>--AND(A530&lt;&gt;"",AH530&lt;&gt;"",AI530&lt;&gt;"",OR(AH530=AI530,AK530&lt;&gt;""))</x:f>
        <x:v>0</x:v>
      </x:c>
      <x:c r="AN530" t="n">
        <x:f>--AND(Y530&lt;&gt;"",COUNTIF($Y$4:Y530,Y530)=1)</x:f>
        <x:v>0</x:v>
      </x:c>
      <x:c r="AO530" t="n">
        <x:f>--AND(AN530=1,Z530=1,AM530=1)</x:f>
        <x:v>0</x:v>
      </x:c>
      <x:c r="AP530" t="n">
        <x:f>--AND(AO530=1,AA530=1,AL530=1)</x:f>
        <x:v>0</x:v>
      </x:c>
      <x:c r="AQ530" t="n">
        <x:f>--AND(AN530=1,Z530=1)</x:f>
        <x:v>0</x:v>
      </x:c>
      <x:c r="AR530" t="n">
        <x:f>--AND(AQ530=1,AA530=1)</x:f>
        <x:v>0</x:v>
      </x:c>
    </x:row>
    <x:row r="531">
      <x:c r="A531" s="28"/>
      <x:c r="B531" s="28"/>
      <x:c r="C531" s="28"/>
      <x:c r="D531" s="28"/>
      <x:c r="E531" s="28"/>
      <x:c r="F531" s="28"/>
      <x:c r="G531" s="28"/>
      <x:c r="H531" s="28"/>
      <x:c r="I531" s="28"/>
      <x:c r="J531" s="28"/>
      <x:c r="K531" s="28"/>
      <x:c r="L531" s="28"/>
      <x:c r="M531" s="28"/>
      <x:c r="N531" s="28"/>
      <x:c r="O531" s="28"/>
      <x:c r="P531" s="28"/>
      <x:c r="Q531" s="28"/>
      <x:c r="R531" s="28"/>
      <x:c r="S531" s="28"/>
      <x:c r="T531" s="28"/>
      <x:c r="U531" s="28"/>
      <x:c r="V531" s="28"/>
      <x:c r="W531" s="28"/>
      <x:c r="X531" s="43" t="n">
        <x:f>--AND(S531=1,T531=1,U531=1,V531=1,W531=1)</x:f>
        <x:v>0</x:v>
      </x:c>
      <x:c r="AE531" s="43" t="n">
        <x:f>--AND(S531=1,M531&lt;&gt;"",M531&lt;&gt;"keep")</x:f>
        <x:v>0</x:v>
      </x:c>
      <x:c r="AG531" t="n">
        <x:f>--AND(S531=1,T531=1,U531=1,V531=1,W531=1,AE531=1)</x:f>
        <x:v>0</x:v>
      </x:c>
      <x:c r="AJ531" t="str">
        <x:f>IF(OR(AH531="",AI531=""),"",--(AH531&lt;&gt;AI531))</x:f>
      </x:c>
      <x:c r="AL531" t="str">
        <x:f>IF(OR(AH531="",AI531=""),"PENDING_HUMAN",IF(AH531=AI531,AH531,IF(AK531&lt;&gt;"",AK531,"PENDING_HUMAN")))</x:f>
        <x:v>PENDING_HUMAN</x:v>
      </x:c>
      <x:c r="AM531" t="n">
        <x:f>--AND(A531&lt;&gt;"",AH531&lt;&gt;"",AI531&lt;&gt;"",OR(AH531=AI531,AK531&lt;&gt;""))</x:f>
        <x:v>0</x:v>
      </x:c>
      <x:c r="AN531" t="n">
        <x:f>--AND(Y531&lt;&gt;"",COUNTIF($Y$4:Y531,Y531)=1)</x:f>
        <x:v>0</x:v>
      </x:c>
      <x:c r="AO531" t="n">
        <x:f>--AND(AN531=1,Z531=1,AM531=1)</x:f>
        <x:v>0</x:v>
      </x:c>
      <x:c r="AP531" t="n">
        <x:f>--AND(AO531=1,AA531=1,AL531=1)</x:f>
        <x:v>0</x:v>
      </x:c>
      <x:c r="AQ531" t="n">
        <x:f>--AND(AN531=1,Z531=1)</x:f>
        <x:v>0</x:v>
      </x:c>
      <x:c r="AR531" t="n">
        <x:f>--AND(AQ531=1,AA531=1)</x:f>
        <x:v>0</x:v>
      </x:c>
    </x:row>
    <x:row r="532">
      <x:c r="A532" s="28"/>
      <x:c r="B532" s="28"/>
      <x:c r="C532" s="28"/>
      <x:c r="D532" s="28"/>
      <x:c r="E532" s="28"/>
      <x:c r="F532" s="28"/>
      <x:c r="G532" s="28"/>
      <x:c r="H532" s="28"/>
      <x:c r="I532" s="28"/>
      <x:c r="J532" s="28"/>
      <x:c r="K532" s="28"/>
      <x:c r="L532" s="28"/>
      <x:c r="M532" s="28"/>
      <x:c r="N532" s="28"/>
      <x:c r="O532" s="28"/>
      <x:c r="P532" s="28"/>
      <x:c r="Q532" s="28"/>
      <x:c r="R532" s="28"/>
      <x:c r="S532" s="28"/>
      <x:c r="T532" s="28"/>
      <x:c r="U532" s="28"/>
      <x:c r="V532" s="28"/>
      <x:c r="W532" s="28"/>
      <x:c r="X532" s="43" t="n">
        <x:f>--AND(S532=1,T532=1,U532=1,V532=1,W532=1)</x:f>
        <x:v>0</x:v>
      </x:c>
      <x:c r="AE532" s="43" t="n">
        <x:f>--AND(S532=1,M532&lt;&gt;"",M532&lt;&gt;"keep")</x:f>
        <x:v>0</x:v>
      </x:c>
      <x:c r="AG532" t="n">
        <x:f>--AND(S532=1,T532=1,U532=1,V532=1,W532=1,AE532=1)</x:f>
        <x:v>0</x:v>
      </x:c>
      <x:c r="AJ532" t="str">
        <x:f>IF(OR(AH532="",AI532=""),"",--(AH532&lt;&gt;AI532))</x:f>
      </x:c>
      <x:c r="AL532" t="str">
        <x:f>IF(OR(AH532="",AI532=""),"PENDING_HUMAN",IF(AH532=AI532,AH532,IF(AK532&lt;&gt;"",AK532,"PENDING_HUMAN")))</x:f>
        <x:v>PENDING_HUMAN</x:v>
      </x:c>
      <x:c r="AM532" t="n">
        <x:f>--AND(A532&lt;&gt;"",AH532&lt;&gt;"",AI532&lt;&gt;"",OR(AH532=AI532,AK532&lt;&gt;""))</x:f>
        <x:v>0</x:v>
      </x:c>
      <x:c r="AN532" t="n">
        <x:f>--AND(Y532&lt;&gt;"",COUNTIF($Y$4:Y532,Y532)=1)</x:f>
        <x:v>0</x:v>
      </x:c>
      <x:c r="AO532" t="n">
        <x:f>--AND(AN532=1,Z532=1,AM532=1)</x:f>
        <x:v>0</x:v>
      </x:c>
      <x:c r="AP532" t="n">
        <x:f>--AND(AO532=1,AA532=1,AL532=1)</x:f>
        <x:v>0</x:v>
      </x:c>
      <x:c r="AQ532" t="n">
        <x:f>--AND(AN532=1,Z532=1)</x:f>
        <x:v>0</x:v>
      </x:c>
      <x:c r="AR532" t="n">
        <x:f>--AND(AQ532=1,AA532=1)</x:f>
        <x:v>0</x:v>
      </x:c>
    </x:row>
    <x:row r="533">
      <x:c r="A533" s="28"/>
      <x:c r="B533" s="28"/>
      <x:c r="C533" s="28"/>
      <x:c r="D533" s="28"/>
      <x:c r="E533" s="28"/>
      <x:c r="F533" s="28"/>
      <x:c r="G533" s="28"/>
      <x:c r="H533" s="28"/>
      <x:c r="I533" s="28"/>
      <x:c r="J533" s="28"/>
      <x:c r="K533" s="28"/>
      <x:c r="L533" s="28"/>
      <x:c r="M533" s="28"/>
      <x:c r="N533" s="28"/>
      <x:c r="O533" s="28"/>
      <x:c r="P533" s="28"/>
      <x:c r="Q533" s="28"/>
      <x:c r="R533" s="28"/>
      <x:c r="S533" s="28"/>
      <x:c r="T533" s="28"/>
      <x:c r="U533" s="28"/>
      <x:c r="V533" s="28"/>
      <x:c r="W533" s="28"/>
      <x:c r="X533" s="43" t="n">
        <x:f>--AND(S533=1,T533=1,U533=1,V533=1,W533=1)</x:f>
        <x:v>0</x:v>
      </x:c>
      <x:c r="AE533" s="43" t="n">
        <x:f>--AND(S533=1,M533&lt;&gt;"",M533&lt;&gt;"keep")</x:f>
        <x:v>0</x:v>
      </x:c>
      <x:c r="AG533" t="n">
        <x:f>--AND(S533=1,T533=1,U533=1,V533=1,W533=1,AE533=1)</x:f>
        <x:v>0</x:v>
      </x:c>
      <x:c r="AJ533" t="str">
        <x:f>IF(OR(AH533="",AI533=""),"",--(AH533&lt;&gt;AI533))</x:f>
      </x:c>
      <x:c r="AL533" t="str">
        <x:f>IF(OR(AH533="",AI533=""),"PENDING_HUMAN",IF(AH533=AI533,AH533,IF(AK533&lt;&gt;"",AK533,"PENDING_HUMAN")))</x:f>
        <x:v>PENDING_HUMAN</x:v>
      </x:c>
      <x:c r="AM533" t="n">
        <x:f>--AND(A533&lt;&gt;"",AH533&lt;&gt;"",AI533&lt;&gt;"",OR(AH533=AI533,AK533&lt;&gt;""))</x:f>
        <x:v>0</x:v>
      </x:c>
      <x:c r="AN533" t="n">
        <x:f>--AND(Y533&lt;&gt;"",COUNTIF($Y$4:Y533,Y533)=1)</x:f>
        <x:v>0</x:v>
      </x:c>
      <x:c r="AO533" t="n">
        <x:f>--AND(AN533=1,Z533=1,AM533=1)</x:f>
        <x:v>0</x:v>
      </x:c>
      <x:c r="AP533" t="n">
        <x:f>--AND(AO533=1,AA533=1,AL533=1)</x:f>
        <x:v>0</x:v>
      </x:c>
      <x:c r="AQ533" t="n">
        <x:f>--AND(AN533=1,Z533=1)</x:f>
        <x:v>0</x:v>
      </x:c>
      <x:c r="AR533" t="n">
        <x:f>--AND(AQ533=1,AA533=1)</x:f>
        <x:v>0</x:v>
      </x:c>
    </x:row>
    <x:row r="534">
      <x:c r="A534" s="28"/>
      <x:c r="B534" s="28"/>
      <x:c r="C534" s="28"/>
      <x:c r="D534" s="28"/>
      <x:c r="E534" s="28"/>
      <x:c r="F534" s="28"/>
      <x:c r="G534" s="28"/>
      <x:c r="H534" s="28"/>
      <x:c r="I534" s="28"/>
      <x:c r="J534" s="28"/>
      <x:c r="K534" s="28"/>
      <x:c r="L534" s="28"/>
      <x:c r="M534" s="28"/>
      <x:c r="N534" s="28"/>
      <x:c r="O534" s="28"/>
      <x:c r="P534" s="28"/>
      <x:c r="Q534" s="28"/>
      <x:c r="R534" s="28"/>
      <x:c r="S534" s="28"/>
      <x:c r="T534" s="28"/>
      <x:c r="U534" s="28"/>
      <x:c r="V534" s="28"/>
      <x:c r="W534" s="28"/>
      <x:c r="X534" s="43" t="n">
        <x:f>--AND(S534=1,T534=1,U534=1,V534=1,W534=1)</x:f>
        <x:v>0</x:v>
      </x:c>
      <x:c r="AE534" s="43" t="n">
        <x:f>--AND(S534=1,M534&lt;&gt;"",M534&lt;&gt;"keep")</x:f>
        <x:v>0</x:v>
      </x:c>
      <x:c r="AG534" t="n">
        <x:f>--AND(S534=1,T534=1,U534=1,V534=1,W534=1,AE534=1)</x:f>
        <x:v>0</x:v>
      </x:c>
      <x:c r="AJ534" t="str">
        <x:f>IF(OR(AH534="",AI534=""),"",--(AH534&lt;&gt;AI534))</x:f>
      </x:c>
      <x:c r="AL534" t="str">
        <x:f>IF(OR(AH534="",AI534=""),"PENDING_HUMAN",IF(AH534=AI534,AH534,IF(AK534&lt;&gt;"",AK534,"PENDING_HUMAN")))</x:f>
        <x:v>PENDING_HUMAN</x:v>
      </x:c>
      <x:c r="AM534" t="n">
        <x:f>--AND(A534&lt;&gt;"",AH534&lt;&gt;"",AI534&lt;&gt;"",OR(AH534=AI534,AK534&lt;&gt;""))</x:f>
        <x:v>0</x:v>
      </x:c>
      <x:c r="AN534" t="n">
        <x:f>--AND(Y534&lt;&gt;"",COUNTIF($Y$4:Y534,Y534)=1)</x:f>
        <x:v>0</x:v>
      </x:c>
      <x:c r="AO534" t="n">
        <x:f>--AND(AN534=1,Z534=1,AM534=1)</x:f>
        <x:v>0</x:v>
      </x:c>
      <x:c r="AP534" t="n">
        <x:f>--AND(AO534=1,AA534=1,AL534=1)</x:f>
        <x:v>0</x:v>
      </x:c>
      <x:c r="AQ534" t="n">
        <x:f>--AND(AN534=1,Z534=1)</x:f>
        <x:v>0</x:v>
      </x:c>
      <x:c r="AR534" t="n">
        <x:f>--AND(AQ534=1,AA534=1)</x:f>
        <x:v>0</x:v>
      </x:c>
    </x:row>
    <x:row r="535">
      <x:c r="A535" s="28"/>
      <x:c r="B535" s="28"/>
      <x:c r="C535" s="28"/>
      <x:c r="D535" s="28"/>
      <x:c r="E535" s="28"/>
      <x:c r="F535" s="28"/>
      <x:c r="G535" s="28"/>
      <x:c r="H535" s="28"/>
      <x:c r="I535" s="28"/>
      <x:c r="J535" s="28"/>
      <x:c r="K535" s="28"/>
      <x:c r="L535" s="28"/>
      <x:c r="M535" s="28"/>
      <x:c r="N535" s="28"/>
      <x:c r="O535" s="28"/>
      <x:c r="P535" s="28"/>
      <x:c r="Q535" s="28"/>
      <x:c r="R535" s="28"/>
      <x:c r="S535" s="28"/>
      <x:c r="T535" s="28"/>
      <x:c r="U535" s="28"/>
      <x:c r="V535" s="28"/>
      <x:c r="W535" s="28"/>
      <x:c r="X535" s="43" t="n">
        <x:f>--AND(S535=1,T535=1,U535=1,V535=1,W535=1)</x:f>
        <x:v>0</x:v>
      </x:c>
      <x:c r="AE535" s="43" t="n">
        <x:f>--AND(S535=1,M535&lt;&gt;"",M535&lt;&gt;"keep")</x:f>
        <x:v>0</x:v>
      </x:c>
      <x:c r="AG535" t="n">
        <x:f>--AND(S535=1,T535=1,U535=1,V535=1,W535=1,AE535=1)</x:f>
        <x:v>0</x:v>
      </x:c>
      <x:c r="AJ535" t="str">
        <x:f>IF(OR(AH535="",AI535=""),"",--(AH535&lt;&gt;AI535))</x:f>
      </x:c>
      <x:c r="AL535" t="str">
        <x:f>IF(OR(AH535="",AI535=""),"PENDING_HUMAN",IF(AH535=AI535,AH535,IF(AK535&lt;&gt;"",AK535,"PENDING_HUMAN")))</x:f>
        <x:v>PENDING_HUMAN</x:v>
      </x:c>
      <x:c r="AM535" t="n">
        <x:f>--AND(A535&lt;&gt;"",AH535&lt;&gt;"",AI535&lt;&gt;"",OR(AH535=AI535,AK535&lt;&gt;""))</x:f>
        <x:v>0</x:v>
      </x:c>
      <x:c r="AN535" t="n">
        <x:f>--AND(Y535&lt;&gt;"",COUNTIF($Y$4:Y535,Y535)=1)</x:f>
        <x:v>0</x:v>
      </x:c>
      <x:c r="AO535" t="n">
        <x:f>--AND(AN535=1,Z535=1,AM535=1)</x:f>
        <x:v>0</x:v>
      </x:c>
      <x:c r="AP535" t="n">
        <x:f>--AND(AO535=1,AA535=1,AL535=1)</x:f>
        <x:v>0</x:v>
      </x:c>
      <x:c r="AQ535" t="n">
        <x:f>--AND(AN535=1,Z535=1)</x:f>
        <x:v>0</x:v>
      </x:c>
      <x:c r="AR535" t="n">
        <x:f>--AND(AQ535=1,AA535=1)</x:f>
        <x:v>0</x:v>
      </x:c>
    </x:row>
    <x:row r="536">
      <x:c r="A536" s="28"/>
      <x:c r="B536" s="28"/>
      <x:c r="C536" s="28"/>
      <x:c r="D536" s="28"/>
      <x:c r="E536" s="28"/>
      <x:c r="F536" s="28"/>
      <x:c r="G536" s="28"/>
      <x:c r="H536" s="28"/>
      <x:c r="I536" s="28"/>
      <x:c r="J536" s="28"/>
      <x:c r="K536" s="28"/>
      <x:c r="L536" s="28"/>
      <x:c r="M536" s="28"/>
      <x:c r="N536" s="28"/>
      <x:c r="O536" s="28"/>
      <x:c r="P536" s="28"/>
      <x:c r="Q536" s="28"/>
      <x:c r="R536" s="28"/>
      <x:c r="S536" s="28"/>
      <x:c r="T536" s="28"/>
      <x:c r="U536" s="28"/>
      <x:c r="V536" s="28"/>
      <x:c r="W536" s="28"/>
      <x:c r="X536" s="43" t="n">
        <x:f>--AND(S536=1,T536=1,U536=1,V536=1,W536=1)</x:f>
        <x:v>0</x:v>
      </x:c>
      <x:c r="AE536" s="43" t="n">
        <x:f>--AND(S536=1,M536&lt;&gt;"",M536&lt;&gt;"keep")</x:f>
        <x:v>0</x:v>
      </x:c>
      <x:c r="AG536" t="n">
        <x:f>--AND(S536=1,T536=1,U536=1,V536=1,W536=1,AE536=1)</x:f>
        <x:v>0</x:v>
      </x:c>
      <x:c r="AJ536" t="str">
        <x:f>IF(OR(AH536="",AI536=""),"",--(AH536&lt;&gt;AI536))</x:f>
      </x:c>
      <x:c r="AL536" t="str">
        <x:f>IF(OR(AH536="",AI536=""),"PENDING_HUMAN",IF(AH536=AI536,AH536,IF(AK536&lt;&gt;"",AK536,"PENDING_HUMAN")))</x:f>
        <x:v>PENDING_HUMAN</x:v>
      </x:c>
      <x:c r="AM536" t="n">
        <x:f>--AND(A536&lt;&gt;"",AH536&lt;&gt;"",AI536&lt;&gt;"",OR(AH536=AI536,AK536&lt;&gt;""))</x:f>
        <x:v>0</x:v>
      </x:c>
      <x:c r="AN536" t="n">
        <x:f>--AND(Y536&lt;&gt;"",COUNTIF($Y$4:Y536,Y536)=1)</x:f>
        <x:v>0</x:v>
      </x:c>
      <x:c r="AO536" t="n">
        <x:f>--AND(AN536=1,Z536=1,AM536=1)</x:f>
        <x:v>0</x:v>
      </x:c>
      <x:c r="AP536" t="n">
        <x:f>--AND(AO536=1,AA536=1,AL536=1)</x:f>
        <x:v>0</x:v>
      </x:c>
      <x:c r="AQ536" t="n">
        <x:f>--AND(AN536=1,Z536=1)</x:f>
        <x:v>0</x:v>
      </x:c>
      <x:c r="AR536" t="n">
        <x:f>--AND(AQ536=1,AA536=1)</x:f>
        <x:v>0</x:v>
      </x:c>
    </x:row>
    <x:row r="537">
      <x:c r="A537" s="28"/>
      <x:c r="B537" s="28"/>
      <x:c r="C537" s="28"/>
      <x:c r="D537" s="28"/>
      <x:c r="E537" s="28"/>
      <x:c r="F537" s="28"/>
      <x:c r="G537" s="28"/>
      <x:c r="H537" s="28"/>
      <x:c r="I537" s="28"/>
      <x:c r="J537" s="28"/>
      <x:c r="K537" s="28"/>
      <x:c r="L537" s="28"/>
      <x:c r="M537" s="28"/>
      <x:c r="N537" s="28"/>
      <x:c r="O537" s="28"/>
      <x:c r="P537" s="28"/>
      <x:c r="Q537" s="28"/>
      <x:c r="R537" s="28"/>
      <x:c r="S537" s="28"/>
      <x:c r="T537" s="28"/>
      <x:c r="U537" s="28"/>
      <x:c r="V537" s="28"/>
      <x:c r="W537" s="28"/>
      <x:c r="X537" s="43" t="n">
        <x:f>--AND(S537=1,T537=1,U537=1,V537=1,W537=1)</x:f>
        <x:v>0</x:v>
      </x:c>
      <x:c r="AE537" s="43" t="n">
        <x:f>--AND(S537=1,M537&lt;&gt;"",M537&lt;&gt;"keep")</x:f>
        <x:v>0</x:v>
      </x:c>
      <x:c r="AG537" t="n">
        <x:f>--AND(S537=1,T537=1,U537=1,V537=1,W537=1,AE537=1)</x:f>
        <x:v>0</x:v>
      </x:c>
      <x:c r="AJ537" t="str">
        <x:f>IF(OR(AH537="",AI537=""),"",--(AH537&lt;&gt;AI537))</x:f>
      </x:c>
      <x:c r="AL537" t="str">
        <x:f>IF(OR(AH537="",AI537=""),"PENDING_HUMAN",IF(AH537=AI537,AH537,IF(AK537&lt;&gt;"",AK537,"PENDING_HUMAN")))</x:f>
        <x:v>PENDING_HUMAN</x:v>
      </x:c>
      <x:c r="AM537" t="n">
        <x:f>--AND(A537&lt;&gt;"",AH537&lt;&gt;"",AI537&lt;&gt;"",OR(AH537=AI537,AK537&lt;&gt;""))</x:f>
        <x:v>0</x:v>
      </x:c>
      <x:c r="AN537" t="n">
        <x:f>--AND(Y537&lt;&gt;"",COUNTIF($Y$4:Y537,Y537)=1)</x:f>
        <x:v>0</x:v>
      </x:c>
      <x:c r="AO537" t="n">
        <x:f>--AND(AN537=1,Z537=1,AM537=1)</x:f>
        <x:v>0</x:v>
      </x:c>
      <x:c r="AP537" t="n">
        <x:f>--AND(AO537=1,AA537=1,AL537=1)</x:f>
        <x:v>0</x:v>
      </x:c>
      <x:c r="AQ537" t="n">
        <x:f>--AND(AN537=1,Z537=1)</x:f>
        <x:v>0</x:v>
      </x:c>
      <x:c r="AR537" t="n">
        <x:f>--AND(AQ537=1,AA537=1)</x:f>
        <x:v>0</x:v>
      </x:c>
    </x:row>
    <x:row r="538">
      <x:c r="A538" s="28"/>
      <x:c r="B538" s="28"/>
      <x:c r="C538" s="28"/>
      <x:c r="D538" s="28"/>
      <x:c r="E538" s="28"/>
      <x:c r="F538" s="28"/>
      <x:c r="G538" s="28"/>
      <x:c r="H538" s="28"/>
      <x:c r="I538" s="28"/>
      <x:c r="J538" s="28"/>
      <x:c r="K538" s="28"/>
      <x:c r="L538" s="28"/>
      <x:c r="M538" s="28"/>
      <x:c r="N538" s="28"/>
      <x:c r="O538" s="28"/>
      <x:c r="P538" s="28"/>
      <x:c r="Q538" s="28"/>
      <x:c r="R538" s="28"/>
      <x:c r="S538" s="28"/>
      <x:c r="T538" s="28"/>
      <x:c r="U538" s="28"/>
      <x:c r="V538" s="28"/>
      <x:c r="W538" s="28"/>
      <x:c r="X538" s="43" t="n">
        <x:f>--AND(S538=1,T538=1,U538=1,V538=1,W538=1)</x:f>
        <x:v>0</x:v>
      </x:c>
      <x:c r="AE538" s="43" t="n">
        <x:f>--AND(S538=1,M538&lt;&gt;"",M538&lt;&gt;"keep")</x:f>
        <x:v>0</x:v>
      </x:c>
      <x:c r="AG538" t="n">
        <x:f>--AND(S538=1,T538=1,U538=1,V538=1,W538=1,AE538=1)</x:f>
        <x:v>0</x:v>
      </x:c>
      <x:c r="AJ538" t="str">
        <x:f>IF(OR(AH538="",AI538=""),"",--(AH538&lt;&gt;AI538))</x:f>
      </x:c>
      <x:c r="AL538" t="str">
        <x:f>IF(OR(AH538="",AI538=""),"PENDING_HUMAN",IF(AH538=AI538,AH538,IF(AK538&lt;&gt;"",AK538,"PENDING_HUMAN")))</x:f>
        <x:v>PENDING_HUMAN</x:v>
      </x:c>
      <x:c r="AM538" t="n">
        <x:f>--AND(A538&lt;&gt;"",AH538&lt;&gt;"",AI538&lt;&gt;"",OR(AH538=AI538,AK538&lt;&gt;""))</x:f>
        <x:v>0</x:v>
      </x:c>
      <x:c r="AN538" t="n">
        <x:f>--AND(Y538&lt;&gt;"",COUNTIF($Y$4:Y538,Y538)=1)</x:f>
        <x:v>0</x:v>
      </x:c>
      <x:c r="AO538" t="n">
        <x:f>--AND(AN538=1,Z538=1,AM538=1)</x:f>
        <x:v>0</x:v>
      </x:c>
      <x:c r="AP538" t="n">
        <x:f>--AND(AO538=1,AA538=1,AL538=1)</x:f>
        <x:v>0</x:v>
      </x:c>
      <x:c r="AQ538" t="n">
        <x:f>--AND(AN538=1,Z538=1)</x:f>
        <x:v>0</x:v>
      </x:c>
      <x:c r="AR538" t="n">
        <x:f>--AND(AQ538=1,AA538=1)</x:f>
        <x:v>0</x:v>
      </x:c>
    </x:row>
    <x:row r="539">
      <x:c r="A539" s="28"/>
      <x:c r="B539" s="28"/>
      <x:c r="C539" s="28"/>
      <x:c r="D539" s="28"/>
      <x:c r="E539" s="28"/>
      <x:c r="F539" s="28"/>
      <x:c r="G539" s="28"/>
      <x:c r="H539" s="28"/>
      <x:c r="I539" s="28"/>
      <x:c r="J539" s="28"/>
      <x:c r="K539" s="28"/>
      <x:c r="L539" s="28"/>
      <x:c r="M539" s="28"/>
      <x:c r="N539" s="28"/>
      <x:c r="O539" s="28"/>
      <x:c r="P539" s="28"/>
      <x:c r="Q539" s="28"/>
      <x:c r="R539" s="28"/>
      <x:c r="S539" s="28"/>
      <x:c r="T539" s="28"/>
      <x:c r="U539" s="28"/>
      <x:c r="V539" s="28"/>
      <x:c r="W539" s="28"/>
      <x:c r="X539" s="43" t="n">
        <x:f>--AND(S539=1,T539=1,U539=1,V539=1,W539=1)</x:f>
        <x:v>0</x:v>
      </x:c>
      <x:c r="AE539" s="43" t="n">
        <x:f>--AND(S539=1,M539&lt;&gt;"",M539&lt;&gt;"keep")</x:f>
        <x:v>0</x:v>
      </x:c>
      <x:c r="AG539" t="n">
        <x:f>--AND(S539=1,T539=1,U539=1,V539=1,W539=1,AE539=1)</x:f>
        <x:v>0</x:v>
      </x:c>
      <x:c r="AJ539" t="str">
        <x:f>IF(OR(AH539="",AI539=""),"",--(AH539&lt;&gt;AI539))</x:f>
      </x:c>
      <x:c r="AL539" t="str">
        <x:f>IF(OR(AH539="",AI539=""),"PENDING_HUMAN",IF(AH539=AI539,AH539,IF(AK539&lt;&gt;"",AK539,"PENDING_HUMAN")))</x:f>
        <x:v>PENDING_HUMAN</x:v>
      </x:c>
      <x:c r="AM539" t="n">
        <x:f>--AND(A539&lt;&gt;"",AH539&lt;&gt;"",AI539&lt;&gt;"",OR(AH539=AI539,AK539&lt;&gt;""))</x:f>
        <x:v>0</x:v>
      </x:c>
      <x:c r="AN539" t="n">
        <x:f>--AND(Y539&lt;&gt;"",COUNTIF($Y$4:Y539,Y539)=1)</x:f>
        <x:v>0</x:v>
      </x:c>
      <x:c r="AO539" t="n">
        <x:f>--AND(AN539=1,Z539=1,AM539=1)</x:f>
        <x:v>0</x:v>
      </x:c>
      <x:c r="AP539" t="n">
        <x:f>--AND(AO539=1,AA539=1,AL539=1)</x:f>
        <x:v>0</x:v>
      </x:c>
      <x:c r="AQ539" t="n">
        <x:f>--AND(AN539=1,Z539=1)</x:f>
        <x:v>0</x:v>
      </x:c>
      <x:c r="AR539" t="n">
        <x:f>--AND(AQ539=1,AA539=1)</x:f>
        <x:v>0</x:v>
      </x:c>
    </x:row>
    <x:row r="540">
      <x:c r="A540" s="28"/>
      <x:c r="B540" s="28"/>
      <x:c r="C540" s="28"/>
      <x:c r="D540" s="28"/>
      <x:c r="E540" s="28"/>
      <x:c r="F540" s="28"/>
      <x:c r="G540" s="28"/>
      <x:c r="H540" s="28"/>
      <x:c r="I540" s="28"/>
      <x:c r="J540" s="28"/>
      <x:c r="K540" s="28"/>
      <x:c r="L540" s="28"/>
      <x:c r="M540" s="28"/>
      <x:c r="N540" s="28"/>
      <x:c r="O540" s="28"/>
      <x:c r="P540" s="28"/>
      <x:c r="Q540" s="28"/>
      <x:c r="R540" s="28"/>
      <x:c r="S540" s="28"/>
      <x:c r="T540" s="28"/>
      <x:c r="U540" s="28"/>
      <x:c r="V540" s="28"/>
      <x:c r="W540" s="28"/>
      <x:c r="X540" s="43" t="n">
        <x:f>--AND(S540=1,T540=1,U540=1,V540=1,W540=1)</x:f>
        <x:v>0</x:v>
      </x:c>
      <x:c r="AE540" s="43" t="n">
        <x:f>--AND(S540=1,M540&lt;&gt;"",M540&lt;&gt;"keep")</x:f>
        <x:v>0</x:v>
      </x:c>
      <x:c r="AG540" t="n">
        <x:f>--AND(S540=1,T540=1,U540=1,V540=1,W540=1,AE540=1)</x:f>
        <x:v>0</x:v>
      </x:c>
      <x:c r="AJ540" t="str">
        <x:f>IF(OR(AH540="",AI540=""),"",--(AH540&lt;&gt;AI540))</x:f>
      </x:c>
      <x:c r="AL540" t="str">
        <x:f>IF(OR(AH540="",AI540=""),"PENDING_HUMAN",IF(AH540=AI540,AH540,IF(AK540&lt;&gt;"",AK540,"PENDING_HUMAN")))</x:f>
        <x:v>PENDING_HUMAN</x:v>
      </x:c>
      <x:c r="AM540" t="n">
        <x:f>--AND(A540&lt;&gt;"",AH540&lt;&gt;"",AI540&lt;&gt;"",OR(AH540=AI540,AK540&lt;&gt;""))</x:f>
        <x:v>0</x:v>
      </x:c>
      <x:c r="AN540" t="n">
        <x:f>--AND(Y540&lt;&gt;"",COUNTIF($Y$4:Y540,Y540)=1)</x:f>
        <x:v>0</x:v>
      </x:c>
      <x:c r="AO540" t="n">
        <x:f>--AND(AN540=1,Z540=1,AM540=1)</x:f>
        <x:v>0</x:v>
      </x:c>
      <x:c r="AP540" t="n">
        <x:f>--AND(AO540=1,AA540=1,AL540=1)</x:f>
        <x:v>0</x:v>
      </x:c>
      <x:c r="AQ540" t="n">
        <x:f>--AND(AN540=1,Z540=1)</x:f>
        <x:v>0</x:v>
      </x:c>
      <x:c r="AR540" t="n">
        <x:f>--AND(AQ540=1,AA540=1)</x:f>
        <x:v>0</x:v>
      </x:c>
    </x:row>
    <x:row r="541">
      <x:c r="A541" s="28"/>
      <x:c r="B541" s="28"/>
      <x:c r="C541" s="28"/>
      <x:c r="D541" s="28"/>
      <x:c r="E541" s="28"/>
      <x:c r="F541" s="28"/>
      <x:c r="G541" s="28"/>
      <x:c r="H541" s="28"/>
      <x:c r="I541" s="28"/>
      <x:c r="J541" s="28"/>
      <x:c r="K541" s="28"/>
      <x:c r="L541" s="28"/>
      <x:c r="M541" s="28"/>
      <x:c r="N541" s="28"/>
      <x:c r="O541" s="28"/>
      <x:c r="P541" s="28"/>
      <x:c r="Q541" s="28"/>
      <x:c r="R541" s="28"/>
      <x:c r="S541" s="28"/>
      <x:c r="T541" s="28"/>
      <x:c r="U541" s="28"/>
      <x:c r="V541" s="28"/>
      <x:c r="W541" s="28"/>
      <x:c r="X541" s="43" t="n">
        <x:f>--AND(S541=1,T541=1,U541=1,V541=1,W541=1)</x:f>
        <x:v>0</x:v>
      </x:c>
      <x:c r="AE541" s="43" t="n">
        <x:f>--AND(S541=1,M541&lt;&gt;"",M541&lt;&gt;"keep")</x:f>
        <x:v>0</x:v>
      </x:c>
      <x:c r="AG541" t="n">
        <x:f>--AND(S541=1,T541=1,U541=1,V541=1,W541=1,AE541=1)</x:f>
        <x:v>0</x:v>
      </x:c>
      <x:c r="AJ541" t="str">
        <x:f>IF(OR(AH541="",AI541=""),"",--(AH541&lt;&gt;AI541))</x:f>
      </x:c>
      <x:c r="AL541" t="str">
        <x:f>IF(OR(AH541="",AI541=""),"PENDING_HUMAN",IF(AH541=AI541,AH541,IF(AK541&lt;&gt;"",AK541,"PENDING_HUMAN")))</x:f>
        <x:v>PENDING_HUMAN</x:v>
      </x:c>
      <x:c r="AM541" t="n">
        <x:f>--AND(A541&lt;&gt;"",AH541&lt;&gt;"",AI541&lt;&gt;"",OR(AH541=AI541,AK541&lt;&gt;""))</x:f>
        <x:v>0</x:v>
      </x:c>
      <x:c r="AN541" t="n">
        <x:f>--AND(Y541&lt;&gt;"",COUNTIF($Y$4:Y541,Y541)=1)</x:f>
        <x:v>0</x:v>
      </x:c>
      <x:c r="AO541" t="n">
        <x:f>--AND(AN541=1,Z541=1,AM541=1)</x:f>
        <x:v>0</x:v>
      </x:c>
      <x:c r="AP541" t="n">
        <x:f>--AND(AO541=1,AA541=1,AL541=1)</x:f>
        <x:v>0</x:v>
      </x:c>
      <x:c r="AQ541" t="n">
        <x:f>--AND(AN541=1,Z541=1)</x:f>
        <x:v>0</x:v>
      </x:c>
      <x:c r="AR541" t="n">
        <x:f>--AND(AQ541=1,AA541=1)</x:f>
        <x:v>0</x:v>
      </x:c>
    </x:row>
    <x:row r="542">
      <x:c r="A542" s="28"/>
      <x:c r="B542" s="28"/>
      <x:c r="C542" s="28"/>
      <x:c r="D542" s="28"/>
      <x:c r="E542" s="28"/>
      <x:c r="F542" s="28"/>
      <x:c r="G542" s="28"/>
      <x:c r="H542" s="28"/>
      <x:c r="I542" s="28"/>
      <x:c r="J542" s="28"/>
      <x:c r="K542" s="28"/>
      <x:c r="L542" s="28"/>
      <x:c r="M542" s="28"/>
      <x:c r="N542" s="28"/>
      <x:c r="O542" s="28"/>
      <x:c r="P542" s="28"/>
      <x:c r="Q542" s="28"/>
      <x:c r="R542" s="28"/>
      <x:c r="S542" s="28"/>
      <x:c r="T542" s="28"/>
      <x:c r="U542" s="28"/>
      <x:c r="V542" s="28"/>
      <x:c r="W542" s="28"/>
      <x:c r="X542" s="43" t="n">
        <x:f>--AND(S542=1,T542=1,U542=1,V542=1,W542=1)</x:f>
        <x:v>0</x:v>
      </x:c>
      <x:c r="AE542" s="43" t="n">
        <x:f>--AND(S542=1,M542&lt;&gt;"",M542&lt;&gt;"keep")</x:f>
        <x:v>0</x:v>
      </x:c>
      <x:c r="AG542" t="n">
        <x:f>--AND(S542=1,T542=1,U542=1,V542=1,W542=1,AE542=1)</x:f>
        <x:v>0</x:v>
      </x:c>
      <x:c r="AJ542" t="str">
        <x:f>IF(OR(AH542="",AI542=""),"",--(AH542&lt;&gt;AI542))</x:f>
      </x:c>
      <x:c r="AL542" t="str">
        <x:f>IF(OR(AH542="",AI542=""),"PENDING_HUMAN",IF(AH542=AI542,AH542,IF(AK542&lt;&gt;"",AK542,"PENDING_HUMAN")))</x:f>
        <x:v>PENDING_HUMAN</x:v>
      </x:c>
      <x:c r="AM542" t="n">
        <x:f>--AND(A542&lt;&gt;"",AH542&lt;&gt;"",AI542&lt;&gt;"",OR(AH542=AI542,AK542&lt;&gt;""))</x:f>
        <x:v>0</x:v>
      </x:c>
      <x:c r="AN542" t="n">
        <x:f>--AND(Y542&lt;&gt;"",COUNTIF($Y$4:Y542,Y542)=1)</x:f>
        <x:v>0</x:v>
      </x:c>
      <x:c r="AO542" t="n">
        <x:f>--AND(AN542=1,Z542=1,AM542=1)</x:f>
        <x:v>0</x:v>
      </x:c>
      <x:c r="AP542" t="n">
        <x:f>--AND(AO542=1,AA542=1,AL542=1)</x:f>
        <x:v>0</x:v>
      </x:c>
      <x:c r="AQ542" t="n">
        <x:f>--AND(AN542=1,Z542=1)</x:f>
        <x:v>0</x:v>
      </x:c>
      <x:c r="AR542" t="n">
        <x:f>--AND(AQ542=1,AA542=1)</x:f>
        <x:v>0</x:v>
      </x:c>
    </x:row>
    <x:row r="543">
      <x:c r="A543" s="28"/>
      <x:c r="B543" s="28"/>
      <x:c r="C543" s="28"/>
      <x:c r="D543" s="28"/>
      <x:c r="E543" s="28"/>
      <x:c r="F543" s="28"/>
      <x:c r="G543" s="28"/>
      <x:c r="H543" s="28"/>
      <x:c r="I543" s="28"/>
      <x:c r="J543" s="28"/>
      <x:c r="K543" s="28"/>
      <x:c r="L543" s="28"/>
      <x:c r="M543" s="28"/>
      <x:c r="N543" s="28"/>
      <x:c r="O543" s="28"/>
      <x:c r="P543" s="28"/>
      <x:c r="Q543" s="28"/>
      <x:c r="R543" s="28"/>
      <x:c r="S543" s="28"/>
      <x:c r="T543" s="28"/>
      <x:c r="U543" s="28"/>
      <x:c r="V543" s="28"/>
      <x:c r="W543" s="28"/>
      <x:c r="X543" s="43" t="n">
        <x:f>--AND(S543=1,T543=1,U543=1,V543=1,W543=1)</x:f>
        <x:v>0</x:v>
      </x:c>
      <x:c r="AE543" s="43" t="n">
        <x:f>--AND(S543=1,M543&lt;&gt;"",M543&lt;&gt;"keep")</x:f>
        <x:v>0</x:v>
      </x:c>
      <x:c r="AG543" t="n">
        <x:f>--AND(S543=1,T543=1,U543=1,V543=1,W543=1,AE543=1)</x:f>
        <x:v>0</x:v>
      </x:c>
      <x:c r="AJ543" t="str">
        <x:f>IF(OR(AH543="",AI543=""),"",--(AH543&lt;&gt;AI543))</x:f>
      </x:c>
      <x:c r="AL543" t="str">
        <x:f>IF(OR(AH543="",AI543=""),"PENDING_HUMAN",IF(AH543=AI543,AH543,IF(AK543&lt;&gt;"",AK543,"PENDING_HUMAN")))</x:f>
        <x:v>PENDING_HUMAN</x:v>
      </x:c>
      <x:c r="AM543" t="n">
        <x:f>--AND(A543&lt;&gt;"",AH543&lt;&gt;"",AI543&lt;&gt;"",OR(AH543=AI543,AK543&lt;&gt;""))</x:f>
        <x:v>0</x:v>
      </x:c>
      <x:c r="AN543" t="n">
        <x:f>--AND(Y543&lt;&gt;"",COUNTIF($Y$4:Y543,Y543)=1)</x:f>
        <x:v>0</x:v>
      </x:c>
      <x:c r="AO543" t="n">
        <x:f>--AND(AN543=1,Z543=1,AM543=1)</x:f>
        <x:v>0</x:v>
      </x:c>
      <x:c r="AP543" t="n">
        <x:f>--AND(AO543=1,AA543=1,AL543=1)</x:f>
        <x:v>0</x:v>
      </x:c>
      <x:c r="AQ543" t="n">
        <x:f>--AND(AN543=1,Z543=1)</x:f>
        <x:v>0</x:v>
      </x:c>
      <x:c r="AR543" t="n">
        <x:f>--AND(AQ543=1,AA543=1)</x:f>
        <x:v>0</x:v>
      </x:c>
    </x:row>
    <x:row r="544">
      <x:c r="A544" s="28"/>
      <x:c r="B544" s="28"/>
      <x:c r="C544" s="28"/>
      <x:c r="D544" s="28"/>
      <x:c r="E544" s="28"/>
      <x:c r="F544" s="28"/>
      <x:c r="G544" s="28"/>
      <x:c r="H544" s="28"/>
      <x:c r="I544" s="28"/>
      <x:c r="J544" s="28"/>
      <x:c r="K544" s="28"/>
      <x:c r="L544" s="28"/>
      <x:c r="M544" s="28"/>
      <x:c r="N544" s="28"/>
      <x:c r="O544" s="28"/>
      <x:c r="P544" s="28"/>
      <x:c r="Q544" s="28"/>
      <x:c r="R544" s="28"/>
      <x:c r="S544" s="28"/>
      <x:c r="T544" s="28"/>
      <x:c r="U544" s="28"/>
      <x:c r="V544" s="28"/>
      <x:c r="W544" s="28"/>
      <x:c r="X544" s="43" t="n">
        <x:f>--AND(S544=1,T544=1,U544=1,V544=1,W544=1)</x:f>
        <x:v>0</x:v>
      </x:c>
      <x:c r="AE544" s="43" t="n">
        <x:f>--AND(S544=1,M544&lt;&gt;"",M544&lt;&gt;"keep")</x:f>
        <x:v>0</x:v>
      </x:c>
      <x:c r="AG544" t="n">
        <x:f>--AND(S544=1,T544=1,U544=1,V544=1,W544=1,AE544=1)</x:f>
        <x:v>0</x:v>
      </x:c>
      <x:c r="AJ544" t="str">
        <x:f>IF(OR(AH544="",AI544=""),"",--(AH544&lt;&gt;AI544))</x:f>
      </x:c>
      <x:c r="AL544" t="str">
        <x:f>IF(OR(AH544="",AI544=""),"PENDING_HUMAN",IF(AH544=AI544,AH544,IF(AK544&lt;&gt;"",AK544,"PENDING_HUMAN")))</x:f>
        <x:v>PENDING_HUMAN</x:v>
      </x:c>
      <x:c r="AM544" t="n">
        <x:f>--AND(A544&lt;&gt;"",AH544&lt;&gt;"",AI544&lt;&gt;"",OR(AH544=AI544,AK544&lt;&gt;""))</x:f>
        <x:v>0</x:v>
      </x:c>
      <x:c r="AN544" t="n">
        <x:f>--AND(Y544&lt;&gt;"",COUNTIF($Y$4:Y544,Y544)=1)</x:f>
        <x:v>0</x:v>
      </x:c>
      <x:c r="AO544" t="n">
        <x:f>--AND(AN544=1,Z544=1,AM544=1)</x:f>
        <x:v>0</x:v>
      </x:c>
      <x:c r="AP544" t="n">
        <x:f>--AND(AO544=1,AA544=1,AL544=1)</x:f>
        <x:v>0</x:v>
      </x:c>
      <x:c r="AQ544" t="n">
        <x:f>--AND(AN544=1,Z544=1)</x:f>
        <x:v>0</x:v>
      </x:c>
      <x:c r="AR544" t="n">
        <x:f>--AND(AQ544=1,AA544=1)</x:f>
        <x:v>0</x:v>
      </x:c>
    </x:row>
    <x:row r="545">
      <x:c r="A545" s="28"/>
      <x:c r="B545" s="28"/>
      <x:c r="C545" s="28"/>
      <x:c r="D545" s="28"/>
      <x:c r="E545" s="28"/>
      <x:c r="F545" s="28"/>
      <x:c r="G545" s="28"/>
      <x:c r="H545" s="28"/>
      <x:c r="I545" s="28"/>
      <x:c r="J545" s="28"/>
      <x:c r="K545" s="28"/>
      <x:c r="L545" s="28"/>
      <x:c r="M545" s="28"/>
      <x:c r="N545" s="28"/>
      <x:c r="O545" s="28"/>
      <x:c r="P545" s="28"/>
      <x:c r="Q545" s="28"/>
      <x:c r="R545" s="28"/>
      <x:c r="S545" s="28"/>
      <x:c r="T545" s="28"/>
      <x:c r="U545" s="28"/>
      <x:c r="V545" s="28"/>
      <x:c r="W545" s="28"/>
      <x:c r="X545" s="43" t="n">
        <x:f>--AND(S545=1,T545=1,U545=1,V545=1,W545=1)</x:f>
        <x:v>0</x:v>
      </x:c>
      <x:c r="AE545" s="43" t="n">
        <x:f>--AND(S545=1,M545&lt;&gt;"",M545&lt;&gt;"keep")</x:f>
        <x:v>0</x:v>
      </x:c>
      <x:c r="AG545" t="n">
        <x:f>--AND(S545=1,T545=1,U545=1,V545=1,W545=1,AE545=1)</x:f>
        <x:v>0</x:v>
      </x:c>
      <x:c r="AJ545" t="str">
        <x:f>IF(OR(AH545="",AI545=""),"",--(AH545&lt;&gt;AI545))</x:f>
      </x:c>
      <x:c r="AL545" t="str">
        <x:f>IF(OR(AH545="",AI545=""),"PENDING_HUMAN",IF(AH545=AI545,AH545,IF(AK545&lt;&gt;"",AK545,"PENDING_HUMAN")))</x:f>
        <x:v>PENDING_HUMAN</x:v>
      </x:c>
      <x:c r="AM545" t="n">
        <x:f>--AND(A545&lt;&gt;"",AH545&lt;&gt;"",AI545&lt;&gt;"",OR(AH545=AI545,AK545&lt;&gt;""))</x:f>
        <x:v>0</x:v>
      </x:c>
      <x:c r="AN545" t="n">
        <x:f>--AND(Y545&lt;&gt;"",COUNTIF($Y$4:Y545,Y545)=1)</x:f>
        <x:v>0</x:v>
      </x:c>
      <x:c r="AO545" t="n">
        <x:f>--AND(AN545=1,Z545=1,AM545=1)</x:f>
        <x:v>0</x:v>
      </x:c>
      <x:c r="AP545" t="n">
        <x:f>--AND(AO545=1,AA545=1,AL545=1)</x:f>
        <x:v>0</x:v>
      </x:c>
      <x:c r="AQ545" t="n">
        <x:f>--AND(AN545=1,Z545=1)</x:f>
        <x:v>0</x:v>
      </x:c>
      <x:c r="AR545" t="n">
        <x:f>--AND(AQ545=1,AA545=1)</x:f>
        <x:v>0</x:v>
      </x:c>
    </x:row>
    <x:row r="546">
      <x:c r="A546" s="28"/>
      <x:c r="B546" s="28"/>
      <x:c r="C546" s="28"/>
      <x:c r="D546" s="28"/>
      <x:c r="E546" s="28"/>
      <x:c r="F546" s="28"/>
      <x:c r="G546" s="28"/>
      <x:c r="H546" s="28"/>
      <x:c r="I546" s="28"/>
      <x:c r="J546" s="28"/>
      <x:c r="K546" s="28"/>
      <x:c r="L546" s="28"/>
      <x:c r="M546" s="28"/>
      <x:c r="N546" s="28"/>
      <x:c r="O546" s="28"/>
      <x:c r="P546" s="28"/>
      <x:c r="Q546" s="28"/>
      <x:c r="R546" s="28"/>
      <x:c r="S546" s="28"/>
      <x:c r="T546" s="28"/>
      <x:c r="U546" s="28"/>
      <x:c r="V546" s="28"/>
      <x:c r="W546" s="28"/>
      <x:c r="X546" s="43" t="n">
        <x:f>--AND(S546=1,T546=1,U546=1,V546=1,W546=1)</x:f>
        <x:v>0</x:v>
      </x:c>
      <x:c r="AE546" s="43" t="n">
        <x:f>--AND(S546=1,M546&lt;&gt;"",M546&lt;&gt;"keep")</x:f>
        <x:v>0</x:v>
      </x:c>
      <x:c r="AG546" t="n">
        <x:f>--AND(S546=1,T546=1,U546=1,V546=1,W546=1,AE546=1)</x:f>
        <x:v>0</x:v>
      </x:c>
      <x:c r="AJ546" t="str">
        <x:f>IF(OR(AH546="",AI546=""),"",--(AH546&lt;&gt;AI546))</x:f>
      </x:c>
      <x:c r="AL546" t="str">
        <x:f>IF(OR(AH546="",AI546=""),"PENDING_HUMAN",IF(AH546=AI546,AH546,IF(AK546&lt;&gt;"",AK546,"PENDING_HUMAN")))</x:f>
        <x:v>PENDING_HUMAN</x:v>
      </x:c>
      <x:c r="AM546" t="n">
        <x:f>--AND(A546&lt;&gt;"",AH546&lt;&gt;"",AI546&lt;&gt;"",OR(AH546=AI546,AK546&lt;&gt;""))</x:f>
        <x:v>0</x:v>
      </x:c>
      <x:c r="AN546" t="n">
        <x:f>--AND(Y546&lt;&gt;"",COUNTIF($Y$4:Y546,Y546)=1)</x:f>
        <x:v>0</x:v>
      </x:c>
      <x:c r="AO546" t="n">
        <x:f>--AND(AN546=1,Z546=1,AM546=1)</x:f>
        <x:v>0</x:v>
      </x:c>
      <x:c r="AP546" t="n">
        <x:f>--AND(AO546=1,AA546=1,AL546=1)</x:f>
        <x:v>0</x:v>
      </x:c>
      <x:c r="AQ546" t="n">
        <x:f>--AND(AN546=1,Z546=1)</x:f>
        <x:v>0</x:v>
      </x:c>
      <x:c r="AR546" t="n">
        <x:f>--AND(AQ546=1,AA546=1)</x:f>
        <x:v>0</x:v>
      </x:c>
    </x:row>
    <x:row r="547">
      <x:c r="A547" s="28"/>
      <x:c r="B547" s="28"/>
      <x:c r="C547" s="28"/>
      <x:c r="D547" s="28"/>
      <x:c r="E547" s="28"/>
      <x:c r="F547" s="28"/>
      <x:c r="G547" s="28"/>
      <x:c r="H547" s="28"/>
      <x:c r="I547" s="28"/>
      <x:c r="J547" s="28"/>
      <x:c r="K547" s="28"/>
      <x:c r="L547" s="28"/>
      <x:c r="M547" s="28"/>
      <x:c r="N547" s="28"/>
      <x:c r="O547" s="28"/>
      <x:c r="P547" s="28"/>
      <x:c r="Q547" s="28"/>
      <x:c r="R547" s="28"/>
      <x:c r="S547" s="28"/>
      <x:c r="T547" s="28"/>
      <x:c r="U547" s="28"/>
      <x:c r="V547" s="28"/>
      <x:c r="W547" s="28"/>
      <x:c r="X547" s="43" t="n">
        <x:f>--AND(S547=1,T547=1,U547=1,V547=1,W547=1)</x:f>
        <x:v>0</x:v>
      </x:c>
      <x:c r="AE547" s="43" t="n">
        <x:f>--AND(S547=1,M547&lt;&gt;"",M547&lt;&gt;"keep")</x:f>
        <x:v>0</x:v>
      </x:c>
      <x:c r="AG547" t="n">
        <x:f>--AND(S547=1,T547=1,U547=1,V547=1,W547=1,AE547=1)</x:f>
        <x:v>0</x:v>
      </x:c>
      <x:c r="AJ547" t="str">
        <x:f>IF(OR(AH547="",AI547=""),"",--(AH547&lt;&gt;AI547))</x:f>
      </x:c>
      <x:c r="AL547" t="str">
        <x:f>IF(OR(AH547="",AI547=""),"PENDING_HUMAN",IF(AH547=AI547,AH547,IF(AK547&lt;&gt;"",AK547,"PENDING_HUMAN")))</x:f>
        <x:v>PENDING_HUMAN</x:v>
      </x:c>
      <x:c r="AM547" t="n">
        <x:f>--AND(A547&lt;&gt;"",AH547&lt;&gt;"",AI547&lt;&gt;"",OR(AH547=AI547,AK547&lt;&gt;""))</x:f>
        <x:v>0</x:v>
      </x:c>
      <x:c r="AN547" t="n">
        <x:f>--AND(Y547&lt;&gt;"",COUNTIF($Y$4:Y547,Y547)=1)</x:f>
        <x:v>0</x:v>
      </x:c>
      <x:c r="AO547" t="n">
        <x:f>--AND(AN547=1,Z547=1,AM547=1)</x:f>
        <x:v>0</x:v>
      </x:c>
      <x:c r="AP547" t="n">
        <x:f>--AND(AO547=1,AA547=1,AL547=1)</x:f>
        <x:v>0</x:v>
      </x:c>
      <x:c r="AQ547" t="n">
        <x:f>--AND(AN547=1,Z547=1)</x:f>
        <x:v>0</x:v>
      </x:c>
      <x:c r="AR547" t="n">
        <x:f>--AND(AQ547=1,AA547=1)</x:f>
        <x:v>0</x:v>
      </x:c>
    </x:row>
    <x:row r="548">
      <x:c r="A548" s="28"/>
      <x:c r="B548" s="28"/>
      <x:c r="C548" s="28"/>
      <x:c r="D548" s="28"/>
      <x:c r="E548" s="28"/>
      <x:c r="F548" s="28"/>
      <x:c r="G548" s="28"/>
      <x:c r="H548" s="28"/>
      <x:c r="I548" s="28"/>
      <x:c r="J548" s="28"/>
      <x:c r="K548" s="28"/>
      <x:c r="L548" s="28"/>
      <x:c r="M548" s="28"/>
      <x:c r="N548" s="28"/>
      <x:c r="O548" s="28"/>
      <x:c r="P548" s="28"/>
      <x:c r="Q548" s="28"/>
      <x:c r="R548" s="28"/>
      <x:c r="S548" s="28"/>
      <x:c r="T548" s="28"/>
      <x:c r="U548" s="28"/>
      <x:c r="V548" s="28"/>
      <x:c r="W548" s="28"/>
      <x:c r="X548" s="43" t="n">
        <x:f>--AND(S548=1,T548=1,U548=1,V548=1,W548=1)</x:f>
        <x:v>0</x:v>
      </x:c>
      <x:c r="AE548" s="43" t="n">
        <x:f>--AND(S548=1,M548&lt;&gt;"",M548&lt;&gt;"keep")</x:f>
        <x:v>0</x:v>
      </x:c>
      <x:c r="AG548" t="n">
        <x:f>--AND(S548=1,T548=1,U548=1,V548=1,W548=1,AE548=1)</x:f>
        <x:v>0</x:v>
      </x:c>
      <x:c r="AJ548" t="str">
        <x:f>IF(OR(AH548="",AI548=""),"",--(AH548&lt;&gt;AI548))</x:f>
      </x:c>
      <x:c r="AL548" t="str">
        <x:f>IF(OR(AH548="",AI548=""),"PENDING_HUMAN",IF(AH548=AI548,AH548,IF(AK548&lt;&gt;"",AK548,"PENDING_HUMAN")))</x:f>
        <x:v>PENDING_HUMAN</x:v>
      </x:c>
      <x:c r="AM548" t="n">
        <x:f>--AND(A548&lt;&gt;"",AH548&lt;&gt;"",AI548&lt;&gt;"",OR(AH548=AI548,AK548&lt;&gt;""))</x:f>
        <x:v>0</x:v>
      </x:c>
      <x:c r="AN548" t="n">
        <x:f>--AND(Y548&lt;&gt;"",COUNTIF($Y$4:Y548,Y548)=1)</x:f>
        <x:v>0</x:v>
      </x:c>
      <x:c r="AO548" t="n">
        <x:f>--AND(AN548=1,Z548=1,AM548=1)</x:f>
        <x:v>0</x:v>
      </x:c>
      <x:c r="AP548" t="n">
        <x:f>--AND(AO548=1,AA548=1,AL548=1)</x:f>
        <x:v>0</x:v>
      </x:c>
      <x:c r="AQ548" t="n">
        <x:f>--AND(AN548=1,Z548=1)</x:f>
        <x:v>0</x:v>
      </x:c>
      <x:c r="AR548" t="n">
        <x:f>--AND(AQ548=1,AA548=1)</x:f>
        <x:v>0</x:v>
      </x:c>
    </x:row>
    <x:row r="549">
      <x:c r="A549" s="28"/>
      <x:c r="B549" s="28"/>
      <x:c r="C549" s="28"/>
      <x:c r="D549" s="28"/>
      <x:c r="E549" s="28"/>
      <x:c r="F549" s="28"/>
      <x:c r="G549" s="28"/>
      <x:c r="H549" s="28"/>
      <x:c r="I549" s="28"/>
      <x:c r="J549" s="28"/>
      <x:c r="K549" s="28"/>
      <x:c r="L549" s="28"/>
      <x:c r="M549" s="28"/>
      <x:c r="N549" s="28"/>
      <x:c r="O549" s="28"/>
      <x:c r="P549" s="28"/>
      <x:c r="Q549" s="28"/>
      <x:c r="R549" s="28"/>
      <x:c r="S549" s="28"/>
      <x:c r="T549" s="28"/>
      <x:c r="U549" s="28"/>
      <x:c r="V549" s="28"/>
      <x:c r="W549" s="28"/>
      <x:c r="X549" s="43" t="n">
        <x:f>--AND(S549=1,T549=1,U549=1,V549=1,W549=1)</x:f>
        <x:v>0</x:v>
      </x:c>
      <x:c r="AE549" s="43" t="n">
        <x:f>--AND(S549=1,M549&lt;&gt;"",M549&lt;&gt;"keep")</x:f>
        <x:v>0</x:v>
      </x:c>
      <x:c r="AG549" t="n">
        <x:f>--AND(S549=1,T549=1,U549=1,V549=1,W549=1,AE549=1)</x:f>
        <x:v>0</x:v>
      </x:c>
      <x:c r="AJ549" t="str">
        <x:f>IF(OR(AH549="",AI549=""),"",--(AH549&lt;&gt;AI549))</x:f>
      </x:c>
      <x:c r="AL549" t="str">
        <x:f>IF(OR(AH549="",AI549=""),"PENDING_HUMAN",IF(AH549=AI549,AH549,IF(AK549&lt;&gt;"",AK549,"PENDING_HUMAN")))</x:f>
        <x:v>PENDING_HUMAN</x:v>
      </x:c>
      <x:c r="AM549" t="n">
        <x:f>--AND(A549&lt;&gt;"",AH549&lt;&gt;"",AI549&lt;&gt;"",OR(AH549=AI549,AK549&lt;&gt;""))</x:f>
        <x:v>0</x:v>
      </x:c>
      <x:c r="AN549" t="n">
        <x:f>--AND(Y549&lt;&gt;"",COUNTIF($Y$4:Y549,Y549)=1)</x:f>
        <x:v>0</x:v>
      </x:c>
      <x:c r="AO549" t="n">
        <x:f>--AND(AN549=1,Z549=1,AM549=1)</x:f>
        <x:v>0</x:v>
      </x:c>
      <x:c r="AP549" t="n">
        <x:f>--AND(AO549=1,AA549=1,AL549=1)</x:f>
        <x:v>0</x:v>
      </x:c>
      <x:c r="AQ549" t="n">
        <x:f>--AND(AN549=1,Z549=1)</x:f>
        <x:v>0</x:v>
      </x:c>
      <x:c r="AR549" t="n">
        <x:f>--AND(AQ549=1,AA549=1)</x:f>
        <x:v>0</x:v>
      </x:c>
    </x:row>
    <x:row r="550">
      <x:c r="A550" s="28"/>
      <x:c r="B550" s="28"/>
      <x:c r="C550" s="28"/>
      <x:c r="D550" s="28"/>
      <x:c r="E550" s="28"/>
      <x:c r="F550" s="28"/>
      <x:c r="G550" s="28"/>
      <x:c r="H550" s="28"/>
      <x:c r="I550" s="28"/>
      <x:c r="J550" s="28"/>
      <x:c r="K550" s="28"/>
      <x:c r="L550" s="28"/>
      <x:c r="M550" s="28"/>
      <x:c r="N550" s="28"/>
      <x:c r="O550" s="28"/>
      <x:c r="P550" s="28"/>
      <x:c r="Q550" s="28"/>
      <x:c r="R550" s="28"/>
      <x:c r="S550" s="28"/>
      <x:c r="T550" s="28"/>
      <x:c r="U550" s="28"/>
      <x:c r="V550" s="28"/>
      <x:c r="W550" s="28"/>
      <x:c r="X550" s="43" t="n">
        <x:f>--AND(S550=1,T550=1,U550=1,V550=1,W550=1)</x:f>
        <x:v>0</x:v>
      </x:c>
      <x:c r="AE550" s="43" t="n">
        <x:f>--AND(S550=1,M550&lt;&gt;"",M550&lt;&gt;"keep")</x:f>
        <x:v>0</x:v>
      </x:c>
      <x:c r="AG550" t="n">
        <x:f>--AND(S550=1,T550=1,U550=1,V550=1,W550=1,AE550=1)</x:f>
        <x:v>0</x:v>
      </x:c>
      <x:c r="AJ550" t="str">
        <x:f>IF(OR(AH550="",AI550=""),"",--(AH550&lt;&gt;AI550))</x:f>
      </x:c>
      <x:c r="AL550" t="str">
        <x:f>IF(OR(AH550="",AI550=""),"PENDING_HUMAN",IF(AH550=AI550,AH550,IF(AK550&lt;&gt;"",AK550,"PENDING_HUMAN")))</x:f>
        <x:v>PENDING_HUMAN</x:v>
      </x:c>
      <x:c r="AM550" t="n">
        <x:f>--AND(A550&lt;&gt;"",AH550&lt;&gt;"",AI550&lt;&gt;"",OR(AH550=AI550,AK550&lt;&gt;""))</x:f>
        <x:v>0</x:v>
      </x:c>
      <x:c r="AN550" t="n">
        <x:f>--AND(Y550&lt;&gt;"",COUNTIF($Y$4:Y550,Y550)=1)</x:f>
        <x:v>0</x:v>
      </x:c>
      <x:c r="AO550" t="n">
        <x:f>--AND(AN550=1,Z550=1,AM550=1)</x:f>
        <x:v>0</x:v>
      </x:c>
      <x:c r="AP550" t="n">
        <x:f>--AND(AO550=1,AA550=1,AL550=1)</x:f>
        <x:v>0</x:v>
      </x:c>
      <x:c r="AQ550" t="n">
        <x:f>--AND(AN550=1,Z550=1)</x:f>
        <x:v>0</x:v>
      </x:c>
      <x:c r="AR550" t="n">
        <x:f>--AND(AQ550=1,AA550=1)</x:f>
        <x:v>0</x:v>
      </x:c>
    </x:row>
    <x:row r="551">
      <x:c r="A551" s="28"/>
      <x:c r="B551" s="28"/>
      <x:c r="C551" s="28"/>
      <x:c r="D551" s="28"/>
      <x:c r="E551" s="28"/>
      <x:c r="F551" s="28"/>
      <x:c r="G551" s="28"/>
      <x:c r="H551" s="28"/>
      <x:c r="I551" s="28"/>
      <x:c r="J551" s="28"/>
      <x:c r="K551" s="28"/>
      <x:c r="L551" s="28"/>
      <x:c r="M551" s="28"/>
      <x:c r="N551" s="28"/>
      <x:c r="O551" s="28"/>
      <x:c r="P551" s="28"/>
      <x:c r="Q551" s="28"/>
      <x:c r="R551" s="28"/>
      <x:c r="S551" s="28"/>
      <x:c r="T551" s="28"/>
      <x:c r="U551" s="28"/>
      <x:c r="V551" s="28"/>
      <x:c r="W551" s="28"/>
      <x:c r="X551" s="43" t="n">
        <x:f>--AND(S551=1,T551=1,U551=1,V551=1,W551=1)</x:f>
        <x:v>0</x:v>
      </x:c>
      <x:c r="AE551" s="43" t="n">
        <x:f>--AND(S551=1,M551&lt;&gt;"",M551&lt;&gt;"keep")</x:f>
        <x:v>0</x:v>
      </x:c>
      <x:c r="AG551" t="n">
        <x:f>--AND(S551=1,T551=1,U551=1,V551=1,W551=1,AE551=1)</x:f>
        <x:v>0</x:v>
      </x:c>
      <x:c r="AJ551" t="str">
        <x:f>IF(OR(AH551="",AI551=""),"",--(AH551&lt;&gt;AI551))</x:f>
      </x:c>
      <x:c r="AL551" t="str">
        <x:f>IF(OR(AH551="",AI551=""),"PENDING_HUMAN",IF(AH551=AI551,AH551,IF(AK551&lt;&gt;"",AK551,"PENDING_HUMAN")))</x:f>
        <x:v>PENDING_HUMAN</x:v>
      </x:c>
      <x:c r="AM551" t="n">
        <x:f>--AND(A551&lt;&gt;"",AH551&lt;&gt;"",AI551&lt;&gt;"",OR(AH551=AI551,AK551&lt;&gt;""))</x:f>
        <x:v>0</x:v>
      </x:c>
      <x:c r="AN551" t="n">
        <x:f>--AND(Y551&lt;&gt;"",COUNTIF($Y$4:Y551,Y551)=1)</x:f>
        <x:v>0</x:v>
      </x:c>
      <x:c r="AO551" t="n">
        <x:f>--AND(AN551=1,Z551=1,AM551=1)</x:f>
        <x:v>0</x:v>
      </x:c>
      <x:c r="AP551" t="n">
        <x:f>--AND(AO551=1,AA551=1,AL551=1)</x:f>
        <x:v>0</x:v>
      </x:c>
      <x:c r="AQ551" t="n">
        <x:f>--AND(AN551=1,Z551=1)</x:f>
        <x:v>0</x:v>
      </x:c>
      <x:c r="AR551" t="n">
        <x:f>--AND(AQ551=1,AA551=1)</x:f>
        <x:v>0</x:v>
      </x:c>
    </x:row>
    <x:row r="552">
      <x:c r="A552" s="28"/>
      <x:c r="B552" s="28"/>
      <x:c r="C552" s="28"/>
      <x:c r="D552" s="28"/>
      <x:c r="E552" s="28"/>
      <x:c r="F552" s="28"/>
      <x:c r="G552" s="28"/>
      <x:c r="H552" s="28"/>
      <x:c r="I552" s="28"/>
      <x:c r="J552" s="28"/>
      <x:c r="K552" s="28"/>
      <x:c r="L552" s="28"/>
      <x:c r="M552" s="28"/>
      <x:c r="N552" s="28"/>
      <x:c r="O552" s="28"/>
      <x:c r="P552" s="28"/>
      <x:c r="Q552" s="28"/>
      <x:c r="R552" s="28"/>
      <x:c r="S552" s="28"/>
      <x:c r="T552" s="28"/>
      <x:c r="U552" s="28"/>
      <x:c r="V552" s="28"/>
      <x:c r="W552" s="28"/>
      <x:c r="X552" s="43" t="n">
        <x:f>--AND(S552=1,T552=1,U552=1,V552=1,W552=1)</x:f>
        <x:v>0</x:v>
      </x:c>
      <x:c r="AE552" s="43" t="n">
        <x:f>--AND(S552=1,M552&lt;&gt;"",M552&lt;&gt;"keep")</x:f>
        <x:v>0</x:v>
      </x:c>
      <x:c r="AG552" t="n">
        <x:f>--AND(S552=1,T552=1,U552=1,V552=1,W552=1,AE552=1)</x:f>
        <x:v>0</x:v>
      </x:c>
      <x:c r="AJ552" t="str">
        <x:f>IF(OR(AH552="",AI552=""),"",--(AH552&lt;&gt;AI552))</x:f>
      </x:c>
      <x:c r="AL552" t="str">
        <x:f>IF(OR(AH552="",AI552=""),"PENDING_HUMAN",IF(AH552=AI552,AH552,IF(AK552&lt;&gt;"",AK552,"PENDING_HUMAN")))</x:f>
        <x:v>PENDING_HUMAN</x:v>
      </x:c>
      <x:c r="AM552" t="n">
        <x:f>--AND(A552&lt;&gt;"",AH552&lt;&gt;"",AI552&lt;&gt;"",OR(AH552=AI552,AK552&lt;&gt;""))</x:f>
        <x:v>0</x:v>
      </x:c>
      <x:c r="AN552" t="n">
        <x:f>--AND(Y552&lt;&gt;"",COUNTIF($Y$4:Y552,Y552)=1)</x:f>
        <x:v>0</x:v>
      </x:c>
      <x:c r="AO552" t="n">
        <x:f>--AND(AN552=1,Z552=1,AM552=1)</x:f>
        <x:v>0</x:v>
      </x:c>
      <x:c r="AP552" t="n">
        <x:f>--AND(AO552=1,AA552=1,AL552=1)</x:f>
        <x:v>0</x:v>
      </x:c>
      <x:c r="AQ552" t="n">
        <x:f>--AND(AN552=1,Z552=1)</x:f>
        <x:v>0</x:v>
      </x:c>
      <x:c r="AR552" t="n">
        <x:f>--AND(AQ552=1,AA552=1)</x:f>
        <x:v>0</x:v>
      </x:c>
    </x:row>
    <x:row r="553">
      <x:c r="A553" s="28"/>
      <x:c r="B553" s="28"/>
      <x:c r="C553" s="28"/>
      <x:c r="D553" s="28"/>
      <x:c r="E553" s="28"/>
      <x:c r="F553" s="28"/>
      <x:c r="G553" s="28"/>
      <x:c r="H553" s="28"/>
      <x:c r="I553" s="28"/>
      <x:c r="J553" s="28"/>
      <x:c r="K553" s="28"/>
      <x:c r="L553" s="28"/>
      <x:c r="M553" s="28"/>
      <x:c r="N553" s="28"/>
      <x:c r="O553" s="28"/>
      <x:c r="P553" s="28"/>
      <x:c r="Q553" s="28"/>
      <x:c r="R553" s="28"/>
      <x:c r="S553" s="28"/>
      <x:c r="T553" s="28"/>
      <x:c r="U553" s="28"/>
      <x:c r="V553" s="28"/>
      <x:c r="W553" s="28"/>
      <x:c r="X553" s="43" t="n">
        <x:f>--AND(S553=1,T553=1,U553=1,V553=1,W553=1)</x:f>
        <x:v>0</x:v>
      </x:c>
      <x:c r="AE553" s="43" t="n">
        <x:f>--AND(S553=1,M553&lt;&gt;"",M553&lt;&gt;"keep")</x:f>
        <x:v>0</x:v>
      </x:c>
      <x:c r="AG553" t="n">
        <x:f>--AND(S553=1,T553=1,U553=1,V553=1,W553=1,AE553=1)</x:f>
        <x:v>0</x:v>
      </x:c>
      <x:c r="AJ553" t="str">
        <x:f>IF(OR(AH553="",AI553=""),"",--(AH553&lt;&gt;AI553))</x:f>
      </x:c>
      <x:c r="AL553" t="str">
        <x:f>IF(OR(AH553="",AI553=""),"PENDING_HUMAN",IF(AH553=AI553,AH553,IF(AK553&lt;&gt;"",AK553,"PENDING_HUMAN")))</x:f>
        <x:v>PENDING_HUMAN</x:v>
      </x:c>
      <x:c r="AM553" t="n">
        <x:f>--AND(A553&lt;&gt;"",AH553&lt;&gt;"",AI553&lt;&gt;"",OR(AH553=AI553,AK553&lt;&gt;""))</x:f>
        <x:v>0</x:v>
      </x:c>
      <x:c r="AN553" t="n">
        <x:f>--AND(Y553&lt;&gt;"",COUNTIF($Y$4:Y553,Y553)=1)</x:f>
        <x:v>0</x:v>
      </x:c>
      <x:c r="AO553" t="n">
        <x:f>--AND(AN553=1,Z553=1,AM553=1)</x:f>
        <x:v>0</x:v>
      </x:c>
      <x:c r="AP553" t="n">
        <x:f>--AND(AO553=1,AA553=1,AL553=1)</x:f>
        <x:v>0</x:v>
      </x:c>
      <x:c r="AQ553" t="n">
        <x:f>--AND(AN553=1,Z553=1)</x:f>
        <x:v>0</x:v>
      </x:c>
      <x:c r="AR553" t="n">
        <x:f>--AND(AQ553=1,AA553=1)</x:f>
        <x:v>0</x:v>
      </x:c>
    </x:row>
    <x:row r="554">
      <x:c r="A554" s="28"/>
      <x:c r="B554" s="28"/>
      <x:c r="C554" s="28"/>
      <x:c r="D554" s="28"/>
      <x:c r="E554" s="28"/>
      <x:c r="F554" s="28"/>
      <x:c r="G554" s="28"/>
      <x:c r="H554" s="28"/>
      <x:c r="I554" s="28"/>
      <x:c r="J554" s="28"/>
      <x:c r="K554" s="28"/>
      <x:c r="L554" s="28"/>
      <x:c r="M554" s="28"/>
      <x:c r="N554" s="28"/>
      <x:c r="O554" s="28"/>
      <x:c r="P554" s="28"/>
      <x:c r="Q554" s="28"/>
      <x:c r="R554" s="28"/>
      <x:c r="S554" s="28"/>
      <x:c r="T554" s="28"/>
      <x:c r="U554" s="28"/>
      <x:c r="V554" s="28"/>
      <x:c r="W554" s="28"/>
      <x:c r="X554" s="43" t="n">
        <x:f>--AND(S554=1,T554=1,U554=1,V554=1,W554=1)</x:f>
        <x:v>0</x:v>
      </x:c>
      <x:c r="AE554" s="43" t="n">
        <x:f>--AND(S554=1,M554&lt;&gt;"",M554&lt;&gt;"keep")</x:f>
        <x:v>0</x:v>
      </x:c>
      <x:c r="AG554" t="n">
        <x:f>--AND(S554=1,T554=1,U554=1,V554=1,W554=1,AE554=1)</x:f>
        <x:v>0</x:v>
      </x:c>
      <x:c r="AJ554" t="str">
        <x:f>IF(OR(AH554="",AI554=""),"",--(AH554&lt;&gt;AI554))</x:f>
      </x:c>
      <x:c r="AL554" t="str">
        <x:f>IF(OR(AH554="",AI554=""),"PENDING_HUMAN",IF(AH554=AI554,AH554,IF(AK554&lt;&gt;"",AK554,"PENDING_HUMAN")))</x:f>
        <x:v>PENDING_HUMAN</x:v>
      </x:c>
      <x:c r="AM554" t="n">
        <x:f>--AND(A554&lt;&gt;"",AH554&lt;&gt;"",AI554&lt;&gt;"",OR(AH554=AI554,AK554&lt;&gt;""))</x:f>
        <x:v>0</x:v>
      </x:c>
      <x:c r="AN554" t="n">
        <x:f>--AND(Y554&lt;&gt;"",COUNTIF($Y$4:Y554,Y554)=1)</x:f>
        <x:v>0</x:v>
      </x:c>
      <x:c r="AO554" t="n">
        <x:f>--AND(AN554=1,Z554=1,AM554=1)</x:f>
        <x:v>0</x:v>
      </x:c>
      <x:c r="AP554" t="n">
        <x:f>--AND(AO554=1,AA554=1,AL554=1)</x:f>
        <x:v>0</x:v>
      </x:c>
      <x:c r="AQ554" t="n">
        <x:f>--AND(AN554=1,Z554=1)</x:f>
        <x:v>0</x:v>
      </x:c>
      <x:c r="AR554" t="n">
        <x:f>--AND(AQ554=1,AA554=1)</x:f>
        <x:v>0</x:v>
      </x:c>
    </x:row>
    <x:row r="555">
      <x:c r="A555" s="28"/>
      <x:c r="B555" s="28"/>
      <x:c r="C555" s="28"/>
      <x:c r="D555" s="28"/>
      <x:c r="E555" s="28"/>
      <x:c r="F555" s="28"/>
      <x:c r="G555" s="28"/>
      <x:c r="H555" s="28"/>
      <x:c r="I555" s="28"/>
      <x:c r="J555" s="28"/>
      <x:c r="K555" s="28"/>
      <x:c r="L555" s="28"/>
      <x:c r="M555" s="28"/>
      <x:c r="N555" s="28"/>
      <x:c r="O555" s="28"/>
      <x:c r="P555" s="28"/>
      <x:c r="Q555" s="28"/>
      <x:c r="R555" s="28"/>
      <x:c r="S555" s="28"/>
      <x:c r="T555" s="28"/>
      <x:c r="U555" s="28"/>
      <x:c r="V555" s="28"/>
      <x:c r="W555" s="28"/>
      <x:c r="X555" s="43" t="n">
        <x:f>--AND(S555=1,T555=1,U555=1,V555=1,W555=1)</x:f>
        <x:v>0</x:v>
      </x:c>
      <x:c r="AE555" s="43" t="n">
        <x:f>--AND(S555=1,M555&lt;&gt;"",M555&lt;&gt;"keep")</x:f>
        <x:v>0</x:v>
      </x:c>
      <x:c r="AG555" t="n">
        <x:f>--AND(S555=1,T555=1,U555=1,V555=1,W555=1,AE555=1)</x:f>
        <x:v>0</x:v>
      </x:c>
      <x:c r="AJ555" t="str">
        <x:f>IF(OR(AH555="",AI555=""),"",--(AH555&lt;&gt;AI555))</x:f>
      </x:c>
      <x:c r="AL555" t="str">
        <x:f>IF(OR(AH555="",AI555=""),"PENDING_HUMAN",IF(AH555=AI555,AH555,IF(AK555&lt;&gt;"",AK555,"PENDING_HUMAN")))</x:f>
        <x:v>PENDING_HUMAN</x:v>
      </x:c>
      <x:c r="AM555" t="n">
        <x:f>--AND(A555&lt;&gt;"",AH555&lt;&gt;"",AI555&lt;&gt;"",OR(AH555=AI555,AK555&lt;&gt;""))</x:f>
        <x:v>0</x:v>
      </x:c>
      <x:c r="AN555" t="n">
        <x:f>--AND(Y555&lt;&gt;"",COUNTIF($Y$4:Y555,Y555)=1)</x:f>
        <x:v>0</x:v>
      </x:c>
      <x:c r="AO555" t="n">
        <x:f>--AND(AN555=1,Z555=1,AM555=1)</x:f>
        <x:v>0</x:v>
      </x:c>
      <x:c r="AP555" t="n">
        <x:f>--AND(AO555=1,AA555=1,AL555=1)</x:f>
        <x:v>0</x:v>
      </x:c>
      <x:c r="AQ555" t="n">
        <x:f>--AND(AN555=1,Z555=1)</x:f>
        <x:v>0</x:v>
      </x:c>
      <x:c r="AR555" t="n">
        <x:f>--AND(AQ555=1,AA555=1)</x:f>
        <x:v>0</x:v>
      </x:c>
    </x:row>
    <x:row r="556">
      <x:c r="A556" s="28"/>
      <x:c r="B556" s="28"/>
      <x:c r="C556" s="28"/>
      <x:c r="D556" s="28"/>
      <x:c r="E556" s="28"/>
      <x:c r="F556" s="28"/>
      <x:c r="G556" s="28"/>
      <x:c r="H556" s="28"/>
      <x:c r="I556" s="28"/>
      <x:c r="J556" s="28"/>
      <x:c r="K556" s="28"/>
      <x:c r="L556" s="28"/>
      <x:c r="M556" s="28"/>
      <x:c r="N556" s="28"/>
      <x:c r="O556" s="28"/>
      <x:c r="P556" s="28"/>
      <x:c r="Q556" s="28"/>
      <x:c r="R556" s="28"/>
      <x:c r="S556" s="28"/>
      <x:c r="T556" s="28"/>
      <x:c r="U556" s="28"/>
      <x:c r="V556" s="28"/>
      <x:c r="W556" s="28"/>
      <x:c r="X556" s="43" t="n">
        <x:f>--AND(S556=1,T556=1,U556=1,V556=1,W556=1)</x:f>
        <x:v>0</x:v>
      </x:c>
      <x:c r="AE556" s="43" t="n">
        <x:f>--AND(S556=1,M556&lt;&gt;"",M556&lt;&gt;"keep")</x:f>
        <x:v>0</x:v>
      </x:c>
      <x:c r="AG556" t="n">
        <x:f>--AND(S556=1,T556=1,U556=1,V556=1,W556=1,AE556=1)</x:f>
        <x:v>0</x:v>
      </x:c>
      <x:c r="AJ556" t="str">
        <x:f>IF(OR(AH556="",AI556=""),"",--(AH556&lt;&gt;AI556))</x:f>
      </x:c>
      <x:c r="AL556" t="str">
        <x:f>IF(OR(AH556="",AI556=""),"PENDING_HUMAN",IF(AH556=AI556,AH556,IF(AK556&lt;&gt;"",AK556,"PENDING_HUMAN")))</x:f>
        <x:v>PENDING_HUMAN</x:v>
      </x:c>
      <x:c r="AM556" t="n">
        <x:f>--AND(A556&lt;&gt;"",AH556&lt;&gt;"",AI556&lt;&gt;"",OR(AH556=AI556,AK556&lt;&gt;""))</x:f>
        <x:v>0</x:v>
      </x:c>
      <x:c r="AN556" t="n">
        <x:f>--AND(Y556&lt;&gt;"",COUNTIF($Y$4:Y556,Y556)=1)</x:f>
        <x:v>0</x:v>
      </x:c>
      <x:c r="AO556" t="n">
        <x:f>--AND(AN556=1,Z556=1,AM556=1)</x:f>
        <x:v>0</x:v>
      </x:c>
      <x:c r="AP556" t="n">
        <x:f>--AND(AO556=1,AA556=1,AL556=1)</x:f>
        <x:v>0</x:v>
      </x:c>
      <x:c r="AQ556" t="n">
        <x:f>--AND(AN556=1,Z556=1)</x:f>
        <x:v>0</x:v>
      </x:c>
      <x:c r="AR556" t="n">
        <x:f>--AND(AQ556=1,AA556=1)</x:f>
        <x:v>0</x:v>
      </x:c>
    </x:row>
    <x:row r="557">
      <x:c r="A557" s="28"/>
      <x:c r="B557" s="28"/>
      <x:c r="C557" s="28"/>
      <x:c r="D557" s="28"/>
      <x:c r="E557" s="28"/>
      <x:c r="F557" s="28"/>
      <x:c r="G557" s="28"/>
      <x:c r="H557" s="28"/>
      <x:c r="I557" s="28"/>
      <x:c r="J557" s="28"/>
      <x:c r="K557" s="28"/>
      <x:c r="L557" s="28"/>
      <x:c r="M557" s="28"/>
      <x:c r="N557" s="28"/>
      <x:c r="O557" s="28"/>
      <x:c r="P557" s="28"/>
      <x:c r="Q557" s="28"/>
      <x:c r="R557" s="28"/>
      <x:c r="S557" s="28"/>
      <x:c r="T557" s="28"/>
      <x:c r="U557" s="28"/>
      <x:c r="V557" s="28"/>
      <x:c r="W557" s="28"/>
      <x:c r="X557" s="43" t="n">
        <x:f>--AND(S557=1,T557=1,U557=1,V557=1,W557=1)</x:f>
        <x:v>0</x:v>
      </x:c>
      <x:c r="AE557" s="43" t="n">
        <x:f>--AND(S557=1,M557&lt;&gt;"",M557&lt;&gt;"keep")</x:f>
        <x:v>0</x:v>
      </x:c>
      <x:c r="AG557" t="n">
        <x:f>--AND(S557=1,T557=1,U557=1,V557=1,W557=1,AE557=1)</x:f>
        <x:v>0</x:v>
      </x:c>
      <x:c r="AJ557" t="str">
        <x:f>IF(OR(AH557="",AI557=""),"",--(AH557&lt;&gt;AI557))</x:f>
      </x:c>
      <x:c r="AL557" t="str">
        <x:f>IF(OR(AH557="",AI557=""),"PENDING_HUMAN",IF(AH557=AI557,AH557,IF(AK557&lt;&gt;"",AK557,"PENDING_HUMAN")))</x:f>
        <x:v>PENDING_HUMAN</x:v>
      </x:c>
      <x:c r="AM557" t="n">
        <x:f>--AND(A557&lt;&gt;"",AH557&lt;&gt;"",AI557&lt;&gt;"",OR(AH557=AI557,AK557&lt;&gt;""))</x:f>
        <x:v>0</x:v>
      </x:c>
      <x:c r="AN557" t="n">
        <x:f>--AND(Y557&lt;&gt;"",COUNTIF($Y$4:Y557,Y557)=1)</x:f>
        <x:v>0</x:v>
      </x:c>
      <x:c r="AO557" t="n">
        <x:f>--AND(AN557=1,Z557=1,AM557=1)</x:f>
        <x:v>0</x:v>
      </x:c>
      <x:c r="AP557" t="n">
        <x:f>--AND(AO557=1,AA557=1,AL557=1)</x:f>
        <x:v>0</x:v>
      </x:c>
      <x:c r="AQ557" t="n">
        <x:f>--AND(AN557=1,Z557=1)</x:f>
        <x:v>0</x:v>
      </x:c>
      <x:c r="AR557" t="n">
        <x:f>--AND(AQ557=1,AA557=1)</x:f>
        <x:v>0</x:v>
      </x:c>
    </x:row>
    <x:row r="558">
      <x:c r="A558" s="28"/>
      <x:c r="B558" s="28"/>
      <x:c r="C558" s="28"/>
      <x:c r="D558" s="28"/>
      <x:c r="E558" s="28"/>
      <x:c r="F558" s="28"/>
      <x:c r="G558" s="28"/>
      <x:c r="H558" s="28"/>
      <x:c r="I558" s="28"/>
      <x:c r="J558" s="28"/>
      <x:c r="K558" s="28"/>
      <x:c r="L558" s="28"/>
      <x:c r="M558" s="28"/>
      <x:c r="N558" s="28"/>
      <x:c r="O558" s="28"/>
      <x:c r="P558" s="28"/>
      <x:c r="Q558" s="28"/>
      <x:c r="R558" s="28"/>
      <x:c r="S558" s="28"/>
      <x:c r="T558" s="28"/>
      <x:c r="U558" s="28"/>
      <x:c r="V558" s="28"/>
      <x:c r="W558" s="28"/>
      <x:c r="X558" s="43" t="n">
        <x:f>--AND(S558=1,T558=1,U558=1,V558=1,W558=1)</x:f>
        <x:v>0</x:v>
      </x:c>
      <x:c r="AE558" s="43" t="n">
        <x:f>--AND(S558=1,M558&lt;&gt;"",M558&lt;&gt;"keep")</x:f>
        <x:v>0</x:v>
      </x:c>
      <x:c r="AG558" t="n">
        <x:f>--AND(S558=1,T558=1,U558=1,V558=1,W558=1,AE558=1)</x:f>
        <x:v>0</x:v>
      </x:c>
      <x:c r="AJ558" t="str">
        <x:f>IF(OR(AH558="",AI558=""),"",--(AH558&lt;&gt;AI558))</x:f>
      </x:c>
      <x:c r="AL558" t="str">
        <x:f>IF(OR(AH558="",AI558=""),"PENDING_HUMAN",IF(AH558=AI558,AH558,IF(AK558&lt;&gt;"",AK558,"PENDING_HUMAN")))</x:f>
        <x:v>PENDING_HUMAN</x:v>
      </x:c>
      <x:c r="AM558" t="n">
        <x:f>--AND(A558&lt;&gt;"",AH558&lt;&gt;"",AI558&lt;&gt;"",OR(AH558=AI558,AK558&lt;&gt;""))</x:f>
        <x:v>0</x:v>
      </x:c>
      <x:c r="AN558" t="n">
        <x:f>--AND(Y558&lt;&gt;"",COUNTIF($Y$4:Y558,Y558)=1)</x:f>
        <x:v>0</x:v>
      </x:c>
      <x:c r="AO558" t="n">
        <x:f>--AND(AN558=1,Z558=1,AM558=1)</x:f>
        <x:v>0</x:v>
      </x:c>
      <x:c r="AP558" t="n">
        <x:f>--AND(AO558=1,AA558=1,AL558=1)</x:f>
        <x:v>0</x:v>
      </x:c>
      <x:c r="AQ558" t="n">
        <x:f>--AND(AN558=1,Z558=1)</x:f>
        <x:v>0</x:v>
      </x:c>
      <x:c r="AR558" t="n">
        <x:f>--AND(AQ558=1,AA558=1)</x:f>
        <x:v>0</x:v>
      </x:c>
    </x:row>
    <x:row r="559">
      <x:c r="A559" s="28"/>
      <x:c r="B559" s="28"/>
      <x:c r="C559" s="28"/>
      <x:c r="D559" s="28"/>
      <x:c r="E559" s="28"/>
      <x:c r="F559" s="28"/>
      <x:c r="G559" s="28"/>
      <x:c r="H559" s="28"/>
      <x:c r="I559" s="28"/>
      <x:c r="J559" s="28"/>
      <x:c r="K559" s="28"/>
      <x:c r="L559" s="28"/>
      <x:c r="M559" s="28"/>
      <x:c r="N559" s="28"/>
      <x:c r="O559" s="28"/>
      <x:c r="P559" s="28"/>
      <x:c r="Q559" s="28"/>
      <x:c r="R559" s="28"/>
      <x:c r="S559" s="28"/>
      <x:c r="T559" s="28"/>
      <x:c r="U559" s="28"/>
      <x:c r="V559" s="28"/>
      <x:c r="W559" s="28"/>
      <x:c r="X559" s="43" t="n">
        <x:f>--AND(S559=1,T559=1,U559=1,V559=1,W559=1)</x:f>
        <x:v>0</x:v>
      </x:c>
      <x:c r="AE559" s="43" t="n">
        <x:f>--AND(S559=1,M559&lt;&gt;"",M559&lt;&gt;"keep")</x:f>
        <x:v>0</x:v>
      </x:c>
      <x:c r="AG559" t="n">
        <x:f>--AND(S559=1,T559=1,U559=1,V559=1,W559=1,AE559=1)</x:f>
        <x:v>0</x:v>
      </x:c>
      <x:c r="AJ559" t="str">
        <x:f>IF(OR(AH559="",AI559=""),"",--(AH559&lt;&gt;AI559))</x:f>
      </x:c>
      <x:c r="AL559" t="str">
        <x:f>IF(OR(AH559="",AI559=""),"PENDING_HUMAN",IF(AH559=AI559,AH559,IF(AK559&lt;&gt;"",AK559,"PENDING_HUMAN")))</x:f>
        <x:v>PENDING_HUMAN</x:v>
      </x:c>
      <x:c r="AM559" t="n">
        <x:f>--AND(A559&lt;&gt;"",AH559&lt;&gt;"",AI559&lt;&gt;"",OR(AH559=AI559,AK559&lt;&gt;""))</x:f>
        <x:v>0</x:v>
      </x:c>
      <x:c r="AN559" t="n">
        <x:f>--AND(Y559&lt;&gt;"",COUNTIF($Y$4:Y559,Y559)=1)</x:f>
        <x:v>0</x:v>
      </x:c>
      <x:c r="AO559" t="n">
        <x:f>--AND(AN559=1,Z559=1,AM559=1)</x:f>
        <x:v>0</x:v>
      </x:c>
      <x:c r="AP559" t="n">
        <x:f>--AND(AO559=1,AA559=1,AL559=1)</x:f>
        <x:v>0</x:v>
      </x:c>
      <x:c r="AQ559" t="n">
        <x:f>--AND(AN559=1,Z559=1)</x:f>
        <x:v>0</x:v>
      </x:c>
      <x:c r="AR559" t="n">
        <x:f>--AND(AQ559=1,AA559=1)</x:f>
        <x:v>0</x:v>
      </x:c>
    </x:row>
    <x:row r="560">
      <x:c r="A560" s="28"/>
      <x:c r="B560" s="28"/>
      <x:c r="C560" s="28"/>
      <x:c r="D560" s="28"/>
      <x:c r="E560" s="28"/>
      <x:c r="F560" s="28"/>
      <x:c r="G560" s="28"/>
      <x:c r="H560" s="28"/>
      <x:c r="I560" s="28"/>
      <x:c r="J560" s="28"/>
      <x:c r="K560" s="28"/>
      <x:c r="L560" s="28"/>
      <x:c r="M560" s="28"/>
      <x:c r="N560" s="28"/>
      <x:c r="O560" s="28"/>
      <x:c r="P560" s="28"/>
      <x:c r="Q560" s="28"/>
      <x:c r="R560" s="28"/>
      <x:c r="S560" s="28"/>
      <x:c r="T560" s="28"/>
      <x:c r="U560" s="28"/>
      <x:c r="V560" s="28"/>
      <x:c r="W560" s="28"/>
      <x:c r="X560" s="43" t="n">
        <x:f>--AND(S560=1,T560=1,U560=1,V560=1,W560=1)</x:f>
        <x:v>0</x:v>
      </x:c>
      <x:c r="AE560" s="43" t="n">
        <x:f>--AND(S560=1,M560&lt;&gt;"",M560&lt;&gt;"keep")</x:f>
        <x:v>0</x:v>
      </x:c>
      <x:c r="AG560" t="n">
        <x:f>--AND(S560=1,T560=1,U560=1,V560=1,W560=1,AE560=1)</x:f>
        <x:v>0</x:v>
      </x:c>
      <x:c r="AJ560" t="str">
        <x:f>IF(OR(AH560="",AI560=""),"",--(AH560&lt;&gt;AI560))</x:f>
      </x:c>
      <x:c r="AL560" t="str">
        <x:f>IF(OR(AH560="",AI560=""),"PENDING_HUMAN",IF(AH560=AI560,AH560,IF(AK560&lt;&gt;"",AK560,"PENDING_HUMAN")))</x:f>
        <x:v>PENDING_HUMAN</x:v>
      </x:c>
      <x:c r="AM560" t="n">
        <x:f>--AND(A560&lt;&gt;"",AH560&lt;&gt;"",AI560&lt;&gt;"",OR(AH560=AI560,AK560&lt;&gt;""))</x:f>
        <x:v>0</x:v>
      </x:c>
      <x:c r="AN560" t="n">
        <x:f>--AND(Y560&lt;&gt;"",COUNTIF($Y$4:Y560,Y560)=1)</x:f>
        <x:v>0</x:v>
      </x:c>
      <x:c r="AO560" t="n">
        <x:f>--AND(AN560=1,Z560=1,AM560=1)</x:f>
        <x:v>0</x:v>
      </x:c>
      <x:c r="AP560" t="n">
        <x:f>--AND(AO560=1,AA560=1,AL560=1)</x:f>
        <x:v>0</x:v>
      </x:c>
      <x:c r="AQ560" t="n">
        <x:f>--AND(AN560=1,Z560=1)</x:f>
        <x:v>0</x:v>
      </x:c>
      <x:c r="AR560" t="n">
        <x:f>--AND(AQ560=1,AA560=1)</x:f>
        <x:v>0</x:v>
      </x:c>
    </x:row>
    <x:row r="561">
      <x:c r="A561" s="28"/>
      <x:c r="B561" s="28"/>
      <x:c r="C561" s="28"/>
      <x:c r="D561" s="28"/>
      <x:c r="E561" s="28"/>
      <x:c r="F561" s="28"/>
      <x:c r="G561" s="28"/>
      <x:c r="H561" s="28"/>
      <x:c r="I561" s="28"/>
      <x:c r="J561" s="28"/>
      <x:c r="K561" s="28"/>
      <x:c r="L561" s="28"/>
      <x:c r="M561" s="28"/>
      <x:c r="N561" s="28"/>
      <x:c r="O561" s="28"/>
      <x:c r="P561" s="28"/>
      <x:c r="Q561" s="28"/>
      <x:c r="R561" s="28"/>
      <x:c r="S561" s="28"/>
      <x:c r="T561" s="28"/>
      <x:c r="U561" s="28"/>
      <x:c r="V561" s="28"/>
      <x:c r="W561" s="28"/>
      <x:c r="X561" s="43" t="n">
        <x:f>--AND(S561=1,T561=1,U561=1,V561=1,W561=1)</x:f>
        <x:v>0</x:v>
      </x:c>
      <x:c r="AE561" s="43" t="n">
        <x:f>--AND(S561=1,M561&lt;&gt;"",M561&lt;&gt;"keep")</x:f>
        <x:v>0</x:v>
      </x:c>
      <x:c r="AG561" t="n">
        <x:f>--AND(S561=1,T561=1,U561=1,V561=1,W561=1,AE561=1)</x:f>
        <x:v>0</x:v>
      </x:c>
      <x:c r="AJ561" t="str">
        <x:f>IF(OR(AH561="",AI561=""),"",--(AH561&lt;&gt;AI561))</x:f>
      </x:c>
      <x:c r="AL561" t="str">
        <x:f>IF(OR(AH561="",AI561=""),"PENDING_HUMAN",IF(AH561=AI561,AH561,IF(AK561&lt;&gt;"",AK561,"PENDING_HUMAN")))</x:f>
        <x:v>PENDING_HUMAN</x:v>
      </x:c>
      <x:c r="AM561" t="n">
        <x:f>--AND(A561&lt;&gt;"",AH561&lt;&gt;"",AI561&lt;&gt;"",OR(AH561=AI561,AK561&lt;&gt;""))</x:f>
        <x:v>0</x:v>
      </x:c>
      <x:c r="AN561" t="n">
        <x:f>--AND(Y561&lt;&gt;"",COUNTIF($Y$4:Y561,Y561)=1)</x:f>
        <x:v>0</x:v>
      </x:c>
      <x:c r="AO561" t="n">
        <x:f>--AND(AN561=1,Z561=1,AM561=1)</x:f>
        <x:v>0</x:v>
      </x:c>
      <x:c r="AP561" t="n">
        <x:f>--AND(AO561=1,AA561=1,AL561=1)</x:f>
        <x:v>0</x:v>
      </x:c>
      <x:c r="AQ561" t="n">
        <x:f>--AND(AN561=1,Z561=1)</x:f>
        <x:v>0</x:v>
      </x:c>
      <x:c r="AR561" t="n">
        <x:f>--AND(AQ561=1,AA561=1)</x:f>
        <x:v>0</x:v>
      </x:c>
    </x:row>
    <x:row r="562">
      <x:c r="A562" s="28"/>
      <x:c r="B562" s="28"/>
      <x:c r="C562" s="28"/>
      <x:c r="D562" s="28"/>
      <x:c r="E562" s="28"/>
      <x:c r="F562" s="28"/>
      <x:c r="G562" s="28"/>
      <x:c r="H562" s="28"/>
      <x:c r="I562" s="28"/>
      <x:c r="J562" s="28"/>
      <x:c r="K562" s="28"/>
      <x:c r="L562" s="28"/>
      <x:c r="M562" s="28"/>
      <x:c r="N562" s="28"/>
      <x:c r="O562" s="28"/>
      <x:c r="P562" s="28"/>
      <x:c r="Q562" s="28"/>
      <x:c r="R562" s="28"/>
      <x:c r="S562" s="28"/>
      <x:c r="T562" s="28"/>
      <x:c r="U562" s="28"/>
      <x:c r="V562" s="28"/>
      <x:c r="W562" s="28"/>
      <x:c r="X562" s="43" t="n">
        <x:f>--AND(S562=1,T562=1,U562=1,V562=1,W562=1)</x:f>
        <x:v>0</x:v>
      </x:c>
      <x:c r="AE562" s="43" t="n">
        <x:f>--AND(S562=1,M562&lt;&gt;"",M562&lt;&gt;"keep")</x:f>
        <x:v>0</x:v>
      </x:c>
      <x:c r="AG562" t="n">
        <x:f>--AND(S562=1,T562=1,U562=1,V562=1,W562=1,AE562=1)</x:f>
        <x:v>0</x:v>
      </x:c>
      <x:c r="AJ562" t="str">
        <x:f>IF(OR(AH562="",AI562=""),"",--(AH562&lt;&gt;AI562))</x:f>
      </x:c>
      <x:c r="AL562" t="str">
        <x:f>IF(OR(AH562="",AI562=""),"PENDING_HUMAN",IF(AH562=AI562,AH562,IF(AK562&lt;&gt;"",AK562,"PENDING_HUMAN")))</x:f>
        <x:v>PENDING_HUMAN</x:v>
      </x:c>
      <x:c r="AM562" t="n">
        <x:f>--AND(A562&lt;&gt;"",AH562&lt;&gt;"",AI562&lt;&gt;"",OR(AH562=AI562,AK562&lt;&gt;""))</x:f>
        <x:v>0</x:v>
      </x:c>
      <x:c r="AN562" t="n">
        <x:f>--AND(Y562&lt;&gt;"",COUNTIF($Y$4:Y562,Y562)=1)</x:f>
        <x:v>0</x:v>
      </x:c>
      <x:c r="AO562" t="n">
        <x:f>--AND(AN562=1,Z562=1,AM562=1)</x:f>
        <x:v>0</x:v>
      </x:c>
      <x:c r="AP562" t="n">
        <x:f>--AND(AO562=1,AA562=1,AL562=1)</x:f>
        <x:v>0</x:v>
      </x:c>
      <x:c r="AQ562" t="n">
        <x:f>--AND(AN562=1,Z562=1)</x:f>
        <x:v>0</x:v>
      </x:c>
      <x:c r="AR562" t="n">
        <x:f>--AND(AQ562=1,AA562=1)</x:f>
        <x:v>0</x:v>
      </x:c>
    </x:row>
    <x:row r="563">
      <x:c r="A563" s="28"/>
      <x:c r="B563" s="28"/>
      <x:c r="C563" s="28"/>
      <x:c r="D563" s="28"/>
      <x:c r="E563" s="28"/>
      <x:c r="F563" s="28"/>
      <x:c r="G563" s="28"/>
      <x:c r="H563" s="28"/>
      <x:c r="I563" s="28"/>
      <x:c r="J563" s="28"/>
      <x:c r="K563" s="28"/>
      <x:c r="L563" s="28"/>
      <x:c r="M563" s="28"/>
      <x:c r="N563" s="28"/>
      <x:c r="O563" s="28"/>
      <x:c r="P563" s="28"/>
      <x:c r="Q563" s="28"/>
      <x:c r="R563" s="28"/>
      <x:c r="S563" s="28"/>
      <x:c r="T563" s="28"/>
      <x:c r="U563" s="28"/>
      <x:c r="V563" s="28"/>
      <x:c r="W563" s="28"/>
      <x:c r="X563" s="43" t="n">
        <x:f>--AND(S563=1,T563=1,U563=1,V563=1,W563=1)</x:f>
        <x:v>0</x:v>
      </x:c>
      <x:c r="AE563" s="43" t="n">
        <x:f>--AND(S563=1,M563&lt;&gt;"",M563&lt;&gt;"keep")</x:f>
        <x:v>0</x:v>
      </x:c>
      <x:c r="AG563" t="n">
        <x:f>--AND(S563=1,T563=1,U563=1,V563=1,W563=1,AE563=1)</x:f>
        <x:v>0</x:v>
      </x:c>
      <x:c r="AJ563" t="str">
        <x:f>IF(OR(AH563="",AI563=""),"",--(AH563&lt;&gt;AI563))</x:f>
      </x:c>
      <x:c r="AL563" t="str">
        <x:f>IF(OR(AH563="",AI563=""),"PENDING_HUMAN",IF(AH563=AI563,AH563,IF(AK563&lt;&gt;"",AK563,"PENDING_HUMAN")))</x:f>
        <x:v>PENDING_HUMAN</x:v>
      </x:c>
      <x:c r="AM563" t="n">
        <x:f>--AND(A563&lt;&gt;"",AH563&lt;&gt;"",AI563&lt;&gt;"",OR(AH563=AI563,AK563&lt;&gt;""))</x:f>
        <x:v>0</x:v>
      </x:c>
      <x:c r="AN563" t="n">
        <x:f>--AND(Y563&lt;&gt;"",COUNTIF($Y$4:Y563,Y563)=1)</x:f>
        <x:v>0</x:v>
      </x:c>
      <x:c r="AO563" t="n">
        <x:f>--AND(AN563=1,Z563=1,AM563=1)</x:f>
        <x:v>0</x:v>
      </x:c>
      <x:c r="AP563" t="n">
        <x:f>--AND(AO563=1,AA563=1,AL563=1)</x:f>
        <x:v>0</x:v>
      </x:c>
      <x:c r="AQ563" t="n">
        <x:f>--AND(AN563=1,Z563=1)</x:f>
        <x:v>0</x:v>
      </x:c>
      <x:c r="AR563" t="n">
        <x:f>--AND(AQ563=1,AA563=1)</x:f>
        <x:v>0</x:v>
      </x:c>
    </x:row>
    <x:row r="564">
      <x:c r="A564" s="28"/>
      <x:c r="B564" s="28"/>
      <x:c r="C564" s="28"/>
      <x:c r="D564" s="28"/>
      <x:c r="E564" s="28"/>
      <x:c r="F564" s="28"/>
      <x:c r="G564" s="28"/>
      <x:c r="H564" s="28"/>
      <x:c r="I564" s="28"/>
      <x:c r="J564" s="28"/>
      <x:c r="K564" s="28"/>
      <x:c r="L564" s="28"/>
      <x:c r="M564" s="28"/>
      <x:c r="N564" s="28"/>
      <x:c r="O564" s="28"/>
      <x:c r="P564" s="28"/>
      <x:c r="Q564" s="28"/>
      <x:c r="R564" s="28"/>
      <x:c r="S564" s="28"/>
      <x:c r="T564" s="28"/>
      <x:c r="U564" s="28"/>
      <x:c r="V564" s="28"/>
      <x:c r="W564" s="28"/>
      <x:c r="X564" s="43" t="n">
        <x:f>--AND(S564=1,T564=1,U564=1,V564=1,W564=1)</x:f>
        <x:v>0</x:v>
      </x:c>
      <x:c r="AE564" s="43" t="n">
        <x:f>--AND(S564=1,M564&lt;&gt;"",M564&lt;&gt;"keep")</x:f>
        <x:v>0</x:v>
      </x:c>
      <x:c r="AG564" t="n">
        <x:f>--AND(S564=1,T564=1,U564=1,V564=1,W564=1,AE564=1)</x:f>
        <x:v>0</x:v>
      </x:c>
      <x:c r="AJ564" t="str">
        <x:f>IF(OR(AH564="",AI564=""),"",--(AH564&lt;&gt;AI564))</x:f>
      </x:c>
      <x:c r="AL564" t="str">
        <x:f>IF(OR(AH564="",AI564=""),"PENDING_HUMAN",IF(AH564=AI564,AH564,IF(AK564&lt;&gt;"",AK564,"PENDING_HUMAN")))</x:f>
        <x:v>PENDING_HUMAN</x:v>
      </x:c>
      <x:c r="AM564" t="n">
        <x:f>--AND(A564&lt;&gt;"",AH564&lt;&gt;"",AI564&lt;&gt;"",OR(AH564=AI564,AK564&lt;&gt;""))</x:f>
        <x:v>0</x:v>
      </x:c>
      <x:c r="AN564" t="n">
        <x:f>--AND(Y564&lt;&gt;"",COUNTIF($Y$4:Y564,Y564)=1)</x:f>
        <x:v>0</x:v>
      </x:c>
      <x:c r="AO564" t="n">
        <x:f>--AND(AN564=1,Z564=1,AM564=1)</x:f>
        <x:v>0</x:v>
      </x:c>
      <x:c r="AP564" t="n">
        <x:f>--AND(AO564=1,AA564=1,AL564=1)</x:f>
        <x:v>0</x:v>
      </x:c>
      <x:c r="AQ564" t="n">
        <x:f>--AND(AN564=1,Z564=1)</x:f>
        <x:v>0</x:v>
      </x:c>
      <x:c r="AR564" t="n">
        <x:f>--AND(AQ564=1,AA564=1)</x:f>
        <x:v>0</x:v>
      </x:c>
    </x:row>
    <x:row r="565">
      <x:c r="A565" s="28"/>
      <x:c r="B565" s="28"/>
      <x:c r="C565" s="28"/>
      <x:c r="D565" s="28"/>
      <x:c r="E565" s="28"/>
      <x:c r="F565" s="28"/>
      <x:c r="G565" s="28"/>
      <x:c r="H565" s="28"/>
      <x:c r="I565" s="28"/>
      <x:c r="J565" s="28"/>
      <x:c r="K565" s="28"/>
      <x:c r="L565" s="28"/>
      <x:c r="M565" s="28"/>
      <x:c r="N565" s="28"/>
      <x:c r="O565" s="28"/>
      <x:c r="P565" s="28"/>
      <x:c r="Q565" s="28"/>
      <x:c r="R565" s="28"/>
      <x:c r="S565" s="28"/>
      <x:c r="T565" s="28"/>
      <x:c r="U565" s="28"/>
      <x:c r="V565" s="28"/>
      <x:c r="W565" s="28"/>
      <x:c r="X565" s="43" t="n">
        <x:f>--AND(S565=1,T565=1,U565=1,V565=1,W565=1)</x:f>
        <x:v>0</x:v>
      </x:c>
      <x:c r="AE565" s="43" t="n">
        <x:f>--AND(S565=1,M565&lt;&gt;"",M565&lt;&gt;"keep")</x:f>
        <x:v>0</x:v>
      </x:c>
      <x:c r="AG565" t="n">
        <x:f>--AND(S565=1,T565=1,U565=1,V565=1,W565=1,AE565=1)</x:f>
        <x:v>0</x:v>
      </x:c>
      <x:c r="AJ565" t="str">
        <x:f>IF(OR(AH565="",AI565=""),"",--(AH565&lt;&gt;AI565))</x:f>
      </x:c>
      <x:c r="AL565" t="str">
        <x:f>IF(OR(AH565="",AI565=""),"PENDING_HUMAN",IF(AH565=AI565,AH565,IF(AK565&lt;&gt;"",AK565,"PENDING_HUMAN")))</x:f>
        <x:v>PENDING_HUMAN</x:v>
      </x:c>
      <x:c r="AM565" t="n">
        <x:f>--AND(A565&lt;&gt;"",AH565&lt;&gt;"",AI565&lt;&gt;"",OR(AH565=AI565,AK565&lt;&gt;""))</x:f>
        <x:v>0</x:v>
      </x:c>
      <x:c r="AN565" t="n">
        <x:f>--AND(Y565&lt;&gt;"",COUNTIF($Y$4:Y565,Y565)=1)</x:f>
        <x:v>0</x:v>
      </x:c>
      <x:c r="AO565" t="n">
        <x:f>--AND(AN565=1,Z565=1,AM565=1)</x:f>
        <x:v>0</x:v>
      </x:c>
      <x:c r="AP565" t="n">
        <x:f>--AND(AO565=1,AA565=1,AL565=1)</x:f>
        <x:v>0</x:v>
      </x:c>
      <x:c r="AQ565" t="n">
        <x:f>--AND(AN565=1,Z565=1)</x:f>
        <x:v>0</x:v>
      </x:c>
      <x:c r="AR565" t="n">
        <x:f>--AND(AQ565=1,AA565=1)</x:f>
        <x:v>0</x:v>
      </x:c>
    </x:row>
    <x:row r="566">
      <x:c r="A566" s="28"/>
      <x:c r="B566" s="28"/>
      <x:c r="C566" s="28"/>
      <x:c r="D566" s="28"/>
      <x:c r="E566" s="28"/>
      <x:c r="F566" s="28"/>
      <x:c r="G566" s="28"/>
      <x:c r="H566" s="28"/>
      <x:c r="I566" s="28"/>
      <x:c r="J566" s="28"/>
      <x:c r="K566" s="28"/>
      <x:c r="L566" s="28"/>
      <x:c r="M566" s="28"/>
      <x:c r="N566" s="28"/>
      <x:c r="O566" s="28"/>
      <x:c r="P566" s="28"/>
      <x:c r="Q566" s="28"/>
      <x:c r="R566" s="28"/>
      <x:c r="S566" s="28"/>
      <x:c r="T566" s="28"/>
      <x:c r="U566" s="28"/>
      <x:c r="V566" s="28"/>
      <x:c r="W566" s="28"/>
      <x:c r="X566" s="43" t="n">
        <x:f>--AND(S566=1,T566=1,U566=1,V566=1,W566=1)</x:f>
        <x:v>0</x:v>
      </x:c>
      <x:c r="AE566" s="43" t="n">
        <x:f>--AND(S566=1,M566&lt;&gt;"",M566&lt;&gt;"keep")</x:f>
        <x:v>0</x:v>
      </x:c>
      <x:c r="AG566" t="n">
        <x:f>--AND(S566=1,T566=1,U566=1,V566=1,W566=1,AE566=1)</x:f>
        <x:v>0</x:v>
      </x:c>
      <x:c r="AJ566" t="str">
        <x:f>IF(OR(AH566="",AI566=""),"",--(AH566&lt;&gt;AI566))</x:f>
      </x:c>
      <x:c r="AL566" t="str">
        <x:f>IF(OR(AH566="",AI566=""),"PENDING_HUMAN",IF(AH566=AI566,AH566,IF(AK566&lt;&gt;"",AK566,"PENDING_HUMAN")))</x:f>
        <x:v>PENDING_HUMAN</x:v>
      </x:c>
      <x:c r="AM566" t="n">
        <x:f>--AND(A566&lt;&gt;"",AH566&lt;&gt;"",AI566&lt;&gt;"",OR(AH566=AI566,AK566&lt;&gt;""))</x:f>
        <x:v>0</x:v>
      </x:c>
      <x:c r="AN566" t="n">
        <x:f>--AND(Y566&lt;&gt;"",COUNTIF($Y$4:Y566,Y566)=1)</x:f>
        <x:v>0</x:v>
      </x:c>
      <x:c r="AO566" t="n">
        <x:f>--AND(AN566=1,Z566=1,AM566=1)</x:f>
        <x:v>0</x:v>
      </x:c>
      <x:c r="AP566" t="n">
        <x:f>--AND(AO566=1,AA566=1,AL566=1)</x:f>
        <x:v>0</x:v>
      </x:c>
      <x:c r="AQ566" t="n">
        <x:f>--AND(AN566=1,Z566=1)</x:f>
        <x:v>0</x:v>
      </x:c>
      <x:c r="AR566" t="n">
        <x:f>--AND(AQ566=1,AA566=1)</x:f>
        <x:v>0</x:v>
      </x:c>
    </x:row>
    <x:row r="567">
      <x:c r="A567" s="28"/>
      <x:c r="B567" s="28"/>
      <x:c r="C567" s="28"/>
      <x:c r="D567" s="28"/>
      <x:c r="E567" s="28"/>
      <x:c r="F567" s="28"/>
      <x:c r="G567" s="28"/>
      <x:c r="H567" s="28"/>
      <x:c r="I567" s="28"/>
      <x:c r="J567" s="28"/>
      <x:c r="K567" s="28"/>
      <x:c r="L567" s="28"/>
      <x:c r="M567" s="28"/>
      <x:c r="N567" s="28"/>
      <x:c r="O567" s="28"/>
      <x:c r="P567" s="28"/>
      <x:c r="Q567" s="28"/>
      <x:c r="R567" s="28"/>
      <x:c r="S567" s="28"/>
      <x:c r="T567" s="28"/>
      <x:c r="U567" s="28"/>
      <x:c r="V567" s="28"/>
      <x:c r="W567" s="28"/>
      <x:c r="X567" s="43" t="n">
        <x:f>--AND(S567=1,T567=1,U567=1,V567=1,W567=1)</x:f>
        <x:v>0</x:v>
      </x:c>
      <x:c r="AE567" s="43" t="n">
        <x:f>--AND(S567=1,M567&lt;&gt;"",M567&lt;&gt;"keep")</x:f>
        <x:v>0</x:v>
      </x:c>
      <x:c r="AG567" t="n">
        <x:f>--AND(S567=1,T567=1,U567=1,V567=1,W567=1,AE567=1)</x:f>
        <x:v>0</x:v>
      </x:c>
      <x:c r="AJ567" t="str">
        <x:f>IF(OR(AH567="",AI567=""),"",--(AH567&lt;&gt;AI567))</x:f>
      </x:c>
      <x:c r="AL567" t="str">
        <x:f>IF(OR(AH567="",AI567=""),"PENDING_HUMAN",IF(AH567=AI567,AH567,IF(AK567&lt;&gt;"",AK567,"PENDING_HUMAN")))</x:f>
        <x:v>PENDING_HUMAN</x:v>
      </x:c>
      <x:c r="AM567" t="n">
        <x:f>--AND(A567&lt;&gt;"",AH567&lt;&gt;"",AI567&lt;&gt;"",OR(AH567=AI567,AK567&lt;&gt;""))</x:f>
        <x:v>0</x:v>
      </x:c>
      <x:c r="AN567" t="n">
        <x:f>--AND(Y567&lt;&gt;"",COUNTIF($Y$4:Y567,Y567)=1)</x:f>
        <x:v>0</x:v>
      </x:c>
      <x:c r="AO567" t="n">
        <x:f>--AND(AN567=1,Z567=1,AM567=1)</x:f>
        <x:v>0</x:v>
      </x:c>
      <x:c r="AP567" t="n">
        <x:f>--AND(AO567=1,AA567=1,AL567=1)</x:f>
        <x:v>0</x:v>
      </x:c>
      <x:c r="AQ567" t="n">
        <x:f>--AND(AN567=1,Z567=1)</x:f>
        <x:v>0</x:v>
      </x:c>
      <x:c r="AR567" t="n">
        <x:f>--AND(AQ567=1,AA567=1)</x:f>
        <x:v>0</x:v>
      </x:c>
    </x:row>
    <x:row r="568">
      <x:c r="A568" s="28"/>
      <x:c r="B568" s="28"/>
      <x:c r="C568" s="28"/>
      <x:c r="D568" s="28"/>
      <x:c r="E568" s="28"/>
      <x:c r="F568" s="28"/>
      <x:c r="G568" s="28"/>
      <x:c r="H568" s="28"/>
      <x:c r="I568" s="28"/>
      <x:c r="J568" s="28"/>
      <x:c r="K568" s="28"/>
      <x:c r="L568" s="28"/>
      <x:c r="M568" s="28"/>
      <x:c r="N568" s="28"/>
      <x:c r="O568" s="28"/>
      <x:c r="P568" s="28"/>
      <x:c r="Q568" s="28"/>
      <x:c r="R568" s="28"/>
      <x:c r="S568" s="28"/>
      <x:c r="T568" s="28"/>
      <x:c r="U568" s="28"/>
      <x:c r="V568" s="28"/>
      <x:c r="W568" s="28"/>
      <x:c r="X568" s="43" t="n">
        <x:f>--AND(S568=1,T568=1,U568=1,V568=1,W568=1)</x:f>
        <x:v>0</x:v>
      </x:c>
      <x:c r="AE568" s="43" t="n">
        <x:f>--AND(S568=1,M568&lt;&gt;"",M568&lt;&gt;"keep")</x:f>
        <x:v>0</x:v>
      </x:c>
      <x:c r="AG568" t="n">
        <x:f>--AND(S568=1,T568=1,U568=1,V568=1,W568=1,AE568=1)</x:f>
        <x:v>0</x:v>
      </x:c>
      <x:c r="AJ568" t="str">
        <x:f>IF(OR(AH568="",AI568=""),"",--(AH568&lt;&gt;AI568))</x:f>
      </x:c>
      <x:c r="AL568" t="str">
        <x:f>IF(OR(AH568="",AI568=""),"PENDING_HUMAN",IF(AH568=AI568,AH568,IF(AK568&lt;&gt;"",AK568,"PENDING_HUMAN")))</x:f>
        <x:v>PENDING_HUMAN</x:v>
      </x:c>
      <x:c r="AM568" t="n">
        <x:f>--AND(A568&lt;&gt;"",AH568&lt;&gt;"",AI568&lt;&gt;"",OR(AH568=AI568,AK568&lt;&gt;""))</x:f>
        <x:v>0</x:v>
      </x:c>
      <x:c r="AN568" t="n">
        <x:f>--AND(Y568&lt;&gt;"",COUNTIF($Y$4:Y568,Y568)=1)</x:f>
        <x:v>0</x:v>
      </x:c>
      <x:c r="AO568" t="n">
        <x:f>--AND(AN568=1,Z568=1,AM568=1)</x:f>
        <x:v>0</x:v>
      </x:c>
      <x:c r="AP568" t="n">
        <x:f>--AND(AO568=1,AA568=1,AL568=1)</x:f>
        <x:v>0</x:v>
      </x:c>
      <x:c r="AQ568" t="n">
        <x:f>--AND(AN568=1,Z568=1)</x:f>
        <x:v>0</x:v>
      </x:c>
      <x:c r="AR568" t="n">
        <x:f>--AND(AQ568=1,AA568=1)</x:f>
        <x:v>0</x:v>
      </x:c>
    </x:row>
    <x:row r="569">
      <x:c r="A569" s="28"/>
      <x:c r="B569" s="28"/>
      <x:c r="C569" s="28"/>
      <x:c r="D569" s="28"/>
      <x:c r="E569" s="28"/>
      <x:c r="F569" s="28"/>
      <x:c r="G569" s="28"/>
      <x:c r="H569" s="28"/>
      <x:c r="I569" s="28"/>
      <x:c r="J569" s="28"/>
      <x:c r="K569" s="28"/>
      <x:c r="L569" s="28"/>
      <x:c r="M569" s="28"/>
      <x:c r="N569" s="28"/>
      <x:c r="O569" s="28"/>
      <x:c r="P569" s="28"/>
      <x:c r="Q569" s="28"/>
      <x:c r="R569" s="28"/>
      <x:c r="S569" s="28"/>
      <x:c r="T569" s="28"/>
      <x:c r="U569" s="28"/>
      <x:c r="V569" s="28"/>
      <x:c r="W569" s="28"/>
      <x:c r="X569" s="43" t="n">
        <x:f>--AND(S569=1,T569=1,U569=1,V569=1,W569=1)</x:f>
        <x:v>0</x:v>
      </x:c>
      <x:c r="AE569" s="43" t="n">
        <x:f>--AND(S569=1,M569&lt;&gt;"",M569&lt;&gt;"keep")</x:f>
        <x:v>0</x:v>
      </x:c>
      <x:c r="AG569" t="n">
        <x:f>--AND(S569=1,T569=1,U569=1,V569=1,W569=1,AE569=1)</x:f>
        <x:v>0</x:v>
      </x:c>
      <x:c r="AJ569" t="str">
        <x:f>IF(OR(AH569="",AI569=""),"",--(AH569&lt;&gt;AI569))</x:f>
      </x:c>
      <x:c r="AL569" t="str">
        <x:f>IF(OR(AH569="",AI569=""),"PENDING_HUMAN",IF(AH569=AI569,AH569,IF(AK569&lt;&gt;"",AK569,"PENDING_HUMAN")))</x:f>
        <x:v>PENDING_HUMAN</x:v>
      </x:c>
      <x:c r="AM569" t="n">
        <x:f>--AND(A569&lt;&gt;"",AH569&lt;&gt;"",AI569&lt;&gt;"",OR(AH569=AI569,AK569&lt;&gt;""))</x:f>
        <x:v>0</x:v>
      </x:c>
      <x:c r="AN569" t="n">
        <x:f>--AND(Y569&lt;&gt;"",COUNTIF($Y$4:Y569,Y569)=1)</x:f>
        <x:v>0</x:v>
      </x:c>
      <x:c r="AO569" t="n">
        <x:f>--AND(AN569=1,Z569=1,AM569=1)</x:f>
        <x:v>0</x:v>
      </x:c>
      <x:c r="AP569" t="n">
        <x:f>--AND(AO569=1,AA569=1,AL569=1)</x:f>
        <x:v>0</x:v>
      </x:c>
      <x:c r="AQ569" t="n">
        <x:f>--AND(AN569=1,Z569=1)</x:f>
        <x:v>0</x:v>
      </x:c>
      <x:c r="AR569" t="n">
        <x:f>--AND(AQ569=1,AA569=1)</x:f>
        <x:v>0</x:v>
      </x:c>
    </x:row>
    <x:row r="570">
      <x:c r="A570" s="28"/>
      <x:c r="B570" s="28"/>
      <x:c r="C570" s="28"/>
      <x:c r="D570" s="28"/>
      <x:c r="E570" s="28"/>
      <x:c r="F570" s="28"/>
      <x:c r="G570" s="28"/>
      <x:c r="H570" s="28"/>
      <x:c r="I570" s="28"/>
      <x:c r="J570" s="28"/>
      <x:c r="K570" s="28"/>
      <x:c r="L570" s="28"/>
      <x:c r="M570" s="28"/>
      <x:c r="N570" s="28"/>
      <x:c r="O570" s="28"/>
      <x:c r="P570" s="28"/>
      <x:c r="Q570" s="28"/>
      <x:c r="R570" s="28"/>
      <x:c r="S570" s="28"/>
      <x:c r="T570" s="28"/>
      <x:c r="U570" s="28"/>
      <x:c r="V570" s="28"/>
      <x:c r="W570" s="28"/>
      <x:c r="X570" s="43" t="n">
        <x:f>--AND(S570=1,T570=1,U570=1,V570=1,W570=1)</x:f>
        <x:v>0</x:v>
      </x:c>
      <x:c r="AE570" s="43" t="n">
        <x:f>--AND(S570=1,M570&lt;&gt;"",M570&lt;&gt;"keep")</x:f>
        <x:v>0</x:v>
      </x:c>
      <x:c r="AG570" t="n">
        <x:f>--AND(S570=1,T570=1,U570=1,V570=1,W570=1,AE570=1)</x:f>
        <x:v>0</x:v>
      </x:c>
      <x:c r="AJ570" t="str">
        <x:f>IF(OR(AH570="",AI570=""),"",--(AH570&lt;&gt;AI570))</x:f>
      </x:c>
      <x:c r="AL570" t="str">
        <x:f>IF(OR(AH570="",AI570=""),"PENDING_HUMAN",IF(AH570=AI570,AH570,IF(AK570&lt;&gt;"",AK570,"PENDING_HUMAN")))</x:f>
        <x:v>PENDING_HUMAN</x:v>
      </x:c>
      <x:c r="AM570" t="n">
        <x:f>--AND(A570&lt;&gt;"",AH570&lt;&gt;"",AI570&lt;&gt;"",OR(AH570=AI570,AK570&lt;&gt;""))</x:f>
        <x:v>0</x:v>
      </x:c>
      <x:c r="AN570" t="n">
        <x:f>--AND(Y570&lt;&gt;"",COUNTIF($Y$4:Y570,Y570)=1)</x:f>
        <x:v>0</x:v>
      </x:c>
      <x:c r="AO570" t="n">
        <x:f>--AND(AN570=1,Z570=1,AM570=1)</x:f>
        <x:v>0</x:v>
      </x:c>
      <x:c r="AP570" t="n">
        <x:f>--AND(AO570=1,AA570=1,AL570=1)</x:f>
        <x:v>0</x:v>
      </x:c>
      <x:c r="AQ570" t="n">
        <x:f>--AND(AN570=1,Z570=1)</x:f>
        <x:v>0</x:v>
      </x:c>
      <x:c r="AR570" t="n">
        <x:f>--AND(AQ570=1,AA570=1)</x:f>
        <x:v>0</x:v>
      </x:c>
    </x:row>
    <x:row r="571">
      <x:c r="A571" s="28"/>
      <x:c r="B571" s="28"/>
      <x:c r="C571" s="28"/>
      <x:c r="D571" s="28"/>
      <x:c r="E571" s="28"/>
      <x:c r="F571" s="28"/>
      <x:c r="G571" s="28"/>
      <x:c r="H571" s="28"/>
      <x:c r="I571" s="28"/>
      <x:c r="J571" s="28"/>
      <x:c r="K571" s="28"/>
      <x:c r="L571" s="28"/>
      <x:c r="M571" s="28"/>
      <x:c r="N571" s="28"/>
      <x:c r="O571" s="28"/>
      <x:c r="P571" s="28"/>
      <x:c r="Q571" s="28"/>
      <x:c r="R571" s="28"/>
      <x:c r="S571" s="28"/>
      <x:c r="T571" s="28"/>
      <x:c r="U571" s="28"/>
      <x:c r="V571" s="28"/>
      <x:c r="W571" s="28"/>
      <x:c r="X571" s="43" t="n">
        <x:f>--AND(S571=1,T571=1,U571=1,V571=1,W571=1)</x:f>
        <x:v>0</x:v>
      </x:c>
      <x:c r="AE571" s="43" t="n">
        <x:f>--AND(S571=1,M571&lt;&gt;"",M571&lt;&gt;"keep")</x:f>
        <x:v>0</x:v>
      </x:c>
      <x:c r="AG571" t="n">
        <x:f>--AND(S571=1,T571=1,U571=1,V571=1,W571=1,AE571=1)</x:f>
        <x:v>0</x:v>
      </x:c>
      <x:c r="AJ571" t="str">
        <x:f>IF(OR(AH571="",AI571=""),"",--(AH571&lt;&gt;AI571))</x:f>
      </x:c>
      <x:c r="AL571" t="str">
        <x:f>IF(OR(AH571="",AI571=""),"PENDING_HUMAN",IF(AH571=AI571,AH571,IF(AK571&lt;&gt;"",AK571,"PENDING_HUMAN")))</x:f>
        <x:v>PENDING_HUMAN</x:v>
      </x:c>
      <x:c r="AM571" t="n">
        <x:f>--AND(A571&lt;&gt;"",AH571&lt;&gt;"",AI571&lt;&gt;"",OR(AH571=AI571,AK571&lt;&gt;""))</x:f>
        <x:v>0</x:v>
      </x:c>
      <x:c r="AN571" t="n">
        <x:f>--AND(Y571&lt;&gt;"",COUNTIF($Y$4:Y571,Y571)=1)</x:f>
        <x:v>0</x:v>
      </x:c>
      <x:c r="AO571" t="n">
        <x:f>--AND(AN571=1,Z571=1,AM571=1)</x:f>
        <x:v>0</x:v>
      </x:c>
      <x:c r="AP571" t="n">
        <x:f>--AND(AO571=1,AA571=1,AL571=1)</x:f>
        <x:v>0</x:v>
      </x:c>
      <x:c r="AQ571" t="n">
        <x:f>--AND(AN571=1,Z571=1)</x:f>
        <x:v>0</x:v>
      </x:c>
      <x:c r="AR571" t="n">
        <x:f>--AND(AQ571=1,AA571=1)</x:f>
        <x:v>0</x:v>
      </x:c>
    </x:row>
    <x:row r="572">
      <x:c r="A572" s="28"/>
      <x:c r="B572" s="28"/>
      <x:c r="C572" s="28"/>
      <x:c r="D572" s="28"/>
      <x:c r="E572" s="28"/>
      <x:c r="F572" s="28"/>
      <x:c r="G572" s="28"/>
      <x:c r="H572" s="28"/>
      <x:c r="I572" s="28"/>
      <x:c r="J572" s="28"/>
      <x:c r="K572" s="28"/>
      <x:c r="L572" s="28"/>
      <x:c r="M572" s="28"/>
      <x:c r="N572" s="28"/>
      <x:c r="O572" s="28"/>
      <x:c r="P572" s="28"/>
      <x:c r="Q572" s="28"/>
      <x:c r="R572" s="28"/>
      <x:c r="S572" s="28"/>
      <x:c r="T572" s="28"/>
      <x:c r="U572" s="28"/>
      <x:c r="V572" s="28"/>
      <x:c r="W572" s="28"/>
      <x:c r="X572" s="43" t="n">
        <x:f>--AND(S572=1,T572=1,U572=1,V572=1,W572=1)</x:f>
        <x:v>0</x:v>
      </x:c>
      <x:c r="AE572" s="43" t="n">
        <x:f>--AND(S572=1,M572&lt;&gt;"",M572&lt;&gt;"keep")</x:f>
        <x:v>0</x:v>
      </x:c>
      <x:c r="AG572" t="n">
        <x:f>--AND(S572=1,T572=1,U572=1,V572=1,W572=1,AE572=1)</x:f>
        <x:v>0</x:v>
      </x:c>
      <x:c r="AJ572" t="str">
        <x:f>IF(OR(AH572="",AI572=""),"",--(AH572&lt;&gt;AI572))</x:f>
      </x:c>
      <x:c r="AL572" t="str">
        <x:f>IF(OR(AH572="",AI572=""),"PENDING_HUMAN",IF(AH572=AI572,AH572,IF(AK572&lt;&gt;"",AK572,"PENDING_HUMAN")))</x:f>
        <x:v>PENDING_HUMAN</x:v>
      </x:c>
      <x:c r="AM572" t="n">
        <x:f>--AND(A572&lt;&gt;"",AH572&lt;&gt;"",AI572&lt;&gt;"",OR(AH572=AI572,AK572&lt;&gt;""))</x:f>
        <x:v>0</x:v>
      </x:c>
      <x:c r="AN572" t="n">
        <x:f>--AND(Y572&lt;&gt;"",COUNTIF($Y$4:Y572,Y572)=1)</x:f>
        <x:v>0</x:v>
      </x:c>
      <x:c r="AO572" t="n">
        <x:f>--AND(AN572=1,Z572=1,AM572=1)</x:f>
        <x:v>0</x:v>
      </x:c>
      <x:c r="AP572" t="n">
        <x:f>--AND(AO572=1,AA572=1,AL572=1)</x:f>
        <x:v>0</x:v>
      </x:c>
      <x:c r="AQ572" t="n">
        <x:f>--AND(AN572=1,Z572=1)</x:f>
        <x:v>0</x:v>
      </x:c>
      <x:c r="AR572" t="n">
        <x:f>--AND(AQ572=1,AA572=1)</x:f>
        <x:v>0</x:v>
      </x:c>
    </x:row>
    <x:row r="573">
      <x:c r="A573" s="28"/>
      <x:c r="B573" s="28"/>
      <x:c r="C573" s="28"/>
      <x:c r="D573" s="28"/>
      <x:c r="E573" s="28"/>
      <x:c r="F573" s="28"/>
      <x:c r="G573" s="28"/>
      <x:c r="H573" s="28"/>
      <x:c r="I573" s="28"/>
      <x:c r="J573" s="28"/>
      <x:c r="K573" s="28"/>
      <x:c r="L573" s="28"/>
      <x:c r="M573" s="28"/>
      <x:c r="N573" s="28"/>
      <x:c r="O573" s="28"/>
      <x:c r="P573" s="28"/>
      <x:c r="Q573" s="28"/>
      <x:c r="R573" s="28"/>
      <x:c r="S573" s="28"/>
      <x:c r="T573" s="28"/>
      <x:c r="U573" s="28"/>
      <x:c r="V573" s="28"/>
      <x:c r="W573" s="28"/>
      <x:c r="X573" s="43" t="n">
        <x:f>--AND(S573=1,T573=1,U573=1,V573=1,W573=1)</x:f>
        <x:v>0</x:v>
      </x:c>
      <x:c r="AE573" s="43" t="n">
        <x:f>--AND(S573=1,M573&lt;&gt;"",M573&lt;&gt;"keep")</x:f>
        <x:v>0</x:v>
      </x:c>
      <x:c r="AG573" t="n">
        <x:f>--AND(S573=1,T573=1,U573=1,V573=1,W573=1,AE573=1)</x:f>
        <x:v>0</x:v>
      </x:c>
      <x:c r="AJ573" t="str">
        <x:f>IF(OR(AH573="",AI573=""),"",--(AH573&lt;&gt;AI573))</x:f>
      </x:c>
      <x:c r="AL573" t="str">
        <x:f>IF(OR(AH573="",AI573=""),"PENDING_HUMAN",IF(AH573=AI573,AH573,IF(AK573&lt;&gt;"",AK573,"PENDING_HUMAN")))</x:f>
        <x:v>PENDING_HUMAN</x:v>
      </x:c>
      <x:c r="AM573" t="n">
        <x:f>--AND(A573&lt;&gt;"",AH573&lt;&gt;"",AI573&lt;&gt;"",OR(AH573=AI573,AK573&lt;&gt;""))</x:f>
        <x:v>0</x:v>
      </x:c>
      <x:c r="AN573" t="n">
        <x:f>--AND(Y573&lt;&gt;"",COUNTIF($Y$4:Y573,Y573)=1)</x:f>
        <x:v>0</x:v>
      </x:c>
      <x:c r="AO573" t="n">
        <x:f>--AND(AN573=1,Z573=1,AM573=1)</x:f>
        <x:v>0</x:v>
      </x:c>
      <x:c r="AP573" t="n">
        <x:f>--AND(AO573=1,AA573=1,AL573=1)</x:f>
        <x:v>0</x:v>
      </x:c>
      <x:c r="AQ573" t="n">
        <x:f>--AND(AN573=1,Z573=1)</x:f>
        <x:v>0</x:v>
      </x:c>
      <x:c r="AR573" t="n">
        <x:f>--AND(AQ573=1,AA573=1)</x:f>
        <x:v>0</x:v>
      </x:c>
    </x:row>
    <x:row r="574">
      <x:c r="A574" s="28"/>
      <x:c r="B574" s="28"/>
      <x:c r="C574" s="28"/>
      <x:c r="D574" s="28"/>
      <x:c r="E574" s="28"/>
      <x:c r="F574" s="28"/>
      <x:c r="G574" s="28"/>
      <x:c r="H574" s="28"/>
      <x:c r="I574" s="28"/>
      <x:c r="J574" s="28"/>
      <x:c r="K574" s="28"/>
      <x:c r="L574" s="28"/>
      <x:c r="M574" s="28"/>
      <x:c r="N574" s="28"/>
      <x:c r="O574" s="28"/>
      <x:c r="P574" s="28"/>
      <x:c r="Q574" s="28"/>
      <x:c r="R574" s="28"/>
      <x:c r="S574" s="28"/>
      <x:c r="T574" s="28"/>
      <x:c r="U574" s="28"/>
      <x:c r="V574" s="28"/>
      <x:c r="W574" s="28"/>
      <x:c r="X574" s="43" t="n">
        <x:f>--AND(S574=1,T574=1,U574=1,V574=1,W574=1)</x:f>
        <x:v>0</x:v>
      </x:c>
      <x:c r="AE574" s="43" t="n">
        <x:f>--AND(S574=1,M574&lt;&gt;"",M574&lt;&gt;"keep")</x:f>
        <x:v>0</x:v>
      </x:c>
      <x:c r="AG574" t="n">
        <x:f>--AND(S574=1,T574=1,U574=1,V574=1,W574=1,AE574=1)</x:f>
        <x:v>0</x:v>
      </x:c>
      <x:c r="AJ574" t="str">
        <x:f>IF(OR(AH574="",AI574=""),"",--(AH574&lt;&gt;AI574))</x:f>
      </x:c>
      <x:c r="AL574" t="str">
        <x:f>IF(OR(AH574="",AI574=""),"PENDING_HUMAN",IF(AH574=AI574,AH574,IF(AK574&lt;&gt;"",AK574,"PENDING_HUMAN")))</x:f>
        <x:v>PENDING_HUMAN</x:v>
      </x:c>
      <x:c r="AM574" t="n">
        <x:f>--AND(A574&lt;&gt;"",AH574&lt;&gt;"",AI574&lt;&gt;"",OR(AH574=AI574,AK574&lt;&gt;""))</x:f>
        <x:v>0</x:v>
      </x:c>
      <x:c r="AN574" t="n">
        <x:f>--AND(Y574&lt;&gt;"",COUNTIF($Y$4:Y574,Y574)=1)</x:f>
        <x:v>0</x:v>
      </x:c>
      <x:c r="AO574" t="n">
        <x:f>--AND(AN574=1,Z574=1,AM574=1)</x:f>
        <x:v>0</x:v>
      </x:c>
      <x:c r="AP574" t="n">
        <x:f>--AND(AO574=1,AA574=1,AL574=1)</x:f>
        <x:v>0</x:v>
      </x:c>
      <x:c r="AQ574" t="n">
        <x:f>--AND(AN574=1,Z574=1)</x:f>
        <x:v>0</x:v>
      </x:c>
      <x:c r="AR574" t="n">
        <x:f>--AND(AQ574=1,AA574=1)</x:f>
        <x:v>0</x:v>
      </x:c>
    </x:row>
    <x:row r="575">
      <x:c r="A575" s="28"/>
      <x:c r="B575" s="28"/>
      <x:c r="C575" s="28"/>
      <x:c r="D575" s="28"/>
      <x:c r="E575" s="28"/>
      <x:c r="F575" s="28"/>
      <x:c r="G575" s="28"/>
      <x:c r="H575" s="28"/>
      <x:c r="I575" s="28"/>
      <x:c r="J575" s="28"/>
      <x:c r="K575" s="28"/>
      <x:c r="L575" s="28"/>
      <x:c r="M575" s="28"/>
      <x:c r="N575" s="28"/>
      <x:c r="O575" s="28"/>
      <x:c r="P575" s="28"/>
      <x:c r="Q575" s="28"/>
      <x:c r="R575" s="28"/>
      <x:c r="S575" s="28"/>
      <x:c r="T575" s="28"/>
      <x:c r="U575" s="28"/>
      <x:c r="V575" s="28"/>
      <x:c r="W575" s="28"/>
      <x:c r="X575" s="43" t="n">
        <x:f>--AND(S575=1,T575=1,U575=1,V575=1,W575=1)</x:f>
        <x:v>0</x:v>
      </x:c>
      <x:c r="AE575" s="43" t="n">
        <x:f>--AND(S575=1,M575&lt;&gt;"",M575&lt;&gt;"keep")</x:f>
        <x:v>0</x:v>
      </x:c>
      <x:c r="AG575" t="n">
        <x:f>--AND(S575=1,T575=1,U575=1,V575=1,W575=1,AE575=1)</x:f>
        <x:v>0</x:v>
      </x:c>
      <x:c r="AJ575" t="str">
        <x:f>IF(OR(AH575="",AI575=""),"",--(AH575&lt;&gt;AI575))</x:f>
      </x:c>
      <x:c r="AL575" t="str">
        <x:f>IF(OR(AH575="",AI575=""),"PENDING_HUMAN",IF(AH575=AI575,AH575,IF(AK575&lt;&gt;"",AK575,"PENDING_HUMAN")))</x:f>
        <x:v>PENDING_HUMAN</x:v>
      </x:c>
      <x:c r="AM575" t="n">
        <x:f>--AND(A575&lt;&gt;"",AH575&lt;&gt;"",AI575&lt;&gt;"",OR(AH575=AI575,AK575&lt;&gt;""))</x:f>
        <x:v>0</x:v>
      </x:c>
      <x:c r="AN575" t="n">
        <x:f>--AND(Y575&lt;&gt;"",COUNTIF($Y$4:Y575,Y575)=1)</x:f>
        <x:v>0</x:v>
      </x:c>
      <x:c r="AO575" t="n">
        <x:f>--AND(AN575=1,Z575=1,AM575=1)</x:f>
        <x:v>0</x:v>
      </x:c>
      <x:c r="AP575" t="n">
        <x:f>--AND(AO575=1,AA575=1,AL575=1)</x:f>
        <x:v>0</x:v>
      </x:c>
      <x:c r="AQ575" t="n">
        <x:f>--AND(AN575=1,Z575=1)</x:f>
        <x:v>0</x:v>
      </x:c>
      <x:c r="AR575" t="n">
        <x:f>--AND(AQ575=1,AA575=1)</x:f>
        <x:v>0</x:v>
      </x:c>
    </x:row>
    <x:row r="576">
      <x:c r="A576" s="28"/>
      <x:c r="B576" s="28"/>
      <x:c r="C576" s="28"/>
      <x:c r="D576" s="28"/>
      <x:c r="E576" s="28"/>
      <x:c r="F576" s="28"/>
      <x:c r="G576" s="28"/>
      <x:c r="H576" s="28"/>
      <x:c r="I576" s="28"/>
      <x:c r="J576" s="28"/>
      <x:c r="K576" s="28"/>
      <x:c r="L576" s="28"/>
      <x:c r="M576" s="28"/>
      <x:c r="N576" s="28"/>
      <x:c r="O576" s="28"/>
      <x:c r="P576" s="28"/>
      <x:c r="Q576" s="28"/>
      <x:c r="R576" s="28"/>
      <x:c r="S576" s="28"/>
      <x:c r="T576" s="28"/>
      <x:c r="U576" s="28"/>
      <x:c r="V576" s="28"/>
      <x:c r="W576" s="28"/>
      <x:c r="X576" s="43" t="n">
        <x:f>--AND(S576=1,T576=1,U576=1,V576=1,W576=1)</x:f>
        <x:v>0</x:v>
      </x:c>
      <x:c r="AE576" s="43" t="n">
        <x:f>--AND(S576=1,M576&lt;&gt;"",M576&lt;&gt;"keep")</x:f>
        <x:v>0</x:v>
      </x:c>
      <x:c r="AG576" t="n">
        <x:f>--AND(S576=1,T576=1,U576=1,V576=1,W576=1,AE576=1)</x:f>
        <x:v>0</x:v>
      </x:c>
      <x:c r="AJ576" t="str">
        <x:f>IF(OR(AH576="",AI576=""),"",--(AH576&lt;&gt;AI576))</x:f>
      </x:c>
      <x:c r="AL576" t="str">
        <x:f>IF(OR(AH576="",AI576=""),"PENDING_HUMAN",IF(AH576=AI576,AH576,IF(AK576&lt;&gt;"",AK576,"PENDING_HUMAN")))</x:f>
        <x:v>PENDING_HUMAN</x:v>
      </x:c>
      <x:c r="AM576" t="n">
        <x:f>--AND(A576&lt;&gt;"",AH576&lt;&gt;"",AI576&lt;&gt;"",OR(AH576=AI576,AK576&lt;&gt;""))</x:f>
        <x:v>0</x:v>
      </x:c>
      <x:c r="AN576" t="n">
        <x:f>--AND(Y576&lt;&gt;"",COUNTIF($Y$4:Y576,Y576)=1)</x:f>
        <x:v>0</x:v>
      </x:c>
      <x:c r="AO576" t="n">
        <x:f>--AND(AN576=1,Z576=1,AM576=1)</x:f>
        <x:v>0</x:v>
      </x:c>
      <x:c r="AP576" t="n">
        <x:f>--AND(AO576=1,AA576=1,AL576=1)</x:f>
        <x:v>0</x:v>
      </x:c>
      <x:c r="AQ576" t="n">
        <x:f>--AND(AN576=1,Z576=1)</x:f>
        <x:v>0</x:v>
      </x:c>
      <x:c r="AR576" t="n">
        <x:f>--AND(AQ576=1,AA576=1)</x:f>
        <x:v>0</x:v>
      </x:c>
    </x:row>
    <x:row r="577">
      <x:c r="A577" s="28"/>
      <x:c r="B577" s="28"/>
      <x:c r="C577" s="28"/>
      <x:c r="D577" s="28"/>
      <x:c r="E577" s="28"/>
      <x:c r="F577" s="28"/>
      <x:c r="G577" s="28"/>
      <x:c r="H577" s="28"/>
      <x:c r="I577" s="28"/>
      <x:c r="J577" s="28"/>
      <x:c r="K577" s="28"/>
      <x:c r="L577" s="28"/>
      <x:c r="M577" s="28"/>
      <x:c r="N577" s="28"/>
      <x:c r="O577" s="28"/>
      <x:c r="P577" s="28"/>
      <x:c r="Q577" s="28"/>
      <x:c r="R577" s="28"/>
      <x:c r="S577" s="28"/>
      <x:c r="T577" s="28"/>
      <x:c r="U577" s="28"/>
      <x:c r="V577" s="28"/>
      <x:c r="W577" s="28"/>
      <x:c r="X577" s="43" t="n">
        <x:f>--AND(S577=1,T577=1,U577=1,V577=1,W577=1)</x:f>
        <x:v>0</x:v>
      </x:c>
      <x:c r="AE577" s="43" t="n">
        <x:f>--AND(S577=1,M577&lt;&gt;"",M577&lt;&gt;"keep")</x:f>
        <x:v>0</x:v>
      </x:c>
      <x:c r="AG577" t="n">
        <x:f>--AND(S577=1,T577=1,U577=1,V577=1,W577=1,AE577=1)</x:f>
        <x:v>0</x:v>
      </x:c>
      <x:c r="AJ577" t="str">
        <x:f>IF(OR(AH577="",AI577=""),"",--(AH577&lt;&gt;AI577))</x:f>
      </x:c>
      <x:c r="AL577" t="str">
        <x:f>IF(OR(AH577="",AI577=""),"PENDING_HUMAN",IF(AH577=AI577,AH577,IF(AK577&lt;&gt;"",AK577,"PENDING_HUMAN")))</x:f>
        <x:v>PENDING_HUMAN</x:v>
      </x:c>
      <x:c r="AM577" t="n">
        <x:f>--AND(A577&lt;&gt;"",AH577&lt;&gt;"",AI577&lt;&gt;"",OR(AH577=AI577,AK577&lt;&gt;""))</x:f>
        <x:v>0</x:v>
      </x:c>
      <x:c r="AN577" t="n">
        <x:f>--AND(Y577&lt;&gt;"",COUNTIF($Y$4:Y577,Y577)=1)</x:f>
        <x:v>0</x:v>
      </x:c>
      <x:c r="AO577" t="n">
        <x:f>--AND(AN577=1,Z577=1,AM577=1)</x:f>
        <x:v>0</x:v>
      </x:c>
      <x:c r="AP577" t="n">
        <x:f>--AND(AO577=1,AA577=1,AL577=1)</x:f>
        <x:v>0</x:v>
      </x:c>
      <x:c r="AQ577" t="n">
        <x:f>--AND(AN577=1,Z577=1)</x:f>
        <x:v>0</x:v>
      </x:c>
      <x:c r="AR577" t="n">
        <x:f>--AND(AQ577=1,AA577=1)</x:f>
        <x:v>0</x:v>
      </x:c>
    </x:row>
    <x:row r="578">
      <x:c r="A578" s="28"/>
      <x:c r="B578" s="28"/>
      <x:c r="C578" s="28"/>
      <x:c r="D578" s="28"/>
      <x:c r="E578" s="28"/>
      <x:c r="F578" s="28"/>
      <x:c r="G578" s="28"/>
      <x:c r="H578" s="28"/>
      <x:c r="I578" s="28"/>
      <x:c r="J578" s="28"/>
      <x:c r="K578" s="28"/>
      <x:c r="L578" s="28"/>
      <x:c r="M578" s="28"/>
      <x:c r="N578" s="28"/>
      <x:c r="O578" s="28"/>
      <x:c r="P578" s="28"/>
      <x:c r="Q578" s="28"/>
      <x:c r="R578" s="28"/>
      <x:c r="S578" s="28"/>
      <x:c r="T578" s="28"/>
      <x:c r="U578" s="28"/>
      <x:c r="V578" s="28"/>
      <x:c r="W578" s="28"/>
      <x:c r="X578" s="43" t="n">
        <x:f>--AND(S578=1,T578=1,U578=1,V578=1,W578=1)</x:f>
        <x:v>0</x:v>
      </x:c>
      <x:c r="AE578" s="43" t="n">
        <x:f>--AND(S578=1,M578&lt;&gt;"",M578&lt;&gt;"keep")</x:f>
        <x:v>0</x:v>
      </x:c>
      <x:c r="AG578" t="n">
        <x:f>--AND(S578=1,T578=1,U578=1,V578=1,W578=1,AE578=1)</x:f>
        <x:v>0</x:v>
      </x:c>
      <x:c r="AJ578" t="str">
        <x:f>IF(OR(AH578="",AI578=""),"",--(AH578&lt;&gt;AI578))</x:f>
      </x:c>
      <x:c r="AL578" t="str">
        <x:f>IF(OR(AH578="",AI578=""),"PENDING_HUMAN",IF(AH578=AI578,AH578,IF(AK578&lt;&gt;"",AK578,"PENDING_HUMAN")))</x:f>
        <x:v>PENDING_HUMAN</x:v>
      </x:c>
      <x:c r="AM578" t="n">
        <x:f>--AND(A578&lt;&gt;"",AH578&lt;&gt;"",AI578&lt;&gt;"",OR(AH578=AI578,AK578&lt;&gt;""))</x:f>
        <x:v>0</x:v>
      </x:c>
      <x:c r="AN578" t="n">
        <x:f>--AND(Y578&lt;&gt;"",COUNTIF($Y$4:Y578,Y578)=1)</x:f>
        <x:v>0</x:v>
      </x:c>
      <x:c r="AO578" t="n">
        <x:f>--AND(AN578=1,Z578=1,AM578=1)</x:f>
        <x:v>0</x:v>
      </x:c>
      <x:c r="AP578" t="n">
        <x:f>--AND(AO578=1,AA578=1,AL578=1)</x:f>
        <x:v>0</x:v>
      </x:c>
      <x:c r="AQ578" t="n">
        <x:f>--AND(AN578=1,Z578=1)</x:f>
        <x:v>0</x:v>
      </x:c>
      <x:c r="AR578" t="n">
        <x:f>--AND(AQ578=1,AA578=1)</x:f>
        <x:v>0</x:v>
      </x:c>
    </x:row>
    <x:row r="579">
      <x:c r="A579" s="28"/>
      <x:c r="B579" s="28"/>
      <x:c r="C579" s="28"/>
      <x:c r="D579" s="28"/>
      <x:c r="E579" s="28"/>
      <x:c r="F579" s="28"/>
      <x:c r="G579" s="28"/>
      <x:c r="H579" s="28"/>
      <x:c r="I579" s="28"/>
      <x:c r="J579" s="28"/>
      <x:c r="K579" s="28"/>
      <x:c r="L579" s="28"/>
      <x:c r="M579" s="28"/>
      <x:c r="N579" s="28"/>
      <x:c r="O579" s="28"/>
      <x:c r="P579" s="28"/>
      <x:c r="Q579" s="28"/>
      <x:c r="R579" s="28"/>
      <x:c r="S579" s="28"/>
      <x:c r="T579" s="28"/>
      <x:c r="U579" s="28"/>
      <x:c r="V579" s="28"/>
      <x:c r="W579" s="28"/>
      <x:c r="X579" s="43" t="n">
        <x:f>--AND(S579=1,T579=1,U579=1,V579=1,W579=1)</x:f>
        <x:v>0</x:v>
      </x:c>
      <x:c r="AE579" s="43" t="n">
        <x:f>--AND(S579=1,M579&lt;&gt;"",M579&lt;&gt;"keep")</x:f>
        <x:v>0</x:v>
      </x:c>
      <x:c r="AG579" t="n">
        <x:f>--AND(S579=1,T579=1,U579=1,V579=1,W579=1,AE579=1)</x:f>
        <x:v>0</x:v>
      </x:c>
      <x:c r="AJ579" t="str">
        <x:f>IF(OR(AH579="",AI579=""),"",--(AH579&lt;&gt;AI579))</x:f>
      </x:c>
      <x:c r="AL579" t="str">
        <x:f>IF(OR(AH579="",AI579=""),"PENDING_HUMAN",IF(AH579=AI579,AH579,IF(AK579&lt;&gt;"",AK579,"PENDING_HUMAN")))</x:f>
        <x:v>PENDING_HUMAN</x:v>
      </x:c>
      <x:c r="AM579" t="n">
        <x:f>--AND(A579&lt;&gt;"",AH579&lt;&gt;"",AI579&lt;&gt;"",OR(AH579=AI579,AK579&lt;&gt;""))</x:f>
        <x:v>0</x:v>
      </x:c>
      <x:c r="AN579" t="n">
        <x:f>--AND(Y579&lt;&gt;"",COUNTIF($Y$4:Y579,Y579)=1)</x:f>
        <x:v>0</x:v>
      </x:c>
      <x:c r="AO579" t="n">
        <x:f>--AND(AN579=1,Z579=1,AM579=1)</x:f>
        <x:v>0</x:v>
      </x:c>
      <x:c r="AP579" t="n">
        <x:f>--AND(AO579=1,AA579=1,AL579=1)</x:f>
        <x:v>0</x:v>
      </x:c>
      <x:c r="AQ579" t="n">
        <x:f>--AND(AN579=1,Z579=1)</x:f>
        <x:v>0</x:v>
      </x:c>
      <x:c r="AR579" t="n">
        <x:f>--AND(AQ579=1,AA579=1)</x:f>
        <x:v>0</x:v>
      </x:c>
    </x:row>
    <x:row r="580">
      <x:c r="A580" s="28"/>
      <x:c r="B580" s="28"/>
      <x:c r="C580" s="28"/>
      <x:c r="D580" s="28"/>
      <x:c r="E580" s="28"/>
      <x:c r="F580" s="28"/>
      <x:c r="G580" s="28"/>
      <x:c r="H580" s="28"/>
      <x:c r="I580" s="28"/>
      <x:c r="J580" s="28"/>
      <x:c r="K580" s="28"/>
      <x:c r="L580" s="28"/>
      <x:c r="M580" s="28"/>
      <x:c r="N580" s="28"/>
      <x:c r="O580" s="28"/>
      <x:c r="P580" s="28"/>
      <x:c r="Q580" s="28"/>
      <x:c r="R580" s="28"/>
      <x:c r="S580" s="28"/>
      <x:c r="T580" s="28"/>
      <x:c r="U580" s="28"/>
      <x:c r="V580" s="28"/>
      <x:c r="W580" s="28"/>
      <x:c r="X580" s="43" t="n">
        <x:f>--AND(S580=1,T580=1,U580=1,V580=1,W580=1)</x:f>
        <x:v>0</x:v>
      </x:c>
      <x:c r="AE580" s="43" t="n">
        <x:f>--AND(S580=1,M580&lt;&gt;"",M580&lt;&gt;"keep")</x:f>
        <x:v>0</x:v>
      </x:c>
      <x:c r="AG580" t="n">
        <x:f>--AND(S580=1,T580=1,U580=1,V580=1,W580=1,AE580=1)</x:f>
        <x:v>0</x:v>
      </x:c>
      <x:c r="AJ580" t="str">
        <x:f>IF(OR(AH580="",AI580=""),"",--(AH580&lt;&gt;AI580))</x:f>
      </x:c>
      <x:c r="AL580" t="str">
        <x:f>IF(OR(AH580="",AI580=""),"PENDING_HUMAN",IF(AH580=AI580,AH580,IF(AK580&lt;&gt;"",AK580,"PENDING_HUMAN")))</x:f>
        <x:v>PENDING_HUMAN</x:v>
      </x:c>
      <x:c r="AM580" t="n">
        <x:f>--AND(A580&lt;&gt;"",AH580&lt;&gt;"",AI580&lt;&gt;"",OR(AH580=AI580,AK580&lt;&gt;""))</x:f>
        <x:v>0</x:v>
      </x:c>
      <x:c r="AN580" t="n">
        <x:f>--AND(Y580&lt;&gt;"",COUNTIF($Y$4:Y580,Y580)=1)</x:f>
        <x:v>0</x:v>
      </x:c>
      <x:c r="AO580" t="n">
        <x:f>--AND(AN580=1,Z580=1,AM580=1)</x:f>
        <x:v>0</x:v>
      </x:c>
      <x:c r="AP580" t="n">
        <x:f>--AND(AO580=1,AA580=1,AL580=1)</x:f>
        <x:v>0</x:v>
      </x:c>
      <x:c r="AQ580" t="n">
        <x:f>--AND(AN580=1,Z580=1)</x:f>
        <x:v>0</x:v>
      </x:c>
      <x:c r="AR580" t="n">
        <x:f>--AND(AQ580=1,AA580=1)</x:f>
        <x:v>0</x:v>
      </x:c>
    </x:row>
    <x:row r="581">
      <x:c r="A581" s="28"/>
      <x:c r="B581" s="28"/>
      <x:c r="C581" s="28"/>
      <x:c r="D581" s="28"/>
      <x:c r="E581" s="28"/>
      <x:c r="F581" s="28"/>
      <x:c r="G581" s="28"/>
      <x:c r="H581" s="28"/>
      <x:c r="I581" s="28"/>
      <x:c r="J581" s="28"/>
      <x:c r="K581" s="28"/>
      <x:c r="L581" s="28"/>
      <x:c r="M581" s="28"/>
      <x:c r="N581" s="28"/>
      <x:c r="O581" s="28"/>
      <x:c r="P581" s="28"/>
      <x:c r="Q581" s="28"/>
      <x:c r="R581" s="28"/>
      <x:c r="S581" s="28"/>
      <x:c r="T581" s="28"/>
      <x:c r="U581" s="28"/>
      <x:c r="V581" s="28"/>
      <x:c r="W581" s="28"/>
      <x:c r="X581" s="43" t="n">
        <x:f>--AND(S581=1,T581=1,U581=1,V581=1,W581=1)</x:f>
        <x:v>0</x:v>
      </x:c>
      <x:c r="AE581" s="43" t="n">
        <x:f>--AND(S581=1,M581&lt;&gt;"",M581&lt;&gt;"keep")</x:f>
        <x:v>0</x:v>
      </x:c>
      <x:c r="AG581" t="n">
        <x:f>--AND(S581=1,T581=1,U581=1,V581=1,W581=1,AE581=1)</x:f>
        <x:v>0</x:v>
      </x:c>
      <x:c r="AJ581" t="str">
        <x:f>IF(OR(AH581="",AI581=""),"",--(AH581&lt;&gt;AI581))</x:f>
      </x:c>
      <x:c r="AL581" t="str">
        <x:f>IF(OR(AH581="",AI581=""),"PENDING_HUMAN",IF(AH581=AI581,AH581,IF(AK581&lt;&gt;"",AK581,"PENDING_HUMAN")))</x:f>
        <x:v>PENDING_HUMAN</x:v>
      </x:c>
      <x:c r="AM581" t="n">
        <x:f>--AND(A581&lt;&gt;"",AH581&lt;&gt;"",AI581&lt;&gt;"",OR(AH581=AI581,AK581&lt;&gt;""))</x:f>
        <x:v>0</x:v>
      </x:c>
      <x:c r="AN581" t="n">
        <x:f>--AND(Y581&lt;&gt;"",COUNTIF($Y$4:Y581,Y581)=1)</x:f>
        <x:v>0</x:v>
      </x:c>
      <x:c r="AO581" t="n">
        <x:f>--AND(AN581=1,Z581=1,AM581=1)</x:f>
        <x:v>0</x:v>
      </x:c>
      <x:c r="AP581" t="n">
        <x:f>--AND(AO581=1,AA581=1,AL581=1)</x:f>
        <x:v>0</x:v>
      </x:c>
      <x:c r="AQ581" t="n">
        <x:f>--AND(AN581=1,Z581=1)</x:f>
        <x:v>0</x:v>
      </x:c>
      <x:c r="AR581" t="n">
        <x:f>--AND(AQ581=1,AA581=1)</x:f>
        <x:v>0</x:v>
      </x:c>
    </x:row>
    <x:row r="582">
      <x:c r="A582" s="28"/>
      <x:c r="B582" s="28"/>
      <x:c r="C582" s="28"/>
      <x:c r="D582" s="28"/>
      <x:c r="E582" s="28"/>
      <x:c r="F582" s="28"/>
      <x:c r="G582" s="28"/>
      <x:c r="H582" s="28"/>
      <x:c r="I582" s="28"/>
      <x:c r="J582" s="28"/>
      <x:c r="K582" s="28"/>
      <x:c r="L582" s="28"/>
      <x:c r="M582" s="28"/>
      <x:c r="N582" s="28"/>
      <x:c r="O582" s="28"/>
      <x:c r="P582" s="28"/>
      <x:c r="Q582" s="28"/>
      <x:c r="R582" s="28"/>
      <x:c r="S582" s="28"/>
      <x:c r="T582" s="28"/>
      <x:c r="U582" s="28"/>
      <x:c r="V582" s="28"/>
      <x:c r="W582" s="28"/>
      <x:c r="X582" s="43" t="n">
        <x:f>--AND(S582=1,T582=1,U582=1,V582=1,W582=1)</x:f>
        <x:v>0</x:v>
      </x:c>
      <x:c r="AE582" s="43" t="n">
        <x:f>--AND(S582=1,M582&lt;&gt;"",M582&lt;&gt;"keep")</x:f>
        <x:v>0</x:v>
      </x:c>
      <x:c r="AG582" t="n">
        <x:f>--AND(S582=1,T582=1,U582=1,V582=1,W582=1,AE582=1)</x:f>
        <x:v>0</x:v>
      </x:c>
      <x:c r="AJ582" t="str">
        <x:f>IF(OR(AH582="",AI582=""),"",--(AH582&lt;&gt;AI582))</x:f>
      </x:c>
      <x:c r="AL582" t="str">
        <x:f>IF(OR(AH582="",AI582=""),"PENDING_HUMAN",IF(AH582=AI582,AH582,IF(AK582&lt;&gt;"",AK582,"PENDING_HUMAN")))</x:f>
        <x:v>PENDING_HUMAN</x:v>
      </x:c>
      <x:c r="AM582" t="n">
        <x:f>--AND(A582&lt;&gt;"",AH582&lt;&gt;"",AI582&lt;&gt;"",OR(AH582=AI582,AK582&lt;&gt;""))</x:f>
        <x:v>0</x:v>
      </x:c>
      <x:c r="AN582" t="n">
        <x:f>--AND(Y582&lt;&gt;"",COUNTIF($Y$4:Y582,Y582)=1)</x:f>
        <x:v>0</x:v>
      </x:c>
      <x:c r="AO582" t="n">
        <x:f>--AND(AN582=1,Z582=1,AM582=1)</x:f>
        <x:v>0</x:v>
      </x:c>
      <x:c r="AP582" t="n">
        <x:f>--AND(AO582=1,AA582=1,AL582=1)</x:f>
        <x:v>0</x:v>
      </x:c>
      <x:c r="AQ582" t="n">
        <x:f>--AND(AN582=1,Z582=1)</x:f>
        <x:v>0</x:v>
      </x:c>
      <x:c r="AR582" t="n">
        <x:f>--AND(AQ582=1,AA582=1)</x:f>
        <x:v>0</x:v>
      </x:c>
    </x:row>
    <x:row r="583">
      <x:c r="A583" s="28"/>
      <x:c r="B583" s="28"/>
      <x:c r="C583" s="28"/>
      <x:c r="D583" s="28"/>
      <x:c r="E583" s="28"/>
      <x:c r="F583" s="28"/>
      <x:c r="G583" s="28"/>
      <x:c r="H583" s="28"/>
      <x:c r="I583" s="28"/>
      <x:c r="J583" s="28"/>
      <x:c r="K583" s="28"/>
      <x:c r="L583" s="28"/>
      <x:c r="M583" s="28"/>
      <x:c r="N583" s="28"/>
      <x:c r="O583" s="28"/>
      <x:c r="P583" s="28"/>
      <x:c r="Q583" s="28"/>
      <x:c r="R583" s="28"/>
      <x:c r="S583" s="28"/>
      <x:c r="T583" s="28"/>
      <x:c r="U583" s="28"/>
      <x:c r="V583" s="28"/>
      <x:c r="W583" s="28"/>
      <x:c r="X583" s="43" t="n">
        <x:f>--AND(S583=1,T583=1,U583=1,V583=1,W583=1)</x:f>
        <x:v>0</x:v>
      </x:c>
      <x:c r="AE583" s="43" t="n">
        <x:f>--AND(S583=1,M583&lt;&gt;"",M583&lt;&gt;"keep")</x:f>
        <x:v>0</x:v>
      </x:c>
      <x:c r="AG583" t="n">
        <x:f>--AND(S583=1,T583=1,U583=1,V583=1,W583=1,AE583=1)</x:f>
        <x:v>0</x:v>
      </x:c>
      <x:c r="AJ583" t="str">
        <x:f>IF(OR(AH583="",AI583=""),"",--(AH583&lt;&gt;AI583))</x:f>
      </x:c>
      <x:c r="AL583" t="str">
        <x:f>IF(OR(AH583="",AI583=""),"PENDING_HUMAN",IF(AH583=AI583,AH583,IF(AK583&lt;&gt;"",AK583,"PENDING_HUMAN")))</x:f>
        <x:v>PENDING_HUMAN</x:v>
      </x:c>
      <x:c r="AM583" t="n">
        <x:f>--AND(A583&lt;&gt;"",AH583&lt;&gt;"",AI583&lt;&gt;"",OR(AH583=AI583,AK583&lt;&gt;""))</x:f>
        <x:v>0</x:v>
      </x:c>
      <x:c r="AN583" t="n">
        <x:f>--AND(Y583&lt;&gt;"",COUNTIF($Y$4:Y583,Y583)=1)</x:f>
        <x:v>0</x:v>
      </x:c>
      <x:c r="AO583" t="n">
        <x:f>--AND(AN583=1,Z583=1,AM583=1)</x:f>
        <x:v>0</x:v>
      </x:c>
      <x:c r="AP583" t="n">
        <x:f>--AND(AO583=1,AA583=1,AL583=1)</x:f>
        <x:v>0</x:v>
      </x:c>
      <x:c r="AQ583" t="n">
        <x:f>--AND(AN583=1,Z583=1)</x:f>
        <x:v>0</x:v>
      </x:c>
      <x:c r="AR583" t="n">
        <x:f>--AND(AQ583=1,AA583=1)</x:f>
        <x:v>0</x:v>
      </x:c>
    </x:row>
    <x:row r="584">
      <x:c r="A584" s="28"/>
      <x:c r="B584" s="28"/>
      <x:c r="C584" s="28"/>
      <x:c r="D584" s="28"/>
      <x:c r="E584" s="28"/>
      <x:c r="F584" s="28"/>
      <x:c r="G584" s="28"/>
      <x:c r="H584" s="28"/>
      <x:c r="I584" s="28"/>
      <x:c r="J584" s="28"/>
      <x:c r="K584" s="28"/>
      <x:c r="L584" s="28"/>
      <x:c r="M584" s="28"/>
      <x:c r="N584" s="28"/>
      <x:c r="O584" s="28"/>
      <x:c r="P584" s="28"/>
      <x:c r="Q584" s="28"/>
      <x:c r="R584" s="28"/>
      <x:c r="S584" s="28"/>
      <x:c r="T584" s="28"/>
      <x:c r="U584" s="28"/>
      <x:c r="V584" s="28"/>
      <x:c r="W584" s="28"/>
      <x:c r="X584" s="43" t="n">
        <x:f>--AND(S584=1,T584=1,U584=1,V584=1,W584=1)</x:f>
        <x:v>0</x:v>
      </x:c>
      <x:c r="AE584" s="43" t="n">
        <x:f>--AND(S584=1,M584&lt;&gt;"",M584&lt;&gt;"keep")</x:f>
        <x:v>0</x:v>
      </x:c>
      <x:c r="AG584" t="n">
        <x:f>--AND(S584=1,T584=1,U584=1,V584=1,W584=1,AE584=1)</x:f>
        <x:v>0</x:v>
      </x:c>
      <x:c r="AJ584" t="str">
        <x:f>IF(OR(AH584="",AI584=""),"",--(AH584&lt;&gt;AI584))</x:f>
      </x:c>
      <x:c r="AL584" t="str">
        <x:f>IF(OR(AH584="",AI584=""),"PENDING_HUMAN",IF(AH584=AI584,AH584,IF(AK584&lt;&gt;"",AK584,"PENDING_HUMAN")))</x:f>
        <x:v>PENDING_HUMAN</x:v>
      </x:c>
      <x:c r="AM584" t="n">
        <x:f>--AND(A584&lt;&gt;"",AH584&lt;&gt;"",AI584&lt;&gt;"",OR(AH584=AI584,AK584&lt;&gt;""))</x:f>
        <x:v>0</x:v>
      </x:c>
      <x:c r="AN584" t="n">
        <x:f>--AND(Y584&lt;&gt;"",COUNTIF($Y$4:Y584,Y584)=1)</x:f>
        <x:v>0</x:v>
      </x:c>
      <x:c r="AO584" t="n">
        <x:f>--AND(AN584=1,Z584=1,AM584=1)</x:f>
        <x:v>0</x:v>
      </x:c>
      <x:c r="AP584" t="n">
        <x:f>--AND(AO584=1,AA584=1,AL584=1)</x:f>
        <x:v>0</x:v>
      </x:c>
      <x:c r="AQ584" t="n">
        <x:f>--AND(AN584=1,Z584=1)</x:f>
        <x:v>0</x:v>
      </x:c>
      <x:c r="AR584" t="n">
        <x:f>--AND(AQ584=1,AA584=1)</x:f>
        <x:v>0</x:v>
      </x:c>
    </x:row>
    <x:row r="585">
      <x:c r="A585" s="28"/>
      <x:c r="B585" s="28"/>
      <x:c r="C585" s="28"/>
      <x:c r="D585" s="28"/>
      <x:c r="E585" s="28"/>
      <x:c r="F585" s="28"/>
      <x:c r="G585" s="28"/>
      <x:c r="H585" s="28"/>
      <x:c r="I585" s="28"/>
      <x:c r="J585" s="28"/>
      <x:c r="K585" s="28"/>
      <x:c r="L585" s="28"/>
      <x:c r="M585" s="28"/>
      <x:c r="N585" s="28"/>
      <x:c r="O585" s="28"/>
      <x:c r="P585" s="28"/>
      <x:c r="Q585" s="28"/>
      <x:c r="R585" s="28"/>
      <x:c r="S585" s="28"/>
      <x:c r="T585" s="28"/>
      <x:c r="U585" s="28"/>
      <x:c r="V585" s="28"/>
      <x:c r="W585" s="28"/>
      <x:c r="X585" s="43" t="n">
        <x:f>--AND(S585=1,T585=1,U585=1,V585=1,W585=1)</x:f>
        <x:v>0</x:v>
      </x:c>
      <x:c r="AE585" s="43" t="n">
        <x:f>--AND(S585=1,M585&lt;&gt;"",M585&lt;&gt;"keep")</x:f>
        <x:v>0</x:v>
      </x:c>
      <x:c r="AG585" t="n">
        <x:f>--AND(S585=1,T585=1,U585=1,V585=1,W585=1,AE585=1)</x:f>
        <x:v>0</x:v>
      </x:c>
      <x:c r="AJ585" t="str">
        <x:f>IF(OR(AH585="",AI585=""),"",--(AH585&lt;&gt;AI585))</x:f>
      </x:c>
      <x:c r="AL585" t="str">
        <x:f>IF(OR(AH585="",AI585=""),"PENDING_HUMAN",IF(AH585=AI585,AH585,IF(AK585&lt;&gt;"",AK585,"PENDING_HUMAN")))</x:f>
        <x:v>PENDING_HUMAN</x:v>
      </x:c>
      <x:c r="AM585" t="n">
        <x:f>--AND(A585&lt;&gt;"",AH585&lt;&gt;"",AI585&lt;&gt;"",OR(AH585=AI585,AK585&lt;&gt;""))</x:f>
        <x:v>0</x:v>
      </x:c>
      <x:c r="AN585" t="n">
        <x:f>--AND(Y585&lt;&gt;"",COUNTIF($Y$4:Y585,Y585)=1)</x:f>
        <x:v>0</x:v>
      </x:c>
      <x:c r="AO585" t="n">
        <x:f>--AND(AN585=1,Z585=1,AM585=1)</x:f>
        <x:v>0</x:v>
      </x:c>
      <x:c r="AP585" t="n">
        <x:f>--AND(AO585=1,AA585=1,AL585=1)</x:f>
        <x:v>0</x:v>
      </x:c>
      <x:c r="AQ585" t="n">
        <x:f>--AND(AN585=1,Z585=1)</x:f>
        <x:v>0</x:v>
      </x:c>
      <x:c r="AR585" t="n">
        <x:f>--AND(AQ585=1,AA585=1)</x:f>
        <x:v>0</x:v>
      </x:c>
    </x:row>
    <x:row r="586">
      <x:c r="A586" s="28"/>
      <x:c r="B586" s="28"/>
      <x:c r="C586" s="28"/>
      <x:c r="D586" s="28"/>
      <x:c r="E586" s="28"/>
      <x:c r="F586" s="28"/>
      <x:c r="G586" s="28"/>
      <x:c r="H586" s="28"/>
      <x:c r="I586" s="28"/>
      <x:c r="J586" s="28"/>
      <x:c r="K586" s="28"/>
      <x:c r="L586" s="28"/>
      <x:c r="M586" s="28"/>
      <x:c r="N586" s="28"/>
      <x:c r="O586" s="28"/>
      <x:c r="P586" s="28"/>
      <x:c r="Q586" s="28"/>
      <x:c r="R586" s="28"/>
      <x:c r="S586" s="28"/>
      <x:c r="T586" s="28"/>
      <x:c r="U586" s="28"/>
      <x:c r="V586" s="28"/>
      <x:c r="W586" s="28"/>
      <x:c r="X586" s="43" t="n">
        <x:f>--AND(S586=1,T586=1,U586=1,V586=1,W586=1)</x:f>
        <x:v>0</x:v>
      </x:c>
      <x:c r="AE586" s="43" t="n">
        <x:f>--AND(S586=1,M586&lt;&gt;"",M586&lt;&gt;"keep")</x:f>
        <x:v>0</x:v>
      </x:c>
      <x:c r="AG586" t="n">
        <x:f>--AND(S586=1,T586=1,U586=1,V586=1,W586=1,AE586=1)</x:f>
        <x:v>0</x:v>
      </x:c>
      <x:c r="AJ586" t="str">
        <x:f>IF(OR(AH586="",AI586=""),"",--(AH586&lt;&gt;AI586))</x:f>
      </x:c>
      <x:c r="AL586" t="str">
        <x:f>IF(OR(AH586="",AI586=""),"PENDING_HUMAN",IF(AH586=AI586,AH586,IF(AK586&lt;&gt;"",AK586,"PENDING_HUMAN")))</x:f>
        <x:v>PENDING_HUMAN</x:v>
      </x:c>
      <x:c r="AM586" t="n">
        <x:f>--AND(A586&lt;&gt;"",AH586&lt;&gt;"",AI586&lt;&gt;"",OR(AH586=AI586,AK586&lt;&gt;""))</x:f>
        <x:v>0</x:v>
      </x:c>
      <x:c r="AN586" t="n">
        <x:f>--AND(Y586&lt;&gt;"",COUNTIF($Y$4:Y586,Y586)=1)</x:f>
        <x:v>0</x:v>
      </x:c>
      <x:c r="AO586" t="n">
        <x:f>--AND(AN586=1,Z586=1,AM586=1)</x:f>
        <x:v>0</x:v>
      </x:c>
      <x:c r="AP586" t="n">
        <x:f>--AND(AO586=1,AA586=1,AL586=1)</x:f>
        <x:v>0</x:v>
      </x:c>
      <x:c r="AQ586" t="n">
        <x:f>--AND(AN586=1,Z586=1)</x:f>
        <x:v>0</x:v>
      </x:c>
      <x:c r="AR586" t="n">
        <x:f>--AND(AQ586=1,AA586=1)</x:f>
        <x:v>0</x:v>
      </x:c>
    </x:row>
    <x:row r="587">
      <x:c r="A587" s="28"/>
      <x:c r="B587" s="28"/>
      <x:c r="C587" s="28"/>
      <x:c r="D587" s="28"/>
      <x:c r="E587" s="28"/>
      <x:c r="F587" s="28"/>
      <x:c r="G587" s="28"/>
      <x:c r="H587" s="28"/>
      <x:c r="I587" s="28"/>
      <x:c r="J587" s="28"/>
      <x:c r="K587" s="28"/>
      <x:c r="L587" s="28"/>
      <x:c r="M587" s="28"/>
      <x:c r="N587" s="28"/>
      <x:c r="O587" s="28"/>
      <x:c r="P587" s="28"/>
      <x:c r="Q587" s="28"/>
      <x:c r="R587" s="28"/>
      <x:c r="S587" s="28"/>
      <x:c r="T587" s="28"/>
      <x:c r="U587" s="28"/>
      <x:c r="V587" s="28"/>
      <x:c r="W587" s="28"/>
      <x:c r="X587" s="43" t="n">
        <x:f>--AND(S587=1,T587=1,U587=1,V587=1,W587=1)</x:f>
        <x:v>0</x:v>
      </x:c>
      <x:c r="AE587" s="43" t="n">
        <x:f>--AND(S587=1,M587&lt;&gt;"",M587&lt;&gt;"keep")</x:f>
        <x:v>0</x:v>
      </x:c>
      <x:c r="AG587" t="n">
        <x:f>--AND(S587=1,T587=1,U587=1,V587=1,W587=1,AE587=1)</x:f>
        <x:v>0</x:v>
      </x:c>
      <x:c r="AJ587" t="str">
        <x:f>IF(OR(AH587="",AI587=""),"",--(AH587&lt;&gt;AI587))</x:f>
      </x:c>
      <x:c r="AL587" t="str">
        <x:f>IF(OR(AH587="",AI587=""),"PENDING_HUMAN",IF(AH587=AI587,AH587,IF(AK587&lt;&gt;"",AK587,"PENDING_HUMAN")))</x:f>
        <x:v>PENDING_HUMAN</x:v>
      </x:c>
      <x:c r="AM587" t="n">
        <x:f>--AND(A587&lt;&gt;"",AH587&lt;&gt;"",AI587&lt;&gt;"",OR(AH587=AI587,AK587&lt;&gt;""))</x:f>
        <x:v>0</x:v>
      </x:c>
      <x:c r="AN587" t="n">
        <x:f>--AND(Y587&lt;&gt;"",COUNTIF($Y$4:Y587,Y587)=1)</x:f>
        <x:v>0</x:v>
      </x:c>
      <x:c r="AO587" t="n">
        <x:f>--AND(AN587=1,Z587=1,AM587=1)</x:f>
        <x:v>0</x:v>
      </x:c>
      <x:c r="AP587" t="n">
        <x:f>--AND(AO587=1,AA587=1,AL587=1)</x:f>
        <x:v>0</x:v>
      </x:c>
      <x:c r="AQ587" t="n">
        <x:f>--AND(AN587=1,Z587=1)</x:f>
        <x:v>0</x:v>
      </x:c>
      <x:c r="AR587" t="n">
        <x:f>--AND(AQ587=1,AA587=1)</x:f>
        <x:v>0</x:v>
      </x:c>
    </x:row>
    <x:row r="588">
      <x:c r="A588" s="28"/>
      <x:c r="B588" s="28"/>
      <x:c r="C588" s="28"/>
      <x:c r="D588" s="28"/>
      <x:c r="E588" s="28"/>
      <x:c r="F588" s="28"/>
      <x:c r="G588" s="28"/>
      <x:c r="H588" s="28"/>
      <x:c r="I588" s="28"/>
      <x:c r="J588" s="28"/>
      <x:c r="K588" s="28"/>
      <x:c r="L588" s="28"/>
      <x:c r="M588" s="28"/>
      <x:c r="N588" s="28"/>
      <x:c r="O588" s="28"/>
      <x:c r="P588" s="28"/>
      <x:c r="Q588" s="28"/>
      <x:c r="R588" s="28"/>
      <x:c r="S588" s="28"/>
      <x:c r="T588" s="28"/>
      <x:c r="U588" s="28"/>
      <x:c r="V588" s="28"/>
      <x:c r="W588" s="28"/>
      <x:c r="X588" s="43" t="n">
        <x:f>--AND(S588=1,T588=1,U588=1,V588=1,W588=1)</x:f>
        <x:v>0</x:v>
      </x:c>
      <x:c r="AE588" s="43" t="n">
        <x:f>--AND(S588=1,M588&lt;&gt;"",M588&lt;&gt;"keep")</x:f>
        <x:v>0</x:v>
      </x:c>
      <x:c r="AG588" t="n">
        <x:f>--AND(S588=1,T588=1,U588=1,V588=1,W588=1,AE588=1)</x:f>
        <x:v>0</x:v>
      </x:c>
      <x:c r="AJ588" t="str">
        <x:f>IF(OR(AH588="",AI588=""),"",--(AH588&lt;&gt;AI588))</x:f>
      </x:c>
      <x:c r="AL588" t="str">
        <x:f>IF(OR(AH588="",AI588=""),"PENDING_HUMAN",IF(AH588=AI588,AH588,IF(AK588&lt;&gt;"",AK588,"PENDING_HUMAN")))</x:f>
        <x:v>PENDING_HUMAN</x:v>
      </x:c>
      <x:c r="AM588" t="n">
        <x:f>--AND(A588&lt;&gt;"",AH588&lt;&gt;"",AI588&lt;&gt;"",OR(AH588=AI588,AK588&lt;&gt;""))</x:f>
        <x:v>0</x:v>
      </x:c>
      <x:c r="AN588" t="n">
        <x:f>--AND(Y588&lt;&gt;"",COUNTIF($Y$4:Y588,Y588)=1)</x:f>
        <x:v>0</x:v>
      </x:c>
      <x:c r="AO588" t="n">
        <x:f>--AND(AN588=1,Z588=1,AM588=1)</x:f>
        <x:v>0</x:v>
      </x:c>
      <x:c r="AP588" t="n">
        <x:f>--AND(AO588=1,AA588=1,AL588=1)</x:f>
        <x:v>0</x:v>
      </x:c>
      <x:c r="AQ588" t="n">
        <x:f>--AND(AN588=1,Z588=1)</x:f>
        <x:v>0</x:v>
      </x:c>
      <x:c r="AR588" t="n">
        <x:f>--AND(AQ588=1,AA588=1)</x:f>
        <x:v>0</x:v>
      </x:c>
    </x:row>
    <x:row r="589">
      <x:c r="A589" s="28"/>
      <x:c r="B589" s="28"/>
      <x:c r="C589" s="28"/>
      <x:c r="D589" s="28"/>
      <x:c r="E589" s="28"/>
      <x:c r="F589" s="28"/>
      <x:c r="G589" s="28"/>
      <x:c r="H589" s="28"/>
      <x:c r="I589" s="28"/>
      <x:c r="J589" s="28"/>
      <x:c r="K589" s="28"/>
      <x:c r="L589" s="28"/>
      <x:c r="M589" s="28"/>
      <x:c r="N589" s="28"/>
      <x:c r="O589" s="28"/>
      <x:c r="P589" s="28"/>
      <x:c r="Q589" s="28"/>
      <x:c r="R589" s="28"/>
      <x:c r="S589" s="28"/>
      <x:c r="T589" s="28"/>
      <x:c r="U589" s="28"/>
      <x:c r="V589" s="28"/>
      <x:c r="W589" s="28"/>
      <x:c r="X589" s="43" t="n">
        <x:f>--AND(S589=1,T589=1,U589=1,V589=1,W589=1)</x:f>
        <x:v>0</x:v>
      </x:c>
      <x:c r="AE589" s="43" t="n">
        <x:f>--AND(S589=1,M589&lt;&gt;"",M589&lt;&gt;"keep")</x:f>
        <x:v>0</x:v>
      </x:c>
      <x:c r="AG589" t="n">
        <x:f>--AND(S589=1,T589=1,U589=1,V589=1,W589=1,AE589=1)</x:f>
        <x:v>0</x:v>
      </x:c>
      <x:c r="AJ589" t="str">
        <x:f>IF(OR(AH589="",AI589=""),"",--(AH589&lt;&gt;AI589))</x:f>
      </x:c>
      <x:c r="AL589" t="str">
        <x:f>IF(OR(AH589="",AI589=""),"PENDING_HUMAN",IF(AH589=AI589,AH589,IF(AK589&lt;&gt;"",AK589,"PENDING_HUMAN")))</x:f>
        <x:v>PENDING_HUMAN</x:v>
      </x:c>
      <x:c r="AM589" t="n">
        <x:f>--AND(A589&lt;&gt;"",AH589&lt;&gt;"",AI589&lt;&gt;"",OR(AH589=AI589,AK589&lt;&gt;""))</x:f>
        <x:v>0</x:v>
      </x:c>
      <x:c r="AN589" t="n">
        <x:f>--AND(Y589&lt;&gt;"",COUNTIF($Y$4:Y589,Y589)=1)</x:f>
        <x:v>0</x:v>
      </x:c>
      <x:c r="AO589" t="n">
        <x:f>--AND(AN589=1,Z589=1,AM589=1)</x:f>
        <x:v>0</x:v>
      </x:c>
      <x:c r="AP589" t="n">
        <x:f>--AND(AO589=1,AA589=1,AL589=1)</x:f>
        <x:v>0</x:v>
      </x:c>
      <x:c r="AQ589" t="n">
        <x:f>--AND(AN589=1,Z589=1)</x:f>
        <x:v>0</x:v>
      </x:c>
      <x:c r="AR589" t="n">
        <x:f>--AND(AQ589=1,AA589=1)</x:f>
        <x:v>0</x:v>
      </x:c>
    </x:row>
    <x:row r="590">
      <x:c r="A590" s="28"/>
      <x:c r="B590" s="28"/>
      <x:c r="C590" s="28"/>
      <x:c r="D590" s="28"/>
      <x:c r="E590" s="28"/>
      <x:c r="F590" s="28"/>
      <x:c r="G590" s="28"/>
      <x:c r="H590" s="28"/>
      <x:c r="I590" s="28"/>
      <x:c r="J590" s="28"/>
      <x:c r="K590" s="28"/>
      <x:c r="L590" s="28"/>
      <x:c r="M590" s="28"/>
      <x:c r="N590" s="28"/>
      <x:c r="O590" s="28"/>
      <x:c r="P590" s="28"/>
      <x:c r="Q590" s="28"/>
      <x:c r="R590" s="28"/>
      <x:c r="S590" s="28"/>
      <x:c r="T590" s="28"/>
      <x:c r="U590" s="28"/>
      <x:c r="V590" s="28"/>
      <x:c r="W590" s="28"/>
      <x:c r="X590" s="43" t="n">
        <x:f>--AND(S590=1,T590=1,U590=1,V590=1,W590=1)</x:f>
        <x:v>0</x:v>
      </x:c>
      <x:c r="AE590" s="43" t="n">
        <x:f>--AND(S590=1,M590&lt;&gt;"",M590&lt;&gt;"keep")</x:f>
        <x:v>0</x:v>
      </x:c>
      <x:c r="AG590" t="n">
        <x:f>--AND(S590=1,T590=1,U590=1,V590=1,W590=1,AE590=1)</x:f>
        <x:v>0</x:v>
      </x:c>
      <x:c r="AJ590" t="str">
        <x:f>IF(OR(AH590="",AI590=""),"",--(AH590&lt;&gt;AI590))</x:f>
      </x:c>
      <x:c r="AL590" t="str">
        <x:f>IF(OR(AH590="",AI590=""),"PENDING_HUMAN",IF(AH590=AI590,AH590,IF(AK590&lt;&gt;"",AK590,"PENDING_HUMAN")))</x:f>
        <x:v>PENDING_HUMAN</x:v>
      </x:c>
      <x:c r="AM590" t="n">
        <x:f>--AND(A590&lt;&gt;"",AH590&lt;&gt;"",AI590&lt;&gt;"",OR(AH590=AI590,AK590&lt;&gt;""))</x:f>
        <x:v>0</x:v>
      </x:c>
      <x:c r="AN590" t="n">
        <x:f>--AND(Y590&lt;&gt;"",COUNTIF($Y$4:Y590,Y590)=1)</x:f>
        <x:v>0</x:v>
      </x:c>
      <x:c r="AO590" t="n">
        <x:f>--AND(AN590=1,Z590=1,AM590=1)</x:f>
        <x:v>0</x:v>
      </x:c>
      <x:c r="AP590" t="n">
        <x:f>--AND(AO590=1,AA590=1,AL590=1)</x:f>
        <x:v>0</x:v>
      </x:c>
      <x:c r="AQ590" t="n">
        <x:f>--AND(AN590=1,Z590=1)</x:f>
        <x:v>0</x:v>
      </x:c>
      <x:c r="AR590" t="n">
        <x:f>--AND(AQ590=1,AA590=1)</x:f>
        <x:v>0</x:v>
      </x:c>
    </x:row>
    <x:row r="591">
      <x:c r="A591" s="28"/>
      <x:c r="B591" s="28"/>
      <x:c r="C591" s="28"/>
      <x:c r="D591" s="28"/>
      <x:c r="E591" s="28"/>
      <x:c r="F591" s="28"/>
      <x:c r="G591" s="28"/>
      <x:c r="H591" s="28"/>
      <x:c r="I591" s="28"/>
      <x:c r="J591" s="28"/>
      <x:c r="K591" s="28"/>
      <x:c r="L591" s="28"/>
      <x:c r="M591" s="28"/>
      <x:c r="N591" s="28"/>
      <x:c r="O591" s="28"/>
      <x:c r="P591" s="28"/>
      <x:c r="Q591" s="28"/>
      <x:c r="R591" s="28"/>
      <x:c r="S591" s="28"/>
      <x:c r="T591" s="28"/>
      <x:c r="U591" s="28"/>
      <x:c r="V591" s="28"/>
      <x:c r="W591" s="28"/>
      <x:c r="X591" s="43" t="n">
        <x:f>--AND(S591=1,T591=1,U591=1,V591=1,W591=1)</x:f>
        <x:v>0</x:v>
      </x:c>
      <x:c r="AE591" s="43" t="n">
        <x:f>--AND(S591=1,M591&lt;&gt;"",M591&lt;&gt;"keep")</x:f>
        <x:v>0</x:v>
      </x:c>
      <x:c r="AG591" t="n">
        <x:f>--AND(S591=1,T591=1,U591=1,V591=1,W591=1,AE591=1)</x:f>
        <x:v>0</x:v>
      </x:c>
      <x:c r="AJ591" t="str">
        <x:f>IF(OR(AH591="",AI591=""),"",--(AH591&lt;&gt;AI591))</x:f>
      </x:c>
      <x:c r="AL591" t="str">
        <x:f>IF(OR(AH591="",AI591=""),"PENDING_HUMAN",IF(AH591=AI591,AH591,IF(AK591&lt;&gt;"",AK591,"PENDING_HUMAN")))</x:f>
        <x:v>PENDING_HUMAN</x:v>
      </x:c>
      <x:c r="AM591" t="n">
        <x:f>--AND(A591&lt;&gt;"",AH591&lt;&gt;"",AI591&lt;&gt;"",OR(AH591=AI591,AK591&lt;&gt;""))</x:f>
        <x:v>0</x:v>
      </x:c>
      <x:c r="AN591" t="n">
        <x:f>--AND(Y591&lt;&gt;"",COUNTIF($Y$4:Y591,Y591)=1)</x:f>
        <x:v>0</x:v>
      </x:c>
      <x:c r="AO591" t="n">
        <x:f>--AND(AN591=1,Z591=1,AM591=1)</x:f>
        <x:v>0</x:v>
      </x:c>
      <x:c r="AP591" t="n">
        <x:f>--AND(AO591=1,AA591=1,AL591=1)</x:f>
        <x:v>0</x:v>
      </x:c>
      <x:c r="AQ591" t="n">
        <x:f>--AND(AN591=1,Z591=1)</x:f>
        <x:v>0</x:v>
      </x:c>
      <x:c r="AR591" t="n">
        <x:f>--AND(AQ591=1,AA591=1)</x:f>
        <x:v>0</x:v>
      </x:c>
    </x:row>
    <x:row r="592">
      <x:c r="A592" s="28"/>
      <x:c r="B592" s="28"/>
      <x:c r="C592" s="28"/>
      <x:c r="D592" s="28"/>
      <x:c r="E592" s="28"/>
      <x:c r="F592" s="28"/>
      <x:c r="G592" s="28"/>
      <x:c r="H592" s="28"/>
      <x:c r="I592" s="28"/>
      <x:c r="J592" s="28"/>
      <x:c r="K592" s="28"/>
      <x:c r="L592" s="28"/>
      <x:c r="M592" s="28"/>
      <x:c r="N592" s="28"/>
      <x:c r="O592" s="28"/>
      <x:c r="P592" s="28"/>
      <x:c r="Q592" s="28"/>
      <x:c r="R592" s="28"/>
      <x:c r="S592" s="28"/>
      <x:c r="T592" s="28"/>
      <x:c r="U592" s="28"/>
      <x:c r="V592" s="28"/>
      <x:c r="W592" s="28"/>
      <x:c r="X592" s="43" t="n">
        <x:f>--AND(S592=1,T592=1,U592=1,V592=1,W592=1)</x:f>
        <x:v>0</x:v>
      </x:c>
      <x:c r="AE592" s="43" t="n">
        <x:f>--AND(S592=1,M592&lt;&gt;"",M592&lt;&gt;"keep")</x:f>
        <x:v>0</x:v>
      </x:c>
      <x:c r="AG592" t="n">
        <x:f>--AND(S592=1,T592=1,U592=1,V592=1,W592=1,AE592=1)</x:f>
        <x:v>0</x:v>
      </x:c>
      <x:c r="AJ592" t="str">
        <x:f>IF(OR(AH592="",AI592=""),"",--(AH592&lt;&gt;AI592))</x:f>
      </x:c>
      <x:c r="AL592" t="str">
        <x:f>IF(OR(AH592="",AI592=""),"PENDING_HUMAN",IF(AH592=AI592,AH592,IF(AK592&lt;&gt;"",AK592,"PENDING_HUMAN")))</x:f>
        <x:v>PENDING_HUMAN</x:v>
      </x:c>
      <x:c r="AM592" t="n">
        <x:f>--AND(A592&lt;&gt;"",AH592&lt;&gt;"",AI592&lt;&gt;"",OR(AH592=AI592,AK592&lt;&gt;""))</x:f>
        <x:v>0</x:v>
      </x:c>
      <x:c r="AN592" t="n">
        <x:f>--AND(Y592&lt;&gt;"",COUNTIF($Y$4:Y592,Y592)=1)</x:f>
        <x:v>0</x:v>
      </x:c>
      <x:c r="AO592" t="n">
        <x:f>--AND(AN592=1,Z592=1,AM592=1)</x:f>
        <x:v>0</x:v>
      </x:c>
      <x:c r="AP592" t="n">
        <x:f>--AND(AO592=1,AA592=1,AL592=1)</x:f>
        <x:v>0</x:v>
      </x:c>
      <x:c r="AQ592" t="n">
        <x:f>--AND(AN592=1,Z592=1)</x:f>
        <x:v>0</x:v>
      </x:c>
      <x:c r="AR592" t="n">
        <x:f>--AND(AQ592=1,AA592=1)</x:f>
        <x:v>0</x:v>
      </x:c>
    </x:row>
    <x:row r="593">
      <x:c r="A593" s="28"/>
      <x:c r="B593" s="28"/>
      <x:c r="C593" s="28"/>
      <x:c r="D593" s="28"/>
      <x:c r="E593" s="28"/>
      <x:c r="F593" s="28"/>
      <x:c r="G593" s="28"/>
      <x:c r="H593" s="28"/>
      <x:c r="I593" s="28"/>
      <x:c r="J593" s="28"/>
      <x:c r="K593" s="28"/>
      <x:c r="L593" s="28"/>
      <x:c r="M593" s="28"/>
      <x:c r="N593" s="28"/>
      <x:c r="O593" s="28"/>
      <x:c r="P593" s="28"/>
      <x:c r="Q593" s="28"/>
      <x:c r="R593" s="28"/>
      <x:c r="S593" s="28"/>
      <x:c r="T593" s="28"/>
      <x:c r="U593" s="28"/>
      <x:c r="V593" s="28"/>
      <x:c r="W593" s="28"/>
      <x:c r="X593" s="43" t="n">
        <x:f>--AND(S593=1,T593=1,U593=1,V593=1,W593=1)</x:f>
        <x:v>0</x:v>
      </x:c>
      <x:c r="AE593" s="43" t="n">
        <x:f>--AND(S593=1,M593&lt;&gt;"",M593&lt;&gt;"keep")</x:f>
        <x:v>0</x:v>
      </x:c>
      <x:c r="AG593" t="n">
        <x:f>--AND(S593=1,T593=1,U593=1,V593=1,W593=1,AE593=1)</x:f>
        <x:v>0</x:v>
      </x:c>
      <x:c r="AJ593" t="str">
        <x:f>IF(OR(AH593="",AI593=""),"",--(AH593&lt;&gt;AI593))</x:f>
      </x:c>
      <x:c r="AL593" t="str">
        <x:f>IF(OR(AH593="",AI593=""),"PENDING_HUMAN",IF(AH593=AI593,AH593,IF(AK593&lt;&gt;"",AK593,"PENDING_HUMAN")))</x:f>
        <x:v>PENDING_HUMAN</x:v>
      </x:c>
      <x:c r="AM593" t="n">
        <x:f>--AND(A593&lt;&gt;"",AH593&lt;&gt;"",AI593&lt;&gt;"",OR(AH593=AI593,AK593&lt;&gt;""))</x:f>
        <x:v>0</x:v>
      </x:c>
      <x:c r="AN593" t="n">
        <x:f>--AND(Y593&lt;&gt;"",COUNTIF($Y$4:Y593,Y593)=1)</x:f>
        <x:v>0</x:v>
      </x:c>
      <x:c r="AO593" t="n">
        <x:f>--AND(AN593=1,Z593=1,AM593=1)</x:f>
        <x:v>0</x:v>
      </x:c>
      <x:c r="AP593" t="n">
        <x:f>--AND(AO593=1,AA593=1,AL593=1)</x:f>
        <x:v>0</x:v>
      </x:c>
      <x:c r="AQ593" t="n">
        <x:f>--AND(AN593=1,Z593=1)</x:f>
        <x:v>0</x:v>
      </x:c>
      <x:c r="AR593" t="n">
        <x:f>--AND(AQ593=1,AA593=1)</x:f>
        <x:v>0</x:v>
      </x:c>
    </x:row>
    <x:row r="594">
      <x:c r="A594" s="28"/>
      <x:c r="B594" s="28"/>
      <x:c r="C594" s="28"/>
      <x:c r="D594" s="28"/>
      <x:c r="E594" s="28"/>
      <x:c r="F594" s="28"/>
      <x:c r="G594" s="28"/>
      <x:c r="H594" s="28"/>
      <x:c r="I594" s="28"/>
      <x:c r="J594" s="28"/>
      <x:c r="K594" s="28"/>
      <x:c r="L594" s="28"/>
      <x:c r="M594" s="28"/>
      <x:c r="N594" s="28"/>
      <x:c r="O594" s="28"/>
      <x:c r="P594" s="28"/>
      <x:c r="Q594" s="28"/>
      <x:c r="R594" s="28"/>
      <x:c r="S594" s="28"/>
      <x:c r="T594" s="28"/>
      <x:c r="U594" s="28"/>
      <x:c r="V594" s="28"/>
      <x:c r="W594" s="28"/>
      <x:c r="X594" s="43" t="n">
        <x:f>--AND(S594=1,T594=1,U594=1,V594=1,W594=1)</x:f>
        <x:v>0</x:v>
      </x:c>
      <x:c r="AE594" s="43" t="n">
        <x:f>--AND(S594=1,M594&lt;&gt;"",M594&lt;&gt;"keep")</x:f>
        <x:v>0</x:v>
      </x:c>
      <x:c r="AG594" t="n">
        <x:f>--AND(S594=1,T594=1,U594=1,V594=1,W594=1,AE594=1)</x:f>
        <x:v>0</x:v>
      </x:c>
      <x:c r="AJ594" t="str">
        <x:f>IF(OR(AH594="",AI594=""),"",--(AH594&lt;&gt;AI594))</x:f>
      </x:c>
      <x:c r="AL594" t="str">
        <x:f>IF(OR(AH594="",AI594=""),"PENDING_HUMAN",IF(AH594=AI594,AH594,IF(AK594&lt;&gt;"",AK594,"PENDING_HUMAN")))</x:f>
        <x:v>PENDING_HUMAN</x:v>
      </x:c>
      <x:c r="AM594" t="n">
        <x:f>--AND(A594&lt;&gt;"",AH594&lt;&gt;"",AI594&lt;&gt;"",OR(AH594=AI594,AK594&lt;&gt;""))</x:f>
        <x:v>0</x:v>
      </x:c>
      <x:c r="AN594" t="n">
        <x:f>--AND(Y594&lt;&gt;"",COUNTIF($Y$4:Y594,Y594)=1)</x:f>
        <x:v>0</x:v>
      </x:c>
      <x:c r="AO594" t="n">
        <x:f>--AND(AN594=1,Z594=1,AM594=1)</x:f>
        <x:v>0</x:v>
      </x:c>
      <x:c r="AP594" t="n">
        <x:f>--AND(AO594=1,AA594=1,AL594=1)</x:f>
        <x:v>0</x:v>
      </x:c>
      <x:c r="AQ594" t="n">
        <x:f>--AND(AN594=1,Z594=1)</x:f>
        <x:v>0</x:v>
      </x:c>
      <x:c r="AR594" t="n">
        <x:f>--AND(AQ594=1,AA594=1)</x:f>
        <x:v>0</x:v>
      </x:c>
    </x:row>
    <x:row r="595">
      <x:c r="A595" s="28"/>
      <x:c r="B595" s="28"/>
      <x:c r="C595" s="28"/>
      <x:c r="D595" s="28"/>
      <x:c r="E595" s="28"/>
      <x:c r="F595" s="28"/>
      <x:c r="G595" s="28"/>
      <x:c r="H595" s="28"/>
      <x:c r="I595" s="28"/>
      <x:c r="J595" s="28"/>
      <x:c r="K595" s="28"/>
      <x:c r="L595" s="28"/>
      <x:c r="M595" s="28"/>
      <x:c r="N595" s="28"/>
      <x:c r="O595" s="28"/>
      <x:c r="P595" s="28"/>
      <x:c r="Q595" s="28"/>
      <x:c r="R595" s="28"/>
      <x:c r="S595" s="28"/>
      <x:c r="T595" s="28"/>
      <x:c r="U595" s="28"/>
      <x:c r="V595" s="28"/>
      <x:c r="W595" s="28"/>
      <x:c r="X595" s="43" t="n">
        <x:f>--AND(S595=1,T595=1,U595=1,V595=1,W595=1)</x:f>
        <x:v>0</x:v>
      </x:c>
      <x:c r="AE595" s="43" t="n">
        <x:f>--AND(S595=1,M595&lt;&gt;"",M595&lt;&gt;"keep")</x:f>
        <x:v>0</x:v>
      </x:c>
      <x:c r="AG595" t="n">
        <x:f>--AND(S595=1,T595=1,U595=1,V595=1,W595=1,AE595=1)</x:f>
        <x:v>0</x:v>
      </x:c>
      <x:c r="AJ595" t="str">
        <x:f>IF(OR(AH595="",AI595=""),"",--(AH595&lt;&gt;AI595))</x:f>
      </x:c>
      <x:c r="AL595" t="str">
        <x:f>IF(OR(AH595="",AI595=""),"PENDING_HUMAN",IF(AH595=AI595,AH595,IF(AK595&lt;&gt;"",AK595,"PENDING_HUMAN")))</x:f>
        <x:v>PENDING_HUMAN</x:v>
      </x:c>
      <x:c r="AM595" t="n">
        <x:f>--AND(A595&lt;&gt;"",AH595&lt;&gt;"",AI595&lt;&gt;"",OR(AH595=AI595,AK595&lt;&gt;""))</x:f>
        <x:v>0</x:v>
      </x:c>
      <x:c r="AN595" t="n">
        <x:f>--AND(Y595&lt;&gt;"",COUNTIF($Y$4:Y595,Y595)=1)</x:f>
        <x:v>0</x:v>
      </x:c>
      <x:c r="AO595" t="n">
        <x:f>--AND(AN595=1,Z595=1,AM595=1)</x:f>
        <x:v>0</x:v>
      </x:c>
      <x:c r="AP595" t="n">
        <x:f>--AND(AO595=1,AA595=1,AL595=1)</x:f>
        <x:v>0</x:v>
      </x:c>
      <x:c r="AQ595" t="n">
        <x:f>--AND(AN595=1,Z595=1)</x:f>
        <x:v>0</x:v>
      </x:c>
      <x:c r="AR595" t="n">
        <x:f>--AND(AQ595=1,AA595=1)</x:f>
        <x:v>0</x:v>
      </x:c>
    </x:row>
    <x:row r="596">
      <x:c r="A596" s="28"/>
      <x:c r="B596" s="28"/>
      <x:c r="C596" s="28"/>
      <x:c r="D596" s="28"/>
      <x:c r="E596" s="28"/>
      <x:c r="F596" s="28"/>
      <x:c r="G596" s="28"/>
      <x:c r="H596" s="28"/>
      <x:c r="I596" s="28"/>
      <x:c r="J596" s="28"/>
      <x:c r="K596" s="28"/>
      <x:c r="L596" s="28"/>
      <x:c r="M596" s="28"/>
      <x:c r="N596" s="28"/>
      <x:c r="O596" s="28"/>
      <x:c r="P596" s="28"/>
      <x:c r="Q596" s="28"/>
      <x:c r="R596" s="28"/>
      <x:c r="S596" s="28"/>
      <x:c r="T596" s="28"/>
      <x:c r="U596" s="28"/>
      <x:c r="V596" s="28"/>
      <x:c r="W596" s="28"/>
      <x:c r="X596" s="43" t="n">
        <x:f>--AND(S596=1,T596=1,U596=1,V596=1,W596=1)</x:f>
        <x:v>0</x:v>
      </x:c>
      <x:c r="AE596" s="43" t="n">
        <x:f>--AND(S596=1,M596&lt;&gt;"",M596&lt;&gt;"keep")</x:f>
        <x:v>0</x:v>
      </x:c>
      <x:c r="AG596" t="n">
        <x:f>--AND(S596=1,T596=1,U596=1,V596=1,W596=1,AE596=1)</x:f>
        <x:v>0</x:v>
      </x:c>
      <x:c r="AJ596" t="str">
        <x:f>IF(OR(AH596="",AI596=""),"",--(AH596&lt;&gt;AI596))</x:f>
      </x:c>
      <x:c r="AL596" t="str">
        <x:f>IF(OR(AH596="",AI596=""),"PENDING_HUMAN",IF(AH596=AI596,AH596,IF(AK596&lt;&gt;"",AK596,"PENDING_HUMAN")))</x:f>
        <x:v>PENDING_HUMAN</x:v>
      </x:c>
      <x:c r="AM596" t="n">
        <x:f>--AND(A596&lt;&gt;"",AH596&lt;&gt;"",AI596&lt;&gt;"",OR(AH596=AI596,AK596&lt;&gt;""))</x:f>
        <x:v>0</x:v>
      </x:c>
      <x:c r="AN596" t="n">
        <x:f>--AND(Y596&lt;&gt;"",COUNTIF($Y$4:Y596,Y596)=1)</x:f>
        <x:v>0</x:v>
      </x:c>
      <x:c r="AO596" t="n">
        <x:f>--AND(AN596=1,Z596=1,AM596=1)</x:f>
        <x:v>0</x:v>
      </x:c>
      <x:c r="AP596" t="n">
        <x:f>--AND(AO596=1,AA596=1,AL596=1)</x:f>
        <x:v>0</x:v>
      </x:c>
      <x:c r="AQ596" t="n">
        <x:f>--AND(AN596=1,Z596=1)</x:f>
        <x:v>0</x:v>
      </x:c>
      <x:c r="AR596" t="n">
        <x:f>--AND(AQ596=1,AA596=1)</x:f>
        <x:v>0</x:v>
      </x:c>
    </x:row>
    <x:row r="597">
      <x:c r="A597" s="28"/>
      <x:c r="B597" s="28"/>
      <x:c r="C597" s="28"/>
      <x:c r="D597" s="28"/>
      <x:c r="E597" s="28"/>
      <x:c r="F597" s="28"/>
      <x:c r="G597" s="28"/>
      <x:c r="H597" s="28"/>
      <x:c r="I597" s="28"/>
      <x:c r="J597" s="28"/>
      <x:c r="K597" s="28"/>
      <x:c r="L597" s="28"/>
      <x:c r="M597" s="28"/>
      <x:c r="N597" s="28"/>
      <x:c r="O597" s="28"/>
      <x:c r="P597" s="28"/>
      <x:c r="Q597" s="28"/>
      <x:c r="R597" s="28"/>
      <x:c r="S597" s="28"/>
      <x:c r="T597" s="28"/>
      <x:c r="U597" s="28"/>
      <x:c r="V597" s="28"/>
      <x:c r="W597" s="28"/>
      <x:c r="X597" s="43" t="n">
        <x:f>--AND(S597=1,T597=1,U597=1,V597=1,W597=1)</x:f>
        <x:v>0</x:v>
      </x:c>
      <x:c r="AE597" s="43" t="n">
        <x:f>--AND(S597=1,M597&lt;&gt;"",M597&lt;&gt;"keep")</x:f>
        <x:v>0</x:v>
      </x:c>
      <x:c r="AG597" t="n">
        <x:f>--AND(S597=1,T597=1,U597=1,V597=1,W597=1,AE597=1)</x:f>
        <x:v>0</x:v>
      </x:c>
      <x:c r="AJ597" t="str">
        <x:f>IF(OR(AH597="",AI597=""),"",--(AH597&lt;&gt;AI597))</x:f>
      </x:c>
      <x:c r="AL597" t="str">
        <x:f>IF(OR(AH597="",AI597=""),"PENDING_HUMAN",IF(AH597=AI597,AH597,IF(AK597&lt;&gt;"",AK597,"PENDING_HUMAN")))</x:f>
        <x:v>PENDING_HUMAN</x:v>
      </x:c>
      <x:c r="AM597" t="n">
        <x:f>--AND(A597&lt;&gt;"",AH597&lt;&gt;"",AI597&lt;&gt;"",OR(AH597=AI597,AK597&lt;&gt;""))</x:f>
        <x:v>0</x:v>
      </x:c>
      <x:c r="AN597" t="n">
        <x:f>--AND(Y597&lt;&gt;"",COUNTIF($Y$4:Y597,Y597)=1)</x:f>
        <x:v>0</x:v>
      </x:c>
      <x:c r="AO597" t="n">
        <x:f>--AND(AN597=1,Z597=1,AM597=1)</x:f>
        <x:v>0</x:v>
      </x:c>
      <x:c r="AP597" t="n">
        <x:f>--AND(AO597=1,AA597=1,AL597=1)</x:f>
        <x:v>0</x:v>
      </x:c>
      <x:c r="AQ597" t="n">
        <x:f>--AND(AN597=1,Z597=1)</x:f>
        <x:v>0</x:v>
      </x:c>
      <x:c r="AR597" t="n">
        <x:f>--AND(AQ597=1,AA597=1)</x:f>
        <x:v>0</x:v>
      </x:c>
    </x:row>
    <x:row r="598">
      <x:c r="A598" s="28"/>
      <x:c r="B598" s="28"/>
      <x:c r="C598" s="28"/>
      <x:c r="D598" s="28"/>
      <x:c r="E598" s="28"/>
      <x:c r="F598" s="28"/>
      <x:c r="G598" s="28"/>
      <x:c r="H598" s="28"/>
      <x:c r="I598" s="28"/>
      <x:c r="J598" s="28"/>
      <x:c r="K598" s="28"/>
      <x:c r="L598" s="28"/>
      <x:c r="M598" s="28"/>
      <x:c r="N598" s="28"/>
      <x:c r="O598" s="28"/>
      <x:c r="P598" s="28"/>
      <x:c r="Q598" s="28"/>
      <x:c r="R598" s="28"/>
      <x:c r="S598" s="28"/>
      <x:c r="T598" s="28"/>
      <x:c r="U598" s="28"/>
      <x:c r="V598" s="28"/>
      <x:c r="W598" s="28"/>
      <x:c r="X598" s="43" t="n">
        <x:f>--AND(S598=1,T598=1,U598=1,V598=1,W598=1)</x:f>
        <x:v>0</x:v>
      </x:c>
      <x:c r="AE598" s="43" t="n">
        <x:f>--AND(S598=1,M598&lt;&gt;"",M598&lt;&gt;"keep")</x:f>
        <x:v>0</x:v>
      </x:c>
      <x:c r="AG598" t="n">
        <x:f>--AND(S598=1,T598=1,U598=1,V598=1,W598=1,AE598=1)</x:f>
        <x:v>0</x:v>
      </x:c>
      <x:c r="AJ598" t="str">
        <x:f>IF(OR(AH598="",AI598=""),"",--(AH598&lt;&gt;AI598))</x:f>
      </x:c>
      <x:c r="AL598" t="str">
        <x:f>IF(OR(AH598="",AI598=""),"PENDING_HUMAN",IF(AH598=AI598,AH598,IF(AK598&lt;&gt;"",AK598,"PENDING_HUMAN")))</x:f>
        <x:v>PENDING_HUMAN</x:v>
      </x:c>
      <x:c r="AM598" t="n">
        <x:f>--AND(A598&lt;&gt;"",AH598&lt;&gt;"",AI598&lt;&gt;"",OR(AH598=AI598,AK598&lt;&gt;""))</x:f>
        <x:v>0</x:v>
      </x:c>
      <x:c r="AN598" t="n">
        <x:f>--AND(Y598&lt;&gt;"",COUNTIF($Y$4:Y598,Y598)=1)</x:f>
        <x:v>0</x:v>
      </x:c>
      <x:c r="AO598" t="n">
        <x:f>--AND(AN598=1,Z598=1,AM598=1)</x:f>
        <x:v>0</x:v>
      </x:c>
      <x:c r="AP598" t="n">
        <x:f>--AND(AO598=1,AA598=1,AL598=1)</x:f>
        <x:v>0</x:v>
      </x:c>
      <x:c r="AQ598" t="n">
        <x:f>--AND(AN598=1,Z598=1)</x:f>
        <x:v>0</x:v>
      </x:c>
      <x:c r="AR598" t="n">
        <x:f>--AND(AQ598=1,AA598=1)</x:f>
        <x:v>0</x:v>
      </x:c>
    </x:row>
    <x:row r="599">
      <x:c r="A599" s="28"/>
      <x:c r="B599" s="28"/>
      <x:c r="C599" s="28"/>
      <x:c r="D599" s="28"/>
      <x:c r="E599" s="28"/>
      <x:c r="F599" s="28"/>
      <x:c r="G599" s="28"/>
      <x:c r="H599" s="28"/>
      <x:c r="I599" s="28"/>
      <x:c r="J599" s="28"/>
      <x:c r="K599" s="28"/>
      <x:c r="L599" s="28"/>
      <x:c r="M599" s="28"/>
      <x:c r="N599" s="28"/>
      <x:c r="O599" s="28"/>
      <x:c r="P599" s="28"/>
      <x:c r="Q599" s="28"/>
      <x:c r="R599" s="28"/>
      <x:c r="S599" s="28"/>
      <x:c r="T599" s="28"/>
      <x:c r="U599" s="28"/>
      <x:c r="V599" s="28"/>
      <x:c r="W599" s="28"/>
      <x:c r="X599" s="43" t="n">
        <x:f>--AND(S599=1,T599=1,U599=1,V599=1,W599=1)</x:f>
        <x:v>0</x:v>
      </x:c>
      <x:c r="AE599" s="43" t="n">
        <x:f>--AND(S599=1,M599&lt;&gt;"",M599&lt;&gt;"keep")</x:f>
        <x:v>0</x:v>
      </x:c>
      <x:c r="AG599" t="n">
        <x:f>--AND(S599=1,T599=1,U599=1,V599=1,W599=1,AE599=1)</x:f>
        <x:v>0</x:v>
      </x:c>
      <x:c r="AJ599" t="str">
        <x:f>IF(OR(AH599="",AI599=""),"",--(AH599&lt;&gt;AI599))</x:f>
      </x:c>
      <x:c r="AL599" t="str">
        <x:f>IF(OR(AH599="",AI599=""),"PENDING_HUMAN",IF(AH599=AI599,AH599,IF(AK599&lt;&gt;"",AK599,"PENDING_HUMAN")))</x:f>
        <x:v>PENDING_HUMAN</x:v>
      </x:c>
      <x:c r="AM599" t="n">
        <x:f>--AND(A599&lt;&gt;"",AH599&lt;&gt;"",AI599&lt;&gt;"",OR(AH599=AI599,AK599&lt;&gt;""))</x:f>
        <x:v>0</x:v>
      </x:c>
      <x:c r="AN599" t="n">
        <x:f>--AND(Y599&lt;&gt;"",COUNTIF($Y$4:Y599,Y599)=1)</x:f>
        <x:v>0</x:v>
      </x:c>
      <x:c r="AO599" t="n">
        <x:f>--AND(AN599=1,Z599=1,AM599=1)</x:f>
        <x:v>0</x:v>
      </x:c>
      <x:c r="AP599" t="n">
        <x:f>--AND(AO599=1,AA599=1,AL599=1)</x:f>
        <x:v>0</x:v>
      </x:c>
      <x:c r="AQ599" t="n">
        <x:f>--AND(AN599=1,Z599=1)</x:f>
        <x:v>0</x:v>
      </x:c>
      <x:c r="AR599" t="n">
        <x:f>--AND(AQ599=1,AA599=1)</x:f>
        <x:v>0</x:v>
      </x:c>
    </x:row>
    <x:row r="600">
      <x:c r="A600" s="28"/>
      <x:c r="B600" s="28"/>
      <x:c r="C600" s="28"/>
      <x:c r="D600" s="28"/>
      <x:c r="E600" s="28"/>
      <x:c r="F600" s="28"/>
      <x:c r="G600" s="28"/>
      <x:c r="H600" s="28"/>
      <x:c r="I600" s="28"/>
      <x:c r="J600" s="28"/>
      <x:c r="K600" s="28"/>
      <x:c r="L600" s="28"/>
      <x:c r="M600" s="28"/>
      <x:c r="N600" s="28"/>
      <x:c r="O600" s="28"/>
      <x:c r="P600" s="28"/>
      <x:c r="Q600" s="28"/>
      <x:c r="R600" s="28"/>
      <x:c r="S600" s="28"/>
      <x:c r="T600" s="28"/>
      <x:c r="U600" s="28"/>
      <x:c r="V600" s="28"/>
      <x:c r="W600" s="28"/>
      <x:c r="X600" s="43" t="n">
        <x:f>--AND(S600=1,T600=1,U600=1,V600=1,W600=1)</x:f>
        <x:v>0</x:v>
      </x:c>
      <x:c r="AE600" s="43" t="n">
        <x:f>--AND(S600=1,M600&lt;&gt;"",M600&lt;&gt;"keep")</x:f>
        <x:v>0</x:v>
      </x:c>
      <x:c r="AG600" t="n">
        <x:f>--AND(S600=1,T600=1,U600=1,V600=1,W600=1,AE600=1)</x:f>
        <x:v>0</x:v>
      </x:c>
      <x:c r="AJ600" t="str">
        <x:f>IF(OR(AH600="",AI600=""),"",--(AH600&lt;&gt;AI600))</x:f>
      </x:c>
      <x:c r="AL600" t="str">
        <x:f>IF(OR(AH600="",AI600=""),"PENDING_HUMAN",IF(AH600=AI600,AH600,IF(AK600&lt;&gt;"",AK600,"PENDING_HUMAN")))</x:f>
        <x:v>PENDING_HUMAN</x:v>
      </x:c>
      <x:c r="AM600" t="n">
        <x:f>--AND(A600&lt;&gt;"",AH600&lt;&gt;"",AI600&lt;&gt;"",OR(AH600=AI600,AK600&lt;&gt;""))</x:f>
        <x:v>0</x:v>
      </x:c>
      <x:c r="AN600" t="n">
        <x:f>--AND(Y600&lt;&gt;"",COUNTIF($Y$4:Y600,Y600)=1)</x:f>
        <x:v>0</x:v>
      </x:c>
      <x:c r="AO600" t="n">
        <x:f>--AND(AN600=1,Z600=1,AM600=1)</x:f>
        <x:v>0</x:v>
      </x:c>
      <x:c r="AP600" t="n">
        <x:f>--AND(AO600=1,AA600=1,AL600=1)</x:f>
        <x:v>0</x:v>
      </x:c>
      <x:c r="AQ600" t="n">
        <x:f>--AND(AN600=1,Z600=1)</x:f>
        <x:v>0</x:v>
      </x:c>
      <x:c r="AR600" t="n">
        <x:f>--AND(AQ600=1,AA600=1)</x:f>
        <x:v>0</x:v>
      </x:c>
    </x:row>
    <x:row r="601">
      <x:c r="A601" s="28"/>
      <x:c r="B601" s="28"/>
      <x:c r="C601" s="28"/>
      <x:c r="D601" s="28"/>
      <x:c r="E601" s="28"/>
      <x:c r="F601" s="28"/>
      <x:c r="G601" s="28"/>
      <x:c r="H601" s="28"/>
      <x:c r="I601" s="28"/>
      <x:c r="J601" s="28"/>
      <x:c r="K601" s="28"/>
      <x:c r="L601" s="28"/>
      <x:c r="M601" s="28"/>
      <x:c r="N601" s="28"/>
      <x:c r="O601" s="28"/>
      <x:c r="P601" s="28"/>
      <x:c r="Q601" s="28"/>
      <x:c r="R601" s="28"/>
      <x:c r="S601" s="28"/>
      <x:c r="T601" s="28"/>
      <x:c r="U601" s="28"/>
      <x:c r="V601" s="28"/>
      <x:c r="W601" s="28"/>
      <x:c r="X601" s="43" t="n">
        <x:f>--AND(S601=1,T601=1,U601=1,V601=1,W601=1)</x:f>
        <x:v>0</x:v>
      </x:c>
      <x:c r="AE601" s="43" t="n">
        <x:f>--AND(S601=1,M601&lt;&gt;"",M601&lt;&gt;"keep")</x:f>
        <x:v>0</x:v>
      </x:c>
      <x:c r="AG601" t="n">
        <x:f>--AND(S601=1,T601=1,U601=1,V601=1,W601=1,AE601=1)</x:f>
        <x:v>0</x:v>
      </x:c>
      <x:c r="AJ601" t="str">
        <x:f>IF(OR(AH601="",AI601=""),"",--(AH601&lt;&gt;AI601))</x:f>
      </x:c>
      <x:c r="AL601" t="str">
        <x:f>IF(OR(AH601="",AI601=""),"PENDING_HUMAN",IF(AH601=AI601,AH601,IF(AK601&lt;&gt;"",AK601,"PENDING_HUMAN")))</x:f>
        <x:v>PENDING_HUMAN</x:v>
      </x:c>
      <x:c r="AM601" t="n">
        <x:f>--AND(A601&lt;&gt;"",AH601&lt;&gt;"",AI601&lt;&gt;"",OR(AH601=AI601,AK601&lt;&gt;""))</x:f>
        <x:v>0</x:v>
      </x:c>
      <x:c r="AN601" t="n">
        <x:f>--AND(Y601&lt;&gt;"",COUNTIF($Y$4:Y601,Y601)=1)</x:f>
        <x:v>0</x:v>
      </x:c>
      <x:c r="AO601" t="n">
        <x:f>--AND(AN601=1,Z601=1,AM601=1)</x:f>
        <x:v>0</x:v>
      </x:c>
      <x:c r="AP601" t="n">
        <x:f>--AND(AO601=1,AA601=1,AL601=1)</x:f>
        <x:v>0</x:v>
      </x:c>
      <x:c r="AQ601" t="n">
        <x:f>--AND(AN601=1,Z601=1)</x:f>
        <x:v>0</x:v>
      </x:c>
      <x:c r="AR601" t="n">
        <x:f>--AND(AQ601=1,AA601=1)</x:f>
        <x:v>0</x:v>
      </x:c>
    </x:row>
    <x:row r="602">
      <x:c r="A602" s="28"/>
      <x:c r="B602" s="28"/>
      <x:c r="C602" s="28"/>
      <x:c r="D602" s="28"/>
      <x:c r="E602" s="28"/>
      <x:c r="F602" s="28"/>
      <x:c r="G602" s="28"/>
      <x:c r="H602" s="28"/>
      <x:c r="I602" s="28"/>
      <x:c r="J602" s="28"/>
      <x:c r="K602" s="28"/>
      <x:c r="L602" s="28"/>
      <x:c r="M602" s="28"/>
      <x:c r="N602" s="28"/>
      <x:c r="O602" s="28"/>
      <x:c r="P602" s="28"/>
      <x:c r="Q602" s="28"/>
      <x:c r="R602" s="28"/>
      <x:c r="S602" s="28"/>
      <x:c r="T602" s="28"/>
      <x:c r="U602" s="28"/>
      <x:c r="V602" s="28"/>
      <x:c r="W602" s="28"/>
      <x:c r="X602" s="43" t="n">
        <x:f>--AND(S602=1,T602=1,U602=1,V602=1,W602=1)</x:f>
        <x:v>0</x:v>
      </x:c>
      <x:c r="AE602" s="43" t="n">
        <x:f>--AND(S602=1,M602&lt;&gt;"",M602&lt;&gt;"keep")</x:f>
        <x:v>0</x:v>
      </x:c>
      <x:c r="AG602" t="n">
        <x:f>--AND(S602=1,T602=1,U602=1,V602=1,W602=1,AE602=1)</x:f>
        <x:v>0</x:v>
      </x:c>
      <x:c r="AJ602" t="str">
        <x:f>IF(OR(AH602="",AI602=""),"",--(AH602&lt;&gt;AI602))</x:f>
      </x:c>
      <x:c r="AL602" t="str">
        <x:f>IF(OR(AH602="",AI602=""),"PENDING_HUMAN",IF(AH602=AI602,AH602,IF(AK602&lt;&gt;"",AK602,"PENDING_HUMAN")))</x:f>
        <x:v>PENDING_HUMAN</x:v>
      </x:c>
      <x:c r="AM602" t="n">
        <x:f>--AND(A602&lt;&gt;"",AH602&lt;&gt;"",AI602&lt;&gt;"",OR(AH602=AI602,AK602&lt;&gt;""))</x:f>
        <x:v>0</x:v>
      </x:c>
      <x:c r="AN602" t="n">
        <x:f>--AND(Y602&lt;&gt;"",COUNTIF($Y$4:Y602,Y602)=1)</x:f>
        <x:v>0</x:v>
      </x:c>
      <x:c r="AO602" t="n">
        <x:f>--AND(AN602=1,Z602=1,AM602=1)</x:f>
        <x:v>0</x:v>
      </x:c>
      <x:c r="AP602" t="n">
        <x:f>--AND(AO602=1,AA602=1,AL602=1)</x:f>
        <x:v>0</x:v>
      </x:c>
      <x:c r="AQ602" t="n">
        <x:f>--AND(AN602=1,Z602=1)</x:f>
        <x:v>0</x:v>
      </x:c>
      <x:c r="AR602" t="n">
        <x:f>--AND(AQ602=1,AA602=1)</x:f>
        <x:v>0</x:v>
      </x:c>
    </x:row>
    <x:row r="603">
      <x:c r="A603" s="28"/>
      <x:c r="B603" s="28"/>
      <x:c r="C603" s="28"/>
      <x:c r="D603" s="28"/>
      <x:c r="E603" s="28"/>
      <x:c r="F603" s="28"/>
      <x:c r="G603" s="28"/>
      <x:c r="H603" s="28"/>
      <x:c r="I603" s="28"/>
      <x:c r="J603" s="28"/>
      <x:c r="K603" s="28"/>
      <x:c r="L603" s="28"/>
      <x:c r="M603" s="28"/>
      <x:c r="N603" s="28"/>
      <x:c r="O603" s="28"/>
      <x:c r="P603" s="28"/>
      <x:c r="Q603" s="28"/>
      <x:c r="R603" s="28"/>
      <x:c r="S603" s="28"/>
      <x:c r="T603" s="28"/>
      <x:c r="U603" s="28"/>
      <x:c r="V603" s="28"/>
      <x:c r="W603" s="28"/>
      <x:c r="X603" s="43" t="n">
        <x:f>--AND(S603=1,T603=1,U603=1,V603=1,W603=1)</x:f>
        <x:v>0</x:v>
      </x:c>
      <x:c r="AE603" s="43" t="n">
        <x:f>--AND(S603=1,M603&lt;&gt;"",M603&lt;&gt;"keep")</x:f>
        <x:v>0</x:v>
      </x:c>
      <x:c r="AG603" t="n">
        <x:f>--AND(S603=1,T603=1,U603=1,V603=1,W603=1,AE603=1)</x:f>
        <x:v>0</x:v>
      </x:c>
      <x:c r="AJ603" t="str">
        <x:f>IF(OR(AH603="",AI603=""),"",--(AH603&lt;&gt;AI603))</x:f>
      </x:c>
      <x:c r="AL603" t="str">
        <x:f>IF(OR(AH603="",AI603=""),"PENDING_HUMAN",IF(AH603=AI603,AH603,IF(AK603&lt;&gt;"",AK603,"PENDING_HUMAN")))</x:f>
        <x:v>PENDING_HUMAN</x:v>
      </x:c>
      <x:c r="AM603" t="n">
        <x:f>--AND(A603&lt;&gt;"",AH603&lt;&gt;"",AI603&lt;&gt;"",OR(AH603=AI603,AK603&lt;&gt;""))</x:f>
        <x:v>0</x:v>
      </x:c>
      <x:c r="AN603" t="n">
        <x:f>--AND(Y603&lt;&gt;"",COUNTIF($Y$4:Y603,Y603)=1)</x:f>
        <x:v>0</x:v>
      </x:c>
      <x:c r="AO603" t="n">
        <x:f>--AND(AN603=1,Z603=1,AM603=1)</x:f>
        <x:v>0</x:v>
      </x:c>
      <x:c r="AP603" t="n">
        <x:f>--AND(AO603=1,AA603=1,AL603=1)</x:f>
        <x:v>0</x:v>
      </x:c>
      <x:c r="AQ603" t="n">
        <x:f>--AND(AN603=1,Z603=1)</x:f>
        <x:v>0</x:v>
      </x:c>
      <x:c r="AR603" t="n">
        <x:f>--AND(AQ603=1,AA603=1)</x:f>
        <x:v>0</x:v>
      </x:c>
    </x:row>
    <x:row r="604">
      <x:c r="A604" s="28"/>
      <x:c r="B604" s="28"/>
      <x:c r="C604" s="28"/>
      <x:c r="D604" s="28"/>
      <x:c r="E604" s="28"/>
      <x:c r="F604" s="28"/>
      <x:c r="G604" s="28"/>
      <x:c r="H604" s="28"/>
      <x:c r="I604" s="28"/>
      <x:c r="J604" s="28"/>
      <x:c r="K604" s="28"/>
      <x:c r="L604" s="28"/>
      <x:c r="M604" s="28"/>
      <x:c r="N604" s="28"/>
      <x:c r="O604" s="28"/>
      <x:c r="P604" s="28"/>
      <x:c r="Q604" s="28"/>
      <x:c r="R604" s="28"/>
      <x:c r="S604" s="28"/>
      <x:c r="T604" s="28"/>
      <x:c r="U604" s="28"/>
      <x:c r="V604" s="28"/>
      <x:c r="W604" s="28"/>
      <x:c r="X604" s="43" t="n">
        <x:f>--AND(S604=1,T604=1,U604=1,V604=1,W604=1)</x:f>
        <x:v>0</x:v>
      </x:c>
      <x:c r="AE604" s="43" t="n">
        <x:f>--AND(S604=1,M604&lt;&gt;"",M604&lt;&gt;"keep")</x:f>
        <x:v>0</x:v>
      </x:c>
      <x:c r="AG604" t="n">
        <x:f>--AND(S604=1,T604=1,U604=1,V604=1,W604=1,AE604=1)</x:f>
        <x:v>0</x:v>
      </x:c>
      <x:c r="AJ604" t="str">
        <x:f>IF(OR(AH604="",AI604=""),"",--(AH604&lt;&gt;AI604))</x:f>
      </x:c>
      <x:c r="AL604" t="str">
        <x:f>IF(OR(AH604="",AI604=""),"PENDING_HUMAN",IF(AH604=AI604,AH604,IF(AK604&lt;&gt;"",AK604,"PENDING_HUMAN")))</x:f>
        <x:v>PENDING_HUMAN</x:v>
      </x:c>
      <x:c r="AM604" t="n">
        <x:f>--AND(A604&lt;&gt;"",AH604&lt;&gt;"",AI604&lt;&gt;"",OR(AH604=AI604,AK604&lt;&gt;""))</x:f>
        <x:v>0</x:v>
      </x:c>
      <x:c r="AN604" t="n">
        <x:f>--AND(Y604&lt;&gt;"",COUNTIF($Y$4:Y604,Y604)=1)</x:f>
        <x:v>0</x:v>
      </x:c>
      <x:c r="AO604" t="n">
        <x:f>--AND(AN604=1,Z604=1,AM604=1)</x:f>
        <x:v>0</x:v>
      </x:c>
      <x:c r="AP604" t="n">
        <x:f>--AND(AO604=1,AA604=1,AL604=1)</x:f>
        <x:v>0</x:v>
      </x:c>
      <x:c r="AQ604" t="n">
        <x:f>--AND(AN604=1,Z604=1)</x:f>
        <x:v>0</x:v>
      </x:c>
      <x:c r="AR604" t="n">
        <x:f>--AND(AQ604=1,AA604=1)</x:f>
        <x:v>0</x:v>
      </x:c>
    </x:row>
    <x:row r="605">
      <x:c r="A605" s="28"/>
      <x:c r="B605" s="28"/>
      <x:c r="C605" s="28"/>
      <x:c r="D605" s="28"/>
      <x:c r="E605" s="28"/>
      <x:c r="F605" s="28"/>
      <x:c r="G605" s="28"/>
      <x:c r="H605" s="28"/>
      <x:c r="I605" s="28"/>
      <x:c r="J605" s="28"/>
      <x:c r="K605" s="28"/>
      <x:c r="L605" s="28"/>
      <x:c r="M605" s="28"/>
      <x:c r="N605" s="28"/>
      <x:c r="O605" s="28"/>
      <x:c r="P605" s="28"/>
      <x:c r="Q605" s="28"/>
      <x:c r="R605" s="28"/>
      <x:c r="S605" s="28"/>
      <x:c r="T605" s="28"/>
      <x:c r="U605" s="28"/>
      <x:c r="V605" s="28"/>
      <x:c r="W605" s="28"/>
      <x:c r="X605" s="43" t="n">
        <x:f>--AND(S605=1,T605=1,U605=1,V605=1,W605=1)</x:f>
        <x:v>0</x:v>
      </x:c>
      <x:c r="AE605" s="43" t="n">
        <x:f>--AND(S605=1,M605&lt;&gt;"",M605&lt;&gt;"keep")</x:f>
        <x:v>0</x:v>
      </x:c>
      <x:c r="AG605" t="n">
        <x:f>--AND(S605=1,T605=1,U605=1,V605=1,W605=1,AE605=1)</x:f>
        <x:v>0</x:v>
      </x:c>
      <x:c r="AJ605" t="str">
        <x:f>IF(OR(AH605="",AI605=""),"",--(AH605&lt;&gt;AI605))</x:f>
      </x:c>
      <x:c r="AL605" t="str">
        <x:f>IF(OR(AH605="",AI605=""),"PENDING_HUMAN",IF(AH605=AI605,AH605,IF(AK605&lt;&gt;"",AK605,"PENDING_HUMAN")))</x:f>
        <x:v>PENDING_HUMAN</x:v>
      </x:c>
      <x:c r="AM605" t="n">
        <x:f>--AND(A605&lt;&gt;"",AH605&lt;&gt;"",AI605&lt;&gt;"",OR(AH605=AI605,AK605&lt;&gt;""))</x:f>
        <x:v>0</x:v>
      </x:c>
      <x:c r="AN605" t="n">
        <x:f>--AND(Y605&lt;&gt;"",COUNTIF($Y$4:Y605,Y605)=1)</x:f>
        <x:v>0</x:v>
      </x:c>
      <x:c r="AO605" t="n">
        <x:f>--AND(AN605=1,Z605=1,AM605=1)</x:f>
        <x:v>0</x:v>
      </x:c>
      <x:c r="AP605" t="n">
        <x:f>--AND(AO605=1,AA605=1,AL605=1)</x:f>
        <x:v>0</x:v>
      </x:c>
      <x:c r="AQ605" t="n">
        <x:f>--AND(AN605=1,Z605=1)</x:f>
        <x:v>0</x:v>
      </x:c>
      <x:c r="AR605" t="n">
        <x:f>--AND(AQ605=1,AA605=1)</x:f>
        <x:v>0</x:v>
      </x:c>
    </x:row>
    <x:row r="606">
      <x:c r="A606" s="28"/>
      <x:c r="B606" s="28"/>
      <x:c r="C606" s="28"/>
      <x:c r="D606" s="28"/>
      <x:c r="E606" s="28"/>
      <x:c r="F606" s="28"/>
      <x:c r="G606" s="28"/>
      <x:c r="H606" s="28"/>
      <x:c r="I606" s="28"/>
      <x:c r="J606" s="28"/>
      <x:c r="K606" s="28"/>
      <x:c r="L606" s="28"/>
      <x:c r="M606" s="28"/>
      <x:c r="N606" s="28"/>
      <x:c r="O606" s="28"/>
      <x:c r="P606" s="28"/>
      <x:c r="Q606" s="28"/>
      <x:c r="R606" s="28"/>
      <x:c r="S606" s="28"/>
      <x:c r="T606" s="28"/>
      <x:c r="U606" s="28"/>
      <x:c r="V606" s="28"/>
      <x:c r="W606" s="28"/>
      <x:c r="X606" s="43" t="n">
        <x:f>--AND(S606=1,T606=1,U606=1,V606=1,W606=1)</x:f>
        <x:v>0</x:v>
      </x:c>
      <x:c r="AE606" s="43" t="n">
        <x:f>--AND(S606=1,M606&lt;&gt;"",M606&lt;&gt;"keep")</x:f>
        <x:v>0</x:v>
      </x:c>
      <x:c r="AG606" t="n">
        <x:f>--AND(S606=1,T606=1,U606=1,V606=1,W606=1,AE606=1)</x:f>
        <x:v>0</x:v>
      </x:c>
      <x:c r="AJ606" t="str">
        <x:f>IF(OR(AH606="",AI606=""),"",--(AH606&lt;&gt;AI606))</x:f>
      </x:c>
      <x:c r="AL606" t="str">
        <x:f>IF(OR(AH606="",AI606=""),"PENDING_HUMAN",IF(AH606=AI606,AH606,IF(AK606&lt;&gt;"",AK606,"PENDING_HUMAN")))</x:f>
        <x:v>PENDING_HUMAN</x:v>
      </x:c>
      <x:c r="AM606" t="n">
        <x:f>--AND(A606&lt;&gt;"",AH606&lt;&gt;"",AI606&lt;&gt;"",OR(AH606=AI606,AK606&lt;&gt;""))</x:f>
        <x:v>0</x:v>
      </x:c>
      <x:c r="AN606" t="n">
        <x:f>--AND(Y606&lt;&gt;"",COUNTIF($Y$4:Y606,Y606)=1)</x:f>
        <x:v>0</x:v>
      </x:c>
      <x:c r="AO606" t="n">
        <x:f>--AND(AN606=1,Z606=1,AM606=1)</x:f>
        <x:v>0</x:v>
      </x:c>
      <x:c r="AP606" t="n">
        <x:f>--AND(AO606=1,AA606=1,AL606=1)</x:f>
        <x:v>0</x:v>
      </x:c>
      <x:c r="AQ606" t="n">
        <x:f>--AND(AN606=1,Z606=1)</x:f>
        <x:v>0</x:v>
      </x:c>
      <x:c r="AR606" t="n">
        <x:f>--AND(AQ606=1,AA606=1)</x:f>
        <x:v>0</x:v>
      </x:c>
    </x:row>
    <x:row r="607">
      <x:c r="A607" s="28"/>
      <x:c r="B607" s="28"/>
      <x:c r="C607" s="28"/>
      <x:c r="D607" s="28"/>
      <x:c r="E607" s="28"/>
      <x:c r="F607" s="28"/>
      <x:c r="G607" s="28"/>
      <x:c r="H607" s="28"/>
      <x:c r="I607" s="28"/>
      <x:c r="J607" s="28"/>
      <x:c r="K607" s="28"/>
      <x:c r="L607" s="28"/>
      <x:c r="M607" s="28"/>
      <x:c r="N607" s="28"/>
      <x:c r="O607" s="28"/>
      <x:c r="P607" s="28"/>
      <x:c r="Q607" s="28"/>
      <x:c r="R607" s="28"/>
      <x:c r="S607" s="28"/>
      <x:c r="T607" s="28"/>
      <x:c r="U607" s="28"/>
      <x:c r="V607" s="28"/>
      <x:c r="W607" s="28"/>
      <x:c r="X607" s="43" t="n">
        <x:f>--AND(S607=1,T607=1,U607=1,V607=1,W607=1)</x:f>
        <x:v>0</x:v>
      </x:c>
      <x:c r="AE607" s="43" t="n">
        <x:f>--AND(S607=1,M607&lt;&gt;"",M607&lt;&gt;"keep")</x:f>
        <x:v>0</x:v>
      </x:c>
      <x:c r="AG607" t="n">
        <x:f>--AND(S607=1,T607=1,U607=1,V607=1,W607=1,AE607=1)</x:f>
        <x:v>0</x:v>
      </x:c>
      <x:c r="AJ607" t="str">
        <x:f>IF(OR(AH607="",AI607=""),"",--(AH607&lt;&gt;AI607))</x:f>
      </x:c>
      <x:c r="AL607" t="str">
        <x:f>IF(OR(AH607="",AI607=""),"PENDING_HUMAN",IF(AH607=AI607,AH607,IF(AK607&lt;&gt;"",AK607,"PENDING_HUMAN")))</x:f>
        <x:v>PENDING_HUMAN</x:v>
      </x:c>
      <x:c r="AM607" t="n">
        <x:f>--AND(A607&lt;&gt;"",AH607&lt;&gt;"",AI607&lt;&gt;"",OR(AH607=AI607,AK607&lt;&gt;""))</x:f>
        <x:v>0</x:v>
      </x:c>
      <x:c r="AN607" t="n">
        <x:f>--AND(Y607&lt;&gt;"",COUNTIF($Y$4:Y607,Y607)=1)</x:f>
        <x:v>0</x:v>
      </x:c>
      <x:c r="AO607" t="n">
        <x:f>--AND(AN607=1,Z607=1,AM607=1)</x:f>
        <x:v>0</x:v>
      </x:c>
      <x:c r="AP607" t="n">
        <x:f>--AND(AO607=1,AA607=1,AL607=1)</x:f>
        <x:v>0</x:v>
      </x:c>
      <x:c r="AQ607" t="n">
        <x:f>--AND(AN607=1,Z607=1)</x:f>
        <x:v>0</x:v>
      </x:c>
      <x:c r="AR607" t="n">
        <x:f>--AND(AQ607=1,AA607=1)</x:f>
        <x:v>0</x:v>
      </x:c>
    </x:row>
    <x:row r="608">
      <x:c r="A608" s="28"/>
      <x:c r="B608" s="28"/>
      <x:c r="C608" s="28"/>
      <x:c r="D608" s="28"/>
      <x:c r="E608" s="28"/>
      <x:c r="F608" s="28"/>
      <x:c r="G608" s="28"/>
      <x:c r="H608" s="28"/>
      <x:c r="I608" s="28"/>
      <x:c r="J608" s="28"/>
      <x:c r="K608" s="28"/>
      <x:c r="L608" s="28"/>
      <x:c r="M608" s="28"/>
      <x:c r="N608" s="28"/>
      <x:c r="O608" s="28"/>
      <x:c r="P608" s="28"/>
      <x:c r="Q608" s="28"/>
      <x:c r="R608" s="28"/>
      <x:c r="S608" s="28"/>
      <x:c r="T608" s="28"/>
      <x:c r="U608" s="28"/>
      <x:c r="V608" s="28"/>
      <x:c r="W608" s="28"/>
      <x:c r="X608" s="43" t="n">
        <x:f>--AND(S608=1,T608=1,U608=1,V608=1,W608=1)</x:f>
        <x:v>0</x:v>
      </x:c>
      <x:c r="AE608" s="43" t="n">
        <x:f>--AND(S608=1,M608&lt;&gt;"",M608&lt;&gt;"keep")</x:f>
        <x:v>0</x:v>
      </x:c>
      <x:c r="AG608" t="n">
        <x:f>--AND(S608=1,T608=1,U608=1,V608=1,W608=1,AE608=1)</x:f>
        <x:v>0</x:v>
      </x:c>
      <x:c r="AJ608" t="str">
        <x:f>IF(OR(AH608="",AI608=""),"",--(AH608&lt;&gt;AI608))</x:f>
      </x:c>
      <x:c r="AL608" t="str">
        <x:f>IF(OR(AH608="",AI608=""),"PENDING_HUMAN",IF(AH608=AI608,AH608,IF(AK608&lt;&gt;"",AK608,"PENDING_HUMAN")))</x:f>
        <x:v>PENDING_HUMAN</x:v>
      </x:c>
      <x:c r="AM608" t="n">
        <x:f>--AND(A608&lt;&gt;"",AH608&lt;&gt;"",AI608&lt;&gt;"",OR(AH608=AI608,AK608&lt;&gt;""))</x:f>
        <x:v>0</x:v>
      </x:c>
      <x:c r="AN608" t="n">
        <x:f>--AND(Y608&lt;&gt;"",COUNTIF($Y$4:Y608,Y608)=1)</x:f>
        <x:v>0</x:v>
      </x:c>
      <x:c r="AO608" t="n">
        <x:f>--AND(AN608=1,Z608=1,AM608=1)</x:f>
        <x:v>0</x:v>
      </x:c>
      <x:c r="AP608" t="n">
        <x:f>--AND(AO608=1,AA608=1,AL608=1)</x:f>
        <x:v>0</x:v>
      </x:c>
      <x:c r="AQ608" t="n">
        <x:f>--AND(AN608=1,Z608=1)</x:f>
        <x:v>0</x:v>
      </x:c>
      <x:c r="AR608" t="n">
        <x:f>--AND(AQ608=1,AA608=1)</x:f>
        <x:v>0</x:v>
      </x:c>
    </x:row>
    <x:row r="609">
      <x:c r="A609" s="28"/>
      <x:c r="B609" s="28"/>
      <x:c r="C609" s="28"/>
      <x:c r="D609" s="28"/>
      <x:c r="E609" s="28"/>
      <x:c r="F609" s="28"/>
      <x:c r="G609" s="28"/>
      <x:c r="H609" s="28"/>
      <x:c r="I609" s="28"/>
      <x:c r="J609" s="28"/>
      <x:c r="K609" s="28"/>
      <x:c r="L609" s="28"/>
      <x:c r="M609" s="28"/>
      <x:c r="N609" s="28"/>
      <x:c r="O609" s="28"/>
      <x:c r="P609" s="28"/>
      <x:c r="Q609" s="28"/>
      <x:c r="R609" s="28"/>
      <x:c r="S609" s="28"/>
      <x:c r="T609" s="28"/>
      <x:c r="U609" s="28"/>
      <x:c r="V609" s="28"/>
      <x:c r="W609" s="28"/>
      <x:c r="X609" s="43" t="n">
        <x:f>--AND(S609=1,T609=1,U609=1,V609=1,W609=1)</x:f>
        <x:v>0</x:v>
      </x:c>
      <x:c r="AE609" s="43" t="n">
        <x:f>--AND(S609=1,M609&lt;&gt;"",M609&lt;&gt;"keep")</x:f>
        <x:v>0</x:v>
      </x:c>
      <x:c r="AG609" t="n">
        <x:f>--AND(S609=1,T609=1,U609=1,V609=1,W609=1,AE609=1)</x:f>
        <x:v>0</x:v>
      </x:c>
      <x:c r="AJ609" t="str">
        <x:f>IF(OR(AH609="",AI609=""),"",--(AH609&lt;&gt;AI609))</x:f>
      </x:c>
      <x:c r="AL609" t="str">
        <x:f>IF(OR(AH609="",AI609=""),"PENDING_HUMAN",IF(AH609=AI609,AH609,IF(AK609&lt;&gt;"",AK609,"PENDING_HUMAN")))</x:f>
        <x:v>PENDING_HUMAN</x:v>
      </x:c>
      <x:c r="AM609" t="n">
        <x:f>--AND(A609&lt;&gt;"",AH609&lt;&gt;"",AI609&lt;&gt;"",OR(AH609=AI609,AK609&lt;&gt;""))</x:f>
        <x:v>0</x:v>
      </x:c>
      <x:c r="AN609" t="n">
        <x:f>--AND(Y609&lt;&gt;"",COUNTIF($Y$4:Y609,Y609)=1)</x:f>
        <x:v>0</x:v>
      </x:c>
      <x:c r="AO609" t="n">
        <x:f>--AND(AN609=1,Z609=1,AM609=1)</x:f>
        <x:v>0</x:v>
      </x:c>
      <x:c r="AP609" t="n">
        <x:f>--AND(AO609=1,AA609=1,AL609=1)</x:f>
        <x:v>0</x:v>
      </x:c>
      <x:c r="AQ609" t="n">
        <x:f>--AND(AN609=1,Z609=1)</x:f>
        <x:v>0</x:v>
      </x:c>
      <x:c r="AR609" t="n">
        <x:f>--AND(AQ609=1,AA609=1)</x:f>
        <x:v>0</x:v>
      </x:c>
    </x:row>
    <x:row r="610">
      <x:c r="A610" s="28"/>
      <x:c r="B610" s="28"/>
      <x:c r="C610" s="28"/>
      <x:c r="D610" s="28"/>
      <x:c r="E610" s="28"/>
      <x:c r="F610" s="28"/>
      <x:c r="G610" s="28"/>
      <x:c r="H610" s="28"/>
      <x:c r="I610" s="28"/>
      <x:c r="J610" s="28"/>
      <x:c r="K610" s="28"/>
      <x:c r="L610" s="28"/>
      <x:c r="M610" s="28"/>
      <x:c r="N610" s="28"/>
      <x:c r="O610" s="28"/>
      <x:c r="P610" s="28"/>
      <x:c r="Q610" s="28"/>
      <x:c r="R610" s="28"/>
      <x:c r="S610" s="28"/>
      <x:c r="T610" s="28"/>
      <x:c r="U610" s="28"/>
      <x:c r="V610" s="28"/>
      <x:c r="W610" s="28"/>
      <x:c r="X610" s="43" t="n">
        <x:f>--AND(S610=1,T610=1,U610=1,V610=1,W610=1)</x:f>
        <x:v>0</x:v>
      </x:c>
      <x:c r="AE610" s="43" t="n">
        <x:f>--AND(S610=1,M610&lt;&gt;"",M610&lt;&gt;"keep")</x:f>
        <x:v>0</x:v>
      </x:c>
      <x:c r="AG610" t="n">
        <x:f>--AND(S610=1,T610=1,U610=1,V610=1,W610=1,AE610=1)</x:f>
        <x:v>0</x:v>
      </x:c>
      <x:c r="AJ610" t="str">
        <x:f>IF(OR(AH610="",AI610=""),"",--(AH610&lt;&gt;AI610))</x:f>
      </x:c>
      <x:c r="AL610" t="str">
        <x:f>IF(OR(AH610="",AI610=""),"PENDING_HUMAN",IF(AH610=AI610,AH610,IF(AK610&lt;&gt;"",AK610,"PENDING_HUMAN")))</x:f>
        <x:v>PENDING_HUMAN</x:v>
      </x:c>
      <x:c r="AM610" t="n">
        <x:f>--AND(A610&lt;&gt;"",AH610&lt;&gt;"",AI610&lt;&gt;"",OR(AH610=AI610,AK610&lt;&gt;""))</x:f>
        <x:v>0</x:v>
      </x:c>
      <x:c r="AN610" t="n">
        <x:f>--AND(Y610&lt;&gt;"",COUNTIF($Y$4:Y610,Y610)=1)</x:f>
        <x:v>0</x:v>
      </x:c>
      <x:c r="AO610" t="n">
        <x:f>--AND(AN610=1,Z610=1,AM610=1)</x:f>
        <x:v>0</x:v>
      </x:c>
      <x:c r="AP610" t="n">
        <x:f>--AND(AO610=1,AA610=1,AL610=1)</x:f>
        <x:v>0</x:v>
      </x:c>
      <x:c r="AQ610" t="n">
        <x:f>--AND(AN610=1,Z610=1)</x:f>
        <x:v>0</x:v>
      </x:c>
      <x:c r="AR610" t="n">
        <x:f>--AND(AQ610=1,AA610=1)</x:f>
        <x:v>0</x:v>
      </x:c>
    </x:row>
    <x:row r="611">
      <x:c r="A611" s="28"/>
      <x:c r="B611" s="28"/>
      <x:c r="C611" s="28"/>
      <x:c r="D611" s="28"/>
      <x:c r="E611" s="28"/>
      <x:c r="F611" s="28"/>
      <x:c r="G611" s="28"/>
      <x:c r="H611" s="28"/>
      <x:c r="I611" s="28"/>
      <x:c r="J611" s="28"/>
      <x:c r="K611" s="28"/>
      <x:c r="L611" s="28"/>
      <x:c r="M611" s="28"/>
      <x:c r="N611" s="28"/>
      <x:c r="O611" s="28"/>
      <x:c r="P611" s="28"/>
      <x:c r="Q611" s="28"/>
      <x:c r="R611" s="28"/>
      <x:c r="S611" s="28"/>
      <x:c r="T611" s="28"/>
      <x:c r="U611" s="28"/>
      <x:c r="V611" s="28"/>
      <x:c r="W611" s="28"/>
      <x:c r="X611" s="43" t="n">
        <x:f>--AND(S611=1,T611=1,U611=1,V611=1,W611=1)</x:f>
        <x:v>0</x:v>
      </x:c>
      <x:c r="AE611" s="43" t="n">
        <x:f>--AND(S611=1,M611&lt;&gt;"",M611&lt;&gt;"keep")</x:f>
        <x:v>0</x:v>
      </x:c>
      <x:c r="AG611" t="n">
        <x:f>--AND(S611=1,T611=1,U611=1,V611=1,W611=1,AE611=1)</x:f>
        <x:v>0</x:v>
      </x:c>
      <x:c r="AJ611" t="str">
        <x:f>IF(OR(AH611="",AI611=""),"",--(AH611&lt;&gt;AI611))</x:f>
      </x:c>
      <x:c r="AL611" t="str">
        <x:f>IF(OR(AH611="",AI611=""),"PENDING_HUMAN",IF(AH611=AI611,AH611,IF(AK611&lt;&gt;"",AK611,"PENDING_HUMAN")))</x:f>
        <x:v>PENDING_HUMAN</x:v>
      </x:c>
      <x:c r="AM611" t="n">
        <x:f>--AND(A611&lt;&gt;"",AH611&lt;&gt;"",AI611&lt;&gt;"",OR(AH611=AI611,AK611&lt;&gt;""))</x:f>
        <x:v>0</x:v>
      </x:c>
      <x:c r="AN611" t="n">
        <x:f>--AND(Y611&lt;&gt;"",COUNTIF($Y$4:Y611,Y611)=1)</x:f>
        <x:v>0</x:v>
      </x:c>
      <x:c r="AO611" t="n">
        <x:f>--AND(AN611=1,Z611=1,AM611=1)</x:f>
        <x:v>0</x:v>
      </x:c>
      <x:c r="AP611" t="n">
        <x:f>--AND(AO611=1,AA611=1,AL611=1)</x:f>
        <x:v>0</x:v>
      </x:c>
      <x:c r="AQ611" t="n">
        <x:f>--AND(AN611=1,Z611=1)</x:f>
        <x:v>0</x:v>
      </x:c>
      <x:c r="AR611" t="n">
        <x:f>--AND(AQ611=1,AA611=1)</x:f>
        <x:v>0</x:v>
      </x:c>
    </x:row>
    <x:row r="612">
      <x:c r="A612" s="28"/>
      <x:c r="B612" s="28"/>
      <x:c r="C612" s="28"/>
      <x:c r="D612" s="28"/>
      <x:c r="E612" s="28"/>
      <x:c r="F612" s="28"/>
      <x:c r="G612" s="28"/>
      <x:c r="H612" s="28"/>
      <x:c r="I612" s="28"/>
      <x:c r="J612" s="28"/>
      <x:c r="K612" s="28"/>
      <x:c r="L612" s="28"/>
      <x:c r="M612" s="28"/>
      <x:c r="N612" s="28"/>
      <x:c r="O612" s="28"/>
      <x:c r="P612" s="28"/>
      <x:c r="Q612" s="28"/>
      <x:c r="R612" s="28"/>
      <x:c r="S612" s="28"/>
      <x:c r="T612" s="28"/>
      <x:c r="U612" s="28"/>
      <x:c r="V612" s="28"/>
      <x:c r="W612" s="28"/>
      <x:c r="X612" s="43" t="n">
        <x:f>--AND(S612=1,T612=1,U612=1,V612=1,W612=1)</x:f>
        <x:v>0</x:v>
      </x:c>
      <x:c r="AE612" s="43" t="n">
        <x:f>--AND(S612=1,M612&lt;&gt;"",M612&lt;&gt;"keep")</x:f>
        <x:v>0</x:v>
      </x:c>
      <x:c r="AG612" t="n">
        <x:f>--AND(S612=1,T612=1,U612=1,V612=1,W612=1,AE612=1)</x:f>
        <x:v>0</x:v>
      </x:c>
      <x:c r="AJ612" t="str">
        <x:f>IF(OR(AH612="",AI612=""),"",--(AH612&lt;&gt;AI612))</x:f>
      </x:c>
      <x:c r="AL612" t="str">
        <x:f>IF(OR(AH612="",AI612=""),"PENDING_HUMAN",IF(AH612=AI612,AH612,IF(AK612&lt;&gt;"",AK612,"PENDING_HUMAN")))</x:f>
        <x:v>PENDING_HUMAN</x:v>
      </x:c>
      <x:c r="AM612" t="n">
        <x:f>--AND(A612&lt;&gt;"",AH612&lt;&gt;"",AI612&lt;&gt;"",OR(AH612=AI612,AK612&lt;&gt;""))</x:f>
        <x:v>0</x:v>
      </x:c>
      <x:c r="AN612" t="n">
        <x:f>--AND(Y612&lt;&gt;"",COUNTIF($Y$4:Y612,Y612)=1)</x:f>
        <x:v>0</x:v>
      </x:c>
      <x:c r="AO612" t="n">
        <x:f>--AND(AN612=1,Z612=1,AM612=1)</x:f>
        <x:v>0</x:v>
      </x:c>
      <x:c r="AP612" t="n">
        <x:f>--AND(AO612=1,AA612=1,AL612=1)</x:f>
        <x:v>0</x:v>
      </x:c>
      <x:c r="AQ612" t="n">
        <x:f>--AND(AN612=1,Z612=1)</x:f>
        <x:v>0</x:v>
      </x:c>
      <x:c r="AR612" t="n">
        <x:f>--AND(AQ612=1,AA612=1)</x:f>
        <x:v>0</x:v>
      </x:c>
    </x:row>
    <x:row r="613">
      <x:c r="A613" s="28"/>
      <x:c r="B613" s="28"/>
      <x:c r="C613" s="28"/>
      <x:c r="D613" s="28"/>
      <x:c r="E613" s="28"/>
      <x:c r="F613" s="28"/>
      <x:c r="G613" s="28"/>
      <x:c r="H613" s="28"/>
      <x:c r="I613" s="28"/>
      <x:c r="J613" s="28"/>
      <x:c r="K613" s="28"/>
      <x:c r="L613" s="28"/>
      <x:c r="M613" s="28"/>
      <x:c r="N613" s="28"/>
      <x:c r="O613" s="28"/>
      <x:c r="P613" s="28"/>
      <x:c r="Q613" s="28"/>
      <x:c r="R613" s="28"/>
      <x:c r="S613" s="28"/>
      <x:c r="T613" s="28"/>
      <x:c r="U613" s="28"/>
      <x:c r="V613" s="28"/>
      <x:c r="W613" s="28"/>
      <x:c r="X613" s="43" t="n">
        <x:f>--AND(S613=1,T613=1,U613=1,V613=1,W613=1)</x:f>
        <x:v>0</x:v>
      </x:c>
      <x:c r="AE613" s="43" t="n">
        <x:f>--AND(S613=1,M613&lt;&gt;"",M613&lt;&gt;"keep")</x:f>
        <x:v>0</x:v>
      </x:c>
      <x:c r="AG613" t="n">
        <x:f>--AND(S613=1,T613=1,U613=1,V613=1,W613=1,AE613=1)</x:f>
        <x:v>0</x:v>
      </x:c>
      <x:c r="AJ613" t="str">
        <x:f>IF(OR(AH613="",AI613=""),"",--(AH613&lt;&gt;AI613))</x:f>
      </x:c>
      <x:c r="AL613" t="str">
        <x:f>IF(OR(AH613="",AI613=""),"PENDING_HUMAN",IF(AH613=AI613,AH613,IF(AK613&lt;&gt;"",AK613,"PENDING_HUMAN")))</x:f>
        <x:v>PENDING_HUMAN</x:v>
      </x:c>
      <x:c r="AM613" t="n">
        <x:f>--AND(A613&lt;&gt;"",AH613&lt;&gt;"",AI613&lt;&gt;"",OR(AH613=AI613,AK613&lt;&gt;""))</x:f>
        <x:v>0</x:v>
      </x:c>
      <x:c r="AN613" t="n">
        <x:f>--AND(Y613&lt;&gt;"",COUNTIF($Y$4:Y613,Y613)=1)</x:f>
        <x:v>0</x:v>
      </x:c>
      <x:c r="AO613" t="n">
        <x:f>--AND(AN613=1,Z613=1,AM613=1)</x:f>
        <x:v>0</x:v>
      </x:c>
      <x:c r="AP613" t="n">
        <x:f>--AND(AO613=1,AA613=1,AL613=1)</x:f>
        <x:v>0</x:v>
      </x:c>
      <x:c r="AQ613" t="n">
        <x:f>--AND(AN613=1,Z613=1)</x:f>
        <x:v>0</x:v>
      </x:c>
      <x:c r="AR613" t="n">
        <x:f>--AND(AQ613=1,AA613=1)</x:f>
        <x:v>0</x:v>
      </x:c>
    </x:row>
    <x:row r="614">
      <x:c r="A614" s="28"/>
      <x:c r="B614" s="28"/>
      <x:c r="C614" s="28"/>
      <x:c r="D614" s="28"/>
      <x:c r="E614" s="28"/>
      <x:c r="F614" s="28"/>
      <x:c r="G614" s="28"/>
      <x:c r="H614" s="28"/>
      <x:c r="I614" s="28"/>
      <x:c r="J614" s="28"/>
      <x:c r="K614" s="28"/>
      <x:c r="L614" s="28"/>
      <x:c r="M614" s="28"/>
      <x:c r="N614" s="28"/>
      <x:c r="O614" s="28"/>
      <x:c r="P614" s="28"/>
      <x:c r="Q614" s="28"/>
      <x:c r="R614" s="28"/>
      <x:c r="S614" s="28"/>
      <x:c r="T614" s="28"/>
      <x:c r="U614" s="28"/>
      <x:c r="V614" s="28"/>
      <x:c r="W614" s="28"/>
      <x:c r="X614" s="43" t="n">
        <x:f>--AND(S614=1,T614=1,U614=1,V614=1,W614=1)</x:f>
        <x:v>0</x:v>
      </x:c>
      <x:c r="AE614" s="43" t="n">
        <x:f>--AND(S614=1,M614&lt;&gt;"",M614&lt;&gt;"keep")</x:f>
        <x:v>0</x:v>
      </x:c>
      <x:c r="AG614" t="n">
        <x:f>--AND(S614=1,T614=1,U614=1,V614=1,W614=1,AE614=1)</x:f>
        <x:v>0</x:v>
      </x:c>
      <x:c r="AJ614" t="str">
        <x:f>IF(OR(AH614="",AI614=""),"",--(AH614&lt;&gt;AI614))</x:f>
      </x:c>
      <x:c r="AL614" t="str">
        <x:f>IF(OR(AH614="",AI614=""),"PENDING_HUMAN",IF(AH614=AI614,AH614,IF(AK614&lt;&gt;"",AK614,"PENDING_HUMAN")))</x:f>
        <x:v>PENDING_HUMAN</x:v>
      </x:c>
      <x:c r="AM614" t="n">
        <x:f>--AND(A614&lt;&gt;"",AH614&lt;&gt;"",AI614&lt;&gt;"",OR(AH614=AI614,AK614&lt;&gt;""))</x:f>
        <x:v>0</x:v>
      </x:c>
      <x:c r="AN614" t="n">
        <x:f>--AND(Y614&lt;&gt;"",COUNTIF($Y$4:Y614,Y614)=1)</x:f>
        <x:v>0</x:v>
      </x:c>
      <x:c r="AO614" t="n">
        <x:f>--AND(AN614=1,Z614=1,AM614=1)</x:f>
        <x:v>0</x:v>
      </x:c>
      <x:c r="AP614" t="n">
        <x:f>--AND(AO614=1,AA614=1,AL614=1)</x:f>
        <x:v>0</x:v>
      </x:c>
      <x:c r="AQ614" t="n">
        <x:f>--AND(AN614=1,Z614=1)</x:f>
        <x:v>0</x:v>
      </x:c>
      <x:c r="AR614" t="n">
        <x:f>--AND(AQ614=1,AA614=1)</x:f>
        <x:v>0</x:v>
      </x:c>
    </x:row>
    <x:row r="615">
      <x:c r="A615" s="28"/>
      <x:c r="B615" s="28"/>
      <x:c r="C615" s="28"/>
      <x:c r="D615" s="28"/>
      <x:c r="E615" s="28"/>
      <x:c r="F615" s="28"/>
      <x:c r="G615" s="28"/>
      <x:c r="H615" s="28"/>
      <x:c r="I615" s="28"/>
      <x:c r="J615" s="28"/>
      <x:c r="K615" s="28"/>
      <x:c r="L615" s="28"/>
      <x:c r="M615" s="28"/>
      <x:c r="N615" s="28"/>
      <x:c r="O615" s="28"/>
      <x:c r="P615" s="28"/>
      <x:c r="Q615" s="28"/>
      <x:c r="R615" s="28"/>
      <x:c r="S615" s="28"/>
      <x:c r="T615" s="28"/>
      <x:c r="U615" s="28"/>
      <x:c r="V615" s="28"/>
      <x:c r="W615" s="28"/>
      <x:c r="X615" s="43" t="n">
        <x:f>--AND(S615=1,T615=1,U615=1,V615=1,W615=1)</x:f>
        <x:v>0</x:v>
      </x:c>
      <x:c r="AE615" s="43" t="n">
        <x:f>--AND(S615=1,M615&lt;&gt;"",M615&lt;&gt;"keep")</x:f>
        <x:v>0</x:v>
      </x:c>
      <x:c r="AG615" t="n">
        <x:f>--AND(S615=1,T615=1,U615=1,V615=1,W615=1,AE615=1)</x:f>
        <x:v>0</x:v>
      </x:c>
      <x:c r="AJ615" t="str">
        <x:f>IF(OR(AH615="",AI615=""),"",--(AH615&lt;&gt;AI615))</x:f>
      </x:c>
      <x:c r="AL615" t="str">
        <x:f>IF(OR(AH615="",AI615=""),"PENDING_HUMAN",IF(AH615=AI615,AH615,IF(AK615&lt;&gt;"",AK615,"PENDING_HUMAN")))</x:f>
        <x:v>PENDING_HUMAN</x:v>
      </x:c>
      <x:c r="AM615" t="n">
        <x:f>--AND(A615&lt;&gt;"",AH615&lt;&gt;"",AI615&lt;&gt;"",OR(AH615=AI615,AK615&lt;&gt;""))</x:f>
        <x:v>0</x:v>
      </x:c>
      <x:c r="AN615" t="n">
        <x:f>--AND(Y615&lt;&gt;"",COUNTIF($Y$4:Y615,Y615)=1)</x:f>
        <x:v>0</x:v>
      </x:c>
      <x:c r="AO615" t="n">
        <x:f>--AND(AN615=1,Z615=1,AM615=1)</x:f>
        <x:v>0</x:v>
      </x:c>
      <x:c r="AP615" t="n">
        <x:f>--AND(AO615=1,AA615=1,AL615=1)</x:f>
        <x:v>0</x:v>
      </x:c>
      <x:c r="AQ615" t="n">
        <x:f>--AND(AN615=1,Z615=1)</x:f>
        <x:v>0</x:v>
      </x:c>
      <x:c r="AR615" t="n">
        <x:f>--AND(AQ615=1,AA615=1)</x:f>
        <x:v>0</x:v>
      </x:c>
    </x:row>
    <x:row r="616">
      <x:c r="A616" s="28"/>
      <x:c r="B616" s="28"/>
      <x:c r="C616" s="28"/>
      <x:c r="D616" s="28"/>
      <x:c r="E616" s="28"/>
      <x:c r="F616" s="28"/>
      <x:c r="G616" s="28"/>
      <x:c r="H616" s="28"/>
      <x:c r="I616" s="28"/>
      <x:c r="J616" s="28"/>
      <x:c r="K616" s="28"/>
      <x:c r="L616" s="28"/>
      <x:c r="M616" s="28"/>
      <x:c r="N616" s="28"/>
      <x:c r="O616" s="28"/>
      <x:c r="P616" s="28"/>
      <x:c r="Q616" s="28"/>
      <x:c r="R616" s="28"/>
      <x:c r="S616" s="28"/>
      <x:c r="T616" s="28"/>
      <x:c r="U616" s="28"/>
      <x:c r="V616" s="28"/>
      <x:c r="W616" s="28"/>
      <x:c r="X616" s="43" t="n">
        <x:f>--AND(S616=1,T616=1,U616=1,V616=1,W616=1)</x:f>
        <x:v>0</x:v>
      </x:c>
      <x:c r="AE616" s="43" t="n">
        <x:f>--AND(S616=1,M616&lt;&gt;"",M616&lt;&gt;"keep")</x:f>
        <x:v>0</x:v>
      </x:c>
      <x:c r="AG616" t="n">
        <x:f>--AND(S616=1,T616=1,U616=1,V616=1,W616=1,AE616=1)</x:f>
        <x:v>0</x:v>
      </x:c>
      <x:c r="AJ616" t="str">
        <x:f>IF(OR(AH616="",AI616=""),"",--(AH616&lt;&gt;AI616))</x:f>
      </x:c>
      <x:c r="AL616" t="str">
        <x:f>IF(OR(AH616="",AI616=""),"PENDING_HUMAN",IF(AH616=AI616,AH616,IF(AK616&lt;&gt;"",AK616,"PENDING_HUMAN")))</x:f>
        <x:v>PENDING_HUMAN</x:v>
      </x:c>
      <x:c r="AM616" t="n">
        <x:f>--AND(A616&lt;&gt;"",AH616&lt;&gt;"",AI616&lt;&gt;"",OR(AH616=AI616,AK616&lt;&gt;""))</x:f>
        <x:v>0</x:v>
      </x:c>
      <x:c r="AN616" t="n">
        <x:f>--AND(Y616&lt;&gt;"",COUNTIF($Y$4:Y616,Y616)=1)</x:f>
        <x:v>0</x:v>
      </x:c>
      <x:c r="AO616" t="n">
        <x:f>--AND(AN616=1,Z616=1,AM616=1)</x:f>
        <x:v>0</x:v>
      </x:c>
      <x:c r="AP616" t="n">
        <x:f>--AND(AO616=1,AA616=1,AL616=1)</x:f>
        <x:v>0</x:v>
      </x:c>
      <x:c r="AQ616" t="n">
        <x:f>--AND(AN616=1,Z616=1)</x:f>
        <x:v>0</x:v>
      </x:c>
      <x:c r="AR616" t="n">
        <x:f>--AND(AQ616=1,AA616=1)</x:f>
        <x:v>0</x:v>
      </x:c>
    </x:row>
    <x:row r="617">
      <x:c r="A617" s="28"/>
      <x:c r="B617" s="28"/>
      <x:c r="C617" s="28"/>
      <x:c r="D617" s="28"/>
      <x:c r="E617" s="28"/>
      <x:c r="F617" s="28"/>
      <x:c r="G617" s="28"/>
      <x:c r="H617" s="28"/>
      <x:c r="I617" s="28"/>
      <x:c r="J617" s="28"/>
      <x:c r="K617" s="28"/>
      <x:c r="L617" s="28"/>
      <x:c r="M617" s="28"/>
      <x:c r="N617" s="28"/>
      <x:c r="O617" s="28"/>
      <x:c r="P617" s="28"/>
      <x:c r="Q617" s="28"/>
      <x:c r="R617" s="28"/>
      <x:c r="S617" s="28"/>
      <x:c r="T617" s="28"/>
      <x:c r="U617" s="28"/>
      <x:c r="V617" s="28"/>
      <x:c r="W617" s="28"/>
      <x:c r="X617" s="43" t="n">
        <x:f>--AND(S617=1,T617=1,U617=1,V617=1,W617=1)</x:f>
        <x:v>0</x:v>
      </x:c>
      <x:c r="AE617" s="43" t="n">
        <x:f>--AND(S617=1,M617&lt;&gt;"",M617&lt;&gt;"keep")</x:f>
        <x:v>0</x:v>
      </x:c>
      <x:c r="AG617" t="n">
        <x:f>--AND(S617=1,T617=1,U617=1,V617=1,W617=1,AE617=1)</x:f>
        <x:v>0</x:v>
      </x:c>
      <x:c r="AJ617" t="str">
        <x:f>IF(OR(AH617="",AI617=""),"",--(AH617&lt;&gt;AI617))</x:f>
      </x:c>
      <x:c r="AL617" t="str">
        <x:f>IF(OR(AH617="",AI617=""),"PENDING_HUMAN",IF(AH617=AI617,AH617,IF(AK617&lt;&gt;"",AK617,"PENDING_HUMAN")))</x:f>
        <x:v>PENDING_HUMAN</x:v>
      </x:c>
      <x:c r="AM617" t="n">
        <x:f>--AND(A617&lt;&gt;"",AH617&lt;&gt;"",AI617&lt;&gt;"",OR(AH617=AI617,AK617&lt;&gt;""))</x:f>
        <x:v>0</x:v>
      </x:c>
      <x:c r="AN617" t="n">
        <x:f>--AND(Y617&lt;&gt;"",COUNTIF($Y$4:Y617,Y617)=1)</x:f>
        <x:v>0</x:v>
      </x:c>
      <x:c r="AO617" t="n">
        <x:f>--AND(AN617=1,Z617=1,AM617=1)</x:f>
        <x:v>0</x:v>
      </x:c>
      <x:c r="AP617" t="n">
        <x:f>--AND(AO617=1,AA617=1,AL617=1)</x:f>
        <x:v>0</x:v>
      </x:c>
      <x:c r="AQ617" t="n">
        <x:f>--AND(AN617=1,Z617=1)</x:f>
        <x:v>0</x:v>
      </x:c>
      <x:c r="AR617" t="n">
        <x:f>--AND(AQ617=1,AA617=1)</x:f>
        <x:v>0</x:v>
      </x:c>
    </x:row>
    <x:row r="618">
      <x:c r="A618" s="28"/>
      <x:c r="B618" s="28"/>
      <x:c r="C618" s="28"/>
      <x:c r="D618" s="28"/>
      <x:c r="E618" s="28"/>
      <x:c r="F618" s="28"/>
      <x:c r="G618" s="28"/>
      <x:c r="H618" s="28"/>
      <x:c r="I618" s="28"/>
      <x:c r="J618" s="28"/>
      <x:c r="K618" s="28"/>
      <x:c r="L618" s="28"/>
      <x:c r="M618" s="28"/>
      <x:c r="N618" s="28"/>
      <x:c r="O618" s="28"/>
      <x:c r="P618" s="28"/>
      <x:c r="Q618" s="28"/>
      <x:c r="R618" s="28"/>
      <x:c r="S618" s="28"/>
      <x:c r="T618" s="28"/>
      <x:c r="U618" s="28"/>
      <x:c r="V618" s="28"/>
      <x:c r="W618" s="28"/>
      <x:c r="X618" s="43" t="n">
        <x:f>--AND(S618=1,T618=1,U618=1,V618=1,W618=1)</x:f>
        <x:v>0</x:v>
      </x:c>
      <x:c r="AE618" s="43" t="n">
        <x:f>--AND(S618=1,M618&lt;&gt;"",M618&lt;&gt;"keep")</x:f>
        <x:v>0</x:v>
      </x:c>
      <x:c r="AG618" t="n">
        <x:f>--AND(S618=1,T618=1,U618=1,V618=1,W618=1,AE618=1)</x:f>
        <x:v>0</x:v>
      </x:c>
      <x:c r="AJ618" t="str">
        <x:f>IF(OR(AH618="",AI618=""),"",--(AH618&lt;&gt;AI618))</x:f>
      </x:c>
      <x:c r="AL618" t="str">
        <x:f>IF(OR(AH618="",AI618=""),"PENDING_HUMAN",IF(AH618=AI618,AH618,IF(AK618&lt;&gt;"",AK618,"PENDING_HUMAN")))</x:f>
        <x:v>PENDING_HUMAN</x:v>
      </x:c>
      <x:c r="AM618" t="n">
        <x:f>--AND(A618&lt;&gt;"",AH618&lt;&gt;"",AI618&lt;&gt;"",OR(AH618=AI618,AK618&lt;&gt;""))</x:f>
        <x:v>0</x:v>
      </x:c>
      <x:c r="AN618" t="n">
        <x:f>--AND(Y618&lt;&gt;"",COUNTIF($Y$4:Y618,Y618)=1)</x:f>
        <x:v>0</x:v>
      </x:c>
      <x:c r="AO618" t="n">
        <x:f>--AND(AN618=1,Z618=1,AM618=1)</x:f>
        <x:v>0</x:v>
      </x:c>
      <x:c r="AP618" t="n">
        <x:f>--AND(AO618=1,AA618=1,AL618=1)</x:f>
        <x:v>0</x:v>
      </x:c>
      <x:c r="AQ618" t="n">
        <x:f>--AND(AN618=1,Z618=1)</x:f>
        <x:v>0</x:v>
      </x:c>
      <x:c r="AR618" t="n">
        <x:f>--AND(AQ618=1,AA618=1)</x:f>
        <x:v>0</x:v>
      </x:c>
    </x:row>
    <x:row r="619">
      <x:c r="A619" s="28"/>
      <x:c r="B619" s="28"/>
      <x:c r="C619" s="28"/>
      <x:c r="D619" s="28"/>
      <x:c r="E619" s="28"/>
      <x:c r="F619" s="28"/>
      <x:c r="G619" s="28"/>
      <x:c r="H619" s="28"/>
      <x:c r="I619" s="28"/>
      <x:c r="J619" s="28"/>
      <x:c r="K619" s="28"/>
      <x:c r="L619" s="28"/>
      <x:c r="M619" s="28"/>
      <x:c r="N619" s="28"/>
      <x:c r="O619" s="28"/>
      <x:c r="P619" s="28"/>
      <x:c r="Q619" s="28"/>
      <x:c r="R619" s="28"/>
      <x:c r="S619" s="28"/>
      <x:c r="T619" s="28"/>
      <x:c r="U619" s="28"/>
      <x:c r="V619" s="28"/>
      <x:c r="W619" s="28"/>
      <x:c r="X619" s="43" t="n">
        <x:f>--AND(S619=1,T619=1,U619=1,V619=1,W619=1)</x:f>
        <x:v>0</x:v>
      </x:c>
      <x:c r="AE619" s="43" t="n">
        <x:f>--AND(S619=1,M619&lt;&gt;"",M619&lt;&gt;"keep")</x:f>
        <x:v>0</x:v>
      </x:c>
      <x:c r="AG619" t="n">
        <x:f>--AND(S619=1,T619=1,U619=1,V619=1,W619=1,AE619=1)</x:f>
        <x:v>0</x:v>
      </x:c>
      <x:c r="AJ619" t="str">
        <x:f>IF(OR(AH619="",AI619=""),"",--(AH619&lt;&gt;AI619))</x:f>
      </x:c>
      <x:c r="AL619" t="str">
        <x:f>IF(OR(AH619="",AI619=""),"PENDING_HUMAN",IF(AH619=AI619,AH619,IF(AK619&lt;&gt;"",AK619,"PENDING_HUMAN")))</x:f>
        <x:v>PENDING_HUMAN</x:v>
      </x:c>
      <x:c r="AM619" t="n">
        <x:f>--AND(A619&lt;&gt;"",AH619&lt;&gt;"",AI619&lt;&gt;"",OR(AH619=AI619,AK619&lt;&gt;""))</x:f>
        <x:v>0</x:v>
      </x:c>
      <x:c r="AN619" t="n">
        <x:f>--AND(Y619&lt;&gt;"",COUNTIF($Y$4:Y619,Y619)=1)</x:f>
        <x:v>0</x:v>
      </x:c>
      <x:c r="AO619" t="n">
        <x:f>--AND(AN619=1,Z619=1,AM619=1)</x:f>
        <x:v>0</x:v>
      </x:c>
      <x:c r="AP619" t="n">
        <x:f>--AND(AO619=1,AA619=1,AL619=1)</x:f>
        <x:v>0</x:v>
      </x:c>
      <x:c r="AQ619" t="n">
        <x:f>--AND(AN619=1,Z619=1)</x:f>
        <x:v>0</x:v>
      </x:c>
      <x:c r="AR619" t="n">
        <x:f>--AND(AQ619=1,AA619=1)</x:f>
        <x:v>0</x:v>
      </x:c>
    </x:row>
    <x:row r="620">
      <x:c r="A620" s="28"/>
      <x:c r="B620" s="28"/>
      <x:c r="C620" s="28"/>
      <x:c r="D620" s="28"/>
      <x:c r="E620" s="28"/>
      <x:c r="F620" s="28"/>
      <x:c r="G620" s="28"/>
      <x:c r="H620" s="28"/>
      <x:c r="I620" s="28"/>
      <x:c r="J620" s="28"/>
      <x:c r="K620" s="28"/>
      <x:c r="L620" s="28"/>
      <x:c r="M620" s="28"/>
      <x:c r="N620" s="28"/>
      <x:c r="O620" s="28"/>
      <x:c r="P620" s="28"/>
      <x:c r="Q620" s="28"/>
      <x:c r="R620" s="28"/>
      <x:c r="S620" s="28"/>
      <x:c r="T620" s="28"/>
      <x:c r="U620" s="28"/>
      <x:c r="V620" s="28"/>
      <x:c r="W620" s="28"/>
      <x:c r="X620" s="43" t="n">
        <x:f>--AND(S620=1,T620=1,U620=1,V620=1,W620=1)</x:f>
        <x:v>0</x:v>
      </x:c>
      <x:c r="AE620" s="43" t="n">
        <x:f>--AND(S620=1,M620&lt;&gt;"",M620&lt;&gt;"keep")</x:f>
        <x:v>0</x:v>
      </x:c>
      <x:c r="AG620" t="n">
        <x:f>--AND(S620=1,T620=1,U620=1,V620=1,W620=1,AE620=1)</x:f>
        <x:v>0</x:v>
      </x:c>
      <x:c r="AJ620" t="str">
        <x:f>IF(OR(AH620="",AI620=""),"",--(AH620&lt;&gt;AI620))</x:f>
      </x:c>
      <x:c r="AL620" t="str">
        <x:f>IF(OR(AH620="",AI620=""),"PENDING_HUMAN",IF(AH620=AI620,AH620,IF(AK620&lt;&gt;"",AK620,"PENDING_HUMAN")))</x:f>
        <x:v>PENDING_HUMAN</x:v>
      </x:c>
      <x:c r="AM620" t="n">
        <x:f>--AND(A620&lt;&gt;"",AH620&lt;&gt;"",AI620&lt;&gt;"",OR(AH620=AI620,AK620&lt;&gt;""))</x:f>
        <x:v>0</x:v>
      </x:c>
      <x:c r="AN620" t="n">
        <x:f>--AND(Y620&lt;&gt;"",COUNTIF($Y$4:Y620,Y620)=1)</x:f>
        <x:v>0</x:v>
      </x:c>
      <x:c r="AO620" t="n">
        <x:f>--AND(AN620=1,Z620=1,AM620=1)</x:f>
        <x:v>0</x:v>
      </x:c>
      <x:c r="AP620" t="n">
        <x:f>--AND(AO620=1,AA620=1,AL620=1)</x:f>
        <x:v>0</x:v>
      </x:c>
      <x:c r="AQ620" t="n">
        <x:f>--AND(AN620=1,Z620=1)</x:f>
        <x:v>0</x:v>
      </x:c>
      <x:c r="AR620" t="n">
        <x:f>--AND(AQ620=1,AA620=1)</x:f>
        <x:v>0</x:v>
      </x:c>
    </x:row>
    <x:row r="621">
      <x:c r="A621" s="28"/>
      <x:c r="B621" s="28"/>
      <x:c r="C621" s="28"/>
      <x:c r="D621" s="28"/>
      <x:c r="E621" s="28"/>
      <x:c r="F621" s="28"/>
      <x:c r="G621" s="28"/>
      <x:c r="H621" s="28"/>
      <x:c r="I621" s="28"/>
      <x:c r="J621" s="28"/>
      <x:c r="K621" s="28"/>
      <x:c r="L621" s="28"/>
      <x:c r="M621" s="28"/>
      <x:c r="N621" s="28"/>
      <x:c r="O621" s="28"/>
      <x:c r="P621" s="28"/>
      <x:c r="Q621" s="28"/>
      <x:c r="R621" s="28"/>
      <x:c r="S621" s="28"/>
      <x:c r="T621" s="28"/>
      <x:c r="U621" s="28"/>
      <x:c r="V621" s="28"/>
      <x:c r="W621" s="28"/>
      <x:c r="X621" s="43" t="n">
        <x:f>--AND(S621=1,T621=1,U621=1,V621=1,W621=1)</x:f>
        <x:v>0</x:v>
      </x:c>
      <x:c r="AE621" s="43" t="n">
        <x:f>--AND(S621=1,M621&lt;&gt;"",M621&lt;&gt;"keep")</x:f>
        <x:v>0</x:v>
      </x:c>
      <x:c r="AG621" t="n">
        <x:f>--AND(S621=1,T621=1,U621=1,V621=1,W621=1,AE621=1)</x:f>
        <x:v>0</x:v>
      </x:c>
      <x:c r="AJ621" t="str">
        <x:f>IF(OR(AH621="",AI621=""),"",--(AH621&lt;&gt;AI621))</x:f>
      </x:c>
      <x:c r="AL621" t="str">
        <x:f>IF(OR(AH621="",AI621=""),"PENDING_HUMAN",IF(AH621=AI621,AH621,IF(AK621&lt;&gt;"",AK621,"PENDING_HUMAN")))</x:f>
        <x:v>PENDING_HUMAN</x:v>
      </x:c>
      <x:c r="AM621" t="n">
        <x:f>--AND(A621&lt;&gt;"",AH621&lt;&gt;"",AI621&lt;&gt;"",OR(AH621=AI621,AK621&lt;&gt;""))</x:f>
        <x:v>0</x:v>
      </x:c>
      <x:c r="AN621" t="n">
        <x:f>--AND(Y621&lt;&gt;"",COUNTIF($Y$4:Y621,Y621)=1)</x:f>
        <x:v>0</x:v>
      </x:c>
      <x:c r="AO621" t="n">
        <x:f>--AND(AN621=1,Z621=1,AM621=1)</x:f>
        <x:v>0</x:v>
      </x:c>
      <x:c r="AP621" t="n">
        <x:f>--AND(AO621=1,AA621=1,AL621=1)</x:f>
        <x:v>0</x:v>
      </x:c>
      <x:c r="AQ621" t="n">
        <x:f>--AND(AN621=1,Z621=1)</x:f>
        <x:v>0</x:v>
      </x:c>
      <x:c r="AR621" t="n">
        <x:f>--AND(AQ621=1,AA621=1)</x:f>
        <x:v>0</x:v>
      </x:c>
    </x:row>
    <x:row r="622">
      <x:c r="A622" s="28"/>
      <x:c r="B622" s="28"/>
      <x:c r="C622" s="28"/>
      <x:c r="D622" s="28"/>
      <x:c r="E622" s="28"/>
      <x:c r="F622" s="28"/>
      <x:c r="G622" s="28"/>
      <x:c r="H622" s="28"/>
      <x:c r="I622" s="28"/>
      <x:c r="J622" s="28"/>
      <x:c r="K622" s="28"/>
      <x:c r="L622" s="28"/>
      <x:c r="M622" s="28"/>
      <x:c r="N622" s="28"/>
      <x:c r="O622" s="28"/>
      <x:c r="P622" s="28"/>
      <x:c r="Q622" s="28"/>
      <x:c r="R622" s="28"/>
      <x:c r="S622" s="28"/>
      <x:c r="T622" s="28"/>
      <x:c r="U622" s="28"/>
      <x:c r="V622" s="28"/>
      <x:c r="W622" s="28"/>
      <x:c r="X622" s="43" t="n">
        <x:f>--AND(S622=1,T622=1,U622=1,V622=1,W622=1)</x:f>
        <x:v>0</x:v>
      </x:c>
      <x:c r="AE622" s="43" t="n">
        <x:f>--AND(S622=1,M622&lt;&gt;"",M622&lt;&gt;"keep")</x:f>
        <x:v>0</x:v>
      </x:c>
      <x:c r="AG622" t="n">
        <x:f>--AND(S622=1,T622=1,U622=1,V622=1,W622=1,AE622=1)</x:f>
        <x:v>0</x:v>
      </x:c>
      <x:c r="AJ622" t="str">
        <x:f>IF(OR(AH622="",AI622=""),"",--(AH622&lt;&gt;AI622))</x:f>
      </x:c>
      <x:c r="AL622" t="str">
        <x:f>IF(OR(AH622="",AI622=""),"PENDING_HUMAN",IF(AH622=AI622,AH622,IF(AK622&lt;&gt;"",AK622,"PENDING_HUMAN")))</x:f>
        <x:v>PENDING_HUMAN</x:v>
      </x:c>
      <x:c r="AM622" t="n">
        <x:f>--AND(A622&lt;&gt;"",AH622&lt;&gt;"",AI622&lt;&gt;"",OR(AH622=AI622,AK622&lt;&gt;""))</x:f>
        <x:v>0</x:v>
      </x:c>
      <x:c r="AN622" t="n">
        <x:f>--AND(Y622&lt;&gt;"",COUNTIF($Y$4:Y622,Y622)=1)</x:f>
        <x:v>0</x:v>
      </x:c>
      <x:c r="AO622" t="n">
        <x:f>--AND(AN622=1,Z622=1,AM622=1)</x:f>
        <x:v>0</x:v>
      </x:c>
      <x:c r="AP622" t="n">
        <x:f>--AND(AO622=1,AA622=1,AL622=1)</x:f>
        <x:v>0</x:v>
      </x:c>
      <x:c r="AQ622" t="n">
        <x:f>--AND(AN622=1,Z622=1)</x:f>
        <x:v>0</x:v>
      </x:c>
      <x:c r="AR622" t="n">
        <x:f>--AND(AQ622=1,AA622=1)</x:f>
        <x:v>0</x:v>
      </x:c>
    </x:row>
    <x:row r="623">
      <x:c r="A623" s="28"/>
      <x:c r="B623" s="28"/>
      <x:c r="C623" s="28"/>
      <x:c r="D623" s="28"/>
      <x:c r="E623" s="28"/>
      <x:c r="F623" s="28"/>
      <x:c r="G623" s="28"/>
      <x:c r="H623" s="28"/>
      <x:c r="I623" s="28"/>
      <x:c r="J623" s="28"/>
      <x:c r="K623" s="28"/>
      <x:c r="L623" s="28"/>
      <x:c r="M623" s="28"/>
      <x:c r="N623" s="28"/>
      <x:c r="O623" s="28"/>
      <x:c r="P623" s="28"/>
      <x:c r="Q623" s="28"/>
      <x:c r="R623" s="28"/>
      <x:c r="S623" s="28"/>
      <x:c r="T623" s="28"/>
      <x:c r="U623" s="28"/>
      <x:c r="V623" s="28"/>
      <x:c r="W623" s="28"/>
      <x:c r="X623" s="43" t="n">
        <x:f>--AND(S623=1,T623=1,U623=1,V623=1,W623=1)</x:f>
        <x:v>0</x:v>
      </x:c>
      <x:c r="AE623" s="43" t="n">
        <x:f>--AND(S623=1,M623&lt;&gt;"",M623&lt;&gt;"keep")</x:f>
        <x:v>0</x:v>
      </x:c>
      <x:c r="AG623" t="n">
        <x:f>--AND(S623=1,T623=1,U623=1,V623=1,W623=1,AE623=1)</x:f>
        <x:v>0</x:v>
      </x:c>
      <x:c r="AJ623" t="str">
        <x:f>IF(OR(AH623="",AI623=""),"",--(AH623&lt;&gt;AI623))</x:f>
      </x:c>
      <x:c r="AL623" t="str">
        <x:f>IF(OR(AH623="",AI623=""),"PENDING_HUMAN",IF(AH623=AI623,AH623,IF(AK623&lt;&gt;"",AK623,"PENDING_HUMAN")))</x:f>
        <x:v>PENDING_HUMAN</x:v>
      </x:c>
      <x:c r="AM623" t="n">
        <x:f>--AND(A623&lt;&gt;"",AH623&lt;&gt;"",AI623&lt;&gt;"",OR(AH623=AI623,AK623&lt;&gt;""))</x:f>
        <x:v>0</x:v>
      </x:c>
      <x:c r="AN623" t="n">
        <x:f>--AND(Y623&lt;&gt;"",COUNTIF($Y$4:Y623,Y623)=1)</x:f>
        <x:v>0</x:v>
      </x:c>
      <x:c r="AO623" t="n">
        <x:f>--AND(AN623=1,Z623=1,AM623=1)</x:f>
        <x:v>0</x:v>
      </x:c>
      <x:c r="AP623" t="n">
        <x:f>--AND(AO623=1,AA623=1,AL623=1)</x:f>
        <x:v>0</x:v>
      </x:c>
      <x:c r="AQ623" t="n">
        <x:f>--AND(AN623=1,Z623=1)</x:f>
        <x:v>0</x:v>
      </x:c>
      <x:c r="AR623" t="n">
        <x:f>--AND(AQ623=1,AA623=1)</x:f>
        <x:v>0</x:v>
      </x:c>
    </x:row>
    <x:row r="624">
      <x:c r="A624" s="28"/>
      <x:c r="B624" s="28"/>
      <x:c r="C624" s="28"/>
      <x:c r="D624" s="28"/>
      <x:c r="E624" s="28"/>
      <x:c r="F624" s="28"/>
      <x:c r="G624" s="28"/>
      <x:c r="H624" s="28"/>
      <x:c r="I624" s="28"/>
      <x:c r="J624" s="28"/>
      <x:c r="K624" s="28"/>
      <x:c r="L624" s="28"/>
      <x:c r="M624" s="28"/>
      <x:c r="N624" s="28"/>
      <x:c r="O624" s="28"/>
      <x:c r="P624" s="28"/>
      <x:c r="Q624" s="28"/>
      <x:c r="R624" s="28"/>
      <x:c r="S624" s="28"/>
      <x:c r="T624" s="28"/>
      <x:c r="U624" s="28"/>
      <x:c r="V624" s="28"/>
      <x:c r="W624" s="28"/>
      <x:c r="X624" s="43" t="n">
        <x:f>--AND(S624=1,T624=1,U624=1,V624=1,W624=1)</x:f>
        <x:v>0</x:v>
      </x:c>
      <x:c r="AE624" s="43" t="n">
        <x:f>--AND(S624=1,M624&lt;&gt;"",M624&lt;&gt;"keep")</x:f>
        <x:v>0</x:v>
      </x:c>
      <x:c r="AG624" t="n">
        <x:f>--AND(S624=1,T624=1,U624=1,V624=1,W624=1,AE624=1)</x:f>
        <x:v>0</x:v>
      </x:c>
      <x:c r="AJ624" t="str">
        <x:f>IF(OR(AH624="",AI624=""),"",--(AH624&lt;&gt;AI624))</x:f>
      </x:c>
      <x:c r="AL624" t="str">
        <x:f>IF(OR(AH624="",AI624=""),"PENDING_HUMAN",IF(AH624=AI624,AH624,IF(AK624&lt;&gt;"",AK624,"PENDING_HUMAN")))</x:f>
        <x:v>PENDING_HUMAN</x:v>
      </x:c>
      <x:c r="AM624" t="n">
        <x:f>--AND(A624&lt;&gt;"",AH624&lt;&gt;"",AI624&lt;&gt;"",OR(AH624=AI624,AK624&lt;&gt;""))</x:f>
        <x:v>0</x:v>
      </x:c>
      <x:c r="AN624" t="n">
        <x:f>--AND(Y624&lt;&gt;"",COUNTIF($Y$4:Y624,Y624)=1)</x:f>
        <x:v>0</x:v>
      </x:c>
      <x:c r="AO624" t="n">
        <x:f>--AND(AN624=1,Z624=1,AM624=1)</x:f>
        <x:v>0</x:v>
      </x:c>
      <x:c r="AP624" t="n">
        <x:f>--AND(AO624=1,AA624=1,AL624=1)</x:f>
        <x:v>0</x:v>
      </x:c>
      <x:c r="AQ624" t="n">
        <x:f>--AND(AN624=1,Z624=1)</x:f>
        <x:v>0</x:v>
      </x:c>
      <x:c r="AR624" t="n">
        <x:f>--AND(AQ624=1,AA624=1)</x:f>
        <x:v>0</x:v>
      </x:c>
    </x:row>
    <x:row r="625">
      <x:c r="A625" s="28"/>
      <x:c r="B625" s="28"/>
      <x:c r="C625" s="28"/>
      <x:c r="D625" s="28"/>
      <x:c r="E625" s="28"/>
      <x:c r="F625" s="28"/>
      <x:c r="G625" s="28"/>
      <x:c r="H625" s="28"/>
      <x:c r="I625" s="28"/>
      <x:c r="J625" s="28"/>
      <x:c r="K625" s="28"/>
      <x:c r="L625" s="28"/>
      <x:c r="M625" s="28"/>
      <x:c r="N625" s="28"/>
      <x:c r="O625" s="28"/>
      <x:c r="P625" s="28"/>
      <x:c r="Q625" s="28"/>
      <x:c r="R625" s="28"/>
      <x:c r="S625" s="28"/>
      <x:c r="T625" s="28"/>
      <x:c r="U625" s="28"/>
      <x:c r="V625" s="28"/>
      <x:c r="W625" s="28"/>
      <x:c r="X625" s="43" t="n">
        <x:f>--AND(S625=1,T625=1,U625=1,V625=1,W625=1)</x:f>
        <x:v>0</x:v>
      </x:c>
      <x:c r="AE625" s="43" t="n">
        <x:f>--AND(S625=1,M625&lt;&gt;"",M625&lt;&gt;"keep")</x:f>
        <x:v>0</x:v>
      </x:c>
      <x:c r="AG625" t="n">
        <x:f>--AND(S625=1,T625=1,U625=1,V625=1,W625=1,AE625=1)</x:f>
        <x:v>0</x:v>
      </x:c>
      <x:c r="AJ625" t="str">
        <x:f>IF(OR(AH625="",AI625=""),"",--(AH625&lt;&gt;AI625))</x:f>
      </x:c>
      <x:c r="AL625" t="str">
        <x:f>IF(OR(AH625="",AI625=""),"PENDING_HUMAN",IF(AH625=AI625,AH625,IF(AK625&lt;&gt;"",AK625,"PENDING_HUMAN")))</x:f>
        <x:v>PENDING_HUMAN</x:v>
      </x:c>
      <x:c r="AM625" t="n">
        <x:f>--AND(A625&lt;&gt;"",AH625&lt;&gt;"",AI625&lt;&gt;"",OR(AH625=AI625,AK625&lt;&gt;""))</x:f>
        <x:v>0</x:v>
      </x:c>
      <x:c r="AN625" t="n">
        <x:f>--AND(Y625&lt;&gt;"",COUNTIF($Y$4:Y625,Y625)=1)</x:f>
        <x:v>0</x:v>
      </x:c>
      <x:c r="AO625" t="n">
        <x:f>--AND(AN625=1,Z625=1,AM625=1)</x:f>
        <x:v>0</x:v>
      </x:c>
      <x:c r="AP625" t="n">
        <x:f>--AND(AO625=1,AA625=1,AL625=1)</x:f>
        <x:v>0</x:v>
      </x:c>
      <x:c r="AQ625" t="n">
        <x:f>--AND(AN625=1,Z625=1)</x:f>
        <x:v>0</x:v>
      </x:c>
      <x:c r="AR625" t="n">
        <x:f>--AND(AQ625=1,AA625=1)</x:f>
        <x:v>0</x:v>
      </x:c>
    </x:row>
    <x:row r="626">
      <x:c r="A626" s="28"/>
      <x:c r="B626" s="28"/>
      <x:c r="C626" s="28"/>
      <x:c r="D626" s="28"/>
      <x:c r="E626" s="28"/>
      <x:c r="F626" s="28"/>
      <x:c r="G626" s="28"/>
      <x:c r="H626" s="28"/>
      <x:c r="I626" s="28"/>
      <x:c r="J626" s="28"/>
      <x:c r="K626" s="28"/>
      <x:c r="L626" s="28"/>
      <x:c r="M626" s="28"/>
      <x:c r="N626" s="28"/>
      <x:c r="O626" s="28"/>
      <x:c r="P626" s="28"/>
      <x:c r="Q626" s="28"/>
      <x:c r="R626" s="28"/>
      <x:c r="S626" s="28"/>
      <x:c r="T626" s="28"/>
      <x:c r="U626" s="28"/>
      <x:c r="V626" s="28"/>
      <x:c r="W626" s="28"/>
      <x:c r="X626" s="43" t="n">
        <x:f>--AND(S626=1,T626=1,U626=1,V626=1,W626=1)</x:f>
        <x:v>0</x:v>
      </x:c>
      <x:c r="AE626" s="43" t="n">
        <x:f>--AND(S626=1,M626&lt;&gt;"",M626&lt;&gt;"keep")</x:f>
        <x:v>0</x:v>
      </x:c>
      <x:c r="AG626" t="n">
        <x:f>--AND(S626=1,T626=1,U626=1,V626=1,W626=1,AE626=1)</x:f>
        <x:v>0</x:v>
      </x:c>
      <x:c r="AJ626" t="str">
        <x:f>IF(OR(AH626="",AI626=""),"",--(AH626&lt;&gt;AI626))</x:f>
      </x:c>
      <x:c r="AL626" t="str">
        <x:f>IF(OR(AH626="",AI626=""),"PENDING_HUMAN",IF(AH626=AI626,AH626,IF(AK626&lt;&gt;"",AK626,"PENDING_HUMAN")))</x:f>
        <x:v>PENDING_HUMAN</x:v>
      </x:c>
      <x:c r="AM626" t="n">
        <x:f>--AND(A626&lt;&gt;"",AH626&lt;&gt;"",AI626&lt;&gt;"",OR(AH626=AI626,AK626&lt;&gt;""))</x:f>
        <x:v>0</x:v>
      </x:c>
      <x:c r="AN626" t="n">
        <x:f>--AND(Y626&lt;&gt;"",COUNTIF($Y$4:Y626,Y626)=1)</x:f>
        <x:v>0</x:v>
      </x:c>
      <x:c r="AO626" t="n">
        <x:f>--AND(AN626=1,Z626=1,AM626=1)</x:f>
        <x:v>0</x:v>
      </x:c>
      <x:c r="AP626" t="n">
        <x:f>--AND(AO626=1,AA626=1,AL626=1)</x:f>
        <x:v>0</x:v>
      </x:c>
      <x:c r="AQ626" t="n">
        <x:f>--AND(AN626=1,Z626=1)</x:f>
        <x:v>0</x:v>
      </x:c>
      <x:c r="AR626" t="n">
        <x:f>--AND(AQ626=1,AA626=1)</x:f>
        <x:v>0</x:v>
      </x:c>
    </x:row>
    <x:row r="627">
      <x:c r="A627" s="28"/>
      <x:c r="B627" s="28"/>
      <x:c r="C627" s="28"/>
      <x:c r="D627" s="28"/>
      <x:c r="E627" s="28"/>
      <x:c r="F627" s="28"/>
      <x:c r="G627" s="28"/>
      <x:c r="H627" s="28"/>
      <x:c r="I627" s="28"/>
      <x:c r="J627" s="28"/>
      <x:c r="K627" s="28"/>
      <x:c r="L627" s="28"/>
      <x:c r="M627" s="28"/>
      <x:c r="N627" s="28"/>
      <x:c r="O627" s="28"/>
      <x:c r="P627" s="28"/>
      <x:c r="Q627" s="28"/>
      <x:c r="R627" s="28"/>
      <x:c r="S627" s="28"/>
      <x:c r="T627" s="28"/>
      <x:c r="U627" s="28"/>
      <x:c r="V627" s="28"/>
      <x:c r="W627" s="28"/>
      <x:c r="X627" s="43" t="n">
        <x:f>--AND(S627=1,T627=1,U627=1,V627=1,W627=1)</x:f>
        <x:v>0</x:v>
      </x:c>
      <x:c r="AE627" s="43" t="n">
        <x:f>--AND(S627=1,M627&lt;&gt;"",M627&lt;&gt;"keep")</x:f>
        <x:v>0</x:v>
      </x:c>
      <x:c r="AG627" t="n">
        <x:f>--AND(S627=1,T627=1,U627=1,V627=1,W627=1,AE627=1)</x:f>
        <x:v>0</x:v>
      </x:c>
      <x:c r="AJ627" t="str">
        <x:f>IF(OR(AH627="",AI627=""),"",--(AH627&lt;&gt;AI627))</x:f>
      </x:c>
      <x:c r="AL627" t="str">
        <x:f>IF(OR(AH627="",AI627=""),"PENDING_HUMAN",IF(AH627=AI627,AH627,IF(AK627&lt;&gt;"",AK627,"PENDING_HUMAN")))</x:f>
        <x:v>PENDING_HUMAN</x:v>
      </x:c>
      <x:c r="AM627" t="n">
        <x:f>--AND(A627&lt;&gt;"",AH627&lt;&gt;"",AI627&lt;&gt;"",OR(AH627=AI627,AK627&lt;&gt;""))</x:f>
        <x:v>0</x:v>
      </x:c>
      <x:c r="AN627" t="n">
        <x:f>--AND(Y627&lt;&gt;"",COUNTIF($Y$4:Y627,Y627)=1)</x:f>
        <x:v>0</x:v>
      </x:c>
      <x:c r="AO627" t="n">
        <x:f>--AND(AN627=1,Z627=1,AM627=1)</x:f>
        <x:v>0</x:v>
      </x:c>
      <x:c r="AP627" t="n">
        <x:f>--AND(AO627=1,AA627=1,AL627=1)</x:f>
        <x:v>0</x:v>
      </x:c>
      <x:c r="AQ627" t="n">
        <x:f>--AND(AN627=1,Z627=1)</x:f>
        <x:v>0</x:v>
      </x:c>
      <x:c r="AR627" t="n">
        <x:f>--AND(AQ627=1,AA627=1)</x:f>
        <x:v>0</x:v>
      </x:c>
    </x:row>
    <x:row r="628">
      <x:c r="A628" s="28"/>
      <x:c r="B628" s="28"/>
      <x:c r="C628" s="28"/>
      <x:c r="D628" s="28"/>
      <x:c r="E628" s="28"/>
      <x:c r="F628" s="28"/>
      <x:c r="G628" s="28"/>
      <x:c r="H628" s="28"/>
      <x:c r="I628" s="28"/>
      <x:c r="J628" s="28"/>
      <x:c r="K628" s="28"/>
      <x:c r="L628" s="28"/>
      <x:c r="M628" s="28"/>
      <x:c r="N628" s="28"/>
      <x:c r="O628" s="28"/>
      <x:c r="P628" s="28"/>
      <x:c r="Q628" s="28"/>
      <x:c r="R628" s="28"/>
      <x:c r="S628" s="28"/>
      <x:c r="T628" s="28"/>
      <x:c r="U628" s="28"/>
      <x:c r="V628" s="28"/>
      <x:c r="W628" s="28"/>
      <x:c r="X628" s="43" t="n">
        <x:f>--AND(S628=1,T628=1,U628=1,V628=1,W628=1)</x:f>
        <x:v>0</x:v>
      </x:c>
      <x:c r="AE628" s="43" t="n">
        <x:f>--AND(S628=1,M628&lt;&gt;"",M628&lt;&gt;"keep")</x:f>
        <x:v>0</x:v>
      </x:c>
      <x:c r="AG628" t="n">
        <x:f>--AND(S628=1,T628=1,U628=1,V628=1,W628=1,AE628=1)</x:f>
        <x:v>0</x:v>
      </x:c>
      <x:c r="AJ628" t="str">
        <x:f>IF(OR(AH628="",AI628=""),"",--(AH628&lt;&gt;AI628))</x:f>
      </x:c>
      <x:c r="AL628" t="str">
        <x:f>IF(OR(AH628="",AI628=""),"PENDING_HUMAN",IF(AH628=AI628,AH628,IF(AK628&lt;&gt;"",AK628,"PENDING_HUMAN")))</x:f>
        <x:v>PENDING_HUMAN</x:v>
      </x:c>
      <x:c r="AM628" t="n">
        <x:f>--AND(A628&lt;&gt;"",AH628&lt;&gt;"",AI628&lt;&gt;"",OR(AH628=AI628,AK628&lt;&gt;""))</x:f>
        <x:v>0</x:v>
      </x:c>
      <x:c r="AN628" t="n">
        <x:f>--AND(Y628&lt;&gt;"",COUNTIF($Y$4:Y628,Y628)=1)</x:f>
        <x:v>0</x:v>
      </x:c>
      <x:c r="AO628" t="n">
        <x:f>--AND(AN628=1,Z628=1,AM628=1)</x:f>
        <x:v>0</x:v>
      </x:c>
      <x:c r="AP628" t="n">
        <x:f>--AND(AO628=1,AA628=1,AL628=1)</x:f>
        <x:v>0</x:v>
      </x:c>
      <x:c r="AQ628" t="n">
        <x:f>--AND(AN628=1,Z628=1)</x:f>
        <x:v>0</x:v>
      </x:c>
      <x:c r="AR628" t="n">
        <x:f>--AND(AQ628=1,AA628=1)</x:f>
        <x:v>0</x:v>
      </x:c>
    </x:row>
    <x:row r="629">
      <x:c r="A629" s="28"/>
      <x:c r="B629" s="28"/>
      <x:c r="C629" s="28"/>
      <x:c r="D629" s="28"/>
      <x:c r="E629" s="28"/>
      <x:c r="F629" s="28"/>
      <x:c r="G629" s="28"/>
      <x:c r="H629" s="28"/>
      <x:c r="I629" s="28"/>
      <x:c r="J629" s="28"/>
      <x:c r="K629" s="28"/>
      <x:c r="L629" s="28"/>
      <x:c r="M629" s="28"/>
      <x:c r="N629" s="28"/>
      <x:c r="O629" s="28"/>
      <x:c r="P629" s="28"/>
      <x:c r="Q629" s="28"/>
      <x:c r="R629" s="28"/>
      <x:c r="S629" s="28"/>
      <x:c r="T629" s="28"/>
      <x:c r="U629" s="28"/>
      <x:c r="V629" s="28"/>
      <x:c r="W629" s="28"/>
      <x:c r="X629" s="43" t="n">
        <x:f>--AND(S629=1,T629=1,U629=1,V629=1,W629=1)</x:f>
        <x:v>0</x:v>
      </x:c>
      <x:c r="AE629" s="43" t="n">
        <x:f>--AND(S629=1,M629&lt;&gt;"",M629&lt;&gt;"keep")</x:f>
        <x:v>0</x:v>
      </x:c>
      <x:c r="AG629" t="n">
        <x:f>--AND(S629=1,T629=1,U629=1,V629=1,W629=1,AE629=1)</x:f>
        <x:v>0</x:v>
      </x:c>
      <x:c r="AJ629" t="str">
        <x:f>IF(OR(AH629="",AI629=""),"",--(AH629&lt;&gt;AI629))</x:f>
      </x:c>
      <x:c r="AL629" t="str">
        <x:f>IF(OR(AH629="",AI629=""),"PENDING_HUMAN",IF(AH629=AI629,AH629,IF(AK629&lt;&gt;"",AK629,"PENDING_HUMAN")))</x:f>
        <x:v>PENDING_HUMAN</x:v>
      </x:c>
      <x:c r="AM629" t="n">
        <x:f>--AND(A629&lt;&gt;"",AH629&lt;&gt;"",AI629&lt;&gt;"",OR(AH629=AI629,AK629&lt;&gt;""))</x:f>
        <x:v>0</x:v>
      </x:c>
      <x:c r="AN629" t="n">
        <x:f>--AND(Y629&lt;&gt;"",COUNTIF($Y$4:Y629,Y629)=1)</x:f>
        <x:v>0</x:v>
      </x:c>
      <x:c r="AO629" t="n">
        <x:f>--AND(AN629=1,Z629=1,AM629=1)</x:f>
        <x:v>0</x:v>
      </x:c>
      <x:c r="AP629" t="n">
        <x:f>--AND(AO629=1,AA629=1,AL629=1)</x:f>
        <x:v>0</x:v>
      </x:c>
      <x:c r="AQ629" t="n">
        <x:f>--AND(AN629=1,Z629=1)</x:f>
        <x:v>0</x:v>
      </x:c>
      <x:c r="AR629" t="n">
        <x:f>--AND(AQ629=1,AA629=1)</x:f>
        <x:v>0</x:v>
      </x:c>
    </x:row>
    <x:row r="630">
      <x:c r="A630" s="28"/>
      <x:c r="B630" s="28"/>
      <x:c r="C630" s="28"/>
      <x:c r="D630" s="28"/>
      <x:c r="E630" s="28"/>
      <x:c r="F630" s="28"/>
      <x:c r="G630" s="28"/>
      <x:c r="H630" s="28"/>
      <x:c r="I630" s="28"/>
      <x:c r="J630" s="28"/>
      <x:c r="K630" s="28"/>
      <x:c r="L630" s="28"/>
      <x:c r="M630" s="28"/>
      <x:c r="N630" s="28"/>
      <x:c r="O630" s="28"/>
      <x:c r="P630" s="28"/>
      <x:c r="Q630" s="28"/>
      <x:c r="R630" s="28"/>
      <x:c r="S630" s="28"/>
      <x:c r="T630" s="28"/>
      <x:c r="U630" s="28"/>
      <x:c r="V630" s="28"/>
      <x:c r="W630" s="28"/>
      <x:c r="X630" s="43" t="n">
        <x:f>--AND(S630=1,T630=1,U630=1,V630=1,W630=1)</x:f>
        <x:v>0</x:v>
      </x:c>
      <x:c r="AE630" s="43" t="n">
        <x:f>--AND(S630=1,M630&lt;&gt;"",M630&lt;&gt;"keep")</x:f>
        <x:v>0</x:v>
      </x:c>
      <x:c r="AG630" t="n">
        <x:f>--AND(S630=1,T630=1,U630=1,V630=1,W630=1,AE630=1)</x:f>
        <x:v>0</x:v>
      </x:c>
      <x:c r="AJ630" t="str">
        <x:f>IF(OR(AH630="",AI630=""),"",--(AH630&lt;&gt;AI630))</x:f>
      </x:c>
      <x:c r="AL630" t="str">
        <x:f>IF(OR(AH630="",AI630=""),"PENDING_HUMAN",IF(AH630=AI630,AH630,IF(AK630&lt;&gt;"",AK630,"PENDING_HUMAN")))</x:f>
        <x:v>PENDING_HUMAN</x:v>
      </x:c>
      <x:c r="AM630" t="n">
        <x:f>--AND(A630&lt;&gt;"",AH630&lt;&gt;"",AI630&lt;&gt;"",OR(AH630=AI630,AK630&lt;&gt;""))</x:f>
        <x:v>0</x:v>
      </x:c>
      <x:c r="AN630" t="n">
        <x:f>--AND(Y630&lt;&gt;"",COUNTIF($Y$4:Y630,Y630)=1)</x:f>
        <x:v>0</x:v>
      </x:c>
      <x:c r="AO630" t="n">
        <x:f>--AND(AN630=1,Z630=1,AM630=1)</x:f>
        <x:v>0</x:v>
      </x:c>
      <x:c r="AP630" t="n">
        <x:f>--AND(AO630=1,AA630=1,AL630=1)</x:f>
        <x:v>0</x:v>
      </x:c>
      <x:c r="AQ630" t="n">
        <x:f>--AND(AN630=1,Z630=1)</x:f>
        <x:v>0</x:v>
      </x:c>
      <x:c r="AR630" t="n">
        <x:f>--AND(AQ630=1,AA630=1)</x:f>
        <x:v>0</x:v>
      </x:c>
    </x:row>
    <x:row r="631">
      <x:c r="A631" s="28"/>
      <x:c r="B631" s="28"/>
      <x:c r="C631" s="28"/>
      <x:c r="D631" s="28"/>
      <x:c r="E631" s="28"/>
      <x:c r="F631" s="28"/>
      <x:c r="G631" s="28"/>
      <x:c r="H631" s="28"/>
      <x:c r="I631" s="28"/>
      <x:c r="J631" s="28"/>
      <x:c r="K631" s="28"/>
      <x:c r="L631" s="28"/>
      <x:c r="M631" s="28"/>
      <x:c r="N631" s="28"/>
      <x:c r="O631" s="28"/>
      <x:c r="P631" s="28"/>
      <x:c r="Q631" s="28"/>
      <x:c r="R631" s="28"/>
      <x:c r="S631" s="28"/>
      <x:c r="T631" s="28"/>
      <x:c r="U631" s="28"/>
      <x:c r="V631" s="28"/>
      <x:c r="W631" s="28"/>
      <x:c r="X631" s="43" t="n">
        <x:f>--AND(S631=1,T631=1,U631=1,V631=1,W631=1)</x:f>
        <x:v>0</x:v>
      </x:c>
      <x:c r="AE631" s="43" t="n">
        <x:f>--AND(S631=1,M631&lt;&gt;"",M631&lt;&gt;"keep")</x:f>
        <x:v>0</x:v>
      </x:c>
      <x:c r="AG631" t="n">
        <x:f>--AND(S631=1,T631=1,U631=1,V631=1,W631=1,AE631=1)</x:f>
        <x:v>0</x:v>
      </x:c>
      <x:c r="AJ631" t="str">
        <x:f>IF(OR(AH631="",AI631=""),"",--(AH631&lt;&gt;AI631))</x:f>
      </x:c>
      <x:c r="AL631" t="str">
        <x:f>IF(OR(AH631="",AI631=""),"PENDING_HUMAN",IF(AH631=AI631,AH631,IF(AK631&lt;&gt;"",AK631,"PENDING_HUMAN")))</x:f>
        <x:v>PENDING_HUMAN</x:v>
      </x:c>
      <x:c r="AM631" t="n">
        <x:f>--AND(A631&lt;&gt;"",AH631&lt;&gt;"",AI631&lt;&gt;"",OR(AH631=AI631,AK631&lt;&gt;""))</x:f>
        <x:v>0</x:v>
      </x:c>
      <x:c r="AN631" t="n">
        <x:f>--AND(Y631&lt;&gt;"",COUNTIF($Y$4:Y631,Y631)=1)</x:f>
        <x:v>0</x:v>
      </x:c>
      <x:c r="AO631" t="n">
        <x:f>--AND(AN631=1,Z631=1,AM631=1)</x:f>
        <x:v>0</x:v>
      </x:c>
      <x:c r="AP631" t="n">
        <x:f>--AND(AO631=1,AA631=1,AL631=1)</x:f>
        <x:v>0</x:v>
      </x:c>
      <x:c r="AQ631" t="n">
        <x:f>--AND(AN631=1,Z631=1)</x:f>
        <x:v>0</x:v>
      </x:c>
      <x:c r="AR631" t="n">
        <x:f>--AND(AQ631=1,AA631=1)</x:f>
        <x:v>0</x:v>
      </x:c>
    </x:row>
    <x:row r="632">
      <x:c r="A632" s="28"/>
      <x:c r="B632" s="28"/>
      <x:c r="C632" s="28"/>
      <x:c r="D632" s="28"/>
      <x:c r="E632" s="28"/>
      <x:c r="F632" s="28"/>
      <x:c r="G632" s="28"/>
      <x:c r="H632" s="28"/>
      <x:c r="I632" s="28"/>
      <x:c r="J632" s="28"/>
      <x:c r="K632" s="28"/>
      <x:c r="L632" s="28"/>
      <x:c r="M632" s="28"/>
      <x:c r="N632" s="28"/>
      <x:c r="O632" s="28"/>
      <x:c r="P632" s="28"/>
      <x:c r="Q632" s="28"/>
      <x:c r="R632" s="28"/>
      <x:c r="S632" s="28"/>
      <x:c r="T632" s="28"/>
      <x:c r="U632" s="28"/>
      <x:c r="V632" s="28"/>
      <x:c r="W632" s="28"/>
      <x:c r="X632" s="43" t="n">
        <x:f>--AND(S632=1,T632=1,U632=1,V632=1,W632=1)</x:f>
        <x:v>0</x:v>
      </x:c>
      <x:c r="AE632" s="43" t="n">
        <x:f>--AND(S632=1,M632&lt;&gt;"",M632&lt;&gt;"keep")</x:f>
        <x:v>0</x:v>
      </x:c>
      <x:c r="AG632" t="n">
        <x:f>--AND(S632=1,T632=1,U632=1,V632=1,W632=1,AE632=1)</x:f>
        <x:v>0</x:v>
      </x:c>
      <x:c r="AJ632" t="str">
        <x:f>IF(OR(AH632="",AI632=""),"",--(AH632&lt;&gt;AI632))</x:f>
      </x:c>
      <x:c r="AL632" t="str">
        <x:f>IF(OR(AH632="",AI632=""),"PENDING_HUMAN",IF(AH632=AI632,AH632,IF(AK632&lt;&gt;"",AK632,"PENDING_HUMAN")))</x:f>
        <x:v>PENDING_HUMAN</x:v>
      </x:c>
      <x:c r="AM632" t="n">
        <x:f>--AND(A632&lt;&gt;"",AH632&lt;&gt;"",AI632&lt;&gt;"",OR(AH632=AI632,AK632&lt;&gt;""))</x:f>
        <x:v>0</x:v>
      </x:c>
      <x:c r="AN632" t="n">
        <x:f>--AND(Y632&lt;&gt;"",COUNTIF($Y$4:Y632,Y632)=1)</x:f>
        <x:v>0</x:v>
      </x:c>
      <x:c r="AO632" t="n">
        <x:f>--AND(AN632=1,Z632=1,AM632=1)</x:f>
        <x:v>0</x:v>
      </x:c>
      <x:c r="AP632" t="n">
        <x:f>--AND(AO632=1,AA632=1,AL632=1)</x:f>
        <x:v>0</x:v>
      </x:c>
      <x:c r="AQ632" t="n">
        <x:f>--AND(AN632=1,Z632=1)</x:f>
        <x:v>0</x:v>
      </x:c>
      <x:c r="AR632" t="n">
        <x:f>--AND(AQ632=1,AA632=1)</x:f>
        <x:v>0</x:v>
      </x:c>
    </x:row>
    <x:row r="633">
      <x:c r="A633" s="28"/>
      <x:c r="B633" s="28"/>
      <x:c r="C633" s="28"/>
      <x:c r="D633" s="28"/>
      <x:c r="E633" s="28"/>
      <x:c r="F633" s="28"/>
      <x:c r="G633" s="28"/>
      <x:c r="H633" s="28"/>
      <x:c r="I633" s="28"/>
      <x:c r="J633" s="28"/>
      <x:c r="K633" s="28"/>
      <x:c r="L633" s="28"/>
      <x:c r="M633" s="28"/>
      <x:c r="N633" s="28"/>
      <x:c r="O633" s="28"/>
      <x:c r="P633" s="28"/>
      <x:c r="Q633" s="28"/>
      <x:c r="R633" s="28"/>
      <x:c r="S633" s="28"/>
      <x:c r="T633" s="28"/>
      <x:c r="U633" s="28"/>
      <x:c r="V633" s="28"/>
      <x:c r="W633" s="28"/>
      <x:c r="X633" s="43" t="n">
        <x:f>--AND(S633=1,T633=1,U633=1,V633=1,W633=1)</x:f>
        <x:v>0</x:v>
      </x:c>
      <x:c r="AE633" s="43" t="n">
        <x:f>--AND(S633=1,M633&lt;&gt;"",M633&lt;&gt;"keep")</x:f>
        <x:v>0</x:v>
      </x:c>
      <x:c r="AG633" t="n">
        <x:f>--AND(S633=1,T633=1,U633=1,V633=1,W633=1,AE633=1)</x:f>
        <x:v>0</x:v>
      </x:c>
      <x:c r="AJ633" t="str">
        <x:f>IF(OR(AH633="",AI633=""),"",--(AH633&lt;&gt;AI633))</x:f>
      </x:c>
      <x:c r="AL633" t="str">
        <x:f>IF(OR(AH633="",AI633=""),"PENDING_HUMAN",IF(AH633=AI633,AH633,IF(AK633&lt;&gt;"",AK633,"PENDING_HUMAN")))</x:f>
        <x:v>PENDING_HUMAN</x:v>
      </x:c>
      <x:c r="AM633" t="n">
        <x:f>--AND(A633&lt;&gt;"",AH633&lt;&gt;"",AI633&lt;&gt;"",OR(AH633=AI633,AK633&lt;&gt;""))</x:f>
        <x:v>0</x:v>
      </x:c>
      <x:c r="AN633" t="n">
        <x:f>--AND(Y633&lt;&gt;"",COUNTIF($Y$4:Y633,Y633)=1)</x:f>
        <x:v>0</x:v>
      </x:c>
      <x:c r="AO633" t="n">
        <x:f>--AND(AN633=1,Z633=1,AM633=1)</x:f>
        <x:v>0</x:v>
      </x:c>
      <x:c r="AP633" t="n">
        <x:f>--AND(AO633=1,AA633=1,AL633=1)</x:f>
        <x:v>0</x:v>
      </x:c>
      <x:c r="AQ633" t="n">
        <x:f>--AND(AN633=1,Z633=1)</x:f>
        <x:v>0</x:v>
      </x:c>
      <x:c r="AR633" t="n">
        <x:f>--AND(AQ633=1,AA633=1)</x:f>
        <x:v>0</x:v>
      </x:c>
    </x:row>
    <x:row r="634">
      <x:c r="A634" s="28"/>
      <x:c r="B634" s="28"/>
      <x:c r="C634" s="28"/>
      <x:c r="D634" s="28"/>
      <x:c r="E634" s="28"/>
      <x:c r="F634" s="28"/>
      <x:c r="G634" s="28"/>
      <x:c r="H634" s="28"/>
      <x:c r="I634" s="28"/>
      <x:c r="J634" s="28"/>
      <x:c r="K634" s="28"/>
      <x:c r="L634" s="28"/>
      <x:c r="M634" s="28"/>
      <x:c r="N634" s="28"/>
      <x:c r="O634" s="28"/>
      <x:c r="P634" s="28"/>
      <x:c r="Q634" s="28"/>
      <x:c r="R634" s="28"/>
      <x:c r="S634" s="28"/>
      <x:c r="T634" s="28"/>
      <x:c r="U634" s="28"/>
      <x:c r="V634" s="28"/>
      <x:c r="W634" s="28"/>
      <x:c r="X634" s="43" t="n">
        <x:f>--AND(S634=1,T634=1,U634=1,V634=1,W634=1)</x:f>
        <x:v>0</x:v>
      </x:c>
      <x:c r="AE634" s="43" t="n">
        <x:f>--AND(S634=1,M634&lt;&gt;"",M634&lt;&gt;"keep")</x:f>
        <x:v>0</x:v>
      </x:c>
      <x:c r="AG634" t="n">
        <x:f>--AND(S634=1,T634=1,U634=1,V634=1,W634=1,AE634=1)</x:f>
        <x:v>0</x:v>
      </x:c>
      <x:c r="AJ634" t="str">
        <x:f>IF(OR(AH634="",AI634=""),"",--(AH634&lt;&gt;AI634))</x:f>
      </x:c>
      <x:c r="AL634" t="str">
        <x:f>IF(OR(AH634="",AI634=""),"PENDING_HUMAN",IF(AH634=AI634,AH634,IF(AK634&lt;&gt;"",AK634,"PENDING_HUMAN")))</x:f>
        <x:v>PENDING_HUMAN</x:v>
      </x:c>
      <x:c r="AM634" t="n">
        <x:f>--AND(A634&lt;&gt;"",AH634&lt;&gt;"",AI634&lt;&gt;"",OR(AH634=AI634,AK634&lt;&gt;""))</x:f>
        <x:v>0</x:v>
      </x:c>
      <x:c r="AN634" t="n">
        <x:f>--AND(Y634&lt;&gt;"",COUNTIF($Y$4:Y634,Y634)=1)</x:f>
        <x:v>0</x:v>
      </x:c>
      <x:c r="AO634" t="n">
        <x:f>--AND(AN634=1,Z634=1,AM634=1)</x:f>
        <x:v>0</x:v>
      </x:c>
      <x:c r="AP634" t="n">
        <x:f>--AND(AO634=1,AA634=1,AL634=1)</x:f>
        <x:v>0</x:v>
      </x:c>
      <x:c r="AQ634" t="n">
        <x:f>--AND(AN634=1,Z634=1)</x:f>
        <x:v>0</x:v>
      </x:c>
      <x:c r="AR634" t="n">
        <x:f>--AND(AQ634=1,AA634=1)</x:f>
        <x:v>0</x:v>
      </x:c>
    </x:row>
    <x:row r="635">
      <x:c r="A635" s="28"/>
      <x:c r="B635" s="28"/>
      <x:c r="C635" s="28"/>
      <x:c r="D635" s="28"/>
      <x:c r="E635" s="28"/>
      <x:c r="F635" s="28"/>
      <x:c r="G635" s="28"/>
      <x:c r="H635" s="28"/>
      <x:c r="I635" s="28"/>
      <x:c r="J635" s="28"/>
      <x:c r="K635" s="28"/>
      <x:c r="L635" s="28"/>
      <x:c r="M635" s="28"/>
      <x:c r="N635" s="28"/>
      <x:c r="O635" s="28"/>
      <x:c r="P635" s="28"/>
      <x:c r="Q635" s="28"/>
      <x:c r="R635" s="28"/>
      <x:c r="S635" s="28"/>
      <x:c r="T635" s="28"/>
      <x:c r="U635" s="28"/>
      <x:c r="V635" s="28"/>
      <x:c r="W635" s="28"/>
      <x:c r="X635" s="43" t="n">
        <x:f>--AND(S635=1,T635=1,U635=1,V635=1,W635=1)</x:f>
        <x:v>0</x:v>
      </x:c>
      <x:c r="AE635" s="43" t="n">
        <x:f>--AND(S635=1,M635&lt;&gt;"",M635&lt;&gt;"keep")</x:f>
        <x:v>0</x:v>
      </x:c>
      <x:c r="AG635" t="n">
        <x:f>--AND(S635=1,T635=1,U635=1,V635=1,W635=1,AE635=1)</x:f>
        <x:v>0</x:v>
      </x:c>
      <x:c r="AJ635" t="str">
        <x:f>IF(OR(AH635="",AI635=""),"",--(AH635&lt;&gt;AI635))</x:f>
      </x:c>
      <x:c r="AL635" t="str">
        <x:f>IF(OR(AH635="",AI635=""),"PENDING_HUMAN",IF(AH635=AI635,AH635,IF(AK635&lt;&gt;"",AK635,"PENDING_HUMAN")))</x:f>
        <x:v>PENDING_HUMAN</x:v>
      </x:c>
      <x:c r="AM635" t="n">
        <x:f>--AND(A635&lt;&gt;"",AH635&lt;&gt;"",AI635&lt;&gt;"",OR(AH635=AI635,AK635&lt;&gt;""))</x:f>
        <x:v>0</x:v>
      </x:c>
      <x:c r="AN635" t="n">
        <x:f>--AND(Y635&lt;&gt;"",COUNTIF($Y$4:Y635,Y635)=1)</x:f>
        <x:v>0</x:v>
      </x:c>
      <x:c r="AO635" t="n">
        <x:f>--AND(AN635=1,Z635=1,AM635=1)</x:f>
        <x:v>0</x:v>
      </x:c>
      <x:c r="AP635" t="n">
        <x:f>--AND(AO635=1,AA635=1,AL635=1)</x:f>
        <x:v>0</x:v>
      </x:c>
      <x:c r="AQ635" t="n">
        <x:f>--AND(AN635=1,Z635=1)</x:f>
        <x:v>0</x:v>
      </x:c>
      <x:c r="AR635" t="n">
        <x:f>--AND(AQ635=1,AA635=1)</x:f>
        <x:v>0</x:v>
      </x:c>
    </x:row>
    <x:row r="636">
      <x:c r="A636" s="28"/>
      <x:c r="B636" s="28"/>
      <x:c r="C636" s="28"/>
      <x:c r="D636" s="28"/>
      <x:c r="E636" s="28"/>
      <x:c r="F636" s="28"/>
      <x:c r="G636" s="28"/>
      <x:c r="H636" s="28"/>
      <x:c r="I636" s="28"/>
      <x:c r="J636" s="28"/>
      <x:c r="K636" s="28"/>
      <x:c r="L636" s="28"/>
      <x:c r="M636" s="28"/>
      <x:c r="N636" s="28"/>
      <x:c r="O636" s="28"/>
      <x:c r="P636" s="28"/>
      <x:c r="Q636" s="28"/>
      <x:c r="R636" s="28"/>
      <x:c r="S636" s="28"/>
      <x:c r="T636" s="28"/>
      <x:c r="U636" s="28"/>
      <x:c r="V636" s="28"/>
      <x:c r="W636" s="28"/>
      <x:c r="X636" s="43" t="n">
        <x:f>--AND(S636=1,T636=1,U636=1,V636=1,W636=1)</x:f>
        <x:v>0</x:v>
      </x:c>
      <x:c r="AE636" s="43" t="n">
        <x:f>--AND(S636=1,M636&lt;&gt;"",M636&lt;&gt;"keep")</x:f>
        <x:v>0</x:v>
      </x:c>
      <x:c r="AG636" t="n">
        <x:f>--AND(S636=1,T636=1,U636=1,V636=1,W636=1,AE636=1)</x:f>
        <x:v>0</x:v>
      </x:c>
      <x:c r="AJ636" t="str">
        <x:f>IF(OR(AH636="",AI636=""),"",--(AH636&lt;&gt;AI636))</x:f>
      </x:c>
      <x:c r="AL636" t="str">
        <x:f>IF(OR(AH636="",AI636=""),"PENDING_HUMAN",IF(AH636=AI636,AH636,IF(AK636&lt;&gt;"",AK636,"PENDING_HUMAN")))</x:f>
        <x:v>PENDING_HUMAN</x:v>
      </x:c>
      <x:c r="AM636" t="n">
        <x:f>--AND(A636&lt;&gt;"",AH636&lt;&gt;"",AI636&lt;&gt;"",OR(AH636=AI636,AK636&lt;&gt;""))</x:f>
        <x:v>0</x:v>
      </x:c>
      <x:c r="AN636" t="n">
        <x:f>--AND(Y636&lt;&gt;"",COUNTIF($Y$4:Y636,Y636)=1)</x:f>
        <x:v>0</x:v>
      </x:c>
      <x:c r="AO636" t="n">
        <x:f>--AND(AN636=1,Z636=1,AM636=1)</x:f>
        <x:v>0</x:v>
      </x:c>
      <x:c r="AP636" t="n">
        <x:f>--AND(AO636=1,AA636=1,AL636=1)</x:f>
        <x:v>0</x:v>
      </x:c>
      <x:c r="AQ636" t="n">
        <x:f>--AND(AN636=1,Z636=1)</x:f>
        <x:v>0</x:v>
      </x:c>
      <x:c r="AR636" t="n">
        <x:f>--AND(AQ636=1,AA636=1)</x:f>
        <x:v>0</x:v>
      </x:c>
    </x:row>
    <x:row r="637">
      <x:c r="A637" s="28"/>
      <x:c r="B637" s="28"/>
      <x:c r="C637" s="28"/>
      <x:c r="D637" s="28"/>
      <x:c r="E637" s="28"/>
      <x:c r="F637" s="28"/>
      <x:c r="G637" s="28"/>
      <x:c r="H637" s="28"/>
      <x:c r="I637" s="28"/>
      <x:c r="J637" s="28"/>
      <x:c r="K637" s="28"/>
      <x:c r="L637" s="28"/>
      <x:c r="M637" s="28"/>
      <x:c r="N637" s="28"/>
      <x:c r="O637" s="28"/>
      <x:c r="P637" s="28"/>
      <x:c r="Q637" s="28"/>
      <x:c r="R637" s="28"/>
      <x:c r="S637" s="28"/>
      <x:c r="T637" s="28"/>
      <x:c r="U637" s="28"/>
      <x:c r="V637" s="28"/>
      <x:c r="W637" s="28"/>
      <x:c r="X637" s="43" t="n">
        <x:f>--AND(S637=1,T637=1,U637=1,V637=1,W637=1)</x:f>
        <x:v>0</x:v>
      </x:c>
      <x:c r="AE637" s="43" t="n">
        <x:f>--AND(S637=1,M637&lt;&gt;"",M637&lt;&gt;"keep")</x:f>
        <x:v>0</x:v>
      </x:c>
      <x:c r="AG637" t="n">
        <x:f>--AND(S637=1,T637=1,U637=1,V637=1,W637=1,AE637=1)</x:f>
        <x:v>0</x:v>
      </x:c>
      <x:c r="AJ637" t="str">
        <x:f>IF(OR(AH637="",AI637=""),"",--(AH637&lt;&gt;AI637))</x:f>
      </x:c>
      <x:c r="AL637" t="str">
        <x:f>IF(OR(AH637="",AI637=""),"PENDING_HUMAN",IF(AH637=AI637,AH637,IF(AK637&lt;&gt;"",AK637,"PENDING_HUMAN")))</x:f>
        <x:v>PENDING_HUMAN</x:v>
      </x:c>
      <x:c r="AM637" t="n">
        <x:f>--AND(A637&lt;&gt;"",AH637&lt;&gt;"",AI637&lt;&gt;"",OR(AH637=AI637,AK637&lt;&gt;""))</x:f>
        <x:v>0</x:v>
      </x:c>
      <x:c r="AN637" t="n">
        <x:f>--AND(Y637&lt;&gt;"",COUNTIF($Y$4:Y637,Y637)=1)</x:f>
        <x:v>0</x:v>
      </x:c>
      <x:c r="AO637" t="n">
        <x:f>--AND(AN637=1,Z637=1,AM637=1)</x:f>
        <x:v>0</x:v>
      </x:c>
      <x:c r="AP637" t="n">
        <x:f>--AND(AO637=1,AA637=1,AL637=1)</x:f>
        <x:v>0</x:v>
      </x:c>
      <x:c r="AQ637" t="n">
        <x:f>--AND(AN637=1,Z637=1)</x:f>
        <x:v>0</x:v>
      </x:c>
      <x:c r="AR637" t="n">
        <x:f>--AND(AQ637=1,AA637=1)</x:f>
        <x:v>0</x:v>
      </x:c>
    </x:row>
    <x:row r="638">
      <x:c r="A638" s="28"/>
      <x:c r="B638" s="28"/>
      <x:c r="C638" s="28"/>
      <x:c r="D638" s="28"/>
      <x:c r="E638" s="28"/>
      <x:c r="F638" s="28"/>
      <x:c r="G638" s="28"/>
      <x:c r="H638" s="28"/>
      <x:c r="I638" s="28"/>
      <x:c r="J638" s="28"/>
      <x:c r="K638" s="28"/>
      <x:c r="L638" s="28"/>
      <x:c r="M638" s="28"/>
      <x:c r="N638" s="28"/>
      <x:c r="O638" s="28"/>
      <x:c r="P638" s="28"/>
      <x:c r="Q638" s="28"/>
      <x:c r="R638" s="28"/>
      <x:c r="S638" s="28"/>
      <x:c r="T638" s="28"/>
      <x:c r="U638" s="28"/>
      <x:c r="V638" s="28"/>
      <x:c r="W638" s="28"/>
      <x:c r="X638" s="43" t="n">
        <x:f>--AND(S638=1,T638=1,U638=1,V638=1,W638=1)</x:f>
        <x:v>0</x:v>
      </x:c>
      <x:c r="AE638" s="43" t="n">
        <x:f>--AND(S638=1,M638&lt;&gt;"",M638&lt;&gt;"keep")</x:f>
        <x:v>0</x:v>
      </x:c>
      <x:c r="AG638" t="n">
        <x:f>--AND(S638=1,T638=1,U638=1,V638=1,W638=1,AE638=1)</x:f>
        <x:v>0</x:v>
      </x:c>
      <x:c r="AJ638" t="str">
        <x:f>IF(OR(AH638="",AI638=""),"",--(AH638&lt;&gt;AI638))</x:f>
      </x:c>
      <x:c r="AL638" t="str">
        <x:f>IF(OR(AH638="",AI638=""),"PENDING_HUMAN",IF(AH638=AI638,AH638,IF(AK638&lt;&gt;"",AK638,"PENDING_HUMAN")))</x:f>
        <x:v>PENDING_HUMAN</x:v>
      </x:c>
      <x:c r="AM638" t="n">
        <x:f>--AND(A638&lt;&gt;"",AH638&lt;&gt;"",AI638&lt;&gt;"",OR(AH638=AI638,AK638&lt;&gt;""))</x:f>
        <x:v>0</x:v>
      </x:c>
      <x:c r="AN638" t="n">
        <x:f>--AND(Y638&lt;&gt;"",COUNTIF($Y$4:Y638,Y638)=1)</x:f>
        <x:v>0</x:v>
      </x:c>
      <x:c r="AO638" t="n">
        <x:f>--AND(AN638=1,Z638=1,AM638=1)</x:f>
        <x:v>0</x:v>
      </x:c>
      <x:c r="AP638" t="n">
        <x:f>--AND(AO638=1,AA638=1,AL638=1)</x:f>
        <x:v>0</x:v>
      </x:c>
      <x:c r="AQ638" t="n">
        <x:f>--AND(AN638=1,Z638=1)</x:f>
        <x:v>0</x:v>
      </x:c>
      <x:c r="AR638" t="n">
        <x:f>--AND(AQ638=1,AA638=1)</x:f>
        <x:v>0</x:v>
      </x:c>
    </x:row>
    <x:row r="639">
      <x:c r="A639" s="28"/>
      <x:c r="B639" s="28"/>
      <x:c r="C639" s="28"/>
      <x:c r="D639" s="28"/>
      <x:c r="E639" s="28"/>
      <x:c r="F639" s="28"/>
      <x:c r="G639" s="28"/>
      <x:c r="H639" s="28"/>
      <x:c r="I639" s="28"/>
      <x:c r="J639" s="28"/>
      <x:c r="K639" s="28"/>
      <x:c r="L639" s="28"/>
      <x:c r="M639" s="28"/>
      <x:c r="N639" s="28"/>
      <x:c r="O639" s="28"/>
      <x:c r="P639" s="28"/>
      <x:c r="Q639" s="28"/>
      <x:c r="R639" s="28"/>
      <x:c r="S639" s="28"/>
      <x:c r="T639" s="28"/>
      <x:c r="U639" s="28"/>
      <x:c r="V639" s="28"/>
      <x:c r="W639" s="28"/>
      <x:c r="X639" s="43" t="n">
        <x:f>--AND(S639=1,T639=1,U639=1,V639=1,W639=1)</x:f>
        <x:v>0</x:v>
      </x:c>
      <x:c r="AE639" s="43" t="n">
        <x:f>--AND(S639=1,M639&lt;&gt;"",M639&lt;&gt;"keep")</x:f>
        <x:v>0</x:v>
      </x:c>
      <x:c r="AG639" t="n">
        <x:f>--AND(S639=1,T639=1,U639=1,V639=1,W639=1,AE639=1)</x:f>
        <x:v>0</x:v>
      </x:c>
      <x:c r="AJ639" t="str">
        <x:f>IF(OR(AH639="",AI639=""),"",--(AH639&lt;&gt;AI639))</x:f>
      </x:c>
      <x:c r="AL639" t="str">
        <x:f>IF(OR(AH639="",AI639=""),"PENDING_HUMAN",IF(AH639=AI639,AH639,IF(AK639&lt;&gt;"",AK639,"PENDING_HUMAN")))</x:f>
        <x:v>PENDING_HUMAN</x:v>
      </x:c>
      <x:c r="AM639" t="n">
        <x:f>--AND(A639&lt;&gt;"",AH639&lt;&gt;"",AI639&lt;&gt;"",OR(AH639=AI639,AK639&lt;&gt;""))</x:f>
        <x:v>0</x:v>
      </x:c>
      <x:c r="AN639" t="n">
        <x:f>--AND(Y639&lt;&gt;"",COUNTIF($Y$4:Y639,Y639)=1)</x:f>
        <x:v>0</x:v>
      </x:c>
      <x:c r="AO639" t="n">
        <x:f>--AND(AN639=1,Z639=1,AM639=1)</x:f>
        <x:v>0</x:v>
      </x:c>
      <x:c r="AP639" t="n">
        <x:f>--AND(AO639=1,AA639=1,AL639=1)</x:f>
        <x:v>0</x:v>
      </x:c>
      <x:c r="AQ639" t="n">
        <x:f>--AND(AN639=1,Z639=1)</x:f>
        <x:v>0</x:v>
      </x:c>
      <x:c r="AR639" t="n">
        <x:f>--AND(AQ639=1,AA639=1)</x:f>
        <x:v>0</x:v>
      </x:c>
    </x:row>
    <x:row r="640">
      <x:c r="A640" s="28"/>
      <x:c r="B640" s="28"/>
      <x:c r="C640" s="28"/>
      <x:c r="D640" s="28"/>
      <x:c r="E640" s="28"/>
      <x:c r="F640" s="28"/>
      <x:c r="G640" s="28"/>
      <x:c r="H640" s="28"/>
      <x:c r="I640" s="28"/>
      <x:c r="J640" s="28"/>
      <x:c r="K640" s="28"/>
      <x:c r="L640" s="28"/>
      <x:c r="M640" s="28"/>
      <x:c r="N640" s="28"/>
      <x:c r="O640" s="28"/>
      <x:c r="P640" s="28"/>
      <x:c r="Q640" s="28"/>
      <x:c r="R640" s="28"/>
      <x:c r="S640" s="28"/>
      <x:c r="T640" s="28"/>
      <x:c r="U640" s="28"/>
      <x:c r="V640" s="28"/>
      <x:c r="W640" s="28"/>
      <x:c r="X640" s="43" t="n">
        <x:f>--AND(S640=1,T640=1,U640=1,V640=1,W640=1)</x:f>
        <x:v>0</x:v>
      </x:c>
      <x:c r="AE640" s="43" t="n">
        <x:f>--AND(S640=1,M640&lt;&gt;"",M640&lt;&gt;"keep")</x:f>
        <x:v>0</x:v>
      </x:c>
      <x:c r="AG640" t="n">
        <x:f>--AND(S640=1,T640=1,U640=1,V640=1,W640=1,AE640=1)</x:f>
        <x:v>0</x:v>
      </x:c>
      <x:c r="AJ640" t="str">
        <x:f>IF(OR(AH640="",AI640=""),"",--(AH640&lt;&gt;AI640))</x:f>
      </x:c>
      <x:c r="AL640" t="str">
        <x:f>IF(OR(AH640="",AI640=""),"PENDING_HUMAN",IF(AH640=AI640,AH640,IF(AK640&lt;&gt;"",AK640,"PENDING_HUMAN")))</x:f>
        <x:v>PENDING_HUMAN</x:v>
      </x:c>
      <x:c r="AM640" t="n">
        <x:f>--AND(A640&lt;&gt;"",AH640&lt;&gt;"",AI640&lt;&gt;"",OR(AH640=AI640,AK640&lt;&gt;""))</x:f>
        <x:v>0</x:v>
      </x:c>
      <x:c r="AN640" t="n">
        <x:f>--AND(Y640&lt;&gt;"",COUNTIF($Y$4:Y640,Y640)=1)</x:f>
        <x:v>0</x:v>
      </x:c>
      <x:c r="AO640" t="n">
        <x:f>--AND(AN640=1,Z640=1,AM640=1)</x:f>
        <x:v>0</x:v>
      </x:c>
      <x:c r="AP640" t="n">
        <x:f>--AND(AO640=1,AA640=1,AL640=1)</x:f>
        <x:v>0</x:v>
      </x:c>
      <x:c r="AQ640" t="n">
        <x:f>--AND(AN640=1,Z640=1)</x:f>
        <x:v>0</x:v>
      </x:c>
      <x:c r="AR640" t="n">
        <x:f>--AND(AQ640=1,AA640=1)</x:f>
        <x:v>0</x:v>
      </x:c>
    </x:row>
    <x:row r="641">
      <x:c r="A641" s="28"/>
      <x:c r="B641" s="28"/>
      <x:c r="C641" s="28"/>
      <x:c r="D641" s="28"/>
      <x:c r="E641" s="28"/>
      <x:c r="F641" s="28"/>
      <x:c r="G641" s="28"/>
      <x:c r="H641" s="28"/>
      <x:c r="I641" s="28"/>
      <x:c r="J641" s="28"/>
      <x:c r="K641" s="28"/>
      <x:c r="L641" s="28"/>
      <x:c r="M641" s="28"/>
      <x:c r="N641" s="28"/>
      <x:c r="O641" s="28"/>
      <x:c r="P641" s="28"/>
      <x:c r="Q641" s="28"/>
      <x:c r="R641" s="28"/>
      <x:c r="S641" s="28"/>
      <x:c r="T641" s="28"/>
      <x:c r="U641" s="28"/>
      <x:c r="V641" s="28"/>
      <x:c r="W641" s="28"/>
      <x:c r="X641" s="43" t="n">
        <x:f>--AND(S641=1,T641=1,U641=1,V641=1,W641=1)</x:f>
        <x:v>0</x:v>
      </x:c>
      <x:c r="AE641" s="43" t="n">
        <x:f>--AND(S641=1,M641&lt;&gt;"",M641&lt;&gt;"keep")</x:f>
        <x:v>0</x:v>
      </x:c>
      <x:c r="AG641" t="n">
        <x:f>--AND(S641=1,T641=1,U641=1,V641=1,W641=1,AE641=1)</x:f>
        <x:v>0</x:v>
      </x:c>
      <x:c r="AJ641" t="str">
        <x:f>IF(OR(AH641="",AI641=""),"",--(AH641&lt;&gt;AI641))</x:f>
      </x:c>
      <x:c r="AL641" t="str">
        <x:f>IF(OR(AH641="",AI641=""),"PENDING_HUMAN",IF(AH641=AI641,AH641,IF(AK641&lt;&gt;"",AK641,"PENDING_HUMAN")))</x:f>
        <x:v>PENDING_HUMAN</x:v>
      </x:c>
      <x:c r="AM641" t="n">
        <x:f>--AND(A641&lt;&gt;"",AH641&lt;&gt;"",AI641&lt;&gt;"",OR(AH641=AI641,AK641&lt;&gt;""))</x:f>
        <x:v>0</x:v>
      </x:c>
      <x:c r="AN641" t="n">
        <x:f>--AND(Y641&lt;&gt;"",COUNTIF($Y$4:Y641,Y641)=1)</x:f>
        <x:v>0</x:v>
      </x:c>
      <x:c r="AO641" t="n">
        <x:f>--AND(AN641=1,Z641=1,AM641=1)</x:f>
        <x:v>0</x:v>
      </x:c>
      <x:c r="AP641" t="n">
        <x:f>--AND(AO641=1,AA641=1,AL641=1)</x:f>
        <x:v>0</x:v>
      </x:c>
      <x:c r="AQ641" t="n">
        <x:f>--AND(AN641=1,Z641=1)</x:f>
        <x:v>0</x:v>
      </x:c>
      <x:c r="AR641" t="n">
        <x:f>--AND(AQ641=1,AA641=1)</x:f>
        <x:v>0</x:v>
      </x:c>
    </x:row>
    <x:row r="642">
      <x:c r="A642" s="28"/>
      <x:c r="B642" s="28"/>
      <x:c r="C642" s="28"/>
      <x:c r="D642" s="28"/>
      <x:c r="E642" s="28"/>
      <x:c r="F642" s="28"/>
      <x:c r="G642" s="28"/>
      <x:c r="H642" s="28"/>
      <x:c r="I642" s="28"/>
      <x:c r="J642" s="28"/>
      <x:c r="K642" s="28"/>
      <x:c r="L642" s="28"/>
      <x:c r="M642" s="28"/>
      <x:c r="N642" s="28"/>
      <x:c r="O642" s="28"/>
      <x:c r="P642" s="28"/>
      <x:c r="Q642" s="28"/>
      <x:c r="R642" s="28"/>
      <x:c r="S642" s="28"/>
      <x:c r="T642" s="28"/>
      <x:c r="U642" s="28"/>
      <x:c r="V642" s="28"/>
      <x:c r="W642" s="28"/>
      <x:c r="X642" s="43" t="n">
        <x:f>--AND(S642=1,T642=1,U642=1,V642=1,W642=1)</x:f>
        <x:v>0</x:v>
      </x:c>
      <x:c r="AE642" s="43" t="n">
        <x:f>--AND(S642=1,M642&lt;&gt;"",M642&lt;&gt;"keep")</x:f>
        <x:v>0</x:v>
      </x:c>
      <x:c r="AG642" t="n">
        <x:f>--AND(S642=1,T642=1,U642=1,V642=1,W642=1,AE642=1)</x:f>
        <x:v>0</x:v>
      </x:c>
      <x:c r="AJ642" t="str">
        <x:f>IF(OR(AH642="",AI642=""),"",--(AH642&lt;&gt;AI642))</x:f>
      </x:c>
      <x:c r="AL642" t="str">
        <x:f>IF(OR(AH642="",AI642=""),"PENDING_HUMAN",IF(AH642=AI642,AH642,IF(AK642&lt;&gt;"",AK642,"PENDING_HUMAN")))</x:f>
        <x:v>PENDING_HUMAN</x:v>
      </x:c>
      <x:c r="AM642" t="n">
        <x:f>--AND(A642&lt;&gt;"",AH642&lt;&gt;"",AI642&lt;&gt;"",OR(AH642=AI642,AK642&lt;&gt;""))</x:f>
        <x:v>0</x:v>
      </x:c>
      <x:c r="AN642" t="n">
        <x:f>--AND(Y642&lt;&gt;"",COUNTIF($Y$4:Y642,Y642)=1)</x:f>
        <x:v>0</x:v>
      </x:c>
      <x:c r="AO642" t="n">
        <x:f>--AND(AN642=1,Z642=1,AM642=1)</x:f>
        <x:v>0</x:v>
      </x:c>
      <x:c r="AP642" t="n">
        <x:f>--AND(AO642=1,AA642=1,AL642=1)</x:f>
        <x:v>0</x:v>
      </x:c>
      <x:c r="AQ642" t="n">
        <x:f>--AND(AN642=1,Z642=1)</x:f>
        <x:v>0</x:v>
      </x:c>
      <x:c r="AR642" t="n">
        <x:f>--AND(AQ642=1,AA642=1)</x:f>
        <x:v>0</x:v>
      </x:c>
    </x:row>
    <x:row r="643">
      <x:c r="A643" s="28"/>
      <x:c r="B643" s="28"/>
      <x:c r="C643" s="28"/>
      <x:c r="D643" s="28"/>
      <x:c r="E643" s="28"/>
      <x:c r="F643" s="28"/>
      <x:c r="G643" s="28"/>
      <x:c r="H643" s="28"/>
      <x:c r="I643" s="28"/>
      <x:c r="J643" s="28"/>
      <x:c r="K643" s="28"/>
      <x:c r="L643" s="28"/>
      <x:c r="M643" s="28"/>
      <x:c r="N643" s="28"/>
      <x:c r="O643" s="28"/>
      <x:c r="P643" s="28"/>
      <x:c r="Q643" s="28"/>
      <x:c r="R643" s="28"/>
      <x:c r="S643" s="28"/>
      <x:c r="T643" s="28"/>
      <x:c r="U643" s="28"/>
      <x:c r="V643" s="28"/>
      <x:c r="W643" s="28"/>
      <x:c r="X643" s="43" t="n">
        <x:f>--AND(S643=1,T643=1,U643=1,V643=1,W643=1)</x:f>
        <x:v>0</x:v>
      </x:c>
      <x:c r="AE643" s="43" t="n">
        <x:f>--AND(S643=1,M643&lt;&gt;"",M643&lt;&gt;"keep")</x:f>
        <x:v>0</x:v>
      </x:c>
      <x:c r="AG643" t="n">
        <x:f>--AND(S643=1,T643=1,U643=1,V643=1,W643=1,AE643=1)</x:f>
        <x:v>0</x:v>
      </x:c>
      <x:c r="AJ643" t="str">
        <x:f>IF(OR(AH643="",AI643=""),"",--(AH643&lt;&gt;AI643))</x:f>
      </x:c>
      <x:c r="AL643" t="str">
        <x:f>IF(OR(AH643="",AI643=""),"PENDING_HUMAN",IF(AH643=AI643,AH643,IF(AK643&lt;&gt;"",AK643,"PENDING_HUMAN")))</x:f>
        <x:v>PENDING_HUMAN</x:v>
      </x:c>
      <x:c r="AM643" t="n">
        <x:f>--AND(A643&lt;&gt;"",AH643&lt;&gt;"",AI643&lt;&gt;"",OR(AH643=AI643,AK643&lt;&gt;""))</x:f>
        <x:v>0</x:v>
      </x:c>
      <x:c r="AN643" t="n">
        <x:f>--AND(Y643&lt;&gt;"",COUNTIF($Y$4:Y643,Y643)=1)</x:f>
        <x:v>0</x:v>
      </x:c>
      <x:c r="AO643" t="n">
        <x:f>--AND(AN643=1,Z643=1,AM643=1)</x:f>
        <x:v>0</x:v>
      </x:c>
      <x:c r="AP643" t="n">
        <x:f>--AND(AO643=1,AA643=1,AL643=1)</x:f>
        <x:v>0</x:v>
      </x:c>
      <x:c r="AQ643" t="n">
        <x:f>--AND(AN643=1,Z643=1)</x:f>
        <x:v>0</x:v>
      </x:c>
      <x:c r="AR643" t="n">
        <x:f>--AND(AQ643=1,AA643=1)</x:f>
        <x:v>0</x:v>
      </x:c>
    </x:row>
    <x:row r="644">
      <x:c r="A644" s="28"/>
      <x:c r="B644" s="28"/>
      <x:c r="C644" s="28"/>
      <x:c r="D644" s="28"/>
      <x:c r="E644" s="28"/>
      <x:c r="F644" s="28"/>
      <x:c r="G644" s="28"/>
      <x:c r="H644" s="28"/>
      <x:c r="I644" s="28"/>
      <x:c r="J644" s="28"/>
      <x:c r="K644" s="28"/>
      <x:c r="L644" s="28"/>
      <x:c r="M644" s="28"/>
      <x:c r="N644" s="28"/>
      <x:c r="O644" s="28"/>
      <x:c r="P644" s="28"/>
      <x:c r="Q644" s="28"/>
      <x:c r="R644" s="28"/>
      <x:c r="S644" s="28"/>
      <x:c r="T644" s="28"/>
      <x:c r="U644" s="28"/>
      <x:c r="V644" s="28"/>
      <x:c r="W644" s="28"/>
      <x:c r="X644" s="43" t="n">
        <x:f>--AND(S644=1,T644=1,U644=1,V644=1,W644=1)</x:f>
        <x:v>0</x:v>
      </x:c>
      <x:c r="AE644" s="43" t="n">
        <x:f>--AND(S644=1,M644&lt;&gt;"",M644&lt;&gt;"keep")</x:f>
        <x:v>0</x:v>
      </x:c>
      <x:c r="AG644" t="n">
        <x:f>--AND(S644=1,T644=1,U644=1,V644=1,W644=1,AE644=1)</x:f>
        <x:v>0</x:v>
      </x:c>
      <x:c r="AJ644" t="str">
        <x:f>IF(OR(AH644="",AI644=""),"",--(AH644&lt;&gt;AI644))</x:f>
      </x:c>
      <x:c r="AL644" t="str">
        <x:f>IF(OR(AH644="",AI644=""),"PENDING_HUMAN",IF(AH644=AI644,AH644,IF(AK644&lt;&gt;"",AK644,"PENDING_HUMAN")))</x:f>
        <x:v>PENDING_HUMAN</x:v>
      </x:c>
      <x:c r="AM644" t="n">
        <x:f>--AND(A644&lt;&gt;"",AH644&lt;&gt;"",AI644&lt;&gt;"",OR(AH644=AI644,AK644&lt;&gt;""))</x:f>
        <x:v>0</x:v>
      </x:c>
      <x:c r="AN644" t="n">
        <x:f>--AND(Y644&lt;&gt;"",COUNTIF($Y$4:Y644,Y644)=1)</x:f>
        <x:v>0</x:v>
      </x:c>
      <x:c r="AO644" t="n">
        <x:f>--AND(AN644=1,Z644=1,AM644=1)</x:f>
        <x:v>0</x:v>
      </x:c>
      <x:c r="AP644" t="n">
        <x:f>--AND(AO644=1,AA644=1,AL644=1)</x:f>
        <x:v>0</x:v>
      </x:c>
      <x:c r="AQ644" t="n">
        <x:f>--AND(AN644=1,Z644=1)</x:f>
        <x:v>0</x:v>
      </x:c>
      <x:c r="AR644" t="n">
        <x:f>--AND(AQ644=1,AA644=1)</x:f>
        <x:v>0</x:v>
      </x:c>
    </x:row>
    <x:row r="645">
      <x:c r="A645" s="28"/>
      <x:c r="B645" s="28"/>
      <x:c r="C645" s="28"/>
      <x:c r="D645" s="28"/>
      <x:c r="E645" s="28"/>
      <x:c r="F645" s="28"/>
      <x:c r="G645" s="28"/>
      <x:c r="H645" s="28"/>
      <x:c r="I645" s="28"/>
      <x:c r="J645" s="28"/>
      <x:c r="K645" s="28"/>
      <x:c r="L645" s="28"/>
      <x:c r="M645" s="28"/>
      <x:c r="N645" s="28"/>
      <x:c r="O645" s="28"/>
      <x:c r="P645" s="28"/>
      <x:c r="Q645" s="28"/>
      <x:c r="R645" s="28"/>
      <x:c r="S645" s="28"/>
      <x:c r="T645" s="28"/>
      <x:c r="U645" s="28"/>
      <x:c r="V645" s="28"/>
      <x:c r="W645" s="28"/>
      <x:c r="X645" s="43" t="n">
        <x:f>--AND(S645=1,T645=1,U645=1,V645=1,W645=1)</x:f>
        <x:v>0</x:v>
      </x:c>
      <x:c r="AE645" s="43" t="n">
        <x:f>--AND(S645=1,M645&lt;&gt;"",M645&lt;&gt;"keep")</x:f>
        <x:v>0</x:v>
      </x:c>
      <x:c r="AG645" t="n">
        <x:f>--AND(S645=1,T645=1,U645=1,V645=1,W645=1,AE645=1)</x:f>
        <x:v>0</x:v>
      </x:c>
      <x:c r="AJ645" t="str">
        <x:f>IF(OR(AH645="",AI645=""),"",--(AH645&lt;&gt;AI645))</x:f>
      </x:c>
      <x:c r="AL645" t="str">
        <x:f>IF(OR(AH645="",AI645=""),"PENDING_HUMAN",IF(AH645=AI645,AH645,IF(AK645&lt;&gt;"",AK645,"PENDING_HUMAN")))</x:f>
        <x:v>PENDING_HUMAN</x:v>
      </x:c>
      <x:c r="AM645" t="n">
        <x:f>--AND(A645&lt;&gt;"",AH645&lt;&gt;"",AI645&lt;&gt;"",OR(AH645=AI645,AK645&lt;&gt;""))</x:f>
        <x:v>0</x:v>
      </x:c>
      <x:c r="AN645" t="n">
        <x:f>--AND(Y645&lt;&gt;"",COUNTIF($Y$4:Y645,Y645)=1)</x:f>
        <x:v>0</x:v>
      </x:c>
      <x:c r="AO645" t="n">
        <x:f>--AND(AN645=1,Z645=1,AM645=1)</x:f>
        <x:v>0</x:v>
      </x:c>
      <x:c r="AP645" t="n">
        <x:f>--AND(AO645=1,AA645=1,AL645=1)</x:f>
        <x:v>0</x:v>
      </x:c>
      <x:c r="AQ645" t="n">
        <x:f>--AND(AN645=1,Z645=1)</x:f>
        <x:v>0</x:v>
      </x:c>
      <x:c r="AR645" t="n">
        <x:f>--AND(AQ645=1,AA645=1)</x:f>
        <x:v>0</x:v>
      </x:c>
    </x:row>
    <x:row r="646">
      <x:c r="A646" s="28"/>
      <x:c r="B646" s="28"/>
      <x:c r="C646" s="28"/>
      <x:c r="D646" s="28"/>
      <x:c r="E646" s="28"/>
      <x:c r="F646" s="28"/>
      <x:c r="G646" s="28"/>
      <x:c r="H646" s="28"/>
      <x:c r="I646" s="28"/>
      <x:c r="J646" s="28"/>
      <x:c r="K646" s="28"/>
      <x:c r="L646" s="28"/>
      <x:c r="M646" s="28"/>
      <x:c r="N646" s="28"/>
      <x:c r="O646" s="28"/>
      <x:c r="P646" s="28"/>
      <x:c r="Q646" s="28"/>
      <x:c r="R646" s="28"/>
      <x:c r="S646" s="28"/>
      <x:c r="T646" s="28"/>
      <x:c r="U646" s="28"/>
      <x:c r="V646" s="28"/>
      <x:c r="W646" s="28"/>
      <x:c r="X646" s="43" t="n">
        <x:f>--AND(S646=1,T646=1,U646=1,V646=1,W646=1)</x:f>
        <x:v>0</x:v>
      </x:c>
      <x:c r="AE646" s="43" t="n">
        <x:f>--AND(S646=1,M646&lt;&gt;"",M646&lt;&gt;"keep")</x:f>
        <x:v>0</x:v>
      </x:c>
      <x:c r="AG646" t="n">
        <x:f>--AND(S646=1,T646=1,U646=1,V646=1,W646=1,AE646=1)</x:f>
        <x:v>0</x:v>
      </x:c>
      <x:c r="AJ646" t="str">
        <x:f>IF(OR(AH646="",AI646=""),"",--(AH646&lt;&gt;AI646))</x:f>
      </x:c>
      <x:c r="AL646" t="str">
        <x:f>IF(OR(AH646="",AI646=""),"PENDING_HUMAN",IF(AH646=AI646,AH646,IF(AK646&lt;&gt;"",AK646,"PENDING_HUMAN")))</x:f>
        <x:v>PENDING_HUMAN</x:v>
      </x:c>
      <x:c r="AM646" t="n">
        <x:f>--AND(A646&lt;&gt;"",AH646&lt;&gt;"",AI646&lt;&gt;"",OR(AH646=AI646,AK646&lt;&gt;""))</x:f>
        <x:v>0</x:v>
      </x:c>
      <x:c r="AN646" t="n">
        <x:f>--AND(Y646&lt;&gt;"",COUNTIF($Y$4:Y646,Y646)=1)</x:f>
        <x:v>0</x:v>
      </x:c>
      <x:c r="AO646" t="n">
        <x:f>--AND(AN646=1,Z646=1,AM646=1)</x:f>
        <x:v>0</x:v>
      </x:c>
      <x:c r="AP646" t="n">
        <x:f>--AND(AO646=1,AA646=1,AL646=1)</x:f>
        <x:v>0</x:v>
      </x:c>
      <x:c r="AQ646" t="n">
        <x:f>--AND(AN646=1,Z646=1)</x:f>
        <x:v>0</x:v>
      </x:c>
      <x:c r="AR646" t="n">
        <x:f>--AND(AQ646=1,AA646=1)</x:f>
        <x:v>0</x:v>
      </x:c>
    </x:row>
    <x:row r="647">
      <x:c r="A647" s="28"/>
      <x:c r="B647" s="28"/>
      <x:c r="C647" s="28"/>
      <x:c r="D647" s="28"/>
      <x:c r="E647" s="28"/>
      <x:c r="F647" s="28"/>
      <x:c r="G647" s="28"/>
      <x:c r="H647" s="28"/>
      <x:c r="I647" s="28"/>
      <x:c r="J647" s="28"/>
      <x:c r="K647" s="28"/>
      <x:c r="L647" s="28"/>
      <x:c r="M647" s="28"/>
      <x:c r="N647" s="28"/>
      <x:c r="O647" s="28"/>
      <x:c r="P647" s="28"/>
      <x:c r="Q647" s="28"/>
      <x:c r="R647" s="28"/>
      <x:c r="S647" s="28"/>
      <x:c r="T647" s="28"/>
      <x:c r="U647" s="28"/>
      <x:c r="V647" s="28"/>
      <x:c r="W647" s="28"/>
      <x:c r="X647" s="43" t="n">
        <x:f>--AND(S647=1,T647=1,U647=1,V647=1,W647=1)</x:f>
        <x:v>0</x:v>
      </x:c>
      <x:c r="AE647" s="43" t="n">
        <x:f>--AND(S647=1,M647&lt;&gt;"",M647&lt;&gt;"keep")</x:f>
        <x:v>0</x:v>
      </x:c>
      <x:c r="AG647" t="n">
        <x:f>--AND(S647=1,T647=1,U647=1,V647=1,W647=1,AE647=1)</x:f>
        <x:v>0</x:v>
      </x:c>
      <x:c r="AJ647" t="str">
        <x:f>IF(OR(AH647="",AI647=""),"",--(AH647&lt;&gt;AI647))</x:f>
      </x:c>
      <x:c r="AL647" t="str">
        <x:f>IF(OR(AH647="",AI647=""),"PENDING_HUMAN",IF(AH647=AI647,AH647,IF(AK647&lt;&gt;"",AK647,"PENDING_HUMAN")))</x:f>
        <x:v>PENDING_HUMAN</x:v>
      </x:c>
      <x:c r="AM647" t="n">
        <x:f>--AND(A647&lt;&gt;"",AH647&lt;&gt;"",AI647&lt;&gt;"",OR(AH647=AI647,AK647&lt;&gt;""))</x:f>
        <x:v>0</x:v>
      </x:c>
      <x:c r="AN647" t="n">
        <x:f>--AND(Y647&lt;&gt;"",COUNTIF($Y$4:Y647,Y647)=1)</x:f>
        <x:v>0</x:v>
      </x:c>
      <x:c r="AO647" t="n">
        <x:f>--AND(AN647=1,Z647=1,AM647=1)</x:f>
        <x:v>0</x:v>
      </x:c>
      <x:c r="AP647" t="n">
        <x:f>--AND(AO647=1,AA647=1,AL647=1)</x:f>
        <x:v>0</x:v>
      </x:c>
      <x:c r="AQ647" t="n">
        <x:f>--AND(AN647=1,Z647=1)</x:f>
        <x:v>0</x:v>
      </x:c>
      <x:c r="AR647" t="n">
        <x:f>--AND(AQ647=1,AA647=1)</x:f>
        <x:v>0</x:v>
      </x:c>
    </x:row>
    <x:row r="648">
      <x:c r="A648" s="28"/>
      <x:c r="B648" s="28"/>
      <x:c r="C648" s="28"/>
      <x:c r="D648" s="28"/>
      <x:c r="E648" s="28"/>
      <x:c r="F648" s="28"/>
      <x:c r="G648" s="28"/>
      <x:c r="H648" s="28"/>
      <x:c r="I648" s="28"/>
      <x:c r="J648" s="28"/>
      <x:c r="K648" s="28"/>
      <x:c r="L648" s="28"/>
      <x:c r="M648" s="28"/>
      <x:c r="N648" s="28"/>
      <x:c r="O648" s="28"/>
      <x:c r="P648" s="28"/>
      <x:c r="Q648" s="28"/>
      <x:c r="R648" s="28"/>
      <x:c r="S648" s="28"/>
      <x:c r="T648" s="28"/>
      <x:c r="U648" s="28"/>
      <x:c r="V648" s="28"/>
      <x:c r="W648" s="28"/>
      <x:c r="X648" s="43" t="n">
        <x:f>--AND(S648=1,T648=1,U648=1,V648=1,W648=1)</x:f>
        <x:v>0</x:v>
      </x:c>
      <x:c r="AE648" s="43" t="n">
        <x:f>--AND(S648=1,M648&lt;&gt;"",M648&lt;&gt;"keep")</x:f>
        <x:v>0</x:v>
      </x:c>
      <x:c r="AG648" t="n">
        <x:f>--AND(S648=1,T648=1,U648=1,V648=1,W648=1,AE648=1)</x:f>
        <x:v>0</x:v>
      </x:c>
      <x:c r="AJ648" t="str">
        <x:f>IF(OR(AH648="",AI648=""),"",--(AH648&lt;&gt;AI648))</x:f>
      </x:c>
      <x:c r="AL648" t="str">
        <x:f>IF(OR(AH648="",AI648=""),"PENDING_HUMAN",IF(AH648=AI648,AH648,IF(AK648&lt;&gt;"",AK648,"PENDING_HUMAN")))</x:f>
        <x:v>PENDING_HUMAN</x:v>
      </x:c>
      <x:c r="AM648" t="n">
        <x:f>--AND(A648&lt;&gt;"",AH648&lt;&gt;"",AI648&lt;&gt;"",OR(AH648=AI648,AK648&lt;&gt;""))</x:f>
        <x:v>0</x:v>
      </x:c>
      <x:c r="AN648" t="n">
        <x:f>--AND(Y648&lt;&gt;"",COUNTIF($Y$4:Y648,Y648)=1)</x:f>
        <x:v>0</x:v>
      </x:c>
      <x:c r="AO648" t="n">
        <x:f>--AND(AN648=1,Z648=1,AM648=1)</x:f>
        <x:v>0</x:v>
      </x:c>
      <x:c r="AP648" t="n">
        <x:f>--AND(AO648=1,AA648=1,AL648=1)</x:f>
        <x:v>0</x:v>
      </x:c>
      <x:c r="AQ648" t="n">
        <x:f>--AND(AN648=1,Z648=1)</x:f>
        <x:v>0</x:v>
      </x:c>
      <x:c r="AR648" t="n">
        <x:f>--AND(AQ648=1,AA648=1)</x:f>
        <x:v>0</x:v>
      </x:c>
    </x:row>
    <x:row r="649">
      <x:c r="A649" s="28"/>
      <x:c r="B649" s="28"/>
      <x:c r="C649" s="28"/>
      <x:c r="D649" s="28"/>
      <x:c r="E649" s="28"/>
      <x:c r="F649" s="28"/>
      <x:c r="G649" s="28"/>
      <x:c r="H649" s="28"/>
      <x:c r="I649" s="28"/>
      <x:c r="J649" s="28"/>
      <x:c r="K649" s="28"/>
      <x:c r="L649" s="28"/>
      <x:c r="M649" s="28"/>
      <x:c r="N649" s="28"/>
      <x:c r="O649" s="28"/>
      <x:c r="P649" s="28"/>
      <x:c r="Q649" s="28"/>
      <x:c r="R649" s="28"/>
      <x:c r="S649" s="28"/>
      <x:c r="T649" s="28"/>
      <x:c r="U649" s="28"/>
      <x:c r="V649" s="28"/>
      <x:c r="W649" s="28"/>
      <x:c r="X649" s="43" t="n">
        <x:f>--AND(S649=1,T649=1,U649=1,V649=1,W649=1)</x:f>
        <x:v>0</x:v>
      </x:c>
      <x:c r="AE649" s="43" t="n">
        <x:f>--AND(S649=1,M649&lt;&gt;"",M649&lt;&gt;"keep")</x:f>
        <x:v>0</x:v>
      </x:c>
      <x:c r="AG649" t="n">
        <x:f>--AND(S649=1,T649=1,U649=1,V649=1,W649=1,AE649=1)</x:f>
        <x:v>0</x:v>
      </x:c>
      <x:c r="AJ649" t="str">
        <x:f>IF(OR(AH649="",AI649=""),"",--(AH649&lt;&gt;AI649))</x:f>
      </x:c>
      <x:c r="AL649" t="str">
        <x:f>IF(OR(AH649="",AI649=""),"PENDING_HUMAN",IF(AH649=AI649,AH649,IF(AK649&lt;&gt;"",AK649,"PENDING_HUMAN")))</x:f>
        <x:v>PENDING_HUMAN</x:v>
      </x:c>
      <x:c r="AM649" t="n">
        <x:f>--AND(A649&lt;&gt;"",AH649&lt;&gt;"",AI649&lt;&gt;"",OR(AH649=AI649,AK649&lt;&gt;""))</x:f>
        <x:v>0</x:v>
      </x:c>
      <x:c r="AN649" t="n">
        <x:f>--AND(Y649&lt;&gt;"",COUNTIF($Y$4:Y649,Y649)=1)</x:f>
        <x:v>0</x:v>
      </x:c>
      <x:c r="AO649" t="n">
        <x:f>--AND(AN649=1,Z649=1,AM649=1)</x:f>
        <x:v>0</x:v>
      </x:c>
      <x:c r="AP649" t="n">
        <x:f>--AND(AO649=1,AA649=1,AL649=1)</x:f>
        <x:v>0</x:v>
      </x:c>
      <x:c r="AQ649" t="n">
        <x:f>--AND(AN649=1,Z649=1)</x:f>
        <x:v>0</x:v>
      </x:c>
      <x:c r="AR649" t="n">
        <x:f>--AND(AQ649=1,AA649=1)</x:f>
        <x:v>0</x:v>
      </x:c>
    </x:row>
    <x:row r="650">
      <x:c r="A650" s="28"/>
      <x:c r="B650" s="28"/>
      <x:c r="C650" s="28"/>
      <x:c r="D650" s="28"/>
      <x:c r="E650" s="28"/>
      <x:c r="F650" s="28"/>
      <x:c r="G650" s="28"/>
      <x:c r="H650" s="28"/>
      <x:c r="I650" s="28"/>
      <x:c r="J650" s="28"/>
      <x:c r="K650" s="28"/>
      <x:c r="L650" s="28"/>
      <x:c r="M650" s="28"/>
      <x:c r="N650" s="28"/>
      <x:c r="O650" s="28"/>
      <x:c r="P650" s="28"/>
      <x:c r="Q650" s="28"/>
      <x:c r="R650" s="28"/>
      <x:c r="S650" s="28"/>
      <x:c r="T650" s="28"/>
      <x:c r="U650" s="28"/>
      <x:c r="V650" s="28"/>
      <x:c r="W650" s="28"/>
      <x:c r="X650" s="43" t="n">
        <x:f>--AND(S650=1,T650=1,U650=1,V650=1,W650=1)</x:f>
        <x:v>0</x:v>
      </x:c>
      <x:c r="AE650" s="43" t="n">
        <x:f>--AND(S650=1,M650&lt;&gt;"",M650&lt;&gt;"keep")</x:f>
        <x:v>0</x:v>
      </x:c>
      <x:c r="AG650" t="n">
        <x:f>--AND(S650=1,T650=1,U650=1,V650=1,W650=1,AE650=1)</x:f>
        <x:v>0</x:v>
      </x:c>
      <x:c r="AJ650" t="str">
        <x:f>IF(OR(AH650="",AI650=""),"",--(AH650&lt;&gt;AI650))</x:f>
      </x:c>
      <x:c r="AL650" t="str">
        <x:f>IF(OR(AH650="",AI650=""),"PENDING_HUMAN",IF(AH650=AI650,AH650,IF(AK650&lt;&gt;"",AK650,"PENDING_HUMAN")))</x:f>
        <x:v>PENDING_HUMAN</x:v>
      </x:c>
      <x:c r="AM650" t="n">
        <x:f>--AND(A650&lt;&gt;"",AH650&lt;&gt;"",AI650&lt;&gt;"",OR(AH650=AI650,AK650&lt;&gt;""))</x:f>
        <x:v>0</x:v>
      </x:c>
      <x:c r="AN650" t="n">
        <x:f>--AND(Y650&lt;&gt;"",COUNTIF($Y$4:Y650,Y650)=1)</x:f>
        <x:v>0</x:v>
      </x:c>
      <x:c r="AO650" t="n">
        <x:f>--AND(AN650=1,Z650=1,AM650=1)</x:f>
        <x:v>0</x:v>
      </x:c>
      <x:c r="AP650" t="n">
        <x:f>--AND(AO650=1,AA650=1,AL650=1)</x:f>
        <x:v>0</x:v>
      </x:c>
      <x:c r="AQ650" t="n">
        <x:f>--AND(AN650=1,Z650=1)</x:f>
        <x:v>0</x:v>
      </x:c>
      <x:c r="AR650" t="n">
        <x:f>--AND(AQ650=1,AA650=1)</x:f>
        <x:v>0</x:v>
      </x:c>
    </x:row>
    <x:row r="651">
      <x:c r="A651" s="28"/>
      <x:c r="B651" s="28"/>
      <x:c r="C651" s="28"/>
      <x:c r="D651" s="28"/>
      <x:c r="E651" s="28"/>
      <x:c r="F651" s="28"/>
      <x:c r="G651" s="28"/>
      <x:c r="H651" s="28"/>
      <x:c r="I651" s="28"/>
      <x:c r="J651" s="28"/>
      <x:c r="K651" s="28"/>
      <x:c r="L651" s="28"/>
      <x:c r="M651" s="28"/>
      <x:c r="N651" s="28"/>
      <x:c r="O651" s="28"/>
      <x:c r="P651" s="28"/>
      <x:c r="Q651" s="28"/>
      <x:c r="R651" s="28"/>
      <x:c r="S651" s="28"/>
      <x:c r="T651" s="28"/>
      <x:c r="U651" s="28"/>
      <x:c r="V651" s="28"/>
      <x:c r="W651" s="28"/>
      <x:c r="X651" s="43" t="n">
        <x:f>--AND(S651=1,T651=1,U651=1,V651=1,W651=1)</x:f>
        <x:v>0</x:v>
      </x:c>
      <x:c r="AE651" s="43" t="n">
        <x:f>--AND(S651=1,M651&lt;&gt;"",M651&lt;&gt;"keep")</x:f>
        <x:v>0</x:v>
      </x:c>
      <x:c r="AG651" t="n">
        <x:f>--AND(S651=1,T651=1,U651=1,V651=1,W651=1,AE651=1)</x:f>
        <x:v>0</x:v>
      </x:c>
      <x:c r="AJ651" t="str">
        <x:f>IF(OR(AH651="",AI651=""),"",--(AH651&lt;&gt;AI651))</x:f>
      </x:c>
      <x:c r="AL651" t="str">
        <x:f>IF(OR(AH651="",AI651=""),"PENDING_HUMAN",IF(AH651=AI651,AH651,IF(AK651&lt;&gt;"",AK651,"PENDING_HUMAN")))</x:f>
        <x:v>PENDING_HUMAN</x:v>
      </x:c>
      <x:c r="AM651" t="n">
        <x:f>--AND(A651&lt;&gt;"",AH651&lt;&gt;"",AI651&lt;&gt;"",OR(AH651=AI651,AK651&lt;&gt;""))</x:f>
        <x:v>0</x:v>
      </x:c>
      <x:c r="AN651" t="n">
        <x:f>--AND(Y651&lt;&gt;"",COUNTIF($Y$4:Y651,Y651)=1)</x:f>
        <x:v>0</x:v>
      </x:c>
      <x:c r="AO651" t="n">
        <x:f>--AND(AN651=1,Z651=1,AM651=1)</x:f>
        <x:v>0</x:v>
      </x:c>
      <x:c r="AP651" t="n">
        <x:f>--AND(AO651=1,AA651=1,AL651=1)</x:f>
        <x:v>0</x:v>
      </x:c>
      <x:c r="AQ651" t="n">
        <x:f>--AND(AN651=1,Z651=1)</x:f>
        <x:v>0</x:v>
      </x:c>
      <x:c r="AR651" t="n">
        <x:f>--AND(AQ651=1,AA651=1)</x:f>
        <x:v>0</x:v>
      </x:c>
    </x:row>
    <x:row r="652">
      <x:c r="A652" s="28"/>
      <x:c r="B652" s="28"/>
      <x:c r="C652" s="28"/>
      <x:c r="D652" s="28"/>
      <x:c r="E652" s="28"/>
      <x:c r="F652" s="28"/>
      <x:c r="G652" s="28"/>
      <x:c r="H652" s="28"/>
      <x:c r="I652" s="28"/>
      <x:c r="J652" s="28"/>
      <x:c r="K652" s="28"/>
      <x:c r="L652" s="28"/>
      <x:c r="M652" s="28"/>
      <x:c r="N652" s="28"/>
      <x:c r="O652" s="28"/>
      <x:c r="P652" s="28"/>
      <x:c r="Q652" s="28"/>
      <x:c r="R652" s="28"/>
      <x:c r="S652" s="28"/>
      <x:c r="T652" s="28"/>
      <x:c r="U652" s="28"/>
      <x:c r="V652" s="28"/>
      <x:c r="W652" s="28"/>
      <x:c r="X652" s="43" t="n">
        <x:f>--AND(S652=1,T652=1,U652=1,V652=1,W652=1)</x:f>
        <x:v>0</x:v>
      </x:c>
      <x:c r="AE652" s="43" t="n">
        <x:f>--AND(S652=1,M652&lt;&gt;"",M652&lt;&gt;"keep")</x:f>
        <x:v>0</x:v>
      </x:c>
      <x:c r="AG652" t="n">
        <x:f>--AND(S652=1,T652=1,U652=1,V652=1,W652=1,AE652=1)</x:f>
        <x:v>0</x:v>
      </x:c>
      <x:c r="AJ652" t="str">
        <x:f>IF(OR(AH652="",AI652=""),"",--(AH652&lt;&gt;AI652))</x:f>
      </x:c>
      <x:c r="AL652" t="str">
        <x:f>IF(OR(AH652="",AI652=""),"PENDING_HUMAN",IF(AH652=AI652,AH652,IF(AK652&lt;&gt;"",AK652,"PENDING_HUMAN")))</x:f>
        <x:v>PENDING_HUMAN</x:v>
      </x:c>
      <x:c r="AM652" t="n">
        <x:f>--AND(A652&lt;&gt;"",AH652&lt;&gt;"",AI652&lt;&gt;"",OR(AH652=AI652,AK652&lt;&gt;""))</x:f>
        <x:v>0</x:v>
      </x:c>
      <x:c r="AN652" t="n">
        <x:f>--AND(Y652&lt;&gt;"",COUNTIF($Y$4:Y652,Y652)=1)</x:f>
        <x:v>0</x:v>
      </x:c>
      <x:c r="AO652" t="n">
        <x:f>--AND(AN652=1,Z652=1,AM652=1)</x:f>
        <x:v>0</x:v>
      </x:c>
      <x:c r="AP652" t="n">
        <x:f>--AND(AO652=1,AA652=1,AL652=1)</x:f>
        <x:v>0</x:v>
      </x:c>
      <x:c r="AQ652" t="n">
        <x:f>--AND(AN652=1,Z652=1)</x:f>
        <x:v>0</x:v>
      </x:c>
      <x:c r="AR652" t="n">
        <x:f>--AND(AQ652=1,AA652=1)</x:f>
        <x:v>0</x:v>
      </x:c>
    </x:row>
    <x:row r="653">
      <x:c r="A653" s="28"/>
      <x:c r="B653" s="28"/>
      <x:c r="C653" s="28"/>
      <x:c r="D653" s="28"/>
      <x:c r="E653" s="28"/>
      <x:c r="F653" s="28"/>
      <x:c r="G653" s="28"/>
      <x:c r="H653" s="28"/>
      <x:c r="I653" s="28"/>
      <x:c r="J653" s="28"/>
      <x:c r="K653" s="28"/>
      <x:c r="L653" s="28"/>
      <x:c r="M653" s="28"/>
      <x:c r="N653" s="28"/>
      <x:c r="O653" s="28"/>
      <x:c r="P653" s="28"/>
      <x:c r="Q653" s="28"/>
      <x:c r="R653" s="28"/>
      <x:c r="S653" s="28"/>
      <x:c r="T653" s="28"/>
      <x:c r="U653" s="28"/>
      <x:c r="V653" s="28"/>
      <x:c r="W653" s="28"/>
      <x:c r="X653" s="43" t="n">
        <x:f>--AND(S653=1,T653=1,U653=1,V653=1,W653=1)</x:f>
        <x:v>0</x:v>
      </x:c>
      <x:c r="AE653" s="43" t="n">
        <x:f>--AND(S653=1,M653&lt;&gt;"",M653&lt;&gt;"keep")</x:f>
        <x:v>0</x:v>
      </x:c>
      <x:c r="AG653" t="n">
        <x:f>--AND(S653=1,T653=1,U653=1,V653=1,W653=1,AE653=1)</x:f>
        <x:v>0</x:v>
      </x:c>
      <x:c r="AJ653" t="str">
        <x:f>IF(OR(AH653="",AI653=""),"",--(AH653&lt;&gt;AI653))</x:f>
      </x:c>
      <x:c r="AL653" t="str">
        <x:f>IF(OR(AH653="",AI653=""),"PENDING_HUMAN",IF(AH653=AI653,AH653,IF(AK653&lt;&gt;"",AK653,"PENDING_HUMAN")))</x:f>
        <x:v>PENDING_HUMAN</x:v>
      </x:c>
      <x:c r="AM653" t="n">
        <x:f>--AND(A653&lt;&gt;"",AH653&lt;&gt;"",AI653&lt;&gt;"",OR(AH653=AI653,AK653&lt;&gt;""))</x:f>
        <x:v>0</x:v>
      </x:c>
      <x:c r="AN653" t="n">
        <x:f>--AND(Y653&lt;&gt;"",COUNTIF($Y$4:Y653,Y653)=1)</x:f>
        <x:v>0</x:v>
      </x:c>
      <x:c r="AO653" t="n">
        <x:f>--AND(AN653=1,Z653=1,AM653=1)</x:f>
        <x:v>0</x:v>
      </x:c>
      <x:c r="AP653" t="n">
        <x:f>--AND(AO653=1,AA653=1,AL653=1)</x:f>
        <x:v>0</x:v>
      </x:c>
      <x:c r="AQ653" t="n">
        <x:f>--AND(AN653=1,Z653=1)</x:f>
        <x:v>0</x:v>
      </x:c>
      <x:c r="AR653" t="n">
        <x:f>--AND(AQ653=1,AA653=1)</x:f>
        <x:v>0</x:v>
      </x:c>
    </x:row>
    <x:row r="654">
      <x:c r="A654" s="28"/>
      <x:c r="B654" s="28"/>
      <x:c r="C654" s="28"/>
      <x:c r="D654" s="28"/>
      <x:c r="E654" s="28"/>
      <x:c r="F654" s="28"/>
      <x:c r="G654" s="28"/>
      <x:c r="H654" s="28"/>
      <x:c r="I654" s="28"/>
      <x:c r="J654" s="28"/>
      <x:c r="K654" s="28"/>
      <x:c r="L654" s="28"/>
      <x:c r="M654" s="28"/>
      <x:c r="N654" s="28"/>
      <x:c r="O654" s="28"/>
      <x:c r="P654" s="28"/>
      <x:c r="Q654" s="28"/>
      <x:c r="R654" s="28"/>
      <x:c r="S654" s="28"/>
      <x:c r="T654" s="28"/>
      <x:c r="U654" s="28"/>
      <x:c r="V654" s="28"/>
      <x:c r="W654" s="28"/>
      <x:c r="X654" s="43" t="n">
        <x:f>--AND(S654=1,T654=1,U654=1,V654=1,W654=1)</x:f>
        <x:v>0</x:v>
      </x:c>
      <x:c r="AE654" s="43" t="n">
        <x:f>--AND(S654=1,M654&lt;&gt;"",M654&lt;&gt;"keep")</x:f>
        <x:v>0</x:v>
      </x:c>
      <x:c r="AG654" t="n">
        <x:f>--AND(S654=1,T654=1,U654=1,V654=1,W654=1,AE654=1)</x:f>
        <x:v>0</x:v>
      </x:c>
      <x:c r="AJ654" t="str">
        <x:f>IF(OR(AH654="",AI654=""),"",--(AH654&lt;&gt;AI654))</x:f>
      </x:c>
      <x:c r="AL654" t="str">
        <x:f>IF(OR(AH654="",AI654=""),"PENDING_HUMAN",IF(AH654=AI654,AH654,IF(AK654&lt;&gt;"",AK654,"PENDING_HUMAN")))</x:f>
        <x:v>PENDING_HUMAN</x:v>
      </x:c>
      <x:c r="AM654" t="n">
        <x:f>--AND(A654&lt;&gt;"",AH654&lt;&gt;"",AI654&lt;&gt;"",OR(AH654=AI654,AK654&lt;&gt;""))</x:f>
        <x:v>0</x:v>
      </x:c>
      <x:c r="AN654" t="n">
        <x:f>--AND(Y654&lt;&gt;"",COUNTIF($Y$4:Y654,Y654)=1)</x:f>
        <x:v>0</x:v>
      </x:c>
      <x:c r="AO654" t="n">
        <x:f>--AND(AN654=1,Z654=1,AM654=1)</x:f>
        <x:v>0</x:v>
      </x:c>
      <x:c r="AP654" t="n">
        <x:f>--AND(AO654=1,AA654=1,AL654=1)</x:f>
        <x:v>0</x:v>
      </x:c>
      <x:c r="AQ654" t="n">
        <x:f>--AND(AN654=1,Z654=1)</x:f>
        <x:v>0</x:v>
      </x:c>
      <x:c r="AR654" t="n">
        <x:f>--AND(AQ654=1,AA654=1)</x:f>
        <x:v>0</x:v>
      </x:c>
    </x:row>
    <x:row r="655">
      <x:c r="A655" s="28"/>
      <x:c r="B655" s="28"/>
      <x:c r="C655" s="28"/>
      <x:c r="D655" s="28"/>
      <x:c r="E655" s="28"/>
      <x:c r="F655" s="28"/>
      <x:c r="G655" s="28"/>
      <x:c r="H655" s="28"/>
      <x:c r="I655" s="28"/>
      <x:c r="J655" s="28"/>
      <x:c r="K655" s="28"/>
      <x:c r="L655" s="28"/>
      <x:c r="M655" s="28"/>
      <x:c r="N655" s="28"/>
      <x:c r="O655" s="28"/>
      <x:c r="P655" s="28"/>
      <x:c r="Q655" s="28"/>
      <x:c r="R655" s="28"/>
      <x:c r="S655" s="28"/>
      <x:c r="T655" s="28"/>
      <x:c r="U655" s="28"/>
      <x:c r="V655" s="28"/>
      <x:c r="W655" s="28"/>
      <x:c r="X655" s="43" t="n">
        <x:f>--AND(S655=1,T655=1,U655=1,V655=1,W655=1)</x:f>
        <x:v>0</x:v>
      </x:c>
      <x:c r="AE655" s="43" t="n">
        <x:f>--AND(S655=1,M655&lt;&gt;"",M655&lt;&gt;"keep")</x:f>
        <x:v>0</x:v>
      </x:c>
      <x:c r="AG655" t="n">
        <x:f>--AND(S655=1,T655=1,U655=1,V655=1,W655=1,AE655=1)</x:f>
        <x:v>0</x:v>
      </x:c>
      <x:c r="AJ655" t="str">
        <x:f>IF(OR(AH655="",AI655=""),"",--(AH655&lt;&gt;AI655))</x:f>
      </x:c>
      <x:c r="AL655" t="str">
        <x:f>IF(OR(AH655="",AI655=""),"PENDING_HUMAN",IF(AH655=AI655,AH655,IF(AK655&lt;&gt;"",AK655,"PENDING_HUMAN")))</x:f>
        <x:v>PENDING_HUMAN</x:v>
      </x:c>
      <x:c r="AM655" t="n">
        <x:f>--AND(A655&lt;&gt;"",AH655&lt;&gt;"",AI655&lt;&gt;"",OR(AH655=AI655,AK655&lt;&gt;""))</x:f>
        <x:v>0</x:v>
      </x:c>
      <x:c r="AN655" t="n">
        <x:f>--AND(Y655&lt;&gt;"",COUNTIF($Y$4:Y655,Y655)=1)</x:f>
        <x:v>0</x:v>
      </x:c>
      <x:c r="AO655" t="n">
        <x:f>--AND(AN655=1,Z655=1,AM655=1)</x:f>
        <x:v>0</x:v>
      </x:c>
      <x:c r="AP655" t="n">
        <x:f>--AND(AO655=1,AA655=1,AL655=1)</x:f>
        <x:v>0</x:v>
      </x:c>
      <x:c r="AQ655" t="n">
        <x:f>--AND(AN655=1,Z655=1)</x:f>
        <x:v>0</x:v>
      </x:c>
      <x:c r="AR655" t="n">
        <x:f>--AND(AQ655=1,AA655=1)</x:f>
        <x:v>0</x:v>
      </x:c>
    </x:row>
    <x:row r="656">
      <x:c r="A656" s="28"/>
      <x:c r="B656" s="28"/>
      <x:c r="C656" s="28"/>
      <x:c r="D656" s="28"/>
      <x:c r="E656" s="28"/>
      <x:c r="F656" s="28"/>
      <x:c r="G656" s="28"/>
      <x:c r="H656" s="28"/>
      <x:c r="I656" s="28"/>
      <x:c r="J656" s="28"/>
      <x:c r="K656" s="28"/>
      <x:c r="L656" s="28"/>
      <x:c r="M656" s="28"/>
      <x:c r="N656" s="28"/>
      <x:c r="O656" s="28"/>
      <x:c r="P656" s="28"/>
      <x:c r="Q656" s="28"/>
      <x:c r="R656" s="28"/>
      <x:c r="S656" s="28"/>
      <x:c r="T656" s="28"/>
      <x:c r="U656" s="28"/>
      <x:c r="V656" s="28"/>
      <x:c r="W656" s="28"/>
      <x:c r="X656" s="43" t="n">
        <x:f>--AND(S656=1,T656=1,U656=1,V656=1,W656=1)</x:f>
        <x:v>0</x:v>
      </x:c>
      <x:c r="AE656" s="43" t="n">
        <x:f>--AND(S656=1,M656&lt;&gt;"",M656&lt;&gt;"keep")</x:f>
        <x:v>0</x:v>
      </x:c>
      <x:c r="AG656" t="n">
        <x:f>--AND(S656=1,T656=1,U656=1,V656=1,W656=1,AE656=1)</x:f>
        <x:v>0</x:v>
      </x:c>
      <x:c r="AJ656" t="str">
        <x:f>IF(OR(AH656="",AI656=""),"",--(AH656&lt;&gt;AI656))</x:f>
      </x:c>
      <x:c r="AL656" t="str">
        <x:f>IF(OR(AH656="",AI656=""),"PENDING_HUMAN",IF(AH656=AI656,AH656,IF(AK656&lt;&gt;"",AK656,"PENDING_HUMAN")))</x:f>
        <x:v>PENDING_HUMAN</x:v>
      </x:c>
      <x:c r="AM656" t="n">
        <x:f>--AND(A656&lt;&gt;"",AH656&lt;&gt;"",AI656&lt;&gt;"",OR(AH656=AI656,AK656&lt;&gt;""))</x:f>
        <x:v>0</x:v>
      </x:c>
      <x:c r="AN656" t="n">
        <x:f>--AND(Y656&lt;&gt;"",COUNTIF($Y$4:Y656,Y656)=1)</x:f>
        <x:v>0</x:v>
      </x:c>
      <x:c r="AO656" t="n">
        <x:f>--AND(AN656=1,Z656=1,AM656=1)</x:f>
        <x:v>0</x:v>
      </x:c>
      <x:c r="AP656" t="n">
        <x:f>--AND(AO656=1,AA656=1,AL656=1)</x:f>
        <x:v>0</x:v>
      </x:c>
      <x:c r="AQ656" t="n">
        <x:f>--AND(AN656=1,Z656=1)</x:f>
        <x:v>0</x:v>
      </x:c>
      <x:c r="AR656" t="n">
        <x:f>--AND(AQ656=1,AA656=1)</x:f>
        <x:v>0</x:v>
      </x:c>
    </x:row>
    <x:row r="657">
      <x:c r="A657" s="28"/>
      <x:c r="B657" s="28"/>
      <x:c r="C657" s="28"/>
      <x:c r="D657" s="28"/>
      <x:c r="E657" s="28"/>
      <x:c r="F657" s="28"/>
      <x:c r="G657" s="28"/>
      <x:c r="H657" s="28"/>
      <x:c r="I657" s="28"/>
      <x:c r="J657" s="28"/>
      <x:c r="K657" s="28"/>
      <x:c r="L657" s="28"/>
      <x:c r="M657" s="28"/>
      <x:c r="N657" s="28"/>
      <x:c r="O657" s="28"/>
      <x:c r="P657" s="28"/>
      <x:c r="Q657" s="28"/>
      <x:c r="R657" s="28"/>
      <x:c r="S657" s="28"/>
      <x:c r="T657" s="28"/>
      <x:c r="U657" s="28"/>
      <x:c r="V657" s="28"/>
      <x:c r="W657" s="28"/>
      <x:c r="X657" s="43" t="n">
        <x:f>--AND(S657=1,T657=1,U657=1,V657=1,W657=1)</x:f>
        <x:v>0</x:v>
      </x:c>
      <x:c r="AE657" s="43" t="n">
        <x:f>--AND(S657=1,M657&lt;&gt;"",M657&lt;&gt;"keep")</x:f>
        <x:v>0</x:v>
      </x:c>
      <x:c r="AG657" t="n">
        <x:f>--AND(S657=1,T657=1,U657=1,V657=1,W657=1,AE657=1)</x:f>
        <x:v>0</x:v>
      </x:c>
      <x:c r="AJ657" t="str">
        <x:f>IF(OR(AH657="",AI657=""),"",--(AH657&lt;&gt;AI657))</x:f>
      </x:c>
      <x:c r="AL657" t="str">
        <x:f>IF(OR(AH657="",AI657=""),"PENDING_HUMAN",IF(AH657=AI657,AH657,IF(AK657&lt;&gt;"",AK657,"PENDING_HUMAN")))</x:f>
        <x:v>PENDING_HUMAN</x:v>
      </x:c>
      <x:c r="AM657" t="n">
        <x:f>--AND(A657&lt;&gt;"",AH657&lt;&gt;"",AI657&lt;&gt;"",OR(AH657=AI657,AK657&lt;&gt;""))</x:f>
        <x:v>0</x:v>
      </x:c>
      <x:c r="AN657" t="n">
        <x:f>--AND(Y657&lt;&gt;"",COUNTIF($Y$4:Y657,Y657)=1)</x:f>
        <x:v>0</x:v>
      </x:c>
      <x:c r="AO657" t="n">
        <x:f>--AND(AN657=1,Z657=1,AM657=1)</x:f>
        <x:v>0</x:v>
      </x:c>
      <x:c r="AP657" t="n">
        <x:f>--AND(AO657=1,AA657=1,AL657=1)</x:f>
        <x:v>0</x:v>
      </x:c>
      <x:c r="AQ657" t="n">
        <x:f>--AND(AN657=1,Z657=1)</x:f>
        <x:v>0</x:v>
      </x:c>
      <x:c r="AR657" t="n">
        <x:f>--AND(AQ657=1,AA657=1)</x:f>
        <x:v>0</x:v>
      </x:c>
    </x:row>
    <x:row r="658">
      <x:c r="A658" s="28"/>
      <x:c r="B658" s="28"/>
      <x:c r="C658" s="28"/>
      <x:c r="D658" s="28"/>
      <x:c r="E658" s="28"/>
      <x:c r="F658" s="28"/>
      <x:c r="G658" s="28"/>
      <x:c r="H658" s="28"/>
      <x:c r="I658" s="28"/>
      <x:c r="J658" s="28"/>
      <x:c r="K658" s="28"/>
      <x:c r="L658" s="28"/>
      <x:c r="M658" s="28"/>
      <x:c r="N658" s="28"/>
      <x:c r="O658" s="28"/>
      <x:c r="P658" s="28"/>
      <x:c r="Q658" s="28"/>
      <x:c r="R658" s="28"/>
      <x:c r="S658" s="28"/>
      <x:c r="T658" s="28"/>
      <x:c r="U658" s="28"/>
      <x:c r="V658" s="28"/>
      <x:c r="W658" s="28"/>
      <x:c r="X658" s="43" t="n">
        <x:f>--AND(S658=1,T658=1,U658=1,V658=1,W658=1)</x:f>
        <x:v>0</x:v>
      </x:c>
      <x:c r="AE658" s="43" t="n">
        <x:f>--AND(S658=1,M658&lt;&gt;"",M658&lt;&gt;"keep")</x:f>
        <x:v>0</x:v>
      </x:c>
      <x:c r="AG658" t="n">
        <x:f>--AND(S658=1,T658=1,U658=1,V658=1,W658=1,AE658=1)</x:f>
        <x:v>0</x:v>
      </x:c>
      <x:c r="AJ658" t="str">
        <x:f>IF(OR(AH658="",AI658=""),"",--(AH658&lt;&gt;AI658))</x:f>
      </x:c>
      <x:c r="AL658" t="str">
        <x:f>IF(OR(AH658="",AI658=""),"PENDING_HUMAN",IF(AH658=AI658,AH658,IF(AK658&lt;&gt;"",AK658,"PENDING_HUMAN")))</x:f>
        <x:v>PENDING_HUMAN</x:v>
      </x:c>
      <x:c r="AM658" t="n">
        <x:f>--AND(A658&lt;&gt;"",AH658&lt;&gt;"",AI658&lt;&gt;"",OR(AH658=AI658,AK658&lt;&gt;""))</x:f>
        <x:v>0</x:v>
      </x:c>
      <x:c r="AN658" t="n">
        <x:f>--AND(Y658&lt;&gt;"",COUNTIF($Y$4:Y658,Y658)=1)</x:f>
        <x:v>0</x:v>
      </x:c>
      <x:c r="AO658" t="n">
        <x:f>--AND(AN658=1,Z658=1,AM658=1)</x:f>
        <x:v>0</x:v>
      </x:c>
      <x:c r="AP658" t="n">
        <x:f>--AND(AO658=1,AA658=1,AL658=1)</x:f>
        <x:v>0</x:v>
      </x:c>
      <x:c r="AQ658" t="n">
        <x:f>--AND(AN658=1,Z658=1)</x:f>
        <x:v>0</x:v>
      </x:c>
      <x:c r="AR658" t="n">
        <x:f>--AND(AQ658=1,AA658=1)</x:f>
        <x:v>0</x:v>
      </x:c>
    </x:row>
    <x:row r="659">
      <x:c r="A659" s="28"/>
      <x:c r="B659" s="28"/>
      <x:c r="C659" s="28"/>
      <x:c r="D659" s="28"/>
      <x:c r="E659" s="28"/>
      <x:c r="F659" s="28"/>
      <x:c r="G659" s="28"/>
      <x:c r="H659" s="28"/>
      <x:c r="I659" s="28"/>
      <x:c r="J659" s="28"/>
      <x:c r="K659" s="28"/>
      <x:c r="L659" s="28"/>
      <x:c r="M659" s="28"/>
      <x:c r="N659" s="28"/>
      <x:c r="O659" s="28"/>
      <x:c r="P659" s="28"/>
      <x:c r="Q659" s="28"/>
      <x:c r="R659" s="28"/>
      <x:c r="S659" s="28"/>
      <x:c r="T659" s="28"/>
      <x:c r="U659" s="28"/>
      <x:c r="V659" s="28"/>
      <x:c r="W659" s="28"/>
      <x:c r="X659" s="43" t="n">
        <x:f>--AND(S659=1,T659=1,U659=1,V659=1,W659=1)</x:f>
        <x:v>0</x:v>
      </x:c>
      <x:c r="AE659" s="43" t="n">
        <x:f>--AND(S659=1,M659&lt;&gt;"",M659&lt;&gt;"keep")</x:f>
        <x:v>0</x:v>
      </x:c>
      <x:c r="AG659" t="n">
        <x:f>--AND(S659=1,T659=1,U659=1,V659=1,W659=1,AE659=1)</x:f>
        <x:v>0</x:v>
      </x:c>
      <x:c r="AJ659" t="str">
        <x:f>IF(OR(AH659="",AI659=""),"",--(AH659&lt;&gt;AI659))</x:f>
      </x:c>
      <x:c r="AL659" t="str">
        <x:f>IF(OR(AH659="",AI659=""),"PENDING_HUMAN",IF(AH659=AI659,AH659,IF(AK659&lt;&gt;"",AK659,"PENDING_HUMAN")))</x:f>
        <x:v>PENDING_HUMAN</x:v>
      </x:c>
      <x:c r="AM659" t="n">
        <x:f>--AND(A659&lt;&gt;"",AH659&lt;&gt;"",AI659&lt;&gt;"",OR(AH659=AI659,AK659&lt;&gt;""))</x:f>
        <x:v>0</x:v>
      </x:c>
      <x:c r="AN659" t="n">
        <x:f>--AND(Y659&lt;&gt;"",COUNTIF($Y$4:Y659,Y659)=1)</x:f>
        <x:v>0</x:v>
      </x:c>
      <x:c r="AO659" t="n">
        <x:f>--AND(AN659=1,Z659=1,AM659=1)</x:f>
        <x:v>0</x:v>
      </x:c>
      <x:c r="AP659" t="n">
        <x:f>--AND(AO659=1,AA659=1,AL659=1)</x:f>
        <x:v>0</x:v>
      </x:c>
      <x:c r="AQ659" t="n">
        <x:f>--AND(AN659=1,Z659=1)</x:f>
        <x:v>0</x:v>
      </x:c>
      <x:c r="AR659" t="n">
        <x:f>--AND(AQ659=1,AA659=1)</x:f>
        <x:v>0</x:v>
      </x:c>
    </x:row>
    <x:row r="660">
      <x:c r="A660" s="28"/>
      <x:c r="B660" s="28"/>
      <x:c r="C660" s="28"/>
      <x:c r="D660" s="28"/>
      <x:c r="E660" s="28"/>
      <x:c r="F660" s="28"/>
      <x:c r="G660" s="28"/>
      <x:c r="H660" s="28"/>
      <x:c r="I660" s="28"/>
      <x:c r="J660" s="28"/>
      <x:c r="K660" s="28"/>
      <x:c r="L660" s="28"/>
      <x:c r="M660" s="28"/>
      <x:c r="N660" s="28"/>
      <x:c r="O660" s="28"/>
      <x:c r="P660" s="28"/>
      <x:c r="Q660" s="28"/>
      <x:c r="R660" s="28"/>
      <x:c r="S660" s="28"/>
      <x:c r="T660" s="28"/>
      <x:c r="U660" s="28"/>
      <x:c r="V660" s="28"/>
      <x:c r="W660" s="28"/>
      <x:c r="X660" s="43" t="n">
        <x:f>--AND(S660=1,T660=1,U660=1,V660=1,W660=1)</x:f>
        <x:v>0</x:v>
      </x:c>
      <x:c r="AE660" s="43" t="n">
        <x:f>--AND(S660=1,M660&lt;&gt;"",M660&lt;&gt;"keep")</x:f>
        <x:v>0</x:v>
      </x:c>
      <x:c r="AG660" t="n">
        <x:f>--AND(S660=1,T660=1,U660=1,V660=1,W660=1,AE660=1)</x:f>
        <x:v>0</x:v>
      </x:c>
      <x:c r="AJ660" t="str">
        <x:f>IF(OR(AH660="",AI660=""),"",--(AH660&lt;&gt;AI660))</x:f>
      </x:c>
      <x:c r="AL660" t="str">
        <x:f>IF(OR(AH660="",AI660=""),"PENDING_HUMAN",IF(AH660=AI660,AH660,IF(AK660&lt;&gt;"",AK660,"PENDING_HUMAN")))</x:f>
        <x:v>PENDING_HUMAN</x:v>
      </x:c>
      <x:c r="AM660" t="n">
        <x:f>--AND(A660&lt;&gt;"",AH660&lt;&gt;"",AI660&lt;&gt;"",OR(AH660=AI660,AK660&lt;&gt;""))</x:f>
        <x:v>0</x:v>
      </x:c>
      <x:c r="AN660" t="n">
        <x:f>--AND(Y660&lt;&gt;"",COUNTIF($Y$4:Y660,Y660)=1)</x:f>
        <x:v>0</x:v>
      </x:c>
      <x:c r="AO660" t="n">
        <x:f>--AND(AN660=1,Z660=1,AM660=1)</x:f>
        <x:v>0</x:v>
      </x:c>
      <x:c r="AP660" t="n">
        <x:f>--AND(AO660=1,AA660=1,AL660=1)</x:f>
        <x:v>0</x:v>
      </x:c>
      <x:c r="AQ660" t="n">
        <x:f>--AND(AN660=1,Z660=1)</x:f>
        <x:v>0</x:v>
      </x:c>
      <x:c r="AR660" t="n">
        <x:f>--AND(AQ660=1,AA660=1)</x:f>
        <x:v>0</x:v>
      </x:c>
    </x:row>
    <x:row r="661">
      <x:c r="A661" s="28"/>
      <x:c r="B661" s="28"/>
      <x:c r="C661" s="28"/>
      <x:c r="D661" s="28"/>
      <x:c r="E661" s="28"/>
      <x:c r="F661" s="28"/>
      <x:c r="G661" s="28"/>
      <x:c r="H661" s="28"/>
      <x:c r="I661" s="28"/>
      <x:c r="J661" s="28"/>
      <x:c r="K661" s="28"/>
      <x:c r="L661" s="28"/>
      <x:c r="M661" s="28"/>
      <x:c r="N661" s="28"/>
      <x:c r="O661" s="28"/>
      <x:c r="P661" s="28"/>
      <x:c r="Q661" s="28"/>
      <x:c r="R661" s="28"/>
      <x:c r="S661" s="28"/>
      <x:c r="T661" s="28"/>
      <x:c r="U661" s="28"/>
      <x:c r="V661" s="28"/>
      <x:c r="W661" s="28"/>
      <x:c r="X661" s="43" t="n">
        <x:f>--AND(S661=1,T661=1,U661=1,V661=1,W661=1)</x:f>
        <x:v>0</x:v>
      </x:c>
      <x:c r="AE661" s="43" t="n">
        <x:f>--AND(S661=1,M661&lt;&gt;"",M661&lt;&gt;"keep")</x:f>
        <x:v>0</x:v>
      </x:c>
      <x:c r="AG661" t="n">
        <x:f>--AND(S661=1,T661=1,U661=1,V661=1,W661=1,AE661=1)</x:f>
        <x:v>0</x:v>
      </x:c>
      <x:c r="AJ661" t="str">
        <x:f>IF(OR(AH661="",AI661=""),"",--(AH661&lt;&gt;AI661))</x:f>
      </x:c>
      <x:c r="AL661" t="str">
        <x:f>IF(OR(AH661="",AI661=""),"PENDING_HUMAN",IF(AH661=AI661,AH661,IF(AK661&lt;&gt;"",AK661,"PENDING_HUMAN")))</x:f>
        <x:v>PENDING_HUMAN</x:v>
      </x:c>
      <x:c r="AM661" t="n">
        <x:f>--AND(A661&lt;&gt;"",AH661&lt;&gt;"",AI661&lt;&gt;"",OR(AH661=AI661,AK661&lt;&gt;""))</x:f>
        <x:v>0</x:v>
      </x:c>
      <x:c r="AN661" t="n">
        <x:f>--AND(Y661&lt;&gt;"",COUNTIF($Y$4:Y661,Y661)=1)</x:f>
        <x:v>0</x:v>
      </x:c>
      <x:c r="AO661" t="n">
        <x:f>--AND(AN661=1,Z661=1,AM661=1)</x:f>
        <x:v>0</x:v>
      </x:c>
      <x:c r="AP661" t="n">
        <x:f>--AND(AO661=1,AA661=1,AL661=1)</x:f>
        <x:v>0</x:v>
      </x:c>
      <x:c r="AQ661" t="n">
        <x:f>--AND(AN661=1,Z661=1)</x:f>
        <x:v>0</x:v>
      </x:c>
      <x:c r="AR661" t="n">
        <x:f>--AND(AQ661=1,AA661=1)</x:f>
        <x:v>0</x:v>
      </x:c>
    </x:row>
    <x:row r="662">
      <x:c r="A662" s="28"/>
      <x:c r="B662" s="28"/>
      <x:c r="C662" s="28"/>
      <x:c r="D662" s="28"/>
      <x:c r="E662" s="28"/>
      <x:c r="F662" s="28"/>
      <x:c r="G662" s="28"/>
      <x:c r="H662" s="28"/>
      <x:c r="I662" s="28"/>
      <x:c r="J662" s="28"/>
      <x:c r="K662" s="28"/>
      <x:c r="L662" s="28"/>
      <x:c r="M662" s="28"/>
      <x:c r="N662" s="28"/>
      <x:c r="O662" s="28"/>
      <x:c r="P662" s="28"/>
      <x:c r="Q662" s="28"/>
      <x:c r="R662" s="28"/>
      <x:c r="S662" s="28"/>
      <x:c r="T662" s="28"/>
      <x:c r="U662" s="28"/>
      <x:c r="V662" s="28"/>
      <x:c r="W662" s="28"/>
      <x:c r="X662" s="43" t="n">
        <x:f>--AND(S662=1,T662=1,U662=1,V662=1,W662=1)</x:f>
        <x:v>0</x:v>
      </x:c>
      <x:c r="AE662" s="43" t="n">
        <x:f>--AND(S662=1,M662&lt;&gt;"",M662&lt;&gt;"keep")</x:f>
        <x:v>0</x:v>
      </x:c>
      <x:c r="AG662" t="n">
        <x:f>--AND(S662=1,T662=1,U662=1,V662=1,W662=1,AE662=1)</x:f>
        <x:v>0</x:v>
      </x:c>
      <x:c r="AJ662" t="str">
        <x:f>IF(OR(AH662="",AI662=""),"",--(AH662&lt;&gt;AI662))</x:f>
      </x:c>
      <x:c r="AL662" t="str">
        <x:f>IF(OR(AH662="",AI662=""),"PENDING_HUMAN",IF(AH662=AI662,AH662,IF(AK662&lt;&gt;"",AK662,"PENDING_HUMAN")))</x:f>
        <x:v>PENDING_HUMAN</x:v>
      </x:c>
      <x:c r="AM662" t="n">
        <x:f>--AND(A662&lt;&gt;"",AH662&lt;&gt;"",AI662&lt;&gt;"",OR(AH662=AI662,AK662&lt;&gt;""))</x:f>
        <x:v>0</x:v>
      </x:c>
      <x:c r="AN662" t="n">
        <x:f>--AND(Y662&lt;&gt;"",COUNTIF($Y$4:Y662,Y662)=1)</x:f>
        <x:v>0</x:v>
      </x:c>
      <x:c r="AO662" t="n">
        <x:f>--AND(AN662=1,Z662=1,AM662=1)</x:f>
        <x:v>0</x:v>
      </x:c>
      <x:c r="AP662" t="n">
        <x:f>--AND(AO662=1,AA662=1,AL662=1)</x:f>
        <x:v>0</x:v>
      </x:c>
      <x:c r="AQ662" t="n">
        <x:f>--AND(AN662=1,Z662=1)</x:f>
        <x:v>0</x:v>
      </x:c>
      <x:c r="AR662" t="n">
        <x:f>--AND(AQ662=1,AA662=1)</x:f>
        <x:v>0</x:v>
      </x:c>
    </x:row>
    <x:row r="663">
      <x:c r="A663" s="28"/>
      <x:c r="B663" s="28"/>
      <x:c r="C663" s="28"/>
      <x:c r="D663" s="28"/>
      <x:c r="E663" s="28"/>
      <x:c r="F663" s="28"/>
      <x:c r="G663" s="28"/>
      <x:c r="H663" s="28"/>
      <x:c r="I663" s="28"/>
      <x:c r="J663" s="28"/>
      <x:c r="K663" s="28"/>
      <x:c r="L663" s="28"/>
      <x:c r="M663" s="28"/>
      <x:c r="N663" s="28"/>
      <x:c r="O663" s="28"/>
      <x:c r="P663" s="28"/>
      <x:c r="Q663" s="28"/>
      <x:c r="R663" s="28"/>
      <x:c r="S663" s="28"/>
      <x:c r="T663" s="28"/>
      <x:c r="U663" s="28"/>
      <x:c r="V663" s="28"/>
      <x:c r="W663" s="28"/>
      <x:c r="X663" s="43" t="n">
        <x:f>--AND(S663=1,T663=1,U663=1,V663=1,W663=1)</x:f>
        <x:v>0</x:v>
      </x:c>
      <x:c r="AE663" s="43" t="n">
        <x:f>--AND(S663=1,M663&lt;&gt;"",M663&lt;&gt;"keep")</x:f>
        <x:v>0</x:v>
      </x:c>
      <x:c r="AG663" t="n">
        <x:f>--AND(S663=1,T663=1,U663=1,V663=1,W663=1,AE663=1)</x:f>
        <x:v>0</x:v>
      </x:c>
      <x:c r="AJ663" t="str">
        <x:f>IF(OR(AH663="",AI663=""),"",--(AH663&lt;&gt;AI663))</x:f>
      </x:c>
      <x:c r="AL663" t="str">
        <x:f>IF(OR(AH663="",AI663=""),"PENDING_HUMAN",IF(AH663=AI663,AH663,IF(AK663&lt;&gt;"",AK663,"PENDING_HUMAN")))</x:f>
        <x:v>PENDING_HUMAN</x:v>
      </x:c>
      <x:c r="AM663" t="n">
        <x:f>--AND(A663&lt;&gt;"",AH663&lt;&gt;"",AI663&lt;&gt;"",OR(AH663=AI663,AK663&lt;&gt;""))</x:f>
        <x:v>0</x:v>
      </x:c>
      <x:c r="AN663" t="n">
        <x:f>--AND(Y663&lt;&gt;"",COUNTIF($Y$4:Y663,Y663)=1)</x:f>
        <x:v>0</x:v>
      </x:c>
      <x:c r="AO663" t="n">
        <x:f>--AND(AN663=1,Z663=1,AM663=1)</x:f>
        <x:v>0</x:v>
      </x:c>
      <x:c r="AP663" t="n">
        <x:f>--AND(AO663=1,AA663=1,AL663=1)</x:f>
        <x:v>0</x:v>
      </x:c>
      <x:c r="AQ663" t="n">
        <x:f>--AND(AN663=1,Z663=1)</x:f>
        <x:v>0</x:v>
      </x:c>
      <x:c r="AR663" t="n">
        <x:f>--AND(AQ663=1,AA663=1)</x:f>
        <x:v>0</x:v>
      </x:c>
    </x:row>
    <x:row r="664">
      <x:c r="A664" s="28"/>
      <x:c r="B664" s="28"/>
      <x:c r="C664" s="28"/>
      <x:c r="D664" s="28"/>
      <x:c r="E664" s="28"/>
      <x:c r="F664" s="28"/>
      <x:c r="G664" s="28"/>
      <x:c r="H664" s="28"/>
      <x:c r="I664" s="28"/>
      <x:c r="J664" s="28"/>
      <x:c r="K664" s="28"/>
      <x:c r="L664" s="28"/>
      <x:c r="M664" s="28"/>
      <x:c r="N664" s="28"/>
      <x:c r="O664" s="28"/>
      <x:c r="P664" s="28"/>
      <x:c r="Q664" s="28"/>
      <x:c r="R664" s="28"/>
      <x:c r="S664" s="28"/>
      <x:c r="T664" s="28"/>
      <x:c r="U664" s="28"/>
      <x:c r="V664" s="28"/>
      <x:c r="W664" s="28"/>
      <x:c r="X664" s="43" t="n">
        <x:f>--AND(S664=1,T664=1,U664=1,V664=1,W664=1)</x:f>
        <x:v>0</x:v>
      </x:c>
      <x:c r="AE664" s="43" t="n">
        <x:f>--AND(S664=1,M664&lt;&gt;"",M664&lt;&gt;"keep")</x:f>
        <x:v>0</x:v>
      </x:c>
      <x:c r="AG664" t="n">
        <x:f>--AND(S664=1,T664=1,U664=1,V664=1,W664=1,AE664=1)</x:f>
        <x:v>0</x:v>
      </x:c>
      <x:c r="AJ664" t="str">
        <x:f>IF(OR(AH664="",AI664=""),"",--(AH664&lt;&gt;AI664))</x:f>
      </x:c>
      <x:c r="AL664" t="str">
        <x:f>IF(OR(AH664="",AI664=""),"PENDING_HUMAN",IF(AH664=AI664,AH664,IF(AK664&lt;&gt;"",AK664,"PENDING_HUMAN")))</x:f>
        <x:v>PENDING_HUMAN</x:v>
      </x:c>
      <x:c r="AM664" t="n">
        <x:f>--AND(A664&lt;&gt;"",AH664&lt;&gt;"",AI664&lt;&gt;"",OR(AH664=AI664,AK664&lt;&gt;""))</x:f>
        <x:v>0</x:v>
      </x:c>
      <x:c r="AN664" t="n">
        <x:f>--AND(Y664&lt;&gt;"",COUNTIF($Y$4:Y664,Y664)=1)</x:f>
        <x:v>0</x:v>
      </x:c>
      <x:c r="AO664" t="n">
        <x:f>--AND(AN664=1,Z664=1,AM664=1)</x:f>
        <x:v>0</x:v>
      </x:c>
      <x:c r="AP664" t="n">
        <x:f>--AND(AO664=1,AA664=1,AL664=1)</x:f>
        <x:v>0</x:v>
      </x:c>
      <x:c r="AQ664" t="n">
        <x:f>--AND(AN664=1,Z664=1)</x:f>
        <x:v>0</x:v>
      </x:c>
      <x:c r="AR664" t="n">
        <x:f>--AND(AQ664=1,AA664=1)</x:f>
        <x:v>0</x:v>
      </x:c>
    </x:row>
    <x:row r="665">
      <x:c r="A665" s="28"/>
      <x:c r="B665" s="28"/>
      <x:c r="C665" s="28"/>
      <x:c r="D665" s="28"/>
      <x:c r="E665" s="28"/>
      <x:c r="F665" s="28"/>
      <x:c r="G665" s="28"/>
      <x:c r="H665" s="28"/>
      <x:c r="I665" s="28"/>
      <x:c r="J665" s="28"/>
      <x:c r="K665" s="28"/>
      <x:c r="L665" s="28"/>
      <x:c r="M665" s="28"/>
      <x:c r="N665" s="28"/>
      <x:c r="O665" s="28"/>
      <x:c r="P665" s="28"/>
      <x:c r="Q665" s="28"/>
      <x:c r="R665" s="28"/>
      <x:c r="S665" s="28"/>
      <x:c r="T665" s="28"/>
      <x:c r="U665" s="28"/>
      <x:c r="V665" s="28"/>
      <x:c r="W665" s="28"/>
      <x:c r="X665" s="43" t="n">
        <x:f>--AND(S665=1,T665=1,U665=1,V665=1,W665=1)</x:f>
        <x:v>0</x:v>
      </x:c>
      <x:c r="AE665" s="43" t="n">
        <x:f>--AND(S665=1,M665&lt;&gt;"",M665&lt;&gt;"keep")</x:f>
        <x:v>0</x:v>
      </x:c>
      <x:c r="AG665" t="n">
        <x:f>--AND(S665=1,T665=1,U665=1,V665=1,W665=1,AE665=1)</x:f>
        <x:v>0</x:v>
      </x:c>
      <x:c r="AJ665" t="str">
        <x:f>IF(OR(AH665="",AI665=""),"",--(AH665&lt;&gt;AI665))</x:f>
      </x:c>
      <x:c r="AL665" t="str">
        <x:f>IF(OR(AH665="",AI665=""),"PENDING_HUMAN",IF(AH665=AI665,AH665,IF(AK665&lt;&gt;"",AK665,"PENDING_HUMAN")))</x:f>
        <x:v>PENDING_HUMAN</x:v>
      </x:c>
      <x:c r="AM665" t="n">
        <x:f>--AND(A665&lt;&gt;"",AH665&lt;&gt;"",AI665&lt;&gt;"",OR(AH665=AI665,AK665&lt;&gt;""))</x:f>
        <x:v>0</x:v>
      </x:c>
      <x:c r="AN665" t="n">
        <x:f>--AND(Y665&lt;&gt;"",COUNTIF($Y$4:Y665,Y665)=1)</x:f>
        <x:v>0</x:v>
      </x:c>
      <x:c r="AO665" t="n">
        <x:f>--AND(AN665=1,Z665=1,AM665=1)</x:f>
        <x:v>0</x:v>
      </x:c>
      <x:c r="AP665" t="n">
        <x:f>--AND(AO665=1,AA665=1,AL665=1)</x:f>
        <x:v>0</x:v>
      </x:c>
      <x:c r="AQ665" t="n">
        <x:f>--AND(AN665=1,Z665=1)</x:f>
        <x:v>0</x:v>
      </x:c>
      <x:c r="AR665" t="n">
        <x:f>--AND(AQ665=1,AA665=1)</x:f>
        <x:v>0</x:v>
      </x:c>
    </x:row>
    <x:row r="666">
      <x:c r="A666" s="28"/>
      <x:c r="B666" s="28"/>
      <x:c r="C666" s="28"/>
      <x:c r="D666" s="28"/>
      <x:c r="E666" s="28"/>
      <x:c r="F666" s="28"/>
      <x:c r="G666" s="28"/>
      <x:c r="H666" s="28"/>
      <x:c r="I666" s="28"/>
      <x:c r="J666" s="28"/>
      <x:c r="K666" s="28"/>
      <x:c r="L666" s="28"/>
      <x:c r="M666" s="28"/>
      <x:c r="N666" s="28"/>
      <x:c r="O666" s="28"/>
      <x:c r="P666" s="28"/>
      <x:c r="Q666" s="28"/>
      <x:c r="R666" s="28"/>
      <x:c r="S666" s="28"/>
      <x:c r="T666" s="28"/>
      <x:c r="U666" s="28"/>
      <x:c r="V666" s="28"/>
      <x:c r="W666" s="28"/>
      <x:c r="X666" s="43" t="n">
        <x:f>--AND(S666=1,T666=1,U666=1,V666=1,W666=1)</x:f>
        <x:v>0</x:v>
      </x:c>
      <x:c r="AE666" s="43" t="n">
        <x:f>--AND(S666=1,M666&lt;&gt;"",M666&lt;&gt;"keep")</x:f>
        <x:v>0</x:v>
      </x:c>
      <x:c r="AG666" t="n">
        <x:f>--AND(S666=1,T666=1,U666=1,V666=1,W666=1,AE666=1)</x:f>
        <x:v>0</x:v>
      </x:c>
      <x:c r="AJ666" t="str">
        <x:f>IF(OR(AH666="",AI666=""),"",--(AH666&lt;&gt;AI666))</x:f>
      </x:c>
      <x:c r="AL666" t="str">
        <x:f>IF(OR(AH666="",AI666=""),"PENDING_HUMAN",IF(AH666=AI666,AH666,IF(AK666&lt;&gt;"",AK666,"PENDING_HUMAN")))</x:f>
        <x:v>PENDING_HUMAN</x:v>
      </x:c>
      <x:c r="AM666" t="n">
        <x:f>--AND(A666&lt;&gt;"",AH666&lt;&gt;"",AI666&lt;&gt;"",OR(AH666=AI666,AK666&lt;&gt;""))</x:f>
        <x:v>0</x:v>
      </x:c>
      <x:c r="AN666" t="n">
        <x:f>--AND(Y666&lt;&gt;"",COUNTIF($Y$4:Y666,Y666)=1)</x:f>
        <x:v>0</x:v>
      </x:c>
      <x:c r="AO666" t="n">
        <x:f>--AND(AN666=1,Z666=1,AM666=1)</x:f>
        <x:v>0</x:v>
      </x:c>
      <x:c r="AP666" t="n">
        <x:f>--AND(AO666=1,AA666=1,AL666=1)</x:f>
        <x:v>0</x:v>
      </x:c>
      <x:c r="AQ666" t="n">
        <x:f>--AND(AN666=1,Z666=1)</x:f>
        <x:v>0</x:v>
      </x:c>
      <x:c r="AR666" t="n">
        <x:f>--AND(AQ666=1,AA666=1)</x:f>
        <x:v>0</x:v>
      </x:c>
    </x:row>
    <x:row r="667">
      <x:c r="A667" s="28"/>
      <x:c r="B667" s="28"/>
      <x:c r="C667" s="28"/>
      <x:c r="D667" s="28"/>
      <x:c r="E667" s="28"/>
      <x:c r="F667" s="28"/>
      <x:c r="G667" s="28"/>
      <x:c r="H667" s="28"/>
      <x:c r="I667" s="28"/>
      <x:c r="J667" s="28"/>
      <x:c r="K667" s="28"/>
      <x:c r="L667" s="28"/>
      <x:c r="M667" s="28"/>
      <x:c r="N667" s="28"/>
      <x:c r="O667" s="28"/>
      <x:c r="P667" s="28"/>
      <x:c r="Q667" s="28"/>
      <x:c r="R667" s="28"/>
      <x:c r="S667" s="28"/>
      <x:c r="T667" s="28"/>
      <x:c r="U667" s="28"/>
      <x:c r="V667" s="28"/>
      <x:c r="W667" s="28"/>
      <x:c r="X667" s="43" t="n">
        <x:f>--AND(S667=1,T667=1,U667=1,V667=1,W667=1)</x:f>
        <x:v>0</x:v>
      </x:c>
      <x:c r="AE667" s="43" t="n">
        <x:f>--AND(S667=1,M667&lt;&gt;"",M667&lt;&gt;"keep")</x:f>
        <x:v>0</x:v>
      </x:c>
      <x:c r="AG667" t="n">
        <x:f>--AND(S667=1,T667=1,U667=1,V667=1,W667=1,AE667=1)</x:f>
        <x:v>0</x:v>
      </x:c>
      <x:c r="AJ667" t="str">
        <x:f>IF(OR(AH667="",AI667=""),"",--(AH667&lt;&gt;AI667))</x:f>
      </x:c>
      <x:c r="AL667" t="str">
        <x:f>IF(OR(AH667="",AI667=""),"PENDING_HUMAN",IF(AH667=AI667,AH667,IF(AK667&lt;&gt;"",AK667,"PENDING_HUMAN")))</x:f>
        <x:v>PENDING_HUMAN</x:v>
      </x:c>
      <x:c r="AM667" t="n">
        <x:f>--AND(A667&lt;&gt;"",AH667&lt;&gt;"",AI667&lt;&gt;"",OR(AH667=AI667,AK667&lt;&gt;""))</x:f>
        <x:v>0</x:v>
      </x:c>
      <x:c r="AN667" t="n">
        <x:f>--AND(Y667&lt;&gt;"",COUNTIF($Y$4:Y667,Y667)=1)</x:f>
        <x:v>0</x:v>
      </x:c>
      <x:c r="AO667" t="n">
        <x:f>--AND(AN667=1,Z667=1,AM667=1)</x:f>
        <x:v>0</x:v>
      </x:c>
      <x:c r="AP667" t="n">
        <x:f>--AND(AO667=1,AA667=1,AL667=1)</x:f>
        <x:v>0</x:v>
      </x:c>
      <x:c r="AQ667" t="n">
        <x:f>--AND(AN667=1,Z667=1)</x:f>
        <x:v>0</x:v>
      </x:c>
      <x:c r="AR667" t="n">
        <x:f>--AND(AQ667=1,AA667=1)</x:f>
        <x:v>0</x:v>
      </x:c>
    </x:row>
    <x:row r="668">
      <x:c r="A668" s="28"/>
      <x:c r="B668" s="28"/>
      <x:c r="C668" s="28"/>
      <x:c r="D668" s="28"/>
      <x:c r="E668" s="28"/>
      <x:c r="F668" s="28"/>
      <x:c r="G668" s="28"/>
      <x:c r="H668" s="28"/>
      <x:c r="I668" s="28"/>
      <x:c r="J668" s="28"/>
      <x:c r="K668" s="28"/>
      <x:c r="L668" s="28"/>
      <x:c r="M668" s="28"/>
      <x:c r="N668" s="28"/>
      <x:c r="O668" s="28"/>
      <x:c r="P668" s="28"/>
      <x:c r="Q668" s="28"/>
      <x:c r="R668" s="28"/>
      <x:c r="S668" s="28"/>
      <x:c r="T668" s="28"/>
      <x:c r="U668" s="28"/>
      <x:c r="V668" s="28"/>
      <x:c r="W668" s="28"/>
      <x:c r="X668" s="43" t="n">
        <x:f>--AND(S668=1,T668=1,U668=1,V668=1,W668=1)</x:f>
        <x:v>0</x:v>
      </x:c>
      <x:c r="AE668" s="43" t="n">
        <x:f>--AND(S668=1,M668&lt;&gt;"",M668&lt;&gt;"keep")</x:f>
        <x:v>0</x:v>
      </x:c>
      <x:c r="AG668" t="n">
        <x:f>--AND(S668=1,T668=1,U668=1,V668=1,W668=1,AE668=1)</x:f>
        <x:v>0</x:v>
      </x:c>
      <x:c r="AJ668" t="str">
        <x:f>IF(OR(AH668="",AI668=""),"",--(AH668&lt;&gt;AI668))</x:f>
      </x:c>
      <x:c r="AL668" t="str">
        <x:f>IF(OR(AH668="",AI668=""),"PENDING_HUMAN",IF(AH668=AI668,AH668,IF(AK668&lt;&gt;"",AK668,"PENDING_HUMAN")))</x:f>
        <x:v>PENDING_HUMAN</x:v>
      </x:c>
      <x:c r="AM668" t="n">
        <x:f>--AND(A668&lt;&gt;"",AH668&lt;&gt;"",AI668&lt;&gt;"",OR(AH668=AI668,AK668&lt;&gt;""))</x:f>
        <x:v>0</x:v>
      </x:c>
      <x:c r="AN668" t="n">
        <x:f>--AND(Y668&lt;&gt;"",COUNTIF($Y$4:Y668,Y668)=1)</x:f>
        <x:v>0</x:v>
      </x:c>
      <x:c r="AO668" t="n">
        <x:f>--AND(AN668=1,Z668=1,AM668=1)</x:f>
        <x:v>0</x:v>
      </x:c>
      <x:c r="AP668" t="n">
        <x:f>--AND(AO668=1,AA668=1,AL668=1)</x:f>
        <x:v>0</x:v>
      </x:c>
      <x:c r="AQ668" t="n">
        <x:f>--AND(AN668=1,Z668=1)</x:f>
        <x:v>0</x:v>
      </x:c>
      <x:c r="AR668" t="n">
        <x:f>--AND(AQ668=1,AA668=1)</x:f>
        <x:v>0</x:v>
      </x:c>
    </x:row>
    <x:row r="669">
      <x:c r="A669" s="28"/>
      <x:c r="B669" s="28"/>
      <x:c r="C669" s="28"/>
      <x:c r="D669" s="28"/>
      <x:c r="E669" s="28"/>
      <x:c r="F669" s="28"/>
      <x:c r="G669" s="28"/>
      <x:c r="H669" s="28"/>
      <x:c r="I669" s="28"/>
      <x:c r="J669" s="28"/>
      <x:c r="K669" s="28"/>
      <x:c r="L669" s="28"/>
      <x:c r="M669" s="28"/>
      <x:c r="N669" s="28"/>
      <x:c r="O669" s="28"/>
      <x:c r="P669" s="28"/>
      <x:c r="Q669" s="28"/>
      <x:c r="R669" s="28"/>
      <x:c r="S669" s="28"/>
      <x:c r="T669" s="28"/>
      <x:c r="U669" s="28"/>
      <x:c r="V669" s="28"/>
      <x:c r="W669" s="28"/>
      <x:c r="X669" s="43" t="n">
        <x:f>--AND(S669=1,T669=1,U669=1,V669=1,W669=1)</x:f>
        <x:v>0</x:v>
      </x:c>
      <x:c r="AE669" s="43" t="n">
        <x:f>--AND(S669=1,M669&lt;&gt;"",M669&lt;&gt;"keep")</x:f>
        <x:v>0</x:v>
      </x:c>
      <x:c r="AG669" t="n">
        <x:f>--AND(S669=1,T669=1,U669=1,V669=1,W669=1,AE669=1)</x:f>
        <x:v>0</x:v>
      </x:c>
      <x:c r="AJ669" t="str">
        <x:f>IF(OR(AH669="",AI669=""),"",--(AH669&lt;&gt;AI669))</x:f>
      </x:c>
      <x:c r="AL669" t="str">
        <x:f>IF(OR(AH669="",AI669=""),"PENDING_HUMAN",IF(AH669=AI669,AH669,IF(AK669&lt;&gt;"",AK669,"PENDING_HUMAN")))</x:f>
        <x:v>PENDING_HUMAN</x:v>
      </x:c>
      <x:c r="AM669" t="n">
        <x:f>--AND(A669&lt;&gt;"",AH669&lt;&gt;"",AI669&lt;&gt;"",OR(AH669=AI669,AK669&lt;&gt;""))</x:f>
        <x:v>0</x:v>
      </x:c>
      <x:c r="AN669" t="n">
        <x:f>--AND(Y669&lt;&gt;"",COUNTIF($Y$4:Y669,Y669)=1)</x:f>
        <x:v>0</x:v>
      </x:c>
      <x:c r="AO669" t="n">
        <x:f>--AND(AN669=1,Z669=1,AM669=1)</x:f>
        <x:v>0</x:v>
      </x:c>
      <x:c r="AP669" t="n">
        <x:f>--AND(AO669=1,AA669=1,AL669=1)</x:f>
        <x:v>0</x:v>
      </x:c>
      <x:c r="AQ669" t="n">
        <x:f>--AND(AN669=1,Z669=1)</x:f>
        <x:v>0</x:v>
      </x:c>
      <x:c r="AR669" t="n">
        <x:f>--AND(AQ669=1,AA669=1)</x:f>
        <x:v>0</x:v>
      </x:c>
    </x:row>
    <x:row r="670">
      <x:c r="A670" s="28"/>
      <x:c r="B670" s="28"/>
      <x:c r="C670" s="28"/>
      <x:c r="D670" s="28"/>
      <x:c r="E670" s="28"/>
      <x:c r="F670" s="28"/>
      <x:c r="G670" s="28"/>
      <x:c r="H670" s="28"/>
      <x:c r="I670" s="28"/>
      <x:c r="J670" s="28"/>
      <x:c r="K670" s="28"/>
      <x:c r="L670" s="28"/>
      <x:c r="M670" s="28"/>
      <x:c r="N670" s="28"/>
      <x:c r="O670" s="28"/>
      <x:c r="P670" s="28"/>
      <x:c r="Q670" s="28"/>
      <x:c r="R670" s="28"/>
      <x:c r="S670" s="28"/>
      <x:c r="T670" s="28"/>
      <x:c r="U670" s="28"/>
      <x:c r="V670" s="28"/>
      <x:c r="W670" s="28"/>
      <x:c r="X670" s="43" t="n">
        <x:f>--AND(S670=1,T670=1,U670=1,V670=1,W670=1)</x:f>
        <x:v>0</x:v>
      </x:c>
      <x:c r="AE670" s="43" t="n">
        <x:f>--AND(S670=1,M670&lt;&gt;"",M670&lt;&gt;"keep")</x:f>
        <x:v>0</x:v>
      </x:c>
      <x:c r="AG670" t="n">
        <x:f>--AND(S670=1,T670=1,U670=1,V670=1,W670=1,AE670=1)</x:f>
        <x:v>0</x:v>
      </x:c>
      <x:c r="AJ670" t="str">
        <x:f>IF(OR(AH670="",AI670=""),"",--(AH670&lt;&gt;AI670))</x:f>
      </x:c>
      <x:c r="AL670" t="str">
        <x:f>IF(OR(AH670="",AI670=""),"PENDING_HUMAN",IF(AH670=AI670,AH670,IF(AK670&lt;&gt;"",AK670,"PENDING_HUMAN")))</x:f>
        <x:v>PENDING_HUMAN</x:v>
      </x:c>
      <x:c r="AM670" t="n">
        <x:f>--AND(A670&lt;&gt;"",AH670&lt;&gt;"",AI670&lt;&gt;"",OR(AH670=AI670,AK670&lt;&gt;""))</x:f>
        <x:v>0</x:v>
      </x:c>
      <x:c r="AN670" t="n">
        <x:f>--AND(Y670&lt;&gt;"",COUNTIF($Y$4:Y670,Y670)=1)</x:f>
        <x:v>0</x:v>
      </x:c>
      <x:c r="AO670" t="n">
        <x:f>--AND(AN670=1,Z670=1,AM670=1)</x:f>
        <x:v>0</x:v>
      </x:c>
      <x:c r="AP670" t="n">
        <x:f>--AND(AO670=1,AA670=1,AL670=1)</x:f>
        <x:v>0</x:v>
      </x:c>
      <x:c r="AQ670" t="n">
        <x:f>--AND(AN670=1,Z670=1)</x:f>
        <x:v>0</x:v>
      </x:c>
      <x:c r="AR670" t="n">
        <x:f>--AND(AQ670=1,AA670=1)</x:f>
        <x:v>0</x:v>
      </x:c>
    </x:row>
    <x:row r="671">
      <x:c r="A671" s="28"/>
      <x:c r="B671" s="28"/>
      <x:c r="C671" s="28"/>
      <x:c r="D671" s="28"/>
      <x:c r="E671" s="28"/>
      <x:c r="F671" s="28"/>
      <x:c r="G671" s="28"/>
      <x:c r="H671" s="28"/>
      <x:c r="I671" s="28"/>
      <x:c r="J671" s="28"/>
      <x:c r="K671" s="28"/>
      <x:c r="L671" s="28"/>
      <x:c r="M671" s="28"/>
      <x:c r="N671" s="28"/>
      <x:c r="O671" s="28"/>
      <x:c r="P671" s="28"/>
      <x:c r="Q671" s="28"/>
      <x:c r="R671" s="28"/>
      <x:c r="S671" s="28"/>
      <x:c r="T671" s="28"/>
      <x:c r="U671" s="28"/>
      <x:c r="V671" s="28"/>
      <x:c r="W671" s="28"/>
      <x:c r="X671" s="43" t="n">
        <x:f>--AND(S671=1,T671=1,U671=1,V671=1,W671=1)</x:f>
        <x:v>0</x:v>
      </x:c>
      <x:c r="AE671" s="43" t="n">
        <x:f>--AND(S671=1,M671&lt;&gt;"",M671&lt;&gt;"keep")</x:f>
        <x:v>0</x:v>
      </x:c>
      <x:c r="AG671" t="n">
        <x:f>--AND(S671=1,T671=1,U671=1,V671=1,W671=1,AE671=1)</x:f>
        <x:v>0</x:v>
      </x:c>
      <x:c r="AJ671" t="str">
        <x:f>IF(OR(AH671="",AI671=""),"",--(AH671&lt;&gt;AI671))</x:f>
      </x:c>
      <x:c r="AL671" t="str">
        <x:f>IF(OR(AH671="",AI671=""),"PENDING_HUMAN",IF(AH671=AI671,AH671,IF(AK671&lt;&gt;"",AK671,"PENDING_HUMAN")))</x:f>
        <x:v>PENDING_HUMAN</x:v>
      </x:c>
      <x:c r="AM671" t="n">
        <x:f>--AND(A671&lt;&gt;"",AH671&lt;&gt;"",AI671&lt;&gt;"",OR(AH671=AI671,AK671&lt;&gt;""))</x:f>
        <x:v>0</x:v>
      </x:c>
      <x:c r="AN671" t="n">
        <x:f>--AND(Y671&lt;&gt;"",COUNTIF($Y$4:Y671,Y671)=1)</x:f>
        <x:v>0</x:v>
      </x:c>
      <x:c r="AO671" t="n">
        <x:f>--AND(AN671=1,Z671=1,AM671=1)</x:f>
        <x:v>0</x:v>
      </x:c>
      <x:c r="AP671" t="n">
        <x:f>--AND(AO671=1,AA671=1,AL671=1)</x:f>
        <x:v>0</x:v>
      </x:c>
      <x:c r="AQ671" t="n">
        <x:f>--AND(AN671=1,Z671=1)</x:f>
        <x:v>0</x:v>
      </x:c>
      <x:c r="AR671" t="n">
        <x:f>--AND(AQ671=1,AA671=1)</x:f>
        <x:v>0</x:v>
      </x:c>
    </x:row>
    <x:row r="672">
      <x:c r="A672" s="28"/>
      <x:c r="B672" s="28"/>
      <x:c r="C672" s="28"/>
      <x:c r="D672" s="28"/>
      <x:c r="E672" s="28"/>
      <x:c r="F672" s="28"/>
      <x:c r="G672" s="28"/>
      <x:c r="H672" s="28"/>
      <x:c r="I672" s="28"/>
      <x:c r="J672" s="28"/>
      <x:c r="K672" s="28"/>
      <x:c r="L672" s="28"/>
      <x:c r="M672" s="28"/>
      <x:c r="N672" s="28"/>
      <x:c r="O672" s="28"/>
      <x:c r="P672" s="28"/>
      <x:c r="Q672" s="28"/>
      <x:c r="R672" s="28"/>
      <x:c r="S672" s="28"/>
      <x:c r="T672" s="28"/>
      <x:c r="U672" s="28"/>
      <x:c r="V672" s="28"/>
      <x:c r="W672" s="28"/>
      <x:c r="X672" s="43" t="n">
        <x:f>--AND(S672=1,T672=1,U672=1,V672=1,W672=1)</x:f>
        <x:v>0</x:v>
      </x:c>
      <x:c r="AE672" s="43" t="n">
        <x:f>--AND(S672=1,M672&lt;&gt;"",M672&lt;&gt;"keep")</x:f>
        <x:v>0</x:v>
      </x:c>
      <x:c r="AG672" t="n">
        <x:f>--AND(S672=1,T672=1,U672=1,V672=1,W672=1,AE672=1)</x:f>
        <x:v>0</x:v>
      </x:c>
      <x:c r="AJ672" t="str">
        <x:f>IF(OR(AH672="",AI672=""),"",--(AH672&lt;&gt;AI672))</x:f>
      </x:c>
      <x:c r="AL672" t="str">
        <x:f>IF(OR(AH672="",AI672=""),"PENDING_HUMAN",IF(AH672=AI672,AH672,IF(AK672&lt;&gt;"",AK672,"PENDING_HUMAN")))</x:f>
        <x:v>PENDING_HUMAN</x:v>
      </x:c>
      <x:c r="AM672" t="n">
        <x:f>--AND(A672&lt;&gt;"",AH672&lt;&gt;"",AI672&lt;&gt;"",OR(AH672=AI672,AK672&lt;&gt;""))</x:f>
        <x:v>0</x:v>
      </x:c>
      <x:c r="AN672" t="n">
        <x:f>--AND(Y672&lt;&gt;"",COUNTIF($Y$4:Y672,Y672)=1)</x:f>
        <x:v>0</x:v>
      </x:c>
      <x:c r="AO672" t="n">
        <x:f>--AND(AN672=1,Z672=1,AM672=1)</x:f>
        <x:v>0</x:v>
      </x:c>
      <x:c r="AP672" t="n">
        <x:f>--AND(AO672=1,AA672=1,AL672=1)</x:f>
        <x:v>0</x:v>
      </x:c>
      <x:c r="AQ672" t="n">
        <x:f>--AND(AN672=1,Z672=1)</x:f>
        <x:v>0</x:v>
      </x:c>
      <x:c r="AR672" t="n">
        <x:f>--AND(AQ672=1,AA672=1)</x:f>
        <x:v>0</x:v>
      </x:c>
    </x:row>
    <x:row r="673">
      <x:c r="A673" s="28"/>
      <x:c r="B673" s="28"/>
      <x:c r="C673" s="28"/>
      <x:c r="D673" s="28"/>
      <x:c r="E673" s="28"/>
      <x:c r="F673" s="28"/>
      <x:c r="G673" s="28"/>
      <x:c r="H673" s="28"/>
      <x:c r="I673" s="28"/>
      <x:c r="J673" s="28"/>
      <x:c r="K673" s="28"/>
      <x:c r="L673" s="28"/>
      <x:c r="M673" s="28"/>
      <x:c r="N673" s="28"/>
      <x:c r="O673" s="28"/>
      <x:c r="P673" s="28"/>
      <x:c r="Q673" s="28"/>
      <x:c r="R673" s="28"/>
      <x:c r="S673" s="28"/>
      <x:c r="T673" s="28"/>
      <x:c r="U673" s="28"/>
      <x:c r="V673" s="28"/>
      <x:c r="W673" s="28"/>
      <x:c r="X673" s="43" t="n">
        <x:f>--AND(S673=1,T673=1,U673=1,V673=1,W673=1)</x:f>
        <x:v>0</x:v>
      </x:c>
      <x:c r="AE673" s="43" t="n">
        <x:f>--AND(S673=1,M673&lt;&gt;"",M673&lt;&gt;"keep")</x:f>
        <x:v>0</x:v>
      </x:c>
      <x:c r="AG673" t="n">
        <x:f>--AND(S673=1,T673=1,U673=1,V673=1,W673=1,AE673=1)</x:f>
        <x:v>0</x:v>
      </x:c>
      <x:c r="AJ673" t="str">
        <x:f>IF(OR(AH673="",AI673=""),"",--(AH673&lt;&gt;AI673))</x:f>
      </x:c>
      <x:c r="AL673" t="str">
        <x:f>IF(OR(AH673="",AI673=""),"PENDING_HUMAN",IF(AH673=AI673,AH673,IF(AK673&lt;&gt;"",AK673,"PENDING_HUMAN")))</x:f>
        <x:v>PENDING_HUMAN</x:v>
      </x:c>
      <x:c r="AM673" t="n">
        <x:f>--AND(A673&lt;&gt;"",AH673&lt;&gt;"",AI673&lt;&gt;"",OR(AH673=AI673,AK673&lt;&gt;""))</x:f>
        <x:v>0</x:v>
      </x:c>
      <x:c r="AN673" t="n">
        <x:f>--AND(Y673&lt;&gt;"",COUNTIF($Y$4:Y673,Y673)=1)</x:f>
        <x:v>0</x:v>
      </x:c>
      <x:c r="AO673" t="n">
        <x:f>--AND(AN673=1,Z673=1,AM673=1)</x:f>
        <x:v>0</x:v>
      </x:c>
      <x:c r="AP673" t="n">
        <x:f>--AND(AO673=1,AA673=1,AL673=1)</x:f>
        <x:v>0</x:v>
      </x:c>
      <x:c r="AQ673" t="n">
        <x:f>--AND(AN673=1,Z673=1)</x:f>
        <x:v>0</x:v>
      </x:c>
      <x:c r="AR673" t="n">
        <x:f>--AND(AQ673=1,AA673=1)</x:f>
        <x:v>0</x:v>
      </x:c>
    </x:row>
    <x:row r="674">
      <x:c r="A674" s="28"/>
      <x:c r="B674" s="28"/>
      <x:c r="C674" s="28"/>
      <x:c r="D674" s="28"/>
      <x:c r="E674" s="28"/>
      <x:c r="F674" s="28"/>
      <x:c r="G674" s="28"/>
      <x:c r="H674" s="28"/>
      <x:c r="I674" s="28"/>
      <x:c r="J674" s="28"/>
      <x:c r="K674" s="28"/>
      <x:c r="L674" s="28"/>
      <x:c r="M674" s="28"/>
      <x:c r="N674" s="28"/>
      <x:c r="O674" s="28"/>
      <x:c r="P674" s="28"/>
      <x:c r="Q674" s="28"/>
      <x:c r="R674" s="28"/>
      <x:c r="S674" s="28"/>
      <x:c r="T674" s="28"/>
      <x:c r="U674" s="28"/>
      <x:c r="V674" s="28"/>
      <x:c r="W674" s="28"/>
      <x:c r="X674" s="43" t="n">
        <x:f>--AND(S674=1,T674=1,U674=1,V674=1,W674=1)</x:f>
        <x:v>0</x:v>
      </x:c>
      <x:c r="AE674" s="43" t="n">
        <x:f>--AND(S674=1,M674&lt;&gt;"",M674&lt;&gt;"keep")</x:f>
        <x:v>0</x:v>
      </x:c>
      <x:c r="AG674" t="n">
        <x:f>--AND(S674=1,T674=1,U674=1,V674=1,W674=1,AE674=1)</x:f>
        <x:v>0</x:v>
      </x:c>
      <x:c r="AJ674" t="str">
        <x:f>IF(OR(AH674="",AI674=""),"",--(AH674&lt;&gt;AI674))</x:f>
      </x:c>
      <x:c r="AL674" t="str">
        <x:f>IF(OR(AH674="",AI674=""),"PENDING_HUMAN",IF(AH674=AI674,AH674,IF(AK674&lt;&gt;"",AK674,"PENDING_HUMAN")))</x:f>
        <x:v>PENDING_HUMAN</x:v>
      </x:c>
      <x:c r="AM674" t="n">
        <x:f>--AND(A674&lt;&gt;"",AH674&lt;&gt;"",AI674&lt;&gt;"",OR(AH674=AI674,AK674&lt;&gt;""))</x:f>
        <x:v>0</x:v>
      </x:c>
      <x:c r="AN674" t="n">
        <x:f>--AND(Y674&lt;&gt;"",COUNTIF($Y$4:Y674,Y674)=1)</x:f>
        <x:v>0</x:v>
      </x:c>
      <x:c r="AO674" t="n">
        <x:f>--AND(AN674=1,Z674=1,AM674=1)</x:f>
        <x:v>0</x:v>
      </x:c>
      <x:c r="AP674" t="n">
        <x:f>--AND(AO674=1,AA674=1,AL674=1)</x:f>
        <x:v>0</x:v>
      </x:c>
      <x:c r="AQ674" t="n">
        <x:f>--AND(AN674=1,Z674=1)</x:f>
        <x:v>0</x:v>
      </x:c>
      <x:c r="AR674" t="n">
        <x:f>--AND(AQ674=1,AA674=1)</x:f>
        <x:v>0</x:v>
      </x:c>
    </x:row>
    <x:row r="675">
      <x:c r="A675" s="28"/>
      <x:c r="B675" s="28"/>
      <x:c r="C675" s="28"/>
      <x:c r="D675" s="28"/>
      <x:c r="E675" s="28"/>
      <x:c r="F675" s="28"/>
      <x:c r="G675" s="28"/>
      <x:c r="H675" s="28"/>
      <x:c r="I675" s="28"/>
      <x:c r="J675" s="28"/>
      <x:c r="K675" s="28"/>
      <x:c r="L675" s="28"/>
      <x:c r="M675" s="28"/>
      <x:c r="N675" s="28"/>
      <x:c r="O675" s="28"/>
      <x:c r="P675" s="28"/>
      <x:c r="Q675" s="28"/>
      <x:c r="R675" s="28"/>
      <x:c r="S675" s="28"/>
      <x:c r="T675" s="28"/>
      <x:c r="U675" s="28"/>
      <x:c r="V675" s="28"/>
      <x:c r="W675" s="28"/>
      <x:c r="X675" s="43" t="n">
        <x:f>--AND(S675=1,T675=1,U675=1,V675=1,W675=1)</x:f>
        <x:v>0</x:v>
      </x:c>
      <x:c r="AE675" s="43" t="n">
        <x:f>--AND(S675=1,M675&lt;&gt;"",M675&lt;&gt;"keep")</x:f>
        <x:v>0</x:v>
      </x:c>
      <x:c r="AG675" t="n">
        <x:f>--AND(S675=1,T675=1,U675=1,V675=1,W675=1,AE675=1)</x:f>
        <x:v>0</x:v>
      </x:c>
      <x:c r="AJ675" t="str">
        <x:f>IF(OR(AH675="",AI675=""),"",--(AH675&lt;&gt;AI675))</x:f>
      </x:c>
      <x:c r="AL675" t="str">
        <x:f>IF(OR(AH675="",AI675=""),"PENDING_HUMAN",IF(AH675=AI675,AH675,IF(AK675&lt;&gt;"",AK675,"PENDING_HUMAN")))</x:f>
        <x:v>PENDING_HUMAN</x:v>
      </x:c>
      <x:c r="AM675" t="n">
        <x:f>--AND(A675&lt;&gt;"",AH675&lt;&gt;"",AI675&lt;&gt;"",OR(AH675=AI675,AK675&lt;&gt;""))</x:f>
        <x:v>0</x:v>
      </x:c>
      <x:c r="AN675" t="n">
        <x:f>--AND(Y675&lt;&gt;"",COUNTIF($Y$4:Y675,Y675)=1)</x:f>
        <x:v>0</x:v>
      </x:c>
      <x:c r="AO675" t="n">
        <x:f>--AND(AN675=1,Z675=1,AM675=1)</x:f>
        <x:v>0</x:v>
      </x:c>
      <x:c r="AP675" t="n">
        <x:f>--AND(AO675=1,AA675=1,AL675=1)</x:f>
        <x:v>0</x:v>
      </x:c>
      <x:c r="AQ675" t="n">
        <x:f>--AND(AN675=1,Z675=1)</x:f>
        <x:v>0</x:v>
      </x:c>
      <x:c r="AR675" t="n">
        <x:f>--AND(AQ675=1,AA675=1)</x:f>
        <x:v>0</x:v>
      </x:c>
    </x:row>
    <x:row r="676">
      <x:c r="A676" s="28"/>
      <x:c r="B676" s="28"/>
      <x:c r="C676" s="28"/>
      <x:c r="D676" s="28"/>
      <x:c r="E676" s="28"/>
      <x:c r="F676" s="28"/>
      <x:c r="G676" s="28"/>
      <x:c r="H676" s="28"/>
      <x:c r="I676" s="28"/>
      <x:c r="J676" s="28"/>
      <x:c r="K676" s="28"/>
      <x:c r="L676" s="28"/>
      <x:c r="M676" s="28"/>
      <x:c r="N676" s="28"/>
      <x:c r="O676" s="28"/>
      <x:c r="P676" s="28"/>
      <x:c r="Q676" s="28"/>
      <x:c r="R676" s="28"/>
      <x:c r="S676" s="28"/>
      <x:c r="T676" s="28"/>
      <x:c r="U676" s="28"/>
      <x:c r="V676" s="28"/>
      <x:c r="W676" s="28"/>
      <x:c r="X676" s="43" t="n">
        <x:f>--AND(S676=1,T676=1,U676=1,V676=1,W676=1)</x:f>
        <x:v>0</x:v>
      </x:c>
      <x:c r="AE676" s="43" t="n">
        <x:f>--AND(S676=1,M676&lt;&gt;"",M676&lt;&gt;"keep")</x:f>
        <x:v>0</x:v>
      </x:c>
      <x:c r="AG676" t="n">
        <x:f>--AND(S676=1,T676=1,U676=1,V676=1,W676=1,AE676=1)</x:f>
        <x:v>0</x:v>
      </x:c>
      <x:c r="AJ676" t="str">
        <x:f>IF(OR(AH676="",AI676=""),"",--(AH676&lt;&gt;AI676))</x:f>
      </x:c>
      <x:c r="AL676" t="str">
        <x:f>IF(OR(AH676="",AI676=""),"PENDING_HUMAN",IF(AH676=AI676,AH676,IF(AK676&lt;&gt;"",AK676,"PENDING_HUMAN")))</x:f>
        <x:v>PENDING_HUMAN</x:v>
      </x:c>
      <x:c r="AM676" t="n">
        <x:f>--AND(A676&lt;&gt;"",AH676&lt;&gt;"",AI676&lt;&gt;"",OR(AH676=AI676,AK676&lt;&gt;""))</x:f>
        <x:v>0</x:v>
      </x:c>
      <x:c r="AN676" t="n">
        <x:f>--AND(Y676&lt;&gt;"",COUNTIF($Y$4:Y676,Y676)=1)</x:f>
        <x:v>0</x:v>
      </x:c>
      <x:c r="AO676" t="n">
        <x:f>--AND(AN676=1,Z676=1,AM676=1)</x:f>
        <x:v>0</x:v>
      </x:c>
      <x:c r="AP676" t="n">
        <x:f>--AND(AO676=1,AA676=1,AL676=1)</x:f>
        <x:v>0</x:v>
      </x:c>
      <x:c r="AQ676" t="n">
        <x:f>--AND(AN676=1,Z676=1)</x:f>
        <x:v>0</x:v>
      </x:c>
      <x:c r="AR676" t="n">
        <x:f>--AND(AQ676=1,AA676=1)</x:f>
        <x:v>0</x:v>
      </x:c>
    </x:row>
    <x:row r="677">
      <x:c r="A677" s="28"/>
      <x:c r="B677" s="28"/>
      <x:c r="C677" s="28"/>
      <x:c r="D677" s="28"/>
      <x:c r="E677" s="28"/>
      <x:c r="F677" s="28"/>
      <x:c r="G677" s="28"/>
      <x:c r="H677" s="28"/>
      <x:c r="I677" s="28"/>
      <x:c r="J677" s="28"/>
      <x:c r="K677" s="28"/>
      <x:c r="L677" s="28"/>
      <x:c r="M677" s="28"/>
      <x:c r="N677" s="28"/>
      <x:c r="O677" s="28"/>
      <x:c r="P677" s="28"/>
      <x:c r="Q677" s="28"/>
      <x:c r="R677" s="28"/>
      <x:c r="S677" s="28"/>
      <x:c r="T677" s="28"/>
      <x:c r="U677" s="28"/>
      <x:c r="V677" s="28"/>
      <x:c r="W677" s="28"/>
      <x:c r="X677" s="43" t="n">
        <x:f>--AND(S677=1,T677=1,U677=1,V677=1,W677=1)</x:f>
        <x:v>0</x:v>
      </x:c>
      <x:c r="AE677" s="43" t="n">
        <x:f>--AND(S677=1,M677&lt;&gt;"",M677&lt;&gt;"keep")</x:f>
        <x:v>0</x:v>
      </x:c>
      <x:c r="AG677" t="n">
        <x:f>--AND(S677=1,T677=1,U677=1,V677=1,W677=1,AE677=1)</x:f>
        <x:v>0</x:v>
      </x:c>
      <x:c r="AJ677" t="str">
        <x:f>IF(OR(AH677="",AI677=""),"",--(AH677&lt;&gt;AI677))</x:f>
      </x:c>
      <x:c r="AL677" t="str">
        <x:f>IF(OR(AH677="",AI677=""),"PENDING_HUMAN",IF(AH677=AI677,AH677,IF(AK677&lt;&gt;"",AK677,"PENDING_HUMAN")))</x:f>
        <x:v>PENDING_HUMAN</x:v>
      </x:c>
      <x:c r="AM677" t="n">
        <x:f>--AND(A677&lt;&gt;"",AH677&lt;&gt;"",AI677&lt;&gt;"",OR(AH677=AI677,AK677&lt;&gt;""))</x:f>
        <x:v>0</x:v>
      </x:c>
      <x:c r="AN677" t="n">
        <x:f>--AND(Y677&lt;&gt;"",COUNTIF($Y$4:Y677,Y677)=1)</x:f>
        <x:v>0</x:v>
      </x:c>
      <x:c r="AO677" t="n">
        <x:f>--AND(AN677=1,Z677=1,AM677=1)</x:f>
        <x:v>0</x:v>
      </x:c>
      <x:c r="AP677" t="n">
        <x:f>--AND(AO677=1,AA677=1,AL677=1)</x:f>
        <x:v>0</x:v>
      </x:c>
      <x:c r="AQ677" t="n">
        <x:f>--AND(AN677=1,Z677=1)</x:f>
        <x:v>0</x:v>
      </x:c>
      <x:c r="AR677" t="n">
        <x:f>--AND(AQ677=1,AA677=1)</x:f>
        <x:v>0</x:v>
      </x:c>
    </x:row>
    <x:row r="678">
      <x:c r="A678" s="28"/>
      <x:c r="B678" s="28"/>
      <x:c r="C678" s="28"/>
      <x:c r="D678" s="28"/>
      <x:c r="E678" s="28"/>
      <x:c r="F678" s="28"/>
      <x:c r="G678" s="28"/>
      <x:c r="H678" s="28"/>
      <x:c r="I678" s="28"/>
      <x:c r="J678" s="28"/>
      <x:c r="K678" s="28"/>
      <x:c r="L678" s="28"/>
      <x:c r="M678" s="28"/>
      <x:c r="N678" s="28"/>
      <x:c r="O678" s="28"/>
      <x:c r="P678" s="28"/>
      <x:c r="Q678" s="28"/>
      <x:c r="R678" s="28"/>
      <x:c r="S678" s="28"/>
      <x:c r="T678" s="28"/>
      <x:c r="U678" s="28"/>
      <x:c r="V678" s="28"/>
      <x:c r="W678" s="28"/>
      <x:c r="X678" s="43" t="n">
        <x:f>--AND(S678=1,T678=1,U678=1,V678=1,W678=1)</x:f>
        <x:v>0</x:v>
      </x:c>
      <x:c r="AE678" s="43" t="n">
        <x:f>--AND(S678=1,M678&lt;&gt;"",M678&lt;&gt;"keep")</x:f>
        <x:v>0</x:v>
      </x:c>
      <x:c r="AG678" t="n">
        <x:f>--AND(S678=1,T678=1,U678=1,V678=1,W678=1,AE678=1)</x:f>
        <x:v>0</x:v>
      </x:c>
      <x:c r="AJ678" t="str">
        <x:f>IF(OR(AH678="",AI678=""),"",--(AH678&lt;&gt;AI678))</x:f>
      </x:c>
      <x:c r="AL678" t="str">
        <x:f>IF(OR(AH678="",AI678=""),"PENDING_HUMAN",IF(AH678=AI678,AH678,IF(AK678&lt;&gt;"",AK678,"PENDING_HUMAN")))</x:f>
        <x:v>PENDING_HUMAN</x:v>
      </x:c>
      <x:c r="AM678" t="n">
        <x:f>--AND(A678&lt;&gt;"",AH678&lt;&gt;"",AI678&lt;&gt;"",OR(AH678=AI678,AK678&lt;&gt;""))</x:f>
        <x:v>0</x:v>
      </x:c>
      <x:c r="AN678" t="n">
        <x:f>--AND(Y678&lt;&gt;"",COUNTIF($Y$4:Y678,Y678)=1)</x:f>
        <x:v>0</x:v>
      </x:c>
      <x:c r="AO678" t="n">
        <x:f>--AND(AN678=1,Z678=1,AM678=1)</x:f>
        <x:v>0</x:v>
      </x:c>
      <x:c r="AP678" t="n">
        <x:f>--AND(AO678=1,AA678=1,AL678=1)</x:f>
        <x:v>0</x:v>
      </x:c>
      <x:c r="AQ678" t="n">
        <x:f>--AND(AN678=1,Z678=1)</x:f>
        <x:v>0</x:v>
      </x:c>
      <x:c r="AR678" t="n">
        <x:f>--AND(AQ678=1,AA678=1)</x:f>
        <x:v>0</x:v>
      </x:c>
    </x:row>
    <x:row r="679">
      <x:c r="A679" s="28"/>
      <x:c r="B679" s="28"/>
      <x:c r="C679" s="28"/>
      <x:c r="D679" s="28"/>
      <x:c r="E679" s="28"/>
      <x:c r="F679" s="28"/>
      <x:c r="G679" s="28"/>
      <x:c r="H679" s="28"/>
      <x:c r="I679" s="28"/>
      <x:c r="J679" s="28"/>
      <x:c r="K679" s="28"/>
      <x:c r="L679" s="28"/>
      <x:c r="M679" s="28"/>
      <x:c r="N679" s="28"/>
      <x:c r="O679" s="28"/>
      <x:c r="P679" s="28"/>
      <x:c r="Q679" s="28"/>
      <x:c r="R679" s="28"/>
      <x:c r="S679" s="28"/>
      <x:c r="T679" s="28"/>
      <x:c r="U679" s="28"/>
      <x:c r="V679" s="28"/>
      <x:c r="W679" s="28"/>
      <x:c r="X679" s="43" t="n">
        <x:f>--AND(S679=1,T679=1,U679=1,V679=1,W679=1)</x:f>
        <x:v>0</x:v>
      </x:c>
      <x:c r="AE679" s="43" t="n">
        <x:f>--AND(S679=1,M679&lt;&gt;"",M679&lt;&gt;"keep")</x:f>
        <x:v>0</x:v>
      </x:c>
      <x:c r="AG679" t="n">
        <x:f>--AND(S679=1,T679=1,U679=1,V679=1,W679=1,AE679=1)</x:f>
        <x:v>0</x:v>
      </x:c>
      <x:c r="AJ679" t="str">
        <x:f>IF(OR(AH679="",AI679=""),"",--(AH679&lt;&gt;AI679))</x:f>
      </x:c>
      <x:c r="AL679" t="str">
        <x:f>IF(OR(AH679="",AI679=""),"PENDING_HUMAN",IF(AH679=AI679,AH679,IF(AK679&lt;&gt;"",AK679,"PENDING_HUMAN")))</x:f>
        <x:v>PENDING_HUMAN</x:v>
      </x:c>
      <x:c r="AM679" t="n">
        <x:f>--AND(A679&lt;&gt;"",AH679&lt;&gt;"",AI679&lt;&gt;"",OR(AH679=AI679,AK679&lt;&gt;""))</x:f>
        <x:v>0</x:v>
      </x:c>
      <x:c r="AN679" t="n">
        <x:f>--AND(Y679&lt;&gt;"",COUNTIF($Y$4:Y679,Y679)=1)</x:f>
        <x:v>0</x:v>
      </x:c>
      <x:c r="AO679" t="n">
        <x:f>--AND(AN679=1,Z679=1,AM679=1)</x:f>
        <x:v>0</x:v>
      </x:c>
      <x:c r="AP679" t="n">
        <x:f>--AND(AO679=1,AA679=1,AL679=1)</x:f>
        <x:v>0</x:v>
      </x:c>
      <x:c r="AQ679" t="n">
        <x:f>--AND(AN679=1,Z679=1)</x:f>
        <x:v>0</x:v>
      </x:c>
      <x:c r="AR679" t="n">
        <x:f>--AND(AQ679=1,AA679=1)</x:f>
        <x:v>0</x:v>
      </x:c>
    </x:row>
    <x:row r="680">
      <x:c r="A680" s="28"/>
      <x:c r="B680" s="28"/>
      <x:c r="C680" s="28"/>
      <x:c r="D680" s="28"/>
      <x:c r="E680" s="28"/>
      <x:c r="F680" s="28"/>
      <x:c r="G680" s="28"/>
      <x:c r="H680" s="28"/>
      <x:c r="I680" s="28"/>
      <x:c r="J680" s="28"/>
      <x:c r="K680" s="28"/>
      <x:c r="L680" s="28"/>
      <x:c r="M680" s="28"/>
      <x:c r="N680" s="28"/>
      <x:c r="O680" s="28"/>
      <x:c r="P680" s="28"/>
      <x:c r="Q680" s="28"/>
      <x:c r="R680" s="28"/>
      <x:c r="S680" s="28"/>
      <x:c r="T680" s="28"/>
      <x:c r="U680" s="28"/>
      <x:c r="V680" s="28"/>
      <x:c r="W680" s="28"/>
      <x:c r="X680" s="43" t="n">
        <x:f>--AND(S680=1,T680=1,U680=1,V680=1,W680=1)</x:f>
        <x:v>0</x:v>
      </x:c>
      <x:c r="AE680" s="43" t="n">
        <x:f>--AND(S680=1,M680&lt;&gt;"",M680&lt;&gt;"keep")</x:f>
        <x:v>0</x:v>
      </x:c>
      <x:c r="AG680" t="n">
        <x:f>--AND(S680=1,T680=1,U680=1,V680=1,W680=1,AE680=1)</x:f>
        <x:v>0</x:v>
      </x:c>
      <x:c r="AJ680" t="str">
        <x:f>IF(OR(AH680="",AI680=""),"",--(AH680&lt;&gt;AI680))</x:f>
      </x:c>
      <x:c r="AL680" t="str">
        <x:f>IF(OR(AH680="",AI680=""),"PENDING_HUMAN",IF(AH680=AI680,AH680,IF(AK680&lt;&gt;"",AK680,"PENDING_HUMAN")))</x:f>
        <x:v>PENDING_HUMAN</x:v>
      </x:c>
      <x:c r="AM680" t="n">
        <x:f>--AND(A680&lt;&gt;"",AH680&lt;&gt;"",AI680&lt;&gt;"",OR(AH680=AI680,AK680&lt;&gt;""))</x:f>
        <x:v>0</x:v>
      </x:c>
      <x:c r="AN680" t="n">
        <x:f>--AND(Y680&lt;&gt;"",COUNTIF($Y$4:Y680,Y680)=1)</x:f>
        <x:v>0</x:v>
      </x:c>
      <x:c r="AO680" t="n">
        <x:f>--AND(AN680=1,Z680=1,AM680=1)</x:f>
        <x:v>0</x:v>
      </x:c>
      <x:c r="AP680" t="n">
        <x:f>--AND(AO680=1,AA680=1,AL680=1)</x:f>
        <x:v>0</x:v>
      </x:c>
      <x:c r="AQ680" t="n">
        <x:f>--AND(AN680=1,Z680=1)</x:f>
        <x:v>0</x:v>
      </x:c>
      <x:c r="AR680" t="n">
        <x:f>--AND(AQ680=1,AA680=1)</x:f>
        <x:v>0</x:v>
      </x:c>
    </x:row>
    <x:row r="681">
      <x:c r="A681" s="28"/>
      <x:c r="B681" s="28"/>
      <x:c r="C681" s="28"/>
      <x:c r="D681" s="28"/>
      <x:c r="E681" s="28"/>
      <x:c r="F681" s="28"/>
      <x:c r="G681" s="28"/>
      <x:c r="H681" s="28"/>
      <x:c r="I681" s="28"/>
      <x:c r="J681" s="28"/>
      <x:c r="K681" s="28"/>
      <x:c r="L681" s="28"/>
      <x:c r="M681" s="28"/>
      <x:c r="N681" s="28"/>
      <x:c r="O681" s="28"/>
      <x:c r="P681" s="28"/>
      <x:c r="Q681" s="28"/>
      <x:c r="R681" s="28"/>
      <x:c r="S681" s="28"/>
      <x:c r="T681" s="28"/>
      <x:c r="U681" s="28"/>
      <x:c r="V681" s="28"/>
      <x:c r="W681" s="28"/>
      <x:c r="X681" s="43" t="n">
        <x:f>--AND(S681=1,T681=1,U681=1,V681=1,W681=1)</x:f>
        <x:v>0</x:v>
      </x:c>
      <x:c r="AE681" s="43" t="n">
        <x:f>--AND(S681=1,M681&lt;&gt;"",M681&lt;&gt;"keep")</x:f>
        <x:v>0</x:v>
      </x:c>
      <x:c r="AG681" t="n">
        <x:f>--AND(S681=1,T681=1,U681=1,V681=1,W681=1,AE681=1)</x:f>
        <x:v>0</x:v>
      </x:c>
      <x:c r="AJ681" t="str">
        <x:f>IF(OR(AH681="",AI681=""),"",--(AH681&lt;&gt;AI681))</x:f>
      </x:c>
      <x:c r="AL681" t="str">
        <x:f>IF(OR(AH681="",AI681=""),"PENDING_HUMAN",IF(AH681=AI681,AH681,IF(AK681&lt;&gt;"",AK681,"PENDING_HUMAN")))</x:f>
        <x:v>PENDING_HUMAN</x:v>
      </x:c>
      <x:c r="AM681" t="n">
        <x:f>--AND(A681&lt;&gt;"",AH681&lt;&gt;"",AI681&lt;&gt;"",OR(AH681=AI681,AK681&lt;&gt;""))</x:f>
        <x:v>0</x:v>
      </x:c>
      <x:c r="AN681" t="n">
        <x:f>--AND(Y681&lt;&gt;"",COUNTIF($Y$4:Y681,Y681)=1)</x:f>
        <x:v>0</x:v>
      </x:c>
      <x:c r="AO681" t="n">
        <x:f>--AND(AN681=1,Z681=1,AM681=1)</x:f>
        <x:v>0</x:v>
      </x:c>
      <x:c r="AP681" t="n">
        <x:f>--AND(AO681=1,AA681=1,AL681=1)</x:f>
        <x:v>0</x:v>
      </x:c>
      <x:c r="AQ681" t="n">
        <x:f>--AND(AN681=1,Z681=1)</x:f>
        <x:v>0</x:v>
      </x:c>
      <x:c r="AR681" t="n">
        <x:f>--AND(AQ681=1,AA681=1)</x:f>
        <x:v>0</x:v>
      </x:c>
    </x:row>
    <x:row r="682">
      <x:c r="A682" s="28"/>
      <x:c r="B682" s="28"/>
      <x:c r="C682" s="28"/>
      <x:c r="D682" s="28"/>
      <x:c r="E682" s="28"/>
      <x:c r="F682" s="28"/>
      <x:c r="G682" s="28"/>
      <x:c r="H682" s="28"/>
      <x:c r="I682" s="28"/>
      <x:c r="J682" s="28"/>
      <x:c r="K682" s="28"/>
      <x:c r="L682" s="28"/>
      <x:c r="M682" s="28"/>
      <x:c r="N682" s="28"/>
      <x:c r="O682" s="28"/>
      <x:c r="P682" s="28"/>
      <x:c r="Q682" s="28"/>
      <x:c r="R682" s="28"/>
      <x:c r="S682" s="28"/>
      <x:c r="T682" s="28"/>
      <x:c r="U682" s="28"/>
      <x:c r="V682" s="28"/>
      <x:c r="W682" s="28"/>
      <x:c r="X682" s="43" t="n">
        <x:f>--AND(S682=1,T682=1,U682=1,V682=1,W682=1)</x:f>
        <x:v>0</x:v>
      </x:c>
      <x:c r="AE682" s="43" t="n">
        <x:f>--AND(S682=1,M682&lt;&gt;"",M682&lt;&gt;"keep")</x:f>
        <x:v>0</x:v>
      </x:c>
      <x:c r="AG682" t="n">
        <x:f>--AND(S682=1,T682=1,U682=1,V682=1,W682=1,AE682=1)</x:f>
        <x:v>0</x:v>
      </x:c>
      <x:c r="AJ682" t="str">
        <x:f>IF(OR(AH682="",AI682=""),"",--(AH682&lt;&gt;AI682))</x:f>
      </x:c>
      <x:c r="AL682" t="str">
        <x:f>IF(OR(AH682="",AI682=""),"PENDING_HUMAN",IF(AH682=AI682,AH682,IF(AK682&lt;&gt;"",AK682,"PENDING_HUMAN")))</x:f>
        <x:v>PENDING_HUMAN</x:v>
      </x:c>
      <x:c r="AM682" t="n">
        <x:f>--AND(A682&lt;&gt;"",AH682&lt;&gt;"",AI682&lt;&gt;"",OR(AH682=AI682,AK682&lt;&gt;""))</x:f>
        <x:v>0</x:v>
      </x:c>
      <x:c r="AN682" t="n">
        <x:f>--AND(Y682&lt;&gt;"",COUNTIF($Y$4:Y682,Y682)=1)</x:f>
        <x:v>0</x:v>
      </x:c>
      <x:c r="AO682" t="n">
        <x:f>--AND(AN682=1,Z682=1,AM682=1)</x:f>
        <x:v>0</x:v>
      </x:c>
      <x:c r="AP682" t="n">
        <x:f>--AND(AO682=1,AA682=1,AL682=1)</x:f>
        <x:v>0</x:v>
      </x:c>
      <x:c r="AQ682" t="n">
        <x:f>--AND(AN682=1,Z682=1)</x:f>
        <x:v>0</x:v>
      </x:c>
      <x:c r="AR682" t="n">
        <x:f>--AND(AQ682=1,AA682=1)</x:f>
        <x:v>0</x:v>
      </x:c>
    </x:row>
    <x:row r="683">
      <x:c r="A683" s="28"/>
      <x:c r="B683" s="28"/>
      <x:c r="C683" s="28"/>
      <x:c r="D683" s="28"/>
      <x:c r="E683" s="28"/>
      <x:c r="F683" s="28"/>
      <x:c r="G683" s="28"/>
      <x:c r="H683" s="28"/>
      <x:c r="I683" s="28"/>
      <x:c r="J683" s="28"/>
      <x:c r="K683" s="28"/>
      <x:c r="L683" s="28"/>
      <x:c r="M683" s="28"/>
      <x:c r="N683" s="28"/>
      <x:c r="O683" s="28"/>
      <x:c r="P683" s="28"/>
      <x:c r="Q683" s="28"/>
      <x:c r="R683" s="28"/>
      <x:c r="S683" s="28"/>
      <x:c r="T683" s="28"/>
      <x:c r="U683" s="28"/>
      <x:c r="V683" s="28"/>
      <x:c r="W683" s="28"/>
      <x:c r="X683" s="43" t="n">
        <x:f>--AND(S683=1,T683=1,U683=1,V683=1,W683=1)</x:f>
        <x:v>0</x:v>
      </x:c>
      <x:c r="AE683" s="43" t="n">
        <x:f>--AND(S683=1,M683&lt;&gt;"",M683&lt;&gt;"keep")</x:f>
        <x:v>0</x:v>
      </x:c>
      <x:c r="AG683" t="n">
        <x:f>--AND(S683=1,T683=1,U683=1,V683=1,W683=1,AE683=1)</x:f>
        <x:v>0</x:v>
      </x:c>
      <x:c r="AJ683" t="str">
        <x:f>IF(OR(AH683="",AI683=""),"",--(AH683&lt;&gt;AI683))</x:f>
      </x:c>
      <x:c r="AL683" t="str">
        <x:f>IF(OR(AH683="",AI683=""),"PENDING_HUMAN",IF(AH683=AI683,AH683,IF(AK683&lt;&gt;"",AK683,"PENDING_HUMAN")))</x:f>
        <x:v>PENDING_HUMAN</x:v>
      </x:c>
      <x:c r="AM683" t="n">
        <x:f>--AND(A683&lt;&gt;"",AH683&lt;&gt;"",AI683&lt;&gt;"",OR(AH683=AI683,AK683&lt;&gt;""))</x:f>
        <x:v>0</x:v>
      </x:c>
      <x:c r="AN683" t="n">
        <x:f>--AND(Y683&lt;&gt;"",COUNTIF($Y$4:Y683,Y683)=1)</x:f>
        <x:v>0</x:v>
      </x:c>
      <x:c r="AO683" t="n">
        <x:f>--AND(AN683=1,Z683=1,AM683=1)</x:f>
        <x:v>0</x:v>
      </x:c>
      <x:c r="AP683" t="n">
        <x:f>--AND(AO683=1,AA683=1,AL683=1)</x:f>
        <x:v>0</x:v>
      </x:c>
      <x:c r="AQ683" t="n">
        <x:f>--AND(AN683=1,Z683=1)</x:f>
        <x:v>0</x:v>
      </x:c>
      <x:c r="AR683" t="n">
        <x:f>--AND(AQ683=1,AA683=1)</x:f>
        <x:v>0</x:v>
      </x:c>
    </x:row>
    <x:row r="684">
      <x:c r="A684" s="28"/>
      <x:c r="B684" s="28"/>
      <x:c r="C684" s="28"/>
      <x:c r="D684" s="28"/>
      <x:c r="E684" s="28"/>
      <x:c r="F684" s="28"/>
      <x:c r="G684" s="28"/>
      <x:c r="H684" s="28"/>
      <x:c r="I684" s="28"/>
      <x:c r="J684" s="28"/>
      <x:c r="K684" s="28"/>
      <x:c r="L684" s="28"/>
      <x:c r="M684" s="28"/>
      <x:c r="N684" s="28"/>
      <x:c r="O684" s="28"/>
      <x:c r="P684" s="28"/>
      <x:c r="Q684" s="28"/>
      <x:c r="R684" s="28"/>
      <x:c r="S684" s="28"/>
      <x:c r="T684" s="28"/>
      <x:c r="U684" s="28"/>
      <x:c r="V684" s="28"/>
      <x:c r="W684" s="28"/>
      <x:c r="X684" s="43" t="n">
        <x:f>--AND(S684=1,T684=1,U684=1,V684=1,W684=1)</x:f>
        <x:v>0</x:v>
      </x:c>
      <x:c r="AE684" s="43" t="n">
        <x:f>--AND(S684=1,M684&lt;&gt;"",M684&lt;&gt;"keep")</x:f>
        <x:v>0</x:v>
      </x:c>
      <x:c r="AG684" t="n">
        <x:f>--AND(S684=1,T684=1,U684=1,V684=1,W684=1,AE684=1)</x:f>
        <x:v>0</x:v>
      </x:c>
      <x:c r="AJ684" t="str">
        <x:f>IF(OR(AH684="",AI684=""),"",--(AH684&lt;&gt;AI684))</x:f>
      </x:c>
      <x:c r="AL684" t="str">
        <x:f>IF(OR(AH684="",AI684=""),"PENDING_HUMAN",IF(AH684=AI684,AH684,IF(AK684&lt;&gt;"",AK684,"PENDING_HUMAN")))</x:f>
        <x:v>PENDING_HUMAN</x:v>
      </x:c>
      <x:c r="AM684" t="n">
        <x:f>--AND(A684&lt;&gt;"",AH684&lt;&gt;"",AI684&lt;&gt;"",OR(AH684=AI684,AK684&lt;&gt;""))</x:f>
        <x:v>0</x:v>
      </x:c>
      <x:c r="AN684" t="n">
        <x:f>--AND(Y684&lt;&gt;"",COUNTIF($Y$4:Y684,Y684)=1)</x:f>
        <x:v>0</x:v>
      </x:c>
      <x:c r="AO684" t="n">
        <x:f>--AND(AN684=1,Z684=1,AM684=1)</x:f>
        <x:v>0</x:v>
      </x:c>
      <x:c r="AP684" t="n">
        <x:f>--AND(AO684=1,AA684=1,AL684=1)</x:f>
        <x:v>0</x:v>
      </x:c>
      <x:c r="AQ684" t="n">
        <x:f>--AND(AN684=1,Z684=1)</x:f>
        <x:v>0</x:v>
      </x:c>
      <x:c r="AR684" t="n">
        <x:f>--AND(AQ684=1,AA684=1)</x:f>
        <x:v>0</x:v>
      </x:c>
    </x:row>
    <x:row r="685">
      <x:c r="A685" s="28"/>
      <x:c r="B685" s="28"/>
      <x:c r="C685" s="28"/>
      <x:c r="D685" s="28"/>
      <x:c r="E685" s="28"/>
      <x:c r="F685" s="28"/>
      <x:c r="G685" s="28"/>
      <x:c r="H685" s="28"/>
      <x:c r="I685" s="28"/>
      <x:c r="J685" s="28"/>
      <x:c r="K685" s="28"/>
      <x:c r="L685" s="28"/>
      <x:c r="M685" s="28"/>
      <x:c r="N685" s="28"/>
      <x:c r="O685" s="28"/>
      <x:c r="P685" s="28"/>
      <x:c r="Q685" s="28"/>
      <x:c r="R685" s="28"/>
      <x:c r="S685" s="28"/>
      <x:c r="T685" s="28"/>
      <x:c r="U685" s="28"/>
      <x:c r="V685" s="28"/>
      <x:c r="W685" s="28"/>
      <x:c r="X685" s="43" t="n">
        <x:f>--AND(S685=1,T685=1,U685=1,V685=1,W685=1)</x:f>
        <x:v>0</x:v>
      </x:c>
      <x:c r="AE685" s="43" t="n">
        <x:f>--AND(S685=1,M685&lt;&gt;"",M685&lt;&gt;"keep")</x:f>
        <x:v>0</x:v>
      </x:c>
      <x:c r="AG685" t="n">
        <x:f>--AND(S685=1,T685=1,U685=1,V685=1,W685=1,AE685=1)</x:f>
        <x:v>0</x:v>
      </x:c>
      <x:c r="AJ685" t="str">
        <x:f>IF(OR(AH685="",AI685=""),"",--(AH685&lt;&gt;AI685))</x:f>
      </x:c>
      <x:c r="AL685" t="str">
        <x:f>IF(OR(AH685="",AI685=""),"PENDING_HUMAN",IF(AH685=AI685,AH685,IF(AK685&lt;&gt;"",AK685,"PENDING_HUMAN")))</x:f>
        <x:v>PENDING_HUMAN</x:v>
      </x:c>
      <x:c r="AM685" t="n">
        <x:f>--AND(A685&lt;&gt;"",AH685&lt;&gt;"",AI685&lt;&gt;"",OR(AH685=AI685,AK685&lt;&gt;""))</x:f>
        <x:v>0</x:v>
      </x:c>
      <x:c r="AN685" t="n">
        <x:f>--AND(Y685&lt;&gt;"",COUNTIF($Y$4:Y685,Y685)=1)</x:f>
        <x:v>0</x:v>
      </x:c>
      <x:c r="AO685" t="n">
        <x:f>--AND(AN685=1,Z685=1,AM685=1)</x:f>
        <x:v>0</x:v>
      </x:c>
      <x:c r="AP685" t="n">
        <x:f>--AND(AO685=1,AA685=1,AL685=1)</x:f>
        <x:v>0</x:v>
      </x:c>
      <x:c r="AQ685" t="n">
        <x:f>--AND(AN685=1,Z685=1)</x:f>
        <x:v>0</x:v>
      </x:c>
      <x:c r="AR685" t="n">
        <x:f>--AND(AQ685=1,AA685=1)</x:f>
        <x:v>0</x:v>
      </x:c>
    </x:row>
    <x:row r="686">
      <x:c r="A686" s="28"/>
      <x:c r="B686" s="28"/>
      <x:c r="C686" s="28"/>
      <x:c r="D686" s="28"/>
      <x:c r="E686" s="28"/>
      <x:c r="F686" s="28"/>
      <x:c r="G686" s="28"/>
      <x:c r="H686" s="28"/>
      <x:c r="I686" s="28"/>
      <x:c r="J686" s="28"/>
      <x:c r="K686" s="28"/>
      <x:c r="L686" s="28"/>
      <x:c r="M686" s="28"/>
      <x:c r="N686" s="28"/>
      <x:c r="O686" s="28"/>
      <x:c r="P686" s="28"/>
      <x:c r="Q686" s="28"/>
      <x:c r="R686" s="28"/>
      <x:c r="S686" s="28"/>
      <x:c r="T686" s="28"/>
      <x:c r="U686" s="28"/>
      <x:c r="V686" s="28"/>
      <x:c r="W686" s="28"/>
      <x:c r="X686" s="43" t="n">
        <x:f>--AND(S686=1,T686=1,U686=1,V686=1,W686=1)</x:f>
        <x:v>0</x:v>
      </x:c>
      <x:c r="AE686" s="43" t="n">
        <x:f>--AND(S686=1,M686&lt;&gt;"",M686&lt;&gt;"keep")</x:f>
        <x:v>0</x:v>
      </x:c>
      <x:c r="AG686" t="n">
        <x:f>--AND(S686=1,T686=1,U686=1,V686=1,W686=1,AE686=1)</x:f>
        <x:v>0</x:v>
      </x:c>
      <x:c r="AJ686" t="str">
        <x:f>IF(OR(AH686="",AI686=""),"",--(AH686&lt;&gt;AI686))</x:f>
      </x:c>
      <x:c r="AL686" t="str">
        <x:f>IF(OR(AH686="",AI686=""),"PENDING_HUMAN",IF(AH686=AI686,AH686,IF(AK686&lt;&gt;"",AK686,"PENDING_HUMAN")))</x:f>
        <x:v>PENDING_HUMAN</x:v>
      </x:c>
      <x:c r="AM686" t="n">
        <x:f>--AND(A686&lt;&gt;"",AH686&lt;&gt;"",AI686&lt;&gt;"",OR(AH686=AI686,AK686&lt;&gt;""))</x:f>
        <x:v>0</x:v>
      </x:c>
      <x:c r="AN686" t="n">
        <x:f>--AND(Y686&lt;&gt;"",COUNTIF($Y$4:Y686,Y686)=1)</x:f>
        <x:v>0</x:v>
      </x:c>
      <x:c r="AO686" t="n">
        <x:f>--AND(AN686=1,Z686=1,AM686=1)</x:f>
        <x:v>0</x:v>
      </x:c>
      <x:c r="AP686" t="n">
        <x:f>--AND(AO686=1,AA686=1,AL686=1)</x:f>
        <x:v>0</x:v>
      </x:c>
      <x:c r="AQ686" t="n">
        <x:f>--AND(AN686=1,Z686=1)</x:f>
        <x:v>0</x:v>
      </x:c>
      <x:c r="AR686" t="n">
        <x:f>--AND(AQ686=1,AA686=1)</x:f>
        <x:v>0</x:v>
      </x:c>
    </x:row>
    <x:row r="687">
      <x:c r="A687" s="28"/>
      <x:c r="B687" s="28"/>
      <x:c r="C687" s="28"/>
      <x:c r="D687" s="28"/>
      <x:c r="E687" s="28"/>
      <x:c r="F687" s="28"/>
      <x:c r="G687" s="28"/>
      <x:c r="H687" s="28"/>
      <x:c r="I687" s="28"/>
      <x:c r="J687" s="28"/>
      <x:c r="K687" s="28"/>
      <x:c r="L687" s="28"/>
      <x:c r="M687" s="28"/>
      <x:c r="N687" s="28"/>
      <x:c r="O687" s="28"/>
      <x:c r="P687" s="28"/>
      <x:c r="Q687" s="28"/>
      <x:c r="R687" s="28"/>
      <x:c r="S687" s="28"/>
      <x:c r="T687" s="28"/>
      <x:c r="U687" s="28"/>
      <x:c r="V687" s="28"/>
      <x:c r="W687" s="28"/>
      <x:c r="X687" s="43" t="n">
        <x:f>--AND(S687=1,T687=1,U687=1,V687=1,W687=1)</x:f>
        <x:v>0</x:v>
      </x:c>
      <x:c r="AE687" s="43" t="n">
        <x:f>--AND(S687=1,M687&lt;&gt;"",M687&lt;&gt;"keep")</x:f>
        <x:v>0</x:v>
      </x:c>
      <x:c r="AG687" t="n">
        <x:f>--AND(S687=1,T687=1,U687=1,V687=1,W687=1,AE687=1)</x:f>
        <x:v>0</x:v>
      </x:c>
      <x:c r="AJ687" t="str">
        <x:f>IF(OR(AH687="",AI687=""),"",--(AH687&lt;&gt;AI687))</x:f>
      </x:c>
      <x:c r="AL687" t="str">
        <x:f>IF(OR(AH687="",AI687=""),"PENDING_HUMAN",IF(AH687=AI687,AH687,IF(AK687&lt;&gt;"",AK687,"PENDING_HUMAN")))</x:f>
        <x:v>PENDING_HUMAN</x:v>
      </x:c>
      <x:c r="AM687" t="n">
        <x:f>--AND(A687&lt;&gt;"",AH687&lt;&gt;"",AI687&lt;&gt;"",OR(AH687=AI687,AK687&lt;&gt;""))</x:f>
        <x:v>0</x:v>
      </x:c>
      <x:c r="AN687" t="n">
        <x:f>--AND(Y687&lt;&gt;"",COUNTIF($Y$4:Y687,Y687)=1)</x:f>
        <x:v>0</x:v>
      </x:c>
      <x:c r="AO687" t="n">
        <x:f>--AND(AN687=1,Z687=1,AM687=1)</x:f>
        <x:v>0</x:v>
      </x:c>
      <x:c r="AP687" t="n">
        <x:f>--AND(AO687=1,AA687=1,AL687=1)</x:f>
        <x:v>0</x:v>
      </x:c>
      <x:c r="AQ687" t="n">
        <x:f>--AND(AN687=1,Z687=1)</x:f>
        <x:v>0</x:v>
      </x:c>
      <x:c r="AR687" t="n">
        <x:f>--AND(AQ687=1,AA687=1)</x:f>
        <x:v>0</x:v>
      </x:c>
    </x:row>
    <x:row r="688">
      <x:c r="A688" s="28"/>
      <x:c r="B688" s="28"/>
      <x:c r="C688" s="28"/>
      <x:c r="D688" s="28"/>
      <x:c r="E688" s="28"/>
      <x:c r="F688" s="28"/>
      <x:c r="G688" s="28"/>
      <x:c r="H688" s="28"/>
      <x:c r="I688" s="28"/>
      <x:c r="J688" s="28"/>
      <x:c r="K688" s="28"/>
      <x:c r="L688" s="28"/>
      <x:c r="M688" s="28"/>
      <x:c r="N688" s="28"/>
      <x:c r="O688" s="28"/>
      <x:c r="P688" s="28"/>
      <x:c r="Q688" s="28"/>
      <x:c r="R688" s="28"/>
      <x:c r="S688" s="28"/>
      <x:c r="T688" s="28"/>
      <x:c r="U688" s="28"/>
      <x:c r="V688" s="28"/>
      <x:c r="W688" s="28"/>
      <x:c r="X688" s="43" t="n">
        <x:f>--AND(S688=1,T688=1,U688=1,V688=1,W688=1)</x:f>
        <x:v>0</x:v>
      </x:c>
      <x:c r="AE688" s="43" t="n">
        <x:f>--AND(S688=1,M688&lt;&gt;"",M688&lt;&gt;"keep")</x:f>
        <x:v>0</x:v>
      </x:c>
      <x:c r="AG688" t="n">
        <x:f>--AND(S688=1,T688=1,U688=1,V688=1,W688=1,AE688=1)</x:f>
        <x:v>0</x:v>
      </x:c>
      <x:c r="AJ688" t="str">
        <x:f>IF(OR(AH688="",AI688=""),"",--(AH688&lt;&gt;AI688))</x:f>
      </x:c>
      <x:c r="AL688" t="str">
        <x:f>IF(OR(AH688="",AI688=""),"PENDING_HUMAN",IF(AH688=AI688,AH688,IF(AK688&lt;&gt;"",AK688,"PENDING_HUMAN")))</x:f>
        <x:v>PENDING_HUMAN</x:v>
      </x:c>
      <x:c r="AM688" t="n">
        <x:f>--AND(A688&lt;&gt;"",AH688&lt;&gt;"",AI688&lt;&gt;"",OR(AH688=AI688,AK688&lt;&gt;""))</x:f>
        <x:v>0</x:v>
      </x:c>
      <x:c r="AN688" t="n">
        <x:f>--AND(Y688&lt;&gt;"",COUNTIF($Y$4:Y688,Y688)=1)</x:f>
        <x:v>0</x:v>
      </x:c>
      <x:c r="AO688" t="n">
        <x:f>--AND(AN688=1,Z688=1,AM688=1)</x:f>
        <x:v>0</x:v>
      </x:c>
      <x:c r="AP688" t="n">
        <x:f>--AND(AO688=1,AA688=1,AL688=1)</x:f>
        <x:v>0</x:v>
      </x:c>
      <x:c r="AQ688" t="n">
        <x:f>--AND(AN688=1,Z688=1)</x:f>
        <x:v>0</x:v>
      </x:c>
      <x:c r="AR688" t="n">
        <x:f>--AND(AQ688=1,AA688=1)</x:f>
        <x:v>0</x:v>
      </x:c>
    </x:row>
    <x:row r="689">
      <x:c r="A689" s="28"/>
      <x:c r="B689" s="28"/>
      <x:c r="C689" s="28"/>
      <x:c r="D689" s="28"/>
      <x:c r="E689" s="28"/>
      <x:c r="F689" s="28"/>
      <x:c r="G689" s="28"/>
      <x:c r="H689" s="28"/>
      <x:c r="I689" s="28"/>
      <x:c r="J689" s="28"/>
      <x:c r="K689" s="28"/>
      <x:c r="L689" s="28"/>
      <x:c r="M689" s="28"/>
      <x:c r="N689" s="28"/>
      <x:c r="O689" s="28"/>
      <x:c r="P689" s="28"/>
      <x:c r="Q689" s="28"/>
      <x:c r="R689" s="28"/>
      <x:c r="S689" s="28"/>
      <x:c r="T689" s="28"/>
      <x:c r="U689" s="28"/>
      <x:c r="V689" s="28"/>
      <x:c r="W689" s="28"/>
      <x:c r="X689" s="43" t="n">
        <x:f>--AND(S689=1,T689=1,U689=1,V689=1,W689=1)</x:f>
        <x:v>0</x:v>
      </x:c>
      <x:c r="AE689" s="43" t="n">
        <x:f>--AND(S689=1,M689&lt;&gt;"",M689&lt;&gt;"keep")</x:f>
        <x:v>0</x:v>
      </x:c>
      <x:c r="AG689" t="n">
        <x:f>--AND(S689=1,T689=1,U689=1,V689=1,W689=1,AE689=1)</x:f>
        <x:v>0</x:v>
      </x:c>
      <x:c r="AJ689" t="str">
        <x:f>IF(OR(AH689="",AI689=""),"",--(AH689&lt;&gt;AI689))</x:f>
      </x:c>
      <x:c r="AL689" t="str">
        <x:f>IF(OR(AH689="",AI689=""),"PENDING_HUMAN",IF(AH689=AI689,AH689,IF(AK689&lt;&gt;"",AK689,"PENDING_HUMAN")))</x:f>
        <x:v>PENDING_HUMAN</x:v>
      </x:c>
      <x:c r="AM689" t="n">
        <x:f>--AND(A689&lt;&gt;"",AH689&lt;&gt;"",AI689&lt;&gt;"",OR(AH689=AI689,AK689&lt;&gt;""))</x:f>
        <x:v>0</x:v>
      </x:c>
      <x:c r="AN689" t="n">
        <x:f>--AND(Y689&lt;&gt;"",COUNTIF($Y$4:Y689,Y689)=1)</x:f>
        <x:v>0</x:v>
      </x:c>
      <x:c r="AO689" t="n">
        <x:f>--AND(AN689=1,Z689=1,AM689=1)</x:f>
        <x:v>0</x:v>
      </x:c>
      <x:c r="AP689" t="n">
        <x:f>--AND(AO689=1,AA689=1,AL689=1)</x:f>
        <x:v>0</x:v>
      </x:c>
      <x:c r="AQ689" t="n">
        <x:f>--AND(AN689=1,Z689=1)</x:f>
        <x:v>0</x:v>
      </x:c>
      <x:c r="AR689" t="n">
        <x:f>--AND(AQ689=1,AA689=1)</x:f>
        <x:v>0</x:v>
      </x:c>
    </x:row>
    <x:row r="690">
      <x:c r="A690" s="28"/>
      <x:c r="B690" s="28"/>
      <x:c r="C690" s="28"/>
      <x:c r="D690" s="28"/>
      <x:c r="E690" s="28"/>
      <x:c r="F690" s="28"/>
      <x:c r="G690" s="28"/>
      <x:c r="H690" s="28"/>
      <x:c r="I690" s="28"/>
      <x:c r="J690" s="28"/>
      <x:c r="K690" s="28"/>
      <x:c r="L690" s="28"/>
      <x:c r="M690" s="28"/>
      <x:c r="N690" s="28"/>
      <x:c r="O690" s="28"/>
      <x:c r="P690" s="28"/>
      <x:c r="Q690" s="28"/>
      <x:c r="R690" s="28"/>
      <x:c r="S690" s="28"/>
      <x:c r="T690" s="28"/>
      <x:c r="U690" s="28"/>
      <x:c r="V690" s="28"/>
      <x:c r="W690" s="28"/>
      <x:c r="X690" s="43" t="n">
        <x:f>--AND(S690=1,T690=1,U690=1,V690=1,W690=1)</x:f>
        <x:v>0</x:v>
      </x:c>
      <x:c r="AE690" s="43" t="n">
        <x:f>--AND(S690=1,M690&lt;&gt;"",M690&lt;&gt;"keep")</x:f>
        <x:v>0</x:v>
      </x:c>
      <x:c r="AG690" t="n">
        <x:f>--AND(S690=1,T690=1,U690=1,V690=1,W690=1,AE690=1)</x:f>
        <x:v>0</x:v>
      </x:c>
      <x:c r="AJ690" t="str">
        <x:f>IF(OR(AH690="",AI690=""),"",--(AH690&lt;&gt;AI690))</x:f>
      </x:c>
      <x:c r="AL690" t="str">
        <x:f>IF(OR(AH690="",AI690=""),"PENDING_HUMAN",IF(AH690=AI690,AH690,IF(AK690&lt;&gt;"",AK690,"PENDING_HUMAN")))</x:f>
        <x:v>PENDING_HUMAN</x:v>
      </x:c>
      <x:c r="AM690" t="n">
        <x:f>--AND(A690&lt;&gt;"",AH690&lt;&gt;"",AI690&lt;&gt;"",OR(AH690=AI690,AK690&lt;&gt;""))</x:f>
        <x:v>0</x:v>
      </x:c>
      <x:c r="AN690" t="n">
        <x:f>--AND(Y690&lt;&gt;"",COUNTIF($Y$4:Y690,Y690)=1)</x:f>
        <x:v>0</x:v>
      </x:c>
      <x:c r="AO690" t="n">
        <x:f>--AND(AN690=1,Z690=1,AM690=1)</x:f>
        <x:v>0</x:v>
      </x:c>
      <x:c r="AP690" t="n">
        <x:f>--AND(AO690=1,AA690=1,AL690=1)</x:f>
        <x:v>0</x:v>
      </x:c>
      <x:c r="AQ690" t="n">
        <x:f>--AND(AN690=1,Z690=1)</x:f>
        <x:v>0</x:v>
      </x:c>
      <x:c r="AR690" t="n">
        <x:f>--AND(AQ690=1,AA690=1)</x:f>
        <x:v>0</x:v>
      </x:c>
    </x:row>
    <x:row r="691">
      <x:c r="A691" s="28"/>
      <x:c r="B691" s="28"/>
      <x:c r="C691" s="28"/>
      <x:c r="D691" s="28"/>
      <x:c r="E691" s="28"/>
      <x:c r="F691" s="28"/>
      <x:c r="G691" s="28"/>
      <x:c r="H691" s="28"/>
      <x:c r="I691" s="28"/>
      <x:c r="J691" s="28"/>
      <x:c r="K691" s="28"/>
      <x:c r="L691" s="28"/>
      <x:c r="M691" s="28"/>
      <x:c r="N691" s="28"/>
      <x:c r="O691" s="28"/>
      <x:c r="P691" s="28"/>
      <x:c r="Q691" s="28"/>
      <x:c r="R691" s="28"/>
      <x:c r="S691" s="28"/>
      <x:c r="T691" s="28"/>
      <x:c r="U691" s="28"/>
      <x:c r="V691" s="28"/>
      <x:c r="W691" s="28"/>
      <x:c r="X691" s="43" t="n">
        <x:f>--AND(S691=1,T691=1,U691=1,V691=1,W691=1)</x:f>
        <x:v>0</x:v>
      </x:c>
      <x:c r="AE691" s="43" t="n">
        <x:f>--AND(S691=1,M691&lt;&gt;"",M691&lt;&gt;"keep")</x:f>
        <x:v>0</x:v>
      </x:c>
      <x:c r="AG691" t="n">
        <x:f>--AND(S691=1,T691=1,U691=1,V691=1,W691=1,AE691=1)</x:f>
        <x:v>0</x:v>
      </x:c>
      <x:c r="AJ691" t="str">
        <x:f>IF(OR(AH691="",AI691=""),"",--(AH691&lt;&gt;AI691))</x:f>
      </x:c>
      <x:c r="AL691" t="str">
        <x:f>IF(OR(AH691="",AI691=""),"PENDING_HUMAN",IF(AH691=AI691,AH691,IF(AK691&lt;&gt;"",AK691,"PENDING_HUMAN")))</x:f>
        <x:v>PENDING_HUMAN</x:v>
      </x:c>
      <x:c r="AM691" t="n">
        <x:f>--AND(A691&lt;&gt;"",AH691&lt;&gt;"",AI691&lt;&gt;"",OR(AH691=AI691,AK691&lt;&gt;""))</x:f>
        <x:v>0</x:v>
      </x:c>
      <x:c r="AN691" t="n">
        <x:f>--AND(Y691&lt;&gt;"",COUNTIF($Y$4:Y691,Y691)=1)</x:f>
        <x:v>0</x:v>
      </x:c>
      <x:c r="AO691" t="n">
        <x:f>--AND(AN691=1,Z691=1,AM691=1)</x:f>
        <x:v>0</x:v>
      </x:c>
      <x:c r="AP691" t="n">
        <x:f>--AND(AO691=1,AA691=1,AL691=1)</x:f>
        <x:v>0</x:v>
      </x:c>
      <x:c r="AQ691" t="n">
        <x:f>--AND(AN691=1,Z691=1)</x:f>
        <x:v>0</x:v>
      </x:c>
      <x:c r="AR691" t="n">
        <x:f>--AND(AQ691=1,AA691=1)</x:f>
        <x:v>0</x:v>
      </x:c>
    </x:row>
    <x:row r="692">
      <x:c r="A692" s="28"/>
      <x:c r="B692" s="28"/>
      <x:c r="C692" s="28"/>
      <x:c r="D692" s="28"/>
      <x:c r="E692" s="28"/>
      <x:c r="F692" s="28"/>
      <x:c r="G692" s="28"/>
      <x:c r="H692" s="28"/>
      <x:c r="I692" s="28"/>
      <x:c r="J692" s="28"/>
      <x:c r="K692" s="28"/>
      <x:c r="L692" s="28"/>
      <x:c r="M692" s="28"/>
      <x:c r="N692" s="28"/>
      <x:c r="O692" s="28"/>
      <x:c r="P692" s="28"/>
      <x:c r="Q692" s="28"/>
      <x:c r="R692" s="28"/>
      <x:c r="S692" s="28"/>
      <x:c r="T692" s="28"/>
      <x:c r="U692" s="28"/>
      <x:c r="V692" s="28"/>
      <x:c r="W692" s="28"/>
      <x:c r="X692" s="43" t="n">
        <x:f>--AND(S692=1,T692=1,U692=1,V692=1,W692=1)</x:f>
        <x:v>0</x:v>
      </x:c>
      <x:c r="AE692" s="43" t="n">
        <x:f>--AND(S692=1,M692&lt;&gt;"",M692&lt;&gt;"keep")</x:f>
        <x:v>0</x:v>
      </x:c>
      <x:c r="AG692" t="n">
        <x:f>--AND(S692=1,T692=1,U692=1,V692=1,W692=1,AE692=1)</x:f>
        <x:v>0</x:v>
      </x:c>
      <x:c r="AJ692" t="str">
        <x:f>IF(OR(AH692="",AI692=""),"",--(AH692&lt;&gt;AI692))</x:f>
      </x:c>
      <x:c r="AL692" t="str">
        <x:f>IF(OR(AH692="",AI692=""),"PENDING_HUMAN",IF(AH692=AI692,AH692,IF(AK692&lt;&gt;"",AK692,"PENDING_HUMAN")))</x:f>
        <x:v>PENDING_HUMAN</x:v>
      </x:c>
      <x:c r="AM692" t="n">
        <x:f>--AND(A692&lt;&gt;"",AH692&lt;&gt;"",AI692&lt;&gt;"",OR(AH692=AI692,AK692&lt;&gt;""))</x:f>
        <x:v>0</x:v>
      </x:c>
      <x:c r="AN692" t="n">
        <x:f>--AND(Y692&lt;&gt;"",COUNTIF($Y$4:Y692,Y692)=1)</x:f>
        <x:v>0</x:v>
      </x:c>
      <x:c r="AO692" t="n">
        <x:f>--AND(AN692=1,Z692=1,AM692=1)</x:f>
        <x:v>0</x:v>
      </x:c>
      <x:c r="AP692" t="n">
        <x:f>--AND(AO692=1,AA692=1,AL692=1)</x:f>
        <x:v>0</x:v>
      </x:c>
      <x:c r="AQ692" t="n">
        <x:f>--AND(AN692=1,Z692=1)</x:f>
        <x:v>0</x:v>
      </x:c>
      <x:c r="AR692" t="n">
        <x:f>--AND(AQ692=1,AA692=1)</x:f>
        <x:v>0</x:v>
      </x:c>
    </x:row>
    <x:row r="693">
      <x:c r="A693" s="28"/>
      <x:c r="B693" s="28"/>
      <x:c r="C693" s="28"/>
      <x:c r="D693" s="28"/>
      <x:c r="E693" s="28"/>
      <x:c r="F693" s="28"/>
      <x:c r="G693" s="28"/>
      <x:c r="H693" s="28"/>
      <x:c r="I693" s="28"/>
      <x:c r="J693" s="28"/>
      <x:c r="K693" s="28"/>
      <x:c r="L693" s="28"/>
      <x:c r="M693" s="28"/>
      <x:c r="N693" s="28"/>
      <x:c r="O693" s="28"/>
      <x:c r="P693" s="28"/>
      <x:c r="Q693" s="28"/>
      <x:c r="R693" s="28"/>
      <x:c r="S693" s="28"/>
      <x:c r="T693" s="28"/>
      <x:c r="U693" s="28"/>
      <x:c r="V693" s="28"/>
      <x:c r="W693" s="28"/>
      <x:c r="X693" s="43" t="n">
        <x:f>--AND(S693=1,T693=1,U693=1,V693=1,W693=1)</x:f>
        <x:v>0</x:v>
      </x:c>
      <x:c r="AE693" s="43" t="n">
        <x:f>--AND(S693=1,M693&lt;&gt;"",M693&lt;&gt;"keep")</x:f>
        <x:v>0</x:v>
      </x:c>
      <x:c r="AG693" t="n">
        <x:f>--AND(S693=1,T693=1,U693=1,V693=1,W693=1,AE693=1)</x:f>
        <x:v>0</x:v>
      </x:c>
      <x:c r="AJ693" t="str">
        <x:f>IF(OR(AH693="",AI693=""),"",--(AH693&lt;&gt;AI693))</x:f>
      </x:c>
      <x:c r="AL693" t="str">
        <x:f>IF(OR(AH693="",AI693=""),"PENDING_HUMAN",IF(AH693=AI693,AH693,IF(AK693&lt;&gt;"",AK693,"PENDING_HUMAN")))</x:f>
        <x:v>PENDING_HUMAN</x:v>
      </x:c>
      <x:c r="AM693" t="n">
        <x:f>--AND(A693&lt;&gt;"",AH693&lt;&gt;"",AI693&lt;&gt;"",OR(AH693=AI693,AK693&lt;&gt;""))</x:f>
        <x:v>0</x:v>
      </x:c>
      <x:c r="AN693" t="n">
        <x:f>--AND(Y693&lt;&gt;"",COUNTIF($Y$4:Y693,Y693)=1)</x:f>
        <x:v>0</x:v>
      </x:c>
      <x:c r="AO693" t="n">
        <x:f>--AND(AN693=1,Z693=1,AM693=1)</x:f>
        <x:v>0</x:v>
      </x:c>
      <x:c r="AP693" t="n">
        <x:f>--AND(AO693=1,AA693=1,AL693=1)</x:f>
        <x:v>0</x:v>
      </x:c>
      <x:c r="AQ693" t="n">
        <x:f>--AND(AN693=1,Z693=1)</x:f>
        <x:v>0</x:v>
      </x:c>
      <x:c r="AR693" t="n">
        <x:f>--AND(AQ693=1,AA693=1)</x:f>
        <x:v>0</x:v>
      </x:c>
    </x:row>
    <x:row r="694">
      <x:c r="A694" s="28"/>
      <x:c r="B694" s="28"/>
      <x:c r="C694" s="28"/>
      <x:c r="D694" s="28"/>
      <x:c r="E694" s="28"/>
      <x:c r="F694" s="28"/>
      <x:c r="G694" s="28"/>
      <x:c r="H694" s="28"/>
      <x:c r="I694" s="28"/>
      <x:c r="J694" s="28"/>
      <x:c r="K694" s="28"/>
      <x:c r="L694" s="28"/>
      <x:c r="M694" s="28"/>
      <x:c r="N694" s="28"/>
      <x:c r="O694" s="28"/>
      <x:c r="P694" s="28"/>
      <x:c r="Q694" s="28"/>
      <x:c r="R694" s="28"/>
      <x:c r="S694" s="28"/>
      <x:c r="T694" s="28"/>
      <x:c r="U694" s="28"/>
      <x:c r="V694" s="28"/>
      <x:c r="W694" s="28"/>
      <x:c r="X694" s="43" t="n">
        <x:f>--AND(S694=1,T694=1,U694=1,V694=1,W694=1)</x:f>
        <x:v>0</x:v>
      </x:c>
      <x:c r="AE694" s="43" t="n">
        <x:f>--AND(S694=1,M694&lt;&gt;"",M694&lt;&gt;"keep")</x:f>
        <x:v>0</x:v>
      </x:c>
      <x:c r="AG694" t="n">
        <x:f>--AND(S694=1,T694=1,U694=1,V694=1,W694=1,AE694=1)</x:f>
        <x:v>0</x:v>
      </x:c>
      <x:c r="AJ694" t="str">
        <x:f>IF(OR(AH694="",AI694=""),"",--(AH694&lt;&gt;AI694))</x:f>
      </x:c>
      <x:c r="AL694" t="str">
        <x:f>IF(OR(AH694="",AI694=""),"PENDING_HUMAN",IF(AH694=AI694,AH694,IF(AK694&lt;&gt;"",AK694,"PENDING_HUMAN")))</x:f>
        <x:v>PENDING_HUMAN</x:v>
      </x:c>
      <x:c r="AM694" t="n">
        <x:f>--AND(A694&lt;&gt;"",AH694&lt;&gt;"",AI694&lt;&gt;"",OR(AH694=AI694,AK694&lt;&gt;""))</x:f>
        <x:v>0</x:v>
      </x:c>
      <x:c r="AN694" t="n">
        <x:f>--AND(Y694&lt;&gt;"",COUNTIF($Y$4:Y694,Y694)=1)</x:f>
        <x:v>0</x:v>
      </x:c>
      <x:c r="AO694" t="n">
        <x:f>--AND(AN694=1,Z694=1,AM694=1)</x:f>
        <x:v>0</x:v>
      </x:c>
      <x:c r="AP694" t="n">
        <x:f>--AND(AO694=1,AA694=1,AL694=1)</x:f>
        <x:v>0</x:v>
      </x:c>
      <x:c r="AQ694" t="n">
        <x:f>--AND(AN694=1,Z694=1)</x:f>
        <x:v>0</x:v>
      </x:c>
      <x:c r="AR694" t="n">
        <x:f>--AND(AQ694=1,AA694=1)</x:f>
        <x:v>0</x:v>
      </x:c>
    </x:row>
    <x:row r="695">
      <x:c r="A695" s="28"/>
      <x:c r="B695" s="28"/>
      <x:c r="C695" s="28"/>
      <x:c r="D695" s="28"/>
      <x:c r="E695" s="28"/>
      <x:c r="F695" s="28"/>
      <x:c r="G695" s="28"/>
      <x:c r="H695" s="28"/>
      <x:c r="I695" s="28"/>
      <x:c r="J695" s="28"/>
      <x:c r="K695" s="28"/>
      <x:c r="L695" s="28"/>
      <x:c r="M695" s="28"/>
      <x:c r="N695" s="28"/>
      <x:c r="O695" s="28"/>
      <x:c r="P695" s="28"/>
      <x:c r="Q695" s="28"/>
      <x:c r="R695" s="28"/>
      <x:c r="S695" s="28"/>
      <x:c r="T695" s="28"/>
      <x:c r="U695" s="28"/>
      <x:c r="V695" s="28"/>
      <x:c r="W695" s="28"/>
      <x:c r="X695" s="43" t="n">
        <x:f>--AND(S695=1,T695=1,U695=1,V695=1,W695=1)</x:f>
        <x:v>0</x:v>
      </x:c>
      <x:c r="AE695" s="43" t="n">
        <x:f>--AND(S695=1,M695&lt;&gt;"",M695&lt;&gt;"keep")</x:f>
        <x:v>0</x:v>
      </x:c>
      <x:c r="AG695" t="n">
        <x:f>--AND(S695=1,T695=1,U695=1,V695=1,W695=1,AE695=1)</x:f>
        <x:v>0</x:v>
      </x:c>
      <x:c r="AJ695" t="str">
        <x:f>IF(OR(AH695="",AI695=""),"",--(AH695&lt;&gt;AI695))</x:f>
      </x:c>
      <x:c r="AL695" t="str">
        <x:f>IF(OR(AH695="",AI695=""),"PENDING_HUMAN",IF(AH695=AI695,AH695,IF(AK695&lt;&gt;"",AK695,"PENDING_HUMAN")))</x:f>
        <x:v>PENDING_HUMAN</x:v>
      </x:c>
      <x:c r="AM695" t="n">
        <x:f>--AND(A695&lt;&gt;"",AH695&lt;&gt;"",AI695&lt;&gt;"",OR(AH695=AI695,AK695&lt;&gt;""))</x:f>
        <x:v>0</x:v>
      </x:c>
      <x:c r="AN695" t="n">
        <x:f>--AND(Y695&lt;&gt;"",COUNTIF($Y$4:Y695,Y695)=1)</x:f>
        <x:v>0</x:v>
      </x:c>
      <x:c r="AO695" t="n">
        <x:f>--AND(AN695=1,Z695=1,AM695=1)</x:f>
        <x:v>0</x:v>
      </x:c>
      <x:c r="AP695" t="n">
        <x:f>--AND(AO695=1,AA695=1,AL695=1)</x:f>
        <x:v>0</x:v>
      </x:c>
      <x:c r="AQ695" t="n">
        <x:f>--AND(AN695=1,Z695=1)</x:f>
        <x:v>0</x:v>
      </x:c>
      <x:c r="AR695" t="n">
        <x:f>--AND(AQ695=1,AA695=1)</x:f>
        <x:v>0</x:v>
      </x:c>
    </x:row>
    <x:row r="696">
      <x:c r="A696" s="28"/>
      <x:c r="B696" s="28"/>
      <x:c r="C696" s="28"/>
      <x:c r="D696" s="28"/>
      <x:c r="E696" s="28"/>
      <x:c r="F696" s="28"/>
      <x:c r="G696" s="28"/>
      <x:c r="H696" s="28"/>
      <x:c r="I696" s="28"/>
      <x:c r="J696" s="28"/>
      <x:c r="K696" s="28"/>
      <x:c r="L696" s="28"/>
      <x:c r="M696" s="28"/>
      <x:c r="N696" s="28"/>
      <x:c r="O696" s="28"/>
      <x:c r="P696" s="28"/>
      <x:c r="Q696" s="28"/>
      <x:c r="R696" s="28"/>
      <x:c r="S696" s="28"/>
      <x:c r="T696" s="28"/>
      <x:c r="U696" s="28"/>
      <x:c r="V696" s="28"/>
      <x:c r="W696" s="28"/>
      <x:c r="X696" s="43" t="n">
        <x:f>--AND(S696=1,T696=1,U696=1,V696=1,W696=1)</x:f>
        <x:v>0</x:v>
      </x:c>
      <x:c r="AE696" s="43" t="n">
        <x:f>--AND(S696=1,M696&lt;&gt;"",M696&lt;&gt;"keep")</x:f>
        <x:v>0</x:v>
      </x:c>
      <x:c r="AG696" t="n">
        <x:f>--AND(S696=1,T696=1,U696=1,V696=1,W696=1,AE696=1)</x:f>
        <x:v>0</x:v>
      </x:c>
      <x:c r="AJ696" t="str">
        <x:f>IF(OR(AH696="",AI696=""),"",--(AH696&lt;&gt;AI696))</x:f>
      </x:c>
      <x:c r="AL696" t="str">
        <x:f>IF(OR(AH696="",AI696=""),"PENDING_HUMAN",IF(AH696=AI696,AH696,IF(AK696&lt;&gt;"",AK696,"PENDING_HUMAN")))</x:f>
        <x:v>PENDING_HUMAN</x:v>
      </x:c>
      <x:c r="AM696" t="n">
        <x:f>--AND(A696&lt;&gt;"",AH696&lt;&gt;"",AI696&lt;&gt;"",OR(AH696=AI696,AK696&lt;&gt;""))</x:f>
        <x:v>0</x:v>
      </x:c>
      <x:c r="AN696" t="n">
        <x:f>--AND(Y696&lt;&gt;"",COUNTIF($Y$4:Y696,Y696)=1)</x:f>
        <x:v>0</x:v>
      </x:c>
      <x:c r="AO696" t="n">
        <x:f>--AND(AN696=1,Z696=1,AM696=1)</x:f>
        <x:v>0</x:v>
      </x:c>
      <x:c r="AP696" t="n">
        <x:f>--AND(AO696=1,AA696=1,AL696=1)</x:f>
        <x:v>0</x:v>
      </x:c>
      <x:c r="AQ696" t="n">
        <x:f>--AND(AN696=1,Z696=1)</x:f>
        <x:v>0</x:v>
      </x:c>
      <x:c r="AR696" t="n">
        <x:f>--AND(AQ696=1,AA696=1)</x:f>
        <x:v>0</x:v>
      </x:c>
    </x:row>
    <x:row r="697">
      <x:c r="A697" s="28"/>
      <x:c r="B697" s="28"/>
      <x:c r="C697" s="28"/>
      <x:c r="D697" s="28"/>
      <x:c r="E697" s="28"/>
      <x:c r="F697" s="28"/>
      <x:c r="G697" s="28"/>
      <x:c r="H697" s="28"/>
      <x:c r="I697" s="28"/>
      <x:c r="J697" s="28"/>
      <x:c r="K697" s="28"/>
      <x:c r="L697" s="28"/>
      <x:c r="M697" s="28"/>
      <x:c r="N697" s="28"/>
      <x:c r="O697" s="28"/>
      <x:c r="P697" s="28"/>
      <x:c r="Q697" s="28"/>
      <x:c r="R697" s="28"/>
      <x:c r="S697" s="28"/>
      <x:c r="T697" s="28"/>
      <x:c r="U697" s="28"/>
      <x:c r="V697" s="28"/>
      <x:c r="W697" s="28"/>
      <x:c r="X697" s="43" t="n">
        <x:f>--AND(S697=1,T697=1,U697=1,V697=1,W697=1)</x:f>
        <x:v>0</x:v>
      </x:c>
      <x:c r="AE697" s="43" t="n">
        <x:f>--AND(S697=1,M697&lt;&gt;"",M697&lt;&gt;"keep")</x:f>
        <x:v>0</x:v>
      </x:c>
      <x:c r="AG697" t="n">
        <x:f>--AND(S697=1,T697=1,U697=1,V697=1,W697=1,AE697=1)</x:f>
        <x:v>0</x:v>
      </x:c>
      <x:c r="AJ697" t="str">
        <x:f>IF(OR(AH697="",AI697=""),"",--(AH697&lt;&gt;AI697))</x:f>
      </x:c>
      <x:c r="AL697" t="str">
        <x:f>IF(OR(AH697="",AI697=""),"PENDING_HUMAN",IF(AH697=AI697,AH697,IF(AK697&lt;&gt;"",AK697,"PENDING_HUMAN")))</x:f>
        <x:v>PENDING_HUMAN</x:v>
      </x:c>
      <x:c r="AM697" t="n">
        <x:f>--AND(A697&lt;&gt;"",AH697&lt;&gt;"",AI697&lt;&gt;"",OR(AH697=AI697,AK697&lt;&gt;""))</x:f>
        <x:v>0</x:v>
      </x:c>
      <x:c r="AN697" t="n">
        <x:f>--AND(Y697&lt;&gt;"",COUNTIF($Y$4:Y697,Y697)=1)</x:f>
        <x:v>0</x:v>
      </x:c>
      <x:c r="AO697" t="n">
        <x:f>--AND(AN697=1,Z697=1,AM697=1)</x:f>
        <x:v>0</x:v>
      </x:c>
      <x:c r="AP697" t="n">
        <x:f>--AND(AO697=1,AA697=1,AL697=1)</x:f>
        <x:v>0</x:v>
      </x:c>
      <x:c r="AQ697" t="n">
        <x:f>--AND(AN697=1,Z697=1)</x:f>
        <x:v>0</x:v>
      </x:c>
      <x:c r="AR697" t="n">
        <x:f>--AND(AQ697=1,AA697=1)</x:f>
        <x:v>0</x:v>
      </x:c>
    </x:row>
    <x:row r="698">
      <x:c r="A698" s="28"/>
      <x:c r="B698" s="28"/>
      <x:c r="C698" s="28"/>
      <x:c r="D698" s="28"/>
      <x:c r="E698" s="28"/>
      <x:c r="F698" s="28"/>
      <x:c r="G698" s="28"/>
      <x:c r="H698" s="28"/>
      <x:c r="I698" s="28"/>
      <x:c r="J698" s="28"/>
      <x:c r="K698" s="28"/>
      <x:c r="L698" s="28"/>
      <x:c r="M698" s="28"/>
      <x:c r="N698" s="28"/>
      <x:c r="O698" s="28"/>
      <x:c r="P698" s="28"/>
      <x:c r="Q698" s="28"/>
      <x:c r="R698" s="28"/>
      <x:c r="S698" s="28"/>
      <x:c r="T698" s="28"/>
      <x:c r="U698" s="28"/>
      <x:c r="V698" s="28"/>
      <x:c r="W698" s="28"/>
      <x:c r="X698" s="43" t="n">
        <x:f>--AND(S698=1,T698=1,U698=1,V698=1,W698=1)</x:f>
        <x:v>0</x:v>
      </x:c>
      <x:c r="AE698" s="43" t="n">
        <x:f>--AND(S698=1,M698&lt;&gt;"",M698&lt;&gt;"keep")</x:f>
        <x:v>0</x:v>
      </x:c>
      <x:c r="AG698" t="n">
        <x:f>--AND(S698=1,T698=1,U698=1,V698=1,W698=1,AE698=1)</x:f>
        <x:v>0</x:v>
      </x:c>
      <x:c r="AJ698" t="str">
        <x:f>IF(OR(AH698="",AI698=""),"",--(AH698&lt;&gt;AI698))</x:f>
      </x:c>
      <x:c r="AL698" t="str">
        <x:f>IF(OR(AH698="",AI698=""),"PENDING_HUMAN",IF(AH698=AI698,AH698,IF(AK698&lt;&gt;"",AK698,"PENDING_HUMAN")))</x:f>
        <x:v>PENDING_HUMAN</x:v>
      </x:c>
      <x:c r="AM698" t="n">
        <x:f>--AND(A698&lt;&gt;"",AH698&lt;&gt;"",AI698&lt;&gt;"",OR(AH698=AI698,AK698&lt;&gt;""))</x:f>
        <x:v>0</x:v>
      </x:c>
      <x:c r="AN698" t="n">
        <x:f>--AND(Y698&lt;&gt;"",COUNTIF($Y$4:Y698,Y698)=1)</x:f>
        <x:v>0</x:v>
      </x:c>
      <x:c r="AO698" t="n">
        <x:f>--AND(AN698=1,Z698=1,AM698=1)</x:f>
        <x:v>0</x:v>
      </x:c>
      <x:c r="AP698" t="n">
        <x:f>--AND(AO698=1,AA698=1,AL698=1)</x:f>
        <x:v>0</x:v>
      </x:c>
      <x:c r="AQ698" t="n">
        <x:f>--AND(AN698=1,Z698=1)</x:f>
        <x:v>0</x:v>
      </x:c>
      <x:c r="AR698" t="n">
        <x:f>--AND(AQ698=1,AA698=1)</x:f>
        <x:v>0</x:v>
      </x:c>
    </x:row>
    <x:row r="699">
      <x:c r="A699" s="28"/>
      <x:c r="B699" s="28"/>
      <x:c r="C699" s="28"/>
      <x:c r="D699" s="28"/>
      <x:c r="E699" s="28"/>
      <x:c r="F699" s="28"/>
      <x:c r="G699" s="28"/>
      <x:c r="H699" s="28"/>
      <x:c r="I699" s="28"/>
      <x:c r="J699" s="28"/>
      <x:c r="K699" s="28"/>
      <x:c r="L699" s="28"/>
      <x:c r="M699" s="28"/>
      <x:c r="N699" s="28"/>
      <x:c r="O699" s="28"/>
      <x:c r="P699" s="28"/>
      <x:c r="Q699" s="28"/>
      <x:c r="R699" s="28"/>
      <x:c r="S699" s="28"/>
      <x:c r="T699" s="28"/>
      <x:c r="U699" s="28"/>
      <x:c r="V699" s="28"/>
      <x:c r="W699" s="28"/>
      <x:c r="X699" s="43" t="n">
        <x:f>--AND(S699=1,T699=1,U699=1,V699=1,W699=1)</x:f>
        <x:v>0</x:v>
      </x:c>
      <x:c r="AE699" s="43" t="n">
        <x:f>--AND(S699=1,M699&lt;&gt;"",M699&lt;&gt;"keep")</x:f>
        <x:v>0</x:v>
      </x:c>
      <x:c r="AG699" t="n">
        <x:f>--AND(S699=1,T699=1,U699=1,V699=1,W699=1,AE699=1)</x:f>
        <x:v>0</x:v>
      </x:c>
      <x:c r="AJ699" t="str">
        <x:f>IF(OR(AH699="",AI699=""),"",--(AH699&lt;&gt;AI699))</x:f>
      </x:c>
      <x:c r="AL699" t="str">
        <x:f>IF(OR(AH699="",AI699=""),"PENDING_HUMAN",IF(AH699=AI699,AH699,IF(AK699&lt;&gt;"",AK699,"PENDING_HUMAN")))</x:f>
        <x:v>PENDING_HUMAN</x:v>
      </x:c>
      <x:c r="AM699" t="n">
        <x:f>--AND(A699&lt;&gt;"",AH699&lt;&gt;"",AI699&lt;&gt;"",OR(AH699=AI699,AK699&lt;&gt;""))</x:f>
        <x:v>0</x:v>
      </x:c>
      <x:c r="AN699" t="n">
        <x:f>--AND(Y699&lt;&gt;"",COUNTIF($Y$4:Y699,Y699)=1)</x:f>
        <x:v>0</x:v>
      </x:c>
      <x:c r="AO699" t="n">
        <x:f>--AND(AN699=1,Z699=1,AM699=1)</x:f>
        <x:v>0</x:v>
      </x:c>
      <x:c r="AP699" t="n">
        <x:f>--AND(AO699=1,AA699=1,AL699=1)</x:f>
        <x:v>0</x:v>
      </x:c>
      <x:c r="AQ699" t="n">
        <x:f>--AND(AN699=1,Z699=1)</x:f>
        <x:v>0</x:v>
      </x:c>
      <x:c r="AR699" t="n">
        <x:f>--AND(AQ699=1,AA699=1)</x:f>
        <x:v>0</x:v>
      </x:c>
    </x:row>
    <x:row r="700">
      <x:c r="A700" s="28"/>
      <x:c r="B700" s="28"/>
      <x:c r="C700" s="28"/>
      <x:c r="D700" s="28"/>
      <x:c r="E700" s="28"/>
      <x:c r="F700" s="28"/>
      <x:c r="G700" s="28"/>
      <x:c r="H700" s="28"/>
      <x:c r="I700" s="28"/>
      <x:c r="J700" s="28"/>
      <x:c r="K700" s="28"/>
      <x:c r="L700" s="28"/>
      <x:c r="M700" s="28"/>
      <x:c r="N700" s="28"/>
      <x:c r="O700" s="28"/>
      <x:c r="P700" s="28"/>
      <x:c r="Q700" s="28"/>
      <x:c r="R700" s="28"/>
      <x:c r="S700" s="28"/>
      <x:c r="T700" s="28"/>
      <x:c r="U700" s="28"/>
      <x:c r="V700" s="28"/>
      <x:c r="W700" s="28"/>
      <x:c r="X700" s="43" t="n">
        <x:f>--AND(S700=1,T700=1,U700=1,V700=1,W700=1)</x:f>
        <x:v>0</x:v>
      </x:c>
      <x:c r="AE700" s="43" t="n">
        <x:f>--AND(S700=1,M700&lt;&gt;"",M700&lt;&gt;"keep")</x:f>
        <x:v>0</x:v>
      </x:c>
      <x:c r="AG700" t="n">
        <x:f>--AND(S700=1,T700=1,U700=1,V700=1,W700=1,AE700=1)</x:f>
        <x:v>0</x:v>
      </x:c>
      <x:c r="AJ700" t="str">
        <x:f>IF(OR(AH700="",AI700=""),"",--(AH700&lt;&gt;AI700))</x:f>
      </x:c>
      <x:c r="AL700" t="str">
        <x:f>IF(OR(AH700="",AI700=""),"PENDING_HUMAN",IF(AH700=AI700,AH700,IF(AK700&lt;&gt;"",AK700,"PENDING_HUMAN")))</x:f>
        <x:v>PENDING_HUMAN</x:v>
      </x:c>
      <x:c r="AM700" t="n">
        <x:f>--AND(A700&lt;&gt;"",AH700&lt;&gt;"",AI700&lt;&gt;"",OR(AH700=AI700,AK700&lt;&gt;""))</x:f>
        <x:v>0</x:v>
      </x:c>
      <x:c r="AN700" t="n">
        <x:f>--AND(Y700&lt;&gt;"",COUNTIF($Y$4:Y700,Y700)=1)</x:f>
        <x:v>0</x:v>
      </x:c>
      <x:c r="AO700" t="n">
        <x:f>--AND(AN700=1,Z700=1,AM700=1)</x:f>
        <x:v>0</x:v>
      </x:c>
      <x:c r="AP700" t="n">
        <x:f>--AND(AO700=1,AA700=1,AL700=1)</x:f>
        <x:v>0</x:v>
      </x:c>
      <x:c r="AQ700" t="n">
        <x:f>--AND(AN700=1,Z700=1)</x:f>
        <x:v>0</x:v>
      </x:c>
      <x:c r="AR700" t="n">
        <x:f>--AND(AQ700=1,AA700=1)</x:f>
        <x:v>0</x:v>
      </x:c>
    </x:row>
    <x:row r="701">
      <x:c r="A701" s="28"/>
      <x:c r="B701" s="28"/>
      <x:c r="C701" s="28"/>
      <x:c r="D701" s="28"/>
      <x:c r="E701" s="28"/>
      <x:c r="F701" s="28"/>
      <x:c r="G701" s="28"/>
      <x:c r="H701" s="28"/>
      <x:c r="I701" s="28"/>
      <x:c r="J701" s="28"/>
      <x:c r="K701" s="28"/>
      <x:c r="L701" s="28"/>
      <x:c r="M701" s="28"/>
      <x:c r="N701" s="28"/>
      <x:c r="O701" s="28"/>
      <x:c r="P701" s="28"/>
      <x:c r="Q701" s="28"/>
      <x:c r="R701" s="28"/>
      <x:c r="S701" s="28"/>
      <x:c r="T701" s="28"/>
      <x:c r="U701" s="28"/>
      <x:c r="V701" s="28"/>
      <x:c r="W701" s="28"/>
      <x:c r="X701" s="43" t="n">
        <x:f>--AND(S701=1,T701=1,U701=1,V701=1,W701=1)</x:f>
        <x:v>0</x:v>
      </x:c>
      <x:c r="AE701" s="43" t="n">
        <x:f>--AND(S701=1,M701&lt;&gt;"",M701&lt;&gt;"keep")</x:f>
        <x:v>0</x:v>
      </x:c>
      <x:c r="AG701" t="n">
        <x:f>--AND(S701=1,T701=1,U701=1,V701=1,W701=1,AE701=1)</x:f>
        <x:v>0</x:v>
      </x:c>
      <x:c r="AJ701" t="str">
        <x:f>IF(OR(AH701="",AI701=""),"",--(AH701&lt;&gt;AI701))</x:f>
      </x:c>
      <x:c r="AL701" t="str">
        <x:f>IF(OR(AH701="",AI701=""),"PENDING_HUMAN",IF(AH701=AI701,AH701,IF(AK701&lt;&gt;"",AK701,"PENDING_HUMAN")))</x:f>
        <x:v>PENDING_HUMAN</x:v>
      </x:c>
      <x:c r="AM701" t="n">
        <x:f>--AND(A701&lt;&gt;"",AH701&lt;&gt;"",AI701&lt;&gt;"",OR(AH701=AI701,AK701&lt;&gt;""))</x:f>
        <x:v>0</x:v>
      </x:c>
      <x:c r="AN701" t="n">
        <x:f>--AND(Y701&lt;&gt;"",COUNTIF($Y$4:Y701,Y701)=1)</x:f>
        <x:v>0</x:v>
      </x:c>
      <x:c r="AO701" t="n">
        <x:f>--AND(AN701=1,Z701=1,AM701=1)</x:f>
        <x:v>0</x:v>
      </x:c>
      <x:c r="AP701" t="n">
        <x:f>--AND(AO701=1,AA701=1,AL701=1)</x:f>
        <x:v>0</x:v>
      </x:c>
      <x:c r="AQ701" t="n">
        <x:f>--AND(AN701=1,Z701=1)</x:f>
        <x:v>0</x:v>
      </x:c>
      <x:c r="AR701" t="n">
        <x:f>--AND(AQ701=1,AA701=1)</x:f>
        <x:v>0</x:v>
      </x:c>
    </x:row>
    <x:row r="702">
      <x:c r="A702" s="28"/>
      <x:c r="B702" s="28"/>
      <x:c r="C702" s="28"/>
      <x:c r="D702" s="28"/>
      <x:c r="E702" s="28"/>
      <x:c r="F702" s="28"/>
      <x:c r="G702" s="28"/>
      <x:c r="H702" s="28"/>
      <x:c r="I702" s="28"/>
      <x:c r="J702" s="28"/>
      <x:c r="K702" s="28"/>
      <x:c r="L702" s="28"/>
      <x:c r="M702" s="28"/>
      <x:c r="N702" s="28"/>
      <x:c r="O702" s="28"/>
      <x:c r="P702" s="28"/>
      <x:c r="Q702" s="28"/>
      <x:c r="R702" s="28"/>
      <x:c r="S702" s="28"/>
      <x:c r="T702" s="28"/>
      <x:c r="U702" s="28"/>
      <x:c r="V702" s="28"/>
      <x:c r="W702" s="28"/>
      <x:c r="X702" s="43" t="n">
        <x:f>--AND(S702=1,T702=1,U702=1,V702=1,W702=1)</x:f>
        <x:v>0</x:v>
      </x:c>
      <x:c r="AE702" s="43" t="n">
        <x:f>--AND(S702=1,M702&lt;&gt;"",M702&lt;&gt;"keep")</x:f>
        <x:v>0</x:v>
      </x:c>
      <x:c r="AG702" t="n">
        <x:f>--AND(S702=1,T702=1,U702=1,V702=1,W702=1,AE702=1)</x:f>
        <x:v>0</x:v>
      </x:c>
      <x:c r="AJ702" t="str">
        <x:f>IF(OR(AH702="",AI702=""),"",--(AH702&lt;&gt;AI702))</x:f>
      </x:c>
      <x:c r="AL702" t="str">
        <x:f>IF(OR(AH702="",AI702=""),"PENDING_HUMAN",IF(AH702=AI702,AH702,IF(AK702&lt;&gt;"",AK702,"PENDING_HUMAN")))</x:f>
        <x:v>PENDING_HUMAN</x:v>
      </x:c>
      <x:c r="AM702" t="n">
        <x:f>--AND(A702&lt;&gt;"",AH702&lt;&gt;"",AI702&lt;&gt;"",OR(AH702=AI702,AK702&lt;&gt;""))</x:f>
        <x:v>0</x:v>
      </x:c>
      <x:c r="AN702" t="n">
        <x:f>--AND(Y702&lt;&gt;"",COUNTIF($Y$4:Y702,Y702)=1)</x:f>
        <x:v>0</x:v>
      </x:c>
      <x:c r="AO702" t="n">
        <x:f>--AND(AN702=1,Z702=1,AM702=1)</x:f>
        <x:v>0</x:v>
      </x:c>
      <x:c r="AP702" t="n">
        <x:f>--AND(AO702=1,AA702=1,AL702=1)</x:f>
        <x:v>0</x:v>
      </x:c>
      <x:c r="AQ702" t="n">
        <x:f>--AND(AN702=1,Z702=1)</x:f>
        <x:v>0</x:v>
      </x:c>
      <x:c r="AR702" t="n">
        <x:f>--AND(AQ702=1,AA702=1)</x:f>
        <x:v>0</x:v>
      </x:c>
    </x:row>
    <x:row r="703">
      <x:c r="A703" s="28"/>
      <x:c r="B703" s="28"/>
      <x:c r="C703" s="28"/>
      <x:c r="D703" s="28"/>
      <x:c r="E703" s="28"/>
      <x:c r="F703" s="28"/>
      <x:c r="G703" s="28"/>
      <x:c r="H703" s="28"/>
      <x:c r="I703" s="28"/>
      <x:c r="J703" s="28"/>
      <x:c r="K703" s="28"/>
      <x:c r="L703" s="28"/>
      <x:c r="M703" s="28"/>
      <x:c r="N703" s="28"/>
      <x:c r="O703" s="28"/>
      <x:c r="P703" s="28"/>
      <x:c r="Q703" s="28"/>
      <x:c r="R703" s="28"/>
      <x:c r="S703" s="28"/>
      <x:c r="T703" s="28"/>
      <x:c r="U703" s="28"/>
      <x:c r="V703" s="28"/>
      <x:c r="W703" s="28"/>
      <x:c r="X703" s="43" t="n">
        <x:f>--AND(S703=1,T703=1,U703=1,V703=1,W703=1)</x:f>
        <x:v>0</x:v>
      </x:c>
      <x:c r="AE703" s="43" t="n">
        <x:f>--AND(S703=1,M703&lt;&gt;"",M703&lt;&gt;"keep")</x:f>
        <x:v>0</x:v>
      </x:c>
      <x:c r="AG703" t="n">
        <x:f>--AND(S703=1,T703=1,U703=1,V703=1,W703=1,AE703=1)</x:f>
        <x:v>0</x:v>
      </x:c>
      <x:c r="AJ703" t="str">
        <x:f>IF(OR(AH703="",AI703=""),"",--(AH703&lt;&gt;AI703))</x:f>
      </x:c>
      <x:c r="AL703" t="str">
        <x:f>IF(OR(AH703="",AI703=""),"PENDING_HUMAN",IF(AH703=AI703,AH703,IF(AK703&lt;&gt;"",AK703,"PENDING_HUMAN")))</x:f>
        <x:v>PENDING_HUMAN</x:v>
      </x:c>
      <x:c r="AM703" t="n">
        <x:f>--AND(A703&lt;&gt;"",AH703&lt;&gt;"",AI703&lt;&gt;"",OR(AH703=AI703,AK703&lt;&gt;""))</x:f>
        <x:v>0</x:v>
      </x:c>
      <x:c r="AN703" t="n">
        <x:f>--AND(Y703&lt;&gt;"",COUNTIF($Y$4:Y703,Y703)=1)</x:f>
        <x:v>0</x:v>
      </x:c>
      <x:c r="AO703" t="n">
        <x:f>--AND(AN703=1,Z703=1,AM703=1)</x:f>
        <x:v>0</x:v>
      </x:c>
      <x:c r="AP703" t="n">
        <x:f>--AND(AO703=1,AA703=1,AL703=1)</x:f>
        <x:v>0</x:v>
      </x:c>
      <x:c r="AQ703" t="n">
        <x:f>--AND(AN703=1,Z703=1)</x:f>
        <x:v>0</x:v>
      </x:c>
      <x:c r="AR703" t="n">
        <x:f>--AND(AQ703=1,AA703=1)</x:f>
        <x:v>0</x:v>
      </x:c>
    </x:row>
    <x:row r="704">
      <x:c r="A704" s="28"/>
      <x:c r="B704" s="28"/>
      <x:c r="C704" s="28"/>
      <x:c r="D704" s="28"/>
      <x:c r="E704" s="28"/>
      <x:c r="F704" s="28"/>
      <x:c r="G704" s="28"/>
      <x:c r="H704" s="28"/>
      <x:c r="I704" s="28"/>
      <x:c r="J704" s="28"/>
      <x:c r="K704" s="28"/>
      <x:c r="L704" s="28"/>
      <x:c r="M704" s="28"/>
      <x:c r="N704" s="28"/>
      <x:c r="O704" s="28"/>
      <x:c r="P704" s="28"/>
      <x:c r="Q704" s="28"/>
      <x:c r="R704" s="28"/>
      <x:c r="S704" s="28"/>
      <x:c r="T704" s="28"/>
      <x:c r="U704" s="28"/>
      <x:c r="V704" s="28"/>
      <x:c r="W704" s="28"/>
      <x:c r="X704" s="43" t="n">
        <x:f>--AND(S704=1,T704=1,U704=1,V704=1,W704=1)</x:f>
        <x:v>0</x:v>
      </x:c>
      <x:c r="AE704" s="43" t="n">
        <x:f>--AND(S704=1,M704&lt;&gt;"",M704&lt;&gt;"keep")</x:f>
        <x:v>0</x:v>
      </x:c>
      <x:c r="AG704" t="n">
        <x:f>--AND(S704=1,T704=1,U704=1,V704=1,W704=1,AE704=1)</x:f>
        <x:v>0</x:v>
      </x:c>
      <x:c r="AJ704" t="str">
        <x:f>IF(OR(AH704="",AI704=""),"",--(AH704&lt;&gt;AI704))</x:f>
      </x:c>
      <x:c r="AL704" t="str">
        <x:f>IF(OR(AH704="",AI704=""),"PENDING_HUMAN",IF(AH704=AI704,AH704,IF(AK704&lt;&gt;"",AK704,"PENDING_HUMAN")))</x:f>
        <x:v>PENDING_HUMAN</x:v>
      </x:c>
      <x:c r="AM704" t="n">
        <x:f>--AND(A704&lt;&gt;"",AH704&lt;&gt;"",AI704&lt;&gt;"",OR(AH704=AI704,AK704&lt;&gt;""))</x:f>
        <x:v>0</x:v>
      </x:c>
      <x:c r="AN704" t="n">
        <x:f>--AND(Y704&lt;&gt;"",COUNTIF($Y$4:Y704,Y704)=1)</x:f>
        <x:v>0</x:v>
      </x:c>
      <x:c r="AO704" t="n">
        <x:f>--AND(AN704=1,Z704=1,AM704=1)</x:f>
        <x:v>0</x:v>
      </x:c>
      <x:c r="AP704" t="n">
        <x:f>--AND(AO704=1,AA704=1,AL704=1)</x:f>
        <x:v>0</x:v>
      </x:c>
      <x:c r="AQ704" t="n">
        <x:f>--AND(AN704=1,Z704=1)</x:f>
        <x:v>0</x:v>
      </x:c>
      <x:c r="AR704" t="n">
        <x:f>--AND(AQ704=1,AA704=1)</x:f>
        <x:v>0</x:v>
      </x:c>
    </x:row>
    <x:row r="705">
      <x:c r="A705" s="28"/>
      <x:c r="B705" s="28"/>
      <x:c r="C705" s="28"/>
      <x:c r="D705" s="28"/>
      <x:c r="E705" s="28"/>
      <x:c r="F705" s="28"/>
      <x:c r="G705" s="28"/>
      <x:c r="H705" s="28"/>
      <x:c r="I705" s="28"/>
      <x:c r="J705" s="28"/>
      <x:c r="K705" s="28"/>
      <x:c r="L705" s="28"/>
      <x:c r="M705" s="28"/>
      <x:c r="N705" s="28"/>
      <x:c r="O705" s="28"/>
      <x:c r="P705" s="28"/>
      <x:c r="Q705" s="28"/>
      <x:c r="R705" s="28"/>
      <x:c r="S705" s="28"/>
      <x:c r="T705" s="28"/>
      <x:c r="U705" s="28"/>
      <x:c r="V705" s="28"/>
      <x:c r="W705" s="28"/>
      <x:c r="X705" s="43" t="n">
        <x:f>--AND(S705=1,T705=1,U705=1,V705=1,W705=1)</x:f>
        <x:v>0</x:v>
      </x:c>
      <x:c r="AE705" s="43" t="n">
        <x:f>--AND(S705=1,M705&lt;&gt;"",M705&lt;&gt;"keep")</x:f>
        <x:v>0</x:v>
      </x:c>
      <x:c r="AG705" t="n">
        <x:f>--AND(S705=1,T705=1,U705=1,V705=1,W705=1,AE705=1)</x:f>
        <x:v>0</x:v>
      </x:c>
      <x:c r="AJ705" t="str">
        <x:f>IF(OR(AH705="",AI705=""),"",--(AH705&lt;&gt;AI705))</x:f>
      </x:c>
      <x:c r="AL705" t="str">
        <x:f>IF(OR(AH705="",AI705=""),"PENDING_HUMAN",IF(AH705=AI705,AH705,IF(AK705&lt;&gt;"",AK705,"PENDING_HUMAN")))</x:f>
        <x:v>PENDING_HUMAN</x:v>
      </x:c>
      <x:c r="AM705" t="n">
        <x:f>--AND(A705&lt;&gt;"",AH705&lt;&gt;"",AI705&lt;&gt;"",OR(AH705=AI705,AK705&lt;&gt;""))</x:f>
        <x:v>0</x:v>
      </x:c>
      <x:c r="AN705" t="n">
        <x:f>--AND(Y705&lt;&gt;"",COUNTIF($Y$4:Y705,Y705)=1)</x:f>
        <x:v>0</x:v>
      </x:c>
      <x:c r="AO705" t="n">
        <x:f>--AND(AN705=1,Z705=1,AM705=1)</x:f>
        <x:v>0</x:v>
      </x:c>
      <x:c r="AP705" t="n">
        <x:f>--AND(AO705=1,AA705=1,AL705=1)</x:f>
        <x:v>0</x:v>
      </x:c>
      <x:c r="AQ705" t="n">
        <x:f>--AND(AN705=1,Z705=1)</x:f>
        <x:v>0</x:v>
      </x:c>
      <x:c r="AR705" t="n">
        <x:f>--AND(AQ705=1,AA705=1)</x:f>
        <x:v>0</x:v>
      </x:c>
    </x:row>
    <x:row r="706">
      <x:c r="A706" s="28"/>
      <x:c r="B706" s="28"/>
      <x:c r="C706" s="28"/>
      <x:c r="D706" s="28"/>
      <x:c r="E706" s="28"/>
      <x:c r="F706" s="28"/>
      <x:c r="G706" s="28"/>
      <x:c r="H706" s="28"/>
      <x:c r="I706" s="28"/>
      <x:c r="J706" s="28"/>
      <x:c r="K706" s="28"/>
      <x:c r="L706" s="28"/>
      <x:c r="M706" s="28"/>
      <x:c r="N706" s="28"/>
      <x:c r="O706" s="28"/>
      <x:c r="P706" s="28"/>
      <x:c r="Q706" s="28"/>
      <x:c r="R706" s="28"/>
      <x:c r="S706" s="28"/>
      <x:c r="T706" s="28"/>
      <x:c r="U706" s="28"/>
      <x:c r="V706" s="28"/>
      <x:c r="W706" s="28"/>
      <x:c r="X706" s="43" t="n">
        <x:f>--AND(S706=1,T706=1,U706=1,V706=1,W706=1)</x:f>
        <x:v>0</x:v>
      </x:c>
      <x:c r="AE706" s="43" t="n">
        <x:f>--AND(S706=1,M706&lt;&gt;"",M706&lt;&gt;"keep")</x:f>
        <x:v>0</x:v>
      </x:c>
      <x:c r="AG706" t="n">
        <x:f>--AND(S706=1,T706=1,U706=1,V706=1,W706=1,AE706=1)</x:f>
        <x:v>0</x:v>
      </x:c>
      <x:c r="AJ706" t="str">
        <x:f>IF(OR(AH706="",AI706=""),"",--(AH706&lt;&gt;AI706))</x:f>
      </x:c>
      <x:c r="AL706" t="str">
        <x:f>IF(OR(AH706="",AI706=""),"PENDING_HUMAN",IF(AH706=AI706,AH706,IF(AK706&lt;&gt;"",AK706,"PENDING_HUMAN")))</x:f>
        <x:v>PENDING_HUMAN</x:v>
      </x:c>
      <x:c r="AM706" t="n">
        <x:f>--AND(A706&lt;&gt;"",AH706&lt;&gt;"",AI706&lt;&gt;"",OR(AH706=AI706,AK706&lt;&gt;""))</x:f>
        <x:v>0</x:v>
      </x:c>
      <x:c r="AN706" t="n">
        <x:f>--AND(Y706&lt;&gt;"",COUNTIF($Y$4:Y706,Y706)=1)</x:f>
        <x:v>0</x:v>
      </x:c>
      <x:c r="AO706" t="n">
        <x:f>--AND(AN706=1,Z706=1,AM706=1)</x:f>
        <x:v>0</x:v>
      </x:c>
      <x:c r="AP706" t="n">
        <x:f>--AND(AO706=1,AA706=1,AL706=1)</x:f>
        <x:v>0</x:v>
      </x:c>
      <x:c r="AQ706" t="n">
        <x:f>--AND(AN706=1,Z706=1)</x:f>
        <x:v>0</x:v>
      </x:c>
      <x:c r="AR706" t="n">
        <x:f>--AND(AQ706=1,AA706=1)</x:f>
        <x:v>0</x:v>
      </x:c>
    </x:row>
    <x:row r="707">
      <x:c r="A707" s="28"/>
      <x:c r="B707" s="28"/>
      <x:c r="C707" s="28"/>
      <x:c r="D707" s="28"/>
      <x:c r="E707" s="28"/>
      <x:c r="F707" s="28"/>
      <x:c r="G707" s="28"/>
      <x:c r="H707" s="28"/>
      <x:c r="I707" s="28"/>
      <x:c r="J707" s="28"/>
      <x:c r="K707" s="28"/>
      <x:c r="L707" s="28"/>
      <x:c r="M707" s="28"/>
      <x:c r="N707" s="28"/>
      <x:c r="O707" s="28"/>
      <x:c r="P707" s="28"/>
      <x:c r="Q707" s="28"/>
      <x:c r="R707" s="28"/>
      <x:c r="S707" s="28"/>
      <x:c r="T707" s="28"/>
      <x:c r="U707" s="28"/>
      <x:c r="V707" s="28"/>
      <x:c r="W707" s="28"/>
      <x:c r="X707" s="43" t="n">
        <x:f>--AND(S707=1,T707=1,U707=1,V707=1,W707=1)</x:f>
        <x:v>0</x:v>
      </x:c>
      <x:c r="AE707" s="43" t="n">
        <x:f>--AND(S707=1,M707&lt;&gt;"",M707&lt;&gt;"keep")</x:f>
        <x:v>0</x:v>
      </x:c>
      <x:c r="AG707" t="n">
        <x:f>--AND(S707=1,T707=1,U707=1,V707=1,W707=1,AE707=1)</x:f>
        <x:v>0</x:v>
      </x:c>
      <x:c r="AJ707" t="str">
        <x:f>IF(OR(AH707="",AI707=""),"",--(AH707&lt;&gt;AI707))</x:f>
      </x:c>
      <x:c r="AL707" t="str">
        <x:f>IF(OR(AH707="",AI707=""),"PENDING_HUMAN",IF(AH707=AI707,AH707,IF(AK707&lt;&gt;"",AK707,"PENDING_HUMAN")))</x:f>
        <x:v>PENDING_HUMAN</x:v>
      </x:c>
      <x:c r="AM707" t="n">
        <x:f>--AND(A707&lt;&gt;"",AH707&lt;&gt;"",AI707&lt;&gt;"",OR(AH707=AI707,AK707&lt;&gt;""))</x:f>
        <x:v>0</x:v>
      </x:c>
      <x:c r="AN707" t="n">
        <x:f>--AND(Y707&lt;&gt;"",COUNTIF($Y$4:Y707,Y707)=1)</x:f>
        <x:v>0</x:v>
      </x:c>
      <x:c r="AO707" t="n">
        <x:f>--AND(AN707=1,Z707=1,AM707=1)</x:f>
        <x:v>0</x:v>
      </x:c>
      <x:c r="AP707" t="n">
        <x:f>--AND(AO707=1,AA707=1,AL707=1)</x:f>
        <x:v>0</x:v>
      </x:c>
      <x:c r="AQ707" t="n">
        <x:f>--AND(AN707=1,Z707=1)</x:f>
        <x:v>0</x:v>
      </x:c>
      <x:c r="AR707" t="n">
        <x:f>--AND(AQ707=1,AA707=1)</x:f>
        <x:v>0</x:v>
      </x:c>
    </x:row>
    <x:row r="708">
      <x:c r="A708" s="28"/>
      <x:c r="B708" s="28"/>
      <x:c r="C708" s="28"/>
      <x:c r="D708" s="28"/>
      <x:c r="E708" s="28"/>
      <x:c r="F708" s="28"/>
      <x:c r="G708" s="28"/>
      <x:c r="H708" s="28"/>
      <x:c r="I708" s="28"/>
      <x:c r="J708" s="28"/>
      <x:c r="K708" s="28"/>
      <x:c r="L708" s="28"/>
      <x:c r="M708" s="28"/>
      <x:c r="N708" s="28"/>
      <x:c r="O708" s="28"/>
      <x:c r="P708" s="28"/>
      <x:c r="Q708" s="28"/>
      <x:c r="R708" s="28"/>
      <x:c r="S708" s="28"/>
      <x:c r="T708" s="28"/>
      <x:c r="U708" s="28"/>
      <x:c r="V708" s="28"/>
      <x:c r="W708" s="28"/>
      <x:c r="X708" s="43" t="n">
        <x:f>--AND(S708=1,T708=1,U708=1,V708=1,W708=1)</x:f>
        <x:v>0</x:v>
      </x:c>
      <x:c r="AE708" s="43" t="n">
        <x:f>--AND(S708=1,M708&lt;&gt;"",M708&lt;&gt;"keep")</x:f>
        <x:v>0</x:v>
      </x:c>
      <x:c r="AG708" t="n">
        <x:f>--AND(S708=1,T708=1,U708=1,V708=1,W708=1,AE708=1)</x:f>
        <x:v>0</x:v>
      </x:c>
      <x:c r="AJ708" t="str">
        <x:f>IF(OR(AH708="",AI708=""),"",--(AH708&lt;&gt;AI708))</x:f>
      </x:c>
      <x:c r="AL708" t="str">
        <x:f>IF(OR(AH708="",AI708=""),"PENDING_HUMAN",IF(AH708=AI708,AH708,IF(AK708&lt;&gt;"",AK708,"PENDING_HUMAN")))</x:f>
        <x:v>PENDING_HUMAN</x:v>
      </x:c>
      <x:c r="AM708" t="n">
        <x:f>--AND(A708&lt;&gt;"",AH708&lt;&gt;"",AI708&lt;&gt;"",OR(AH708=AI708,AK708&lt;&gt;""))</x:f>
        <x:v>0</x:v>
      </x:c>
      <x:c r="AN708" t="n">
        <x:f>--AND(Y708&lt;&gt;"",COUNTIF($Y$4:Y708,Y708)=1)</x:f>
        <x:v>0</x:v>
      </x:c>
      <x:c r="AO708" t="n">
        <x:f>--AND(AN708=1,Z708=1,AM708=1)</x:f>
        <x:v>0</x:v>
      </x:c>
      <x:c r="AP708" t="n">
        <x:f>--AND(AO708=1,AA708=1,AL708=1)</x:f>
        <x:v>0</x:v>
      </x:c>
      <x:c r="AQ708" t="n">
        <x:f>--AND(AN708=1,Z708=1)</x:f>
        <x:v>0</x:v>
      </x:c>
      <x:c r="AR708" t="n">
        <x:f>--AND(AQ708=1,AA708=1)</x:f>
        <x:v>0</x:v>
      </x:c>
    </x:row>
    <x:row r="709">
      <x:c r="A709" s="28"/>
      <x:c r="B709" s="28"/>
      <x:c r="C709" s="28"/>
      <x:c r="D709" s="28"/>
      <x:c r="E709" s="28"/>
      <x:c r="F709" s="28"/>
      <x:c r="G709" s="28"/>
      <x:c r="H709" s="28"/>
      <x:c r="I709" s="28"/>
      <x:c r="J709" s="28"/>
      <x:c r="K709" s="28"/>
      <x:c r="L709" s="28"/>
      <x:c r="M709" s="28"/>
      <x:c r="N709" s="28"/>
      <x:c r="O709" s="28"/>
      <x:c r="P709" s="28"/>
      <x:c r="Q709" s="28"/>
      <x:c r="R709" s="28"/>
      <x:c r="S709" s="28"/>
      <x:c r="T709" s="28"/>
      <x:c r="U709" s="28"/>
      <x:c r="V709" s="28"/>
      <x:c r="W709" s="28"/>
      <x:c r="X709" s="43" t="n">
        <x:f>--AND(S709=1,T709=1,U709=1,V709=1,W709=1)</x:f>
        <x:v>0</x:v>
      </x:c>
      <x:c r="AE709" s="43" t="n">
        <x:f>--AND(S709=1,M709&lt;&gt;"",M709&lt;&gt;"keep")</x:f>
        <x:v>0</x:v>
      </x:c>
      <x:c r="AG709" t="n">
        <x:f>--AND(S709=1,T709=1,U709=1,V709=1,W709=1,AE709=1)</x:f>
        <x:v>0</x:v>
      </x:c>
      <x:c r="AJ709" t="str">
        <x:f>IF(OR(AH709="",AI709=""),"",--(AH709&lt;&gt;AI709))</x:f>
      </x:c>
      <x:c r="AL709" t="str">
        <x:f>IF(OR(AH709="",AI709=""),"PENDING_HUMAN",IF(AH709=AI709,AH709,IF(AK709&lt;&gt;"",AK709,"PENDING_HUMAN")))</x:f>
        <x:v>PENDING_HUMAN</x:v>
      </x:c>
      <x:c r="AM709" t="n">
        <x:f>--AND(A709&lt;&gt;"",AH709&lt;&gt;"",AI709&lt;&gt;"",OR(AH709=AI709,AK709&lt;&gt;""))</x:f>
        <x:v>0</x:v>
      </x:c>
      <x:c r="AN709" t="n">
        <x:f>--AND(Y709&lt;&gt;"",COUNTIF($Y$4:Y709,Y709)=1)</x:f>
        <x:v>0</x:v>
      </x:c>
      <x:c r="AO709" t="n">
        <x:f>--AND(AN709=1,Z709=1,AM709=1)</x:f>
        <x:v>0</x:v>
      </x:c>
      <x:c r="AP709" t="n">
        <x:f>--AND(AO709=1,AA709=1,AL709=1)</x:f>
        <x:v>0</x:v>
      </x:c>
      <x:c r="AQ709" t="n">
        <x:f>--AND(AN709=1,Z709=1)</x:f>
        <x:v>0</x:v>
      </x:c>
      <x:c r="AR709" t="n">
        <x:f>--AND(AQ709=1,AA709=1)</x:f>
        <x:v>0</x:v>
      </x:c>
    </x:row>
    <x:row r="710">
      <x:c r="A710" s="28"/>
      <x:c r="B710" s="28"/>
      <x:c r="C710" s="28"/>
      <x:c r="D710" s="28"/>
      <x:c r="E710" s="28"/>
      <x:c r="F710" s="28"/>
      <x:c r="G710" s="28"/>
      <x:c r="H710" s="28"/>
      <x:c r="I710" s="28"/>
      <x:c r="J710" s="28"/>
      <x:c r="K710" s="28"/>
      <x:c r="L710" s="28"/>
      <x:c r="M710" s="28"/>
      <x:c r="N710" s="28"/>
      <x:c r="O710" s="28"/>
      <x:c r="P710" s="28"/>
      <x:c r="Q710" s="28"/>
      <x:c r="R710" s="28"/>
      <x:c r="S710" s="28"/>
      <x:c r="T710" s="28"/>
      <x:c r="U710" s="28"/>
      <x:c r="V710" s="28"/>
      <x:c r="W710" s="28"/>
      <x:c r="X710" s="43" t="n">
        <x:f>--AND(S710=1,T710=1,U710=1,V710=1,W710=1)</x:f>
        <x:v>0</x:v>
      </x:c>
      <x:c r="AE710" s="43" t="n">
        <x:f>--AND(S710=1,M710&lt;&gt;"",M710&lt;&gt;"keep")</x:f>
        <x:v>0</x:v>
      </x:c>
      <x:c r="AG710" t="n">
        <x:f>--AND(S710=1,T710=1,U710=1,V710=1,W710=1,AE710=1)</x:f>
        <x:v>0</x:v>
      </x:c>
      <x:c r="AJ710" t="str">
        <x:f>IF(OR(AH710="",AI710=""),"",--(AH710&lt;&gt;AI710))</x:f>
      </x:c>
      <x:c r="AL710" t="str">
        <x:f>IF(OR(AH710="",AI710=""),"PENDING_HUMAN",IF(AH710=AI710,AH710,IF(AK710&lt;&gt;"",AK710,"PENDING_HUMAN")))</x:f>
        <x:v>PENDING_HUMAN</x:v>
      </x:c>
      <x:c r="AM710" t="n">
        <x:f>--AND(A710&lt;&gt;"",AH710&lt;&gt;"",AI710&lt;&gt;"",OR(AH710=AI710,AK710&lt;&gt;""))</x:f>
        <x:v>0</x:v>
      </x:c>
      <x:c r="AN710" t="n">
        <x:f>--AND(Y710&lt;&gt;"",COUNTIF($Y$4:Y710,Y710)=1)</x:f>
        <x:v>0</x:v>
      </x:c>
      <x:c r="AO710" t="n">
        <x:f>--AND(AN710=1,Z710=1,AM710=1)</x:f>
        <x:v>0</x:v>
      </x:c>
      <x:c r="AP710" t="n">
        <x:f>--AND(AO710=1,AA710=1,AL710=1)</x:f>
        <x:v>0</x:v>
      </x:c>
      <x:c r="AQ710" t="n">
        <x:f>--AND(AN710=1,Z710=1)</x:f>
        <x:v>0</x:v>
      </x:c>
      <x:c r="AR710" t="n">
        <x:f>--AND(AQ710=1,AA710=1)</x:f>
        <x:v>0</x:v>
      </x:c>
    </x:row>
    <x:row r="711">
      <x:c r="A711" s="28"/>
      <x:c r="B711" s="28"/>
      <x:c r="C711" s="28"/>
      <x:c r="D711" s="28"/>
      <x:c r="E711" s="28"/>
      <x:c r="F711" s="28"/>
      <x:c r="G711" s="28"/>
      <x:c r="H711" s="28"/>
      <x:c r="I711" s="28"/>
      <x:c r="J711" s="28"/>
      <x:c r="K711" s="28"/>
      <x:c r="L711" s="28"/>
      <x:c r="M711" s="28"/>
      <x:c r="N711" s="28"/>
      <x:c r="O711" s="28"/>
      <x:c r="P711" s="28"/>
      <x:c r="Q711" s="28"/>
      <x:c r="R711" s="28"/>
      <x:c r="S711" s="28"/>
      <x:c r="T711" s="28"/>
      <x:c r="U711" s="28"/>
      <x:c r="V711" s="28"/>
      <x:c r="W711" s="28"/>
      <x:c r="X711" s="43" t="n">
        <x:f>--AND(S711=1,T711=1,U711=1,V711=1,W711=1)</x:f>
        <x:v>0</x:v>
      </x:c>
      <x:c r="AE711" s="43" t="n">
        <x:f>--AND(S711=1,M711&lt;&gt;"",M711&lt;&gt;"keep")</x:f>
        <x:v>0</x:v>
      </x:c>
      <x:c r="AG711" t="n">
        <x:f>--AND(S711=1,T711=1,U711=1,V711=1,W711=1,AE711=1)</x:f>
        <x:v>0</x:v>
      </x:c>
      <x:c r="AJ711" t="str">
        <x:f>IF(OR(AH711="",AI711=""),"",--(AH711&lt;&gt;AI711))</x:f>
      </x:c>
      <x:c r="AL711" t="str">
        <x:f>IF(OR(AH711="",AI711=""),"PENDING_HUMAN",IF(AH711=AI711,AH711,IF(AK711&lt;&gt;"",AK711,"PENDING_HUMAN")))</x:f>
        <x:v>PENDING_HUMAN</x:v>
      </x:c>
      <x:c r="AM711" t="n">
        <x:f>--AND(A711&lt;&gt;"",AH711&lt;&gt;"",AI711&lt;&gt;"",OR(AH711=AI711,AK711&lt;&gt;""))</x:f>
        <x:v>0</x:v>
      </x:c>
      <x:c r="AN711" t="n">
        <x:f>--AND(Y711&lt;&gt;"",COUNTIF($Y$4:Y711,Y711)=1)</x:f>
        <x:v>0</x:v>
      </x:c>
      <x:c r="AO711" t="n">
        <x:f>--AND(AN711=1,Z711=1,AM711=1)</x:f>
        <x:v>0</x:v>
      </x:c>
      <x:c r="AP711" t="n">
        <x:f>--AND(AO711=1,AA711=1,AL711=1)</x:f>
        <x:v>0</x:v>
      </x:c>
      <x:c r="AQ711" t="n">
        <x:f>--AND(AN711=1,Z711=1)</x:f>
        <x:v>0</x:v>
      </x:c>
      <x:c r="AR711" t="n">
        <x:f>--AND(AQ711=1,AA711=1)</x:f>
        <x:v>0</x:v>
      </x:c>
    </x:row>
    <x:row r="712">
      <x:c r="A712" s="28"/>
      <x:c r="B712" s="28"/>
      <x:c r="C712" s="28"/>
      <x:c r="D712" s="28"/>
      <x:c r="E712" s="28"/>
      <x:c r="F712" s="28"/>
      <x:c r="G712" s="28"/>
      <x:c r="H712" s="28"/>
      <x:c r="I712" s="28"/>
      <x:c r="J712" s="28"/>
      <x:c r="K712" s="28"/>
      <x:c r="L712" s="28"/>
      <x:c r="M712" s="28"/>
      <x:c r="N712" s="28"/>
      <x:c r="O712" s="28"/>
      <x:c r="P712" s="28"/>
      <x:c r="Q712" s="28"/>
      <x:c r="R712" s="28"/>
      <x:c r="S712" s="28"/>
      <x:c r="T712" s="28"/>
      <x:c r="U712" s="28"/>
      <x:c r="V712" s="28"/>
      <x:c r="W712" s="28"/>
      <x:c r="X712" s="43" t="n">
        <x:f>--AND(S712=1,T712=1,U712=1,V712=1,W712=1)</x:f>
        <x:v>0</x:v>
      </x:c>
      <x:c r="AE712" s="43" t="n">
        <x:f>--AND(S712=1,M712&lt;&gt;"",M712&lt;&gt;"keep")</x:f>
        <x:v>0</x:v>
      </x:c>
      <x:c r="AG712" t="n">
        <x:f>--AND(S712=1,T712=1,U712=1,V712=1,W712=1,AE712=1)</x:f>
        <x:v>0</x:v>
      </x:c>
      <x:c r="AJ712" t="str">
        <x:f>IF(OR(AH712="",AI712=""),"",--(AH712&lt;&gt;AI712))</x:f>
      </x:c>
      <x:c r="AL712" t="str">
        <x:f>IF(OR(AH712="",AI712=""),"PENDING_HUMAN",IF(AH712=AI712,AH712,IF(AK712&lt;&gt;"",AK712,"PENDING_HUMAN")))</x:f>
        <x:v>PENDING_HUMAN</x:v>
      </x:c>
      <x:c r="AM712" t="n">
        <x:f>--AND(A712&lt;&gt;"",AH712&lt;&gt;"",AI712&lt;&gt;"",OR(AH712=AI712,AK712&lt;&gt;""))</x:f>
        <x:v>0</x:v>
      </x:c>
      <x:c r="AN712" t="n">
        <x:f>--AND(Y712&lt;&gt;"",COUNTIF($Y$4:Y712,Y712)=1)</x:f>
        <x:v>0</x:v>
      </x:c>
      <x:c r="AO712" t="n">
        <x:f>--AND(AN712=1,Z712=1,AM712=1)</x:f>
        <x:v>0</x:v>
      </x:c>
      <x:c r="AP712" t="n">
        <x:f>--AND(AO712=1,AA712=1,AL712=1)</x:f>
        <x:v>0</x:v>
      </x:c>
      <x:c r="AQ712" t="n">
        <x:f>--AND(AN712=1,Z712=1)</x:f>
        <x:v>0</x:v>
      </x:c>
      <x:c r="AR712" t="n">
        <x:f>--AND(AQ712=1,AA712=1)</x:f>
        <x:v>0</x:v>
      </x:c>
    </x:row>
    <x:row r="713">
      <x:c r="A713" s="28"/>
      <x:c r="B713" s="28"/>
      <x:c r="C713" s="28"/>
      <x:c r="D713" s="28"/>
      <x:c r="E713" s="28"/>
      <x:c r="F713" s="28"/>
      <x:c r="G713" s="28"/>
      <x:c r="H713" s="28"/>
      <x:c r="I713" s="28"/>
      <x:c r="J713" s="28"/>
      <x:c r="K713" s="28"/>
      <x:c r="L713" s="28"/>
      <x:c r="M713" s="28"/>
      <x:c r="N713" s="28"/>
      <x:c r="O713" s="28"/>
      <x:c r="P713" s="28"/>
      <x:c r="Q713" s="28"/>
      <x:c r="R713" s="28"/>
      <x:c r="S713" s="28"/>
      <x:c r="T713" s="28"/>
      <x:c r="U713" s="28"/>
      <x:c r="V713" s="28"/>
      <x:c r="W713" s="28"/>
      <x:c r="X713" s="43" t="n">
        <x:f>--AND(S713=1,T713=1,U713=1,V713=1,W713=1)</x:f>
        <x:v>0</x:v>
      </x:c>
      <x:c r="AE713" s="43" t="n">
        <x:f>--AND(S713=1,M713&lt;&gt;"",M713&lt;&gt;"keep")</x:f>
        <x:v>0</x:v>
      </x:c>
      <x:c r="AG713" t="n">
        <x:f>--AND(S713=1,T713=1,U713=1,V713=1,W713=1,AE713=1)</x:f>
        <x:v>0</x:v>
      </x:c>
      <x:c r="AJ713" t="str">
        <x:f>IF(OR(AH713="",AI713=""),"",--(AH713&lt;&gt;AI713))</x:f>
      </x:c>
      <x:c r="AL713" t="str">
        <x:f>IF(OR(AH713="",AI713=""),"PENDING_HUMAN",IF(AH713=AI713,AH713,IF(AK713&lt;&gt;"",AK713,"PENDING_HUMAN")))</x:f>
        <x:v>PENDING_HUMAN</x:v>
      </x:c>
      <x:c r="AM713" t="n">
        <x:f>--AND(A713&lt;&gt;"",AH713&lt;&gt;"",AI713&lt;&gt;"",OR(AH713=AI713,AK713&lt;&gt;""))</x:f>
        <x:v>0</x:v>
      </x:c>
      <x:c r="AN713" t="n">
        <x:f>--AND(Y713&lt;&gt;"",COUNTIF($Y$4:Y713,Y713)=1)</x:f>
        <x:v>0</x:v>
      </x:c>
      <x:c r="AO713" t="n">
        <x:f>--AND(AN713=1,Z713=1,AM713=1)</x:f>
        <x:v>0</x:v>
      </x:c>
      <x:c r="AP713" t="n">
        <x:f>--AND(AO713=1,AA713=1,AL713=1)</x:f>
        <x:v>0</x:v>
      </x:c>
      <x:c r="AQ713" t="n">
        <x:f>--AND(AN713=1,Z713=1)</x:f>
        <x:v>0</x:v>
      </x:c>
      <x:c r="AR713" t="n">
        <x:f>--AND(AQ713=1,AA713=1)</x:f>
        <x:v>0</x:v>
      </x:c>
    </x:row>
    <x:row r="714">
      <x:c r="A714" s="28"/>
      <x:c r="B714" s="28"/>
      <x:c r="C714" s="28"/>
      <x:c r="D714" s="28"/>
      <x:c r="E714" s="28"/>
      <x:c r="F714" s="28"/>
      <x:c r="G714" s="28"/>
      <x:c r="H714" s="28"/>
      <x:c r="I714" s="28"/>
      <x:c r="J714" s="28"/>
      <x:c r="K714" s="28"/>
      <x:c r="L714" s="28"/>
      <x:c r="M714" s="28"/>
      <x:c r="N714" s="28"/>
      <x:c r="O714" s="28"/>
      <x:c r="P714" s="28"/>
      <x:c r="Q714" s="28"/>
      <x:c r="R714" s="28"/>
      <x:c r="S714" s="28"/>
      <x:c r="T714" s="28"/>
      <x:c r="U714" s="28"/>
      <x:c r="V714" s="28"/>
      <x:c r="W714" s="28"/>
      <x:c r="X714" s="43" t="n">
        <x:f>--AND(S714=1,T714=1,U714=1,V714=1,W714=1)</x:f>
        <x:v>0</x:v>
      </x:c>
      <x:c r="AE714" s="43" t="n">
        <x:f>--AND(S714=1,M714&lt;&gt;"",M714&lt;&gt;"keep")</x:f>
        <x:v>0</x:v>
      </x:c>
      <x:c r="AG714" t="n">
        <x:f>--AND(S714=1,T714=1,U714=1,V714=1,W714=1,AE714=1)</x:f>
        <x:v>0</x:v>
      </x:c>
      <x:c r="AJ714" t="str">
        <x:f>IF(OR(AH714="",AI714=""),"",--(AH714&lt;&gt;AI714))</x:f>
      </x:c>
      <x:c r="AL714" t="str">
        <x:f>IF(OR(AH714="",AI714=""),"PENDING_HUMAN",IF(AH714=AI714,AH714,IF(AK714&lt;&gt;"",AK714,"PENDING_HUMAN")))</x:f>
        <x:v>PENDING_HUMAN</x:v>
      </x:c>
      <x:c r="AM714" t="n">
        <x:f>--AND(A714&lt;&gt;"",AH714&lt;&gt;"",AI714&lt;&gt;"",OR(AH714=AI714,AK714&lt;&gt;""))</x:f>
        <x:v>0</x:v>
      </x:c>
      <x:c r="AN714" t="n">
        <x:f>--AND(Y714&lt;&gt;"",COUNTIF($Y$4:Y714,Y714)=1)</x:f>
        <x:v>0</x:v>
      </x:c>
      <x:c r="AO714" t="n">
        <x:f>--AND(AN714=1,Z714=1,AM714=1)</x:f>
        <x:v>0</x:v>
      </x:c>
      <x:c r="AP714" t="n">
        <x:f>--AND(AO714=1,AA714=1,AL714=1)</x:f>
        <x:v>0</x:v>
      </x:c>
      <x:c r="AQ714" t="n">
        <x:f>--AND(AN714=1,Z714=1)</x:f>
        <x:v>0</x:v>
      </x:c>
      <x:c r="AR714" t="n">
        <x:f>--AND(AQ714=1,AA714=1)</x:f>
        <x:v>0</x:v>
      </x:c>
    </x:row>
    <x:row r="715">
      <x:c r="A715" s="28"/>
      <x:c r="B715" s="28"/>
      <x:c r="C715" s="28"/>
      <x:c r="D715" s="28"/>
      <x:c r="E715" s="28"/>
      <x:c r="F715" s="28"/>
      <x:c r="G715" s="28"/>
      <x:c r="H715" s="28"/>
      <x:c r="I715" s="28"/>
      <x:c r="J715" s="28"/>
      <x:c r="K715" s="28"/>
      <x:c r="L715" s="28"/>
      <x:c r="M715" s="28"/>
      <x:c r="N715" s="28"/>
      <x:c r="O715" s="28"/>
      <x:c r="P715" s="28"/>
      <x:c r="Q715" s="28"/>
      <x:c r="R715" s="28"/>
      <x:c r="S715" s="28"/>
      <x:c r="T715" s="28"/>
      <x:c r="U715" s="28"/>
      <x:c r="V715" s="28"/>
      <x:c r="W715" s="28"/>
      <x:c r="X715" s="43" t="n">
        <x:f>--AND(S715=1,T715=1,U715=1,V715=1,W715=1)</x:f>
        <x:v>0</x:v>
      </x:c>
      <x:c r="AE715" s="43" t="n">
        <x:f>--AND(S715=1,M715&lt;&gt;"",M715&lt;&gt;"keep")</x:f>
        <x:v>0</x:v>
      </x:c>
      <x:c r="AG715" t="n">
        <x:f>--AND(S715=1,T715=1,U715=1,V715=1,W715=1,AE715=1)</x:f>
        <x:v>0</x:v>
      </x:c>
      <x:c r="AJ715" t="str">
        <x:f>IF(OR(AH715="",AI715=""),"",--(AH715&lt;&gt;AI715))</x:f>
      </x:c>
      <x:c r="AL715" t="str">
        <x:f>IF(OR(AH715="",AI715=""),"PENDING_HUMAN",IF(AH715=AI715,AH715,IF(AK715&lt;&gt;"",AK715,"PENDING_HUMAN")))</x:f>
        <x:v>PENDING_HUMAN</x:v>
      </x:c>
      <x:c r="AM715" t="n">
        <x:f>--AND(A715&lt;&gt;"",AH715&lt;&gt;"",AI715&lt;&gt;"",OR(AH715=AI715,AK715&lt;&gt;""))</x:f>
        <x:v>0</x:v>
      </x:c>
      <x:c r="AN715" t="n">
        <x:f>--AND(Y715&lt;&gt;"",COUNTIF($Y$4:Y715,Y715)=1)</x:f>
        <x:v>0</x:v>
      </x:c>
      <x:c r="AO715" t="n">
        <x:f>--AND(AN715=1,Z715=1,AM715=1)</x:f>
        <x:v>0</x:v>
      </x:c>
      <x:c r="AP715" t="n">
        <x:f>--AND(AO715=1,AA715=1,AL715=1)</x:f>
        <x:v>0</x:v>
      </x:c>
      <x:c r="AQ715" t="n">
        <x:f>--AND(AN715=1,Z715=1)</x:f>
        <x:v>0</x:v>
      </x:c>
      <x:c r="AR715" t="n">
        <x:f>--AND(AQ715=1,AA715=1)</x:f>
        <x:v>0</x:v>
      </x:c>
    </x:row>
    <x:row r="716">
      <x:c r="A716" s="28"/>
      <x:c r="B716" s="28"/>
      <x:c r="C716" s="28"/>
      <x:c r="D716" s="28"/>
      <x:c r="E716" s="28"/>
      <x:c r="F716" s="28"/>
      <x:c r="G716" s="28"/>
      <x:c r="H716" s="28"/>
      <x:c r="I716" s="28"/>
      <x:c r="J716" s="28"/>
      <x:c r="K716" s="28"/>
      <x:c r="L716" s="28"/>
      <x:c r="M716" s="28"/>
      <x:c r="N716" s="28"/>
      <x:c r="O716" s="28"/>
      <x:c r="P716" s="28"/>
      <x:c r="Q716" s="28"/>
      <x:c r="R716" s="28"/>
      <x:c r="S716" s="28"/>
      <x:c r="T716" s="28"/>
      <x:c r="U716" s="28"/>
      <x:c r="V716" s="28"/>
      <x:c r="W716" s="28"/>
      <x:c r="X716" s="43" t="n">
        <x:f>--AND(S716=1,T716=1,U716=1,V716=1,W716=1)</x:f>
        <x:v>0</x:v>
      </x:c>
      <x:c r="AE716" s="43" t="n">
        <x:f>--AND(S716=1,M716&lt;&gt;"",M716&lt;&gt;"keep")</x:f>
        <x:v>0</x:v>
      </x:c>
      <x:c r="AG716" t="n">
        <x:f>--AND(S716=1,T716=1,U716=1,V716=1,W716=1,AE716=1)</x:f>
        <x:v>0</x:v>
      </x:c>
      <x:c r="AJ716" t="str">
        <x:f>IF(OR(AH716="",AI716=""),"",--(AH716&lt;&gt;AI716))</x:f>
      </x:c>
      <x:c r="AL716" t="str">
        <x:f>IF(OR(AH716="",AI716=""),"PENDING_HUMAN",IF(AH716=AI716,AH716,IF(AK716&lt;&gt;"",AK716,"PENDING_HUMAN")))</x:f>
        <x:v>PENDING_HUMAN</x:v>
      </x:c>
      <x:c r="AM716" t="n">
        <x:f>--AND(A716&lt;&gt;"",AH716&lt;&gt;"",AI716&lt;&gt;"",OR(AH716=AI716,AK716&lt;&gt;""))</x:f>
        <x:v>0</x:v>
      </x:c>
      <x:c r="AN716" t="n">
        <x:f>--AND(Y716&lt;&gt;"",COUNTIF($Y$4:Y716,Y716)=1)</x:f>
        <x:v>0</x:v>
      </x:c>
      <x:c r="AO716" t="n">
        <x:f>--AND(AN716=1,Z716=1,AM716=1)</x:f>
        <x:v>0</x:v>
      </x:c>
      <x:c r="AP716" t="n">
        <x:f>--AND(AO716=1,AA716=1,AL716=1)</x:f>
        <x:v>0</x:v>
      </x:c>
      <x:c r="AQ716" t="n">
        <x:f>--AND(AN716=1,Z716=1)</x:f>
        <x:v>0</x:v>
      </x:c>
      <x:c r="AR716" t="n">
        <x:f>--AND(AQ716=1,AA716=1)</x:f>
        <x:v>0</x:v>
      </x:c>
    </x:row>
    <x:row r="717">
      <x:c r="A717" s="28"/>
      <x:c r="B717" s="28"/>
      <x:c r="C717" s="28"/>
      <x:c r="D717" s="28"/>
      <x:c r="E717" s="28"/>
      <x:c r="F717" s="28"/>
      <x:c r="G717" s="28"/>
      <x:c r="H717" s="28"/>
      <x:c r="I717" s="28"/>
      <x:c r="J717" s="28"/>
      <x:c r="K717" s="28"/>
      <x:c r="L717" s="28"/>
      <x:c r="M717" s="28"/>
      <x:c r="N717" s="28"/>
      <x:c r="O717" s="28"/>
      <x:c r="P717" s="28"/>
      <x:c r="Q717" s="28"/>
      <x:c r="R717" s="28"/>
      <x:c r="S717" s="28"/>
      <x:c r="T717" s="28"/>
      <x:c r="U717" s="28"/>
      <x:c r="V717" s="28"/>
      <x:c r="W717" s="28"/>
      <x:c r="X717" s="43" t="n">
        <x:f>--AND(S717=1,T717=1,U717=1,V717=1,W717=1)</x:f>
        <x:v>0</x:v>
      </x:c>
      <x:c r="AE717" s="43" t="n">
        <x:f>--AND(S717=1,M717&lt;&gt;"",M717&lt;&gt;"keep")</x:f>
        <x:v>0</x:v>
      </x:c>
      <x:c r="AG717" t="n">
        <x:f>--AND(S717=1,T717=1,U717=1,V717=1,W717=1,AE717=1)</x:f>
        <x:v>0</x:v>
      </x:c>
      <x:c r="AJ717" t="str">
        <x:f>IF(OR(AH717="",AI717=""),"",--(AH717&lt;&gt;AI717))</x:f>
      </x:c>
      <x:c r="AL717" t="str">
        <x:f>IF(OR(AH717="",AI717=""),"PENDING_HUMAN",IF(AH717=AI717,AH717,IF(AK717&lt;&gt;"",AK717,"PENDING_HUMAN")))</x:f>
        <x:v>PENDING_HUMAN</x:v>
      </x:c>
      <x:c r="AM717" t="n">
        <x:f>--AND(A717&lt;&gt;"",AH717&lt;&gt;"",AI717&lt;&gt;"",OR(AH717=AI717,AK717&lt;&gt;""))</x:f>
        <x:v>0</x:v>
      </x:c>
      <x:c r="AN717" t="n">
        <x:f>--AND(Y717&lt;&gt;"",COUNTIF($Y$4:Y717,Y717)=1)</x:f>
        <x:v>0</x:v>
      </x:c>
      <x:c r="AO717" t="n">
        <x:f>--AND(AN717=1,Z717=1,AM717=1)</x:f>
        <x:v>0</x:v>
      </x:c>
      <x:c r="AP717" t="n">
        <x:f>--AND(AO717=1,AA717=1,AL717=1)</x:f>
        <x:v>0</x:v>
      </x:c>
      <x:c r="AQ717" t="n">
        <x:f>--AND(AN717=1,Z717=1)</x:f>
        <x:v>0</x:v>
      </x:c>
      <x:c r="AR717" t="n">
        <x:f>--AND(AQ717=1,AA717=1)</x:f>
        <x:v>0</x:v>
      </x:c>
    </x:row>
    <x:row r="718">
      <x:c r="A718" s="28"/>
      <x:c r="B718" s="28"/>
      <x:c r="C718" s="28"/>
      <x:c r="D718" s="28"/>
      <x:c r="E718" s="28"/>
      <x:c r="F718" s="28"/>
      <x:c r="G718" s="28"/>
      <x:c r="H718" s="28"/>
      <x:c r="I718" s="28"/>
      <x:c r="J718" s="28"/>
      <x:c r="K718" s="28"/>
      <x:c r="L718" s="28"/>
      <x:c r="M718" s="28"/>
      <x:c r="N718" s="28"/>
      <x:c r="O718" s="28"/>
      <x:c r="P718" s="28"/>
      <x:c r="Q718" s="28"/>
      <x:c r="R718" s="28"/>
      <x:c r="S718" s="28"/>
      <x:c r="T718" s="28"/>
      <x:c r="U718" s="28"/>
      <x:c r="V718" s="28"/>
      <x:c r="W718" s="28"/>
      <x:c r="X718" s="43" t="n">
        <x:f>--AND(S718=1,T718=1,U718=1,V718=1,W718=1)</x:f>
        <x:v>0</x:v>
      </x:c>
      <x:c r="AE718" s="43" t="n">
        <x:f>--AND(S718=1,M718&lt;&gt;"",M718&lt;&gt;"keep")</x:f>
        <x:v>0</x:v>
      </x:c>
      <x:c r="AG718" t="n">
        <x:f>--AND(S718=1,T718=1,U718=1,V718=1,W718=1,AE718=1)</x:f>
        <x:v>0</x:v>
      </x:c>
      <x:c r="AJ718" t="str">
        <x:f>IF(OR(AH718="",AI718=""),"",--(AH718&lt;&gt;AI718))</x:f>
      </x:c>
      <x:c r="AL718" t="str">
        <x:f>IF(OR(AH718="",AI718=""),"PENDING_HUMAN",IF(AH718=AI718,AH718,IF(AK718&lt;&gt;"",AK718,"PENDING_HUMAN")))</x:f>
        <x:v>PENDING_HUMAN</x:v>
      </x:c>
      <x:c r="AM718" t="n">
        <x:f>--AND(A718&lt;&gt;"",AH718&lt;&gt;"",AI718&lt;&gt;"",OR(AH718=AI718,AK718&lt;&gt;""))</x:f>
        <x:v>0</x:v>
      </x:c>
      <x:c r="AN718" t="n">
        <x:f>--AND(Y718&lt;&gt;"",COUNTIF($Y$4:Y718,Y718)=1)</x:f>
        <x:v>0</x:v>
      </x:c>
      <x:c r="AO718" t="n">
        <x:f>--AND(AN718=1,Z718=1,AM718=1)</x:f>
        <x:v>0</x:v>
      </x:c>
      <x:c r="AP718" t="n">
        <x:f>--AND(AO718=1,AA718=1,AL718=1)</x:f>
        <x:v>0</x:v>
      </x:c>
      <x:c r="AQ718" t="n">
        <x:f>--AND(AN718=1,Z718=1)</x:f>
        <x:v>0</x:v>
      </x:c>
      <x:c r="AR718" t="n">
        <x:f>--AND(AQ718=1,AA718=1)</x:f>
        <x:v>0</x:v>
      </x:c>
    </x:row>
    <x:row r="719">
      <x:c r="A719" s="28"/>
      <x:c r="B719" s="28"/>
      <x:c r="C719" s="28"/>
      <x:c r="D719" s="28"/>
      <x:c r="E719" s="28"/>
      <x:c r="F719" s="28"/>
      <x:c r="G719" s="28"/>
      <x:c r="H719" s="28"/>
      <x:c r="I719" s="28"/>
      <x:c r="J719" s="28"/>
      <x:c r="K719" s="28"/>
      <x:c r="L719" s="28"/>
      <x:c r="M719" s="28"/>
      <x:c r="N719" s="28"/>
      <x:c r="O719" s="28"/>
      <x:c r="P719" s="28"/>
      <x:c r="Q719" s="28"/>
      <x:c r="R719" s="28"/>
      <x:c r="S719" s="28"/>
      <x:c r="T719" s="28"/>
      <x:c r="U719" s="28"/>
      <x:c r="V719" s="28"/>
      <x:c r="W719" s="28"/>
      <x:c r="X719" s="43" t="n">
        <x:f>--AND(S719=1,T719=1,U719=1,V719=1,W719=1)</x:f>
        <x:v>0</x:v>
      </x:c>
      <x:c r="AE719" s="43" t="n">
        <x:f>--AND(S719=1,M719&lt;&gt;"",M719&lt;&gt;"keep")</x:f>
        <x:v>0</x:v>
      </x:c>
      <x:c r="AG719" t="n">
        <x:f>--AND(S719=1,T719=1,U719=1,V719=1,W719=1,AE719=1)</x:f>
        <x:v>0</x:v>
      </x:c>
      <x:c r="AJ719" t="str">
        <x:f>IF(OR(AH719="",AI719=""),"",--(AH719&lt;&gt;AI719))</x:f>
      </x:c>
      <x:c r="AL719" t="str">
        <x:f>IF(OR(AH719="",AI719=""),"PENDING_HUMAN",IF(AH719=AI719,AH719,IF(AK719&lt;&gt;"",AK719,"PENDING_HUMAN")))</x:f>
        <x:v>PENDING_HUMAN</x:v>
      </x:c>
      <x:c r="AM719" t="n">
        <x:f>--AND(A719&lt;&gt;"",AH719&lt;&gt;"",AI719&lt;&gt;"",OR(AH719=AI719,AK719&lt;&gt;""))</x:f>
        <x:v>0</x:v>
      </x:c>
      <x:c r="AN719" t="n">
        <x:f>--AND(Y719&lt;&gt;"",COUNTIF($Y$4:Y719,Y719)=1)</x:f>
        <x:v>0</x:v>
      </x:c>
      <x:c r="AO719" t="n">
        <x:f>--AND(AN719=1,Z719=1,AM719=1)</x:f>
        <x:v>0</x:v>
      </x:c>
      <x:c r="AP719" t="n">
        <x:f>--AND(AO719=1,AA719=1,AL719=1)</x:f>
        <x:v>0</x:v>
      </x:c>
      <x:c r="AQ719" t="n">
        <x:f>--AND(AN719=1,Z719=1)</x:f>
        <x:v>0</x:v>
      </x:c>
      <x:c r="AR719" t="n">
        <x:f>--AND(AQ719=1,AA719=1)</x:f>
        <x:v>0</x:v>
      </x:c>
    </x:row>
    <x:row r="720">
      <x:c r="A720" s="28"/>
      <x:c r="B720" s="28"/>
      <x:c r="C720" s="28"/>
      <x:c r="D720" s="28"/>
      <x:c r="E720" s="28"/>
      <x:c r="F720" s="28"/>
      <x:c r="G720" s="28"/>
      <x:c r="H720" s="28"/>
      <x:c r="I720" s="28"/>
      <x:c r="J720" s="28"/>
      <x:c r="K720" s="28"/>
      <x:c r="L720" s="28"/>
      <x:c r="M720" s="28"/>
      <x:c r="N720" s="28"/>
      <x:c r="O720" s="28"/>
      <x:c r="P720" s="28"/>
      <x:c r="Q720" s="28"/>
      <x:c r="R720" s="28"/>
      <x:c r="S720" s="28"/>
      <x:c r="T720" s="28"/>
      <x:c r="U720" s="28"/>
      <x:c r="V720" s="28"/>
      <x:c r="W720" s="28"/>
      <x:c r="X720" s="43" t="n">
        <x:f>--AND(S720=1,T720=1,U720=1,V720=1,W720=1)</x:f>
        <x:v>0</x:v>
      </x:c>
      <x:c r="AE720" s="43" t="n">
        <x:f>--AND(S720=1,M720&lt;&gt;"",M720&lt;&gt;"keep")</x:f>
        <x:v>0</x:v>
      </x:c>
      <x:c r="AG720" t="n">
        <x:f>--AND(S720=1,T720=1,U720=1,V720=1,W720=1,AE720=1)</x:f>
        <x:v>0</x:v>
      </x:c>
      <x:c r="AJ720" t="str">
        <x:f>IF(OR(AH720="",AI720=""),"",--(AH720&lt;&gt;AI720))</x:f>
      </x:c>
      <x:c r="AL720" t="str">
        <x:f>IF(OR(AH720="",AI720=""),"PENDING_HUMAN",IF(AH720=AI720,AH720,IF(AK720&lt;&gt;"",AK720,"PENDING_HUMAN")))</x:f>
        <x:v>PENDING_HUMAN</x:v>
      </x:c>
      <x:c r="AM720" t="n">
        <x:f>--AND(A720&lt;&gt;"",AH720&lt;&gt;"",AI720&lt;&gt;"",OR(AH720=AI720,AK720&lt;&gt;""))</x:f>
        <x:v>0</x:v>
      </x:c>
      <x:c r="AN720" t="n">
        <x:f>--AND(Y720&lt;&gt;"",COUNTIF($Y$4:Y720,Y720)=1)</x:f>
        <x:v>0</x:v>
      </x:c>
      <x:c r="AO720" t="n">
        <x:f>--AND(AN720=1,Z720=1,AM720=1)</x:f>
        <x:v>0</x:v>
      </x:c>
      <x:c r="AP720" t="n">
        <x:f>--AND(AO720=1,AA720=1,AL720=1)</x:f>
        <x:v>0</x:v>
      </x:c>
      <x:c r="AQ720" t="n">
        <x:f>--AND(AN720=1,Z720=1)</x:f>
        <x:v>0</x:v>
      </x:c>
      <x:c r="AR720" t="n">
        <x:f>--AND(AQ720=1,AA720=1)</x:f>
        <x:v>0</x:v>
      </x:c>
    </x:row>
    <x:row r="721">
      <x:c r="A721" s="28"/>
      <x:c r="B721" s="28"/>
      <x:c r="C721" s="28"/>
      <x:c r="D721" s="28"/>
      <x:c r="E721" s="28"/>
      <x:c r="F721" s="28"/>
      <x:c r="G721" s="28"/>
      <x:c r="H721" s="28"/>
      <x:c r="I721" s="28"/>
      <x:c r="J721" s="28"/>
      <x:c r="K721" s="28"/>
      <x:c r="L721" s="28"/>
      <x:c r="M721" s="28"/>
      <x:c r="N721" s="28"/>
      <x:c r="O721" s="28"/>
      <x:c r="P721" s="28"/>
      <x:c r="Q721" s="28"/>
      <x:c r="R721" s="28"/>
      <x:c r="S721" s="28"/>
      <x:c r="T721" s="28"/>
      <x:c r="U721" s="28"/>
      <x:c r="V721" s="28"/>
      <x:c r="W721" s="28"/>
      <x:c r="X721" s="43" t="n">
        <x:f>--AND(S721=1,T721=1,U721=1,V721=1,W721=1)</x:f>
        <x:v>0</x:v>
      </x:c>
      <x:c r="AE721" s="43" t="n">
        <x:f>--AND(S721=1,M721&lt;&gt;"",M721&lt;&gt;"keep")</x:f>
        <x:v>0</x:v>
      </x:c>
      <x:c r="AG721" t="n">
        <x:f>--AND(S721=1,T721=1,U721=1,V721=1,W721=1,AE721=1)</x:f>
        <x:v>0</x:v>
      </x:c>
      <x:c r="AJ721" t="str">
        <x:f>IF(OR(AH721="",AI721=""),"",--(AH721&lt;&gt;AI721))</x:f>
      </x:c>
      <x:c r="AL721" t="str">
        <x:f>IF(OR(AH721="",AI721=""),"PENDING_HUMAN",IF(AH721=AI721,AH721,IF(AK721&lt;&gt;"",AK721,"PENDING_HUMAN")))</x:f>
        <x:v>PENDING_HUMAN</x:v>
      </x:c>
      <x:c r="AM721" t="n">
        <x:f>--AND(A721&lt;&gt;"",AH721&lt;&gt;"",AI721&lt;&gt;"",OR(AH721=AI721,AK721&lt;&gt;""))</x:f>
        <x:v>0</x:v>
      </x:c>
      <x:c r="AN721" t="n">
        <x:f>--AND(Y721&lt;&gt;"",COUNTIF($Y$4:Y721,Y721)=1)</x:f>
        <x:v>0</x:v>
      </x:c>
      <x:c r="AO721" t="n">
        <x:f>--AND(AN721=1,Z721=1,AM721=1)</x:f>
        <x:v>0</x:v>
      </x:c>
      <x:c r="AP721" t="n">
        <x:f>--AND(AO721=1,AA721=1,AL721=1)</x:f>
        <x:v>0</x:v>
      </x:c>
      <x:c r="AQ721" t="n">
        <x:f>--AND(AN721=1,Z721=1)</x:f>
        <x:v>0</x:v>
      </x:c>
      <x:c r="AR721" t="n">
        <x:f>--AND(AQ721=1,AA721=1)</x:f>
        <x:v>0</x:v>
      </x:c>
    </x:row>
    <x:row r="722">
      <x:c r="A722" s="28"/>
      <x:c r="B722" s="28"/>
      <x:c r="C722" s="28"/>
      <x:c r="D722" s="28"/>
      <x:c r="E722" s="28"/>
      <x:c r="F722" s="28"/>
      <x:c r="G722" s="28"/>
      <x:c r="H722" s="28"/>
      <x:c r="I722" s="28"/>
      <x:c r="J722" s="28"/>
      <x:c r="K722" s="28"/>
      <x:c r="L722" s="28"/>
      <x:c r="M722" s="28"/>
      <x:c r="N722" s="28"/>
      <x:c r="O722" s="28"/>
      <x:c r="P722" s="28"/>
      <x:c r="Q722" s="28"/>
      <x:c r="R722" s="28"/>
      <x:c r="S722" s="28"/>
      <x:c r="T722" s="28"/>
      <x:c r="U722" s="28"/>
      <x:c r="V722" s="28"/>
      <x:c r="W722" s="28"/>
      <x:c r="X722" s="43" t="n">
        <x:f>--AND(S722=1,T722=1,U722=1,V722=1,W722=1)</x:f>
        <x:v>0</x:v>
      </x:c>
      <x:c r="AE722" s="43" t="n">
        <x:f>--AND(S722=1,M722&lt;&gt;"",M722&lt;&gt;"keep")</x:f>
        <x:v>0</x:v>
      </x:c>
      <x:c r="AG722" t="n">
        <x:f>--AND(S722=1,T722=1,U722=1,V722=1,W722=1,AE722=1)</x:f>
        <x:v>0</x:v>
      </x:c>
      <x:c r="AJ722" t="str">
        <x:f>IF(OR(AH722="",AI722=""),"",--(AH722&lt;&gt;AI722))</x:f>
      </x:c>
      <x:c r="AL722" t="str">
        <x:f>IF(OR(AH722="",AI722=""),"PENDING_HUMAN",IF(AH722=AI722,AH722,IF(AK722&lt;&gt;"",AK722,"PENDING_HUMAN")))</x:f>
        <x:v>PENDING_HUMAN</x:v>
      </x:c>
      <x:c r="AM722" t="n">
        <x:f>--AND(A722&lt;&gt;"",AH722&lt;&gt;"",AI722&lt;&gt;"",OR(AH722=AI722,AK722&lt;&gt;""))</x:f>
        <x:v>0</x:v>
      </x:c>
      <x:c r="AN722" t="n">
        <x:f>--AND(Y722&lt;&gt;"",COUNTIF($Y$4:Y722,Y722)=1)</x:f>
        <x:v>0</x:v>
      </x:c>
      <x:c r="AO722" t="n">
        <x:f>--AND(AN722=1,Z722=1,AM722=1)</x:f>
        <x:v>0</x:v>
      </x:c>
      <x:c r="AP722" t="n">
        <x:f>--AND(AO722=1,AA722=1,AL722=1)</x:f>
        <x:v>0</x:v>
      </x:c>
      <x:c r="AQ722" t="n">
        <x:f>--AND(AN722=1,Z722=1)</x:f>
        <x:v>0</x:v>
      </x:c>
      <x:c r="AR722" t="n">
        <x:f>--AND(AQ722=1,AA722=1)</x:f>
        <x:v>0</x:v>
      </x:c>
    </x:row>
    <x:row r="723">
      <x:c r="A723" s="28"/>
      <x:c r="B723" s="28"/>
      <x:c r="C723" s="28"/>
      <x:c r="D723" s="28"/>
      <x:c r="E723" s="28"/>
      <x:c r="F723" s="28"/>
      <x:c r="G723" s="28"/>
      <x:c r="H723" s="28"/>
      <x:c r="I723" s="28"/>
      <x:c r="J723" s="28"/>
      <x:c r="K723" s="28"/>
      <x:c r="L723" s="28"/>
      <x:c r="M723" s="28"/>
      <x:c r="N723" s="28"/>
      <x:c r="O723" s="28"/>
      <x:c r="P723" s="28"/>
      <x:c r="Q723" s="28"/>
      <x:c r="R723" s="28"/>
      <x:c r="S723" s="28"/>
      <x:c r="T723" s="28"/>
      <x:c r="U723" s="28"/>
      <x:c r="V723" s="28"/>
      <x:c r="W723" s="28"/>
      <x:c r="X723" s="43" t="n">
        <x:f>--AND(S723=1,T723=1,U723=1,V723=1,W723=1)</x:f>
        <x:v>0</x:v>
      </x:c>
      <x:c r="AE723" s="43" t="n">
        <x:f>--AND(S723=1,M723&lt;&gt;"",M723&lt;&gt;"keep")</x:f>
        <x:v>0</x:v>
      </x:c>
      <x:c r="AG723" t="n">
        <x:f>--AND(S723=1,T723=1,U723=1,V723=1,W723=1,AE723=1)</x:f>
        <x:v>0</x:v>
      </x:c>
      <x:c r="AJ723" t="str">
        <x:f>IF(OR(AH723="",AI723=""),"",--(AH723&lt;&gt;AI723))</x:f>
      </x:c>
      <x:c r="AL723" t="str">
        <x:f>IF(OR(AH723="",AI723=""),"PENDING_HUMAN",IF(AH723=AI723,AH723,IF(AK723&lt;&gt;"",AK723,"PENDING_HUMAN")))</x:f>
        <x:v>PENDING_HUMAN</x:v>
      </x:c>
      <x:c r="AM723" t="n">
        <x:f>--AND(A723&lt;&gt;"",AH723&lt;&gt;"",AI723&lt;&gt;"",OR(AH723=AI723,AK723&lt;&gt;""))</x:f>
        <x:v>0</x:v>
      </x:c>
      <x:c r="AN723" t="n">
        <x:f>--AND(Y723&lt;&gt;"",COUNTIF($Y$4:Y723,Y723)=1)</x:f>
        <x:v>0</x:v>
      </x:c>
      <x:c r="AO723" t="n">
        <x:f>--AND(AN723=1,Z723=1,AM723=1)</x:f>
        <x:v>0</x:v>
      </x:c>
      <x:c r="AP723" t="n">
        <x:f>--AND(AO723=1,AA723=1,AL723=1)</x:f>
        <x:v>0</x:v>
      </x:c>
      <x:c r="AQ723" t="n">
        <x:f>--AND(AN723=1,Z723=1)</x:f>
        <x:v>0</x:v>
      </x:c>
      <x:c r="AR723" t="n">
        <x:f>--AND(AQ723=1,AA723=1)</x:f>
        <x:v>0</x:v>
      </x:c>
    </x:row>
    <x:row r="724">
      <x:c r="A724" s="28"/>
      <x:c r="B724" s="28"/>
      <x:c r="C724" s="28"/>
      <x:c r="D724" s="28"/>
      <x:c r="E724" s="28"/>
      <x:c r="F724" s="28"/>
      <x:c r="G724" s="28"/>
      <x:c r="H724" s="28"/>
      <x:c r="I724" s="28"/>
      <x:c r="J724" s="28"/>
      <x:c r="K724" s="28"/>
      <x:c r="L724" s="28"/>
      <x:c r="M724" s="28"/>
      <x:c r="N724" s="28"/>
      <x:c r="O724" s="28"/>
      <x:c r="P724" s="28"/>
      <x:c r="Q724" s="28"/>
      <x:c r="R724" s="28"/>
      <x:c r="S724" s="28"/>
      <x:c r="T724" s="28"/>
      <x:c r="U724" s="28"/>
      <x:c r="V724" s="28"/>
      <x:c r="W724" s="28"/>
      <x:c r="X724" s="43" t="n">
        <x:f>--AND(S724=1,T724=1,U724=1,V724=1,W724=1)</x:f>
        <x:v>0</x:v>
      </x:c>
      <x:c r="AE724" s="43" t="n">
        <x:f>--AND(S724=1,M724&lt;&gt;"",M724&lt;&gt;"keep")</x:f>
        <x:v>0</x:v>
      </x:c>
      <x:c r="AG724" t="n">
        <x:f>--AND(S724=1,T724=1,U724=1,V724=1,W724=1,AE724=1)</x:f>
        <x:v>0</x:v>
      </x:c>
      <x:c r="AJ724" t="str">
        <x:f>IF(OR(AH724="",AI724=""),"",--(AH724&lt;&gt;AI724))</x:f>
      </x:c>
      <x:c r="AL724" t="str">
        <x:f>IF(OR(AH724="",AI724=""),"PENDING_HUMAN",IF(AH724=AI724,AH724,IF(AK724&lt;&gt;"",AK724,"PENDING_HUMAN")))</x:f>
        <x:v>PENDING_HUMAN</x:v>
      </x:c>
      <x:c r="AM724" t="n">
        <x:f>--AND(A724&lt;&gt;"",AH724&lt;&gt;"",AI724&lt;&gt;"",OR(AH724=AI724,AK724&lt;&gt;""))</x:f>
        <x:v>0</x:v>
      </x:c>
      <x:c r="AN724" t="n">
        <x:f>--AND(Y724&lt;&gt;"",COUNTIF($Y$4:Y724,Y724)=1)</x:f>
        <x:v>0</x:v>
      </x:c>
      <x:c r="AO724" t="n">
        <x:f>--AND(AN724=1,Z724=1,AM724=1)</x:f>
        <x:v>0</x:v>
      </x:c>
      <x:c r="AP724" t="n">
        <x:f>--AND(AO724=1,AA724=1,AL724=1)</x:f>
        <x:v>0</x:v>
      </x:c>
      <x:c r="AQ724" t="n">
        <x:f>--AND(AN724=1,Z724=1)</x:f>
        <x:v>0</x:v>
      </x:c>
      <x:c r="AR724" t="n">
        <x:f>--AND(AQ724=1,AA724=1)</x:f>
        <x:v>0</x:v>
      </x:c>
    </x:row>
    <x:row r="725">
      <x:c r="A725" s="28"/>
      <x:c r="B725" s="28"/>
      <x:c r="C725" s="28"/>
      <x:c r="D725" s="28"/>
      <x:c r="E725" s="28"/>
      <x:c r="F725" s="28"/>
      <x:c r="G725" s="28"/>
      <x:c r="H725" s="28"/>
      <x:c r="I725" s="28"/>
      <x:c r="J725" s="28"/>
      <x:c r="K725" s="28"/>
      <x:c r="L725" s="28"/>
      <x:c r="M725" s="28"/>
      <x:c r="N725" s="28"/>
      <x:c r="O725" s="28"/>
      <x:c r="P725" s="28"/>
      <x:c r="Q725" s="28"/>
      <x:c r="R725" s="28"/>
      <x:c r="S725" s="28"/>
      <x:c r="T725" s="28"/>
      <x:c r="U725" s="28"/>
      <x:c r="V725" s="28"/>
      <x:c r="W725" s="28"/>
      <x:c r="X725" s="43" t="n">
        <x:f>--AND(S725=1,T725=1,U725=1,V725=1,W725=1)</x:f>
        <x:v>0</x:v>
      </x:c>
      <x:c r="AE725" s="43" t="n">
        <x:f>--AND(S725=1,M725&lt;&gt;"",M725&lt;&gt;"keep")</x:f>
        <x:v>0</x:v>
      </x:c>
      <x:c r="AG725" t="n">
        <x:f>--AND(S725=1,T725=1,U725=1,V725=1,W725=1,AE725=1)</x:f>
        <x:v>0</x:v>
      </x:c>
      <x:c r="AJ725" t="str">
        <x:f>IF(OR(AH725="",AI725=""),"",--(AH725&lt;&gt;AI725))</x:f>
      </x:c>
      <x:c r="AL725" t="str">
        <x:f>IF(OR(AH725="",AI725=""),"PENDING_HUMAN",IF(AH725=AI725,AH725,IF(AK725&lt;&gt;"",AK725,"PENDING_HUMAN")))</x:f>
        <x:v>PENDING_HUMAN</x:v>
      </x:c>
      <x:c r="AM725" t="n">
        <x:f>--AND(A725&lt;&gt;"",AH725&lt;&gt;"",AI725&lt;&gt;"",OR(AH725=AI725,AK725&lt;&gt;""))</x:f>
        <x:v>0</x:v>
      </x:c>
      <x:c r="AN725" t="n">
        <x:f>--AND(Y725&lt;&gt;"",COUNTIF($Y$4:Y725,Y725)=1)</x:f>
        <x:v>0</x:v>
      </x:c>
      <x:c r="AO725" t="n">
        <x:f>--AND(AN725=1,Z725=1,AM725=1)</x:f>
        <x:v>0</x:v>
      </x:c>
      <x:c r="AP725" t="n">
        <x:f>--AND(AO725=1,AA725=1,AL725=1)</x:f>
        <x:v>0</x:v>
      </x:c>
      <x:c r="AQ725" t="n">
        <x:f>--AND(AN725=1,Z725=1)</x:f>
        <x:v>0</x:v>
      </x:c>
      <x:c r="AR725" t="n">
        <x:f>--AND(AQ725=1,AA725=1)</x:f>
        <x:v>0</x:v>
      </x:c>
    </x:row>
    <x:row r="726">
      <x:c r="A726" s="28"/>
      <x:c r="B726" s="28"/>
      <x:c r="C726" s="28"/>
      <x:c r="D726" s="28"/>
      <x:c r="E726" s="28"/>
      <x:c r="F726" s="28"/>
      <x:c r="G726" s="28"/>
      <x:c r="H726" s="28"/>
      <x:c r="I726" s="28"/>
      <x:c r="J726" s="28"/>
      <x:c r="K726" s="28"/>
      <x:c r="L726" s="28"/>
      <x:c r="M726" s="28"/>
      <x:c r="N726" s="28"/>
      <x:c r="O726" s="28"/>
      <x:c r="P726" s="28"/>
      <x:c r="Q726" s="28"/>
      <x:c r="R726" s="28"/>
      <x:c r="S726" s="28"/>
      <x:c r="T726" s="28"/>
      <x:c r="U726" s="28"/>
      <x:c r="V726" s="28"/>
      <x:c r="W726" s="28"/>
      <x:c r="X726" s="43" t="n">
        <x:f>--AND(S726=1,T726=1,U726=1,V726=1,W726=1)</x:f>
        <x:v>0</x:v>
      </x:c>
      <x:c r="AE726" s="43" t="n">
        <x:f>--AND(S726=1,M726&lt;&gt;"",M726&lt;&gt;"keep")</x:f>
        <x:v>0</x:v>
      </x:c>
      <x:c r="AG726" t="n">
        <x:f>--AND(S726=1,T726=1,U726=1,V726=1,W726=1,AE726=1)</x:f>
        <x:v>0</x:v>
      </x:c>
      <x:c r="AJ726" t="str">
        <x:f>IF(OR(AH726="",AI726=""),"",--(AH726&lt;&gt;AI726))</x:f>
      </x:c>
      <x:c r="AL726" t="str">
        <x:f>IF(OR(AH726="",AI726=""),"PENDING_HUMAN",IF(AH726=AI726,AH726,IF(AK726&lt;&gt;"",AK726,"PENDING_HUMAN")))</x:f>
        <x:v>PENDING_HUMAN</x:v>
      </x:c>
      <x:c r="AM726" t="n">
        <x:f>--AND(A726&lt;&gt;"",AH726&lt;&gt;"",AI726&lt;&gt;"",OR(AH726=AI726,AK726&lt;&gt;""))</x:f>
        <x:v>0</x:v>
      </x:c>
      <x:c r="AN726" t="n">
        <x:f>--AND(Y726&lt;&gt;"",COUNTIF($Y$4:Y726,Y726)=1)</x:f>
        <x:v>0</x:v>
      </x:c>
      <x:c r="AO726" t="n">
        <x:f>--AND(AN726=1,Z726=1,AM726=1)</x:f>
        <x:v>0</x:v>
      </x:c>
      <x:c r="AP726" t="n">
        <x:f>--AND(AO726=1,AA726=1,AL726=1)</x:f>
        <x:v>0</x:v>
      </x:c>
      <x:c r="AQ726" t="n">
        <x:f>--AND(AN726=1,Z726=1)</x:f>
        <x:v>0</x:v>
      </x:c>
      <x:c r="AR726" t="n">
        <x:f>--AND(AQ726=1,AA726=1)</x:f>
        <x:v>0</x:v>
      </x:c>
    </x:row>
    <x:row r="727">
      <x:c r="A727" s="28"/>
      <x:c r="B727" s="28"/>
      <x:c r="C727" s="28"/>
      <x:c r="D727" s="28"/>
      <x:c r="E727" s="28"/>
      <x:c r="F727" s="28"/>
      <x:c r="G727" s="28"/>
      <x:c r="H727" s="28"/>
      <x:c r="I727" s="28"/>
      <x:c r="J727" s="28"/>
      <x:c r="K727" s="28"/>
      <x:c r="L727" s="28"/>
      <x:c r="M727" s="28"/>
      <x:c r="N727" s="28"/>
      <x:c r="O727" s="28"/>
      <x:c r="P727" s="28"/>
      <x:c r="Q727" s="28"/>
      <x:c r="R727" s="28"/>
      <x:c r="S727" s="28"/>
      <x:c r="T727" s="28"/>
      <x:c r="U727" s="28"/>
      <x:c r="V727" s="28"/>
      <x:c r="W727" s="28"/>
      <x:c r="X727" s="43" t="n">
        <x:f>--AND(S727=1,T727=1,U727=1,V727=1,W727=1)</x:f>
        <x:v>0</x:v>
      </x:c>
      <x:c r="AE727" s="43" t="n">
        <x:f>--AND(S727=1,M727&lt;&gt;"",M727&lt;&gt;"keep")</x:f>
        <x:v>0</x:v>
      </x:c>
      <x:c r="AG727" t="n">
        <x:f>--AND(S727=1,T727=1,U727=1,V727=1,W727=1,AE727=1)</x:f>
        <x:v>0</x:v>
      </x:c>
      <x:c r="AJ727" t="str">
        <x:f>IF(OR(AH727="",AI727=""),"",--(AH727&lt;&gt;AI727))</x:f>
      </x:c>
      <x:c r="AL727" t="str">
        <x:f>IF(OR(AH727="",AI727=""),"PENDING_HUMAN",IF(AH727=AI727,AH727,IF(AK727&lt;&gt;"",AK727,"PENDING_HUMAN")))</x:f>
        <x:v>PENDING_HUMAN</x:v>
      </x:c>
      <x:c r="AM727" t="n">
        <x:f>--AND(A727&lt;&gt;"",AH727&lt;&gt;"",AI727&lt;&gt;"",OR(AH727=AI727,AK727&lt;&gt;""))</x:f>
        <x:v>0</x:v>
      </x:c>
      <x:c r="AN727" t="n">
        <x:f>--AND(Y727&lt;&gt;"",COUNTIF($Y$4:Y727,Y727)=1)</x:f>
        <x:v>0</x:v>
      </x:c>
      <x:c r="AO727" t="n">
        <x:f>--AND(AN727=1,Z727=1,AM727=1)</x:f>
        <x:v>0</x:v>
      </x:c>
      <x:c r="AP727" t="n">
        <x:f>--AND(AO727=1,AA727=1,AL727=1)</x:f>
        <x:v>0</x:v>
      </x:c>
      <x:c r="AQ727" t="n">
        <x:f>--AND(AN727=1,Z727=1)</x:f>
        <x:v>0</x:v>
      </x:c>
      <x:c r="AR727" t="n">
        <x:f>--AND(AQ727=1,AA727=1)</x:f>
        <x:v>0</x:v>
      </x:c>
    </x:row>
    <x:row r="728">
      <x:c r="A728" s="28"/>
      <x:c r="B728" s="28"/>
      <x:c r="C728" s="28"/>
      <x:c r="D728" s="28"/>
      <x:c r="E728" s="28"/>
      <x:c r="F728" s="28"/>
      <x:c r="G728" s="28"/>
      <x:c r="H728" s="28"/>
      <x:c r="I728" s="28"/>
      <x:c r="J728" s="28"/>
      <x:c r="K728" s="28"/>
      <x:c r="L728" s="28"/>
      <x:c r="M728" s="28"/>
      <x:c r="N728" s="28"/>
      <x:c r="O728" s="28"/>
      <x:c r="P728" s="28"/>
      <x:c r="Q728" s="28"/>
      <x:c r="R728" s="28"/>
      <x:c r="S728" s="28"/>
      <x:c r="T728" s="28"/>
      <x:c r="U728" s="28"/>
      <x:c r="V728" s="28"/>
      <x:c r="W728" s="28"/>
      <x:c r="X728" s="43" t="n">
        <x:f>--AND(S728=1,T728=1,U728=1,V728=1,W728=1)</x:f>
        <x:v>0</x:v>
      </x:c>
      <x:c r="AE728" s="43" t="n">
        <x:f>--AND(S728=1,M728&lt;&gt;"",M728&lt;&gt;"keep")</x:f>
        <x:v>0</x:v>
      </x:c>
      <x:c r="AG728" t="n">
        <x:f>--AND(S728=1,T728=1,U728=1,V728=1,W728=1,AE728=1)</x:f>
        <x:v>0</x:v>
      </x:c>
      <x:c r="AJ728" t="str">
        <x:f>IF(OR(AH728="",AI728=""),"",--(AH728&lt;&gt;AI728))</x:f>
      </x:c>
      <x:c r="AL728" t="str">
        <x:f>IF(OR(AH728="",AI728=""),"PENDING_HUMAN",IF(AH728=AI728,AH728,IF(AK728&lt;&gt;"",AK728,"PENDING_HUMAN")))</x:f>
        <x:v>PENDING_HUMAN</x:v>
      </x:c>
      <x:c r="AM728" t="n">
        <x:f>--AND(A728&lt;&gt;"",AH728&lt;&gt;"",AI728&lt;&gt;"",OR(AH728=AI728,AK728&lt;&gt;""))</x:f>
        <x:v>0</x:v>
      </x:c>
      <x:c r="AN728" t="n">
        <x:f>--AND(Y728&lt;&gt;"",COUNTIF($Y$4:Y728,Y728)=1)</x:f>
        <x:v>0</x:v>
      </x:c>
      <x:c r="AO728" t="n">
        <x:f>--AND(AN728=1,Z728=1,AM728=1)</x:f>
        <x:v>0</x:v>
      </x:c>
      <x:c r="AP728" t="n">
        <x:f>--AND(AO728=1,AA728=1,AL728=1)</x:f>
        <x:v>0</x:v>
      </x:c>
      <x:c r="AQ728" t="n">
        <x:f>--AND(AN728=1,Z728=1)</x:f>
        <x:v>0</x:v>
      </x:c>
      <x:c r="AR728" t="n">
        <x:f>--AND(AQ728=1,AA728=1)</x:f>
        <x:v>0</x:v>
      </x:c>
    </x:row>
    <x:row r="729">
      <x:c r="A729" s="28"/>
      <x:c r="B729" s="28"/>
      <x:c r="C729" s="28"/>
      <x:c r="D729" s="28"/>
      <x:c r="E729" s="28"/>
      <x:c r="F729" s="28"/>
      <x:c r="G729" s="28"/>
      <x:c r="H729" s="28"/>
      <x:c r="I729" s="28"/>
      <x:c r="J729" s="28"/>
      <x:c r="K729" s="28"/>
      <x:c r="L729" s="28"/>
      <x:c r="M729" s="28"/>
      <x:c r="N729" s="28"/>
      <x:c r="O729" s="28"/>
      <x:c r="P729" s="28"/>
      <x:c r="Q729" s="28"/>
      <x:c r="R729" s="28"/>
      <x:c r="S729" s="28"/>
      <x:c r="T729" s="28"/>
      <x:c r="U729" s="28"/>
      <x:c r="V729" s="28"/>
      <x:c r="W729" s="28"/>
      <x:c r="X729" s="43" t="n">
        <x:f>--AND(S729=1,T729=1,U729=1,V729=1,W729=1)</x:f>
        <x:v>0</x:v>
      </x:c>
      <x:c r="AE729" s="43" t="n">
        <x:f>--AND(S729=1,M729&lt;&gt;"",M729&lt;&gt;"keep")</x:f>
        <x:v>0</x:v>
      </x:c>
      <x:c r="AG729" t="n">
        <x:f>--AND(S729=1,T729=1,U729=1,V729=1,W729=1,AE729=1)</x:f>
        <x:v>0</x:v>
      </x:c>
      <x:c r="AJ729" t="str">
        <x:f>IF(OR(AH729="",AI729=""),"",--(AH729&lt;&gt;AI729))</x:f>
      </x:c>
      <x:c r="AL729" t="str">
        <x:f>IF(OR(AH729="",AI729=""),"PENDING_HUMAN",IF(AH729=AI729,AH729,IF(AK729&lt;&gt;"",AK729,"PENDING_HUMAN")))</x:f>
        <x:v>PENDING_HUMAN</x:v>
      </x:c>
      <x:c r="AM729" t="n">
        <x:f>--AND(A729&lt;&gt;"",AH729&lt;&gt;"",AI729&lt;&gt;"",OR(AH729=AI729,AK729&lt;&gt;""))</x:f>
        <x:v>0</x:v>
      </x:c>
      <x:c r="AN729" t="n">
        <x:f>--AND(Y729&lt;&gt;"",COUNTIF($Y$4:Y729,Y729)=1)</x:f>
        <x:v>0</x:v>
      </x:c>
      <x:c r="AO729" t="n">
        <x:f>--AND(AN729=1,Z729=1,AM729=1)</x:f>
        <x:v>0</x:v>
      </x:c>
      <x:c r="AP729" t="n">
        <x:f>--AND(AO729=1,AA729=1,AL729=1)</x:f>
        <x:v>0</x:v>
      </x:c>
      <x:c r="AQ729" t="n">
        <x:f>--AND(AN729=1,Z729=1)</x:f>
        <x:v>0</x:v>
      </x:c>
      <x:c r="AR729" t="n">
        <x:f>--AND(AQ729=1,AA729=1)</x:f>
        <x:v>0</x:v>
      </x:c>
    </x:row>
    <x:row r="730">
      <x:c r="A730" s="28"/>
      <x:c r="B730" s="28"/>
      <x:c r="C730" s="28"/>
      <x:c r="D730" s="28"/>
      <x:c r="E730" s="28"/>
      <x:c r="F730" s="28"/>
      <x:c r="G730" s="28"/>
      <x:c r="H730" s="28"/>
      <x:c r="I730" s="28"/>
      <x:c r="J730" s="28"/>
      <x:c r="K730" s="28"/>
      <x:c r="L730" s="28"/>
      <x:c r="M730" s="28"/>
      <x:c r="N730" s="28"/>
      <x:c r="O730" s="28"/>
      <x:c r="P730" s="28"/>
      <x:c r="Q730" s="28"/>
      <x:c r="R730" s="28"/>
      <x:c r="S730" s="28"/>
      <x:c r="T730" s="28"/>
      <x:c r="U730" s="28"/>
      <x:c r="V730" s="28"/>
      <x:c r="W730" s="28"/>
      <x:c r="X730" s="43" t="n">
        <x:f>--AND(S730=1,T730=1,U730=1,V730=1,W730=1)</x:f>
        <x:v>0</x:v>
      </x:c>
      <x:c r="AE730" s="43" t="n">
        <x:f>--AND(S730=1,M730&lt;&gt;"",M730&lt;&gt;"keep")</x:f>
        <x:v>0</x:v>
      </x:c>
      <x:c r="AG730" t="n">
        <x:f>--AND(S730=1,T730=1,U730=1,V730=1,W730=1,AE730=1)</x:f>
        <x:v>0</x:v>
      </x:c>
      <x:c r="AJ730" t="str">
        <x:f>IF(OR(AH730="",AI730=""),"",--(AH730&lt;&gt;AI730))</x:f>
      </x:c>
      <x:c r="AL730" t="str">
        <x:f>IF(OR(AH730="",AI730=""),"PENDING_HUMAN",IF(AH730=AI730,AH730,IF(AK730&lt;&gt;"",AK730,"PENDING_HUMAN")))</x:f>
        <x:v>PENDING_HUMAN</x:v>
      </x:c>
      <x:c r="AM730" t="n">
        <x:f>--AND(A730&lt;&gt;"",AH730&lt;&gt;"",AI730&lt;&gt;"",OR(AH730=AI730,AK730&lt;&gt;""))</x:f>
        <x:v>0</x:v>
      </x:c>
      <x:c r="AN730" t="n">
        <x:f>--AND(Y730&lt;&gt;"",COUNTIF($Y$4:Y730,Y730)=1)</x:f>
        <x:v>0</x:v>
      </x:c>
      <x:c r="AO730" t="n">
        <x:f>--AND(AN730=1,Z730=1,AM730=1)</x:f>
        <x:v>0</x:v>
      </x:c>
      <x:c r="AP730" t="n">
        <x:f>--AND(AO730=1,AA730=1,AL730=1)</x:f>
        <x:v>0</x:v>
      </x:c>
      <x:c r="AQ730" t="n">
        <x:f>--AND(AN730=1,Z730=1)</x:f>
        <x:v>0</x:v>
      </x:c>
      <x:c r="AR730" t="n">
        <x:f>--AND(AQ730=1,AA730=1)</x:f>
        <x:v>0</x:v>
      </x:c>
    </x:row>
    <x:row r="731">
      <x:c r="A731" s="28"/>
      <x:c r="B731" s="28"/>
      <x:c r="C731" s="28"/>
      <x:c r="D731" s="28"/>
      <x:c r="E731" s="28"/>
      <x:c r="F731" s="28"/>
      <x:c r="G731" s="28"/>
      <x:c r="H731" s="28"/>
      <x:c r="I731" s="28"/>
      <x:c r="J731" s="28"/>
      <x:c r="K731" s="28"/>
      <x:c r="L731" s="28"/>
      <x:c r="M731" s="28"/>
      <x:c r="N731" s="28"/>
      <x:c r="O731" s="28"/>
      <x:c r="P731" s="28"/>
      <x:c r="Q731" s="28"/>
      <x:c r="R731" s="28"/>
      <x:c r="S731" s="28"/>
      <x:c r="T731" s="28"/>
      <x:c r="U731" s="28"/>
      <x:c r="V731" s="28"/>
      <x:c r="W731" s="28"/>
      <x:c r="X731" s="43" t="n">
        <x:f>--AND(S731=1,T731=1,U731=1,V731=1,W731=1)</x:f>
        <x:v>0</x:v>
      </x:c>
      <x:c r="AE731" s="43" t="n">
        <x:f>--AND(S731=1,M731&lt;&gt;"",M731&lt;&gt;"keep")</x:f>
        <x:v>0</x:v>
      </x:c>
      <x:c r="AG731" t="n">
        <x:f>--AND(S731=1,T731=1,U731=1,V731=1,W731=1,AE731=1)</x:f>
        <x:v>0</x:v>
      </x:c>
      <x:c r="AJ731" t="str">
        <x:f>IF(OR(AH731="",AI731=""),"",--(AH731&lt;&gt;AI731))</x:f>
      </x:c>
      <x:c r="AL731" t="str">
        <x:f>IF(OR(AH731="",AI731=""),"PENDING_HUMAN",IF(AH731=AI731,AH731,IF(AK731&lt;&gt;"",AK731,"PENDING_HUMAN")))</x:f>
        <x:v>PENDING_HUMAN</x:v>
      </x:c>
      <x:c r="AM731" t="n">
        <x:f>--AND(A731&lt;&gt;"",AH731&lt;&gt;"",AI731&lt;&gt;"",OR(AH731=AI731,AK731&lt;&gt;""))</x:f>
        <x:v>0</x:v>
      </x:c>
      <x:c r="AN731" t="n">
        <x:f>--AND(Y731&lt;&gt;"",COUNTIF($Y$4:Y731,Y731)=1)</x:f>
        <x:v>0</x:v>
      </x:c>
      <x:c r="AO731" t="n">
        <x:f>--AND(AN731=1,Z731=1,AM731=1)</x:f>
        <x:v>0</x:v>
      </x:c>
      <x:c r="AP731" t="n">
        <x:f>--AND(AO731=1,AA731=1,AL731=1)</x:f>
        <x:v>0</x:v>
      </x:c>
      <x:c r="AQ731" t="n">
        <x:f>--AND(AN731=1,Z731=1)</x:f>
        <x:v>0</x:v>
      </x:c>
      <x:c r="AR731" t="n">
        <x:f>--AND(AQ731=1,AA731=1)</x:f>
        <x:v>0</x:v>
      </x:c>
    </x:row>
    <x:row r="732">
      <x:c r="A732" s="28"/>
      <x:c r="B732" s="28"/>
      <x:c r="C732" s="28"/>
      <x:c r="D732" s="28"/>
      <x:c r="E732" s="28"/>
      <x:c r="F732" s="28"/>
      <x:c r="G732" s="28"/>
      <x:c r="H732" s="28"/>
      <x:c r="I732" s="28"/>
      <x:c r="J732" s="28"/>
      <x:c r="K732" s="28"/>
      <x:c r="L732" s="28"/>
      <x:c r="M732" s="28"/>
      <x:c r="N732" s="28"/>
      <x:c r="O732" s="28"/>
      <x:c r="P732" s="28"/>
      <x:c r="Q732" s="28"/>
      <x:c r="R732" s="28"/>
      <x:c r="S732" s="28"/>
      <x:c r="T732" s="28"/>
      <x:c r="U732" s="28"/>
      <x:c r="V732" s="28"/>
      <x:c r="W732" s="28"/>
      <x:c r="X732" s="43" t="n">
        <x:f>--AND(S732=1,T732=1,U732=1,V732=1,W732=1)</x:f>
        <x:v>0</x:v>
      </x:c>
      <x:c r="AE732" s="43" t="n">
        <x:f>--AND(S732=1,M732&lt;&gt;"",M732&lt;&gt;"keep")</x:f>
        <x:v>0</x:v>
      </x:c>
      <x:c r="AG732" t="n">
        <x:f>--AND(S732=1,T732=1,U732=1,V732=1,W732=1,AE732=1)</x:f>
        <x:v>0</x:v>
      </x:c>
      <x:c r="AJ732" t="str">
        <x:f>IF(OR(AH732="",AI732=""),"",--(AH732&lt;&gt;AI732))</x:f>
      </x:c>
      <x:c r="AL732" t="str">
        <x:f>IF(OR(AH732="",AI732=""),"PENDING_HUMAN",IF(AH732=AI732,AH732,IF(AK732&lt;&gt;"",AK732,"PENDING_HUMAN")))</x:f>
        <x:v>PENDING_HUMAN</x:v>
      </x:c>
      <x:c r="AM732" t="n">
        <x:f>--AND(A732&lt;&gt;"",AH732&lt;&gt;"",AI732&lt;&gt;"",OR(AH732=AI732,AK732&lt;&gt;""))</x:f>
        <x:v>0</x:v>
      </x:c>
      <x:c r="AN732" t="n">
        <x:f>--AND(Y732&lt;&gt;"",COUNTIF($Y$4:Y732,Y732)=1)</x:f>
        <x:v>0</x:v>
      </x:c>
      <x:c r="AO732" t="n">
        <x:f>--AND(AN732=1,Z732=1,AM732=1)</x:f>
        <x:v>0</x:v>
      </x:c>
      <x:c r="AP732" t="n">
        <x:f>--AND(AO732=1,AA732=1,AL732=1)</x:f>
        <x:v>0</x:v>
      </x:c>
      <x:c r="AQ732" t="n">
        <x:f>--AND(AN732=1,Z732=1)</x:f>
        <x:v>0</x:v>
      </x:c>
      <x:c r="AR732" t="n">
        <x:f>--AND(AQ732=1,AA732=1)</x:f>
        <x:v>0</x:v>
      </x:c>
    </x:row>
    <x:row r="733">
      <x:c r="A733" s="28"/>
      <x:c r="B733" s="28"/>
      <x:c r="C733" s="28"/>
      <x:c r="D733" s="28"/>
      <x:c r="E733" s="28"/>
      <x:c r="F733" s="28"/>
      <x:c r="G733" s="28"/>
      <x:c r="H733" s="28"/>
      <x:c r="I733" s="28"/>
      <x:c r="J733" s="28"/>
      <x:c r="K733" s="28"/>
      <x:c r="L733" s="28"/>
      <x:c r="M733" s="28"/>
      <x:c r="N733" s="28"/>
      <x:c r="O733" s="28"/>
      <x:c r="P733" s="28"/>
      <x:c r="Q733" s="28"/>
      <x:c r="R733" s="28"/>
      <x:c r="S733" s="28"/>
      <x:c r="T733" s="28"/>
      <x:c r="U733" s="28"/>
      <x:c r="V733" s="28"/>
      <x:c r="W733" s="28"/>
      <x:c r="X733" s="43" t="n">
        <x:f>--AND(S733=1,T733=1,U733=1,V733=1,W733=1)</x:f>
        <x:v>0</x:v>
      </x:c>
      <x:c r="AE733" s="43" t="n">
        <x:f>--AND(S733=1,M733&lt;&gt;"",M733&lt;&gt;"keep")</x:f>
        <x:v>0</x:v>
      </x:c>
      <x:c r="AG733" t="n">
        <x:f>--AND(S733=1,T733=1,U733=1,V733=1,W733=1,AE733=1)</x:f>
        <x:v>0</x:v>
      </x:c>
      <x:c r="AJ733" t="str">
        <x:f>IF(OR(AH733="",AI733=""),"",--(AH733&lt;&gt;AI733))</x:f>
      </x:c>
      <x:c r="AL733" t="str">
        <x:f>IF(OR(AH733="",AI733=""),"PENDING_HUMAN",IF(AH733=AI733,AH733,IF(AK733&lt;&gt;"",AK733,"PENDING_HUMAN")))</x:f>
        <x:v>PENDING_HUMAN</x:v>
      </x:c>
      <x:c r="AM733" t="n">
        <x:f>--AND(A733&lt;&gt;"",AH733&lt;&gt;"",AI733&lt;&gt;"",OR(AH733=AI733,AK733&lt;&gt;""))</x:f>
        <x:v>0</x:v>
      </x:c>
      <x:c r="AN733" t="n">
        <x:f>--AND(Y733&lt;&gt;"",COUNTIF($Y$4:Y733,Y733)=1)</x:f>
        <x:v>0</x:v>
      </x:c>
      <x:c r="AO733" t="n">
        <x:f>--AND(AN733=1,Z733=1,AM733=1)</x:f>
        <x:v>0</x:v>
      </x:c>
      <x:c r="AP733" t="n">
        <x:f>--AND(AO733=1,AA733=1,AL733=1)</x:f>
        <x:v>0</x:v>
      </x:c>
      <x:c r="AQ733" t="n">
        <x:f>--AND(AN733=1,Z733=1)</x:f>
        <x:v>0</x:v>
      </x:c>
      <x:c r="AR733" t="n">
        <x:f>--AND(AQ733=1,AA733=1)</x:f>
        <x:v>0</x:v>
      </x:c>
    </x:row>
    <x:row r="734">
      <x:c r="A734" s="28"/>
      <x:c r="B734" s="28"/>
      <x:c r="C734" s="28"/>
      <x:c r="D734" s="28"/>
      <x:c r="E734" s="28"/>
      <x:c r="F734" s="28"/>
      <x:c r="G734" s="28"/>
      <x:c r="H734" s="28"/>
      <x:c r="I734" s="28"/>
      <x:c r="J734" s="28"/>
      <x:c r="K734" s="28"/>
      <x:c r="L734" s="28"/>
      <x:c r="M734" s="28"/>
      <x:c r="N734" s="28"/>
      <x:c r="O734" s="28"/>
      <x:c r="P734" s="28"/>
      <x:c r="Q734" s="28"/>
      <x:c r="R734" s="28"/>
      <x:c r="S734" s="28"/>
      <x:c r="T734" s="28"/>
      <x:c r="U734" s="28"/>
      <x:c r="V734" s="28"/>
      <x:c r="W734" s="28"/>
      <x:c r="X734" s="43" t="n">
        <x:f>--AND(S734=1,T734=1,U734=1,V734=1,W734=1)</x:f>
        <x:v>0</x:v>
      </x:c>
      <x:c r="AE734" s="43" t="n">
        <x:f>--AND(S734=1,M734&lt;&gt;"",M734&lt;&gt;"keep")</x:f>
        <x:v>0</x:v>
      </x:c>
      <x:c r="AG734" t="n">
        <x:f>--AND(S734=1,T734=1,U734=1,V734=1,W734=1,AE734=1)</x:f>
        <x:v>0</x:v>
      </x:c>
      <x:c r="AJ734" t="str">
        <x:f>IF(OR(AH734="",AI734=""),"",--(AH734&lt;&gt;AI734))</x:f>
      </x:c>
      <x:c r="AL734" t="str">
        <x:f>IF(OR(AH734="",AI734=""),"PENDING_HUMAN",IF(AH734=AI734,AH734,IF(AK734&lt;&gt;"",AK734,"PENDING_HUMAN")))</x:f>
        <x:v>PENDING_HUMAN</x:v>
      </x:c>
      <x:c r="AM734" t="n">
        <x:f>--AND(A734&lt;&gt;"",AH734&lt;&gt;"",AI734&lt;&gt;"",OR(AH734=AI734,AK734&lt;&gt;""))</x:f>
        <x:v>0</x:v>
      </x:c>
      <x:c r="AN734" t="n">
        <x:f>--AND(Y734&lt;&gt;"",COUNTIF($Y$4:Y734,Y734)=1)</x:f>
        <x:v>0</x:v>
      </x:c>
      <x:c r="AO734" t="n">
        <x:f>--AND(AN734=1,Z734=1,AM734=1)</x:f>
        <x:v>0</x:v>
      </x:c>
      <x:c r="AP734" t="n">
        <x:f>--AND(AO734=1,AA734=1,AL734=1)</x:f>
        <x:v>0</x:v>
      </x:c>
      <x:c r="AQ734" t="n">
        <x:f>--AND(AN734=1,Z734=1)</x:f>
        <x:v>0</x:v>
      </x:c>
      <x:c r="AR734" t="n">
        <x:f>--AND(AQ734=1,AA734=1)</x:f>
        <x:v>0</x:v>
      </x:c>
    </x:row>
    <x:row r="735">
      <x:c r="A735" s="28"/>
      <x:c r="B735" s="28"/>
      <x:c r="C735" s="28"/>
      <x:c r="D735" s="28"/>
      <x:c r="E735" s="28"/>
      <x:c r="F735" s="28"/>
      <x:c r="G735" s="28"/>
      <x:c r="H735" s="28"/>
      <x:c r="I735" s="28"/>
      <x:c r="J735" s="28"/>
      <x:c r="K735" s="28"/>
      <x:c r="L735" s="28"/>
      <x:c r="M735" s="28"/>
      <x:c r="N735" s="28"/>
      <x:c r="O735" s="28"/>
      <x:c r="P735" s="28"/>
      <x:c r="Q735" s="28"/>
      <x:c r="R735" s="28"/>
      <x:c r="S735" s="28"/>
      <x:c r="T735" s="28"/>
      <x:c r="U735" s="28"/>
      <x:c r="V735" s="28"/>
      <x:c r="W735" s="28"/>
      <x:c r="X735" s="43" t="n">
        <x:f>--AND(S735=1,T735=1,U735=1,V735=1,W735=1)</x:f>
        <x:v>0</x:v>
      </x:c>
      <x:c r="AE735" s="43" t="n">
        <x:f>--AND(S735=1,M735&lt;&gt;"",M735&lt;&gt;"keep")</x:f>
        <x:v>0</x:v>
      </x:c>
      <x:c r="AG735" t="n">
        <x:f>--AND(S735=1,T735=1,U735=1,V735=1,W735=1,AE735=1)</x:f>
        <x:v>0</x:v>
      </x:c>
      <x:c r="AJ735" t="str">
        <x:f>IF(OR(AH735="",AI735=""),"",--(AH735&lt;&gt;AI735))</x:f>
      </x:c>
      <x:c r="AL735" t="str">
        <x:f>IF(OR(AH735="",AI735=""),"PENDING_HUMAN",IF(AH735=AI735,AH735,IF(AK735&lt;&gt;"",AK735,"PENDING_HUMAN")))</x:f>
        <x:v>PENDING_HUMAN</x:v>
      </x:c>
      <x:c r="AM735" t="n">
        <x:f>--AND(A735&lt;&gt;"",AH735&lt;&gt;"",AI735&lt;&gt;"",OR(AH735=AI735,AK735&lt;&gt;""))</x:f>
        <x:v>0</x:v>
      </x:c>
      <x:c r="AN735" t="n">
        <x:f>--AND(Y735&lt;&gt;"",COUNTIF($Y$4:Y735,Y735)=1)</x:f>
        <x:v>0</x:v>
      </x:c>
      <x:c r="AO735" t="n">
        <x:f>--AND(AN735=1,Z735=1,AM735=1)</x:f>
        <x:v>0</x:v>
      </x:c>
      <x:c r="AP735" t="n">
        <x:f>--AND(AO735=1,AA735=1,AL735=1)</x:f>
        <x:v>0</x:v>
      </x:c>
      <x:c r="AQ735" t="n">
        <x:f>--AND(AN735=1,Z735=1)</x:f>
        <x:v>0</x:v>
      </x:c>
      <x:c r="AR735" t="n">
        <x:f>--AND(AQ735=1,AA735=1)</x:f>
        <x:v>0</x:v>
      </x:c>
    </x:row>
    <x:row r="736">
      <x:c r="A736" s="28"/>
      <x:c r="B736" s="28"/>
      <x:c r="C736" s="28"/>
      <x:c r="D736" s="28"/>
      <x:c r="E736" s="28"/>
      <x:c r="F736" s="28"/>
      <x:c r="G736" s="28"/>
      <x:c r="H736" s="28"/>
      <x:c r="I736" s="28"/>
      <x:c r="J736" s="28"/>
      <x:c r="K736" s="28"/>
      <x:c r="L736" s="28"/>
      <x:c r="M736" s="28"/>
      <x:c r="N736" s="28"/>
      <x:c r="O736" s="28"/>
      <x:c r="P736" s="28"/>
      <x:c r="Q736" s="28"/>
      <x:c r="R736" s="28"/>
      <x:c r="S736" s="28"/>
      <x:c r="T736" s="28"/>
      <x:c r="U736" s="28"/>
      <x:c r="V736" s="28"/>
      <x:c r="W736" s="28"/>
      <x:c r="X736" s="43" t="n">
        <x:f>--AND(S736=1,T736=1,U736=1,V736=1,W736=1)</x:f>
        <x:v>0</x:v>
      </x:c>
      <x:c r="AE736" s="43" t="n">
        <x:f>--AND(S736=1,M736&lt;&gt;"",M736&lt;&gt;"keep")</x:f>
        <x:v>0</x:v>
      </x:c>
      <x:c r="AG736" t="n">
        <x:f>--AND(S736=1,T736=1,U736=1,V736=1,W736=1,AE736=1)</x:f>
        <x:v>0</x:v>
      </x:c>
      <x:c r="AJ736" t="str">
        <x:f>IF(OR(AH736="",AI736=""),"",--(AH736&lt;&gt;AI736))</x:f>
      </x:c>
      <x:c r="AL736" t="str">
        <x:f>IF(OR(AH736="",AI736=""),"PENDING_HUMAN",IF(AH736=AI736,AH736,IF(AK736&lt;&gt;"",AK736,"PENDING_HUMAN")))</x:f>
        <x:v>PENDING_HUMAN</x:v>
      </x:c>
      <x:c r="AM736" t="n">
        <x:f>--AND(A736&lt;&gt;"",AH736&lt;&gt;"",AI736&lt;&gt;"",OR(AH736=AI736,AK736&lt;&gt;""))</x:f>
        <x:v>0</x:v>
      </x:c>
      <x:c r="AN736" t="n">
        <x:f>--AND(Y736&lt;&gt;"",COUNTIF($Y$4:Y736,Y736)=1)</x:f>
        <x:v>0</x:v>
      </x:c>
      <x:c r="AO736" t="n">
        <x:f>--AND(AN736=1,Z736=1,AM736=1)</x:f>
        <x:v>0</x:v>
      </x:c>
      <x:c r="AP736" t="n">
        <x:f>--AND(AO736=1,AA736=1,AL736=1)</x:f>
        <x:v>0</x:v>
      </x:c>
      <x:c r="AQ736" t="n">
        <x:f>--AND(AN736=1,Z736=1)</x:f>
        <x:v>0</x:v>
      </x:c>
      <x:c r="AR736" t="n">
        <x:f>--AND(AQ736=1,AA736=1)</x:f>
        <x:v>0</x:v>
      </x:c>
    </x:row>
    <x:row r="737">
      <x:c r="A737" s="28"/>
      <x:c r="B737" s="28"/>
      <x:c r="C737" s="28"/>
      <x:c r="D737" s="28"/>
      <x:c r="E737" s="28"/>
      <x:c r="F737" s="28"/>
      <x:c r="G737" s="28"/>
      <x:c r="H737" s="28"/>
      <x:c r="I737" s="28"/>
      <x:c r="J737" s="28"/>
      <x:c r="K737" s="28"/>
      <x:c r="L737" s="28"/>
      <x:c r="M737" s="28"/>
      <x:c r="N737" s="28"/>
      <x:c r="O737" s="28"/>
      <x:c r="P737" s="28"/>
      <x:c r="Q737" s="28"/>
      <x:c r="R737" s="28"/>
      <x:c r="S737" s="28"/>
      <x:c r="T737" s="28"/>
      <x:c r="U737" s="28"/>
      <x:c r="V737" s="28"/>
      <x:c r="W737" s="28"/>
      <x:c r="X737" s="43" t="n">
        <x:f>--AND(S737=1,T737=1,U737=1,V737=1,W737=1)</x:f>
        <x:v>0</x:v>
      </x:c>
      <x:c r="AE737" s="43" t="n">
        <x:f>--AND(S737=1,M737&lt;&gt;"",M737&lt;&gt;"keep")</x:f>
        <x:v>0</x:v>
      </x:c>
      <x:c r="AG737" t="n">
        <x:f>--AND(S737=1,T737=1,U737=1,V737=1,W737=1,AE737=1)</x:f>
        <x:v>0</x:v>
      </x:c>
      <x:c r="AJ737" t="str">
        <x:f>IF(OR(AH737="",AI737=""),"",--(AH737&lt;&gt;AI737))</x:f>
      </x:c>
      <x:c r="AL737" t="str">
        <x:f>IF(OR(AH737="",AI737=""),"PENDING_HUMAN",IF(AH737=AI737,AH737,IF(AK737&lt;&gt;"",AK737,"PENDING_HUMAN")))</x:f>
        <x:v>PENDING_HUMAN</x:v>
      </x:c>
      <x:c r="AM737" t="n">
        <x:f>--AND(A737&lt;&gt;"",AH737&lt;&gt;"",AI737&lt;&gt;"",OR(AH737=AI737,AK737&lt;&gt;""))</x:f>
        <x:v>0</x:v>
      </x:c>
      <x:c r="AN737" t="n">
        <x:f>--AND(Y737&lt;&gt;"",COUNTIF($Y$4:Y737,Y737)=1)</x:f>
        <x:v>0</x:v>
      </x:c>
      <x:c r="AO737" t="n">
        <x:f>--AND(AN737=1,Z737=1,AM737=1)</x:f>
        <x:v>0</x:v>
      </x:c>
      <x:c r="AP737" t="n">
        <x:f>--AND(AO737=1,AA737=1,AL737=1)</x:f>
        <x:v>0</x:v>
      </x:c>
      <x:c r="AQ737" t="n">
        <x:f>--AND(AN737=1,Z737=1)</x:f>
        <x:v>0</x:v>
      </x:c>
      <x:c r="AR737" t="n">
        <x:f>--AND(AQ737=1,AA737=1)</x:f>
        <x:v>0</x:v>
      </x:c>
    </x:row>
    <x:row r="738">
      <x:c r="A738" s="28"/>
      <x:c r="B738" s="28"/>
      <x:c r="C738" s="28"/>
      <x:c r="D738" s="28"/>
      <x:c r="E738" s="28"/>
      <x:c r="F738" s="28"/>
      <x:c r="G738" s="28"/>
      <x:c r="H738" s="28"/>
      <x:c r="I738" s="28"/>
      <x:c r="J738" s="28"/>
      <x:c r="K738" s="28"/>
      <x:c r="L738" s="28"/>
      <x:c r="M738" s="28"/>
      <x:c r="N738" s="28"/>
      <x:c r="O738" s="28"/>
      <x:c r="P738" s="28"/>
      <x:c r="Q738" s="28"/>
      <x:c r="R738" s="28"/>
      <x:c r="S738" s="28"/>
      <x:c r="T738" s="28"/>
      <x:c r="U738" s="28"/>
      <x:c r="V738" s="28"/>
      <x:c r="W738" s="28"/>
      <x:c r="X738" s="43" t="n">
        <x:f>--AND(S738=1,T738=1,U738=1,V738=1,W738=1)</x:f>
        <x:v>0</x:v>
      </x:c>
      <x:c r="AE738" s="43" t="n">
        <x:f>--AND(S738=1,M738&lt;&gt;"",M738&lt;&gt;"keep")</x:f>
        <x:v>0</x:v>
      </x:c>
      <x:c r="AG738" t="n">
        <x:f>--AND(S738=1,T738=1,U738=1,V738=1,W738=1,AE738=1)</x:f>
        <x:v>0</x:v>
      </x:c>
      <x:c r="AJ738" t="str">
        <x:f>IF(OR(AH738="",AI738=""),"",--(AH738&lt;&gt;AI738))</x:f>
      </x:c>
      <x:c r="AL738" t="str">
        <x:f>IF(OR(AH738="",AI738=""),"PENDING_HUMAN",IF(AH738=AI738,AH738,IF(AK738&lt;&gt;"",AK738,"PENDING_HUMAN")))</x:f>
        <x:v>PENDING_HUMAN</x:v>
      </x:c>
      <x:c r="AM738" t="n">
        <x:f>--AND(A738&lt;&gt;"",AH738&lt;&gt;"",AI738&lt;&gt;"",OR(AH738=AI738,AK738&lt;&gt;""))</x:f>
        <x:v>0</x:v>
      </x:c>
      <x:c r="AN738" t="n">
        <x:f>--AND(Y738&lt;&gt;"",COUNTIF($Y$4:Y738,Y738)=1)</x:f>
        <x:v>0</x:v>
      </x:c>
      <x:c r="AO738" t="n">
        <x:f>--AND(AN738=1,Z738=1,AM738=1)</x:f>
        <x:v>0</x:v>
      </x:c>
      <x:c r="AP738" t="n">
        <x:f>--AND(AO738=1,AA738=1,AL738=1)</x:f>
        <x:v>0</x:v>
      </x:c>
      <x:c r="AQ738" t="n">
        <x:f>--AND(AN738=1,Z738=1)</x:f>
        <x:v>0</x:v>
      </x:c>
      <x:c r="AR738" t="n">
        <x:f>--AND(AQ738=1,AA738=1)</x:f>
        <x:v>0</x:v>
      </x:c>
    </x:row>
    <x:row r="739">
      <x:c r="A739" s="28"/>
      <x:c r="B739" s="28"/>
      <x:c r="C739" s="28"/>
      <x:c r="D739" s="28"/>
      <x:c r="E739" s="28"/>
      <x:c r="F739" s="28"/>
      <x:c r="G739" s="28"/>
      <x:c r="H739" s="28"/>
      <x:c r="I739" s="28"/>
      <x:c r="J739" s="28"/>
      <x:c r="K739" s="28"/>
      <x:c r="L739" s="28"/>
      <x:c r="M739" s="28"/>
      <x:c r="N739" s="28"/>
      <x:c r="O739" s="28"/>
      <x:c r="P739" s="28"/>
      <x:c r="Q739" s="28"/>
      <x:c r="R739" s="28"/>
      <x:c r="S739" s="28"/>
      <x:c r="T739" s="28"/>
      <x:c r="U739" s="28"/>
      <x:c r="V739" s="28"/>
      <x:c r="W739" s="28"/>
      <x:c r="X739" s="43" t="n">
        <x:f>--AND(S739=1,T739=1,U739=1,V739=1,W739=1)</x:f>
        <x:v>0</x:v>
      </x:c>
      <x:c r="AE739" s="43" t="n">
        <x:f>--AND(S739=1,M739&lt;&gt;"",M739&lt;&gt;"keep")</x:f>
        <x:v>0</x:v>
      </x:c>
      <x:c r="AG739" t="n">
        <x:f>--AND(S739=1,T739=1,U739=1,V739=1,W739=1,AE739=1)</x:f>
        <x:v>0</x:v>
      </x:c>
      <x:c r="AJ739" t="str">
        <x:f>IF(OR(AH739="",AI739=""),"",--(AH739&lt;&gt;AI739))</x:f>
      </x:c>
      <x:c r="AL739" t="str">
        <x:f>IF(OR(AH739="",AI739=""),"PENDING_HUMAN",IF(AH739=AI739,AH739,IF(AK739&lt;&gt;"",AK739,"PENDING_HUMAN")))</x:f>
        <x:v>PENDING_HUMAN</x:v>
      </x:c>
      <x:c r="AM739" t="n">
        <x:f>--AND(A739&lt;&gt;"",AH739&lt;&gt;"",AI739&lt;&gt;"",OR(AH739=AI739,AK739&lt;&gt;""))</x:f>
        <x:v>0</x:v>
      </x:c>
      <x:c r="AN739" t="n">
        <x:f>--AND(Y739&lt;&gt;"",COUNTIF($Y$4:Y739,Y739)=1)</x:f>
        <x:v>0</x:v>
      </x:c>
      <x:c r="AO739" t="n">
        <x:f>--AND(AN739=1,Z739=1,AM739=1)</x:f>
        <x:v>0</x:v>
      </x:c>
      <x:c r="AP739" t="n">
        <x:f>--AND(AO739=1,AA739=1,AL739=1)</x:f>
        <x:v>0</x:v>
      </x:c>
      <x:c r="AQ739" t="n">
        <x:f>--AND(AN739=1,Z739=1)</x:f>
        <x:v>0</x:v>
      </x:c>
      <x:c r="AR739" t="n">
        <x:f>--AND(AQ739=1,AA739=1)</x:f>
        <x:v>0</x:v>
      </x:c>
    </x:row>
    <x:row r="740">
      <x:c r="A740" s="28"/>
      <x:c r="B740" s="28"/>
      <x:c r="C740" s="28"/>
      <x:c r="D740" s="28"/>
      <x:c r="E740" s="28"/>
      <x:c r="F740" s="28"/>
      <x:c r="G740" s="28"/>
      <x:c r="H740" s="28"/>
      <x:c r="I740" s="28"/>
      <x:c r="J740" s="28"/>
      <x:c r="K740" s="28"/>
      <x:c r="L740" s="28"/>
      <x:c r="M740" s="28"/>
      <x:c r="N740" s="28"/>
      <x:c r="O740" s="28"/>
      <x:c r="P740" s="28"/>
      <x:c r="Q740" s="28"/>
      <x:c r="R740" s="28"/>
      <x:c r="S740" s="28"/>
      <x:c r="T740" s="28"/>
      <x:c r="U740" s="28"/>
      <x:c r="V740" s="28"/>
      <x:c r="W740" s="28"/>
      <x:c r="X740" s="43" t="n">
        <x:f>--AND(S740=1,T740=1,U740=1,V740=1,W740=1)</x:f>
        <x:v>0</x:v>
      </x:c>
      <x:c r="AE740" s="43" t="n">
        <x:f>--AND(S740=1,M740&lt;&gt;"",M740&lt;&gt;"keep")</x:f>
        <x:v>0</x:v>
      </x:c>
      <x:c r="AG740" t="n">
        <x:f>--AND(S740=1,T740=1,U740=1,V740=1,W740=1,AE740=1)</x:f>
        <x:v>0</x:v>
      </x:c>
      <x:c r="AJ740" t="str">
        <x:f>IF(OR(AH740="",AI740=""),"",--(AH740&lt;&gt;AI740))</x:f>
      </x:c>
      <x:c r="AL740" t="str">
        <x:f>IF(OR(AH740="",AI740=""),"PENDING_HUMAN",IF(AH740=AI740,AH740,IF(AK740&lt;&gt;"",AK740,"PENDING_HUMAN")))</x:f>
        <x:v>PENDING_HUMAN</x:v>
      </x:c>
      <x:c r="AM740" t="n">
        <x:f>--AND(A740&lt;&gt;"",AH740&lt;&gt;"",AI740&lt;&gt;"",OR(AH740=AI740,AK740&lt;&gt;""))</x:f>
        <x:v>0</x:v>
      </x:c>
      <x:c r="AN740" t="n">
        <x:f>--AND(Y740&lt;&gt;"",COUNTIF($Y$4:Y740,Y740)=1)</x:f>
        <x:v>0</x:v>
      </x:c>
      <x:c r="AO740" t="n">
        <x:f>--AND(AN740=1,Z740=1,AM740=1)</x:f>
        <x:v>0</x:v>
      </x:c>
      <x:c r="AP740" t="n">
        <x:f>--AND(AO740=1,AA740=1,AL740=1)</x:f>
        <x:v>0</x:v>
      </x:c>
      <x:c r="AQ740" t="n">
        <x:f>--AND(AN740=1,Z740=1)</x:f>
        <x:v>0</x:v>
      </x:c>
      <x:c r="AR740" t="n">
        <x:f>--AND(AQ740=1,AA740=1)</x:f>
        <x:v>0</x:v>
      </x:c>
    </x:row>
    <x:row r="741">
      <x:c r="A741" s="28"/>
      <x:c r="B741" s="28"/>
      <x:c r="C741" s="28"/>
      <x:c r="D741" s="28"/>
      <x:c r="E741" s="28"/>
      <x:c r="F741" s="28"/>
      <x:c r="G741" s="28"/>
      <x:c r="H741" s="28"/>
      <x:c r="I741" s="28"/>
      <x:c r="J741" s="28"/>
      <x:c r="K741" s="28"/>
      <x:c r="L741" s="28"/>
      <x:c r="M741" s="28"/>
      <x:c r="N741" s="28"/>
      <x:c r="O741" s="28"/>
      <x:c r="P741" s="28"/>
      <x:c r="Q741" s="28"/>
      <x:c r="R741" s="28"/>
      <x:c r="S741" s="28"/>
      <x:c r="T741" s="28"/>
      <x:c r="U741" s="28"/>
      <x:c r="V741" s="28"/>
      <x:c r="W741" s="28"/>
      <x:c r="X741" s="43" t="n">
        <x:f>--AND(S741=1,T741=1,U741=1,V741=1,W741=1)</x:f>
        <x:v>0</x:v>
      </x:c>
      <x:c r="AE741" s="43" t="n">
        <x:f>--AND(S741=1,M741&lt;&gt;"",M741&lt;&gt;"keep")</x:f>
        <x:v>0</x:v>
      </x:c>
      <x:c r="AG741" t="n">
        <x:f>--AND(S741=1,T741=1,U741=1,V741=1,W741=1,AE741=1)</x:f>
        <x:v>0</x:v>
      </x:c>
      <x:c r="AJ741" t="str">
        <x:f>IF(OR(AH741="",AI741=""),"",--(AH741&lt;&gt;AI741))</x:f>
      </x:c>
      <x:c r="AL741" t="str">
        <x:f>IF(OR(AH741="",AI741=""),"PENDING_HUMAN",IF(AH741=AI741,AH741,IF(AK741&lt;&gt;"",AK741,"PENDING_HUMAN")))</x:f>
        <x:v>PENDING_HUMAN</x:v>
      </x:c>
      <x:c r="AM741" t="n">
        <x:f>--AND(A741&lt;&gt;"",AH741&lt;&gt;"",AI741&lt;&gt;"",OR(AH741=AI741,AK741&lt;&gt;""))</x:f>
        <x:v>0</x:v>
      </x:c>
      <x:c r="AN741" t="n">
        <x:f>--AND(Y741&lt;&gt;"",COUNTIF($Y$4:Y741,Y741)=1)</x:f>
        <x:v>0</x:v>
      </x:c>
      <x:c r="AO741" t="n">
        <x:f>--AND(AN741=1,Z741=1,AM741=1)</x:f>
        <x:v>0</x:v>
      </x:c>
      <x:c r="AP741" t="n">
        <x:f>--AND(AO741=1,AA741=1,AL741=1)</x:f>
        <x:v>0</x:v>
      </x:c>
      <x:c r="AQ741" t="n">
        <x:f>--AND(AN741=1,Z741=1)</x:f>
        <x:v>0</x:v>
      </x:c>
      <x:c r="AR741" t="n">
        <x:f>--AND(AQ741=1,AA741=1)</x:f>
        <x:v>0</x:v>
      </x:c>
    </x:row>
    <x:row r="742">
      <x:c r="A742" s="28"/>
      <x:c r="B742" s="28"/>
      <x:c r="C742" s="28"/>
      <x:c r="D742" s="28"/>
      <x:c r="E742" s="28"/>
      <x:c r="F742" s="28"/>
      <x:c r="G742" s="28"/>
      <x:c r="H742" s="28"/>
      <x:c r="I742" s="28"/>
      <x:c r="J742" s="28"/>
      <x:c r="K742" s="28"/>
      <x:c r="L742" s="28"/>
      <x:c r="M742" s="28"/>
      <x:c r="N742" s="28"/>
      <x:c r="O742" s="28"/>
      <x:c r="P742" s="28"/>
      <x:c r="Q742" s="28"/>
      <x:c r="R742" s="28"/>
      <x:c r="S742" s="28"/>
      <x:c r="T742" s="28"/>
      <x:c r="U742" s="28"/>
      <x:c r="V742" s="28"/>
      <x:c r="W742" s="28"/>
      <x:c r="X742" s="43" t="n">
        <x:f>--AND(S742=1,T742=1,U742=1,V742=1,W742=1)</x:f>
        <x:v>0</x:v>
      </x:c>
      <x:c r="AE742" s="43" t="n">
        <x:f>--AND(S742=1,M742&lt;&gt;"",M742&lt;&gt;"keep")</x:f>
        <x:v>0</x:v>
      </x:c>
      <x:c r="AG742" t="n">
        <x:f>--AND(S742=1,T742=1,U742=1,V742=1,W742=1,AE742=1)</x:f>
        <x:v>0</x:v>
      </x:c>
      <x:c r="AJ742" t="str">
        <x:f>IF(OR(AH742="",AI742=""),"",--(AH742&lt;&gt;AI742))</x:f>
      </x:c>
      <x:c r="AL742" t="str">
        <x:f>IF(OR(AH742="",AI742=""),"PENDING_HUMAN",IF(AH742=AI742,AH742,IF(AK742&lt;&gt;"",AK742,"PENDING_HUMAN")))</x:f>
        <x:v>PENDING_HUMAN</x:v>
      </x:c>
      <x:c r="AM742" t="n">
        <x:f>--AND(A742&lt;&gt;"",AH742&lt;&gt;"",AI742&lt;&gt;"",OR(AH742=AI742,AK742&lt;&gt;""))</x:f>
        <x:v>0</x:v>
      </x:c>
      <x:c r="AN742" t="n">
        <x:f>--AND(Y742&lt;&gt;"",COUNTIF($Y$4:Y742,Y742)=1)</x:f>
        <x:v>0</x:v>
      </x:c>
      <x:c r="AO742" t="n">
        <x:f>--AND(AN742=1,Z742=1,AM742=1)</x:f>
        <x:v>0</x:v>
      </x:c>
      <x:c r="AP742" t="n">
        <x:f>--AND(AO742=1,AA742=1,AL742=1)</x:f>
        <x:v>0</x:v>
      </x:c>
      <x:c r="AQ742" t="n">
        <x:f>--AND(AN742=1,Z742=1)</x:f>
        <x:v>0</x:v>
      </x:c>
      <x:c r="AR742" t="n">
        <x:f>--AND(AQ742=1,AA742=1)</x:f>
        <x:v>0</x:v>
      </x:c>
    </x:row>
    <x:row r="743">
      <x:c r="A743" s="28"/>
      <x:c r="B743" s="28"/>
      <x:c r="C743" s="28"/>
      <x:c r="D743" s="28"/>
      <x:c r="E743" s="28"/>
      <x:c r="F743" s="28"/>
      <x:c r="G743" s="28"/>
      <x:c r="H743" s="28"/>
      <x:c r="I743" s="28"/>
      <x:c r="J743" s="28"/>
      <x:c r="K743" s="28"/>
      <x:c r="L743" s="28"/>
      <x:c r="M743" s="28"/>
      <x:c r="N743" s="28"/>
      <x:c r="O743" s="28"/>
      <x:c r="P743" s="28"/>
      <x:c r="Q743" s="28"/>
      <x:c r="R743" s="28"/>
      <x:c r="S743" s="28"/>
      <x:c r="T743" s="28"/>
      <x:c r="U743" s="28"/>
      <x:c r="V743" s="28"/>
      <x:c r="W743" s="28"/>
      <x:c r="X743" s="43" t="n">
        <x:f>--AND(S743=1,T743=1,U743=1,V743=1,W743=1)</x:f>
        <x:v>0</x:v>
      </x:c>
      <x:c r="AE743" s="43" t="n">
        <x:f>--AND(S743=1,M743&lt;&gt;"",M743&lt;&gt;"keep")</x:f>
        <x:v>0</x:v>
      </x:c>
      <x:c r="AG743" t="n">
        <x:f>--AND(S743=1,T743=1,U743=1,V743=1,W743=1,AE743=1)</x:f>
        <x:v>0</x:v>
      </x:c>
      <x:c r="AJ743" t="str">
        <x:f>IF(OR(AH743="",AI743=""),"",--(AH743&lt;&gt;AI743))</x:f>
      </x:c>
      <x:c r="AL743" t="str">
        <x:f>IF(OR(AH743="",AI743=""),"PENDING_HUMAN",IF(AH743=AI743,AH743,IF(AK743&lt;&gt;"",AK743,"PENDING_HUMAN")))</x:f>
        <x:v>PENDING_HUMAN</x:v>
      </x:c>
      <x:c r="AM743" t="n">
        <x:f>--AND(A743&lt;&gt;"",AH743&lt;&gt;"",AI743&lt;&gt;"",OR(AH743=AI743,AK743&lt;&gt;""))</x:f>
        <x:v>0</x:v>
      </x:c>
      <x:c r="AN743" t="n">
        <x:f>--AND(Y743&lt;&gt;"",COUNTIF($Y$4:Y743,Y743)=1)</x:f>
        <x:v>0</x:v>
      </x:c>
      <x:c r="AO743" t="n">
        <x:f>--AND(AN743=1,Z743=1,AM743=1)</x:f>
        <x:v>0</x:v>
      </x:c>
      <x:c r="AP743" t="n">
        <x:f>--AND(AO743=1,AA743=1,AL743=1)</x:f>
        <x:v>0</x:v>
      </x:c>
      <x:c r="AQ743" t="n">
        <x:f>--AND(AN743=1,Z743=1)</x:f>
        <x:v>0</x:v>
      </x:c>
      <x:c r="AR743" t="n">
        <x:f>--AND(AQ743=1,AA743=1)</x:f>
        <x:v>0</x:v>
      </x:c>
    </x:row>
    <x:row r="744">
      <x:c r="A744" s="28"/>
      <x:c r="B744" s="28"/>
      <x:c r="C744" s="28"/>
      <x:c r="D744" s="28"/>
      <x:c r="E744" s="28"/>
      <x:c r="F744" s="28"/>
      <x:c r="G744" s="28"/>
      <x:c r="H744" s="28"/>
      <x:c r="I744" s="28"/>
      <x:c r="J744" s="28"/>
      <x:c r="K744" s="28"/>
      <x:c r="L744" s="28"/>
      <x:c r="M744" s="28"/>
      <x:c r="N744" s="28"/>
      <x:c r="O744" s="28"/>
      <x:c r="P744" s="28"/>
      <x:c r="Q744" s="28"/>
      <x:c r="R744" s="28"/>
      <x:c r="S744" s="28"/>
      <x:c r="T744" s="28"/>
      <x:c r="U744" s="28"/>
      <x:c r="V744" s="28"/>
      <x:c r="W744" s="28"/>
      <x:c r="X744" s="43" t="n">
        <x:f>--AND(S744=1,T744=1,U744=1,V744=1,W744=1)</x:f>
        <x:v>0</x:v>
      </x:c>
      <x:c r="AE744" s="43" t="n">
        <x:f>--AND(S744=1,M744&lt;&gt;"",M744&lt;&gt;"keep")</x:f>
        <x:v>0</x:v>
      </x:c>
      <x:c r="AG744" t="n">
        <x:f>--AND(S744=1,T744=1,U744=1,V744=1,W744=1,AE744=1)</x:f>
        <x:v>0</x:v>
      </x:c>
      <x:c r="AJ744" t="str">
        <x:f>IF(OR(AH744="",AI744=""),"",--(AH744&lt;&gt;AI744))</x:f>
      </x:c>
      <x:c r="AL744" t="str">
        <x:f>IF(OR(AH744="",AI744=""),"PENDING_HUMAN",IF(AH744=AI744,AH744,IF(AK744&lt;&gt;"",AK744,"PENDING_HUMAN")))</x:f>
        <x:v>PENDING_HUMAN</x:v>
      </x:c>
      <x:c r="AM744" t="n">
        <x:f>--AND(A744&lt;&gt;"",AH744&lt;&gt;"",AI744&lt;&gt;"",OR(AH744=AI744,AK744&lt;&gt;""))</x:f>
        <x:v>0</x:v>
      </x:c>
      <x:c r="AN744" t="n">
        <x:f>--AND(Y744&lt;&gt;"",COUNTIF($Y$4:Y744,Y744)=1)</x:f>
        <x:v>0</x:v>
      </x:c>
      <x:c r="AO744" t="n">
        <x:f>--AND(AN744=1,Z744=1,AM744=1)</x:f>
        <x:v>0</x:v>
      </x:c>
      <x:c r="AP744" t="n">
        <x:f>--AND(AO744=1,AA744=1,AL744=1)</x:f>
        <x:v>0</x:v>
      </x:c>
      <x:c r="AQ744" t="n">
        <x:f>--AND(AN744=1,Z744=1)</x:f>
        <x:v>0</x:v>
      </x:c>
      <x:c r="AR744" t="n">
        <x:f>--AND(AQ744=1,AA744=1)</x:f>
        <x:v>0</x:v>
      </x:c>
    </x:row>
    <x:row r="745">
      <x:c r="A745" s="28"/>
      <x:c r="B745" s="28"/>
      <x:c r="C745" s="28"/>
      <x:c r="D745" s="28"/>
      <x:c r="E745" s="28"/>
      <x:c r="F745" s="28"/>
      <x:c r="G745" s="28"/>
      <x:c r="H745" s="28"/>
      <x:c r="I745" s="28"/>
      <x:c r="J745" s="28"/>
      <x:c r="K745" s="28"/>
      <x:c r="L745" s="28"/>
      <x:c r="M745" s="28"/>
      <x:c r="N745" s="28"/>
      <x:c r="O745" s="28"/>
      <x:c r="P745" s="28"/>
      <x:c r="Q745" s="28"/>
      <x:c r="R745" s="28"/>
      <x:c r="S745" s="28"/>
      <x:c r="T745" s="28"/>
      <x:c r="U745" s="28"/>
      <x:c r="V745" s="28"/>
      <x:c r="W745" s="28"/>
      <x:c r="X745" s="43" t="n">
        <x:f>--AND(S745=1,T745=1,U745=1,V745=1,W745=1)</x:f>
        <x:v>0</x:v>
      </x:c>
      <x:c r="AE745" s="43" t="n">
        <x:f>--AND(S745=1,M745&lt;&gt;"",M745&lt;&gt;"keep")</x:f>
        <x:v>0</x:v>
      </x:c>
      <x:c r="AG745" t="n">
        <x:f>--AND(S745=1,T745=1,U745=1,V745=1,W745=1,AE745=1)</x:f>
        <x:v>0</x:v>
      </x:c>
      <x:c r="AJ745" t="str">
        <x:f>IF(OR(AH745="",AI745=""),"",--(AH745&lt;&gt;AI745))</x:f>
      </x:c>
      <x:c r="AL745" t="str">
        <x:f>IF(OR(AH745="",AI745=""),"PENDING_HUMAN",IF(AH745=AI745,AH745,IF(AK745&lt;&gt;"",AK745,"PENDING_HUMAN")))</x:f>
        <x:v>PENDING_HUMAN</x:v>
      </x:c>
      <x:c r="AM745" t="n">
        <x:f>--AND(A745&lt;&gt;"",AH745&lt;&gt;"",AI745&lt;&gt;"",OR(AH745=AI745,AK745&lt;&gt;""))</x:f>
        <x:v>0</x:v>
      </x:c>
      <x:c r="AN745" t="n">
        <x:f>--AND(Y745&lt;&gt;"",COUNTIF($Y$4:Y745,Y745)=1)</x:f>
        <x:v>0</x:v>
      </x:c>
      <x:c r="AO745" t="n">
        <x:f>--AND(AN745=1,Z745=1,AM745=1)</x:f>
        <x:v>0</x:v>
      </x:c>
      <x:c r="AP745" t="n">
        <x:f>--AND(AO745=1,AA745=1,AL745=1)</x:f>
        <x:v>0</x:v>
      </x:c>
      <x:c r="AQ745" t="n">
        <x:f>--AND(AN745=1,Z745=1)</x:f>
        <x:v>0</x:v>
      </x:c>
      <x:c r="AR745" t="n">
        <x:f>--AND(AQ745=1,AA745=1)</x:f>
        <x:v>0</x:v>
      </x:c>
    </x:row>
    <x:row r="746">
      <x:c r="A746" s="28"/>
      <x:c r="B746" s="28"/>
      <x:c r="C746" s="28"/>
      <x:c r="D746" s="28"/>
      <x:c r="E746" s="28"/>
      <x:c r="F746" s="28"/>
      <x:c r="G746" s="28"/>
      <x:c r="H746" s="28"/>
      <x:c r="I746" s="28"/>
      <x:c r="J746" s="28"/>
      <x:c r="K746" s="28"/>
      <x:c r="L746" s="28"/>
      <x:c r="M746" s="28"/>
      <x:c r="N746" s="28"/>
      <x:c r="O746" s="28"/>
      <x:c r="P746" s="28"/>
      <x:c r="Q746" s="28"/>
      <x:c r="R746" s="28"/>
      <x:c r="S746" s="28"/>
      <x:c r="T746" s="28"/>
      <x:c r="U746" s="28"/>
      <x:c r="V746" s="28"/>
      <x:c r="W746" s="28"/>
      <x:c r="X746" s="43" t="n">
        <x:f>--AND(S746=1,T746=1,U746=1,V746=1,W746=1)</x:f>
        <x:v>0</x:v>
      </x:c>
      <x:c r="AE746" s="43" t="n">
        <x:f>--AND(S746=1,M746&lt;&gt;"",M746&lt;&gt;"keep")</x:f>
        <x:v>0</x:v>
      </x:c>
      <x:c r="AG746" t="n">
        <x:f>--AND(S746=1,T746=1,U746=1,V746=1,W746=1,AE746=1)</x:f>
        <x:v>0</x:v>
      </x:c>
      <x:c r="AJ746" t="str">
        <x:f>IF(OR(AH746="",AI746=""),"",--(AH746&lt;&gt;AI746))</x:f>
      </x:c>
      <x:c r="AL746" t="str">
        <x:f>IF(OR(AH746="",AI746=""),"PENDING_HUMAN",IF(AH746=AI746,AH746,IF(AK746&lt;&gt;"",AK746,"PENDING_HUMAN")))</x:f>
        <x:v>PENDING_HUMAN</x:v>
      </x:c>
      <x:c r="AM746" t="n">
        <x:f>--AND(A746&lt;&gt;"",AH746&lt;&gt;"",AI746&lt;&gt;"",OR(AH746=AI746,AK746&lt;&gt;""))</x:f>
        <x:v>0</x:v>
      </x:c>
      <x:c r="AN746" t="n">
        <x:f>--AND(Y746&lt;&gt;"",COUNTIF($Y$4:Y746,Y746)=1)</x:f>
        <x:v>0</x:v>
      </x:c>
      <x:c r="AO746" t="n">
        <x:f>--AND(AN746=1,Z746=1,AM746=1)</x:f>
        <x:v>0</x:v>
      </x:c>
      <x:c r="AP746" t="n">
        <x:f>--AND(AO746=1,AA746=1,AL746=1)</x:f>
        <x:v>0</x:v>
      </x:c>
      <x:c r="AQ746" t="n">
        <x:f>--AND(AN746=1,Z746=1)</x:f>
        <x:v>0</x:v>
      </x:c>
      <x:c r="AR746" t="n">
        <x:f>--AND(AQ746=1,AA746=1)</x:f>
        <x:v>0</x:v>
      </x:c>
    </x:row>
    <x:row r="747">
      <x:c r="A747" s="28"/>
      <x:c r="B747" s="28"/>
      <x:c r="C747" s="28"/>
      <x:c r="D747" s="28"/>
      <x:c r="E747" s="28"/>
      <x:c r="F747" s="28"/>
      <x:c r="G747" s="28"/>
      <x:c r="H747" s="28"/>
      <x:c r="I747" s="28"/>
      <x:c r="J747" s="28"/>
      <x:c r="K747" s="28"/>
      <x:c r="L747" s="28"/>
      <x:c r="M747" s="28"/>
      <x:c r="N747" s="28"/>
      <x:c r="O747" s="28"/>
      <x:c r="P747" s="28"/>
      <x:c r="Q747" s="28"/>
      <x:c r="R747" s="28"/>
      <x:c r="S747" s="28"/>
      <x:c r="T747" s="28"/>
      <x:c r="U747" s="28"/>
      <x:c r="V747" s="28"/>
      <x:c r="W747" s="28"/>
      <x:c r="X747" s="43" t="n">
        <x:f>--AND(S747=1,T747=1,U747=1,V747=1,W747=1)</x:f>
        <x:v>0</x:v>
      </x:c>
      <x:c r="AE747" s="43" t="n">
        <x:f>--AND(S747=1,M747&lt;&gt;"",M747&lt;&gt;"keep")</x:f>
        <x:v>0</x:v>
      </x:c>
      <x:c r="AG747" t="n">
        <x:f>--AND(S747=1,T747=1,U747=1,V747=1,W747=1,AE747=1)</x:f>
        <x:v>0</x:v>
      </x:c>
      <x:c r="AJ747" t="str">
        <x:f>IF(OR(AH747="",AI747=""),"",--(AH747&lt;&gt;AI747))</x:f>
      </x:c>
      <x:c r="AL747" t="str">
        <x:f>IF(OR(AH747="",AI747=""),"PENDING_HUMAN",IF(AH747=AI747,AH747,IF(AK747&lt;&gt;"",AK747,"PENDING_HUMAN")))</x:f>
        <x:v>PENDING_HUMAN</x:v>
      </x:c>
      <x:c r="AM747" t="n">
        <x:f>--AND(A747&lt;&gt;"",AH747&lt;&gt;"",AI747&lt;&gt;"",OR(AH747=AI747,AK747&lt;&gt;""))</x:f>
        <x:v>0</x:v>
      </x:c>
      <x:c r="AN747" t="n">
        <x:f>--AND(Y747&lt;&gt;"",COUNTIF($Y$4:Y747,Y747)=1)</x:f>
        <x:v>0</x:v>
      </x:c>
      <x:c r="AO747" t="n">
        <x:f>--AND(AN747=1,Z747=1,AM747=1)</x:f>
        <x:v>0</x:v>
      </x:c>
      <x:c r="AP747" t="n">
        <x:f>--AND(AO747=1,AA747=1,AL747=1)</x:f>
        <x:v>0</x:v>
      </x:c>
      <x:c r="AQ747" t="n">
        <x:f>--AND(AN747=1,Z747=1)</x:f>
        <x:v>0</x:v>
      </x:c>
      <x:c r="AR747" t="n">
        <x:f>--AND(AQ747=1,AA747=1)</x:f>
        <x:v>0</x:v>
      </x:c>
    </x:row>
    <x:row r="748">
      <x:c r="A748" s="28"/>
      <x:c r="B748" s="28"/>
      <x:c r="C748" s="28"/>
      <x:c r="D748" s="28"/>
      <x:c r="E748" s="28"/>
      <x:c r="F748" s="28"/>
      <x:c r="G748" s="28"/>
      <x:c r="H748" s="28"/>
      <x:c r="I748" s="28"/>
      <x:c r="J748" s="28"/>
      <x:c r="K748" s="28"/>
      <x:c r="L748" s="28"/>
      <x:c r="M748" s="28"/>
      <x:c r="N748" s="28"/>
      <x:c r="O748" s="28"/>
      <x:c r="P748" s="28"/>
      <x:c r="Q748" s="28"/>
      <x:c r="R748" s="28"/>
      <x:c r="S748" s="28"/>
      <x:c r="T748" s="28"/>
      <x:c r="U748" s="28"/>
      <x:c r="V748" s="28"/>
      <x:c r="W748" s="28"/>
      <x:c r="X748" s="43" t="n">
        <x:f>--AND(S748=1,T748=1,U748=1,V748=1,W748=1)</x:f>
        <x:v>0</x:v>
      </x:c>
      <x:c r="AE748" s="43" t="n">
        <x:f>--AND(S748=1,M748&lt;&gt;"",M748&lt;&gt;"keep")</x:f>
        <x:v>0</x:v>
      </x:c>
      <x:c r="AG748" t="n">
        <x:f>--AND(S748=1,T748=1,U748=1,V748=1,W748=1,AE748=1)</x:f>
        <x:v>0</x:v>
      </x:c>
      <x:c r="AJ748" t="str">
        <x:f>IF(OR(AH748="",AI748=""),"",--(AH748&lt;&gt;AI748))</x:f>
      </x:c>
      <x:c r="AL748" t="str">
        <x:f>IF(OR(AH748="",AI748=""),"PENDING_HUMAN",IF(AH748=AI748,AH748,IF(AK748&lt;&gt;"",AK748,"PENDING_HUMAN")))</x:f>
        <x:v>PENDING_HUMAN</x:v>
      </x:c>
      <x:c r="AM748" t="n">
        <x:f>--AND(A748&lt;&gt;"",AH748&lt;&gt;"",AI748&lt;&gt;"",OR(AH748=AI748,AK748&lt;&gt;""))</x:f>
        <x:v>0</x:v>
      </x:c>
      <x:c r="AN748" t="n">
        <x:f>--AND(Y748&lt;&gt;"",COUNTIF($Y$4:Y748,Y748)=1)</x:f>
        <x:v>0</x:v>
      </x:c>
      <x:c r="AO748" t="n">
        <x:f>--AND(AN748=1,Z748=1,AM748=1)</x:f>
        <x:v>0</x:v>
      </x:c>
      <x:c r="AP748" t="n">
        <x:f>--AND(AO748=1,AA748=1,AL748=1)</x:f>
        <x:v>0</x:v>
      </x:c>
      <x:c r="AQ748" t="n">
        <x:f>--AND(AN748=1,Z748=1)</x:f>
        <x:v>0</x:v>
      </x:c>
      <x:c r="AR748" t="n">
        <x:f>--AND(AQ748=1,AA748=1)</x:f>
        <x:v>0</x:v>
      </x:c>
    </x:row>
    <x:row r="749">
      <x:c r="A749" s="28"/>
      <x:c r="B749" s="28"/>
      <x:c r="C749" s="28"/>
      <x:c r="D749" s="28"/>
      <x:c r="E749" s="28"/>
      <x:c r="F749" s="28"/>
      <x:c r="G749" s="28"/>
      <x:c r="H749" s="28"/>
      <x:c r="I749" s="28"/>
      <x:c r="J749" s="28"/>
      <x:c r="K749" s="28"/>
      <x:c r="L749" s="28"/>
      <x:c r="M749" s="28"/>
      <x:c r="N749" s="28"/>
      <x:c r="O749" s="28"/>
      <x:c r="P749" s="28"/>
      <x:c r="Q749" s="28"/>
      <x:c r="R749" s="28"/>
      <x:c r="S749" s="28"/>
      <x:c r="T749" s="28"/>
      <x:c r="U749" s="28"/>
      <x:c r="V749" s="28"/>
      <x:c r="W749" s="28"/>
      <x:c r="X749" s="43" t="n">
        <x:f>--AND(S749=1,T749=1,U749=1,V749=1,W749=1)</x:f>
        <x:v>0</x:v>
      </x:c>
      <x:c r="AE749" s="43" t="n">
        <x:f>--AND(S749=1,M749&lt;&gt;"",M749&lt;&gt;"keep")</x:f>
        <x:v>0</x:v>
      </x:c>
      <x:c r="AG749" t="n">
        <x:f>--AND(S749=1,T749=1,U749=1,V749=1,W749=1,AE749=1)</x:f>
        <x:v>0</x:v>
      </x:c>
      <x:c r="AJ749" t="str">
        <x:f>IF(OR(AH749="",AI749=""),"",--(AH749&lt;&gt;AI749))</x:f>
      </x:c>
      <x:c r="AL749" t="str">
        <x:f>IF(OR(AH749="",AI749=""),"PENDING_HUMAN",IF(AH749=AI749,AH749,IF(AK749&lt;&gt;"",AK749,"PENDING_HUMAN")))</x:f>
        <x:v>PENDING_HUMAN</x:v>
      </x:c>
      <x:c r="AM749" t="n">
        <x:f>--AND(A749&lt;&gt;"",AH749&lt;&gt;"",AI749&lt;&gt;"",OR(AH749=AI749,AK749&lt;&gt;""))</x:f>
        <x:v>0</x:v>
      </x:c>
      <x:c r="AN749" t="n">
        <x:f>--AND(Y749&lt;&gt;"",COUNTIF($Y$4:Y749,Y749)=1)</x:f>
        <x:v>0</x:v>
      </x:c>
      <x:c r="AO749" t="n">
        <x:f>--AND(AN749=1,Z749=1,AM749=1)</x:f>
        <x:v>0</x:v>
      </x:c>
      <x:c r="AP749" t="n">
        <x:f>--AND(AO749=1,AA749=1,AL749=1)</x:f>
        <x:v>0</x:v>
      </x:c>
      <x:c r="AQ749" t="n">
        <x:f>--AND(AN749=1,Z749=1)</x:f>
        <x:v>0</x:v>
      </x:c>
      <x:c r="AR749" t="n">
        <x:f>--AND(AQ749=1,AA749=1)</x:f>
        <x:v>0</x:v>
      </x:c>
    </x:row>
    <x:row r="750">
      <x:c r="A750" s="28"/>
      <x:c r="B750" s="28"/>
      <x:c r="C750" s="28"/>
      <x:c r="D750" s="28"/>
      <x:c r="E750" s="28"/>
      <x:c r="F750" s="28"/>
      <x:c r="G750" s="28"/>
      <x:c r="H750" s="28"/>
      <x:c r="I750" s="28"/>
      <x:c r="J750" s="28"/>
      <x:c r="K750" s="28"/>
      <x:c r="L750" s="28"/>
      <x:c r="M750" s="28"/>
      <x:c r="N750" s="28"/>
      <x:c r="O750" s="28"/>
      <x:c r="P750" s="28"/>
      <x:c r="Q750" s="28"/>
      <x:c r="R750" s="28"/>
      <x:c r="S750" s="28"/>
      <x:c r="T750" s="28"/>
      <x:c r="U750" s="28"/>
      <x:c r="V750" s="28"/>
      <x:c r="W750" s="28"/>
      <x:c r="X750" s="43" t="n">
        <x:f>--AND(S750=1,T750=1,U750=1,V750=1,W750=1)</x:f>
        <x:v>0</x:v>
      </x:c>
      <x:c r="AE750" s="43" t="n">
        <x:f>--AND(S750=1,M750&lt;&gt;"",M750&lt;&gt;"keep")</x:f>
        <x:v>0</x:v>
      </x:c>
      <x:c r="AG750" t="n">
        <x:f>--AND(S750=1,T750=1,U750=1,V750=1,W750=1,AE750=1)</x:f>
        <x:v>0</x:v>
      </x:c>
      <x:c r="AJ750" t="str">
        <x:f>IF(OR(AH750="",AI750=""),"",--(AH750&lt;&gt;AI750))</x:f>
      </x:c>
      <x:c r="AL750" t="str">
        <x:f>IF(OR(AH750="",AI750=""),"PENDING_HUMAN",IF(AH750=AI750,AH750,IF(AK750&lt;&gt;"",AK750,"PENDING_HUMAN")))</x:f>
        <x:v>PENDING_HUMAN</x:v>
      </x:c>
      <x:c r="AM750" t="n">
        <x:f>--AND(A750&lt;&gt;"",AH750&lt;&gt;"",AI750&lt;&gt;"",OR(AH750=AI750,AK750&lt;&gt;""))</x:f>
        <x:v>0</x:v>
      </x:c>
      <x:c r="AN750" t="n">
        <x:f>--AND(Y750&lt;&gt;"",COUNTIF($Y$4:Y750,Y750)=1)</x:f>
        <x:v>0</x:v>
      </x:c>
      <x:c r="AO750" t="n">
        <x:f>--AND(AN750=1,Z750=1,AM750=1)</x:f>
        <x:v>0</x:v>
      </x:c>
      <x:c r="AP750" t="n">
        <x:f>--AND(AO750=1,AA750=1,AL750=1)</x:f>
        <x:v>0</x:v>
      </x:c>
      <x:c r="AQ750" t="n">
        <x:f>--AND(AN750=1,Z750=1)</x:f>
        <x:v>0</x:v>
      </x:c>
      <x:c r="AR750" t="n">
        <x:f>--AND(AQ750=1,AA750=1)</x:f>
        <x:v>0</x:v>
      </x:c>
    </x:row>
    <x:row r="751">
      <x:c r="A751" s="28"/>
      <x:c r="B751" s="28"/>
      <x:c r="C751" s="28"/>
      <x:c r="D751" s="28"/>
      <x:c r="E751" s="28"/>
      <x:c r="F751" s="28"/>
      <x:c r="G751" s="28"/>
      <x:c r="H751" s="28"/>
      <x:c r="I751" s="28"/>
      <x:c r="J751" s="28"/>
      <x:c r="K751" s="28"/>
      <x:c r="L751" s="28"/>
      <x:c r="M751" s="28"/>
      <x:c r="N751" s="28"/>
      <x:c r="O751" s="28"/>
      <x:c r="P751" s="28"/>
      <x:c r="Q751" s="28"/>
      <x:c r="R751" s="28"/>
      <x:c r="S751" s="28"/>
      <x:c r="T751" s="28"/>
      <x:c r="U751" s="28"/>
      <x:c r="V751" s="28"/>
      <x:c r="W751" s="28"/>
      <x:c r="X751" s="43" t="n">
        <x:f>--AND(S751=1,T751=1,U751=1,V751=1,W751=1)</x:f>
        <x:v>0</x:v>
      </x:c>
      <x:c r="AE751" s="43" t="n">
        <x:f>--AND(S751=1,M751&lt;&gt;"",M751&lt;&gt;"keep")</x:f>
        <x:v>0</x:v>
      </x:c>
      <x:c r="AG751" t="n">
        <x:f>--AND(S751=1,T751=1,U751=1,V751=1,W751=1,AE751=1)</x:f>
        <x:v>0</x:v>
      </x:c>
      <x:c r="AJ751" t="str">
        <x:f>IF(OR(AH751="",AI751=""),"",--(AH751&lt;&gt;AI751))</x:f>
      </x:c>
      <x:c r="AL751" t="str">
        <x:f>IF(OR(AH751="",AI751=""),"PENDING_HUMAN",IF(AH751=AI751,AH751,IF(AK751&lt;&gt;"",AK751,"PENDING_HUMAN")))</x:f>
        <x:v>PENDING_HUMAN</x:v>
      </x:c>
      <x:c r="AM751" t="n">
        <x:f>--AND(A751&lt;&gt;"",AH751&lt;&gt;"",AI751&lt;&gt;"",OR(AH751=AI751,AK751&lt;&gt;""))</x:f>
        <x:v>0</x:v>
      </x:c>
      <x:c r="AN751" t="n">
        <x:f>--AND(Y751&lt;&gt;"",COUNTIF($Y$4:Y751,Y751)=1)</x:f>
        <x:v>0</x:v>
      </x:c>
      <x:c r="AO751" t="n">
        <x:f>--AND(AN751=1,Z751=1,AM751=1)</x:f>
        <x:v>0</x:v>
      </x:c>
      <x:c r="AP751" t="n">
        <x:f>--AND(AO751=1,AA751=1,AL751=1)</x:f>
        <x:v>0</x:v>
      </x:c>
      <x:c r="AQ751" t="n">
        <x:f>--AND(AN751=1,Z751=1)</x:f>
        <x:v>0</x:v>
      </x:c>
      <x:c r="AR751" t="n">
        <x:f>--AND(AQ751=1,AA751=1)</x:f>
        <x:v>0</x:v>
      </x:c>
    </x:row>
    <x:row r="752">
      <x:c r="A752" s="28"/>
      <x:c r="B752" s="28"/>
      <x:c r="C752" s="28"/>
      <x:c r="D752" s="28"/>
      <x:c r="E752" s="28"/>
      <x:c r="F752" s="28"/>
      <x:c r="G752" s="28"/>
      <x:c r="H752" s="28"/>
      <x:c r="I752" s="28"/>
      <x:c r="J752" s="28"/>
      <x:c r="K752" s="28"/>
      <x:c r="L752" s="28"/>
      <x:c r="M752" s="28"/>
      <x:c r="N752" s="28"/>
      <x:c r="O752" s="28"/>
      <x:c r="P752" s="28"/>
      <x:c r="Q752" s="28"/>
      <x:c r="R752" s="28"/>
      <x:c r="S752" s="28"/>
      <x:c r="T752" s="28"/>
      <x:c r="U752" s="28"/>
      <x:c r="V752" s="28"/>
      <x:c r="W752" s="28"/>
      <x:c r="X752" s="43" t="n">
        <x:f>--AND(S752=1,T752=1,U752=1,V752=1,W752=1)</x:f>
        <x:v>0</x:v>
      </x:c>
      <x:c r="AE752" s="43" t="n">
        <x:f>--AND(S752=1,M752&lt;&gt;"",M752&lt;&gt;"keep")</x:f>
        <x:v>0</x:v>
      </x:c>
      <x:c r="AG752" t="n">
        <x:f>--AND(S752=1,T752=1,U752=1,V752=1,W752=1,AE752=1)</x:f>
        <x:v>0</x:v>
      </x:c>
      <x:c r="AJ752" t="str">
        <x:f>IF(OR(AH752="",AI752=""),"",--(AH752&lt;&gt;AI752))</x:f>
      </x:c>
      <x:c r="AL752" t="str">
        <x:f>IF(OR(AH752="",AI752=""),"PENDING_HUMAN",IF(AH752=AI752,AH752,IF(AK752&lt;&gt;"",AK752,"PENDING_HUMAN")))</x:f>
        <x:v>PENDING_HUMAN</x:v>
      </x:c>
      <x:c r="AM752" t="n">
        <x:f>--AND(A752&lt;&gt;"",AH752&lt;&gt;"",AI752&lt;&gt;"",OR(AH752=AI752,AK752&lt;&gt;""))</x:f>
        <x:v>0</x:v>
      </x:c>
      <x:c r="AN752" t="n">
        <x:f>--AND(Y752&lt;&gt;"",COUNTIF($Y$4:Y752,Y752)=1)</x:f>
        <x:v>0</x:v>
      </x:c>
      <x:c r="AO752" t="n">
        <x:f>--AND(AN752=1,Z752=1,AM752=1)</x:f>
        <x:v>0</x:v>
      </x:c>
      <x:c r="AP752" t="n">
        <x:f>--AND(AO752=1,AA752=1,AL752=1)</x:f>
        <x:v>0</x:v>
      </x:c>
      <x:c r="AQ752" t="n">
        <x:f>--AND(AN752=1,Z752=1)</x:f>
        <x:v>0</x:v>
      </x:c>
      <x:c r="AR752" t="n">
        <x:f>--AND(AQ752=1,AA752=1)</x:f>
        <x:v>0</x:v>
      </x:c>
    </x:row>
    <x:row r="753">
      <x:c r="A753" s="28"/>
      <x:c r="B753" s="28"/>
      <x:c r="C753" s="28"/>
      <x:c r="D753" s="28"/>
      <x:c r="E753" s="28"/>
      <x:c r="F753" s="28"/>
      <x:c r="G753" s="28"/>
      <x:c r="H753" s="28"/>
      <x:c r="I753" s="28"/>
      <x:c r="J753" s="28"/>
      <x:c r="K753" s="28"/>
      <x:c r="L753" s="28"/>
      <x:c r="M753" s="28"/>
      <x:c r="N753" s="28"/>
      <x:c r="O753" s="28"/>
      <x:c r="P753" s="28"/>
      <x:c r="Q753" s="28"/>
      <x:c r="R753" s="28"/>
      <x:c r="S753" s="28"/>
      <x:c r="T753" s="28"/>
      <x:c r="U753" s="28"/>
      <x:c r="V753" s="28"/>
      <x:c r="W753" s="28"/>
      <x:c r="X753" s="43" t="n">
        <x:f>--AND(S753=1,T753=1,U753=1,V753=1,W753=1)</x:f>
        <x:v>0</x:v>
      </x:c>
      <x:c r="AE753" s="43" t="n">
        <x:f>--AND(S753=1,M753&lt;&gt;"",M753&lt;&gt;"keep")</x:f>
        <x:v>0</x:v>
      </x:c>
      <x:c r="AG753" t="n">
        <x:f>--AND(S753=1,T753=1,U753=1,V753=1,W753=1,AE753=1)</x:f>
        <x:v>0</x:v>
      </x:c>
      <x:c r="AJ753" t="str">
        <x:f>IF(OR(AH753="",AI753=""),"",--(AH753&lt;&gt;AI753))</x:f>
      </x:c>
      <x:c r="AL753" t="str">
        <x:f>IF(OR(AH753="",AI753=""),"PENDING_HUMAN",IF(AH753=AI753,AH753,IF(AK753&lt;&gt;"",AK753,"PENDING_HUMAN")))</x:f>
        <x:v>PENDING_HUMAN</x:v>
      </x:c>
      <x:c r="AM753" t="n">
        <x:f>--AND(A753&lt;&gt;"",AH753&lt;&gt;"",AI753&lt;&gt;"",OR(AH753=AI753,AK753&lt;&gt;""))</x:f>
        <x:v>0</x:v>
      </x:c>
      <x:c r="AN753" t="n">
        <x:f>--AND(Y753&lt;&gt;"",COUNTIF($Y$4:Y753,Y753)=1)</x:f>
        <x:v>0</x:v>
      </x:c>
      <x:c r="AO753" t="n">
        <x:f>--AND(AN753=1,Z753=1,AM753=1)</x:f>
        <x:v>0</x:v>
      </x:c>
      <x:c r="AP753" t="n">
        <x:f>--AND(AO753=1,AA753=1,AL753=1)</x:f>
        <x:v>0</x:v>
      </x:c>
      <x:c r="AQ753" t="n">
        <x:f>--AND(AN753=1,Z753=1)</x:f>
        <x:v>0</x:v>
      </x:c>
      <x:c r="AR753" t="n">
        <x:f>--AND(AQ753=1,AA753=1)</x:f>
        <x:v>0</x:v>
      </x:c>
    </x:row>
    <x:row r="754">
      <x:c r="A754" s="28"/>
      <x:c r="B754" s="28"/>
      <x:c r="C754" s="28"/>
      <x:c r="D754" s="28"/>
      <x:c r="E754" s="28"/>
      <x:c r="F754" s="28"/>
      <x:c r="G754" s="28"/>
      <x:c r="H754" s="28"/>
      <x:c r="I754" s="28"/>
      <x:c r="J754" s="28"/>
      <x:c r="K754" s="28"/>
      <x:c r="L754" s="28"/>
      <x:c r="M754" s="28"/>
      <x:c r="N754" s="28"/>
      <x:c r="O754" s="28"/>
      <x:c r="P754" s="28"/>
      <x:c r="Q754" s="28"/>
      <x:c r="R754" s="28"/>
      <x:c r="S754" s="28"/>
      <x:c r="T754" s="28"/>
      <x:c r="U754" s="28"/>
      <x:c r="V754" s="28"/>
      <x:c r="W754" s="28"/>
      <x:c r="X754" s="43" t="n">
        <x:f>--AND(S754=1,T754=1,U754=1,V754=1,W754=1)</x:f>
        <x:v>0</x:v>
      </x:c>
      <x:c r="AE754" s="43" t="n">
        <x:f>--AND(S754=1,M754&lt;&gt;"",M754&lt;&gt;"keep")</x:f>
        <x:v>0</x:v>
      </x:c>
      <x:c r="AG754" t="n">
        <x:f>--AND(S754=1,T754=1,U754=1,V754=1,W754=1,AE754=1)</x:f>
        <x:v>0</x:v>
      </x:c>
      <x:c r="AJ754" t="str">
        <x:f>IF(OR(AH754="",AI754=""),"",--(AH754&lt;&gt;AI754))</x:f>
      </x:c>
      <x:c r="AL754" t="str">
        <x:f>IF(OR(AH754="",AI754=""),"PENDING_HUMAN",IF(AH754=AI754,AH754,IF(AK754&lt;&gt;"",AK754,"PENDING_HUMAN")))</x:f>
        <x:v>PENDING_HUMAN</x:v>
      </x:c>
      <x:c r="AM754" t="n">
        <x:f>--AND(A754&lt;&gt;"",AH754&lt;&gt;"",AI754&lt;&gt;"",OR(AH754=AI754,AK754&lt;&gt;""))</x:f>
        <x:v>0</x:v>
      </x:c>
      <x:c r="AN754" t="n">
        <x:f>--AND(Y754&lt;&gt;"",COUNTIF($Y$4:Y754,Y754)=1)</x:f>
        <x:v>0</x:v>
      </x:c>
      <x:c r="AO754" t="n">
        <x:f>--AND(AN754=1,Z754=1,AM754=1)</x:f>
        <x:v>0</x:v>
      </x:c>
      <x:c r="AP754" t="n">
        <x:f>--AND(AO754=1,AA754=1,AL754=1)</x:f>
        <x:v>0</x:v>
      </x:c>
      <x:c r="AQ754" t="n">
        <x:f>--AND(AN754=1,Z754=1)</x:f>
        <x:v>0</x:v>
      </x:c>
      <x:c r="AR754" t="n">
        <x:f>--AND(AQ754=1,AA754=1)</x:f>
        <x:v>0</x:v>
      </x:c>
    </x:row>
    <x:row r="755">
      <x:c r="A755" s="28"/>
      <x:c r="B755" s="28"/>
      <x:c r="C755" s="28"/>
      <x:c r="D755" s="28"/>
      <x:c r="E755" s="28"/>
      <x:c r="F755" s="28"/>
      <x:c r="G755" s="28"/>
      <x:c r="H755" s="28"/>
      <x:c r="I755" s="28"/>
      <x:c r="J755" s="28"/>
      <x:c r="K755" s="28"/>
      <x:c r="L755" s="28"/>
      <x:c r="M755" s="28"/>
      <x:c r="N755" s="28"/>
      <x:c r="O755" s="28"/>
      <x:c r="P755" s="28"/>
      <x:c r="Q755" s="28"/>
      <x:c r="R755" s="28"/>
      <x:c r="S755" s="28"/>
      <x:c r="T755" s="28"/>
      <x:c r="U755" s="28"/>
      <x:c r="V755" s="28"/>
      <x:c r="W755" s="28"/>
      <x:c r="X755" s="43" t="n">
        <x:f>--AND(S755=1,T755=1,U755=1,V755=1,W755=1)</x:f>
        <x:v>0</x:v>
      </x:c>
      <x:c r="AE755" s="43" t="n">
        <x:f>--AND(S755=1,M755&lt;&gt;"",M755&lt;&gt;"keep")</x:f>
        <x:v>0</x:v>
      </x:c>
      <x:c r="AG755" t="n">
        <x:f>--AND(S755=1,T755=1,U755=1,V755=1,W755=1,AE755=1)</x:f>
        <x:v>0</x:v>
      </x:c>
      <x:c r="AJ755" t="str">
        <x:f>IF(OR(AH755="",AI755=""),"",--(AH755&lt;&gt;AI755))</x:f>
      </x:c>
      <x:c r="AL755" t="str">
        <x:f>IF(OR(AH755="",AI755=""),"PENDING_HUMAN",IF(AH755=AI755,AH755,IF(AK755&lt;&gt;"",AK755,"PENDING_HUMAN")))</x:f>
        <x:v>PENDING_HUMAN</x:v>
      </x:c>
      <x:c r="AM755" t="n">
        <x:f>--AND(A755&lt;&gt;"",AH755&lt;&gt;"",AI755&lt;&gt;"",OR(AH755=AI755,AK755&lt;&gt;""))</x:f>
        <x:v>0</x:v>
      </x:c>
      <x:c r="AN755" t="n">
        <x:f>--AND(Y755&lt;&gt;"",COUNTIF($Y$4:Y755,Y755)=1)</x:f>
        <x:v>0</x:v>
      </x:c>
      <x:c r="AO755" t="n">
        <x:f>--AND(AN755=1,Z755=1,AM755=1)</x:f>
        <x:v>0</x:v>
      </x:c>
      <x:c r="AP755" t="n">
        <x:f>--AND(AO755=1,AA755=1,AL755=1)</x:f>
        <x:v>0</x:v>
      </x:c>
      <x:c r="AQ755" t="n">
        <x:f>--AND(AN755=1,Z755=1)</x:f>
        <x:v>0</x:v>
      </x:c>
      <x:c r="AR755" t="n">
        <x:f>--AND(AQ755=1,AA755=1)</x:f>
        <x:v>0</x:v>
      </x:c>
    </x:row>
    <x:row r="756">
      <x:c r="A756" s="28"/>
      <x:c r="B756" s="28"/>
      <x:c r="C756" s="28"/>
      <x:c r="D756" s="28"/>
      <x:c r="E756" s="28"/>
      <x:c r="F756" s="28"/>
      <x:c r="G756" s="28"/>
      <x:c r="H756" s="28"/>
      <x:c r="I756" s="28"/>
      <x:c r="J756" s="28"/>
      <x:c r="K756" s="28"/>
      <x:c r="L756" s="28"/>
      <x:c r="M756" s="28"/>
      <x:c r="N756" s="28"/>
      <x:c r="O756" s="28"/>
      <x:c r="P756" s="28"/>
      <x:c r="Q756" s="28"/>
      <x:c r="R756" s="28"/>
      <x:c r="S756" s="28"/>
      <x:c r="T756" s="28"/>
      <x:c r="U756" s="28"/>
      <x:c r="V756" s="28"/>
      <x:c r="W756" s="28"/>
      <x:c r="X756" s="43" t="n">
        <x:f>--AND(S756=1,T756=1,U756=1,V756=1,W756=1)</x:f>
        <x:v>0</x:v>
      </x:c>
      <x:c r="AE756" s="43" t="n">
        <x:f>--AND(S756=1,M756&lt;&gt;"",M756&lt;&gt;"keep")</x:f>
        <x:v>0</x:v>
      </x:c>
      <x:c r="AG756" t="n">
        <x:f>--AND(S756=1,T756=1,U756=1,V756=1,W756=1,AE756=1)</x:f>
        <x:v>0</x:v>
      </x:c>
      <x:c r="AJ756" t="str">
        <x:f>IF(OR(AH756="",AI756=""),"",--(AH756&lt;&gt;AI756))</x:f>
      </x:c>
      <x:c r="AL756" t="str">
        <x:f>IF(OR(AH756="",AI756=""),"PENDING_HUMAN",IF(AH756=AI756,AH756,IF(AK756&lt;&gt;"",AK756,"PENDING_HUMAN")))</x:f>
        <x:v>PENDING_HUMAN</x:v>
      </x:c>
      <x:c r="AM756" t="n">
        <x:f>--AND(A756&lt;&gt;"",AH756&lt;&gt;"",AI756&lt;&gt;"",OR(AH756=AI756,AK756&lt;&gt;""))</x:f>
        <x:v>0</x:v>
      </x:c>
      <x:c r="AN756" t="n">
        <x:f>--AND(Y756&lt;&gt;"",COUNTIF($Y$4:Y756,Y756)=1)</x:f>
        <x:v>0</x:v>
      </x:c>
      <x:c r="AO756" t="n">
        <x:f>--AND(AN756=1,Z756=1,AM756=1)</x:f>
        <x:v>0</x:v>
      </x:c>
      <x:c r="AP756" t="n">
        <x:f>--AND(AO756=1,AA756=1,AL756=1)</x:f>
        <x:v>0</x:v>
      </x:c>
      <x:c r="AQ756" t="n">
        <x:f>--AND(AN756=1,Z756=1)</x:f>
        <x:v>0</x:v>
      </x:c>
      <x:c r="AR756" t="n">
        <x:f>--AND(AQ756=1,AA756=1)</x:f>
        <x:v>0</x:v>
      </x:c>
    </x:row>
    <x:row r="757">
      <x:c r="A757" s="28"/>
      <x:c r="B757" s="28"/>
      <x:c r="C757" s="28"/>
      <x:c r="D757" s="28"/>
      <x:c r="E757" s="28"/>
      <x:c r="F757" s="28"/>
      <x:c r="G757" s="28"/>
      <x:c r="H757" s="28"/>
      <x:c r="I757" s="28"/>
      <x:c r="J757" s="28"/>
      <x:c r="K757" s="28"/>
      <x:c r="L757" s="28"/>
      <x:c r="M757" s="28"/>
      <x:c r="N757" s="28"/>
      <x:c r="O757" s="28"/>
      <x:c r="P757" s="28"/>
      <x:c r="Q757" s="28"/>
      <x:c r="R757" s="28"/>
      <x:c r="S757" s="28"/>
      <x:c r="T757" s="28"/>
      <x:c r="U757" s="28"/>
      <x:c r="V757" s="28"/>
      <x:c r="W757" s="28"/>
      <x:c r="X757" s="43" t="n">
        <x:f>--AND(S757=1,T757=1,U757=1,V757=1,W757=1)</x:f>
        <x:v>0</x:v>
      </x:c>
      <x:c r="AE757" s="43" t="n">
        <x:f>--AND(S757=1,M757&lt;&gt;"",M757&lt;&gt;"keep")</x:f>
        <x:v>0</x:v>
      </x:c>
      <x:c r="AG757" t="n">
        <x:f>--AND(S757=1,T757=1,U757=1,V757=1,W757=1,AE757=1)</x:f>
        <x:v>0</x:v>
      </x:c>
      <x:c r="AJ757" t="str">
        <x:f>IF(OR(AH757="",AI757=""),"",--(AH757&lt;&gt;AI757))</x:f>
      </x:c>
      <x:c r="AL757" t="str">
        <x:f>IF(OR(AH757="",AI757=""),"PENDING_HUMAN",IF(AH757=AI757,AH757,IF(AK757&lt;&gt;"",AK757,"PENDING_HUMAN")))</x:f>
        <x:v>PENDING_HUMAN</x:v>
      </x:c>
      <x:c r="AM757" t="n">
        <x:f>--AND(A757&lt;&gt;"",AH757&lt;&gt;"",AI757&lt;&gt;"",OR(AH757=AI757,AK757&lt;&gt;""))</x:f>
        <x:v>0</x:v>
      </x:c>
      <x:c r="AN757" t="n">
        <x:f>--AND(Y757&lt;&gt;"",COUNTIF($Y$4:Y757,Y757)=1)</x:f>
        <x:v>0</x:v>
      </x:c>
      <x:c r="AO757" t="n">
        <x:f>--AND(AN757=1,Z757=1,AM757=1)</x:f>
        <x:v>0</x:v>
      </x:c>
      <x:c r="AP757" t="n">
        <x:f>--AND(AO757=1,AA757=1,AL757=1)</x:f>
        <x:v>0</x:v>
      </x:c>
      <x:c r="AQ757" t="n">
        <x:f>--AND(AN757=1,Z757=1)</x:f>
        <x:v>0</x:v>
      </x:c>
      <x:c r="AR757" t="n">
        <x:f>--AND(AQ757=1,AA757=1)</x:f>
        <x:v>0</x:v>
      </x:c>
    </x:row>
    <x:row r="758">
      <x:c r="A758" s="28"/>
      <x:c r="B758" s="28"/>
      <x:c r="C758" s="28"/>
      <x:c r="D758" s="28"/>
      <x:c r="E758" s="28"/>
      <x:c r="F758" s="28"/>
      <x:c r="G758" s="28"/>
      <x:c r="H758" s="28"/>
      <x:c r="I758" s="28"/>
      <x:c r="J758" s="28"/>
      <x:c r="K758" s="28"/>
      <x:c r="L758" s="28"/>
      <x:c r="M758" s="28"/>
      <x:c r="N758" s="28"/>
      <x:c r="O758" s="28"/>
      <x:c r="P758" s="28"/>
      <x:c r="Q758" s="28"/>
      <x:c r="R758" s="28"/>
      <x:c r="S758" s="28"/>
      <x:c r="T758" s="28"/>
      <x:c r="U758" s="28"/>
      <x:c r="V758" s="28"/>
      <x:c r="W758" s="28"/>
      <x:c r="X758" s="43" t="n">
        <x:f>--AND(S758=1,T758=1,U758=1,V758=1,W758=1)</x:f>
        <x:v>0</x:v>
      </x:c>
      <x:c r="AE758" s="43" t="n">
        <x:f>--AND(S758=1,M758&lt;&gt;"",M758&lt;&gt;"keep")</x:f>
        <x:v>0</x:v>
      </x:c>
      <x:c r="AG758" t="n">
        <x:f>--AND(S758=1,T758=1,U758=1,V758=1,W758=1,AE758=1)</x:f>
        <x:v>0</x:v>
      </x:c>
      <x:c r="AJ758" t="str">
        <x:f>IF(OR(AH758="",AI758=""),"",--(AH758&lt;&gt;AI758))</x:f>
      </x:c>
      <x:c r="AL758" t="str">
        <x:f>IF(OR(AH758="",AI758=""),"PENDING_HUMAN",IF(AH758=AI758,AH758,IF(AK758&lt;&gt;"",AK758,"PENDING_HUMAN")))</x:f>
        <x:v>PENDING_HUMAN</x:v>
      </x:c>
      <x:c r="AM758" t="n">
        <x:f>--AND(A758&lt;&gt;"",AH758&lt;&gt;"",AI758&lt;&gt;"",OR(AH758=AI758,AK758&lt;&gt;""))</x:f>
        <x:v>0</x:v>
      </x:c>
      <x:c r="AN758" t="n">
        <x:f>--AND(Y758&lt;&gt;"",COUNTIF($Y$4:Y758,Y758)=1)</x:f>
        <x:v>0</x:v>
      </x:c>
      <x:c r="AO758" t="n">
        <x:f>--AND(AN758=1,Z758=1,AM758=1)</x:f>
        <x:v>0</x:v>
      </x:c>
      <x:c r="AP758" t="n">
        <x:f>--AND(AO758=1,AA758=1,AL758=1)</x:f>
        <x:v>0</x:v>
      </x:c>
      <x:c r="AQ758" t="n">
        <x:f>--AND(AN758=1,Z758=1)</x:f>
        <x:v>0</x:v>
      </x:c>
      <x:c r="AR758" t="n">
        <x:f>--AND(AQ758=1,AA758=1)</x:f>
        <x:v>0</x:v>
      </x:c>
    </x:row>
    <x:row r="759">
      <x:c r="A759" s="28"/>
      <x:c r="B759" s="28"/>
      <x:c r="C759" s="28"/>
      <x:c r="D759" s="28"/>
      <x:c r="E759" s="28"/>
      <x:c r="F759" s="28"/>
      <x:c r="G759" s="28"/>
      <x:c r="H759" s="28"/>
      <x:c r="I759" s="28"/>
      <x:c r="J759" s="28"/>
      <x:c r="K759" s="28"/>
      <x:c r="L759" s="28"/>
      <x:c r="M759" s="28"/>
      <x:c r="N759" s="28"/>
      <x:c r="O759" s="28"/>
      <x:c r="P759" s="28"/>
      <x:c r="Q759" s="28"/>
      <x:c r="R759" s="28"/>
      <x:c r="S759" s="28"/>
      <x:c r="T759" s="28"/>
      <x:c r="U759" s="28"/>
      <x:c r="V759" s="28"/>
      <x:c r="W759" s="28"/>
      <x:c r="X759" s="43" t="n">
        <x:f>--AND(S759=1,T759=1,U759=1,V759=1,W759=1)</x:f>
        <x:v>0</x:v>
      </x:c>
      <x:c r="AE759" s="43" t="n">
        <x:f>--AND(S759=1,M759&lt;&gt;"",M759&lt;&gt;"keep")</x:f>
        <x:v>0</x:v>
      </x:c>
      <x:c r="AG759" t="n">
        <x:f>--AND(S759=1,T759=1,U759=1,V759=1,W759=1,AE759=1)</x:f>
        <x:v>0</x:v>
      </x:c>
      <x:c r="AJ759" t="str">
        <x:f>IF(OR(AH759="",AI759=""),"",--(AH759&lt;&gt;AI759))</x:f>
      </x:c>
      <x:c r="AL759" t="str">
        <x:f>IF(OR(AH759="",AI759=""),"PENDING_HUMAN",IF(AH759=AI759,AH759,IF(AK759&lt;&gt;"",AK759,"PENDING_HUMAN")))</x:f>
        <x:v>PENDING_HUMAN</x:v>
      </x:c>
      <x:c r="AM759" t="n">
        <x:f>--AND(A759&lt;&gt;"",AH759&lt;&gt;"",AI759&lt;&gt;"",OR(AH759=AI759,AK759&lt;&gt;""))</x:f>
        <x:v>0</x:v>
      </x:c>
      <x:c r="AN759" t="n">
        <x:f>--AND(Y759&lt;&gt;"",COUNTIF($Y$4:Y759,Y759)=1)</x:f>
        <x:v>0</x:v>
      </x:c>
      <x:c r="AO759" t="n">
        <x:f>--AND(AN759=1,Z759=1,AM759=1)</x:f>
        <x:v>0</x:v>
      </x:c>
      <x:c r="AP759" t="n">
        <x:f>--AND(AO759=1,AA759=1,AL759=1)</x:f>
        <x:v>0</x:v>
      </x:c>
      <x:c r="AQ759" t="n">
        <x:f>--AND(AN759=1,Z759=1)</x:f>
        <x:v>0</x:v>
      </x:c>
      <x:c r="AR759" t="n">
        <x:f>--AND(AQ759=1,AA759=1)</x:f>
        <x:v>0</x:v>
      </x:c>
    </x:row>
    <x:row r="760">
      <x:c r="A760" s="28"/>
      <x:c r="B760" s="28"/>
      <x:c r="C760" s="28"/>
      <x:c r="D760" s="28"/>
      <x:c r="E760" s="28"/>
      <x:c r="F760" s="28"/>
      <x:c r="G760" s="28"/>
      <x:c r="H760" s="28"/>
      <x:c r="I760" s="28"/>
      <x:c r="J760" s="28"/>
      <x:c r="K760" s="28"/>
      <x:c r="L760" s="28"/>
      <x:c r="M760" s="28"/>
      <x:c r="N760" s="28"/>
      <x:c r="O760" s="28"/>
      <x:c r="P760" s="28"/>
      <x:c r="Q760" s="28"/>
      <x:c r="R760" s="28"/>
      <x:c r="S760" s="28"/>
      <x:c r="T760" s="28"/>
      <x:c r="U760" s="28"/>
      <x:c r="V760" s="28"/>
      <x:c r="W760" s="28"/>
      <x:c r="X760" s="43" t="n">
        <x:f>--AND(S760=1,T760=1,U760=1,V760=1,W760=1)</x:f>
        <x:v>0</x:v>
      </x:c>
      <x:c r="AE760" s="43" t="n">
        <x:f>--AND(S760=1,M760&lt;&gt;"",M760&lt;&gt;"keep")</x:f>
        <x:v>0</x:v>
      </x:c>
      <x:c r="AG760" t="n">
        <x:f>--AND(S760=1,T760=1,U760=1,V760=1,W760=1,AE760=1)</x:f>
        <x:v>0</x:v>
      </x:c>
      <x:c r="AJ760" t="str">
        <x:f>IF(OR(AH760="",AI760=""),"",--(AH760&lt;&gt;AI760))</x:f>
      </x:c>
      <x:c r="AL760" t="str">
        <x:f>IF(OR(AH760="",AI760=""),"PENDING_HUMAN",IF(AH760=AI760,AH760,IF(AK760&lt;&gt;"",AK760,"PENDING_HUMAN")))</x:f>
        <x:v>PENDING_HUMAN</x:v>
      </x:c>
      <x:c r="AM760" t="n">
        <x:f>--AND(A760&lt;&gt;"",AH760&lt;&gt;"",AI760&lt;&gt;"",OR(AH760=AI760,AK760&lt;&gt;""))</x:f>
        <x:v>0</x:v>
      </x:c>
      <x:c r="AN760" t="n">
        <x:f>--AND(Y760&lt;&gt;"",COUNTIF($Y$4:Y760,Y760)=1)</x:f>
        <x:v>0</x:v>
      </x:c>
      <x:c r="AO760" t="n">
        <x:f>--AND(AN760=1,Z760=1,AM760=1)</x:f>
        <x:v>0</x:v>
      </x:c>
      <x:c r="AP760" t="n">
        <x:f>--AND(AO760=1,AA760=1,AL760=1)</x:f>
        <x:v>0</x:v>
      </x:c>
      <x:c r="AQ760" t="n">
        <x:f>--AND(AN760=1,Z760=1)</x:f>
        <x:v>0</x:v>
      </x:c>
      <x:c r="AR760" t="n">
        <x:f>--AND(AQ760=1,AA760=1)</x:f>
        <x:v>0</x:v>
      </x:c>
    </x:row>
    <x:row r="761">
      <x:c r="A761" s="28"/>
      <x:c r="B761" s="28"/>
      <x:c r="C761" s="28"/>
      <x:c r="D761" s="28"/>
      <x:c r="E761" s="28"/>
      <x:c r="F761" s="28"/>
      <x:c r="G761" s="28"/>
      <x:c r="H761" s="28"/>
      <x:c r="I761" s="28"/>
      <x:c r="J761" s="28"/>
      <x:c r="K761" s="28"/>
      <x:c r="L761" s="28"/>
      <x:c r="M761" s="28"/>
      <x:c r="N761" s="28"/>
      <x:c r="O761" s="28"/>
      <x:c r="P761" s="28"/>
      <x:c r="Q761" s="28"/>
      <x:c r="R761" s="28"/>
      <x:c r="S761" s="28"/>
      <x:c r="T761" s="28"/>
      <x:c r="U761" s="28"/>
      <x:c r="V761" s="28"/>
      <x:c r="W761" s="28"/>
      <x:c r="X761" s="43" t="n">
        <x:f>--AND(S761=1,T761=1,U761=1,V761=1,W761=1)</x:f>
        <x:v>0</x:v>
      </x:c>
      <x:c r="AE761" s="43" t="n">
        <x:f>--AND(S761=1,M761&lt;&gt;"",M761&lt;&gt;"keep")</x:f>
        <x:v>0</x:v>
      </x:c>
      <x:c r="AG761" t="n">
        <x:f>--AND(S761=1,T761=1,U761=1,V761=1,W761=1,AE761=1)</x:f>
        <x:v>0</x:v>
      </x:c>
      <x:c r="AJ761" t="str">
        <x:f>IF(OR(AH761="",AI761=""),"",--(AH761&lt;&gt;AI761))</x:f>
      </x:c>
      <x:c r="AL761" t="str">
        <x:f>IF(OR(AH761="",AI761=""),"PENDING_HUMAN",IF(AH761=AI761,AH761,IF(AK761&lt;&gt;"",AK761,"PENDING_HUMAN")))</x:f>
        <x:v>PENDING_HUMAN</x:v>
      </x:c>
      <x:c r="AM761" t="n">
        <x:f>--AND(A761&lt;&gt;"",AH761&lt;&gt;"",AI761&lt;&gt;"",OR(AH761=AI761,AK761&lt;&gt;""))</x:f>
        <x:v>0</x:v>
      </x:c>
      <x:c r="AN761" t="n">
        <x:f>--AND(Y761&lt;&gt;"",COUNTIF($Y$4:Y761,Y761)=1)</x:f>
        <x:v>0</x:v>
      </x:c>
      <x:c r="AO761" t="n">
        <x:f>--AND(AN761=1,Z761=1,AM761=1)</x:f>
        <x:v>0</x:v>
      </x:c>
      <x:c r="AP761" t="n">
        <x:f>--AND(AO761=1,AA761=1,AL761=1)</x:f>
        <x:v>0</x:v>
      </x:c>
      <x:c r="AQ761" t="n">
        <x:f>--AND(AN761=1,Z761=1)</x:f>
        <x:v>0</x:v>
      </x:c>
      <x:c r="AR761" t="n">
        <x:f>--AND(AQ761=1,AA761=1)</x:f>
        <x:v>0</x:v>
      </x:c>
    </x:row>
    <x:row r="762">
      <x:c r="A762" s="28"/>
      <x:c r="B762" s="28"/>
      <x:c r="C762" s="28"/>
      <x:c r="D762" s="28"/>
      <x:c r="E762" s="28"/>
      <x:c r="F762" s="28"/>
      <x:c r="G762" s="28"/>
      <x:c r="H762" s="28"/>
      <x:c r="I762" s="28"/>
      <x:c r="J762" s="28"/>
      <x:c r="K762" s="28"/>
      <x:c r="L762" s="28"/>
      <x:c r="M762" s="28"/>
      <x:c r="N762" s="28"/>
      <x:c r="O762" s="28"/>
      <x:c r="P762" s="28"/>
      <x:c r="Q762" s="28"/>
      <x:c r="R762" s="28"/>
      <x:c r="S762" s="28"/>
      <x:c r="T762" s="28"/>
      <x:c r="U762" s="28"/>
      <x:c r="V762" s="28"/>
      <x:c r="W762" s="28"/>
      <x:c r="X762" s="43" t="n">
        <x:f>--AND(S762=1,T762=1,U762=1,V762=1,W762=1)</x:f>
        <x:v>0</x:v>
      </x:c>
      <x:c r="AE762" s="43" t="n">
        <x:f>--AND(S762=1,M762&lt;&gt;"",M762&lt;&gt;"keep")</x:f>
        <x:v>0</x:v>
      </x:c>
      <x:c r="AG762" t="n">
        <x:f>--AND(S762=1,T762=1,U762=1,V762=1,W762=1,AE762=1)</x:f>
        <x:v>0</x:v>
      </x:c>
      <x:c r="AJ762" t="str">
        <x:f>IF(OR(AH762="",AI762=""),"",--(AH762&lt;&gt;AI762))</x:f>
      </x:c>
      <x:c r="AL762" t="str">
        <x:f>IF(OR(AH762="",AI762=""),"PENDING_HUMAN",IF(AH762=AI762,AH762,IF(AK762&lt;&gt;"",AK762,"PENDING_HUMAN")))</x:f>
        <x:v>PENDING_HUMAN</x:v>
      </x:c>
      <x:c r="AM762" t="n">
        <x:f>--AND(A762&lt;&gt;"",AH762&lt;&gt;"",AI762&lt;&gt;"",OR(AH762=AI762,AK762&lt;&gt;""))</x:f>
        <x:v>0</x:v>
      </x:c>
      <x:c r="AN762" t="n">
        <x:f>--AND(Y762&lt;&gt;"",COUNTIF($Y$4:Y762,Y762)=1)</x:f>
        <x:v>0</x:v>
      </x:c>
      <x:c r="AO762" t="n">
        <x:f>--AND(AN762=1,Z762=1,AM762=1)</x:f>
        <x:v>0</x:v>
      </x:c>
      <x:c r="AP762" t="n">
        <x:f>--AND(AO762=1,AA762=1,AL762=1)</x:f>
        <x:v>0</x:v>
      </x:c>
      <x:c r="AQ762" t="n">
        <x:f>--AND(AN762=1,Z762=1)</x:f>
        <x:v>0</x:v>
      </x:c>
      <x:c r="AR762" t="n">
        <x:f>--AND(AQ762=1,AA762=1)</x:f>
        <x:v>0</x:v>
      </x:c>
    </x:row>
    <x:row r="763">
      <x:c r="A763" s="28"/>
      <x:c r="B763" s="28"/>
      <x:c r="C763" s="28"/>
      <x:c r="D763" s="28"/>
      <x:c r="E763" s="28"/>
      <x:c r="F763" s="28"/>
      <x:c r="G763" s="28"/>
      <x:c r="H763" s="28"/>
      <x:c r="I763" s="28"/>
      <x:c r="J763" s="28"/>
      <x:c r="K763" s="28"/>
      <x:c r="L763" s="28"/>
      <x:c r="M763" s="28"/>
      <x:c r="N763" s="28"/>
      <x:c r="O763" s="28"/>
      <x:c r="P763" s="28"/>
      <x:c r="Q763" s="28"/>
      <x:c r="R763" s="28"/>
      <x:c r="S763" s="28"/>
      <x:c r="T763" s="28"/>
      <x:c r="U763" s="28"/>
      <x:c r="V763" s="28"/>
      <x:c r="W763" s="28"/>
      <x:c r="X763" s="43" t="n">
        <x:f>--AND(S763=1,T763=1,U763=1,V763=1,W763=1)</x:f>
        <x:v>0</x:v>
      </x:c>
      <x:c r="AE763" s="43" t="n">
        <x:f>--AND(S763=1,M763&lt;&gt;"",M763&lt;&gt;"keep")</x:f>
        <x:v>0</x:v>
      </x:c>
      <x:c r="AG763" t="n">
        <x:f>--AND(S763=1,T763=1,U763=1,V763=1,W763=1,AE763=1)</x:f>
        <x:v>0</x:v>
      </x:c>
      <x:c r="AJ763" t="str">
        <x:f>IF(OR(AH763="",AI763=""),"",--(AH763&lt;&gt;AI763))</x:f>
      </x:c>
      <x:c r="AL763" t="str">
        <x:f>IF(OR(AH763="",AI763=""),"PENDING_HUMAN",IF(AH763=AI763,AH763,IF(AK763&lt;&gt;"",AK763,"PENDING_HUMAN")))</x:f>
        <x:v>PENDING_HUMAN</x:v>
      </x:c>
      <x:c r="AM763" t="n">
        <x:f>--AND(A763&lt;&gt;"",AH763&lt;&gt;"",AI763&lt;&gt;"",OR(AH763=AI763,AK763&lt;&gt;""))</x:f>
        <x:v>0</x:v>
      </x:c>
      <x:c r="AN763" t="n">
        <x:f>--AND(Y763&lt;&gt;"",COUNTIF($Y$4:Y763,Y763)=1)</x:f>
        <x:v>0</x:v>
      </x:c>
      <x:c r="AO763" t="n">
        <x:f>--AND(AN763=1,Z763=1,AM763=1)</x:f>
        <x:v>0</x:v>
      </x:c>
      <x:c r="AP763" t="n">
        <x:f>--AND(AO763=1,AA763=1,AL763=1)</x:f>
        <x:v>0</x:v>
      </x:c>
      <x:c r="AQ763" t="n">
        <x:f>--AND(AN763=1,Z763=1)</x:f>
        <x:v>0</x:v>
      </x:c>
      <x:c r="AR763" t="n">
        <x:f>--AND(AQ763=1,AA763=1)</x:f>
        <x:v>0</x:v>
      </x:c>
    </x:row>
    <x:row r="764">
      <x:c r="A764" s="28"/>
      <x:c r="B764" s="28"/>
      <x:c r="C764" s="28"/>
      <x:c r="D764" s="28"/>
      <x:c r="E764" s="28"/>
      <x:c r="F764" s="28"/>
      <x:c r="G764" s="28"/>
      <x:c r="H764" s="28"/>
      <x:c r="I764" s="28"/>
      <x:c r="J764" s="28"/>
      <x:c r="K764" s="28"/>
      <x:c r="L764" s="28"/>
      <x:c r="M764" s="28"/>
      <x:c r="N764" s="28"/>
      <x:c r="O764" s="28"/>
      <x:c r="P764" s="28"/>
      <x:c r="Q764" s="28"/>
      <x:c r="R764" s="28"/>
      <x:c r="S764" s="28"/>
      <x:c r="T764" s="28"/>
      <x:c r="U764" s="28"/>
      <x:c r="V764" s="28"/>
      <x:c r="W764" s="28"/>
      <x:c r="X764" s="43" t="n">
        <x:f>--AND(S764=1,T764=1,U764=1,V764=1,W764=1)</x:f>
        <x:v>0</x:v>
      </x:c>
      <x:c r="AE764" s="43" t="n">
        <x:f>--AND(S764=1,M764&lt;&gt;"",M764&lt;&gt;"keep")</x:f>
        <x:v>0</x:v>
      </x:c>
      <x:c r="AG764" t="n">
        <x:f>--AND(S764=1,T764=1,U764=1,V764=1,W764=1,AE764=1)</x:f>
        <x:v>0</x:v>
      </x:c>
      <x:c r="AJ764" t="str">
        <x:f>IF(OR(AH764="",AI764=""),"",--(AH764&lt;&gt;AI764))</x:f>
      </x:c>
      <x:c r="AL764" t="str">
        <x:f>IF(OR(AH764="",AI764=""),"PENDING_HUMAN",IF(AH764=AI764,AH764,IF(AK764&lt;&gt;"",AK764,"PENDING_HUMAN")))</x:f>
        <x:v>PENDING_HUMAN</x:v>
      </x:c>
      <x:c r="AM764" t="n">
        <x:f>--AND(A764&lt;&gt;"",AH764&lt;&gt;"",AI764&lt;&gt;"",OR(AH764=AI764,AK764&lt;&gt;""))</x:f>
        <x:v>0</x:v>
      </x:c>
      <x:c r="AN764" t="n">
        <x:f>--AND(Y764&lt;&gt;"",COUNTIF($Y$4:Y764,Y764)=1)</x:f>
        <x:v>0</x:v>
      </x:c>
      <x:c r="AO764" t="n">
        <x:f>--AND(AN764=1,Z764=1,AM764=1)</x:f>
        <x:v>0</x:v>
      </x:c>
      <x:c r="AP764" t="n">
        <x:f>--AND(AO764=1,AA764=1,AL764=1)</x:f>
        <x:v>0</x:v>
      </x:c>
      <x:c r="AQ764" t="n">
        <x:f>--AND(AN764=1,Z764=1)</x:f>
        <x:v>0</x:v>
      </x:c>
      <x:c r="AR764" t="n">
        <x:f>--AND(AQ764=1,AA764=1)</x:f>
        <x:v>0</x:v>
      </x:c>
    </x:row>
    <x:row r="765">
      <x:c r="A765" s="28"/>
      <x:c r="B765" s="28"/>
      <x:c r="C765" s="28"/>
      <x:c r="D765" s="28"/>
      <x:c r="E765" s="28"/>
      <x:c r="F765" s="28"/>
      <x:c r="G765" s="28"/>
      <x:c r="H765" s="28"/>
      <x:c r="I765" s="28"/>
      <x:c r="J765" s="28"/>
      <x:c r="K765" s="28"/>
      <x:c r="L765" s="28"/>
      <x:c r="M765" s="28"/>
      <x:c r="N765" s="28"/>
      <x:c r="O765" s="28"/>
      <x:c r="P765" s="28"/>
      <x:c r="Q765" s="28"/>
      <x:c r="R765" s="28"/>
      <x:c r="S765" s="28"/>
      <x:c r="T765" s="28"/>
      <x:c r="U765" s="28"/>
      <x:c r="V765" s="28"/>
      <x:c r="W765" s="28"/>
      <x:c r="X765" s="43" t="n">
        <x:f>--AND(S765=1,T765=1,U765=1,V765=1,W765=1)</x:f>
        <x:v>0</x:v>
      </x:c>
      <x:c r="AE765" s="43" t="n">
        <x:f>--AND(S765=1,M765&lt;&gt;"",M765&lt;&gt;"keep")</x:f>
        <x:v>0</x:v>
      </x:c>
      <x:c r="AG765" t="n">
        <x:f>--AND(S765=1,T765=1,U765=1,V765=1,W765=1,AE765=1)</x:f>
        <x:v>0</x:v>
      </x:c>
      <x:c r="AJ765" t="str">
        <x:f>IF(OR(AH765="",AI765=""),"",--(AH765&lt;&gt;AI765))</x:f>
      </x:c>
      <x:c r="AL765" t="str">
        <x:f>IF(OR(AH765="",AI765=""),"PENDING_HUMAN",IF(AH765=AI765,AH765,IF(AK765&lt;&gt;"",AK765,"PENDING_HUMAN")))</x:f>
        <x:v>PENDING_HUMAN</x:v>
      </x:c>
      <x:c r="AM765" t="n">
        <x:f>--AND(A765&lt;&gt;"",AH765&lt;&gt;"",AI765&lt;&gt;"",OR(AH765=AI765,AK765&lt;&gt;""))</x:f>
        <x:v>0</x:v>
      </x:c>
      <x:c r="AN765" t="n">
        <x:f>--AND(Y765&lt;&gt;"",COUNTIF($Y$4:Y765,Y765)=1)</x:f>
        <x:v>0</x:v>
      </x:c>
      <x:c r="AO765" t="n">
        <x:f>--AND(AN765=1,Z765=1,AM765=1)</x:f>
        <x:v>0</x:v>
      </x:c>
      <x:c r="AP765" t="n">
        <x:f>--AND(AO765=1,AA765=1,AL765=1)</x:f>
        <x:v>0</x:v>
      </x:c>
      <x:c r="AQ765" t="n">
        <x:f>--AND(AN765=1,Z765=1)</x:f>
        <x:v>0</x:v>
      </x:c>
      <x:c r="AR765" t="n">
        <x:f>--AND(AQ765=1,AA765=1)</x:f>
        <x:v>0</x:v>
      </x:c>
    </x:row>
    <x:row r="766">
      <x:c r="A766" s="28"/>
      <x:c r="B766" s="28"/>
      <x:c r="C766" s="28"/>
      <x:c r="D766" s="28"/>
      <x:c r="E766" s="28"/>
      <x:c r="F766" s="28"/>
      <x:c r="G766" s="28"/>
      <x:c r="H766" s="28"/>
      <x:c r="I766" s="28"/>
      <x:c r="J766" s="28"/>
      <x:c r="K766" s="28"/>
      <x:c r="L766" s="28"/>
      <x:c r="M766" s="28"/>
      <x:c r="N766" s="28"/>
      <x:c r="O766" s="28"/>
      <x:c r="P766" s="28"/>
      <x:c r="Q766" s="28"/>
      <x:c r="R766" s="28"/>
      <x:c r="S766" s="28"/>
      <x:c r="T766" s="28"/>
      <x:c r="U766" s="28"/>
      <x:c r="V766" s="28"/>
      <x:c r="W766" s="28"/>
      <x:c r="X766" s="43" t="n">
        <x:f>--AND(S766=1,T766=1,U766=1,V766=1,W766=1)</x:f>
        <x:v>0</x:v>
      </x:c>
      <x:c r="AE766" s="43" t="n">
        <x:f>--AND(S766=1,M766&lt;&gt;"",M766&lt;&gt;"keep")</x:f>
        <x:v>0</x:v>
      </x:c>
      <x:c r="AG766" t="n">
        <x:f>--AND(S766=1,T766=1,U766=1,V766=1,W766=1,AE766=1)</x:f>
        <x:v>0</x:v>
      </x:c>
      <x:c r="AJ766" t="str">
        <x:f>IF(OR(AH766="",AI766=""),"",--(AH766&lt;&gt;AI766))</x:f>
      </x:c>
      <x:c r="AL766" t="str">
        <x:f>IF(OR(AH766="",AI766=""),"PENDING_HUMAN",IF(AH766=AI766,AH766,IF(AK766&lt;&gt;"",AK766,"PENDING_HUMAN")))</x:f>
        <x:v>PENDING_HUMAN</x:v>
      </x:c>
      <x:c r="AM766" t="n">
        <x:f>--AND(A766&lt;&gt;"",AH766&lt;&gt;"",AI766&lt;&gt;"",OR(AH766=AI766,AK766&lt;&gt;""))</x:f>
        <x:v>0</x:v>
      </x:c>
      <x:c r="AN766" t="n">
        <x:f>--AND(Y766&lt;&gt;"",COUNTIF($Y$4:Y766,Y766)=1)</x:f>
        <x:v>0</x:v>
      </x:c>
      <x:c r="AO766" t="n">
        <x:f>--AND(AN766=1,Z766=1,AM766=1)</x:f>
        <x:v>0</x:v>
      </x:c>
      <x:c r="AP766" t="n">
        <x:f>--AND(AO766=1,AA766=1,AL766=1)</x:f>
        <x:v>0</x:v>
      </x:c>
      <x:c r="AQ766" t="n">
        <x:f>--AND(AN766=1,Z766=1)</x:f>
        <x:v>0</x:v>
      </x:c>
      <x:c r="AR766" t="n">
        <x:f>--AND(AQ766=1,AA766=1)</x:f>
        <x:v>0</x:v>
      </x:c>
    </x:row>
    <x:row r="767">
      <x:c r="A767" s="28"/>
      <x:c r="B767" s="28"/>
      <x:c r="C767" s="28"/>
      <x:c r="D767" s="28"/>
      <x:c r="E767" s="28"/>
      <x:c r="F767" s="28"/>
      <x:c r="G767" s="28"/>
      <x:c r="H767" s="28"/>
      <x:c r="I767" s="28"/>
      <x:c r="J767" s="28"/>
      <x:c r="K767" s="28"/>
      <x:c r="L767" s="28"/>
      <x:c r="M767" s="28"/>
      <x:c r="N767" s="28"/>
      <x:c r="O767" s="28"/>
      <x:c r="P767" s="28"/>
      <x:c r="Q767" s="28"/>
      <x:c r="R767" s="28"/>
      <x:c r="S767" s="28"/>
      <x:c r="T767" s="28"/>
      <x:c r="U767" s="28"/>
      <x:c r="V767" s="28"/>
      <x:c r="W767" s="28"/>
      <x:c r="X767" s="43" t="n">
        <x:f>--AND(S767=1,T767=1,U767=1,V767=1,W767=1)</x:f>
        <x:v>0</x:v>
      </x:c>
      <x:c r="AE767" s="43" t="n">
        <x:f>--AND(S767=1,M767&lt;&gt;"",M767&lt;&gt;"keep")</x:f>
        <x:v>0</x:v>
      </x:c>
      <x:c r="AG767" t="n">
        <x:f>--AND(S767=1,T767=1,U767=1,V767=1,W767=1,AE767=1)</x:f>
        <x:v>0</x:v>
      </x:c>
      <x:c r="AJ767" t="str">
        <x:f>IF(OR(AH767="",AI767=""),"",--(AH767&lt;&gt;AI767))</x:f>
      </x:c>
      <x:c r="AL767" t="str">
        <x:f>IF(OR(AH767="",AI767=""),"PENDING_HUMAN",IF(AH767=AI767,AH767,IF(AK767&lt;&gt;"",AK767,"PENDING_HUMAN")))</x:f>
        <x:v>PENDING_HUMAN</x:v>
      </x:c>
      <x:c r="AM767" t="n">
        <x:f>--AND(A767&lt;&gt;"",AH767&lt;&gt;"",AI767&lt;&gt;"",OR(AH767=AI767,AK767&lt;&gt;""))</x:f>
        <x:v>0</x:v>
      </x:c>
      <x:c r="AN767" t="n">
        <x:f>--AND(Y767&lt;&gt;"",COUNTIF($Y$4:Y767,Y767)=1)</x:f>
        <x:v>0</x:v>
      </x:c>
      <x:c r="AO767" t="n">
        <x:f>--AND(AN767=1,Z767=1,AM767=1)</x:f>
        <x:v>0</x:v>
      </x:c>
      <x:c r="AP767" t="n">
        <x:f>--AND(AO767=1,AA767=1,AL767=1)</x:f>
        <x:v>0</x:v>
      </x:c>
      <x:c r="AQ767" t="n">
        <x:f>--AND(AN767=1,Z767=1)</x:f>
        <x:v>0</x:v>
      </x:c>
      <x:c r="AR767" t="n">
        <x:f>--AND(AQ767=1,AA767=1)</x:f>
        <x:v>0</x:v>
      </x:c>
    </x:row>
    <x:row r="768">
      <x:c r="A768" s="28"/>
      <x:c r="B768" s="28"/>
      <x:c r="C768" s="28"/>
      <x:c r="D768" s="28"/>
      <x:c r="E768" s="28"/>
      <x:c r="F768" s="28"/>
      <x:c r="G768" s="28"/>
      <x:c r="H768" s="28"/>
      <x:c r="I768" s="28"/>
      <x:c r="J768" s="28"/>
      <x:c r="K768" s="28"/>
      <x:c r="L768" s="28"/>
      <x:c r="M768" s="28"/>
      <x:c r="N768" s="28"/>
      <x:c r="O768" s="28"/>
      <x:c r="P768" s="28"/>
      <x:c r="Q768" s="28"/>
      <x:c r="R768" s="28"/>
      <x:c r="S768" s="28"/>
      <x:c r="T768" s="28"/>
      <x:c r="U768" s="28"/>
      <x:c r="V768" s="28"/>
      <x:c r="W768" s="28"/>
      <x:c r="X768" s="43" t="n">
        <x:f>--AND(S768=1,T768=1,U768=1,V768=1,W768=1)</x:f>
        <x:v>0</x:v>
      </x:c>
      <x:c r="AE768" s="43" t="n">
        <x:f>--AND(S768=1,M768&lt;&gt;"",M768&lt;&gt;"keep")</x:f>
        <x:v>0</x:v>
      </x:c>
      <x:c r="AG768" t="n">
        <x:f>--AND(S768=1,T768=1,U768=1,V768=1,W768=1,AE768=1)</x:f>
        <x:v>0</x:v>
      </x:c>
      <x:c r="AJ768" t="str">
        <x:f>IF(OR(AH768="",AI768=""),"",--(AH768&lt;&gt;AI768))</x:f>
      </x:c>
      <x:c r="AL768" t="str">
        <x:f>IF(OR(AH768="",AI768=""),"PENDING_HUMAN",IF(AH768=AI768,AH768,IF(AK768&lt;&gt;"",AK768,"PENDING_HUMAN")))</x:f>
        <x:v>PENDING_HUMAN</x:v>
      </x:c>
      <x:c r="AM768" t="n">
        <x:f>--AND(A768&lt;&gt;"",AH768&lt;&gt;"",AI768&lt;&gt;"",OR(AH768=AI768,AK768&lt;&gt;""))</x:f>
        <x:v>0</x:v>
      </x:c>
      <x:c r="AN768" t="n">
        <x:f>--AND(Y768&lt;&gt;"",COUNTIF($Y$4:Y768,Y768)=1)</x:f>
        <x:v>0</x:v>
      </x:c>
      <x:c r="AO768" t="n">
        <x:f>--AND(AN768=1,Z768=1,AM768=1)</x:f>
        <x:v>0</x:v>
      </x:c>
      <x:c r="AP768" t="n">
        <x:f>--AND(AO768=1,AA768=1,AL768=1)</x:f>
        <x:v>0</x:v>
      </x:c>
      <x:c r="AQ768" t="n">
        <x:f>--AND(AN768=1,Z768=1)</x:f>
        <x:v>0</x:v>
      </x:c>
      <x:c r="AR768" t="n">
        <x:f>--AND(AQ768=1,AA768=1)</x:f>
        <x:v>0</x:v>
      </x:c>
    </x:row>
    <x:row r="769">
      <x:c r="A769" s="28"/>
      <x:c r="B769" s="28"/>
      <x:c r="C769" s="28"/>
      <x:c r="D769" s="28"/>
      <x:c r="E769" s="28"/>
      <x:c r="F769" s="28"/>
      <x:c r="G769" s="28"/>
      <x:c r="H769" s="28"/>
      <x:c r="I769" s="28"/>
      <x:c r="J769" s="28"/>
      <x:c r="K769" s="28"/>
      <x:c r="L769" s="28"/>
      <x:c r="M769" s="28"/>
      <x:c r="N769" s="28"/>
      <x:c r="O769" s="28"/>
      <x:c r="P769" s="28"/>
      <x:c r="Q769" s="28"/>
      <x:c r="R769" s="28"/>
      <x:c r="S769" s="28"/>
      <x:c r="T769" s="28"/>
      <x:c r="U769" s="28"/>
      <x:c r="V769" s="28"/>
      <x:c r="W769" s="28"/>
      <x:c r="X769" s="43" t="n">
        <x:f>--AND(S769=1,T769=1,U769=1,V769=1,W769=1)</x:f>
        <x:v>0</x:v>
      </x:c>
      <x:c r="AE769" s="43" t="n">
        <x:f>--AND(S769=1,M769&lt;&gt;"",M769&lt;&gt;"keep")</x:f>
        <x:v>0</x:v>
      </x:c>
      <x:c r="AG769" t="n">
        <x:f>--AND(S769=1,T769=1,U769=1,V769=1,W769=1,AE769=1)</x:f>
        <x:v>0</x:v>
      </x:c>
      <x:c r="AJ769" t="str">
        <x:f>IF(OR(AH769="",AI769=""),"",--(AH769&lt;&gt;AI769))</x:f>
      </x:c>
      <x:c r="AL769" t="str">
        <x:f>IF(OR(AH769="",AI769=""),"PENDING_HUMAN",IF(AH769=AI769,AH769,IF(AK769&lt;&gt;"",AK769,"PENDING_HUMAN")))</x:f>
        <x:v>PENDING_HUMAN</x:v>
      </x:c>
      <x:c r="AM769" t="n">
        <x:f>--AND(A769&lt;&gt;"",AH769&lt;&gt;"",AI769&lt;&gt;"",OR(AH769=AI769,AK769&lt;&gt;""))</x:f>
        <x:v>0</x:v>
      </x:c>
      <x:c r="AN769" t="n">
        <x:f>--AND(Y769&lt;&gt;"",COUNTIF($Y$4:Y769,Y769)=1)</x:f>
        <x:v>0</x:v>
      </x:c>
      <x:c r="AO769" t="n">
        <x:f>--AND(AN769=1,Z769=1,AM769=1)</x:f>
        <x:v>0</x:v>
      </x:c>
      <x:c r="AP769" t="n">
        <x:f>--AND(AO769=1,AA769=1,AL769=1)</x:f>
        <x:v>0</x:v>
      </x:c>
      <x:c r="AQ769" t="n">
        <x:f>--AND(AN769=1,Z769=1)</x:f>
        <x:v>0</x:v>
      </x:c>
      <x:c r="AR769" t="n">
        <x:f>--AND(AQ769=1,AA769=1)</x:f>
        <x:v>0</x:v>
      </x:c>
    </x:row>
    <x:row r="770">
      <x:c r="A770" s="28"/>
      <x:c r="B770" s="28"/>
      <x:c r="C770" s="28"/>
      <x:c r="D770" s="28"/>
      <x:c r="E770" s="28"/>
      <x:c r="F770" s="28"/>
      <x:c r="G770" s="28"/>
      <x:c r="H770" s="28"/>
      <x:c r="I770" s="28"/>
      <x:c r="J770" s="28"/>
      <x:c r="K770" s="28"/>
      <x:c r="L770" s="28"/>
      <x:c r="M770" s="28"/>
      <x:c r="N770" s="28"/>
      <x:c r="O770" s="28"/>
      <x:c r="P770" s="28"/>
      <x:c r="Q770" s="28"/>
      <x:c r="R770" s="28"/>
      <x:c r="S770" s="28"/>
      <x:c r="T770" s="28"/>
      <x:c r="U770" s="28"/>
      <x:c r="V770" s="28"/>
      <x:c r="W770" s="28"/>
      <x:c r="X770" s="43" t="n">
        <x:f>--AND(S770=1,T770=1,U770=1,V770=1,W770=1)</x:f>
        <x:v>0</x:v>
      </x:c>
      <x:c r="AE770" s="43" t="n">
        <x:f>--AND(S770=1,M770&lt;&gt;"",M770&lt;&gt;"keep")</x:f>
        <x:v>0</x:v>
      </x:c>
      <x:c r="AG770" t="n">
        <x:f>--AND(S770=1,T770=1,U770=1,V770=1,W770=1,AE770=1)</x:f>
        <x:v>0</x:v>
      </x:c>
      <x:c r="AJ770" t="str">
        <x:f>IF(OR(AH770="",AI770=""),"",--(AH770&lt;&gt;AI770))</x:f>
      </x:c>
      <x:c r="AL770" t="str">
        <x:f>IF(OR(AH770="",AI770=""),"PENDING_HUMAN",IF(AH770=AI770,AH770,IF(AK770&lt;&gt;"",AK770,"PENDING_HUMAN")))</x:f>
        <x:v>PENDING_HUMAN</x:v>
      </x:c>
      <x:c r="AM770" t="n">
        <x:f>--AND(A770&lt;&gt;"",AH770&lt;&gt;"",AI770&lt;&gt;"",OR(AH770=AI770,AK770&lt;&gt;""))</x:f>
        <x:v>0</x:v>
      </x:c>
      <x:c r="AN770" t="n">
        <x:f>--AND(Y770&lt;&gt;"",COUNTIF($Y$4:Y770,Y770)=1)</x:f>
        <x:v>0</x:v>
      </x:c>
      <x:c r="AO770" t="n">
        <x:f>--AND(AN770=1,Z770=1,AM770=1)</x:f>
        <x:v>0</x:v>
      </x:c>
      <x:c r="AP770" t="n">
        <x:f>--AND(AO770=1,AA770=1,AL770=1)</x:f>
        <x:v>0</x:v>
      </x:c>
      <x:c r="AQ770" t="n">
        <x:f>--AND(AN770=1,Z770=1)</x:f>
        <x:v>0</x:v>
      </x:c>
      <x:c r="AR770" t="n">
        <x:f>--AND(AQ770=1,AA770=1)</x:f>
        <x:v>0</x:v>
      </x:c>
    </x:row>
    <x:row r="771">
      <x:c r="A771" s="28"/>
      <x:c r="B771" s="28"/>
      <x:c r="C771" s="28"/>
      <x:c r="D771" s="28"/>
      <x:c r="E771" s="28"/>
      <x:c r="F771" s="28"/>
      <x:c r="G771" s="28"/>
      <x:c r="H771" s="28"/>
      <x:c r="I771" s="28"/>
      <x:c r="J771" s="28"/>
      <x:c r="K771" s="28"/>
      <x:c r="L771" s="28"/>
      <x:c r="M771" s="28"/>
      <x:c r="N771" s="28"/>
      <x:c r="O771" s="28"/>
      <x:c r="P771" s="28"/>
      <x:c r="Q771" s="28"/>
      <x:c r="R771" s="28"/>
      <x:c r="S771" s="28"/>
      <x:c r="T771" s="28"/>
      <x:c r="U771" s="28"/>
      <x:c r="V771" s="28"/>
      <x:c r="W771" s="28"/>
      <x:c r="X771" s="43" t="n">
        <x:f>--AND(S771=1,T771=1,U771=1,V771=1,W771=1)</x:f>
        <x:v>0</x:v>
      </x:c>
      <x:c r="AE771" s="43" t="n">
        <x:f>--AND(S771=1,M771&lt;&gt;"",M771&lt;&gt;"keep")</x:f>
        <x:v>0</x:v>
      </x:c>
      <x:c r="AG771" t="n">
        <x:f>--AND(S771=1,T771=1,U771=1,V771=1,W771=1,AE771=1)</x:f>
        <x:v>0</x:v>
      </x:c>
      <x:c r="AJ771" t="str">
        <x:f>IF(OR(AH771="",AI771=""),"",--(AH771&lt;&gt;AI771))</x:f>
      </x:c>
      <x:c r="AL771" t="str">
        <x:f>IF(OR(AH771="",AI771=""),"PENDING_HUMAN",IF(AH771=AI771,AH771,IF(AK771&lt;&gt;"",AK771,"PENDING_HUMAN")))</x:f>
        <x:v>PENDING_HUMAN</x:v>
      </x:c>
      <x:c r="AM771" t="n">
        <x:f>--AND(A771&lt;&gt;"",AH771&lt;&gt;"",AI771&lt;&gt;"",OR(AH771=AI771,AK771&lt;&gt;""))</x:f>
        <x:v>0</x:v>
      </x:c>
      <x:c r="AN771" t="n">
        <x:f>--AND(Y771&lt;&gt;"",COUNTIF($Y$4:Y771,Y771)=1)</x:f>
        <x:v>0</x:v>
      </x:c>
      <x:c r="AO771" t="n">
        <x:f>--AND(AN771=1,Z771=1,AM771=1)</x:f>
        <x:v>0</x:v>
      </x:c>
      <x:c r="AP771" t="n">
        <x:f>--AND(AO771=1,AA771=1,AL771=1)</x:f>
        <x:v>0</x:v>
      </x:c>
      <x:c r="AQ771" t="n">
        <x:f>--AND(AN771=1,Z771=1)</x:f>
        <x:v>0</x:v>
      </x:c>
      <x:c r="AR771" t="n">
        <x:f>--AND(AQ771=1,AA771=1)</x:f>
        <x:v>0</x:v>
      </x:c>
    </x:row>
    <x:row r="772">
      <x:c r="A772" s="28"/>
      <x:c r="B772" s="28"/>
      <x:c r="C772" s="28"/>
      <x:c r="D772" s="28"/>
      <x:c r="E772" s="28"/>
      <x:c r="F772" s="28"/>
      <x:c r="G772" s="28"/>
      <x:c r="H772" s="28"/>
      <x:c r="I772" s="28"/>
      <x:c r="J772" s="28"/>
      <x:c r="K772" s="28"/>
      <x:c r="L772" s="28"/>
      <x:c r="M772" s="28"/>
      <x:c r="N772" s="28"/>
      <x:c r="O772" s="28"/>
      <x:c r="P772" s="28"/>
      <x:c r="Q772" s="28"/>
      <x:c r="R772" s="28"/>
      <x:c r="S772" s="28"/>
      <x:c r="T772" s="28"/>
      <x:c r="U772" s="28"/>
      <x:c r="V772" s="28"/>
      <x:c r="W772" s="28"/>
      <x:c r="X772" s="43" t="n">
        <x:f>--AND(S772=1,T772=1,U772=1,V772=1,W772=1)</x:f>
        <x:v>0</x:v>
      </x:c>
      <x:c r="AE772" s="43" t="n">
        <x:f>--AND(S772=1,M772&lt;&gt;"",M772&lt;&gt;"keep")</x:f>
        <x:v>0</x:v>
      </x:c>
      <x:c r="AG772" t="n">
        <x:f>--AND(S772=1,T772=1,U772=1,V772=1,W772=1,AE772=1)</x:f>
        <x:v>0</x:v>
      </x:c>
      <x:c r="AJ772" t="str">
        <x:f>IF(OR(AH772="",AI772=""),"",--(AH772&lt;&gt;AI772))</x:f>
      </x:c>
      <x:c r="AL772" t="str">
        <x:f>IF(OR(AH772="",AI772=""),"PENDING_HUMAN",IF(AH772=AI772,AH772,IF(AK772&lt;&gt;"",AK772,"PENDING_HUMAN")))</x:f>
        <x:v>PENDING_HUMAN</x:v>
      </x:c>
      <x:c r="AM772" t="n">
        <x:f>--AND(A772&lt;&gt;"",AH772&lt;&gt;"",AI772&lt;&gt;"",OR(AH772=AI772,AK772&lt;&gt;""))</x:f>
        <x:v>0</x:v>
      </x:c>
      <x:c r="AN772" t="n">
        <x:f>--AND(Y772&lt;&gt;"",COUNTIF($Y$4:Y772,Y772)=1)</x:f>
        <x:v>0</x:v>
      </x:c>
      <x:c r="AO772" t="n">
        <x:f>--AND(AN772=1,Z772=1,AM772=1)</x:f>
        <x:v>0</x:v>
      </x:c>
      <x:c r="AP772" t="n">
        <x:f>--AND(AO772=1,AA772=1,AL772=1)</x:f>
        <x:v>0</x:v>
      </x:c>
      <x:c r="AQ772" t="n">
        <x:f>--AND(AN772=1,Z772=1)</x:f>
        <x:v>0</x:v>
      </x:c>
      <x:c r="AR772" t="n">
        <x:f>--AND(AQ772=1,AA772=1)</x:f>
        <x:v>0</x:v>
      </x:c>
    </x:row>
    <x:row r="773">
      <x:c r="A773" s="28"/>
      <x:c r="B773" s="28"/>
      <x:c r="C773" s="28"/>
      <x:c r="D773" s="28"/>
      <x:c r="E773" s="28"/>
      <x:c r="F773" s="28"/>
      <x:c r="G773" s="28"/>
      <x:c r="H773" s="28"/>
      <x:c r="I773" s="28"/>
      <x:c r="J773" s="28"/>
      <x:c r="K773" s="28"/>
      <x:c r="L773" s="28"/>
      <x:c r="M773" s="28"/>
      <x:c r="N773" s="28"/>
      <x:c r="O773" s="28"/>
      <x:c r="P773" s="28"/>
      <x:c r="Q773" s="28"/>
      <x:c r="R773" s="28"/>
      <x:c r="S773" s="28"/>
      <x:c r="T773" s="28"/>
      <x:c r="U773" s="28"/>
      <x:c r="V773" s="28"/>
      <x:c r="W773" s="28"/>
      <x:c r="X773" s="43" t="n">
        <x:f>--AND(S773=1,T773=1,U773=1,V773=1,W773=1)</x:f>
        <x:v>0</x:v>
      </x:c>
      <x:c r="AE773" s="43" t="n">
        <x:f>--AND(S773=1,M773&lt;&gt;"",M773&lt;&gt;"keep")</x:f>
        <x:v>0</x:v>
      </x:c>
      <x:c r="AG773" t="n">
        <x:f>--AND(S773=1,T773=1,U773=1,V773=1,W773=1,AE773=1)</x:f>
        <x:v>0</x:v>
      </x:c>
      <x:c r="AJ773" t="str">
        <x:f>IF(OR(AH773="",AI773=""),"",--(AH773&lt;&gt;AI773))</x:f>
      </x:c>
      <x:c r="AL773" t="str">
        <x:f>IF(OR(AH773="",AI773=""),"PENDING_HUMAN",IF(AH773=AI773,AH773,IF(AK773&lt;&gt;"",AK773,"PENDING_HUMAN")))</x:f>
        <x:v>PENDING_HUMAN</x:v>
      </x:c>
      <x:c r="AM773" t="n">
        <x:f>--AND(A773&lt;&gt;"",AH773&lt;&gt;"",AI773&lt;&gt;"",OR(AH773=AI773,AK773&lt;&gt;""))</x:f>
        <x:v>0</x:v>
      </x:c>
      <x:c r="AN773" t="n">
        <x:f>--AND(Y773&lt;&gt;"",COUNTIF($Y$4:Y773,Y773)=1)</x:f>
        <x:v>0</x:v>
      </x:c>
      <x:c r="AO773" t="n">
        <x:f>--AND(AN773=1,Z773=1,AM773=1)</x:f>
        <x:v>0</x:v>
      </x:c>
      <x:c r="AP773" t="n">
        <x:f>--AND(AO773=1,AA773=1,AL773=1)</x:f>
        <x:v>0</x:v>
      </x:c>
      <x:c r="AQ773" t="n">
        <x:f>--AND(AN773=1,Z773=1)</x:f>
        <x:v>0</x:v>
      </x:c>
      <x:c r="AR773" t="n">
        <x:f>--AND(AQ773=1,AA773=1)</x:f>
        <x:v>0</x:v>
      </x:c>
    </x:row>
    <x:row r="774">
      <x:c r="A774" s="28"/>
      <x:c r="B774" s="28"/>
      <x:c r="C774" s="28"/>
      <x:c r="D774" s="28"/>
      <x:c r="E774" s="28"/>
      <x:c r="F774" s="28"/>
      <x:c r="G774" s="28"/>
      <x:c r="H774" s="28"/>
      <x:c r="I774" s="28"/>
      <x:c r="J774" s="28"/>
      <x:c r="K774" s="28"/>
      <x:c r="L774" s="28"/>
      <x:c r="M774" s="28"/>
      <x:c r="N774" s="28"/>
      <x:c r="O774" s="28"/>
      <x:c r="P774" s="28"/>
      <x:c r="Q774" s="28"/>
      <x:c r="R774" s="28"/>
      <x:c r="S774" s="28"/>
      <x:c r="T774" s="28"/>
      <x:c r="U774" s="28"/>
      <x:c r="V774" s="28"/>
      <x:c r="W774" s="28"/>
      <x:c r="X774" s="43" t="n">
        <x:f>--AND(S774=1,T774=1,U774=1,V774=1,W774=1)</x:f>
        <x:v>0</x:v>
      </x:c>
      <x:c r="AE774" s="43" t="n">
        <x:f>--AND(S774=1,M774&lt;&gt;"",M774&lt;&gt;"keep")</x:f>
        <x:v>0</x:v>
      </x:c>
      <x:c r="AG774" t="n">
        <x:f>--AND(S774=1,T774=1,U774=1,V774=1,W774=1,AE774=1)</x:f>
        <x:v>0</x:v>
      </x:c>
      <x:c r="AJ774" t="str">
        <x:f>IF(OR(AH774="",AI774=""),"",--(AH774&lt;&gt;AI774))</x:f>
      </x:c>
      <x:c r="AL774" t="str">
        <x:f>IF(OR(AH774="",AI774=""),"PENDING_HUMAN",IF(AH774=AI774,AH774,IF(AK774&lt;&gt;"",AK774,"PENDING_HUMAN")))</x:f>
        <x:v>PENDING_HUMAN</x:v>
      </x:c>
      <x:c r="AM774" t="n">
        <x:f>--AND(A774&lt;&gt;"",AH774&lt;&gt;"",AI774&lt;&gt;"",OR(AH774=AI774,AK774&lt;&gt;""))</x:f>
        <x:v>0</x:v>
      </x:c>
      <x:c r="AN774" t="n">
        <x:f>--AND(Y774&lt;&gt;"",COUNTIF($Y$4:Y774,Y774)=1)</x:f>
        <x:v>0</x:v>
      </x:c>
      <x:c r="AO774" t="n">
        <x:f>--AND(AN774=1,Z774=1,AM774=1)</x:f>
        <x:v>0</x:v>
      </x:c>
      <x:c r="AP774" t="n">
        <x:f>--AND(AO774=1,AA774=1,AL774=1)</x:f>
        <x:v>0</x:v>
      </x:c>
      <x:c r="AQ774" t="n">
        <x:f>--AND(AN774=1,Z774=1)</x:f>
        <x:v>0</x:v>
      </x:c>
      <x:c r="AR774" t="n">
        <x:f>--AND(AQ774=1,AA774=1)</x:f>
        <x:v>0</x:v>
      </x:c>
    </x:row>
    <x:row r="775">
      <x:c r="A775" s="28"/>
      <x:c r="B775" s="28"/>
      <x:c r="C775" s="28"/>
      <x:c r="D775" s="28"/>
      <x:c r="E775" s="28"/>
      <x:c r="F775" s="28"/>
      <x:c r="G775" s="28"/>
      <x:c r="H775" s="28"/>
      <x:c r="I775" s="28"/>
      <x:c r="J775" s="28"/>
      <x:c r="K775" s="28"/>
      <x:c r="L775" s="28"/>
      <x:c r="M775" s="28"/>
      <x:c r="N775" s="28"/>
      <x:c r="O775" s="28"/>
      <x:c r="P775" s="28"/>
      <x:c r="Q775" s="28"/>
      <x:c r="R775" s="28"/>
      <x:c r="S775" s="28"/>
      <x:c r="T775" s="28"/>
      <x:c r="U775" s="28"/>
      <x:c r="V775" s="28"/>
      <x:c r="W775" s="28"/>
      <x:c r="X775" s="43" t="n">
        <x:f>--AND(S775=1,T775=1,U775=1,V775=1,W775=1)</x:f>
        <x:v>0</x:v>
      </x:c>
      <x:c r="AE775" s="43" t="n">
        <x:f>--AND(S775=1,M775&lt;&gt;"",M775&lt;&gt;"keep")</x:f>
        <x:v>0</x:v>
      </x:c>
      <x:c r="AG775" t="n">
        <x:f>--AND(S775=1,T775=1,U775=1,V775=1,W775=1,AE775=1)</x:f>
        <x:v>0</x:v>
      </x:c>
      <x:c r="AJ775" t="str">
        <x:f>IF(OR(AH775="",AI775=""),"",--(AH775&lt;&gt;AI775))</x:f>
      </x:c>
      <x:c r="AL775" t="str">
        <x:f>IF(OR(AH775="",AI775=""),"PENDING_HUMAN",IF(AH775=AI775,AH775,IF(AK775&lt;&gt;"",AK775,"PENDING_HUMAN")))</x:f>
        <x:v>PENDING_HUMAN</x:v>
      </x:c>
      <x:c r="AM775" t="n">
        <x:f>--AND(A775&lt;&gt;"",AH775&lt;&gt;"",AI775&lt;&gt;"",OR(AH775=AI775,AK775&lt;&gt;""))</x:f>
        <x:v>0</x:v>
      </x:c>
      <x:c r="AN775" t="n">
        <x:f>--AND(Y775&lt;&gt;"",COUNTIF($Y$4:Y775,Y775)=1)</x:f>
        <x:v>0</x:v>
      </x:c>
      <x:c r="AO775" t="n">
        <x:f>--AND(AN775=1,Z775=1,AM775=1)</x:f>
        <x:v>0</x:v>
      </x:c>
      <x:c r="AP775" t="n">
        <x:f>--AND(AO775=1,AA775=1,AL775=1)</x:f>
        <x:v>0</x:v>
      </x:c>
      <x:c r="AQ775" t="n">
        <x:f>--AND(AN775=1,Z775=1)</x:f>
        <x:v>0</x:v>
      </x:c>
      <x:c r="AR775" t="n">
        <x:f>--AND(AQ775=1,AA775=1)</x:f>
        <x:v>0</x:v>
      </x:c>
    </x:row>
    <x:row r="776">
      <x:c r="A776" s="28"/>
      <x:c r="B776" s="28"/>
      <x:c r="C776" s="28"/>
      <x:c r="D776" s="28"/>
      <x:c r="E776" s="28"/>
      <x:c r="F776" s="28"/>
      <x:c r="G776" s="28"/>
      <x:c r="H776" s="28"/>
      <x:c r="I776" s="28"/>
      <x:c r="J776" s="28"/>
      <x:c r="K776" s="28"/>
      <x:c r="L776" s="28"/>
      <x:c r="M776" s="28"/>
      <x:c r="N776" s="28"/>
      <x:c r="O776" s="28"/>
      <x:c r="P776" s="28"/>
      <x:c r="Q776" s="28"/>
      <x:c r="R776" s="28"/>
      <x:c r="S776" s="28"/>
      <x:c r="T776" s="28"/>
      <x:c r="U776" s="28"/>
      <x:c r="V776" s="28"/>
      <x:c r="W776" s="28"/>
      <x:c r="X776" s="43" t="n">
        <x:f>--AND(S776=1,T776=1,U776=1,V776=1,W776=1)</x:f>
        <x:v>0</x:v>
      </x:c>
      <x:c r="AE776" s="43" t="n">
        <x:f>--AND(S776=1,M776&lt;&gt;"",M776&lt;&gt;"keep")</x:f>
        <x:v>0</x:v>
      </x:c>
      <x:c r="AG776" t="n">
        <x:f>--AND(S776=1,T776=1,U776=1,V776=1,W776=1,AE776=1)</x:f>
        <x:v>0</x:v>
      </x:c>
      <x:c r="AJ776" t="str">
        <x:f>IF(OR(AH776="",AI776=""),"",--(AH776&lt;&gt;AI776))</x:f>
      </x:c>
      <x:c r="AL776" t="str">
        <x:f>IF(OR(AH776="",AI776=""),"PENDING_HUMAN",IF(AH776=AI776,AH776,IF(AK776&lt;&gt;"",AK776,"PENDING_HUMAN")))</x:f>
        <x:v>PENDING_HUMAN</x:v>
      </x:c>
      <x:c r="AM776" t="n">
        <x:f>--AND(A776&lt;&gt;"",AH776&lt;&gt;"",AI776&lt;&gt;"",OR(AH776=AI776,AK776&lt;&gt;""))</x:f>
        <x:v>0</x:v>
      </x:c>
      <x:c r="AN776" t="n">
        <x:f>--AND(Y776&lt;&gt;"",COUNTIF($Y$4:Y776,Y776)=1)</x:f>
        <x:v>0</x:v>
      </x:c>
      <x:c r="AO776" t="n">
        <x:f>--AND(AN776=1,Z776=1,AM776=1)</x:f>
        <x:v>0</x:v>
      </x:c>
      <x:c r="AP776" t="n">
        <x:f>--AND(AO776=1,AA776=1,AL776=1)</x:f>
        <x:v>0</x:v>
      </x:c>
      <x:c r="AQ776" t="n">
        <x:f>--AND(AN776=1,Z776=1)</x:f>
        <x:v>0</x:v>
      </x:c>
      <x:c r="AR776" t="n">
        <x:f>--AND(AQ776=1,AA776=1)</x:f>
        <x:v>0</x:v>
      </x:c>
    </x:row>
    <x:row r="777">
      <x:c r="A777" s="28"/>
      <x:c r="B777" s="28"/>
      <x:c r="C777" s="28"/>
      <x:c r="D777" s="28"/>
      <x:c r="E777" s="28"/>
      <x:c r="F777" s="28"/>
      <x:c r="G777" s="28"/>
      <x:c r="H777" s="28"/>
      <x:c r="I777" s="28"/>
      <x:c r="J777" s="28"/>
      <x:c r="K777" s="28"/>
      <x:c r="L777" s="28"/>
      <x:c r="M777" s="28"/>
      <x:c r="N777" s="28"/>
      <x:c r="O777" s="28"/>
      <x:c r="P777" s="28"/>
      <x:c r="Q777" s="28"/>
      <x:c r="R777" s="28"/>
      <x:c r="S777" s="28"/>
      <x:c r="T777" s="28"/>
      <x:c r="U777" s="28"/>
      <x:c r="V777" s="28"/>
      <x:c r="W777" s="28"/>
      <x:c r="X777" s="43" t="n">
        <x:f>--AND(S777=1,T777=1,U777=1,V777=1,W777=1)</x:f>
        <x:v>0</x:v>
      </x:c>
      <x:c r="AE777" s="43" t="n">
        <x:f>--AND(S777=1,M777&lt;&gt;"",M777&lt;&gt;"keep")</x:f>
        <x:v>0</x:v>
      </x:c>
      <x:c r="AG777" t="n">
        <x:f>--AND(S777=1,T777=1,U777=1,V777=1,W777=1,AE777=1)</x:f>
        <x:v>0</x:v>
      </x:c>
      <x:c r="AJ777" t="str">
        <x:f>IF(OR(AH777="",AI777=""),"",--(AH777&lt;&gt;AI777))</x:f>
      </x:c>
      <x:c r="AL777" t="str">
        <x:f>IF(OR(AH777="",AI777=""),"PENDING_HUMAN",IF(AH777=AI777,AH777,IF(AK777&lt;&gt;"",AK777,"PENDING_HUMAN")))</x:f>
        <x:v>PENDING_HUMAN</x:v>
      </x:c>
      <x:c r="AM777" t="n">
        <x:f>--AND(A777&lt;&gt;"",AH777&lt;&gt;"",AI777&lt;&gt;"",OR(AH777=AI777,AK777&lt;&gt;""))</x:f>
        <x:v>0</x:v>
      </x:c>
      <x:c r="AN777" t="n">
        <x:f>--AND(Y777&lt;&gt;"",COUNTIF($Y$4:Y777,Y777)=1)</x:f>
        <x:v>0</x:v>
      </x:c>
      <x:c r="AO777" t="n">
        <x:f>--AND(AN777=1,Z777=1,AM777=1)</x:f>
        <x:v>0</x:v>
      </x:c>
      <x:c r="AP777" t="n">
        <x:f>--AND(AO777=1,AA777=1,AL777=1)</x:f>
        <x:v>0</x:v>
      </x:c>
      <x:c r="AQ777" t="n">
        <x:f>--AND(AN777=1,Z777=1)</x:f>
        <x:v>0</x:v>
      </x:c>
      <x:c r="AR777" t="n">
        <x:f>--AND(AQ777=1,AA777=1)</x:f>
        <x:v>0</x:v>
      </x:c>
    </x:row>
    <x:row r="778">
      <x:c r="A778" s="28"/>
      <x:c r="B778" s="28"/>
      <x:c r="C778" s="28"/>
      <x:c r="D778" s="28"/>
      <x:c r="E778" s="28"/>
      <x:c r="F778" s="28"/>
      <x:c r="G778" s="28"/>
      <x:c r="H778" s="28"/>
      <x:c r="I778" s="28"/>
      <x:c r="J778" s="28"/>
      <x:c r="K778" s="28"/>
      <x:c r="L778" s="28"/>
      <x:c r="M778" s="28"/>
      <x:c r="N778" s="28"/>
      <x:c r="O778" s="28"/>
      <x:c r="P778" s="28"/>
      <x:c r="Q778" s="28"/>
      <x:c r="R778" s="28"/>
      <x:c r="S778" s="28"/>
      <x:c r="T778" s="28"/>
      <x:c r="U778" s="28"/>
      <x:c r="V778" s="28"/>
      <x:c r="W778" s="28"/>
      <x:c r="X778" s="43" t="n">
        <x:f>--AND(S778=1,T778=1,U778=1,V778=1,W778=1)</x:f>
        <x:v>0</x:v>
      </x:c>
      <x:c r="AE778" s="43" t="n">
        <x:f>--AND(S778=1,M778&lt;&gt;"",M778&lt;&gt;"keep")</x:f>
        <x:v>0</x:v>
      </x:c>
      <x:c r="AG778" t="n">
        <x:f>--AND(S778=1,T778=1,U778=1,V778=1,W778=1,AE778=1)</x:f>
        <x:v>0</x:v>
      </x:c>
      <x:c r="AJ778" t="str">
        <x:f>IF(OR(AH778="",AI778=""),"",--(AH778&lt;&gt;AI778))</x:f>
      </x:c>
      <x:c r="AL778" t="str">
        <x:f>IF(OR(AH778="",AI778=""),"PENDING_HUMAN",IF(AH778=AI778,AH778,IF(AK778&lt;&gt;"",AK778,"PENDING_HUMAN")))</x:f>
        <x:v>PENDING_HUMAN</x:v>
      </x:c>
      <x:c r="AM778" t="n">
        <x:f>--AND(A778&lt;&gt;"",AH778&lt;&gt;"",AI778&lt;&gt;"",OR(AH778=AI778,AK778&lt;&gt;""))</x:f>
        <x:v>0</x:v>
      </x:c>
      <x:c r="AN778" t="n">
        <x:f>--AND(Y778&lt;&gt;"",COUNTIF($Y$4:Y778,Y778)=1)</x:f>
        <x:v>0</x:v>
      </x:c>
      <x:c r="AO778" t="n">
        <x:f>--AND(AN778=1,Z778=1,AM778=1)</x:f>
        <x:v>0</x:v>
      </x:c>
      <x:c r="AP778" t="n">
        <x:f>--AND(AO778=1,AA778=1,AL778=1)</x:f>
        <x:v>0</x:v>
      </x:c>
      <x:c r="AQ778" t="n">
        <x:f>--AND(AN778=1,Z778=1)</x:f>
        <x:v>0</x:v>
      </x:c>
      <x:c r="AR778" t="n">
        <x:f>--AND(AQ778=1,AA778=1)</x:f>
        <x:v>0</x:v>
      </x:c>
    </x:row>
    <x:row r="779">
      <x:c r="A779" s="28"/>
      <x:c r="B779" s="28"/>
      <x:c r="C779" s="28"/>
      <x:c r="D779" s="28"/>
      <x:c r="E779" s="28"/>
      <x:c r="F779" s="28"/>
      <x:c r="G779" s="28"/>
      <x:c r="H779" s="28"/>
      <x:c r="I779" s="28"/>
      <x:c r="J779" s="28"/>
      <x:c r="K779" s="28"/>
      <x:c r="L779" s="28"/>
      <x:c r="M779" s="28"/>
      <x:c r="N779" s="28"/>
      <x:c r="O779" s="28"/>
      <x:c r="P779" s="28"/>
      <x:c r="Q779" s="28"/>
      <x:c r="R779" s="28"/>
      <x:c r="S779" s="28"/>
      <x:c r="T779" s="28"/>
      <x:c r="U779" s="28"/>
      <x:c r="V779" s="28"/>
      <x:c r="W779" s="28"/>
      <x:c r="X779" s="43" t="n">
        <x:f>--AND(S779=1,T779=1,U779=1,V779=1,W779=1)</x:f>
        <x:v>0</x:v>
      </x:c>
      <x:c r="AE779" s="43" t="n">
        <x:f>--AND(S779=1,M779&lt;&gt;"",M779&lt;&gt;"keep")</x:f>
        <x:v>0</x:v>
      </x:c>
      <x:c r="AG779" t="n">
        <x:f>--AND(S779=1,T779=1,U779=1,V779=1,W779=1,AE779=1)</x:f>
        <x:v>0</x:v>
      </x:c>
      <x:c r="AJ779" t="str">
        <x:f>IF(OR(AH779="",AI779=""),"",--(AH779&lt;&gt;AI779))</x:f>
      </x:c>
      <x:c r="AL779" t="str">
        <x:f>IF(OR(AH779="",AI779=""),"PENDING_HUMAN",IF(AH779=AI779,AH779,IF(AK779&lt;&gt;"",AK779,"PENDING_HUMAN")))</x:f>
        <x:v>PENDING_HUMAN</x:v>
      </x:c>
      <x:c r="AM779" t="n">
        <x:f>--AND(A779&lt;&gt;"",AH779&lt;&gt;"",AI779&lt;&gt;"",OR(AH779=AI779,AK779&lt;&gt;""))</x:f>
        <x:v>0</x:v>
      </x:c>
      <x:c r="AN779" t="n">
        <x:f>--AND(Y779&lt;&gt;"",COUNTIF($Y$4:Y779,Y779)=1)</x:f>
        <x:v>0</x:v>
      </x:c>
      <x:c r="AO779" t="n">
        <x:f>--AND(AN779=1,Z779=1,AM779=1)</x:f>
        <x:v>0</x:v>
      </x:c>
      <x:c r="AP779" t="n">
        <x:f>--AND(AO779=1,AA779=1,AL779=1)</x:f>
        <x:v>0</x:v>
      </x:c>
      <x:c r="AQ779" t="n">
        <x:f>--AND(AN779=1,Z779=1)</x:f>
        <x:v>0</x:v>
      </x:c>
      <x:c r="AR779" t="n">
        <x:f>--AND(AQ779=1,AA779=1)</x:f>
        <x:v>0</x:v>
      </x:c>
    </x:row>
    <x:row r="780">
      <x:c r="A780" s="28"/>
      <x:c r="B780" s="28"/>
      <x:c r="C780" s="28"/>
      <x:c r="D780" s="28"/>
      <x:c r="E780" s="28"/>
      <x:c r="F780" s="28"/>
      <x:c r="G780" s="28"/>
      <x:c r="H780" s="28"/>
      <x:c r="I780" s="28"/>
      <x:c r="J780" s="28"/>
      <x:c r="K780" s="28"/>
      <x:c r="L780" s="28"/>
      <x:c r="M780" s="28"/>
      <x:c r="N780" s="28"/>
      <x:c r="O780" s="28"/>
      <x:c r="P780" s="28"/>
      <x:c r="Q780" s="28"/>
      <x:c r="R780" s="28"/>
      <x:c r="S780" s="28"/>
      <x:c r="T780" s="28"/>
      <x:c r="U780" s="28"/>
      <x:c r="V780" s="28"/>
      <x:c r="W780" s="28"/>
      <x:c r="X780" s="43" t="n">
        <x:f>--AND(S780=1,T780=1,U780=1,V780=1,W780=1)</x:f>
        <x:v>0</x:v>
      </x:c>
      <x:c r="AE780" s="43" t="n">
        <x:f>--AND(S780=1,M780&lt;&gt;"",M780&lt;&gt;"keep")</x:f>
        <x:v>0</x:v>
      </x:c>
      <x:c r="AG780" t="n">
        <x:f>--AND(S780=1,T780=1,U780=1,V780=1,W780=1,AE780=1)</x:f>
        <x:v>0</x:v>
      </x:c>
      <x:c r="AJ780" t="str">
        <x:f>IF(OR(AH780="",AI780=""),"",--(AH780&lt;&gt;AI780))</x:f>
      </x:c>
      <x:c r="AL780" t="str">
        <x:f>IF(OR(AH780="",AI780=""),"PENDING_HUMAN",IF(AH780=AI780,AH780,IF(AK780&lt;&gt;"",AK780,"PENDING_HUMAN")))</x:f>
        <x:v>PENDING_HUMAN</x:v>
      </x:c>
      <x:c r="AM780" t="n">
        <x:f>--AND(A780&lt;&gt;"",AH780&lt;&gt;"",AI780&lt;&gt;"",OR(AH780=AI780,AK780&lt;&gt;""))</x:f>
        <x:v>0</x:v>
      </x:c>
      <x:c r="AN780" t="n">
        <x:f>--AND(Y780&lt;&gt;"",COUNTIF($Y$4:Y780,Y780)=1)</x:f>
        <x:v>0</x:v>
      </x:c>
      <x:c r="AO780" t="n">
        <x:f>--AND(AN780=1,Z780=1,AM780=1)</x:f>
        <x:v>0</x:v>
      </x:c>
      <x:c r="AP780" t="n">
        <x:f>--AND(AO780=1,AA780=1,AL780=1)</x:f>
        <x:v>0</x:v>
      </x:c>
      <x:c r="AQ780" t="n">
        <x:f>--AND(AN780=1,Z780=1)</x:f>
        <x:v>0</x:v>
      </x:c>
      <x:c r="AR780" t="n">
        <x:f>--AND(AQ780=1,AA780=1)</x:f>
        <x:v>0</x:v>
      </x:c>
    </x:row>
    <x:row r="781">
      <x:c r="A781" s="28"/>
      <x:c r="B781" s="28"/>
      <x:c r="C781" s="28"/>
      <x:c r="D781" s="28"/>
      <x:c r="E781" s="28"/>
      <x:c r="F781" s="28"/>
      <x:c r="G781" s="28"/>
      <x:c r="H781" s="28"/>
      <x:c r="I781" s="28"/>
      <x:c r="J781" s="28"/>
      <x:c r="K781" s="28"/>
      <x:c r="L781" s="28"/>
      <x:c r="M781" s="28"/>
      <x:c r="N781" s="28"/>
      <x:c r="O781" s="28"/>
      <x:c r="P781" s="28"/>
      <x:c r="Q781" s="28"/>
      <x:c r="R781" s="28"/>
      <x:c r="S781" s="28"/>
      <x:c r="T781" s="28"/>
      <x:c r="U781" s="28"/>
      <x:c r="V781" s="28"/>
      <x:c r="W781" s="28"/>
      <x:c r="X781" s="43" t="n">
        <x:f>--AND(S781=1,T781=1,U781=1,V781=1,W781=1)</x:f>
        <x:v>0</x:v>
      </x:c>
      <x:c r="AE781" s="43" t="n">
        <x:f>--AND(S781=1,M781&lt;&gt;"",M781&lt;&gt;"keep")</x:f>
        <x:v>0</x:v>
      </x:c>
      <x:c r="AG781" t="n">
        <x:f>--AND(S781=1,T781=1,U781=1,V781=1,W781=1,AE781=1)</x:f>
        <x:v>0</x:v>
      </x:c>
      <x:c r="AJ781" t="str">
        <x:f>IF(OR(AH781="",AI781=""),"",--(AH781&lt;&gt;AI781))</x:f>
      </x:c>
      <x:c r="AL781" t="str">
        <x:f>IF(OR(AH781="",AI781=""),"PENDING_HUMAN",IF(AH781=AI781,AH781,IF(AK781&lt;&gt;"",AK781,"PENDING_HUMAN")))</x:f>
        <x:v>PENDING_HUMAN</x:v>
      </x:c>
      <x:c r="AM781" t="n">
        <x:f>--AND(A781&lt;&gt;"",AH781&lt;&gt;"",AI781&lt;&gt;"",OR(AH781=AI781,AK781&lt;&gt;""))</x:f>
        <x:v>0</x:v>
      </x:c>
      <x:c r="AN781" t="n">
        <x:f>--AND(Y781&lt;&gt;"",COUNTIF($Y$4:Y781,Y781)=1)</x:f>
        <x:v>0</x:v>
      </x:c>
      <x:c r="AO781" t="n">
        <x:f>--AND(AN781=1,Z781=1,AM781=1)</x:f>
        <x:v>0</x:v>
      </x:c>
      <x:c r="AP781" t="n">
        <x:f>--AND(AO781=1,AA781=1,AL781=1)</x:f>
        <x:v>0</x:v>
      </x:c>
      <x:c r="AQ781" t="n">
        <x:f>--AND(AN781=1,Z781=1)</x:f>
        <x:v>0</x:v>
      </x:c>
      <x:c r="AR781" t="n">
        <x:f>--AND(AQ781=1,AA781=1)</x:f>
        <x:v>0</x:v>
      </x:c>
    </x:row>
    <x:row r="782">
      <x:c r="A782" s="28"/>
      <x:c r="B782" s="28"/>
      <x:c r="C782" s="28"/>
      <x:c r="D782" s="28"/>
      <x:c r="E782" s="28"/>
      <x:c r="F782" s="28"/>
      <x:c r="G782" s="28"/>
      <x:c r="H782" s="28"/>
      <x:c r="I782" s="28"/>
      <x:c r="J782" s="28"/>
      <x:c r="K782" s="28"/>
      <x:c r="L782" s="28"/>
      <x:c r="M782" s="28"/>
      <x:c r="N782" s="28"/>
      <x:c r="O782" s="28"/>
      <x:c r="P782" s="28"/>
      <x:c r="Q782" s="28"/>
      <x:c r="R782" s="28"/>
      <x:c r="S782" s="28"/>
      <x:c r="T782" s="28"/>
      <x:c r="U782" s="28"/>
      <x:c r="V782" s="28"/>
      <x:c r="W782" s="28"/>
      <x:c r="X782" s="43" t="n">
        <x:f>--AND(S782=1,T782=1,U782=1,V782=1,W782=1)</x:f>
        <x:v>0</x:v>
      </x:c>
      <x:c r="AE782" s="43" t="n">
        <x:f>--AND(S782=1,M782&lt;&gt;"",M782&lt;&gt;"keep")</x:f>
        <x:v>0</x:v>
      </x:c>
      <x:c r="AG782" t="n">
        <x:f>--AND(S782=1,T782=1,U782=1,V782=1,W782=1,AE782=1)</x:f>
        <x:v>0</x:v>
      </x:c>
      <x:c r="AJ782" t="str">
        <x:f>IF(OR(AH782="",AI782=""),"",--(AH782&lt;&gt;AI782))</x:f>
      </x:c>
      <x:c r="AL782" t="str">
        <x:f>IF(OR(AH782="",AI782=""),"PENDING_HUMAN",IF(AH782=AI782,AH782,IF(AK782&lt;&gt;"",AK782,"PENDING_HUMAN")))</x:f>
        <x:v>PENDING_HUMAN</x:v>
      </x:c>
      <x:c r="AM782" t="n">
        <x:f>--AND(A782&lt;&gt;"",AH782&lt;&gt;"",AI782&lt;&gt;"",OR(AH782=AI782,AK782&lt;&gt;""))</x:f>
        <x:v>0</x:v>
      </x:c>
      <x:c r="AN782" t="n">
        <x:f>--AND(Y782&lt;&gt;"",COUNTIF($Y$4:Y782,Y782)=1)</x:f>
        <x:v>0</x:v>
      </x:c>
      <x:c r="AO782" t="n">
        <x:f>--AND(AN782=1,Z782=1,AM782=1)</x:f>
        <x:v>0</x:v>
      </x:c>
      <x:c r="AP782" t="n">
        <x:f>--AND(AO782=1,AA782=1,AL782=1)</x:f>
        <x:v>0</x:v>
      </x:c>
      <x:c r="AQ782" t="n">
        <x:f>--AND(AN782=1,Z782=1)</x:f>
        <x:v>0</x:v>
      </x:c>
      <x:c r="AR782" t="n">
        <x:f>--AND(AQ782=1,AA782=1)</x:f>
        <x:v>0</x:v>
      </x:c>
    </x:row>
    <x:row r="783">
      <x:c r="A783" s="28"/>
      <x:c r="B783" s="28"/>
      <x:c r="C783" s="28"/>
      <x:c r="D783" s="28"/>
      <x:c r="E783" s="28"/>
      <x:c r="F783" s="28"/>
      <x:c r="G783" s="28"/>
      <x:c r="H783" s="28"/>
      <x:c r="I783" s="28"/>
      <x:c r="J783" s="28"/>
      <x:c r="K783" s="28"/>
      <x:c r="L783" s="28"/>
      <x:c r="M783" s="28"/>
      <x:c r="N783" s="28"/>
      <x:c r="O783" s="28"/>
      <x:c r="P783" s="28"/>
      <x:c r="Q783" s="28"/>
      <x:c r="R783" s="28"/>
      <x:c r="S783" s="28"/>
      <x:c r="T783" s="28"/>
      <x:c r="U783" s="28"/>
      <x:c r="V783" s="28"/>
      <x:c r="W783" s="28"/>
      <x:c r="X783" s="43" t="n">
        <x:f>--AND(S783=1,T783=1,U783=1,V783=1,W783=1)</x:f>
        <x:v>0</x:v>
      </x:c>
      <x:c r="AE783" s="43" t="n">
        <x:f>--AND(S783=1,M783&lt;&gt;"",M783&lt;&gt;"keep")</x:f>
        <x:v>0</x:v>
      </x:c>
      <x:c r="AG783" t="n">
        <x:f>--AND(S783=1,T783=1,U783=1,V783=1,W783=1,AE783=1)</x:f>
        <x:v>0</x:v>
      </x:c>
      <x:c r="AJ783" t="str">
        <x:f>IF(OR(AH783="",AI783=""),"",--(AH783&lt;&gt;AI783))</x:f>
      </x:c>
      <x:c r="AL783" t="str">
        <x:f>IF(OR(AH783="",AI783=""),"PENDING_HUMAN",IF(AH783=AI783,AH783,IF(AK783&lt;&gt;"",AK783,"PENDING_HUMAN")))</x:f>
        <x:v>PENDING_HUMAN</x:v>
      </x:c>
      <x:c r="AM783" t="n">
        <x:f>--AND(A783&lt;&gt;"",AH783&lt;&gt;"",AI783&lt;&gt;"",OR(AH783=AI783,AK783&lt;&gt;""))</x:f>
        <x:v>0</x:v>
      </x:c>
      <x:c r="AN783" t="n">
        <x:f>--AND(Y783&lt;&gt;"",COUNTIF($Y$4:Y783,Y783)=1)</x:f>
        <x:v>0</x:v>
      </x:c>
      <x:c r="AO783" t="n">
        <x:f>--AND(AN783=1,Z783=1,AM783=1)</x:f>
        <x:v>0</x:v>
      </x:c>
      <x:c r="AP783" t="n">
        <x:f>--AND(AO783=1,AA783=1,AL783=1)</x:f>
        <x:v>0</x:v>
      </x:c>
      <x:c r="AQ783" t="n">
        <x:f>--AND(AN783=1,Z783=1)</x:f>
        <x:v>0</x:v>
      </x:c>
      <x:c r="AR783" t="n">
        <x:f>--AND(AQ783=1,AA783=1)</x:f>
        <x:v>0</x:v>
      </x:c>
    </x:row>
    <x:row r="784">
      <x:c r="A784" s="28"/>
      <x:c r="B784" s="28"/>
      <x:c r="C784" s="28"/>
      <x:c r="D784" s="28"/>
      <x:c r="E784" s="28"/>
      <x:c r="F784" s="28"/>
      <x:c r="G784" s="28"/>
      <x:c r="H784" s="28"/>
      <x:c r="I784" s="28"/>
      <x:c r="J784" s="28"/>
      <x:c r="K784" s="28"/>
      <x:c r="L784" s="28"/>
      <x:c r="M784" s="28"/>
      <x:c r="N784" s="28"/>
      <x:c r="O784" s="28"/>
      <x:c r="P784" s="28"/>
      <x:c r="Q784" s="28"/>
      <x:c r="R784" s="28"/>
      <x:c r="S784" s="28"/>
      <x:c r="T784" s="28"/>
      <x:c r="U784" s="28"/>
      <x:c r="V784" s="28"/>
      <x:c r="W784" s="28"/>
      <x:c r="X784" s="43" t="n">
        <x:f>--AND(S784=1,T784=1,U784=1,V784=1,W784=1)</x:f>
        <x:v>0</x:v>
      </x:c>
      <x:c r="AE784" s="43" t="n">
        <x:f>--AND(S784=1,M784&lt;&gt;"",M784&lt;&gt;"keep")</x:f>
        <x:v>0</x:v>
      </x:c>
      <x:c r="AG784" t="n">
        <x:f>--AND(S784=1,T784=1,U784=1,V784=1,W784=1,AE784=1)</x:f>
        <x:v>0</x:v>
      </x:c>
      <x:c r="AJ784" t="str">
        <x:f>IF(OR(AH784="",AI784=""),"",--(AH784&lt;&gt;AI784))</x:f>
      </x:c>
      <x:c r="AL784" t="str">
        <x:f>IF(OR(AH784="",AI784=""),"PENDING_HUMAN",IF(AH784=AI784,AH784,IF(AK784&lt;&gt;"",AK784,"PENDING_HUMAN")))</x:f>
        <x:v>PENDING_HUMAN</x:v>
      </x:c>
      <x:c r="AM784" t="n">
        <x:f>--AND(A784&lt;&gt;"",AH784&lt;&gt;"",AI784&lt;&gt;"",OR(AH784=AI784,AK784&lt;&gt;""))</x:f>
        <x:v>0</x:v>
      </x:c>
      <x:c r="AN784" t="n">
        <x:f>--AND(Y784&lt;&gt;"",COUNTIF($Y$4:Y784,Y784)=1)</x:f>
        <x:v>0</x:v>
      </x:c>
      <x:c r="AO784" t="n">
        <x:f>--AND(AN784=1,Z784=1,AM784=1)</x:f>
        <x:v>0</x:v>
      </x:c>
      <x:c r="AP784" t="n">
        <x:f>--AND(AO784=1,AA784=1,AL784=1)</x:f>
        <x:v>0</x:v>
      </x:c>
      <x:c r="AQ784" t="n">
        <x:f>--AND(AN784=1,Z784=1)</x:f>
        <x:v>0</x:v>
      </x:c>
      <x:c r="AR784" t="n">
        <x:f>--AND(AQ784=1,AA784=1)</x:f>
        <x:v>0</x:v>
      </x:c>
    </x:row>
    <x:row r="785">
      <x:c r="A785" s="28"/>
      <x:c r="B785" s="28"/>
      <x:c r="C785" s="28"/>
      <x:c r="D785" s="28"/>
      <x:c r="E785" s="28"/>
      <x:c r="F785" s="28"/>
      <x:c r="G785" s="28"/>
      <x:c r="H785" s="28"/>
      <x:c r="I785" s="28"/>
      <x:c r="J785" s="28"/>
      <x:c r="K785" s="28"/>
      <x:c r="L785" s="28"/>
      <x:c r="M785" s="28"/>
      <x:c r="N785" s="28"/>
      <x:c r="O785" s="28"/>
      <x:c r="P785" s="28"/>
      <x:c r="Q785" s="28"/>
      <x:c r="R785" s="28"/>
      <x:c r="S785" s="28"/>
      <x:c r="T785" s="28"/>
      <x:c r="U785" s="28"/>
      <x:c r="V785" s="28"/>
      <x:c r="W785" s="28"/>
      <x:c r="X785" s="43" t="n">
        <x:f>--AND(S785=1,T785=1,U785=1,V785=1,W785=1)</x:f>
        <x:v>0</x:v>
      </x:c>
      <x:c r="AE785" s="43" t="n">
        <x:f>--AND(S785=1,M785&lt;&gt;"",M785&lt;&gt;"keep")</x:f>
        <x:v>0</x:v>
      </x:c>
      <x:c r="AG785" t="n">
        <x:f>--AND(S785=1,T785=1,U785=1,V785=1,W785=1,AE785=1)</x:f>
        <x:v>0</x:v>
      </x:c>
      <x:c r="AJ785" t="str">
        <x:f>IF(OR(AH785="",AI785=""),"",--(AH785&lt;&gt;AI785))</x:f>
      </x:c>
      <x:c r="AL785" t="str">
        <x:f>IF(OR(AH785="",AI785=""),"PENDING_HUMAN",IF(AH785=AI785,AH785,IF(AK785&lt;&gt;"",AK785,"PENDING_HUMAN")))</x:f>
        <x:v>PENDING_HUMAN</x:v>
      </x:c>
      <x:c r="AM785" t="n">
        <x:f>--AND(A785&lt;&gt;"",AH785&lt;&gt;"",AI785&lt;&gt;"",OR(AH785=AI785,AK785&lt;&gt;""))</x:f>
        <x:v>0</x:v>
      </x:c>
      <x:c r="AN785" t="n">
        <x:f>--AND(Y785&lt;&gt;"",COUNTIF($Y$4:Y785,Y785)=1)</x:f>
        <x:v>0</x:v>
      </x:c>
      <x:c r="AO785" t="n">
        <x:f>--AND(AN785=1,Z785=1,AM785=1)</x:f>
        <x:v>0</x:v>
      </x:c>
      <x:c r="AP785" t="n">
        <x:f>--AND(AO785=1,AA785=1,AL785=1)</x:f>
        <x:v>0</x:v>
      </x:c>
      <x:c r="AQ785" t="n">
        <x:f>--AND(AN785=1,Z785=1)</x:f>
        <x:v>0</x:v>
      </x:c>
      <x:c r="AR785" t="n">
        <x:f>--AND(AQ785=1,AA785=1)</x:f>
        <x:v>0</x:v>
      </x:c>
    </x:row>
    <x:row r="786">
      <x:c r="A786" s="28"/>
      <x:c r="B786" s="28"/>
      <x:c r="C786" s="28"/>
      <x:c r="D786" s="28"/>
      <x:c r="E786" s="28"/>
      <x:c r="F786" s="28"/>
      <x:c r="G786" s="28"/>
      <x:c r="H786" s="28"/>
      <x:c r="I786" s="28"/>
      <x:c r="J786" s="28"/>
      <x:c r="K786" s="28"/>
      <x:c r="L786" s="28"/>
      <x:c r="M786" s="28"/>
      <x:c r="N786" s="28"/>
      <x:c r="O786" s="28"/>
      <x:c r="P786" s="28"/>
      <x:c r="Q786" s="28"/>
      <x:c r="R786" s="28"/>
      <x:c r="S786" s="28"/>
      <x:c r="T786" s="28"/>
      <x:c r="U786" s="28"/>
      <x:c r="V786" s="28"/>
      <x:c r="W786" s="28"/>
      <x:c r="X786" s="43" t="n">
        <x:f>--AND(S786=1,T786=1,U786=1,V786=1,W786=1)</x:f>
        <x:v>0</x:v>
      </x:c>
      <x:c r="AE786" s="43" t="n">
        <x:f>--AND(S786=1,M786&lt;&gt;"",M786&lt;&gt;"keep")</x:f>
        <x:v>0</x:v>
      </x:c>
      <x:c r="AG786" t="n">
        <x:f>--AND(S786=1,T786=1,U786=1,V786=1,W786=1,AE786=1)</x:f>
        <x:v>0</x:v>
      </x:c>
      <x:c r="AJ786" t="str">
        <x:f>IF(OR(AH786="",AI786=""),"",--(AH786&lt;&gt;AI786))</x:f>
      </x:c>
      <x:c r="AL786" t="str">
        <x:f>IF(OR(AH786="",AI786=""),"PENDING_HUMAN",IF(AH786=AI786,AH786,IF(AK786&lt;&gt;"",AK786,"PENDING_HUMAN")))</x:f>
        <x:v>PENDING_HUMAN</x:v>
      </x:c>
      <x:c r="AM786" t="n">
        <x:f>--AND(A786&lt;&gt;"",AH786&lt;&gt;"",AI786&lt;&gt;"",OR(AH786=AI786,AK786&lt;&gt;""))</x:f>
        <x:v>0</x:v>
      </x:c>
      <x:c r="AN786" t="n">
        <x:f>--AND(Y786&lt;&gt;"",COUNTIF($Y$4:Y786,Y786)=1)</x:f>
        <x:v>0</x:v>
      </x:c>
      <x:c r="AO786" t="n">
        <x:f>--AND(AN786=1,Z786=1,AM786=1)</x:f>
        <x:v>0</x:v>
      </x:c>
      <x:c r="AP786" t="n">
        <x:f>--AND(AO786=1,AA786=1,AL786=1)</x:f>
        <x:v>0</x:v>
      </x:c>
      <x:c r="AQ786" t="n">
        <x:f>--AND(AN786=1,Z786=1)</x:f>
        <x:v>0</x:v>
      </x:c>
      <x:c r="AR786" t="n">
        <x:f>--AND(AQ786=1,AA786=1)</x:f>
        <x:v>0</x:v>
      </x:c>
    </x:row>
    <x:row r="787">
      <x:c r="A787" s="28"/>
      <x:c r="B787" s="28"/>
      <x:c r="C787" s="28"/>
      <x:c r="D787" s="28"/>
      <x:c r="E787" s="28"/>
      <x:c r="F787" s="28"/>
      <x:c r="G787" s="28"/>
      <x:c r="H787" s="28"/>
      <x:c r="I787" s="28"/>
      <x:c r="J787" s="28"/>
      <x:c r="K787" s="28"/>
      <x:c r="L787" s="28"/>
      <x:c r="M787" s="28"/>
      <x:c r="N787" s="28"/>
      <x:c r="O787" s="28"/>
      <x:c r="P787" s="28"/>
      <x:c r="Q787" s="28"/>
      <x:c r="R787" s="28"/>
      <x:c r="S787" s="28"/>
      <x:c r="T787" s="28"/>
      <x:c r="U787" s="28"/>
      <x:c r="V787" s="28"/>
      <x:c r="W787" s="28"/>
      <x:c r="X787" s="43" t="n">
        <x:f>--AND(S787=1,T787=1,U787=1,V787=1,W787=1)</x:f>
        <x:v>0</x:v>
      </x:c>
      <x:c r="AE787" s="43" t="n">
        <x:f>--AND(S787=1,M787&lt;&gt;"",M787&lt;&gt;"keep")</x:f>
        <x:v>0</x:v>
      </x:c>
      <x:c r="AG787" t="n">
        <x:f>--AND(S787=1,T787=1,U787=1,V787=1,W787=1,AE787=1)</x:f>
        <x:v>0</x:v>
      </x:c>
      <x:c r="AJ787" t="str">
        <x:f>IF(OR(AH787="",AI787=""),"",--(AH787&lt;&gt;AI787))</x:f>
      </x:c>
      <x:c r="AL787" t="str">
        <x:f>IF(OR(AH787="",AI787=""),"PENDING_HUMAN",IF(AH787=AI787,AH787,IF(AK787&lt;&gt;"",AK787,"PENDING_HUMAN")))</x:f>
        <x:v>PENDING_HUMAN</x:v>
      </x:c>
      <x:c r="AM787" t="n">
        <x:f>--AND(A787&lt;&gt;"",AH787&lt;&gt;"",AI787&lt;&gt;"",OR(AH787=AI787,AK787&lt;&gt;""))</x:f>
        <x:v>0</x:v>
      </x:c>
      <x:c r="AN787" t="n">
        <x:f>--AND(Y787&lt;&gt;"",COUNTIF($Y$4:Y787,Y787)=1)</x:f>
        <x:v>0</x:v>
      </x:c>
      <x:c r="AO787" t="n">
        <x:f>--AND(AN787=1,Z787=1,AM787=1)</x:f>
        <x:v>0</x:v>
      </x:c>
      <x:c r="AP787" t="n">
        <x:f>--AND(AO787=1,AA787=1,AL787=1)</x:f>
        <x:v>0</x:v>
      </x:c>
      <x:c r="AQ787" t="n">
        <x:f>--AND(AN787=1,Z787=1)</x:f>
        <x:v>0</x:v>
      </x:c>
      <x:c r="AR787" t="n">
        <x:f>--AND(AQ787=1,AA787=1)</x:f>
        <x:v>0</x:v>
      </x:c>
    </x:row>
    <x:row r="788">
      <x:c r="A788" s="28"/>
      <x:c r="B788" s="28"/>
      <x:c r="C788" s="28"/>
      <x:c r="D788" s="28"/>
      <x:c r="E788" s="28"/>
      <x:c r="F788" s="28"/>
      <x:c r="G788" s="28"/>
      <x:c r="H788" s="28"/>
      <x:c r="I788" s="28"/>
      <x:c r="J788" s="28"/>
      <x:c r="K788" s="28"/>
      <x:c r="L788" s="28"/>
      <x:c r="M788" s="28"/>
      <x:c r="N788" s="28"/>
      <x:c r="O788" s="28"/>
      <x:c r="P788" s="28"/>
      <x:c r="Q788" s="28"/>
      <x:c r="R788" s="28"/>
      <x:c r="S788" s="28"/>
      <x:c r="T788" s="28"/>
      <x:c r="U788" s="28"/>
      <x:c r="V788" s="28"/>
      <x:c r="W788" s="28"/>
      <x:c r="X788" s="43" t="n">
        <x:f>--AND(S788=1,T788=1,U788=1,V788=1,W788=1)</x:f>
        <x:v>0</x:v>
      </x:c>
      <x:c r="AE788" s="43" t="n">
        <x:f>--AND(S788=1,M788&lt;&gt;"",M788&lt;&gt;"keep")</x:f>
        <x:v>0</x:v>
      </x:c>
      <x:c r="AG788" t="n">
        <x:f>--AND(S788=1,T788=1,U788=1,V788=1,W788=1,AE788=1)</x:f>
        <x:v>0</x:v>
      </x:c>
      <x:c r="AJ788" t="str">
        <x:f>IF(OR(AH788="",AI788=""),"",--(AH788&lt;&gt;AI788))</x:f>
      </x:c>
      <x:c r="AL788" t="str">
        <x:f>IF(OR(AH788="",AI788=""),"PENDING_HUMAN",IF(AH788=AI788,AH788,IF(AK788&lt;&gt;"",AK788,"PENDING_HUMAN")))</x:f>
        <x:v>PENDING_HUMAN</x:v>
      </x:c>
      <x:c r="AM788" t="n">
        <x:f>--AND(A788&lt;&gt;"",AH788&lt;&gt;"",AI788&lt;&gt;"",OR(AH788=AI788,AK788&lt;&gt;""))</x:f>
        <x:v>0</x:v>
      </x:c>
      <x:c r="AN788" t="n">
        <x:f>--AND(Y788&lt;&gt;"",COUNTIF($Y$4:Y788,Y788)=1)</x:f>
        <x:v>0</x:v>
      </x:c>
      <x:c r="AO788" t="n">
        <x:f>--AND(AN788=1,Z788=1,AM788=1)</x:f>
        <x:v>0</x:v>
      </x:c>
      <x:c r="AP788" t="n">
        <x:f>--AND(AO788=1,AA788=1,AL788=1)</x:f>
        <x:v>0</x:v>
      </x:c>
      <x:c r="AQ788" t="n">
        <x:f>--AND(AN788=1,Z788=1)</x:f>
        <x:v>0</x:v>
      </x:c>
      <x:c r="AR788" t="n">
        <x:f>--AND(AQ788=1,AA788=1)</x:f>
        <x:v>0</x:v>
      </x:c>
    </x:row>
    <x:row r="789">
      <x:c r="A789" s="28"/>
      <x:c r="B789" s="28"/>
      <x:c r="C789" s="28"/>
      <x:c r="D789" s="28"/>
      <x:c r="E789" s="28"/>
      <x:c r="F789" s="28"/>
      <x:c r="G789" s="28"/>
      <x:c r="H789" s="28"/>
      <x:c r="I789" s="28"/>
      <x:c r="J789" s="28"/>
      <x:c r="K789" s="28"/>
      <x:c r="L789" s="28"/>
      <x:c r="M789" s="28"/>
      <x:c r="N789" s="28"/>
      <x:c r="O789" s="28"/>
      <x:c r="P789" s="28"/>
      <x:c r="Q789" s="28"/>
      <x:c r="R789" s="28"/>
      <x:c r="S789" s="28"/>
      <x:c r="T789" s="28"/>
      <x:c r="U789" s="28"/>
      <x:c r="V789" s="28"/>
      <x:c r="W789" s="28"/>
      <x:c r="X789" s="43" t="n">
        <x:f>--AND(S789=1,T789=1,U789=1,V789=1,W789=1)</x:f>
        <x:v>0</x:v>
      </x:c>
      <x:c r="AE789" s="43" t="n">
        <x:f>--AND(S789=1,M789&lt;&gt;"",M789&lt;&gt;"keep")</x:f>
        <x:v>0</x:v>
      </x:c>
      <x:c r="AG789" t="n">
        <x:f>--AND(S789=1,T789=1,U789=1,V789=1,W789=1,AE789=1)</x:f>
        <x:v>0</x:v>
      </x:c>
      <x:c r="AJ789" t="str">
        <x:f>IF(OR(AH789="",AI789=""),"",--(AH789&lt;&gt;AI789))</x:f>
      </x:c>
      <x:c r="AL789" t="str">
        <x:f>IF(OR(AH789="",AI789=""),"PENDING_HUMAN",IF(AH789=AI789,AH789,IF(AK789&lt;&gt;"",AK789,"PENDING_HUMAN")))</x:f>
        <x:v>PENDING_HUMAN</x:v>
      </x:c>
      <x:c r="AM789" t="n">
        <x:f>--AND(A789&lt;&gt;"",AH789&lt;&gt;"",AI789&lt;&gt;"",OR(AH789=AI789,AK789&lt;&gt;""))</x:f>
        <x:v>0</x:v>
      </x:c>
      <x:c r="AN789" t="n">
        <x:f>--AND(Y789&lt;&gt;"",COUNTIF($Y$4:Y789,Y789)=1)</x:f>
        <x:v>0</x:v>
      </x:c>
      <x:c r="AO789" t="n">
        <x:f>--AND(AN789=1,Z789=1,AM789=1)</x:f>
        <x:v>0</x:v>
      </x:c>
      <x:c r="AP789" t="n">
        <x:f>--AND(AO789=1,AA789=1,AL789=1)</x:f>
        <x:v>0</x:v>
      </x:c>
      <x:c r="AQ789" t="n">
        <x:f>--AND(AN789=1,Z789=1)</x:f>
        <x:v>0</x:v>
      </x:c>
      <x:c r="AR789" t="n">
        <x:f>--AND(AQ789=1,AA789=1)</x:f>
        <x:v>0</x:v>
      </x:c>
    </x:row>
    <x:row r="790">
      <x:c r="A790" s="28"/>
      <x:c r="B790" s="28"/>
      <x:c r="C790" s="28"/>
      <x:c r="D790" s="28"/>
      <x:c r="E790" s="28"/>
      <x:c r="F790" s="28"/>
      <x:c r="G790" s="28"/>
      <x:c r="H790" s="28"/>
      <x:c r="I790" s="28"/>
      <x:c r="J790" s="28"/>
      <x:c r="K790" s="28"/>
      <x:c r="L790" s="28"/>
      <x:c r="M790" s="28"/>
      <x:c r="N790" s="28"/>
      <x:c r="O790" s="28"/>
      <x:c r="P790" s="28"/>
      <x:c r="Q790" s="28"/>
      <x:c r="R790" s="28"/>
      <x:c r="S790" s="28"/>
      <x:c r="T790" s="28"/>
      <x:c r="U790" s="28"/>
      <x:c r="V790" s="28"/>
      <x:c r="W790" s="28"/>
      <x:c r="X790" s="43" t="n">
        <x:f>--AND(S790=1,T790=1,U790=1,V790=1,W790=1)</x:f>
        <x:v>0</x:v>
      </x:c>
      <x:c r="AE790" s="43" t="n">
        <x:f>--AND(S790=1,M790&lt;&gt;"",M790&lt;&gt;"keep")</x:f>
        <x:v>0</x:v>
      </x:c>
      <x:c r="AG790" t="n">
        <x:f>--AND(S790=1,T790=1,U790=1,V790=1,W790=1,AE790=1)</x:f>
        <x:v>0</x:v>
      </x:c>
      <x:c r="AJ790" t="str">
        <x:f>IF(OR(AH790="",AI790=""),"",--(AH790&lt;&gt;AI790))</x:f>
      </x:c>
      <x:c r="AL790" t="str">
        <x:f>IF(OR(AH790="",AI790=""),"PENDING_HUMAN",IF(AH790=AI790,AH790,IF(AK790&lt;&gt;"",AK790,"PENDING_HUMAN")))</x:f>
        <x:v>PENDING_HUMAN</x:v>
      </x:c>
      <x:c r="AM790" t="n">
        <x:f>--AND(A790&lt;&gt;"",AH790&lt;&gt;"",AI790&lt;&gt;"",OR(AH790=AI790,AK790&lt;&gt;""))</x:f>
        <x:v>0</x:v>
      </x:c>
      <x:c r="AN790" t="n">
        <x:f>--AND(Y790&lt;&gt;"",COUNTIF($Y$4:Y790,Y790)=1)</x:f>
        <x:v>0</x:v>
      </x:c>
      <x:c r="AO790" t="n">
        <x:f>--AND(AN790=1,Z790=1,AM790=1)</x:f>
        <x:v>0</x:v>
      </x:c>
      <x:c r="AP790" t="n">
        <x:f>--AND(AO790=1,AA790=1,AL790=1)</x:f>
        <x:v>0</x:v>
      </x:c>
      <x:c r="AQ790" t="n">
        <x:f>--AND(AN790=1,Z790=1)</x:f>
        <x:v>0</x:v>
      </x:c>
      <x:c r="AR790" t="n">
        <x:f>--AND(AQ790=1,AA790=1)</x:f>
        <x:v>0</x:v>
      </x:c>
    </x:row>
    <x:row r="791">
      <x:c r="A791" s="28"/>
      <x:c r="B791" s="28"/>
      <x:c r="C791" s="28"/>
      <x:c r="D791" s="28"/>
      <x:c r="E791" s="28"/>
      <x:c r="F791" s="28"/>
      <x:c r="G791" s="28"/>
      <x:c r="H791" s="28"/>
      <x:c r="I791" s="28"/>
      <x:c r="J791" s="28"/>
      <x:c r="K791" s="28"/>
      <x:c r="L791" s="28"/>
      <x:c r="M791" s="28"/>
      <x:c r="N791" s="28"/>
      <x:c r="O791" s="28"/>
      <x:c r="P791" s="28"/>
      <x:c r="Q791" s="28"/>
      <x:c r="R791" s="28"/>
      <x:c r="S791" s="28"/>
      <x:c r="T791" s="28"/>
      <x:c r="U791" s="28"/>
      <x:c r="V791" s="28"/>
      <x:c r="W791" s="28"/>
      <x:c r="X791" s="43" t="n">
        <x:f>--AND(S791=1,T791=1,U791=1,V791=1,W791=1)</x:f>
        <x:v>0</x:v>
      </x:c>
      <x:c r="AE791" s="43" t="n">
        <x:f>--AND(S791=1,M791&lt;&gt;"",M791&lt;&gt;"keep")</x:f>
        <x:v>0</x:v>
      </x:c>
      <x:c r="AG791" t="n">
        <x:f>--AND(S791=1,T791=1,U791=1,V791=1,W791=1,AE791=1)</x:f>
        <x:v>0</x:v>
      </x:c>
      <x:c r="AJ791" t="str">
        <x:f>IF(OR(AH791="",AI791=""),"",--(AH791&lt;&gt;AI791))</x:f>
      </x:c>
      <x:c r="AL791" t="str">
        <x:f>IF(OR(AH791="",AI791=""),"PENDING_HUMAN",IF(AH791=AI791,AH791,IF(AK791&lt;&gt;"",AK791,"PENDING_HUMAN")))</x:f>
        <x:v>PENDING_HUMAN</x:v>
      </x:c>
      <x:c r="AM791" t="n">
        <x:f>--AND(A791&lt;&gt;"",AH791&lt;&gt;"",AI791&lt;&gt;"",OR(AH791=AI791,AK791&lt;&gt;""))</x:f>
        <x:v>0</x:v>
      </x:c>
      <x:c r="AN791" t="n">
        <x:f>--AND(Y791&lt;&gt;"",COUNTIF($Y$4:Y791,Y791)=1)</x:f>
        <x:v>0</x:v>
      </x:c>
      <x:c r="AO791" t="n">
        <x:f>--AND(AN791=1,Z791=1,AM791=1)</x:f>
        <x:v>0</x:v>
      </x:c>
      <x:c r="AP791" t="n">
        <x:f>--AND(AO791=1,AA791=1,AL791=1)</x:f>
        <x:v>0</x:v>
      </x:c>
      <x:c r="AQ791" t="n">
        <x:f>--AND(AN791=1,Z791=1)</x:f>
        <x:v>0</x:v>
      </x:c>
      <x:c r="AR791" t="n">
        <x:f>--AND(AQ791=1,AA791=1)</x:f>
        <x:v>0</x:v>
      </x:c>
    </x:row>
    <x:row r="792">
      <x:c r="A792" s="28"/>
      <x:c r="B792" s="28"/>
      <x:c r="C792" s="28"/>
      <x:c r="D792" s="28"/>
      <x:c r="E792" s="28"/>
      <x:c r="F792" s="28"/>
      <x:c r="G792" s="28"/>
      <x:c r="H792" s="28"/>
      <x:c r="I792" s="28"/>
      <x:c r="J792" s="28"/>
      <x:c r="K792" s="28"/>
      <x:c r="L792" s="28"/>
      <x:c r="M792" s="28"/>
      <x:c r="N792" s="28"/>
      <x:c r="O792" s="28"/>
      <x:c r="P792" s="28"/>
      <x:c r="Q792" s="28"/>
      <x:c r="R792" s="28"/>
      <x:c r="S792" s="28"/>
      <x:c r="T792" s="28"/>
      <x:c r="U792" s="28"/>
      <x:c r="V792" s="28"/>
      <x:c r="W792" s="28"/>
      <x:c r="X792" s="43" t="n">
        <x:f>--AND(S792=1,T792=1,U792=1,V792=1,W792=1)</x:f>
        <x:v>0</x:v>
      </x:c>
      <x:c r="AE792" s="43" t="n">
        <x:f>--AND(S792=1,M792&lt;&gt;"",M792&lt;&gt;"keep")</x:f>
        <x:v>0</x:v>
      </x:c>
      <x:c r="AG792" t="n">
        <x:f>--AND(S792=1,T792=1,U792=1,V792=1,W792=1,AE792=1)</x:f>
        <x:v>0</x:v>
      </x:c>
      <x:c r="AJ792" t="str">
        <x:f>IF(OR(AH792="",AI792=""),"",--(AH792&lt;&gt;AI792))</x:f>
      </x:c>
      <x:c r="AL792" t="str">
        <x:f>IF(OR(AH792="",AI792=""),"PENDING_HUMAN",IF(AH792=AI792,AH792,IF(AK792&lt;&gt;"",AK792,"PENDING_HUMAN")))</x:f>
        <x:v>PENDING_HUMAN</x:v>
      </x:c>
      <x:c r="AM792" t="n">
        <x:f>--AND(A792&lt;&gt;"",AH792&lt;&gt;"",AI792&lt;&gt;"",OR(AH792=AI792,AK792&lt;&gt;""))</x:f>
        <x:v>0</x:v>
      </x:c>
      <x:c r="AN792" t="n">
        <x:f>--AND(Y792&lt;&gt;"",COUNTIF($Y$4:Y792,Y792)=1)</x:f>
        <x:v>0</x:v>
      </x:c>
      <x:c r="AO792" t="n">
        <x:f>--AND(AN792=1,Z792=1,AM792=1)</x:f>
        <x:v>0</x:v>
      </x:c>
      <x:c r="AP792" t="n">
        <x:f>--AND(AO792=1,AA792=1,AL792=1)</x:f>
        <x:v>0</x:v>
      </x:c>
      <x:c r="AQ792" t="n">
        <x:f>--AND(AN792=1,Z792=1)</x:f>
        <x:v>0</x:v>
      </x:c>
      <x:c r="AR792" t="n">
        <x:f>--AND(AQ792=1,AA792=1)</x:f>
        <x:v>0</x:v>
      </x:c>
    </x:row>
    <x:row r="793">
      <x:c r="A793" s="28"/>
      <x:c r="B793" s="28"/>
      <x:c r="C793" s="28"/>
      <x:c r="D793" s="28"/>
      <x:c r="E793" s="28"/>
      <x:c r="F793" s="28"/>
      <x:c r="G793" s="28"/>
      <x:c r="H793" s="28"/>
      <x:c r="I793" s="28"/>
      <x:c r="J793" s="28"/>
      <x:c r="K793" s="28"/>
      <x:c r="L793" s="28"/>
      <x:c r="M793" s="28"/>
      <x:c r="N793" s="28"/>
      <x:c r="O793" s="28"/>
      <x:c r="P793" s="28"/>
      <x:c r="Q793" s="28"/>
      <x:c r="R793" s="28"/>
      <x:c r="S793" s="28"/>
      <x:c r="T793" s="28"/>
      <x:c r="U793" s="28"/>
      <x:c r="V793" s="28"/>
      <x:c r="W793" s="28"/>
      <x:c r="X793" s="43" t="n">
        <x:f>--AND(S793=1,T793=1,U793=1,V793=1,W793=1)</x:f>
        <x:v>0</x:v>
      </x:c>
      <x:c r="AE793" s="43" t="n">
        <x:f>--AND(S793=1,M793&lt;&gt;"",M793&lt;&gt;"keep")</x:f>
        <x:v>0</x:v>
      </x:c>
      <x:c r="AG793" t="n">
        <x:f>--AND(S793=1,T793=1,U793=1,V793=1,W793=1,AE793=1)</x:f>
        <x:v>0</x:v>
      </x:c>
      <x:c r="AJ793" t="str">
        <x:f>IF(OR(AH793="",AI793=""),"",--(AH793&lt;&gt;AI793))</x:f>
      </x:c>
      <x:c r="AL793" t="str">
        <x:f>IF(OR(AH793="",AI793=""),"PENDING_HUMAN",IF(AH793=AI793,AH793,IF(AK793&lt;&gt;"",AK793,"PENDING_HUMAN")))</x:f>
        <x:v>PENDING_HUMAN</x:v>
      </x:c>
      <x:c r="AM793" t="n">
        <x:f>--AND(A793&lt;&gt;"",AH793&lt;&gt;"",AI793&lt;&gt;"",OR(AH793=AI793,AK793&lt;&gt;""))</x:f>
        <x:v>0</x:v>
      </x:c>
      <x:c r="AN793" t="n">
        <x:f>--AND(Y793&lt;&gt;"",COUNTIF($Y$4:Y793,Y793)=1)</x:f>
        <x:v>0</x:v>
      </x:c>
      <x:c r="AO793" t="n">
        <x:f>--AND(AN793=1,Z793=1,AM793=1)</x:f>
        <x:v>0</x:v>
      </x:c>
      <x:c r="AP793" t="n">
        <x:f>--AND(AO793=1,AA793=1,AL793=1)</x:f>
        <x:v>0</x:v>
      </x:c>
      <x:c r="AQ793" t="n">
        <x:f>--AND(AN793=1,Z793=1)</x:f>
        <x:v>0</x:v>
      </x:c>
      <x:c r="AR793" t="n">
        <x:f>--AND(AQ793=1,AA793=1)</x:f>
        <x:v>0</x:v>
      </x:c>
    </x:row>
    <x:row r="794">
      <x:c r="A794" s="28"/>
      <x:c r="B794" s="28"/>
      <x:c r="C794" s="28"/>
      <x:c r="D794" s="28"/>
      <x:c r="E794" s="28"/>
      <x:c r="F794" s="28"/>
      <x:c r="G794" s="28"/>
      <x:c r="H794" s="28"/>
      <x:c r="I794" s="28"/>
      <x:c r="J794" s="28"/>
      <x:c r="K794" s="28"/>
      <x:c r="L794" s="28"/>
      <x:c r="M794" s="28"/>
      <x:c r="N794" s="28"/>
      <x:c r="O794" s="28"/>
      <x:c r="P794" s="28"/>
      <x:c r="Q794" s="28"/>
      <x:c r="R794" s="28"/>
      <x:c r="S794" s="28"/>
      <x:c r="T794" s="28"/>
      <x:c r="U794" s="28"/>
      <x:c r="V794" s="28"/>
      <x:c r="W794" s="28"/>
      <x:c r="X794" s="43" t="n">
        <x:f>--AND(S794=1,T794=1,U794=1,V794=1,W794=1)</x:f>
        <x:v>0</x:v>
      </x:c>
      <x:c r="AE794" s="43" t="n">
        <x:f>--AND(S794=1,M794&lt;&gt;"",M794&lt;&gt;"keep")</x:f>
        <x:v>0</x:v>
      </x:c>
      <x:c r="AG794" t="n">
        <x:f>--AND(S794=1,T794=1,U794=1,V794=1,W794=1,AE794=1)</x:f>
        <x:v>0</x:v>
      </x:c>
      <x:c r="AJ794" t="str">
        <x:f>IF(OR(AH794="",AI794=""),"",--(AH794&lt;&gt;AI794))</x:f>
      </x:c>
      <x:c r="AL794" t="str">
        <x:f>IF(OR(AH794="",AI794=""),"PENDING_HUMAN",IF(AH794=AI794,AH794,IF(AK794&lt;&gt;"",AK794,"PENDING_HUMAN")))</x:f>
        <x:v>PENDING_HUMAN</x:v>
      </x:c>
      <x:c r="AM794" t="n">
        <x:f>--AND(A794&lt;&gt;"",AH794&lt;&gt;"",AI794&lt;&gt;"",OR(AH794=AI794,AK794&lt;&gt;""))</x:f>
        <x:v>0</x:v>
      </x:c>
      <x:c r="AN794" t="n">
        <x:f>--AND(Y794&lt;&gt;"",COUNTIF($Y$4:Y794,Y794)=1)</x:f>
        <x:v>0</x:v>
      </x:c>
      <x:c r="AO794" t="n">
        <x:f>--AND(AN794=1,Z794=1,AM794=1)</x:f>
        <x:v>0</x:v>
      </x:c>
      <x:c r="AP794" t="n">
        <x:f>--AND(AO794=1,AA794=1,AL794=1)</x:f>
        <x:v>0</x:v>
      </x:c>
      <x:c r="AQ794" t="n">
        <x:f>--AND(AN794=1,Z794=1)</x:f>
        <x:v>0</x:v>
      </x:c>
      <x:c r="AR794" t="n">
        <x:f>--AND(AQ794=1,AA794=1)</x:f>
        <x:v>0</x:v>
      </x:c>
    </x:row>
    <x:row r="795">
      <x:c r="A795" s="28"/>
      <x:c r="B795" s="28"/>
      <x:c r="C795" s="28"/>
      <x:c r="D795" s="28"/>
      <x:c r="E795" s="28"/>
      <x:c r="F795" s="28"/>
      <x:c r="G795" s="28"/>
      <x:c r="H795" s="28"/>
      <x:c r="I795" s="28"/>
      <x:c r="J795" s="28"/>
      <x:c r="K795" s="28"/>
      <x:c r="L795" s="28"/>
      <x:c r="M795" s="28"/>
      <x:c r="N795" s="28"/>
      <x:c r="O795" s="28"/>
      <x:c r="P795" s="28"/>
      <x:c r="Q795" s="28"/>
      <x:c r="R795" s="28"/>
      <x:c r="S795" s="28"/>
      <x:c r="T795" s="28"/>
      <x:c r="U795" s="28"/>
      <x:c r="V795" s="28"/>
      <x:c r="W795" s="28"/>
      <x:c r="X795" s="43" t="n">
        <x:f>--AND(S795=1,T795=1,U795=1,V795=1,W795=1)</x:f>
        <x:v>0</x:v>
      </x:c>
      <x:c r="AE795" s="43" t="n">
        <x:f>--AND(S795=1,M795&lt;&gt;"",M795&lt;&gt;"keep")</x:f>
        <x:v>0</x:v>
      </x:c>
      <x:c r="AG795" t="n">
        <x:f>--AND(S795=1,T795=1,U795=1,V795=1,W795=1,AE795=1)</x:f>
        <x:v>0</x:v>
      </x:c>
      <x:c r="AJ795" t="str">
        <x:f>IF(OR(AH795="",AI795=""),"",--(AH795&lt;&gt;AI795))</x:f>
      </x:c>
      <x:c r="AL795" t="str">
        <x:f>IF(OR(AH795="",AI795=""),"PENDING_HUMAN",IF(AH795=AI795,AH795,IF(AK795&lt;&gt;"",AK795,"PENDING_HUMAN")))</x:f>
        <x:v>PENDING_HUMAN</x:v>
      </x:c>
      <x:c r="AM795" t="n">
        <x:f>--AND(A795&lt;&gt;"",AH795&lt;&gt;"",AI795&lt;&gt;"",OR(AH795=AI795,AK795&lt;&gt;""))</x:f>
        <x:v>0</x:v>
      </x:c>
      <x:c r="AN795" t="n">
        <x:f>--AND(Y795&lt;&gt;"",COUNTIF($Y$4:Y795,Y795)=1)</x:f>
        <x:v>0</x:v>
      </x:c>
      <x:c r="AO795" t="n">
        <x:f>--AND(AN795=1,Z795=1,AM795=1)</x:f>
        <x:v>0</x:v>
      </x:c>
      <x:c r="AP795" t="n">
        <x:f>--AND(AO795=1,AA795=1,AL795=1)</x:f>
        <x:v>0</x:v>
      </x:c>
      <x:c r="AQ795" t="n">
        <x:f>--AND(AN795=1,Z795=1)</x:f>
        <x:v>0</x:v>
      </x:c>
      <x:c r="AR795" t="n">
        <x:f>--AND(AQ795=1,AA795=1)</x:f>
        <x:v>0</x:v>
      </x:c>
    </x:row>
    <x:row r="796">
      <x:c r="A796" s="28"/>
      <x:c r="B796" s="28"/>
      <x:c r="C796" s="28"/>
      <x:c r="D796" s="28"/>
      <x:c r="E796" s="28"/>
      <x:c r="F796" s="28"/>
      <x:c r="G796" s="28"/>
      <x:c r="H796" s="28"/>
      <x:c r="I796" s="28"/>
      <x:c r="J796" s="28"/>
      <x:c r="K796" s="28"/>
      <x:c r="L796" s="28"/>
      <x:c r="M796" s="28"/>
      <x:c r="N796" s="28"/>
      <x:c r="O796" s="28"/>
      <x:c r="P796" s="28"/>
      <x:c r="Q796" s="28"/>
      <x:c r="R796" s="28"/>
      <x:c r="S796" s="28"/>
      <x:c r="T796" s="28"/>
      <x:c r="U796" s="28"/>
      <x:c r="V796" s="28"/>
      <x:c r="W796" s="28"/>
      <x:c r="X796" s="43" t="n">
        <x:f>--AND(S796=1,T796=1,U796=1,V796=1,W796=1)</x:f>
        <x:v>0</x:v>
      </x:c>
      <x:c r="AE796" s="43" t="n">
        <x:f>--AND(S796=1,M796&lt;&gt;"",M796&lt;&gt;"keep")</x:f>
        <x:v>0</x:v>
      </x:c>
      <x:c r="AG796" t="n">
        <x:f>--AND(S796=1,T796=1,U796=1,V796=1,W796=1,AE796=1)</x:f>
        <x:v>0</x:v>
      </x:c>
      <x:c r="AJ796" t="str">
        <x:f>IF(OR(AH796="",AI796=""),"",--(AH796&lt;&gt;AI796))</x:f>
      </x:c>
      <x:c r="AL796" t="str">
        <x:f>IF(OR(AH796="",AI796=""),"PENDING_HUMAN",IF(AH796=AI796,AH796,IF(AK796&lt;&gt;"",AK796,"PENDING_HUMAN")))</x:f>
        <x:v>PENDING_HUMAN</x:v>
      </x:c>
      <x:c r="AM796" t="n">
        <x:f>--AND(A796&lt;&gt;"",AH796&lt;&gt;"",AI796&lt;&gt;"",OR(AH796=AI796,AK796&lt;&gt;""))</x:f>
        <x:v>0</x:v>
      </x:c>
      <x:c r="AN796" t="n">
        <x:f>--AND(Y796&lt;&gt;"",COUNTIF($Y$4:Y796,Y796)=1)</x:f>
        <x:v>0</x:v>
      </x:c>
      <x:c r="AO796" t="n">
        <x:f>--AND(AN796=1,Z796=1,AM796=1)</x:f>
        <x:v>0</x:v>
      </x:c>
      <x:c r="AP796" t="n">
        <x:f>--AND(AO796=1,AA796=1,AL796=1)</x:f>
        <x:v>0</x:v>
      </x:c>
      <x:c r="AQ796" t="n">
        <x:f>--AND(AN796=1,Z796=1)</x:f>
        <x:v>0</x:v>
      </x:c>
      <x:c r="AR796" t="n">
        <x:f>--AND(AQ796=1,AA796=1)</x:f>
        <x:v>0</x:v>
      </x:c>
    </x:row>
    <x:row r="797">
      <x:c r="A797" s="28"/>
      <x:c r="B797" s="28"/>
      <x:c r="C797" s="28"/>
      <x:c r="D797" s="28"/>
      <x:c r="E797" s="28"/>
      <x:c r="F797" s="28"/>
      <x:c r="G797" s="28"/>
      <x:c r="H797" s="28"/>
      <x:c r="I797" s="28"/>
      <x:c r="J797" s="28"/>
      <x:c r="K797" s="28"/>
      <x:c r="L797" s="28"/>
      <x:c r="M797" s="28"/>
      <x:c r="N797" s="28"/>
      <x:c r="O797" s="28"/>
      <x:c r="P797" s="28"/>
      <x:c r="Q797" s="28"/>
      <x:c r="R797" s="28"/>
      <x:c r="S797" s="28"/>
      <x:c r="T797" s="28"/>
      <x:c r="U797" s="28"/>
      <x:c r="V797" s="28"/>
      <x:c r="W797" s="28"/>
      <x:c r="X797" s="43" t="n">
        <x:f>--AND(S797=1,T797=1,U797=1,V797=1,W797=1)</x:f>
        <x:v>0</x:v>
      </x:c>
      <x:c r="AE797" s="43" t="n">
        <x:f>--AND(S797=1,M797&lt;&gt;"",M797&lt;&gt;"keep")</x:f>
        <x:v>0</x:v>
      </x:c>
      <x:c r="AG797" t="n">
        <x:f>--AND(S797=1,T797=1,U797=1,V797=1,W797=1,AE797=1)</x:f>
        <x:v>0</x:v>
      </x:c>
      <x:c r="AJ797" t="str">
        <x:f>IF(OR(AH797="",AI797=""),"",--(AH797&lt;&gt;AI797))</x:f>
      </x:c>
      <x:c r="AL797" t="str">
        <x:f>IF(OR(AH797="",AI797=""),"PENDING_HUMAN",IF(AH797=AI797,AH797,IF(AK797&lt;&gt;"",AK797,"PENDING_HUMAN")))</x:f>
        <x:v>PENDING_HUMAN</x:v>
      </x:c>
      <x:c r="AM797" t="n">
        <x:f>--AND(A797&lt;&gt;"",AH797&lt;&gt;"",AI797&lt;&gt;"",OR(AH797=AI797,AK797&lt;&gt;""))</x:f>
        <x:v>0</x:v>
      </x:c>
      <x:c r="AN797" t="n">
        <x:f>--AND(Y797&lt;&gt;"",COUNTIF($Y$4:Y797,Y797)=1)</x:f>
        <x:v>0</x:v>
      </x:c>
      <x:c r="AO797" t="n">
        <x:f>--AND(AN797=1,Z797=1,AM797=1)</x:f>
        <x:v>0</x:v>
      </x:c>
      <x:c r="AP797" t="n">
        <x:f>--AND(AO797=1,AA797=1,AL797=1)</x:f>
        <x:v>0</x:v>
      </x:c>
      <x:c r="AQ797" t="n">
        <x:f>--AND(AN797=1,Z797=1)</x:f>
        <x:v>0</x:v>
      </x:c>
      <x:c r="AR797" t="n">
        <x:f>--AND(AQ797=1,AA797=1)</x:f>
        <x:v>0</x:v>
      </x:c>
    </x:row>
    <x:row r="798">
      <x:c r="A798" s="28"/>
      <x:c r="B798" s="28"/>
      <x:c r="C798" s="28"/>
      <x:c r="D798" s="28"/>
      <x:c r="E798" s="28"/>
      <x:c r="F798" s="28"/>
      <x:c r="G798" s="28"/>
      <x:c r="H798" s="28"/>
      <x:c r="I798" s="28"/>
      <x:c r="J798" s="28"/>
      <x:c r="K798" s="28"/>
      <x:c r="L798" s="28"/>
      <x:c r="M798" s="28"/>
      <x:c r="N798" s="28"/>
      <x:c r="O798" s="28"/>
      <x:c r="P798" s="28"/>
      <x:c r="Q798" s="28"/>
      <x:c r="R798" s="28"/>
      <x:c r="S798" s="28"/>
      <x:c r="T798" s="28"/>
      <x:c r="U798" s="28"/>
      <x:c r="V798" s="28"/>
      <x:c r="W798" s="28"/>
      <x:c r="X798" s="43" t="n">
        <x:f>--AND(S798=1,T798=1,U798=1,V798=1,W798=1)</x:f>
        <x:v>0</x:v>
      </x:c>
      <x:c r="AE798" s="43" t="n">
        <x:f>--AND(S798=1,M798&lt;&gt;"",M798&lt;&gt;"keep")</x:f>
        <x:v>0</x:v>
      </x:c>
      <x:c r="AG798" t="n">
        <x:f>--AND(S798=1,T798=1,U798=1,V798=1,W798=1,AE798=1)</x:f>
        <x:v>0</x:v>
      </x:c>
      <x:c r="AJ798" t="str">
        <x:f>IF(OR(AH798="",AI798=""),"",--(AH798&lt;&gt;AI798))</x:f>
      </x:c>
      <x:c r="AL798" t="str">
        <x:f>IF(OR(AH798="",AI798=""),"PENDING_HUMAN",IF(AH798=AI798,AH798,IF(AK798&lt;&gt;"",AK798,"PENDING_HUMAN")))</x:f>
        <x:v>PENDING_HUMAN</x:v>
      </x:c>
      <x:c r="AM798" t="n">
        <x:f>--AND(A798&lt;&gt;"",AH798&lt;&gt;"",AI798&lt;&gt;"",OR(AH798=AI798,AK798&lt;&gt;""))</x:f>
        <x:v>0</x:v>
      </x:c>
      <x:c r="AN798" t="n">
        <x:f>--AND(Y798&lt;&gt;"",COUNTIF($Y$4:Y798,Y798)=1)</x:f>
        <x:v>0</x:v>
      </x:c>
      <x:c r="AO798" t="n">
        <x:f>--AND(AN798=1,Z798=1,AM798=1)</x:f>
        <x:v>0</x:v>
      </x:c>
      <x:c r="AP798" t="n">
        <x:f>--AND(AO798=1,AA798=1,AL798=1)</x:f>
        <x:v>0</x:v>
      </x:c>
      <x:c r="AQ798" t="n">
        <x:f>--AND(AN798=1,Z798=1)</x:f>
        <x:v>0</x:v>
      </x:c>
      <x:c r="AR798" t="n">
        <x:f>--AND(AQ798=1,AA798=1)</x:f>
        <x:v>0</x:v>
      </x:c>
    </x:row>
    <x:row r="799">
      <x:c r="A799" s="28"/>
      <x:c r="B799" s="28"/>
      <x:c r="C799" s="28"/>
      <x:c r="D799" s="28"/>
      <x:c r="E799" s="28"/>
      <x:c r="F799" s="28"/>
      <x:c r="G799" s="28"/>
      <x:c r="H799" s="28"/>
      <x:c r="I799" s="28"/>
      <x:c r="J799" s="28"/>
      <x:c r="K799" s="28"/>
      <x:c r="L799" s="28"/>
      <x:c r="M799" s="28"/>
      <x:c r="N799" s="28"/>
      <x:c r="O799" s="28"/>
      <x:c r="P799" s="28"/>
      <x:c r="Q799" s="28"/>
      <x:c r="R799" s="28"/>
      <x:c r="S799" s="28"/>
      <x:c r="T799" s="28"/>
      <x:c r="U799" s="28"/>
      <x:c r="V799" s="28"/>
      <x:c r="W799" s="28"/>
      <x:c r="X799" s="43" t="n">
        <x:f>--AND(S799=1,T799=1,U799=1,V799=1,W799=1)</x:f>
        <x:v>0</x:v>
      </x:c>
      <x:c r="AE799" s="43" t="n">
        <x:f>--AND(S799=1,M799&lt;&gt;"",M799&lt;&gt;"keep")</x:f>
        <x:v>0</x:v>
      </x:c>
      <x:c r="AG799" t="n">
        <x:f>--AND(S799=1,T799=1,U799=1,V799=1,W799=1,AE799=1)</x:f>
        <x:v>0</x:v>
      </x:c>
      <x:c r="AJ799" t="str">
        <x:f>IF(OR(AH799="",AI799=""),"",--(AH799&lt;&gt;AI799))</x:f>
      </x:c>
      <x:c r="AL799" t="str">
        <x:f>IF(OR(AH799="",AI799=""),"PENDING_HUMAN",IF(AH799=AI799,AH799,IF(AK799&lt;&gt;"",AK799,"PENDING_HUMAN")))</x:f>
        <x:v>PENDING_HUMAN</x:v>
      </x:c>
      <x:c r="AM799" t="n">
        <x:f>--AND(A799&lt;&gt;"",AH799&lt;&gt;"",AI799&lt;&gt;"",OR(AH799=AI799,AK799&lt;&gt;""))</x:f>
        <x:v>0</x:v>
      </x:c>
      <x:c r="AN799" t="n">
        <x:f>--AND(Y799&lt;&gt;"",COUNTIF($Y$4:Y799,Y799)=1)</x:f>
        <x:v>0</x:v>
      </x:c>
      <x:c r="AO799" t="n">
        <x:f>--AND(AN799=1,Z799=1,AM799=1)</x:f>
        <x:v>0</x:v>
      </x:c>
      <x:c r="AP799" t="n">
        <x:f>--AND(AO799=1,AA799=1,AL799=1)</x:f>
        <x:v>0</x:v>
      </x:c>
      <x:c r="AQ799" t="n">
        <x:f>--AND(AN799=1,Z799=1)</x:f>
        <x:v>0</x:v>
      </x:c>
      <x:c r="AR799" t="n">
        <x:f>--AND(AQ799=1,AA799=1)</x:f>
        <x:v>0</x:v>
      </x:c>
    </x:row>
    <x:row r="800">
      <x:c r="A800" s="28"/>
      <x:c r="B800" s="28"/>
      <x:c r="C800" s="28"/>
      <x:c r="D800" s="28"/>
      <x:c r="E800" s="28"/>
      <x:c r="F800" s="28"/>
      <x:c r="G800" s="28"/>
      <x:c r="H800" s="28"/>
      <x:c r="I800" s="28"/>
      <x:c r="J800" s="28"/>
      <x:c r="K800" s="28"/>
      <x:c r="L800" s="28"/>
      <x:c r="M800" s="28"/>
      <x:c r="N800" s="28"/>
      <x:c r="O800" s="28"/>
      <x:c r="P800" s="28"/>
      <x:c r="Q800" s="28"/>
      <x:c r="R800" s="28"/>
      <x:c r="S800" s="28"/>
      <x:c r="T800" s="28"/>
      <x:c r="U800" s="28"/>
      <x:c r="V800" s="28"/>
      <x:c r="W800" s="28"/>
      <x:c r="X800" s="43" t="n">
        <x:f>--AND(S800=1,T800=1,U800=1,V800=1,W800=1)</x:f>
        <x:v>0</x:v>
      </x:c>
      <x:c r="AE800" s="43" t="n">
        <x:f>--AND(S800=1,M800&lt;&gt;"",M800&lt;&gt;"keep")</x:f>
        <x:v>0</x:v>
      </x:c>
      <x:c r="AG800" t="n">
        <x:f>--AND(S800=1,T800=1,U800=1,V800=1,W800=1,AE800=1)</x:f>
        <x:v>0</x:v>
      </x:c>
      <x:c r="AJ800" t="str">
        <x:f>IF(OR(AH800="",AI800=""),"",--(AH800&lt;&gt;AI800))</x:f>
      </x:c>
      <x:c r="AL800" t="str">
        <x:f>IF(OR(AH800="",AI800=""),"PENDING_HUMAN",IF(AH800=AI800,AH800,IF(AK800&lt;&gt;"",AK800,"PENDING_HUMAN")))</x:f>
        <x:v>PENDING_HUMAN</x:v>
      </x:c>
      <x:c r="AM800" t="n">
        <x:f>--AND(A800&lt;&gt;"",AH800&lt;&gt;"",AI800&lt;&gt;"",OR(AH800=AI800,AK800&lt;&gt;""))</x:f>
        <x:v>0</x:v>
      </x:c>
      <x:c r="AN800" t="n">
        <x:f>--AND(Y800&lt;&gt;"",COUNTIF($Y$4:Y800,Y800)=1)</x:f>
        <x:v>0</x:v>
      </x:c>
      <x:c r="AO800" t="n">
        <x:f>--AND(AN800=1,Z800=1,AM800=1)</x:f>
        <x:v>0</x:v>
      </x:c>
      <x:c r="AP800" t="n">
        <x:f>--AND(AO800=1,AA800=1,AL800=1)</x:f>
        <x:v>0</x:v>
      </x:c>
      <x:c r="AQ800" t="n">
        <x:f>--AND(AN800=1,Z800=1)</x:f>
        <x:v>0</x:v>
      </x:c>
      <x:c r="AR800" t="n">
        <x:f>--AND(AQ800=1,AA800=1)</x:f>
        <x:v>0</x:v>
      </x:c>
    </x:row>
    <x:row r="801">
      <x:c r="A801" s="28"/>
      <x:c r="B801" s="28"/>
      <x:c r="C801" s="28"/>
      <x:c r="D801" s="28"/>
      <x:c r="E801" s="28"/>
      <x:c r="F801" s="28"/>
      <x:c r="G801" s="28"/>
      <x:c r="H801" s="28"/>
      <x:c r="I801" s="28"/>
      <x:c r="J801" s="28"/>
      <x:c r="K801" s="28"/>
      <x:c r="L801" s="28"/>
      <x:c r="M801" s="28"/>
      <x:c r="N801" s="28"/>
      <x:c r="O801" s="28"/>
      <x:c r="P801" s="28"/>
      <x:c r="Q801" s="28"/>
      <x:c r="R801" s="28"/>
      <x:c r="S801" s="28"/>
      <x:c r="T801" s="28"/>
      <x:c r="U801" s="28"/>
      <x:c r="V801" s="28"/>
      <x:c r="W801" s="28"/>
      <x:c r="X801" s="43" t="n">
        <x:f>--AND(S801=1,T801=1,U801=1,V801=1,W801=1)</x:f>
        <x:v>0</x:v>
      </x:c>
      <x:c r="AE801" s="43" t="n">
        <x:f>--AND(S801=1,M801&lt;&gt;"",M801&lt;&gt;"keep")</x:f>
        <x:v>0</x:v>
      </x:c>
      <x:c r="AG801" t="n">
        <x:f>--AND(S801=1,T801=1,U801=1,V801=1,W801=1,AE801=1)</x:f>
        <x:v>0</x:v>
      </x:c>
      <x:c r="AJ801" t="str">
        <x:f>IF(OR(AH801="",AI801=""),"",--(AH801&lt;&gt;AI801))</x:f>
      </x:c>
      <x:c r="AL801" t="str">
        <x:f>IF(OR(AH801="",AI801=""),"PENDING_HUMAN",IF(AH801=AI801,AH801,IF(AK801&lt;&gt;"",AK801,"PENDING_HUMAN")))</x:f>
        <x:v>PENDING_HUMAN</x:v>
      </x:c>
      <x:c r="AM801" t="n">
        <x:f>--AND(A801&lt;&gt;"",AH801&lt;&gt;"",AI801&lt;&gt;"",OR(AH801=AI801,AK801&lt;&gt;""))</x:f>
        <x:v>0</x:v>
      </x:c>
      <x:c r="AN801" t="n">
        <x:f>--AND(Y801&lt;&gt;"",COUNTIF($Y$4:Y801,Y801)=1)</x:f>
        <x:v>0</x:v>
      </x:c>
      <x:c r="AO801" t="n">
        <x:f>--AND(AN801=1,Z801=1,AM801=1)</x:f>
        <x:v>0</x:v>
      </x:c>
      <x:c r="AP801" t="n">
        <x:f>--AND(AO801=1,AA801=1,AL801=1)</x:f>
        <x:v>0</x:v>
      </x:c>
      <x:c r="AQ801" t="n">
        <x:f>--AND(AN801=1,Z801=1)</x:f>
        <x:v>0</x:v>
      </x:c>
      <x:c r="AR801" t="n">
        <x:f>--AND(AQ801=1,AA801=1)</x:f>
        <x:v>0</x:v>
      </x:c>
    </x:row>
    <x:row r="802">
      <x:c r="A802" s="28"/>
      <x:c r="B802" s="28"/>
      <x:c r="C802" s="28"/>
      <x:c r="D802" s="28"/>
      <x:c r="E802" s="28"/>
      <x:c r="F802" s="28"/>
      <x:c r="G802" s="28"/>
      <x:c r="H802" s="28"/>
      <x:c r="I802" s="28"/>
      <x:c r="J802" s="28"/>
      <x:c r="K802" s="28"/>
      <x:c r="L802" s="28"/>
      <x:c r="M802" s="28"/>
      <x:c r="N802" s="28"/>
      <x:c r="O802" s="28"/>
      <x:c r="P802" s="28"/>
      <x:c r="Q802" s="28"/>
      <x:c r="R802" s="28"/>
      <x:c r="S802" s="28"/>
      <x:c r="T802" s="28"/>
      <x:c r="U802" s="28"/>
      <x:c r="V802" s="28"/>
      <x:c r="W802" s="28"/>
      <x:c r="X802" s="43" t="n">
        <x:f>--AND(S802=1,T802=1,U802=1,V802=1,W802=1)</x:f>
        <x:v>0</x:v>
      </x:c>
      <x:c r="AE802" s="43" t="n">
        <x:f>--AND(S802=1,M802&lt;&gt;"",M802&lt;&gt;"keep")</x:f>
        <x:v>0</x:v>
      </x:c>
      <x:c r="AG802" t="n">
        <x:f>--AND(S802=1,T802=1,U802=1,V802=1,W802=1,AE802=1)</x:f>
        <x:v>0</x:v>
      </x:c>
      <x:c r="AJ802" t="str">
        <x:f>IF(OR(AH802="",AI802=""),"",--(AH802&lt;&gt;AI802))</x:f>
      </x:c>
      <x:c r="AL802" t="str">
        <x:f>IF(OR(AH802="",AI802=""),"PENDING_HUMAN",IF(AH802=AI802,AH802,IF(AK802&lt;&gt;"",AK802,"PENDING_HUMAN")))</x:f>
        <x:v>PENDING_HUMAN</x:v>
      </x:c>
      <x:c r="AM802" t="n">
        <x:f>--AND(A802&lt;&gt;"",AH802&lt;&gt;"",AI802&lt;&gt;"",OR(AH802=AI802,AK802&lt;&gt;""))</x:f>
        <x:v>0</x:v>
      </x:c>
      <x:c r="AN802" t="n">
        <x:f>--AND(Y802&lt;&gt;"",COUNTIF($Y$4:Y802,Y802)=1)</x:f>
        <x:v>0</x:v>
      </x:c>
      <x:c r="AO802" t="n">
        <x:f>--AND(AN802=1,Z802=1,AM802=1)</x:f>
        <x:v>0</x:v>
      </x:c>
      <x:c r="AP802" t="n">
        <x:f>--AND(AO802=1,AA802=1,AL802=1)</x:f>
        <x:v>0</x:v>
      </x:c>
      <x:c r="AQ802" t="n">
        <x:f>--AND(AN802=1,Z802=1)</x:f>
        <x:v>0</x:v>
      </x:c>
      <x:c r="AR802" t="n">
        <x:f>--AND(AQ802=1,AA802=1)</x:f>
        <x:v>0</x:v>
      </x:c>
    </x:row>
    <x:row r="803">
      <x:c r="A803" s="28"/>
      <x:c r="B803" s="28"/>
      <x:c r="C803" s="28"/>
      <x:c r="D803" s="28"/>
      <x:c r="E803" s="28"/>
      <x:c r="F803" s="28"/>
      <x:c r="G803" s="28"/>
      <x:c r="H803" s="28"/>
      <x:c r="I803" s="28"/>
      <x:c r="J803" s="28"/>
      <x:c r="K803" s="28"/>
      <x:c r="L803" s="28"/>
      <x:c r="M803" s="28"/>
      <x:c r="N803" s="28"/>
      <x:c r="O803" s="28"/>
      <x:c r="P803" s="28"/>
      <x:c r="Q803" s="28"/>
      <x:c r="R803" s="28"/>
      <x:c r="S803" s="28"/>
      <x:c r="T803" s="28"/>
      <x:c r="U803" s="28"/>
      <x:c r="V803" s="28"/>
      <x:c r="W803" s="28"/>
      <x:c r="X803" s="43" t="n">
        <x:f>--AND(S803=1,T803=1,U803=1,V803=1,W803=1)</x:f>
        <x:v>0</x:v>
      </x:c>
      <x:c r="AE803" s="43" t="n">
        <x:f>--AND(S803=1,M803&lt;&gt;"",M803&lt;&gt;"keep")</x:f>
        <x:v>0</x:v>
      </x:c>
      <x:c r="AG803" t="n">
        <x:f>--AND(S803=1,T803=1,U803=1,V803=1,W803=1,AE803=1)</x:f>
        <x:v>0</x:v>
      </x:c>
      <x:c r="AJ803" t="str">
        <x:f>IF(OR(AH803="",AI803=""),"",--(AH803&lt;&gt;AI803))</x:f>
      </x:c>
      <x:c r="AL803" t="str">
        <x:f>IF(OR(AH803="",AI803=""),"PENDING_HUMAN",IF(AH803=AI803,AH803,IF(AK803&lt;&gt;"",AK803,"PENDING_HUMAN")))</x:f>
        <x:v>PENDING_HUMAN</x:v>
      </x:c>
      <x:c r="AM803" t="n">
        <x:f>--AND(A803&lt;&gt;"",AH803&lt;&gt;"",AI803&lt;&gt;"",OR(AH803=AI803,AK803&lt;&gt;""))</x:f>
        <x:v>0</x:v>
      </x:c>
      <x:c r="AN803" t="n">
        <x:f>--AND(Y803&lt;&gt;"",COUNTIF($Y$4:Y803,Y803)=1)</x:f>
        <x:v>0</x:v>
      </x:c>
      <x:c r="AO803" t="n">
        <x:f>--AND(AN803=1,Z803=1,AM803=1)</x:f>
        <x:v>0</x:v>
      </x:c>
      <x:c r="AP803" t="n">
        <x:f>--AND(AO803=1,AA803=1,AL803=1)</x:f>
        <x:v>0</x:v>
      </x:c>
      <x:c r="AQ803" t="n">
        <x:f>--AND(AN803=1,Z803=1)</x:f>
        <x:v>0</x:v>
      </x:c>
      <x:c r="AR803" t="n">
        <x:f>--AND(AQ803=1,AA803=1)</x:f>
        <x:v>0</x:v>
      </x:c>
    </x:row>
    <x:row r="804">
      <x:c r="A804" s="28"/>
      <x:c r="B804" s="28"/>
      <x:c r="C804" s="28"/>
      <x:c r="D804" s="28"/>
      <x:c r="E804" s="28"/>
      <x:c r="F804" s="28"/>
      <x:c r="G804" s="28"/>
      <x:c r="H804" s="28"/>
      <x:c r="I804" s="28"/>
      <x:c r="J804" s="28"/>
      <x:c r="K804" s="28"/>
      <x:c r="L804" s="28"/>
      <x:c r="M804" s="28"/>
      <x:c r="N804" s="28"/>
      <x:c r="O804" s="28"/>
      <x:c r="P804" s="28"/>
      <x:c r="Q804" s="28"/>
      <x:c r="R804" s="28"/>
      <x:c r="S804" s="28"/>
      <x:c r="T804" s="28"/>
      <x:c r="U804" s="28"/>
      <x:c r="V804" s="28"/>
      <x:c r="W804" s="28"/>
      <x:c r="X804" s="43" t="n">
        <x:f>--AND(S804=1,T804=1,U804=1,V804=1,W804=1)</x:f>
        <x:v>0</x:v>
      </x:c>
      <x:c r="AE804" s="43" t="n">
        <x:f>--AND(S804=1,M804&lt;&gt;"",M804&lt;&gt;"keep")</x:f>
        <x:v>0</x:v>
      </x:c>
      <x:c r="AG804" t="n">
        <x:f>--AND(S804=1,T804=1,U804=1,V804=1,W804=1,AE804=1)</x:f>
        <x:v>0</x:v>
      </x:c>
      <x:c r="AJ804" t="str">
        <x:f>IF(OR(AH804="",AI804=""),"",--(AH804&lt;&gt;AI804))</x:f>
      </x:c>
      <x:c r="AL804" t="str">
        <x:f>IF(OR(AH804="",AI804=""),"PENDING_HUMAN",IF(AH804=AI804,AH804,IF(AK804&lt;&gt;"",AK804,"PENDING_HUMAN")))</x:f>
        <x:v>PENDING_HUMAN</x:v>
      </x:c>
      <x:c r="AM804" t="n">
        <x:f>--AND(A804&lt;&gt;"",AH804&lt;&gt;"",AI804&lt;&gt;"",OR(AH804=AI804,AK804&lt;&gt;""))</x:f>
        <x:v>0</x:v>
      </x:c>
      <x:c r="AN804" t="n">
        <x:f>--AND(Y804&lt;&gt;"",COUNTIF($Y$4:Y804,Y804)=1)</x:f>
        <x:v>0</x:v>
      </x:c>
      <x:c r="AO804" t="n">
        <x:f>--AND(AN804=1,Z804=1,AM804=1)</x:f>
        <x:v>0</x:v>
      </x:c>
      <x:c r="AP804" t="n">
        <x:f>--AND(AO804=1,AA804=1,AL804=1)</x:f>
        <x:v>0</x:v>
      </x:c>
      <x:c r="AQ804" t="n">
        <x:f>--AND(AN804=1,Z804=1)</x:f>
        <x:v>0</x:v>
      </x:c>
      <x:c r="AR804" t="n">
        <x:f>--AND(AQ804=1,AA804=1)</x:f>
        <x:v>0</x:v>
      </x:c>
    </x:row>
    <x:row r="805">
      <x:c r="A805" s="28"/>
      <x:c r="B805" s="28"/>
      <x:c r="C805" s="28"/>
      <x:c r="D805" s="28"/>
      <x:c r="E805" s="28"/>
      <x:c r="F805" s="28"/>
      <x:c r="G805" s="28"/>
      <x:c r="H805" s="28"/>
      <x:c r="I805" s="28"/>
      <x:c r="J805" s="28"/>
      <x:c r="K805" s="28"/>
      <x:c r="L805" s="28"/>
      <x:c r="M805" s="28"/>
      <x:c r="N805" s="28"/>
      <x:c r="O805" s="28"/>
      <x:c r="P805" s="28"/>
      <x:c r="Q805" s="28"/>
      <x:c r="R805" s="28"/>
      <x:c r="S805" s="28"/>
      <x:c r="T805" s="28"/>
      <x:c r="U805" s="28"/>
      <x:c r="V805" s="28"/>
      <x:c r="W805" s="28"/>
      <x:c r="X805" s="43" t="n">
        <x:f>--AND(S805=1,T805=1,U805=1,V805=1,W805=1)</x:f>
        <x:v>0</x:v>
      </x:c>
      <x:c r="AE805" s="43" t="n">
        <x:f>--AND(S805=1,M805&lt;&gt;"",M805&lt;&gt;"keep")</x:f>
        <x:v>0</x:v>
      </x:c>
      <x:c r="AG805" t="n">
        <x:f>--AND(S805=1,T805=1,U805=1,V805=1,W805=1,AE805=1)</x:f>
        <x:v>0</x:v>
      </x:c>
      <x:c r="AJ805" t="str">
        <x:f>IF(OR(AH805="",AI805=""),"",--(AH805&lt;&gt;AI805))</x:f>
      </x:c>
      <x:c r="AL805" t="str">
        <x:f>IF(OR(AH805="",AI805=""),"PENDING_HUMAN",IF(AH805=AI805,AH805,IF(AK805&lt;&gt;"",AK805,"PENDING_HUMAN")))</x:f>
        <x:v>PENDING_HUMAN</x:v>
      </x:c>
      <x:c r="AM805" t="n">
        <x:f>--AND(A805&lt;&gt;"",AH805&lt;&gt;"",AI805&lt;&gt;"",OR(AH805=AI805,AK805&lt;&gt;""))</x:f>
        <x:v>0</x:v>
      </x:c>
      <x:c r="AN805" t="n">
        <x:f>--AND(Y805&lt;&gt;"",COUNTIF($Y$4:Y805,Y805)=1)</x:f>
        <x:v>0</x:v>
      </x:c>
      <x:c r="AO805" t="n">
        <x:f>--AND(AN805=1,Z805=1,AM805=1)</x:f>
        <x:v>0</x:v>
      </x:c>
      <x:c r="AP805" t="n">
        <x:f>--AND(AO805=1,AA805=1,AL805=1)</x:f>
        <x:v>0</x:v>
      </x:c>
      <x:c r="AQ805" t="n">
        <x:f>--AND(AN805=1,Z805=1)</x:f>
        <x:v>0</x:v>
      </x:c>
      <x:c r="AR805" t="n">
        <x:f>--AND(AQ805=1,AA805=1)</x:f>
        <x:v>0</x:v>
      </x:c>
    </x:row>
    <x:row r="806">
      <x:c r="A806" s="28"/>
      <x:c r="B806" s="28"/>
      <x:c r="C806" s="28"/>
      <x:c r="D806" s="28"/>
      <x:c r="E806" s="28"/>
      <x:c r="F806" s="28"/>
      <x:c r="G806" s="28"/>
      <x:c r="H806" s="28"/>
      <x:c r="I806" s="28"/>
      <x:c r="J806" s="28"/>
      <x:c r="K806" s="28"/>
      <x:c r="L806" s="28"/>
      <x:c r="M806" s="28"/>
      <x:c r="N806" s="28"/>
      <x:c r="O806" s="28"/>
      <x:c r="P806" s="28"/>
      <x:c r="Q806" s="28"/>
      <x:c r="R806" s="28"/>
      <x:c r="S806" s="28"/>
      <x:c r="T806" s="28"/>
      <x:c r="U806" s="28"/>
      <x:c r="V806" s="28"/>
      <x:c r="W806" s="28"/>
      <x:c r="X806" s="43" t="n">
        <x:f>--AND(S806=1,T806=1,U806=1,V806=1,W806=1)</x:f>
        <x:v>0</x:v>
      </x:c>
      <x:c r="AE806" s="43" t="n">
        <x:f>--AND(S806=1,M806&lt;&gt;"",M806&lt;&gt;"keep")</x:f>
        <x:v>0</x:v>
      </x:c>
      <x:c r="AG806" t="n">
        <x:f>--AND(S806=1,T806=1,U806=1,V806=1,W806=1,AE806=1)</x:f>
        <x:v>0</x:v>
      </x:c>
      <x:c r="AJ806" t="str">
        <x:f>IF(OR(AH806="",AI806=""),"",--(AH806&lt;&gt;AI806))</x:f>
      </x:c>
      <x:c r="AL806" t="str">
        <x:f>IF(OR(AH806="",AI806=""),"PENDING_HUMAN",IF(AH806=AI806,AH806,IF(AK806&lt;&gt;"",AK806,"PENDING_HUMAN")))</x:f>
        <x:v>PENDING_HUMAN</x:v>
      </x:c>
      <x:c r="AM806" t="n">
        <x:f>--AND(A806&lt;&gt;"",AH806&lt;&gt;"",AI806&lt;&gt;"",OR(AH806=AI806,AK806&lt;&gt;""))</x:f>
        <x:v>0</x:v>
      </x:c>
      <x:c r="AN806" t="n">
        <x:f>--AND(Y806&lt;&gt;"",COUNTIF($Y$4:Y806,Y806)=1)</x:f>
        <x:v>0</x:v>
      </x:c>
      <x:c r="AO806" t="n">
        <x:f>--AND(AN806=1,Z806=1,AM806=1)</x:f>
        <x:v>0</x:v>
      </x:c>
      <x:c r="AP806" t="n">
        <x:f>--AND(AO806=1,AA806=1,AL806=1)</x:f>
        <x:v>0</x:v>
      </x:c>
      <x:c r="AQ806" t="n">
        <x:f>--AND(AN806=1,Z806=1)</x:f>
        <x:v>0</x:v>
      </x:c>
      <x:c r="AR806" t="n">
        <x:f>--AND(AQ806=1,AA806=1)</x:f>
        <x:v>0</x:v>
      </x:c>
    </x:row>
    <x:row r="807">
      <x:c r="A807" s="28"/>
      <x:c r="B807" s="28"/>
      <x:c r="C807" s="28"/>
      <x:c r="D807" s="28"/>
      <x:c r="E807" s="28"/>
      <x:c r="F807" s="28"/>
      <x:c r="G807" s="28"/>
      <x:c r="H807" s="28"/>
      <x:c r="I807" s="28"/>
      <x:c r="J807" s="28"/>
      <x:c r="K807" s="28"/>
      <x:c r="L807" s="28"/>
      <x:c r="M807" s="28"/>
      <x:c r="N807" s="28"/>
      <x:c r="O807" s="28"/>
      <x:c r="P807" s="28"/>
      <x:c r="Q807" s="28"/>
      <x:c r="R807" s="28"/>
      <x:c r="S807" s="28"/>
      <x:c r="T807" s="28"/>
      <x:c r="U807" s="28"/>
      <x:c r="V807" s="28"/>
      <x:c r="W807" s="28"/>
      <x:c r="X807" s="43" t="n">
        <x:f>--AND(S807=1,T807=1,U807=1,V807=1,W807=1)</x:f>
        <x:v>0</x:v>
      </x:c>
      <x:c r="AE807" s="43" t="n">
        <x:f>--AND(S807=1,M807&lt;&gt;"",M807&lt;&gt;"keep")</x:f>
        <x:v>0</x:v>
      </x:c>
      <x:c r="AG807" t="n">
        <x:f>--AND(S807=1,T807=1,U807=1,V807=1,W807=1,AE807=1)</x:f>
        <x:v>0</x:v>
      </x:c>
      <x:c r="AJ807" t="str">
        <x:f>IF(OR(AH807="",AI807=""),"",--(AH807&lt;&gt;AI807))</x:f>
      </x:c>
      <x:c r="AL807" t="str">
        <x:f>IF(OR(AH807="",AI807=""),"PENDING_HUMAN",IF(AH807=AI807,AH807,IF(AK807&lt;&gt;"",AK807,"PENDING_HUMAN")))</x:f>
        <x:v>PENDING_HUMAN</x:v>
      </x:c>
      <x:c r="AM807" t="n">
        <x:f>--AND(A807&lt;&gt;"",AH807&lt;&gt;"",AI807&lt;&gt;"",OR(AH807=AI807,AK807&lt;&gt;""))</x:f>
        <x:v>0</x:v>
      </x:c>
      <x:c r="AN807" t="n">
        <x:f>--AND(Y807&lt;&gt;"",COUNTIF($Y$4:Y807,Y807)=1)</x:f>
        <x:v>0</x:v>
      </x:c>
      <x:c r="AO807" t="n">
        <x:f>--AND(AN807=1,Z807=1,AM807=1)</x:f>
        <x:v>0</x:v>
      </x:c>
      <x:c r="AP807" t="n">
        <x:f>--AND(AO807=1,AA807=1,AL807=1)</x:f>
        <x:v>0</x:v>
      </x:c>
      <x:c r="AQ807" t="n">
        <x:f>--AND(AN807=1,Z807=1)</x:f>
        <x:v>0</x:v>
      </x:c>
      <x:c r="AR807" t="n">
        <x:f>--AND(AQ807=1,AA807=1)</x:f>
        <x:v>0</x:v>
      </x:c>
    </x:row>
    <x:row r="808">
      <x:c r="A808" s="28"/>
      <x:c r="B808" s="28"/>
      <x:c r="C808" s="28"/>
      <x:c r="D808" s="28"/>
      <x:c r="E808" s="28"/>
      <x:c r="F808" s="28"/>
      <x:c r="G808" s="28"/>
      <x:c r="H808" s="28"/>
      <x:c r="I808" s="28"/>
      <x:c r="J808" s="28"/>
      <x:c r="K808" s="28"/>
      <x:c r="L808" s="28"/>
      <x:c r="M808" s="28"/>
      <x:c r="N808" s="28"/>
      <x:c r="O808" s="28"/>
      <x:c r="P808" s="28"/>
      <x:c r="Q808" s="28"/>
      <x:c r="R808" s="28"/>
      <x:c r="S808" s="28"/>
      <x:c r="T808" s="28"/>
      <x:c r="U808" s="28"/>
      <x:c r="V808" s="28"/>
      <x:c r="W808" s="28"/>
      <x:c r="X808" s="43" t="n">
        <x:f>--AND(S808=1,T808=1,U808=1,V808=1,W808=1)</x:f>
        <x:v>0</x:v>
      </x:c>
      <x:c r="AE808" s="43" t="n">
        <x:f>--AND(S808=1,M808&lt;&gt;"",M808&lt;&gt;"keep")</x:f>
        <x:v>0</x:v>
      </x:c>
      <x:c r="AG808" t="n">
        <x:f>--AND(S808=1,T808=1,U808=1,V808=1,W808=1,AE808=1)</x:f>
        <x:v>0</x:v>
      </x:c>
      <x:c r="AJ808" t="str">
        <x:f>IF(OR(AH808="",AI808=""),"",--(AH808&lt;&gt;AI808))</x:f>
      </x:c>
      <x:c r="AL808" t="str">
        <x:f>IF(OR(AH808="",AI808=""),"PENDING_HUMAN",IF(AH808=AI808,AH808,IF(AK808&lt;&gt;"",AK808,"PENDING_HUMAN")))</x:f>
        <x:v>PENDING_HUMAN</x:v>
      </x:c>
      <x:c r="AM808" t="n">
        <x:f>--AND(A808&lt;&gt;"",AH808&lt;&gt;"",AI808&lt;&gt;"",OR(AH808=AI808,AK808&lt;&gt;""))</x:f>
        <x:v>0</x:v>
      </x:c>
      <x:c r="AN808" t="n">
        <x:f>--AND(Y808&lt;&gt;"",COUNTIF($Y$4:Y808,Y808)=1)</x:f>
        <x:v>0</x:v>
      </x:c>
      <x:c r="AO808" t="n">
        <x:f>--AND(AN808=1,Z808=1,AM808=1)</x:f>
        <x:v>0</x:v>
      </x:c>
      <x:c r="AP808" t="n">
        <x:f>--AND(AO808=1,AA808=1,AL808=1)</x:f>
        <x:v>0</x:v>
      </x:c>
      <x:c r="AQ808" t="n">
        <x:f>--AND(AN808=1,Z808=1)</x:f>
        <x:v>0</x:v>
      </x:c>
      <x:c r="AR808" t="n">
        <x:f>--AND(AQ808=1,AA808=1)</x:f>
        <x:v>0</x:v>
      </x:c>
    </x:row>
    <x:row r="809">
      <x:c r="A809" s="28"/>
      <x:c r="B809" s="28"/>
      <x:c r="C809" s="28"/>
      <x:c r="D809" s="28"/>
      <x:c r="E809" s="28"/>
      <x:c r="F809" s="28"/>
      <x:c r="G809" s="28"/>
      <x:c r="H809" s="28"/>
      <x:c r="I809" s="28"/>
      <x:c r="J809" s="28"/>
      <x:c r="K809" s="28"/>
      <x:c r="L809" s="28"/>
      <x:c r="M809" s="28"/>
      <x:c r="N809" s="28"/>
      <x:c r="O809" s="28"/>
      <x:c r="P809" s="28"/>
      <x:c r="Q809" s="28"/>
      <x:c r="R809" s="28"/>
      <x:c r="S809" s="28"/>
      <x:c r="T809" s="28"/>
      <x:c r="U809" s="28"/>
      <x:c r="V809" s="28"/>
      <x:c r="W809" s="28"/>
      <x:c r="X809" s="43" t="n">
        <x:f>--AND(S809=1,T809=1,U809=1,V809=1,W809=1)</x:f>
        <x:v>0</x:v>
      </x:c>
      <x:c r="AE809" s="43" t="n">
        <x:f>--AND(S809=1,M809&lt;&gt;"",M809&lt;&gt;"keep")</x:f>
        <x:v>0</x:v>
      </x:c>
      <x:c r="AG809" t="n">
        <x:f>--AND(S809=1,T809=1,U809=1,V809=1,W809=1,AE809=1)</x:f>
        <x:v>0</x:v>
      </x:c>
      <x:c r="AJ809" t="str">
        <x:f>IF(OR(AH809="",AI809=""),"",--(AH809&lt;&gt;AI809))</x:f>
      </x:c>
      <x:c r="AL809" t="str">
        <x:f>IF(OR(AH809="",AI809=""),"PENDING_HUMAN",IF(AH809=AI809,AH809,IF(AK809&lt;&gt;"",AK809,"PENDING_HUMAN")))</x:f>
        <x:v>PENDING_HUMAN</x:v>
      </x:c>
      <x:c r="AM809" t="n">
        <x:f>--AND(A809&lt;&gt;"",AH809&lt;&gt;"",AI809&lt;&gt;"",OR(AH809=AI809,AK809&lt;&gt;""))</x:f>
        <x:v>0</x:v>
      </x:c>
      <x:c r="AN809" t="n">
        <x:f>--AND(Y809&lt;&gt;"",COUNTIF($Y$4:Y809,Y809)=1)</x:f>
        <x:v>0</x:v>
      </x:c>
      <x:c r="AO809" t="n">
        <x:f>--AND(AN809=1,Z809=1,AM809=1)</x:f>
        <x:v>0</x:v>
      </x:c>
      <x:c r="AP809" t="n">
        <x:f>--AND(AO809=1,AA809=1,AL809=1)</x:f>
        <x:v>0</x:v>
      </x:c>
      <x:c r="AQ809" t="n">
        <x:f>--AND(AN809=1,Z809=1)</x:f>
        <x:v>0</x:v>
      </x:c>
      <x:c r="AR809" t="n">
        <x:f>--AND(AQ809=1,AA809=1)</x:f>
        <x:v>0</x:v>
      </x:c>
    </x:row>
    <x:row r="810">
      <x:c r="A810" s="28"/>
      <x:c r="B810" s="28"/>
      <x:c r="C810" s="28"/>
      <x:c r="D810" s="28"/>
      <x:c r="E810" s="28"/>
      <x:c r="F810" s="28"/>
      <x:c r="G810" s="28"/>
      <x:c r="H810" s="28"/>
      <x:c r="I810" s="28"/>
      <x:c r="J810" s="28"/>
      <x:c r="K810" s="28"/>
      <x:c r="L810" s="28"/>
      <x:c r="M810" s="28"/>
      <x:c r="N810" s="28"/>
      <x:c r="O810" s="28"/>
      <x:c r="P810" s="28"/>
      <x:c r="Q810" s="28"/>
      <x:c r="R810" s="28"/>
      <x:c r="S810" s="28"/>
      <x:c r="T810" s="28"/>
      <x:c r="U810" s="28"/>
      <x:c r="V810" s="28"/>
      <x:c r="W810" s="28"/>
      <x:c r="X810" s="43" t="n">
        <x:f>--AND(S810=1,T810=1,U810=1,V810=1,W810=1)</x:f>
        <x:v>0</x:v>
      </x:c>
      <x:c r="AE810" s="43" t="n">
        <x:f>--AND(S810=1,M810&lt;&gt;"",M810&lt;&gt;"keep")</x:f>
        <x:v>0</x:v>
      </x:c>
      <x:c r="AG810" t="n">
        <x:f>--AND(S810=1,T810=1,U810=1,V810=1,W810=1,AE810=1)</x:f>
        <x:v>0</x:v>
      </x:c>
      <x:c r="AJ810" t="str">
        <x:f>IF(OR(AH810="",AI810=""),"",--(AH810&lt;&gt;AI810))</x:f>
      </x:c>
      <x:c r="AL810" t="str">
        <x:f>IF(OR(AH810="",AI810=""),"PENDING_HUMAN",IF(AH810=AI810,AH810,IF(AK810&lt;&gt;"",AK810,"PENDING_HUMAN")))</x:f>
        <x:v>PENDING_HUMAN</x:v>
      </x:c>
      <x:c r="AM810" t="n">
        <x:f>--AND(A810&lt;&gt;"",AH810&lt;&gt;"",AI810&lt;&gt;"",OR(AH810=AI810,AK810&lt;&gt;""))</x:f>
        <x:v>0</x:v>
      </x:c>
      <x:c r="AN810" t="n">
        <x:f>--AND(Y810&lt;&gt;"",COUNTIF($Y$4:Y810,Y810)=1)</x:f>
        <x:v>0</x:v>
      </x:c>
      <x:c r="AO810" t="n">
        <x:f>--AND(AN810=1,Z810=1,AM810=1)</x:f>
        <x:v>0</x:v>
      </x:c>
      <x:c r="AP810" t="n">
        <x:f>--AND(AO810=1,AA810=1,AL810=1)</x:f>
        <x:v>0</x:v>
      </x:c>
      <x:c r="AQ810" t="n">
        <x:f>--AND(AN810=1,Z810=1)</x:f>
        <x:v>0</x:v>
      </x:c>
      <x:c r="AR810" t="n">
        <x:f>--AND(AQ810=1,AA810=1)</x:f>
        <x:v>0</x:v>
      </x:c>
    </x:row>
    <x:row r="811">
      <x:c r="A811" s="28"/>
      <x:c r="B811" s="28"/>
      <x:c r="C811" s="28"/>
      <x:c r="D811" s="28"/>
      <x:c r="E811" s="28"/>
      <x:c r="F811" s="28"/>
      <x:c r="G811" s="28"/>
      <x:c r="H811" s="28"/>
      <x:c r="I811" s="28"/>
      <x:c r="J811" s="28"/>
      <x:c r="K811" s="28"/>
      <x:c r="L811" s="28"/>
      <x:c r="M811" s="28"/>
      <x:c r="N811" s="28"/>
      <x:c r="O811" s="28"/>
      <x:c r="P811" s="28"/>
      <x:c r="Q811" s="28"/>
      <x:c r="R811" s="28"/>
      <x:c r="S811" s="28"/>
      <x:c r="T811" s="28"/>
      <x:c r="U811" s="28"/>
      <x:c r="V811" s="28"/>
      <x:c r="W811" s="28"/>
      <x:c r="X811" s="43" t="n">
        <x:f>--AND(S811=1,T811=1,U811=1,V811=1,W811=1)</x:f>
        <x:v>0</x:v>
      </x:c>
      <x:c r="AE811" s="43" t="n">
        <x:f>--AND(S811=1,M811&lt;&gt;"",M811&lt;&gt;"keep")</x:f>
        <x:v>0</x:v>
      </x:c>
      <x:c r="AG811" t="n">
        <x:f>--AND(S811=1,T811=1,U811=1,V811=1,W811=1,AE811=1)</x:f>
        <x:v>0</x:v>
      </x:c>
      <x:c r="AJ811" t="str">
        <x:f>IF(OR(AH811="",AI811=""),"",--(AH811&lt;&gt;AI811))</x:f>
      </x:c>
      <x:c r="AL811" t="str">
        <x:f>IF(OR(AH811="",AI811=""),"PENDING_HUMAN",IF(AH811=AI811,AH811,IF(AK811&lt;&gt;"",AK811,"PENDING_HUMAN")))</x:f>
        <x:v>PENDING_HUMAN</x:v>
      </x:c>
      <x:c r="AM811" t="n">
        <x:f>--AND(A811&lt;&gt;"",AH811&lt;&gt;"",AI811&lt;&gt;"",OR(AH811=AI811,AK811&lt;&gt;""))</x:f>
        <x:v>0</x:v>
      </x:c>
      <x:c r="AN811" t="n">
        <x:f>--AND(Y811&lt;&gt;"",COUNTIF($Y$4:Y811,Y811)=1)</x:f>
        <x:v>0</x:v>
      </x:c>
      <x:c r="AO811" t="n">
        <x:f>--AND(AN811=1,Z811=1,AM811=1)</x:f>
        <x:v>0</x:v>
      </x:c>
      <x:c r="AP811" t="n">
        <x:f>--AND(AO811=1,AA811=1,AL811=1)</x:f>
        <x:v>0</x:v>
      </x:c>
      <x:c r="AQ811" t="n">
        <x:f>--AND(AN811=1,Z811=1)</x:f>
        <x:v>0</x:v>
      </x:c>
      <x:c r="AR811" t="n">
        <x:f>--AND(AQ811=1,AA811=1)</x:f>
        <x:v>0</x:v>
      </x:c>
    </x:row>
    <x:row r="812">
      <x:c r="A812" s="28"/>
      <x:c r="B812" s="28"/>
      <x:c r="C812" s="28"/>
      <x:c r="D812" s="28"/>
      <x:c r="E812" s="28"/>
      <x:c r="F812" s="28"/>
      <x:c r="G812" s="28"/>
      <x:c r="H812" s="28"/>
      <x:c r="I812" s="28"/>
      <x:c r="J812" s="28"/>
      <x:c r="K812" s="28"/>
      <x:c r="L812" s="28"/>
      <x:c r="M812" s="28"/>
      <x:c r="N812" s="28"/>
      <x:c r="O812" s="28"/>
      <x:c r="P812" s="28"/>
      <x:c r="Q812" s="28"/>
      <x:c r="R812" s="28"/>
      <x:c r="S812" s="28"/>
      <x:c r="T812" s="28"/>
      <x:c r="U812" s="28"/>
      <x:c r="V812" s="28"/>
      <x:c r="W812" s="28"/>
      <x:c r="X812" s="43" t="n">
        <x:f>--AND(S812=1,T812=1,U812=1,V812=1,W812=1)</x:f>
        <x:v>0</x:v>
      </x:c>
      <x:c r="AE812" s="43" t="n">
        <x:f>--AND(S812=1,M812&lt;&gt;"",M812&lt;&gt;"keep")</x:f>
        <x:v>0</x:v>
      </x:c>
      <x:c r="AG812" t="n">
        <x:f>--AND(S812=1,T812=1,U812=1,V812=1,W812=1,AE812=1)</x:f>
        <x:v>0</x:v>
      </x:c>
      <x:c r="AJ812" t="str">
        <x:f>IF(OR(AH812="",AI812=""),"",--(AH812&lt;&gt;AI812))</x:f>
      </x:c>
      <x:c r="AL812" t="str">
        <x:f>IF(OR(AH812="",AI812=""),"PENDING_HUMAN",IF(AH812=AI812,AH812,IF(AK812&lt;&gt;"",AK812,"PENDING_HUMAN")))</x:f>
        <x:v>PENDING_HUMAN</x:v>
      </x:c>
      <x:c r="AM812" t="n">
        <x:f>--AND(A812&lt;&gt;"",AH812&lt;&gt;"",AI812&lt;&gt;"",OR(AH812=AI812,AK812&lt;&gt;""))</x:f>
        <x:v>0</x:v>
      </x:c>
      <x:c r="AN812" t="n">
        <x:f>--AND(Y812&lt;&gt;"",COUNTIF($Y$4:Y812,Y812)=1)</x:f>
        <x:v>0</x:v>
      </x:c>
      <x:c r="AO812" t="n">
        <x:f>--AND(AN812=1,Z812=1,AM812=1)</x:f>
        <x:v>0</x:v>
      </x:c>
      <x:c r="AP812" t="n">
        <x:f>--AND(AO812=1,AA812=1,AL812=1)</x:f>
        <x:v>0</x:v>
      </x:c>
      <x:c r="AQ812" t="n">
        <x:f>--AND(AN812=1,Z812=1)</x:f>
        <x:v>0</x:v>
      </x:c>
      <x:c r="AR812" t="n">
        <x:f>--AND(AQ812=1,AA812=1)</x:f>
        <x:v>0</x:v>
      </x:c>
    </x:row>
    <x:row r="813">
      <x:c r="A813" s="28"/>
      <x:c r="B813" s="28"/>
      <x:c r="C813" s="28"/>
      <x:c r="D813" s="28"/>
      <x:c r="E813" s="28"/>
      <x:c r="F813" s="28"/>
      <x:c r="G813" s="28"/>
      <x:c r="H813" s="28"/>
      <x:c r="I813" s="28"/>
      <x:c r="J813" s="28"/>
      <x:c r="K813" s="28"/>
      <x:c r="L813" s="28"/>
      <x:c r="M813" s="28"/>
      <x:c r="N813" s="28"/>
      <x:c r="O813" s="28"/>
      <x:c r="P813" s="28"/>
      <x:c r="Q813" s="28"/>
      <x:c r="R813" s="28"/>
      <x:c r="S813" s="28"/>
      <x:c r="T813" s="28"/>
      <x:c r="U813" s="28"/>
      <x:c r="V813" s="28"/>
      <x:c r="W813" s="28"/>
      <x:c r="X813" s="43" t="n">
        <x:f>--AND(S813=1,T813=1,U813=1,V813=1,W813=1)</x:f>
        <x:v>0</x:v>
      </x:c>
      <x:c r="AE813" s="43" t="n">
        <x:f>--AND(S813=1,M813&lt;&gt;"",M813&lt;&gt;"keep")</x:f>
        <x:v>0</x:v>
      </x:c>
      <x:c r="AG813" t="n">
        <x:f>--AND(S813=1,T813=1,U813=1,V813=1,W813=1,AE813=1)</x:f>
        <x:v>0</x:v>
      </x:c>
      <x:c r="AJ813" t="str">
        <x:f>IF(OR(AH813="",AI813=""),"",--(AH813&lt;&gt;AI813))</x:f>
      </x:c>
      <x:c r="AL813" t="str">
        <x:f>IF(OR(AH813="",AI813=""),"PENDING_HUMAN",IF(AH813=AI813,AH813,IF(AK813&lt;&gt;"",AK813,"PENDING_HUMAN")))</x:f>
        <x:v>PENDING_HUMAN</x:v>
      </x:c>
      <x:c r="AM813" t="n">
        <x:f>--AND(A813&lt;&gt;"",AH813&lt;&gt;"",AI813&lt;&gt;"",OR(AH813=AI813,AK813&lt;&gt;""))</x:f>
        <x:v>0</x:v>
      </x:c>
      <x:c r="AN813" t="n">
        <x:f>--AND(Y813&lt;&gt;"",COUNTIF($Y$4:Y813,Y813)=1)</x:f>
        <x:v>0</x:v>
      </x:c>
      <x:c r="AO813" t="n">
        <x:f>--AND(AN813=1,Z813=1,AM813=1)</x:f>
        <x:v>0</x:v>
      </x:c>
      <x:c r="AP813" t="n">
        <x:f>--AND(AO813=1,AA813=1,AL813=1)</x:f>
        <x:v>0</x:v>
      </x:c>
      <x:c r="AQ813" t="n">
        <x:f>--AND(AN813=1,Z813=1)</x:f>
        <x:v>0</x:v>
      </x:c>
      <x:c r="AR813" t="n">
        <x:f>--AND(AQ813=1,AA813=1)</x:f>
        <x:v>0</x:v>
      </x:c>
    </x:row>
    <x:row r="814">
      <x:c r="A814" s="28"/>
      <x:c r="B814" s="28"/>
      <x:c r="C814" s="28"/>
      <x:c r="D814" s="28"/>
      <x:c r="E814" s="28"/>
      <x:c r="F814" s="28"/>
      <x:c r="G814" s="28"/>
      <x:c r="H814" s="28"/>
      <x:c r="I814" s="28"/>
      <x:c r="J814" s="28"/>
      <x:c r="K814" s="28"/>
      <x:c r="L814" s="28"/>
      <x:c r="M814" s="28"/>
      <x:c r="N814" s="28"/>
      <x:c r="O814" s="28"/>
      <x:c r="P814" s="28"/>
      <x:c r="Q814" s="28"/>
      <x:c r="R814" s="28"/>
      <x:c r="S814" s="28"/>
      <x:c r="T814" s="28"/>
      <x:c r="U814" s="28"/>
      <x:c r="V814" s="28"/>
      <x:c r="W814" s="28"/>
      <x:c r="X814" s="43" t="n">
        <x:f>--AND(S814=1,T814=1,U814=1,V814=1,W814=1)</x:f>
        <x:v>0</x:v>
      </x:c>
      <x:c r="AE814" s="43" t="n">
        <x:f>--AND(S814=1,M814&lt;&gt;"",M814&lt;&gt;"keep")</x:f>
        <x:v>0</x:v>
      </x:c>
      <x:c r="AG814" t="n">
        <x:f>--AND(S814=1,T814=1,U814=1,V814=1,W814=1,AE814=1)</x:f>
        <x:v>0</x:v>
      </x:c>
      <x:c r="AJ814" t="str">
        <x:f>IF(OR(AH814="",AI814=""),"",--(AH814&lt;&gt;AI814))</x:f>
      </x:c>
      <x:c r="AL814" t="str">
        <x:f>IF(OR(AH814="",AI814=""),"PENDING_HUMAN",IF(AH814=AI814,AH814,IF(AK814&lt;&gt;"",AK814,"PENDING_HUMAN")))</x:f>
        <x:v>PENDING_HUMAN</x:v>
      </x:c>
      <x:c r="AM814" t="n">
        <x:f>--AND(A814&lt;&gt;"",AH814&lt;&gt;"",AI814&lt;&gt;"",OR(AH814=AI814,AK814&lt;&gt;""))</x:f>
        <x:v>0</x:v>
      </x:c>
      <x:c r="AN814" t="n">
        <x:f>--AND(Y814&lt;&gt;"",COUNTIF($Y$4:Y814,Y814)=1)</x:f>
        <x:v>0</x:v>
      </x:c>
      <x:c r="AO814" t="n">
        <x:f>--AND(AN814=1,Z814=1,AM814=1)</x:f>
        <x:v>0</x:v>
      </x:c>
      <x:c r="AP814" t="n">
        <x:f>--AND(AO814=1,AA814=1,AL814=1)</x:f>
        <x:v>0</x:v>
      </x:c>
      <x:c r="AQ814" t="n">
        <x:f>--AND(AN814=1,Z814=1)</x:f>
        <x:v>0</x:v>
      </x:c>
      <x:c r="AR814" t="n">
        <x:f>--AND(AQ814=1,AA814=1)</x:f>
        <x:v>0</x:v>
      </x:c>
    </x:row>
    <x:row r="815">
      <x:c r="A815" s="28"/>
      <x:c r="B815" s="28"/>
      <x:c r="C815" s="28"/>
      <x:c r="D815" s="28"/>
      <x:c r="E815" s="28"/>
      <x:c r="F815" s="28"/>
      <x:c r="G815" s="28"/>
      <x:c r="H815" s="28"/>
      <x:c r="I815" s="28"/>
      <x:c r="J815" s="28"/>
      <x:c r="K815" s="28"/>
      <x:c r="L815" s="28"/>
      <x:c r="M815" s="28"/>
      <x:c r="N815" s="28"/>
      <x:c r="O815" s="28"/>
      <x:c r="P815" s="28"/>
      <x:c r="Q815" s="28"/>
      <x:c r="R815" s="28"/>
      <x:c r="S815" s="28"/>
      <x:c r="T815" s="28"/>
      <x:c r="U815" s="28"/>
      <x:c r="V815" s="28"/>
      <x:c r="W815" s="28"/>
      <x:c r="X815" s="43" t="n">
        <x:f>--AND(S815=1,T815=1,U815=1,V815=1,W815=1)</x:f>
        <x:v>0</x:v>
      </x:c>
      <x:c r="AE815" s="43" t="n">
        <x:f>--AND(S815=1,M815&lt;&gt;"",M815&lt;&gt;"keep")</x:f>
        <x:v>0</x:v>
      </x:c>
      <x:c r="AG815" t="n">
        <x:f>--AND(S815=1,T815=1,U815=1,V815=1,W815=1,AE815=1)</x:f>
        <x:v>0</x:v>
      </x:c>
      <x:c r="AJ815" t="str">
        <x:f>IF(OR(AH815="",AI815=""),"",--(AH815&lt;&gt;AI815))</x:f>
      </x:c>
      <x:c r="AL815" t="str">
        <x:f>IF(OR(AH815="",AI815=""),"PENDING_HUMAN",IF(AH815=AI815,AH815,IF(AK815&lt;&gt;"",AK815,"PENDING_HUMAN")))</x:f>
        <x:v>PENDING_HUMAN</x:v>
      </x:c>
      <x:c r="AM815" t="n">
        <x:f>--AND(A815&lt;&gt;"",AH815&lt;&gt;"",AI815&lt;&gt;"",OR(AH815=AI815,AK815&lt;&gt;""))</x:f>
        <x:v>0</x:v>
      </x:c>
      <x:c r="AN815" t="n">
        <x:f>--AND(Y815&lt;&gt;"",COUNTIF($Y$4:Y815,Y815)=1)</x:f>
        <x:v>0</x:v>
      </x:c>
      <x:c r="AO815" t="n">
        <x:f>--AND(AN815=1,Z815=1,AM815=1)</x:f>
        <x:v>0</x:v>
      </x:c>
      <x:c r="AP815" t="n">
        <x:f>--AND(AO815=1,AA815=1,AL815=1)</x:f>
        <x:v>0</x:v>
      </x:c>
      <x:c r="AQ815" t="n">
        <x:f>--AND(AN815=1,Z815=1)</x:f>
        <x:v>0</x:v>
      </x:c>
      <x:c r="AR815" t="n">
        <x:f>--AND(AQ815=1,AA815=1)</x:f>
        <x:v>0</x:v>
      </x:c>
    </x:row>
    <x:row r="816">
      <x:c r="A816" s="28"/>
      <x:c r="B816" s="28"/>
      <x:c r="C816" s="28"/>
      <x:c r="D816" s="28"/>
      <x:c r="E816" s="28"/>
      <x:c r="F816" s="28"/>
      <x:c r="G816" s="28"/>
      <x:c r="H816" s="28"/>
      <x:c r="I816" s="28"/>
      <x:c r="J816" s="28"/>
      <x:c r="K816" s="28"/>
      <x:c r="L816" s="28"/>
      <x:c r="M816" s="28"/>
      <x:c r="N816" s="28"/>
      <x:c r="O816" s="28"/>
      <x:c r="P816" s="28"/>
      <x:c r="Q816" s="28"/>
      <x:c r="R816" s="28"/>
      <x:c r="S816" s="28"/>
      <x:c r="T816" s="28"/>
      <x:c r="U816" s="28"/>
      <x:c r="V816" s="28"/>
      <x:c r="W816" s="28"/>
      <x:c r="X816" s="43" t="n">
        <x:f>--AND(S816=1,T816=1,U816=1,V816=1,W816=1)</x:f>
        <x:v>0</x:v>
      </x:c>
      <x:c r="AE816" s="43" t="n">
        <x:f>--AND(S816=1,M816&lt;&gt;"",M816&lt;&gt;"keep")</x:f>
        <x:v>0</x:v>
      </x:c>
      <x:c r="AG816" t="n">
        <x:f>--AND(S816=1,T816=1,U816=1,V816=1,W816=1,AE816=1)</x:f>
        <x:v>0</x:v>
      </x:c>
      <x:c r="AJ816" t="str">
        <x:f>IF(OR(AH816="",AI816=""),"",--(AH816&lt;&gt;AI816))</x:f>
      </x:c>
      <x:c r="AL816" t="str">
        <x:f>IF(OR(AH816="",AI816=""),"PENDING_HUMAN",IF(AH816=AI816,AH816,IF(AK816&lt;&gt;"",AK816,"PENDING_HUMAN")))</x:f>
        <x:v>PENDING_HUMAN</x:v>
      </x:c>
      <x:c r="AM816" t="n">
        <x:f>--AND(A816&lt;&gt;"",AH816&lt;&gt;"",AI816&lt;&gt;"",OR(AH816=AI816,AK816&lt;&gt;""))</x:f>
        <x:v>0</x:v>
      </x:c>
      <x:c r="AN816" t="n">
        <x:f>--AND(Y816&lt;&gt;"",COUNTIF($Y$4:Y816,Y816)=1)</x:f>
        <x:v>0</x:v>
      </x:c>
      <x:c r="AO816" t="n">
        <x:f>--AND(AN816=1,Z816=1,AM816=1)</x:f>
        <x:v>0</x:v>
      </x:c>
      <x:c r="AP816" t="n">
        <x:f>--AND(AO816=1,AA816=1,AL816=1)</x:f>
        <x:v>0</x:v>
      </x:c>
      <x:c r="AQ816" t="n">
        <x:f>--AND(AN816=1,Z816=1)</x:f>
        <x:v>0</x:v>
      </x:c>
      <x:c r="AR816" t="n">
        <x:f>--AND(AQ816=1,AA816=1)</x:f>
        <x:v>0</x:v>
      </x:c>
    </x:row>
    <x:row r="817">
      <x:c r="A817" s="28"/>
      <x:c r="B817" s="28"/>
      <x:c r="C817" s="28"/>
      <x:c r="D817" s="28"/>
      <x:c r="E817" s="28"/>
      <x:c r="F817" s="28"/>
      <x:c r="G817" s="28"/>
      <x:c r="H817" s="28"/>
      <x:c r="I817" s="28"/>
      <x:c r="J817" s="28"/>
      <x:c r="K817" s="28"/>
      <x:c r="L817" s="28"/>
      <x:c r="M817" s="28"/>
      <x:c r="N817" s="28"/>
      <x:c r="O817" s="28"/>
      <x:c r="P817" s="28"/>
      <x:c r="Q817" s="28"/>
      <x:c r="R817" s="28"/>
      <x:c r="S817" s="28"/>
      <x:c r="T817" s="28"/>
      <x:c r="U817" s="28"/>
      <x:c r="V817" s="28"/>
      <x:c r="W817" s="28"/>
      <x:c r="X817" s="43" t="n">
        <x:f>--AND(S817=1,T817=1,U817=1,V817=1,W817=1)</x:f>
        <x:v>0</x:v>
      </x:c>
      <x:c r="AE817" s="43" t="n">
        <x:f>--AND(S817=1,M817&lt;&gt;"",M817&lt;&gt;"keep")</x:f>
        <x:v>0</x:v>
      </x:c>
      <x:c r="AG817" t="n">
        <x:f>--AND(S817=1,T817=1,U817=1,V817=1,W817=1,AE817=1)</x:f>
        <x:v>0</x:v>
      </x:c>
      <x:c r="AJ817" t="str">
        <x:f>IF(OR(AH817="",AI817=""),"",--(AH817&lt;&gt;AI817))</x:f>
      </x:c>
      <x:c r="AL817" t="str">
        <x:f>IF(OR(AH817="",AI817=""),"PENDING_HUMAN",IF(AH817=AI817,AH817,IF(AK817&lt;&gt;"",AK817,"PENDING_HUMAN")))</x:f>
        <x:v>PENDING_HUMAN</x:v>
      </x:c>
      <x:c r="AM817" t="n">
        <x:f>--AND(A817&lt;&gt;"",AH817&lt;&gt;"",AI817&lt;&gt;"",OR(AH817=AI817,AK817&lt;&gt;""))</x:f>
        <x:v>0</x:v>
      </x:c>
      <x:c r="AN817" t="n">
        <x:f>--AND(Y817&lt;&gt;"",COUNTIF($Y$4:Y817,Y817)=1)</x:f>
        <x:v>0</x:v>
      </x:c>
      <x:c r="AO817" t="n">
        <x:f>--AND(AN817=1,Z817=1,AM817=1)</x:f>
        <x:v>0</x:v>
      </x:c>
      <x:c r="AP817" t="n">
        <x:f>--AND(AO817=1,AA817=1,AL817=1)</x:f>
        <x:v>0</x:v>
      </x:c>
      <x:c r="AQ817" t="n">
        <x:f>--AND(AN817=1,Z817=1)</x:f>
        <x:v>0</x:v>
      </x:c>
      <x:c r="AR817" t="n">
        <x:f>--AND(AQ817=1,AA817=1)</x:f>
        <x:v>0</x:v>
      </x:c>
    </x:row>
    <x:row r="818">
      <x:c r="A818" s="28"/>
      <x:c r="B818" s="28"/>
      <x:c r="C818" s="28"/>
      <x:c r="D818" s="28"/>
      <x:c r="E818" s="28"/>
      <x:c r="F818" s="28"/>
      <x:c r="G818" s="28"/>
      <x:c r="H818" s="28"/>
      <x:c r="I818" s="28"/>
      <x:c r="J818" s="28"/>
      <x:c r="K818" s="28"/>
      <x:c r="L818" s="28"/>
      <x:c r="M818" s="28"/>
      <x:c r="N818" s="28"/>
      <x:c r="O818" s="28"/>
      <x:c r="P818" s="28"/>
      <x:c r="Q818" s="28"/>
      <x:c r="R818" s="28"/>
      <x:c r="S818" s="28"/>
      <x:c r="T818" s="28"/>
      <x:c r="U818" s="28"/>
      <x:c r="V818" s="28"/>
      <x:c r="W818" s="28"/>
      <x:c r="X818" s="43" t="n">
        <x:f>--AND(S818=1,T818=1,U818=1,V818=1,W818=1)</x:f>
        <x:v>0</x:v>
      </x:c>
      <x:c r="AE818" s="43" t="n">
        <x:f>--AND(S818=1,M818&lt;&gt;"",M818&lt;&gt;"keep")</x:f>
        <x:v>0</x:v>
      </x:c>
      <x:c r="AG818" t="n">
        <x:f>--AND(S818=1,T818=1,U818=1,V818=1,W818=1,AE818=1)</x:f>
        <x:v>0</x:v>
      </x:c>
      <x:c r="AJ818" t="str">
        <x:f>IF(OR(AH818="",AI818=""),"",--(AH818&lt;&gt;AI818))</x:f>
      </x:c>
      <x:c r="AL818" t="str">
        <x:f>IF(OR(AH818="",AI818=""),"PENDING_HUMAN",IF(AH818=AI818,AH818,IF(AK818&lt;&gt;"",AK818,"PENDING_HUMAN")))</x:f>
        <x:v>PENDING_HUMAN</x:v>
      </x:c>
      <x:c r="AM818" t="n">
        <x:f>--AND(A818&lt;&gt;"",AH818&lt;&gt;"",AI818&lt;&gt;"",OR(AH818=AI818,AK818&lt;&gt;""))</x:f>
        <x:v>0</x:v>
      </x:c>
      <x:c r="AN818" t="n">
        <x:f>--AND(Y818&lt;&gt;"",COUNTIF($Y$4:Y818,Y818)=1)</x:f>
        <x:v>0</x:v>
      </x:c>
      <x:c r="AO818" t="n">
        <x:f>--AND(AN818=1,Z818=1,AM818=1)</x:f>
        <x:v>0</x:v>
      </x:c>
      <x:c r="AP818" t="n">
        <x:f>--AND(AO818=1,AA818=1,AL818=1)</x:f>
        <x:v>0</x:v>
      </x:c>
      <x:c r="AQ818" t="n">
        <x:f>--AND(AN818=1,Z818=1)</x:f>
        <x:v>0</x:v>
      </x:c>
      <x:c r="AR818" t="n">
        <x:f>--AND(AQ818=1,AA818=1)</x:f>
        <x:v>0</x:v>
      </x:c>
    </x:row>
    <x:row r="819">
      <x:c r="A819" s="28"/>
      <x:c r="B819" s="28"/>
      <x:c r="C819" s="28"/>
      <x:c r="D819" s="28"/>
      <x:c r="E819" s="28"/>
      <x:c r="F819" s="28"/>
      <x:c r="G819" s="28"/>
      <x:c r="H819" s="28"/>
      <x:c r="I819" s="28"/>
      <x:c r="J819" s="28"/>
      <x:c r="K819" s="28"/>
      <x:c r="L819" s="28"/>
      <x:c r="M819" s="28"/>
      <x:c r="N819" s="28"/>
      <x:c r="O819" s="28"/>
      <x:c r="P819" s="28"/>
      <x:c r="Q819" s="28"/>
      <x:c r="R819" s="28"/>
      <x:c r="S819" s="28"/>
      <x:c r="T819" s="28"/>
      <x:c r="U819" s="28"/>
      <x:c r="V819" s="28"/>
      <x:c r="W819" s="28"/>
      <x:c r="X819" s="43" t="n">
        <x:f>--AND(S819=1,T819=1,U819=1,V819=1,W819=1)</x:f>
        <x:v>0</x:v>
      </x:c>
      <x:c r="AE819" s="43" t="n">
        <x:f>--AND(S819=1,M819&lt;&gt;"",M819&lt;&gt;"keep")</x:f>
        <x:v>0</x:v>
      </x:c>
      <x:c r="AG819" t="n">
        <x:f>--AND(S819=1,T819=1,U819=1,V819=1,W819=1,AE819=1)</x:f>
        <x:v>0</x:v>
      </x:c>
      <x:c r="AJ819" t="str">
        <x:f>IF(OR(AH819="",AI819=""),"",--(AH819&lt;&gt;AI819))</x:f>
      </x:c>
      <x:c r="AL819" t="str">
        <x:f>IF(OR(AH819="",AI819=""),"PENDING_HUMAN",IF(AH819=AI819,AH819,IF(AK819&lt;&gt;"",AK819,"PENDING_HUMAN")))</x:f>
        <x:v>PENDING_HUMAN</x:v>
      </x:c>
      <x:c r="AM819" t="n">
        <x:f>--AND(A819&lt;&gt;"",AH819&lt;&gt;"",AI819&lt;&gt;"",OR(AH819=AI819,AK819&lt;&gt;""))</x:f>
        <x:v>0</x:v>
      </x:c>
      <x:c r="AN819" t="n">
        <x:f>--AND(Y819&lt;&gt;"",COUNTIF($Y$4:Y819,Y819)=1)</x:f>
        <x:v>0</x:v>
      </x:c>
      <x:c r="AO819" t="n">
        <x:f>--AND(AN819=1,Z819=1,AM819=1)</x:f>
        <x:v>0</x:v>
      </x:c>
      <x:c r="AP819" t="n">
        <x:f>--AND(AO819=1,AA819=1,AL819=1)</x:f>
        <x:v>0</x:v>
      </x:c>
      <x:c r="AQ819" t="n">
        <x:f>--AND(AN819=1,Z819=1)</x:f>
        <x:v>0</x:v>
      </x:c>
      <x:c r="AR819" t="n">
        <x:f>--AND(AQ819=1,AA819=1)</x:f>
        <x:v>0</x:v>
      </x:c>
    </x:row>
    <x:row r="820">
      <x:c r="A820" s="28"/>
      <x:c r="B820" s="28"/>
      <x:c r="C820" s="28"/>
      <x:c r="D820" s="28"/>
      <x:c r="E820" s="28"/>
      <x:c r="F820" s="28"/>
      <x:c r="G820" s="28"/>
      <x:c r="H820" s="28"/>
      <x:c r="I820" s="28"/>
      <x:c r="J820" s="28"/>
      <x:c r="K820" s="28"/>
      <x:c r="L820" s="28"/>
      <x:c r="M820" s="28"/>
      <x:c r="N820" s="28"/>
      <x:c r="O820" s="28"/>
      <x:c r="P820" s="28"/>
      <x:c r="Q820" s="28"/>
      <x:c r="R820" s="28"/>
      <x:c r="S820" s="28"/>
      <x:c r="T820" s="28"/>
      <x:c r="U820" s="28"/>
      <x:c r="V820" s="28"/>
      <x:c r="W820" s="28"/>
      <x:c r="X820" s="43" t="n">
        <x:f>--AND(S820=1,T820=1,U820=1,V820=1,W820=1)</x:f>
        <x:v>0</x:v>
      </x:c>
      <x:c r="AE820" s="43" t="n">
        <x:f>--AND(S820=1,M820&lt;&gt;"",M820&lt;&gt;"keep")</x:f>
        <x:v>0</x:v>
      </x:c>
      <x:c r="AG820" t="n">
        <x:f>--AND(S820=1,T820=1,U820=1,V820=1,W820=1,AE820=1)</x:f>
        <x:v>0</x:v>
      </x:c>
      <x:c r="AJ820" t="str">
        <x:f>IF(OR(AH820="",AI820=""),"",--(AH820&lt;&gt;AI820))</x:f>
      </x:c>
      <x:c r="AL820" t="str">
        <x:f>IF(OR(AH820="",AI820=""),"PENDING_HUMAN",IF(AH820=AI820,AH820,IF(AK820&lt;&gt;"",AK820,"PENDING_HUMAN")))</x:f>
        <x:v>PENDING_HUMAN</x:v>
      </x:c>
      <x:c r="AM820" t="n">
        <x:f>--AND(A820&lt;&gt;"",AH820&lt;&gt;"",AI820&lt;&gt;"",OR(AH820=AI820,AK820&lt;&gt;""))</x:f>
        <x:v>0</x:v>
      </x:c>
      <x:c r="AN820" t="n">
        <x:f>--AND(Y820&lt;&gt;"",COUNTIF($Y$4:Y820,Y820)=1)</x:f>
        <x:v>0</x:v>
      </x:c>
      <x:c r="AO820" t="n">
        <x:f>--AND(AN820=1,Z820=1,AM820=1)</x:f>
        <x:v>0</x:v>
      </x:c>
      <x:c r="AP820" t="n">
        <x:f>--AND(AO820=1,AA820=1,AL820=1)</x:f>
        <x:v>0</x:v>
      </x:c>
      <x:c r="AQ820" t="n">
        <x:f>--AND(AN820=1,Z820=1)</x:f>
        <x:v>0</x:v>
      </x:c>
      <x:c r="AR820" t="n">
        <x:f>--AND(AQ820=1,AA820=1)</x:f>
        <x:v>0</x:v>
      </x:c>
    </x:row>
    <x:row r="821">
      <x:c r="A821" s="28"/>
      <x:c r="B821" s="28"/>
      <x:c r="C821" s="28"/>
      <x:c r="D821" s="28"/>
      <x:c r="E821" s="28"/>
      <x:c r="F821" s="28"/>
      <x:c r="G821" s="28"/>
      <x:c r="H821" s="28"/>
      <x:c r="I821" s="28"/>
      <x:c r="J821" s="28"/>
      <x:c r="K821" s="28"/>
      <x:c r="L821" s="28"/>
      <x:c r="M821" s="28"/>
      <x:c r="N821" s="28"/>
      <x:c r="O821" s="28"/>
      <x:c r="P821" s="28"/>
      <x:c r="Q821" s="28"/>
      <x:c r="R821" s="28"/>
      <x:c r="S821" s="28"/>
      <x:c r="T821" s="28"/>
      <x:c r="U821" s="28"/>
      <x:c r="V821" s="28"/>
      <x:c r="W821" s="28"/>
      <x:c r="X821" s="43" t="n">
        <x:f>--AND(S821=1,T821=1,U821=1,V821=1,W821=1)</x:f>
        <x:v>0</x:v>
      </x:c>
      <x:c r="AE821" s="43" t="n">
        <x:f>--AND(S821=1,M821&lt;&gt;"",M821&lt;&gt;"keep")</x:f>
        <x:v>0</x:v>
      </x:c>
      <x:c r="AG821" t="n">
        <x:f>--AND(S821=1,T821=1,U821=1,V821=1,W821=1,AE821=1)</x:f>
        <x:v>0</x:v>
      </x:c>
      <x:c r="AJ821" t="str">
        <x:f>IF(OR(AH821="",AI821=""),"",--(AH821&lt;&gt;AI821))</x:f>
      </x:c>
      <x:c r="AL821" t="str">
        <x:f>IF(OR(AH821="",AI821=""),"PENDING_HUMAN",IF(AH821=AI821,AH821,IF(AK821&lt;&gt;"",AK821,"PENDING_HUMAN")))</x:f>
        <x:v>PENDING_HUMAN</x:v>
      </x:c>
      <x:c r="AM821" t="n">
        <x:f>--AND(A821&lt;&gt;"",AH821&lt;&gt;"",AI821&lt;&gt;"",OR(AH821=AI821,AK821&lt;&gt;""))</x:f>
        <x:v>0</x:v>
      </x:c>
      <x:c r="AN821" t="n">
        <x:f>--AND(Y821&lt;&gt;"",COUNTIF($Y$4:Y821,Y821)=1)</x:f>
        <x:v>0</x:v>
      </x:c>
      <x:c r="AO821" t="n">
        <x:f>--AND(AN821=1,Z821=1,AM821=1)</x:f>
        <x:v>0</x:v>
      </x:c>
      <x:c r="AP821" t="n">
        <x:f>--AND(AO821=1,AA821=1,AL821=1)</x:f>
        <x:v>0</x:v>
      </x:c>
      <x:c r="AQ821" t="n">
        <x:f>--AND(AN821=1,Z821=1)</x:f>
        <x:v>0</x:v>
      </x:c>
      <x:c r="AR821" t="n">
        <x:f>--AND(AQ821=1,AA821=1)</x:f>
        <x:v>0</x:v>
      </x:c>
    </x:row>
    <x:row r="822">
      <x:c r="A822" s="28"/>
      <x:c r="B822" s="28"/>
      <x:c r="C822" s="28"/>
      <x:c r="D822" s="28"/>
      <x:c r="E822" s="28"/>
      <x:c r="F822" s="28"/>
      <x:c r="G822" s="28"/>
      <x:c r="H822" s="28"/>
      <x:c r="I822" s="28"/>
      <x:c r="J822" s="28"/>
      <x:c r="K822" s="28"/>
      <x:c r="L822" s="28"/>
      <x:c r="M822" s="28"/>
      <x:c r="N822" s="28"/>
      <x:c r="O822" s="28"/>
      <x:c r="P822" s="28"/>
      <x:c r="Q822" s="28"/>
      <x:c r="R822" s="28"/>
      <x:c r="S822" s="28"/>
      <x:c r="T822" s="28"/>
      <x:c r="U822" s="28"/>
      <x:c r="V822" s="28"/>
      <x:c r="W822" s="28"/>
      <x:c r="X822" s="43" t="n">
        <x:f>--AND(S822=1,T822=1,U822=1,V822=1,W822=1)</x:f>
        <x:v>0</x:v>
      </x:c>
      <x:c r="AE822" s="43" t="n">
        <x:f>--AND(S822=1,M822&lt;&gt;"",M822&lt;&gt;"keep")</x:f>
        <x:v>0</x:v>
      </x:c>
      <x:c r="AG822" t="n">
        <x:f>--AND(S822=1,T822=1,U822=1,V822=1,W822=1,AE822=1)</x:f>
        <x:v>0</x:v>
      </x:c>
      <x:c r="AJ822" t="str">
        <x:f>IF(OR(AH822="",AI822=""),"",--(AH822&lt;&gt;AI822))</x:f>
      </x:c>
      <x:c r="AL822" t="str">
        <x:f>IF(OR(AH822="",AI822=""),"PENDING_HUMAN",IF(AH822=AI822,AH822,IF(AK822&lt;&gt;"",AK822,"PENDING_HUMAN")))</x:f>
        <x:v>PENDING_HUMAN</x:v>
      </x:c>
      <x:c r="AM822" t="n">
        <x:f>--AND(A822&lt;&gt;"",AH822&lt;&gt;"",AI822&lt;&gt;"",OR(AH822=AI822,AK822&lt;&gt;""))</x:f>
        <x:v>0</x:v>
      </x:c>
      <x:c r="AN822" t="n">
        <x:f>--AND(Y822&lt;&gt;"",COUNTIF($Y$4:Y822,Y822)=1)</x:f>
        <x:v>0</x:v>
      </x:c>
      <x:c r="AO822" t="n">
        <x:f>--AND(AN822=1,Z822=1,AM822=1)</x:f>
        <x:v>0</x:v>
      </x:c>
      <x:c r="AP822" t="n">
        <x:f>--AND(AO822=1,AA822=1,AL822=1)</x:f>
        <x:v>0</x:v>
      </x:c>
      <x:c r="AQ822" t="n">
        <x:f>--AND(AN822=1,Z822=1)</x:f>
        <x:v>0</x:v>
      </x:c>
      <x:c r="AR822" t="n">
        <x:f>--AND(AQ822=1,AA822=1)</x:f>
        <x:v>0</x:v>
      </x:c>
    </x:row>
    <x:row r="823">
      <x:c r="A823" s="28"/>
      <x:c r="B823" s="28"/>
      <x:c r="C823" s="28"/>
      <x:c r="D823" s="28"/>
      <x:c r="E823" s="28"/>
      <x:c r="F823" s="28"/>
      <x:c r="G823" s="28"/>
      <x:c r="H823" s="28"/>
      <x:c r="I823" s="28"/>
      <x:c r="J823" s="28"/>
      <x:c r="K823" s="28"/>
      <x:c r="L823" s="28"/>
      <x:c r="M823" s="28"/>
      <x:c r="N823" s="28"/>
      <x:c r="O823" s="28"/>
      <x:c r="P823" s="28"/>
      <x:c r="Q823" s="28"/>
      <x:c r="R823" s="28"/>
      <x:c r="S823" s="28"/>
      <x:c r="T823" s="28"/>
      <x:c r="U823" s="28"/>
      <x:c r="V823" s="28"/>
      <x:c r="W823" s="28"/>
      <x:c r="X823" s="43" t="n">
        <x:f>--AND(S823=1,T823=1,U823=1,V823=1,W823=1)</x:f>
        <x:v>0</x:v>
      </x:c>
      <x:c r="AE823" s="43" t="n">
        <x:f>--AND(S823=1,M823&lt;&gt;"",M823&lt;&gt;"keep")</x:f>
        <x:v>0</x:v>
      </x:c>
      <x:c r="AG823" t="n">
        <x:f>--AND(S823=1,T823=1,U823=1,V823=1,W823=1,AE823=1)</x:f>
        <x:v>0</x:v>
      </x:c>
      <x:c r="AJ823" t="str">
        <x:f>IF(OR(AH823="",AI823=""),"",--(AH823&lt;&gt;AI823))</x:f>
      </x:c>
      <x:c r="AL823" t="str">
        <x:f>IF(OR(AH823="",AI823=""),"PENDING_HUMAN",IF(AH823=AI823,AH823,IF(AK823&lt;&gt;"",AK823,"PENDING_HUMAN")))</x:f>
        <x:v>PENDING_HUMAN</x:v>
      </x:c>
      <x:c r="AM823" t="n">
        <x:f>--AND(A823&lt;&gt;"",AH823&lt;&gt;"",AI823&lt;&gt;"",OR(AH823=AI823,AK823&lt;&gt;""))</x:f>
        <x:v>0</x:v>
      </x:c>
      <x:c r="AN823" t="n">
        <x:f>--AND(Y823&lt;&gt;"",COUNTIF($Y$4:Y823,Y823)=1)</x:f>
        <x:v>0</x:v>
      </x:c>
      <x:c r="AO823" t="n">
        <x:f>--AND(AN823=1,Z823=1,AM823=1)</x:f>
        <x:v>0</x:v>
      </x:c>
      <x:c r="AP823" t="n">
        <x:f>--AND(AO823=1,AA823=1,AL823=1)</x:f>
        <x:v>0</x:v>
      </x:c>
      <x:c r="AQ823" t="n">
        <x:f>--AND(AN823=1,Z823=1)</x:f>
        <x:v>0</x:v>
      </x:c>
      <x:c r="AR823" t="n">
        <x:f>--AND(AQ823=1,AA823=1)</x:f>
        <x:v>0</x:v>
      </x:c>
    </x:row>
    <x:row r="824">
      <x:c r="A824" s="28"/>
      <x:c r="B824" s="28"/>
      <x:c r="C824" s="28"/>
      <x:c r="D824" s="28"/>
      <x:c r="E824" s="28"/>
      <x:c r="F824" s="28"/>
      <x:c r="G824" s="28"/>
      <x:c r="H824" s="28"/>
      <x:c r="I824" s="28"/>
      <x:c r="J824" s="28"/>
      <x:c r="K824" s="28"/>
      <x:c r="L824" s="28"/>
      <x:c r="M824" s="28"/>
      <x:c r="N824" s="28"/>
      <x:c r="O824" s="28"/>
      <x:c r="P824" s="28"/>
      <x:c r="Q824" s="28"/>
      <x:c r="R824" s="28"/>
      <x:c r="S824" s="28"/>
      <x:c r="T824" s="28"/>
      <x:c r="U824" s="28"/>
      <x:c r="V824" s="28"/>
      <x:c r="W824" s="28"/>
      <x:c r="X824" s="43" t="n">
        <x:f>--AND(S824=1,T824=1,U824=1,V824=1,W824=1)</x:f>
        <x:v>0</x:v>
      </x:c>
      <x:c r="AE824" s="43" t="n">
        <x:f>--AND(S824=1,M824&lt;&gt;"",M824&lt;&gt;"keep")</x:f>
        <x:v>0</x:v>
      </x:c>
      <x:c r="AG824" t="n">
        <x:f>--AND(S824=1,T824=1,U824=1,V824=1,W824=1,AE824=1)</x:f>
        <x:v>0</x:v>
      </x:c>
      <x:c r="AJ824" t="str">
        <x:f>IF(OR(AH824="",AI824=""),"",--(AH824&lt;&gt;AI824))</x:f>
      </x:c>
      <x:c r="AL824" t="str">
        <x:f>IF(OR(AH824="",AI824=""),"PENDING_HUMAN",IF(AH824=AI824,AH824,IF(AK824&lt;&gt;"",AK824,"PENDING_HUMAN")))</x:f>
        <x:v>PENDING_HUMAN</x:v>
      </x:c>
      <x:c r="AM824" t="n">
        <x:f>--AND(A824&lt;&gt;"",AH824&lt;&gt;"",AI824&lt;&gt;"",OR(AH824=AI824,AK824&lt;&gt;""))</x:f>
        <x:v>0</x:v>
      </x:c>
      <x:c r="AN824" t="n">
        <x:f>--AND(Y824&lt;&gt;"",COUNTIF($Y$4:Y824,Y824)=1)</x:f>
        <x:v>0</x:v>
      </x:c>
      <x:c r="AO824" t="n">
        <x:f>--AND(AN824=1,Z824=1,AM824=1)</x:f>
        <x:v>0</x:v>
      </x:c>
      <x:c r="AP824" t="n">
        <x:f>--AND(AO824=1,AA824=1,AL824=1)</x:f>
        <x:v>0</x:v>
      </x:c>
      <x:c r="AQ824" t="n">
        <x:f>--AND(AN824=1,Z824=1)</x:f>
        <x:v>0</x:v>
      </x:c>
      <x:c r="AR824" t="n">
        <x:f>--AND(AQ824=1,AA824=1)</x:f>
        <x:v>0</x:v>
      </x:c>
    </x:row>
    <x:row r="825">
      <x:c r="A825" s="28"/>
      <x:c r="B825" s="28"/>
      <x:c r="C825" s="28"/>
      <x:c r="D825" s="28"/>
      <x:c r="E825" s="28"/>
      <x:c r="F825" s="28"/>
      <x:c r="G825" s="28"/>
      <x:c r="H825" s="28"/>
      <x:c r="I825" s="28"/>
      <x:c r="J825" s="28"/>
      <x:c r="K825" s="28"/>
      <x:c r="L825" s="28"/>
      <x:c r="M825" s="28"/>
      <x:c r="N825" s="28"/>
      <x:c r="O825" s="28"/>
      <x:c r="P825" s="28"/>
      <x:c r="Q825" s="28"/>
      <x:c r="R825" s="28"/>
      <x:c r="S825" s="28"/>
      <x:c r="T825" s="28"/>
      <x:c r="U825" s="28"/>
      <x:c r="V825" s="28"/>
      <x:c r="W825" s="28"/>
      <x:c r="X825" s="43" t="n">
        <x:f>--AND(S825=1,T825=1,U825=1,V825=1,W825=1)</x:f>
        <x:v>0</x:v>
      </x:c>
      <x:c r="AE825" s="43" t="n">
        <x:f>--AND(S825=1,M825&lt;&gt;"",M825&lt;&gt;"keep")</x:f>
        <x:v>0</x:v>
      </x:c>
      <x:c r="AG825" t="n">
        <x:f>--AND(S825=1,T825=1,U825=1,V825=1,W825=1,AE825=1)</x:f>
        <x:v>0</x:v>
      </x:c>
      <x:c r="AJ825" t="str">
        <x:f>IF(OR(AH825="",AI825=""),"",--(AH825&lt;&gt;AI825))</x:f>
      </x:c>
      <x:c r="AL825" t="str">
        <x:f>IF(OR(AH825="",AI825=""),"PENDING_HUMAN",IF(AH825=AI825,AH825,IF(AK825&lt;&gt;"",AK825,"PENDING_HUMAN")))</x:f>
        <x:v>PENDING_HUMAN</x:v>
      </x:c>
      <x:c r="AM825" t="n">
        <x:f>--AND(A825&lt;&gt;"",AH825&lt;&gt;"",AI825&lt;&gt;"",OR(AH825=AI825,AK825&lt;&gt;""))</x:f>
        <x:v>0</x:v>
      </x:c>
      <x:c r="AN825" t="n">
        <x:f>--AND(Y825&lt;&gt;"",COUNTIF($Y$4:Y825,Y825)=1)</x:f>
        <x:v>0</x:v>
      </x:c>
      <x:c r="AO825" t="n">
        <x:f>--AND(AN825=1,Z825=1,AM825=1)</x:f>
        <x:v>0</x:v>
      </x:c>
      <x:c r="AP825" t="n">
        <x:f>--AND(AO825=1,AA825=1,AL825=1)</x:f>
        <x:v>0</x:v>
      </x:c>
      <x:c r="AQ825" t="n">
        <x:f>--AND(AN825=1,Z825=1)</x:f>
        <x:v>0</x:v>
      </x:c>
      <x:c r="AR825" t="n">
        <x:f>--AND(AQ825=1,AA825=1)</x:f>
        <x:v>0</x:v>
      </x:c>
    </x:row>
    <x:row r="826">
      <x:c r="A826" s="28"/>
      <x:c r="B826" s="28"/>
      <x:c r="C826" s="28"/>
      <x:c r="D826" s="28"/>
      <x:c r="E826" s="28"/>
      <x:c r="F826" s="28"/>
      <x:c r="G826" s="28"/>
      <x:c r="H826" s="28"/>
      <x:c r="I826" s="28"/>
      <x:c r="J826" s="28"/>
      <x:c r="K826" s="28"/>
      <x:c r="L826" s="28"/>
      <x:c r="M826" s="28"/>
      <x:c r="N826" s="28"/>
      <x:c r="O826" s="28"/>
      <x:c r="P826" s="28"/>
      <x:c r="Q826" s="28"/>
      <x:c r="R826" s="28"/>
      <x:c r="S826" s="28"/>
      <x:c r="T826" s="28"/>
      <x:c r="U826" s="28"/>
      <x:c r="V826" s="28"/>
      <x:c r="W826" s="28"/>
      <x:c r="X826" s="43" t="n">
        <x:f>--AND(S826=1,T826=1,U826=1,V826=1,W826=1)</x:f>
        <x:v>0</x:v>
      </x:c>
      <x:c r="AE826" s="43" t="n">
        <x:f>--AND(S826=1,M826&lt;&gt;"",M826&lt;&gt;"keep")</x:f>
        <x:v>0</x:v>
      </x:c>
      <x:c r="AG826" t="n">
        <x:f>--AND(S826=1,T826=1,U826=1,V826=1,W826=1,AE826=1)</x:f>
        <x:v>0</x:v>
      </x:c>
      <x:c r="AJ826" t="str">
        <x:f>IF(OR(AH826="",AI826=""),"",--(AH826&lt;&gt;AI826))</x:f>
      </x:c>
      <x:c r="AL826" t="str">
        <x:f>IF(OR(AH826="",AI826=""),"PENDING_HUMAN",IF(AH826=AI826,AH826,IF(AK826&lt;&gt;"",AK826,"PENDING_HUMAN")))</x:f>
        <x:v>PENDING_HUMAN</x:v>
      </x:c>
      <x:c r="AM826" t="n">
        <x:f>--AND(A826&lt;&gt;"",AH826&lt;&gt;"",AI826&lt;&gt;"",OR(AH826=AI826,AK826&lt;&gt;""))</x:f>
        <x:v>0</x:v>
      </x:c>
      <x:c r="AN826" t="n">
        <x:f>--AND(Y826&lt;&gt;"",COUNTIF($Y$4:Y826,Y826)=1)</x:f>
        <x:v>0</x:v>
      </x:c>
      <x:c r="AO826" t="n">
        <x:f>--AND(AN826=1,Z826=1,AM826=1)</x:f>
        <x:v>0</x:v>
      </x:c>
      <x:c r="AP826" t="n">
        <x:f>--AND(AO826=1,AA826=1,AL826=1)</x:f>
        <x:v>0</x:v>
      </x:c>
      <x:c r="AQ826" t="n">
        <x:f>--AND(AN826=1,Z826=1)</x:f>
        <x:v>0</x:v>
      </x:c>
      <x:c r="AR826" t="n">
        <x:f>--AND(AQ826=1,AA826=1)</x:f>
        <x:v>0</x:v>
      </x:c>
    </x:row>
    <x:row r="827">
      <x:c r="A827" s="28"/>
      <x:c r="B827" s="28"/>
      <x:c r="C827" s="28"/>
      <x:c r="D827" s="28"/>
      <x:c r="E827" s="28"/>
      <x:c r="F827" s="28"/>
      <x:c r="G827" s="28"/>
      <x:c r="H827" s="28"/>
      <x:c r="I827" s="28"/>
      <x:c r="J827" s="28"/>
      <x:c r="K827" s="28"/>
      <x:c r="L827" s="28"/>
      <x:c r="M827" s="28"/>
      <x:c r="N827" s="28"/>
      <x:c r="O827" s="28"/>
      <x:c r="P827" s="28"/>
      <x:c r="Q827" s="28"/>
      <x:c r="R827" s="28"/>
      <x:c r="S827" s="28"/>
      <x:c r="T827" s="28"/>
      <x:c r="U827" s="28"/>
      <x:c r="V827" s="28"/>
      <x:c r="W827" s="28"/>
      <x:c r="X827" s="43" t="n">
        <x:f>--AND(S827=1,T827=1,U827=1,V827=1,W827=1)</x:f>
        <x:v>0</x:v>
      </x:c>
      <x:c r="AE827" s="43" t="n">
        <x:f>--AND(S827=1,M827&lt;&gt;"",M827&lt;&gt;"keep")</x:f>
        <x:v>0</x:v>
      </x:c>
      <x:c r="AG827" t="n">
        <x:f>--AND(S827=1,T827=1,U827=1,V827=1,W827=1,AE827=1)</x:f>
        <x:v>0</x:v>
      </x:c>
      <x:c r="AJ827" t="str">
        <x:f>IF(OR(AH827="",AI827=""),"",--(AH827&lt;&gt;AI827))</x:f>
      </x:c>
      <x:c r="AL827" t="str">
        <x:f>IF(OR(AH827="",AI827=""),"PENDING_HUMAN",IF(AH827=AI827,AH827,IF(AK827&lt;&gt;"",AK827,"PENDING_HUMAN")))</x:f>
        <x:v>PENDING_HUMAN</x:v>
      </x:c>
      <x:c r="AM827" t="n">
        <x:f>--AND(A827&lt;&gt;"",AH827&lt;&gt;"",AI827&lt;&gt;"",OR(AH827=AI827,AK827&lt;&gt;""))</x:f>
        <x:v>0</x:v>
      </x:c>
      <x:c r="AN827" t="n">
        <x:f>--AND(Y827&lt;&gt;"",COUNTIF($Y$4:Y827,Y827)=1)</x:f>
        <x:v>0</x:v>
      </x:c>
      <x:c r="AO827" t="n">
        <x:f>--AND(AN827=1,Z827=1,AM827=1)</x:f>
        <x:v>0</x:v>
      </x:c>
      <x:c r="AP827" t="n">
        <x:f>--AND(AO827=1,AA827=1,AL827=1)</x:f>
        <x:v>0</x:v>
      </x:c>
      <x:c r="AQ827" t="n">
        <x:f>--AND(AN827=1,Z827=1)</x:f>
        <x:v>0</x:v>
      </x:c>
      <x:c r="AR827" t="n">
        <x:f>--AND(AQ827=1,AA827=1)</x:f>
        <x:v>0</x:v>
      </x:c>
    </x:row>
    <x:row r="828">
      <x:c r="A828" s="28"/>
      <x:c r="B828" s="28"/>
      <x:c r="C828" s="28"/>
      <x:c r="D828" s="28"/>
      <x:c r="E828" s="28"/>
      <x:c r="F828" s="28"/>
      <x:c r="G828" s="28"/>
      <x:c r="H828" s="28"/>
      <x:c r="I828" s="28"/>
      <x:c r="J828" s="28"/>
      <x:c r="K828" s="28"/>
      <x:c r="L828" s="28"/>
      <x:c r="M828" s="28"/>
      <x:c r="N828" s="28"/>
      <x:c r="O828" s="28"/>
      <x:c r="P828" s="28"/>
      <x:c r="Q828" s="28"/>
      <x:c r="R828" s="28"/>
      <x:c r="S828" s="28"/>
      <x:c r="T828" s="28"/>
      <x:c r="U828" s="28"/>
      <x:c r="V828" s="28"/>
      <x:c r="W828" s="28"/>
      <x:c r="X828" s="43" t="n">
        <x:f>--AND(S828=1,T828=1,U828=1,V828=1,W828=1)</x:f>
        <x:v>0</x:v>
      </x:c>
      <x:c r="AE828" s="43" t="n">
        <x:f>--AND(S828=1,M828&lt;&gt;"",M828&lt;&gt;"keep")</x:f>
        <x:v>0</x:v>
      </x:c>
      <x:c r="AG828" t="n">
        <x:f>--AND(S828=1,T828=1,U828=1,V828=1,W828=1,AE828=1)</x:f>
        <x:v>0</x:v>
      </x:c>
      <x:c r="AJ828" t="str">
        <x:f>IF(OR(AH828="",AI828=""),"",--(AH828&lt;&gt;AI828))</x:f>
      </x:c>
      <x:c r="AL828" t="str">
        <x:f>IF(OR(AH828="",AI828=""),"PENDING_HUMAN",IF(AH828=AI828,AH828,IF(AK828&lt;&gt;"",AK828,"PENDING_HUMAN")))</x:f>
        <x:v>PENDING_HUMAN</x:v>
      </x:c>
      <x:c r="AM828" t="n">
        <x:f>--AND(A828&lt;&gt;"",AH828&lt;&gt;"",AI828&lt;&gt;"",OR(AH828=AI828,AK828&lt;&gt;""))</x:f>
        <x:v>0</x:v>
      </x:c>
      <x:c r="AN828" t="n">
        <x:f>--AND(Y828&lt;&gt;"",COUNTIF($Y$4:Y828,Y828)=1)</x:f>
        <x:v>0</x:v>
      </x:c>
      <x:c r="AO828" t="n">
        <x:f>--AND(AN828=1,Z828=1,AM828=1)</x:f>
        <x:v>0</x:v>
      </x:c>
      <x:c r="AP828" t="n">
        <x:f>--AND(AO828=1,AA828=1,AL828=1)</x:f>
        <x:v>0</x:v>
      </x:c>
      <x:c r="AQ828" t="n">
        <x:f>--AND(AN828=1,Z828=1)</x:f>
        <x:v>0</x:v>
      </x:c>
      <x:c r="AR828" t="n">
        <x:f>--AND(AQ828=1,AA828=1)</x:f>
        <x:v>0</x:v>
      </x:c>
    </x:row>
    <x:row r="829">
      <x:c r="A829" s="28"/>
      <x:c r="B829" s="28"/>
      <x:c r="C829" s="28"/>
      <x:c r="D829" s="28"/>
      <x:c r="E829" s="28"/>
      <x:c r="F829" s="28"/>
      <x:c r="G829" s="28"/>
      <x:c r="H829" s="28"/>
      <x:c r="I829" s="28"/>
      <x:c r="J829" s="28"/>
      <x:c r="K829" s="28"/>
      <x:c r="L829" s="28"/>
      <x:c r="M829" s="28"/>
      <x:c r="N829" s="28"/>
      <x:c r="O829" s="28"/>
      <x:c r="P829" s="28"/>
      <x:c r="Q829" s="28"/>
      <x:c r="R829" s="28"/>
      <x:c r="S829" s="28"/>
      <x:c r="T829" s="28"/>
      <x:c r="U829" s="28"/>
      <x:c r="V829" s="28"/>
      <x:c r="W829" s="28"/>
      <x:c r="X829" s="43" t="n">
        <x:f>--AND(S829=1,T829=1,U829=1,V829=1,W829=1)</x:f>
        <x:v>0</x:v>
      </x:c>
      <x:c r="AE829" s="43" t="n">
        <x:f>--AND(S829=1,M829&lt;&gt;"",M829&lt;&gt;"keep")</x:f>
        <x:v>0</x:v>
      </x:c>
      <x:c r="AG829" t="n">
        <x:f>--AND(S829=1,T829=1,U829=1,V829=1,W829=1,AE829=1)</x:f>
        <x:v>0</x:v>
      </x:c>
      <x:c r="AJ829" t="str">
        <x:f>IF(OR(AH829="",AI829=""),"",--(AH829&lt;&gt;AI829))</x:f>
      </x:c>
      <x:c r="AL829" t="str">
        <x:f>IF(OR(AH829="",AI829=""),"PENDING_HUMAN",IF(AH829=AI829,AH829,IF(AK829&lt;&gt;"",AK829,"PENDING_HUMAN")))</x:f>
        <x:v>PENDING_HUMAN</x:v>
      </x:c>
      <x:c r="AM829" t="n">
        <x:f>--AND(A829&lt;&gt;"",AH829&lt;&gt;"",AI829&lt;&gt;"",OR(AH829=AI829,AK829&lt;&gt;""))</x:f>
        <x:v>0</x:v>
      </x:c>
      <x:c r="AN829" t="n">
        <x:f>--AND(Y829&lt;&gt;"",COUNTIF($Y$4:Y829,Y829)=1)</x:f>
        <x:v>0</x:v>
      </x:c>
      <x:c r="AO829" t="n">
        <x:f>--AND(AN829=1,Z829=1,AM829=1)</x:f>
        <x:v>0</x:v>
      </x:c>
      <x:c r="AP829" t="n">
        <x:f>--AND(AO829=1,AA829=1,AL829=1)</x:f>
        <x:v>0</x:v>
      </x:c>
      <x:c r="AQ829" t="n">
        <x:f>--AND(AN829=1,Z829=1)</x:f>
        <x:v>0</x:v>
      </x:c>
      <x:c r="AR829" t="n">
        <x:f>--AND(AQ829=1,AA829=1)</x:f>
        <x:v>0</x:v>
      </x:c>
    </x:row>
    <x:row r="830">
      <x:c r="A830" s="28"/>
      <x:c r="B830" s="28"/>
      <x:c r="C830" s="28"/>
      <x:c r="D830" s="28"/>
      <x:c r="E830" s="28"/>
      <x:c r="F830" s="28"/>
      <x:c r="G830" s="28"/>
      <x:c r="H830" s="28"/>
      <x:c r="I830" s="28"/>
      <x:c r="J830" s="28"/>
      <x:c r="K830" s="28"/>
      <x:c r="L830" s="28"/>
      <x:c r="M830" s="28"/>
      <x:c r="N830" s="28"/>
      <x:c r="O830" s="28"/>
      <x:c r="P830" s="28"/>
      <x:c r="Q830" s="28"/>
      <x:c r="R830" s="28"/>
      <x:c r="S830" s="28"/>
      <x:c r="T830" s="28"/>
      <x:c r="U830" s="28"/>
      <x:c r="V830" s="28"/>
      <x:c r="W830" s="28"/>
      <x:c r="X830" s="43" t="n">
        <x:f>--AND(S830=1,T830=1,U830=1,V830=1,W830=1)</x:f>
        <x:v>0</x:v>
      </x:c>
      <x:c r="AE830" s="43" t="n">
        <x:f>--AND(S830=1,M830&lt;&gt;"",M830&lt;&gt;"keep")</x:f>
        <x:v>0</x:v>
      </x:c>
      <x:c r="AG830" t="n">
        <x:f>--AND(S830=1,T830=1,U830=1,V830=1,W830=1,AE830=1)</x:f>
        <x:v>0</x:v>
      </x:c>
      <x:c r="AJ830" t="str">
        <x:f>IF(OR(AH830="",AI830=""),"",--(AH830&lt;&gt;AI830))</x:f>
      </x:c>
      <x:c r="AL830" t="str">
        <x:f>IF(OR(AH830="",AI830=""),"PENDING_HUMAN",IF(AH830=AI830,AH830,IF(AK830&lt;&gt;"",AK830,"PENDING_HUMAN")))</x:f>
        <x:v>PENDING_HUMAN</x:v>
      </x:c>
      <x:c r="AM830" t="n">
        <x:f>--AND(A830&lt;&gt;"",AH830&lt;&gt;"",AI830&lt;&gt;"",OR(AH830=AI830,AK830&lt;&gt;""))</x:f>
        <x:v>0</x:v>
      </x:c>
      <x:c r="AN830" t="n">
        <x:f>--AND(Y830&lt;&gt;"",COUNTIF($Y$4:Y830,Y830)=1)</x:f>
        <x:v>0</x:v>
      </x:c>
      <x:c r="AO830" t="n">
        <x:f>--AND(AN830=1,Z830=1,AM830=1)</x:f>
        <x:v>0</x:v>
      </x:c>
      <x:c r="AP830" t="n">
        <x:f>--AND(AO830=1,AA830=1,AL830=1)</x:f>
        <x:v>0</x:v>
      </x:c>
      <x:c r="AQ830" t="n">
        <x:f>--AND(AN830=1,Z830=1)</x:f>
        <x:v>0</x:v>
      </x:c>
      <x:c r="AR830" t="n">
        <x:f>--AND(AQ830=1,AA830=1)</x:f>
        <x:v>0</x:v>
      </x:c>
    </x:row>
    <x:row r="831">
      <x:c r="A831" s="28"/>
      <x:c r="B831" s="28"/>
      <x:c r="C831" s="28"/>
      <x:c r="D831" s="28"/>
      <x:c r="E831" s="28"/>
      <x:c r="F831" s="28"/>
      <x:c r="G831" s="28"/>
      <x:c r="H831" s="28"/>
      <x:c r="I831" s="28"/>
      <x:c r="J831" s="28"/>
      <x:c r="K831" s="28"/>
      <x:c r="L831" s="28"/>
      <x:c r="M831" s="28"/>
      <x:c r="N831" s="28"/>
      <x:c r="O831" s="28"/>
      <x:c r="P831" s="28"/>
      <x:c r="Q831" s="28"/>
      <x:c r="R831" s="28"/>
      <x:c r="S831" s="28"/>
      <x:c r="T831" s="28"/>
      <x:c r="U831" s="28"/>
      <x:c r="V831" s="28"/>
      <x:c r="W831" s="28"/>
      <x:c r="X831" s="43" t="n">
        <x:f>--AND(S831=1,T831=1,U831=1,V831=1,W831=1)</x:f>
        <x:v>0</x:v>
      </x:c>
      <x:c r="AE831" s="43" t="n">
        <x:f>--AND(S831=1,M831&lt;&gt;"",M831&lt;&gt;"keep")</x:f>
        <x:v>0</x:v>
      </x:c>
      <x:c r="AG831" t="n">
        <x:f>--AND(S831=1,T831=1,U831=1,V831=1,W831=1,AE831=1)</x:f>
        <x:v>0</x:v>
      </x:c>
      <x:c r="AJ831" t="str">
        <x:f>IF(OR(AH831="",AI831=""),"",--(AH831&lt;&gt;AI831))</x:f>
      </x:c>
      <x:c r="AL831" t="str">
        <x:f>IF(OR(AH831="",AI831=""),"PENDING_HUMAN",IF(AH831=AI831,AH831,IF(AK831&lt;&gt;"",AK831,"PENDING_HUMAN")))</x:f>
        <x:v>PENDING_HUMAN</x:v>
      </x:c>
      <x:c r="AM831" t="n">
        <x:f>--AND(A831&lt;&gt;"",AH831&lt;&gt;"",AI831&lt;&gt;"",OR(AH831=AI831,AK831&lt;&gt;""))</x:f>
        <x:v>0</x:v>
      </x:c>
      <x:c r="AN831" t="n">
        <x:f>--AND(Y831&lt;&gt;"",COUNTIF($Y$4:Y831,Y831)=1)</x:f>
        <x:v>0</x:v>
      </x:c>
      <x:c r="AO831" t="n">
        <x:f>--AND(AN831=1,Z831=1,AM831=1)</x:f>
        <x:v>0</x:v>
      </x:c>
      <x:c r="AP831" t="n">
        <x:f>--AND(AO831=1,AA831=1,AL831=1)</x:f>
        <x:v>0</x:v>
      </x:c>
      <x:c r="AQ831" t="n">
        <x:f>--AND(AN831=1,Z831=1)</x:f>
        <x:v>0</x:v>
      </x:c>
      <x:c r="AR831" t="n">
        <x:f>--AND(AQ831=1,AA831=1)</x:f>
        <x:v>0</x:v>
      </x:c>
    </x:row>
    <x:row r="832">
      <x:c r="A832" s="28"/>
      <x:c r="B832" s="28"/>
      <x:c r="C832" s="28"/>
      <x:c r="D832" s="28"/>
      <x:c r="E832" s="28"/>
      <x:c r="F832" s="28"/>
      <x:c r="G832" s="28"/>
      <x:c r="H832" s="28"/>
      <x:c r="I832" s="28"/>
      <x:c r="J832" s="28"/>
      <x:c r="K832" s="28"/>
      <x:c r="L832" s="28"/>
      <x:c r="M832" s="28"/>
      <x:c r="N832" s="28"/>
      <x:c r="O832" s="28"/>
      <x:c r="P832" s="28"/>
      <x:c r="Q832" s="28"/>
      <x:c r="R832" s="28"/>
      <x:c r="S832" s="28"/>
      <x:c r="T832" s="28"/>
      <x:c r="U832" s="28"/>
      <x:c r="V832" s="28"/>
      <x:c r="W832" s="28"/>
      <x:c r="X832" s="43" t="n">
        <x:f>--AND(S832=1,T832=1,U832=1,V832=1,W832=1)</x:f>
        <x:v>0</x:v>
      </x:c>
      <x:c r="AE832" s="43" t="n">
        <x:f>--AND(S832=1,M832&lt;&gt;"",M832&lt;&gt;"keep")</x:f>
        <x:v>0</x:v>
      </x:c>
      <x:c r="AG832" t="n">
        <x:f>--AND(S832=1,T832=1,U832=1,V832=1,W832=1,AE832=1)</x:f>
        <x:v>0</x:v>
      </x:c>
      <x:c r="AJ832" t="str">
        <x:f>IF(OR(AH832="",AI832=""),"",--(AH832&lt;&gt;AI832))</x:f>
      </x:c>
      <x:c r="AL832" t="str">
        <x:f>IF(OR(AH832="",AI832=""),"PENDING_HUMAN",IF(AH832=AI832,AH832,IF(AK832&lt;&gt;"",AK832,"PENDING_HUMAN")))</x:f>
        <x:v>PENDING_HUMAN</x:v>
      </x:c>
      <x:c r="AM832" t="n">
        <x:f>--AND(A832&lt;&gt;"",AH832&lt;&gt;"",AI832&lt;&gt;"",OR(AH832=AI832,AK832&lt;&gt;""))</x:f>
        <x:v>0</x:v>
      </x:c>
      <x:c r="AN832" t="n">
        <x:f>--AND(Y832&lt;&gt;"",COUNTIF($Y$4:Y832,Y832)=1)</x:f>
        <x:v>0</x:v>
      </x:c>
      <x:c r="AO832" t="n">
        <x:f>--AND(AN832=1,Z832=1,AM832=1)</x:f>
        <x:v>0</x:v>
      </x:c>
      <x:c r="AP832" t="n">
        <x:f>--AND(AO832=1,AA832=1,AL832=1)</x:f>
        <x:v>0</x:v>
      </x:c>
      <x:c r="AQ832" t="n">
        <x:f>--AND(AN832=1,Z832=1)</x:f>
        <x:v>0</x:v>
      </x:c>
      <x:c r="AR832" t="n">
        <x:f>--AND(AQ832=1,AA832=1)</x:f>
        <x:v>0</x:v>
      </x:c>
    </x:row>
    <x:row r="833">
      <x:c r="A833" s="28"/>
      <x:c r="B833" s="28"/>
      <x:c r="C833" s="28"/>
      <x:c r="D833" s="28"/>
      <x:c r="E833" s="28"/>
      <x:c r="F833" s="28"/>
      <x:c r="G833" s="28"/>
      <x:c r="H833" s="28"/>
      <x:c r="I833" s="28"/>
      <x:c r="J833" s="28"/>
      <x:c r="K833" s="28"/>
      <x:c r="L833" s="28"/>
      <x:c r="M833" s="28"/>
      <x:c r="N833" s="28"/>
      <x:c r="O833" s="28"/>
      <x:c r="P833" s="28"/>
      <x:c r="Q833" s="28"/>
      <x:c r="R833" s="28"/>
      <x:c r="S833" s="28"/>
      <x:c r="T833" s="28"/>
      <x:c r="U833" s="28"/>
      <x:c r="V833" s="28"/>
      <x:c r="W833" s="28"/>
      <x:c r="X833" s="43" t="n">
        <x:f>--AND(S833=1,T833=1,U833=1,V833=1,W833=1)</x:f>
        <x:v>0</x:v>
      </x:c>
      <x:c r="AE833" s="43" t="n">
        <x:f>--AND(S833=1,M833&lt;&gt;"",M833&lt;&gt;"keep")</x:f>
        <x:v>0</x:v>
      </x:c>
      <x:c r="AG833" t="n">
        <x:f>--AND(S833=1,T833=1,U833=1,V833=1,W833=1,AE833=1)</x:f>
        <x:v>0</x:v>
      </x:c>
      <x:c r="AJ833" t="str">
        <x:f>IF(OR(AH833="",AI833=""),"",--(AH833&lt;&gt;AI833))</x:f>
      </x:c>
      <x:c r="AL833" t="str">
        <x:f>IF(OR(AH833="",AI833=""),"PENDING_HUMAN",IF(AH833=AI833,AH833,IF(AK833&lt;&gt;"",AK833,"PENDING_HUMAN")))</x:f>
        <x:v>PENDING_HUMAN</x:v>
      </x:c>
      <x:c r="AM833" t="n">
        <x:f>--AND(A833&lt;&gt;"",AH833&lt;&gt;"",AI833&lt;&gt;"",OR(AH833=AI833,AK833&lt;&gt;""))</x:f>
        <x:v>0</x:v>
      </x:c>
      <x:c r="AN833" t="n">
        <x:f>--AND(Y833&lt;&gt;"",COUNTIF($Y$4:Y833,Y833)=1)</x:f>
        <x:v>0</x:v>
      </x:c>
      <x:c r="AO833" t="n">
        <x:f>--AND(AN833=1,Z833=1,AM833=1)</x:f>
        <x:v>0</x:v>
      </x:c>
      <x:c r="AP833" t="n">
        <x:f>--AND(AO833=1,AA833=1,AL833=1)</x:f>
        <x:v>0</x:v>
      </x:c>
      <x:c r="AQ833" t="n">
        <x:f>--AND(AN833=1,Z833=1)</x:f>
        <x:v>0</x:v>
      </x:c>
      <x:c r="AR833" t="n">
        <x:f>--AND(AQ833=1,AA833=1)</x:f>
        <x:v>0</x:v>
      </x:c>
    </x:row>
    <x:row r="834">
      <x:c r="A834" s="28"/>
      <x:c r="B834" s="28"/>
      <x:c r="C834" s="28"/>
      <x:c r="D834" s="28"/>
      <x:c r="E834" s="28"/>
      <x:c r="F834" s="28"/>
      <x:c r="G834" s="28"/>
      <x:c r="H834" s="28"/>
      <x:c r="I834" s="28"/>
      <x:c r="J834" s="28"/>
      <x:c r="K834" s="28"/>
      <x:c r="L834" s="28"/>
      <x:c r="M834" s="28"/>
      <x:c r="N834" s="28"/>
      <x:c r="O834" s="28"/>
      <x:c r="P834" s="28"/>
      <x:c r="Q834" s="28"/>
      <x:c r="R834" s="28"/>
      <x:c r="S834" s="28"/>
      <x:c r="T834" s="28"/>
      <x:c r="U834" s="28"/>
      <x:c r="V834" s="28"/>
      <x:c r="W834" s="28"/>
      <x:c r="X834" s="43" t="n">
        <x:f>--AND(S834=1,T834=1,U834=1,V834=1,W834=1)</x:f>
        <x:v>0</x:v>
      </x:c>
      <x:c r="AE834" s="43" t="n">
        <x:f>--AND(S834=1,M834&lt;&gt;"",M834&lt;&gt;"keep")</x:f>
        <x:v>0</x:v>
      </x:c>
      <x:c r="AG834" t="n">
        <x:f>--AND(S834=1,T834=1,U834=1,V834=1,W834=1,AE834=1)</x:f>
        <x:v>0</x:v>
      </x:c>
      <x:c r="AJ834" t="str">
        <x:f>IF(OR(AH834="",AI834=""),"",--(AH834&lt;&gt;AI834))</x:f>
      </x:c>
      <x:c r="AL834" t="str">
        <x:f>IF(OR(AH834="",AI834=""),"PENDING_HUMAN",IF(AH834=AI834,AH834,IF(AK834&lt;&gt;"",AK834,"PENDING_HUMAN")))</x:f>
        <x:v>PENDING_HUMAN</x:v>
      </x:c>
      <x:c r="AM834" t="n">
        <x:f>--AND(A834&lt;&gt;"",AH834&lt;&gt;"",AI834&lt;&gt;"",OR(AH834=AI834,AK834&lt;&gt;""))</x:f>
        <x:v>0</x:v>
      </x:c>
      <x:c r="AN834" t="n">
        <x:f>--AND(Y834&lt;&gt;"",COUNTIF($Y$4:Y834,Y834)=1)</x:f>
        <x:v>0</x:v>
      </x:c>
      <x:c r="AO834" t="n">
        <x:f>--AND(AN834=1,Z834=1,AM834=1)</x:f>
        <x:v>0</x:v>
      </x:c>
      <x:c r="AP834" t="n">
        <x:f>--AND(AO834=1,AA834=1,AL834=1)</x:f>
        <x:v>0</x:v>
      </x:c>
      <x:c r="AQ834" t="n">
        <x:f>--AND(AN834=1,Z834=1)</x:f>
        <x:v>0</x:v>
      </x:c>
      <x:c r="AR834" t="n">
        <x:f>--AND(AQ834=1,AA834=1)</x:f>
        <x:v>0</x:v>
      </x:c>
    </x:row>
    <x:row r="835">
      <x:c r="A835" s="28"/>
      <x:c r="B835" s="28"/>
      <x:c r="C835" s="28"/>
      <x:c r="D835" s="28"/>
      <x:c r="E835" s="28"/>
      <x:c r="F835" s="28"/>
      <x:c r="G835" s="28"/>
      <x:c r="H835" s="28"/>
      <x:c r="I835" s="28"/>
      <x:c r="J835" s="28"/>
      <x:c r="K835" s="28"/>
      <x:c r="L835" s="28"/>
      <x:c r="M835" s="28"/>
      <x:c r="N835" s="28"/>
      <x:c r="O835" s="28"/>
      <x:c r="P835" s="28"/>
      <x:c r="Q835" s="28"/>
      <x:c r="R835" s="28"/>
      <x:c r="S835" s="28"/>
      <x:c r="T835" s="28"/>
      <x:c r="U835" s="28"/>
      <x:c r="V835" s="28"/>
      <x:c r="W835" s="28"/>
      <x:c r="X835" s="43" t="n">
        <x:f>--AND(S835=1,T835=1,U835=1,V835=1,W835=1)</x:f>
        <x:v>0</x:v>
      </x:c>
      <x:c r="AE835" s="43" t="n">
        <x:f>--AND(S835=1,M835&lt;&gt;"",M835&lt;&gt;"keep")</x:f>
        <x:v>0</x:v>
      </x:c>
      <x:c r="AG835" t="n">
        <x:f>--AND(S835=1,T835=1,U835=1,V835=1,W835=1,AE835=1)</x:f>
        <x:v>0</x:v>
      </x:c>
      <x:c r="AJ835" t="str">
        <x:f>IF(OR(AH835="",AI835=""),"",--(AH835&lt;&gt;AI835))</x:f>
      </x:c>
      <x:c r="AL835" t="str">
        <x:f>IF(OR(AH835="",AI835=""),"PENDING_HUMAN",IF(AH835=AI835,AH835,IF(AK835&lt;&gt;"",AK835,"PENDING_HUMAN")))</x:f>
        <x:v>PENDING_HUMAN</x:v>
      </x:c>
      <x:c r="AM835" t="n">
        <x:f>--AND(A835&lt;&gt;"",AH835&lt;&gt;"",AI835&lt;&gt;"",OR(AH835=AI835,AK835&lt;&gt;""))</x:f>
        <x:v>0</x:v>
      </x:c>
      <x:c r="AN835" t="n">
        <x:f>--AND(Y835&lt;&gt;"",COUNTIF($Y$4:Y835,Y835)=1)</x:f>
        <x:v>0</x:v>
      </x:c>
      <x:c r="AO835" t="n">
        <x:f>--AND(AN835=1,Z835=1,AM835=1)</x:f>
        <x:v>0</x:v>
      </x:c>
      <x:c r="AP835" t="n">
        <x:f>--AND(AO835=1,AA835=1,AL835=1)</x:f>
        <x:v>0</x:v>
      </x:c>
      <x:c r="AQ835" t="n">
        <x:f>--AND(AN835=1,Z835=1)</x:f>
        <x:v>0</x:v>
      </x:c>
      <x:c r="AR835" t="n">
        <x:f>--AND(AQ835=1,AA835=1)</x:f>
        <x:v>0</x:v>
      </x:c>
    </x:row>
    <x:row r="836">
      <x:c r="A836" s="28"/>
      <x:c r="B836" s="28"/>
      <x:c r="C836" s="28"/>
      <x:c r="D836" s="28"/>
      <x:c r="E836" s="28"/>
      <x:c r="F836" s="28"/>
      <x:c r="G836" s="28"/>
      <x:c r="H836" s="28"/>
      <x:c r="I836" s="28"/>
      <x:c r="J836" s="28"/>
      <x:c r="K836" s="28"/>
      <x:c r="L836" s="28"/>
      <x:c r="M836" s="28"/>
      <x:c r="N836" s="28"/>
      <x:c r="O836" s="28"/>
      <x:c r="P836" s="28"/>
      <x:c r="Q836" s="28"/>
      <x:c r="R836" s="28"/>
      <x:c r="S836" s="28"/>
      <x:c r="T836" s="28"/>
      <x:c r="U836" s="28"/>
      <x:c r="V836" s="28"/>
      <x:c r="W836" s="28"/>
      <x:c r="X836" s="43" t="n">
        <x:f>--AND(S836=1,T836=1,U836=1,V836=1,W836=1)</x:f>
        <x:v>0</x:v>
      </x:c>
      <x:c r="AE836" s="43" t="n">
        <x:f>--AND(S836=1,M836&lt;&gt;"",M836&lt;&gt;"keep")</x:f>
        <x:v>0</x:v>
      </x:c>
      <x:c r="AG836" t="n">
        <x:f>--AND(S836=1,T836=1,U836=1,V836=1,W836=1,AE836=1)</x:f>
        <x:v>0</x:v>
      </x:c>
      <x:c r="AJ836" t="str">
        <x:f>IF(OR(AH836="",AI836=""),"",--(AH836&lt;&gt;AI836))</x:f>
      </x:c>
      <x:c r="AL836" t="str">
        <x:f>IF(OR(AH836="",AI836=""),"PENDING_HUMAN",IF(AH836=AI836,AH836,IF(AK836&lt;&gt;"",AK836,"PENDING_HUMAN")))</x:f>
        <x:v>PENDING_HUMAN</x:v>
      </x:c>
      <x:c r="AM836" t="n">
        <x:f>--AND(A836&lt;&gt;"",AH836&lt;&gt;"",AI836&lt;&gt;"",OR(AH836=AI836,AK836&lt;&gt;""))</x:f>
        <x:v>0</x:v>
      </x:c>
      <x:c r="AN836" t="n">
        <x:f>--AND(Y836&lt;&gt;"",COUNTIF($Y$4:Y836,Y836)=1)</x:f>
        <x:v>0</x:v>
      </x:c>
      <x:c r="AO836" t="n">
        <x:f>--AND(AN836=1,Z836=1,AM836=1)</x:f>
        <x:v>0</x:v>
      </x:c>
      <x:c r="AP836" t="n">
        <x:f>--AND(AO836=1,AA836=1,AL836=1)</x:f>
        <x:v>0</x:v>
      </x:c>
      <x:c r="AQ836" t="n">
        <x:f>--AND(AN836=1,Z836=1)</x:f>
        <x:v>0</x:v>
      </x:c>
      <x:c r="AR836" t="n">
        <x:f>--AND(AQ836=1,AA836=1)</x:f>
        <x:v>0</x:v>
      </x:c>
    </x:row>
    <x:row r="837">
      <x:c r="A837" s="28"/>
      <x:c r="B837" s="28"/>
      <x:c r="C837" s="28"/>
      <x:c r="D837" s="28"/>
      <x:c r="E837" s="28"/>
      <x:c r="F837" s="28"/>
      <x:c r="G837" s="28"/>
      <x:c r="H837" s="28"/>
      <x:c r="I837" s="28"/>
      <x:c r="J837" s="28"/>
      <x:c r="K837" s="28"/>
      <x:c r="L837" s="28"/>
      <x:c r="M837" s="28"/>
      <x:c r="N837" s="28"/>
      <x:c r="O837" s="28"/>
      <x:c r="P837" s="28"/>
      <x:c r="Q837" s="28"/>
      <x:c r="R837" s="28"/>
      <x:c r="S837" s="28"/>
      <x:c r="T837" s="28"/>
      <x:c r="U837" s="28"/>
      <x:c r="V837" s="28"/>
      <x:c r="W837" s="28"/>
      <x:c r="X837" s="43" t="n">
        <x:f>--AND(S837=1,T837=1,U837=1,V837=1,W837=1)</x:f>
        <x:v>0</x:v>
      </x:c>
      <x:c r="AE837" s="43" t="n">
        <x:f>--AND(S837=1,M837&lt;&gt;"",M837&lt;&gt;"keep")</x:f>
        <x:v>0</x:v>
      </x:c>
      <x:c r="AG837" t="n">
        <x:f>--AND(S837=1,T837=1,U837=1,V837=1,W837=1,AE837=1)</x:f>
        <x:v>0</x:v>
      </x:c>
      <x:c r="AJ837" t="str">
        <x:f>IF(OR(AH837="",AI837=""),"",--(AH837&lt;&gt;AI837))</x:f>
      </x:c>
      <x:c r="AL837" t="str">
        <x:f>IF(OR(AH837="",AI837=""),"PENDING_HUMAN",IF(AH837=AI837,AH837,IF(AK837&lt;&gt;"",AK837,"PENDING_HUMAN")))</x:f>
        <x:v>PENDING_HUMAN</x:v>
      </x:c>
      <x:c r="AM837" t="n">
        <x:f>--AND(A837&lt;&gt;"",AH837&lt;&gt;"",AI837&lt;&gt;"",OR(AH837=AI837,AK837&lt;&gt;""))</x:f>
        <x:v>0</x:v>
      </x:c>
      <x:c r="AN837" t="n">
        <x:f>--AND(Y837&lt;&gt;"",COUNTIF($Y$4:Y837,Y837)=1)</x:f>
        <x:v>0</x:v>
      </x:c>
      <x:c r="AO837" t="n">
        <x:f>--AND(AN837=1,Z837=1,AM837=1)</x:f>
        <x:v>0</x:v>
      </x:c>
      <x:c r="AP837" t="n">
        <x:f>--AND(AO837=1,AA837=1,AL837=1)</x:f>
        <x:v>0</x:v>
      </x:c>
      <x:c r="AQ837" t="n">
        <x:f>--AND(AN837=1,Z837=1)</x:f>
        <x:v>0</x:v>
      </x:c>
      <x:c r="AR837" t="n">
        <x:f>--AND(AQ837=1,AA837=1)</x:f>
        <x:v>0</x:v>
      </x:c>
    </x:row>
    <x:row r="838">
      <x:c r="A838" s="28"/>
      <x:c r="B838" s="28"/>
      <x:c r="C838" s="28"/>
      <x:c r="D838" s="28"/>
      <x:c r="E838" s="28"/>
      <x:c r="F838" s="28"/>
      <x:c r="G838" s="28"/>
      <x:c r="H838" s="28"/>
      <x:c r="I838" s="28"/>
      <x:c r="J838" s="28"/>
      <x:c r="K838" s="28"/>
      <x:c r="L838" s="28"/>
      <x:c r="M838" s="28"/>
      <x:c r="N838" s="28"/>
      <x:c r="O838" s="28"/>
      <x:c r="P838" s="28"/>
      <x:c r="Q838" s="28"/>
      <x:c r="R838" s="28"/>
      <x:c r="S838" s="28"/>
      <x:c r="T838" s="28"/>
      <x:c r="U838" s="28"/>
      <x:c r="V838" s="28"/>
      <x:c r="W838" s="28"/>
      <x:c r="X838" s="43" t="n">
        <x:f>--AND(S838=1,T838=1,U838=1,V838=1,W838=1)</x:f>
        <x:v>0</x:v>
      </x:c>
      <x:c r="AE838" s="43" t="n">
        <x:f>--AND(S838=1,M838&lt;&gt;"",M838&lt;&gt;"keep")</x:f>
        <x:v>0</x:v>
      </x:c>
      <x:c r="AG838" t="n">
        <x:f>--AND(S838=1,T838=1,U838=1,V838=1,W838=1,AE838=1)</x:f>
        <x:v>0</x:v>
      </x:c>
      <x:c r="AJ838" t="str">
        <x:f>IF(OR(AH838="",AI838=""),"",--(AH838&lt;&gt;AI838))</x:f>
      </x:c>
      <x:c r="AL838" t="str">
        <x:f>IF(OR(AH838="",AI838=""),"PENDING_HUMAN",IF(AH838=AI838,AH838,IF(AK838&lt;&gt;"",AK838,"PENDING_HUMAN")))</x:f>
        <x:v>PENDING_HUMAN</x:v>
      </x:c>
      <x:c r="AM838" t="n">
        <x:f>--AND(A838&lt;&gt;"",AH838&lt;&gt;"",AI838&lt;&gt;"",OR(AH838=AI838,AK838&lt;&gt;""))</x:f>
        <x:v>0</x:v>
      </x:c>
      <x:c r="AN838" t="n">
        <x:f>--AND(Y838&lt;&gt;"",COUNTIF($Y$4:Y838,Y838)=1)</x:f>
        <x:v>0</x:v>
      </x:c>
      <x:c r="AO838" t="n">
        <x:f>--AND(AN838=1,Z838=1,AM838=1)</x:f>
        <x:v>0</x:v>
      </x:c>
      <x:c r="AP838" t="n">
        <x:f>--AND(AO838=1,AA838=1,AL838=1)</x:f>
        <x:v>0</x:v>
      </x:c>
      <x:c r="AQ838" t="n">
        <x:f>--AND(AN838=1,Z838=1)</x:f>
        <x:v>0</x:v>
      </x:c>
      <x:c r="AR838" t="n">
        <x:f>--AND(AQ838=1,AA838=1)</x:f>
        <x:v>0</x:v>
      </x:c>
    </x:row>
    <x:row r="839">
      <x:c r="A839" s="28"/>
      <x:c r="B839" s="28"/>
      <x:c r="C839" s="28"/>
      <x:c r="D839" s="28"/>
      <x:c r="E839" s="28"/>
      <x:c r="F839" s="28"/>
      <x:c r="G839" s="28"/>
      <x:c r="H839" s="28"/>
      <x:c r="I839" s="28"/>
      <x:c r="J839" s="28"/>
      <x:c r="K839" s="28"/>
      <x:c r="L839" s="28"/>
      <x:c r="M839" s="28"/>
      <x:c r="N839" s="28"/>
      <x:c r="O839" s="28"/>
      <x:c r="P839" s="28"/>
      <x:c r="Q839" s="28"/>
      <x:c r="R839" s="28"/>
      <x:c r="S839" s="28"/>
      <x:c r="T839" s="28"/>
      <x:c r="U839" s="28"/>
      <x:c r="V839" s="28"/>
      <x:c r="W839" s="28"/>
      <x:c r="X839" s="43" t="n">
        <x:f>--AND(S839=1,T839=1,U839=1,V839=1,W839=1)</x:f>
        <x:v>0</x:v>
      </x:c>
      <x:c r="AE839" s="43" t="n">
        <x:f>--AND(S839=1,M839&lt;&gt;"",M839&lt;&gt;"keep")</x:f>
        <x:v>0</x:v>
      </x:c>
      <x:c r="AG839" t="n">
        <x:f>--AND(S839=1,T839=1,U839=1,V839=1,W839=1,AE839=1)</x:f>
        <x:v>0</x:v>
      </x:c>
      <x:c r="AJ839" t="str">
        <x:f>IF(OR(AH839="",AI839=""),"",--(AH839&lt;&gt;AI839))</x:f>
      </x:c>
      <x:c r="AL839" t="str">
        <x:f>IF(OR(AH839="",AI839=""),"PENDING_HUMAN",IF(AH839=AI839,AH839,IF(AK839&lt;&gt;"",AK839,"PENDING_HUMAN")))</x:f>
        <x:v>PENDING_HUMAN</x:v>
      </x:c>
      <x:c r="AM839" t="n">
        <x:f>--AND(A839&lt;&gt;"",AH839&lt;&gt;"",AI839&lt;&gt;"",OR(AH839=AI839,AK839&lt;&gt;""))</x:f>
        <x:v>0</x:v>
      </x:c>
      <x:c r="AN839" t="n">
        <x:f>--AND(Y839&lt;&gt;"",COUNTIF($Y$4:Y839,Y839)=1)</x:f>
        <x:v>0</x:v>
      </x:c>
      <x:c r="AO839" t="n">
        <x:f>--AND(AN839=1,Z839=1,AM839=1)</x:f>
        <x:v>0</x:v>
      </x:c>
      <x:c r="AP839" t="n">
        <x:f>--AND(AO839=1,AA839=1,AL839=1)</x:f>
        <x:v>0</x:v>
      </x:c>
      <x:c r="AQ839" t="n">
        <x:f>--AND(AN839=1,Z839=1)</x:f>
        <x:v>0</x:v>
      </x:c>
      <x:c r="AR839" t="n">
        <x:f>--AND(AQ839=1,AA839=1)</x:f>
        <x:v>0</x:v>
      </x:c>
    </x:row>
    <x:row r="840">
      <x:c r="A840" s="28"/>
      <x:c r="B840" s="28"/>
      <x:c r="C840" s="28"/>
      <x:c r="D840" s="28"/>
      <x:c r="E840" s="28"/>
      <x:c r="F840" s="28"/>
      <x:c r="G840" s="28"/>
      <x:c r="H840" s="28"/>
      <x:c r="I840" s="28"/>
      <x:c r="J840" s="28"/>
      <x:c r="K840" s="28"/>
      <x:c r="L840" s="28"/>
      <x:c r="M840" s="28"/>
      <x:c r="N840" s="28"/>
      <x:c r="O840" s="28"/>
      <x:c r="P840" s="28"/>
      <x:c r="Q840" s="28"/>
      <x:c r="R840" s="28"/>
      <x:c r="S840" s="28"/>
      <x:c r="T840" s="28"/>
      <x:c r="U840" s="28"/>
      <x:c r="V840" s="28"/>
      <x:c r="W840" s="28"/>
      <x:c r="X840" s="43" t="n">
        <x:f>--AND(S840=1,T840=1,U840=1,V840=1,W840=1)</x:f>
        <x:v>0</x:v>
      </x:c>
      <x:c r="AE840" s="43" t="n">
        <x:f>--AND(S840=1,M840&lt;&gt;"",M840&lt;&gt;"keep")</x:f>
        <x:v>0</x:v>
      </x:c>
      <x:c r="AG840" t="n">
        <x:f>--AND(S840=1,T840=1,U840=1,V840=1,W840=1,AE840=1)</x:f>
        <x:v>0</x:v>
      </x:c>
      <x:c r="AJ840" t="str">
        <x:f>IF(OR(AH840="",AI840=""),"",--(AH840&lt;&gt;AI840))</x:f>
      </x:c>
      <x:c r="AL840" t="str">
        <x:f>IF(OR(AH840="",AI840=""),"PENDING_HUMAN",IF(AH840=AI840,AH840,IF(AK840&lt;&gt;"",AK840,"PENDING_HUMAN")))</x:f>
        <x:v>PENDING_HUMAN</x:v>
      </x:c>
      <x:c r="AM840" t="n">
        <x:f>--AND(A840&lt;&gt;"",AH840&lt;&gt;"",AI840&lt;&gt;"",OR(AH840=AI840,AK840&lt;&gt;""))</x:f>
        <x:v>0</x:v>
      </x:c>
      <x:c r="AN840" t="n">
        <x:f>--AND(Y840&lt;&gt;"",COUNTIF($Y$4:Y840,Y840)=1)</x:f>
        <x:v>0</x:v>
      </x:c>
      <x:c r="AO840" t="n">
        <x:f>--AND(AN840=1,Z840=1,AM840=1)</x:f>
        <x:v>0</x:v>
      </x:c>
      <x:c r="AP840" t="n">
        <x:f>--AND(AO840=1,AA840=1,AL840=1)</x:f>
        <x:v>0</x:v>
      </x:c>
      <x:c r="AQ840" t="n">
        <x:f>--AND(AN840=1,Z840=1)</x:f>
        <x:v>0</x:v>
      </x:c>
      <x:c r="AR840" t="n">
        <x:f>--AND(AQ840=1,AA840=1)</x:f>
        <x:v>0</x:v>
      </x:c>
    </x:row>
    <x:row r="841">
      <x:c r="A841" s="28"/>
      <x:c r="B841" s="28"/>
      <x:c r="C841" s="28"/>
      <x:c r="D841" s="28"/>
      <x:c r="E841" s="28"/>
      <x:c r="F841" s="28"/>
      <x:c r="G841" s="28"/>
      <x:c r="H841" s="28"/>
      <x:c r="I841" s="28"/>
      <x:c r="J841" s="28"/>
      <x:c r="K841" s="28"/>
      <x:c r="L841" s="28"/>
      <x:c r="M841" s="28"/>
      <x:c r="N841" s="28"/>
      <x:c r="O841" s="28"/>
      <x:c r="P841" s="28"/>
      <x:c r="Q841" s="28"/>
      <x:c r="R841" s="28"/>
      <x:c r="S841" s="28"/>
      <x:c r="T841" s="28"/>
      <x:c r="U841" s="28"/>
      <x:c r="V841" s="28"/>
      <x:c r="W841" s="28"/>
      <x:c r="X841" s="43" t="n">
        <x:f>--AND(S841=1,T841=1,U841=1,V841=1,W841=1)</x:f>
        <x:v>0</x:v>
      </x:c>
      <x:c r="AE841" s="43" t="n">
        <x:f>--AND(S841=1,M841&lt;&gt;"",M841&lt;&gt;"keep")</x:f>
        <x:v>0</x:v>
      </x:c>
      <x:c r="AG841" t="n">
        <x:f>--AND(S841=1,T841=1,U841=1,V841=1,W841=1,AE841=1)</x:f>
        <x:v>0</x:v>
      </x:c>
      <x:c r="AJ841" t="str">
        <x:f>IF(OR(AH841="",AI841=""),"",--(AH841&lt;&gt;AI841))</x:f>
      </x:c>
      <x:c r="AL841" t="str">
        <x:f>IF(OR(AH841="",AI841=""),"PENDING_HUMAN",IF(AH841=AI841,AH841,IF(AK841&lt;&gt;"",AK841,"PENDING_HUMAN")))</x:f>
        <x:v>PENDING_HUMAN</x:v>
      </x:c>
      <x:c r="AM841" t="n">
        <x:f>--AND(A841&lt;&gt;"",AH841&lt;&gt;"",AI841&lt;&gt;"",OR(AH841=AI841,AK841&lt;&gt;""))</x:f>
        <x:v>0</x:v>
      </x:c>
      <x:c r="AN841" t="n">
        <x:f>--AND(Y841&lt;&gt;"",COUNTIF($Y$4:Y841,Y841)=1)</x:f>
        <x:v>0</x:v>
      </x:c>
      <x:c r="AO841" t="n">
        <x:f>--AND(AN841=1,Z841=1,AM841=1)</x:f>
        <x:v>0</x:v>
      </x:c>
      <x:c r="AP841" t="n">
        <x:f>--AND(AO841=1,AA841=1,AL841=1)</x:f>
        <x:v>0</x:v>
      </x:c>
      <x:c r="AQ841" t="n">
        <x:f>--AND(AN841=1,Z841=1)</x:f>
        <x:v>0</x:v>
      </x:c>
      <x:c r="AR841" t="n">
        <x:f>--AND(AQ841=1,AA841=1)</x:f>
        <x:v>0</x:v>
      </x:c>
    </x:row>
    <x:row r="842">
      <x:c r="A842" s="28"/>
      <x:c r="B842" s="28"/>
      <x:c r="C842" s="28"/>
      <x:c r="D842" s="28"/>
      <x:c r="E842" s="28"/>
      <x:c r="F842" s="28"/>
      <x:c r="G842" s="28"/>
      <x:c r="H842" s="28"/>
      <x:c r="I842" s="28"/>
      <x:c r="J842" s="28"/>
      <x:c r="K842" s="28"/>
      <x:c r="L842" s="28"/>
      <x:c r="M842" s="28"/>
      <x:c r="N842" s="28"/>
      <x:c r="O842" s="28"/>
      <x:c r="P842" s="28"/>
      <x:c r="Q842" s="28"/>
      <x:c r="R842" s="28"/>
      <x:c r="S842" s="28"/>
      <x:c r="T842" s="28"/>
      <x:c r="U842" s="28"/>
      <x:c r="V842" s="28"/>
      <x:c r="W842" s="28"/>
      <x:c r="X842" s="43" t="n">
        <x:f>--AND(S842=1,T842=1,U842=1,V842=1,W842=1)</x:f>
        <x:v>0</x:v>
      </x:c>
      <x:c r="AE842" s="43" t="n">
        <x:f>--AND(S842=1,M842&lt;&gt;"",M842&lt;&gt;"keep")</x:f>
        <x:v>0</x:v>
      </x:c>
      <x:c r="AG842" t="n">
        <x:f>--AND(S842=1,T842=1,U842=1,V842=1,W842=1,AE842=1)</x:f>
        <x:v>0</x:v>
      </x:c>
      <x:c r="AJ842" t="str">
        <x:f>IF(OR(AH842="",AI842=""),"",--(AH842&lt;&gt;AI842))</x:f>
      </x:c>
      <x:c r="AL842" t="str">
        <x:f>IF(OR(AH842="",AI842=""),"PENDING_HUMAN",IF(AH842=AI842,AH842,IF(AK842&lt;&gt;"",AK842,"PENDING_HUMAN")))</x:f>
        <x:v>PENDING_HUMAN</x:v>
      </x:c>
      <x:c r="AM842" t="n">
        <x:f>--AND(A842&lt;&gt;"",AH842&lt;&gt;"",AI842&lt;&gt;"",OR(AH842=AI842,AK842&lt;&gt;""))</x:f>
        <x:v>0</x:v>
      </x:c>
      <x:c r="AN842" t="n">
        <x:f>--AND(Y842&lt;&gt;"",COUNTIF($Y$4:Y842,Y842)=1)</x:f>
        <x:v>0</x:v>
      </x:c>
      <x:c r="AO842" t="n">
        <x:f>--AND(AN842=1,Z842=1,AM842=1)</x:f>
        <x:v>0</x:v>
      </x:c>
      <x:c r="AP842" t="n">
        <x:f>--AND(AO842=1,AA842=1,AL842=1)</x:f>
        <x:v>0</x:v>
      </x:c>
      <x:c r="AQ842" t="n">
        <x:f>--AND(AN842=1,Z842=1)</x:f>
        <x:v>0</x:v>
      </x:c>
      <x:c r="AR842" t="n">
        <x:f>--AND(AQ842=1,AA842=1)</x:f>
        <x:v>0</x:v>
      </x:c>
    </x:row>
    <x:row r="843">
      <x:c r="A843" s="28"/>
      <x:c r="B843" s="28"/>
      <x:c r="C843" s="28"/>
      <x:c r="D843" s="28"/>
      <x:c r="E843" s="28"/>
      <x:c r="F843" s="28"/>
      <x:c r="G843" s="28"/>
      <x:c r="H843" s="28"/>
      <x:c r="I843" s="28"/>
      <x:c r="J843" s="28"/>
      <x:c r="K843" s="28"/>
      <x:c r="L843" s="28"/>
      <x:c r="M843" s="28"/>
      <x:c r="N843" s="28"/>
      <x:c r="O843" s="28"/>
      <x:c r="P843" s="28"/>
      <x:c r="Q843" s="28"/>
      <x:c r="R843" s="28"/>
      <x:c r="S843" s="28"/>
      <x:c r="T843" s="28"/>
      <x:c r="U843" s="28"/>
      <x:c r="V843" s="28"/>
      <x:c r="W843" s="28"/>
      <x:c r="X843" s="43" t="n">
        <x:f>--AND(S843=1,T843=1,U843=1,V843=1,W843=1)</x:f>
        <x:v>0</x:v>
      </x:c>
      <x:c r="AE843" s="43" t="n">
        <x:f>--AND(S843=1,M843&lt;&gt;"",M843&lt;&gt;"keep")</x:f>
        <x:v>0</x:v>
      </x:c>
      <x:c r="AG843" t="n">
        <x:f>--AND(S843=1,T843=1,U843=1,V843=1,W843=1,AE843=1)</x:f>
        <x:v>0</x:v>
      </x:c>
      <x:c r="AJ843" t="str">
        <x:f>IF(OR(AH843="",AI843=""),"",--(AH843&lt;&gt;AI843))</x:f>
      </x:c>
      <x:c r="AL843" t="str">
        <x:f>IF(OR(AH843="",AI843=""),"PENDING_HUMAN",IF(AH843=AI843,AH843,IF(AK843&lt;&gt;"",AK843,"PENDING_HUMAN")))</x:f>
        <x:v>PENDING_HUMAN</x:v>
      </x:c>
      <x:c r="AM843" t="n">
        <x:f>--AND(A843&lt;&gt;"",AH843&lt;&gt;"",AI843&lt;&gt;"",OR(AH843=AI843,AK843&lt;&gt;""))</x:f>
        <x:v>0</x:v>
      </x:c>
      <x:c r="AN843" t="n">
        <x:f>--AND(Y843&lt;&gt;"",COUNTIF($Y$4:Y843,Y843)=1)</x:f>
        <x:v>0</x:v>
      </x:c>
      <x:c r="AO843" t="n">
        <x:f>--AND(AN843=1,Z843=1,AM843=1)</x:f>
        <x:v>0</x:v>
      </x:c>
      <x:c r="AP843" t="n">
        <x:f>--AND(AO843=1,AA843=1,AL843=1)</x:f>
        <x:v>0</x:v>
      </x:c>
      <x:c r="AQ843" t="n">
        <x:f>--AND(AN843=1,Z843=1)</x:f>
        <x:v>0</x:v>
      </x:c>
      <x:c r="AR843" t="n">
        <x:f>--AND(AQ843=1,AA843=1)</x:f>
        <x:v>0</x:v>
      </x:c>
    </x:row>
    <x:row r="844">
      <x:c r="A844" s="28"/>
      <x:c r="B844" s="28"/>
      <x:c r="C844" s="28"/>
      <x:c r="D844" s="28"/>
      <x:c r="E844" s="28"/>
      <x:c r="F844" s="28"/>
      <x:c r="G844" s="28"/>
      <x:c r="H844" s="28"/>
      <x:c r="I844" s="28"/>
      <x:c r="J844" s="28"/>
      <x:c r="K844" s="28"/>
      <x:c r="L844" s="28"/>
      <x:c r="M844" s="28"/>
      <x:c r="N844" s="28"/>
      <x:c r="O844" s="28"/>
      <x:c r="P844" s="28"/>
      <x:c r="Q844" s="28"/>
      <x:c r="R844" s="28"/>
      <x:c r="S844" s="28"/>
      <x:c r="T844" s="28"/>
      <x:c r="U844" s="28"/>
      <x:c r="V844" s="28"/>
      <x:c r="W844" s="28"/>
      <x:c r="X844" s="43" t="n">
        <x:f>--AND(S844=1,T844=1,U844=1,V844=1,W844=1)</x:f>
        <x:v>0</x:v>
      </x:c>
      <x:c r="AE844" s="43" t="n">
        <x:f>--AND(S844=1,M844&lt;&gt;"",M844&lt;&gt;"keep")</x:f>
        <x:v>0</x:v>
      </x:c>
      <x:c r="AG844" t="n">
        <x:f>--AND(S844=1,T844=1,U844=1,V844=1,W844=1,AE844=1)</x:f>
        <x:v>0</x:v>
      </x:c>
      <x:c r="AJ844" t="str">
        <x:f>IF(OR(AH844="",AI844=""),"",--(AH844&lt;&gt;AI844))</x:f>
      </x:c>
      <x:c r="AL844" t="str">
        <x:f>IF(OR(AH844="",AI844=""),"PENDING_HUMAN",IF(AH844=AI844,AH844,IF(AK844&lt;&gt;"",AK844,"PENDING_HUMAN")))</x:f>
        <x:v>PENDING_HUMAN</x:v>
      </x:c>
      <x:c r="AM844" t="n">
        <x:f>--AND(A844&lt;&gt;"",AH844&lt;&gt;"",AI844&lt;&gt;"",OR(AH844=AI844,AK844&lt;&gt;""))</x:f>
        <x:v>0</x:v>
      </x:c>
      <x:c r="AN844" t="n">
        <x:f>--AND(Y844&lt;&gt;"",COUNTIF($Y$4:Y844,Y844)=1)</x:f>
        <x:v>0</x:v>
      </x:c>
      <x:c r="AO844" t="n">
        <x:f>--AND(AN844=1,Z844=1,AM844=1)</x:f>
        <x:v>0</x:v>
      </x:c>
      <x:c r="AP844" t="n">
        <x:f>--AND(AO844=1,AA844=1,AL844=1)</x:f>
        <x:v>0</x:v>
      </x:c>
      <x:c r="AQ844" t="n">
        <x:f>--AND(AN844=1,Z844=1)</x:f>
        <x:v>0</x:v>
      </x:c>
      <x:c r="AR844" t="n">
        <x:f>--AND(AQ844=1,AA844=1)</x:f>
        <x:v>0</x:v>
      </x:c>
    </x:row>
    <x:row r="845">
      <x:c r="A845" s="28"/>
      <x:c r="B845" s="28"/>
      <x:c r="C845" s="28"/>
      <x:c r="D845" s="28"/>
      <x:c r="E845" s="28"/>
      <x:c r="F845" s="28"/>
      <x:c r="G845" s="28"/>
      <x:c r="H845" s="28"/>
      <x:c r="I845" s="28"/>
      <x:c r="J845" s="28"/>
      <x:c r="K845" s="28"/>
      <x:c r="L845" s="28"/>
      <x:c r="M845" s="28"/>
      <x:c r="N845" s="28"/>
      <x:c r="O845" s="28"/>
      <x:c r="P845" s="28"/>
      <x:c r="Q845" s="28"/>
      <x:c r="R845" s="28"/>
      <x:c r="S845" s="28"/>
      <x:c r="T845" s="28"/>
      <x:c r="U845" s="28"/>
      <x:c r="V845" s="28"/>
      <x:c r="W845" s="28"/>
      <x:c r="X845" s="43" t="n">
        <x:f>--AND(S845=1,T845=1,U845=1,V845=1,W845=1)</x:f>
        <x:v>0</x:v>
      </x:c>
      <x:c r="AE845" s="43" t="n">
        <x:f>--AND(S845=1,M845&lt;&gt;"",M845&lt;&gt;"keep")</x:f>
        <x:v>0</x:v>
      </x:c>
      <x:c r="AG845" t="n">
        <x:f>--AND(S845=1,T845=1,U845=1,V845=1,W845=1,AE845=1)</x:f>
        <x:v>0</x:v>
      </x:c>
      <x:c r="AJ845" t="str">
        <x:f>IF(OR(AH845="",AI845=""),"",--(AH845&lt;&gt;AI845))</x:f>
      </x:c>
      <x:c r="AL845" t="str">
        <x:f>IF(OR(AH845="",AI845=""),"PENDING_HUMAN",IF(AH845=AI845,AH845,IF(AK845&lt;&gt;"",AK845,"PENDING_HUMAN")))</x:f>
        <x:v>PENDING_HUMAN</x:v>
      </x:c>
      <x:c r="AM845" t="n">
        <x:f>--AND(A845&lt;&gt;"",AH845&lt;&gt;"",AI845&lt;&gt;"",OR(AH845=AI845,AK845&lt;&gt;""))</x:f>
        <x:v>0</x:v>
      </x:c>
      <x:c r="AN845" t="n">
        <x:f>--AND(Y845&lt;&gt;"",COUNTIF($Y$4:Y845,Y845)=1)</x:f>
        <x:v>0</x:v>
      </x:c>
      <x:c r="AO845" t="n">
        <x:f>--AND(AN845=1,Z845=1,AM845=1)</x:f>
        <x:v>0</x:v>
      </x:c>
      <x:c r="AP845" t="n">
        <x:f>--AND(AO845=1,AA845=1,AL845=1)</x:f>
        <x:v>0</x:v>
      </x:c>
      <x:c r="AQ845" t="n">
        <x:f>--AND(AN845=1,Z845=1)</x:f>
        <x:v>0</x:v>
      </x:c>
      <x:c r="AR845" t="n">
        <x:f>--AND(AQ845=1,AA845=1)</x:f>
        <x:v>0</x:v>
      </x:c>
    </x:row>
    <x:row r="846">
      <x:c r="A846" s="28"/>
      <x:c r="B846" s="28"/>
      <x:c r="C846" s="28"/>
      <x:c r="D846" s="28"/>
      <x:c r="E846" s="28"/>
      <x:c r="F846" s="28"/>
      <x:c r="G846" s="28"/>
      <x:c r="H846" s="28"/>
      <x:c r="I846" s="28"/>
      <x:c r="J846" s="28"/>
      <x:c r="K846" s="28"/>
      <x:c r="L846" s="28"/>
      <x:c r="M846" s="28"/>
      <x:c r="N846" s="28"/>
      <x:c r="O846" s="28"/>
      <x:c r="P846" s="28"/>
      <x:c r="Q846" s="28"/>
      <x:c r="R846" s="28"/>
      <x:c r="S846" s="28"/>
      <x:c r="T846" s="28"/>
      <x:c r="U846" s="28"/>
      <x:c r="V846" s="28"/>
      <x:c r="W846" s="28"/>
      <x:c r="X846" s="43" t="n">
        <x:f>--AND(S846=1,T846=1,U846=1,V846=1,W846=1)</x:f>
        <x:v>0</x:v>
      </x:c>
      <x:c r="AE846" s="43" t="n">
        <x:f>--AND(S846=1,M846&lt;&gt;"",M846&lt;&gt;"keep")</x:f>
        <x:v>0</x:v>
      </x:c>
      <x:c r="AG846" t="n">
        <x:f>--AND(S846=1,T846=1,U846=1,V846=1,W846=1,AE846=1)</x:f>
        <x:v>0</x:v>
      </x:c>
      <x:c r="AJ846" t="str">
        <x:f>IF(OR(AH846="",AI846=""),"",--(AH846&lt;&gt;AI846))</x:f>
      </x:c>
      <x:c r="AL846" t="str">
        <x:f>IF(OR(AH846="",AI846=""),"PENDING_HUMAN",IF(AH846=AI846,AH846,IF(AK846&lt;&gt;"",AK846,"PENDING_HUMAN")))</x:f>
        <x:v>PENDING_HUMAN</x:v>
      </x:c>
      <x:c r="AM846" t="n">
        <x:f>--AND(A846&lt;&gt;"",AH846&lt;&gt;"",AI846&lt;&gt;"",OR(AH846=AI846,AK846&lt;&gt;""))</x:f>
        <x:v>0</x:v>
      </x:c>
      <x:c r="AN846" t="n">
        <x:f>--AND(Y846&lt;&gt;"",COUNTIF($Y$4:Y846,Y846)=1)</x:f>
        <x:v>0</x:v>
      </x:c>
      <x:c r="AO846" t="n">
        <x:f>--AND(AN846=1,Z846=1,AM846=1)</x:f>
        <x:v>0</x:v>
      </x:c>
      <x:c r="AP846" t="n">
        <x:f>--AND(AO846=1,AA846=1,AL846=1)</x:f>
        <x:v>0</x:v>
      </x:c>
      <x:c r="AQ846" t="n">
        <x:f>--AND(AN846=1,Z846=1)</x:f>
        <x:v>0</x:v>
      </x:c>
      <x:c r="AR846" t="n">
        <x:f>--AND(AQ846=1,AA846=1)</x:f>
        <x:v>0</x:v>
      </x:c>
    </x:row>
    <x:row r="847">
      <x:c r="A847" s="28"/>
      <x:c r="B847" s="28"/>
      <x:c r="C847" s="28"/>
      <x:c r="D847" s="28"/>
      <x:c r="E847" s="28"/>
      <x:c r="F847" s="28"/>
      <x:c r="G847" s="28"/>
      <x:c r="H847" s="28"/>
      <x:c r="I847" s="28"/>
      <x:c r="J847" s="28"/>
      <x:c r="K847" s="28"/>
      <x:c r="L847" s="28"/>
      <x:c r="M847" s="28"/>
      <x:c r="N847" s="28"/>
      <x:c r="O847" s="28"/>
      <x:c r="P847" s="28"/>
      <x:c r="Q847" s="28"/>
      <x:c r="R847" s="28"/>
      <x:c r="S847" s="28"/>
      <x:c r="T847" s="28"/>
      <x:c r="U847" s="28"/>
      <x:c r="V847" s="28"/>
      <x:c r="W847" s="28"/>
      <x:c r="X847" s="43" t="n">
        <x:f>--AND(S847=1,T847=1,U847=1,V847=1,W847=1)</x:f>
        <x:v>0</x:v>
      </x:c>
      <x:c r="AE847" s="43" t="n">
        <x:f>--AND(S847=1,M847&lt;&gt;"",M847&lt;&gt;"keep")</x:f>
        <x:v>0</x:v>
      </x:c>
      <x:c r="AG847" t="n">
        <x:f>--AND(S847=1,T847=1,U847=1,V847=1,W847=1,AE847=1)</x:f>
        <x:v>0</x:v>
      </x:c>
      <x:c r="AJ847" t="str">
        <x:f>IF(OR(AH847="",AI847=""),"",--(AH847&lt;&gt;AI847))</x:f>
      </x:c>
      <x:c r="AL847" t="str">
        <x:f>IF(OR(AH847="",AI847=""),"PENDING_HUMAN",IF(AH847=AI847,AH847,IF(AK847&lt;&gt;"",AK847,"PENDING_HUMAN")))</x:f>
        <x:v>PENDING_HUMAN</x:v>
      </x:c>
      <x:c r="AM847" t="n">
        <x:f>--AND(A847&lt;&gt;"",AH847&lt;&gt;"",AI847&lt;&gt;"",OR(AH847=AI847,AK847&lt;&gt;""))</x:f>
        <x:v>0</x:v>
      </x:c>
      <x:c r="AN847" t="n">
        <x:f>--AND(Y847&lt;&gt;"",COUNTIF($Y$4:Y847,Y847)=1)</x:f>
        <x:v>0</x:v>
      </x:c>
      <x:c r="AO847" t="n">
        <x:f>--AND(AN847=1,Z847=1,AM847=1)</x:f>
        <x:v>0</x:v>
      </x:c>
      <x:c r="AP847" t="n">
        <x:f>--AND(AO847=1,AA847=1,AL847=1)</x:f>
        <x:v>0</x:v>
      </x:c>
      <x:c r="AQ847" t="n">
        <x:f>--AND(AN847=1,Z847=1)</x:f>
        <x:v>0</x:v>
      </x:c>
      <x:c r="AR847" t="n">
        <x:f>--AND(AQ847=1,AA847=1)</x:f>
        <x:v>0</x:v>
      </x:c>
    </x:row>
    <x:row r="848">
      <x:c r="A848" s="28"/>
      <x:c r="B848" s="28"/>
      <x:c r="C848" s="28"/>
      <x:c r="D848" s="28"/>
      <x:c r="E848" s="28"/>
      <x:c r="F848" s="28"/>
      <x:c r="G848" s="28"/>
      <x:c r="H848" s="28"/>
      <x:c r="I848" s="28"/>
      <x:c r="J848" s="28"/>
      <x:c r="K848" s="28"/>
      <x:c r="L848" s="28"/>
      <x:c r="M848" s="28"/>
      <x:c r="N848" s="28"/>
      <x:c r="O848" s="28"/>
      <x:c r="P848" s="28"/>
      <x:c r="Q848" s="28"/>
      <x:c r="R848" s="28"/>
      <x:c r="S848" s="28"/>
      <x:c r="T848" s="28"/>
      <x:c r="U848" s="28"/>
      <x:c r="V848" s="28"/>
      <x:c r="W848" s="28"/>
      <x:c r="X848" s="43" t="n">
        <x:f>--AND(S848=1,T848=1,U848=1,V848=1,W848=1)</x:f>
        <x:v>0</x:v>
      </x:c>
      <x:c r="AE848" s="43" t="n">
        <x:f>--AND(S848=1,M848&lt;&gt;"",M848&lt;&gt;"keep")</x:f>
        <x:v>0</x:v>
      </x:c>
      <x:c r="AG848" t="n">
        <x:f>--AND(S848=1,T848=1,U848=1,V848=1,W848=1,AE848=1)</x:f>
        <x:v>0</x:v>
      </x:c>
      <x:c r="AJ848" t="str">
        <x:f>IF(OR(AH848="",AI848=""),"",--(AH848&lt;&gt;AI848))</x:f>
      </x:c>
      <x:c r="AL848" t="str">
        <x:f>IF(OR(AH848="",AI848=""),"PENDING_HUMAN",IF(AH848=AI848,AH848,IF(AK848&lt;&gt;"",AK848,"PENDING_HUMAN")))</x:f>
        <x:v>PENDING_HUMAN</x:v>
      </x:c>
      <x:c r="AM848" t="n">
        <x:f>--AND(A848&lt;&gt;"",AH848&lt;&gt;"",AI848&lt;&gt;"",OR(AH848=AI848,AK848&lt;&gt;""))</x:f>
        <x:v>0</x:v>
      </x:c>
      <x:c r="AN848" t="n">
        <x:f>--AND(Y848&lt;&gt;"",COUNTIF($Y$4:Y848,Y848)=1)</x:f>
        <x:v>0</x:v>
      </x:c>
      <x:c r="AO848" t="n">
        <x:f>--AND(AN848=1,Z848=1,AM848=1)</x:f>
        <x:v>0</x:v>
      </x:c>
      <x:c r="AP848" t="n">
        <x:f>--AND(AO848=1,AA848=1,AL848=1)</x:f>
        <x:v>0</x:v>
      </x:c>
      <x:c r="AQ848" t="n">
        <x:f>--AND(AN848=1,Z848=1)</x:f>
        <x:v>0</x:v>
      </x:c>
      <x:c r="AR848" t="n">
        <x:f>--AND(AQ848=1,AA848=1)</x:f>
        <x:v>0</x:v>
      </x:c>
    </x:row>
    <x:row r="849">
      <x:c r="A849" s="28"/>
      <x:c r="B849" s="28"/>
      <x:c r="C849" s="28"/>
      <x:c r="D849" s="28"/>
      <x:c r="E849" s="28"/>
      <x:c r="F849" s="28"/>
      <x:c r="G849" s="28"/>
      <x:c r="H849" s="28"/>
      <x:c r="I849" s="28"/>
      <x:c r="J849" s="28"/>
      <x:c r="K849" s="28"/>
      <x:c r="L849" s="28"/>
      <x:c r="M849" s="28"/>
      <x:c r="N849" s="28"/>
      <x:c r="O849" s="28"/>
      <x:c r="P849" s="28"/>
      <x:c r="Q849" s="28"/>
      <x:c r="R849" s="28"/>
      <x:c r="S849" s="28"/>
      <x:c r="T849" s="28"/>
      <x:c r="U849" s="28"/>
      <x:c r="V849" s="28"/>
      <x:c r="W849" s="28"/>
      <x:c r="X849" s="43" t="n">
        <x:f>--AND(S849=1,T849=1,U849=1,V849=1,W849=1)</x:f>
        <x:v>0</x:v>
      </x:c>
      <x:c r="AE849" s="43" t="n">
        <x:f>--AND(S849=1,M849&lt;&gt;"",M849&lt;&gt;"keep")</x:f>
        <x:v>0</x:v>
      </x:c>
      <x:c r="AG849" t="n">
        <x:f>--AND(S849=1,T849=1,U849=1,V849=1,W849=1,AE849=1)</x:f>
        <x:v>0</x:v>
      </x:c>
      <x:c r="AJ849" t="str">
        <x:f>IF(OR(AH849="",AI849=""),"",--(AH849&lt;&gt;AI849))</x:f>
      </x:c>
      <x:c r="AL849" t="str">
        <x:f>IF(OR(AH849="",AI849=""),"PENDING_HUMAN",IF(AH849=AI849,AH849,IF(AK849&lt;&gt;"",AK849,"PENDING_HUMAN")))</x:f>
        <x:v>PENDING_HUMAN</x:v>
      </x:c>
      <x:c r="AM849" t="n">
        <x:f>--AND(A849&lt;&gt;"",AH849&lt;&gt;"",AI849&lt;&gt;"",OR(AH849=AI849,AK849&lt;&gt;""))</x:f>
        <x:v>0</x:v>
      </x:c>
      <x:c r="AN849" t="n">
        <x:f>--AND(Y849&lt;&gt;"",COUNTIF($Y$4:Y849,Y849)=1)</x:f>
        <x:v>0</x:v>
      </x:c>
      <x:c r="AO849" t="n">
        <x:f>--AND(AN849=1,Z849=1,AM849=1)</x:f>
        <x:v>0</x:v>
      </x:c>
      <x:c r="AP849" t="n">
        <x:f>--AND(AO849=1,AA849=1,AL849=1)</x:f>
        <x:v>0</x:v>
      </x:c>
      <x:c r="AQ849" t="n">
        <x:f>--AND(AN849=1,Z849=1)</x:f>
        <x:v>0</x:v>
      </x:c>
      <x:c r="AR849" t="n">
        <x:f>--AND(AQ849=1,AA849=1)</x:f>
        <x:v>0</x:v>
      </x:c>
    </x:row>
    <x:row r="850">
      <x:c r="A850" s="28"/>
      <x:c r="B850" s="28"/>
      <x:c r="C850" s="28"/>
      <x:c r="D850" s="28"/>
      <x:c r="E850" s="28"/>
      <x:c r="F850" s="28"/>
      <x:c r="G850" s="28"/>
      <x:c r="H850" s="28"/>
      <x:c r="I850" s="28"/>
      <x:c r="J850" s="28"/>
      <x:c r="K850" s="28"/>
      <x:c r="L850" s="28"/>
      <x:c r="M850" s="28"/>
      <x:c r="N850" s="28"/>
      <x:c r="O850" s="28"/>
      <x:c r="P850" s="28"/>
      <x:c r="Q850" s="28"/>
      <x:c r="R850" s="28"/>
      <x:c r="S850" s="28"/>
      <x:c r="T850" s="28"/>
      <x:c r="U850" s="28"/>
      <x:c r="V850" s="28"/>
      <x:c r="W850" s="28"/>
      <x:c r="X850" s="43" t="n">
        <x:f>--AND(S850=1,T850=1,U850=1,V850=1,W850=1)</x:f>
        <x:v>0</x:v>
      </x:c>
      <x:c r="AE850" s="43" t="n">
        <x:f>--AND(S850=1,M850&lt;&gt;"",M850&lt;&gt;"keep")</x:f>
        <x:v>0</x:v>
      </x:c>
      <x:c r="AG850" t="n">
        <x:f>--AND(S850=1,T850=1,U850=1,V850=1,W850=1,AE850=1)</x:f>
        <x:v>0</x:v>
      </x:c>
      <x:c r="AJ850" t="str">
        <x:f>IF(OR(AH850="",AI850=""),"",--(AH850&lt;&gt;AI850))</x:f>
      </x:c>
      <x:c r="AL850" t="str">
        <x:f>IF(OR(AH850="",AI850=""),"PENDING_HUMAN",IF(AH850=AI850,AH850,IF(AK850&lt;&gt;"",AK850,"PENDING_HUMAN")))</x:f>
        <x:v>PENDING_HUMAN</x:v>
      </x:c>
      <x:c r="AM850" t="n">
        <x:f>--AND(A850&lt;&gt;"",AH850&lt;&gt;"",AI850&lt;&gt;"",OR(AH850=AI850,AK850&lt;&gt;""))</x:f>
        <x:v>0</x:v>
      </x:c>
      <x:c r="AN850" t="n">
        <x:f>--AND(Y850&lt;&gt;"",COUNTIF($Y$4:Y850,Y850)=1)</x:f>
        <x:v>0</x:v>
      </x:c>
      <x:c r="AO850" t="n">
        <x:f>--AND(AN850=1,Z850=1,AM850=1)</x:f>
        <x:v>0</x:v>
      </x:c>
      <x:c r="AP850" t="n">
        <x:f>--AND(AO850=1,AA850=1,AL850=1)</x:f>
        <x:v>0</x:v>
      </x:c>
      <x:c r="AQ850" t="n">
        <x:f>--AND(AN850=1,Z850=1)</x:f>
        <x:v>0</x:v>
      </x:c>
      <x:c r="AR850" t="n">
        <x:f>--AND(AQ850=1,AA850=1)</x:f>
        <x:v>0</x:v>
      </x:c>
    </x:row>
    <x:row r="851">
      <x:c r="A851" s="28"/>
      <x:c r="B851" s="28"/>
      <x:c r="C851" s="28"/>
      <x:c r="D851" s="28"/>
      <x:c r="E851" s="28"/>
      <x:c r="F851" s="28"/>
      <x:c r="G851" s="28"/>
      <x:c r="H851" s="28"/>
      <x:c r="I851" s="28"/>
      <x:c r="J851" s="28"/>
      <x:c r="K851" s="28"/>
      <x:c r="L851" s="28"/>
      <x:c r="M851" s="28"/>
      <x:c r="N851" s="28"/>
      <x:c r="O851" s="28"/>
      <x:c r="P851" s="28"/>
      <x:c r="Q851" s="28"/>
      <x:c r="R851" s="28"/>
      <x:c r="S851" s="28"/>
      <x:c r="T851" s="28"/>
      <x:c r="U851" s="28"/>
      <x:c r="V851" s="28"/>
      <x:c r="W851" s="28"/>
      <x:c r="X851" s="43" t="n">
        <x:f>--AND(S851=1,T851=1,U851=1,V851=1,W851=1)</x:f>
        <x:v>0</x:v>
      </x:c>
      <x:c r="AE851" s="43" t="n">
        <x:f>--AND(S851=1,M851&lt;&gt;"",M851&lt;&gt;"keep")</x:f>
        <x:v>0</x:v>
      </x:c>
      <x:c r="AG851" t="n">
        <x:f>--AND(S851=1,T851=1,U851=1,V851=1,W851=1,AE851=1)</x:f>
        <x:v>0</x:v>
      </x:c>
      <x:c r="AJ851" t="str">
        <x:f>IF(OR(AH851="",AI851=""),"",--(AH851&lt;&gt;AI851))</x:f>
      </x:c>
      <x:c r="AL851" t="str">
        <x:f>IF(OR(AH851="",AI851=""),"PENDING_HUMAN",IF(AH851=AI851,AH851,IF(AK851&lt;&gt;"",AK851,"PENDING_HUMAN")))</x:f>
        <x:v>PENDING_HUMAN</x:v>
      </x:c>
      <x:c r="AM851" t="n">
        <x:f>--AND(A851&lt;&gt;"",AH851&lt;&gt;"",AI851&lt;&gt;"",OR(AH851=AI851,AK851&lt;&gt;""))</x:f>
        <x:v>0</x:v>
      </x:c>
      <x:c r="AN851" t="n">
        <x:f>--AND(Y851&lt;&gt;"",COUNTIF($Y$4:Y851,Y851)=1)</x:f>
        <x:v>0</x:v>
      </x:c>
      <x:c r="AO851" t="n">
        <x:f>--AND(AN851=1,Z851=1,AM851=1)</x:f>
        <x:v>0</x:v>
      </x:c>
      <x:c r="AP851" t="n">
        <x:f>--AND(AO851=1,AA851=1,AL851=1)</x:f>
        <x:v>0</x:v>
      </x:c>
      <x:c r="AQ851" t="n">
        <x:f>--AND(AN851=1,Z851=1)</x:f>
        <x:v>0</x:v>
      </x:c>
      <x:c r="AR851" t="n">
        <x:f>--AND(AQ851=1,AA851=1)</x:f>
        <x:v>0</x:v>
      </x:c>
    </x:row>
    <x:row r="852">
      <x:c r="A852" s="28"/>
      <x:c r="B852" s="28"/>
      <x:c r="C852" s="28"/>
      <x:c r="D852" s="28"/>
      <x:c r="E852" s="28"/>
      <x:c r="F852" s="28"/>
      <x:c r="G852" s="28"/>
      <x:c r="H852" s="28"/>
      <x:c r="I852" s="28"/>
      <x:c r="J852" s="28"/>
      <x:c r="K852" s="28"/>
      <x:c r="L852" s="28"/>
      <x:c r="M852" s="28"/>
      <x:c r="N852" s="28"/>
      <x:c r="O852" s="28"/>
      <x:c r="P852" s="28"/>
      <x:c r="Q852" s="28"/>
      <x:c r="R852" s="28"/>
      <x:c r="S852" s="28"/>
      <x:c r="T852" s="28"/>
      <x:c r="U852" s="28"/>
      <x:c r="V852" s="28"/>
      <x:c r="W852" s="28"/>
      <x:c r="X852" s="43" t="n">
        <x:f>--AND(S852=1,T852=1,U852=1,V852=1,W852=1)</x:f>
        <x:v>0</x:v>
      </x:c>
      <x:c r="AE852" s="43" t="n">
        <x:f>--AND(S852=1,M852&lt;&gt;"",M852&lt;&gt;"keep")</x:f>
        <x:v>0</x:v>
      </x:c>
      <x:c r="AG852" t="n">
        <x:f>--AND(S852=1,T852=1,U852=1,V852=1,W852=1,AE852=1)</x:f>
        <x:v>0</x:v>
      </x:c>
      <x:c r="AJ852" t="str">
        <x:f>IF(OR(AH852="",AI852=""),"",--(AH852&lt;&gt;AI852))</x:f>
      </x:c>
      <x:c r="AL852" t="str">
        <x:f>IF(OR(AH852="",AI852=""),"PENDING_HUMAN",IF(AH852=AI852,AH852,IF(AK852&lt;&gt;"",AK852,"PENDING_HUMAN")))</x:f>
        <x:v>PENDING_HUMAN</x:v>
      </x:c>
      <x:c r="AM852" t="n">
        <x:f>--AND(A852&lt;&gt;"",AH852&lt;&gt;"",AI852&lt;&gt;"",OR(AH852=AI852,AK852&lt;&gt;""))</x:f>
        <x:v>0</x:v>
      </x:c>
      <x:c r="AN852" t="n">
        <x:f>--AND(Y852&lt;&gt;"",COUNTIF($Y$4:Y852,Y852)=1)</x:f>
        <x:v>0</x:v>
      </x:c>
      <x:c r="AO852" t="n">
        <x:f>--AND(AN852=1,Z852=1,AM852=1)</x:f>
        <x:v>0</x:v>
      </x:c>
      <x:c r="AP852" t="n">
        <x:f>--AND(AO852=1,AA852=1,AL852=1)</x:f>
        <x:v>0</x:v>
      </x:c>
      <x:c r="AQ852" t="n">
        <x:f>--AND(AN852=1,Z852=1)</x:f>
        <x:v>0</x:v>
      </x:c>
      <x:c r="AR852" t="n">
        <x:f>--AND(AQ852=1,AA852=1)</x:f>
        <x:v>0</x:v>
      </x:c>
    </x:row>
    <x:row r="853">
      <x:c r="A853" s="28"/>
      <x:c r="B853" s="28"/>
      <x:c r="C853" s="28"/>
      <x:c r="D853" s="28"/>
      <x:c r="E853" s="28"/>
      <x:c r="F853" s="28"/>
      <x:c r="G853" s="28"/>
      <x:c r="H853" s="28"/>
      <x:c r="I853" s="28"/>
      <x:c r="J853" s="28"/>
      <x:c r="K853" s="28"/>
      <x:c r="L853" s="28"/>
      <x:c r="M853" s="28"/>
      <x:c r="N853" s="28"/>
      <x:c r="O853" s="28"/>
      <x:c r="P853" s="28"/>
      <x:c r="Q853" s="28"/>
      <x:c r="R853" s="28"/>
      <x:c r="S853" s="28"/>
      <x:c r="T853" s="28"/>
      <x:c r="U853" s="28"/>
      <x:c r="V853" s="28"/>
      <x:c r="W853" s="28"/>
      <x:c r="X853" s="43" t="n">
        <x:f>--AND(S853=1,T853=1,U853=1,V853=1,W853=1)</x:f>
        <x:v>0</x:v>
      </x:c>
      <x:c r="AE853" s="43" t="n">
        <x:f>--AND(S853=1,M853&lt;&gt;"",M853&lt;&gt;"keep")</x:f>
        <x:v>0</x:v>
      </x:c>
      <x:c r="AG853" t="n">
        <x:f>--AND(S853=1,T853=1,U853=1,V853=1,W853=1,AE853=1)</x:f>
        <x:v>0</x:v>
      </x:c>
      <x:c r="AJ853" t="str">
        <x:f>IF(OR(AH853="",AI853=""),"",--(AH853&lt;&gt;AI853))</x:f>
      </x:c>
      <x:c r="AL853" t="str">
        <x:f>IF(OR(AH853="",AI853=""),"PENDING_HUMAN",IF(AH853=AI853,AH853,IF(AK853&lt;&gt;"",AK853,"PENDING_HUMAN")))</x:f>
        <x:v>PENDING_HUMAN</x:v>
      </x:c>
      <x:c r="AM853" t="n">
        <x:f>--AND(A853&lt;&gt;"",AH853&lt;&gt;"",AI853&lt;&gt;"",OR(AH853=AI853,AK853&lt;&gt;""))</x:f>
        <x:v>0</x:v>
      </x:c>
      <x:c r="AN853" t="n">
        <x:f>--AND(Y853&lt;&gt;"",COUNTIF($Y$4:Y853,Y853)=1)</x:f>
        <x:v>0</x:v>
      </x:c>
      <x:c r="AO853" t="n">
        <x:f>--AND(AN853=1,Z853=1,AM853=1)</x:f>
        <x:v>0</x:v>
      </x:c>
      <x:c r="AP853" t="n">
        <x:f>--AND(AO853=1,AA853=1,AL853=1)</x:f>
        <x:v>0</x:v>
      </x:c>
      <x:c r="AQ853" t="n">
        <x:f>--AND(AN853=1,Z853=1)</x:f>
        <x:v>0</x:v>
      </x:c>
      <x:c r="AR853" t="n">
        <x:f>--AND(AQ853=1,AA853=1)</x:f>
        <x:v>0</x:v>
      </x:c>
    </x:row>
    <x:row r="854">
      <x:c r="A854" s="28"/>
      <x:c r="B854" s="28"/>
      <x:c r="C854" s="28"/>
      <x:c r="D854" s="28"/>
      <x:c r="E854" s="28"/>
      <x:c r="F854" s="28"/>
      <x:c r="G854" s="28"/>
      <x:c r="H854" s="28"/>
      <x:c r="I854" s="28"/>
      <x:c r="J854" s="28"/>
      <x:c r="K854" s="28"/>
      <x:c r="L854" s="28"/>
      <x:c r="M854" s="28"/>
      <x:c r="N854" s="28"/>
      <x:c r="O854" s="28"/>
      <x:c r="P854" s="28"/>
      <x:c r="Q854" s="28"/>
      <x:c r="R854" s="28"/>
      <x:c r="S854" s="28"/>
      <x:c r="T854" s="28"/>
      <x:c r="U854" s="28"/>
      <x:c r="V854" s="28"/>
      <x:c r="W854" s="28"/>
      <x:c r="X854" s="43" t="n">
        <x:f>--AND(S854=1,T854=1,U854=1,V854=1,W854=1)</x:f>
        <x:v>0</x:v>
      </x:c>
      <x:c r="AE854" s="43" t="n">
        <x:f>--AND(S854=1,M854&lt;&gt;"",M854&lt;&gt;"keep")</x:f>
        <x:v>0</x:v>
      </x:c>
      <x:c r="AG854" t="n">
        <x:f>--AND(S854=1,T854=1,U854=1,V854=1,W854=1,AE854=1)</x:f>
        <x:v>0</x:v>
      </x:c>
      <x:c r="AJ854" t="str">
        <x:f>IF(OR(AH854="",AI854=""),"",--(AH854&lt;&gt;AI854))</x:f>
      </x:c>
      <x:c r="AL854" t="str">
        <x:f>IF(OR(AH854="",AI854=""),"PENDING_HUMAN",IF(AH854=AI854,AH854,IF(AK854&lt;&gt;"",AK854,"PENDING_HUMAN")))</x:f>
        <x:v>PENDING_HUMAN</x:v>
      </x:c>
      <x:c r="AM854" t="n">
        <x:f>--AND(A854&lt;&gt;"",AH854&lt;&gt;"",AI854&lt;&gt;"",OR(AH854=AI854,AK854&lt;&gt;""))</x:f>
        <x:v>0</x:v>
      </x:c>
      <x:c r="AN854" t="n">
        <x:f>--AND(Y854&lt;&gt;"",COUNTIF($Y$4:Y854,Y854)=1)</x:f>
        <x:v>0</x:v>
      </x:c>
      <x:c r="AO854" t="n">
        <x:f>--AND(AN854=1,Z854=1,AM854=1)</x:f>
        <x:v>0</x:v>
      </x:c>
      <x:c r="AP854" t="n">
        <x:f>--AND(AO854=1,AA854=1,AL854=1)</x:f>
        <x:v>0</x:v>
      </x:c>
      <x:c r="AQ854" t="n">
        <x:f>--AND(AN854=1,Z854=1)</x:f>
        <x:v>0</x:v>
      </x:c>
      <x:c r="AR854" t="n">
        <x:f>--AND(AQ854=1,AA854=1)</x:f>
        <x:v>0</x:v>
      </x:c>
    </x:row>
    <x:row r="855">
      <x:c r="A855" s="28"/>
      <x:c r="B855" s="28"/>
      <x:c r="C855" s="28"/>
      <x:c r="D855" s="28"/>
      <x:c r="E855" s="28"/>
      <x:c r="F855" s="28"/>
      <x:c r="G855" s="28"/>
      <x:c r="H855" s="28"/>
      <x:c r="I855" s="28"/>
      <x:c r="J855" s="28"/>
      <x:c r="K855" s="28"/>
      <x:c r="L855" s="28"/>
      <x:c r="M855" s="28"/>
      <x:c r="N855" s="28"/>
      <x:c r="O855" s="28"/>
      <x:c r="P855" s="28"/>
      <x:c r="Q855" s="28"/>
      <x:c r="R855" s="28"/>
      <x:c r="S855" s="28"/>
      <x:c r="T855" s="28"/>
      <x:c r="U855" s="28"/>
      <x:c r="V855" s="28"/>
      <x:c r="W855" s="28"/>
      <x:c r="X855" s="43" t="n">
        <x:f>--AND(S855=1,T855=1,U855=1,V855=1,W855=1)</x:f>
        <x:v>0</x:v>
      </x:c>
      <x:c r="AE855" s="43" t="n">
        <x:f>--AND(S855=1,M855&lt;&gt;"",M855&lt;&gt;"keep")</x:f>
        <x:v>0</x:v>
      </x:c>
      <x:c r="AG855" t="n">
        <x:f>--AND(S855=1,T855=1,U855=1,V855=1,W855=1,AE855=1)</x:f>
        <x:v>0</x:v>
      </x:c>
      <x:c r="AJ855" t="str">
        <x:f>IF(OR(AH855="",AI855=""),"",--(AH855&lt;&gt;AI855))</x:f>
      </x:c>
      <x:c r="AL855" t="str">
        <x:f>IF(OR(AH855="",AI855=""),"PENDING_HUMAN",IF(AH855=AI855,AH855,IF(AK855&lt;&gt;"",AK855,"PENDING_HUMAN")))</x:f>
        <x:v>PENDING_HUMAN</x:v>
      </x:c>
      <x:c r="AM855" t="n">
        <x:f>--AND(A855&lt;&gt;"",AH855&lt;&gt;"",AI855&lt;&gt;"",OR(AH855=AI855,AK855&lt;&gt;""))</x:f>
        <x:v>0</x:v>
      </x:c>
      <x:c r="AN855" t="n">
        <x:f>--AND(Y855&lt;&gt;"",COUNTIF($Y$4:Y855,Y855)=1)</x:f>
        <x:v>0</x:v>
      </x:c>
      <x:c r="AO855" t="n">
        <x:f>--AND(AN855=1,Z855=1,AM855=1)</x:f>
        <x:v>0</x:v>
      </x:c>
      <x:c r="AP855" t="n">
        <x:f>--AND(AO855=1,AA855=1,AL855=1)</x:f>
        <x:v>0</x:v>
      </x:c>
      <x:c r="AQ855" t="n">
        <x:f>--AND(AN855=1,Z855=1)</x:f>
        <x:v>0</x:v>
      </x:c>
      <x:c r="AR855" t="n">
        <x:f>--AND(AQ855=1,AA855=1)</x:f>
        <x:v>0</x:v>
      </x:c>
    </x:row>
    <x:row r="856">
      <x:c r="A856" s="28"/>
      <x:c r="B856" s="28"/>
      <x:c r="C856" s="28"/>
      <x:c r="D856" s="28"/>
      <x:c r="E856" s="28"/>
      <x:c r="F856" s="28"/>
      <x:c r="G856" s="28"/>
      <x:c r="H856" s="28"/>
      <x:c r="I856" s="28"/>
      <x:c r="J856" s="28"/>
      <x:c r="K856" s="28"/>
      <x:c r="L856" s="28"/>
      <x:c r="M856" s="28"/>
      <x:c r="N856" s="28"/>
      <x:c r="O856" s="28"/>
      <x:c r="P856" s="28"/>
      <x:c r="Q856" s="28"/>
      <x:c r="R856" s="28"/>
      <x:c r="S856" s="28"/>
      <x:c r="T856" s="28"/>
      <x:c r="U856" s="28"/>
      <x:c r="V856" s="28"/>
      <x:c r="W856" s="28"/>
      <x:c r="X856" s="43" t="n">
        <x:f>--AND(S856=1,T856=1,U856=1,V856=1,W856=1)</x:f>
        <x:v>0</x:v>
      </x:c>
      <x:c r="AE856" s="43" t="n">
        <x:f>--AND(S856=1,M856&lt;&gt;"",M856&lt;&gt;"keep")</x:f>
        <x:v>0</x:v>
      </x:c>
      <x:c r="AG856" t="n">
        <x:f>--AND(S856=1,T856=1,U856=1,V856=1,W856=1,AE856=1)</x:f>
        <x:v>0</x:v>
      </x:c>
      <x:c r="AJ856" t="str">
        <x:f>IF(OR(AH856="",AI856=""),"",--(AH856&lt;&gt;AI856))</x:f>
      </x:c>
      <x:c r="AL856" t="str">
        <x:f>IF(OR(AH856="",AI856=""),"PENDING_HUMAN",IF(AH856=AI856,AH856,IF(AK856&lt;&gt;"",AK856,"PENDING_HUMAN")))</x:f>
        <x:v>PENDING_HUMAN</x:v>
      </x:c>
      <x:c r="AM856" t="n">
        <x:f>--AND(A856&lt;&gt;"",AH856&lt;&gt;"",AI856&lt;&gt;"",OR(AH856=AI856,AK856&lt;&gt;""))</x:f>
        <x:v>0</x:v>
      </x:c>
      <x:c r="AN856" t="n">
        <x:f>--AND(Y856&lt;&gt;"",COUNTIF($Y$4:Y856,Y856)=1)</x:f>
        <x:v>0</x:v>
      </x:c>
      <x:c r="AO856" t="n">
        <x:f>--AND(AN856=1,Z856=1,AM856=1)</x:f>
        <x:v>0</x:v>
      </x:c>
      <x:c r="AP856" t="n">
        <x:f>--AND(AO856=1,AA856=1,AL856=1)</x:f>
        <x:v>0</x:v>
      </x:c>
      <x:c r="AQ856" t="n">
        <x:f>--AND(AN856=1,Z856=1)</x:f>
        <x:v>0</x:v>
      </x:c>
      <x:c r="AR856" t="n">
        <x:f>--AND(AQ856=1,AA856=1)</x:f>
        <x:v>0</x:v>
      </x:c>
    </x:row>
    <x:row r="857">
      <x:c r="A857" s="28"/>
      <x:c r="B857" s="28"/>
      <x:c r="C857" s="28"/>
      <x:c r="D857" s="28"/>
      <x:c r="E857" s="28"/>
      <x:c r="F857" s="28"/>
      <x:c r="G857" s="28"/>
      <x:c r="H857" s="28"/>
      <x:c r="I857" s="28"/>
      <x:c r="J857" s="28"/>
      <x:c r="K857" s="28"/>
      <x:c r="L857" s="28"/>
      <x:c r="M857" s="28"/>
      <x:c r="N857" s="28"/>
      <x:c r="O857" s="28"/>
      <x:c r="P857" s="28"/>
      <x:c r="Q857" s="28"/>
      <x:c r="R857" s="28"/>
      <x:c r="S857" s="28"/>
      <x:c r="T857" s="28"/>
      <x:c r="U857" s="28"/>
      <x:c r="V857" s="28"/>
      <x:c r="W857" s="28"/>
      <x:c r="X857" s="43" t="n">
        <x:f>--AND(S857=1,T857=1,U857=1,V857=1,W857=1)</x:f>
        <x:v>0</x:v>
      </x:c>
      <x:c r="AE857" s="43" t="n">
        <x:f>--AND(S857=1,M857&lt;&gt;"",M857&lt;&gt;"keep")</x:f>
        <x:v>0</x:v>
      </x:c>
      <x:c r="AG857" t="n">
        <x:f>--AND(S857=1,T857=1,U857=1,V857=1,W857=1,AE857=1)</x:f>
        <x:v>0</x:v>
      </x:c>
      <x:c r="AJ857" t="str">
        <x:f>IF(OR(AH857="",AI857=""),"",--(AH857&lt;&gt;AI857))</x:f>
      </x:c>
      <x:c r="AL857" t="str">
        <x:f>IF(OR(AH857="",AI857=""),"PENDING_HUMAN",IF(AH857=AI857,AH857,IF(AK857&lt;&gt;"",AK857,"PENDING_HUMAN")))</x:f>
        <x:v>PENDING_HUMAN</x:v>
      </x:c>
      <x:c r="AM857" t="n">
        <x:f>--AND(A857&lt;&gt;"",AH857&lt;&gt;"",AI857&lt;&gt;"",OR(AH857=AI857,AK857&lt;&gt;""))</x:f>
        <x:v>0</x:v>
      </x:c>
      <x:c r="AN857" t="n">
        <x:f>--AND(Y857&lt;&gt;"",COUNTIF($Y$4:Y857,Y857)=1)</x:f>
        <x:v>0</x:v>
      </x:c>
      <x:c r="AO857" t="n">
        <x:f>--AND(AN857=1,Z857=1,AM857=1)</x:f>
        <x:v>0</x:v>
      </x:c>
      <x:c r="AP857" t="n">
        <x:f>--AND(AO857=1,AA857=1,AL857=1)</x:f>
        <x:v>0</x:v>
      </x:c>
      <x:c r="AQ857" t="n">
        <x:f>--AND(AN857=1,Z857=1)</x:f>
        <x:v>0</x:v>
      </x:c>
      <x:c r="AR857" t="n">
        <x:f>--AND(AQ857=1,AA857=1)</x:f>
        <x:v>0</x:v>
      </x:c>
    </x:row>
    <x:row r="858">
      <x:c r="A858" s="28"/>
      <x:c r="B858" s="28"/>
      <x:c r="C858" s="28"/>
      <x:c r="D858" s="28"/>
      <x:c r="E858" s="28"/>
      <x:c r="F858" s="28"/>
      <x:c r="G858" s="28"/>
      <x:c r="H858" s="28"/>
      <x:c r="I858" s="28"/>
      <x:c r="J858" s="28"/>
      <x:c r="K858" s="28"/>
      <x:c r="L858" s="28"/>
      <x:c r="M858" s="28"/>
      <x:c r="N858" s="28"/>
      <x:c r="O858" s="28"/>
      <x:c r="P858" s="28"/>
      <x:c r="Q858" s="28"/>
      <x:c r="R858" s="28"/>
      <x:c r="S858" s="28"/>
      <x:c r="T858" s="28"/>
      <x:c r="U858" s="28"/>
      <x:c r="V858" s="28"/>
      <x:c r="W858" s="28"/>
      <x:c r="X858" s="43" t="n">
        <x:f>--AND(S858=1,T858=1,U858=1,V858=1,W858=1)</x:f>
        <x:v>0</x:v>
      </x:c>
      <x:c r="AE858" s="43" t="n">
        <x:f>--AND(S858=1,M858&lt;&gt;"",M858&lt;&gt;"keep")</x:f>
        <x:v>0</x:v>
      </x:c>
      <x:c r="AG858" t="n">
        <x:f>--AND(S858=1,T858=1,U858=1,V858=1,W858=1,AE858=1)</x:f>
        <x:v>0</x:v>
      </x:c>
      <x:c r="AJ858" t="str">
        <x:f>IF(OR(AH858="",AI858=""),"",--(AH858&lt;&gt;AI858))</x:f>
      </x:c>
      <x:c r="AL858" t="str">
        <x:f>IF(OR(AH858="",AI858=""),"PENDING_HUMAN",IF(AH858=AI858,AH858,IF(AK858&lt;&gt;"",AK858,"PENDING_HUMAN")))</x:f>
        <x:v>PENDING_HUMAN</x:v>
      </x:c>
      <x:c r="AM858" t="n">
        <x:f>--AND(A858&lt;&gt;"",AH858&lt;&gt;"",AI858&lt;&gt;"",OR(AH858=AI858,AK858&lt;&gt;""))</x:f>
        <x:v>0</x:v>
      </x:c>
      <x:c r="AN858" t="n">
        <x:f>--AND(Y858&lt;&gt;"",COUNTIF($Y$4:Y858,Y858)=1)</x:f>
        <x:v>0</x:v>
      </x:c>
      <x:c r="AO858" t="n">
        <x:f>--AND(AN858=1,Z858=1,AM858=1)</x:f>
        <x:v>0</x:v>
      </x:c>
      <x:c r="AP858" t="n">
        <x:f>--AND(AO858=1,AA858=1,AL858=1)</x:f>
        <x:v>0</x:v>
      </x:c>
      <x:c r="AQ858" t="n">
        <x:f>--AND(AN858=1,Z858=1)</x:f>
        <x:v>0</x:v>
      </x:c>
      <x:c r="AR858" t="n">
        <x:f>--AND(AQ858=1,AA858=1)</x:f>
        <x:v>0</x:v>
      </x:c>
    </x:row>
    <x:row r="859">
      <x:c r="A859" s="28"/>
      <x:c r="B859" s="28"/>
      <x:c r="C859" s="28"/>
      <x:c r="D859" s="28"/>
      <x:c r="E859" s="28"/>
      <x:c r="F859" s="28"/>
      <x:c r="G859" s="28"/>
      <x:c r="H859" s="28"/>
      <x:c r="I859" s="28"/>
      <x:c r="J859" s="28"/>
      <x:c r="K859" s="28"/>
      <x:c r="L859" s="28"/>
      <x:c r="M859" s="28"/>
      <x:c r="N859" s="28"/>
      <x:c r="O859" s="28"/>
      <x:c r="P859" s="28"/>
      <x:c r="Q859" s="28"/>
      <x:c r="R859" s="28"/>
      <x:c r="S859" s="28"/>
      <x:c r="T859" s="28"/>
      <x:c r="U859" s="28"/>
      <x:c r="V859" s="28"/>
      <x:c r="W859" s="28"/>
      <x:c r="X859" s="43" t="n">
        <x:f>--AND(S859=1,T859=1,U859=1,V859=1,W859=1)</x:f>
        <x:v>0</x:v>
      </x:c>
      <x:c r="AE859" s="43" t="n">
        <x:f>--AND(S859=1,M859&lt;&gt;"",M859&lt;&gt;"keep")</x:f>
        <x:v>0</x:v>
      </x:c>
      <x:c r="AG859" t="n">
        <x:f>--AND(S859=1,T859=1,U859=1,V859=1,W859=1,AE859=1)</x:f>
        <x:v>0</x:v>
      </x:c>
      <x:c r="AJ859" t="str">
        <x:f>IF(OR(AH859="",AI859=""),"",--(AH859&lt;&gt;AI859))</x:f>
      </x:c>
      <x:c r="AL859" t="str">
        <x:f>IF(OR(AH859="",AI859=""),"PENDING_HUMAN",IF(AH859=AI859,AH859,IF(AK859&lt;&gt;"",AK859,"PENDING_HUMAN")))</x:f>
        <x:v>PENDING_HUMAN</x:v>
      </x:c>
      <x:c r="AM859" t="n">
        <x:f>--AND(A859&lt;&gt;"",AH859&lt;&gt;"",AI859&lt;&gt;"",OR(AH859=AI859,AK859&lt;&gt;""))</x:f>
        <x:v>0</x:v>
      </x:c>
      <x:c r="AN859" t="n">
        <x:f>--AND(Y859&lt;&gt;"",COUNTIF($Y$4:Y859,Y859)=1)</x:f>
        <x:v>0</x:v>
      </x:c>
      <x:c r="AO859" t="n">
        <x:f>--AND(AN859=1,Z859=1,AM859=1)</x:f>
        <x:v>0</x:v>
      </x:c>
      <x:c r="AP859" t="n">
        <x:f>--AND(AO859=1,AA859=1,AL859=1)</x:f>
        <x:v>0</x:v>
      </x:c>
      <x:c r="AQ859" t="n">
        <x:f>--AND(AN859=1,Z859=1)</x:f>
        <x:v>0</x:v>
      </x:c>
      <x:c r="AR859" t="n">
        <x:f>--AND(AQ859=1,AA859=1)</x:f>
        <x:v>0</x:v>
      </x:c>
    </x:row>
    <x:row r="860">
      <x:c r="A860" s="28"/>
      <x:c r="B860" s="28"/>
      <x:c r="C860" s="28"/>
      <x:c r="D860" s="28"/>
      <x:c r="E860" s="28"/>
      <x:c r="F860" s="28"/>
      <x:c r="G860" s="28"/>
      <x:c r="H860" s="28"/>
      <x:c r="I860" s="28"/>
      <x:c r="J860" s="28"/>
      <x:c r="K860" s="28"/>
      <x:c r="L860" s="28"/>
      <x:c r="M860" s="28"/>
      <x:c r="N860" s="28"/>
      <x:c r="O860" s="28"/>
      <x:c r="P860" s="28"/>
      <x:c r="Q860" s="28"/>
      <x:c r="R860" s="28"/>
      <x:c r="S860" s="28"/>
      <x:c r="T860" s="28"/>
      <x:c r="U860" s="28"/>
      <x:c r="V860" s="28"/>
      <x:c r="W860" s="28"/>
      <x:c r="X860" s="43" t="n">
        <x:f>--AND(S860=1,T860=1,U860=1,V860=1,W860=1)</x:f>
        <x:v>0</x:v>
      </x:c>
      <x:c r="AE860" s="43" t="n">
        <x:f>--AND(S860=1,M860&lt;&gt;"",M860&lt;&gt;"keep")</x:f>
        <x:v>0</x:v>
      </x:c>
      <x:c r="AG860" t="n">
        <x:f>--AND(S860=1,T860=1,U860=1,V860=1,W860=1,AE860=1)</x:f>
        <x:v>0</x:v>
      </x:c>
      <x:c r="AJ860" t="str">
        <x:f>IF(OR(AH860="",AI860=""),"",--(AH860&lt;&gt;AI860))</x:f>
      </x:c>
      <x:c r="AL860" t="str">
        <x:f>IF(OR(AH860="",AI860=""),"PENDING_HUMAN",IF(AH860=AI860,AH860,IF(AK860&lt;&gt;"",AK860,"PENDING_HUMAN")))</x:f>
        <x:v>PENDING_HUMAN</x:v>
      </x:c>
      <x:c r="AM860" t="n">
        <x:f>--AND(A860&lt;&gt;"",AH860&lt;&gt;"",AI860&lt;&gt;"",OR(AH860=AI860,AK860&lt;&gt;""))</x:f>
        <x:v>0</x:v>
      </x:c>
      <x:c r="AN860" t="n">
        <x:f>--AND(Y860&lt;&gt;"",COUNTIF($Y$4:Y860,Y860)=1)</x:f>
        <x:v>0</x:v>
      </x:c>
      <x:c r="AO860" t="n">
        <x:f>--AND(AN860=1,Z860=1,AM860=1)</x:f>
        <x:v>0</x:v>
      </x:c>
      <x:c r="AP860" t="n">
        <x:f>--AND(AO860=1,AA860=1,AL860=1)</x:f>
        <x:v>0</x:v>
      </x:c>
      <x:c r="AQ860" t="n">
        <x:f>--AND(AN860=1,Z860=1)</x:f>
        <x:v>0</x:v>
      </x:c>
      <x:c r="AR860" t="n">
        <x:f>--AND(AQ860=1,AA860=1)</x:f>
        <x:v>0</x:v>
      </x:c>
    </x:row>
    <x:row r="861">
      <x:c r="A861" s="28"/>
      <x:c r="B861" s="28"/>
      <x:c r="C861" s="28"/>
      <x:c r="D861" s="28"/>
      <x:c r="E861" s="28"/>
      <x:c r="F861" s="28"/>
      <x:c r="G861" s="28"/>
      <x:c r="H861" s="28"/>
      <x:c r="I861" s="28"/>
      <x:c r="J861" s="28"/>
      <x:c r="K861" s="28"/>
      <x:c r="L861" s="28"/>
      <x:c r="M861" s="28"/>
      <x:c r="N861" s="28"/>
      <x:c r="O861" s="28"/>
      <x:c r="P861" s="28"/>
      <x:c r="Q861" s="28"/>
      <x:c r="R861" s="28"/>
      <x:c r="S861" s="28"/>
      <x:c r="T861" s="28"/>
      <x:c r="U861" s="28"/>
      <x:c r="V861" s="28"/>
      <x:c r="W861" s="28"/>
      <x:c r="X861" s="43" t="n">
        <x:f>--AND(S861=1,T861=1,U861=1,V861=1,W861=1)</x:f>
        <x:v>0</x:v>
      </x:c>
      <x:c r="AE861" s="43" t="n">
        <x:f>--AND(S861=1,M861&lt;&gt;"",M861&lt;&gt;"keep")</x:f>
        <x:v>0</x:v>
      </x:c>
      <x:c r="AG861" t="n">
        <x:f>--AND(S861=1,T861=1,U861=1,V861=1,W861=1,AE861=1)</x:f>
        <x:v>0</x:v>
      </x:c>
      <x:c r="AJ861" t="str">
        <x:f>IF(OR(AH861="",AI861=""),"",--(AH861&lt;&gt;AI861))</x:f>
      </x:c>
      <x:c r="AL861" t="str">
        <x:f>IF(OR(AH861="",AI861=""),"PENDING_HUMAN",IF(AH861=AI861,AH861,IF(AK861&lt;&gt;"",AK861,"PENDING_HUMAN")))</x:f>
        <x:v>PENDING_HUMAN</x:v>
      </x:c>
      <x:c r="AM861" t="n">
        <x:f>--AND(A861&lt;&gt;"",AH861&lt;&gt;"",AI861&lt;&gt;"",OR(AH861=AI861,AK861&lt;&gt;""))</x:f>
        <x:v>0</x:v>
      </x:c>
      <x:c r="AN861" t="n">
        <x:f>--AND(Y861&lt;&gt;"",COUNTIF($Y$4:Y861,Y861)=1)</x:f>
        <x:v>0</x:v>
      </x:c>
      <x:c r="AO861" t="n">
        <x:f>--AND(AN861=1,Z861=1,AM861=1)</x:f>
        <x:v>0</x:v>
      </x:c>
      <x:c r="AP861" t="n">
        <x:f>--AND(AO861=1,AA861=1,AL861=1)</x:f>
        <x:v>0</x:v>
      </x:c>
      <x:c r="AQ861" t="n">
        <x:f>--AND(AN861=1,Z861=1)</x:f>
        <x:v>0</x:v>
      </x:c>
      <x:c r="AR861" t="n">
        <x:f>--AND(AQ861=1,AA861=1)</x:f>
        <x:v>0</x:v>
      </x:c>
    </x:row>
    <x:row r="862">
      <x:c r="A862" s="28"/>
      <x:c r="B862" s="28"/>
      <x:c r="C862" s="28"/>
      <x:c r="D862" s="28"/>
      <x:c r="E862" s="28"/>
      <x:c r="F862" s="28"/>
      <x:c r="G862" s="28"/>
      <x:c r="H862" s="28"/>
      <x:c r="I862" s="28"/>
      <x:c r="J862" s="28"/>
      <x:c r="K862" s="28"/>
      <x:c r="L862" s="28"/>
      <x:c r="M862" s="28"/>
      <x:c r="N862" s="28"/>
      <x:c r="O862" s="28"/>
      <x:c r="P862" s="28"/>
      <x:c r="Q862" s="28"/>
      <x:c r="R862" s="28"/>
      <x:c r="S862" s="28"/>
      <x:c r="T862" s="28"/>
      <x:c r="U862" s="28"/>
      <x:c r="V862" s="28"/>
      <x:c r="W862" s="28"/>
      <x:c r="X862" s="43" t="n">
        <x:f>--AND(S862=1,T862=1,U862=1,V862=1,W862=1)</x:f>
        <x:v>0</x:v>
      </x:c>
      <x:c r="AE862" s="43" t="n">
        <x:f>--AND(S862=1,M862&lt;&gt;"",M862&lt;&gt;"keep")</x:f>
        <x:v>0</x:v>
      </x:c>
      <x:c r="AG862" t="n">
        <x:f>--AND(S862=1,T862=1,U862=1,V862=1,W862=1,AE862=1)</x:f>
        <x:v>0</x:v>
      </x:c>
      <x:c r="AJ862" t="str">
        <x:f>IF(OR(AH862="",AI862=""),"",--(AH862&lt;&gt;AI862))</x:f>
      </x:c>
      <x:c r="AL862" t="str">
        <x:f>IF(OR(AH862="",AI862=""),"PENDING_HUMAN",IF(AH862=AI862,AH862,IF(AK862&lt;&gt;"",AK862,"PENDING_HUMAN")))</x:f>
        <x:v>PENDING_HUMAN</x:v>
      </x:c>
      <x:c r="AM862" t="n">
        <x:f>--AND(A862&lt;&gt;"",AH862&lt;&gt;"",AI862&lt;&gt;"",OR(AH862=AI862,AK862&lt;&gt;""))</x:f>
        <x:v>0</x:v>
      </x:c>
      <x:c r="AN862" t="n">
        <x:f>--AND(Y862&lt;&gt;"",COUNTIF($Y$4:Y862,Y862)=1)</x:f>
        <x:v>0</x:v>
      </x:c>
      <x:c r="AO862" t="n">
        <x:f>--AND(AN862=1,Z862=1,AM862=1)</x:f>
        <x:v>0</x:v>
      </x:c>
      <x:c r="AP862" t="n">
        <x:f>--AND(AO862=1,AA862=1,AL862=1)</x:f>
        <x:v>0</x:v>
      </x:c>
      <x:c r="AQ862" t="n">
        <x:f>--AND(AN862=1,Z862=1)</x:f>
        <x:v>0</x:v>
      </x:c>
      <x:c r="AR862" t="n">
        <x:f>--AND(AQ862=1,AA862=1)</x:f>
        <x:v>0</x:v>
      </x:c>
    </x:row>
    <x:row r="863">
      <x:c r="A863" s="28"/>
      <x:c r="B863" s="28"/>
      <x:c r="C863" s="28"/>
      <x:c r="D863" s="28"/>
      <x:c r="E863" s="28"/>
      <x:c r="F863" s="28"/>
      <x:c r="G863" s="28"/>
      <x:c r="H863" s="28"/>
      <x:c r="I863" s="28"/>
      <x:c r="J863" s="28"/>
      <x:c r="K863" s="28"/>
      <x:c r="L863" s="28"/>
      <x:c r="M863" s="28"/>
      <x:c r="N863" s="28"/>
      <x:c r="O863" s="28"/>
      <x:c r="P863" s="28"/>
      <x:c r="Q863" s="28"/>
      <x:c r="R863" s="28"/>
      <x:c r="S863" s="28"/>
      <x:c r="T863" s="28"/>
      <x:c r="U863" s="28"/>
      <x:c r="V863" s="28"/>
      <x:c r="W863" s="28"/>
      <x:c r="X863" s="43" t="n">
        <x:f>--AND(S863=1,T863=1,U863=1,V863=1,W863=1)</x:f>
        <x:v>0</x:v>
      </x:c>
      <x:c r="AE863" s="43" t="n">
        <x:f>--AND(S863=1,M863&lt;&gt;"",M863&lt;&gt;"keep")</x:f>
        <x:v>0</x:v>
      </x:c>
      <x:c r="AG863" t="n">
        <x:f>--AND(S863=1,T863=1,U863=1,V863=1,W863=1,AE863=1)</x:f>
        <x:v>0</x:v>
      </x:c>
      <x:c r="AJ863" t="str">
        <x:f>IF(OR(AH863="",AI863=""),"",--(AH863&lt;&gt;AI863))</x:f>
      </x:c>
      <x:c r="AL863" t="str">
        <x:f>IF(OR(AH863="",AI863=""),"PENDING_HUMAN",IF(AH863=AI863,AH863,IF(AK863&lt;&gt;"",AK863,"PENDING_HUMAN")))</x:f>
        <x:v>PENDING_HUMAN</x:v>
      </x:c>
      <x:c r="AM863" t="n">
        <x:f>--AND(A863&lt;&gt;"",AH863&lt;&gt;"",AI863&lt;&gt;"",OR(AH863=AI863,AK863&lt;&gt;""))</x:f>
        <x:v>0</x:v>
      </x:c>
      <x:c r="AN863" t="n">
        <x:f>--AND(Y863&lt;&gt;"",COUNTIF($Y$4:Y863,Y863)=1)</x:f>
        <x:v>0</x:v>
      </x:c>
      <x:c r="AO863" t="n">
        <x:f>--AND(AN863=1,Z863=1,AM863=1)</x:f>
        <x:v>0</x:v>
      </x:c>
      <x:c r="AP863" t="n">
        <x:f>--AND(AO863=1,AA863=1,AL863=1)</x:f>
        <x:v>0</x:v>
      </x:c>
      <x:c r="AQ863" t="n">
        <x:f>--AND(AN863=1,Z863=1)</x:f>
        <x:v>0</x:v>
      </x:c>
      <x:c r="AR863" t="n">
        <x:f>--AND(AQ863=1,AA863=1)</x:f>
        <x:v>0</x:v>
      </x:c>
    </x:row>
    <x:row r="864">
      <x:c r="A864" s="28"/>
      <x:c r="B864" s="28"/>
      <x:c r="C864" s="28"/>
      <x:c r="D864" s="28"/>
      <x:c r="E864" s="28"/>
      <x:c r="F864" s="28"/>
      <x:c r="G864" s="28"/>
      <x:c r="H864" s="28"/>
      <x:c r="I864" s="28"/>
      <x:c r="J864" s="28"/>
      <x:c r="K864" s="28"/>
      <x:c r="L864" s="28"/>
      <x:c r="M864" s="28"/>
      <x:c r="N864" s="28"/>
      <x:c r="O864" s="28"/>
      <x:c r="P864" s="28"/>
      <x:c r="Q864" s="28"/>
      <x:c r="R864" s="28"/>
      <x:c r="S864" s="28"/>
      <x:c r="T864" s="28"/>
      <x:c r="U864" s="28"/>
      <x:c r="V864" s="28"/>
      <x:c r="W864" s="28"/>
      <x:c r="X864" s="43" t="n">
        <x:f>--AND(S864=1,T864=1,U864=1,V864=1,W864=1)</x:f>
        <x:v>0</x:v>
      </x:c>
      <x:c r="AE864" s="43" t="n">
        <x:f>--AND(S864=1,M864&lt;&gt;"",M864&lt;&gt;"keep")</x:f>
        <x:v>0</x:v>
      </x:c>
      <x:c r="AG864" t="n">
        <x:f>--AND(S864=1,T864=1,U864=1,V864=1,W864=1,AE864=1)</x:f>
        <x:v>0</x:v>
      </x:c>
      <x:c r="AJ864" t="str">
        <x:f>IF(OR(AH864="",AI864=""),"",--(AH864&lt;&gt;AI864))</x:f>
      </x:c>
      <x:c r="AL864" t="str">
        <x:f>IF(OR(AH864="",AI864=""),"PENDING_HUMAN",IF(AH864=AI864,AH864,IF(AK864&lt;&gt;"",AK864,"PENDING_HUMAN")))</x:f>
        <x:v>PENDING_HUMAN</x:v>
      </x:c>
      <x:c r="AM864" t="n">
        <x:f>--AND(A864&lt;&gt;"",AH864&lt;&gt;"",AI864&lt;&gt;"",OR(AH864=AI864,AK864&lt;&gt;""))</x:f>
        <x:v>0</x:v>
      </x:c>
      <x:c r="AN864" t="n">
        <x:f>--AND(Y864&lt;&gt;"",COUNTIF($Y$4:Y864,Y864)=1)</x:f>
        <x:v>0</x:v>
      </x:c>
      <x:c r="AO864" t="n">
        <x:f>--AND(AN864=1,Z864=1,AM864=1)</x:f>
        <x:v>0</x:v>
      </x:c>
      <x:c r="AP864" t="n">
        <x:f>--AND(AO864=1,AA864=1,AL864=1)</x:f>
        <x:v>0</x:v>
      </x:c>
      <x:c r="AQ864" t="n">
        <x:f>--AND(AN864=1,Z864=1)</x:f>
        <x:v>0</x:v>
      </x:c>
      <x:c r="AR864" t="n">
        <x:f>--AND(AQ864=1,AA864=1)</x:f>
        <x:v>0</x:v>
      </x:c>
    </x:row>
    <x:row r="865">
      <x:c r="A865" s="28"/>
      <x:c r="B865" s="28"/>
      <x:c r="C865" s="28"/>
      <x:c r="D865" s="28"/>
      <x:c r="E865" s="28"/>
      <x:c r="F865" s="28"/>
      <x:c r="G865" s="28"/>
      <x:c r="H865" s="28"/>
      <x:c r="I865" s="28"/>
      <x:c r="J865" s="28"/>
      <x:c r="K865" s="28"/>
      <x:c r="L865" s="28"/>
      <x:c r="M865" s="28"/>
      <x:c r="N865" s="28"/>
      <x:c r="O865" s="28"/>
      <x:c r="P865" s="28"/>
      <x:c r="Q865" s="28"/>
      <x:c r="R865" s="28"/>
      <x:c r="S865" s="28"/>
      <x:c r="T865" s="28"/>
      <x:c r="U865" s="28"/>
      <x:c r="V865" s="28"/>
      <x:c r="W865" s="28"/>
      <x:c r="X865" s="43" t="n">
        <x:f>--AND(S865=1,T865=1,U865=1,V865=1,W865=1)</x:f>
        <x:v>0</x:v>
      </x:c>
      <x:c r="AE865" s="43" t="n">
        <x:f>--AND(S865=1,M865&lt;&gt;"",M865&lt;&gt;"keep")</x:f>
        <x:v>0</x:v>
      </x:c>
      <x:c r="AG865" t="n">
        <x:f>--AND(S865=1,T865=1,U865=1,V865=1,W865=1,AE865=1)</x:f>
        <x:v>0</x:v>
      </x:c>
      <x:c r="AJ865" t="str">
        <x:f>IF(OR(AH865="",AI865=""),"",--(AH865&lt;&gt;AI865))</x:f>
      </x:c>
      <x:c r="AL865" t="str">
        <x:f>IF(OR(AH865="",AI865=""),"PENDING_HUMAN",IF(AH865=AI865,AH865,IF(AK865&lt;&gt;"",AK865,"PENDING_HUMAN")))</x:f>
        <x:v>PENDING_HUMAN</x:v>
      </x:c>
      <x:c r="AM865" t="n">
        <x:f>--AND(A865&lt;&gt;"",AH865&lt;&gt;"",AI865&lt;&gt;"",OR(AH865=AI865,AK865&lt;&gt;""))</x:f>
        <x:v>0</x:v>
      </x:c>
      <x:c r="AN865" t="n">
        <x:f>--AND(Y865&lt;&gt;"",COUNTIF($Y$4:Y865,Y865)=1)</x:f>
        <x:v>0</x:v>
      </x:c>
      <x:c r="AO865" t="n">
        <x:f>--AND(AN865=1,Z865=1,AM865=1)</x:f>
        <x:v>0</x:v>
      </x:c>
      <x:c r="AP865" t="n">
        <x:f>--AND(AO865=1,AA865=1,AL865=1)</x:f>
        <x:v>0</x:v>
      </x:c>
      <x:c r="AQ865" t="n">
        <x:f>--AND(AN865=1,Z865=1)</x:f>
        <x:v>0</x:v>
      </x:c>
      <x:c r="AR865" t="n">
        <x:f>--AND(AQ865=1,AA865=1)</x:f>
        <x:v>0</x:v>
      </x:c>
    </x:row>
    <x:row r="866">
      <x:c r="A866" s="28"/>
      <x:c r="B866" s="28"/>
      <x:c r="C866" s="28"/>
      <x:c r="D866" s="28"/>
      <x:c r="E866" s="28"/>
      <x:c r="F866" s="28"/>
      <x:c r="G866" s="28"/>
      <x:c r="H866" s="28"/>
      <x:c r="I866" s="28"/>
      <x:c r="J866" s="28"/>
      <x:c r="K866" s="28"/>
      <x:c r="L866" s="28"/>
      <x:c r="M866" s="28"/>
      <x:c r="N866" s="28"/>
      <x:c r="O866" s="28"/>
      <x:c r="P866" s="28"/>
      <x:c r="Q866" s="28"/>
      <x:c r="R866" s="28"/>
      <x:c r="S866" s="28"/>
      <x:c r="T866" s="28"/>
      <x:c r="U866" s="28"/>
      <x:c r="V866" s="28"/>
      <x:c r="W866" s="28"/>
      <x:c r="X866" s="43" t="n">
        <x:f>--AND(S866=1,T866=1,U866=1,V866=1,W866=1)</x:f>
        <x:v>0</x:v>
      </x:c>
      <x:c r="AE866" s="43" t="n">
        <x:f>--AND(S866=1,M866&lt;&gt;"",M866&lt;&gt;"keep")</x:f>
        <x:v>0</x:v>
      </x:c>
      <x:c r="AG866" t="n">
        <x:f>--AND(S866=1,T866=1,U866=1,V866=1,W866=1,AE866=1)</x:f>
        <x:v>0</x:v>
      </x:c>
      <x:c r="AJ866" t="str">
        <x:f>IF(OR(AH866="",AI866=""),"",--(AH866&lt;&gt;AI866))</x:f>
      </x:c>
      <x:c r="AL866" t="str">
        <x:f>IF(OR(AH866="",AI866=""),"PENDING_HUMAN",IF(AH866=AI866,AH866,IF(AK866&lt;&gt;"",AK866,"PENDING_HUMAN")))</x:f>
        <x:v>PENDING_HUMAN</x:v>
      </x:c>
      <x:c r="AM866" t="n">
        <x:f>--AND(A866&lt;&gt;"",AH866&lt;&gt;"",AI866&lt;&gt;"",OR(AH866=AI866,AK866&lt;&gt;""))</x:f>
        <x:v>0</x:v>
      </x:c>
      <x:c r="AN866" t="n">
        <x:f>--AND(Y866&lt;&gt;"",COUNTIF($Y$4:Y866,Y866)=1)</x:f>
        <x:v>0</x:v>
      </x:c>
      <x:c r="AO866" t="n">
        <x:f>--AND(AN866=1,Z866=1,AM866=1)</x:f>
        <x:v>0</x:v>
      </x:c>
      <x:c r="AP866" t="n">
        <x:f>--AND(AO866=1,AA866=1,AL866=1)</x:f>
        <x:v>0</x:v>
      </x:c>
      <x:c r="AQ866" t="n">
        <x:f>--AND(AN866=1,Z866=1)</x:f>
        <x:v>0</x:v>
      </x:c>
      <x:c r="AR866" t="n">
        <x:f>--AND(AQ866=1,AA866=1)</x:f>
        <x:v>0</x:v>
      </x:c>
    </x:row>
    <x:row r="867">
      <x:c r="A867" s="28"/>
      <x:c r="B867" s="28"/>
      <x:c r="C867" s="28"/>
      <x:c r="D867" s="28"/>
      <x:c r="E867" s="28"/>
      <x:c r="F867" s="28"/>
      <x:c r="G867" s="28"/>
      <x:c r="H867" s="28"/>
      <x:c r="I867" s="28"/>
      <x:c r="J867" s="28"/>
      <x:c r="K867" s="28"/>
      <x:c r="L867" s="28"/>
      <x:c r="M867" s="28"/>
      <x:c r="N867" s="28"/>
      <x:c r="O867" s="28"/>
      <x:c r="P867" s="28"/>
      <x:c r="Q867" s="28"/>
      <x:c r="R867" s="28"/>
      <x:c r="S867" s="28"/>
      <x:c r="T867" s="28"/>
      <x:c r="U867" s="28"/>
      <x:c r="V867" s="28"/>
      <x:c r="W867" s="28"/>
      <x:c r="X867" s="43" t="n">
        <x:f>--AND(S867=1,T867=1,U867=1,V867=1,W867=1)</x:f>
        <x:v>0</x:v>
      </x:c>
      <x:c r="AE867" s="43" t="n">
        <x:f>--AND(S867=1,M867&lt;&gt;"",M867&lt;&gt;"keep")</x:f>
        <x:v>0</x:v>
      </x:c>
      <x:c r="AG867" t="n">
        <x:f>--AND(S867=1,T867=1,U867=1,V867=1,W867=1,AE867=1)</x:f>
        <x:v>0</x:v>
      </x:c>
      <x:c r="AJ867" t="str">
        <x:f>IF(OR(AH867="",AI867=""),"",--(AH867&lt;&gt;AI867))</x:f>
      </x:c>
      <x:c r="AL867" t="str">
        <x:f>IF(OR(AH867="",AI867=""),"PENDING_HUMAN",IF(AH867=AI867,AH867,IF(AK867&lt;&gt;"",AK867,"PENDING_HUMAN")))</x:f>
        <x:v>PENDING_HUMAN</x:v>
      </x:c>
      <x:c r="AM867" t="n">
        <x:f>--AND(A867&lt;&gt;"",AH867&lt;&gt;"",AI867&lt;&gt;"",OR(AH867=AI867,AK867&lt;&gt;""))</x:f>
        <x:v>0</x:v>
      </x:c>
      <x:c r="AN867" t="n">
        <x:f>--AND(Y867&lt;&gt;"",COUNTIF($Y$4:Y867,Y867)=1)</x:f>
        <x:v>0</x:v>
      </x:c>
      <x:c r="AO867" t="n">
        <x:f>--AND(AN867=1,Z867=1,AM867=1)</x:f>
        <x:v>0</x:v>
      </x:c>
      <x:c r="AP867" t="n">
        <x:f>--AND(AO867=1,AA867=1,AL867=1)</x:f>
        <x:v>0</x:v>
      </x:c>
      <x:c r="AQ867" t="n">
        <x:f>--AND(AN867=1,Z867=1)</x:f>
        <x:v>0</x:v>
      </x:c>
      <x:c r="AR867" t="n">
        <x:f>--AND(AQ867=1,AA867=1)</x:f>
        <x:v>0</x:v>
      </x:c>
    </x:row>
    <x:row r="868">
      <x:c r="A868" s="28"/>
      <x:c r="B868" s="28"/>
      <x:c r="C868" s="28"/>
      <x:c r="D868" s="28"/>
      <x:c r="E868" s="28"/>
      <x:c r="F868" s="28"/>
      <x:c r="G868" s="28"/>
      <x:c r="H868" s="28"/>
      <x:c r="I868" s="28"/>
      <x:c r="J868" s="28"/>
      <x:c r="K868" s="28"/>
      <x:c r="L868" s="28"/>
      <x:c r="M868" s="28"/>
      <x:c r="N868" s="28"/>
      <x:c r="O868" s="28"/>
      <x:c r="P868" s="28"/>
      <x:c r="Q868" s="28"/>
      <x:c r="R868" s="28"/>
      <x:c r="S868" s="28"/>
      <x:c r="T868" s="28"/>
      <x:c r="U868" s="28"/>
      <x:c r="V868" s="28"/>
      <x:c r="W868" s="28"/>
      <x:c r="X868" s="43" t="n">
        <x:f>--AND(S868=1,T868=1,U868=1,V868=1,W868=1)</x:f>
        <x:v>0</x:v>
      </x:c>
      <x:c r="AE868" s="43" t="n">
        <x:f>--AND(S868=1,M868&lt;&gt;"",M868&lt;&gt;"keep")</x:f>
        <x:v>0</x:v>
      </x:c>
      <x:c r="AG868" t="n">
        <x:f>--AND(S868=1,T868=1,U868=1,V868=1,W868=1,AE868=1)</x:f>
        <x:v>0</x:v>
      </x:c>
      <x:c r="AJ868" t="str">
        <x:f>IF(OR(AH868="",AI868=""),"",--(AH868&lt;&gt;AI868))</x:f>
      </x:c>
      <x:c r="AL868" t="str">
        <x:f>IF(OR(AH868="",AI868=""),"PENDING_HUMAN",IF(AH868=AI868,AH868,IF(AK868&lt;&gt;"",AK868,"PENDING_HUMAN")))</x:f>
        <x:v>PENDING_HUMAN</x:v>
      </x:c>
      <x:c r="AM868" t="n">
        <x:f>--AND(A868&lt;&gt;"",AH868&lt;&gt;"",AI868&lt;&gt;"",OR(AH868=AI868,AK868&lt;&gt;""))</x:f>
        <x:v>0</x:v>
      </x:c>
      <x:c r="AN868" t="n">
        <x:f>--AND(Y868&lt;&gt;"",COUNTIF($Y$4:Y868,Y868)=1)</x:f>
        <x:v>0</x:v>
      </x:c>
      <x:c r="AO868" t="n">
        <x:f>--AND(AN868=1,Z868=1,AM868=1)</x:f>
        <x:v>0</x:v>
      </x:c>
      <x:c r="AP868" t="n">
        <x:f>--AND(AO868=1,AA868=1,AL868=1)</x:f>
        <x:v>0</x:v>
      </x:c>
      <x:c r="AQ868" t="n">
        <x:f>--AND(AN868=1,Z868=1)</x:f>
        <x:v>0</x:v>
      </x:c>
      <x:c r="AR868" t="n">
        <x:f>--AND(AQ868=1,AA868=1)</x:f>
        <x:v>0</x:v>
      </x:c>
    </x:row>
    <x:row r="869">
      <x:c r="A869" s="28"/>
      <x:c r="B869" s="28"/>
      <x:c r="C869" s="28"/>
      <x:c r="D869" s="28"/>
      <x:c r="E869" s="28"/>
      <x:c r="F869" s="28"/>
      <x:c r="G869" s="28"/>
      <x:c r="H869" s="28"/>
      <x:c r="I869" s="28"/>
      <x:c r="J869" s="28"/>
      <x:c r="K869" s="28"/>
      <x:c r="L869" s="28"/>
      <x:c r="M869" s="28"/>
      <x:c r="N869" s="28"/>
      <x:c r="O869" s="28"/>
      <x:c r="P869" s="28"/>
      <x:c r="Q869" s="28"/>
      <x:c r="R869" s="28"/>
      <x:c r="S869" s="28"/>
      <x:c r="T869" s="28"/>
      <x:c r="U869" s="28"/>
      <x:c r="V869" s="28"/>
      <x:c r="W869" s="28"/>
      <x:c r="X869" s="43" t="n">
        <x:f>--AND(S869=1,T869=1,U869=1,V869=1,W869=1)</x:f>
        <x:v>0</x:v>
      </x:c>
      <x:c r="AE869" s="43" t="n">
        <x:f>--AND(S869=1,M869&lt;&gt;"",M869&lt;&gt;"keep")</x:f>
        <x:v>0</x:v>
      </x:c>
      <x:c r="AG869" t="n">
        <x:f>--AND(S869=1,T869=1,U869=1,V869=1,W869=1,AE869=1)</x:f>
        <x:v>0</x:v>
      </x:c>
      <x:c r="AJ869" t="str">
        <x:f>IF(OR(AH869="",AI869=""),"",--(AH869&lt;&gt;AI869))</x:f>
      </x:c>
      <x:c r="AL869" t="str">
        <x:f>IF(OR(AH869="",AI869=""),"PENDING_HUMAN",IF(AH869=AI869,AH869,IF(AK869&lt;&gt;"",AK869,"PENDING_HUMAN")))</x:f>
        <x:v>PENDING_HUMAN</x:v>
      </x:c>
      <x:c r="AM869" t="n">
        <x:f>--AND(A869&lt;&gt;"",AH869&lt;&gt;"",AI869&lt;&gt;"",OR(AH869=AI869,AK869&lt;&gt;""))</x:f>
        <x:v>0</x:v>
      </x:c>
      <x:c r="AN869" t="n">
        <x:f>--AND(Y869&lt;&gt;"",COUNTIF($Y$4:Y869,Y869)=1)</x:f>
        <x:v>0</x:v>
      </x:c>
      <x:c r="AO869" t="n">
        <x:f>--AND(AN869=1,Z869=1,AM869=1)</x:f>
        <x:v>0</x:v>
      </x:c>
      <x:c r="AP869" t="n">
        <x:f>--AND(AO869=1,AA869=1,AL869=1)</x:f>
        <x:v>0</x:v>
      </x:c>
      <x:c r="AQ869" t="n">
        <x:f>--AND(AN869=1,Z869=1)</x:f>
        <x:v>0</x:v>
      </x:c>
      <x:c r="AR869" t="n">
        <x:f>--AND(AQ869=1,AA869=1)</x:f>
        <x:v>0</x:v>
      </x:c>
    </x:row>
    <x:row r="870">
      <x:c r="A870" s="28"/>
      <x:c r="B870" s="28"/>
      <x:c r="C870" s="28"/>
      <x:c r="D870" s="28"/>
      <x:c r="E870" s="28"/>
      <x:c r="F870" s="28"/>
      <x:c r="G870" s="28"/>
      <x:c r="H870" s="28"/>
      <x:c r="I870" s="28"/>
      <x:c r="J870" s="28"/>
      <x:c r="K870" s="28"/>
      <x:c r="L870" s="28"/>
      <x:c r="M870" s="28"/>
      <x:c r="N870" s="28"/>
      <x:c r="O870" s="28"/>
      <x:c r="P870" s="28"/>
      <x:c r="Q870" s="28"/>
      <x:c r="R870" s="28"/>
      <x:c r="S870" s="28"/>
      <x:c r="T870" s="28"/>
      <x:c r="U870" s="28"/>
      <x:c r="V870" s="28"/>
      <x:c r="W870" s="28"/>
      <x:c r="X870" s="43" t="n">
        <x:f>--AND(S870=1,T870=1,U870=1,V870=1,W870=1)</x:f>
        <x:v>0</x:v>
      </x:c>
      <x:c r="AE870" s="43" t="n">
        <x:f>--AND(S870=1,M870&lt;&gt;"",M870&lt;&gt;"keep")</x:f>
        <x:v>0</x:v>
      </x:c>
      <x:c r="AG870" t="n">
        <x:f>--AND(S870=1,T870=1,U870=1,V870=1,W870=1,AE870=1)</x:f>
        <x:v>0</x:v>
      </x:c>
      <x:c r="AJ870" t="str">
        <x:f>IF(OR(AH870="",AI870=""),"",--(AH870&lt;&gt;AI870))</x:f>
      </x:c>
      <x:c r="AL870" t="str">
        <x:f>IF(OR(AH870="",AI870=""),"PENDING_HUMAN",IF(AH870=AI870,AH870,IF(AK870&lt;&gt;"",AK870,"PENDING_HUMAN")))</x:f>
        <x:v>PENDING_HUMAN</x:v>
      </x:c>
      <x:c r="AM870" t="n">
        <x:f>--AND(A870&lt;&gt;"",AH870&lt;&gt;"",AI870&lt;&gt;"",OR(AH870=AI870,AK870&lt;&gt;""))</x:f>
        <x:v>0</x:v>
      </x:c>
      <x:c r="AN870" t="n">
        <x:f>--AND(Y870&lt;&gt;"",COUNTIF($Y$4:Y870,Y870)=1)</x:f>
        <x:v>0</x:v>
      </x:c>
      <x:c r="AO870" t="n">
        <x:f>--AND(AN870=1,Z870=1,AM870=1)</x:f>
        <x:v>0</x:v>
      </x:c>
      <x:c r="AP870" t="n">
        <x:f>--AND(AO870=1,AA870=1,AL870=1)</x:f>
        <x:v>0</x:v>
      </x:c>
      <x:c r="AQ870" t="n">
        <x:f>--AND(AN870=1,Z870=1)</x:f>
        <x:v>0</x:v>
      </x:c>
      <x:c r="AR870" t="n">
        <x:f>--AND(AQ870=1,AA870=1)</x:f>
        <x:v>0</x:v>
      </x:c>
    </x:row>
    <x:row r="871">
      <x:c r="A871" s="28"/>
      <x:c r="B871" s="28"/>
      <x:c r="C871" s="28"/>
      <x:c r="D871" s="28"/>
      <x:c r="E871" s="28"/>
      <x:c r="F871" s="28"/>
      <x:c r="G871" s="28"/>
      <x:c r="H871" s="28"/>
      <x:c r="I871" s="28"/>
      <x:c r="J871" s="28"/>
      <x:c r="K871" s="28"/>
      <x:c r="L871" s="28"/>
      <x:c r="M871" s="28"/>
      <x:c r="N871" s="28"/>
      <x:c r="O871" s="28"/>
      <x:c r="P871" s="28"/>
      <x:c r="Q871" s="28"/>
      <x:c r="R871" s="28"/>
      <x:c r="S871" s="28"/>
      <x:c r="T871" s="28"/>
      <x:c r="U871" s="28"/>
      <x:c r="V871" s="28"/>
      <x:c r="W871" s="28"/>
      <x:c r="X871" s="43" t="n">
        <x:f>--AND(S871=1,T871=1,U871=1,V871=1,W871=1)</x:f>
        <x:v>0</x:v>
      </x:c>
      <x:c r="AE871" s="43" t="n">
        <x:f>--AND(S871=1,M871&lt;&gt;"",M871&lt;&gt;"keep")</x:f>
        <x:v>0</x:v>
      </x:c>
      <x:c r="AG871" t="n">
        <x:f>--AND(S871=1,T871=1,U871=1,V871=1,W871=1,AE871=1)</x:f>
        <x:v>0</x:v>
      </x:c>
      <x:c r="AJ871" t="str">
        <x:f>IF(OR(AH871="",AI871=""),"",--(AH871&lt;&gt;AI871))</x:f>
      </x:c>
      <x:c r="AL871" t="str">
        <x:f>IF(OR(AH871="",AI871=""),"PENDING_HUMAN",IF(AH871=AI871,AH871,IF(AK871&lt;&gt;"",AK871,"PENDING_HUMAN")))</x:f>
        <x:v>PENDING_HUMAN</x:v>
      </x:c>
      <x:c r="AM871" t="n">
        <x:f>--AND(A871&lt;&gt;"",AH871&lt;&gt;"",AI871&lt;&gt;"",OR(AH871=AI871,AK871&lt;&gt;""))</x:f>
        <x:v>0</x:v>
      </x:c>
      <x:c r="AN871" t="n">
        <x:f>--AND(Y871&lt;&gt;"",COUNTIF($Y$4:Y871,Y871)=1)</x:f>
        <x:v>0</x:v>
      </x:c>
      <x:c r="AO871" t="n">
        <x:f>--AND(AN871=1,Z871=1,AM871=1)</x:f>
        <x:v>0</x:v>
      </x:c>
      <x:c r="AP871" t="n">
        <x:f>--AND(AO871=1,AA871=1,AL871=1)</x:f>
        <x:v>0</x:v>
      </x:c>
      <x:c r="AQ871" t="n">
        <x:f>--AND(AN871=1,Z871=1)</x:f>
        <x:v>0</x:v>
      </x:c>
      <x:c r="AR871" t="n">
        <x:f>--AND(AQ871=1,AA871=1)</x:f>
        <x:v>0</x:v>
      </x:c>
    </x:row>
    <x:row r="872">
      <x:c r="A872" s="28"/>
      <x:c r="B872" s="28"/>
      <x:c r="C872" s="28"/>
      <x:c r="D872" s="28"/>
      <x:c r="E872" s="28"/>
      <x:c r="F872" s="28"/>
      <x:c r="G872" s="28"/>
      <x:c r="H872" s="28"/>
      <x:c r="I872" s="28"/>
      <x:c r="J872" s="28"/>
      <x:c r="K872" s="28"/>
      <x:c r="L872" s="28"/>
      <x:c r="M872" s="28"/>
      <x:c r="N872" s="28"/>
      <x:c r="O872" s="28"/>
      <x:c r="P872" s="28"/>
      <x:c r="Q872" s="28"/>
      <x:c r="R872" s="28"/>
      <x:c r="S872" s="28"/>
      <x:c r="T872" s="28"/>
      <x:c r="U872" s="28"/>
      <x:c r="V872" s="28"/>
      <x:c r="W872" s="28"/>
      <x:c r="X872" s="43" t="n">
        <x:f>--AND(S872=1,T872=1,U872=1,V872=1,W872=1)</x:f>
        <x:v>0</x:v>
      </x:c>
      <x:c r="AE872" s="43" t="n">
        <x:f>--AND(S872=1,M872&lt;&gt;"",M872&lt;&gt;"keep")</x:f>
        <x:v>0</x:v>
      </x:c>
      <x:c r="AG872" t="n">
        <x:f>--AND(S872=1,T872=1,U872=1,V872=1,W872=1,AE872=1)</x:f>
        <x:v>0</x:v>
      </x:c>
      <x:c r="AJ872" t="str">
        <x:f>IF(OR(AH872="",AI872=""),"",--(AH872&lt;&gt;AI872))</x:f>
      </x:c>
      <x:c r="AL872" t="str">
        <x:f>IF(OR(AH872="",AI872=""),"PENDING_HUMAN",IF(AH872=AI872,AH872,IF(AK872&lt;&gt;"",AK872,"PENDING_HUMAN")))</x:f>
        <x:v>PENDING_HUMAN</x:v>
      </x:c>
      <x:c r="AM872" t="n">
        <x:f>--AND(A872&lt;&gt;"",AH872&lt;&gt;"",AI872&lt;&gt;"",OR(AH872=AI872,AK872&lt;&gt;""))</x:f>
        <x:v>0</x:v>
      </x:c>
      <x:c r="AN872" t="n">
        <x:f>--AND(Y872&lt;&gt;"",COUNTIF($Y$4:Y872,Y872)=1)</x:f>
        <x:v>0</x:v>
      </x:c>
      <x:c r="AO872" t="n">
        <x:f>--AND(AN872=1,Z872=1,AM872=1)</x:f>
        <x:v>0</x:v>
      </x:c>
      <x:c r="AP872" t="n">
        <x:f>--AND(AO872=1,AA872=1,AL872=1)</x:f>
        <x:v>0</x:v>
      </x:c>
      <x:c r="AQ872" t="n">
        <x:f>--AND(AN872=1,Z872=1)</x:f>
        <x:v>0</x:v>
      </x:c>
      <x:c r="AR872" t="n">
        <x:f>--AND(AQ872=1,AA872=1)</x:f>
        <x:v>0</x:v>
      </x:c>
    </x:row>
    <x:row r="873">
      <x:c r="A873" s="28"/>
      <x:c r="B873" s="28"/>
      <x:c r="C873" s="28"/>
      <x:c r="D873" s="28"/>
      <x:c r="E873" s="28"/>
      <x:c r="F873" s="28"/>
      <x:c r="G873" s="28"/>
      <x:c r="H873" s="28"/>
      <x:c r="I873" s="28"/>
      <x:c r="J873" s="28"/>
      <x:c r="K873" s="28"/>
      <x:c r="L873" s="28"/>
      <x:c r="M873" s="28"/>
      <x:c r="N873" s="28"/>
      <x:c r="O873" s="28"/>
      <x:c r="P873" s="28"/>
      <x:c r="Q873" s="28"/>
      <x:c r="R873" s="28"/>
      <x:c r="S873" s="28"/>
      <x:c r="T873" s="28"/>
      <x:c r="U873" s="28"/>
      <x:c r="V873" s="28"/>
      <x:c r="W873" s="28"/>
      <x:c r="X873" s="43" t="n">
        <x:f>--AND(S873=1,T873=1,U873=1,V873=1,W873=1)</x:f>
        <x:v>0</x:v>
      </x:c>
      <x:c r="AE873" s="43" t="n">
        <x:f>--AND(S873=1,M873&lt;&gt;"",M873&lt;&gt;"keep")</x:f>
        <x:v>0</x:v>
      </x:c>
      <x:c r="AG873" t="n">
        <x:f>--AND(S873=1,T873=1,U873=1,V873=1,W873=1,AE873=1)</x:f>
        <x:v>0</x:v>
      </x:c>
      <x:c r="AJ873" t="str">
        <x:f>IF(OR(AH873="",AI873=""),"",--(AH873&lt;&gt;AI873))</x:f>
      </x:c>
      <x:c r="AL873" t="str">
        <x:f>IF(OR(AH873="",AI873=""),"PENDING_HUMAN",IF(AH873=AI873,AH873,IF(AK873&lt;&gt;"",AK873,"PENDING_HUMAN")))</x:f>
        <x:v>PENDING_HUMAN</x:v>
      </x:c>
      <x:c r="AM873" t="n">
        <x:f>--AND(A873&lt;&gt;"",AH873&lt;&gt;"",AI873&lt;&gt;"",OR(AH873=AI873,AK873&lt;&gt;""))</x:f>
        <x:v>0</x:v>
      </x:c>
      <x:c r="AN873" t="n">
        <x:f>--AND(Y873&lt;&gt;"",COUNTIF($Y$4:Y873,Y873)=1)</x:f>
        <x:v>0</x:v>
      </x:c>
      <x:c r="AO873" t="n">
        <x:f>--AND(AN873=1,Z873=1,AM873=1)</x:f>
        <x:v>0</x:v>
      </x:c>
      <x:c r="AP873" t="n">
        <x:f>--AND(AO873=1,AA873=1,AL873=1)</x:f>
        <x:v>0</x:v>
      </x:c>
      <x:c r="AQ873" t="n">
        <x:f>--AND(AN873=1,Z873=1)</x:f>
        <x:v>0</x:v>
      </x:c>
      <x:c r="AR873" t="n">
        <x:f>--AND(AQ873=1,AA873=1)</x:f>
        <x:v>0</x:v>
      </x:c>
    </x:row>
    <x:row r="874">
      <x:c r="A874" s="28"/>
      <x:c r="B874" s="28"/>
      <x:c r="C874" s="28"/>
      <x:c r="D874" s="28"/>
      <x:c r="E874" s="28"/>
      <x:c r="F874" s="28"/>
      <x:c r="G874" s="28"/>
      <x:c r="H874" s="28"/>
      <x:c r="I874" s="28"/>
      <x:c r="J874" s="28"/>
      <x:c r="K874" s="28"/>
      <x:c r="L874" s="28"/>
      <x:c r="M874" s="28"/>
      <x:c r="N874" s="28"/>
      <x:c r="O874" s="28"/>
      <x:c r="P874" s="28"/>
      <x:c r="Q874" s="28"/>
      <x:c r="R874" s="28"/>
      <x:c r="S874" s="28"/>
      <x:c r="T874" s="28"/>
      <x:c r="U874" s="28"/>
      <x:c r="V874" s="28"/>
      <x:c r="W874" s="28"/>
      <x:c r="X874" s="43" t="n">
        <x:f>--AND(S874=1,T874=1,U874=1,V874=1,W874=1)</x:f>
        <x:v>0</x:v>
      </x:c>
      <x:c r="AE874" s="43" t="n">
        <x:f>--AND(S874=1,M874&lt;&gt;"",M874&lt;&gt;"keep")</x:f>
        <x:v>0</x:v>
      </x:c>
      <x:c r="AG874" t="n">
        <x:f>--AND(S874=1,T874=1,U874=1,V874=1,W874=1,AE874=1)</x:f>
        <x:v>0</x:v>
      </x:c>
      <x:c r="AJ874" t="str">
        <x:f>IF(OR(AH874="",AI874=""),"",--(AH874&lt;&gt;AI874))</x:f>
      </x:c>
      <x:c r="AL874" t="str">
        <x:f>IF(OR(AH874="",AI874=""),"PENDING_HUMAN",IF(AH874=AI874,AH874,IF(AK874&lt;&gt;"",AK874,"PENDING_HUMAN")))</x:f>
        <x:v>PENDING_HUMAN</x:v>
      </x:c>
      <x:c r="AM874" t="n">
        <x:f>--AND(A874&lt;&gt;"",AH874&lt;&gt;"",AI874&lt;&gt;"",OR(AH874=AI874,AK874&lt;&gt;""))</x:f>
        <x:v>0</x:v>
      </x:c>
      <x:c r="AN874" t="n">
        <x:f>--AND(Y874&lt;&gt;"",COUNTIF($Y$4:Y874,Y874)=1)</x:f>
        <x:v>0</x:v>
      </x:c>
      <x:c r="AO874" t="n">
        <x:f>--AND(AN874=1,Z874=1,AM874=1)</x:f>
        <x:v>0</x:v>
      </x:c>
      <x:c r="AP874" t="n">
        <x:f>--AND(AO874=1,AA874=1,AL874=1)</x:f>
        <x:v>0</x:v>
      </x:c>
      <x:c r="AQ874" t="n">
        <x:f>--AND(AN874=1,Z874=1)</x:f>
        <x:v>0</x:v>
      </x:c>
      <x:c r="AR874" t="n">
        <x:f>--AND(AQ874=1,AA874=1)</x:f>
        <x:v>0</x:v>
      </x:c>
    </x:row>
    <x:row r="875">
      <x:c r="A875" s="28"/>
      <x:c r="B875" s="28"/>
      <x:c r="C875" s="28"/>
      <x:c r="D875" s="28"/>
      <x:c r="E875" s="28"/>
      <x:c r="F875" s="28"/>
      <x:c r="G875" s="28"/>
      <x:c r="H875" s="28"/>
      <x:c r="I875" s="28"/>
      <x:c r="J875" s="28"/>
      <x:c r="K875" s="28"/>
      <x:c r="L875" s="28"/>
      <x:c r="M875" s="28"/>
      <x:c r="N875" s="28"/>
      <x:c r="O875" s="28"/>
      <x:c r="P875" s="28"/>
      <x:c r="Q875" s="28"/>
      <x:c r="R875" s="28"/>
      <x:c r="S875" s="28"/>
      <x:c r="T875" s="28"/>
      <x:c r="U875" s="28"/>
      <x:c r="V875" s="28"/>
      <x:c r="W875" s="28"/>
      <x:c r="X875" s="43" t="n">
        <x:f>--AND(S875=1,T875=1,U875=1,V875=1,W875=1)</x:f>
        <x:v>0</x:v>
      </x:c>
      <x:c r="AE875" s="43" t="n">
        <x:f>--AND(S875=1,M875&lt;&gt;"",M875&lt;&gt;"keep")</x:f>
        <x:v>0</x:v>
      </x:c>
      <x:c r="AG875" t="n">
        <x:f>--AND(S875=1,T875=1,U875=1,V875=1,W875=1,AE875=1)</x:f>
        <x:v>0</x:v>
      </x:c>
      <x:c r="AJ875" t="str">
        <x:f>IF(OR(AH875="",AI875=""),"",--(AH875&lt;&gt;AI875))</x:f>
      </x:c>
      <x:c r="AL875" t="str">
        <x:f>IF(OR(AH875="",AI875=""),"PENDING_HUMAN",IF(AH875=AI875,AH875,IF(AK875&lt;&gt;"",AK875,"PENDING_HUMAN")))</x:f>
        <x:v>PENDING_HUMAN</x:v>
      </x:c>
      <x:c r="AM875" t="n">
        <x:f>--AND(A875&lt;&gt;"",AH875&lt;&gt;"",AI875&lt;&gt;"",OR(AH875=AI875,AK875&lt;&gt;""))</x:f>
        <x:v>0</x:v>
      </x:c>
      <x:c r="AN875" t="n">
        <x:f>--AND(Y875&lt;&gt;"",COUNTIF($Y$4:Y875,Y875)=1)</x:f>
        <x:v>0</x:v>
      </x:c>
      <x:c r="AO875" t="n">
        <x:f>--AND(AN875=1,Z875=1,AM875=1)</x:f>
        <x:v>0</x:v>
      </x:c>
      <x:c r="AP875" t="n">
        <x:f>--AND(AO875=1,AA875=1,AL875=1)</x:f>
        <x:v>0</x:v>
      </x:c>
      <x:c r="AQ875" t="n">
        <x:f>--AND(AN875=1,Z875=1)</x:f>
        <x:v>0</x:v>
      </x:c>
      <x:c r="AR875" t="n">
        <x:f>--AND(AQ875=1,AA875=1)</x:f>
        <x:v>0</x:v>
      </x:c>
    </x:row>
    <x:row r="876">
      <x:c r="A876" s="28"/>
      <x:c r="B876" s="28"/>
      <x:c r="C876" s="28"/>
      <x:c r="D876" s="28"/>
      <x:c r="E876" s="28"/>
      <x:c r="F876" s="28"/>
      <x:c r="G876" s="28"/>
      <x:c r="H876" s="28"/>
      <x:c r="I876" s="28"/>
      <x:c r="J876" s="28"/>
      <x:c r="K876" s="28"/>
      <x:c r="L876" s="28"/>
      <x:c r="M876" s="28"/>
      <x:c r="N876" s="28"/>
      <x:c r="O876" s="28"/>
      <x:c r="P876" s="28"/>
      <x:c r="Q876" s="28"/>
      <x:c r="R876" s="28"/>
      <x:c r="S876" s="28"/>
      <x:c r="T876" s="28"/>
      <x:c r="U876" s="28"/>
      <x:c r="V876" s="28"/>
      <x:c r="W876" s="28"/>
      <x:c r="X876" s="43" t="n">
        <x:f>--AND(S876=1,T876=1,U876=1,V876=1,W876=1)</x:f>
        <x:v>0</x:v>
      </x:c>
      <x:c r="AE876" s="43" t="n">
        <x:f>--AND(S876=1,M876&lt;&gt;"",M876&lt;&gt;"keep")</x:f>
        <x:v>0</x:v>
      </x:c>
      <x:c r="AG876" t="n">
        <x:f>--AND(S876=1,T876=1,U876=1,V876=1,W876=1,AE876=1)</x:f>
        <x:v>0</x:v>
      </x:c>
      <x:c r="AJ876" t="str">
        <x:f>IF(OR(AH876="",AI876=""),"",--(AH876&lt;&gt;AI876))</x:f>
      </x:c>
      <x:c r="AL876" t="str">
        <x:f>IF(OR(AH876="",AI876=""),"PENDING_HUMAN",IF(AH876=AI876,AH876,IF(AK876&lt;&gt;"",AK876,"PENDING_HUMAN")))</x:f>
        <x:v>PENDING_HUMAN</x:v>
      </x:c>
      <x:c r="AM876" t="n">
        <x:f>--AND(A876&lt;&gt;"",AH876&lt;&gt;"",AI876&lt;&gt;"",OR(AH876=AI876,AK876&lt;&gt;""))</x:f>
        <x:v>0</x:v>
      </x:c>
      <x:c r="AN876" t="n">
        <x:f>--AND(Y876&lt;&gt;"",COUNTIF($Y$4:Y876,Y876)=1)</x:f>
        <x:v>0</x:v>
      </x:c>
      <x:c r="AO876" t="n">
        <x:f>--AND(AN876=1,Z876=1,AM876=1)</x:f>
        <x:v>0</x:v>
      </x:c>
      <x:c r="AP876" t="n">
        <x:f>--AND(AO876=1,AA876=1,AL876=1)</x:f>
        <x:v>0</x:v>
      </x:c>
      <x:c r="AQ876" t="n">
        <x:f>--AND(AN876=1,Z876=1)</x:f>
        <x:v>0</x:v>
      </x:c>
      <x:c r="AR876" t="n">
        <x:f>--AND(AQ876=1,AA876=1)</x:f>
        <x:v>0</x:v>
      </x:c>
    </x:row>
    <x:row r="877">
      <x:c r="A877" s="28"/>
      <x:c r="B877" s="28"/>
      <x:c r="C877" s="28"/>
      <x:c r="D877" s="28"/>
      <x:c r="E877" s="28"/>
      <x:c r="F877" s="28"/>
      <x:c r="G877" s="28"/>
      <x:c r="H877" s="28"/>
      <x:c r="I877" s="28"/>
      <x:c r="J877" s="28"/>
      <x:c r="K877" s="28"/>
      <x:c r="L877" s="28"/>
      <x:c r="M877" s="28"/>
      <x:c r="N877" s="28"/>
      <x:c r="O877" s="28"/>
      <x:c r="P877" s="28"/>
      <x:c r="Q877" s="28"/>
      <x:c r="R877" s="28"/>
      <x:c r="S877" s="28"/>
      <x:c r="T877" s="28"/>
      <x:c r="U877" s="28"/>
      <x:c r="V877" s="28"/>
      <x:c r="W877" s="28"/>
      <x:c r="X877" s="43" t="n">
        <x:f>--AND(S877=1,T877=1,U877=1,V877=1,W877=1)</x:f>
        <x:v>0</x:v>
      </x:c>
      <x:c r="AE877" s="43" t="n">
        <x:f>--AND(S877=1,M877&lt;&gt;"",M877&lt;&gt;"keep")</x:f>
        <x:v>0</x:v>
      </x:c>
      <x:c r="AG877" t="n">
        <x:f>--AND(S877=1,T877=1,U877=1,V877=1,W877=1,AE877=1)</x:f>
        <x:v>0</x:v>
      </x:c>
      <x:c r="AJ877" t="str">
        <x:f>IF(OR(AH877="",AI877=""),"",--(AH877&lt;&gt;AI877))</x:f>
      </x:c>
      <x:c r="AL877" t="str">
        <x:f>IF(OR(AH877="",AI877=""),"PENDING_HUMAN",IF(AH877=AI877,AH877,IF(AK877&lt;&gt;"",AK877,"PENDING_HUMAN")))</x:f>
        <x:v>PENDING_HUMAN</x:v>
      </x:c>
      <x:c r="AM877" t="n">
        <x:f>--AND(A877&lt;&gt;"",AH877&lt;&gt;"",AI877&lt;&gt;"",OR(AH877=AI877,AK877&lt;&gt;""))</x:f>
        <x:v>0</x:v>
      </x:c>
      <x:c r="AN877" t="n">
        <x:f>--AND(Y877&lt;&gt;"",COUNTIF($Y$4:Y877,Y877)=1)</x:f>
        <x:v>0</x:v>
      </x:c>
      <x:c r="AO877" t="n">
        <x:f>--AND(AN877=1,Z877=1,AM877=1)</x:f>
        <x:v>0</x:v>
      </x:c>
      <x:c r="AP877" t="n">
        <x:f>--AND(AO877=1,AA877=1,AL877=1)</x:f>
        <x:v>0</x:v>
      </x:c>
      <x:c r="AQ877" t="n">
        <x:f>--AND(AN877=1,Z877=1)</x:f>
        <x:v>0</x:v>
      </x:c>
      <x:c r="AR877" t="n">
        <x:f>--AND(AQ877=1,AA877=1)</x:f>
        <x:v>0</x:v>
      </x:c>
    </x:row>
    <x:row r="878">
      <x:c r="A878" s="28"/>
      <x:c r="B878" s="28"/>
      <x:c r="C878" s="28"/>
      <x:c r="D878" s="28"/>
      <x:c r="E878" s="28"/>
      <x:c r="F878" s="28"/>
      <x:c r="G878" s="28"/>
      <x:c r="H878" s="28"/>
      <x:c r="I878" s="28"/>
      <x:c r="J878" s="28"/>
      <x:c r="K878" s="28"/>
      <x:c r="L878" s="28"/>
      <x:c r="M878" s="28"/>
      <x:c r="N878" s="28"/>
      <x:c r="O878" s="28"/>
      <x:c r="P878" s="28"/>
      <x:c r="Q878" s="28"/>
      <x:c r="R878" s="28"/>
      <x:c r="S878" s="28"/>
      <x:c r="T878" s="28"/>
      <x:c r="U878" s="28"/>
      <x:c r="V878" s="28"/>
      <x:c r="W878" s="28"/>
      <x:c r="X878" s="43" t="n">
        <x:f>--AND(S878=1,T878=1,U878=1,V878=1,W878=1)</x:f>
        <x:v>0</x:v>
      </x:c>
      <x:c r="AE878" s="43" t="n">
        <x:f>--AND(S878=1,M878&lt;&gt;"",M878&lt;&gt;"keep")</x:f>
        <x:v>0</x:v>
      </x:c>
      <x:c r="AG878" t="n">
        <x:f>--AND(S878=1,T878=1,U878=1,V878=1,W878=1,AE878=1)</x:f>
        <x:v>0</x:v>
      </x:c>
      <x:c r="AJ878" t="str">
        <x:f>IF(OR(AH878="",AI878=""),"",--(AH878&lt;&gt;AI878))</x:f>
      </x:c>
      <x:c r="AL878" t="str">
        <x:f>IF(OR(AH878="",AI878=""),"PENDING_HUMAN",IF(AH878=AI878,AH878,IF(AK878&lt;&gt;"",AK878,"PENDING_HUMAN")))</x:f>
        <x:v>PENDING_HUMAN</x:v>
      </x:c>
      <x:c r="AM878" t="n">
        <x:f>--AND(A878&lt;&gt;"",AH878&lt;&gt;"",AI878&lt;&gt;"",OR(AH878=AI878,AK878&lt;&gt;""))</x:f>
        <x:v>0</x:v>
      </x:c>
      <x:c r="AN878" t="n">
        <x:f>--AND(Y878&lt;&gt;"",COUNTIF($Y$4:Y878,Y878)=1)</x:f>
        <x:v>0</x:v>
      </x:c>
      <x:c r="AO878" t="n">
        <x:f>--AND(AN878=1,Z878=1,AM878=1)</x:f>
        <x:v>0</x:v>
      </x:c>
      <x:c r="AP878" t="n">
        <x:f>--AND(AO878=1,AA878=1,AL878=1)</x:f>
        <x:v>0</x:v>
      </x:c>
      <x:c r="AQ878" t="n">
        <x:f>--AND(AN878=1,Z878=1)</x:f>
        <x:v>0</x:v>
      </x:c>
      <x:c r="AR878" t="n">
        <x:f>--AND(AQ878=1,AA878=1)</x:f>
        <x:v>0</x:v>
      </x:c>
    </x:row>
    <x:row r="879">
      <x:c r="A879" s="28"/>
      <x:c r="B879" s="28"/>
      <x:c r="C879" s="28"/>
      <x:c r="D879" s="28"/>
      <x:c r="E879" s="28"/>
      <x:c r="F879" s="28"/>
      <x:c r="G879" s="28"/>
      <x:c r="H879" s="28"/>
      <x:c r="I879" s="28"/>
      <x:c r="J879" s="28"/>
      <x:c r="K879" s="28"/>
      <x:c r="L879" s="28"/>
      <x:c r="M879" s="28"/>
      <x:c r="N879" s="28"/>
      <x:c r="O879" s="28"/>
      <x:c r="P879" s="28"/>
      <x:c r="Q879" s="28"/>
      <x:c r="R879" s="28"/>
      <x:c r="S879" s="28"/>
      <x:c r="T879" s="28"/>
      <x:c r="U879" s="28"/>
      <x:c r="V879" s="28"/>
      <x:c r="W879" s="28"/>
      <x:c r="X879" s="43" t="n">
        <x:f>--AND(S879=1,T879=1,U879=1,V879=1,W879=1)</x:f>
        <x:v>0</x:v>
      </x:c>
      <x:c r="AE879" s="43" t="n">
        <x:f>--AND(S879=1,M879&lt;&gt;"",M879&lt;&gt;"keep")</x:f>
        <x:v>0</x:v>
      </x:c>
      <x:c r="AG879" t="n">
        <x:f>--AND(S879=1,T879=1,U879=1,V879=1,W879=1,AE879=1)</x:f>
        <x:v>0</x:v>
      </x:c>
      <x:c r="AJ879" t="str">
        <x:f>IF(OR(AH879="",AI879=""),"",--(AH879&lt;&gt;AI879))</x:f>
      </x:c>
      <x:c r="AL879" t="str">
        <x:f>IF(OR(AH879="",AI879=""),"PENDING_HUMAN",IF(AH879=AI879,AH879,IF(AK879&lt;&gt;"",AK879,"PENDING_HUMAN")))</x:f>
        <x:v>PENDING_HUMAN</x:v>
      </x:c>
      <x:c r="AM879" t="n">
        <x:f>--AND(A879&lt;&gt;"",AH879&lt;&gt;"",AI879&lt;&gt;"",OR(AH879=AI879,AK879&lt;&gt;""))</x:f>
        <x:v>0</x:v>
      </x:c>
      <x:c r="AN879" t="n">
        <x:f>--AND(Y879&lt;&gt;"",COUNTIF($Y$4:Y879,Y879)=1)</x:f>
        <x:v>0</x:v>
      </x:c>
      <x:c r="AO879" t="n">
        <x:f>--AND(AN879=1,Z879=1,AM879=1)</x:f>
        <x:v>0</x:v>
      </x:c>
      <x:c r="AP879" t="n">
        <x:f>--AND(AO879=1,AA879=1,AL879=1)</x:f>
        <x:v>0</x:v>
      </x:c>
      <x:c r="AQ879" t="n">
        <x:f>--AND(AN879=1,Z879=1)</x:f>
        <x:v>0</x:v>
      </x:c>
      <x:c r="AR879" t="n">
        <x:f>--AND(AQ879=1,AA879=1)</x:f>
        <x:v>0</x:v>
      </x:c>
    </x:row>
    <x:row r="880">
      <x:c r="A880" s="28"/>
      <x:c r="B880" s="28"/>
      <x:c r="C880" s="28"/>
      <x:c r="D880" s="28"/>
      <x:c r="E880" s="28"/>
      <x:c r="F880" s="28"/>
      <x:c r="G880" s="28"/>
      <x:c r="H880" s="28"/>
      <x:c r="I880" s="28"/>
      <x:c r="J880" s="28"/>
      <x:c r="K880" s="28"/>
      <x:c r="L880" s="28"/>
      <x:c r="M880" s="28"/>
      <x:c r="N880" s="28"/>
      <x:c r="O880" s="28"/>
      <x:c r="P880" s="28"/>
      <x:c r="Q880" s="28"/>
      <x:c r="R880" s="28"/>
      <x:c r="S880" s="28"/>
      <x:c r="T880" s="28"/>
      <x:c r="U880" s="28"/>
      <x:c r="V880" s="28"/>
      <x:c r="W880" s="28"/>
      <x:c r="X880" s="43" t="n">
        <x:f>--AND(S880=1,T880=1,U880=1,V880=1,W880=1)</x:f>
        <x:v>0</x:v>
      </x:c>
      <x:c r="AE880" s="43" t="n">
        <x:f>--AND(S880=1,M880&lt;&gt;"",M880&lt;&gt;"keep")</x:f>
        <x:v>0</x:v>
      </x:c>
      <x:c r="AG880" t="n">
        <x:f>--AND(S880=1,T880=1,U880=1,V880=1,W880=1,AE880=1)</x:f>
        <x:v>0</x:v>
      </x:c>
      <x:c r="AJ880" t="str">
        <x:f>IF(OR(AH880="",AI880=""),"",--(AH880&lt;&gt;AI880))</x:f>
      </x:c>
      <x:c r="AL880" t="str">
        <x:f>IF(OR(AH880="",AI880=""),"PENDING_HUMAN",IF(AH880=AI880,AH880,IF(AK880&lt;&gt;"",AK880,"PENDING_HUMAN")))</x:f>
        <x:v>PENDING_HUMAN</x:v>
      </x:c>
      <x:c r="AM880" t="n">
        <x:f>--AND(A880&lt;&gt;"",AH880&lt;&gt;"",AI880&lt;&gt;"",OR(AH880=AI880,AK880&lt;&gt;""))</x:f>
        <x:v>0</x:v>
      </x:c>
      <x:c r="AN880" t="n">
        <x:f>--AND(Y880&lt;&gt;"",COUNTIF($Y$4:Y880,Y880)=1)</x:f>
        <x:v>0</x:v>
      </x:c>
      <x:c r="AO880" t="n">
        <x:f>--AND(AN880=1,Z880=1,AM880=1)</x:f>
        <x:v>0</x:v>
      </x:c>
      <x:c r="AP880" t="n">
        <x:f>--AND(AO880=1,AA880=1,AL880=1)</x:f>
        <x:v>0</x:v>
      </x:c>
      <x:c r="AQ880" t="n">
        <x:f>--AND(AN880=1,Z880=1)</x:f>
        <x:v>0</x:v>
      </x:c>
      <x:c r="AR880" t="n">
        <x:f>--AND(AQ880=1,AA880=1)</x:f>
        <x:v>0</x:v>
      </x:c>
    </x:row>
    <x:row r="881">
      <x:c r="A881" s="28"/>
      <x:c r="B881" s="28"/>
      <x:c r="C881" s="28"/>
      <x:c r="D881" s="28"/>
      <x:c r="E881" s="28"/>
      <x:c r="F881" s="28"/>
      <x:c r="G881" s="28"/>
      <x:c r="H881" s="28"/>
      <x:c r="I881" s="28"/>
      <x:c r="J881" s="28"/>
      <x:c r="K881" s="28"/>
      <x:c r="L881" s="28"/>
      <x:c r="M881" s="28"/>
      <x:c r="N881" s="28"/>
      <x:c r="O881" s="28"/>
      <x:c r="P881" s="28"/>
      <x:c r="Q881" s="28"/>
      <x:c r="R881" s="28"/>
      <x:c r="S881" s="28"/>
      <x:c r="T881" s="28"/>
      <x:c r="U881" s="28"/>
      <x:c r="V881" s="28"/>
      <x:c r="W881" s="28"/>
      <x:c r="X881" s="43" t="n">
        <x:f>--AND(S881=1,T881=1,U881=1,V881=1,W881=1)</x:f>
        <x:v>0</x:v>
      </x:c>
      <x:c r="AE881" s="43" t="n">
        <x:f>--AND(S881=1,M881&lt;&gt;"",M881&lt;&gt;"keep")</x:f>
        <x:v>0</x:v>
      </x:c>
      <x:c r="AG881" t="n">
        <x:f>--AND(S881=1,T881=1,U881=1,V881=1,W881=1,AE881=1)</x:f>
        <x:v>0</x:v>
      </x:c>
      <x:c r="AJ881" t="str">
        <x:f>IF(OR(AH881="",AI881=""),"",--(AH881&lt;&gt;AI881))</x:f>
      </x:c>
      <x:c r="AL881" t="str">
        <x:f>IF(OR(AH881="",AI881=""),"PENDING_HUMAN",IF(AH881=AI881,AH881,IF(AK881&lt;&gt;"",AK881,"PENDING_HUMAN")))</x:f>
        <x:v>PENDING_HUMAN</x:v>
      </x:c>
      <x:c r="AM881" t="n">
        <x:f>--AND(A881&lt;&gt;"",AH881&lt;&gt;"",AI881&lt;&gt;"",OR(AH881=AI881,AK881&lt;&gt;""))</x:f>
        <x:v>0</x:v>
      </x:c>
      <x:c r="AN881" t="n">
        <x:f>--AND(Y881&lt;&gt;"",COUNTIF($Y$4:Y881,Y881)=1)</x:f>
        <x:v>0</x:v>
      </x:c>
      <x:c r="AO881" t="n">
        <x:f>--AND(AN881=1,Z881=1,AM881=1)</x:f>
        <x:v>0</x:v>
      </x:c>
      <x:c r="AP881" t="n">
        <x:f>--AND(AO881=1,AA881=1,AL881=1)</x:f>
        <x:v>0</x:v>
      </x:c>
      <x:c r="AQ881" t="n">
        <x:f>--AND(AN881=1,Z881=1)</x:f>
        <x:v>0</x:v>
      </x:c>
      <x:c r="AR881" t="n">
        <x:f>--AND(AQ881=1,AA881=1)</x:f>
        <x:v>0</x:v>
      </x:c>
    </x:row>
    <x:row r="882">
      <x:c r="A882" s="28"/>
      <x:c r="B882" s="28"/>
      <x:c r="C882" s="28"/>
      <x:c r="D882" s="28"/>
      <x:c r="E882" s="28"/>
      <x:c r="F882" s="28"/>
      <x:c r="G882" s="28"/>
      <x:c r="H882" s="28"/>
      <x:c r="I882" s="28"/>
      <x:c r="J882" s="28"/>
      <x:c r="K882" s="28"/>
      <x:c r="L882" s="28"/>
      <x:c r="M882" s="28"/>
      <x:c r="N882" s="28"/>
      <x:c r="O882" s="28"/>
      <x:c r="P882" s="28"/>
      <x:c r="Q882" s="28"/>
      <x:c r="R882" s="28"/>
      <x:c r="S882" s="28"/>
      <x:c r="T882" s="28"/>
      <x:c r="U882" s="28"/>
      <x:c r="V882" s="28"/>
      <x:c r="W882" s="28"/>
      <x:c r="X882" s="43" t="n">
        <x:f>--AND(S882=1,T882=1,U882=1,V882=1,W882=1)</x:f>
        <x:v>0</x:v>
      </x:c>
      <x:c r="AE882" s="43" t="n">
        <x:f>--AND(S882=1,M882&lt;&gt;"",M882&lt;&gt;"keep")</x:f>
        <x:v>0</x:v>
      </x:c>
      <x:c r="AG882" t="n">
        <x:f>--AND(S882=1,T882=1,U882=1,V882=1,W882=1,AE882=1)</x:f>
        <x:v>0</x:v>
      </x:c>
      <x:c r="AJ882" t="str">
        <x:f>IF(OR(AH882="",AI882=""),"",--(AH882&lt;&gt;AI882))</x:f>
      </x:c>
      <x:c r="AL882" t="str">
        <x:f>IF(OR(AH882="",AI882=""),"PENDING_HUMAN",IF(AH882=AI882,AH882,IF(AK882&lt;&gt;"",AK882,"PENDING_HUMAN")))</x:f>
        <x:v>PENDING_HUMAN</x:v>
      </x:c>
      <x:c r="AM882" t="n">
        <x:f>--AND(A882&lt;&gt;"",AH882&lt;&gt;"",AI882&lt;&gt;"",OR(AH882=AI882,AK882&lt;&gt;""))</x:f>
        <x:v>0</x:v>
      </x:c>
      <x:c r="AN882" t="n">
        <x:f>--AND(Y882&lt;&gt;"",COUNTIF($Y$4:Y882,Y882)=1)</x:f>
        <x:v>0</x:v>
      </x:c>
      <x:c r="AO882" t="n">
        <x:f>--AND(AN882=1,Z882=1,AM882=1)</x:f>
        <x:v>0</x:v>
      </x:c>
      <x:c r="AP882" t="n">
        <x:f>--AND(AO882=1,AA882=1,AL882=1)</x:f>
        <x:v>0</x:v>
      </x:c>
      <x:c r="AQ882" t="n">
        <x:f>--AND(AN882=1,Z882=1)</x:f>
        <x:v>0</x:v>
      </x:c>
      <x:c r="AR882" t="n">
        <x:f>--AND(AQ882=1,AA882=1)</x:f>
        <x:v>0</x:v>
      </x:c>
    </x:row>
    <x:row r="883">
      <x:c r="A883" s="28"/>
      <x:c r="B883" s="28"/>
      <x:c r="C883" s="28"/>
      <x:c r="D883" s="28"/>
      <x:c r="E883" s="28"/>
      <x:c r="F883" s="28"/>
      <x:c r="G883" s="28"/>
      <x:c r="H883" s="28"/>
      <x:c r="I883" s="28"/>
      <x:c r="J883" s="28"/>
      <x:c r="K883" s="28"/>
      <x:c r="L883" s="28"/>
      <x:c r="M883" s="28"/>
      <x:c r="N883" s="28"/>
      <x:c r="O883" s="28"/>
      <x:c r="P883" s="28"/>
      <x:c r="Q883" s="28"/>
      <x:c r="R883" s="28"/>
      <x:c r="S883" s="28"/>
      <x:c r="T883" s="28"/>
      <x:c r="U883" s="28"/>
      <x:c r="V883" s="28"/>
      <x:c r="W883" s="28"/>
      <x:c r="X883" s="43" t="n">
        <x:f>--AND(S883=1,T883=1,U883=1,V883=1,W883=1)</x:f>
        <x:v>0</x:v>
      </x:c>
      <x:c r="AE883" s="43" t="n">
        <x:f>--AND(S883=1,M883&lt;&gt;"",M883&lt;&gt;"keep")</x:f>
        <x:v>0</x:v>
      </x:c>
      <x:c r="AG883" t="n">
        <x:f>--AND(S883=1,T883=1,U883=1,V883=1,W883=1,AE883=1)</x:f>
        <x:v>0</x:v>
      </x:c>
      <x:c r="AJ883" t="str">
        <x:f>IF(OR(AH883="",AI883=""),"",--(AH883&lt;&gt;AI883))</x:f>
      </x:c>
      <x:c r="AL883" t="str">
        <x:f>IF(OR(AH883="",AI883=""),"PENDING_HUMAN",IF(AH883=AI883,AH883,IF(AK883&lt;&gt;"",AK883,"PENDING_HUMAN")))</x:f>
        <x:v>PENDING_HUMAN</x:v>
      </x:c>
      <x:c r="AM883" t="n">
        <x:f>--AND(A883&lt;&gt;"",AH883&lt;&gt;"",AI883&lt;&gt;"",OR(AH883=AI883,AK883&lt;&gt;""))</x:f>
        <x:v>0</x:v>
      </x:c>
      <x:c r="AN883" t="n">
        <x:f>--AND(Y883&lt;&gt;"",COUNTIF($Y$4:Y883,Y883)=1)</x:f>
        <x:v>0</x:v>
      </x:c>
      <x:c r="AO883" t="n">
        <x:f>--AND(AN883=1,Z883=1,AM883=1)</x:f>
        <x:v>0</x:v>
      </x:c>
      <x:c r="AP883" t="n">
        <x:f>--AND(AO883=1,AA883=1,AL883=1)</x:f>
        <x:v>0</x:v>
      </x:c>
      <x:c r="AQ883" t="n">
        <x:f>--AND(AN883=1,Z883=1)</x:f>
        <x:v>0</x:v>
      </x:c>
      <x:c r="AR883" t="n">
        <x:f>--AND(AQ883=1,AA883=1)</x:f>
        <x:v>0</x:v>
      </x:c>
    </x:row>
    <x:row r="884">
      <x:c r="A884" s="28"/>
      <x:c r="B884" s="28"/>
      <x:c r="C884" s="28"/>
      <x:c r="D884" s="28"/>
      <x:c r="E884" s="28"/>
      <x:c r="F884" s="28"/>
      <x:c r="G884" s="28"/>
      <x:c r="H884" s="28"/>
      <x:c r="I884" s="28"/>
      <x:c r="J884" s="28"/>
      <x:c r="K884" s="28"/>
      <x:c r="L884" s="28"/>
      <x:c r="M884" s="28"/>
      <x:c r="N884" s="28"/>
      <x:c r="O884" s="28"/>
      <x:c r="P884" s="28"/>
      <x:c r="Q884" s="28"/>
      <x:c r="R884" s="28"/>
      <x:c r="S884" s="28"/>
      <x:c r="T884" s="28"/>
      <x:c r="U884" s="28"/>
      <x:c r="V884" s="28"/>
      <x:c r="W884" s="28"/>
      <x:c r="X884" s="43" t="n">
        <x:f>--AND(S884=1,T884=1,U884=1,V884=1,W884=1)</x:f>
        <x:v>0</x:v>
      </x:c>
      <x:c r="AE884" s="43" t="n">
        <x:f>--AND(S884=1,M884&lt;&gt;"",M884&lt;&gt;"keep")</x:f>
        <x:v>0</x:v>
      </x:c>
      <x:c r="AG884" t="n">
        <x:f>--AND(S884=1,T884=1,U884=1,V884=1,W884=1,AE884=1)</x:f>
        <x:v>0</x:v>
      </x:c>
      <x:c r="AJ884" t="str">
        <x:f>IF(OR(AH884="",AI884=""),"",--(AH884&lt;&gt;AI884))</x:f>
      </x:c>
      <x:c r="AL884" t="str">
        <x:f>IF(OR(AH884="",AI884=""),"PENDING_HUMAN",IF(AH884=AI884,AH884,IF(AK884&lt;&gt;"",AK884,"PENDING_HUMAN")))</x:f>
        <x:v>PENDING_HUMAN</x:v>
      </x:c>
      <x:c r="AM884" t="n">
        <x:f>--AND(A884&lt;&gt;"",AH884&lt;&gt;"",AI884&lt;&gt;"",OR(AH884=AI884,AK884&lt;&gt;""))</x:f>
        <x:v>0</x:v>
      </x:c>
      <x:c r="AN884" t="n">
        <x:f>--AND(Y884&lt;&gt;"",COUNTIF($Y$4:Y884,Y884)=1)</x:f>
        <x:v>0</x:v>
      </x:c>
      <x:c r="AO884" t="n">
        <x:f>--AND(AN884=1,Z884=1,AM884=1)</x:f>
        <x:v>0</x:v>
      </x:c>
      <x:c r="AP884" t="n">
        <x:f>--AND(AO884=1,AA884=1,AL884=1)</x:f>
        <x:v>0</x:v>
      </x:c>
      <x:c r="AQ884" t="n">
        <x:f>--AND(AN884=1,Z884=1)</x:f>
        <x:v>0</x:v>
      </x:c>
      <x:c r="AR884" t="n">
        <x:f>--AND(AQ884=1,AA884=1)</x:f>
        <x:v>0</x:v>
      </x:c>
    </x:row>
    <x:row r="885">
      <x:c r="A885" s="28"/>
      <x:c r="B885" s="28"/>
      <x:c r="C885" s="28"/>
      <x:c r="D885" s="28"/>
      <x:c r="E885" s="28"/>
      <x:c r="F885" s="28"/>
      <x:c r="G885" s="28"/>
      <x:c r="H885" s="28"/>
      <x:c r="I885" s="28"/>
      <x:c r="J885" s="28"/>
      <x:c r="K885" s="28"/>
      <x:c r="L885" s="28"/>
      <x:c r="M885" s="28"/>
      <x:c r="N885" s="28"/>
      <x:c r="O885" s="28"/>
      <x:c r="P885" s="28"/>
      <x:c r="Q885" s="28"/>
      <x:c r="R885" s="28"/>
      <x:c r="S885" s="28"/>
      <x:c r="T885" s="28"/>
      <x:c r="U885" s="28"/>
      <x:c r="V885" s="28"/>
      <x:c r="W885" s="28"/>
      <x:c r="X885" s="43" t="n">
        <x:f>--AND(S885=1,T885=1,U885=1,V885=1,W885=1)</x:f>
        <x:v>0</x:v>
      </x:c>
      <x:c r="AE885" s="43" t="n">
        <x:f>--AND(S885=1,M885&lt;&gt;"",M885&lt;&gt;"keep")</x:f>
        <x:v>0</x:v>
      </x:c>
      <x:c r="AG885" t="n">
        <x:f>--AND(S885=1,T885=1,U885=1,V885=1,W885=1,AE885=1)</x:f>
        <x:v>0</x:v>
      </x:c>
      <x:c r="AJ885" t="str">
        <x:f>IF(OR(AH885="",AI885=""),"",--(AH885&lt;&gt;AI885))</x:f>
      </x:c>
      <x:c r="AL885" t="str">
        <x:f>IF(OR(AH885="",AI885=""),"PENDING_HUMAN",IF(AH885=AI885,AH885,IF(AK885&lt;&gt;"",AK885,"PENDING_HUMAN")))</x:f>
        <x:v>PENDING_HUMAN</x:v>
      </x:c>
      <x:c r="AM885" t="n">
        <x:f>--AND(A885&lt;&gt;"",AH885&lt;&gt;"",AI885&lt;&gt;"",OR(AH885=AI885,AK885&lt;&gt;""))</x:f>
        <x:v>0</x:v>
      </x:c>
      <x:c r="AN885" t="n">
        <x:f>--AND(Y885&lt;&gt;"",COUNTIF($Y$4:Y885,Y885)=1)</x:f>
        <x:v>0</x:v>
      </x:c>
      <x:c r="AO885" t="n">
        <x:f>--AND(AN885=1,Z885=1,AM885=1)</x:f>
        <x:v>0</x:v>
      </x:c>
      <x:c r="AP885" t="n">
        <x:f>--AND(AO885=1,AA885=1,AL885=1)</x:f>
        <x:v>0</x:v>
      </x:c>
      <x:c r="AQ885" t="n">
        <x:f>--AND(AN885=1,Z885=1)</x:f>
        <x:v>0</x:v>
      </x:c>
      <x:c r="AR885" t="n">
        <x:f>--AND(AQ885=1,AA885=1)</x:f>
        <x:v>0</x:v>
      </x:c>
    </x:row>
    <x:row r="886">
      <x:c r="A886" s="28"/>
      <x:c r="B886" s="28"/>
      <x:c r="C886" s="28"/>
      <x:c r="D886" s="28"/>
      <x:c r="E886" s="28"/>
      <x:c r="F886" s="28"/>
      <x:c r="G886" s="28"/>
      <x:c r="H886" s="28"/>
      <x:c r="I886" s="28"/>
      <x:c r="J886" s="28"/>
      <x:c r="K886" s="28"/>
      <x:c r="L886" s="28"/>
      <x:c r="M886" s="28"/>
      <x:c r="N886" s="28"/>
      <x:c r="O886" s="28"/>
      <x:c r="P886" s="28"/>
      <x:c r="Q886" s="28"/>
      <x:c r="R886" s="28"/>
      <x:c r="S886" s="28"/>
      <x:c r="T886" s="28"/>
      <x:c r="U886" s="28"/>
      <x:c r="V886" s="28"/>
      <x:c r="W886" s="28"/>
      <x:c r="X886" s="43" t="n">
        <x:f>--AND(S886=1,T886=1,U886=1,V886=1,W886=1)</x:f>
        <x:v>0</x:v>
      </x:c>
      <x:c r="AE886" s="43" t="n">
        <x:f>--AND(S886=1,M886&lt;&gt;"",M886&lt;&gt;"keep")</x:f>
        <x:v>0</x:v>
      </x:c>
      <x:c r="AG886" t="n">
        <x:f>--AND(S886=1,T886=1,U886=1,V886=1,W886=1,AE886=1)</x:f>
        <x:v>0</x:v>
      </x:c>
      <x:c r="AJ886" t="str">
        <x:f>IF(OR(AH886="",AI886=""),"",--(AH886&lt;&gt;AI886))</x:f>
      </x:c>
      <x:c r="AL886" t="str">
        <x:f>IF(OR(AH886="",AI886=""),"PENDING_HUMAN",IF(AH886=AI886,AH886,IF(AK886&lt;&gt;"",AK886,"PENDING_HUMAN")))</x:f>
        <x:v>PENDING_HUMAN</x:v>
      </x:c>
      <x:c r="AM886" t="n">
        <x:f>--AND(A886&lt;&gt;"",AH886&lt;&gt;"",AI886&lt;&gt;"",OR(AH886=AI886,AK886&lt;&gt;""))</x:f>
        <x:v>0</x:v>
      </x:c>
      <x:c r="AN886" t="n">
        <x:f>--AND(Y886&lt;&gt;"",COUNTIF($Y$4:Y886,Y886)=1)</x:f>
        <x:v>0</x:v>
      </x:c>
      <x:c r="AO886" t="n">
        <x:f>--AND(AN886=1,Z886=1,AM886=1)</x:f>
        <x:v>0</x:v>
      </x:c>
      <x:c r="AP886" t="n">
        <x:f>--AND(AO886=1,AA886=1,AL886=1)</x:f>
        <x:v>0</x:v>
      </x:c>
      <x:c r="AQ886" t="n">
        <x:f>--AND(AN886=1,Z886=1)</x:f>
        <x:v>0</x:v>
      </x:c>
      <x:c r="AR886" t="n">
        <x:f>--AND(AQ886=1,AA886=1)</x:f>
        <x:v>0</x:v>
      </x:c>
    </x:row>
    <x:row r="887">
      <x:c r="A887" s="28"/>
      <x:c r="B887" s="28"/>
      <x:c r="C887" s="28"/>
      <x:c r="D887" s="28"/>
      <x:c r="E887" s="28"/>
      <x:c r="F887" s="28"/>
      <x:c r="G887" s="28"/>
      <x:c r="H887" s="28"/>
      <x:c r="I887" s="28"/>
      <x:c r="J887" s="28"/>
      <x:c r="K887" s="28"/>
      <x:c r="L887" s="28"/>
      <x:c r="M887" s="28"/>
      <x:c r="N887" s="28"/>
      <x:c r="O887" s="28"/>
      <x:c r="P887" s="28"/>
      <x:c r="Q887" s="28"/>
      <x:c r="R887" s="28"/>
      <x:c r="S887" s="28"/>
      <x:c r="T887" s="28"/>
      <x:c r="U887" s="28"/>
      <x:c r="V887" s="28"/>
      <x:c r="W887" s="28"/>
      <x:c r="X887" s="43" t="n">
        <x:f>--AND(S887=1,T887=1,U887=1,V887=1,W887=1)</x:f>
        <x:v>0</x:v>
      </x:c>
      <x:c r="AE887" s="43" t="n">
        <x:f>--AND(S887=1,M887&lt;&gt;"",M887&lt;&gt;"keep")</x:f>
        <x:v>0</x:v>
      </x:c>
      <x:c r="AG887" t="n">
        <x:f>--AND(S887=1,T887=1,U887=1,V887=1,W887=1,AE887=1)</x:f>
        <x:v>0</x:v>
      </x:c>
      <x:c r="AJ887" t="str">
        <x:f>IF(OR(AH887="",AI887=""),"",--(AH887&lt;&gt;AI887))</x:f>
      </x:c>
      <x:c r="AL887" t="str">
        <x:f>IF(OR(AH887="",AI887=""),"PENDING_HUMAN",IF(AH887=AI887,AH887,IF(AK887&lt;&gt;"",AK887,"PENDING_HUMAN")))</x:f>
        <x:v>PENDING_HUMAN</x:v>
      </x:c>
      <x:c r="AM887" t="n">
        <x:f>--AND(A887&lt;&gt;"",AH887&lt;&gt;"",AI887&lt;&gt;"",OR(AH887=AI887,AK887&lt;&gt;""))</x:f>
        <x:v>0</x:v>
      </x:c>
      <x:c r="AN887" t="n">
        <x:f>--AND(Y887&lt;&gt;"",COUNTIF($Y$4:Y887,Y887)=1)</x:f>
        <x:v>0</x:v>
      </x:c>
      <x:c r="AO887" t="n">
        <x:f>--AND(AN887=1,Z887=1,AM887=1)</x:f>
        <x:v>0</x:v>
      </x:c>
      <x:c r="AP887" t="n">
        <x:f>--AND(AO887=1,AA887=1,AL887=1)</x:f>
        <x:v>0</x:v>
      </x:c>
      <x:c r="AQ887" t="n">
        <x:f>--AND(AN887=1,Z887=1)</x:f>
        <x:v>0</x:v>
      </x:c>
      <x:c r="AR887" t="n">
        <x:f>--AND(AQ887=1,AA887=1)</x:f>
        <x:v>0</x:v>
      </x:c>
    </x:row>
    <x:row r="888">
      <x:c r="A888" s="28"/>
      <x:c r="B888" s="28"/>
      <x:c r="C888" s="28"/>
      <x:c r="D888" s="28"/>
      <x:c r="E888" s="28"/>
      <x:c r="F888" s="28"/>
      <x:c r="G888" s="28"/>
      <x:c r="H888" s="28"/>
      <x:c r="I888" s="28"/>
      <x:c r="J888" s="28"/>
      <x:c r="K888" s="28"/>
      <x:c r="L888" s="28"/>
      <x:c r="M888" s="28"/>
      <x:c r="N888" s="28"/>
      <x:c r="O888" s="28"/>
      <x:c r="P888" s="28"/>
      <x:c r="Q888" s="28"/>
      <x:c r="R888" s="28"/>
      <x:c r="S888" s="28"/>
      <x:c r="T888" s="28"/>
      <x:c r="U888" s="28"/>
      <x:c r="V888" s="28"/>
      <x:c r="W888" s="28"/>
      <x:c r="X888" s="43" t="n">
        <x:f>--AND(S888=1,T888=1,U888=1,V888=1,W888=1)</x:f>
        <x:v>0</x:v>
      </x:c>
      <x:c r="AE888" s="43" t="n">
        <x:f>--AND(S888=1,M888&lt;&gt;"",M888&lt;&gt;"keep")</x:f>
        <x:v>0</x:v>
      </x:c>
      <x:c r="AG888" t="n">
        <x:f>--AND(S888=1,T888=1,U888=1,V888=1,W888=1,AE888=1)</x:f>
        <x:v>0</x:v>
      </x:c>
      <x:c r="AJ888" t="str">
        <x:f>IF(OR(AH888="",AI888=""),"",--(AH888&lt;&gt;AI888))</x:f>
      </x:c>
      <x:c r="AL888" t="str">
        <x:f>IF(OR(AH888="",AI888=""),"PENDING_HUMAN",IF(AH888=AI888,AH888,IF(AK888&lt;&gt;"",AK888,"PENDING_HUMAN")))</x:f>
        <x:v>PENDING_HUMAN</x:v>
      </x:c>
      <x:c r="AM888" t="n">
        <x:f>--AND(A888&lt;&gt;"",AH888&lt;&gt;"",AI888&lt;&gt;"",OR(AH888=AI888,AK888&lt;&gt;""))</x:f>
        <x:v>0</x:v>
      </x:c>
      <x:c r="AN888" t="n">
        <x:f>--AND(Y888&lt;&gt;"",COUNTIF($Y$4:Y888,Y888)=1)</x:f>
        <x:v>0</x:v>
      </x:c>
      <x:c r="AO888" t="n">
        <x:f>--AND(AN888=1,Z888=1,AM888=1)</x:f>
        <x:v>0</x:v>
      </x:c>
      <x:c r="AP888" t="n">
        <x:f>--AND(AO888=1,AA888=1,AL888=1)</x:f>
        <x:v>0</x:v>
      </x:c>
      <x:c r="AQ888" t="n">
        <x:f>--AND(AN888=1,Z888=1)</x:f>
        <x:v>0</x:v>
      </x:c>
      <x:c r="AR888" t="n">
        <x:f>--AND(AQ888=1,AA888=1)</x:f>
        <x:v>0</x:v>
      </x:c>
    </x:row>
    <x:row r="889">
      <x:c r="A889" s="28"/>
      <x:c r="B889" s="28"/>
      <x:c r="C889" s="28"/>
      <x:c r="D889" s="28"/>
      <x:c r="E889" s="28"/>
      <x:c r="F889" s="28"/>
      <x:c r="G889" s="28"/>
      <x:c r="H889" s="28"/>
      <x:c r="I889" s="28"/>
      <x:c r="J889" s="28"/>
      <x:c r="K889" s="28"/>
      <x:c r="L889" s="28"/>
      <x:c r="M889" s="28"/>
      <x:c r="N889" s="28"/>
      <x:c r="O889" s="28"/>
      <x:c r="P889" s="28"/>
      <x:c r="Q889" s="28"/>
      <x:c r="R889" s="28"/>
      <x:c r="S889" s="28"/>
      <x:c r="T889" s="28"/>
      <x:c r="U889" s="28"/>
      <x:c r="V889" s="28"/>
      <x:c r="W889" s="28"/>
      <x:c r="X889" s="43" t="n">
        <x:f>--AND(S889=1,T889=1,U889=1,V889=1,W889=1)</x:f>
        <x:v>0</x:v>
      </x:c>
      <x:c r="AE889" s="43" t="n">
        <x:f>--AND(S889=1,M889&lt;&gt;"",M889&lt;&gt;"keep")</x:f>
        <x:v>0</x:v>
      </x:c>
      <x:c r="AG889" t="n">
        <x:f>--AND(S889=1,T889=1,U889=1,V889=1,W889=1,AE889=1)</x:f>
        <x:v>0</x:v>
      </x:c>
      <x:c r="AJ889" t="str">
        <x:f>IF(OR(AH889="",AI889=""),"",--(AH889&lt;&gt;AI889))</x:f>
      </x:c>
      <x:c r="AL889" t="str">
        <x:f>IF(OR(AH889="",AI889=""),"PENDING_HUMAN",IF(AH889=AI889,AH889,IF(AK889&lt;&gt;"",AK889,"PENDING_HUMAN")))</x:f>
        <x:v>PENDING_HUMAN</x:v>
      </x:c>
      <x:c r="AM889" t="n">
        <x:f>--AND(A889&lt;&gt;"",AH889&lt;&gt;"",AI889&lt;&gt;"",OR(AH889=AI889,AK889&lt;&gt;""))</x:f>
        <x:v>0</x:v>
      </x:c>
      <x:c r="AN889" t="n">
        <x:f>--AND(Y889&lt;&gt;"",COUNTIF($Y$4:Y889,Y889)=1)</x:f>
        <x:v>0</x:v>
      </x:c>
      <x:c r="AO889" t="n">
        <x:f>--AND(AN889=1,Z889=1,AM889=1)</x:f>
        <x:v>0</x:v>
      </x:c>
      <x:c r="AP889" t="n">
        <x:f>--AND(AO889=1,AA889=1,AL889=1)</x:f>
        <x:v>0</x:v>
      </x:c>
      <x:c r="AQ889" t="n">
        <x:f>--AND(AN889=1,Z889=1)</x:f>
        <x:v>0</x:v>
      </x:c>
      <x:c r="AR889" t="n">
        <x:f>--AND(AQ889=1,AA889=1)</x:f>
        <x:v>0</x:v>
      </x:c>
    </x:row>
    <x:row r="890">
      <x:c r="A890" s="28"/>
      <x:c r="B890" s="28"/>
      <x:c r="C890" s="28"/>
      <x:c r="D890" s="28"/>
      <x:c r="E890" s="28"/>
      <x:c r="F890" s="28"/>
      <x:c r="G890" s="28"/>
      <x:c r="H890" s="28"/>
      <x:c r="I890" s="28"/>
      <x:c r="J890" s="28"/>
      <x:c r="K890" s="28"/>
      <x:c r="L890" s="28"/>
      <x:c r="M890" s="28"/>
      <x:c r="N890" s="28"/>
      <x:c r="O890" s="28"/>
      <x:c r="P890" s="28"/>
      <x:c r="Q890" s="28"/>
      <x:c r="R890" s="28"/>
      <x:c r="S890" s="28"/>
      <x:c r="T890" s="28"/>
      <x:c r="U890" s="28"/>
      <x:c r="V890" s="28"/>
      <x:c r="W890" s="28"/>
      <x:c r="X890" s="43" t="n">
        <x:f>--AND(S890=1,T890=1,U890=1,V890=1,W890=1)</x:f>
        <x:v>0</x:v>
      </x:c>
      <x:c r="AE890" s="43" t="n">
        <x:f>--AND(S890=1,M890&lt;&gt;"",M890&lt;&gt;"keep")</x:f>
        <x:v>0</x:v>
      </x:c>
      <x:c r="AG890" t="n">
        <x:f>--AND(S890=1,T890=1,U890=1,V890=1,W890=1,AE890=1)</x:f>
        <x:v>0</x:v>
      </x:c>
      <x:c r="AJ890" t="str">
        <x:f>IF(OR(AH890="",AI890=""),"",--(AH890&lt;&gt;AI890))</x:f>
      </x:c>
      <x:c r="AL890" t="str">
        <x:f>IF(OR(AH890="",AI890=""),"PENDING_HUMAN",IF(AH890=AI890,AH890,IF(AK890&lt;&gt;"",AK890,"PENDING_HUMAN")))</x:f>
        <x:v>PENDING_HUMAN</x:v>
      </x:c>
      <x:c r="AM890" t="n">
        <x:f>--AND(A890&lt;&gt;"",AH890&lt;&gt;"",AI890&lt;&gt;"",OR(AH890=AI890,AK890&lt;&gt;""))</x:f>
        <x:v>0</x:v>
      </x:c>
      <x:c r="AN890" t="n">
        <x:f>--AND(Y890&lt;&gt;"",COUNTIF($Y$4:Y890,Y890)=1)</x:f>
        <x:v>0</x:v>
      </x:c>
      <x:c r="AO890" t="n">
        <x:f>--AND(AN890=1,Z890=1,AM890=1)</x:f>
        <x:v>0</x:v>
      </x:c>
      <x:c r="AP890" t="n">
        <x:f>--AND(AO890=1,AA890=1,AL890=1)</x:f>
        <x:v>0</x:v>
      </x:c>
      <x:c r="AQ890" t="n">
        <x:f>--AND(AN890=1,Z890=1)</x:f>
        <x:v>0</x:v>
      </x:c>
      <x:c r="AR890" t="n">
        <x:f>--AND(AQ890=1,AA890=1)</x:f>
        <x:v>0</x:v>
      </x:c>
    </x:row>
    <x:row r="891">
      <x:c r="A891" s="28"/>
      <x:c r="B891" s="28"/>
      <x:c r="C891" s="28"/>
      <x:c r="D891" s="28"/>
      <x:c r="E891" s="28"/>
      <x:c r="F891" s="28"/>
      <x:c r="G891" s="28"/>
      <x:c r="H891" s="28"/>
      <x:c r="I891" s="28"/>
      <x:c r="J891" s="28"/>
      <x:c r="K891" s="28"/>
      <x:c r="L891" s="28"/>
      <x:c r="M891" s="28"/>
      <x:c r="N891" s="28"/>
      <x:c r="O891" s="28"/>
      <x:c r="P891" s="28"/>
      <x:c r="Q891" s="28"/>
      <x:c r="R891" s="28"/>
      <x:c r="S891" s="28"/>
      <x:c r="T891" s="28"/>
      <x:c r="U891" s="28"/>
      <x:c r="V891" s="28"/>
      <x:c r="W891" s="28"/>
      <x:c r="X891" s="43" t="n">
        <x:f>--AND(S891=1,T891=1,U891=1,V891=1,W891=1)</x:f>
        <x:v>0</x:v>
      </x:c>
      <x:c r="AE891" s="43" t="n">
        <x:f>--AND(S891=1,M891&lt;&gt;"",M891&lt;&gt;"keep")</x:f>
        <x:v>0</x:v>
      </x:c>
      <x:c r="AG891" t="n">
        <x:f>--AND(S891=1,T891=1,U891=1,V891=1,W891=1,AE891=1)</x:f>
        <x:v>0</x:v>
      </x:c>
      <x:c r="AJ891" t="str">
        <x:f>IF(OR(AH891="",AI891=""),"",--(AH891&lt;&gt;AI891))</x:f>
      </x:c>
      <x:c r="AL891" t="str">
        <x:f>IF(OR(AH891="",AI891=""),"PENDING_HUMAN",IF(AH891=AI891,AH891,IF(AK891&lt;&gt;"",AK891,"PENDING_HUMAN")))</x:f>
        <x:v>PENDING_HUMAN</x:v>
      </x:c>
      <x:c r="AM891" t="n">
        <x:f>--AND(A891&lt;&gt;"",AH891&lt;&gt;"",AI891&lt;&gt;"",OR(AH891=AI891,AK891&lt;&gt;""))</x:f>
        <x:v>0</x:v>
      </x:c>
      <x:c r="AN891" t="n">
        <x:f>--AND(Y891&lt;&gt;"",COUNTIF($Y$4:Y891,Y891)=1)</x:f>
        <x:v>0</x:v>
      </x:c>
      <x:c r="AO891" t="n">
        <x:f>--AND(AN891=1,Z891=1,AM891=1)</x:f>
        <x:v>0</x:v>
      </x:c>
      <x:c r="AP891" t="n">
        <x:f>--AND(AO891=1,AA891=1,AL891=1)</x:f>
        <x:v>0</x:v>
      </x:c>
      <x:c r="AQ891" t="n">
        <x:f>--AND(AN891=1,Z891=1)</x:f>
        <x:v>0</x:v>
      </x:c>
      <x:c r="AR891" t="n">
        <x:f>--AND(AQ891=1,AA891=1)</x:f>
        <x:v>0</x:v>
      </x:c>
    </x:row>
    <x:row r="892">
      <x:c r="A892" s="28"/>
      <x:c r="B892" s="28"/>
      <x:c r="C892" s="28"/>
      <x:c r="D892" s="28"/>
      <x:c r="E892" s="28"/>
      <x:c r="F892" s="28"/>
      <x:c r="G892" s="28"/>
      <x:c r="H892" s="28"/>
      <x:c r="I892" s="28"/>
      <x:c r="J892" s="28"/>
      <x:c r="K892" s="28"/>
      <x:c r="L892" s="28"/>
      <x:c r="M892" s="28"/>
      <x:c r="N892" s="28"/>
      <x:c r="O892" s="28"/>
      <x:c r="P892" s="28"/>
      <x:c r="Q892" s="28"/>
      <x:c r="R892" s="28"/>
      <x:c r="S892" s="28"/>
      <x:c r="T892" s="28"/>
      <x:c r="U892" s="28"/>
      <x:c r="V892" s="28"/>
      <x:c r="W892" s="28"/>
      <x:c r="X892" s="43" t="n">
        <x:f>--AND(S892=1,T892=1,U892=1,V892=1,W892=1)</x:f>
        <x:v>0</x:v>
      </x:c>
      <x:c r="AE892" s="43" t="n">
        <x:f>--AND(S892=1,M892&lt;&gt;"",M892&lt;&gt;"keep")</x:f>
        <x:v>0</x:v>
      </x:c>
      <x:c r="AG892" t="n">
        <x:f>--AND(S892=1,T892=1,U892=1,V892=1,W892=1,AE892=1)</x:f>
        <x:v>0</x:v>
      </x:c>
      <x:c r="AJ892" t="str">
        <x:f>IF(OR(AH892="",AI892=""),"",--(AH892&lt;&gt;AI892))</x:f>
      </x:c>
      <x:c r="AL892" t="str">
        <x:f>IF(OR(AH892="",AI892=""),"PENDING_HUMAN",IF(AH892=AI892,AH892,IF(AK892&lt;&gt;"",AK892,"PENDING_HUMAN")))</x:f>
        <x:v>PENDING_HUMAN</x:v>
      </x:c>
      <x:c r="AM892" t="n">
        <x:f>--AND(A892&lt;&gt;"",AH892&lt;&gt;"",AI892&lt;&gt;"",OR(AH892=AI892,AK892&lt;&gt;""))</x:f>
        <x:v>0</x:v>
      </x:c>
      <x:c r="AN892" t="n">
        <x:f>--AND(Y892&lt;&gt;"",COUNTIF($Y$4:Y892,Y892)=1)</x:f>
        <x:v>0</x:v>
      </x:c>
      <x:c r="AO892" t="n">
        <x:f>--AND(AN892=1,Z892=1,AM892=1)</x:f>
        <x:v>0</x:v>
      </x:c>
      <x:c r="AP892" t="n">
        <x:f>--AND(AO892=1,AA892=1,AL892=1)</x:f>
        <x:v>0</x:v>
      </x:c>
      <x:c r="AQ892" t="n">
        <x:f>--AND(AN892=1,Z892=1)</x:f>
        <x:v>0</x:v>
      </x:c>
      <x:c r="AR892" t="n">
        <x:f>--AND(AQ892=1,AA892=1)</x:f>
        <x:v>0</x:v>
      </x:c>
    </x:row>
    <x:row r="893">
      <x:c r="A893" s="28"/>
      <x:c r="B893" s="28"/>
      <x:c r="C893" s="28"/>
      <x:c r="D893" s="28"/>
      <x:c r="E893" s="28"/>
      <x:c r="F893" s="28"/>
      <x:c r="G893" s="28"/>
      <x:c r="H893" s="28"/>
      <x:c r="I893" s="28"/>
      <x:c r="J893" s="28"/>
      <x:c r="K893" s="28"/>
      <x:c r="L893" s="28"/>
      <x:c r="M893" s="28"/>
      <x:c r="N893" s="28"/>
      <x:c r="O893" s="28"/>
      <x:c r="P893" s="28"/>
      <x:c r="Q893" s="28"/>
      <x:c r="R893" s="28"/>
      <x:c r="S893" s="28"/>
      <x:c r="T893" s="28"/>
      <x:c r="U893" s="28"/>
      <x:c r="V893" s="28"/>
      <x:c r="W893" s="28"/>
      <x:c r="X893" s="43" t="n">
        <x:f>--AND(S893=1,T893=1,U893=1,V893=1,W893=1)</x:f>
        <x:v>0</x:v>
      </x:c>
      <x:c r="AE893" s="43" t="n">
        <x:f>--AND(S893=1,M893&lt;&gt;"",M893&lt;&gt;"keep")</x:f>
        <x:v>0</x:v>
      </x:c>
      <x:c r="AG893" t="n">
        <x:f>--AND(S893=1,T893=1,U893=1,V893=1,W893=1,AE893=1)</x:f>
        <x:v>0</x:v>
      </x:c>
      <x:c r="AJ893" t="str">
        <x:f>IF(OR(AH893="",AI893=""),"",--(AH893&lt;&gt;AI893))</x:f>
      </x:c>
      <x:c r="AL893" t="str">
        <x:f>IF(OR(AH893="",AI893=""),"PENDING_HUMAN",IF(AH893=AI893,AH893,IF(AK893&lt;&gt;"",AK893,"PENDING_HUMAN")))</x:f>
        <x:v>PENDING_HUMAN</x:v>
      </x:c>
      <x:c r="AM893" t="n">
        <x:f>--AND(A893&lt;&gt;"",AH893&lt;&gt;"",AI893&lt;&gt;"",OR(AH893=AI893,AK893&lt;&gt;""))</x:f>
        <x:v>0</x:v>
      </x:c>
      <x:c r="AN893" t="n">
        <x:f>--AND(Y893&lt;&gt;"",COUNTIF($Y$4:Y893,Y893)=1)</x:f>
        <x:v>0</x:v>
      </x:c>
      <x:c r="AO893" t="n">
        <x:f>--AND(AN893=1,Z893=1,AM893=1)</x:f>
        <x:v>0</x:v>
      </x:c>
      <x:c r="AP893" t="n">
        <x:f>--AND(AO893=1,AA893=1,AL893=1)</x:f>
        <x:v>0</x:v>
      </x:c>
      <x:c r="AQ893" t="n">
        <x:f>--AND(AN893=1,Z893=1)</x:f>
        <x:v>0</x:v>
      </x:c>
      <x:c r="AR893" t="n">
        <x:f>--AND(AQ893=1,AA893=1)</x:f>
        <x:v>0</x:v>
      </x:c>
    </x:row>
    <x:row r="894">
      <x:c r="A894" s="28"/>
      <x:c r="B894" s="28"/>
      <x:c r="C894" s="28"/>
      <x:c r="D894" s="28"/>
      <x:c r="E894" s="28"/>
      <x:c r="F894" s="28"/>
      <x:c r="G894" s="28"/>
      <x:c r="H894" s="28"/>
      <x:c r="I894" s="28"/>
      <x:c r="J894" s="28"/>
      <x:c r="K894" s="28"/>
      <x:c r="L894" s="28"/>
      <x:c r="M894" s="28"/>
      <x:c r="N894" s="28"/>
      <x:c r="O894" s="28"/>
      <x:c r="P894" s="28"/>
      <x:c r="Q894" s="28"/>
      <x:c r="R894" s="28"/>
      <x:c r="S894" s="28"/>
      <x:c r="T894" s="28"/>
      <x:c r="U894" s="28"/>
      <x:c r="V894" s="28"/>
      <x:c r="W894" s="28"/>
      <x:c r="X894" s="43" t="n">
        <x:f>--AND(S894=1,T894=1,U894=1,V894=1,W894=1)</x:f>
        <x:v>0</x:v>
      </x:c>
      <x:c r="AE894" s="43" t="n">
        <x:f>--AND(S894=1,M894&lt;&gt;"",M894&lt;&gt;"keep")</x:f>
        <x:v>0</x:v>
      </x:c>
      <x:c r="AG894" t="n">
        <x:f>--AND(S894=1,T894=1,U894=1,V894=1,W894=1,AE894=1)</x:f>
        <x:v>0</x:v>
      </x:c>
      <x:c r="AJ894" t="str">
        <x:f>IF(OR(AH894="",AI894=""),"",--(AH894&lt;&gt;AI894))</x:f>
      </x:c>
      <x:c r="AL894" t="str">
        <x:f>IF(OR(AH894="",AI894=""),"PENDING_HUMAN",IF(AH894=AI894,AH894,IF(AK894&lt;&gt;"",AK894,"PENDING_HUMAN")))</x:f>
        <x:v>PENDING_HUMAN</x:v>
      </x:c>
      <x:c r="AM894" t="n">
        <x:f>--AND(A894&lt;&gt;"",AH894&lt;&gt;"",AI894&lt;&gt;"",OR(AH894=AI894,AK894&lt;&gt;""))</x:f>
        <x:v>0</x:v>
      </x:c>
      <x:c r="AN894" t="n">
        <x:f>--AND(Y894&lt;&gt;"",COUNTIF($Y$4:Y894,Y894)=1)</x:f>
        <x:v>0</x:v>
      </x:c>
      <x:c r="AO894" t="n">
        <x:f>--AND(AN894=1,Z894=1,AM894=1)</x:f>
        <x:v>0</x:v>
      </x:c>
      <x:c r="AP894" t="n">
        <x:f>--AND(AO894=1,AA894=1,AL894=1)</x:f>
        <x:v>0</x:v>
      </x:c>
      <x:c r="AQ894" t="n">
        <x:f>--AND(AN894=1,Z894=1)</x:f>
        <x:v>0</x:v>
      </x:c>
      <x:c r="AR894" t="n">
        <x:f>--AND(AQ894=1,AA894=1)</x:f>
        <x:v>0</x:v>
      </x:c>
    </x:row>
    <x:row r="895">
      <x:c r="A895" s="28"/>
      <x:c r="B895" s="28"/>
      <x:c r="C895" s="28"/>
      <x:c r="D895" s="28"/>
      <x:c r="E895" s="28"/>
      <x:c r="F895" s="28"/>
      <x:c r="G895" s="28"/>
      <x:c r="H895" s="28"/>
      <x:c r="I895" s="28"/>
      <x:c r="J895" s="28"/>
      <x:c r="K895" s="28"/>
      <x:c r="L895" s="28"/>
      <x:c r="M895" s="28"/>
      <x:c r="N895" s="28"/>
      <x:c r="O895" s="28"/>
      <x:c r="P895" s="28"/>
      <x:c r="Q895" s="28"/>
      <x:c r="R895" s="28"/>
      <x:c r="S895" s="28"/>
      <x:c r="T895" s="28"/>
      <x:c r="U895" s="28"/>
      <x:c r="V895" s="28"/>
      <x:c r="W895" s="28"/>
      <x:c r="X895" s="43" t="n">
        <x:f>--AND(S895=1,T895=1,U895=1,V895=1,W895=1)</x:f>
        <x:v>0</x:v>
      </x:c>
      <x:c r="AE895" s="43" t="n">
        <x:f>--AND(S895=1,M895&lt;&gt;"",M895&lt;&gt;"keep")</x:f>
        <x:v>0</x:v>
      </x:c>
      <x:c r="AG895" t="n">
        <x:f>--AND(S895=1,T895=1,U895=1,V895=1,W895=1,AE895=1)</x:f>
        <x:v>0</x:v>
      </x:c>
      <x:c r="AJ895" t="str">
        <x:f>IF(OR(AH895="",AI895=""),"",--(AH895&lt;&gt;AI895))</x:f>
      </x:c>
      <x:c r="AL895" t="str">
        <x:f>IF(OR(AH895="",AI895=""),"PENDING_HUMAN",IF(AH895=AI895,AH895,IF(AK895&lt;&gt;"",AK895,"PENDING_HUMAN")))</x:f>
        <x:v>PENDING_HUMAN</x:v>
      </x:c>
      <x:c r="AM895" t="n">
        <x:f>--AND(A895&lt;&gt;"",AH895&lt;&gt;"",AI895&lt;&gt;"",OR(AH895=AI895,AK895&lt;&gt;""))</x:f>
        <x:v>0</x:v>
      </x:c>
      <x:c r="AN895" t="n">
        <x:f>--AND(Y895&lt;&gt;"",COUNTIF($Y$4:Y895,Y895)=1)</x:f>
        <x:v>0</x:v>
      </x:c>
      <x:c r="AO895" t="n">
        <x:f>--AND(AN895=1,Z895=1,AM895=1)</x:f>
        <x:v>0</x:v>
      </x:c>
      <x:c r="AP895" t="n">
        <x:f>--AND(AO895=1,AA895=1,AL895=1)</x:f>
        <x:v>0</x:v>
      </x:c>
      <x:c r="AQ895" t="n">
        <x:f>--AND(AN895=1,Z895=1)</x:f>
        <x:v>0</x:v>
      </x:c>
      <x:c r="AR895" t="n">
        <x:f>--AND(AQ895=1,AA895=1)</x:f>
        <x:v>0</x:v>
      </x:c>
    </x:row>
    <x:row r="896">
      <x:c r="A896" s="28"/>
      <x:c r="B896" s="28"/>
      <x:c r="C896" s="28"/>
      <x:c r="D896" s="28"/>
      <x:c r="E896" s="28"/>
      <x:c r="F896" s="28"/>
      <x:c r="G896" s="28"/>
      <x:c r="H896" s="28"/>
      <x:c r="I896" s="28"/>
      <x:c r="J896" s="28"/>
      <x:c r="K896" s="28"/>
      <x:c r="L896" s="28"/>
      <x:c r="M896" s="28"/>
      <x:c r="N896" s="28"/>
      <x:c r="O896" s="28"/>
      <x:c r="P896" s="28"/>
      <x:c r="Q896" s="28"/>
      <x:c r="R896" s="28"/>
      <x:c r="S896" s="28"/>
      <x:c r="T896" s="28"/>
      <x:c r="U896" s="28"/>
      <x:c r="V896" s="28"/>
      <x:c r="W896" s="28"/>
      <x:c r="X896" s="43" t="n">
        <x:f>--AND(S896=1,T896=1,U896=1,V896=1,W896=1)</x:f>
        <x:v>0</x:v>
      </x:c>
      <x:c r="AE896" s="43" t="n">
        <x:f>--AND(S896=1,M896&lt;&gt;"",M896&lt;&gt;"keep")</x:f>
        <x:v>0</x:v>
      </x:c>
      <x:c r="AG896" t="n">
        <x:f>--AND(S896=1,T896=1,U896=1,V896=1,W896=1,AE896=1)</x:f>
        <x:v>0</x:v>
      </x:c>
      <x:c r="AJ896" t="str">
        <x:f>IF(OR(AH896="",AI896=""),"",--(AH896&lt;&gt;AI896))</x:f>
      </x:c>
      <x:c r="AL896" t="str">
        <x:f>IF(OR(AH896="",AI896=""),"PENDING_HUMAN",IF(AH896=AI896,AH896,IF(AK896&lt;&gt;"",AK896,"PENDING_HUMAN")))</x:f>
        <x:v>PENDING_HUMAN</x:v>
      </x:c>
      <x:c r="AM896" t="n">
        <x:f>--AND(A896&lt;&gt;"",AH896&lt;&gt;"",AI896&lt;&gt;"",OR(AH896=AI896,AK896&lt;&gt;""))</x:f>
        <x:v>0</x:v>
      </x:c>
      <x:c r="AN896" t="n">
        <x:f>--AND(Y896&lt;&gt;"",COUNTIF($Y$4:Y896,Y896)=1)</x:f>
        <x:v>0</x:v>
      </x:c>
      <x:c r="AO896" t="n">
        <x:f>--AND(AN896=1,Z896=1,AM896=1)</x:f>
        <x:v>0</x:v>
      </x:c>
      <x:c r="AP896" t="n">
        <x:f>--AND(AO896=1,AA896=1,AL896=1)</x:f>
        <x:v>0</x:v>
      </x:c>
      <x:c r="AQ896" t="n">
        <x:f>--AND(AN896=1,Z896=1)</x:f>
        <x:v>0</x:v>
      </x:c>
      <x:c r="AR896" t="n">
        <x:f>--AND(AQ896=1,AA896=1)</x:f>
        <x:v>0</x:v>
      </x:c>
    </x:row>
    <x:row r="897">
      <x:c r="A897" s="28"/>
      <x:c r="B897" s="28"/>
      <x:c r="C897" s="28"/>
      <x:c r="D897" s="28"/>
      <x:c r="E897" s="28"/>
      <x:c r="F897" s="28"/>
      <x:c r="G897" s="28"/>
      <x:c r="H897" s="28"/>
      <x:c r="I897" s="28"/>
      <x:c r="J897" s="28"/>
      <x:c r="K897" s="28"/>
      <x:c r="L897" s="28"/>
      <x:c r="M897" s="28"/>
      <x:c r="N897" s="28"/>
      <x:c r="O897" s="28"/>
      <x:c r="P897" s="28"/>
      <x:c r="Q897" s="28"/>
      <x:c r="R897" s="28"/>
      <x:c r="S897" s="28"/>
      <x:c r="T897" s="28"/>
      <x:c r="U897" s="28"/>
      <x:c r="V897" s="28"/>
      <x:c r="W897" s="28"/>
      <x:c r="X897" s="43" t="n">
        <x:f>--AND(S897=1,T897=1,U897=1,V897=1,W897=1)</x:f>
        <x:v>0</x:v>
      </x:c>
      <x:c r="AE897" s="43" t="n">
        <x:f>--AND(S897=1,M897&lt;&gt;"",M897&lt;&gt;"keep")</x:f>
        <x:v>0</x:v>
      </x:c>
      <x:c r="AG897" t="n">
        <x:f>--AND(S897=1,T897=1,U897=1,V897=1,W897=1,AE897=1)</x:f>
        <x:v>0</x:v>
      </x:c>
      <x:c r="AJ897" t="str">
        <x:f>IF(OR(AH897="",AI897=""),"",--(AH897&lt;&gt;AI897))</x:f>
      </x:c>
      <x:c r="AL897" t="str">
        <x:f>IF(OR(AH897="",AI897=""),"PENDING_HUMAN",IF(AH897=AI897,AH897,IF(AK897&lt;&gt;"",AK897,"PENDING_HUMAN")))</x:f>
        <x:v>PENDING_HUMAN</x:v>
      </x:c>
      <x:c r="AM897" t="n">
        <x:f>--AND(A897&lt;&gt;"",AH897&lt;&gt;"",AI897&lt;&gt;"",OR(AH897=AI897,AK897&lt;&gt;""))</x:f>
        <x:v>0</x:v>
      </x:c>
      <x:c r="AN897" t="n">
        <x:f>--AND(Y897&lt;&gt;"",COUNTIF($Y$4:Y897,Y897)=1)</x:f>
        <x:v>0</x:v>
      </x:c>
      <x:c r="AO897" t="n">
        <x:f>--AND(AN897=1,Z897=1,AM897=1)</x:f>
        <x:v>0</x:v>
      </x:c>
      <x:c r="AP897" t="n">
        <x:f>--AND(AO897=1,AA897=1,AL897=1)</x:f>
        <x:v>0</x:v>
      </x:c>
      <x:c r="AQ897" t="n">
        <x:f>--AND(AN897=1,Z897=1)</x:f>
        <x:v>0</x:v>
      </x:c>
      <x:c r="AR897" t="n">
        <x:f>--AND(AQ897=1,AA897=1)</x:f>
        <x:v>0</x:v>
      </x:c>
    </x:row>
    <x:row r="898">
      <x:c r="A898" s="28"/>
      <x:c r="B898" s="28"/>
      <x:c r="C898" s="28"/>
      <x:c r="D898" s="28"/>
      <x:c r="E898" s="28"/>
      <x:c r="F898" s="28"/>
      <x:c r="G898" s="28"/>
      <x:c r="H898" s="28"/>
      <x:c r="I898" s="28"/>
      <x:c r="J898" s="28"/>
      <x:c r="K898" s="28"/>
      <x:c r="L898" s="28"/>
      <x:c r="M898" s="28"/>
      <x:c r="N898" s="28"/>
      <x:c r="O898" s="28"/>
      <x:c r="P898" s="28"/>
      <x:c r="Q898" s="28"/>
      <x:c r="R898" s="28"/>
      <x:c r="S898" s="28"/>
      <x:c r="T898" s="28"/>
      <x:c r="U898" s="28"/>
      <x:c r="V898" s="28"/>
      <x:c r="W898" s="28"/>
      <x:c r="X898" s="43" t="n">
        <x:f>--AND(S898=1,T898=1,U898=1,V898=1,W898=1)</x:f>
        <x:v>0</x:v>
      </x:c>
      <x:c r="AE898" s="43" t="n">
        <x:f>--AND(S898=1,M898&lt;&gt;"",M898&lt;&gt;"keep")</x:f>
        <x:v>0</x:v>
      </x:c>
      <x:c r="AG898" t="n">
        <x:f>--AND(S898=1,T898=1,U898=1,V898=1,W898=1,AE898=1)</x:f>
        <x:v>0</x:v>
      </x:c>
      <x:c r="AJ898" t="str">
        <x:f>IF(OR(AH898="",AI898=""),"",--(AH898&lt;&gt;AI898))</x:f>
      </x:c>
      <x:c r="AL898" t="str">
        <x:f>IF(OR(AH898="",AI898=""),"PENDING_HUMAN",IF(AH898=AI898,AH898,IF(AK898&lt;&gt;"",AK898,"PENDING_HUMAN")))</x:f>
        <x:v>PENDING_HUMAN</x:v>
      </x:c>
      <x:c r="AM898" t="n">
        <x:f>--AND(A898&lt;&gt;"",AH898&lt;&gt;"",AI898&lt;&gt;"",OR(AH898=AI898,AK898&lt;&gt;""))</x:f>
        <x:v>0</x:v>
      </x:c>
      <x:c r="AN898" t="n">
        <x:f>--AND(Y898&lt;&gt;"",COUNTIF($Y$4:Y898,Y898)=1)</x:f>
        <x:v>0</x:v>
      </x:c>
      <x:c r="AO898" t="n">
        <x:f>--AND(AN898=1,Z898=1,AM898=1)</x:f>
        <x:v>0</x:v>
      </x:c>
      <x:c r="AP898" t="n">
        <x:f>--AND(AO898=1,AA898=1,AL898=1)</x:f>
        <x:v>0</x:v>
      </x:c>
      <x:c r="AQ898" t="n">
        <x:f>--AND(AN898=1,Z898=1)</x:f>
        <x:v>0</x:v>
      </x:c>
      <x:c r="AR898" t="n">
        <x:f>--AND(AQ898=1,AA898=1)</x:f>
        <x:v>0</x:v>
      </x:c>
    </x:row>
    <x:row r="899">
      <x:c r="A899" s="28"/>
      <x:c r="B899" s="28"/>
      <x:c r="C899" s="28"/>
      <x:c r="D899" s="28"/>
      <x:c r="E899" s="28"/>
      <x:c r="F899" s="28"/>
      <x:c r="G899" s="28"/>
      <x:c r="H899" s="28"/>
      <x:c r="I899" s="28"/>
      <x:c r="J899" s="28"/>
      <x:c r="K899" s="28"/>
      <x:c r="L899" s="28"/>
      <x:c r="M899" s="28"/>
      <x:c r="N899" s="28"/>
      <x:c r="O899" s="28"/>
      <x:c r="P899" s="28"/>
      <x:c r="Q899" s="28"/>
      <x:c r="R899" s="28"/>
      <x:c r="S899" s="28"/>
      <x:c r="T899" s="28"/>
      <x:c r="U899" s="28"/>
      <x:c r="V899" s="28"/>
      <x:c r="W899" s="28"/>
      <x:c r="X899" s="43" t="n">
        <x:f>--AND(S899=1,T899=1,U899=1,V899=1,W899=1)</x:f>
        <x:v>0</x:v>
      </x:c>
      <x:c r="AE899" s="43" t="n">
        <x:f>--AND(S899=1,M899&lt;&gt;"",M899&lt;&gt;"keep")</x:f>
        <x:v>0</x:v>
      </x:c>
      <x:c r="AG899" t="n">
        <x:f>--AND(S899=1,T899=1,U899=1,V899=1,W899=1,AE899=1)</x:f>
        <x:v>0</x:v>
      </x:c>
      <x:c r="AJ899" t="str">
        <x:f>IF(OR(AH899="",AI899=""),"",--(AH899&lt;&gt;AI899))</x:f>
      </x:c>
      <x:c r="AL899" t="str">
        <x:f>IF(OR(AH899="",AI899=""),"PENDING_HUMAN",IF(AH899=AI899,AH899,IF(AK899&lt;&gt;"",AK899,"PENDING_HUMAN")))</x:f>
        <x:v>PENDING_HUMAN</x:v>
      </x:c>
      <x:c r="AM899" t="n">
        <x:f>--AND(A899&lt;&gt;"",AH899&lt;&gt;"",AI899&lt;&gt;"",OR(AH899=AI899,AK899&lt;&gt;""))</x:f>
        <x:v>0</x:v>
      </x:c>
      <x:c r="AN899" t="n">
        <x:f>--AND(Y899&lt;&gt;"",COUNTIF($Y$4:Y899,Y899)=1)</x:f>
        <x:v>0</x:v>
      </x:c>
      <x:c r="AO899" t="n">
        <x:f>--AND(AN899=1,Z899=1,AM899=1)</x:f>
        <x:v>0</x:v>
      </x:c>
      <x:c r="AP899" t="n">
        <x:f>--AND(AO899=1,AA899=1,AL899=1)</x:f>
        <x:v>0</x:v>
      </x:c>
      <x:c r="AQ899" t="n">
        <x:f>--AND(AN899=1,Z899=1)</x:f>
        <x:v>0</x:v>
      </x:c>
      <x:c r="AR899" t="n">
        <x:f>--AND(AQ899=1,AA899=1)</x:f>
        <x:v>0</x:v>
      </x:c>
    </x:row>
    <x:row r="900">
      <x:c r="A900" s="28"/>
      <x:c r="B900" s="28"/>
      <x:c r="C900" s="28"/>
      <x:c r="D900" s="28"/>
      <x:c r="E900" s="28"/>
      <x:c r="F900" s="28"/>
      <x:c r="G900" s="28"/>
      <x:c r="H900" s="28"/>
      <x:c r="I900" s="28"/>
      <x:c r="J900" s="28"/>
      <x:c r="K900" s="28"/>
      <x:c r="L900" s="28"/>
      <x:c r="M900" s="28"/>
      <x:c r="N900" s="28"/>
      <x:c r="O900" s="28"/>
      <x:c r="P900" s="28"/>
      <x:c r="Q900" s="28"/>
      <x:c r="R900" s="28"/>
      <x:c r="S900" s="28"/>
      <x:c r="T900" s="28"/>
      <x:c r="U900" s="28"/>
      <x:c r="V900" s="28"/>
      <x:c r="W900" s="28"/>
      <x:c r="X900" s="43" t="n">
        <x:f>--AND(S900=1,T900=1,U900=1,V900=1,W900=1)</x:f>
        <x:v>0</x:v>
      </x:c>
      <x:c r="AE900" s="43" t="n">
        <x:f>--AND(S900=1,M900&lt;&gt;"",M900&lt;&gt;"keep")</x:f>
        <x:v>0</x:v>
      </x:c>
      <x:c r="AG900" t="n">
        <x:f>--AND(S900=1,T900=1,U900=1,V900=1,W900=1,AE900=1)</x:f>
        <x:v>0</x:v>
      </x:c>
      <x:c r="AJ900" t="str">
        <x:f>IF(OR(AH900="",AI900=""),"",--(AH900&lt;&gt;AI900))</x:f>
      </x:c>
      <x:c r="AL900" t="str">
        <x:f>IF(OR(AH900="",AI900=""),"PENDING_HUMAN",IF(AH900=AI900,AH900,IF(AK900&lt;&gt;"",AK900,"PENDING_HUMAN")))</x:f>
        <x:v>PENDING_HUMAN</x:v>
      </x:c>
      <x:c r="AM900" t="n">
        <x:f>--AND(A900&lt;&gt;"",AH900&lt;&gt;"",AI900&lt;&gt;"",OR(AH900=AI900,AK900&lt;&gt;""))</x:f>
        <x:v>0</x:v>
      </x:c>
      <x:c r="AN900" t="n">
        <x:f>--AND(Y900&lt;&gt;"",COUNTIF($Y$4:Y900,Y900)=1)</x:f>
        <x:v>0</x:v>
      </x:c>
      <x:c r="AO900" t="n">
        <x:f>--AND(AN900=1,Z900=1,AM900=1)</x:f>
        <x:v>0</x:v>
      </x:c>
      <x:c r="AP900" t="n">
        <x:f>--AND(AO900=1,AA900=1,AL900=1)</x:f>
        <x:v>0</x:v>
      </x:c>
      <x:c r="AQ900" t="n">
        <x:f>--AND(AN900=1,Z900=1)</x:f>
        <x:v>0</x:v>
      </x:c>
      <x:c r="AR900" t="n">
        <x:f>--AND(AQ900=1,AA900=1)</x:f>
        <x:v>0</x:v>
      </x:c>
    </x:row>
    <x:row r="901">
      <x:c r="A901" s="28"/>
      <x:c r="B901" s="28"/>
      <x:c r="C901" s="28"/>
      <x:c r="D901" s="28"/>
      <x:c r="E901" s="28"/>
      <x:c r="F901" s="28"/>
      <x:c r="G901" s="28"/>
      <x:c r="H901" s="28"/>
      <x:c r="I901" s="28"/>
      <x:c r="J901" s="28"/>
      <x:c r="K901" s="28"/>
      <x:c r="L901" s="28"/>
      <x:c r="M901" s="28"/>
      <x:c r="N901" s="28"/>
      <x:c r="O901" s="28"/>
      <x:c r="P901" s="28"/>
      <x:c r="Q901" s="28"/>
      <x:c r="R901" s="28"/>
      <x:c r="S901" s="28"/>
      <x:c r="T901" s="28"/>
      <x:c r="U901" s="28"/>
      <x:c r="V901" s="28"/>
      <x:c r="W901" s="28"/>
      <x:c r="X901" s="43" t="n">
        <x:f>--AND(S901=1,T901=1,U901=1,V901=1,W901=1)</x:f>
        <x:v>0</x:v>
      </x:c>
      <x:c r="AE901" s="43" t="n">
        <x:f>--AND(S901=1,M901&lt;&gt;"",M901&lt;&gt;"keep")</x:f>
        <x:v>0</x:v>
      </x:c>
      <x:c r="AG901" t="n">
        <x:f>--AND(S901=1,T901=1,U901=1,V901=1,W901=1,AE901=1)</x:f>
        <x:v>0</x:v>
      </x:c>
      <x:c r="AJ901" t="str">
        <x:f>IF(OR(AH901="",AI901=""),"",--(AH901&lt;&gt;AI901))</x:f>
      </x:c>
      <x:c r="AL901" t="str">
        <x:f>IF(OR(AH901="",AI901=""),"PENDING_HUMAN",IF(AH901=AI901,AH901,IF(AK901&lt;&gt;"",AK901,"PENDING_HUMAN")))</x:f>
        <x:v>PENDING_HUMAN</x:v>
      </x:c>
      <x:c r="AM901" t="n">
        <x:f>--AND(A901&lt;&gt;"",AH901&lt;&gt;"",AI901&lt;&gt;"",OR(AH901=AI901,AK901&lt;&gt;""))</x:f>
        <x:v>0</x:v>
      </x:c>
      <x:c r="AN901" t="n">
        <x:f>--AND(Y901&lt;&gt;"",COUNTIF($Y$4:Y901,Y901)=1)</x:f>
        <x:v>0</x:v>
      </x:c>
      <x:c r="AO901" t="n">
        <x:f>--AND(AN901=1,Z901=1,AM901=1)</x:f>
        <x:v>0</x:v>
      </x:c>
      <x:c r="AP901" t="n">
        <x:f>--AND(AO901=1,AA901=1,AL901=1)</x:f>
        <x:v>0</x:v>
      </x:c>
      <x:c r="AQ901" t="n">
        <x:f>--AND(AN901=1,Z901=1)</x:f>
        <x:v>0</x:v>
      </x:c>
      <x:c r="AR901" t="n">
        <x:f>--AND(AQ901=1,AA901=1)</x:f>
        <x:v>0</x:v>
      </x:c>
    </x:row>
    <x:row r="902">
      <x:c r="A902" s="28"/>
      <x:c r="B902" s="28"/>
      <x:c r="C902" s="28"/>
      <x:c r="D902" s="28"/>
      <x:c r="E902" s="28"/>
      <x:c r="F902" s="28"/>
      <x:c r="G902" s="28"/>
      <x:c r="H902" s="28"/>
      <x:c r="I902" s="28"/>
      <x:c r="J902" s="28"/>
      <x:c r="K902" s="28"/>
      <x:c r="L902" s="28"/>
      <x:c r="M902" s="28"/>
      <x:c r="N902" s="28"/>
      <x:c r="O902" s="28"/>
      <x:c r="P902" s="28"/>
      <x:c r="Q902" s="28"/>
      <x:c r="R902" s="28"/>
      <x:c r="S902" s="28"/>
      <x:c r="T902" s="28"/>
      <x:c r="U902" s="28"/>
      <x:c r="V902" s="28"/>
      <x:c r="W902" s="28"/>
      <x:c r="X902" s="43" t="n">
        <x:f>--AND(S902=1,T902=1,U902=1,V902=1,W902=1)</x:f>
        <x:v>0</x:v>
      </x:c>
      <x:c r="AE902" s="43" t="n">
        <x:f>--AND(S902=1,M902&lt;&gt;"",M902&lt;&gt;"keep")</x:f>
        <x:v>0</x:v>
      </x:c>
      <x:c r="AG902" t="n">
        <x:f>--AND(S902=1,T902=1,U902=1,V902=1,W902=1,AE902=1)</x:f>
        <x:v>0</x:v>
      </x:c>
      <x:c r="AJ902" t="str">
        <x:f>IF(OR(AH902="",AI902=""),"",--(AH902&lt;&gt;AI902))</x:f>
      </x:c>
      <x:c r="AL902" t="str">
        <x:f>IF(OR(AH902="",AI902=""),"PENDING_HUMAN",IF(AH902=AI902,AH902,IF(AK902&lt;&gt;"",AK902,"PENDING_HUMAN")))</x:f>
        <x:v>PENDING_HUMAN</x:v>
      </x:c>
      <x:c r="AM902" t="n">
        <x:f>--AND(A902&lt;&gt;"",AH902&lt;&gt;"",AI902&lt;&gt;"",OR(AH902=AI902,AK902&lt;&gt;""))</x:f>
        <x:v>0</x:v>
      </x:c>
      <x:c r="AN902" t="n">
        <x:f>--AND(Y902&lt;&gt;"",COUNTIF($Y$4:Y902,Y902)=1)</x:f>
        <x:v>0</x:v>
      </x:c>
      <x:c r="AO902" t="n">
        <x:f>--AND(AN902=1,Z902=1,AM902=1)</x:f>
        <x:v>0</x:v>
      </x:c>
      <x:c r="AP902" t="n">
        <x:f>--AND(AO902=1,AA902=1,AL902=1)</x:f>
        <x:v>0</x:v>
      </x:c>
      <x:c r="AQ902" t="n">
        <x:f>--AND(AN902=1,Z902=1)</x:f>
        <x:v>0</x:v>
      </x:c>
      <x:c r="AR902" t="n">
        <x:f>--AND(AQ902=1,AA902=1)</x:f>
        <x:v>0</x:v>
      </x:c>
    </x:row>
    <x:row r="903">
      <x:c r="A903" s="28"/>
      <x:c r="B903" s="28"/>
      <x:c r="C903" s="28"/>
      <x:c r="D903" s="28"/>
      <x:c r="E903" s="28"/>
      <x:c r="F903" s="28"/>
      <x:c r="G903" s="28"/>
      <x:c r="H903" s="28"/>
      <x:c r="I903" s="28"/>
      <x:c r="J903" s="28"/>
      <x:c r="K903" s="28"/>
      <x:c r="L903" s="28"/>
      <x:c r="M903" s="28"/>
      <x:c r="N903" s="28"/>
      <x:c r="O903" s="28"/>
      <x:c r="P903" s="28"/>
      <x:c r="Q903" s="28"/>
      <x:c r="R903" s="28"/>
      <x:c r="S903" s="28"/>
      <x:c r="T903" s="28"/>
      <x:c r="U903" s="28"/>
      <x:c r="V903" s="28"/>
      <x:c r="W903" s="28"/>
      <x:c r="X903" s="43" t="n">
        <x:f>--AND(S903=1,T903=1,U903=1,V903=1,W903=1)</x:f>
        <x:v>0</x:v>
      </x:c>
      <x:c r="AE903" s="43" t="n">
        <x:f>--AND(S903=1,M903&lt;&gt;"",M903&lt;&gt;"keep")</x:f>
        <x:v>0</x:v>
      </x:c>
      <x:c r="AG903" t="n">
        <x:f>--AND(S903=1,T903=1,U903=1,V903=1,W903=1,AE903=1)</x:f>
        <x:v>0</x:v>
      </x:c>
      <x:c r="AJ903" t="str">
        <x:f>IF(OR(AH903="",AI903=""),"",--(AH903&lt;&gt;AI903))</x:f>
      </x:c>
      <x:c r="AL903" t="str">
        <x:f>IF(OR(AH903="",AI903=""),"PENDING_HUMAN",IF(AH903=AI903,AH903,IF(AK903&lt;&gt;"",AK903,"PENDING_HUMAN")))</x:f>
        <x:v>PENDING_HUMAN</x:v>
      </x:c>
      <x:c r="AM903" t="n">
        <x:f>--AND(A903&lt;&gt;"",AH903&lt;&gt;"",AI903&lt;&gt;"",OR(AH903=AI903,AK903&lt;&gt;""))</x:f>
        <x:v>0</x:v>
      </x:c>
      <x:c r="AN903" t="n">
        <x:f>--AND(Y903&lt;&gt;"",COUNTIF($Y$4:Y903,Y903)=1)</x:f>
        <x:v>0</x:v>
      </x:c>
      <x:c r="AO903" t="n">
        <x:f>--AND(AN903=1,Z903=1,AM903=1)</x:f>
        <x:v>0</x:v>
      </x:c>
      <x:c r="AP903" t="n">
        <x:f>--AND(AO903=1,AA903=1,AL903=1)</x:f>
        <x:v>0</x:v>
      </x:c>
      <x:c r="AQ903" t="n">
        <x:f>--AND(AN903=1,Z903=1)</x:f>
        <x:v>0</x:v>
      </x:c>
      <x:c r="AR903" t="n">
        <x:f>--AND(AQ903=1,AA903=1)</x:f>
        <x:v>0</x:v>
      </x:c>
    </x:row>
    <x:row r="904">
      <x:c r="A904" s="28"/>
      <x:c r="B904" s="28"/>
      <x:c r="C904" s="28"/>
      <x:c r="D904" s="28"/>
      <x:c r="E904" s="28"/>
      <x:c r="F904" s="28"/>
      <x:c r="G904" s="28"/>
      <x:c r="H904" s="28"/>
      <x:c r="I904" s="28"/>
      <x:c r="J904" s="28"/>
      <x:c r="K904" s="28"/>
      <x:c r="L904" s="28"/>
      <x:c r="M904" s="28"/>
      <x:c r="N904" s="28"/>
      <x:c r="O904" s="28"/>
      <x:c r="P904" s="28"/>
      <x:c r="Q904" s="28"/>
      <x:c r="R904" s="28"/>
      <x:c r="S904" s="28"/>
      <x:c r="T904" s="28"/>
      <x:c r="U904" s="28"/>
      <x:c r="V904" s="28"/>
      <x:c r="W904" s="28"/>
      <x:c r="X904" s="43" t="n">
        <x:f>--AND(S904=1,T904=1,U904=1,V904=1,W904=1)</x:f>
        <x:v>0</x:v>
      </x:c>
      <x:c r="AE904" s="43" t="n">
        <x:f>--AND(S904=1,M904&lt;&gt;"",M904&lt;&gt;"keep")</x:f>
        <x:v>0</x:v>
      </x:c>
      <x:c r="AG904" t="n">
        <x:f>--AND(S904=1,T904=1,U904=1,V904=1,W904=1,AE904=1)</x:f>
        <x:v>0</x:v>
      </x:c>
      <x:c r="AJ904" t="str">
        <x:f>IF(OR(AH904="",AI904=""),"",--(AH904&lt;&gt;AI904))</x:f>
      </x:c>
      <x:c r="AL904" t="str">
        <x:f>IF(OR(AH904="",AI904=""),"PENDING_HUMAN",IF(AH904=AI904,AH904,IF(AK904&lt;&gt;"",AK904,"PENDING_HUMAN")))</x:f>
        <x:v>PENDING_HUMAN</x:v>
      </x:c>
      <x:c r="AM904" t="n">
        <x:f>--AND(A904&lt;&gt;"",AH904&lt;&gt;"",AI904&lt;&gt;"",OR(AH904=AI904,AK904&lt;&gt;""))</x:f>
        <x:v>0</x:v>
      </x:c>
      <x:c r="AN904" t="n">
        <x:f>--AND(Y904&lt;&gt;"",COUNTIF($Y$4:Y904,Y904)=1)</x:f>
        <x:v>0</x:v>
      </x:c>
      <x:c r="AO904" t="n">
        <x:f>--AND(AN904=1,Z904=1,AM904=1)</x:f>
        <x:v>0</x:v>
      </x:c>
      <x:c r="AP904" t="n">
        <x:f>--AND(AO904=1,AA904=1,AL904=1)</x:f>
        <x:v>0</x:v>
      </x:c>
      <x:c r="AQ904" t="n">
        <x:f>--AND(AN904=1,Z904=1)</x:f>
        <x:v>0</x:v>
      </x:c>
      <x:c r="AR904" t="n">
        <x:f>--AND(AQ904=1,AA904=1)</x:f>
        <x:v>0</x:v>
      </x:c>
    </x:row>
    <x:row r="905">
      <x:c r="A905" s="28"/>
      <x:c r="B905" s="28"/>
      <x:c r="C905" s="28"/>
      <x:c r="D905" s="28"/>
      <x:c r="E905" s="28"/>
      <x:c r="F905" s="28"/>
      <x:c r="G905" s="28"/>
      <x:c r="H905" s="28"/>
      <x:c r="I905" s="28"/>
      <x:c r="J905" s="28"/>
      <x:c r="K905" s="28"/>
      <x:c r="L905" s="28"/>
      <x:c r="M905" s="28"/>
      <x:c r="N905" s="28"/>
      <x:c r="O905" s="28"/>
      <x:c r="P905" s="28"/>
      <x:c r="Q905" s="28"/>
      <x:c r="R905" s="28"/>
      <x:c r="S905" s="28"/>
      <x:c r="T905" s="28"/>
      <x:c r="U905" s="28"/>
      <x:c r="V905" s="28"/>
      <x:c r="W905" s="28"/>
      <x:c r="X905" s="43" t="n">
        <x:f>--AND(S905=1,T905=1,U905=1,V905=1,W905=1)</x:f>
        <x:v>0</x:v>
      </x:c>
      <x:c r="AE905" s="43" t="n">
        <x:f>--AND(S905=1,M905&lt;&gt;"",M905&lt;&gt;"keep")</x:f>
        <x:v>0</x:v>
      </x:c>
      <x:c r="AG905" t="n">
        <x:f>--AND(S905=1,T905=1,U905=1,V905=1,W905=1,AE905=1)</x:f>
        <x:v>0</x:v>
      </x:c>
      <x:c r="AJ905" t="str">
        <x:f>IF(OR(AH905="",AI905=""),"",--(AH905&lt;&gt;AI905))</x:f>
      </x:c>
      <x:c r="AL905" t="str">
        <x:f>IF(OR(AH905="",AI905=""),"PENDING_HUMAN",IF(AH905=AI905,AH905,IF(AK905&lt;&gt;"",AK905,"PENDING_HUMAN")))</x:f>
        <x:v>PENDING_HUMAN</x:v>
      </x:c>
      <x:c r="AM905" t="n">
        <x:f>--AND(A905&lt;&gt;"",AH905&lt;&gt;"",AI905&lt;&gt;"",OR(AH905=AI905,AK905&lt;&gt;""))</x:f>
        <x:v>0</x:v>
      </x:c>
      <x:c r="AN905" t="n">
        <x:f>--AND(Y905&lt;&gt;"",COUNTIF($Y$4:Y905,Y905)=1)</x:f>
        <x:v>0</x:v>
      </x:c>
      <x:c r="AO905" t="n">
        <x:f>--AND(AN905=1,Z905=1,AM905=1)</x:f>
        <x:v>0</x:v>
      </x:c>
      <x:c r="AP905" t="n">
        <x:f>--AND(AO905=1,AA905=1,AL905=1)</x:f>
        <x:v>0</x:v>
      </x:c>
      <x:c r="AQ905" t="n">
        <x:f>--AND(AN905=1,Z905=1)</x:f>
        <x:v>0</x:v>
      </x:c>
      <x:c r="AR905" t="n">
        <x:f>--AND(AQ905=1,AA905=1)</x:f>
        <x:v>0</x:v>
      </x:c>
    </x:row>
    <x:row r="906">
      <x:c r="A906" s="28"/>
      <x:c r="B906" s="28"/>
      <x:c r="C906" s="28"/>
      <x:c r="D906" s="28"/>
      <x:c r="E906" s="28"/>
      <x:c r="F906" s="28"/>
      <x:c r="G906" s="28"/>
      <x:c r="H906" s="28"/>
      <x:c r="I906" s="28"/>
      <x:c r="J906" s="28"/>
      <x:c r="K906" s="28"/>
      <x:c r="L906" s="28"/>
      <x:c r="M906" s="28"/>
      <x:c r="N906" s="28"/>
      <x:c r="O906" s="28"/>
      <x:c r="P906" s="28"/>
      <x:c r="Q906" s="28"/>
      <x:c r="R906" s="28"/>
      <x:c r="S906" s="28"/>
      <x:c r="T906" s="28"/>
      <x:c r="U906" s="28"/>
      <x:c r="V906" s="28"/>
      <x:c r="W906" s="28"/>
      <x:c r="X906" s="43" t="n">
        <x:f>--AND(S906=1,T906=1,U906=1,V906=1,W906=1)</x:f>
        <x:v>0</x:v>
      </x:c>
      <x:c r="AE906" s="43" t="n">
        <x:f>--AND(S906=1,M906&lt;&gt;"",M906&lt;&gt;"keep")</x:f>
        <x:v>0</x:v>
      </x:c>
      <x:c r="AG906" t="n">
        <x:f>--AND(S906=1,T906=1,U906=1,V906=1,W906=1,AE906=1)</x:f>
        <x:v>0</x:v>
      </x:c>
      <x:c r="AJ906" t="str">
        <x:f>IF(OR(AH906="",AI906=""),"",--(AH906&lt;&gt;AI906))</x:f>
      </x:c>
      <x:c r="AL906" t="str">
        <x:f>IF(OR(AH906="",AI906=""),"PENDING_HUMAN",IF(AH906=AI906,AH906,IF(AK906&lt;&gt;"",AK906,"PENDING_HUMAN")))</x:f>
        <x:v>PENDING_HUMAN</x:v>
      </x:c>
      <x:c r="AM906" t="n">
        <x:f>--AND(A906&lt;&gt;"",AH906&lt;&gt;"",AI906&lt;&gt;"",OR(AH906=AI906,AK906&lt;&gt;""))</x:f>
        <x:v>0</x:v>
      </x:c>
      <x:c r="AN906" t="n">
        <x:f>--AND(Y906&lt;&gt;"",COUNTIF($Y$4:Y906,Y906)=1)</x:f>
        <x:v>0</x:v>
      </x:c>
      <x:c r="AO906" t="n">
        <x:f>--AND(AN906=1,Z906=1,AM906=1)</x:f>
        <x:v>0</x:v>
      </x:c>
      <x:c r="AP906" t="n">
        <x:f>--AND(AO906=1,AA906=1,AL906=1)</x:f>
        <x:v>0</x:v>
      </x:c>
      <x:c r="AQ906" t="n">
        <x:f>--AND(AN906=1,Z906=1)</x:f>
        <x:v>0</x:v>
      </x:c>
      <x:c r="AR906" t="n">
        <x:f>--AND(AQ906=1,AA906=1)</x:f>
        <x:v>0</x:v>
      </x:c>
    </x:row>
    <x:row r="907">
      <x:c r="A907" s="28"/>
      <x:c r="B907" s="28"/>
      <x:c r="C907" s="28"/>
      <x:c r="D907" s="28"/>
      <x:c r="E907" s="28"/>
      <x:c r="F907" s="28"/>
      <x:c r="G907" s="28"/>
      <x:c r="H907" s="28"/>
      <x:c r="I907" s="28"/>
      <x:c r="J907" s="28"/>
      <x:c r="K907" s="28"/>
      <x:c r="L907" s="28"/>
      <x:c r="M907" s="28"/>
      <x:c r="N907" s="28"/>
      <x:c r="O907" s="28"/>
      <x:c r="P907" s="28"/>
      <x:c r="Q907" s="28"/>
      <x:c r="R907" s="28"/>
      <x:c r="S907" s="28"/>
      <x:c r="T907" s="28"/>
      <x:c r="U907" s="28"/>
      <x:c r="V907" s="28"/>
      <x:c r="W907" s="28"/>
      <x:c r="X907" s="43" t="n">
        <x:f>--AND(S907=1,T907=1,U907=1,V907=1,W907=1)</x:f>
        <x:v>0</x:v>
      </x:c>
      <x:c r="AE907" s="43" t="n">
        <x:f>--AND(S907=1,M907&lt;&gt;"",M907&lt;&gt;"keep")</x:f>
        <x:v>0</x:v>
      </x:c>
      <x:c r="AG907" t="n">
        <x:f>--AND(S907=1,T907=1,U907=1,V907=1,W907=1,AE907=1)</x:f>
        <x:v>0</x:v>
      </x:c>
      <x:c r="AJ907" t="str">
        <x:f>IF(OR(AH907="",AI907=""),"",--(AH907&lt;&gt;AI907))</x:f>
      </x:c>
      <x:c r="AL907" t="str">
        <x:f>IF(OR(AH907="",AI907=""),"PENDING_HUMAN",IF(AH907=AI907,AH907,IF(AK907&lt;&gt;"",AK907,"PENDING_HUMAN")))</x:f>
        <x:v>PENDING_HUMAN</x:v>
      </x:c>
      <x:c r="AM907" t="n">
        <x:f>--AND(A907&lt;&gt;"",AH907&lt;&gt;"",AI907&lt;&gt;"",OR(AH907=AI907,AK907&lt;&gt;""))</x:f>
        <x:v>0</x:v>
      </x:c>
      <x:c r="AN907" t="n">
        <x:f>--AND(Y907&lt;&gt;"",COUNTIF($Y$4:Y907,Y907)=1)</x:f>
        <x:v>0</x:v>
      </x:c>
      <x:c r="AO907" t="n">
        <x:f>--AND(AN907=1,Z907=1,AM907=1)</x:f>
        <x:v>0</x:v>
      </x:c>
      <x:c r="AP907" t="n">
        <x:f>--AND(AO907=1,AA907=1,AL907=1)</x:f>
        <x:v>0</x:v>
      </x:c>
      <x:c r="AQ907" t="n">
        <x:f>--AND(AN907=1,Z907=1)</x:f>
        <x:v>0</x:v>
      </x:c>
      <x:c r="AR907" t="n">
        <x:f>--AND(AQ907=1,AA907=1)</x:f>
        <x:v>0</x:v>
      </x:c>
    </x:row>
    <x:row r="908">
      <x:c r="A908" s="28"/>
      <x:c r="B908" s="28"/>
      <x:c r="C908" s="28"/>
      <x:c r="D908" s="28"/>
      <x:c r="E908" s="28"/>
      <x:c r="F908" s="28"/>
      <x:c r="G908" s="28"/>
      <x:c r="H908" s="28"/>
      <x:c r="I908" s="28"/>
      <x:c r="J908" s="28"/>
      <x:c r="K908" s="28"/>
      <x:c r="L908" s="28"/>
      <x:c r="M908" s="28"/>
      <x:c r="N908" s="28"/>
      <x:c r="O908" s="28"/>
      <x:c r="P908" s="28"/>
      <x:c r="Q908" s="28"/>
      <x:c r="R908" s="28"/>
      <x:c r="S908" s="28"/>
      <x:c r="T908" s="28"/>
      <x:c r="U908" s="28"/>
      <x:c r="V908" s="28"/>
      <x:c r="W908" s="28"/>
      <x:c r="X908" s="43" t="n">
        <x:f>--AND(S908=1,T908=1,U908=1,V908=1,W908=1)</x:f>
        <x:v>0</x:v>
      </x:c>
      <x:c r="AE908" s="43" t="n">
        <x:f>--AND(S908=1,M908&lt;&gt;"",M908&lt;&gt;"keep")</x:f>
        <x:v>0</x:v>
      </x:c>
      <x:c r="AG908" t="n">
        <x:f>--AND(S908=1,T908=1,U908=1,V908=1,W908=1,AE908=1)</x:f>
        <x:v>0</x:v>
      </x:c>
      <x:c r="AJ908" t="str">
        <x:f>IF(OR(AH908="",AI908=""),"",--(AH908&lt;&gt;AI908))</x:f>
      </x:c>
      <x:c r="AL908" t="str">
        <x:f>IF(OR(AH908="",AI908=""),"PENDING_HUMAN",IF(AH908=AI908,AH908,IF(AK908&lt;&gt;"",AK908,"PENDING_HUMAN")))</x:f>
        <x:v>PENDING_HUMAN</x:v>
      </x:c>
      <x:c r="AM908" t="n">
        <x:f>--AND(A908&lt;&gt;"",AH908&lt;&gt;"",AI908&lt;&gt;"",OR(AH908=AI908,AK908&lt;&gt;""))</x:f>
        <x:v>0</x:v>
      </x:c>
      <x:c r="AN908" t="n">
        <x:f>--AND(Y908&lt;&gt;"",COUNTIF($Y$4:Y908,Y908)=1)</x:f>
        <x:v>0</x:v>
      </x:c>
      <x:c r="AO908" t="n">
        <x:f>--AND(AN908=1,Z908=1,AM908=1)</x:f>
        <x:v>0</x:v>
      </x:c>
      <x:c r="AP908" t="n">
        <x:f>--AND(AO908=1,AA908=1,AL908=1)</x:f>
        <x:v>0</x:v>
      </x:c>
      <x:c r="AQ908" t="n">
        <x:f>--AND(AN908=1,Z908=1)</x:f>
        <x:v>0</x:v>
      </x:c>
      <x:c r="AR908" t="n">
        <x:f>--AND(AQ908=1,AA908=1)</x:f>
        <x:v>0</x:v>
      </x:c>
    </x:row>
    <x:row r="909">
      <x:c r="A909" s="28"/>
      <x:c r="B909" s="28"/>
      <x:c r="C909" s="28"/>
      <x:c r="D909" s="28"/>
      <x:c r="E909" s="28"/>
      <x:c r="F909" s="28"/>
      <x:c r="G909" s="28"/>
      <x:c r="H909" s="28"/>
      <x:c r="I909" s="28"/>
      <x:c r="J909" s="28"/>
      <x:c r="K909" s="28"/>
      <x:c r="L909" s="28"/>
      <x:c r="M909" s="28"/>
      <x:c r="N909" s="28"/>
      <x:c r="O909" s="28"/>
      <x:c r="P909" s="28"/>
      <x:c r="Q909" s="28"/>
      <x:c r="R909" s="28"/>
      <x:c r="S909" s="28"/>
      <x:c r="T909" s="28"/>
      <x:c r="U909" s="28"/>
      <x:c r="V909" s="28"/>
      <x:c r="W909" s="28"/>
      <x:c r="X909" s="43" t="n">
        <x:f>--AND(S909=1,T909=1,U909=1,V909=1,W909=1)</x:f>
        <x:v>0</x:v>
      </x:c>
      <x:c r="AE909" s="43" t="n">
        <x:f>--AND(S909=1,M909&lt;&gt;"",M909&lt;&gt;"keep")</x:f>
        <x:v>0</x:v>
      </x:c>
      <x:c r="AG909" t="n">
        <x:f>--AND(S909=1,T909=1,U909=1,V909=1,W909=1,AE909=1)</x:f>
        <x:v>0</x:v>
      </x:c>
      <x:c r="AJ909" t="str">
        <x:f>IF(OR(AH909="",AI909=""),"",--(AH909&lt;&gt;AI909))</x:f>
      </x:c>
      <x:c r="AL909" t="str">
        <x:f>IF(OR(AH909="",AI909=""),"PENDING_HUMAN",IF(AH909=AI909,AH909,IF(AK909&lt;&gt;"",AK909,"PENDING_HUMAN")))</x:f>
        <x:v>PENDING_HUMAN</x:v>
      </x:c>
      <x:c r="AM909" t="n">
        <x:f>--AND(A909&lt;&gt;"",AH909&lt;&gt;"",AI909&lt;&gt;"",OR(AH909=AI909,AK909&lt;&gt;""))</x:f>
        <x:v>0</x:v>
      </x:c>
      <x:c r="AN909" t="n">
        <x:f>--AND(Y909&lt;&gt;"",COUNTIF($Y$4:Y909,Y909)=1)</x:f>
        <x:v>0</x:v>
      </x:c>
      <x:c r="AO909" t="n">
        <x:f>--AND(AN909=1,Z909=1,AM909=1)</x:f>
        <x:v>0</x:v>
      </x:c>
      <x:c r="AP909" t="n">
        <x:f>--AND(AO909=1,AA909=1,AL909=1)</x:f>
        <x:v>0</x:v>
      </x:c>
      <x:c r="AQ909" t="n">
        <x:f>--AND(AN909=1,Z909=1)</x:f>
        <x:v>0</x:v>
      </x:c>
      <x:c r="AR909" t="n">
        <x:f>--AND(AQ909=1,AA909=1)</x:f>
        <x:v>0</x:v>
      </x:c>
    </x:row>
    <x:row r="910">
      <x:c r="A910" s="28"/>
      <x:c r="B910" s="28"/>
      <x:c r="C910" s="28"/>
      <x:c r="D910" s="28"/>
      <x:c r="E910" s="28"/>
      <x:c r="F910" s="28"/>
      <x:c r="G910" s="28"/>
      <x:c r="H910" s="28"/>
      <x:c r="I910" s="28"/>
      <x:c r="J910" s="28"/>
      <x:c r="K910" s="28"/>
      <x:c r="L910" s="28"/>
      <x:c r="M910" s="28"/>
      <x:c r="N910" s="28"/>
      <x:c r="O910" s="28"/>
      <x:c r="P910" s="28"/>
      <x:c r="Q910" s="28"/>
      <x:c r="R910" s="28"/>
      <x:c r="S910" s="28"/>
      <x:c r="T910" s="28"/>
      <x:c r="U910" s="28"/>
      <x:c r="V910" s="28"/>
      <x:c r="W910" s="28"/>
      <x:c r="X910" s="43" t="n">
        <x:f>--AND(S910=1,T910=1,U910=1,V910=1,W910=1)</x:f>
        <x:v>0</x:v>
      </x:c>
      <x:c r="AE910" s="43" t="n">
        <x:f>--AND(S910=1,M910&lt;&gt;"",M910&lt;&gt;"keep")</x:f>
        <x:v>0</x:v>
      </x:c>
      <x:c r="AG910" t="n">
        <x:f>--AND(S910=1,T910=1,U910=1,V910=1,W910=1,AE910=1)</x:f>
        <x:v>0</x:v>
      </x:c>
      <x:c r="AJ910" t="str">
        <x:f>IF(OR(AH910="",AI910=""),"",--(AH910&lt;&gt;AI910))</x:f>
      </x:c>
      <x:c r="AL910" t="str">
        <x:f>IF(OR(AH910="",AI910=""),"PENDING_HUMAN",IF(AH910=AI910,AH910,IF(AK910&lt;&gt;"",AK910,"PENDING_HUMAN")))</x:f>
        <x:v>PENDING_HUMAN</x:v>
      </x:c>
      <x:c r="AM910" t="n">
        <x:f>--AND(A910&lt;&gt;"",AH910&lt;&gt;"",AI910&lt;&gt;"",OR(AH910=AI910,AK910&lt;&gt;""))</x:f>
        <x:v>0</x:v>
      </x:c>
      <x:c r="AN910" t="n">
        <x:f>--AND(Y910&lt;&gt;"",COUNTIF($Y$4:Y910,Y910)=1)</x:f>
        <x:v>0</x:v>
      </x:c>
      <x:c r="AO910" t="n">
        <x:f>--AND(AN910=1,Z910=1,AM910=1)</x:f>
        <x:v>0</x:v>
      </x:c>
      <x:c r="AP910" t="n">
        <x:f>--AND(AO910=1,AA910=1,AL910=1)</x:f>
        <x:v>0</x:v>
      </x:c>
      <x:c r="AQ910" t="n">
        <x:f>--AND(AN910=1,Z910=1)</x:f>
        <x:v>0</x:v>
      </x:c>
      <x:c r="AR910" t="n">
        <x:f>--AND(AQ910=1,AA910=1)</x:f>
        <x:v>0</x:v>
      </x:c>
    </x:row>
    <x:row r="911">
      <x:c r="A911" s="28"/>
      <x:c r="B911" s="28"/>
      <x:c r="C911" s="28"/>
      <x:c r="D911" s="28"/>
      <x:c r="E911" s="28"/>
      <x:c r="F911" s="28"/>
      <x:c r="G911" s="28"/>
      <x:c r="H911" s="28"/>
      <x:c r="I911" s="28"/>
      <x:c r="J911" s="28"/>
      <x:c r="K911" s="28"/>
      <x:c r="L911" s="28"/>
      <x:c r="M911" s="28"/>
      <x:c r="N911" s="28"/>
      <x:c r="O911" s="28"/>
      <x:c r="P911" s="28"/>
      <x:c r="Q911" s="28"/>
      <x:c r="R911" s="28"/>
      <x:c r="S911" s="28"/>
      <x:c r="T911" s="28"/>
      <x:c r="U911" s="28"/>
      <x:c r="V911" s="28"/>
      <x:c r="W911" s="28"/>
      <x:c r="X911" s="43" t="n">
        <x:f>--AND(S911=1,T911=1,U911=1,V911=1,W911=1)</x:f>
        <x:v>0</x:v>
      </x:c>
      <x:c r="AE911" s="43" t="n">
        <x:f>--AND(S911=1,M911&lt;&gt;"",M911&lt;&gt;"keep")</x:f>
        <x:v>0</x:v>
      </x:c>
      <x:c r="AG911" t="n">
        <x:f>--AND(S911=1,T911=1,U911=1,V911=1,W911=1,AE911=1)</x:f>
        <x:v>0</x:v>
      </x:c>
      <x:c r="AJ911" t="str">
        <x:f>IF(OR(AH911="",AI911=""),"",--(AH911&lt;&gt;AI911))</x:f>
      </x:c>
      <x:c r="AL911" t="str">
        <x:f>IF(OR(AH911="",AI911=""),"PENDING_HUMAN",IF(AH911=AI911,AH911,IF(AK911&lt;&gt;"",AK911,"PENDING_HUMAN")))</x:f>
        <x:v>PENDING_HUMAN</x:v>
      </x:c>
      <x:c r="AM911" t="n">
        <x:f>--AND(A911&lt;&gt;"",AH911&lt;&gt;"",AI911&lt;&gt;"",OR(AH911=AI911,AK911&lt;&gt;""))</x:f>
        <x:v>0</x:v>
      </x:c>
      <x:c r="AN911" t="n">
        <x:f>--AND(Y911&lt;&gt;"",COUNTIF($Y$4:Y911,Y911)=1)</x:f>
        <x:v>0</x:v>
      </x:c>
      <x:c r="AO911" t="n">
        <x:f>--AND(AN911=1,Z911=1,AM911=1)</x:f>
        <x:v>0</x:v>
      </x:c>
      <x:c r="AP911" t="n">
        <x:f>--AND(AO911=1,AA911=1,AL911=1)</x:f>
        <x:v>0</x:v>
      </x:c>
      <x:c r="AQ911" t="n">
        <x:f>--AND(AN911=1,Z911=1)</x:f>
        <x:v>0</x:v>
      </x:c>
      <x:c r="AR911" t="n">
        <x:f>--AND(AQ911=1,AA911=1)</x:f>
        <x:v>0</x:v>
      </x:c>
    </x:row>
    <x:row r="912">
      <x:c r="A912" s="28"/>
      <x:c r="B912" s="28"/>
      <x:c r="C912" s="28"/>
      <x:c r="D912" s="28"/>
      <x:c r="E912" s="28"/>
      <x:c r="F912" s="28"/>
      <x:c r="G912" s="28"/>
      <x:c r="H912" s="28"/>
      <x:c r="I912" s="28"/>
      <x:c r="J912" s="28"/>
      <x:c r="K912" s="28"/>
      <x:c r="L912" s="28"/>
      <x:c r="M912" s="28"/>
      <x:c r="N912" s="28"/>
      <x:c r="O912" s="28"/>
      <x:c r="P912" s="28"/>
      <x:c r="Q912" s="28"/>
      <x:c r="R912" s="28"/>
      <x:c r="S912" s="28"/>
      <x:c r="T912" s="28"/>
      <x:c r="U912" s="28"/>
      <x:c r="V912" s="28"/>
      <x:c r="W912" s="28"/>
      <x:c r="X912" s="43" t="n">
        <x:f>--AND(S912=1,T912=1,U912=1,V912=1,W912=1)</x:f>
        <x:v>0</x:v>
      </x:c>
      <x:c r="AE912" s="43" t="n">
        <x:f>--AND(S912=1,M912&lt;&gt;"",M912&lt;&gt;"keep")</x:f>
        <x:v>0</x:v>
      </x:c>
      <x:c r="AG912" t="n">
        <x:f>--AND(S912=1,T912=1,U912=1,V912=1,W912=1,AE912=1)</x:f>
        <x:v>0</x:v>
      </x:c>
      <x:c r="AJ912" t="str">
        <x:f>IF(OR(AH912="",AI912=""),"",--(AH912&lt;&gt;AI912))</x:f>
      </x:c>
      <x:c r="AL912" t="str">
        <x:f>IF(OR(AH912="",AI912=""),"PENDING_HUMAN",IF(AH912=AI912,AH912,IF(AK912&lt;&gt;"",AK912,"PENDING_HUMAN")))</x:f>
        <x:v>PENDING_HUMAN</x:v>
      </x:c>
      <x:c r="AM912" t="n">
        <x:f>--AND(A912&lt;&gt;"",AH912&lt;&gt;"",AI912&lt;&gt;"",OR(AH912=AI912,AK912&lt;&gt;""))</x:f>
        <x:v>0</x:v>
      </x:c>
      <x:c r="AN912" t="n">
        <x:f>--AND(Y912&lt;&gt;"",COUNTIF($Y$4:Y912,Y912)=1)</x:f>
        <x:v>0</x:v>
      </x:c>
      <x:c r="AO912" t="n">
        <x:f>--AND(AN912=1,Z912=1,AM912=1)</x:f>
        <x:v>0</x:v>
      </x:c>
      <x:c r="AP912" t="n">
        <x:f>--AND(AO912=1,AA912=1,AL912=1)</x:f>
        <x:v>0</x:v>
      </x:c>
      <x:c r="AQ912" t="n">
        <x:f>--AND(AN912=1,Z912=1)</x:f>
        <x:v>0</x:v>
      </x:c>
      <x:c r="AR912" t="n">
        <x:f>--AND(AQ912=1,AA912=1)</x:f>
        <x:v>0</x:v>
      </x:c>
    </x:row>
    <x:row r="913">
      <x:c r="A913" s="28"/>
      <x:c r="B913" s="28"/>
      <x:c r="C913" s="28"/>
      <x:c r="D913" s="28"/>
      <x:c r="E913" s="28"/>
      <x:c r="F913" s="28"/>
      <x:c r="G913" s="28"/>
      <x:c r="H913" s="28"/>
      <x:c r="I913" s="28"/>
      <x:c r="J913" s="28"/>
      <x:c r="K913" s="28"/>
      <x:c r="L913" s="28"/>
      <x:c r="M913" s="28"/>
      <x:c r="N913" s="28"/>
      <x:c r="O913" s="28"/>
      <x:c r="P913" s="28"/>
      <x:c r="Q913" s="28"/>
      <x:c r="R913" s="28"/>
      <x:c r="S913" s="28"/>
      <x:c r="T913" s="28"/>
      <x:c r="U913" s="28"/>
      <x:c r="V913" s="28"/>
      <x:c r="W913" s="28"/>
      <x:c r="X913" s="43" t="n">
        <x:f>--AND(S913=1,T913=1,U913=1,V913=1,W913=1)</x:f>
        <x:v>0</x:v>
      </x:c>
      <x:c r="AE913" s="43" t="n">
        <x:f>--AND(S913=1,M913&lt;&gt;"",M913&lt;&gt;"keep")</x:f>
        <x:v>0</x:v>
      </x:c>
      <x:c r="AG913" t="n">
        <x:f>--AND(S913=1,T913=1,U913=1,V913=1,W913=1,AE913=1)</x:f>
        <x:v>0</x:v>
      </x:c>
      <x:c r="AJ913" t="str">
        <x:f>IF(OR(AH913="",AI913=""),"",--(AH913&lt;&gt;AI913))</x:f>
      </x:c>
      <x:c r="AL913" t="str">
        <x:f>IF(OR(AH913="",AI913=""),"PENDING_HUMAN",IF(AH913=AI913,AH913,IF(AK913&lt;&gt;"",AK913,"PENDING_HUMAN")))</x:f>
        <x:v>PENDING_HUMAN</x:v>
      </x:c>
      <x:c r="AM913" t="n">
        <x:f>--AND(A913&lt;&gt;"",AH913&lt;&gt;"",AI913&lt;&gt;"",OR(AH913=AI913,AK913&lt;&gt;""))</x:f>
        <x:v>0</x:v>
      </x:c>
      <x:c r="AN913" t="n">
        <x:f>--AND(Y913&lt;&gt;"",COUNTIF($Y$4:Y913,Y913)=1)</x:f>
        <x:v>0</x:v>
      </x:c>
      <x:c r="AO913" t="n">
        <x:f>--AND(AN913=1,Z913=1,AM913=1)</x:f>
        <x:v>0</x:v>
      </x:c>
      <x:c r="AP913" t="n">
        <x:f>--AND(AO913=1,AA913=1,AL913=1)</x:f>
        <x:v>0</x:v>
      </x:c>
      <x:c r="AQ913" t="n">
        <x:f>--AND(AN913=1,Z913=1)</x:f>
        <x:v>0</x:v>
      </x:c>
      <x:c r="AR913" t="n">
        <x:f>--AND(AQ913=1,AA913=1)</x:f>
        <x:v>0</x:v>
      </x:c>
    </x:row>
    <x:row r="914">
      <x:c r="A914" s="28"/>
      <x:c r="B914" s="28"/>
      <x:c r="C914" s="28"/>
      <x:c r="D914" s="28"/>
      <x:c r="E914" s="28"/>
      <x:c r="F914" s="28"/>
      <x:c r="G914" s="28"/>
      <x:c r="H914" s="28"/>
      <x:c r="I914" s="28"/>
      <x:c r="J914" s="28"/>
      <x:c r="K914" s="28"/>
      <x:c r="L914" s="28"/>
      <x:c r="M914" s="28"/>
      <x:c r="N914" s="28"/>
      <x:c r="O914" s="28"/>
      <x:c r="P914" s="28"/>
      <x:c r="Q914" s="28"/>
      <x:c r="R914" s="28"/>
      <x:c r="S914" s="28"/>
      <x:c r="T914" s="28"/>
      <x:c r="U914" s="28"/>
      <x:c r="V914" s="28"/>
      <x:c r="W914" s="28"/>
      <x:c r="X914" s="43" t="n">
        <x:f>--AND(S914=1,T914=1,U914=1,V914=1,W914=1)</x:f>
        <x:v>0</x:v>
      </x:c>
      <x:c r="AE914" s="43" t="n">
        <x:f>--AND(S914=1,M914&lt;&gt;"",M914&lt;&gt;"keep")</x:f>
        <x:v>0</x:v>
      </x:c>
      <x:c r="AG914" t="n">
        <x:f>--AND(S914=1,T914=1,U914=1,V914=1,W914=1,AE914=1)</x:f>
        <x:v>0</x:v>
      </x:c>
      <x:c r="AJ914" t="str">
        <x:f>IF(OR(AH914="",AI914=""),"",--(AH914&lt;&gt;AI914))</x:f>
      </x:c>
      <x:c r="AL914" t="str">
        <x:f>IF(OR(AH914="",AI914=""),"PENDING_HUMAN",IF(AH914=AI914,AH914,IF(AK914&lt;&gt;"",AK914,"PENDING_HUMAN")))</x:f>
        <x:v>PENDING_HUMAN</x:v>
      </x:c>
      <x:c r="AM914" t="n">
        <x:f>--AND(A914&lt;&gt;"",AH914&lt;&gt;"",AI914&lt;&gt;"",OR(AH914=AI914,AK914&lt;&gt;""))</x:f>
        <x:v>0</x:v>
      </x:c>
      <x:c r="AN914" t="n">
        <x:f>--AND(Y914&lt;&gt;"",COUNTIF($Y$4:Y914,Y914)=1)</x:f>
        <x:v>0</x:v>
      </x:c>
      <x:c r="AO914" t="n">
        <x:f>--AND(AN914=1,Z914=1,AM914=1)</x:f>
        <x:v>0</x:v>
      </x:c>
      <x:c r="AP914" t="n">
        <x:f>--AND(AO914=1,AA914=1,AL914=1)</x:f>
        <x:v>0</x:v>
      </x:c>
      <x:c r="AQ914" t="n">
        <x:f>--AND(AN914=1,Z914=1)</x:f>
        <x:v>0</x:v>
      </x:c>
      <x:c r="AR914" t="n">
        <x:f>--AND(AQ914=1,AA914=1)</x:f>
        <x:v>0</x:v>
      </x:c>
    </x:row>
    <x:row r="915">
      <x:c r="A915" s="28"/>
      <x:c r="B915" s="28"/>
      <x:c r="C915" s="28"/>
      <x:c r="D915" s="28"/>
      <x:c r="E915" s="28"/>
      <x:c r="F915" s="28"/>
      <x:c r="G915" s="28"/>
      <x:c r="H915" s="28"/>
      <x:c r="I915" s="28"/>
      <x:c r="J915" s="28"/>
      <x:c r="K915" s="28"/>
      <x:c r="L915" s="28"/>
      <x:c r="M915" s="28"/>
      <x:c r="N915" s="28"/>
      <x:c r="O915" s="28"/>
      <x:c r="P915" s="28"/>
      <x:c r="Q915" s="28"/>
      <x:c r="R915" s="28"/>
      <x:c r="S915" s="28"/>
      <x:c r="T915" s="28"/>
      <x:c r="U915" s="28"/>
      <x:c r="V915" s="28"/>
      <x:c r="W915" s="28"/>
      <x:c r="X915" s="43" t="n">
        <x:f>--AND(S915=1,T915=1,U915=1,V915=1,W915=1)</x:f>
        <x:v>0</x:v>
      </x:c>
      <x:c r="AE915" s="43" t="n">
        <x:f>--AND(S915=1,M915&lt;&gt;"",M915&lt;&gt;"keep")</x:f>
        <x:v>0</x:v>
      </x:c>
      <x:c r="AG915" t="n">
        <x:f>--AND(S915=1,T915=1,U915=1,V915=1,W915=1,AE915=1)</x:f>
        <x:v>0</x:v>
      </x:c>
      <x:c r="AJ915" t="str">
        <x:f>IF(OR(AH915="",AI915=""),"",--(AH915&lt;&gt;AI915))</x:f>
      </x:c>
      <x:c r="AL915" t="str">
        <x:f>IF(OR(AH915="",AI915=""),"PENDING_HUMAN",IF(AH915=AI915,AH915,IF(AK915&lt;&gt;"",AK915,"PENDING_HUMAN")))</x:f>
        <x:v>PENDING_HUMAN</x:v>
      </x:c>
      <x:c r="AM915" t="n">
        <x:f>--AND(A915&lt;&gt;"",AH915&lt;&gt;"",AI915&lt;&gt;"",OR(AH915=AI915,AK915&lt;&gt;""))</x:f>
        <x:v>0</x:v>
      </x:c>
      <x:c r="AN915" t="n">
        <x:f>--AND(Y915&lt;&gt;"",COUNTIF($Y$4:Y915,Y915)=1)</x:f>
        <x:v>0</x:v>
      </x:c>
      <x:c r="AO915" t="n">
        <x:f>--AND(AN915=1,Z915=1,AM915=1)</x:f>
        <x:v>0</x:v>
      </x:c>
      <x:c r="AP915" t="n">
        <x:f>--AND(AO915=1,AA915=1,AL915=1)</x:f>
        <x:v>0</x:v>
      </x:c>
      <x:c r="AQ915" t="n">
        <x:f>--AND(AN915=1,Z915=1)</x:f>
        <x:v>0</x:v>
      </x:c>
      <x:c r="AR915" t="n">
        <x:f>--AND(AQ915=1,AA915=1)</x:f>
        <x:v>0</x:v>
      </x:c>
    </x:row>
    <x:row r="916">
      <x:c r="A916" s="28"/>
      <x:c r="B916" s="28"/>
      <x:c r="C916" s="28"/>
      <x:c r="D916" s="28"/>
      <x:c r="E916" s="28"/>
      <x:c r="F916" s="28"/>
      <x:c r="G916" s="28"/>
      <x:c r="H916" s="28"/>
      <x:c r="I916" s="28"/>
      <x:c r="J916" s="28"/>
      <x:c r="K916" s="28"/>
      <x:c r="L916" s="28"/>
      <x:c r="M916" s="28"/>
      <x:c r="N916" s="28"/>
      <x:c r="O916" s="28"/>
      <x:c r="P916" s="28"/>
      <x:c r="Q916" s="28"/>
      <x:c r="R916" s="28"/>
      <x:c r="S916" s="28"/>
      <x:c r="T916" s="28"/>
      <x:c r="U916" s="28"/>
      <x:c r="V916" s="28"/>
      <x:c r="W916" s="28"/>
      <x:c r="X916" s="43" t="n">
        <x:f>--AND(S916=1,T916=1,U916=1,V916=1,W916=1)</x:f>
        <x:v>0</x:v>
      </x:c>
      <x:c r="AE916" s="43" t="n">
        <x:f>--AND(S916=1,M916&lt;&gt;"",M916&lt;&gt;"keep")</x:f>
        <x:v>0</x:v>
      </x:c>
      <x:c r="AG916" t="n">
        <x:f>--AND(S916=1,T916=1,U916=1,V916=1,W916=1,AE916=1)</x:f>
        <x:v>0</x:v>
      </x:c>
      <x:c r="AJ916" t="str">
        <x:f>IF(OR(AH916="",AI916=""),"",--(AH916&lt;&gt;AI916))</x:f>
      </x:c>
      <x:c r="AL916" t="str">
        <x:f>IF(OR(AH916="",AI916=""),"PENDING_HUMAN",IF(AH916=AI916,AH916,IF(AK916&lt;&gt;"",AK916,"PENDING_HUMAN")))</x:f>
        <x:v>PENDING_HUMAN</x:v>
      </x:c>
      <x:c r="AM916" t="n">
        <x:f>--AND(A916&lt;&gt;"",AH916&lt;&gt;"",AI916&lt;&gt;"",OR(AH916=AI916,AK916&lt;&gt;""))</x:f>
        <x:v>0</x:v>
      </x:c>
      <x:c r="AN916" t="n">
        <x:f>--AND(Y916&lt;&gt;"",COUNTIF($Y$4:Y916,Y916)=1)</x:f>
        <x:v>0</x:v>
      </x:c>
      <x:c r="AO916" t="n">
        <x:f>--AND(AN916=1,Z916=1,AM916=1)</x:f>
        <x:v>0</x:v>
      </x:c>
      <x:c r="AP916" t="n">
        <x:f>--AND(AO916=1,AA916=1,AL916=1)</x:f>
        <x:v>0</x:v>
      </x:c>
      <x:c r="AQ916" t="n">
        <x:f>--AND(AN916=1,Z916=1)</x:f>
        <x:v>0</x:v>
      </x:c>
      <x:c r="AR916" t="n">
        <x:f>--AND(AQ916=1,AA916=1)</x:f>
        <x:v>0</x:v>
      </x:c>
    </x:row>
    <x:row r="917">
      <x:c r="A917" s="28"/>
      <x:c r="B917" s="28"/>
      <x:c r="C917" s="28"/>
      <x:c r="D917" s="28"/>
      <x:c r="E917" s="28"/>
      <x:c r="F917" s="28"/>
      <x:c r="G917" s="28"/>
      <x:c r="H917" s="28"/>
      <x:c r="I917" s="28"/>
      <x:c r="J917" s="28"/>
      <x:c r="K917" s="28"/>
      <x:c r="L917" s="28"/>
      <x:c r="M917" s="28"/>
      <x:c r="N917" s="28"/>
      <x:c r="O917" s="28"/>
      <x:c r="P917" s="28"/>
      <x:c r="Q917" s="28"/>
      <x:c r="R917" s="28"/>
      <x:c r="S917" s="28"/>
      <x:c r="T917" s="28"/>
      <x:c r="U917" s="28"/>
      <x:c r="V917" s="28"/>
      <x:c r="W917" s="28"/>
      <x:c r="X917" s="43" t="n">
        <x:f>--AND(S917=1,T917=1,U917=1,V917=1,W917=1)</x:f>
        <x:v>0</x:v>
      </x:c>
      <x:c r="AE917" s="43" t="n">
        <x:f>--AND(S917=1,M917&lt;&gt;"",M917&lt;&gt;"keep")</x:f>
        <x:v>0</x:v>
      </x:c>
      <x:c r="AG917" t="n">
        <x:f>--AND(S917=1,T917=1,U917=1,V917=1,W917=1,AE917=1)</x:f>
        <x:v>0</x:v>
      </x:c>
      <x:c r="AJ917" t="str">
        <x:f>IF(OR(AH917="",AI917=""),"",--(AH917&lt;&gt;AI917))</x:f>
      </x:c>
      <x:c r="AL917" t="str">
        <x:f>IF(OR(AH917="",AI917=""),"PENDING_HUMAN",IF(AH917=AI917,AH917,IF(AK917&lt;&gt;"",AK917,"PENDING_HUMAN")))</x:f>
        <x:v>PENDING_HUMAN</x:v>
      </x:c>
      <x:c r="AM917" t="n">
        <x:f>--AND(A917&lt;&gt;"",AH917&lt;&gt;"",AI917&lt;&gt;"",OR(AH917=AI917,AK917&lt;&gt;""))</x:f>
        <x:v>0</x:v>
      </x:c>
      <x:c r="AN917" t="n">
        <x:f>--AND(Y917&lt;&gt;"",COUNTIF($Y$4:Y917,Y917)=1)</x:f>
        <x:v>0</x:v>
      </x:c>
      <x:c r="AO917" t="n">
        <x:f>--AND(AN917=1,Z917=1,AM917=1)</x:f>
        <x:v>0</x:v>
      </x:c>
      <x:c r="AP917" t="n">
        <x:f>--AND(AO917=1,AA917=1,AL917=1)</x:f>
        <x:v>0</x:v>
      </x:c>
      <x:c r="AQ917" t="n">
        <x:f>--AND(AN917=1,Z917=1)</x:f>
        <x:v>0</x:v>
      </x:c>
      <x:c r="AR917" t="n">
        <x:f>--AND(AQ917=1,AA917=1)</x:f>
        <x:v>0</x:v>
      </x:c>
    </x:row>
    <x:row r="918">
      <x:c r="A918" s="28"/>
      <x:c r="B918" s="28"/>
      <x:c r="C918" s="28"/>
      <x:c r="D918" s="28"/>
      <x:c r="E918" s="28"/>
      <x:c r="F918" s="28"/>
      <x:c r="G918" s="28"/>
      <x:c r="H918" s="28"/>
      <x:c r="I918" s="28"/>
      <x:c r="J918" s="28"/>
      <x:c r="K918" s="28"/>
      <x:c r="L918" s="28"/>
      <x:c r="M918" s="28"/>
      <x:c r="N918" s="28"/>
      <x:c r="O918" s="28"/>
      <x:c r="P918" s="28"/>
      <x:c r="Q918" s="28"/>
      <x:c r="R918" s="28"/>
      <x:c r="S918" s="28"/>
      <x:c r="T918" s="28"/>
      <x:c r="U918" s="28"/>
      <x:c r="V918" s="28"/>
      <x:c r="W918" s="28"/>
      <x:c r="X918" s="43" t="n">
        <x:f>--AND(S918=1,T918=1,U918=1,V918=1,W918=1)</x:f>
        <x:v>0</x:v>
      </x:c>
      <x:c r="AE918" s="43" t="n">
        <x:f>--AND(S918=1,M918&lt;&gt;"",M918&lt;&gt;"keep")</x:f>
        <x:v>0</x:v>
      </x:c>
      <x:c r="AG918" t="n">
        <x:f>--AND(S918=1,T918=1,U918=1,V918=1,W918=1,AE918=1)</x:f>
        <x:v>0</x:v>
      </x:c>
      <x:c r="AJ918" t="str">
        <x:f>IF(OR(AH918="",AI918=""),"",--(AH918&lt;&gt;AI918))</x:f>
      </x:c>
      <x:c r="AL918" t="str">
        <x:f>IF(OR(AH918="",AI918=""),"PENDING_HUMAN",IF(AH918=AI918,AH918,IF(AK918&lt;&gt;"",AK918,"PENDING_HUMAN")))</x:f>
        <x:v>PENDING_HUMAN</x:v>
      </x:c>
      <x:c r="AM918" t="n">
        <x:f>--AND(A918&lt;&gt;"",AH918&lt;&gt;"",AI918&lt;&gt;"",OR(AH918=AI918,AK918&lt;&gt;""))</x:f>
        <x:v>0</x:v>
      </x:c>
      <x:c r="AN918" t="n">
        <x:f>--AND(Y918&lt;&gt;"",COUNTIF($Y$4:Y918,Y918)=1)</x:f>
        <x:v>0</x:v>
      </x:c>
      <x:c r="AO918" t="n">
        <x:f>--AND(AN918=1,Z918=1,AM918=1)</x:f>
        <x:v>0</x:v>
      </x:c>
      <x:c r="AP918" t="n">
        <x:f>--AND(AO918=1,AA918=1,AL918=1)</x:f>
        <x:v>0</x:v>
      </x:c>
      <x:c r="AQ918" t="n">
        <x:f>--AND(AN918=1,Z918=1)</x:f>
        <x:v>0</x:v>
      </x:c>
      <x:c r="AR918" t="n">
        <x:f>--AND(AQ918=1,AA918=1)</x:f>
        <x:v>0</x:v>
      </x:c>
    </x:row>
    <x:row r="919">
      <x:c r="A919" s="28"/>
      <x:c r="B919" s="28"/>
      <x:c r="C919" s="28"/>
      <x:c r="D919" s="28"/>
      <x:c r="E919" s="28"/>
      <x:c r="F919" s="28"/>
      <x:c r="G919" s="28"/>
      <x:c r="H919" s="28"/>
      <x:c r="I919" s="28"/>
      <x:c r="J919" s="28"/>
      <x:c r="K919" s="28"/>
      <x:c r="L919" s="28"/>
      <x:c r="M919" s="28"/>
      <x:c r="N919" s="28"/>
      <x:c r="O919" s="28"/>
      <x:c r="P919" s="28"/>
      <x:c r="Q919" s="28"/>
      <x:c r="R919" s="28"/>
      <x:c r="S919" s="28"/>
      <x:c r="T919" s="28"/>
      <x:c r="U919" s="28"/>
      <x:c r="V919" s="28"/>
      <x:c r="W919" s="28"/>
      <x:c r="X919" s="43" t="n">
        <x:f>--AND(S919=1,T919=1,U919=1,V919=1,W919=1)</x:f>
        <x:v>0</x:v>
      </x:c>
      <x:c r="AE919" s="43" t="n">
        <x:f>--AND(S919=1,M919&lt;&gt;"",M919&lt;&gt;"keep")</x:f>
        <x:v>0</x:v>
      </x:c>
      <x:c r="AG919" t="n">
        <x:f>--AND(S919=1,T919=1,U919=1,V919=1,W919=1,AE919=1)</x:f>
        <x:v>0</x:v>
      </x:c>
      <x:c r="AJ919" t="str">
        <x:f>IF(OR(AH919="",AI919=""),"",--(AH919&lt;&gt;AI919))</x:f>
      </x:c>
      <x:c r="AL919" t="str">
        <x:f>IF(OR(AH919="",AI919=""),"PENDING_HUMAN",IF(AH919=AI919,AH919,IF(AK919&lt;&gt;"",AK919,"PENDING_HUMAN")))</x:f>
        <x:v>PENDING_HUMAN</x:v>
      </x:c>
      <x:c r="AM919" t="n">
        <x:f>--AND(A919&lt;&gt;"",AH919&lt;&gt;"",AI919&lt;&gt;"",OR(AH919=AI919,AK919&lt;&gt;""))</x:f>
        <x:v>0</x:v>
      </x:c>
      <x:c r="AN919" t="n">
        <x:f>--AND(Y919&lt;&gt;"",COUNTIF($Y$4:Y919,Y919)=1)</x:f>
        <x:v>0</x:v>
      </x:c>
      <x:c r="AO919" t="n">
        <x:f>--AND(AN919=1,Z919=1,AM919=1)</x:f>
        <x:v>0</x:v>
      </x:c>
      <x:c r="AP919" t="n">
        <x:f>--AND(AO919=1,AA919=1,AL919=1)</x:f>
        <x:v>0</x:v>
      </x:c>
      <x:c r="AQ919" t="n">
        <x:f>--AND(AN919=1,Z919=1)</x:f>
        <x:v>0</x:v>
      </x:c>
      <x:c r="AR919" t="n">
        <x:f>--AND(AQ919=1,AA919=1)</x:f>
        <x:v>0</x:v>
      </x:c>
    </x:row>
    <x:row r="920">
      <x:c r="A920" s="28"/>
      <x:c r="B920" s="28"/>
      <x:c r="C920" s="28"/>
      <x:c r="D920" s="28"/>
      <x:c r="E920" s="28"/>
      <x:c r="F920" s="28"/>
      <x:c r="G920" s="28"/>
      <x:c r="H920" s="28"/>
      <x:c r="I920" s="28"/>
      <x:c r="J920" s="28"/>
      <x:c r="K920" s="28"/>
      <x:c r="L920" s="28"/>
      <x:c r="M920" s="28"/>
      <x:c r="N920" s="28"/>
      <x:c r="O920" s="28"/>
      <x:c r="P920" s="28"/>
      <x:c r="Q920" s="28"/>
      <x:c r="R920" s="28"/>
      <x:c r="S920" s="28"/>
      <x:c r="T920" s="28"/>
      <x:c r="U920" s="28"/>
      <x:c r="V920" s="28"/>
      <x:c r="W920" s="28"/>
      <x:c r="X920" s="43" t="n">
        <x:f>--AND(S920=1,T920=1,U920=1,V920=1,W920=1)</x:f>
        <x:v>0</x:v>
      </x:c>
      <x:c r="AE920" s="43" t="n">
        <x:f>--AND(S920=1,M920&lt;&gt;"",M920&lt;&gt;"keep")</x:f>
        <x:v>0</x:v>
      </x:c>
      <x:c r="AG920" t="n">
        <x:f>--AND(S920=1,T920=1,U920=1,V920=1,W920=1,AE920=1)</x:f>
        <x:v>0</x:v>
      </x:c>
      <x:c r="AJ920" t="str">
        <x:f>IF(OR(AH920="",AI920=""),"",--(AH920&lt;&gt;AI920))</x:f>
      </x:c>
      <x:c r="AL920" t="str">
        <x:f>IF(OR(AH920="",AI920=""),"PENDING_HUMAN",IF(AH920=AI920,AH920,IF(AK920&lt;&gt;"",AK920,"PENDING_HUMAN")))</x:f>
        <x:v>PENDING_HUMAN</x:v>
      </x:c>
      <x:c r="AM920" t="n">
        <x:f>--AND(A920&lt;&gt;"",AH920&lt;&gt;"",AI920&lt;&gt;"",OR(AH920=AI920,AK920&lt;&gt;""))</x:f>
        <x:v>0</x:v>
      </x:c>
      <x:c r="AN920" t="n">
        <x:f>--AND(Y920&lt;&gt;"",COUNTIF($Y$4:Y920,Y920)=1)</x:f>
        <x:v>0</x:v>
      </x:c>
      <x:c r="AO920" t="n">
        <x:f>--AND(AN920=1,Z920=1,AM920=1)</x:f>
        <x:v>0</x:v>
      </x:c>
      <x:c r="AP920" t="n">
        <x:f>--AND(AO920=1,AA920=1,AL920=1)</x:f>
        <x:v>0</x:v>
      </x:c>
      <x:c r="AQ920" t="n">
        <x:f>--AND(AN920=1,Z920=1)</x:f>
        <x:v>0</x:v>
      </x:c>
      <x:c r="AR920" t="n">
        <x:f>--AND(AQ920=1,AA920=1)</x:f>
        <x:v>0</x:v>
      </x:c>
    </x:row>
    <x:row r="921">
      <x:c r="A921" s="28"/>
      <x:c r="B921" s="28"/>
      <x:c r="C921" s="28"/>
      <x:c r="D921" s="28"/>
      <x:c r="E921" s="28"/>
      <x:c r="F921" s="28"/>
      <x:c r="G921" s="28"/>
      <x:c r="H921" s="28"/>
      <x:c r="I921" s="28"/>
      <x:c r="J921" s="28"/>
      <x:c r="K921" s="28"/>
      <x:c r="L921" s="28"/>
      <x:c r="M921" s="28"/>
      <x:c r="N921" s="28"/>
      <x:c r="O921" s="28"/>
      <x:c r="P921" s="28"/>
      <x:c r="Q921" s="28"/>
      <x:c r="R921" s="28"/>
      <x:c r="S921" s="28"/>
      <x:c r="T921" s="28"/>
      <x:c r="U921" s="28"/>
      <x:c r="V921" s="28"/>
      <x:c r="W921" s="28"/>
      <x:c r="X921" s="43" t="n">
        <x:f>--AND(S921=1,T921=1,U921=1,V921=1,W921=1)</x:f>
        <x:v>0</x:v>
      </x:c>
      <x:c r="AE921" s="43" t="n">
        <x:f>--AND(S921=1,M921&lt;&gt;"",M921&lt;&gt;"keep")</x:f>
        <x:v>0</x:v>
      </x:c>
      <x:c r="AG921" t="n">
        <x:f>--AND(S921=1,T921=1,U921=1,V921=1,W921=1,AE921=1)</x:f>
        <x:v>0</x:v>
      </x:c>
      <x:c r="AJ921" t="str">
        <x:f>IF(OR(AH921="",AI921=""),"",--(AH921&lt;&gt;AI921))</x:f>
      </x:c>
      <x:c r="AL921" t="str">
        <x:f>IF(OR(AH921="",AI921=""),"PENDING_HUMAN",IF(AH921=AI921,AH921,IF(AK921&lt;&gt;"",AK921,"PENDING_HUMAN")))</x:f>
        <x:v>PENDING_HUMAN</x:v>
      </x:c>
      <x:c r="AM921" t="n">
        <x:f>--AND(A921&lt;&gt;"",AH921&lt;&gt;"",AI921&lt;&gt;"",OR(AH921=AI921,AK921&lt;&gt;""))</x:f>
        <x:v>0</x:v>
      </x:c>
      <x:c r="AN921" t="n">
        <x:f>--AND(Y921&lt;&gt;"",COUNTIF($Y$4:Y921,Y921)=1)</x:f>
        <x:v>0</x:v>
      </x:c>
      <x:c r="AO921" t="n">
        <x:f>--AND(AN921=1,Z921=1,AM921=1)</x:f>
        <x:v>0</x:v>
      </x:c>
      <x:c r="AP921" t="n">
        <x:f>--AND(AO921=1,AA921=1,AL921=1)</x:f>
        <x:v>0</x:v>
      </x:c>
      <x:c r="AQ921" t="n">
        <x:f>--AND(AN921=1,Z921=1)</x:f>
        <x:v>0</x:v>
      </x:c>
      <x:c r="AR921" t="n">
        <x:f>--AND(AQ921=1,AA921=1)</x:f>
        <x:v>0</x:v>
      </x:c>
    </x:row>
    <x:row r="922">
      <x:c r="A922" s="28"/>
      <x:c r="B922" s="28"/>
      <x:c r="C922" s="28"/>
      <x:c r="D922" s="28"/>
      <x:c r="E922" s="28"/>
      <x:c r="F922" s="28"/>
      <x:c r="G922" s="28"/>
      <x:c r="H922" s="28"/>
      <x:c r="I922" s="28"/>
      <x:c r="J922" s="28"/>
      <x:c r="K922" s="28"/>
      <x:c r="L922" s="28"/>
      <x:c r="M922" s="28"/>
      <x:c r="N922" s="28"/>
      <x:c r="O922" s="28"/>
      <x:c r="P922" s="28"/>
      <x:c r="Q922" s="28"/>
      <x:c r="R922" s="28"/>
      <x:c r="S922" s="28"/>
      <x:c r="T922" s="28"/>
      <x:c r="U922" s="28"/>
      <x:c r="V922" s="28"/>
      <x:c r="W922" s="28"/>
      <x:c r="X922" s="43" t="n">
        <x:f>--AND(S922=1,T922=1,U922=1,V922=1,W922=1)</x:f>
        <x:v>0</x:v>
      </x:c>
      <x:c r="AE922" s="43" t="n">
        <x:f>--AND(S922=1,M922&lt;&gt;"",M922&lt;&gt;"keep")</x:f>
        <x:v>0</x:v>
      </x:c>
      <x:c r="AG922" t="n">
        <x:f>--AND(S922=1,T922=1,U922=1,V922=1,W922=1,AE922=1)</x:f>
        <x:v>0</x:v>
      </x:c>
      <x:c r="AJ922" t="str">
        <x:f>IF(OR(AH922="",AI922=""),"",--(AH922&lt;&gt;AI922))</x:f>
      </x:c>
      <x:c r="AL922" t="str">
        <x:f>IF(OR(AH922="",AI922=""),"PENDING_HUMAN",IF(AH922=AI922,AH922,IF(AK922&lt;&gt;"",AK922,"PENDING_HUMAN")))</x:f>
        <x:v>PENDING_HUMAN</x:v>
      </x:c>
      <x:c r="AM922" t="n">
        <x:f>--AND(A922&lt;&gt;"",AH922&lt;&gt;"",AI922&lt;&gt;"",OR(AH922=AI922,AK922&lt;&gt;""))</x:f>
        <x:v>0</x:v>
      </x:c>
      <x:c r="AN922" t="n">
        <x:f>--AND(Y922&lt;&gt;"",COUNTIF($Y$4:Y922,Y922)=1)</x:f>
        <x:v>0</x:v>
      </x:c>
      <x:c r="AO922" t="n">
        <x:f>--AND(AN922=1,Z922=1,AM922=1)</x:f>
        <x:v>0</x:v>
      </x:c>
      <x:c r="AP922" t="n">
        <x:f>--AND(AO922=1,AA922=1,AL922=1)</x:f>
        <x:v>0</x:v>
      </x:c>
      <x:c r="AQ922" t="n">
        <x:f>--AND(AN922=1,Z922=1)</x:f>
        <x:v>0</x:v>
      </x:c>
      <x:c r="AR922" t="n">
        <x:f>--AND(AQ922=1,AA922=1)</x:f>
        <x:v>0</x:v>
      </x:c>
    </x:row>
    <x:row r="923">
      <x:c r="A923" s="28"/>
      <x:c r="B923" s="28"/>
      <x:c r="C923" s="28"/>
      <x:c r="D923" s="28"/>
      <x:c r="E923" s="28"/>
      <x:c r="F923" s="28"/>
      <x:c r="G923" s="28"/>
      <x:c r="H923" s="28"/>
      <x:c r="I923" s="28"/>
      <x:c r="J923" s="28"/>
      <x:c r="K923" s="28"/>
      <x:c r="L923" s="28"/>
      <x:c r="M923" s="28"/>
      <x:c r="N923" s="28"/>
      <x:c r="O923" s="28"/>
      <x:c r="P923" s="28"/>
      <x:c r="Q923" s="28"/>
      <x:c r="R923" s="28"/>
      <x:c r="S923" s="28"/>
      <x:c r="T923" s="28"/>
      <x:c r="U923" s="28"/>
      <x:c r="V923" s="28"/>
      <x:c r="W923" s="28"/>
      <x:c r="X923" s="43" t="n">
        <x:f>--AND(S923=1,T923=1,U923=1,V923=1,W923=1)</x:f>
        <x:v>0</x:v>
      </x:c>
      <x:c r="AE923" s="43" t="n">
        <x:f>--AND(S923=1,M923&lt;&gt;"",M923&lt;&gt;"keep")</x:f>
        <x:v>0</x:v>
      </x:c>
      <x:c r="AG923" t="n">
        <x:f>--AND(S923=1,T923=1,U923=1,V923=1,W923=1,AE923=1)</x:f>
        <x:v>0</x:v>
      </x:c>
      <x:c r="AJ923" t="str">
        <x:f>IF(OR(AH923="",AI923=""),"",--(AH923&lt;&gt;AI923))</x:f>
      </x:c>
      <x:c r="AL923" t="str">
        <x:f>IF(OR(AH923="",AI923=""),"PENDING_HUMAN",IF(AH923=AI923,AH923,IF(AK923&lt;&gt;"",AK923,"PENDING_HUMAN")))</x:f>
        <x:v>PENDING_HUMAN</x:v>
      </x:c>
      <x:c r="AM923" t="n">
        <x:f>--AND(A923&lt;&gt;"",AH923&lt;&gt;"",AI923&lt;&gt;"",OR(AH923=AI923,AK923&lt;&gt;""))</x:f>
        <x:v>0</x:v>
      </x:c>
      <x:c r="AN923" t="n">
        <x:f>--AND(Y923&lt;&gt;"",COUNTIF($Y$4:Y923,Y923)=1)</x:f>
        <x:v>0</x:v>
      </x:c>
      <x:c r="AO923" t="n">
        <x:f>--AND(AN923=1,Z923=1,AM923=1)</x:f>
        <x:v>0</x:v>
      </x:c>
      <x:c r="AP923" t="n">
        <x:f>--AND(AO923=1,AA923=1,AL923=1)</x:f>
        <x:v>0</x:v>
      </x:c>
      <x:c r="AQ923" t="n">
        <x:f>--AND(AN923=1,Z923=1)</x:f>
        <x:v>0</x:v>
      </x:c>
      <x:c r="AR923" t="n">
        <x:f>--AND(AQ923=1,AA923=1)</x:f>
        <x:v>0</x:v>
      </x:c>
    </x:row>
    <x:row r="924">
      <x:c r="A924" s="28"/>
      <x:c r="B924" s="28"/>
      <x:c r="C924" s="28"/>
      <x:c r="D924" s="28"/>
      <x:c r="E924" s="28"/>
      <x:c r="F924" s="28"/>
      <x:c r="G924" s="28"/>
      <x:c r="H924" s="28"/>
      <x:c r="I924" s="28"/>
      <x:c r="J924" s="28"/>
      <x:c r="K924" s="28"/>
      <x:c r="L924" s="28"/>
      <x:c r="M924" s="28"/>
      <x:c r="N924" s="28"/>
      <x:c r="O924" s="28"/>
      <x:c r="P924" s="28"/>
      <x:c r="Q924" s="28"/>
      <x:c r="R924" s="28"/>
      <x:c r="S924" s="28"/>
      <x:c r="T924" s="28"/>
      <x:c r="U924" s="28"/>
      <x:c r="V924" s="28"/>
      <x:c r="W924" s="28"/>
      <x:c r="X924" s="43" t="n">
        <x:f>--AND(S924=1,T924=1,U924=1,V924=1,W924=1)</x:f>
        <x:v>0</x:v>
      </x:c>
      <x:c r="AE924" s="43" t="n">
        <x:f>--AND(S924=1,M924&lt;&gt;"",M924&lt;&gt;"keep")</x:f>
        <x:v>0</x:v>
      </x:c>
      <x:c r="AG924" t="n">
        <x:f>--AND(S924=1,T924=1,U924=1,V924=1,W924=1,AE924=1)</x:f>
        <x:v>0</x:v>
      </x:c>
      <x:c r="AJ924" t="str">
        <x:f>IF(OR(AH924="",AI924=""),"",--(AH924&lt;&gt;AI924))</x:f>
      </x:c>
      <x:c r="AL924" t="str">
        <x:f>IF(OR(AH924="",AI924=""),"PENDING_HUMAN",IF(AH924=AI924,AH924,IF(AK924&lt;&gt;"",AK924,"PENDING_HUMAN")))</x:f>
        <x:v>PENDING_HUMAN</x:v>
      </x:c>
      <x:c r="AM924" t="n">
        <x:f>--AND(A924&lt;&gt;"",AH924&lt;&gt;"",AI924&lt;&gt;"",OR(AH924=AI924,AK924&lt;&gt;""))</x:f>
        <x:v>0</x:v>
      </x:c>
      <x:c r="AN924" t="n">
        <x:f>--AND(Y924&lt;&gt;"",COUNTIF($Y$4:Y924,Y924)=1)</x:f>
        <x:v>0</x:v>
      </x:c>
      <x:c r="AO924" t="n">
        <x:f>--AND(AN924=1,Z924=1,AM924=1)</x:f>
        <x:v>0</x:v>
      </x:c>
      <x:c r="AP924" t="n">
        <x:f>--AND(AO924=1,AA924=1,AL924=1)</x:f>
        <x:v>0</x:v>
      </x:c>
      <x:c r="AQ924" t="n">
        <x:f>--AND(AN924=1,Z924=1)</x:f>
        <x:v>0</x:v>
      </x:c>
      <x:c r="AR924" t="n">
        <x:f>--AND(AQ924=1,AA924=1)</x:f>
        <x:v>0</x:v>
      </x:c>
    </x:row>
    <x:row r="925">
      <x:c r="A925" s="28"/>
      <x:c r="B925" s="28"/>
      <x:c r="C925" s="28"/>
      <x:c r="D925" s="28"/>
      <x:c r="E925" s="28"/>
      <x:c r="F925" s="28"/>
      <x:c r="G925" s="28"/>
      <x:c r="H925" s="28"/>
      <x:c r="I925" s="28"/>
      <x:c r="J925" s="28"/>
      <x:c r="K925" s="28"/>
      <x:c r="L925" s="28"/>
      <x:c r="M925" s="28"/>
      <x:c r="N925" s="28"/>
      <x:c r="O925" s="28"/>
      <x:c r="P925" s="28"/>
      <x:c r="Q925" s="28"/>
      <x:c r="R925" s="28"/>
      <x:c r="S925" s="28"/>
      <x:c r="T925" s="28"/>
      <x:c r="U925" s="28"/>
      <x:c r="V925" s="28"/>
      <x:c r="W925" s="28"/>
      <x:c r="X925" s="43" t="n">
        <x:f>--AND(S925=1,T925=1,U925=1,V925=1,W925=1)</x:f>
        <x:v>0</x:v>
      </x:c>
      <x:c r="AE925" s="43" t="n">
        <x:f>--AND(S925=1,M925&lt;&gt;"",M925&lt;&gt;"keep")</x:f>
        <x:v>0</x:v>
      </x:c>
      <x:c r="AG925" t="n">
        <x:f>--AND(S925=1,T925=1,U925=1,V925=1,W925=1,AE925=1)</x:f>
        <x:v>0</x:v>
      </x:c>
      <x:c r="AJ925" t="str">
        <x:f>IF(OR(AH925="",AI925=""),"",--(AH925&lt;&gt;AI925))</x:f>
      </x:c>
      <x:c r="AL925" t="str">
        <x:f>IF(OR(AH925="",AI925=""),"PENDING_HUMAN",IF(AH925=AI925,AH925,IF(AK925&lt;&gt;"",AK925,"PENDING_HUMAN")))</x:f>
        <x:v>PENDING_HUMAN</x:v>
      </x:c>
      <x:c r="AM925" t="n">
        <x:f>--AND(A925&lt;&gt;"",AH925&lt;&gt;"",AI925&lt;&gt;"",OR(AH925=AI925,AK925&lt;&gt;""))</x:f>
        <x:v>0</x:v>
      </x:c>
      <x:c r="AN925" t="n">
        <x:f>--AND(Y925&lt;&gt;"",COUNTIF($Y$4:Y925,Y925)=1)</x:f>
        <x:v>0</x:v>
      </x:c>
      <x:c r="AO925" t="n">
        <x:f>--AND(AN925=1,Z925=1,AM925=1)</x:f>
        <x:v>0</x:v>
      </x:c>
      <x:c r="AP925" t="n">
        <x:f>--AND(AO925=1,AA925=1,AL925=1)</x:f>
        <x:v>0</x:v>
      </x:c>
      <x:c r="AQ925" t="n">
        <x:f>--AND(AN925=1,Z925=1)</x:f>
        <x:v>0</x:v>
      </x:c>
      <x:c r="AR925" t="n">
        <x:f>--AND(AQ925=1,AA925=1)</x:f>
        <x:v>0</x:v>
      </x:c>
    </x:row>
    <x:row r="926">
      <x:c r="A926" s="28"/>
      <x:c r="B926" s="28"/>
      <x:c r="C926" s="28"/>
      <x:c r="D926" s="28"/>
      <x:c r="E926" s="28"/>
      <x:c r="F926" s="28"/>
      <x:c r="G926" s="28"/>
      <x:c r="H926" s="28"/>
      <x:c r="I926" s="28"/>
      <x:c r="J926" s="28"/>
      <x:c r="K926" s="28"/>
      <x:c r="L926" s="28"/>
      <x:c r="M926" s="28"/>
      <x:c r="N926" s="28"/>
      <x:c r="O926" s="28"/>
      <x:c r="P926" s="28"/>
      <x:c r="Q926" s="28"/>
      <x:c r="R926" s="28"/>
      <x:c r="S926" s="28"/>
      <x:c r="T926" s="28"/>
      <x:c r="U926" s="28"/>
      <x:c r="V926" s="28"/>
      <x:c r="W926" s="28"/>
      <x:c r="X926" s="43" t="n">
        <x:f>--AND(S926=1,T926=1,U926=1,V926=1,W926=1)</x:f>
        <x:v>0</x:v>
      </x:c>
      <x:c r="AE926" s="43" t="n">
        <x:f>--AND(S926=1,M926&lt;&gt;"",M926&lt;&gt;"keep")</x:f>
        <x:v>0</x:v>
      </x:c>
      <x:c r="AG926" t="n">
        <x:f>--AND(S926=1,T926=1,U926=1,V926=1,W926=1,AE926=1)</x:f>
        <x:v>0</x:v>
      </x:c>
      <x:c r="AJ926" t="str">
        <x:f>IF(OR(AH926="",AI926=""),"",--(AH926&lt;&gt;AI926))</x:f>
      </x:c>
      <x:c r="AL926" t="str">
        <x:f>IF(OR(AH926="",AI926=""),"PENDING_HUMAN",IF(AH926=AI926,AH926,IF(AK926&lt;&gt;"",AK926,"PENDING_HUMAN")))</x:f>
        <x:v>PENDING_HUMAN</x:v>
      </x:c>
      <x:c r="AM926" t="n">
        <x:f>--AND(A926&lt;&gt;"",AH926&lt;&gt;"",AI926&lt;&gt;"",OR(AH926=AI926,AK926&lt;&gt;""))</x:f>
        <x:v>0</x:v>
      </x:c>
      <x:c r="AN926" t="n">
        <x:f>--AND(Y926&lt;&gt;"",COUNTIF($Y$4:Y926,Y926)=1)</x:f>
        <x:v>0</x:v>
      </x:c>
      <x:c r="AO926" t="n">
        <x:f>--AND(AN926=1,Z926=1,AM926=1)</x:f>
        <x:v>0</x:v>
      </x:c>
      <x:c r="AP926" t="n">
        <x:f>--AND(AO926=1,AA926=1,AL926=1)</x:f>
        <x:v>0</x:v>
      </x:c>
      <x:c r="AQ926" t="n">
        <x:f>--AND(AN926=1,Z926=1)</x:f>
        <x:v>0</x:v>
      </x:c>
      <x:c r="AR926" t="n">
        <x:f>--AND(AQ926=1,AA926=1)</x:f>
        <x:v>0</x:v>
      </x:c>
    </x:row>
    <x:row r="927">
      <x:c r="A927" s="28"/>
      <x:c r="B927" s="28"/>
      <x:c r="C927" s="28"/>
      <x:c r="D927" s="28"/>
      <x:c r="E927" s="28"/>
      <x:c r="F927" s="28"/>
      <x:c r="G927" s="28"/>
      <x:c r="H927" s="28"/>
      <x:c r="I927" s="28"/>
      <x:c r="J927" s="28"/>
      <x:c r="K927" s="28"/>
      <x:c r="L927" s="28"/>
      <x:c r="M927" s="28"/>
      <x:c r="N927" s="28"/>
      <x:c r="O927" s="28"/>
      <x:c r="P927" s="28"/>
      <x:c r="Q927" s="28"/>
      <x:c r="R927" s="28"/>
      <x:c r="S927" s="28"/>
      <x:c r="T927" s="28"/>
      <x:c r="U927" s="28"/>
      <x:c r="V927" s="28"/>
      <x:c r="W927" s="28"/>
      <x:c r="X927" s="43" t="n">
        <x:f>--AND(S927=1,T927=1,U927=1,V927=1,W927=1)</x:f>
        <x:v>0</x:v>
      </x:c>
      <x:c r="AE927" s="43" t="n">
        <x:f>--AND(S927=1,M927&lt;&gt;"",M927&lt;&gt;"keep")</x:f>
        <x:v>0</x:v>
      </x:c>
      <x:c r="AG927" t="n">
        <x:f>--AND(S927=1,T927=1,U927=1,V927=1,W927=1,AE927=1)</x:f>
        <x:v>0</x:v>
      </x:c>
      <x:c r="AJ927" t="str">
        <x:f>IF(OR(AH927="",AI927=""),"",--(AH927&lt;&gt;AI927))</x:f>
      </x:c>
      <x:c r="AL927" t="str">
        <x:f>IF(OR(AH927="",AI927=""),"PENDING_HUMAN",IF(AH927=AI927,AH927,IF(AK927&lt;&gt;"",AK927,"PENDING_HUMAN")))</x:f>
        <x:v>PENDING_HUMAN</x:v>
      </x:c>
      <x:c r="AM927" t="n">
        <x:f>--AND(A927&lt;&gt;"",AH927&lt;&gt;"",AI927&lt;&gt;"",OR(AH927=AI927,AK927&lt;&gt;""))</x:f>
        <x:v>0</x:v>
      </x:c>
      <x:c r="AN927" t="n">
        <x:f>--AND(Y927&lt;&gt;"",COUNTIF($Y$4:Y927,Y927)=1)</x:f>
        <x:v>0</x:v>
      </x:c>
      <x:c r="AO927" t="n">
        <x:f>--AND(AN927=1,Z927=1,AM927=1)</x:f>
        <x:v>0</x:v>
      </x:c>
      <x:c r="AP927" t="n">
        <x:f>--AND(AO927=1,AA927=1,AL927=1)</x:f>
        <x:v>0</x:v>
      </x:c>
      <x:c r="AQ927" t="n">
        <x:f>--AND(AN927=1,Z927=1)</x:f>
        <x:v>0</x:v>
      </x:c>
      <x:c r="AR927" t="n">
        <x:f>--AND(AQ927=1,AA927=1)</x:f>
        <x:v>0</x:v>
      </x:c>
    </x:row>
    <x:row r="928">
      <x:c r="A928" s="28"/>
      <x:c r="B928" s="28"/>
      <x:c r="C928" s="28"/>
      <x:c r="D928" s="28"/>
      <x:c r="E928" s="28"/>
      <x:c r="F928" s="28"/>
      <x:c r="G928" s="28"/>
      <x:c r="H928" s="28"/>
      <x:c r="I928" s="28"/>
      <x:c r="J928" s="28"/>
      <x:c r="K928" s="28"/>
      <x:c r="L928" s="28"/>
      <x:c r="M928" s="28"/>
      <x:c r="N928" s="28"/>
      <x:c r="O928" s="28"/>
      <x:c r="P928" s="28"/>
      <x:c r="Q928" s="28"/>
      <x:c r="R928" s="28"/>
      <x:c r="S928" s="28"/>
      <x:c r="T928" s="28"/>
      <x:c r="U928" s="28"/>
      <x:c r="V928" s="28"/>
      <x:c r="W928" s="28"/>
      <x:c r="X928" s="43" t="n">
        <x:f>--AND(S928=1,T928=1,U928=1,V928=1,W928=1)</x:f>
        <x:v>0</x:v>
      </x:c>
      <x:c r="AE928" s="43" t="n">
        <x:f>--AND(S928=1,M928&lt;&gt;"",M928&lt;&gt;"keep")</x:f>
        <x:v>0</x:v>
      </x:c>
      <x:c r="AG928" t="n">
        <x:f>--AND(S928=1,T928=1,U928=1,V928=1,W928=1,AE928=1)</x:f>
        <x:v>0</x:v>
      </x:c>
      <x:c r="AJ928" t="str">
        <x:f>IF(OR(AH928="",AI928=""),"",--(AH928&lt;&gt;AI928))</x:f>
      </x:c>
      <x:c r="AL928" t="str">
        <x:f>IF(OR(AH928="",AI928=""),"PENDING_HUMAN",IF(AH928=AI928,AH928,IF(AK928&lt;&gt;"",AK928,"PENDING_HUMAN")))</x:f>
        <x:v>PENDING_HUMAN</x:v>
      </x:c>
      <x:c r="AM928" t="n">
        <x:f>--AND(A928&lt;&gt;"",AH928&lt;&gt;"",AI928&lt;&gt;"",OR(AH928=AI928,AK928&lt;&gt;""))</x:f>
        <x:v>0</x:v>
      </x:c>
      <x:c r="AN928" t="n">
        <x:f>--AND(Y928&lt;&gt;"",COUNTIF($Y$4:Y928,Y928)=1)</x:f>
        <x:v>0</x:v>
      </x:c>
      <x:c r="AO928" t="n">
        <x:f>--AND(AN928=1,Z928=1,AM928=1)</x:f>
        <x:v>0</x:v>
      </x:c>
      <x:c r="AP928" t="n">
        <x:f>--AND(AO928=1,AA928=1,AL928=1)</x:f>
        <x:v>0</x:v>
      </x:c>
      <x:c r="AQ928" t="n">
        <x:f>--AND(AN928=1,Z928=1)</x:f>
        <x:v>0</x:v>
      </x:c>
      <x:c r="AR928" t="n">
        <x:f>--AND(AQ928=1,AA928=1)</x:f>
        <x:v>0</x:v>
      </x:c>
    </x:row>
    <x:row r="929">
      <x:c r="A929" s="28"/>
      <x:c r="B929" s="28"/>
      <x:c r="C929" s="28"/>
      <x:c r="D929" s="28"/>
      <x:c r="E929" s="28"/>
      <x:c r="F929" s="28"/>
      <x:c r="G929" s="28"/>
      <x:c r="H929" s="28"/>
      <x:c r="I929" s="28"/>
      <x:c r="J929" s="28"/>
      <x:c r="K929" s="28"/>
      <x:c r="L929" s="28"/>
      <x:c r="M929" s="28"/>
      <x:c r="N929" s="28"/>
      <x:c r="O929" s="28"/>
      <x:c r="P929" s="28"/>
      <x:c r="Q929" s="28"/>
      <x:c r="R929" s="28"/>
      <x:c r="S929" s="28"/>
      <x:c r="T929" s="28"/>
      <x:c r="U929" s="28"/>
      <x:c r="V929" s="28"/>
      <x:c r="W929" s="28"/>
      <x:c r="X929" s="43" t="n">
        <x:f>--AND(S929=1,T929=1,U929=1,V929=1,W929=1)</x:f>
        <x:v>0</x:v>
      </x:c>
      <x:c r="AE929" s="43" t="n">
        <x:f>--AND(S929=1,M929&lt;&gt;"",M929&lt;&gt;"keep")</x:f>
        <x:v>0</x:v>
      </x:c>
      <x:c r="AG929" t="n">
        <x:f>--AND(S929=1,T929=1,U929=1,V929=1,W929=1,AE929=1)</x:f>
        <x:v>0</x:v>
      </x:c>
      <x:c r="AJ929" t="str">
        <x:f>IF(OR(AH929="",AI929=""),"",--(AH929&lt;&gt;AI929))</x:f>
      </x:c>
      <x:c r="AL929" t="str">
        <x:f>IF(OR(AH929="",AI929=""),"PENDING_HUMAN",IF(AH929=AI929,AH929,IF(AK929&lt;&gt;"",AK929,"PENDING_HUMAN")))</x:f>
        <x:v>PENDING_HUMAN</x:v>
      </x:c>
      <x:c r="AM929" t="n">
        <x:f>--AND(A929&lt;&gt;"",AH929&lt;&gt;"",AI929&lt;&gt;"",OR(AH929=AI929,AK929&lt;&gt;""))</x:f>
        <x:v>0</x:v>
      </x:c>
      <x:c r="AN929" t="n">
        <x:f>--AND(Y929&lt;&gt;"",COUNTIF($Y$4:Y929,Y929)=1)</x:f>
        <x:v>0</x:v>
      </x:c>
      <x:c r="AO929" t="n">
        <x:f>--AND(AN929=1,Z929=1,AM929=1)</x:f>
        <x:v>0</x:v>
      </x:c>
      <x:c r="AP929" t="n">
        <x:f>--AND(AO929=1,AA929=1,AL929=1)</x:f>
        <x:v>0</x:v>
      </x:c>
      <x:c r="AQ929" t="n">
        <x:f>--AND(AN929=1,Z929=1)</x:f>
        <x:v>0</x:v>
      </x:c>
      <x:c r="AR929" t="n">
        <x:f>--AND(AQ929=1,AA929=1)</x:f>
        <x:v>0</x:v>
      </x:c>
    </x:row>
    <x:row r="930">
      <x:c r="A930" s="28"/>
      <x:c r="B930" s="28"/>
      <x:c r="C930" s="28"/>
      <x:c r="D930" s="28"/>
      <x:c r="E930" s="28"/>
      <x:c r="F930" s="28"/>
      <x:c r="G930" s="28"/>
      <x:c r="H930" s="28"/>
      <x:c r="I930" s="28"/>
      <x:c r="J930" s="28"/>
      <x:c r="K930" s="28"/>
      <x:c r="L930" s="28"/>
      <x:c r="M930" s="28"/>
      <x:c r="N930" s="28"/>
      <x:c r="O930" s="28"/>
      <x:c r="P930" s="28"/>
      <x:c r="Q930" s="28"/>
      <x:c r="R930" s="28"/>
      <x:c r="S930" s="28"/>
      <x:c r="T930" s="28"/>
      <x:c r="U930" s="28"/>
      <x:c r="V930" s="28"/>
      <x:c r="W930" s="28"/>
      <x:c r="X930" s="43" t="n">
        <x:f>--AND(S930=1,T930=1,U930=1,V930=1,W930=1)</x:f>
        <x:v>0</x:v>
      </x:c>
      <x:c r="AE930" s="43" t="n">
        <x:f>--AND(S930=1,M930&lt;&gt;"",M930&lt;&gt;"keep")</x:f>
        <x:v>0</x:v>
      </x:c>
      <x:c r="AG930" t="n">
        <x:f>--AND(S930=1,T930=1,U930=1,V930=1,W930=1,AE930=1)</x:f>
        <x:v>0</x:v>
      </x:c>
      <x:c r="AJ930" t="str">
        <x:f>IF(OR(AH930="",AI930=""),"",--(AH930&lt;&gt;AI930))</x:f>
      </x:c>
      <x:c r="AL930" t="str">
        <x:f>IF(OR(AH930="",AI930=""),"PENDING_HUMAN",IF(AH930=AI930,AH930,IF(AK930&lt;&gt;"",AK930,"PENDING_HUMAN")))</x:f>
        <x:v>PENDING_HUMAN</x:v>
      </x:c>
      <x:c r="AM930" t="n">
        <x:f>--AND(A930&lt;&gt;"",AH930&lt;&gt;"",AI930&lt;&gt;"",OR(AH930=AI930,AK930&lt;&gt;""))</x:f>
        <x:v>0</x:v>
      </x:c>
      <x:c r="AN930" t="n">
        <x:f>--AND(Y930&lt;&gt;"",COUNTIF($Y$4:Y930,Y930)=1)</x:f>
        <x:v>0</x:v>
      </x:c>
      <x:c r="AO930" t="n">
        <x:f>--AND(AN930=1,Z930=1,AM930=1)</x:f>
        <x:v>0</x:v>
      </x:c>
      <x:c r="AP930" t="n">
        <x:f>--AND(AO930=1,AA930=1,AL930=1)</x:f>
        <x:v>0</x:v>
      </x:c>
      <x:c r="AQ930" t="n">
        <x:f>--AND(AN930=1,Z930=1)</x:f>
        <x:v>0</x:v>
      </x:c>
      <x:c r="AR930" t="n">
        <x:f>--AND(AQ930=1,AA930=1)</x:f>
        <x:v>0</x:v>
      </x:c>
    </x:row>
    <x:row r="931">
      <x:c r="A931" s="28"/>
      <x:c r="B931" s="28"/>
      <x:c r="C931" s="28"/>
      <x:c r="D931" s="28"/>
      <x:c r="E931" s="28"/>
      <x:c r="F931" s="28"/>
      <x:c r="G931" s="28"/>
      <x:c r="H931" s="28"/>
      <x:c r="I931" s="28"/>
      <x:c r="J931" s="28"/>
      <x:c r="K931" s="28"/>
      <x:c r="L931" s="28"/>
      <x:c r="M931" s="28"/>
      <x:c r="N931" s="28"/>
      <x:c r="O931" s="28"/>
      <x:c r="P931" s="28"/>
      <x:c r="Q931" s="28"/>
      <x:c r="R931" s="28"/>
      <x:c r="S931" s="28"/>
      <x:c r="T931" s="28"/>
      <x:c r="U931" s="28"/>
      <x:c r="V931" s="28"/>
      <x:c r="W931" s="28"/>
      <x:c r="X931" s="43" t="n">
        <x:f>--AND(S931=1,T931=1,U931=1,V931=1,W931=1)</x:f>
        <x:v>0</x:v>
      </x:c>
      <x:c r="AE931" s="43" t="n">
        <x:f>--AND(S931=1,M931&lt;&gt;"",M931&lt;&gt;"keep")</x:f>
        <x:v>0</x:v>
      </x:c>
      <x:c r="AG931" t="n">
        <x:f>--AND(S931=1,T931=1,U931=1,V931=1,W931=1,AE931=1)</x:f>
        <x:v>0</x:v>
      </x:c>
      <x:c r="AJ931" t="str">
        <x:f>IF(OR(AH931="",AI931=""),"",--(AH931&lt;&gt;AI931))</x:f>
      </x:c>
      <x:c r="AL931" t="str">
        <x:f>IF(OR(AH931="",AI931=""),"PENDING_HUMAN",IF(AH931=AI931,AH931,IF(AK931&lt;&gt;"",AK931,"PENDING_HUMAN")))</x:f>
        <x:v>PENDING_HUMAN</x:v>
      </x:c>
      <x:c r="AM931" t="n">
        <x:f>--AND(A931&lt;&gt;"",AH931&lt;&gt;"",AI931&lt;&gt;"",OR(AH931=AI931,AK931&lt;&gt;""))</x:f>
        <x:v>0</x:v>
      </x:c>
      <x:c r="AN931" t="n">
        <x:f>--AND(Y931&lt;&gt;"",COUNTIF($Y$4:Y931,Y931)=1)</x:f>
        <x:v>0</x:v>
      </x:c>
      <x:c r="AO931" t="n">
        <x:f>--AND(AN931=1,Z931=1,AM931=1)</x:f>
        <x:v>0</x:v>
      </x:c>
      <x:c r="AP931" t="n">
        <x:f>--AND(AO931=1,AA931=1,AL931=1)</x:f>
        <x:v>0</x:v>
      </x:c>
      <x:c r="AQ931" t="n">
        <x:f>--AND(AN931=1,Z931=1)</x:f>
        <x:v>0</x:v>
      </x:c>
      <x:c r="AR931" t="n">
        <x:f>--AND(AQ931=1,AA931=1)</x:f>
        <x:v>0</x:v>
      </x:c>
    </x:row>
    <x:row r="932">
      <x:c r="A932" s="28"/>
      <x:c r="B932" s="28"/>
      <x:c r="C932" s="28"/>
      <x:c r="D932" s="28"/>
      <x:c r="E932" s="28"/>
      <x:c r="F932" s="28"/>
      <x:c r="G932" s="28"/>
      <x:c r="H932" s="28"/>
      <x:c r="I932" s="28"/>
      <x:c r="J932" s="28"/>
      <x:c r="K932" s="28"/>
      <x:c r="L932" s="28"/>
      <x:c r="M932" s="28"/>
      <x:c r="N932" s="28"/>
      <x:c r="O932" s="28"/>
      <x:c r="P932" s="28"/>
      <x:c r="Q932" s="28"/>
      <x:c r="R932" s="28"/>
      <x:c r="S932" s="28"/>
      <x:c r="T932" s="28"/>
      <x:c r="U932" s="28"/>
      <x:c r="V932" s="28"/>
      <x:c r="W932" s="28"/>
      <x:c r="X932" s="43" t="n">
        <x:f>--AND(S932=1,T932=1,U932=1,V932=1,W932=1)</x:f>
        <x:v>0</x:v>
      </x:c>
      <x:c r="AE932" s="43" t="n">
        <x:f>--AND(S932=1,M932&lt;&gt;"",M932&lt;&gt;"keep")</x:f>
        <x:v>0</x:v>
      </x:c>
      <x:c r="AG932" t="n">
        <x:f>--AND(S932=1,T932=1,U932=1,V932=1,W932=1,AE932=1)</x:f>
        <x:v>0</x:v>
      </x:c>
      <x:c r="AJ932" t="str">
        <x:f>IF(OR(AH932="",AI932=""),"",--(AH932&lt;&gt;AI932))</x:f>
      </x:c>
      <x:c r="AL932" t="str">
        <x:f>IF(OR(AH932="",AI932=""),"PENDING_HUMAN",IF(AH932=AI932,AH932,IF(AK932&lt;&gt;"",AK932,"PENDING_HUMAN")))</x:f>
        <x:v>PENDING_HUMAN</x:v>
      </x:c>
      <x:c r="AM932" t="n">
        <x:f>--AND(A932&lt;&gt;"",AH932&lt;&gt;"",AI932&lt;&gt;"",OR(AH932=AI932,AK932&lt;&gt;""))</x:f>
        <x:v>0</x:v>
      </x:c>
      <x:c r="AN932" t="n">
        <x:f>--AND(Y932&lt;&gt;"",COUNTIF($Y$4:Y932,Y932)=1)</x:f>
        <x:v>0</x:v>
      </x:c>
      <x:c r="AO932" t="n">
        <x:f>--AND(AN932=1,Z932=1,AM932=1)</x:f>
        <x:v>0</x:v>
      </x:c>
      <x:c r="AP932" t="n">
        <x:f>--AND(AO932=1,AA932=1,AL932=1)</x:f>
        <x:v>0</x:v>
      </x:c>
      <x:c r="AQ932" t="n">
        <x:f>--AND(AN932=1,Z932=1)</x:f>
        <x:v>0</x:v>
      </x:c>
      <x:c r="AR932" t="n">
        <x:f>--AND(AQ932=1,AA932=1)</x:f>
        <x:v>0</x:v>
      </x:c>
    </x:row>
    <x:row r="933">
      <x:c r="A933" s="28"/>
      <x:c r="B933" s="28"/>
      <x:c r="C933" s="28"/>
      <x:c r="D933" s="28"/>
      <x:c r="E933" s="28"/>
      <x:c r="F933" s="28"/>
      <x:c r="G933" s="28"/>
      <x:c r="H933" s="28"/>
      <x:c r="I933" s="28"/>
      <x:c r="J933" s="28"/>
      <x:c r="K933" s="28"/>
      <x:c r="L933" s="28"/>
      <x:c r="M933" s="28"/>
      <x:c r="N933" s="28"/>
      <x:c r="O933" s="28"/>
      <x:c r="P933" s="28"/>
      <x:c r="Q933" s="28"/>
      <x:c r="R933" s="28"/>
      <x:c r="S933" s="28"/>
      <x:c r="T933" s="28"/>
      <x:c r="U933" s="28"/>
      <x:c r="V933" s="28"/>
      <x:c r="W933" s="28"/>
      <x:c r="X933" s="43" t="n">
        <x:f>--AND(S933=1,T933=1,U933=1,V933=1,W933=1)</x:f>
        <x:v>0</x:v>
      </x:c>
      <x:c r="AE933" s="43" t="n">
        <x:f>--AND(S933=1,M933&lt;&gt;"",M933&lt;&gt;"keep")</x:f>
        <x:v>0</x:v>
      </x:c>
      <x:c r="AG933" t="n">
        <x:f>--AND(S933=1,T933=1,U933=1,V933=1,W933=1,AE933=1)</x:f>
        <x:v>0</x:v>
      </x:c>
      <x:c r="AJ933" t="str">
        <x:f>IF(OR(AH933="",AI933=""),"",--(AH933&lt;&gt;AI933))</x:f>
      </x:c>
      <x:c r="AL933" t="str">
        <x:f>IF(OR(AH933="",AI933=""),"PENDING_HUMAN",IF(AH933=AI933,AH933,IF(AK933&lt;&gt;"",AK933,"PENDING_HUMAN")))</x:f>
        <x:v>PENDING_HUMAN</x:v>
      </x:c>
      <x:c r="AM933" t="n">
        <x:f>--AND(A933&lt;&gt;"",AH933&lt;&gt;"",AI933&lt;&gt;"",OR(AH933=AI933,AK933&lt;&gt;""))</x:f>
        <x:v>0</x:v>
      </x:c>
      <x:c r="AN933" t="n">
        <x:f>--AND(Y933&lt;&gt;"",COUNTIF($Y$4:Y933,Y933)=1)</x:f>
        <x:v>0</x:v>
      </x:c>
      <x:c r="AO933" t="n">
        <x:f>--AND(AN933=1,Z933=1,AM933=1)</x:f>
        <x:v>0</x:v>
      </x:c>
      <x:c r="AP933" t="n">
        <x:f>--AND(AO933=1,AA933=1,AL933=1)</x:f>
        <x:v>0</x:v>
      </x:c>
      <x:c r="AQ933" t="n">
        <x:f>--AND(AN933=1,Z933=1)</x:f>
        <x:v>0</x:v>
      </x:c>
      <x:c r="AR933" t="n">
        <x:f>--AND(AQ933=1,AA933=1)</x:f>
        <x:v>0</x:v>
      </x:c>
    </x:row>
    <x:row r="934">
      <x:c r="A934" s="28"/>
      <x:c r="B934" s="28"/>
      <x:c r="C934" s="28"/>
      <x:c r="D934" s="28"/>
      <x:c r="E934" s="28"/>
      <x:c r="F934" s="28"/>
      <x:c r="G934" s="28"/>
      <x:c r="H934" s="28"/>
      <x:c r="I934" s="28"/>
      <x:c r="J934" s="28"/>
      <x:c r="K934" s="28"/>
      <x:c r="L934" s="28"/>
      <x:c r="M934" s="28"/>
      <x:c r="N934" s="28"/>
      <x:c r="O934" s="28"/>
      <x:c r="P934" s="28"/>
      <x:c r="Q934" s="28"/>
      <x:c r="R934" s="28"/>
      <x:c r="S934" s="28"/>
      <x:c r="T934" s="28"/>
      <x:c r="U934" s="28"/>
      <x:c r="V934" s="28"/>
      <x:c r="W934" s="28"/>
      <x:c r="X934" s="43" t="n">
        <x:f>--AND(S934=1,T934=1,U934=1,V934=1,W934=1)</x:f>
        <x:v>0</x:v>
      </x:c>
      <x:c r="AE934" s="43" t="n">
        <x:f>--AND(S934=1,M934&lt;&gt;"",M934&lt;&gt;"keep")</x:f>
        <x:v>0</x:v>
      </x:c>
      <x:c r="AG934" t="n">
        <x:f>--AND(S934=1,T934=1,U934=1,V934=1,W934=1,AE934=1)</x:f>
        <x:v>0</x:v>
      </x:c>
      <x:c r="AJ934" t="str">
        <x:f>IF(OR(AH934="",AI934=""),"",--(AH934&lt;&gt;AI934))</x:f>
      </x:c>
      <x:c r="AL934" t="str">
        <x:f>IF(OR(AH934="",AI934=""),"PENDING_HUMAN",IF(AH934=AI934,AH934,IF(AK934&lt;&gt;"",AK934,"PENDING_HUMAN")))</x:f>
        <x:v>PENDING_HUMAN</x:v>
      </x:c>
      <x:c r="AM934" t="n">
        <x:f>--AND(A934&lt;&gt;"",AH934&lt;&gt;"",AI934&lt;&gt;"",OR(AH934=AI934,AK934&lt;&gt;""))</x:f>
        <x:v>0</x:v>
      </x:c>
      <x:c r="AN934" t="n">
        <x:f>--AND(Y934&lt;&gt;"",COUNTIF($Y$4:Y934,Y934)=1)</x:f>
        <x:v>0</x:v>
      </x:c>
      <x:c r="AO934" t="n">
        <x:f>--AND(AN934=1,Z934=1,AM934=1)</x:f>
        <x:v>0</x:v>
      </x:c>
      <x:c r="AP934" t="n">
        <x:f>--AND(AO934=1,AA934=1,AL934=1)</x:f>
        <x:v>0</x:v>
      </x:c>
      <x:c r="AQ934" t="n">
        <x:f>--AND(AN934=1,Z934=1)</x:f>
        <x:v>0</x:v>
      </x:c>
      <x:c r="AR934" t="n">
        <x:f>--AND(AQ934=1,AA934=1)</x:f>
        <x:v>0</x:v>
      </x:c>
    </x:row>
    <x:row r="935">
      <x:c r="A935" s="28"/>
      <x:c r="B935" s="28"/>
      <x:c r="C935" s="28"/>
      <x:c r="D935" s="28"/>
      <x:c r="E935" s="28"/>
      <x:c r="F935" s="28"/>
      <x:c r="G935" s="28"/>
      <x:c r="H935" s="28"/>
      <x:c r="I935" s="28"/>
      <x:c r="J935" s="28"/>
      <x:c r="K935" s="28"/>
      <x:c r="L935" s="28"/>
      <x:c r="M935" s="28"/>
      <x:c r="N935" s="28"/>
      <x:c r="O935" s="28"/>
      <x:c r="P935" s="28"/>
      <x:c r="Q935" s="28"/>
      <x:c r="R935" s="28"/>
      <x:c r="S935" s="28"/>
      <x:c r="T935" s="28"/>
      <x:c r="U935" s="28"/>
      <x:c r="V935" s="28"/>
      <x:c r="W935" s="28"/>
      <x:c r="X935" s="43" t="n">
        <x:f>--AND(S935=1,T935=1,U935=1,V935=1,W935=1)</x:f>
        <x:v>0</x:v>
      </x:c>
      <x:c r="AE935" s="43" t="n">
        <x:f>--AND(S935=1,M935&lt;&gt;"",M935&lt;&gt;"keep")</x:f>
        <x:v>0</x:v>
      </x:c>
      <x:c r="AG935" t="n">
        <x:f>--AND(S935=1,T935=1,U935=1,V935=1,W935=1,AE935=1)</x:f>
        <x:v>0</x:v>
      </x:c>
      <x:c r="AJ935" t="str">
        <x:f>IF(OR(AH935="",AI935=""),"",--(AH935&lt;&gt;AI935))</x:f>
      </x:c>
      <x:c r="AL935" t="str">
        <x:f>IF(OR(AH935="",AI935=""),"PENDING_HUMAN",IF(AH935=AI935,AH935,IF(AK935&lt;&gt;"",AK935,"PENDING_HUMAN")))</x:f>
        <x:v>PENDING_HUMAN</x:v>
      </x:c>
      <x:c r="AM935" t="n">
        <x:f>--AND(A935&lt;&gt;"",AH935&lt;&gt;"",AI935&lt;&gt;"",OR(AH935=AI935,AK935&lt;&gt;""))</x:f>
        <x:v>0</x:v>
      </x:c>
      <x:c r="AN935" t="n">
        <x:f>--AND(Y935&lt;&gt;"",COUNTIF($Y$4:Y935,Y935)=1)</x:f>
        <x:v>0</x:v>
      </x:c>
      <x:c r="AO935" t="n">
        <x:f>--AND(AN935=1,Z935=1,AM935=1)</x:f>
        <x:v>0</x:v>
      </x:c>
      <x:c r="AP935" t="n">
        <x:f>--AND(AO935=1,AA935=1,AL935=1)</x:f>
        <x:v>0</x:v>
      </x:c>
      <x:c r="AQ935" t="n">
        <x:f>--AND(AN935=1,Z935=1)</x:f>
        <x:v>0</x:v>
      </x:c>
      <x:c r="AR935" t="n">
        <x:f>--AND(AQ935=1,AA935=1)</x:f>
        <x:v>0</x:v>
      </x:c>
    </x:row>
    <x:row r="936">
      <x:c r="A936" s="28"/>
      <x:c r="B936" s="28"/>
      <x:c r="C936" s="28"/>
      <x:c r="D936" s="28"/>
      <x:c r="E936" s="28"/>
      <x:c r="F936" s="28"/>
      <x:c r="G936" s="28"/>
      <x:c r="H936" s="28"/>
      <x:c r="I936" s="28"/>
      <x:c r="J936" s="28"/>
      <x:c r="K936" s="28"/>
      <x:c r="L936" s="28"/>
      <x:c r="M936" s="28"/>
      <x:c r="N936" s="28"/>
      <x:c r="O936" s="28"/>
      <x:c r="P936" s="28"/>
      <x:c r="Q936" s="28"/>
      <x:c r="R936" s="28"/>
      <x:c r="S936" s="28"/>
      <x:c r="T936" s="28"/>
      <x:c r="U936" s="28"/>
      <x:c r="V936" s="28"/>
      <x:c r="W936" s="28"/>
      <x:c r="X936" s="43" t="n">
        <x:f>--AND(S936=1,T936=1,U936=1,V936=1,W936=1)</x:f>
        <x:v>0</x:v>
      </x:c>
      <x:c r="AE936" s="43" t="n">
        <x:f>--AND(S936=1,M936&lt;&gt;"",M936&lt;&gt;"keep")</x:f>
        <x:v>0</x:v>
      </x:c>
      <x:c r="AG936" t="n">
        <x:f>--AND(S936=1,T936=1,U936=1,V936=1,W936=1,AE936=1)</x:f>
        <x:v>0</x:v>
      </x:c>
      <x:c r="AJ936" t="str">
        <x:f>IF(OR(AH936="",AI936=""),"",--(AH936&lt;&gt;AI936))</x:f>
      </x:c>
      <x:c r="AL936" t="str">
        <x:f>IF(OR(AH936="",AI936=""),"PENDING_HUMAN",IF(AH936=AI936,AH936,IF(AK936&lt;&gt;"",AK936,"PENDING_HUMAN")))</x:f>
        <x:v>PENDING_HUMAN</x:v>
      </x:c>
      <x:c r="AM936" t="n">
        <x:f>--AND(A936&lt;&gt;"",AH936&lt;&gt;"",AI936&lt;&gt;"",OR(AH936=AI936,AK936&lt;&gt;""))</x:f>
        <x:v>0</x:v>
      </x:c>
      <x:c r="AN936" t="n">
        <x:f>--AND(Y936&lt;&gt;"",COUNTIF($Y$4:Y936,Y936)=1)</x:f>
        <x:v>0</x:v>
      </x:c>
      <x:c r="AO936" t="n">
        <x:f>--AND(AN936=1,Z936=1,AM936=1)</x:f>
        <x:v>0</x:v>
      </x:c>
      <x:c r="AP936" t="n">
        <x:f>--AND(AO936=1,AA936=1,AL936=1)</x:f>
        <x:v>0</x:v>
      </x:c>
      <x:c r="AQ936" t="n">
        <x:f>--AND(AN936=1,Z936=1)</x:f>
        <x:v>0</x:v>
      </x:c>
      <x:c r="AR936" t="n">
        <x:f>--AND(AQ936=1,AA936=1)</x:f>
        <x:v>0</x:v>
      </x:c>
    </x:row>
    <x:row r="937">
      <x:c r="A937" s="28"/>
      <x:c r="B937" s="28"/>
      <x:c r="C937" s="28"/>
      <x:c r="D937" s="28"/>
      <x:c r="E937" s="28"/>
      <x:c r="F937" s="28"/>
      <x:c r="G937" s="28"/>
      <x:c r="H937" s="28"/>
      <x:c r="I937" s="28"/>
      <x:c r="J937" s="28"/>
      <x:c r="K937" s="28"/>
      <x:c r="L937" s="28"/>
      <x:c r="M937" s="28"/>
      <x:c r="N937" s="28"/>
      <x:c r="O937" s="28"/>
      <x:c r="P937" s="28"/>
      <x:c r="Q937" s="28"/>
      <x:c r="R937" s="28"/>
      <x:c r="S937" s="28"/>
      <x:c r="T937" s="28"/>
      <x:c r="U937" s="28"/>
      <x:c r="V937" s="28"/>
      <x:c r="W937" s="28"/>
      <x:c r="X937" s="43" t="n">
        <x:f>--AND(S937=1,T937=1,U937=1,V937=1,W937=1)</x:f>
        <x:v>0</x:v>
      </x:c>
      <x:c r="AE937" s="43" t="n">
        <x:f>--AND(S937=1,M937&lt;&gt;"",M937&lt;&gt;"keep")</x:f>
        <x:v>0</x:v>
      </x:c>
      <x:c r="AG937" t="n">
        <x:f>--AND(S937=1,T937=1,U937=1,V937=1,W937=1,AE937=1)</x:f>
        <x:v>0</x:v>
      </x:c>
      <x:c r="AJ937" t="str">
        <x:f>IF(OR(AH937="",AI937=""),"",--(AH937&lt;&gt;AI937))</x:f>
      </x:c>
      <x:c r="AL937" t="str">
        <x:f>IF(OR(AH937="",AI937=""),"PENDING_HUMAN",IF(AH937=AI937,AH937,IF(AK937&lt;&gt;"",AK937,"PENDING_HUMAN")))</x:f>
        <x:v>PENDING_HUMAN</x:v>
      </x:c>
      <x:c r="AM937" t="n">
        <x:f>--AND(A937&lt;&gt;"",AH937&lt;&gt;"",AI937&lt;&gt;"",OR(AH937=AI937,AK937&lt;&gt;""))</x:f>
        <x:v>0</x:v>
      </x:c>
      <x:c r="AN937" t="n">
        <x:f>--AND(Y937&lt;&gt;"",COUNTIF($Y$4:Y937,Y937)=1)</x:f>
        <x:v>0</x:v>
      </x:c>
      <x:c r="AO937" t="n">
        <x:f>--AND(AN937=1,Z937=1,AM937=1)</x:f>
        <x:v>0</x:v>
      </x:c>
      <x:c r="AP937" t="n">
        <x:f>--AND(AO937=1,AA937=1,AL937=1)</x:f>
        <x:v>0</x:v>
      </x:c>
      <x:c r="AQ937" t="n">
        <x:f>--AND(AN937=1,Z937=1)</x:f>
        <x:v>0</x:v>
      </x:c>
      <x:c r="AR937" t="n">
        <x:f>--AND(AQ937=1,AA937=1)</x:f>
        <x:v>0</x:v>
      </x:c>
    </x:row>
    <x:row r="938">
      <x:c r="A938" s="28"/>
      <x:c r="B938" s="28"/>
      <x:c r="C938" s="28"/>
      <x:c r="D938" s="28"/>
      <x:c r="E938" s="28"/>
      <x:c r="F938" s="28"/>
      <x:c r="G938" s="28"/>
      <x:c r="H938" s="28"/>
      <x:c r="I938" s="28"/>
      <x:c r="J938" s="28"/>
      <x:c r="K938" s="28"/>
      <x:c r="L938" s="28"/>
      <x:c r="M938" s="28"/>
      <x:c r="N938" s="28"/>
      <x:c r="O938" s="28"/>
      <x:c r="P938" s="28"/>
      <x:c r="Q938" s="28"/>
      <x:c r="R938" s="28"/>
      <x:c r="S938" s="28"/>
      <x:c r="T938" s="28"/>
      <x:c r="U938" s="28"/>
      <x:c r="V938" s="28"/>
      <x:c r="W938" s="28"/>
      <x:c r="X938" s="43" t="n">
        <x:f>--AND(S938=1,T938=1,U938=1,V938=1,W938=1)</x:f>
        <x:v>0</x:v>
      </x:c>
      <x:c r="AE938" s="43" t="n">
        <x:f>--AND(S938=1,M938&lt;&gt;"",M938&lt;&gt;"keep")</x:f>
        <x:v>0</x:v>
      </x:c>
      <x:c r="AG938" t="n">
        <x:f>--AND(S938=1,T938=1,U938=1,V938=1,W938=1,AE938=1)</x:f>
        <x:v>0</x:v>
      </x:c>
      <x:c r="AJ938" t="str">
        <x:f>IF(OR(AH938="",AI938=""),"",--(AH938&lt;&gt;AI938))</x:f>
      </x:c>
      <x:c r="AL938" t="str">
        <x:f>IF(OR(AH938="",AI938=""),"PENDING_HUMAN",IF(AH938=AI938,AH938,IF(AK938&lt;&gt;"",AK938,"PENDING_HUMAN")))</x:f>
        <x:v>PENDING_HUMAN</x:v>
      </x:c>
      <x:c r="AM938" t="n">
        <x:f>--AND(A938&lt;&gt;"",AH938&lt;&gt;"",AI938&lt;&gt;"",OR(AH938=AI938,AK938&lt;&gt;""))</x:f>
        <x:v>0</x:v>
      </x:c>
      <x:c r="AN938" t="n">
        <x:f>--AND(Y938&lt;&gt;"",COUNTIF($Y$4:Y938,Y938)=1)</x:f>
        <x:v>0</x:v>
      </x:c>
      <x:c r="AO938" t="n">
        <x:f>--AND(AN938=1,Z938=1,AM938=1)</x:f>
        <x:v>0</x:v>
      </x:c>
      <x:c r="AP938" t="n">
        <x:f>--AND(AO938=1,AA938=1,AL938=1)</x:f>
        <x:v>0</x:v>
      </x:c>
      <x:c r="AQ938" t="n">
        <x:f>--AND(AN938=1,Z938=1)</x:f>
        <x:v>0</x:v>
      </x:c>
      <x:c r="AR938" t="n">
        <x:f>--AND(AQ938=1,AA938=1)</x:f>
        <x:v>0</x:v>
      </x:c>
    </x:row>
    <x:row r="939">
      <x:c r="A939" s="28"/>
      <x:c r="B939" s="28"/>
      <x:c r="C939" s="28"/>
      <x:c r="D939" s="28"/>
      <x:c r="E939" s="28"/>
      <x:c r="F939" s="28"/>
      <x:c r="G939" s="28"/>
      <x:c r="H939" s="28"/>
      <x:c r="I939" s="28"/>
      <x:c r="J939" s="28"/>
      <x:c r="K939" s="28"/>
      <x:c r="L939" s="28"/>
      <x:c r="M939" s="28"/>
      <x:c r="N939" s="28"/>
      <x:c r="O939" s="28"/>
      <x:c r="P939" s="28"/>
      <x:c r="Q939" s="28"/>
      <x:c r="R939" s="28"/>
      <x:c r="S939" s="28"/>
      <x:c r="T939" s="28"/>
      <x:c r="U939" s="28"/>
      <x:c r="V939" s="28"/>
      <x:c r="W939" s="28"/>
      <x:c r="X939" s="43" t="n">
        <x:f>--AND(S939=1,T939=1,U939=1,V939=1,W939=1)</x:f>
        <x:v>0</x:v>
      </x:c>
      <x:c r="AE939" s="43" t="n">
        <x:f>--AND(S939=1,M939&lt;&gt;"",M939&lt;&gt;"keep")</x:f>
        <x:v>0</x:v>
      </x:c>
      <x:c r="AG939" t="n">
        <x:f>--AND(S939=1,T939=1,U939=1,V939=1,W939=1,AE939=1)</x:f>
        <x:v>0</x:v>
      </x:c>
      <x:c r="AJ939" t="str">
        <x:f>IF(OR(AH939="",AI939=""),"",--(AH939&lt;&gt;AI939))</x:f>
      </x:c>
      <x:c r="AL939" t="str">
        <x:f>IF(OR(AH939="",AI939=""),"PENDING_HUMAN",IF(AH939=AI939,AH939,IF(AK939&lt;&gt;"",AK939,"PENDING_HUMAN")))</x:f>
        <x:v>PENDING_HUMAN</x:v>
      </x:c>
      <x:c r="AM939" t="n">
        <x:f>--AND(A939&lt;&gt;"",AH939&lt;&gt;"",AI939&lt;&gt;"",OR(AH939=AI939,AK939&lt;&gt;""))</x:f>
        <x:v>0</x:v>
      </x:c>
      <x:c r="AN939" t="n">
        <x:f>--AND(Y939&lt;&gt;"",COUNTIF($Y$4:Y939,Y939)=1)</x:f>
        <x:v>0</x:v>
      </x:c>
      <x:c r="AO939" t="n">
        <x:f>--AND(AN939=1,Z939=1,AM939=1)</x:f>
        <x:v>0</x:v>
      </x:c>
      <x:c r="AP939" t="n">
        <x:f>--AND(AO939=1,AA939=1,AL939=1)</x:f>
        <x:v>0</x:v>
      </x:c>
      <x:c r="AQ939" t="n">
        <x:f>--AND(AN939=1,Z939=1)</x:f>
        <x:v>0</x:v>
      </x:c>
      <x:c r="AR939" t="n">
        <x:f>--AND(AQ939=1,AA939=1)</x:f>
        <x:v>0</x:v>
      </x:c>
    </x:row>
    <x:row r="940">
      <x:c r="A940" s="28"/>
      <x:c r="B940" s="28"/>
      <x:c r="C940" s="28"/>
      <x:c r="D940" s="28"/>
      <x:c r="E940" s="28"/>
      <x:c r="F940" s="28"/>
      <x:c r="G940" s="28"/>
      <x:c r="H940" s="28"/>
      <x:c r="I940" s="28"/>
      <x:c r="J940" s="28"/>
      <x:c r="K940" s="28"/>
      <x:c r="L940" s="28"/>
      <x:c r="M940" s="28"/>
      <x:c r="N940" s="28"/>
      <x:c r="O940" s="28"/>
      <x:c r="P940" s="28"/>
      <x:c r="Q940" s="28"/>
      <x:c r="R940" s="28"/>
      <x:c r="S940" s="28"/>
      <x:c r="T940" s="28"/>
      <x:c r="U940" s="28"/>
      <x:c r="V940" s="28"/>
      <x:c r="W940" s="28"/>
      <x:c r="X940" s="43" t="n">
        <x:f>--AND(S940=1,T940=1,U940=1,V940=1,W940=1)</x:f>
        <x:v>0</x:v>
      </x:c>
      <x:c r="AE940" s="43" t="n">
        <x:f>--AND(S940=1,M940&lt;&gt;"",M940&lt;&gt;"keep")</x:f>
        <x:v>0</x:v>
      </x:c>
      <x:c r="AG940" t="n">
        <x:f>--AND(S940=1,T940=1,U940=1,V940=1,W940=1,AE940=1)</x:f>
        <x:v>0</x:v>
      </x:c>
      <x:c r="AJ940" t="str">
        <x:f>IF(OR(AH940="",AI940=""),"",--(AH940&lt;&gt;AI940))</x:f>
      </x:c>
      <x:c r="AL940" t="str">
        <x:f>IF(OR(AH940="",AI940=""),"PENDING_HUMAN",IF(AH940=AI940,AH940,IF(AK940&lt;&gt;"",AK940,"PENDING_HUMAN")))</x:f>
        <x:v>PENDING_HUMAN</x:v>
      </x:c>
      <x:c r="AM940" t="n">
        <x:f>--AND(A940&lt;&gt;"",AH940&lt;&gt;"",AI940&lt;&gt;"",OR(AH940=AI940,AK940&lt;&gt;""))</x:f>
        <x:v>0</x:v>
      </x:c>
      <x:c r="AN940" t="n">
        <x:f>--AND(Y940&lt;&gt;"",COUNTIF($Y$4:Y940,Y940)=1)</x:f>
        <x:v>0</x:v>
      </x:c>
      <x:c r="AO940" t="n">
        <x:f>--AND(AN940=1,Z940=1,AM940=1)</x:f>
        <x:v>0</x:v>
      </x:c>
      <x:c r="AP940" t="n">
        <x:f>--AND(AO940=1,AA940=1,AL940=1)</x:f>
        <x:v>0</x:v>
      </x:c>
      <x:c r="AQ940" t="n">
        <x:f>--AND(AN940=1,Z940=1)</x:f>
        <x:v>0</x:v>
      </x:c>
      <x:c r="AR940" t="n">
        <x:f>--AND(AQ940=1,AA940=1)</x:f>
        <x:v>0</x:v>
      </x:c>
    </x:row>
    <x:row r="941">
      <x:c r="A941" s="28"/>
      <x:c r="B941" s="28"/>
      <x:c r="C941" s="28"/>
      <x:c r="D941" s="28"/>
      <x:c r="E941" s="28"/>
      <x:c r="F941" s="28"/>
      <x:c r="G941" s="28"/>
      <x:c r="H941" s="28"/>
      <x:c r="I941" s="28"/>
      <x:c r="J941" s="28"/>
      <x:c r="K941" s="28"/>
      <x:c r="L941" s="28"/>
      <x:c r="M941" s="28"/>
      <x:c r="N941" s="28"/>
      <x:c r="O941" s="28"/>
      <x:c r="P941" s="28"/>
      <x:c r="Q941" s="28"/>
      <x:c r="R941" s="28"/>
      <x:c r="S941" s="28"/>
      <x:c r="T941" s="28"/>
      <x:c r="U941" s="28"/>
      <x:c r="V941" s="28"/>
      <x:c r="W941" s="28"/>
      <x:c r="X941" s="43" t="n">
        <x:f>--AND(S941=1,T941=1,U941=1,V941=1,W941=1)</x:f>
        <x:v>0</x:v>
      </x:c>
      <x:c r="AE941" s="43" t="n">
        <x:f>--AND(S941=1,M941&lt;&gt;"",M941&lt;&gt;"keep")</x:f>
        <x:v>0</x:v>
      </x:c>
      <x:c r="AG941" t="n">
        <x:f>--AND(S941=1,T941=1,U941=1,V941=1,W941=1,AE941=1)</x:f>
        <x:v>0</x:v>
      </x:c>
      <x:c r="AJ941" t="str">
        <x:f>IF(OR(AH941="",AI941=""),"",--(AH941&lt;&gt;AI941))</x:f>
      </x:c>
      <x:c r="AL941" t="str">
        <x:f>IF(OR(AH941="",AI941=""),"PENDING_HUMAN",IF(AH941=AI941,AH941,IF(AK941&lt;&gt;"",AK941,"PENDING_HUMAN")))</x:f>
        <x:v>PENDING_HUMAN</x:v>
      </x:c>
      <x:c r="AM941" t="n">
        <x:f>--AND(A941&lt;&gt;"",AH941&lt;&gt;"",AI941&lt;&gt;"",OR(AH941=AI941,AK941&lt;&gt;""))</x:f>
        <x:v>0</x:v>
      </x:c>
      <x:c r="AN941" t="n">
        <x:f>--AND(Y941&lt;&gt;"",COUNTIF($Y$4:Y941,Y941)=1)</x:f>
        <x:v>0</x:v>
      </x:c>
      <x:c r="AO941" t="n">
        <x:f>--AND(AN941=1,Z941=1,AM941=1)</x:f>
        <x:v>0</x:v>
      </x:c>
      <x:c r="AP941" t="n">
        <x:f>--AND(AO941=1,AA941=1,AL941=1)</x:f>
        <x:v>0</x:v>
      </x:c>
      <x:c r="AQ941" t="n">
        <x:f>--AND(AN941=1,Z941=1)</x:f>
        <x:v>0</x:v>
      </x:c>
      <x:c r="AR941" t="n">
        <x:f>--AND(AQ941=1,AA941=1)</x:f>
        <x:v>0</x:v>
      </x:c>
    </x:row>
    <x:row r="942">
      <x:c r="A942" s="28"/>
      <x:c r="B942" s="28"/>
      <x:c r="C942" s="28"/>
      <x:c r="D942" s="28"/>
      <x:c r="E942" s="28"/>
      <x:c r="F942" s="28"/>
      <x:c r="G942" s="28"/>
      <x:c r="H942" s="28"/>
      <x:c r="I942" s="28"/>
      <x:c r="J942" s="28"/>
      <x:c r="K942" s="28"/>
      <x:c r="L942" s="28"/>
      <x:c r="M942" s="28"/>
      <x:c r="N942" s="28"/>
      <x:c r="O942" s="28"/>
      <x:c r="P942" s="28"/>
      <x:c r="Q942" s="28"/>
      <x:c r="R942" s="28"/>
      <x:c r="S942" s="28"/>
      <x:c r="T942" s="28"/>
      <x:c r="U942" s="28"/>
      <x:c r="V942" s="28"/>
      <x:c r="W942" s="28"/>
      <x:c r="X942" s="43" t="n">
        <x:f>--AND(S942=1,T942=1,U942=1,V942=1,W942=1)</x:f>
        <x:v>0</x:v>
      </x:c>
      <x:c r="AE942" s="43" t="n">
        <x:f>--AND(S942=1,M942&lt;&gt;"",M942&lt;&gt;"keep")</x:f>
        <x:v>0</x:v>
      </x:c>
      <x:c r="AG942" t="n">
        <x:f>--AND(S942=1,T942=1,U942=1,V942=1,W942=1,AE942=1)</x:f>
        <x:v>0</x:v>
      </x:c>
      <x:c r="AJ942" t="str">
        <x:f>IF(OR(AH942="",AI942=""),"",--(AH942&lt;&gt;AI942))</x:f>
      </x:c>
      <x:c r="AL942" t="str">
        <x:f>IF(OR(AH942="",AI942=""),"PENDING_HUMAN",IF(AH942=AI942,AH942,IF(AK942&lt;&gt;"",AK942,"PENDING_HUMAN")))</x:f>
        <x:v>PENDING_HUMAN</x:v>
      </x:c>
      <x:c r="AM942" t="n">
        <x:f>--AND(A942&lt;&gt;"",AH942&lt;&gt;"",AI942&lt;&gt;"",OR(AH942=AI942,AK942&lt;&gt;""))</x:f>
        <x:v>0</x:v>
      </x:c>
      <x:c r="AN942" t="n">
        <x:f>--AND(Y942&lt;&gt;"",COUNTIF($Y$4:Y942,Y942)=1)</x:f>
        <x:v>0</x:v>
      </x:c>
      <x:c r="AO942" t="n">
        <x:f>--AND(AN942=1,Z942=1,AM942=1)</x:f>
        <x:v>0</x:v>
      </x:c>
      <x:c r="AP942" t="n">
        <x:f>--AND(AO942=1,AA942=1,AL942=1)</x:f>
        <x:v>0</x:v>
      </x:c>
      <x:c r="AQ942" t="n">
        <x:f>--AND(AN942=1,Z942=1)</x:f>
        <x:v>0</x:v>
      </x:c>
      <x:c r="AR942" t="n">
        <x:f>--AND(AQ942=1,AA942=1)</x:f>
        <x:v>0</x:v>
      </x:c>
    </x:row>
    <x:row r="943">
      <x:c r="A943" s="28"/>
      <x:c r="B943" s="28"/>
      <x:c r="C943" s="28"/>
      <x:c r="D943" s="28"/>
      <x:c r="E943" s="28"/>
      <x:c r="F943" s="28"/>
      <x:c r="G943" s="28"/>
      <x:c r="H943" s="28"/>
      <x:c r="I943" s="28"/>
      <x:c r="J943" s="28"/>
      <x:c r="K943" s="28"/>
      <x:c r="L943" s="28"/>
      <x:c r="M943" s="28"/>
      <x:c r="N943" s="28"/>
      <x:c r="O943" s="28"/>
      <x:c r="P943" s="28"/>
      <x:c r="Q943" s="28"/>
      <x:c r="R943" s="28"/>
      <x:c r="S943" s="28"/>
      <x:c r="T943" s="28"/>
      <x:c r="U943" s="28"/>
      <x:c r="V943" s="28"/>
      <x:c r="W943" s="28"/>
      <x:c r="X943" s="43" t="n">
        <x:f>--AND(S943=1,T943=1,U943=1,V943=1,W943=1)</x:f>
        <x:v>0</x:v>
      </x:c>
      <x:c r="AE943" s="43" t="n">
        <x:f>--AND(S943=1,M943&lt;&gt;"",M943&lt;&gt;"keep")</x:f>
        <x:v>0</x:v>
      </x:c>
      <x:c r="AG943" t="n">
        <x:f>--AND(S943=1,T943=1,U943=1,V943=1,W943=1,AE943=1)</x:f>
        <x:v>0</x:v>
      </x:c>
      <x:c r="AJ943" t="str">
        <x:f>IF(OR(AH943="",AI943=""),"",--(AH943&lt;&gt;AI943))</x:f>
      </x:c>
      <x:c r="AL943" t="str">
        <x:f>IF(OR(AH943="",AI943=""),"PENDING_HUMAN",IF(AH943=AI943,AH943,IF(AK943&lt;&gt;"",AK943,"PENDING_HUMAN")))</x:f>
        <x:v>PENDING_HUMAN</x:v>
      </x:c>
      <x:c r="AM943" t="n">
        <x:f>--AND(A943&lt;&gt;"",AH943&lt;&gt;"",AI943&lt;&gt;"",OR(AH943=AI943,AK943&lt;&gt;""))</x:f>
        <x:v>0</x:v>
      </x:c>
      <x:c r="AN943" t="n">
        <x:f>--AND(Y943&lt;&gt;"",COUNTIF($Y$4:Y943,Y943)=1)</x:f>
        <x:v>0</x:v>
      </x:c>
      <x:c r="AO943" t="n">
        <x:f>--AND(AN943=1,Z943=1,AM943=1)</x:f>
        <x:v>0</x:v>
      </x:c>
      <x:c r="AP943" t="n">
        <x:f>--AND(AO943=1,AA943=1,AL943=1)</x:f>
        <x:v>0</x:v>
      </x:c>
      <x:c r="AQ943" t="n">
        <x:f>--AND(AN943=1,Z943=1)</x:f>
        <x:v>0</x:v>
      </x:c>
      <x:c r="AR943" t="n">
        <x:f>--AND(AQ943=1,AA943=1)</x:f>
        <x:v>0</x:v>
      </x:c>
    </x:row>
    <x:row r="944">
      <x:c r="A944" s="28"/>
      <x:c r="B944" s="28"/>
      <x:c r="C944" s="28"/>
      <x:c r="D944" s="28"/>
      <x:c r="E944" s="28"/>
      <x:c r="F944" s="28"/>
      <x:c r="G944" s="28"/>
      <x:c r="H944" s="28"/>
      <x:c r="I944" s="28"/>
      <x:c r="J944" s="28"/>
      <x:c r="K944" s="28"/>
      <x:c r="L944" s="28"/>
      <x:c r="M944" s="28"/>
      <x:c r="N944" s="28"/>
      <x:c r="O944" s="28"/>
      <x:c r="P944" s="28"/>
      <x:c r="Q944" s="28"/>
      <x:c r="R944" s="28"/>
      <x:c r="S944" s="28"/>
      <x:c r="T944" s="28"/>
      <x:c r="U944" s="28"/>
      <x:c r="V944" s="28"/>
      <x:c r="W944" s="28"/>
      <x:c r="X944" s="43" t="n">
        <x:f>--AND(S944=1,T944=1,U944=1,V944=1,W944=1)</x:f>
        <x:v>0</x:v>
      </x:c>
      <x:c r="AE944" s="43" t="n">
        <x:f>--AND(S944=1,M944&lt;&gt;"",M944&lt;&gt;"keep")</x:f>
        <x:v>0</x:v>
      </x:c>
      <x:c r="AG944" t="n">
        <x:f>--AND(S944=1,T944=1,U944=1,V944=1,W944=1,AE944=1)</x:f>
        <x:v>0</x:v>
      </x:c>
      <x:c r="AJ944" t="str">
        <x:f>IF(OR(AH944="",AI944=""),"",--(AH944&lt;&gt;AI944))</x:f>
      </x:c>
      <x:c r="AL944" t="str">
        <x:f>IF(OR(AH944="",AI944=""),"PENDING_HUMAN",IF(AH944=AI944,AH944,IF(AK944&lt;&gt;"",AK944,"PENDING_HUMAN")))</x:f>
        <x:v>PENDING_HUMAN</x:v>
      </x:c>
      <x:c r="AM944" t="n">
        <x:f>--AND(A944&lt;&gt;"",AH944&lt;&gt;"",AI944&lt;&gt;"",OR(AH944=AI944,AK944&lt;&gt;""))</x:f>
        <x:v>0</x:v>
      </x:c>
      <x:c r="AN944" t="n">
        <x:f>--AND(Y944&lt;&gt;"",COUNTIF($Y$4:Y944,Y944)=1)</x:f>
        <x:v>0</x:v>
      </x:c>
      <x:c r="AO944" t="n">
        <x:f>--AND(AN944=1,Z944=1,AM944=1)</x:f>
        <x:v>0</x:v>
      </x:c>
      <x:c r="AP944" t="n">
        <x:f>--AND(AO944=1,AA944=1,AL944=1)</x:f>
        <x:v>0</x:v>
      </x:c>
      <x:c r="AQ944" t="n">
        <x:f>--AND(AN944=1,Z944=1)</x:f>
        <x:v>0</x:v>
      </x:c>
      <x:c r="AR944" t="n">
        <x:f>--AND(AQ944=1,AA944=1)</x:f>
        <x:v>0</x:v>
      </x:c>
    </x:row>
    <x:row r="945">
      <x:c r="A945" s="28"/>
      <x:c r="B945" s="28"/>
      <x:c r="C945" s="28"/>
      <x:c r="D945" s="28"/>
      <x:c r="E945" s="28"/>
      <x:c r="F945" s="28"/>
      <x:c r="G945" s="28"/>
      <x:c r="H945" s="28"/>
      <x:c r="I945" s="28"/>
      <x:c r="J945" s="28"/>
      <x:c r="K945" s="28"/>
      <x:c r="L945" s="28"/>
      <x:c r="M945" s="28"/>
      <x:c r="N945" s="28"/>
      <x:c r="O945" s="28"/>
      <x:c r="P945" s="28"/>
      <x:c r="Q945" s="28"/>
      <x:c r="R945" s="28"/>
      <x:c r="S945" s="28"/>
      <x:c r="T945" s="28"/>
      <x:c r="U945" s="28"/>
      <x:c r="V945" s="28"/>
      <x:c r="W945" s="28"/>
      <x:c r="X945" s="43" t="n">
        <x:f>--AND(S945=1,T945=1,U945=1,V945=1,W945=1)</x:f>
        <x:v>0</x:v>
      </x:c>
      <x:c r="AE945" s="43" t="n">
        <x:f>--AND(S945=1,M945&lt;&gt;"",M945&lt;&gt;"keep")</x:f>
        <x:v>0</x:v>
      </x:c>
      <x:c r="AG945" t="n">
        <x:f>--AND(S945=1,T945=1,U945=1,V945=1,W945=1,AE945=1)</x:f>
        <x:v>0</x:v>
      </x:c>
      <x:c r="AJ945" t="str">
        <x:f>IF(OR(AH945="",AI945=""),"",--(AH945&lt;&gt;AI945))</x:f>
      </x:c>
      <x:c r="AL945" t="str">
        <x:f>IF(OR(AH945="",AI945=""),"PENDING_HUMAN",IF(AH945=AI945,AH945,IF(AK945&lt;&gt;"",AK945,"PENDING_HUMAN")))</x:f>
        <x:v>PENDING_HUMAN</x:v>
      </x:c>
      <x:c r="AM945" t="n">
        <x:f>--AND(A945&lt;&gt;"",AH945&lt;&gt;"",AI945&lt;&gt;"",OR(AH945=AI945,AK945&lt;&gt;""))</x:f>
        <x:v>0</x:v>
      </x:c>
      <x:c r="AN945" t="n">
        <x:f>--AND(Y945&lt;&gt;"",COUNTIF($Y$4:Y945,Y945)=1)</x:f>
        <x:v>0</x:v>
      </x:c>
      <x:c r="AO945" t="n">
        <x:f>--AND(AN945=1,Z945=1,AM945=1)</x:f>
        <x:v>0</x:v>
      </x:c>
      <x:c r="AP945" t="n">
        <x:f>--AND(AO945=1,AA945=1,AL945=1)</x:f>
        <x:v>0</x:v>
      </x:c>
      <x:c r="AQ945" t="n">
        <x:f>--AND(AN945=1,Z945=1)</x:f>
        <x:v>0</x:v>
      </x:c>
      <x:c r="AR945" t="n">
        <x:f>--AND(AQ945=1,AA945=1)</x:f>
        <x:v>0</x:v>
      </x:c>
    </x:row>
    <x:row r="946">
      <x:c r="A946" s="28"/>
      <x:c r="B946" s="28"/>
      <x:c r="C946" s="28"/>
      <x:c r="D946" s="28"/>
      <x:c r="E946" s="28"/>
      <x:c r="F946" s="28"/>
      <x:c r="G946" s="28"/>
      <x:c r="H946" s="28"/>
      <x:c r="I946" s="28"/>
      <x:c r="J946" s="28"/>
      <x:c r="K946" s="28"/>
      <x:c r="L946" s="28"/>
      <x:c r="M946" s="28"/>
      <x:c r="N946" s="28"/>
      <x:c r="O946" s="28"/>
      <x:c r="P946" s="28"/>
      <x:c r="Q946" s="28"/>
      <x:c r="R946" s="28"/>
      <x:c r="S946" s="28"/>
      <x:c r="T946" s="28"/>
      <x:c r="U946" s="28"/>
      <x:c r="V946" s="28"/>
      <x:c r="W946" s="28"/>
      <x:c r="X946" s="43" t="n">
        <x:f>--AND(S946=1,T946=1,U946=1,V946=1,W946=1)</x:f>
        <x:v>0</x:v>
      </x:c>
      <x:c r="AE946" s="43" t="n">
        <x:f>--AND(S946=1,M946&lt;&gt;"",M946&lt;&gt;"keep")</x:f>
        <x:v>0</x:v>
      </x:c>
      <x:c r="AG946" t="n">
        <x:f>--AND(S946=1,T946=1,U946=1,V946=1,W946=1,AE946=1)</x:f>
        <x:v>0</x:v>
      </x:c>
      <x:c r="AJ946" t="str">
        <x:f>IF(OR(AH946="",AI946=""),"",--(AH946&lt;&gt;AI946))</x:f>
      </x:c>
      <x:c r="AL946" t="str">
        <x:f>IF(OR(AH946="",AI946=""),"PENDING_HUMAN",IF(AH946=AI946,AH946,IF(AK946&lt;&gt;"",AK946,"PENDING_HUMAN")))</x:f>
        <x:v>PENDING_HUMAN</x:v>
      </x:c>
      <x:c r="AM946" t="n">
        <x:f>--AND(A946&lt;&gt;"",AH946&lt;&gt;"",AI946&lt;&gt;"",OR(AH946=AI946,AK946&lt;&gt;""))</x:f>
        <x:v>0</x:v>
      </x:c>
      <x:c r="AN946" t="n">
        <x:f>--AND(Y946&lt;&gt;"",COUNTIF($Y$4:Y946,Y946)=1)</x:f>
        <x:v>0</x:v>
      </x:c>
      <x:c r="AO946" t="n">
        <x:f>--AND(AN946=1,Z946=1,AM946=1)</x:f>
        <x:v>0</x:v>
      </x:c>
      <x:c r="AP946" t="n">
        <x:f>--AND(AO946=1,AA946=1,AL946=1)</x:f>
        <x:v>0</x:v>
      </x:c>
      <x:c r="AQ946" t="n">
        <x:f>--AND(AN946=1,Z946=1)</x:f>
        <x:v>0</x:v>
      </x:c>
      <x:c r="AR946" t="n">
        <x:f>--AND(AQ946=1,AA946=1)</x:f>
        <x:v>0</x:v>
      </x:c>
    </x:row>
    <x:row r="947">
      <x:c r="A947" s="28"/>
      <x:c r="B947" s="28"/>
      <x:c r="C947" s="28"/>
      <x:c r="D947" s="28"/>
      <x:c r="E947" s="28"/>
      <x:c r="F947" s="28"/>
      <x:c r="G947" s="28"/>
      <x:c r="H947" s="28"/>
      <x:c r="I947" s="28"/>
      <x:c r="J947" s="28"/>
      <x:c r="K947" s="28"/>
      <x:c r="L947" s="28"/>
      <x:c r="M947" s="28"/>
      <x:c r="N947" s="28"/>
      <x:c r="O947" s="28"/>
      <x:c r="P947" s="28"/>
      <x:c r="Q947" s="28"/>
      <x:c r="R947" s="28"/>
      <x:c r="S947" s="28"/>
      <x:c r="T947" s="28"/>
      <x:c r="U947" s="28"/>
      <x:c r="V947" s="28"/>
      <x:c r="W947" s="28"/>
      <x:c r="X947" s="43" t="n">
        <x:f>--AND(S947=1,T947=1,U947=1,V947=1,W947=1)</x:f>
        <x:v>0</x:v>
      </x:c>
      <x:c r="AE947" s="43" t="n">
        <x:f>--AND(S947=1,M947&lt;&gt;"",M947&lt;&gt;"keep")</x:f>
        <x:v>0</x:v>
      </x:c>
      <x:c r="AG947" t="n">
        <x:f>--AND(S947=1,T947=1,U947=1,V947=1,W947=1,AE947=1)</x:f>
        <x:v>0</x:v>
      </x:c>
      <x:c r="AJ947" t="str">
        <x:f>IF(OR(AH947="",AI947=""),"",--(AH947&lt;&gt;AI947))</x:f>
      </x:c>
      <x:c r="AL947" t="str">
        <x:f>IF(OR(AH947="",AI947=""),"PENDING_HUMAN",IF(AH947=AI947,AH947,IF(AK947&lt;&gt;"",AK947,"PENDING_HUMAN")))</x:f>
        <x:v>PENDING_HUMAN</x:v>
      </x:c>
      <x:c r="AM947" t="n">
        <x:f>--AND(A947&lt;&gt;"",AH947&lt;&gt;"",AI947&lt;&gt;"",OR(AH947=AI947,AK947&lt;&gt;""))</x:f>
        <x:v>0</x:v>
      </x:c>
      <x:c r="AN947" t="n">
        <x:f>--AND(Y947&lt;&gt;"",COUNTIF($Y$4:Y947,Y947)=1)</x:f>
        <x:v>0</x:v>
      </x:c>
      <x:c r="AO947" t="n">
        <x:f>--AND(AN947=1,Z947=1,AM947=1)</x:f>
        <x:v>0</x:v>
      </x:c>
      <x:c r="AP947" t="n">
        <x:f>--AND(AO947=1,AA947=1,AL947=1)</x:f>
        <x:v>0</x:v>
      </x:c>
      <x:c r="AQ947" t="n">
        <x:f>--AND(AN947=1,Z947=1)</x:f>
        <x:v>0</x:v>
      </x:c>
      <x:c r="AR947" t="n">
        <x:f>--AND(AQ947=1,AA947=1)</x:f>
        <x:v>0</x:v>
      </x:c>
    </x:row>
    <x:row r="948">
      <x:c r="A948" s="28"/>
      <x:c r="B948" s="28"/>
      <x:c r="C948" s="28"/>
      <x:c r="D948" s="28"/>
      <x:c r="E948" s="28"/>
      <x:c r="F948" s="28"/>
      <x:c r="G948" s="28"/>
      <x:c r="H948" s="28"/>
      <x:c r="I948" s="28"/>
      <x:c r="J948" s="28"/>
      <x:c r="K948" s="28"/>
      <x:c r="L948" s="28"/>
      <x:c r="M948" s="28"/>
      <x:c r="N948" s="28"/>
      <x:c r="O948" s="28"/>
      <x:c r="P948" s="28"/>
      <x:c r="Q948" s="28"/>
      <x:c r="R948" s="28"/>
      <x:c r="S948" s="28"/>
      <x:c r="T948" s="28"/>
      <x:c r="U948" s="28"/>
      <x:c r="V948" s="28"/>
      <x:c r="W948" s="28"/>
      <x:c r="X948" s="43" t="n">
        <x:f>--AND(S948=1,T948=1,U948=1,V948=1,W948=1)</x:f>
        <x:v>0</x:v>
      </x:c>
      <x:c r="AE948" s="43" t="n">
        <x:f>--AND(S948=1,M948&lt;&gt;"",M948&lt;&gt;"keep")</x:f>
        <x:v>0</x:v>
      </x:c>
      <x:c r="AG948" t="n">
        <x:f>--AND(S948=1,T948=1,U948=1,V948=1,W948=1,AE948=1)</x:f>
        <x:v>0</x:v>
      </x:c>
      <x:c r="AJ948" t="str">
        <x:f>IF(OR(AH948="",AI948=""),"",--(AH948&lt;&gt;AI948))</x:f>
      </x:c>
      <x:c r="AL948" t="str">
        <x:f>IF(OR(AH948="",AI948=""),"PENDING_HUMAN",IF(AH948=AI948,AH948,IF(AK948&lt;&gt;"",AK948,"PENDING_HUMAN")))</x:f>
        <x:v>PENDING_HUMAN</x:v>
      </x:c>
      <x:c r="AM948" t="n">
        <x:f>--AND(A948&lt;&gt;"",AH948&lt;&gt;"",AI948&lt;&gt;"",OR(AH948=AI948,AK948&lt;&gt;""))</x:f>
        <x:v>0</x:v>
      </x:c>
      <x:c r="AN948" t="n">
        <x:f>--AND(Y948&lt;&gt;"",COUNTIF($Y$4:Y948,Y948)=1)</x:f>
        <x:v>0</x:v>
      </x:c>
      <x:c r="AO948" t="n">
        <x:f>--AND(AN948=1,Z948=1,AM948=1)</x:f>
        <x:v>0</x:v>
      </x:c>
      <x:c r="AP948" t="n">
        <x:f>--AND(AO948=1,AA948=1,AL948=1)</x:f>
        <x:v>0</x:v>
      </x:c>
      <x:c r="AQ948" t="n">
        <x:f>--AND(AN948=1,Z948=1)</x:f>
        <x:v>0</x:v>
      </x:c>
      <x:c r="AR948" t="n">
        <x:f>--AND(AQ948=1,AA948=1)</x:f>
        <x:v>0</x:v>
      </x:c>
    </x:row>
    <x:row r="949">
      <x:c r="A949" s="28"/>
      <x:c r="B949" s="28"/>
      <x:c r="C949" s="28"/>
      <x:c r="D949" s="28"/>
      <x:c r="E949" s="28"/>
      <x:c r="F949" s="28"/>
      <x:c r="G949" s="28"/>
      <x:c r="H949" s="28"/>
      <x:c r="I949" s="28"/>
      <x:c r="J949" s="28"/>
      <x:c r="K949" s="28"/>
      <x:c r="L949" s="28"/>
      <x:c r="M949" s="28"/>
      <x:c r="N949" s="28"/>
      <x:c r="O949" s="28"/>
      <x:c r="P949" s="28"/>
      <x:c r="Q949" s="28"/>
      <x:c r="R949" s="28"/>
      <x:c r="S949" s="28"/>
      <x:c r="T949" s="28"/>
      <x:c r="U949" s="28"/>
      <x:c r="V949" s="28"/>
      <x:c r="W949" s="28"/>
      <x:c r="X949" s="43" t="n">
        <x:f>--AND(S949=1,T949=1,U949=1,V949=1,W949=1)</x:f>
        <x:v>0</x:v>
      </x:c>
      <x:c r="AE949" s="43" t="n">
        <x:f>--AND(S949=1,M949&lt;&gt;"",M949&lt;&gt;"keep")</x:f>
        <x:v>0</x:v>
      </x:c>
      <x:c r="AG949" t="n">
        <x:f>--AND(S949=1,T949=1,U949=1,V949=1,W949=1,AE949=1)</x:f>
        <x:v>0</x:v>
      </x:c>
      <x:c r="AJ949" t="str">
        <x:f>IF(OR(AH949="",AI949=""),"",--(AH949&lt;&gt;AI949))</x:f>
      </x:c>
      <x:c r="AL949" t="str">
        <x:f>IF(OR(AH949="",AI949=""),"PENDING_HUMAN",IF(AH949=AI949,AH949,IF(AK949&lt;&gt;"",AK949,"PENDING_HUMAN")))</x:f>
        <x:v>PENDING_HUMAN</x:v>
      </x:c>
      <x:c r="AM949" t="n">
        <x:f>--AND(A949&lt;&gt;"",AH949&lt;&gt;"",AI949&lt;&gt;"",OR(AH949=AI949,AK949&lt;&gt;""))</x:f>
        <x:v>0</x:v>
      </x:c>
      <x:c r="AN949" t="n">
        <x:f>--AND(Y949&lt;&gt;"",COUNTIF($Y$4:Y949,Y949)=1)</x:f>
        <x:v>0</x:v>
      </x:c>
      <x:c r="AO949" t="n">
        <x:f>--AND(AN949=1,Z949=1,AM949=1)</x:f>
        <x:v>0</x:v>
      </x:c>
      <x:c r="AP949" t="n">
        <x:f>--AND(AO949=1,AA949=1,AL949=1)</x:f>
        <x:v>0</x:v>
      </x:c>
      <x:c r="AQ949" t="n">
        <x:f>--AND(AN949=1,Z949=1)</x:f>
        <x:v>0</x:v>
      </x:c>
      <x:c r="AR949" t="n">
        <x:f>--AND(AQ949=1,AA949=1)</x:f>
        <x:v>0</x:v>
      </x:c>
    </x:row>
    <x:row r="950">
      <x:c r="A950" s="28"/>
      <x:c r="B950" s="28"/>
      <x:c r="C950" s="28"/>
      <x:c r="D950" s="28"/>
      <x:c r="E950" s="28"/>
      <x:c r="F950" s="28"/>
      <x:c r="G950" s="28"/>
      <x:c r="H950" s="28"/>
      <x:c r="I950" s="28"/>
      <x:c r="J950" s="28"/>
      <x:c r="K950" s="28"/>
      <x:c r="L950" s="28"/>
      <x:c r="M950" s="28"/>
      <x:c r="N950" s="28"/>
      <x:c r="O950" s="28"/>
      <x:c r="P950" s="28"/>
      <x:c r="Q950" s="28"/>
      <x:c r="R950" s="28"/>
      <x:c r="S950" s="28"/>
      <x:c r="T950" s="28"/>
      <x:c r="U950" s="28"/>
      <x:c r="V950" s="28"/>
      <x:c r="W950" s="28"/>
      <x:c r="X950" s="43" t="n">
        <x:f>--AND(S950=1,T950=1,U950=1,V950=1,W950=1)</x:f>
        <x:v>0</x:v>
      </x:c>
      <x:c r="AE950" s="43" t="n">
        <x:f>--AND(S950=1,M950&lt;&gt;"",M950&lt;&gt;"keep")</x:f>
        <x:v>0</x:v>
      </x:c>
      <x:c r="AG950" t="n">
        <x:f>--AND(S950=1,T950=1,U950=1,V950=1,W950=1,AE950=1)</x:f>
        <x:v>0</x:v>
      </x:c>
      <x:c r="AJ950" t="str">
        <x:f>IF(OR(AH950="",AI950=""),"",--(AH950&lt;&gt;AI950))</x:f>
      </x:c>
      <x:c r="AL950" t="str">
        <x:f>IF(OR(AH950="",AI950=""),"PENDING_HUMAN",IF(AH950=AI950,AH950,IF(AK950&lt;&gt;"",AK950,"PENDING_HUMAN")))</x:f>
        <x:v>PENDING_HUMAN</x:v>
      </x:c>
      <x:c r="AM950" t="n">
        <x:f>--AND(A950&lt;&gt;"",AH950&lt;&gt;"",AI950&lt;&gt;"",OR(AH950=AI950,AK950&lt;&gt;""))</x:f>
        <x:v>0</x:v>
      </x:c>
      <x:c r="AN950" t="n">
        <x:f>--AND(Y950&lt;&gt;"",COUNTIF($Y$4:Y950,Y950)=1)</x:f>
        <x:v>0</x:v>
      </x:c>
      <x:c r="AO950" t="n">
        <x:f>--AND(AN950=1,Z950=1,AM950=1)</x:f>
        <x:v>0</x:v>
      </x:c>
      <x:c r="AP950" t="n">
        <x:f>--AND(AO950=1,AA950=1,AL950=1)</x:f>
        <x:v>0</x:v>
      </x:c>
      <x:c r="AQ950" t="n">
        <x:f>--AND(AN950=1,Z950=1)</x:f>
        <x:v>0</x:v>
      </x:c>
      <x:c r="AR950" t="n">
        <x:f>--AND(AQ950=1,AA950=1)</x:f>
        <x:v>0</x:v>
      </x:c>
    </x:row>
    <x:row r="951">
      <x:c r="A951" s="28"/>
      <x:c r="B951" s="28"/>
      <x:c r="C951" s="28"/>
      <x:c r="D951" s="28"/>
      <x:c r="E951" s="28"/>
      <x:c r="F951" s="28"/>
      <x:c r="G951" s="28"/>
      <x:c r="H951" s="28"/>
      <x:c r="I951" s="28"/>
      <x:c r="J951" s="28"/>
      <x:c r="K951" s="28"/>
      <x:c r="L951" s="28"/>
      <x:c r="M951" s="28"/>
      <x:c r="N951" s="28"/>
      <x:c r="O951" s="28"/>
      <x:c r="P951" s="28"/>
      <x:c r="Q951" s="28"/>
      <x:c r="R951" s="28"/>
      <x:c r="S951" s="28"/>
      <x:c r="T951" s="28"/>
      <x:c r="U951" s="28"/>
      <x:c r="V951" s="28"/>
      <x:c r="W951" s="28"/>
      <x:c r="X951" s="43" t="n">
        <x:f>--AND(S951=1,T951=1,U951=1,V951=1,W951=1)</x:f>
        <x:v>0</x:v>
      </x:c>
      <x:c r="AE951" s="43" t="n">
        <x:f>--AND(S951=1,M951&lt;&gt;"",M951&lt;&gt;"keep")</x:f>
        <x:v>0</x:v>
      </x:c>
      <x:c r="AG951" t="n">
        <x:f>--AND(S951=1,T951=1,U951=1,V951=1,W951=1,AE951=1)</x:f>
        <x:v>0</x:v>
      </x:c>
      <x:c r="AJ951" t="str">
        <x:f>IF(OR(AH951="",AI951=""),"",--(AH951&lt;&gt;AI951))</x:f>
      </x:c>
      <x:c r="AL951" t="str">
        <x:f>IF(OR(AH951="",AI951=""),"PENDING_HUMAN",IF(AH951=AI951,AH951,IF(AK951&lt;&gt;"",AK951,"PENDING_HUMAN")))</x:f>
        <x:v>PENDING_HUMAN</x:v>
      </x:c>
      <x:c r="AM951" t="n">
        <x:f>--AND(A951&lt;&gt;"",AH951&lt;&gt;"",AI951&lt;&gt;"",OR(AH951=AI951,AK951&lt;&gt;""))</x:f>
        <x:v>0</x:v>
      </x:c>
      <x:c r="AN951" t="n">
        <x:f>--AND(Y951&lt;&gt;"",COUNTIF($Y$4:Y951,Y951)=1)</x:f>
        <x:v>0</x:v>
      </x:c>
      <x:c r="AO951" t="n">
        <x:f>--AND(AN951=1,Z951=1,AM951=1)</x:f>
        <x:v>0</x:v>
      </x:c>
      <x:c r="AP951" t="n">
        <x:f>--AND(AO951=1,AA951=1,AL951=1)</x:f>
        <x:v>0</x:v>
      </x:c>
      <x:c r="AQ951" t="n">
        <x:f>--AND(AN951=1,Z951=1)</x:f>
        <x:v>0</x:v>
      </x:c>
      <x:c r="AR951" t="n">
        <x:f>--AND(AQ951=1,AA951=1)</x:f>
        <x:v>0</x:v>
      </x:c>
    </x:row>
    <x:row r="952">
      <x:c r="A952" s="28"/>
      <x:c r="B952" s="28"/>
      <x:c r="C952" s="28"/>
      <x:c r="D952" s="28"/>
      <x:c r="E952" s="28"/>
      <x:c r="F952" s="28"/>
      <x:c r="G952" s="28"/>
      <x:c r="H952" s="28"/>
      <x:c r="I952" s="28"/>
      <x:c r="J952" s="28"/>
      <x:c r="K952" s="28"/>
      <x:c r="L952" s="28"/>
      <x:c r="M952" s="28"/>
      <x:c r="N952" s="28"/>
      <x:c r="O952" s="28"/>
      <x:c r="P952" s="28"/>
      <x:c r="Q952" s="28"/>
      <x:c r="R952" s="28"/>
      <x:c r="S952" s="28"/>
      <x:c r="T952" s="28"/>
      <x:c r="U952" s="28"/>
      <x:c r="V952" s="28"/>
      <x:c r="W952" s="28"/>
      <x:c r="X952" s="43" t="n">
        <x:f>--AND(S952=1,T952=1,U952=1,V952=1,W952=1)</x:f>
        <x:v>0</x:v>
      </x:c>
      <x:c r="AE952" s="43" t="n">
        <x:f>--AND(S952=1,M952&lt;&gt;"",M952&lt;&gt;"keep")</x:f>
        <x:v>0</x:v>
      </x:c>
      <x:c r="AG952" t="n">
        <x:f>--AND(S952=1,T952=1,U952=1,V952=1,W952=1,AE952=1)</x:f>
        <x:v>0</x:v>
      </x:c>
      <x:c r="AJ952" t="str">
        <x:f>IF(OR(AH952="",AI952=""),"",--(AH952&lt;&gt;AI952))</x:f>
      </x:c>
      <x:c r="AL952" t="str">
        <x:f>IF(OR(AH952="",AI952=""),"PENDING_HUMAN",IF(AH952=AI952,AH952,IF(AK952&lt;&gt;"",AK952,"PENDING_HUMAN")))</x:f>
        <x:v>PENDING_HUMAN</x:v>
      </x:c>
      <x:c r="AM952" t="n">
        <x:f>--AND(A952&lt;&gt;"",AH952&lt;&gt;"",AI952&lt;&gt;"",OR(AH952=AI952,AK952&lt;&gt;""))</x:f>
        <x:v>0</x:v>
      </x:c>
      <x:c r="AN952" t="n">
        <x:f>--AND(Y952&lt;&gt;"",COUNTIF($Y$4:Y952,Y952)=1)</x:f>
        <x:v>0</x:v>
      </x:c>
      <x:c r="AO952" t="n">
        <x:f>--AND(AN952=1,Z952=1,AM952=1)</x:f>
        <x:v>0</x:v>
      </x:c>
      <x:c r="AP952" t="n">
        <x:f>--AND(AO952=1,AA952=1,AL952=1)</x:f>
        <x:v>0</x:v>
      </x:c>
      <x:c r="AQ952" t="n">
        <x:f>--AND(AN952=1,Z952=1)</x:f>
        <x:v>0</x:v>
      </x:c>
      <x:c r="AR952" t="n">
        <x:f>--AND(AQ952=1,AA952=1)</x:f>
        <x:v>0</x:v>
      </x:c>
    </x:row>
    <x:row r="953">
      <x:c r="A953" s="28"/>
      <x:c r="B953" s="28"/>
      <x:c r="C953" s="28"/>
      <x:c r="D953" s="28"/>
      <x:c r="E953" s="28"/>
      <x:c r="F953" s="28"/>
      <x:c r="G953" s="28"/>
      <x:c r="H953" s="28"/>
      <x:c r="I953" s="28"/>
      <x:c r="J953" s="28"/>
      <x:c r="K953" s="28"/>
      <x:c r="L953" s="28"/>
      <x:c r="M953" s="28"/>
      <x:c r="N953" s="28"/>
      <x:c r="O953" s="28"/>
      <x:c r="P953" s="28"/>
      <x:c r="Q953" s="28"/>
      <x:c r="R953" s="28"/>
      <x:c r="S953" s="28"/>
      <x:c r="T953" s="28"/>
      <x:c r="U953" s="28"/>
      <x:c r="V953" s="28"/>
      <x:c r="W953" s="28"/>
      <x:c r="X953" s="43" t="n">
        <x:f>--AND(S953=1,T953=1,U953=1,V953=1,W953=1)</x:f>
        <x:v>0</x:v>
      </x:c>
      <x:c r="AE953" s="43" t="n">
        <x:f>--AND(S953=1,M953&lt;&gt;"",M953&lt;&gt;"keep")</x:f>
        <x:v>0</x:v>
      </x:c>
      <x:c r="AG953" t="n">
        <x:f>--AND(S953=1,T953=1,U953=1,V953=1,W953=1,AE953=1)</x:f>
        <x:v>0</x:v>
      </x:c>
      <x:c r="AJ953" t="str">
        <x:f>IF(OR(AH953="",AI953=""),"",--(AH953&lt;&gt;AI953))</x:f>
      </x:c>
      <x:c r="AL953" t="str">
        <x:f>IF(OR(AH953="",AI953=""),"PENDING_HUMAN",IF(AH953=AI953,AH953,IF(AK953&lt;&gt;"",AK953,"PENDING_HUMAN")))</x:f>
        <x:v>PENDING_HUMAN</x:v>
      </x:c>
      <x:c r="AM953" t="n">
        <x:f>--AND(A953&lt;&gt;"",AH953&lt;&gt;"",AI953&lt;&gt;"",OR(AH953=AI953,AK953&lt;&gt;""))</x:f>
        <x:v>0</x:v>
      </x:c>
      <x:c r="AN953" t="n">
        <x:f>--AND(Y953&lt;&gt;"",COUNTIF($Y$4:Y953,Y953)=1)</x:f>
        <x:v>0</x:v>
      </x:c>
      <x:c r="AO953" t="n">
        <x:f>--AND(AN953=1,Z953=1,AM953=1)</x:f>
        <x:v>0</x:v>
      </x:c>
      <x:c r="AP953" t="n">
        <x:f>--AND(AO953=1,AA953=1,AL953=1)</x:f>
        <x:v>0</x:v>
      </x:c>
      <x:c r="AQ953" t="n">
        <x:f>--AND(AN953=1,Z953=1)</x:f>
        <x:v>0</x:v>
      </x:c>
      <x:c r="AR953" t="n">
        <x:f>--AND(AQ953=1,AA953=1)</x:f>
        <x:v>0</x:v>
      </x:c>
    </x:row>
    <x:row r="954">
      <x:c r="A954" s="28"/>
      <x:c r="B954" s="28"/>
      <x:c r="C954" s="28"/>
      <x:c r="D954" s="28"/>
      <x:c r="E954" s="28"/>
      <x:c r="F954" s="28"/>
      <x:c r="G954" s="28"/>
      <x:c r="H954" s="28"/>
      <x:c r="I954" s="28"/>
      <x:c r="J954" s="28"/>
      <x:c r="K954" s="28"/>
      <x:c r="L954" s="28"/>
      <x:c r="M954" s="28"/>
      <x:c r="N954" s="28"/>
      <x:c r="O954" s="28"/>
      <x:c r="P954" s="28"/>
      <x:c r="Q954" s="28"/>
      <x:c r="R954" s="28"/>
      <x:c r="S954" s="28"/>
      <x:c r="T954" s="28"/>
      <x:c r="U954" s="28"/>
      <x:c r="V954" s="28"/>
      <x:c r="W954" s="28"/>
      <x:c r="X954" s="43" t="n">
        <x:f>--AND(S954=1,T954=1,U954=1,V954=1,W954=1)</x:f>
        <x:v>0</x:v>
      </x:c>
      <x:c r="AE954" s="43" t="n">
        <x:f>--AND(S954=1,M954&lt;&gt;"",M954&lt;&gt;"keep")</x:f>
        <x:v>0</x:v>
      </x:c>
      <x:c r="AG954" t="n">
        <x:f>--AND(S954=1,T954=1,U954=1,V954=1,W954=1,AE954=1)</x:f>
        <x:v>0</x:v>
      </x:c>
      <x:c r="AJ954" t="str">
        <x:f>IF(OR(AH954="",AI954=""),"",--(AH954&lt;&gt;AI954))</x:f>
      </x:c>
      <x:c r="AL954" t="str">
        <x:f>IF(OR(AH954="",AI954=""),"PENDING_HUMAN",IF(AH954=AI954,AH954,IF(AK954&lt;&gt;"",AK954,"PENDING_HUMAN")))</x:f>
        <x:v>PENDING_HUMAN</x:v>
      </x:c>
      <x:c r="AM954" t="n">
        <x:f>--AND(A954&lt;&gt;"",AH954&lt;&gt;"",AI954&lt;&gt;"",OR(AH954=AI954,AK954&lt;&gt;""))</x:f>
        <x:v>0</x:v>
      </x:c>
      <x:c r="AN954" t="n">
        <x:f>--AND(Y954&lt;&gt;"",COUNTIF($Y$4:Y954,Y954)=1)</x:f>
        <x:v>0</x:v>
      </x:c>
      <x:c r="AO954" t="n">
        <x:f>--AND(AN954=1,Z954=1,AM954=1)</x:f>
        <x:v>0</x:v>
      </x:c>
      <x:c r="AP954" t="n">
        <x:f>--AND(AO954=1,AA954=1,AL954=1)</x:f>
        <x:v>0</x:v>
      </x:c>
      <x:c r="AQ954" t="n">
        <x:f>--AND(AN954=1,Z954=1)</x:f>
        <x:v>0</x:v>
      </x:c>
      <x:c r="AR954" t="n">
        <x:f>--AND(AQ954=1,AA954=1)</x:f>
        <x:v>0</x:v>
      </x:c>
    </x:row>
    <x:row r="955">
      <x:c r="A955" s="28"/>
      <x:c r="B955" s="28"/>
      <x:c r="C955" s="28"/>
      <x:c r="D955" s="28"/>
      <x:c r="E955" s="28"/>
      <x:c r="F955" s="28"/>
      <x:c r="G955" s="28"/>
      <x:c r="H955" s="28"/>
      <x:c r="I955" s="28"/>
      <x:c r="J955" s="28"/>
      <x:c r="K955" s="28"/>
      <x:c r="L955" s="28"/>
      <x:c r="M955" s="28"/>
      <x:c r="N955" s="28"/>
      <x:c r="O955" s="28"/>
      <x:c r="P955" s="28"/>
      <x:c r="Q955" s="28"/>
      <x:c r="R955" s="28"/>
      <x:c r="S955" s="28"/>
      <x:c r="T955" s="28"/>
      <x:c r="U955" s="28"/>
      <x:c r="V955" s="28"/>
      <x:c r="W955" s="28"/>
      <x:c r="X955" s="43" t="n">
        <x:f>--AND(S955=1,T955=1,U955=1,V955=1,W955=1)</x:f>
        <x:v>0</x:v>
      </x:c>
      <x:c r="AE955" s="43" t="n">
        <x:f>--AND(S955=1,M955&lt;&gt;"",M955&lt;&gt;"keep")</x:f>
        <x:v>0</x:v>
      </x:c>
      <x:c r="AG955" t="n">
        <x:f>--AND(S955=1,T955=1,U955=1,V955=1,W955=1,AE955=1)</x:f>
        <x:v>0</x:v>
      </x:c>
      <x:c r="AJ955" t="str">
        <x:f>IF(OR(AH955="",AI955=""),"",--(AH955&lt;&gt;AI955))</x:f>
      </x:c>
      <x:c r="AL955" t="str">
        <x:f>IF(OR(AH955="",AI955=""),"PENDING_HUMAN",IF(AH955=AI955,AH955,IF(AK955&lt;&gt;"",AK955,"PENDING_HUMAN")))</x:f>
        <x:v>PENDING_HUMAN</x:v>
      </x:c>
      <x:c r="AM955" t="n">
        <x:f>--AND(A955&lt;&gt;"",AH955&lt;&gt;"",AI955&lt;&gt;"",OR(AH955=AI955,AK955&lt;&gt;""))</x:f>
        <x:v>0</x:v>
      </x:c>
      <x:c r="AN955" t="n">
        <x:f>--AND(Y955&lt;&gt;"",COUNTIF($Y$4:Y955,Y955)=1)</x:f>
        <x:v>0</x:v>
      </x:c>
      <x:c r="AO955" t="n">
        <x:f>--AND(AN955=1,Z955=1,AM955=1)</x:f>
        <x:v>0</x:v>
      </x:c>
      <x:c r="AP955" t="n">
        <x:f>--AND(AO955=1,AA955=1,AL955=1)</x:f>
        <x:v>0</x:v>
      </x:c>
      <x:c r="AQ955" t="n">
        <x:f>--AND(AN955=1,Z955=1)</x:f>
        <x:v>0</x:v>
      </x:c>
      <x:c r="AR955" t="n">
        <x:f>--AND(AQ955=1,AA955=1)</x:f>
        <x:v>0</x:v>
      </x:c>
    </x:row>
    <x:row r="956">
      <x:c r="A956" s="28"/>
      <x:c r="B956" s="28"/>
      <x:c r="C956" s="28"/>
      <x:c r="D956" s="28"/>
      <x:c r="E956" s="28"/>
      <x:c r="F956" s="28"/>
      <x:c r="G956" s="28"/>
      <x:c r="H956" s="28"/>
      <x:c r="I956" s="28"/>
      <x:c r="J956" s="28"/>
      <x:c r="K956" s="28"/>
      <x:c r="L956" s="28"/>
      <x:c r="M956" s="28"/>
      <x:c r="N956" s="28"/>
      <x:c r="O956" s="28"/>
      <x:c r="P956" s="28"/>
      <x:c r="Q956" s="28"/>
      <x:c r="R956" s="28"/>
      <x:c r="S956" s="28"/>
      <x:c r="T956" s="28"/>
      <x:c r="U956" s="28"/>
      <x:c r="V956" s="28"/>
      <x:c r="W956" s="28"/>
      <x:c r="X956" s="43" t="n">
        <x:f>--AND(S956=1,T956=1,U956=1,V956=1,W956=1)</x:f>
        <x:v>0</x:v>
      </x:c>
      <x:c r="AE956" s="43" t="n">
        <x:f>--AND(S956=1,M956&lt;&gt;"",M956&lt;&gt;"keep")</x:f>
        <x:v>0</x:v>
      </x:c>
      <x:c r="AG956" t="n">
        <x:f>--AND(S956=1,T956=1,U956=1,V956=1,W956=1,AE956=1)</x:f>
        <x:v>0</x:v>
      </x:c>
      <x:c r="AJ956" t="str">
        <x:f>IF(OR(AH956="",AI956=""),"",--(AH956&lt;&gt;AI956))</x:f>
      </x:c>
      <x:c r="AL956" t="str">
        <x:f>IF(OR(AH956="",AI956=""),"PENDING_HUMAN",IF(AH956=AI956,AH956,IF(AK956&lt;&gt;"",AK956,"PENDING_HUMAN")))</x:f>
        <x:v>PENDING_HUMAN</x:v>
      </x:c>
      <x:c r="AM956" t="n">
        <x:f>--AND(A956&lt;&gt;"",AH956&lt;&gt;"",AI956&lt;&gt;"",OR(AH956=AI956,AK956&lt;&gt;""))</x:f>
        <x:v>0</x:v>
      </x:c>
      <x:c r="AN956" t="n">
        <x:f>--AND(Y956&lt;&gt;"",COUNTIF($Y$4:Y956,Y956)=1)</x:f>
        <x:v>0</x:v>
      </x:c>
      <x:c r="AO956" t="n">
        <x:f>--AND(AN956=1,Z956=1,AM956=1)</x:f>
        <x:v>0</x:v>
      </x:c>
      <x:c r="AP956" t="n">
        <x:f>--AND(AO956=1,AA956=1,AL956=1)</x:f>
        <x:v>0</x:v>
      </x:c>
      <x:c r="AQ956" t="n">
        <x:f>--AND(AN956=1,Z956=1)</x:f>
        <x:v>0</x:v>
      </x:c>
      <x:c r="AR956" t="n">
        <x:f>--AND(AQ956=1,AA956=1)</x:f>
        <x:v>0</x:v>
      </x:c>
    </x:row>
    <x:row r="957">
      <x:c r="A957" s="28"/>
      <x:c r="B957" s="28"/>
      <x:c r="C957" s="28"/>
      <x:c r="D957" s="28"/>
      <x:c r="E957" s="28"/>
      <x:c r="F957" s="28"/>
      <x:c r="G957" s="28"/>
      <x:c r="H957" s="28"/>
      <x:c r="I957" s="28"/>
      <x:c r="J957" s="28"/>
      <x:c r="K957" s="28"/>
      <x:c r="L957" s="28"/>
      <x:c r="M957" s="28"/>
      <x:c r="N957" s="28"/>
      <x:c r="O957" s="28"/>
      <x:c r="P957" s="28"/>
      <x:c r="Q957" s="28"/>
      <x:c r="R957" s="28"/>
      <x:c r="S957" s="28"/>
      <x:c r="T957" s="28"/>
      <x:c r="U957" s="28"/>
      <x:c r="V957" s="28"/>
      <x:c r="W957" s="28"/>
      <x:c r="X957" s="43" t="n">
        <x:f>--AND(S957=1,T957=1,U957=1,V957=1,W957=1)</x:f>
        <x:v>0</x:v>
      </x:c>
      <x:c r="AE957" s="43" t="n">
        <x:f>--AND(S957=1,M957&lt;&gt;"",M957&lt;&gt;"keep")</x:f>
        <x:v>0</x:v>
      </x:c>
      <x:c r="AG957" t="n">
        <x:f>--AND(S957=1,T957=1,U957=1,V957=1,W957=1,AE957=1)</x:f>
        <x:v>0</x:v>
      </x:c>
      <x:c r="AJ957" t="str">
        <x:f>IF(OR(AH957="",AI957=""),"",--(AH957&lt;&gt;AI957))</x:f>
      </x:c>
      <x:c r="AL957" t="str">
        <x:f>IF(OR(AH957="",AI957=""),"PENDING_HUMAN",IF(AH957=AI957,AH957,IF(AK957&lt;&gt;"",AK957,"PENDING_HUMAN")))</x:f>
        <x:v>PENDING_HUMAN</x:v>
      </x:c>
      <x:c r="AM957" t="n">
        <x:f>--AND(A957&lt;&gt;"",AH957&lt;&gt;"",AI957&lt;&gt;"",OR(AH957=AI957,AK957&lt;&gt;""))</x:f>
        <x:v>0</x:v>
      </x:c>
      <x:c r="AN957" t="n">
        <x:f>--AND(Y957&lt;&gt;"",COUNTIF($Y$4:Y957,Y957)=1)</x:f>
        <x:v>0</x:v>
      </x:c>
      <x:c r="AO957" t="n">
        <x:f>--AND(AN957=1,Z957=1,AM957=1)</x:f>
        <x:v>0</x:v>
      </x:c>
      <x:c r="AP957" t="n">
        <x:f>--AND(AO957=1,AA957=1,AL957=1)</x:f>
        <x:v>0</x:v>
      </x:c>
      <x:c r="AQ957" t="n">
        <x:f>--AND(AN957=1,Z957=1)</x:f>
        <x:v>0</x:v>
      </x:c>
      <x:c r="AR957" t="n">
        <x:f>--AND(AQ957=1,AA957=1)</x:f>
        <x:v>0</x:v>
      </x:c>
    </x:row>
    <x:row r="958">
      <x:c r="A958" s="28"/>
      <x:c r="B958" s="28"/>
      <x:c r="C958" s="28"/>
      <x:c r="D958" s="28"/>
      <x:c r="E958" s="28"/>
      <x:c r="F958" s="28"/>
      <x:c r="G958" s="28"/>
      <x:c r="H958" s="28"/>
      <x:c r="I958" s="28"/>
      <x:c r="J958" s="28"/>
      <x:c r="K958" s="28"/>
      <x:c r="L958" s="28"/>
      <x:c r="M958" s="28"/>
      <x:c r="N958" s="28"/>
      <x:c r="O958" s="28"/>
      <x:c r="P958" s="28"/>
      <x:c r="Q958" s="28"/>
      <x:c r="R958" s="28"/>
      <x:c r="S958" s="28"/>
      <x:c r="T958" s="28"/>
      <x:c r="U958" s="28"/>
      <x:c r="V958" s="28"/>
      <x:c r="W958" s="28"/>
      <x:c r="X958" s="43" t="n">
        <x:f>--AND(S958=1,T958=1,U958=1,V958=1,W958=1)</x:f>
        <x:v>0</x:v>
      </x:c>
      <x:c r="AE958" s="43" t="n">
        <x:f>--AND(S958=1,M958&lt;&gt;"",M958&lt;&gt;"keep")</x:f>
        <x:v>0</x:v>
      </x:c>
      <x:c r="AG958" t="n">
        <x:f>--AND(S958=1,T958=1,U958=1,V958=1,W958=1,AE958=1)</x:f>
        <x:v>0</x:v>
      </x:c>
      <x:c r="AJ958" t="str">
        <x:f>IF(OR(AH958="",AI958=""),"",--(AH958&lt;&gt;AI958))</x:f>
      </x:c>
      <x:c r="AL958" t="str">
        <x:f>IF(OR(AH958="",AI958=""),"PENDING_HUMAN",IF(AH958=AI958,AH958,IF(AK958&lt;&gt;"",AK958,"PENDING_HUMAN")))</x:f>
        <x:v>PENDING_HUMAN</x:v>
      </x:c>
      <x:c r="AM958" t="n">
        <x:f>--AND(A958&lt;&gt;"",AH958&lt;&gt;"",AI958&lt;&gt;"",OR(AH958=AI958,AK958&lt;&gt;""))</x:f>
        <x:v>0</x:v>
      </x:c>
      <x:c r="AN958" t="n">
        <x:f>--AND(Y958&lt;&gt;"",COUNTIF($Y$4:Y958,Y958)=1)</x:f>
        <x:v>0</x:v>
      </x:c>
      <x:c r="AO958" t="n">
        <x:f>--AND(AN958=1,Z958=1,AM958=1)</x:f>
        <x:v>0</x:v>
      </x:c>
      <x:c r="AP958" t="n">
        <x:f>--AND(AO958=1,AA958=1,AL958=1)</x:f>
        <x:v>0</x:v>
      </x:c>
      <x:c r="AQ958" t="n">
        <x:f>--AND(AN958=1,Z958=1)</x:f>
        <x:v>0</x:v>
      </x:c>
      <x:c r="AR958" t="n">
        <x:f>--AND(AQ958=1,AA958=1)</x:f>
        <x:v>0</x:v>
      </x:c>
    </x:row>
    <x:row r="959">
      <x:c r="A959" s="28"/>
      <x:c r="B959" s="28"/>
      <x:c r="C959" s="28"/>
      <x:c r="D959" s="28"/>
      <x:c r="E959" s="28"/>
      <x:c r="F959" s="28"/>
      <x:c r="G959" s="28"/>
      <x:c r="H959" s="28"/>
      <x:c r="I959" s="28"/>
      <x:c r="J959" s="28"/>
      <x:c r="K959" s="28"/>
      <x:c r="L959" s="28"/>
      <x:c r="M959" s="28"/>
      <x:c r="N959" s="28"/>
      <x:c r="O959" s="28"/>
      <x:c r="P959" s="28"/>
      <x:c r="Q959" s="28"/>
      <x:c r="R959" s="28"/>
      <x:c r="S959" s="28"/>
      <x:c r="T959" s="28"/>
      <x:c r="U959" s="28"/>
      <x:c r="V959" s="28"/>
      <x:c r="W959" s="28"/>
      <x:c r="X959" s="43" t="n">
        <x:f>--AND(S959=1,T959=1,U959=1,V959=1,W959=1)</x:f>
        <x:v>0</x:v>
      </x:c>
      <x:c r="AE959" s="43" t="n">
        <x:f>--AND(S959=1,M959&lt;&gt;"",M959&lt;&gt;"keep")</x:f>
        <x:v>0</x:v>
      </x:c>
      <x:c r="AG959" t="n">
        <x:f>--AND(S959=1,T959=1,U959=1,V959=1,W959=1,AE959=1)</x:f>
        <x:v>0</x:v>
      </x:c>
      <x:c r="AJ959" t="str">
        <x:f>IF(OR(AH959="",AI959=""),"",--(AH959&lt;&gt;AI959))</x:f>
      </x:c>
      <x:c r="AL959" t="str">
        <x:f>IF(OR(AH959="",AI959=""),"PENDING_HUMAN",IF(AH959=AI959,AH959,IF(AK959&lt;&gt;"",AK959,"PENDING_HUMAN")))</x:f>
        <x:v>PENDING_HUMAN</x:v>
      </x:c>
      <x:c r="AM959" t="n">
        <x:f>--AND(A959&lt;&gt;"",AH959&lt;&gt;"",AI959&lt;&gt;"",OR(AH959=AI959,AK959&lt;&gt;""))</x:f>
        <x:v>0</x:v>
      </x:c>
      <x:c r="AN959" t="n">
        <x:f>--AND(Y959&lt;&gt;"",COUNTIF($Y$4:Y959,Y959)=1)</x:f>
        <x:v>0</x:v>
      </x:c>
      <x:c r="AO959" t="n">
        <x:f>--AND(AN959=1,Z959=1,AM959=1)</x:f>
        <x:v>0</x:v>
      </x:c>
      <x:c r="AP959" t="n">
        <x:f>--AND(AO959=1,AA959=1,AL959=1)</x:f>
        <x:v>0</x:v>
      </x:c>
      <x:c r="AQ959" t="n">
        <x:f>--AND(AN959=1,Z959=1)</x:f>
        <x:v>0</x:v>
      </x:c>
      <x:c r="AR959" t="n">
        <x:f>--AND(AQ959=1,AA959=1)</x:f>
        <x:v>0</x:v>
      </x:c>
    </x:row>
    <x:row r="960">
      <x:c r="A960" s="28"/>
      <x:c r="B960" s="28"/>
      <x:c r="C960" s="28"/>
      <x:c r="D960" s="28"/>
      <x:c r="E960" s="28"/>
      <x:c r="F960" s="28"/>
      <x:c r="G960" s="28"/>
      <x:c r="H960" s="28"/>
      <x:c r="I960" s="28"/>
      <x:c r="J960" s="28"/>
      <x:c r="K960" s="28"/>
      <x:c r="L960" s="28"/>
      <x:c r="M960" s="28"/>
      <x:c r="N960" s="28"/>
      <x:c r="O960" s="28"/>
      <x:c r="P960" s="28"/>
      <x:c r="Q960" s="28"/>
      <x:c r="R960" s="28"/>
      <x:c r="S960" s="28"/>
      <x:c r="T960" s="28"/>
      <x:c r="U960" s="28"/>
      <x:c r="V960" s="28"/>
      <x:c r="W960" s="28"/>
      <x:c r="X960" s="43" t="n">
        <x:f>--AND(S960=1,T960=1,U960=1,V960=1,W960=1)</x:f>
        <x:v>0</x:v>
      </x:c>
      <x:c r="AE960" s="43" t="n">
        <x:f>--AND(S960=1,M960&lt;&gt;"",M960&lt;&gt;"keep")</x:f>
        <x:v>0</x:v>
      </x:c>
      <x:c r="AG960" t="n">
        <x:f>--AND(S960=1,T960=1,U960=1,V960=1,W960=1,AE960=1)</x:f>
        <x:v>0</x:v>
      </x:c>
      <x:c r="AJ960" t="str">
        <x:f>IF(OR(AH960="",AI960=""),"",--(AH960&lt;&gt;AI960))</x:f>
      </x:c>
      <x:c r="AL960" t="str">
        <x:f>IF(OR(AH960="",AI960=""),"PENDING_HUMAN",IF(AH960=AI960,AH960,IF(AK960&lt;&gt;"",AK960,"PENDING_HUMAN")))</x:f>
        <x:v>PENDING_HUMAN</x:v>
      </x:c>
      <x:c r="AM960" t="n">
        <x:f>--AND(A960&lt;&gt;"",AH960&lt;&gt;"",AI960&lt;&gt;"",OR(AH960=AI960,AK960&lt;&gt;""))</x:f>
        <x:v>0</x:v>
      </x:c>
      <x:c r="AN960" t="n">
        <x:f>--AND(Y960&lt;&gt;"",COUNTIF($Y$4:Y960,Y960)=1)</x:f>
        <x:v>0</x:v>
      </x:c>
      <x:c r="AO960" t="n">
        <x:f>--AND(AN960=1,Z960=1,AM960=1)</x:f>
        <x:v>0</x:v>
      </x:c>
      <x:c r="AP960" t="n">
        <x:f>--AND(AO960=1,AA960=1,AL960=1)</x:f>
        <x:v>0</x:v>
      </x:c>
      <x:c r="AQ960" t="n">
        <x:f>--AND(AN960=1,Z960=1)</x:f>
        <x:v>0</x:v>
      </x:c>
      <x:c r="AR960" t="n">
        <x:f>--AND(AQ960=1,AA960=1)</x:f>
        <x:v>0</x:v>
      </x:c>
    </x:row>
    <x:row r="961">
      <x:c r="A961" s="28"/>
      <x:c r="B961" s="28"/>
      <x:c r="C961" s="28"/>
      <x:c r="D961" s="28"/>
      <x:c r="E961" s="28"/>
      <x:c r="F961" s="28"/>
      <x:c r="G961" s="28"/>
      <x:c r="H961" s="28"/>
      <x:c r="I961" s="28"/>
      <x:c r="J961" s="28"/>
      <x:c r="K961" s="28"/>
      <x:c r="L961" s="28"/>
      <x:c r="M961" s="28"/>
      <x:c r="N961" s="28"/>
      <x:c r="O961" s="28"/>
      <x:c r="P961" s="28"/>
      <x:c r="Q961" s="28"/>
      <x:c r="R961" s="28"/>
      <x:c r="S961" s="28"/>
      <x:c r="T961" s="28"/>
      <x:c r="U961" s="28"/>
      <x:c r="V961" s="28"/>
      <x:c r="W961" s="28"/>
      <x:c r="X961" s="43" t="n">
        <x:f>--AND(S961=1,T961=1,U961=1,V961=1,W961=1)</x:f>
        <x:v>0</x:v>
      </x:c>
      <x:c r="AE961" s="43" t="n">
        <x:f>--AND(S961=1,M961&lt;&gt;"",M961&lt;&gt;"keep")</x:f>
        <x:v>0</x:v>
      </x:c>
      <x:c r="AG961" t="n">
        <x:f>--AND(S961=1,T961=1,U961=1,V961=1,W961=1,AE961=1)</x:f>
        <x:v>0</x:v>
      </x:c>
      <x:c r="AJ961" t="str">
        <x:f>IF(OR(AH961="",AI961=""),"",--(AH961&lt;&gt;AI961))</x:f>
      </x:c>
      <x:c r="AL961" t="str">
        <x:f>IF(OR(AH961="",AI961=""),"PENDING_HUMAN",IF(AH961=AI961,AH961,IF(AK961&lt;&gt;"",AK961,"PENDING_HUMAN")))</x:f>
        <x:v>PENDING_HUMAN</x:v>
      </x:c>
      <x:c r="AM961" t="n">
        <x:f>--AND(A961&lt;&gt;"",AH961&lt;&gt;"",AI961&lt;&gt;"",OR(AH961=AI961,AK961&lt;&gt;""))</x:f>
        <x:v>0</x:v>
      </x:c>
      <x:c r="AN961" t="n">
        <x:f>--AND(Y961&lt;&gt;"",COUNTIF($Y$4:Y961,Y961)=1)</x:f>
        <x:v>0</x:v>
      </x:c>
      <x:c r="AO961" t="n">
        <x:f>--AND(AN961=1,Z961=1,AM961=1)</x:f>
        <x:v>0</x:v>
      </x:c>
      <x:c r="AP961" t="n">
        <x:f>--AND(AO961=1,AA961=1,AL961=1)</x:f>
        <x:v>0</x:v>
      </x:c>
      <x:c r="AQ961" t="n">
        <x:f>--AND(AN961=1,Z961=1)</x:f>
        <x:v>0</x:v>
      </x:c>
      <x:c r="AR961" t="n">
        <x:f>--AND(AQ961=1,AA961=1)</x:f>
        <x:v>0</x:v>
      </x:c>
    </x:row>
    <x:row r="962">
      <x:c r="A962" s="28"/>
      <x:c r="B962" s="28"/>
      <x:c r="C962" s="28"/>
      <x:c r="D962" s="28"/>
      <x:c r="E962" s="28"/>
      <x:c r="F962" s="28"/>
      <x:c r="G962" s="28"/>
      <x:c r="H962" s="28"/>
      <x:c r="I962" s="28"/>
      <x:c r="J962" s="28"/>
      <x:c r="K962" s="28"/>
      <x:c r="L962" s="28"/>
      <x:c r="M962" s="28"/>
      <x:c r="N962" s="28"/>
      <x:c r="O962" s="28"/>
      <x:c r="P962" s="28"/>
      <x:c r="Q962" s="28"/>
      <x:c r="R962" s="28"/>
      <x:c r="S962" s="28"/>
      <x:c r="T962" s="28"/>
      <x:c r="U962" s="28"/>
      <x:c r="V962" s="28"/>
      <x:c r="W962" s="28"/>
      <x:c r="X962" s="43" t="n">
        <x:f>--AND(S962=1,T962=1,U962=1,V962=1,W962=1)</x:f>
        <x:v>0</x:v>
      </x:c>
      <x:c r="AE962" s="43" t="n">
        <x:f>--AND(S962=1,M962&lt;&gt;"",M962&lt;&gt;"keep")</x:f>
        <x:v>0</x:v>
      </x:c>
      <x:c r="AG962" t="n">
        <x:f>--AND(S962=1,T962=1,U962=1,V962=1,W962=1,AE962=1)</x:f>
        <x:v>0</x:v>
      </x:c>
      <x:c r="AJ962" t="str">
        <x:f>IF(OR(AH962="",AI962=""),"",--(AH962&lt;&gt;AI962))</x:f>
      </x:c>
      <x:c r="AL962" t="str">
        <x:f>IF(OR(AH962="",AI962=""),"PENDING_HUMAN",IF(AH962=AI962,AH962,IF(AK962&lt;&gt;"",AK962,"PENDING_HUMAN")))</x:f>
        <x:v>PENDING_HUMAN</x:v>
      </x:c>
      <x:c r="AM962" t="n">
        <x:f>--AND(A962&lt;&gt;"",AH962&lt;&gt;"",AI962&lt;&gt;"",OR(AH962=AI962,AK962&lt;&gt;""))</x:f>
        <x:v>0</x:v>
      </x:c>
      <x:c r="AN962" t="n">
        <x:f>--AND(Y962&lt;&gt;"",COUNTIF($Y$4:Y962,Y962)=1)</x:f>
        <x:v>0</x:v>
      </x:c>
      <x:c r="AO962" t="n">
        <x:f>--AND(AN962=1,Z962=1,AM962=1)</x:f>
        <x:v>0</x:v>
      </x:c>
      <x:c r="AP962" t="n">
        <x:f>--AND(AO962=1,AA962=1,AL962=1)</x:f>
        <x:v>0</x:v>
      </x:c>
      <x:c r="AQ962" t="n">
        <x:f>--AND(AN962=1,Z962=1)</x:f>
        <x:v>0</x:v>
      </x:c>
      <x:c r="AR962" t="n">
        <x:f>--AND(AQ962=1,AA962=1)</x:f>
        <x:v>0</x:v>
      </x:c>
    </x:row>
    <x:row r="963">
      <x:c r="A963" s="28"/>
      <x:c r="B963" s="28"/>
      <x:c r="C963" s="28"/>
      <x:c r="D963" s="28"/>
      <x:c r="E963" s="28"/>
      <x:c r="F963" s="28"/>
      <x:c r="G963" s="28"/>
      <x:c r="H963" s="28"/>
      <x:c r="I963" s="28"/>
      <x:c r="J963" s="28"/>
      <x:c r="K963" s="28"/>
      <x:c r="L963" s="28"/>
      <x:c r="M963" s="28"/>
      <x:c r="N963" s="28"/>
      <x:c r="O963" s="28"/>
      <x:c r="P963" s="28"/>
      <x:c r="Q963" s="28"/>
      <x:c r="R963" s="28"/>
      <x:c r="S963" s="28"/>
      <x:c r="T963" s="28"/>
      <x:c r="U963" s="28"/>
      <x:c r="V963" s="28"/>
      <x:c r="W963" s="28"/>
      <x:c r="X963" s="43" t="n">
        <x:f>--AND(S963=1,T963=1,U963=1,V963=1,W963=1)</x:f>
        <x:v>0</x:v>
      </x:c>
      <x:c r="AE963" s="43" t="n">
        <x:f>--AND(S963=1,M963&lt;&gt;"",M963&lt;&gt;"keep")</x:f>
        <x:v>0</x:v>
      </x:c>
      <x:c r="AG963" t="n">
        <x:f>--AND(S963=1,T963=1,U963=1,V963=1,W963=1,AE963=1)</x:f>
        <x:v>0</x:v>
      </x:c>
      <x:c r="AJ963" t="str">
        <x:f>IF(OR(AH963="",AI963=""),"",--(AH963&lt;&gt;AI963))</x:f>
      </x:c>
      <x:c r="AL963" t="str">
        <x:f>IF(OR(AH963="",AI963=""),"PENDING_HUMAN",IF(AH963=AI963,AH963,IF(AK963&lt;&gt;"",AK963,"PENDING_HUMAN")))</x:f>
        <x:v>PENDING_HUMAN</x:v>
      </x:c>
      <x:c r="AM963" t="n">
        <x:f>--AND(A963&lt;&gt;"",AH963&lt;&gt;"",AI963&lt;&gt;"",OR(AH963=AI963,AK963&lt;&gt;""))</x:f>
        <x:v>0</x:v>
      </x:c>
      <x:c r="AN963" t="n">
        <x:f>--AND(Y963&lt;&gt;"",COUNTIF($Y$4:Y963,Y963)=1)</x:f>
        <x:v>0</x:v>
      </x:c>
      <x:c r="AO963" t="n">
        <x:f>--AND(AN963=1,Z963=1,AM963=1)</x:f>
        <x:v>0</x:v>
      </x:c>
      <x:c r="AP963" t="n">
        <x:f>--AND(AO963=1,AA963=1,AL963=1)</x:f>
        <x:v>0</x:v>
      </x:c>
      <x:c r="AQ963" t="n">
        <x:f>--AND(AN963=1,Z963=1)</x:f>
        <x:v>0</x:v>
      </x:c>
      <x:c r="AR963" t="n">
        <x:f>--AND(AQ963=1,AA963=1)</x:f>
        <x:v>0</x:v>
      </x:c>
    </x:row>
    <x:row r="964">
      <x:c r="A964" s="28"/>
      <x:c r="B964" s="28"/>
      <x:c r="C964" s="28"/>
      <x:c r="D964" s="28"/>
      <x:c r="E964" s="28"/>
      <x:c r="F964" s="28"/>
      <x:c r="G964" s="28"/>
      <x:c r="H964" s="28"/>
      <x:c r="I964" s="28"/>
      <x:c r="J964" s="28"/>
      <x:c r="K964" s="28"/>
      <x:c r="L964" s="28"/>
      <x:c r="M964" s="28"/>
      <x:c r="N964" s="28"/>
      <x:c r="O964" s="28"/>
      <x:c r="P964" s="28"/>
      <x:c r="Q964" s="28"/>
      <x:c r="R964" s="28"/>
      <x:c r="S964" s="28"/>
      <x:c r="T964" s="28"/>
      <x:c r="U964" s="28"/>
      <x:c r="V964" s="28"/>
      <x:c r="W964" s="28"/>
      <x:c r="X964" s="43" t="n">
        <x:f>--AND(S964=1,T964=1,U964=1,V964=1,W964=1)</x:f>
        <x:v>0</x:v>
      </x:c>
      <x:c r="AE964" s="43" t="n">
        <x:f>--AND(S964=1,M964&lt;&gt;"",M964&lt;&gt;"keep")</x:f>
        <x:v>0</x:v>
      </x:c>
      <x:c r="AG964" t="n">
        <x:f>--AND(S964=1,T964=1,U964=1,V964=1,W964=1,AE964=1)</x:f>
        <x:v>0</x:v>
      </x:c>
      <x:c r="AJ964" t="str">
        <x:f>IF(OR(AH964="",AI964=""),"",--(AH964&lt;&gt;AI964))</x:f>
      </x:c>
      <x:c r="AL964" t="str">
        <x:f>IF(OR(AH964="",AI964=""),"PENDING_HUMAN",IF(AH964=AI964,AH964,IF(AK964&lt;&gt;"",AK964,"PENDING_HUMAN")))</x:f>
        <x:v>PENDING_HUMAN</x:v>
      </x:c>
      <x:c r="AM964" t="n">
        <x:f>--AND(A964&lt;&gt;"",AH964&lt;&gt;"",AI964&lt;&gt;"",OR(AH964=AI964,AK964&lt;&gt;""))</x:f>
        <x:v>0</x:v>
      </x:c>
      <x:c r="AN964" t="n">
        <x:f>--AND(Y964&lt;&gt;"",COUNTIF($Y$4:Y964,Y964)=1)</x:f>
        <x:v>0</x:v>
      </x:c>
      <x:c r="AO964" t="n">
        <x:f>--AND(AN964=1,Z964=1,AM964=1)</x:f>
        <x:v>0</x:v>
      </x:c>
      <x:c r="AP964" t="n">
        <x:f>--AND(AO964=1,AA964=1,AL964=1)</x:f>
        <x:v>0</x:v>
      </x:c>
      <x:c r="AQ964" t="n">
        <x:f>--AND(AN964=1,Z964=1)</x:f>
        <x:v>0</x:v>
      </x:c>
      <x:c r="AR964" t="n">
        <x:f>--AND(AQ964=1,AA964=1)</x:f>
        <x:v>0</x:v>
      </x:c>
    </x:row>
    <x:row r="965">
      <x:c r="A965" s="28"/>
      <x:c r="B965" s="28"/>
      <x:c r="C965" s="28"/>
      <x:c r="D965" s="28"/>
      <x:c r="E965" s="28"/>
      <x:c r="F965" s="28"/>
      <x:c r="G965" s="28"/>
      <x:c r="H965" s="28"/>
      <x:c r="I965" s="28"/>
      <x:c r="J965" s="28"/>
      <x:c r="K965" s="28"/>
      <x:c r="L965" s="28"/>
      <x:c r="M965" s="28"/>
      <x:c r="N965" s="28"/>
      <x:c r="O965" s="28"/>
      <x:c r="P965" s="28"/>
      <x:c r="Q965" s="28"/>
      <x:c r="R965" s="28"/>
      <x:c r="S965" s="28"/>
      <x:c r="T965" s="28"/>
      <x:c r="U965" s="28"/>
      <x:c r="V965" s="28"/>
      <x:c r="W965" s="28"/>
      <x:c r="X965" s="43" t="n">
        <x:f>--AND(S965=1,T965=1,U965=1,V965=1,W965=1)</x:f>
        <x:v>0</x:v>
      </x:c>
      <x:c r="AE965" s="43" t="n">
        <x:f>--AND(S965=1,M965&lt;&gt;"",M965&lt;&gt;"keep")</x:f>
        <x:v>0</x:v>
      </x:c>
      <x:c r="AG965" t="n">
        <x:f>--AND(S965=1,T965=1,U965=1,V965=1,W965=1,AE965=1)</x:f>
        <x:v>0</x:v>
      </x:c>
      <x:c r="AJ965" t="str">
        <x:f>IF(OR(AH965="",AI965=""),"",--(AH965&lt;&gt;AI965))</x:f>
      </x:c>
      <x:c r="AL965" t="str">
        <x:f>IF(OR(AH965="",AI965=""),"PENDING_HUMAN",IF(AH965=AI965,AH965,IF(AK965&lt;&gt;"",AK965,"PENDING_HUMAN")))</x:f>
        <x:v>PENDING_HUMAN</x:v>
      </x:c>
      <x:c r="AM965" t="n">
        <x:f>--AND(A965&lt;&gt;"",AH965&lt;&gt;"",AI965&lt;&gt;"",OR(AH965=AI965,AK965&lt;&gt;""))</x:f>
        <x:v>0</x:v>
      </x:c>
      <x:c r="AN965" t="n">
        <x:f>--AND(Y965&lt;&gt;"",COUNTIF($Y$4:Y965,Y965)=1)</x:f>
        <x:v>0</x:v>
      </x:c>
      <x:c r="AO965" t="n">
        <x:f>--AND(AN965=1,Z965=1,AM965=1)</x:f>
        <x:v>0</x:v>
      </x:c>
      <x:c r="AP965" t="n">
        <x:f>--AND(AO965=1,AA965=1,AL965=1)</x:f>
        <x:v>0</x:v>
      </x:c>
      <x:c r="AQ965" t="n">
        <x:f>--AND(AN965=1,Z965=1)</x:f>
        <x:v>0</x:v>
      </x:c>
      <x:c r="AR965" t="n">
        <x:f>--AND(AQ965=1,AA965=1)</x:f>
        <x:v>0</x:v>
      </x:c>
    </x:row>
    <x:row r="966">
      <x:c r="A966" s="28"/>
      <x:c r="B966" s="28"/>
      <x:c r="C966" s="28"/>
      <x:c r="D966" s="28"/>
      <x:c r="E966" s="28"/>
      <x:c r="F966" s="28"/>
      <x:c r="G966" s="28"/>
      <x:c r="H966" s="28"/>
      <x:c r="I966" s="28"/>
      <x:c r="J966" s="28"/>
      <x:c r="K966" s="28"/>
      <x:c r="L966" s="28"/>
      <x:c r="M966" s="28"/>
      <x:c r="N966" s="28"/>
      <x:c r="O966" s="28"/>
      <x:c r="P966" s="28"/>
      <x:c r="Q966" s="28"/>
      <x:c r="R966" s="28"/>
      <x:c r="S966" s="28"/>
      <x:c r="T966" s="28"/>
      <x:c r="U966" s="28"/>
      <x:c r="V966" s="28"/>
      <x:c r="W966" s="28"/>
      <x:c r="X966" s="43" t="n">
        <x:f>--AND(S966=1,T966=1,U966=1,V966=1,W966=1)</x:f>
        <x:v>0</x:v>
      </x:c>
      <x:c r="AE966" s="43" t="n">
        <x:f>--AND(S966=1,M966&lt;&gt;"",M966&lt;&gt;"keep")</x:f>
        <x:v>0</x:v>
      </x:c>
      <x:c r="AG966" t="n">
        <x:f>--AND(S966=1,T966=1,U966=1,V966=1,W966=1,AE966=1)</x:f>
        <x:v>0</x:v>
      </x:c>
      <x:c r="AJ966" t="str">
        <x:f>IF(OR(AH966="",AI966=""),"",--(AH966&lt;&gt;AI966))</x:f>
      </x:c>
      <x:c r="AL966" t="str">
        <x:f>IF(OR(AH966="",AI966=""),"PENDING_HUMAN",IF(AH966=AI966,AH966,IF(AK966&lt;&gt;"",AK966,"PENDING_HUMAN")))</x:f>
        <x:v>PENDING_HUMAN</x:v>
      </x:c>
      <x:c r="AM966" t="n">
        <x:f>--AND(A966&lt;&gt;"",AH966&lt;&gt;"",AI966&lt;&gt;"",OR(AH966=AI966,AK966&lt;&gt;""))</x:f>
        <x:v>0</x:v>
      </x:c>
      <x:c r="AN966" t="n">
        <x:f>--AND(Y966&lt;&gt;"",COUNTIF($Y$4:Y966,Y966)=1)</x:f>
        <x:v>0</x:v>
      </x:c>
      <x:c r="AO966" t="n">
        <x:f>--AND(AN966=1,Z966=1,AM966=1)</x:f>
        <x:v>0</x:v>
      </x:c>
      <x:c r="AP966" t="n">
        <x:f>--AND(AO966=1,AA966=1,AL966=1)</x:f>
        <x:v>0</x:v>
      </x:c>
      <x:c r="AQ966" t="n">
        <x:f>--AND(AN966=1,Z966=1)</x:f>
        <x:v>0</x:v>
      </x:c>
      <x:c r="AR966" t="n">
        <x:f>--AND(AQ966=1,AA966=1)</x:f>
        <x:v>0</x:v>
      </x:c>
    </x:row>
    <x:row r="967">
      <x:c r="A967" s="28"/>
      <x:c r="B967" s="28"/>
      <x:c r="C967" s="28"/>
      <x:c r="D967" s="28"/>
      <x:c r="E967" s="28"/>
      <x:c r="F967" s="28"/>
      <x:c r="G967" s="28"/>
      <x:c r="H967" s="28"/>
      <x:c r="I967" s="28"/>
      <x:c r="J967" s="28"/>
      <x:c r="K967" s="28"/>
      <x:c r="L967" s="28"/>
      <x:c r="M967" s="28"/>
      <x:c r="N967" s="28"/>
      <x:c r="O967" s="28"/>
      <x:c r="P967" s="28"/>
      <x:c r="Q967" s="28"/>
      <x:c r="R967" s="28"/>
      <x:c r="S967" s="28"/>
      <x:c r="T967" s="28"/>
      <x:c r="U967" s="28"/>
      <x:c r="V967" s="28"/>
      <x:c r="W967" s="28"/>
      <x:c r="X967" s="43" t="n">
        <x:f>--AND(S967=1,T967=1,U967=1,V967=1,W967=1)</x:f>
        <x:v>0</x:v>
      </x:c>
      <x:c r="AE967" s="43" t="n">
        <x:f>--AND(S967=1,M967&lt;&gt;"",M967&lt;&gt;"keep")</x:f>
        <x:v>0</x:v>
      </x:c>
      <x:c r="AG967" t="n">
        <x:f>--AND(S967=1,T967=1,U967=1,V967=1,W967=1,AE967=1)</x:f>
        <x:v>0</x:v>
      </x:c>
      <x:c r="AJ967" t="str">
        <x:f>IF(OR(AH967="",AI967=""),"",--(AH967&lt;&gt;AI967))</x:f>
      </x:c>
      <x:c r="AL967" t="str">
        <x:f>IF(OR(AH967="",AI967=""),"PENDING_HUMAN",IF(AH967=AI967,AH967,IF(AK967&lt;&gt;"",AK967,"PENDING_HUMAN")))</x:f>
        <x:v>PENDING_HUMAN</x:v>
      </x:c>
      <x:c r="AM967" t="n">
        <x:f>--AND(A967&lt;&gt;"",AH967&lt;&gt;"",AI967&lt;&gt;"",OR(AH967=AI967,AK967&lt;&gt;""))</x:f>
        <x:v>0</x:v>
      </x:c>
      <x:c r="AN967" t="n">
        <x:f>--AND(Y967&lt;&gt;"",COUNTIF($Y$4:Y967,Y967)=1)</x:f>
        <x:v>0</x:v>
      </x:c>
      <x:c r="AO967" t="n">
        <x:f>--AND(AN967=1,Z967=1,AM967=1)</x:f>
        <x:v>0</x:v>
      </x:c>
      <x:c r="AP967" t="n">
        <x:f>--AND(AO967=1,AA967=1,AL967=1)</x:f>
        <x:v>0</x:v>
      </x:c>
      <x:c r="AQ967" t="n">
        <x:f>--AND(AN967=1,Z967=1)</x:f>
        <x:v>0</x:v>
      </x:c>
      <x:c r="AR967" t="n">
        <x:f>--AND(AQ967=1,AA967=1)</x:f>
        <x:v>0</x:v>
      </x:c>
    </x:row>
    <x:row r="968">
      <x:c r="A968" s="28"/>
      <x:c r="B968" s="28"/>
      <x:c r="C968" s="28"/>
      <x:c r="D968" s="28"/>
      <x:c r="E968" s="28"/>
      <x:c r="F968" s="28"/>
      <x:c r="G968" s="28"/>
      <x:c r="H968" s="28"/>
      <x:c r="I968" s="28"/>
      <x:c r="J968" s="28"/>
      <x:c r="K968" s="28"/>
      <x:c r="L968" s="28"/>
      <x:c r="M968" s="28"/>
      <x:c r="N968" s="28"/>
      <x:c r="O968" s="28"/>
      <x:c r="P968" s="28"/>
      <x:c r="Q968" s="28"/>
      <x:c r="R968" s="28"/>
      <x:c r="S968" s="28"/>
      <x:c r="T968" s="28"/>
      <x:c r="U968" s="28"/>
      <x:c r="V968" s="28"/>
      <x:c r="W968" s="28"/>
      <x:c r="X968" s="43" t="n">
        <x:f>--AND(S968=1,T968=1,U968=1,V968=1,W968=1)</x:f>
        <x:v>0</x:v>
      </x:c>
      <x:c r="AE968" s="43" t="n">
        <x:f>--AND(S968=1,M968&lt;&gt;"",M968&lt;&gt;"keep")</x:f>
        <x:v>0</x:v>
      </x:c>
      <x:c r="AG968" t="n">
        <x:f>--AND(S968=1,T968=1,U968=1,V968=1,W968=1,AE968=1)</x:f>
        <x:v>0</x:v>
      </x:c>
      <x:c r="AJ968" t="str">
        <x:f>IF(OR(AH968="",AI968=""),"",--(AH968&lt;&gt;AI968))</x:f>
      </x:c>
      <x:c r="AL968" t="str">
        <x:f>IF(OR(AH968="",AI968=""),"PENDING_HUMAN",IF(AH968=AI968,AH968,IF(AK968&lt;&gt;"",AK968,"PENDING_HUMAN")))</x:f>
        <x:v>PENDING_HUMAN</x:v>
      </x:c>
      <x:c r="AM968" t="n">
        <x:f>--AND(A968&lt;&gt;"",AH968&lt;&gt;"",AI968&lt;&gt;"",OR(AH968=AI968,AK968&lt;&gt;""))</x:f>
        <x:v>0</x:v>
      </x:c>
      <x:c r="AN968" t="n">
        <x:f>--AND(Y968&lt;&gt;"",COUNTIF($Y$4:Y968,Y968)=1)</x:f>
        <x:v>0</x:v>
      </x:c>
      <x:c r="AO968" t="n">
        <x:f>--AND(AN968=1,Z968=1,AM968=1)</x:f>
        <x:v>0</x:v>
      </x:c>
      <x:c r="AP968" t="n">
        <x:f>--AND(AO968=1,AA968=1,AL968=1)</x:f>
        <x:v>0</x:v>
      </x:c>
      <x:c r="AQ968" t="n">
        <x:f>--AND(AN968=1,Z968=1)</x:f>
        <x:v>0</x:v>
      </x:c>
      <x:c r="AR968" t="n">
        <x:f>--AND(AQ968=1,AA968=1)</x:f>
        <x:v>0</x:v>
      </x:c>
    </x:row>
    <x:row r="969">
      <x:c r="A969" s="28"/>
      <x:c r="B969" s="28"/>
      <x:c r="C969" s="28"/>
      <x:c r="D969" s="28"/>
      <x:c r="E969" s="28"/>
      <x:c r="F969" s="28"/>
      <x:c r="G969" s="28"/>
      <x:c r="H969" s="28"/>
      <x:c r="I969" s="28"/>
      <x:c r="J969" s="28"/>
      <x:c r="K969" s="28"/>
      <x:c r="L969" s="28"/>
      <x:c r="M969" s="28"/>
      <x:c r="N969" s="28"/>
      <x:c r="O969" s="28"/>
      <x:c r="P969" s="28"/>
      <x:c r="Q969" s="28"/>
      <x:c r="R969" s="28"/>
      <x:c r="S969" s="28"/>
      <x:c r="T969" s="28"/>
      <x:c r="U969" s="28"/>
      <x:c r="V969" s="28"/>
      <x:c r="W969" s="28"/>
      <x:c r="X969" s="43" t="n">
        <x:f>--AND(S969=1,T969=1,U969=1,V969=1,W969=1)</x:f>
        <x:v>0</x:v>
      </x:c>
      <x:c r="AE969" s="43" t="n">
        <x:f>--AND(S969=1,M969&lt;&gt;"",M969&lt;&gt;"keep")</x:f>
        <x:v>0</x:v>
      </x:c>
      <x:c r="AG969" t="n">
        <x:f>--AND(S969=1,T969=1,U969=1,V969=1,W969=1,AE969=1)</x:f>
        <x:v>0</x:v>
      </x:c>
      <x:c r="AJ969" t="str">
        <x:f>IF(OR(AH969="",AI969=""),"",--(AH969&lt;&gt;AI969))</x:f>
      </x:c>
      <x:c r="AL969" t="str">
        <x:f>IF(OR(AH969="",AI969=""),"PENDING_HUMAN",IF(AH969=AI969,AH969,IF(AK969&lt;&gt;"",AK969,"PENDING_HUMAN")))</x:f>
        <x:v>PENDING_HUMAN</x:v>
      </x:c>
      <x:c r="AM969" t="n">
        <x:f>--AND(A969&lt;&gt;"",AH969&lt;&gt;"",AI969&lt;&gt;"",OR(AH969=AI969,AK969&lt;&gt;""))</x:f>
        <x:v>0</x:v>
      </x:c>
      <x:c r="AN969" t="n">
        <x:f>--AND(Y969&lt;&gt;"",COUNTIF($Y$4:Y969,Y969)=1)</x:f>
        <x:v>0</x:v>
      </x:c>
      <x:c r="AO969" t="n">
        <x:f>--AND(AN969=1,Z969=1,AM969=1)</x:f>
        <x:v>0</x:v>
      </x:c>
      <x:c r="AP969" t="n">
        <x:f>--AND(AO969=1,AA969=1,AL969=1)</x:f>
        <x:v>0</x:v>
      </x:c>
      <x:c r="AQ969" t="n">
        <x:f>--AND(AN969=1,Z969=1)</x:f>
        <x:v>0</x:v>
      </x:c>
      <x:c r="AR969" t="n">
        <x:f>--AND(AQ969=1,AA969=1)</x:f>
        <x:v>0</x:v>
      </x:c>
    </x:row>
    <x:row r="970">
      <x:c r="A970" s="28"/>
      <x:c r="B970" s="28"/>
      <x:c r="C970" s="28"/>
      <x:c r="D970" s="28"/>
      <x:c r="E970" s="28"/>
      <x:c r="F970" s="28"/>
      <x:c r="G970" s="28"/>
      <x:c r="H970" s="28"/>
      <x:c r="I970" s="28"/>
      <x:c r="J970" s="28"/>
      <x:c r="K970" s="28"/>
      <x:c r="L970" s="28"/>
      <x:c r="M970" s="28"/>
      <x:c r="N970" s="28"/>
      <x:c r="O970" s="28"/>
      <x:c r="P970" s="28"/>
      <x:c r="Q970" s="28"/>
      <x:c r="R970" s="28"/>
      <x:c r="S970" s="28"/>
      <x:c r="T970" s="28"/>
      <x:c r="U970" s="28"/>
      <x:c r="V970" s="28"/>
      <x:c r="W970" s="28"/>
      <x:c r="X970" s="43" t="n">
        <x:f>--AND(S970=1,T970=1,U970=1,V970=1,W970=1)</x:f>
        <x:v>0</x:v>
      </x:c>
      <x:c r="AE970" s="43" t="n">
        <x:f>--AND(S970=1,M970&lt;&gt;"",M970&lt;&gt;"keep")</x:f>
        <x:v>0</x:v>
      </x:c>
      <x:c r="AG970" t="n">
        <x:f>--AND(S970=1,T970=1,U970=1,V970=1,W970=1,AE970=1)</x:f>
        <x:v>0</x:v>
      </x:c>
      <x:c r="AJ970" t="str">
        <x:f>IF(OR(AH970="",AI970=""),"",--(AH970&lt;&gt;AI970))</x:f>
      </x:c>
      <x:c r="AL970" t="str">
        <x:f>IF(OR(AH970="",AI970=""),"PENDING_HUMAN",IF(AH970=AI970,AH970,IF(AK970&lt;&gt;"",AK970,"PENDING_HUMAN")))</x:f>
        <x:v>PENDING_HUMAN</x:v>
      </x:c>
      <x:c r="AM970" t="n">
        <x:f>--AND(A970&lt;&gt;"",AH970&lt;&gt;"",AI970&lt;&gt;"",OR(AH970=AI970,AK970&lt;&gt;""))</x:f>
        <x:v>0</x:v>
      </x:c>
      <x:c r="AN970" t="n">
        <x:f>--AND(Y970&lt;&gt;"",COUNTIF($Y$4:Y970,Y970)=1)</x:f>
        <x:v>0</x:v>
      </x:c>
      <x:c r="AO970" t="n">
        <x:f>--AND(AN970=1,Z970=1,AM970=1)</x:f>
        <x:v>0</x:v>
      </x:c>
      <x:c r="AP970" t="n">
        <x:f>--AND(AO970=1,AA970=1,AL970=1)</x:f>
        <x:v>0</x:v>
      </x:c>
      <x:c r="AQ970" t="n">
        <x:f>--AND(AN970=1,Z970=1)</x:f>
        <x:v>0</x:v>
      </x:c>
      <x:c r="AR970" t="n">
        <x:f>--AND(AQ970=1,AA970=1)</x:f>
        <x:v>0</x:v>
      </x:c>
    </x:row>
    <x:row r="971">
      <x:c r="A971" s="28"/>
      <x:c r="B971" s="28"/>
      <x:c r="C971" s="28"/>
      <x:c r="D971" s="28"/>
      <x:c r="E971" s="28"/>
      <x:c r="F971" s="28"/>
      <x:c r="G971" s="28"/>
      <x:c r="H971" s="28"/>
      <x:c r="I971" s="28"/>
      <x:c r="J971" s="28"/>
      <x:c r="K971" s="28"/>
      <x:c r="L971" s="28"/>
      <x:c r="M971" s="28"/>
      <x:c r="N971" s="28"/>
      <x:c r="O971" s="28"/>
      <x:c r="P971" s="28"/>
      <x:c r="Q971" s="28"/>
      <x:c r="R971" s="28"/>
      <x:c r="S971" s="28"/>
      <x:c r="T971" s="28"/>
      <x:c r="U971" s="28"/>
      <x:c r="V971" s="28"/>
      <x:c r="W971" s="28"/>
      <x:c r="X971" s="43" t="n">
        <x:f>--AND(S971=1,T971=1,U971=1,V971=1,W971=1)</x:f>
        <x:v>0</x:v>
      </x:c>
      <x:c r="AE971" s="43" t="n">
        <x:f>--AND(S971=1,M971&lt;&gt;"",M971&lt;&gt;"keep")</x:f>
        <x:v>0</x:v>
      </x:c>
      <x:c r="AG971" t="n">
        <x:f>--AND(S971=1,T971=1,U971=1,V971=1,W971=1,AE971=1)</x:f>
        <x:v>0</x:v>
      </x:c>
      <x:c r="AJ971" t="str">
        <x:f>IF(OR(AH971="",AI971=""),"",--(AH971&lt;&gt;AI971))</x:f>
      </x:c>
      <x:c r="AL971" t="str">
        <x:f>IF(OR(AH971="",AI971=""),"PENDING_HUMAN",IF(AH971=AI971,AH971,IF(AK971&lt;&gt;"",AK971,"PENDING_HUMAN")))</x:f>
        <x:v>PENDING_HUMAN</x:v>
      </x:c>
      <x:c r="AM971" t="n">
        <x:f>--AND(A971&lt;&gt;"",AH971&lt;&gt;"",AI971&lt;&gt;"",OR(AH971=AI971,AK971&lt;&gt;""))</x:f>
        <x:v>0</x:v>
      </x:c>
      <x:c r="AN971" t="n">
        <x:f>--AND(Y971&lt;&gt;"",COUNTIF($Y$4:Y971,Y971)=1)</x:f>
        <x:v>0</x:v>
      </x:c>
      <x:c r="AO971" t="n">
        <x:f>--AND(AN971=1,Z971=1,AM971=1)</x:f>
        <x:v>0</x:v>
      </x:c>
      <x:c r="AP971" t="n">
        <x:f>--AND(AO971=1,AA971=1,AL971=1)</x:f>
        <x:v>0</x:v>
      </x:c>
      <x:c r="AQ971" t="n">
        <x:f>--AND(AN971=1,Z971=1)</x:f>
        <x:v>0</x:v>
      </x:c>
      <x:c r="AR971" t="n">
        <x:f>--AND(AQ971=1,AA971=1)</x:f>
        <x:v>0</x:v>
      </x:c>
    </x:row>
    <x:row r="972">
      <x:c r="A972" s="28"/>
      <x:c r="B972" s="28"/>
      <x:c r="C972" s="28"/>
      <x:c r="D972" s="28"/>
      <x:c r="E972" s="28"/>
      <x:c r="F972" s="28"/>
      <x:c r="G972" s="28"/>
      <x:c r="H972" s="28"/>
      <x:c r="I972" s="28"/>
      <x:c r="J972" s="28"/>
      <x:c r="K972" s="28"/>
      <x:c r="L972" s="28"/>
      <x:c r="M972" s="28"/>
      <x:c r="N972" s="28"/>
      <x:c r="O972" s="28"/>
      <x:c r="P972" s="28"/>
      <x:c r="Q972" s="28"/>
      <x:c r="R972" s="28"/>
      <x:c r="S972" s="28"/>
      <x:c r="T972" s="28"/>
      <x:c r="U972" s="28"/>
      <x:c r="V972" s="28"/>
      <x:c r="W972" s="28"/>
      <x:c r="X972" s="43" t="n">
        <x:f>--AND(S972=1,T972=1,U972=1,V972=1,W972=1)</x:f>
        <x:v>0</x:v>
      </x:c>
      <x:c r="AE972" s="43" t="n">
        <x:f>--AND(S972=1,M972&lt;&gt;"",M972&lt;&gt;"keep")</x:f>
        <x:v>0</x:v>
      </x:c>
      <x:c r="AG972" t="n">
        <x:f>--AND(S972=1,T972=1,U972=1,V972=1,W972=1,AE972=1)</x:f>
        <x:v>0</x:v>
      </x:c>
      <x:c r="AJ972" t="str">
        <x:f>IF(OR(AH972="",AI972=""),"",--(AH972&lt;&gt;AI972))</x:f>
      </x:c>
      <x:c r="AL972" t="str">
        <x:f>IF(OR(AH972="",AI972=""),"PENDING_HUMAN",IF(AH972=AI972,AH972,IF(AK972&lt;&gt;"",AK972,"PENDING_HUMAN")))</x:f>
        <x:v>PENDING_HUMAN</x:v>
      </x:c>
      <x:c r="AM972" t="n">
        <x:f>--AND(A972&lt;&gt;"",AH972&lt;&gt;"",AI972&lt;&gt;"",OR(AH972=AI972,AK972&lt;&gt;""))</x:f>
        <x:v>0</x:v>
      </x:c>
      <x:c r="AN972" t="n">
        <x:f>--AND(Y972&lt;&gt;"",COUNTIF($Y$4:Y972,Y972)=1)</x:f>
        <x:v>0</x:v>
      </x:c>
      <x:c r="AO972" t="n">
        <x:f>--AND(AN972=1,Z972=1,AM972=1)</x:f>
        <x:v>0</x:v>
      </x:c>
      <x:c r="AP972" t="n">
        <x:f>--AND(AO972=1,AA972=1,AL972=1)</x:f>
        <x:v>0</x:v>
      </x:c>
      <x:c r="AQ972" t="n">
        <x:f>--AND(AN972=1,Z972=1)</x:f>
        <x:v>0</x:v>
      </x:c>
      <x:c r="AR972" t="n">
        <x:f>--AND(AQ972=1,AA972=1)</x:f>
        <x:v>0</x:v>
      </x:c>
    </x:row>
    <x:row r="973">
      <x:c r="A973" s="28"/>
      <x:c r="B973" s="28"/>
      <x:c r="C973" s="28"/>
      <x:c r="D973" s="28"/>
      <x:c r="E973" s="28"/>
      <x:c r="F973" s="28"/>
      <x:c r="G973" s="28"/>
      <x:c r="H973" s="28"/>
      <x:c r="I973" s="28"/>
      <x:c r="J973" s="28"/>
      <x:c r="K973" s="28"/>
      <x:c r="L973" s="28"/>
      <x:c r="M973" s="28"/>
      <x:c r="N973" s="28"/>
      <x:c r="O973" s="28"/>
      <x:c r="P973" s="28"/>
      <x:c r="Q973" s="28"/>
      <x:c r="R973" s="28"/>
      <x:c r="S973" s="28"/>
      <x:c r="T973" s="28"/>
      <x:c r="U973" s="28"/>
      <x:c r="V973" s="28"/>
      <x:c r="W973" s="28"/>
      <x:c r="X973" s="43" t="n">
        <x:f>--AND(S973=1,T973=1,U973=1,V973=1,W973=1)</x:f>
        <x:v>0</x:v>
      </x:c>
      <x:c r="AE973" s="43" t="n">
        <x:f>--AND(S973=1,M973&lt;&gt;"",M973&lt;&gt;"keep")</x:f>
        <x:v>0</x:v>
      </x:c>
      <x:c r="AG973" t="n">
        <x:f>--AND(S973=1,T973=1,U973=1,V973=1,W973=1,AE973=1)</x:f>
        <x:v>0</x:v>
      </x:c>
      <x:c r="AJ973" t="str">
        <x:f>IF(OR(AH973="",AI973=""),"",--(AH973&lt;&gt;AI973))</x:f>
      </x:c>
      <x:c r="AL973" t="str">
        <x:f>IF(OR(AH973="",AI973=""),"PENDING_HUMAN",IF(AH973=AI973,AH973,IF(AK973&lt;&gt;"",AK973,"PENDING_HUMAN")))</x:f>
        <x:v>PENDING_HUMAN</x:v>
      </x:c>
      <x:c r="AM973" t="n">
        <x:f>--AND(A973&lt;&gt;"",AH973&lt;&gt;"",AI973&lt;&gt;"",OR(AH973=AI973,AK973&lt;&gt;""))</x:f>
        <x:v>0</x:v>
      </x:c>
      <x:c r="AN973" t="n">
        <x:f>--AND(Y973&lt;&gt;"",COUNTIF($Y$4:Y973,Y973)=1)</x:f>
        <x:v>0</x:v>
      </x:c>
      <x:c r="AO973" t="n">
        <x:f>--AND(AN973=1,Z973=1,AM973=1)</x:f>
        <x:v>0</x:v>
      </x:c>
      <x:c r="AP973" t="n">
        <x:f>--AND(AO973=1,AA973=1,AL973=1)</x:f>
        <x:v>0</x:v>
      </x:c>
      <x:c r="AQ973" t="n">
        <x:f>--AND(AN973=1,Z973=1)</x:f>
        <x:v>0</x:v>
      </x:c>
      <x:c r="AR973" t="n">
        <x:f>--AND(AQ973=1,AA973=1)</x:f>
        <x:v>0</x:v>
      </x:c>
    </x:row>
    <x:row r="974">
      <x:c r="A974" s="28"/>
      <x:c r="B974" s="28"/>
      <x:c r="C974" s="28"/>
      <x:c r="D974" s="28"/>
      <x:c r="E974" s="28"/>
      <x:c r="F974" s="28"/>
      <x:c r="G974" s="28"/>
      <x:c r="H974" s="28"/>
      <x:c r="I974" s="28"/>
      <x:c r="J974" s="28"/>
      <x:c r="K974" s="28"/>
      <x:c r="L974" s="28"/>
      <x:c r="M974" s="28"/>
      <x:c r="N974" s="28"/>
      <x:c r="O974" s="28"/>
      <x:c r="P974" s="28"/>
      <x:c r="Q974" s="28"/>
      <x:c r="R974" s="28"/>
      <x:c r="S974" s="28"/>
      <x:c r="T974" s="28"/>
      <x:c r="U974" s="28"/>
      <x:c r="V974" s="28"/>
      <x:c r="W974" s="28"/>
      <x:c r="X974" s="43" t="n">
        <x:f>--AND(S974=1,T974=1,U974=1,V974=1,W974=1)</x:f>
        <x:v>0</x:v>
      </x:c>
      <x:c r="AE974" s="43" t="n">
        <x:f>--AND(S974=1,M974&lt;&gt;"",M974&lt;&gt;"keep")</x:f>
        <x:v>0</x:v>
      </x:c>
      <x:c r="AG974" t="n">
        <x:f>--AND(S974=1,T974=1,U974=1,V974=1,W974=1,AE974=1)</x:f>
        <x:v>0</x:v>
      </x:c>
      <x:c r="AJ974" t="str">
        <x:f>IF(OR(AH974="",AI974=""),"",--(AH974&lt;&gt;AI974))</x:f>
      </x:c>
      <x:c r="AL974" t="str">
        <x:f>IF(OR(AH974="",AI974=""),"PENDING_HUMAN",IF(AH974=AI974,AH974,IF(AK974&lt;&gt;"",AK974,"PENDING_HUMAN")))</x:f>
        <x:v>PENDING_HUMAN</x:v>
      </x:c>
      <x:c r="AM974" t="n">
        <x:f>--AND(A974&lt;&gt;"",AH974&lt;&gt;"",AI974&lt;&gt;"",OR(AH974=AI974,AK974&lt;&gt;""))</x:f>
        <x:v>0</x:v>
      </x:c>
      <x:c r="AN974" t="n">
        <x:f>--AND(Y974&lt;&gt;"",COUNTIF($Y$4:Y974,Y974)=1)</x:f>
        <x:v>0</x:v>
      </x:c>
      <x:c r="AO974" t="n">
        <x:f>--AND(AN974=1,Z974=1,AM974=1)</x:f>
        <x:v>0</x:v>
      </x:c>
      <x:c r="AP974" t="n">
        <x:f>--AND(AO974=1,AA974=1,AL974=1)</x:f>
        <x:v>0</x:v>
      </x:c>
      <x:c r="AQ974" t="n">
        <x:f>--AND(AN974=1,Z974=1)</x:f>
        <x:v>0</x:v>
      </x:c>
      <x:c r="AR974" t="n">
        <x:f>--AND(AQ974=1,AA974=1)</x:f>
        <x:v>0</x:v>
      </x:c>
    </x:row>
    <x:row r="975">
      <x:c r="A975" s="28"/>
      <x:c r="B975" s="28"/>
      <x:c r="C975" s="28"/>
      <x:c r="D975" s="28"/>
      <x:c r="E975" s="28"/>
      <x:c r="F975" s="28"/>
      <x:c r="G975" s="28"/>
      <x:c r="H975" s="28"/>
      <x:c r="I975" s="28"/>
      <x:c r="J975" s="28"/>
      <x:c r="K975" s="28"/>
      <x:c r="L975" s="28"/>
      <x:c r="M975" s="28"/>
      <x:c r="N975" s="28"/>
      <x:c r="O975" s="28"/>
      <x:c r="P975" s="28"/>
      <x:c r="Q975" s="28"/>
      <x:c r="R975" s="28"/>
      <x:c r="S975" s="28"/>
      <x:c r="T975" s="28"/>
      <x:c r="U975" s="28"/>
      <x:c r="V975" s="28"/>
      <x:c r="W975" s="28"/>
      <x:c r="X975" s="43" t="n">
        <x:f>--AND(S975=1,T975=1,U975=1,V975=1,W975=1)</x:f>
        <x:v>0</x:v>
      </x:c>
      <x:c r="AE975" s="43" t="n">
        <x:f>--AND(S975=1,M975&lt;&gt;"",M975&lt;&gt;"keep")</x:f>
        <x:v>0</x:v>
      </x:c>
      <x:c r="AG975" t="n">
        <x:f>--AND(S975=1,T975=1,U975=1,V975=1,W975=1,AE975=1)</x:f>
        <x:v>0</x:v>
      </x:c>
      <x:c r="AJ975" t="str">
        <x:f>IF(OR(AH975="",AI975=""),"",--(AH975&lt;&gt;AI975))</x:f>
      </x:c>
      <x:c r="AL975" t="str">
        <x:f>IF(OR(AH975="",AI975=""),"PENDING_HUMAN",IF(AH975=AI975,AH975,IF(AK975&lt;&gt;"",AK975,"PENDING_HUMAN")))</x:f>
        <x:v>PENDING_HUMAN</x:v>
      </x:c>
      <x:c r="AM975" t="n">
        <x:f>--AND(A975&lt;&gt;"",AH975&lt;&gt;"",AI975&lt;&gt;"",OR(AH975=AI975,AK975&lt;&gt;""))</x:f>
        <x:v>0</x:v>
      </x:c>
      <x:c r="AN975" t="n">
        <x:f>--AND(Y975&lt;&gt;"",COUNTIF($Y$4:Y975,Y975)=1)</x:f>
        <x:v>0</x:v>
      </x:c>
      <x:c r="AO975" t="n">
        <x:f>--AND(AN975=1,Z975=1,AM975=1)</x:f>
        <x:v>0</x:v>
      </x:c>
      <x:c r="AP975" t="n">
        <x:f>--AND(AO975=1,AA975=1,AL975=1)</x:f>
        <x:v>0</x:v>
      </x:c>
      <x:c r="AQ975" t="n">
        <x:f>--AND(AN975=1,Z975=1)</x:f>
        <x:v>0</x:v>
      </x:c>
      <x:c r="AR975" t="n">
        <x:f>--AND(AQ975=1,AA975=1)</x:f>
        <x:v>0</x:v>
      </x:c>
    </x:row>
    <x:row r="976">
      <x:c r="A976" s="28"/>
      <x:c r="B976" s="28"/>
      <x:c r="C976" s="28"/>
      <x:c r="D976" s="28"/>
      <x:c r="E976" s="28"/>
      <x:c r="F976" s="28"/>
      <x:c r="G976" s="28"/>
      <x:c r="H976" s="28"/>
      <x:c r="I976" s="28"/>
      <x:c r="J976" s="28"/>
      <x:c r="K976" s="28"/>
      <x:c r="L976" s="28"/>
      <x:c r="M976" s="28"/>
      <x:c r="N976" s="28"/>
      <x:c r="O976" s="28"/>
      <x:c r="P976" s="28"/>
      <x:c r="Q976" s="28"/>
      <x:c r="R976" s="28"/>
      <x:c r="S976" s="28"/>
      <x:c r="T976" s="28"/>
      <x:c r="U976" s="28"/>
      <x:c r="V976" s="28"/>
      <x:c r="W976" s="28"/>
      <x:c r="X976" s="43" t="n">
        <x:f>--AND(S976=1,T976=1,U976=1,V976=1,W976=1)</x:f>
        <x:v>0</x:v>
      </x:c>
      <x:c r="AE976" s="43" t="n">
        <x:f>--AND(S976=1,M976&lt;&gt;"",M976&lt;&gt;"keep")</x:f>
        <x:v>0</x:v>
      </x:c>
      <x:c r="AG976" t="n">
        <x:f>--AND(S976=1,T976=1,U976=1,V976=1,W976=1,AE976=1)</x:f>
        <x:v>0</x:v>
      </x:c>
      <x:c r="AJ976" t="str">
        <x:f>IF(OR(AH976="",AI976=""),"",--(AH976&lt;&gt;AI976))</x:f>
      </x:c>
      <x:c r="AL976" t="str">
        <x:f>IF(OR(AH976="",AI976=""),"PENDING_HUMAN",IF(AH976=AI976,AH976,IF(AK976&lt;&gt;"",AK976,"PENDING_HUMAN")))</x:f>
        <x:v>PENDING_HUMAN</x:v>
      </x:c>
      <x:c r="AM976" t="n">
        <x:f>--AND(A976&lt;&gt;"",AH976&lt;&gt;"",AI976&lt;&gt;"",OR(AH976=AI976,AK976&lt;&gt;""))</x:f>
        <x:v>0</x:v>
      </x:c>
      <x:c r="AN976" t="n">
        <x:f>--AND(Y976&lt;&gt;"",COUNTIF($Y$4:Y976,Y976)=1)</x:f>
        <x:v>0</x:v>
      </x:c>
      <x:c r="AO976" t="n">
        <x:f>--AND(AN976=1,Z976=1,AM976=1)</x:f>
        <x:v>0</x:v>
      </x:c>
      <x:c r="AP976" t="n">
        <x:f>--AND(AO976=1,AA976=1,AL976=1)</x:f>
        <x:v>0</x:v>
      </x:c>
      <x:c r="AQ976" t="n">
        <x:f>--AND(AN976=1,Z976=1)</x:f>
        <x:v>0</x:v>
      </x:c>
      <x:c r="AR976" t="n">
        <x:f>--AND(AQ976=1,AA976=1)</x:f>
        <x:v>0</x:v>
      </x:c>
    </x:row>
    <x:row r="977">
      <x:c r="A977" s="28"/>
      <x:c r="B977" s="28"/>
      <x:c r="C977" s="28"/>
      <x:c r="D977" s="28"/>
      <x:c r="E977" s="28"/>
      <x:c r="F977" s="28"/>
      <x:c r="G977" s="28"/>
      <x:c r="H977" s="28"/>
      <x:c r="I977" s="28"/>
      <x:c r="J977" s="28"/>
      <x:c r="K977" s="28"/>
      <x:c r="L977" s="28"/>
      <x:c r="M977" s="28"/>
      <x:c r="N977" s="28"/>
      <x:c r="O977" s="28"/>
      <x:c r="P977" s="28"/>
      <x:c r="Q977" s="28"/>
      <x:c r="R977" s="28"/>
      <x:c r="S977" s="28"/>
      <x:c r="T977" s="28"/>
      <x:c r="U977" s="28"/>
      <x:c r="V977" s="28"/>
      <x:c r="W977" s="28"/>
      <x:c r="X977" s="43" t="n">
        <x:f>--AND(S977=1,T977=1,U977=1,V977=1,W977=1)</x:f>
        <x:v>0</x:v>
      </x:c>
      <x:c r="AE977" s="43" t="n">
        <x:f>--AND(S977=1,M977&lt;&gt;"",M977&lt;&gt;"keep")</x:f>
        <x:v>0</x:v>
      </x:c>
      <x:c r="AG977" t="n">
        <x:f>--AND(S977=1,T977=1,U977=1,V977=1,W977=1,AE977=1)</x:f>
        <x:v>0</x:v>
      </x:c>
      <x:c r="AJ977" t="str">
        <x:f>IF(OR(AH977="",AI977=""),"",--(AH977&lt;&gt;AI977))</x:f>
      </x:c>
      <x:c r="AL977" t="str">
        <x:f>IF(OR(AH977="",AI977=""),"PENDING_HUMAN",IF(AH977=AI977,AH977,IF(AK977&lt;&gt;"",AK977,"PENDING_HUMAN")))</x:f>
        <x:v>PENDING_HUMAN</x:v>
      </x:c>
      <x:c r="AM977" t="n">
        <x:f>--AND(A977&lt;&gt;"",AH977&lt;&gt;"",AI977&lt;&gt;"",OR(AH977=AI977,AK977&lt;&gt;""))</x:f>
        <x:v>0</x:v>
      </x:c>
      <x:c r="AN977" t="n">
        <x:f>--AND(Y977&lt;&gt;"",COUNTIF($Y$4:Y977,Y977)=1)</x:f>
        <x:v>0</x:v>
      </x:c>
      <x:c r="AO977" t="n">
        <x:f>--AND(AN977=1,Z977=1,AM977=1)</x:f>
        <x:v>0</x:v>
      </x:c>
      <x:c r="AP977" t="n">
        <x:f>--AND(AO977=1,AA977=1,AL977=1)</x:f>
        <x:v>0</x:v>
      </x:c>
      <x:c r="AQ977" t="n">
        <x:f>--AND(AN977=1,Z977=1)</x:f>
        <x:v>0</x:v>
      </x:c>
      <x:c r="AR977" t="n">
        <x:f>--AND(AQ977=1,AA977=1)</x:f>
        <x:v>0</x:v>
      </x:c>
    </x:row>
    <x:row r="978">
      <x:c r="A978" s="28"/>
      <x:c r="B978" s="28"/>
      <x:c r="C978" s="28"/>
      <x:c r="D978" s="28"/>
      <x:c r="E978" s="28"/>
      <x:c r="F978" s="28"/>
      <x:c r="G978" s="28"/>
      <x:c r="H978" s="28"/>
      <x:c r="I978" s="28"/>
      <x:c r="J978" s="28"/>
      <x:c r="K978" s="28"/>
      <x:c r="L978" s="28"/>
      <x:c r="M978" s="28"/>
      <x:c r="N978" s="28"/>
      <x:c r="O978" s="28"/>
      <x:c r="P978" s="28"/>
      <x:c r="Q978" s="28"/>
      <x:c r="R978" s="28"/>
      <x:c r="S978" s="28"/>
      <x:c r="T978" s="28"/>
      <x:c r="U978" s="28"/>
      <x:c r="V978" s="28"/>
      <x:c r="W978" s="28"/>
      <x:c r="X978" s="43" t="n">
        <x:f>--AND(S978=1,T978=1,U978=1,V978=1,W978=1)</x:f>
        <x:v>0</x:v>
      </x:c>
      <x:c r="AE978" s="43" t="n">
        <x:f>--AND(S978=1,M978&lt;&gt;"",M978&lt;&gt;"keep")</x:f>
        <x:v>0</x:v>
      </x:c>
      <x:c r="AG978" t="n">
        <x:f>--AND(S978=1,T978=1,U978=1,V978=1,W978=1,AE978=1)</x:f>
        <x:v>0</x:v>
      </x:c>
      <x:c r="AJ978" t="str">
        <x:f>IF(OR(AH978="",AI978=""),"",--(AH978&lt;&gt;AI978))</x:f>
      </x:c>
      <x:c r="AL978" t="str">
        <x:f>IF(OR(AH978="",AI978=""),"PENDING_HUMAN",IF(AH978=AI978,AH978,IF(AK978&lt;&gt;"",AK978,"PENDING_HUMAN")))</x:f>
        <x:v>PENDING_HUMAN</x:v>
      </x:c>
      <x:c r="AM978" t="n">
        <x:f>--AND(A978&lt;&gt;"",AH978&lt;&gt;"",AI978&lt;&gt;"",OR(AH978=AI978,AK978&lt;&gt;""))</x:f>
        <x:v>0</x:v>
      </x:c>
      <x:c r="AN978" t="n">
        <x:f>--AND(Y978&lt;&gt;"",COUNTIF($Y$4:Y978,Y978)=1)</x:f>
        <x:v>0</x:v>
      </x:c>
      <x:c r="AO978" t="n">
        <x:f>--AND(AN978=1,Z978=1,AM978=1)</x:f>
        <x:v>0</x:v>
      </x:c>
      <x:c r="AP978" t="n">
        <x:f>--AND(AO978=1,AA978=1,AL978=1)</x:f>
        <x:v>0</x:v>
      </x:c>
      <x:c r="AQ978" t="n">
        <x:f>--AND(AN978=1,Z978=1)</x:f>
        <x:v>0</x:v>
      </x:c>
      <x:c r="AR978" t="n">
        <x:f>--AND(AQ978=1,AA978=1)</x:f>
        <x:v>0</x:v>
      </x:c>
    </x:row>
    <x:row r="979">
      <x:c r="A979" s="28"/>
      <x:c r="B979" s="28"/>
      <x:c r="C979" s="28"/>
      <x:c r="D979" s="28"/>
      <x:c r="E979" s="28"/>
      <x:c r="F979" s="28"/>
      <x:c r="G979" s="28"/>
      <x:c r="H979" s="28"/>
      <x:c r="I979" s="28"/>
      <x:c r="J979" s="28"/>
      <x:c r="K979" s="28"/>
      <x:c r="L979" s="28"/>
      <x:c r="M979" s="28"/>
      <x:c r="N979" s="28"/>
      <x:c r="O979" s="28"/>
      <x:c r="P979" s="28"/>
      <x:c r="Q979" s="28"/>
      <x:c r="R979" s="28"/>
      <x:c r="S979" s="28"/>
      <x:c r="T979" s="28"/>
      <x:c r="U979" s="28"/>
      <x:c r="V979" s="28"/>
      <x:c r="W979" s="28"/>
      <x:c r="X979" s="43" t="n">
        <x:f>--AND(S979=1,T979=1,U979=1,V979=1,W979=1)</x:f>
        <x:v>0</x:v>
      </x:c>
      <x:c r="AE979" s="43" t="n">
        <x:f>--AND(S979=1,M979&lt;&gt;"",M979&lt;&gt;"keep")</x:f>
        <x:v>0</x:v>
      </x:c>
      <x:c r="AG979" t="n">
        <x:f>--AND(S979=1,T979=1,U979=1,V979=1,W979=1,AE979=1)</x:f>
        <x:v>0</x:v>
      </x:c>
      <x:c r="AJ979" t="str">
        <x:f>IF(OR(AH979="",AI979=""),"",--(AH979&lt;&gt;AI979))</x:f>
      </x:c>
      <x:c r="AL979" t="str">
        <x:f>IF(OR(AH979="",AI979=""),"PENDING_HUMAN",IF(AH979=AI979,AH979,IF(AK979&lt;&gt;"",AK979,"PENDING_HUMAN")))</x:f>
        <x:v>PENDING_HUMAN</x:v>
      </x:c>
      <x:c r="AM979" t="n">
        <x:f>--AND(A979&lt;&gt;"",AH979&lt;&gt;"",AI979&lt;&gt;"",OR(AH979=AI979,AK979&lt;&gt;""))</x:f>
        <x:v>0</x:v>
      </x:c>
      <x:c r="AN979" t="n">
        <x:f>--AND(Y979&lt;&gt;"",COUNTIF($Y$4:Y979,Y979)=1)</x:f>
        <x:v>0</x:v>
      </x:c>
      <x:c r="AO979" t="n">
        <x:f>--AND(AN979=1,Z979=1,AM979=1)</x:f>
        <x:v>0</x:v>
      </x:c>
      <x:c r="AP979" t="n">
        <x:f>--AND(AO979=1,AA979=1,AL979=1)</x:f>
        <x:v>0</x:v>
      </x:c>
      <x:c r="AQ979" t="n">
        <x:f>--AND(AN979=1,Z979=1)</x:f>
        <x:v>0</x:v>
      </x:c>
      <x:c r="AR979" t="n">
        <x:f>--AND(AQ979=1,AA979=1)</x:f>
        <x:v>0</x:v>
      </x:c>
    </x:row>
    <x:row r="980">
      <x:c r="A980" s="28"/>
      <x:c r="B980" s="28"/>
      <x:c r="C980" s="28"/>
      <x:c r="D980" s="28"/>
      <x:c r="E980" s="28"/>
      <x:c r="F980" s="28"/>
      <x:c r="G980" s="28"/>
      <x:c r="H980" s="28"/>
      <x:c r="I980" s="28"/>
      <x:c r="J980" s="28"/>
      <x:c r="K980" s="28"/>
      <x:c r="L980" s="28"/>
      <x:c r="M980" s="28"/>
      <x:c r="N980" s="28"/>
      <x:c r="O980" s="28"/>
      <x:c r="P980" s="28"/>
      <x:c r="Q980" s="28"/>
      <x:c r="R980" s="28"/>
      <x:c r="S980" s="28"/>
      <x:c r="T980" s="28"/>
      <x:c r="U980" s="28"/>
      <x:c r="V980" s="28"/>
      <x:c r="W980" s="28"/>
      <x:c r="X980" s="43" t="n">
        <x:f>--AND(S980=1,T980=1,U980=1,V980=1,W980=1)</x:f>
        <x:v>0</x:v>
      </x:c>
      <x:c r="AE980" s="43" t="n">
        <x:f>--AND(S980=1,M980&lt;&gt;"",M980&lt;&gt;"keep")</x:f>
        <x:v>0</x:v>
      </x:c>
      <x:c r="AG980" t="n">
        <x:f>--AND(S980=1,T980=1,U980=1,V980=1,W980=1,AE980=1)</x:f>
        <x:v>0</x:v>
      </x:c>
      <x:c r="AJ980" t="str">
        <x:f>IF(OR(AH980="",AI980=""),"",--(AH980&lt;&gt;AI980))</x:f>
      </x:c>
      <x:c r="AL980" t="str">
        <x:f>IF(OR(AH980="",AI980=""),"PENDING_HUMAN",IF(AH980=AI980,AH980,IF(AK980&lt;&gt;"",AK980,"PENDING_HUMAN")))</x:f>
        <x:v>PENDING_HUMAN</x:v>
      </x:c>
      <x:c r="AM980" t="n">
        <x:f>--AND(A980&lt;&gt;"",AH980&lt;&gt;"",AI980&lt;&gt;"",OR(AH980=AI980,AK980&lt;&gt;""))</x:f>
        <x:v>0</x:v>
      </x:c>
      <x:c r="AN980" t="n">
        <x:f>--AND(Y980&lt;&gt;"",COUNTIF($Y$4:Y980,Y980)=1)</x:f>
        <x:v>0</x:v>
      </x:c>
      <x:c r="AO980" t="n">
        <x:f>--AND(AN980=1,Z980=1,AM980=1)</x:f>
        <x:v>0</x:v>
      </x:c>
      <x:c r="AP980" t="n">
        <x:f>--AND(AO980=1,AA980=1,AL980=1)</x:f>
        <x:v>0</x:v>
      </x:c>
      <x:c r="AQ980" t="n">
        <x:f>--AND(AN980=1,Z980=1)</x:f>
        <x:v>0</x:v>
      </x:c>
      <x:c r="AR980" t="n">
        <x:f>--AND(AQ980=1,AA980=1)</x:f>
        <x:v>0</x:v>
      </x:c>
    </x:row>
    <x:row r="981">
      <x:c r="A981" s="28"/>
      <x:c r="B981" s="28"/>
      <x:c r="C981" s="28"/>
      <x:c r="D981" s="28"/>
      <x:c r="E981" s="28"/>
      <x:c r="F981" s="28"/>
      <x:c r="G981" s="28"/>
      <x:c r="H981" s="28"/>
      <x:c r="I981" s="28"/>
      <x:c r="J981" s="28"/>
      <x:c r="K981" s="28"/>
      <x:c r="L981" s="28"/>
      <x:c r="M981" s="28"/>
      <x:c r="N981" s="28"/>
      <x:c r="O981" s="28"/>
      <x:c r="P981" s="28"/>
      <x:c r="Q981" s="28"/>
      <x:c r="R981" s="28"/>
      <x:c r="S981" s="28"/>
      <x:c r="T981" s="28"/>
      <x:c r="U981" s="28"/>
      <x:c r="V981" s="28"/>
      <x:c r="W981" s="28"/>
      <x:c r="X981" s="43" t="n">
        <x:f>--AND(S981=1,T981=1,U981=1,V981=1,W981=1)</x:f>
        <x:v>0</x:v>
      </x:c>
      <x:c r="AE981" s="43" t="n">
        <x:f>--AND(S981=1,M981&lt;&gt;"",M981&lt;&gt;"keep")</x:f>
        <x:v>0</x:v>
      </x:c>
      <x:c r="AG981" t="n">
        <x:f>--AND(S981=1,T981=1,U981=1,V981=1,W981=1,AE981=1)</x:f>
        <x:v>0</x:v>
      </x:c>
      <x:c r="AJ981" t="str">
        <x:f>IF(OR(AH981="",AI981=""),"",--(AH981&lt;&gt;AI981))</x:f>
      </x:c>
      <x:c r="AL981" t="str">
        <x:f>IF(OR(AH981="",AI981=""),"PENDING_HUMAN",IF(AH981=AI981,AH981,IF(AK981&lt;&gt;"",AK981,"PENDING_HUMAN")))</x:f>
        <x:v>PENDING_HUMAN</x:v>
      </x:c>
      <x:c r="AM981" t="n">
        <x:f>--AND(A981&lt;&gt;"",AH981&lt;&gt;"",AI981&lt;&gt;"",OR(AH981=AI981,AK981&lt;&gt;""))</x:f>
        <x:v>0</x:v>
      </x:c>
      <x:c r="AN981" t="n">
        <x:f>--AND(Y981&lt;&gt;"",COUNTIF($Y$4:Y981,Y981)=1)</x:f>
        <x:v>0</x:v>
      </x:c>
      <x:c r="AO981" t="n">
        <x:f>--AND(AN981=1,Z981=1,AM981=1)</x:f>
        <x:v>0</x:v>
      </x:c>
      <x:c r="AP981" t="n">
        <x:f>--AND(AO981=1,AA981=1,AL981=1)</x:f>
        <x:v>0</x:v>
      </x:c>
      <x:c r="AQ981" t="n">
        <x:f>--AND(AN981=1,Z981=1)</x:f>
        <x:v>0</x:v>
      </x:c>
      <x:c r="AR981" t="n">
        <x:f>--AND(AQ981=1,AA981=1)</x:f>
        <x:v>0</x:v>
      </x:c>
    </x:row>
    <x:row r="982">
      <x:c r="A982" s="28"/>
      <x:c r="B982" s="28"/>
      <x:c r="C982" s="28"/>
      <x:c r="D982" s="28"/>
      <x:c r="E982" s="28"/>
      <x:c r="F982" s="28"/>
      <x:c r="G982" s="28"/>
      <x:c r="H982" s="28"/>
      <x:c r="I982" s="28"/>
      <x:c r="J982" s="28"/>
      <x:c r="K982" s="28"/>
      <x:c r="L982" s="28"/>
      <x:c r="M982" s="28"/>
      <x:c r="N982" s="28"/>
      <x:c r="O982" s="28"/>
      <x:c r="P982" s="28"/>
      <x:c r="Q982" s="28"/>
      <x:c r="R982" s="28"/>
      <x:c r="S982" s="28"/>
      <x:c r="T982" s="28"/>
      <x:c r="U982" s="28"/>
      <x:c r="V982" s="28"/>
      <x:c r="W982" s="28"/>
      <x:c r="X982" s="43" t="n">
        <x:f>--AND(S982=1,T982=1,U982=1,V982=1,W982=1)</x:f>
        <x:v>0</x:v>
      </x:c>
      <x:c r="AE982" s="43" t="n">
        <x:f>--AND(S982=1,M982&lt;&gt;"",M982&lt;&gt;"keep")</x:f>
        <x:v>0</x:v>
      </x:c>
      <x:c r="AG982" t="n">
        <x:f>--AND(S982=1,T982=1,U982=1,V982=1,W982=1,AE982=1)</x:f>
        <x:v>0</x:v>
      </x:c>
      <x:c r="AJ982" t="str">
        <x:f>IF(OR(AH982="",AI982=""),"",--(AH982&lt;&gt;AI982))</x:f>
      </x:c>
      <x:c r="AL982" t="str">
        <x:f>IF(OR(AH982="",AI982=""),"PENDING_HUMAN",IF(AH982=AI982,AH982,IF(AK982&lt;&gt;"",AK982,"PENDING_HUMAN")))</x:f>
        <x:v>PENDING_HUMAN</x:v>
      </x:c>
      <x:c r="AM982" t="n">
        <x:f>--AND(A982&lt;&gt;"",AH982&lt;&gt;"",AI982&lt;&gt;"",OR(AH982=AI982,AK982&lt;&gt;""))</x:f>
        <x:v>0</x:v>
      </x:c>
      <x:c r="AN982" t="n">
        <x:f>--AND(Y982&lt;&gt;"",COUNTIF($Y$4:Y982,Y982)=1)</x:f>
        <x:v>0</x:v>
      </x:c>
      <x:c r="AO982" t="n">
        <x:f>--AND(AN982=1,Z982=1,AM982=1)</x:f>
        <x:v>0</x:v>
      </x:c>
      <x:c r="AP982" t="n">
        <x:f>--AND(AO982=1,AA982=1,AL982=1)</x:f>
        <x:v>0</x:v>
      </x:c>
      <x:c r="AQ982" t="n">
        <x:f>--AND(AN982=1,Z982=1)</x:f>
        <x:v>0</x:v>
      </x:c>
      <x:c r="AR982" t="n">
        <x:f>--AND(AQ982=1,AA982=1)</x:f>
        <x:v>0</x:v>
      </x:c>
    </x:row>
    <x:row r="983">
      <x:c r="A983" s="28"/>
      <x:c r="B983" s="28"/>
      <x:c r="C983" s="28"/>
      <x:c r="D983" s="28"/>
      <x:c r="E983" s="28"/>
      <x:c r="F983" s="28"/>
      <x:c r="G983" s="28"/>
      <x:c r="H983" s="28"/>
      <x:c r="I983" s="28"/>
      <x:c r="J983" s="28"/>
      <x:c r="K983" s="28"/>
      <x:c r="L983" s="28"/>
      <x:c r="M983" s="28"/>
      <x:c r="N983" s="28"/>
      <x:c r="O983" s="28"/>
      <x:c r="P983" s="28"/>
      <x:c r="Q983" s="28"/>
      <x:c r="R983" s="28"/>
      <x:c r="S983" s="28"/>
      <x:c r="T983" s="28"/>
      <x:c r="U983" s="28"/>
      <x:c r="V983" s="28"/>
      <x:c r="W983" s="28"/>
      <x:c r="X983" s="43" t="n">
        <x:f>--AND(S983=1,T983=1,U983=1,V983=1,W983=1)</x:f>
        <x:v>0</x:v>
      </x:c>
      <x:c r="AE983" s="43" t="n">
        <x:f>--AND(S983=1,M983&lt;&gt;"",M983&lt;&gt;"keep")</x:f>
        <x:v>0</x:v>
      </x:c>
      <x:c r="AG983" t="n">
        <x:f>--AND(S983=1,T983=1,U983=1,V983=1,W983=1,AE983=1)</x:f>
        <x:v>0</x:v>
      </x:c>
      <x:c r="AJ983" t="str">
        <x:f>IF(OR(AH983="",AI983=""),"",--(AH983&lt;&gt;AI983))</x:f>
      </x:c>
      <x:c r="AL983" t="str">
        <x:f>IF(OR(AH983="",AI983=""),"PENDING_HUMAN",IF(AH983=AI983,AH983,IF(AK983&lt;&gt;"",AK983,"PENDING_HUMAN")))</x:f>
        <x:v>PENDING_HUMAN</x:v>
      </x:c>
      <x:c r="AM983" t="n">
        <x:f>--AND(A983&lt;&gt;"",AH983&lt;&gt;"",AI983&lt;&gt;"",OR(AH983=AI983,AK983&lt;&gt;""))</x:f>
        <x:v>0</x:v>
      </x:c>
      <x:c r="AN983" t="n">
        <x:f>--AND(Y983&lt;&gt;"",COUNTIF($Y$4:Y983,Y983)=1)</x:f>
        <x:v>0</x:v>
      </x:c>
      <x:c r="AO983" t="n">
        <x:f>--AND(AN983=1,Z983=1,AM983=1)</x:f>
        <x:v>0</x:v>
      </x:c>
      <x:c r="AP983" t="n">
        <x:f>--AND(AO983=1,AA983=1,AL983=1)</x:f>
        <x:v>0</x:v>
      </x:c>
      <x:c r="AQ983" t="n">
        <x:f>--AND(AN983=1,Z983=1)</x:f>
        <x:v>0</x:v>
      </x:c>
      <x:c r="AR983" t="n">
        <x:f>--AND(AQ983=1,AA983=1)</x:f>
        <x:v>0</x:v>
      </x:c>
    </x:row>
    <x:row r="984">
      <x:c r="A984" s="28"/>
      <x:c r="B984" s="28"/>
      <x:c r="C984" s="28"/>
      <x:c r="D984" s="28"/>
      <x:c r="E984" s="28"/>
      <x:c r="F984" s="28"/>
      <x:c r="G984" s="28"/>
      <x:c r="H984" s="28"/>
      <x:c r="I984" s="28"/>
      <x:c r="J984" s="28"/>
      <x:c r="K984" s="28"/>
      <x:c r="L984" s="28"/>
      <x:c r="M984" s="28"/>
      <x:c r="N984" s="28"/>
      <x:c r="O984" s="28"/>
      <x:c r="P984" s="28"/>
      <x:c r="Q984" s="28"/>
      <x:c r="R984" s="28"/>
      <x:c r="S984" s="28"/>
      <x:c r="T984" s="28"/>
      <x:c r="U984" s="28"/>
      <x:c r="V984" s="28"/>
      <x:c r="W984" s="28"/>
      <x:c r="X984" s="43" t="n">
        <x:f>--AND(S984=1,T984=1,U984=1,V984=1,W984=1)</x:f>
        <x:v>0</x:v>
      </x:c>
      <x:c r="AE984" s="43" t="n">
        <x:f>--AND(S984=1,M984&lt;&gt;"",M984&lt;&gt;"keep")</x:f>
        <x:v>0</x:v>
      </x:c>
      <x:c r="AG984" t="n">
        <x:f>--AND(S984=1,T984=1,U984=1,V984=1,W984=1,AE984=1)</x:f>
        <x:v>0</x:v>
      </x:c>
      <x:c r="AJ984" t="str">
        <x:f>IF(OR(AH984="",AI984=""),"",--(AH984&lt;&gt;AI984))</x:f>
      </x:c>
      <x:c r="AL984" t="str">
        <x:f>IF(OR(AH984="",AI984=""),"PENDING_HUMAN",IF(AH984=AI984,AH984,IF(AK984&lt;&gt;"",AK984,"PENDING_HUMAN")))</x:f>
        <x:v>PENDING_HUMAN</x:v>
      </x:c>
      <x:c r="AM984" t="n">
        <x:f>--AND(A984&lt;&gt;"",AH984&lt;&gt;"",AI984&lt;&gt;"",OR(AH984=AI984,AK984&lt;&gt;""))</x:f>
        <x:v>0</x:v>
      </x:c>
      <x:c r="AN984" t="n">
        <x:f>--AND(Y984&lt;&gt;"",COUNTIF($Y$4:Y984,Y984)=1)</x:f>
        <x:v>0</x:v>
      </x:c>
      <x:c r="AO984" t="n">
        <x:f>--AND(AN984=1,Z984=1,AM984=1)</x:f>
        <x:v>0</x:v>
      </x:c>
      <x:c r="AP984" t="n">
        <x:f>--AND(AO984=1,AA984=1,AL984=1)</x:f>
        <x:v>0</x:v>
      </x:c>
      <x:c r="AQ984" t="n">
        <x:f>--AND(AN984=1,Z984=1)</x:f>
        <x:v>0</x:v>
      </x:c>
      <x:c r="AR984" t="n">
        <x:f>--AND(AQ984=1,AA984=1)</x:f>
        <x:v>0</x:v>
      </x:c>
    </x:row>
    <x:row r="985">
      <x:c r="A985" s="28"/>
      <x:c r="B985" s="28"/>
      <x:c r="C985" s="28"/>
      <x:c r="D985" s="28"/>
      <x:c r="E985" s="28"/>
      <x:c r="F985" s="28"/>
      <x:c r="G985" s="28"/>
      <x:c r="H985" s="28"/>
      <x:c r="I985" s="28"/>
      <x:c r="J985" s="28"/>
      <x:c r="K985" s="28"/>
      <x:c r="L985" s="28"/>
      <x:c r="M985" s="28"/>
      <x:c r="N985" s="28"/>
      <x:c r="O985" s="28"/>
      <x:c r="P985" s="28"/>
      <x:c r="Q985" s="28"/>
      <x:c r="R985" s="28"/>
      <x:c r="S985" s="28"/>
      <x:c r="T985" s="28"/>
      <x:c r="U985" s="28"/>
      <x:c r="V985" s="28"/>
      <x:c r="W985" s="28"/>
      <x:c r="X985" s="43" t="n">
        <x:f>--AND(S985=1,T985=1,U985=1,V985=1,W985=1)</x:f>
        <x:v>0</x:v>
      </x:c>
      <x:c r="AE985" s="43" t="n">
        <x:f>--AND(S985=1,M985&lt;&gt;"",M985&lt;&gt;"keep")</x:f>
        <x:v>0</x:v>
      </x:c>
      <x:c r="AG985" t="n">
        <x:f>--AND(S985=1,T985=1,U985=1,V985=1,W985=1,AE985=1)</x:f>
        <x:v>0</x:v>
      </x:c>
      <x:c r="AJ985" t="str">
        <x:f>IF(OR(AH985="",AI985=""),"",--(AH985&lt;&gt;AI985))</x:f>
      </x:c>
      <x:c r="AL985" t="str">
        <x:f>IF(OR(AH985="",AI985=""),"PENDING_HUMAN",IF(AH985=AI985,AH985,IF(AK985&lt;&gt;"",AK985,"PENDING_HUMAN")))</x:f>
        <x:v>PENDING_HUMAN</x:v>
      </x:c>
      <x:c r="AM985" t="n">
        <x:f>--AND(A985&lt;&gt;"",AH985&lt;&gt;"",AI985&lt;&gt;"",OR(AH985=AI985,AK985&lt;&gt;""))</x:f>
        <x:v>0</x:v>
      </x:c>
      <x:c r="AN985" t="n">
        <x:f>--AND(Y985&lt;&gt;"",COUNTIF($Y$4:Y985,Y985)=1)</x:f>
        <x:v>0</x:v>
      </x:c>
      <x:c r="AO985" t="n">
        <x:f>--AND(AN985=1,Z985=1,AM985=1)</x:f>
        <x:v>0</x:v>
      </x:c>
      <x:c r="AP985" t="n">
        <x:f>--AND(AO985=1,AA985=1,AL985=1)</x:f>
        <x:v>0</x:v>
      </x:c>
      <x:c r="AQ985" t="n">
        <x:f>--AND(AN985=1,Z985=1)</x:f>
        <x:v>0</x:v>
      </x:c>
      <x:c r="AR985" t="n">
        <x:f>--AND(AQ985=1,AA985=1)</x:f>
        <x:v>0</x:v>
      </x:c>
    </x:row>
    <x:row r="986">
      <x:c r="A986" s="28"/>
      <x:c r="B986" s="28"/>
      <x:c r="C986" s="28"/>
      <x:c r="D986" s="28"/>
      <x:c r="E986" s="28"/>
      <x:c r="F986" s="28"/>
      <x:c r="G986" s="28"/>
      <x:c r="H986" s="28"/>
      <x:c r="I986" s="28"/>
      <x:c r="J986" s="28"/>
      <x:c r="K986" s="28"/>
      <x:c r="L986" s="28"/>
      <x:c r="M986" s="28"/>
      <x:c r="N986" s="28"/>
      <x:c r="O986" s="28"/>
      <x:c r="P986" s="28"/>
      <x:c r="Q986" s="28"/>
      <x:c r="R986" s="28"/>
      <x:c r="S986" s="28"/>
      <x:c r="T986" s="28"/>
      <x:c r="U986" s="28"/>
      <x:c r="V986" s="28"/>
      <x:c r="W986" s="28"/>
      <x:c r="X986" s="43" t="n">
        <x:f>--AND(S986=1,T986=1,U986=1,V986=1,W986=1)</x:f>
        <x:v>0</x:v>
      </x:c>
      <x:c r="AE986" s="43" t="n">
        <x:f>--AND(S986=1,M986&lt;&gt;"",M986&lt;&gt;"keep")</x:f>
        <x:v>0</x:v>
      </x:c>
      <x:c r="AG986" t="n">
        <x:f>--AND(S986=1,T986=1,U986=1,V986=1,W986=1,AE986=1)</x:f>
        <x:v>0</x:v>
      </x:c>
      <x:c r="AJ986" t="str">
        <x:f>IF(OR(AH986="",AI986=""),"",--(AH986&lt;&gt;AI986))</x:f>
      </x:c>
      <x:c r="AL986" t="str">
        <x:f>IF(OR(AH986="",AI986=""),"PENDING_HUMAN",IF(AH986=AI986,AH986,IF(AK986&lt;&gt;"",AK986,"PENDING_HUMAN")))</x:f>
        <x:v>PENDING_HUMAN</x:v>
      </x:c>
      <x:c r="AM986" t="n">
        <x:f>--AND(A986&lt;&gt;"",AH986&lt;&gt;"",AI986&lt;&gt;"",OR(AH986=AI986,AK986&lt;&gt;""))</x:f>
        <x:v>0</x:v>
      </x:c>
      <x:c r="AN986" t="n">
        <x:f>--AND(Y986&lt;&gt;"",COUNTIF($Y$4:Y986,Y986)=1)</x:f>
        <x:v>0</x:v>
      </x:c>
      <x:c r="AO986" t="n">
        <x:f>--AND(AN986=1,Z986=1,AM986=1)</x:f>
        <x:v>0</x:v>
      </x:c>
      <x:c r="AP986" t="n">
        <x:f>--AND(AO986=1,AA986=1,AL986=1)</x:f>
        <x:v>0</x:v>
      </x:c>
      <x:c r="AQ986" t="n">
        <x:f>--AND(AN986=1,Z986=1)</x:f>
        <x:v>0</x:v>
      </x:c>
      <x:c r="AR986" t="n">
        <x:f>--AND(AQ986=1,AA986=1)</x:f>
        <x:v>0</x:v>
      </x:c>
    </x:row>
    <x:row r="987">
      <x:c r="A987" s="28"/>
      <x:c r="B987" s="28"/>
      <x:c r="C987" s="28"/>
      <x:c r="D987" s="28"/>
      <x:c r="E987" s="28"/>
      <x:c r="F987" s="28"/>
      <x:c r="G987" s="28"/>
      <x:c r="H987" s="28"/>
      <x:c r="I987" s="28"/>
      <x:c r="J987" s="28"/>
      <x:c r="K987" s="28"/>
      <x:c r="L987" s="28"/>
      <x:c r="M987" s="28"/>
      <x:c r="N987" s="28"/>
      <x:c r="O987" s="28"/>
      <x:c r="P987" s="28"/>
      <x:c r="Q987" s="28"/>
      <x:c r="R987" s="28"/>
      <x:c r="S987" s="28"/>
      <x:c r="T987" s="28"/>
      <x:c r="U987" s="28"/>
      <x:c r="V987" s="28"/>
      <x:c r="W987" s="28"/>
      <x:c r="X987" s="43" t="n">
        <x:f>--AND(S987=1,T987=1,U987=1,V987=1,W987=1)</x:f>
        <x:v>0</x:v>
      </x:c>
      <x:c r="AE987" s="43" t="n">
        <x:f>--AND(S987=1,M987&lt;&gt;"",M987&lt;&gt;"keep")</x:f>
        <x:v>0</x:v>
      </x:c>
      <x:c r="AG987" t="n">
        <x:f>--AND(S987=1,T987=1,U987=1,V987=1,W987=1,AE987=1)</x:f>
        <x:v>0</x:v>
      </x:c>
      <x:c r="AJ987" t="str">
        <x:f>IF(OR(AH987="",AI987=""),"",--(AH987&lt;&gt;AI987))</x:f>
      </x:c>
      <x:c r="AL987" t="str">
        <x:f>IF(OR(AH987="",AI987=""),"PENDING_HUMAN",IF(AH987=AI987,AH987,IF(AK987&lt;&gt;"",AK987,"PENDING_HUMAN")))</x:f>
        <x:v>PENDING_HUMAN</x:v>
      </x:c>
      <x:c r="AM987" t="n">
        <x:f>--AND(A987&lt;&gt;"",AH987&lt;&gt;"",AI987&lt;&gt;"",OR(AH987=AI987,AK987&lt;&gt;""))</x:f>
        <x:v>0</x:v>
      </x:c>
      <x:c r="AN987" t="n">
        <x:f>--AND(Y987&lt;&gt;"",COUNTIF($Y$4:Y987,Y987)=1)</x:f>
        <x:v>0</x:v>
      </x:c>
      <x:c r="AO987" t="n">
        <x:f>--AND(AN987=1,Z987=1,AM987=1)</x:f>
        <x:v>0</x:v>
      </x:c>
      <x:c r="AP987" t="n">
        <x:f>--AND(AO987=1,AA987=1,AL987=1)</x:f>
        <x:v>0</x:v>
      </x:c>
      <x:c r="AQ987" t="n">
        <x:f>--AND(AN987=1,Z987=1)</x:f>
        <x:v>0</x:v>
      </x:c>
      <x:c r="AR987" t="n">
        <x:f>--AND(AQ987=1,AA987=1)</x:f>
        <x:v>0</x:v>
      </x:c>
    </x:row>
    <x:row r="988">
      <x:c r="A988" s="28"/>
      <x:c r="B988" s="28"/>
      <x:c r="C988" s="28"/>
      <x:c r="D988" s="28"/>
      <x:c r="E988" s="28"/>
      <x:c r="F988" s="28"/>
      <x:c r="G988" s="28"/>
      <x:c r="H988" s="28"/>
      <x:c r="I988" s="28"/>
      <x:c r="J988" s="28"/>
      <x:c r="K988" s="28"/>
      <x:c r="L988" s="28"/>
      <x:c r="M988" s="28"/>
      <x:c r="N988" s="28"/>
      <x:c r="O988" s="28"/>
      <x:c r="P988" s="28"/>
      <x:c r="Q988" s="28"/>
      <x:c r="R988" s="28"/>
      <x:c r="S988" s="28"/>
      <x:c r="T988" s="28"/>
      <x:c r="U988" s="28"/>
      <x:c r="V988" s="28"/>
      <x:c r="W988" s="28"/>
      <x:c r="X988" s="43" t="n">
        <x:f>--AND(S988=1,T988=1,U988=1,V988=1,W988=1)</x:f>
        <x:v>0</x:v>
      </x:c>
      <x:c r="AE988" s="43" t="n">
        <x:f>--AND(S988=1,M988&lt;&gt;"",M988&lt;&gt;"keep")</x:f>
        <x:v>0</x:v>
      </x:c>
      <x:c r="AG988" t="n">
        <x:f>--AND(S988=1,T988=1,U988=1,V988=1,W988=1,AE988=1)</x:f>
        <x:v>0</x:v>
      </x:c>
      <x:c r="AJ988" t="str">
        <x:f>IF(OR(AH988="",AI988=""),"",--(AH988&lt;&gt;AI988))</x:f>
      </x:c>
      <x:c r="AL988" t="str">
        <x:f>IF(OR(AH988="",AI988=""),"PENDING_HUMAN",IF(AH988=AI988,AH988,IF(AK988&lt;&gt;"",AK988,"PENDING_HUMAN")))</x:f>
        <x:v>PENDING_HUMAN</x:v>
      </x:c>
      <x:c r="AM988" t="n">
        <x:f>--AND(A988&lt;&gt;"",AH988&lt;&gt;"",AI988&lt;&gt;"",OR(AH988=AI988,AK988&lt;&gt;""))</x:f>
        <x:v>0</x:v>
      </x:c>
      <x:c r="AN988" t="n">
        <x:f>--AND(Y988&lt;&gt;"",COUNTIF($Y$4:Y988,Y988)=1)</x:f>
        <x:v>0</x:v>
      </x:c>
      <x:c r="AO988" t="n">
        <x:f>--AND(AN988=1,Z988=1,AM988=1)</x:f>
        <x:v>0</x:v>
      </x:c>
      <x:c r="AP988" t="n">
        <x:f>--AND(AO988=1,AA988=1,AL988=1)</x:f>
        <x:v>0</x:v>
      </x:c>
      <x:c r="AQ988" t="n">
        <x:f>--AND(AN988=1,Z988=1)</x:f>
        <x:v>0</x:v>
      </x:c>
      <x:c r="AR988" t="n">
        <x:f>--AND(AQ988=1,AA988=1)</x:f>
        <x:v>0</x:v>
      </x:c>
    </x:row>
    <x:row r="989">
      <x:c r="A989" s="28"/>
      <x:c r="B989" s="28"/>
      <x:c r="C989" s="28"/>
      <x:c r="D989" s="28"/>
      <x:c r="E989" s="28"/>
      <x:c r="F989" s="28"/>
      <x:c r="G989" s="28"/>
      <x:c r="H989" s="28"/>
      <x:c r="I989" s="28"/>
      <x:c r="J989" s="28"/>
      <x:c r="K989" s="28"/>
      <x:c r="L989" s="28"/>
      <x:c r="M989" s="28"/>
      <x:c r="N989" s="28"/>
      <x:c r="O989" s="28"/>
      <x:c r="P989" s="28"/>
      <x:c r="Q989" s="28"/>
      <x:c r="R989" s="28"/>
      <x:c r="S989" s="28"/>
      <x:c r="T989" s="28"/>
      <x:c r="U989" s="28"/>
      <x:c r="V989" s="28"/>
      <x:c r="W989" s="28"/>
      <x:c r="X989" s="43" t="n">
        <x:f>--AND(S989=1,T989=1,U989=1,V989=1,W989=1)</x:f>
        <x:v>0</x:v>
      </x:c>
      <x:c r="AE989" s="43" t="n">
        <x:f>--AND(S989=1,M989&lt;&gt;"",M989&lt;&gt;"keep")</x:f>
        <x:v>0</x:v>
      </x:c>
      <x:c r="AG989" t="n">
        <x:f>--AND(S989=1,T989=1,U989=1,V989=1,W989=1,AE989=1)</x:f>
        <x:v>0</x:v>
      </x:c>
      <x:c r="AJ989" t="str">
        <x:f>IF(OR(AH989="",AI989=""),"",--(AH989&lt;&gt;AI989))</x:f>
      </x:c>
      <x:c r="AL989" t="str">
        <x:f>IF(OR(AH989="",AI989=""),"PENDING_HUMAN",IF(AH989=AI989,AH989,IF(AK989&lt;&gt;"",AK989,"PENDING_HUMAN")))</x:f>
        <x:v>PENDING_HUMAN</x:v>
      </x:c>
      <x:c r="AM989" t="n">
        <x:f>--AND(A989&lt;&gt;"",AH989&lt;&gt;"",AI989&lt;&gt;"",OR(AH989=AI989,AK989&lt;&gt;""))</x:f>
        <x:v>0</x:v>
      </x:c>
      <x:c r="AN989" t="n">
        <x:f>--AND(Y989&lt;&gt;"",COUNTIF($Y$4:Y989,Y989)=1)</x:f>
        <x:v>0</x:v>
      </x:c>
      <x:c r="AO989" t="n">
        <x:f>--AND(AN989=1,Z989=1,AM989=1)</x:f>
        <x:v>0</x:v>
      </x:c>
      <x:c r="AP989" t="n">
        <x:f>--AND(AO989=1,AA989=1,AL989=1)</x:f>
        <x:v>0</x:v>
      </x:c>
      <x:c r="AQ989" t="n">
        <x:f>--AND(AN989=1,Z989=1)</x:f>
        <x:v>0</x:v>
      </x:c>
      <x:c r="AR989" t="n">
        <x:f>--AND(AQ989=1,AA989=1)</x:f>
        <x:v>0</x:v>
      </x:c>
    </x:row>
    <x:row r="990">
      <x:c r="A990" s="28"/>
      <x:c r="B990" s="28"/>
      <x:c r="C990" s="28"/>
      <x:c r="D990" s="28"/>
      <x:c r="E990" s="28"/>
      <x:c r="F990" s="28"/>
      <x:c r="G990" s="28"/>
      <x:c r="H990" s="28"/>
      <x:c r="I990" s="28"/>
      <x:c r="J990" s="28"/>
      <x:c r="K990" s="28"/>
      <x:c r="L990" s="28"/>
      <x:c r="M990" s="28"/>
      <x:c r="N990" s="28"/>
      <x:c r="O990" s="28"/>
      <x:c r="P990" s="28"/>
      <x:c r="Q990" s="28"/>
      <x:c r="R990" s="28"/>
      <x:c r="S990" s="28"/>
      <x:c r="T990" s="28"/>
      <x:c r="U990" s="28"/>
      <x:c r="V990" s="28"/>
      <x:c r="W990" s="28"/>
      <x:c r="X990" s="43" t="n">
        <x:f>--AND(S990=1,T990=1,U990=1,V990=1,W990=1)</x:f>
        <x:v>0</x:v>
      </x:c>
      <x:c r="AE990" s="43" t="n">
        <x:f>--AND(S990=1,M990&lt;&gt;"",M990&lt;&gt;"keep")</x:f>
        <x:v>0</x:v>
      </x:c>
      <x:c r="AG990" t="n">
        <x:f>--AND(S990=1,T990=1,U990=1,V990=1,W990=1,AE990=1)</x:f>
        <x:v>0</x:v>
      </x:c>
      <x:c r="AJ990" t="str">
        <x:f>IF(OR(AH990="",AI990=""),"",--(AH990&lt;&gt;AI990))</x:f>
      </x:c>
      <x:c r="AL990" t="str">
        <x:f>IF(OR(AH990="",AI990=""),"PENDING_HUMAN",IF(AH990=AI990,AH990,IF(AK990&lt;&gt;"",AK990,"PENDING_HUMAN")))</x:f>
        <x:v>PENDING_HUMAN</x:v>
      </x:c>
      <x:c r="AM990" t="n">
        <x:f>--AND(A990&lt;&gt;"",AH990&lt;&gt;"",AI990&lt;&gt;"",OR(AH990=AI990,AK990&lt;&gt;""))</x:f>
        <x:v>0</x:v>
      </x:c>
      <x:c r="AN990" t="n">
        <x:f>--AND(Y990&lt;&gt;"",COUNTIF($Y$4:Y990,Y990)=1)</x:f>
        <x:v>0</x:v>
      </x:c>
      <x:c r="AO990" t="n">
        <x:f>--AND(AN990=1,Z990=1,AM990=1)</x:f>
        <x:v>0</x:v>
      </x:c>
      <x:c r="AP990" t="n">
        <x:f>--AND(AO990=1,AA990=1,AL990=1)</x:f>
        <x:v>0</x:v>
      </x:c>
      <x:c r="AQ990" t="n">
        <x:f>--AND(AN990=1,Z990=1)</x:f>
        <x:v>0</x:v>
      </x:c>
      <x:c r="AR990" t="n">
        <x:f>--AND(AQ990=1,AA990=1)</x:f>
        <x:v>0</x:v>
      </x:c>
    </x:row>
    <x:row r="991">
      <x:c r="A991" s="28"/>
      <x:c r="B991" s="28"/>
      <x:c r="C991" s="28"/>
      <x:c r="D991" s="28"/>
      <x:c r="E991" s="28"/>
      <x:c r="F991" s="28"/>
      <x:c r="G991" s="28"/>
      <x:c r="H991" s="28"/>
      <x:c r="I991" s="28"/>
      <x:c r="J991" s="28"/>
      <x:c r="K991" s="28"/>
      <x:c r="L991" s="28"/>
      <x:c r="M991" s="28"/>
      <x:c r="N991" s="28"/>
      <x:c r="O991" s="28"/>
      <x:c r="P991" s="28"/>
      <x:c r="Q991" s="28"/>
      <x:c r="R991" s="28"/>
      <x:c r="S991" s="28"/>
      <x:c r="T991" s="28"/>
      <x:c r="U991" s="28"/>
      <x:c r="V991" s="28"/>
      <x:c r="W991" s="28"/>
      <x:c r="X991" s="43" t="n">
        <x:f>--AND(S991=1,T991=1,U991=1,V991=1,W991=1)</x:f>
        <x:v>0</x:v>
      </x:c>
      <x:c r="AE991" s="43" t="n">
        <x:f>--AND(S991=1,M991&lt;&gt;"",M991&lt;&gt;"keep")</x:f>
        <x:v>0</x:v>
      </x:c>
      <x:c r="AG991" t="n">
        <x:f>--AND(S991=1,T991=1,U991=1,V991=1,W991=1,AE991=1)</x:f>
        <x:v>0</x:v>
      </x:c>
      <x:c r="AJ991" t="str">
        <x:f>IF(OR(AH991="",AI991=""),"",--(AH991&lt;&gt;AI991))</x:f>
      </x:c>
      <x:c r="AL991" t="str">
        <x:f>IF(OR(AH991="",AI991=""),"PENDING_HUMAN",IF(AH991=AI991,AH991,IF(AK991&lt;&gt;"",AK991,"PENDING_HUMAN")))</x:f>
        <x:v>PENDING_HUMAN</x:v>
      </x:c>
      <x:c r="AM991" t="n">
        <x:f>--AND(A991&lt;&gt;"",AH991&lt;&gt;"",AI991&lt;&gt;"",OR(AH991=AI991,AK991&lt;&gt;""))</x:f>
        <x:v>0</x:v>
      </x:c>
      <x:c r="AN991" t="n">
        <x:f>--AND(Y991&lt;&gt;"",COUNTIF($Y$4:Y991,Y991)=1)</x:f>
        <x:v>0</x:v>
      </x:c>
      <x:c r="AO991" t="n">
        <x:f>--AND(AN991=1,Z991=1,AM991=1)</x:f>
        <x:v>0</x:v>
      </x:c>
      <x:c r="AP991" t="n">
        <x:f>--AND(AO991=1,AA991=1,AL991=1)</x:f>
        <x:v>0</x:v>
      </x:c>
      <x:c r="AQ991" t="n">
        <x:f>--AND(AN991=1,Z991=1)</x:f>
        <x:v>0</x:v>
      </x:c>
      <x:c r="AR991" t="n">
        <x:f>--AND(AQ991=1,AA991=1)</x:f>
        <x:v>0</x:v>
      </x:c>
    </x:row>
    <x:row r="992">
      <x:c r="A992" s="28"/>
      <x:c r="B992" s="28"/>
      <x:c r="C992" s="28"/>
      <x:c r="D992" s="28"/>
      <x:c r="E992" s="28"/>
      <x:c r="F992" s="28"/>
      <x:c r="G992" s="28"/>
      <x:c r="H992" s="28"/>
      <x:c r="I992" s="28"/>
      <x:c r="J992" s="28"/>
      <x:c r="K992" s="28"/>
      <x:c r="L992" s="28"/>
      <x:c r="M992" s="28"/>
      <x:c r="N992" s="28"/>
      <x:c r="O992" s="28"/>
      <x:c r="P992" s="28"/>
      <x:c r="Q992" s="28"/>
      <x:c r="R992" s="28"/>
      <x:c r="S992" s="28"/>
      <x:c r="T992" s="28"/>
      <x:c r="U992" s="28"/>
      <x:c r="V992" s="28"/>
      <x:c r="W992" s="28"/>
      <x:c r="X992" s="43" t="n">
        <x:f>--AND(S992=1,T992=1,U992=1,V992=1,W992=1)</x:f>
        <x:v>0</x:v>
      </x:c>
      <x:c r="AE992" s="43" t="n">
        <x:f>--AND(S992=1,M992&lt;&gt;"",M992&lt;&gt;"keep")</x:f>
        <x:v>0</x:v>
      </x:c>
      <x:c r="AG992" t="n">
        <x:f>--AND(S992=1,T992=1,U992=1,V992=1,W992=1,AE992=1)</x:f>
        <x:v>0</x:v>
      </x:c>
      <x:c r="AJ992" t="str">
        <x:f>IF(OR(AH992="",AI992=""),"",--(AH992&lt;&gt;AI992))</x:f>
      </x:c>
      <x:c r="AL992" t="str">
        <x:f>IF(OR(AH992="",AI992=""),"PENDING_HUMAN",IF(AH992=AI992,AH992,IF(AK992&lt;&gt;"",AK992,"PENDING_HUMAN")))</x:f>
        <x:v>PENDING_HUMAN</x:v>
      </x:c>
      <x:c r="AM992" t="n">
        <x:f>--AND(A992&lt;&gt;"",AH992&lt;&gt;"",AI992&lt;&gt;"",OR(AH992=AI992,AK992&lt;&gt;""))</x:f>
        <x:v>0</x:v>
      </x:c>
      <x:c r="AN992" t="n">
        <x:f>--AND(Y992&lt;&gt;"",COUNTIF($Y$4:Y992,Y992)=1)</x:f>
        <x:v>0</x:v>
      </x:c>
      <x:c r="AO992" t="n">
        <x:f>--AND(AN992=1,Z992=1,AM992=1)</x:f>
        <x:v>0</x:v>
      </x:c>
      <x:c r="AP992" t="n">
        <x:f>--AND(AO992=1,AA992=1,AL992=1)</x:f>
        <x:v>0</x:v>
      </x:c>
      <x:c r="AQ992" t="n">
        <x:f>--AND(AN992=1,Z992=1)</x:f>
        <x:v>0</x:v>
      </x:c>
      <x:c r="AR992" t="n">
        <x:f>--AND(AQ992=1,AA992=1)</x:f>
        <x:v>0</x:v>
      </x:c>
    </x:row>
    <x:row r="993">
      <x:c r="A993" s="28"/>
      <x:c r="B993" s="28"/>
      <x:c r="C993" s="28"/>
      <x:c r="D993" s="28"/>
      <x:c r="E993" s="28"/>
      <x:c r="F993" s="28"/>
      <x:c r="G993" s="28"/>
      <x:c r="H993" s="28"/>
      <x:c r="I993" s="28"/>
      <x:c r="J993" s="28"/>
      <x:c r="K993" s="28"/>
      <x:c r="L993" s="28"/>
      <x:c r="M993" s="28"/>
      <x:c r="N993" s="28"/>
      <x:c r="O993" s="28"/>
      <x:c r="P993" s="28"/>
      <x:c r="Q993" s="28"/>
      <x:c r="R993" s="28"/>
      <x:c r="S993" s="28"/>
      <x:c r="T993" s="28"/>
      <x:c r="U993" s="28"/>
      <x:c r="V993" s="28"/>
      <x:c r="W993" s="28"/>
      <x:c r="X993" s="43" t="n">
        <x:f>--AND(S993=1,T993=1,U993=1,V993=1,W993=1)</x:f>
        <x:v>0</x:v>
      </x:c>
      <x:c r="AE993" s="43" t="n">
        <x:f>--AND(S993=1,M993&lt;&gt;"",M993&lt;&gt;"keep")</x:f>
        <x:v>0</x:v>
      </x:c>
      <x:c r="AG993" t="n">
        <x:f>--AND(S993=1,T993=1,U993=1,V993=1,W993=1,AE993=1)</x:f>
        <x:v>0</x:v>
      </x:c>
      <x:c r="AJ993" t="str">
        <x:f>IF(OR(AH993="",AI993=""),"",--(AH993&lt;&gt;AI993))</x:f>
      </x:c>
      <x:c r="AL993" t="str">
        <x:f>IF(OR(AH993="",AI993=""),"PENDING_HUMAN",IF(AH993=AI993,AH993,IF(AK993&lt;&gt;"",AK993,"PENDING_HUMAN")))</x:f>
        <x:v>PENDING_HUMAN</x:v>
      </x:c>
      <x:c r="AM993" t="n">
        <x:f>--AND(A993&lt;&gt;"",AH993&lt;&gt;"",AI993&lt;&gt;"",OR(AH993=AI993,AK993&lt;&gt;""))</x:f>
        <x:v>0</x:v>
      </x:c>
      <x:c r="AN993" t="n">
        <x:f>--AND(Y993&lt;&gt;"",COUNTIF($Y$4:Y993,Y993)=1)</x:f>
        <x:v>0</x:v>
      </x:c>
      <x:c r="AO993" t="n">
        <x:f>--AND(AN993=1,Z993=1,AM993=1)</x:f>
        <x:v>0</x:v>
      </x:c>
      <x:c r="AP993" t="n">
        <x:f>--AND(AO993=1,AA993=1,AL993=1)</x:f>
        <x:v>0</x:v>
      </x:c>
      <x:c r="AQ993" t="n">
        <x:f>--AND(AN993=1,Z993=1)</x:f>
        <x:v>0</x:v>
      </x:c>
      <x:c r="AR993" t="n">
        <x:f>--AND(AQ993=1,AA993=1)</x:f>
        <x:v>0</x:v>
      </x:c>
    </x:row>
    <x:row r="994">
      <x:c r="A994" s="28"/>
      <x:c r="B994" s="28"/>
      <x:c r="C994" s="28"/>
      <x:c r="D994" s="28"/>
      <x:c r="E994" s="28"/>
      <x:c r="F994" s="28"/>
      <x:c r="G994" s="28"/>
      <x:c r="H994" s="28"/>
      <x:c r="I994" s="28"/>
      <x:c r="J994" s="28"/>
      <x:c r="K994" s="28"/>
      <x:c r="L994" s="28"/>
      <x:c r="M994" s="28"/>
      <x:c r="N994" s="28"/>
      <x:c r="O994" s="28"/>
      <x:c r="P994" s="28"/>
      <x:c r="Q994" s="28"/>
      <x:c r="R994" s="28"/>
      <x:c r="S994" s="28"/>
      <x:c r="T994" s="28"/>
      <x:c r="U994" s="28"/>
      <x:c r="V994" s="28"/>
      <x:c r="W994" s="28"/>
      <x:c r="X994" s="43" t="n">
        <x:f>--AND(S994=1,T994=1,U994=1,V994=1,W994=1)</x:f>
        <x:v>0</x:v>
      </x:c>
      <x:c r="AE994" s="43" t="n">
        <x:f>--AND(S994=1,M994&lt;&gt;"",M994&lt;&gt;"keep")</x:f>
        <x:v>0</x:v>
      </x:c>
      <x:c r="AG994" t="n">
        <x:f>--AND(S994=1,T994=1,U994=1,V994=1,W994=1,AE994=1)</x:f>
        <x:v>0</x:v>
      </x:c>
      <x:c r="AJ994" t="str">
        <x:f>IF(OR(AH994="",AI994=""),"",--(AH994&lt;&gt;AI994))</x:f>
      </x:c>
      <x:c r="AL994" t="str">
        <x:f>IF(OR(AH994="",AI994=""),"PENDING_HUMAN",IF(AH994=AI994,AH994,IF(AK994&lt;&gt;"",AK994,"PENDING_HUMAN")))</x:f>
        <x:v>PENDING_HUMAN</x:v>
      </x:c>
      <x:c r="AM994" t="n">
        <x:f>--AND(A994&lt;&gt;"",AH994&lt;&gt;"",AI994&lt;&gt;"",OR(AH994=AI994,AK994&lt;&gt;""))</x:f>
        <x:v>0</x:v>
      </x:c>
      <x:c r="AN994" t="n">
        <x:f>--AND(Y994&lt;&gt;"",COUNTIF($Y$4:Y994,Y994)=1)</x:f>
        <x:v>0</x:v>
      </x:c>
      <x:c r="AO994" t="n">
        <x:f>--AND(AN994=1,Z994=1,AM994=1)</x:f>
        <x:v>0</x:v>
      </x:c>
      <x:c r="AP994" t="n">
        <x:f>--AND(AO994=1,AA994=1,AL994=1)</x:f>
        <x:v>0</x:v>
      </x:c>
      <x:c r="AQ994" t="n">
        <x:f>--AND(AN994=1,Z994=1)</x:f>
        <x:v>0</x:v>
      </x:c>
      <x:c r="AR994" t="n">
        <x:f>--AND(AQ994=1,AA994=1)</x:f>
        <x:v>0</x:v>
      </x:c>
    </x:row>
    <x:row r="995">
      <x:c r="A995" s="28"/>
      <x:c r="B995" s="28"/>
      <x:c r="C995" s="28"/>
      <x:c r="D995" s="28"/>
      <x:c r="E995" s="28"/>
      <x:c r="F995" s="28"/>
      <x:c r="G995" s="28"/>
      <x:c r="H995" s="28"/>
      <x:c r="I995" s="28"/>
      <x:c r="J995" s="28"/>
      <x:c r="K995" s="28"/>
      <x:c r="L995" s="28"/>
      <x:c r="M995" s="28"/>
      <x:c r="N995" s="28"/>
      <x:c r="O995" s="28"/>
      <x:c r="P995" s="28"/>
      <x:c r="Q995" s="28"/>
      <x:c r="R995" s="28"/>
      <x:c r="S995" s="28"/>
      <x:c r="T995" s="28"/>
      <x:c r="U995" s="28"/>
      <x:c r="V995" s="28"/>
      <x:c r="W995" s="28"/>
      <x:c r="X995" s="43" t="n">
        <x:f>--AND(S995=1,T995=1,U995=1,V995=1,W995=1)</x:f>
        <x:v>0</x:v>
      </x:c>
      <x:c r="AE995" s="43" t="n">
        <x:f>--AND(S995=1,M995&lt;&gt;"",M995&lt;&gt;"keep")</x:f>
        <x:v>0</x:v>
      </x:c>
      <x:c r="AG995" t="n">
        <x:f>--AND(S995=1,T995=1,U995=1,V995=1,W995=1,AE995=1)</x:f>
        <x:v>0</x:v>
      </x:c>
      <x:c r="AJ995" t="str">
        <x:f>IF(OR(AH995="",AI995=""),"",--(AH995&lt;&gt;AI995))</x:f>
      </x:c>
      <x:c r="AL995" t="str">
        <x:f>IF(OR(AH995="",AI995=""),"PENDING_HUMAN",IF(AH995=AI995,AH995,IF(AK995&lt;&gt;"",AK995,"PENDING_HUMAN")))</x:f>
        <x:v>PENDING_HUMAN</x:v>
      </x:c>
      <x:c r="AM995" t="n">
        <x:f>--AND(A995&lt;&gt;"",AH995&lt;&gt;"",AI995&lt;&gt;"",OR(AH995=AI995,AK995&lt;&gt;""))</x:f>
        <x:v>0</x:v>
      </x:c>
      <x:c r="AN995" t="n">
        <x:f>--AND(Y995&lt;&gt;"",COUNTIF($Y$4:Y995,Y995)=1)</x:f>
        <x:v>0</x:v>
      </x:c>
      <x:c r="AO995" t="n">
        <x:f>--AND(AN995=1,Z995=1,AM995=1)</x:f>
        <x:v>0</x:v>
      </x:c>
      <x:c r="AP995" t="n">
        <x:f>--AND(AO995=1,AA995=1,AL995=1)</x:f>
        <x:v>0</x:v>
      </x:c>
      <x:c r="AQ995" t="n">
        <x:f>--AND(AN995=1,Z995=1)</x:f>
        <x:v>0</x:v>
      </x:c>
      <x:c r="AR995" t="n">
        <x:f>--AND(AQ995=1,AA995=1)</x:f>
        <x:v>0</x:v>
      </x:c>
    </x:row>
    <x:row r="996">
      <x:c r="A996" s="28"/>
      <x:c r="B996" s="28"/>
      <x:c r="C996" s="28"/>
      <x:c r="D996" s="28"/>
      <x:c r="E996" s="28"/>
      <x:c r="F996" s="28"/>
      <x:c r="G996" s="28"/>
      <x:c r="H996" s="28"/>
      <x:c r="I996" s="28"/>
      <x:c r="J996" s="28"/>
      <x:c r="K996" s="28"/>
      <x:c r="L996" s="28"/>
      <x:c r="M996" s="28"/>
      <x:c r="N996" s="28"/>
      <x:c r="O996" s="28"/>
      <x:c r="P996" s="28"/>
      <x:c r="Q996" s="28"/>
      <x:c r="R996" s="28"/>
      <x:c r="S996" s="28"/>
      <x:c r="T996" s="28"/>
      <x:c r="U996" s="28"/>
      <x:c r="V996" s="28"/>
      <x:c r="W996" s="28"/>
      <x:c r="X996" s="43" t="n">
        <x:f>--AND(S996=1,T996=1,U996=1,V996=1,W996=1)</x:f>
        <x:v>0</x:v>
      </x:c>
      <x:c r="AE996" s="43" t="n">
        <x:f>--AND(S996=1,M996&lt;&gt;"",M996&lt;&gt;"keep")</x:f>
        <x:v>0</x:v>
      </x:c>
      <x:c r="AG996" t="n">
        <x:f>--AND(S996=1,T996=1,U996=1,V996=1,W996=1,AE996=1)</x:f>
        <x:v>0</x:v>
      </x:c>
      <x:c r="AJ996" t="str">
        <x:f>IF(OR(AH996="",AI996=""),"",--(AH996&lt;&gt;AI996))</x:f>
      </x:c>
      <x:c r="AL996" t="str">
        <x:f>IF(OR(AH996="",AI996=""),"PENDING_HUMAN",IF(AH996=AI996,AH996,IF(AK996&lt;&gt;"",AK996,"PENDING_HUMAN")))</x:f>
        <x:v>PENDING_HUMAN</x:v>
      </x:c>
      <x:c r="AM996" t="n">
        <x:f>--AND(A996&lt;&gt;"",AH996&lt;&gt;"",AI996&lt;&gt;"",OR(AH996=AI996,AK996&lt;&gt;""))</x:f>
        <x:v>0</x:v>
      </x:c>
      <x:c r="AN996" t="n">
        <x:f>--AND(Y996&lt;&gt;"",COUNTIF($Y$4:Y996,Y996)=1)</x:f>
        <x:v>0</x:v>
      </x:c>
      <x:c r="AO996" t="n">
        <x:f>--AND(AN996=1,Z996=1,AM996=1)</x:f>
        <x:v>0</x:v>
      </x:c>
      <x:c r="AP996" t="n">
        <x:f>--AND(AO996=1,AA996=1,AL996=1)</x:f>
        <x:v>0</x:v>
      </x:c>
      <x:c r="AQ996" t="n">
        <x:f>--AND(AN996=1,Z996=1)</x:f>
        <x:v>0</x:v>
      </x:c>
      <x:c r="AR996" t="n">
        <x:f>--AND(AQ996=1,AA996=1)</x:f>
        <x:v>0</x:v>
      </x:c>
    </x:row>
    <x:row r="997">
      <x:c r="A997" s="28"/>
      <x:c r="B997" s="28"/>
      <x:c r="C997" s="28"/>
      <x:c r="D997" s="28"/>
      <x:c r="E997" s="28"/>
      <x:c r="F997" s="28"/>
      <x:c r="G997" s="28"/>
      <x:c r="H997" s="28"/>
      <x:c r="I997" s="28"/>
      <x:c r="J997" s="28"/>
      <x:c r="K997" s="28"/>
      <x:c r="L997" s="28"/>
      <x:c r="M997" s="28"/>
      <x:c r="N997" s="28"/>
      <x:c r="O997" s="28"/>
      <x:c r="P997" s="28"/>
      <x:c r="Q997" s="28"/>
      <x:c r="R997" s="28"/>
      <x:c r="S997" s="28"/>
      <x:c r="T997" s="28"/>
      <x:c r="U997" s="28"/>
      <x:c r="V997" s="28"/>
      <x:c r="W997" s="28"/>
      <x:c r="X997" s="43" t="n">
        <x:f>--AND(S997=1,T997=1,U997=1,V997=1,W997=1)</x:f>
        <x:v>0</x:v>
      </x:c>
      <x:c r="AE997" s="43" t="n">
        <x:f>--AND(S997=1,M997&lt;&gt;"",M997&lt;&gt;"keep")</x:f>
        <x:v>0</x:v>
      </x:c>
      <x:c r="AG997" t="n">
        <x:f>--AND(S997=1,T997=1,U997=1,V997=1,W997=1,AE997=1)</x:f>
        <x:v>0</x:v>
      </x:c>
      <x:c r="AJ997" t="str">
        <x:f>IF(OR(AH997="",AI997=""),"",--(AH997&lt;&gt;AI997))</x:f>
      </x:c>
      <x:c r="AL997" t="str">
        <x:f>IF(OR(AH997="",AI997=""),"PENDING_HUMAN",IF(AH997=AI997,AH997,IF(AK997&lt;&gt;"",AK997,"PENDING_HUMAN")))</x:f>
        <x:v>PENDING_HUMAN</x:v>
      </x:c>
      <x:c r="AM997" t="n">
        <x:f>--AND(A997&lt;&gt;"",AH997&lt;&gt;"",AI997&lt;&gt;"",OR(AH997=AI997,AK997&lt;&gt;""))</x:f>
        <x:v>0</x:v>
      </x:c>
      <x:c r="AN997" t="n">
        <x:f>--AND(Y997&lt;&gt;"",COUNTIF($Y$4:Y997,Y997)=1)</x:f>
        <x:v>0</x:v>
      </x:c>
      <x:c r="AO997" t="n">
        <x:f>--AND(AN997=1,Z997=1,AM997=1)</x:f>
        <x:v>0</x:v>
      </x:c>
      <x:c r="AP997" t="n">
        <x:f>--AND(AO997=1,AA997=1,AL997=1)</x:f>
        <x:v>0</x:v>
      </x:c>
      <x:c r="AQ997" t="n">
        <x:f>--AND(AN997=1,Z997=1)</x:f>
        <x:v>0</x:v>
      </x:c>
      <x:c r="AR997" t="n">
        <x:f>--AND(AQ997=1,AA997=1)</x:f>
        <x:v>0</x:v>
      </x:c>
    </x:row>
    <x:row r="998">
      <x:c r="A998" s="28"/>
      <x:c r="B998" s="28"/>
      <x:c r="C998" s="28"/>
      <x:c r="D998" s="28"/>
      <x:c r="E998" s="28"/>
      <x:c r="F998" s="28"/>
      <x:c r="G998" s="28"/>
      <x:c r="H998" s="28"/>
      <x:c r="I998" s="28"/>
      <x:c r="J998" s="28"/>
      <x:c r="K998" s="28"/>
      <x:c r="L998" s="28"/>
      <x:c r="M998" s="28"/>
      <x:c r="N998" s="28"/>
      <x:c r="O998" s="28"/>
      <x:c r="P998" s="28"/>
      <x:c r="Q998" s="28"/>
      <x:c r="R998" s="28"/>
      <x:c r="S998" s="28"/>
      <x:c r="T998" s="28"/>
      <x:c r="U998" s="28"/>
      <x:c r="V998" s="28"/>
      <x:c r="W998" s="28"/>
      <x:c r="X998" s="43" t="n">
        <x:f>--AND(S998=1,T998=1,U998=1,V998=1,W998=1)</x:f>
        <x:v>0</x:v>
      </x:c>
      <x:c r="AE998" s="43" t="n">
        <x:f>--AND(S998=1,M998&lt;&gt;"",M998&lt;&gt;"keep")</x:f>
        <x:v>0</x:v>
      </x:c>
      <x:c r="AG998" t="n">
        <x:f>--AND(S998=1,T998=1,U998=1,V998=1,W998=1,AE998=1)</x:f>
        <x:v>0</x:v>
      </x:c>
      <x:c r="AJ998" t="str">
        <x:f>IF(OR(AH998="",AI998=""),"",--(AH998&lt;&gt;AI998))</x:f>
      </x:c>
      <x:c r="AL998" t="str">
        <x:f>IF(OR(AH998="",AI998=""),"PENDING_HUMAN",IF(AH998=AI998,AH998,IF(AK998&lt;&gt;"",AK998,"PENDING_HUMAN")))</x:f>
        <x:v>PENDING_HUMAN</x:v>
      </x:c>
      <x:c r="AM998" t="n">
        <x:f>--AND(A998&lt;&gt;"",AH998&lt;&gt;"",AI998&lt;&gt;"",OR(AH998=AI998,AK998&lt;&gt;""))</x:f>
        <x:v>0</x:v>
      </x:c>
      <x:c r="AN998" t="n">
        <x:f>--AND(Y998&lt;&gt;"",COUNTIF($Y$4:Y998,Y998)=1)</x:f>
        <x:v>0</x:v>
      </x:c>
      <x:c r="AO998" t="n">
        <x:f>--AND(AN998=1,Z998=1,AM998=1)</x:f>
        <x:v>0</x:v>
      </x:c>
      <x:c r="AP998" t="n">
        <x:f>--AND(AO998=1,AA998=1,AL998=1)</x:f>
        <x:v>0</x:v>
      </x:c>
      <x:c r="AQ998" t="n">
        <x:f>--AND(AN998=1,Z998=1)</x:f>
        <x:v>0</x:v>
      </x:c>
      <x:c r="AR998" t="n">
        <x:f>--AND(AQ998=1,AA998=1)</x:f>
        <x:v>0</x:v>
      </x:c>
    </x:row>
    <x:row r="999">
      <x:c r="A999" s="28"/>
      <x:c r="B999" s="28"/>
      <x:c r="C999" s="28"/>
      <x:c r="D999" s="28"/>
      <x:c r="E999" s="28"/>
      <x:c r="F999" s="28"/>
      <x:c r="G999" s="28"/>
      <x:c r="H999" s="28"/>
      <x:c r="I999" s="28"/>
      <x:c r="J999" s="28"/>
      <x:c r="K999" s="28"/>
      <x:c r="L999" s="28"/>
      <x:c r="M999" s="28"/>
      <x:c r="N999" s="28"/>
      <x:c r="O999" s="28"/>
      <x:c r="P999" s="28"/>
      <x:c r="Q999" s="28"/>
      <x:c r="R999" s="28"/>
      <x:c r="S999" s="28"/>
      <x:c r="T999" s="28"/>
      <x:c r="U999" s="28"/>
      <x:c r="V999" s="28"/>
      <x:c r="W999" s="28"/>
      <x:c r="X999" s="43" t="n">
        <x:f>--AND(S999=1,T999=1,U999=1,V999=1,W999=1)</x:f>
        <x:v>0</x:v>
      </x:c>
      <x:c r="AE999" s="43" t="n">
        <x:f>--AND(S999=1,M999&lt;&gt;"",M999&lt;&gt;"keep")</x:f>
        <x:v>0</x:v>
      </x:c>
      <x:c r="AG999" t="n">
        <x:f>--AND(S999=1,T999=1,U999=1,V999=1,W999=1,AE999=1)</x:f>
        <x:v>0</x:v>
      </x:c>
      <x:c r="AJ999" t="str">
        <x:f>IF(OR(AH999="",AI999=""),"",--(AH999&lt;&gt;AI999))</x:f>
      </x:c>
      <x:c r="AL999" t="str">
        <x:f>IF(OR(AH999="",AI999=""),"PENDING_HUMAN",IF(AH999=AI999,AH999,IF(AK999&lt;&gt;"",AK999,"PENDING_HUMAN")))</x:f>
        <x:v>PENDING_HUMAN</x:v>
      </x:c>
      <x:c r="AM999" t="n">
        <x:f>--AND(A999&lt;&gt;"",AH999&lt;&gt;"",AI999&lt;&gt;"",OR(AH999=AI999,AK999&lt;&gt;""))</x:f>
        <x:v>0</x:v>
      </x:c>
      <x:c r="AN999" t="n">
        <x:f>--AND(Y999&lt;&gt;"",COUNTIF($Y$4:Y999,Y999)=1)</x:f>
        <x:v>0</x:v>
      </x:c>
      <x:c r="AO999" t="n">
        <x:f>--AND(AN999=1,Z999=1,AM999=1)</x:f>
        <x:v>0</x:v>
      </x:c>
      <x:c r="AP999" t="n">
        <x:f>--AND(AO999=1,AA999=1,AL999=1)</x:f>
        <x:v>0</x:v>
      </x:c>
      <x:c r="AQ999" t="n">
        <x:f>--AND(AN999=1,Z999=1)</x:f>
        <x:v>0</x:v>
      </x:c>
      <x:c r="AR999" t="n">
        <x:f>--AND(AQ999=1,AA999=1)</x:f>
        <x:v>0</x:v>
      </x:c>
    </x:row>
    <x:row r="1000">
      <x:c r="A1000" s="28"/>
      <x:c r="B1000" s="28"/>
      <x:c r="C1000" s="28"/>
      <x:c r="D1000" s="28"/>
      <x:c r="E1000" s="28"/>
      <x:c r="F1000" s="28"/>
      <x:c r="G1000" s="28"/>
      <x:c r="H1000" s="28"/>
      <x:c r="I1000" s="28"/>
      <x:c r="J1000" s="28"/>
      <x:c r="K1000" s="28"/>
      <x:c r="L1000" s="28"/>
      <x:c r="M1000" s="28"/>
      <x:c r="N1000" s="28"/>
      <x:c r="O1000" s="28"/>
      <x:c r="P1000" s="28"/>
      <x:c r="Q1000" s="28"/>
      <x:c r="R1000" s="28"/>
      <x:c r="S1000" s="28"/>
      <x:c r="T1000" s="28"/>
      <x:c r="U1000" s="28"/>
      <x:c r="V1000" s="28"/>
      <x:c r="W1000" s="28"/>
      <x:c r="X1000" s="43" t="n">
        <x:f>--AND(S1000=1,T1000=1,U1000=1,V1000=1,W1000=1)</x:f>
        <x:v>0</x:v>
      </x:c>
      <x:c r="AE1000" s="43" t="n">
        <x:f>--AND(S1000=1,M1000&lt;&gt;"",M1000&lt;&gt;"keep")</x:f>
        <x:v>0</x:v>
      </x:c>
      <x:c r="AG1000" t="n">
        <x:f>--AND(S1000=1,T1000=1,U1000=1,V1000=1,W1000=1,AE1000=1)</x:f>
        <x:v>0</x:v>
      </x:c>
      <x:c r="AJ1000" t="str">
        <x:f>IF(OR(AH1000="",AI1000=""),"",--(AH1000&lt;&gt;AI1000))</x:f>
      </x:c>
      <x:c r="AL1000" t="str">
        <x:f>IF(OR(AH1000="",AI1000=""),"PENDING_HUMAN",IF(AH1000=AI1000,AH1000,IF(AK1000&lt;&gt;"",AK1000,"PENDING_HUMAN")))</x:f>
        <x:v>PENDING_HUMAN</x:v>
      </x:c>
      <x:c r="AM1000" t="n">
        <x:f>--AND(A1000&lt;&gt;"",AH1000&lt;&gt;"",AI1000&lt;&gt;"",OR(AH1000=AI1000,AK1000&lt;&gt;""))</x:f>
        <x:v>0</x:v>
      </x:c>
      <x:c r="AN1000" t="n">
        <x:f>--AND(Y1000&lt;&gt;"",COUNTIF($Y$4:Y1000,Y1000)=1)</x:f>
        <x:v>0</x:v>
      </x:c>
      <x:c r="AO1000" t="n">
        <x:f>--AND(AN1000=1,Z1000=1,AM1000=1)</x:f>
        <x:v>0</x:v>
      </x:c>
      <x:c r="AP1000" t="n">
        <x:f>--AND(AO1000=1,AA1000=1,AL1000=1)</x:f>
        <x:v>0</x:v>
      </x:c>
      <x:c r="AQ1000" t="n">
        <x:f>--AND(AN1000=1,Z1000=1)</x:f>
        <x:v>0</x:v>
      </x:c>
      <x:c r="AR1000" t="n">
        <x:f>--AND(AQ1000=1,AA1000=1)</x:f>
        <x:v>0</x:v>
      </x:c>
    </x:row>
    <x:row r="1001">
      <x:c r="A1001" s="28"/>
      <x:c r="B1001" s="28"/>
      <x:c r="C1001" s="28"/>
      <x:c r="D1001" s="28"/>
      <x:c r="E1001" s="28"/>
      <x:c r="F1001" s="28"/>
      <x:c r="G1001" s="28"/>
      <x:c r="H1001" s="28"/>
      <x:c r="I1001" s="28"/>
      <x:c r="J1001" s="28"/>
      <x:c r="K1001" s="28"/>
      <x:c r="L1001" s="28"/>
      <x:c r="M1001" s="28"/>
      <x:c r="N1001" s="28"/>
      <x:c r="O1001" s="28"/>
      <x:c r="P1001" s="28"/>
      <x:c r="Q1001" s="28"/>
      <x:c r="R1001" s="28"/>
      <x:c r="S1001" s="28"/>
      <x:c r="T1001" s="28"/>
      <x:c r="U1001" s="28"/>
      <x:c r="V1001" s="28"/>
      <x:c r="W1001" s="28"/>
      <x:c r="X1001" s="43" t="n">
        <x:f>--AND(S1001=1,T1001=1,U1001=1,V1001=1,W1001=1)</x:f>
        <x:v>0</x:v>
      </x:c>
      <x:c r="AE1001" s="43" t="n">
        <x:f>--AND(S1001=1,M1001&lt;&gt;"",M1001&lt;&gt;"keep")</x:f>
        <x:v>0</x:v>
      </x:c>
      <x:c r="AG1001" t="n">
        <x:f>--AND(S1001=1,T1001=1,U1001=1,V1001=1,W1001=1,AE1001=1)</x:f>
        <x:v>0</x:v>
      </x:c>
      <x:c r="AJ1001" t="str">
        <x:f>IF(OR(AH1001="",AI1001=""),"",--(AH1001&lt;&gt;AI1001))</x:f>
      </x:c>
      <x:c r="AL1001" t="str">
        <x:f>IF(OR(AH1001="",AI1001=""),"PENDING_HUMAN",IF(AH1001=AI1001,AH1001,IF(AK1001&lt;&gt;"",AK1001,"PENDING_HUMAN")))</x:f>
        <x:v>PENDING_HUMAN</x:v>
      </x:c>
      <x:c r="AM1001" t="n">
        <x:f>--AND(A1001&lt;&gt;"",AH1001&lt;&gt;"",AI1001&lt;&gt;"",OR(AH1001=AI1001,AK1001&lt;&gt;""))</x:f>
        <x:v>0</x:v>
      </x:c>
      <x:c r="AN1001" t="n">
        <x:f>--AND(Y1001&lt;&gt;"",COUNTIF($Y$4:Y1001,Y1001)=1)</x:f>
        <x:v>0</x:v>
      </x:c>
      <x:c r="AO1001" t="n">
        <x:f>--AND(AN1001=1,Z1001=1,AM1001=1)</x:f>
        <x:v>0</x:v>
      </x:c>
      <x:c r="AP1001" t="n">
        <x:f>--AND(AO1001=1,AA1001=1,AL1001=1)</x:f>
        <x:v>0</x:v>
      </x:c>
      <x:c r="AQ1001" t="n">
        <x:f>--AND(AN1001=1,Z1001=1)</x:f>
        <x:v>0</x:v>
      </x:c>
      <x:c r="AR1001" t="n">
        <x:f>--AND(AQ1001=1,AA1001=1)</x:f>
        <x:v>0</x:v>
      </x:c>
    </x:row>
    <x:row r="1002">
      <x:c r="A1002" s="28"/>
      <x:c r="B1002" s="28"/>
      <x:c r="C1002" s="28"/>
      <x:c r="D1002" s="28"/>
      <x:c r="E1002" s="28"/>
      <x:c r="F1002" s="28"/>
      <x:c r="G1002" s="28"/>
      <x:c r="H1002" s="28"/>
      <x:c r="I1002" s="28"/>
      <x:c r="J1002" s="28"/>
      <x:c r="K1002" s="28"/>
      <x:c r="L1002" s="28"/>
      <x:c r="M1002" s="28"/>
      <x:c r="N1002" s="28"/>
      <x:c r="O1002" s="28"/>
      <x:c r="P1002" s="28"/>
      <x:c r="Q1002" s="28"/>
      <x:c r="R1002" s="28"/>
      <x:c r="S1002" s="28"/>
      <x:c r="T1002" s="28"/>
      <x:c r="U1002" s="28"/>
      <x:c r="V1002" s="28"/>
      <x:c r="W1002" s="28"/>
      <x:c r="X1002" s="43" t="n">
        <x:f>--AND(S1002=1,T1002=1,U1002=1,V1002=1,W1002=1)</x:f>
        <x:v>0</x:v>
      </x:c>
      <x:c r="AE1002" s="43" t="n">
        <x:f>--AND(S1002=1,M1002&lt;&gt;"",M1002&lt;&gt;"keep")</x:f>
        <x:v>0</x:v>
      </x:c>
      <x:c r="AG1002" t="n">
        <x:f>--AND(S1002=1,T1002=1,U1002=1,V1002=1,W1002=1,AE1002=1)</x:f>
        <x:v>0</x:v>
      </x:c>
      <x:c r="AJ1002" t="str">
        <x:f>IF(OR(AH1002="",AI1002=""),"",--(AH1002&lt;&gt;AI1002))</x:f>
      </x:c>
      <x:c r="AL1002" t="str">
        <x:f>IF(OR(AH1002="",AI1002=""),"PENDING_HUMAN",IF(AH1002=AI1002,AH1002,IF(AK1002&lt;&gt;"",AK1002,"PENDING_HUMAN")))</x:f>
        <x:v>PENDING_HUMAN</x:v>
      </x:c>
      <x:c r="AM1002" t="n">
        <x:f>--AND(A1002&lt;&gt;"",AH1002&lt;&gt;"",AI1002&lt;&gt;"",OR(AH1002=AI1002,AK1002&lt;&gt;""))</x:f>
        <x:v>0</x:v>
      </x:c>
      <x:c r="AN1002" t="n">
        <x:f>--AND(Y1002&lt;&gt;"",COUNTIF($Y$4:Y1002,Y1002)=1)</x:f>
        <x:v>0</x:v>
      </x:c>
      <x:c r="AO1002" t="n">
        <x:f>--AND(AN1002=1,Z1002=1,AM1002=1)</x:f>
        <x:v>0</x:v>
      </x:c>
      <x:c r="AP1002" t="n">
        <x:f>--AND(AO1002=1,AA1002=1,AL1002=1)</x:f>
        <x:v>0</x:v>
      </x:c>
      <x:c r="AQ1002" t="n">
        <x:f>--AND(AN1002=1,Z1002=1)</x:f>
        <x:v>0</x:v>
      </x:c>
      <x:c r="AR1002" t="n">
        <x:f>--AND(AQ1002=1,AA1002=1)</x:f>
        <x:v>0</x:v>
      </x:c>
    </x:row>
    <x:row r="1003">
      <x:c r="A1003" s="28"/>
      <x:c r="B1003" s="28"/>
      <x:c r="C1003" s="28"/>
      <x:c r="D1003" s="28"/>
      <x:c r="E1003" s="28"/>
      <x:c r="F1003" s="28"/>
      <x:c r="G1003" s="28"/>
      <x:c r="H1003" s="28"/>
      <x:c r="I1003" s="28"/>
      <x:c r="J1003" s="28"/>
      <x:c r="K1003" s="28"/>
      <x:c r="L1003" s="28"/>
      <x:c r="M1003" s="28"/>
      <x:c r="N1003" s="28"/>
      <x:c r="O1003" s="28"/>
      <x:c r="P1003" s="28"/>
      <x:c r="Q1003" s="28"/>
      <x:c r="R1003" s="28"/>
      <x:c r="S1003" s="28"/>
      <x:c r="T1003" s="28"/>
      <x:c r="U1003" s="28"/>
      <x:c r="V1003" s="28"/>
      <x:c r="W1003" s="28"/>
      <x:c r="X1003" s="43" t="n">
        <x:f>--AND(S1003=1,T1003=1,U1003=1,V1003=1,W1003=1)</x:f>
        <x:v>0</x:v>
      </x:c>
      <x:c r="AE1003" s="43" t="n">
        <x:f>--AND(S1003=1,M1003&lt;&gt;"",M1003&lt;&gt;"keep")</x:f>
        <x:v>0</x:v>
      </x:c>
      <x:c r="AG1003" t="n">
        <x:f>--AND(S1003=1,T1003=1,U1003=1,V1003=1,W1003=1,AE1003=1)</x:f>
        <x:v>0</x:v>
      </x:c>
      <x:c r="AJ1003" t="str">
        <x:f>IF(OR(AH1003="",AI1003=""),"",--(AH1003&lt;&gt;AI1003))</x:f>
      </x:c>
      <x:c r="AL1003" t="str">
        <x:f>IF(OR(AH1003="",AI1003=""),"PENDING_HUMAN",IF(AH1003=AI1003,AH1003,IF(AK1003&lt;&gt;"",AK1003,"PENDING_HUMAN")))</x:f>
        <x:v>PENDING_HUMAN</x:v>
      </x:c>
      <x:c r="AM1003" t="n">
        <x:f>--AND(A1003&lt;&gt;"",AH1003&lt;&gt;"",AI1003&lt;&gt;"",OR(AH1003=AI1003,AK1003&lt;&gt;""))</x:f>
        <x:v>0</x:v>
      </x:c>
      <x:c r="AN1003" t="n">
        <x:f>--AND(Y1003&lt;&gt;"",COUNTIF($Y$4:Y1003,Y1003)=1)</x:f>
        <x:v>0</x:v>
      </x:c>
      <x:c r="AO1003" t="n">
        <x:f>--AND(AN1003=1,Z1003=1,AM1003=1)</x:f>
        <x:v>0</x:v>
      </x:c>
      <x:c r="AP1003" t="n">
        <x:f>--AND(AO1003=1,AA1003=1,AL1003=1)</x:f>
        <x:v>0</x:v>
      </x:c>
      <x:c r="AQ1003" t="n">
        <x:f>--AND(AN1003=1,Z1003=1)</x:f>
        <x:v>0</x:v>
      </x:c>
      <x:c r="AR1003" t="n">
        <x:f>--AND(AQ1003=1,AA1003=1)</x:f>
        <x:v>0</x:v>
      </x:c>
    </x:row>
  </x:sheetData>
  <x:mergeCells>
    <x:mergeCell ref="A1:AF1"/>
  </x:mergeCells>
  <x:dataValidations count="5">
    <x:dataValidation type="list" sqref="S4:W1003">
      <x:formula1>"0,1"</x:formula1>
    </x:dataValidation>
    <x:dataValidation type="list" sqref="Z4:AD1003">
      <x:formula1>"0,1"</x:formula1>
    </x:dataValidation>
    <x:dataValidation type="list" sqref="F4:F1003">
      <x:formula1>"initial_route,post_answer"</x:formula1>
    </x:dataValidation>
    <x:dataValidation type="list" sqref="M4:M1003">
      <x:formula1>"keep,step_up,step_down,targeted_followup,path_switch"</x:formula1>
    </x:dataValidation>
    <x:dataValidation type="list" sqref="Q4:R1003">
      <x:formula1>"basic,applied,advanced"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5e1884e7a9b468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14" max="14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</x:cols>
  <x:sheetData>
    <x:row r="1" ht="28" customHeight="1">
      <x:c r="A1" s="47" t="str">
        <x:v>10知识点×3难度严格闭环覆盖表 v3.2｜加入模板与实际难度门禁</x:v>
      </x:c>
      <x:c r="B1" s="47"/>
      <x:c r="C1" s="47"/>
      <x:c r="D1" s="47"/>
      <x:c r="E1" s="47"/>
      <x:c r="F1" s="47"/>
      <x:c r="G1" s="47"/>
      <x:c r="H1" s="47"/>
      <x:c r="I1" s="47"/>
      <x:c r="J1" s="47"/>
      <x:c r="K1" s="47"/>
      <x:c r="L1" s="47"/>
      <x:c r="M1" s="47"/>
      <x:c r="N1" s="47"/>
      <x:c r="O1" s="47"/>
      <x:c r="P1" s="47"/>
      <x:c r="Q1" s="47"/>
      <x:c r="R1" s="47"/>
      <x:c r="S1" s="47"/>
      <x:c r="T1" s="49"/>
      <x:c r="U1" s="49"/>
      <x:c r="V1" s="49"/>
      <x:c r="W1" s="49"/>
      <x:c r="X1" s="49"/>
    </x:row>
    <x:row r="3" ht="30" customHeight="1">
      <x:c r="A3" s="69" t="str">
        <x:v>seed_id</x:v>
      </x:c>
      <x:c r="B3" s="69" t="str">
        <x:v>coverage_cell_id</x:v>
      </x:c>
      <x:c r="C3" s="69" t="str">
        <x:v>knowledge_point</x:v>
      </x:c>
      <x:c r="D3" s="69" t="str">
        <x:v>difficulty</x:v>
      </x:c>
      <x:c r="E3" s="69" t="str">
        <x:v>case_id</x:v>
      </x:c>
      <x:c r="F3" s="69" t="str">
        <x:v>route_mode</x:v>
      </x:c>
      <x:c r="G3" s="69" t="str">
        <x:v>route_reachable</x:v>
      </x:c>
      <x:c r="H3" s="69" t="str">
        <x:v>route_evidence_valid</x:v>
      </x:c>
      <x:c r="I3" s="69" t="str">
        <x:v>learning_contract_match</x:v>
      </x:c>
      <x:c r="J3" s="69" t="str">
        <x:v>profile_resource_match</x:v>
      </x:c>
      <x:c r="K3" s="69" t="str">
        <x:v>lecture_pass</x:v>
      </x:c>
      <x:c r="L3" s="69" t="str">
        <x:v>practice_pass</x:v>
      </x:c>
      <x:c r="M3" s="69" t="str">
        <x:v>quiz_pass</x:v>
      </x:c>
      <x:c r="N3" s="69" t="str">
        <x:v>feedback_pass</x:v>
      </x:c>
      <x:c r="O3" s="69" t="str">
        <x:v>review_pass</x:v>
      </x:c>
      <x:c r="P3" s="69" t="str">
        <x:v>evidence_pass</x:v>
      </x:c>
      <x:c r="Q3" s="69" t="str">
        <x:v>cell_pass_auto</x:v>
      </x:c>
      <x:c r="R3" s="69" t="str">
        <x:v>reviewer_a_pass</x:v>
      </x:c>
      <x:c r="S3" s="69" t="str">
        <x:v>reviewer_b_pass</x:v>
      </x:c>
      <x:c r="T3" s="69" t="str">
        <x:v>review_disagreement</x:v>
      </x:c>
      <x:c r="U3" s="69" t="str">
        <x:v>adjudicator_pass</x:v>
      </x:c>
      <x:c r="V3" s="69" t="str">
        <x:v>final_human_gate</x:v>
      </x:c>
      <x:c r="W3" s="69" t="str">
        <x:v>human_review_complete</x:v>
      </x:c>
      <x:c r="X3" s="69" t="str">
        <x:v>cell_pass_final</x:v>
      </x:c>
      <x:c r="Z3" s="69" t="str">
        <x:v>knowledge_point</x:v>
      </x:c>
      <x:c r="AA3" s="69" t="str">
        <x:v>A_basic</x:v>
      </x:c>
      <x:c r="AB3" s="69" t="str">
        <x:v>A_applied</x:v>
      </x:c>
      <x:c r="AC3" s="69" t="str">
        <x:v>A_advanced</x:v>
      </x:c>
      <x:c r="AD3" s="69" t="str">
        <x:v>A_kp_pass</x:v>
      </x:c>
      <x:c r="AE3" s="69" t="str">
        <x:v>B_basic</x:v>
      </x:c>
      <x:c r="AF3" s="69" t="str">
        <x:v>B_applied</x:v>
      </x:c>
      <x:c r="AG3" s="69" t="str">
        <x:v>B_advanced</x:v>
      </x:c>
      <x:c r="AH3" s="69" t="str">
        <x:v>B_kp_pass</x:v>
      </x:c>
      <x:c r="AI3" s="69" t="str">
        <x:v>both_seed_pass_auto</x:v>
      </x:c>
      <x:c r="AK3" s="77" t="str">
        <x:v>knowledge_point</x:v>
      </x:c>
      <x:c r="AL3" s="77" t="str">
        <x:v>A_basic</x:v>
      </x:c>
      <x:c r="AM3" s="77" t="str">
        <x:v>A_applied</x:v>
      </x:c>
      <x:c r="AN3" s="77" t="str">
        <x:v>A_advanced</x:v>
      </x:c>
      <x:c r="AO3" s="77" t="str">
        <x:v>A_kp_pass</x:v>
      </x:c>
      <x:c r="AP3" s="77" t="str">
        <x:v>B_basic</x:v>
      </x:c>
      <x:c r="AQ3" s="77" t="str">
        <x:v>B_applied</x:v>
      </x:c>
      <x:c r="AR3" s="77" t="str">
        <x:v>B_advanced</x:v>
      </x:c>
      <x:c r="AS3" s="77" t="str">
        <x:v>B_kp_pass</x:v>
      </x:c>
      <x:c r="AT3" s="77" t="str">
        <x:v>both_seed_pass_final</x:v>
      </x:c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33"/>
      <x:c r="N4" s="28"/>
      <x:c r="O4" s="28"/>
      <x:c r="P4" s="33"/>
      <x:c r="Q4" s="33" t="n">
        <x:f>--AND(G4=1,H4=1,I4=1,J4=1,K4=1,L4=1,M4=1,N4=1,O4=1,P4=1)</x:f>
        <x:v>0</x:v>
      </x:c>
      <x:c r="R4" s="33"/>
      <x:c r="S4" s="33"/>
      <x:c r="T4" s="28" t="str">
        <x:f>IF(OR(R4="",S4=""),"",--(R4&lt;&gt;S4))</x:f>
      </x:c>
      <x:c r="U4" s="28"/>
      <x:c r="V4" s="28" t="str">
        <x:f>IF(OR(R4="",S4=""),"PENDING_HUMAN",IF(R4=S4,R4,IF(U4&lt;&gt;"",U4,"PENDING_HUMAN")))</x:f>
        <x:v>PENDING_HUMAN</x:v>
      </x:c>
      <x:c r="W4" s="28" t="n">
        <x:f>--AND(A4&lt;&gt;"",R4&lt;&gt;"",S4&lt;&gt;"",OR(R4=S4,U4&lt;&gt;""))</x:f>
        <x:v>0</x:v>
      </x:c>
      <x:c r="X4" s="28" t="n">
        <x:f>--AND(Q4=1,W4=1,V4=1)</x:f>
        <x:v>0</x:v>
      </x:c>
      <x:c r="Z4" t="str">
        <x:v>三道工序与传导关系</x:v>
      </x:c>
      <x:c r="AA4" t="n">
        <x:f>--(COUNTIFS($A$4:$A$63,"seed_A",$C$4:$C$63,$Z4,$D$4:$D$63,"basic",$Q$4:$Q$63,1)=1)</x:f>
        <x:v>0</x:v>
      </x:c>
      <x:c r="AB4" t="n">
        <x:f>--(COUNTIFS($A$4:$A$63,"seed_A",$C$4:$C$63,$Z4,$D$4:$D$63,"applied",$Q$4:$Q$63,1)=1)</x:f>
        <x:v>0</x:v>
      </x:c>
      <x:c r="AC4" t="n">
        <x:f>--(COUNTIFS($A$4:$A$63,"seed_A",$C$4:$C$63,$Z4,$D$4:$D$63,"advanced",$Q$4:$Q$63,1)=1)</x:f>
        <x:v>0</x:v>
      </x:c>
      <x:c r="AD4" t="n">
        <x:f>--AND(AA4=1,AB4=1,AC4=1)</x:f>
        <x:v>0</x:v>
      </x:c>
      <x:c r="AE4" t="n">
        <x:f>--(COUNTIFS($A$4:$A$63,"seed_B",$C$4:$C$63,$Z4,$D$4:$D$63,"basic",$Q$4:$Q$63,1)=1)</x:f>
        <x:v>0</x:v>
      </x:c>
      <x:c r="AF4" t="n">
        <x:f>--(COUNTIFS($A$4:$A$63,"seed_B",$C$4:$C$63,$Z4,$D$4:$D$63,"applied",$Q$4:$Q$63,1)=1)</x:f>
        <x:v>0</x:v>
      </x:c>
      <x:c r="AG4" t="n">
        <x:f>--(COUNTIFS($A$4:$A$63,"seed_B",$C$4:$C$63,$Z4,$D$4:$D$63,"advanced",$Q$4:$Q$63,1)=1)</x:f>
        <x:v>0</x:v>
      </x:c>
      <x:c r="AH4" t="n">
        <x:f>--AND(AE4=1,AF4=1,AG4=1)</x:f>
        <x:v>0</x:v>
      </x:c>
      <x:c r="AI4" t="n">
        <x:f>--AND(AD4=1,AH4=1)</x:f>
        <x:v>0</x:v>
      </x:c>
      <x:c r="AK4" t="str">
        <x:v>三道工序与传导关系</x:v>
      </x:c>
      <x:c r="AL4" t="n">
        <x:f>--(COUNTIFS($A$4:$A$63,"seed_A",$C$4:$C$63,$AK4,$D$4:$D$63,"basic",$X$4:$X$63,1)=1)</x:f>
        <x:v>0</x:v>
      </x:c>
      <x:c r="AM4" t="n">
        <x:f>--(COUNTIFS($A$4:$A$63,"seed_A",$C$4:$C$63,$AK4,$D$4:$D$63,"applied",$X$4:$X$63,1)=1)</x:f>
        <x:v>0</x:v>
      </x:c>
      <x:c r="AN4" t="n">
        <x:f>--(COUNTIFS($A$4:$A$63,"seed_A",$C$4:$C$63,$AK4,$D$4:$D$63,"advanced",$X$4:$X$63,1)=1)</x:f>
        <x:v>0</x:v>
      </x:c>
      <x:c r="AO4" t="n">
        <x:f>--AND(AL4=1,AM4=1,AN4=1)</x:f>
        <x:v>0</x:v>
      </x:c>
      <x:c r="AP4" t="n">
        <x:f>--(COUNTIFS($A$4:$A$63,"seed_B",$C$4:$C$63,$AK4,$D$4:$D$63,"basic",$X$4:$X$63,1)=1)</x:f>
        <x:v>0</x:v>
      </x:c>
      <x:c r="AQ4" t="n">
        <x:f>--(COUNTIFS($A$4:$A$63,"seed_B",$C$4:$C$63,$AK4,$D$4:$D$63,"applied",$X$4:$X$63,1)=1)</x:f>
        <x:v>0</x:v>
      </x:c>
      <x:c r="AR4" t="n">
        <x:f>--(COUNTIFS($A$4:$A$63,"seed_B",$C$4:$C$63,$AK4,$D$4:$D$63,"advanced",$X$4:$X$63,1)=1)</x:f>
        <x:v>0</x:v>
      </x:c>
      <x:c r="AS4" t="n">
        <x:f>--AND(AP4=1,AQ4=1,AR4=1)</x:f>
        <x:v>0</x:v>
      </x:c>
      <x:c r="AT4" t="n">
        <x:f>--AND(AO4=1,AS4=1)</x:f>
        <x:v>0</x:v>
      </x:c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33"/>
      <x:c r="N5" s="28"/>
      <x:c r="O5" s="28"/>
      <x:c r="P5" s="33"/>
      <x:c r="Q5" s="33" t="n">
        <x:f>--AND(G5=1,H5=1,I5=1,J5=1,K5=1,L5=1,M5=1,N5=1,O5=1,P5=1)</x:f>
        <x:v>0</x:v>
      </x:c>
      <x:c r="R5" s="33"/>
      <x:c r="S5" s="33"/>
      <x:c r="T5" s="28" t="str">
        <x:f>IF(OR(R5="",S5=""),"",--(R5&lt;&gt;S5))</x:f>
      </x:c>
      <x:c r="U5" s="28"/>
      <x:c r="V5" s="28" t="str">
        <x:f>IF(OR(R5="",S5=""),"PENDING_HUMAN",IF(R5=S5,R5,IF(U5&lt;&gt;"",U5,"PENDING_HUMAN")))</x:f>
        <x:v>PENDING_HUMAN</x:v>
      </x:c>
      <x:c r="W5" s="28" t="n">
        <x:f>--AND(A5&lt;&gt;"",R5&lt;&gt;"",S5&lt;&gt;"",OR(R5=S5,U5&lt;&gt;""))</x:f>
        <x:v>0</x:v>
      </x:c>
      <x:c r="X5" s="28" t="n">
        <x:f>--AND(Q5=1,W5=1,V5=1)</x:f>
        <x:v>0</x:v>
      </x:c>
      <x:c r="Z5" t="str">
        <x:v>计划量与实际量口径</x:v>
      </x:c>
      <x:c r="AA5" t="n">
        <x:f>--(COUNTIFS($A$4:$A$63,"seed_A",$C$4:$C$63,$Z5,$D$4:$D$63,"basic",$Q$4:$Q$63,1)=1)</x:f>
        <x:v>0</x:v>
      </x:c>
      <x:c r="AB5" t="n">
        <x:f>--(COUNTIFS($A$4:$A$63,"seed_A",$C$4:$C$63,$Z5,$D$4:$D$63,"applied",$Q$4:$Q$63,1)=1)</x:f>
        <x:v>0</x:v>
      </x:c>
      <x:c r="AC5" t="n">
        <x:f>--(COUNTIFS($A$4:$A$63,"seed_A",$C$4:$C$63,$Z5,$D$4:$D$63,"advanced",$Q$4:$Q$63,1)=1)</x:f>
        <x:v>0</x:v>
      </x:c>
      <x:c r="AD5" t="n">
        <x:f>--AND(AA5=1,AB5=1,AC5=1)</x:f>
        <x:v>0</x:v>
      </x:c>
      <x:c r="AE5" t="n">
        <x:f>--(COUNTIFS($A$4:$A$63,"seed_B",$C$4:$C$63,$Z5,$D$4:$D$63,"basic",$Q$4:$Q$63,1)=1)</x:f>
        <x:v>0</x:v>
      </x:c>
      <x:c r="AF5" t="n">
        <x:f>--(COUNTIFS($A$4:$A$63,"seed_B",$C$4:$C$63,$Z5,$D$4:$D$63,"applied",$Q$4:$Q$63,1)=1)</x:f>
        <x:v>0</x:v>
      </x:c>
      <x:c r="AG5" t="n">
        <x:f>--(COUNTIFS($A$4:$A$63,"seed_B",$C$4:$C$63,$Z5,$D$4:$D$63,"advanced",$Q$4:$Q$63,1)=1)</x:f>
        <x:v>0</x:v>
      </x:c>
      <x:c r="AH5" t="n">
        <x:f>--AND(AE5=1,AF5=1,AG5=1)</x:f>
        <x:v>0</x:v>
      </x:c>
      <x:c r="AI5" t="n">
        <x:f>--AND(AD5=1,AH5=1)</x:f>
        <x:v>0</x:v>
      </x:c>
      <x:c r="AK5" t="str">
        <x:v>计划量与实际量口径</x:v>
      </x:c>
      <x:c r="AL5" t="n">
        <x:f>--(COUNTIFS($A$4:$A$63,"seed_A",$C$4:$C$63,$AK5,$D$4:$D$63,"basic",$X$4:$X$63,1)=1)</x:f>
        <x:v>0</x:v>
      </x:c>
      <x:c r="AM5" t="n">
        <x:f>--(COUNTIFS($A$4:$A$63,"seed_A",$C$4:$C$63,$AK5,$D$4:$D$63,"applied",$X$4:$X$63,1)=1)</x:f>
        <x:v>0</x:v>
      </x:c>
      <x:c r="AN5" t="n">
        <x:f>--(COUNTIFS($A$4:$A$63,"seed_A",$C$4:$C$63,$AK5,$D$4:$D$63,"advanced",$X$4:$X$63,1)=1)</x:f>
        <x:v>0</x:v>
      </x:c>
      <x:c r="AO5" t="n">
        <x:f>--AND(AL5=1,AM5=1,AN5=1)</x:f>
        <x:v>0</x:v>
      </x:c>
      <x:c r="AP5" t="n">
        <x:f>--(COUNTIFS($A$4:$A$63,"seed_B",$C$4:$C$63,$AK5,$D$4:$D$63,"basic",$X$4:$X$63,1)=1)</x:f>
        <x:v>0</x:v>
      </x:c>
      <x:c r="AQ5" t="n">
        <x:f>--(COUNTIFS($A$4:$A$63,"seed_B",$C$4:$C$63,$AK5,$D$4:$D$63,"applied",$X$4:$X$63,1)=1)</x:f>
        <x:v>0</x:v>
      </x:c>
      <x:c r="AR5" t="n">
        <x:f>--(COUNTIFS($A$4:$A$63,"seed_B",$C$4:$C$63,$AK5,$D$4:$D$63,"advanced",$X$4:$X$63,1)=1)</x:f>
        <x:v>0</x:v>
      </x:c>
      <x:c r="AS5" t="n">
        <x:f>--AND(AP5=1,AQ5=1,AR5=1)</x:f>
        <x:v>0</x:v>
      </x:c>
      <x:c r="AT5" t="n">
        <x:f>--AND(AO5=1,AS5=1)</x:f>
        <x:v>0</x:v>
      </x:c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33"/>
      <x:c r="N6" s="28"/>
      <x:c r="O6" s="28"/>
      <x:c r="P6" s="33"/>
      <x:c r="Q6" s="33" t="n">
        <x:f>--AND(G6=1,H6=1,I6=1,J6=1,K6=1,L6=1,M6=1,N6=1,O6=1,P6=1)</x:f>
        <x:v>0</x:v>
      </x:c>
      <x:c r="R6" s="33"/>
      <x:c r="S6" s="33"/>
      <x:c r="T6" s="28" t="str">
        <x:f>IF(OR(R6="",S6=""),"",--(R6&lt;&gt;S6))</x:f>
      </x:c>
      <x:c r="U6" s="28"/>
      <x:c r="V6" s="28" t="str">
        <x:f>IF(OR(R6="",S6=""),"PENDING_HUMAN",IF(R6=S6,R6,IF(U6&lt;&gt;"",U6,"PENDING_HUMAN")))</x:f>
        <x:v>PENDING_HUMAN</x:v>
      </x:c>
      <x:c r="W6" s="28" t="n">
        <x:f>--AND(A6&lt;&gt;"",R6&lt;&gt;"",S6&lt;&gt;"",OR(R6=S6,U6&lt;&gt;""))</x:f>
        <x:v>0</x:v>
      </x:c>
      <x:c r="X6" s="28" t="n">
        <x:f>--AND(Q6=1,W6=1,V6=1)</x:f>
        <x:v>0</x:v>
      </x:c>
      <x:c r="Z6" t="str">
        <x:v>完成率计算</x:v>
      </x:c>
      <x:c r="AA6" t="n">
        <x:f>--(COUNTIFS($A$4:$A$63,"seed_A",$C$4:$C$63,$Z6,$D$4:$D$63,"basic",$Q$4:$Q$63,1)=1)</x:f>
        <x:v>0</x:v>
      </x:c>
      <x:c r="AB6" t="n">
        <x:f>--(COUNTIFS($A$4:$A$63,"seed_A",$C$4:$C$63,$Z6,$D$4:$D$63,"applied",$Q$4:$Q$63,1)=1)</x:f>
        <x:v>0</x:v>
      </x:c>
      <x:c r="AC6" t="n">
        <x:f>--(COUNTIFS($A$4:$A$63,"seed_A",$C$4:$C$63,$Z6,$D$4:$D$63,"advanced",$Q$4:$Q$63,1)=1)</x:f>
        <x:v>0</x:v>
      </x:c>
      <x:c r="AD6" t="n">
        <x:f>--AND(AA6=1,AB6=1,AC6=1)</x:f>
        <x:v>0</x:v>
      </x:c>
      <x:c r="AE6" t="n">
        <x:f>--(COUNTIFS($A$4:$A$63,"seed_B",$C$4:$C$63,$Z6,$D$4:$D$63,"basic",$Q$4:$Q$63,1)=1)</x:f>
        <x:v>0</x:v>
      </x:c>
      <x:c r="AF6" t="n">
        <x:f>--(COUNTIFS($A$4:$A$63,"seed_B",$C$4:$C$63,$Z6,$D$4:$D$63,"applied",$Q$4:$Q$63,1)=1)</x:f>
        <x:v>0</x:v>
      </x:c>
      <x:c r="AG6" t="n">
        <x:f>--(COUNTIFS($A$4:$A$63,"seed_B",$C$4:$C$63,$Z6,$D$4:$D$63,"advanced",$Q$4:$Q$63,1)=1)</x:f>
        <x:v>0</x:v>
      </x:c>
      <x:c r="AH6" t="n">
        <x:f>--AND(AE6=1,AF6=1,AG6=1)</x:f>
        <x:v>0</x:v>
      </x:c>
      <x:c r="AI6" t="n">
        <x:f>--AND(AD6=1,AH6=1)</x:f>
        <x:v>0</x:v>
      </x:c>
      <x:c r="AK6" t="str">
        <x:v>完成率计算</x:v>
      </x:c>
      <x:c r="AL6" t="n">
        <x:f>--(COUNTIFS($A$4:$A$63,"seed_A",$C$4:$C$63,$AK6,$D$4:$D$63,"basic",$X$4:$X$63,1)=1)</x:f>
        <x:v>0</x:v>
      </x:c>
      <x:c r="AM6" t="n">
        <x:f>--(COUNTIFS($A$4:$A$63,"seed_A",$C$4:$C$63,$AK6,$D$4:$D$63,"applied",$X$4:$X$63,1)=1)</x:f>
        <x:v>0</x:v>
      </x:c>
      <x:c r="AN6" t="n">
        <x:f>--(COUNTIFS($A$4:$A$63,"seed_A",$C$4:$C$63,$AK6,$D$4:$D$63,"advanced",$X$4:$X$63,1)=1)</x:f>
        <x:v>0</x:v>
      </x:c>
      <x:c r="AO6" t="n">
        <x:f>--AND(AL6=1,AM6=1,AN6=1)</x:f>
        <x:v>0</x:v>
      </x:c>
      <x:c r="AP6" t="n">
        <x:f>--(COUNTIFS($A$4:$A$63,"seed_B",$C$4:$C$63,$AK6,$D$4:$D$63,"basic",$X$4:$X$63,1)=1)</x:f>
        <x:v>0</x:v>
      </x:c>
      <x:c r="AQ6" t="n">
        <x:f>--(COUNTIFS($A$4:$A$63,"seed_B",$C$4:$C$63,$AK6,$D$4:$D$63,"applied",$X$4:$X$63,1)=1)</x:f>
        <x:v>0</x:v>
      </x:c>
      <x:c r="AR6" t="n">
        <x:f>--(COUNTIFS($A$4:$A$63,"seed_B",$C$4:$C$63,$AK6,$D$4:$D$63,"advanced",$X$4:$X$63,1)=1)</x:f>
        <x:v>0</x:v>
      </x:c>
      <x:c r="AS6" t="n">
        <x:f>--AND(AP6=1,AQ6=1,AR6=1)</x:f>
        <x:v>0</x:v>
      </x:c>
      <x:c r="AT6" t="n">
        <x:f>--AND(AO6=1,AS6=1)</x:f>
        <x:v>0</x:v>
      </x:c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33"/>
      <x:c r="N7" s="28"/>
      <x:c r="O7" s="28"/>
      <x:c r="P7" s="33"/>
      <x:c r="Q7" s="33" t="n">
        <x:f>--AND(G7=1,H7=1,I7=1,J7=1,K7=1,L7=1,M7=1,N7=1,O7=1,P7=1)</x:f>
        <x:v>0</x:v>
      </x:c>
      <x:c r="R7" s="33"/>
      <x:c r="S7" s="33"/>
      <x:c r="T7" s="28" t="str">
        <x:f>IF(OR(R7="",S7=""),"",--(R7&lt;&gt;S7))</x:f>
      </x:c>
      <x:c r="U7" s="28"/>
      <x:c r="V7" s="28" t="str">
        <x:f>IF(OR(R7="",S7=""),"PENDING_HUMAN",IF(R7=S7,R7,IF(U7&lt;&gt;"",U7,"PENDING_HUMAN")))</x:f>
        <x:v>PENDING_HUMAN</x:v>
      </x:c>
      <x:c r="W7" s="28" t="n">
        <x:f>--AND(A7&lt;&gt;"",R7&lt;&gt;"",S7&lt;&gt;"",OR(R7=S7,U7&lt;&gt;""))</x:f>
        <x:v>0</x:v>
      </x:c>
      <x:c r="X7" s="28" t="n">
        <x:f>--AND(Q7=1,W7=1,V7=1)</x:f>
        <x:v>0</x:v>
      </x:c>
      <x:c r="Z7" t="str">
        <x:v>偏差率与风险等级</x:v>
      </x:c>
      <x:c r="AA7" t="n">
        <x:f>--(COUNTIFS($A$4:$A$63,"seed_A",$C$4:$C$63,$Z7,$D$4:$D$63,"basic",$Q$4:$Q$63,1)=1)</x:f>
        <x:v>0</x:v>
      </x:c>
      <x:c r="AB7" t="n">
        <x:f>--(COUNTIFS($A$4:$A$63,"seed_A",$C$4:$C$63,$Z7,$D$4:$D$63,"applied",$Q$4:$Q$63,1)=1)</x:f>
        <x:v>0</x:v>
      </x:c>
      <x:c r="AC7" t="n">
        <x:f>--(COUNTIFS($A$4:$A$63,"seed_A",$C$4:$C$63,$Z7,$D$4:$D$63,"advanced",$Q$4:$Q$63,1)=1)</x:f>
        <x:v>0</x:v>
      </x:c>
      <x:c r="AD7" t="n">
        <x:f>--AND(AA7=1,AB7=1,AC7=1)</x:f>
        <x:v>0</x:v>
      </x:c>
      <x:c r="AE7" t="n">
        <x:f>--(COUNTIFS($A$4:$A$63,"seed_B",$C$4:$C$63,$Z7,$D$4:$D$63,"basic",$Q$4:$Q$63,1)=1)</x:f>
        <x:v>0</x:v>
      </x:c>
      <x:c r="AF7" t="n">
        <x:f>--(COUNTIFS($A$4:$A$63,"seed_B",$C$4:$C$63,$Z7,$D$4:$D$63,"applied",$Q$4:$Q$63,1)=1)</x:f>
        <x:v>0</x:v>
      </x:c>
      <x:c r="AG7" t="n">
        <x:f>--(COUNTIFS($A$4:$A$63,"seed_B",$C$4:$C$63,$Z7,$D$4:$D$63,"advanced",$Q$4:$Q$63,1)=1)</x:f>
        <x:v>0</x:v>
      </x:c>
      <x:c r="AH7" t="n">
        <x:f>--AND(AE7=1,AF7=1,AG7=1)</x:f>
        <x:v>0</x:v>
      </x:c>
      <x:c r="AI7" t="n">
        <x:f>--AND(AD7=1,AH7=1)</x:f>
        <x:v>0</x:v>
      </x:c>
      <x:c r="AK7" t="str">
        <x:v>偏差率与风险等级</x:v>
      </x:c>
      <x:c r="AL7" t="n">
        <x:f>--(COUNTIFS($A$4:$A$63,"seed_A",$C$4:$C$63,$AK7,$D$4:$D$63,"basic",$X$4:$X$63,1)=1)</x:f>
        <x:v>0</x:v>
      </x:c>
      <x:c r="AM7" t="n">
        <x:f>--(COUNTIFS($A$4:$A$63,"seed_A",$C$4:$C$63,$AK7,$D$4:$D$63,"applied",$X$4:$X$63,1)=1)</x:f>
        <x:v>0</x:v>
      </x:c>
      <x:c r="AN7" t="n">
        <x:f>--(COUNTIFS($A$4:$A$63,"seed_A",$C$4:$C$63,$AK7,$D$4:$D$63,"advanced",$X$4:$X$63,1)=1)</x:f>
        <x:v>0</x:v>
      </x:c>
      <x:c r="AO7" t="n">
        <x:f>--AND(AL7=1,AM7=1,AN7=1)</x:f>
        <x:v>0</x:v>
      </x:c>
      <x:c r="AP7" t="n">
        <x:f>--(COUNTIFS($A$4:$A$63,"seed_B",$C$4:$C$63,$AK7,$D$4:$D$63,"basic",$X$4:$X$63,1)=1)</x:f>
        <x:v>0</x:v>
      </x:c>
      <x:c r="AQ7" t="n">
        <x:f>--(COUNTIFS($A$4:$A$63,"seed_B",$C$4:$C$63,$AK7,$D$4:$D$63,"applied",$X$4:$X$63,1)=1)</x:f>
        <x:v>0</x:v>
      </x:c>
      <x:c r="AR7" t="n">
        <x:f>--(COUNTIFS($A$4:$A$63,"seed_B",$C$4:$C$63,$AK7,$D$4:$D$63,"advanced",$X$4:$X$63,1)=1)</x:f>
        <x:v>0</x:v>
      </x:c>
      <x:c r="AS7" t="n">
        <x:f>--AND(AP7=1,AQ7=1,AR7=1)</x:f>
        <x:v>0</x:v>
      </x:c>
      <x:c r="AT7" t="n">
        <x:f>--AND(AO7=1,AS7=1)</x:f>
        <x:v>0</x:v>
      </x:c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33"/>
      <x:c r="N8" s="28"/>
      <x:c r="O8" s="28"/>
      <x:c r="P8" s="33"/>
      <x:c r="Q8" s="33" t="n">
        <x:f>--AND(G8=1,H8=1,I8=1,J8=1,K8=1,L8=1,M8=1,N8=1,O8=1,P8=1)</x:f>
        <x:v>0</x:v>
      </x:c>
      <x:c r="R8" s="33"/>
      <x:c r="S8" s="33"/>
      <x:c r="T8" s="28" t="str">
        <x:f>IF(OR(R8="",S8=""),"",--(R8&lt;&gt;S8))</x:f>
      </x:c>
      <x:c r="U8" s="28"/>
      <x:c r="V8" s="28" t="str">
        <x:f>IF(OR(R8="",S8=""),"PENDING_HUMAN",IF(R8=S8,R8,IF(U8&lt;&gt;"",U8,"PENDING_HUMAN")))</x:f>
        <x:v>PENDING_HUMAN</x:v>
      </x:c>
      <x:c r="W8" s="28" t="n">
        <x:f>--AND(A8&lt;&gt;"",R8&lt;&gt;"",S8&lt;&gt;"",OR(R8=S8,U8&lt;&gt;""))</x:f>
        <x:v>0</x:v>
      </x:c>
      <x:c r="X8" s="28" t="n">
        <x:f>--AND(Q8=1,W8=1,V8=1)</x:f>
        <x:v>0</x:v>
      </x:c>
      <x:c r="Z8" t="str">
        <x:v>月度聚合方法</x:v>
      </x:c>
      <x:c r="AA8" t="n">
        <x:f>--(COUNTIFS($A$4:$A$63,"seed_A",$C$4:$C$63,$Z8,$D$4:$D$63,"basic",$Q$4:$Q$63,1)=1)</x:f>
        <x:v>0</x:v>
      </x:c>
      <x:c r="AB8" t="n">
        <x:f>--(COUNTIFS($A$4:$A$63,"seed_A",$C$4:$C$63,$Z8,$D$4:$D$63,"applied",$Q$4:$Q$63,1)=1)</x:f>
        <x:v>0</x:v>
      </x:c>
      <x:c r="AC8" t="n">
        <x:f>--(COUNTIFS($A$4:$A$63,"seed_A",$C$4:$C$63,$Z8,$D$4:$D$63,"advanced",$Q$4:$Q$63,1)=1)</x:f>
        <x:v>0</x:v>
      </x:c>
      <x:c r="AD8" t="n">
        <x:f>--AND(AA8=1,AB8=1,AC8=1)</x:f>
        <x:v>0</x:v>
      </x:c>
      <x:c r="AE8" t="n">
        <x:f>--(COUNTIFS($A$4:$A$63,"seed_B",$C$4:$C$63,$Z8,$D$4:$D$63,"basic",$Q$4:$Q$63,1)=1)</x:f>
        <x:v>0</x:v>
      </x:c>
      <x:c r="AF8" t="n">
        <x:f>--(COUNTIFS($A$4:$A$63,"seed_B",$C$4:$C$63,$Z8,$D$4:$D$63,"applied",$Q$4:$Q$63,1)=1)</x:f>
        <x:v>0</x:v>
      </x:c>
      <x:c r="AG8" t="n">
        <x:f>--(COUNTIFS($A$4:$A$63,"seed_B",$C$4:$C$63,$Z8,$D$4:$D$63,"advanced",$Q$4:$Q$63,1)=1)</x:f>
        <x:v>0</x:v>
      </x:c>
      <x:c r="AH8" t="n">
        <x:f>--AND(AE8=1,AF8=1,AG8=1)</x:f>
        <x:v>0</x:v>
      </x:c>
      <x:c r="AI8" t="n">
        <x:f>--AND(AD8=1,AH8=1)</x:f>
        <x:v>0</x:v>
      </x:c>
      <x:c r="AK8" t="str">
        <x:v>月度聚合方法</x:v>
      </x:c>
      <x:c r="AL8" t="n">
        <x:f>--(COUNTIFS($A$4:$A$63,"seed_A",$C$4:$C$63,$AK8,$D$4:$D$63,"basic",$X$4:$X$63,1)=1)</x:f>
        <x:v>0</x:v>
      </x:c>
      <x:c r="AM8" t="n">
        <x:f>--(COUNTIFS($A$4:$A$63,"seed_A",$C$4:$C$63,$AK8,$D$4:$D$63,"applied",$X$4:$X$63,1)=1)</x:f>
        <x:v>0</x:v>
      </x:c>
      <x:c r="AN8" t="n">
        <x:f>--(COUNTIFS($A$4:$A$63,"seed_A",$C$4:$C$63,$AK8,$D$4:$D$63,"advanced",$X$4:$X$63,1)=1)</x:f>
        <x:v>0</x:v>
      </x:c>
      <x:c r="AO8" t="n">
        <x:f>--AND(AL8=1,AM8=1,AN8=1)</x:f>
        <x:v>0</x:v>
      </x:c>
      <x:c r="AP8" t="n">
        <x:f>--(COUNTIFS($A$4:$A$63,"seed_B",$C$4:$C$63,$AK8,$D$4:$D$63,"basic",$X$4:$X$63,1)=1)</x:f>
        <x:v>0</x:v>
      </x:c>
      <x:c r="AQ8" t="n">
        <x:f>--(COUNTIFS($A$4:$A$63,"seed_B",$C$4:$C$63,$AK8,$D$4:$D$63,"applied",$X$4:$X$63,1)=1)</x:f>
        <x:v>0</x:v>
      </x:c>
      <x:c r="AR8" t="n">
        <x:f>--(COUNTIFS($A$4:$A$63,"seed_B",$C$4:$C$63,$AK8,$D$4:$D$63,"advanced",$X$4:$X$63,1)=1)</x:f>
        <x:v>0</x:v>
      </x:c>
      <x:c r="AS8" t="n">
        <x:f>--AND(AP8=1,AQ8=1,AR8=1)</x:f>
        <x:v>0</x:v>
      </x:c>
      <x:c r="AT8" t="n">
        <x:f>--AND(AO8=1,AS8=1)</x:f>
        <x:v>0</x:v>
      </x:c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33"/>
      <x:c r="N9" s="28"/>
      <x:c r="O9" s="28"/>
      <x:c r="P9" s="33"/>
      <x:c r="Q9" s="33" t="n">
        <x:f>--AND(G9=1,H9=1,I9=1,J9=1,K9=1,L9=1,M9=1,N9=1,O9=1,P9=1)</x:f>
        <x:v>0</x:v>
      </x:c>
      <x:c r="R9" s="33"/>
      <x:c r="S9" s="33"/>
      <x:c r="T9" s="28" t="str">
        <x:f>IF(OR(R9="",S9=""),"",--(R9&lt;&gt;S9))</x:f>
      </x:c>
      <x:c r="U9" s="28"/>
      <x:c r="V9" s="28" t="str">
        <x:f>IF(OR(R9="",S9=""),"PENDING_HUMAN",IF(R9=S9,R9,IF(U9&lt;&gt;"",U9,"PENDING_HUMAN")))</x:f>
        <x:v>PENDING_HUMAN</x:v>
      </x:c>
      <x:c r="W9" s="28" t="n">
        <x:f>--AND(A9&lt;&gt;"",R9&lt;&gt;"",S9&lt;&gt;"",OR(R9=S9,U9&lt;&gt;""))</x:f>
        <x:v>0</x:v>
      </x:c>
      <x:c r="X9" s="28" t="n">
        <x:f>--AND(Q9=1,W9=1,V9=1)</x:f>
        <x:v>0</x:v>
      </x:c>
      <x:c r="Z9" t="str">
        <x:v>异常识别标准</x:v>
      </x:c>
      <x:c r="AA9" t="n">
        <x:f>--(COUNTIFS($A$4:$A$63,"seed_A",$C$4:$C$63,$Z9,$D$4:$D$63,"basic",$Q$4:$Q$63,1)=1)</x:f>
        <x:v>0</x:v>
      </x:c>
      <x:c r="AB9" t="n">
        <x:f>--(COUNTIFS($A$4:$A$63,"seed_A",$C$4:$C$63,$Z9,$D$4:$D$63,"applied",$Q$4:$Q$63,1)=1)</x:f>
        <x:v>0</x:v>
      </x:c>
      <x:c r="AC9" t="n">
        <x:f>--(COUNTIFS($A$4:$A$63,"seed_A",$C$4:$C$63,$Z9,$D$4:$D$63,"advanced",$Q$4:$Q$63,1)=1)</x:f>
        <x:v>0</x:v>
      </x:c>
      <x:c r="AD9" t="n">
        <x:f>--AND(AA9=1,AB9=1,AC9=1)</x:f>
        <x:v>0</x:v>
      </x:c>
      <x:c r="AE9" t="n">
        <x:f>--(COUNTIFS($A$4:$A$63,"seed_B",$C$4:$C$63,$Z9,$D$4:$D$63,"basic",$Q$4:$Q$63,1)=1)</x:f>
        <x:v>0</x:v>
      </x:c>
      <x:c r="AF9" t="n">
        <x:f>--(COUNTIFS($A$4:$A$63,"seed_B",$C$4:$C$63,$Z9,$D$4:$D$63,"applied",$Q$4:$Q$63,1)=1)</x:f>
        <x:v>0</x:v>
      </x:c>
      <x:c r="AG9" t="n">
        <x:f>--(COUNTIFS($A$4:$A$63,"seed_B",$C$4:$C$63,$Z9,$D$4:$D$63,"advanced",$Q$4:$Q$63,1)=1)</x:f>
        <x:v>0</x:v>
      </x:c>
      <x:c r="AH9" t="n">
        <x:f>--AND(AE9=1,AF9=1,AG9=1)</x:f>
        <x:v>0</x:v>
      </x:c>
      <x:c r="AI9" t="n">
        <x:f>--AND(AD9=1,AH9=1)</x:f>
        <x:v>0</x:v>
      </x:c>
      <x:c r="AK9" t="str">
        <x:v>异常识别标准</x:v>
      </x:c>
      <x:c r="AL9" t="n">
        <x:f>--(COUNTIFS($A$4:$A$63,"seed_A",$C$4:$C$63,$AK9,$D$4:$D$63,"basic",$X$4:$X$63,1)=1)</x:f>
        <x:v>0</x:v>
      </x:c>
      <x:c r="AM9" t="n">
        <x:f>--(COUNTIFS($A$4:$A$63,"seed_A",$C$4:$C$63,$AK9,$D$4:$D$63,"applied",$X$4:$X$63,1)=1)</x:f>
        <x:v>0</x:v>
      </x:c>
      <x:c r="AN9" t="n">
        <x:f>--(COUNTIFS($A$4:$A$63,"seed_A",$C$4:$C$63,$AK9,$D$4:$D$63,"advanced",$X$4:$X$63,1)=1)</x:f>
        <x:v>0</x:v>
      </x:c>
      <x:c r="AO9" t="n">
        <x:f>--AND(AL9=1,AM9=1,AN9=1)</x:f>
        <x:v>0</x:v>
      </x:c>
      <x:c r="AP9" t="n">
        <x:f>--(COUNTIFS($A$4:$A$63,"seed_B",$C$4:$C$63,$AK9,$D$4:$D$63,"basic",$X$4:$X$63,1)=1)</x:f>
        <x:v>0</x:v>
      </x:c>
      <x:c r="AQ9" t="n">
        <x:f>--(COUNTIFS($A$4:$A$63,"seed_B",$C$4:$C$63,$AK9,$D$4:$D$63,"applied",$X$4:$X$63,1)=1)</x:f>
        <x:v>0</x:v>
      </x:c>
      <x:c r="AR9" t="n">
        <x:f>--(COUNTIFS($A$4:$A$63,"seed_B",$C$4:$C$63,$AK9,$D$4:$D$63,"advanced",$X$4:$X$63,1)=1)</x:f>
        <x:v>0</x:v>
      </x:c>
      <x:c r="AS9" t="n">
        <x:f>--AND(AP9=1,AQ9=1,AR9=1)</x:f>
        <x:v>0</x:v>
      </x:c>
      <x:c r="AT9" t="n">
        <x:f>--AND(AO9=1,AS9=1)</x:f>
        <x:v>0</x:v>
      </x:c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33"/>
      <x:c r="N10" s="28"/>
      <x:c r="O10" s="28"/>
      <x:c r="P10" s="33"/>
      <x:c r="Q10" s="33" t="n">
        <x:f>--AND(G10=1,H10=1,I10=1,J10=1,K10=1,L10=1,M10=1,N10=1,O10=1,P10=1)</x:f>
        <x:v>0</x:v>
      </x:c>
      <x:c r="R10" s="33"/>
      <x:c r="S10" s="33"/>
      <x:c r="T10" s="28" t="str">
        <x:f>IF(OR(R10="",S10=""),"",--(R10&lt;&gt;S10))</x:f>
      </x:c>
      <x:c r="U10" s="28"/>
      <x:c r="V10" s="28" t="str">
        <x:f>IF(OR(R10="",S10=""),"PENDING_HUMAN",IF(R10=S10,R10,IF(U10&lt;&gt;"",U10,"PENDING_HUMAN")))</x:f>
        <x:v>PENDING_HUMAN</x:v>
      </x:c>
      <x:c r="W10" s="28" t="n">
        <x:f>--AND(A10&lt;&gt;"",R10&lt;&gt;"",S10&lt;&gt;"",OR(R10=S10,U10&lt;&gt;""))</x:f>
        <x:v>0</x:v>
      </x:c>
      <x:c r="X10" s="28" t="n">
        <x:f>--AND(Q10=1,W10=1,V10=1)</x:f>
        <x:v>0</x:v>
      </x:c>
      <x:c r="Z10" t="str">
        <x:v>传导时滞分析</x:v>
      </x:c>
      <x:c r="AA10" t="n">
        <x:f>--(COUNTIFS($A$4:$A$63,"seed_A",$C$4:$C$63,$Z10,$D$4:$D$63,"basic",$Q$4:$Q$63,1)=1)</x:f>
        <x:v>0</x:v>
      </x:c>
      <x:c r="AB10" t="n">
        <x:f>--(COUNTIFS($A$4:$A$63,"seed_A",$C$4:$C$63,$Z10,$D$4:$D$63,"applied",$Q$4:$Q$63,1)=1)</x:f>
        <x:v>0</x:v>
      </x:c>
      <x:c r="AC10" t="n">
        <x:f>--(COUNTIFS($A$4:$A$63,"seed_A",$C$4:$C$63,$Z10,$D$4:$D$63,"advanced",$Q$4:$Q$63,1)=1)</x:f>
        <x:v>0</x:v>
      </x:c>
      <x:c r="AD10" t="n">
        <x:f>--AND(AA10=1,AB10=1,AC10=1)</x:f>
        <x:v>0</x:v>
      </x:c>
      <x:c r="AE10" t="n">
        <x:f>--(COUNTIFS($A$4:$A$63,"seed_B",$C$4:$C$63,$Z10,$D$4:$D$63,"basic",$Q$4:$Q$63,1)=1)</x:f>
        <x:v>0</x:v>
      </x:c>
      <x:c r="AF10" t="n">
        <x:f>--(COUNTIFS($A$4:$A$63,"seed_B",$C$4:$C$63,$Z10,$D$4:$D$63,"applied",$Q$4:$Q$63,1)=1)</x:f>
        <x:v>0</x:v>
      </x:c>
      <x:c r="AG10" t="n">
        <x:f>--(COUNTIFS($A$4:$A$63,"seed_B",$C$4:$C$63,$Z10,$D$4:$D$63,"advanced",$Q$4:$Q$63,1)=1)</x:f>
        <x:v>0</x:v>
      </x:c>
      <x:c r="AH10" t="n">
        <x:f>--AND(AE10=1,AF10=1,AG10=1)</x:f>
        <x:v>0</x:v>
      </x:c>
      <x:c r="AI10" t="n">
        <x:f>--AND(AD10=1,AH10=1)</x:f>
        <x:v>0</x:v>
      </x:c>
      <x:c r="AK10" t="str">
        <x:v>传导时滞分析</x:v>
      </x:c>
      <x:c r="AL10" t="n">
        <x:f>--(COUNTIFS($A$4:$A$63,"seed_A",$C$4:$C$63,$AK10,$D$4:$D$63,"basic",$X$4:$X$63,1)=1)</x:f>
        <x:v>0</x:v>
      </x:c>
      <x:c r="AM10" t="n">
        <x:f>--(COUNTIFS($A$4:$A$63,"seed_A",$C$4:$C$63,$AK10,$D$4:$D$63,"applied",$X$4:$X$63,1)=1)</x:f>
        <x:v>0</x:v>
      </x:c>
      <x:c r="AN10" t="n">
        <x:f>--(COUNTIFS($A$4:$A$63,"seed_A",$C$4:$C$63,$AK10,$D$4:$D$63,"advanced",$X$4:$X$63,1)=1)</x:f>
        <x:v>0</x:v>
      </x:c>
      <x:c r="AO10" t="n">
        <x:f>--AND(AL10=1,AM10=1,AN10=1)</x:f>
        <x:v>0</x:v>
      </x:c>
      <x:c r="AP10" t="n">
        <x:f>--(COUNTIFS($A$4:$A$63,"seed_B",$C$4:$C$63,$AK10,$D$4:$D$63,"basic",$X$4:$X$63,1)=1)</x:f>
        <x:v>0</x:v>
      </x:c>
      <x:c r="AQ10" t="n">
        <x:f>--(COUNTIFS($A$4:$A$63,"seed_B",$C$4:$C$63,$AK10,$D$4:$D$63,"applied",$X$4:$X$63,1)=1)</x:f>
        <x:v>0</x:v>
      </x:c>
      <x:c r="AR10" t="n">
        <x:f>--(COUNTIFS($A$4:$A$63,"seed_B",$C$4:$C$63,$AK10,$D$4:$D$63,"advanced",$X$4:$X$63,1)=1)</x:f>
        <x:v>0</x:v>
      </x:c>
      <x:c r="AS10" t="n">
        <x:f>--AND(AP10=1,AQ10=1,AR10=1)</x:f>
        <x:v>0</x:v>
      </x:c>
      <x:c r="AT10" t="n">
        <x:f>--AND(AO10=1,AS10=1)</x:f>
        <x:v>0</x:v>
      </x:c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33"/>
      <x:c r="N11" s="28"/>
      <x:c r="O11" s="28"/>
      <x:c r="P11" s="33"/>
      <x:c r="Q11" s="33" t="n">
        <x:f>--AND(G11=1,H11=1,I11=1,J11=1,K11=1,L11=1,M11=1,N11=1,O11=1,P11=1)</x:f>
        <x:v>0</x:v>
      </x:c>
      <x:c r="R11" s="33"/>
      <x:c r="S11" s="33"/>
      <x:c r="T11" s="28" t="str">
        <x:f>IF(OR(R11="",S11=""),"",--(R11&lt;&gt;S11))</x:f>
      </x:c>
      <x:c r="U11" s="28"/>
      <x:c r="V11" s="28" t="str">
        <x:f>IF(OR(R11="",S11=""),"PENDING_HUMAN",IF(R11=S11,R11,IF(U11&lt;&gt;"",U11,"PENDING_HUMAN")))</x:f>
        <x:v>PENDING_HUMAN</x:v>
      </x:c>
      <x:c r="W11" s="28" t="n">
        <x:f>--AND(A11&lt;&gt;"",R11&lt;&gt;"",S11&lt;&gt;"",OR(R11=S11,U11&lt;&gt;""))</x:f>
        <x:v>0</x:v>
      </x:c>
      <x:c r="X11" s="28" t="n">
        <x:f>--AND(Q11=1,W11=1,V11=1)</x:f>
        <x:v>0</x:v>
      </x:c>
      <x:c r="Z11" t="str">
        <x:v>异常衰减规律</x:v>
      </x:c>
      <x:c r="AA11" t="n">
        <x:f>--(COUNTIFS($A$4:$A$63,"seed_A",$C$4:$C$63,$Z11,$D$4:$D$63,"basic",$Q$4:$Q$63,1)=1)</x:f>
        <x:v>0</x:v>
      </x:c>
      <x:c r="AB11" t="n">
        <x:f>--(COUNTIFS($A$4:$A$63,"seed_A",$C$4:$C$63,$Z11,$D$4:$D$63,"applied",$Q$4:$Q$63,1)=1)</x:f>
        <x:v>0</x:v>
      </x:c>
      <x:c r="AC11" t="n">
        <x:f>--(COUNTIFS($A$4:$A$63,"seed_A",$C$4:$C$63,$Z11,$D$4:$D$63,"advanced",$Q$4:$Q$63,1)=1)</x:f>
        <x:v>0</x:v>
      </x:c>
      <x:c r="AD11" t="n">
        <x:f>--AND(AA11=1,AB11=1,AC11=1)</x:f>
        <x:v>0</x:v>
      </x:c>
      <x:c r="AE11" t="n">
        <x:f>--(COUNTIFS($A$4:$A$63,"seed_B",$C$4:$C$63,$Z11,$D$4:$D$63,"basic",$Q$4:$Q$63,1)=1)</x:f>
        <x:v>0</x:v>
      </x:c>
      <x:c r="AF11" t="n">
        <x:f>--(COUNTIFS($A$4:$A$63,"seed_B",$C$4:$C$63,$Z11,$D$4:$D$63,"applied",$Q$4:$Q$63,1)=1)</x:f>
        <x:v>0</x:v>
      </x:c>
      <x:c r="AG11" t="n">
        <x:f>--(COUNTIFS($A$4:$A$63,"seed_B",$C$4:$C$63,$Z11,$D$4:$D$63,"advanced",$Q$4:$Q$63,1)=1)</x:f>
        <x:v>0</x:v>
      </x:c>
      <x:c r="AH11" t="n">
        <x:f>--AND(AE11=1,AF11=1,AG11=1)</x:f>
        <x:v>0</x:v>
      </x:c>
      <x:c r="AI11" t="n">
        <x:f>--AND(AD11=1,AH11=1)</x:f>
        <x:v>0</x:v>
      </x:c>
      <x:c r="AK11" t="str">
        <x:v>异常衰减规律</x:v>
      </x:c>
      <x:c r="AL11" t="n">
        <x:f>--(COUNTIFS($A$4:$A$63,"seed_A",$C$4:$C$63,$AK11,$D$4:$D$63,"basic",$X$4:$X$63,1)=1)</x:f>
        <x:v>0</x:v>
      </x:c>
      <x:c r="AM11" t="n">
        <x:f>--(COUNTIFS($A$4:$A$63,"seed_A",$C$4:$C$63,$AK11,$D$4:$D$63,"applied",$X$4:$X$63,1)=1)</x:f>
        <x:v>0</x:v>
      </x:c>
      <x:c r="AN11" t="n">
        <x:f>--(COUNTIFS($A$4:$A$63,"seed_A",$C$4:$C$63,$AK11,$D$4:$D$63,"advanced",$X$4:$X$63,1)=1)</x:f>
        <x:v>0</x:v>
      </x:c>
      <x:c r="AO11" t="n">
        <x:f>--AND(AL11=1,AM11=1,AN11=1)</x:f>
        <x:v>0</x:v>
      </x:c>
      <x:c r="AP11" t="n">
        <x:f>--(COUNTIFS($A$4:$A$63,"seed_B",$C$4:$C$63,$AK11,$D$4:$D$63,"basic",$X$4:$X$63,1)=1)</x:f>
        <x:v>0</x:v>
      </x:c>
      <x:c r="AQ11" t="n">
        <x:f>--(COUNTIFS($A$4:$A$63,"seed_B",$C$4:$C$63,$AK11,$D$4:$D$63,"applied",$X$4:$X$63,1)=1)</x:f>
        <x:v>0</x:v>
      </x:c>
      <x:c r="AR11" t="n">
        <x:f>--(COUNTIFS($A$4:$A$63,"seed_B",$C$4:$C$63,$AK11,$D$4:$D$63,"advanced",$X$4:$X$63,1)=1)</x:f>
        <x:v>0</x:v>
      </x:c>
      <x:c r="AS11" t="n">
        <x:f>--AND(AP11=1,AQ11=1,AR11=1)</x:f>
        <x:v>0</x:v>
      </x:c>
      <x:c r="AT11" t="n">
        <x:f>--AND(AO11=1,AS11=1)</x:f>
        <x:v>0</x:v>
      </x:c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33"/>
      <x:c r="N12" s="28"/>
      <x:c r="O12" s="28"/>
      <x:c r="P12" s="33"/>
      <x:c r="Q12" s="33" t="n">
        <x:f>--AND(G12=1,H12=1,I12=1,J12=1,K12=1,L12=1,M12=1,N12=1,O12=1,P12=1)</x:f>
        <x:v>0</x:v>
      </x:c>
      <x:c r="R12" s="33"/>
      <x:c r="S12" s="33"/>
      <x:c r="T12" s="28" t="str">
        <x:f>IF(OR(R12="",S12=""),"",--(R12&lt;&gt;S12))</x:f>
      </x:c>
      <x:c r="U12" s="28"/>
      <x:c r="V12" s="28" t="str">
        <x:f>IF(OR(R12="",S12=""),"PENDING_HUMAN",IF(R12=S12,R12,IF(U12&lt;&gt;"",U12,"PENDING_HUMAN")))</x:f>
        <x:v>PENDING_HUMAN</x:v>
      </x:c>
      <x:c r="W12" s="28" t="n">
        <x:f>--AND(A12&lt;&gt;"",R12&lt;&gt;"",S12&lt;&gt;"",OR(R12=S12,U12&lt;&gt;""))</x:f>
        <x:v>0</x:v>
      </x:c>
      <x:c r="X12" s="28" t="n">
        <x:f>--AND(Q12=1,W12=1,V12=1)</x:f>
        <x:v>0</x:v>
      </x:c>
      <x:c r="Z12" t="str">
        <x:v>责任单元定位</x:v>
      </x:c>
      <x:c r="AA12" t="n">
        <x:f>--(COUNTIFS($A$4:$A$63,"seed_A",$C$4:$C$63,$Z12,$D$4:$D$63,"basic",$Q$4:$Q$63,1)=1)</x:f>
        <x:v>0</x:v>
      </x:c>
      <x:c r="AB12" t="n">
        <x:f>--(COUNTIFS($A$4:$A$63,"seed_A",$C$4:$C$63,$Z12,$D$4:$D$63,"applied",$Q$4:$Q$63,1)=1)</x:f>
        <x:v>0</x:v>
      </x:c>
      <x:c r="AC12" t="n">
        <x:f>--(COUNTIFS($A$4:$A$63,"seed_A",$C$4:$C$63,$Z12,$D$4:$D$63,"advanced",$Q$4:$Q$63,1)=1)</x:f>
        <x:v>0</x:v>
      </x:c>
      <x:c r="AD12" t="n">
        <x:f>--AND(AA12=1,AB12=1,AC12=1)</x:f>
        <x:v>0</x:v>
      </x:c>
      <x:c r="AE12" t="n">
        <x:f>--(COUNTIFS($A$4:$A$63,"seed_B",$C$4:$C$63,$Z12,$D$4:$D$63,"basic",$Q$4:$Q$63,1)=1)</x:f>
        <x:v>0</x:v>
      </x:c>
      <x:c r="AF12" t="n">
        <x:f>--(COUNTIFS($A$4:$A$63,"seed_B",$C$4:$C$63,$Z12,$D$4:$D$63,"applied",$Q$4:$Q$63,1)=1)</x:f>
        <x:v>0</x:v>
      </x:c>
      <x:c r="AG12" t="n">
        <x:f>--(COUNTIFS($A$4:$A$63,"seed_B",$C$4:$C$63,$Z12,$D$4:$D$63,"advanced",$Q$4:$Q$63,1)=1)</x:f>
        <x:v>0</x:v>
      </x:c>
      <x:c r="AH12" t="n">
        <x:f>--AND(AE12=1,AF12=1,AG12=1)</x:f>
        <x:v>0</x:v>
      </x:c>
      <x:c r="AI12" t="n">
        <x:f>--AND(AD12=1,AH12=1)</x:f>
        <x:v>0</x:v>
      </x:c>
      <x:c r="AK12" t="str">
        <x:v>责任单元定位</x:v>
      </x:c>
      <x:c r="AL12" t="n">
        <x:f>--(COUNTIFS($A$4:$A$63,"seed_A",$C$4:$C$63,$AK12,$D$4:$D$63,"basic",$X$4:$X$63,1)=1)</x:f>
        <x:v>0</x:v>
      </x:c>
      <x:c r="AM12" t="n">
        <x:f>--(COUNTIFS($A$4:$A$63,"seed_A",$C$4:$C$63,$AK12,$D$4:$D$63,"applied",$X$4:$X$63,1)=1)</x:f>
        <x:v>0</x:v>
      </x:c>
      <x:c r="AN12" t="n">
        <x:f>--(COUNTIFS($A$4:$A$63,"seed_A",$C$4:$C$63,$AK12,$D$4:$D$63,"advanced",$X$4:$X$63,1)=1)</x:f>
        <x:v>0</x:v>
      </x:c>
      <x:c r="AO12" t="n">
        <x:f>--AND(AL12=1,AM12=1,AN12=1)</x:f>
        <x:v>0</x:v>
      </x:c>
      <x:c r="AP12" t="n">
        <x:f>--(COUNTIFS($A$4:$A$63,"seed_B",$C$4:$C$63,$AK12,$D$4:$D$63,"basic",$X$4:$X$63,1)=1)</x:f>
        <x:v>0</x:v>
      </x:c>
      <x:c r="AQ12" t="n">
        <x:f>--(COUNTIFS($A$4:$A$63,"seed_B",$C$4:$C$63,$AK12,$D$4:$D$63,"applied",$X$4:$X$63,1)=1)</x:f>
        <x:v>0</x:v>
      </x:c>
      <x:c r="AR12" t="n">
        <x:f>--(COUNTIFS($A$4:$A$63,"seed_B",$C$4:$C$63,$AK12,$D$4:$D$63,"advanced",$X$4:$X$63,1)=1)</x:f>
        <x:v>0</x:v>
      </x:c>
      <x:c r="AS12" t="n">
        <x:f>--AND(AP12=1,AQ12=1,AR12=1)</x:f>
        <x:v>0</x:v>
      </x:c>
      <x:c r="AT12" t="n">
        <x:f>--AND(AO12=1,AS12=1)</x:f>
        <x:v>0</x:v>
      </x:c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33"/>
      <x:c r="N13" s="28"/>
      <x:c r="O13" s="28"/>
      <x:c r="P13" s="33"/>
      <x:c r="Q13" s="33" t="n">
        <x:f>--AND(G13=1,H13=1,I13=1,J13=1,K13=1,L13=1,M13=1,N13=1,O13=1,P13=1)</x:f>
        <x:v>0</x:v>
      </x:c>
      <x:c r="R13" s="33"/>
      <x:c r="S13" s="33"/>
      <x:c r="T13" s="28" t="str">
        <x:f>IF(OR(R13="",S13=""),"",--(R13&lt;&gt;S13))</x:f>
      </x:c>
      <x:c r="U13" s="28"/>
      <x:c r="V13" s="28" t="str">
        <x:f>IF(OR(R13="",S13=""),"PENDING_HUMAN",IF(R13=S13,R13,IF(U13&lt;&gt;"",U13,"PENDING_HUMAN")))</x:f>
        <x:v>PENDING_HUMAN</x:v>
      </x:c>
      <x:c r="W13" s="28" t="n">
        <x:f>--AND(A13&lt;&gt;"",R13&lt;&gt;"",S13&lt;&gt;"",OR(R13=S13,U13&lt;&gt;""))</x:f>
        <x:v>0</x:v>
      </x:c>
      <x:c r="X13" s="28" t="n">
        <x:f>--AND(Q13=1,W13=1,V13=1)</x:f>
        <x:v>0</x:v>
      </x:c>
      <x:c r="Z13" t="str">
        <x:v>跨工序归因方法</x:v>
      </x:c>
      <x:c r="AA13" t="n">
        <x:f>--(COUNTIFS($A$4:$A$63,"seed_A",$C$4:$C$63,$Z13,$D$4:$D$63,"basic",$Q$4:$Q$63,1)=1)</x:f>
        <x:v>0</x:v>
      </x:c>
      <x:c r="AB13" t="n">
        <x:f>--(COUNTIFS($A$4:$A$63,"seed_A",$C$4:$C$63,$Z13,$D$4:$D$63,"applied",$Q$4:$Q$63,1)=1)</x:f>
        <x:v>0</x:v>
      </x:c>
      <x:c r="AC13" t="n">
        <x:f>--(COUNTIFS($A$4:$A$63,"seed_A",$C$4:$C$63,$Z13,$D$4:$D$63,"advanced",$Q$4:$Q$63,1)=1)</x:f>
        <x:v>0</x:v>
      </x:c>
      <x:c r="AD13" t="n">
        <x:f>--AND(AA13=1,AB13=1,AC13=1)</x:f>
        <x:v>0</x:v>
      </x:c>
      <x:c r="AE13" t="n">
        <x:f>--(COUNTIFS($A$4:$A$63,"seed_B",$C$4:$C$63,$Z13,$D$4:$D$63,"basic",$Q$4:$Q$63,1)=1)</x:f>
        <x:v>0</x:v>
      </x:c>
      <x:c r="AF13" t="n">
        <x:f>--(COUNTIFS($A$4:$A$63,"seed_B",$C$4:$C$63,$Z13,$D$4:$D$63,"applied",$Q$4:$Q$63,1)=1)</x:f>
        <x:v>0</x:v>
      </x:c>
      <x:c r="AG13" t="n">
        <x:f>--(COUNTIFS($A$4:$A$63,"seed_B",$C$4:$C$63,$Z13,$D$4:$D$63,"advanced",$Q$4:$Q$63,1)=1)</x:f>
        <x:v>0</x:v>
      </x:c>
      <x:c r="AH13" t="n">
        <x:f>--AND(AE13=1,AF13=1,AG13=1)</x:f>
        <x:v>0</x:v>
      </x:c>
      <x:c r="AI13" t="n">
        <x:f>--AND(AD13=1,AH13=1)</x:f>
        <x:v>0</x:v>
      </x:c>
      <x:c r="AK13" t="str">
        <x:v>跨工序归因方法</x:v>
      </x:c>
      <x:c r="AL13" t="n">
        <x:f>--(COUNTIFS($A$4:$A$63,"seed_A",$C$4:$C$63,$AK13,$D$4:$D$63,"basic",$X$4:$X$63,1)=1)</x:f>
        <x:v>0</x:v>
      </x:c>
      <x:c r="AM13" t="n">
        <x:f>--(COUNTIFS($A$4:$A$63,"seed_A",$C$4:$C$63,$AK13,$D$4:$D$63,"applied",$X$4:$X$63,1)=1)</x:f>
        <x:v>0</x:v>
      </x:c>
      <x:c r="AN13" t="n">
        <x:f>--(COUNTIFS($A$4:$A$63,"seed_A",$C$4:$C$63,$AK13,$D$4:$D$63,"advanced",$X$4:$X$63,1)=1)</x:f>
        <x:v>0</x:v>
      </x:c>
      <x:c r="AO13" t="n">
        <x:f>--AND(AL13=1,AM13=1,AN13=1)</x:f>
        <x:v>0</x:v>
      </x:c>
      <x:c r="AP13" t="n">
        <x:f>--(COUNTIFS($A$4:$A$63,"seed_B",$C$4:$C$63,$AK13,$D$4:$D$63,"basic",$X$4:$X$63,1)=1)</x:f>
        <x:v>0</x:v>
      </x:c>
      <x:c r="AQ13" t="n">
        <x:f>--(COUNTIFS($A$4:$A$63,"seed_B",$C$4:$C$63,$AK13,$D$4:$D$63,"applied",$X$4:$X$63,1)=1)</x:f>
        <x:v>0</x:v>
      </x:c>
      <x:c r="AR13" t="n">
        <x:f>--(COUNTIFS($A$4:$A$63,"seed_B",$C$4:$C$63,$AK13,$D$4:$D$63,"advanced",$X$4:$X$63,1)=1)</x:f>
        <x:v>0</x:v>
      </x:c>
      <x:c r="AS13" t="n">
        <x:f>--AND(AP13=1,AQ13=1,AR13=1)</x:f>
        <x:v>0</x:v>
      </x:c>
      <x:c r="AT13" t="n">
        <x:f>--AND(AO13=1,AS13=1)</x:f>
        <x:v>0</x:v>
      </x:c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33"/>
      <x:c r="N14" s="28"/>
      <x:c r="O14" s="28"/>
      <x:c r="P14" s="28"/>
      <x:c r="Q14" s="28" t="n">
        <x:f>--AND(G14=1,H14=1,I14=1,J14=1,K14=1,L14=1,M14=1,N14=1,O14=1,P14=1)</x:f>
        <x:v>0</x:v>
      </x:c>
      <x:c r="R14" s="28"/>
      <x:c r="S14" s="28"/>
      <x:c r="T14" s="28" t="str">
        <x:f>IF(OR(R14="",S14=""),"",--(R14&lt;&gt;S14))</x:f>
      </x:c>
      <x:c r="U14" s="28"/>
      <x:c r="V14" s="28" t="str">
        <x:f>IF(OR(R14="",S14=""),"PENDING_HUMAN",IF(R14=S14,R14,IF(U14&lt;&gt;"",U14,"PENDING_HUMAN")))</x:f>
        <x:v>PENDING_HUMAN</x:v>
      </x:c>
      <x:c r="W14" s="28" t="n">
        <x:f>--AND(A14&lt;&gt;"",R14&lt;&gt;"",S14&lt;&gt;"",OR(R14=S14,U14&lt;&gt;""))</x:f>
        <x:v>0</x:v>
      </x:c>
      <x:c r="X14" s="28" t="n">
        <x:f>--AND(Q14=1,W14=1,V14=1)</x:f>
        <x:v>0</x:v>
      </x:c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33"/>
      <x:c r="N15" s="28"/>
      <x:c r="O15" s="28"/>
      <x:c r="P15" s="28"/>
      <x:c r="Q15" s="28" t="n">
        <x:f>--AND(G15=1,H15=1,I15=1,J15=1,K15=1,L15=1,M15=1,N15=1,O15=1,P15=1)</x:f>
        <x:v>0</x:v>
      </x:c>
      <x:c r="R15" s="28"/>
      <x:c r="S15" s="28"/>
      <x:c r="T15" s="28" t="str">
        <x:f>IF(OR(R15="",S15=""),"",--(R15&lt;&gt;S15))</x:f>
      </x:c>
      <x:c r="U15" s="28"/>
      <x:c r="V15" s="28" t="str">
        <x:f>IF(OR(R15="",S15=""),"PENDING_HUMAN",IF(R15=S15,R15,IF(U15&lt;&gt;"",U15,"PENDING_HUMAN")))</x:f>
        <x:v>PENDING_HUMAN</x:v>
      </x:c>
      <x:c r="W15" s="28" t="n">
        <x:f>--AND(A15&lt;&gt;"",R15&lt;&gt;"",S15&lt;&gt;"",OR(R15=S15,U15&lt;&gt;""))</x:f>
        <x:v>0</x:v>
      </x:c>
      <x:c r="X15" s="28" t="n">
        <x:f>--AND(Q15=1,W15=1,V15=1)</x:f>
        <x:v>0</x:v>
      </x:c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33"/>
      <x:c r="N16" s="28"/>
      <x:c r="O16" s="28"/>
      <x:c r="P16" s="28"/>
      <x:c r="Q16" s="28" t="n">
        <x:f>--AND(G16=1,H16=1,I16=1,J16=1,K16=1,L16=1,M16=1,N16=1,O16=1,P16=1)</x:f>
        <x:v>0</x:v>
      </x:c>
      <x:c r="R16" s="28"/>
      <x:c r="S16" s="28"/>
      <x:c r="T16" s="28" t="str">
        <x:f>IF(OR(R16="",S16=""),"",--(R16&lt;&gt;S16))</x:f>
      </x:c>
      <x:c r="U16" s="28"/>
      <x:c r="V16" s="28" t="str">
        <x:f>IF(OR(R16="",S16=""),"PENDING_HUMAN",IF(R16=S16,R16,IF(U16&lt;&gt;"",U16,"PENDING_HUMAN")))</x:f>
        <x:v>PENDING_HUMAN</x:v>
      </x:c>
      <x:c r="W16" s="28" t="n">
        <x:f>--AND(A16&lt;&gt;"",R16&lt;&gt;"",S16&lt;&gt;"",OR(R16=S16,U16&lt;&gt;""))</x:f>
        <x:v>0</x:v>
      </x:c>
      <x:c r="X16" s="28" t="n">
        <x:f>--AND(Q16=1,W16=1,V16=1)</x:f>
        <x:v>0</x:v>
      </x:c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33"/>
      <x:c r="N17" s="28"/>
      <x:c r="O17" s="28"/>
      <x:c r="P17" s="28"/>
      <x:c r="Q17" s="28" t="n">
        <x:f>--AND(G17=1,H17=1,I17=1,J17=1,K17=1,L17=1,M17=1,N17=1,O17=1,P17=1)</x:f>
        <x:v>0</x:v>
      </x:c>
      <x:c r="R17" s="28"/>
      <x:c r="S17" s="28"/>
      <x:c r="T17" s="28" t="str">
        <x:f>IF(OR(R17="",S17=""),"",--(R17&lt;&gt;S17))</x:f>
      </x:c>
      <x:c r="U17" s="28"/>
      <x:c r="V17" s="28" t="str">
        <x:f>IF(OR(R17="",S17=""),"PENDING_HUMAN",IF(R17=S17,R17,IF(U17&lt;&gt;"",U17,"PENDING_HUMAN")))</x:f>
        <x:v>PENDING_HUMAN</x:v>
      </x:c>
      <x:c r="W17" s="28" t="n">
        <x:f>--AND(A17&lt;&gt;"",R17&lt;&gt;"",S17&lt;&gt;"",OR(R17=S17,U17&lt;&gt;""))</x:f>
        <x:v>0</x:v>
      </x:c>
      <x:c r="X17" s="28" t="n">
        <x:f>--AND(Q17=1,W17=1,V17=1)</x:f>
        <x:v>0</x:v>
      </x:c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33"/>
      <x:c r="N18" s="28"/>
      <x:c r="O18" s="28"/>
      <x:c r="P18" s="28"/>
      <x:c r="Q18" s="28" t="n">
        <x:f>--AND(G18=1,H18=1,I18=1,J18=1,K18=1,L18=1,M18=1,N18=1,O18=1,P18=1)</x:f>
        <x:v>0</x:v>
      </x:c>
      <x:c r="R18" s="28"/>
      <x:c r="S18" s="28"/>
      <x:c r="T18" s="28" t="str">
        <x:f>IF(OR(R18="",S18=""),"",--(R18&lt;&gt;S18))</x:f>
      </x:c>
      <x:c r="U18" s="28"/>
      <x:c r="V18" s="28" t="str">
        <x:f>IF(OR(R18="",S18=""),"PENDING_HUMAN",IF(R18=S18,R18,IF(U18&lt;&gt;"",U18,"PENDING_HUMAN")))</x:f>
        <x:v>PENDING_HUMAN</x:v>
      </x:c>
      <x:c r="W18" s="28" t="n">
        <x:f>--AND(A18&lt;&gt;"",R18&lt;&gt;"",S18&lt;&gt;"",OR(R18=S18,U18&lt;&gt;""))</x:f>
        <x:v>0</x:v>
      </x:c>
      <x:c r="X18" s="28" t="n">
        <x:f>--AND(Q18=1,W18=1,V18=1)</x:f>
        <x:v>0</x:v>
      </x:c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33"/>
      <x:c r="N19" s="28"/>
      <x:c r="O19" s="28"/>
      <x:c r="P19" s="28"/>
      <x:c r="Q19" s="28" t="n">
        <x:f>--AND(G19=1,H19=1,I19=1,J19=1,K19=1,L19=1,M19=1,N19=1,O19=1,P19=1)</x:f>
        <x:v>0</x:v>
      </x:c>
      <x:c r="R19" s="28"/>
      <x:c r="S19" s="28"/>
      <x:c r="T19" s="28" t="str">
        <x:f>IF(OR(R19="",S19=""),"",--(R19&lt;&gt;S19))</x:f>
      </x:c>
      <x:c r="U19" s="28"/>
      <x:c r="V19" s="28" t="str">
        <x:f>IF(OR(R19="",S19=""),"PENDING_HUMAN",IF(R19=S19,R19,IF(U19&lt;&gt;"",U19,"PENDING_HUMAN")))</x:f>
        <x:v>PENDING_HUMAN</x:v>
      </x:c>
      <x:c r="W19" s="28" t="n">
        <x:f>--AND(A19&lt;&gt;"",R19&lt;&gt;"",S19&lt;&gt;"",OR(R19=S19,U19&lt;&gt;""))</x:f>
        <x:v>0</x:v>
      </x:c>
      <x:c r="X19" s="28" t="n">
        <x:f>--AND(Q19=1,W19=1,V19=1)</x:f>
        <x:v>0</x:v>
      </x:c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33"/>
      <x:c r="N20" s="28"/>
      <x:c r="O20" s="28"/>
      <x:c r="P20" s="28"/>
      <x:c r="Q20" s="28" t="n">
        <x:f>--AND(G20=1,H20=1,I20=1,J20=1,K20=1,L20=1,M20=1,N20=1,O20=1,P20=1)</x:f>
        <x:v>0</x:v>
      </x:c>
      <x:c r="R20" s="28"/>
      <x:c r="S20" s="28"/>
      <x:c r="T20" s="28" t="str">
        <x:f>IF(OR(R20="",S20=""),"",--(R20&lt;&gt;S20))</x:f>
      </x:c>
      <x:c r="U20" s="28"/>
      <x:c r="V20" s="28" t="str">
        <x:f>IF(OR(R20="",S20=""),"PENDING_HUMAN",IF(R20=S20,R20,IF(U20&lt;&gt;"",U20,"PENDING_HUMAN")))</x:f>
        <x:v>PENDING_HUMAN</x:v>
      </x:c>
      <x:c r="W20" s="28" t="n">
        <x:f>--AND(A20&lt;&gt;"",R20&lt;&gt;"",S20&lt;&gt;"",OR(R20=S20,U20&lt;&gt;""))</x:f>
        <x:v>0</x:v>
      </x:c>
      <x:c r="X20" s="28" t="n">
        <x:f>--AND(Q20=1,W20=1,V20=1)</x:f>
        <x:v>0</x:v>
      </x:c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33"/>
      <x:c r="N21" s="28"/>
      <x:c r="O21" s="28"/>
      <x:c r="P21" s="28"/>
      <x:c r="Q21" s="28" t="n">
        <x:f>--AND(G21=1,H21=1,I21=1,J21=1,K21=1,L21=1,M21=1,N21=1,O21=1,P21=1)</x:f>
        <x:v>0</x:v>
      </x:c>
      <x:c r="R21" s="28"/>
      <x:c r="S21" s="28"/>
      <x:c r="T21" s="28" t="str">
        <x:f>IF(OR(R21="",S21=""),"",--(R21&lt;&gt;S21))</x:f>
      </x:c>
      <x:c r="U21" s="28"/>
      <x:c r="V21" s="28" t="str">
        <x:f>IF(OR(R21="",S21=""),"PENDING_HUMAN",IF(R21=S21,R21,IF(U21&lt;&gt;"",U21,"PENDING_HUMAN")))</x:f>
        <x:v>PENDING_HUMAN</x:v>
      </x:c>
      <x:c r="W21" s="28" t="n">
        <x:f>--AND(A21&lt;&gt;"",R21&lt;&gt;"",S21&lt;&gt;"",OR(R21=S21,U21&lt;&gt;""))</x:f>
        <x:v>0</x:v>
      </x:c>
      <x:c r="X21" s="28" t="n">
        <x:f>--AND(Q21=1,W21=1,V21=1)</x:f>
        <x:v>0</x:v>
      </x:c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33"/>
      <x:c r="N22" s="28"/>
      <x:c r="O22" s="28"/>
      <x:c r="P22" s="28"/>
      <x:c r="Q22" s="28" t="n">
        <x:f>--AND(G22=1,H22=1,I22=1,J22=1,K22=1,L22=1,M22=1,N22=1,O22=1,P22=1)</x:f>
        <x:v>0</x:v>
      </x:c>
      <x:c r="R22" s="28"/>
      <x:c r="S22" s="28"/>
      <x:c r="T22" s="28" t="str">
        <x:f>IF(OR(R22="",S22=""),"",--(R22&lt;&gt;S22))</x:f>
      </x:c>
      <x:c r="U22" s="28"/>
      <x:c r="V22" s="28" t="str">
        <x:f>IF(OR(R22="",S22=""),"PENDING_HUMAN",IF(R22=S22,R22,IF(U22&lt;&gt;"",U22,"PENDING_HUMAN")))</x:f>
        <x:v>PENDING_HUMAN</x:v>
      </x:c>
      <x:c r="W22" s="28" t="n">
        <x:f>--AND(A22&lt;&gt;"",R22&lt;&gt;"",S22&lt;&gt;"",OR(R22=S22,U22&lt;&gt;""))</x:f>
        <x:v>0</x:v>
      </x:c>
      <x:c r="X22" s="28" t="n">
        <x:f>--AND(Q22=1,W22=1,V22=1)</x:f>
        <x:v>0</x:v>
      </x:c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33"/>
      <x:c r="N23" s="28"/>
      <x:c r="O23" s="28"/>
      <x:c r="P23" s="28"/>
      <x:c r="Q23" s="28" t="n">
        <x:f>--AND(G23=1,H23=1,I23=1,J23=1,K23=1,L23=1,M23=1,N23=1,O23=1,P23=1)</x:f>
        <x:v>0</x:v>
      </x:c>
      <x:c r="R23" s="28"/>
      <x:c r="S23" s="28"/>
      <x:c r="T23" s="28" t="str">
        <x:f>IF(OR(R23="",S23=""),"",--(R23&lt;&gt;S23))</x:f>
      </x:c>
      <x:c r="U23" s="28"/>
      <x:c r="V23" s="28" t="str">
        <x:f>IF(OR(R23="",S23=""),"PENDING_HUMAN",IF(R23=S23,R23,IF(U23&lt;&gt;"",U23,"PENDING_HUMAN")))</x:f>
        <x:v>PENDING_HUMAN</x:v>
      </x:c>
      <x:c r="W23" s="28" t="n">
        <x:f>--AND(A23&lt;&gt;"",R23&lt;&gt;"",S23&lt;&gt;"",OR(R23=S23,U23&lt;&gt;""))</x:f>
        <x:v>0</x:v>
      </x:c>
      <x:c r="X23" s="28" t="n">
        <x:f>--AND(Q23=1,W23=1,V23=1)</x:f>
        <x:v>0</x:v>
      </x:c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33"/>
      <x:c r="N24" s="28"/>
      <x:c r="O24" s="28"/>
      <x:c r="P24" s="28"/>
      <x:c r="Q24" s="28" t="n">
        <x:f>--AND(G24=1,H24=1,I24=1,J24=1,K24=1,L24=1,M24=1,N24=1,O24=1,P24=1)</x:f>
        <x:v>0</x:v>
      </x:c>
      <x:c r="R24" s="28"/>
      <x:c r="S24" s="28"/>
      <x:c r="T24" s="28" t="str">
        <x:f>IF(OR(R24="",S24=""),"",--(R24&lt;&gt;S24))</x:f>
      </x:c>
      <x:c r="U24" s="28"/>
      <x:c r="V24" s="28" t="str">
        <x:f>IF(OR(R24="",S24=""),"PENDING_HUMAN",IF(R24=S24,R24,IF(U24&lt;&gt;"",U24,"PENDING_HUMAN")))</x:f>
        <x:v>PENDING_HUMAN</x:v>
      </x:c>
      <x:c r="W24" s="28" t="n">
        <x:f>--AND(A24&lt;&gt;"",R24&lt;&gt;"",S24&lt;&gt;"",OR(R24=S24,U24&lt;&gt;""))</x:f>
        <x:v>0</x:v>
      </x:c>
      <x:c r="X24" s="28" t="n">
        <x:f>--AND(Q24=1,W24=1,V24=1)</x:f>
        <x:v>0</x:v>
      </x:c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33"/>
      <x:c r="N25" s="28"/>
      <x:c r="O25" s="28"/>
      <x:c r="P25" s="28"/>
      <x:c r="Q25" s="28" t="n">
        <x:f>--AND(G25=1,H25=1,I25=1,J25=1,K25=1,L25=1,M25=1,N25=1,O25=1,P25=1)</x:f>
        <x:v>0</x:v>
      </x:c>
      <x:c r="R25" s="28"/>
      <x:c r="S25" s="28"/>
      <x:c r="T25" s="28" t="str">
        <x:f>IF(OR(R25="",S25=""),"",--(R25&lt;&gt;S25))</x:f>
      </x:c>
      <x:c r="U25" s="28"/>
      <x:c r="V25" s="28" t="str">
        <x:f>IF(OR(R25="",S25=""),"PENDING_HUMAN",IF(R25=S25,R25,IF(U25&lt;&gt;"",U25,"PENDING_HUMAN")))</x:f>
        <x:v>PENDING_HUMAN</x:v>
      </x:c>
      <x:c r="W25" s="28" t="n">
        <x:f>--AND(A25&lt;&gt;"",R25&lt;&gt;"",S25&lt;&gt;"",OR(R25=S25,U25&lt;&gt;""))</x:f>
        <x:v>0</x:v>
      </x:c>
      <x:c r="X25" s="28" t="n">
        <x:f>--AND(Q25=1,W25=1,V25=1)</x:f>
        <x:v>0</x:v>
      </x:c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33"/>
      <x:c r="N26" s="28"/>
      <x:c r="O26" s="28"/>
      <x:c r="P26" s="28"/>
      <x:c r="Q26" s="28" t="n">
        <x:f>--AND(G26=1,H26=1,I26=1,J26=1,K26=1,L26=1,M26=1,N26=1,O26=1,P26=1)</x:f>
        <x:v>0</x:v>
      </x:c>
      <x:c r="R26" s="28"/>
      <x:c r="S26" s="28"/>
      <x:c r="T26" s="28" t="str">
        <x:f>IF(OR(R26="",S26=""),"",--(R26&lt;&gt;S26))</x:f>
      </x:c>
      <x:c r="U26" s="28"/>
      <x:c r="V26" s="28" t="str">
        <x:f>IF(OR(R26="",S26=""),"PENDING_HUMAN",IF(R26=S26,R26,IF(U26&lt;&gt;"",U26,"PENDING_HUMAN")))</x:f>
        <x:v>PENDING_HUMAN</x:v>
      </x:c>
      <x:c r="W26" s="28" t="n">
        <x:f>--AND(A26&lt;&gt;"",R26&lt;&gt;"",S26&lt;&gt;"",OR(R26=S26,U26&lt;&gt;""))</x:f>
        <x:v>0</x:v>
      </x:c>
      <x:c r="X26" s="28" t="n">
        <x:f>--AND(Q26=1,W26=1,V26=1)</x:f>
        <x:v>0</x:v>
      </x:c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33"/>
      <x:c r="N27" s="28"/>
      <x:c r="O27" s="28"/>
      <x:c r="P27" s="28"/>
      <x:c r="Q27" s="28" t="n">
        <x:f>--AND(G27=1,H27=1,I27=1,J27=1,K27=1,L27=1,M27=1,N27=1,O27=1,P27=1)</x:f>
        <x:v>0</x:v>
      </x:c>
      <x:c r="R27" s="28"/>
      <x:c r="S27" s="28"/>
      <x:c r="T27" s="28" t="str">
        <x:f>IF(OR(R27="",S27=""),"",--(R27&lt;&gt;S27))</x:f>
      </x:c>
      <x:c r="U27" s="28"/>
      <x:c r="V27" s="28" t="str">
        <x:f>IF(OR(R27="",S27=""),"PENDING_HUMAN",IF(R27=S27,R27,IF(U27&lt;&gt;"",U27,"PENDING_HUMAN")))</x:f>
        <x:v>PENDING_HUMAN</x:v>
      </x:c>
      <x:c r="W27" s="28" t="n">
        <x:f>--AND(A27&lt;&gt;"",R27&lt;&gt;"",S27&lt;&gt;"",OR(R27=S27,U27&lt;&gt;""))</x:f>
        <x:v>0</x:v>
      </x:c>
      <x:c r="X27" s="28" t="n">
        <x:f>--AND(Q27=1,W27=1,V27=1)</x:f>
        <x:v>0</x:v>
      </x:c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33"/>
      <x:c r="N28" s="28"/>
      <x:c r="O28" s="28"/>
      <x:c r="P28" s="28"/>
      <x:c r="Q28" s="28" t="n">
        <x:f>--AND(G28=1,H28=1,I28=1,J28=1,K28=1,L28=1,M28=1,N28=1,O28=1,P28=1)</x:f>
        <x:v>0</x:v>
      </x:c>
      <x:c r="R28" s="28"/>
      <x:c r="S28" s="28"/>
      <x:c r="T28" s="28" t="str">
        <x:f>IF(OR(R28="",S28=""),"",--(R28&lt;&gt;S28))</x:f>
      </x:c>
      <x:c r="U28" s="28"/>
      <x:c r="V28" s="28" t="str">
        <x:f>IF(OR(R28="",S28=""),"PENDING_HUMAN",IF(R28=S28,R28,IF(U28&lt;&gt;"",U28,"PENDING_HUMAN")))</x:f>
        <x:v>PENDING_HUMAN</x:v>
      </x:c>
      <x:c r="W28" s="28" t="n">
        <x:f>--AND(A28&lt;&gt;"",R28&lt;&gt;"",S28&lt;&gt;"",OR(R28=S28,U28&lt;&gt;""))</x:f>
        <x:v>0</x:v>
      </x:c>
      <x:c r="X28" s="28" t="n">
        <x:f>--AND(Q28=1,W28=1,V28=1)</x:f>
        <x:v>0</x:v>
      </x:c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33"/>
      <x:c r="N29" s="28"/>
      <x:c r="O29" s="28"/>
      <x:c r="P29" s="28"/>
      <x:c r="Q29" s="28" t="n">
        <x:f>--AND(G29=1,H29=1,I29=1,J29=1,K29=1,L29=1,M29=1,N29=1,O29=1,P29=1)</x:f>
        <x:v>0</x:v>
      </x:c>
      <x:c r="R29" s="28"/>
      <x:c r="S29" s="28"/>
      <x:c r="T29" s="28" t="str">
        <x:f>IF(OR(R29="",S29=""),"",--(R29&lt;&gt;S29))</x:f>
      </x:c>
      <x:c r="U29" s="28"/>
      <x:c r="V29" s="28" t="str">
        <x:f>IF(OR(R29="",S29=""),"PENDING_HUMAN",IF(R29=S29,R29,IF(U29&lt;&gt;"",U29,"PENDING_HUMAN")))</x:f>
        <x:v>PENDING_HUMAN</x:v>
      </x:c>
      <x:c r="W29" s="28" t="n">
        <x:f>--AND(A29&lt;&gt;"",R29&lt;&gt;"",S29&lt;&gt;"",OR(R29=S29,U29&lt;&gt;""))</x:f>
        <x:v>0</x:v>
      </x:c>
      <x:c r="X29" s="28" t="n">
        <x:f>--AND(Q29=1,W29=1,V29=1)</x:f>
        <x:v>0</x:v>
      </x:c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33"/>
      <x:c r="N30" s="28"/>
      <x:c r="O30" s="28"/>
      <x:c r="P30" s="28"/>
      <x:c r="Q30" s="28" t="n">
        <x:f>--AND(G30=1,H30=1,I30=1,J30=1,K30=1,L30=1,M30=1,N30=1,O30=1,P30=1)</x:f>
        <x:v>0</x:v>
      </x:c>
      <x:c r="R30" s="28"/>
      <x:c r="S30" s="28"/>
      <x:c r="T30" s="28" t="str">
        <x:f>IF(OR(R30="",S30=""),"",--(R30&lt;&gt;S30))</x:f>
      </x:c>
      <x:c r="U30" s="28"/>
      <x:c r="V30" s="28" t="str">
        <x:f>IF(OR(R30="",S30=""),"PENDING_HUMAN",IF(R30=S30,R30,IF(U30&lt;&gt;"",U30,"PENDING_HUMAN")))</x:f>
        <x:v>PENDING_HUMAN</x:v>
      </x:c>
      <x:c r="W30" s="28" t="n">
        <x:f>--AND(A30&lt;&gt;"",R30&lt;&gt;"",S30&lt;&gt;"",OR(R30=S30,U30&lt;&gt;""))</x:f>
        <x:v>0</x:v>
      </x:c>
      <x:c r="X30" s="28" t="n">
        <x:f>--AND(Q30=1,W30=1,V30=1)</x:f>
        <x:v>0</x:v>
      </x:c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33"/>
      <x:c r="N31" s="28"/>
      <x:c r="O31" s="28"/>
      <x:c r="P31" s="28"/>
      <x:c r="Q31" s="28" t="n">
        <x:f>--AND(G31=1,H31=1,I31=1,J31=1,K31=1,L31=1,M31=1,N31=1,O31=1,P31=1)</x:f>
        <x:v>0</x:v>
      </x:c>
      <x:c r="R31" s="28"/>
      <x:c r="S31" s="28"/>
      <x:c r="T31" s="28" t="str">
        <x:f>IF(OR(R31="",S31=""),"",--(R31&lt;&gt;S31))</x:f>
      </x:c>
      <x:c r="U31" s="28"/>
      <x:c r="V31" s="28" t="str">
        <x:f>IF(OR(R31="",S31=""),"PENDING_HUMAN",IF(R31=S31,R31,IF(U31&lt;&gt;"",U31,"PENDING_HUMAN")))</x:f>
        <x:v>PENDING_HUMAN</x:v>
      </x:c>
      <x:c r="W31" s="28" t="n">
        <x:f>--AND(A31&lt;&gt;"",R31&lt;&gt;"",S31&lt;&gt;"",OR(R31=S31,U31&lt;&gt;""))</x:f>
        <x:v>0</x:v>
      </x:c>
      <x:c r="X31" s="28" t="n">
        <x:f>--AND(Q31=1,W31=1,V31=1)</x:f>
        <x:v>0</x:v>
      </x:c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33"/>
      <x:c r="N32" s="28"/>
      <x:c r="O32" s="28"/>
      <x:c r="P32" s="28"/>
      <x:c r="Q32" s="28" t="n">
        <x:f>--AND(G32=1,H32=1,I32=1,J32=1,K32=1,L32=1,M32=1,N32=1,O32=1,P32=1)</x:f>
        <x:v>0</x:v>
      </x:c>
      <x:c r="R32" s="28"/>
      <x:c r="S32" s="28"/>
      <x:c r="T32" s="28" t="str">
        <x:f>IF(OR(R32="",S32=""),"",--(R32&lt;&gt;S32))</x:f>
      </x:c>
      <x:c r="U32" s="28"/>
      <x:c r="V32" s="28" t="str">
        <x:f>IF(OR(R32="",S32=""),"PENDING_HUMAN",IF(R32=S32,R32,IF(U32&lt;&gt;"",U32,"PENDING_HUMAN")))</x:f>
        <x:v>PENDING_HUMAN</x:v>
      </x:c>
      <x:c r="W32" s="28" t="n">
        <x:f>--AND(A32&lt;&gt;"",R32&lt;&gt;"",S32&lt;&gt;"",OR(R32=S32,U32&lt;&gt;""))</x:f>
        <x:v>0</x:v>
      </x:c>
      <x:c r="X32" s="28" t="n">
        <x:f>--AND(Q32=1,W32=1,V32=1)</x:f>
        <x:v>0</x:v>
      </x:c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33"/>
      <x:c r="N33" s="28"/>
      <x:c r="O33" s="28"/>
      <x:c r="P33" s="28"/>
      <x:c r="Q33" s="28" t="n">
        <x:f>--AND(G33=1,H33=1,I33=1,J33=1,K33=1,L33=1,M33=1,N33=1,O33=1,P33=1)</x:f>
        <x:v>0</x:v>
      </x:c>
      <x:c r="R33" s="28"/>
      <x:c r="S33" s="28"/>
      <x:c r="T33" s="28" t="str">
        <x:f>IF(OR(R33="",S33=""),"",--(R33&lt;&gt;S33))</x:f>
      </x:c>
      <x:c r="U33" s="28"/>
      <x:c r="V33" s="28" t="str">
        <x:f>IF(OR(R33="",S33=""),"PENDING_HUMAN",IF(R33=S33,R33,IF(U33&lt;&gt;"",U33,"PENDING_HUMAN")))</x:f>
        <x:v>PENDING_HUMAN</x:v>
      </x:c>
      <x:c r="W33" s="28" t="n">
        <x:f>--AND(A33&lt;&gt;"",R33&lt;&gt;"",S33&lt;&gt;"",OR(R33=S33,U33&lt;&gt;""))</x:f>
        <x:v>0</x:v>
      </x:c>
      <x:c r="X33" s="28" t="n">
        <x:f>--AND(Q33=1,W33=1,V33=1)</x:f>
        <x:v>0</x:v>
      </x:c>
    </x:row>
    <x:row r="34">
      <x:c r="A34"/>
      <x:c r="B34"/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 t="n">
        <x:f>--AND(G34=1,H34=1,I34=1,J34=1,K34=1,L34=1,M34=1,N34=1,O34=1,P34=1)</x:f>
        <x:v>0</x:v>
      </x:c>
      <x:c r="R34"/>
      <x:c r="S34"/>
      <x:c r="T34" t="str">
        <x:f>IF(OR(R34="",S34=""),"",--(R34&lt;&gt;S34))</x:f>
      </x:c>
      <x:c r="U34"/>
      <x:c r="V34" t="str">
        <x:f>IF(OR(R34="",S34=""),"PENDING_HUMAN",IF(R34=S34,R34,IF(U34&lt;&gt;"",U34,"PENDING_HUMAN")))</x:f>
        <x:v>PENDING_HUMAN</x:v>
      </x:c>
      <x:c r="W34" t="n">
        <x:f>--AND(A34&lt;&gt;"",R34&lt;&gt;"",S34&lt;&gt;"",OR(R34=S34,U34&lt;&gt;""))</x:f>
        <x:v>0</x:v>
      </x:c>
      <x:c r="X34" t="n">
        <x:f>--AND(Q34=1,W34=1,V34=1)</x:f>
        <x:v>0</x:v>
      </x:c>
    </x:row>
    <x:row r="35">
      <x:c r="A35"/>
      <x:c r="B35"/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 t="n">
        <x:f>--AND(G35=1,H35=1,I35=1,J35=1,K35=1,L35=1,M35=1,N35=1,O35=1,P35=1)</x:f>
        <x:v>0</x:v>
      </x:c>
      <x:c r="R35"/>
      <x:c r="S35"/>
      <x:c r="T35" t="str">
        <x:f>IF(OR(R35="",S35=""),"",--(R35&lt;&gt;S35))</x:f>
      </x:c>
      <x:c r="U35"/>
      <x:c r="V35" t="str">
        <x:f>IF(OR(R35="",S35=""),"PENDING_HUMAN",IF(R35=S35,R35,IF(U35&lt;&gt;"",U35,"PENDING_HUMAN")))</x:f>
        <x:v>PENDING_HUMAN</x:v>
      </x:c>
      <x:c r="W35" t="n">
        <x:f>--AND(A35&lt;&gt;"",R35&lt;&gt;"",S35&lt;&gt;"",OR(R35=S35,U35&lt;&gt;""))</x:f>
        <x:v>0</x:v>
      </x:c>
      <x:c r="X35" t="n">
        <x:f>--AND(Q35=1,W35=1,V35=1)</x:f>
        <x:v>0</x:v>
      </x:c>
    </x:row>
    <x:row r="36">
      <x:c r="A36"/>
      <x:c r="B36"/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 t="n">
        <x:f>--AND(G36=1,H36=1,I36=1,J36=1,K36=1,L36=1,M36=1,N36=1,O36=1,P36=1)</x:f>
        <x:v>0</x:v>
      </x:c>
      <x:c r="R36"/>
      <x:c r="S36"/>
      <x:c r="T36" t="str">
        <x:f>IF(OR(R36="",S36=""),"",--(R36&lt;&gt;S36))</x:f>
      </x:c>
      <x:c r="U36"/>
      <x:c r="V36" t="str">
        <x:f>IF(OR(R36="",S36=""),"PENDING_HUMAN",IF(R36=S36,R36,IF(U36&lt;&gt;"",U36,"PENDING_HUMAN")))</x:f>
        <x:v>PENDING_HUMAN</x:v>
      </x:c>
      <x:c r="W36" t="n">
        <x:f>--AND(A36&lt;&gt;"",R36&lt;&gt;"",S36&lt;&gt;"",OR(R36=S36,U36&lt;&gt;""))</x:f>
        <x:v>0</x:v>
      </x:c>
      <x:c r="X36" t="n">
        <x:f>--AND(Q36=1,W36=1,V36=1)</x:f>
        <x:v>0</x:v>
      </x:c>
    </x:row>
    <x:row r="37">
      <x:c r="A37"/>
      <x:c r="B37"/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 t="n">
        <x:f>--AND(G37=1,H37=1,I37=1,J37=1,K37=1,L37=1,M37=1,N37=1,O37=1,P37=1)</x:f>
        <x:v>0</x:v>
      </x:c>
      <x:c r="R37"/>
      <x:c r="S37"/>
      <x:c r="T37" t="str">
        <x:f>IF(OR(R37="",S37=""),"",--(R37&lt;&gt;S37))</x:f>
      </x:c>
      <x:c r="U37"/>
      <x:c r="V37" t="str">
        <x:f>IF(OR(R37="",S37=""),"PENDING_HUMAN",IF(R37=S37,R37,IF(U37&lt;&gt;"",U37,"PENDING_HUMAN")))</x:f>
        <x:v>PENDING_HUMAN</x:v>
      </x:c>
      <x:c r="W37" t="n">
        <x:f>--AND(A37&lt;&gt;"",R37&lt;&gt;"",S37&lt;&gt;"",OR(R37=S37,U37&lt;&gt;""))</x:f>
        <x:v>0</x:v>
      </x:c>
      <x:c r="X37" t="n">
        <x:f>--AND(Q37=1,W37=1,V37=1)</x:f>
        <x:v>0</x:v>
      </x:c>
    </x:row>
    <x:row r="38">
      <x:c r="A38"/>
      <x:c r="B38"/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 t="n">
        <x:f>--AND(G38=1,H38=1,I38=1,J38=1,K38=1,L38=1,M38=1,N38=1,O38=1,P38=1)</x:f>
        <x:v>0</x:v>
      </x:c>
      <x:c r="R38"/>
      <x:c r="S38"/>
      <x:c r="T38" t="str">
        <x:f>IF(OR(R38="",S38=""),"",--(R38&lt;&gt;S38))</x:f>
      </x:c>
      <x:c r="U38"/>
      <x:c r="V38" t="str">
        <x:f>IF(OR(R38="",S38=""),"PENDING_HUMAN",IF(R38=S38,R38,IF(U38&lt;&gt;"",U38,"PENDING_HUMAN")))</x:f>
        <x:v>PENDING_HUMAN</x:v>
      </x:c>
      <x:c r="W38" t="n">
        <x:f>--AND(A38&lt;&gt;"",R38&lt;&gt;"",S38&lt;&gt;"",OR(R38=S38,U38&lt;&gt;""))</x:f>
        <x:v>0</x:v>
      </x:c>
      <x:c r="X38" t="n">
        <x:f>--AND(Q38=1,W38=1,V38=1)</x:f>
        <x:v>0</x:v>
      </x:c>
    </x:row>
    <x:row r="39">
      <x:c r="A39"/>
      <x:c r="B39"/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 t="n">
        <x:f>--AND(G39=1,H39=1,I39=1,J39=1,K39=1,L39=1,M39=1,N39=1,O39=1,P39=1)</x:f>
        <x:v>0</x:v>
      </x:c>
      <x:c r="R39"/>
      <x:c r="S39"/>
      <x:c r="T39" t="str">
        <x:f>IF(OR(R39="",S39=""),"",--(R39&lt;&gt;S39))</x:f>
      </x:c>
      <x:c r="U39"/>
      <x:c r="V39" t="str">
        <x:f>IF(OR(R39="",S39=""),"PENDING_HUMAN",IF(R39=S39,R39,IF(U39&lt;&gt;"",U39,"PENDING_HUMAN")))</x:f>
        <x:v>PENDING_HUMAN</x:v>
      </x:c>
      <x:c r="W39" t="n">
        <x:f>--AND(A39&lt;&gt;"",R39&lt;&gt;"",S39&lt;&gt;"",OR(R39=S39,U39&lt;&gt;""))</x:f>
        <x:v>0</x:v>
      </x:c>
      <x:c r="X39" t="n">
        <x:f>--AND(Q39=1,W39=1,V39=1)</x:f>
        <x:v>0</x:v>
      </x:c>
    </x:row>
    <x:row r="40">
      <x:c r="A40"/>
      <x:c r="B40"/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 t="n">
        <x:f>--AND(G40=1,H40=1,I40=1,J40=1,K40=1,L40=1,M40=1,N40=1,O40=1,P40=1)</x:f>
        <x:v>0</x:v>
      </x:c>
      <x:c r="R40"/>
      <x:c r="S40"/>
      <x:c r="T40" t="str">
        <x:f>IF(OR(R40="",S40=""),"",--(R40&lt;&gt;S40))</x:f>
      </x:c>
      <x:c r="U40"/>
      <x:c r="V40" t="str">
        <x:f>IF(OR(R40="",S40=""),"PENDING_HUMAN",IF(R40=S40,R40,IF(U40&lt;&gt;"",U40,"PENDING_HUMAN")))</x:f>
        <x:v>PENDING_HUMAN</x:v>
      </x:c>
      <x:c r="W40" t="n">
        <x:f>--AND(A40&lt;&gt;"",R40&lt;&gt;"",S40&lt;&gt;"",OR(R40=S40,U40&lt;&gt;""))</x:f>
        <x:v>0</x:v>
      </x:c>
      <x:c r="X40" t="n">
        <x:f>--AND(Q40=1,W40=1,V40=1)</x:f>
        <x:v>0</x:v>
      </x:c>
    </x:row>
    <x:row r="41">
      <x:c r="A41"/>
      <x:c r="B41"/>
      <x:c r="C41"/>
      <x:c r="D41"/>
      <x:c r="E41"/>
      <x:c r="F41"/>
      <x:c r="G41"/>
      <x:c r="H41"/>
      <x:c r="I41"/>
      <x:c r="J41"/>
      <x:c r="K41"/>
      <x:c r="L41"/>
      <x:c r="M41"/>
      <x:c r="N41"/>
      <x:c r="O41"/>
      <x:c r="P41"/>
      <x:c r="Q41" t="n">
        <x:f>--AND(G41=1,H41=1,I41=1,J41=1,K41=1,L41=1,M41=1,N41=1,O41=1,P41=1)</x:f>
        <x:v>0</x:v>
      </x:c>
      <x:c r="R41"/>
      <x:c r="S41"/>
      <x:c r="T41" t="str">
        <x:f>IF(OR(R41="",S41=""),"",--(R41&lt;&gt;S41))</x:f>
      </x:c>
      <x:c r="U41"/>
      <x:c r="V41" t="str">
        <x:f>IF(OR(R41="",S41=""),"PENDING_HUMAN",IF(R41=S41,R41,IF(U41&lt;&gt;"",U41,"PENDING_HUMAN")))</x:f>
        <x:v>PENDING_HUMAN</x:v>
      </x:c>
      <x:c r="W41" t="n">
        <x:f>--AND(A41&lt;&gt;"",R41&lt;&gt;"",S41&lt;&gt;"",OR(R41=S41,U41&lt;&gt;""))</x:f>
        <x:v>0</x:v>
      </x:c>
      <x:c r="X41" t="n">
        <x:f>--AND(Q41=1,W41=1,V41=1)</x:f>
        <x:v>0</x:v>
      </x:c>
    </x:row>
    <x:row r="42">
      <x:c r="A42"/>
      <x:c r="B42"/>
      <x:c r="C42"/>
      <x:c r="D42"/>
      <x:c r="E42"/>
      <x:c r="F42"/>
      <x:c r="G42"/>
      <x:c r="H42"/>
      <x:c r="I42"/>
      <x:c r="J42"/>
      <x:c r="K42"/>
      <x:c r="L42"/>
      <x:c r="M42"/>
      <x:c r="N42"/>
      <x:c r="O42"/>
      <x:c r="P42"/>
      <x:c r="Q42" t="n">
        <x:f>--AND(G42=1,H42=1,I42=1,J42=1,K42=1,L42=1,M42=1,N42=1,O42=1,P42=1)</x:f>
        <x:v>0</x:v>
      </x:c>
      <x:c r="R42"/>
      <x:c r="S42"/>
      <x:c r="T42" t="str">
        <x:f>IF(OR(R42="",S42=""),"",--(R42&lt;&gt;S42))</x:f>
      </x:c>
      <x:c r="U42"/>
      <x:c r="V42" t="str">
        <x:f>IF(OR(R42="",S42=""),"PENDING_HUMAN",IF(R42=S42,R42,IF(U42&lt;&gt;"",U42,"PENDING_HUMAN")))</x:f>
        <x:v>PENDING_HUMAN</x:v>
      </x:c>
      <x:c r="W42" t="n">
        <x:f>--AND(A42&lt;&gt;"",R42&lt;&gt;"",S42&lt;&gt;"",OR(R42=S42,U42&lt;&gt;""))</x:f>
        <x:v>0</x:v>
      </x:c>
      <x:c r="X42" t="n">
        <x:f>--AND(Q42=1,W42=1,V42=1)</x:f>
        <x:v>0</x:v>
      </x:c>
    </x:row>
    <x:row r="43">
      <x:c r="A43"/>
      <x:c r="B43"/>
      <x:c r="C43"/>
      <x:c r="D43"/>
      <x:c r="E43"/>
      <x:c r="F43"/>
      <x:c r="G43"/>
      <x:c r="H43"/>
      <x:c r="I43"/>
      <x:c r="J43"/>
      <x:c r="K43"/>
      <x:c r="L43"/>
      <x:c r="M43"/>
      <x:c r="N43"/>
      <x:c r="O43"/>
      <x:c r="P43"/>
      <x:c r="Q43" t="n">
        <x:f>--AND(G43=1,H43=1,I43=1,J43=1,K43=1,L43=1,M43=1,N43=1,O43=1,P43=1)</x:f>
        <x:v>0</x:v>
      </x:c>
      <x:c r="R43"/>
      <x:c r="S43"/>
      <x:c r="T43" t="str">
        <x:f>IF(OR(R43="",S43=""),"",--(R43&lt;&gt;S43))</x:f>
      </x:c>
      <x:c r="U43"/>
      <x:c r="V43" t="str">
        <x:f>IF(OR(R43="",S43=""),"PENDING_HUMAN",IF(R43=S43,R43,IF(U43&lt;&gt;"",U43,"PENDING_HUMAN")))</x:f>
        <x:v>PENDING_HUMAN</x:v>
      </x:c>
      <x:c r="W43" t="n">
        <x:f>--AND(A43&lt;&gt;"",R43&lt;&gt;"",S43&lt;&gt;"",OR(R43=S43,U43&lt;&gt;""))</x:f>
        <x:v>0</x:v>
      </x:c>
      <x:c r="X43" t="n">
        <x:f>--AND(Q43=1,W43=1,V43=1)</x:f>
        <x:v>0</x:v>
      </x:c>
    </x:row>
    <x:row r="44">
      <x:c r="A44"/>
      <x:c r="B44"/>
      <x:c r="C44"/>
      <x:c r="D44"/>
      <x:c r="E44"/>
      <x:c r="F44"/>
      <x:c r="G44"/>
      <x:c r="H44"/>
      <x:c r="I44"/>
      <x:c r="J44"/>
      <x:c r="K44"/>
      <x:c r="L44"/>
      <x:c r="M44"/>
      <x:c r="N44"/>
      <x:c r="O44"/>
      <x:c r="P44"/>
      <x:c r="Q44" t="n">
        <x:f>--AND(G44=1,H44=1,I44=1,J44=1,K44=1,L44=1,M44=1,N44=1,O44=1,P44=1)</x:f>
        <x:v>0</x:v>
      </x:c>
      <x:c r="R44"/>
      <x:c r="S44"/>
      <x:c r="T44" t="str">
        <x:f>IF(OR(R44="",S44=""),"",--(R44&lt;&gt;S44))</x:f>
      </x:c>
      <x:c r="U44"/>
      <x:c r="V44" t="str">
        <x:f>IF(OR(R44="",S44=""),"PENDING_HUMAN",IF(R44=S44,R44,IF(U44&lt;&gt;"",U44,"PENDING_HUMAN")))</x:f>
        <x:v>PENDING_HUMAN</x:v>
      </x:c>
      <x:c r="W44" t="n">
        <x:f>--AND(A44&lt;&gt;"",R44&lt;&gt;"",S44&lt;&gt;"",OR(R44=S44,U44&lt;&gt;""))</x:f>
        <x:v>0</x:v>
      </x:c>
      <x:c r="X44" t="n">
        <x:f>--AND(Q44=1,W44=1,V44=1)</x:f>
        <x:v>0</x:v>
      </x:c>
    </x:row>
    <x:row r="45">
      <x:c r="A45"/>
      <x:c r="B45"/>
      <x:c r="C45"/>
      <x:c r="D45"/>
      <x:c r="E45"/>
      <x:c r="F45"/>
      <x:c r="G45"/>
      <x:c r="H45"/>
      <x:c r="I45"/>
      <x:c r="J45"/>
      <x:c r="K45"/>
      <x:c r="L45"/>
      <x:c r="M45"/>
      <x:c r="N45"/>
      <x:c r="O45"/>
      <x:c r="P45"/>
      <x:c r="Q45" t="n">
        <x:f>--AND(G45=1,H45=1,I45=1,J45=1,K45=1,L45=1,M45=1,N45=1,O45=1,P45=1)</x:f>
        <x:v>0</x:v>
      </x:c>
      <x:c r="R45"/>
      <x:c r="S45"/>
      <x:c r="T45" t="str">
        <x:f>IF(OR(R45="",S45=""),"",--(R45&lt;&gt;S45))</x:f>
      </x:c>
      <x:c r="U45"/>
      <x:c r="V45" t="str">
        <x:f>IF(OR(R45="",S45=""),"PENDING_HUMAN",IF(R45=S45,R45,IF(U45&lt;&gt;"",U45,"PENDING_HUMAN")))</x:f>
        <x:v>PENDING_HUMAN</x:v>
      </x:c>
      <x:c r="W45" t="n">
        <x:f>--AND(A45&lt;&gt;"",R45&lt;&gt;"",S45&lt;&gt;"",OR(R45=S45,U45&lt;&gt;""))</x:f>
        <x:v>0</x:v>
      </x:c>
      <x:c r="X45" t="n">
        <x:f>--AND(Q45=1,W45=1,V45=1)</x:f>
        <x:v>0</x:v>
      </x:c>
    </x:row>
    <x:row r="46">
      <x:c r="A46"/>
      <x:c r="B46"/>
      <x:c r="C46"/>
      <x:c r="D46"/>
      <x:c r="E46"/>
      <x:c r="F46"/>
      <x:c r="G46"/>
      <x:c r="H46"/>
      <x:c r="I46"/>
      <x:c r="J46"/>
      <x:c r="K46"/>
      <x:c r="L46"/>
      <x:c r="M46"/>
      <x:c r="N46"/>
      <x:c r="O46"/>
      <x:c r="P46"/>
      <x:c r="Q46" t="n">
        <x:f>--AND(G46=1,H46=1,I46=1,J46=1,K46=1,L46=1,M46=1,N46=1,O46=1,P46=1)</x:f>
        <x:v>0</x:v>
      </x:c>
      <x:c r="R46"/>
      <x:c r="S46"/>
      <x:c r="T46" t="str">
        <x:f>IF(OR(R46="",S46=""),"",--(R46&lt;&gt;S46))</x:f>
      </x:c>
      <x:c r="U46"/>
      <x:c r="V46" t="str">
        <x:f>IF(OR(R46="",S46=""),"PENDING_HUMAN",IF(R46=S46,R46,IF(U46&lt;&gt;"",U46,"PENDING_HUMAN")))</x:f>
        <x:v>PENDING_HUMAN</x:v>
      </x:c>
      <x:c r="W46" t="n">
        <x:f>--AND(A46&lt;&gt;"",R46&lt;&gt;"",S46&lt;&gt;"",OR(R46=S46,U46&lt;&gt;""))</x:f>
        <x:v>0</x:v>
      </x:c>
      <x:c r="X46" t="n">
        <x:f>--AND(Q46=1,W46=1,V46=1)</x:f>
        <x:v>0</x:v>
      </x:c>
    </x:row>
    <x:row r="47">
      <x:c r="A47"/>
      <x:c r="B47"/>
      <x:c r="C47"/>
      <x:c r="D47"/>
      <x:c r="E47"/>
      <x:c r="F47"/>
      <x:c r="G47"/>
      <x:c r="H47"/>
      <x:c r="I47"/>
      <x:c r="J47"/>
      <x:c r="K47"/>
      <x:c r="L47"/>
      <x:c r="M47"/>
      <x:c r="N47"/>
      <x:c r="O47"/>
      <x:c r="P47"/>
      <x:c r="Q47" t="n">
        <x:f>--AND(G47=1,H47=1,I47=1,J47=1,K47=1,L47=1,M47=1,N47=1,O47=1,P47=1)</x:f>
        <x:v>0</x:v>
      </x:c>
      <x:c r="R47"/>
      <x:c r="S47"/>
      <x:c r="T47" t="str">
        <x:f>IF(OR(R47="",S47=""),"",--(R47&lt;&gt;S47))</x:f>
      </x:c>
      <x:c r="U47"/>
      <x:c r="V47" t="str">
        <x:f>IF(OR(R47="",S47=""),"PENDING_HUMAN",IF(R47=S47,R47,IF(U47&lt;&gt;"",U47,"PENDING_HUMAN")))</x:f>
        <x:v>PENDING_HUMAN</x:v>
      </x:c>
      <x:c r="W47" t="n">
        <x:f>--AND(A47&lt;&gt;"",R47&lt;&gt;"",S47&lt;&gt;"",OR(R47=S47,U47&lt;&gt;""))</x:f>
        <x:v>0</x:v>
      </x:c>
      <x:c r="X47" t="n">
        <x:f>--AND(Q47=1,W47=1,V47=1)</x:f>
        <x:v>0</x:v>
      </x:c>
    </x:row>
    <x:row r="48">
      <x:c r="A48"/>
      <x:c r="B48"/>
      <x:c r="C48"/>
      <x:c r="D48"/>
      <x:c r="E48"/>
      <x:c r="F48"/>
      <x:c r="G48"/>
      <x:c r="H48"/>
      <x:c r="I48"/>
      <x:c r="J48"/>
      <x:c r="K48"/>
      <x:c r="L48"/>
      <x:c r="M48"/>
      <x:c r="N48"/>
      <x:c r="O48"/>
      <x:c r="P48"/>
      <x:c r="Q48" t="n">
        <x:f>--AND(G48=1,H48=1,I48=1,J48=1,K48=1,L48=1,M48=1,N48=1,O48=1,P48=1)</x:f>
        <x:v>0</x:v>
      </x:c>
      <x:c r="R48"/>
      <x:c r="S48"/>
      <x:c r="T48" t="str">
        <x:f>IF(OR(R48="",S48=""),"",--(R48&lt;&gt;S48))</x:f>
      </x:c>
      <x:c r="U48"/>
      <x:c r="V48" t="str">
        <x:f>IF(OR(R48="",S48=""),"PENDING_HUMAN",IF(R48=S48,R48,IF(U48&lt;&gt;"",U48,"PENDING_HUMAN")))</x:f>
        <x:v>PENDING_HUMAN</x:v>
      </x:c>
      <x:c r="W48" t="n">
        <x:f>--AND(A48&lt;&gt;"",R48&lt;&gt;"",S48&lt;&gt;"",OR(R48=S48,U48&lt;&gt;""))</x:f>
        <x:v>0</x:v>
      </x:c>
      <x:c r="X48" t="n">
        <x:f>--AND(Q48=1,W48=1,V48=1)</x:f>
        <x:v>0</x:v>
      </x:c>
    </x:row>
    <x:row r="49">
      <x:c r="A49"/>
      <x:c r="B49"/>
      <x:c r="C49"/>
      <x:c r="D49"/>
      <x:c r="E49"/>
      <x:c r="F49"/>
      <x:c r="G49"/>
      <x:c r="H49"/>
      <x:c r="I49"/>
      <x:c r="J49"/>
      <x:c r="K49"/>
      <x:c r="L49"/>
      <x:c r="M49"/>
      <x:c r="N49"/>
      <x:c r="O49"/>
      <x:c r="P49"/>
      <x:c r="Q49" t="n">
        <x:f>--AND(G49=1,H49=1,I49=1,J49=1,K49=1,L49=1,M49=1,N49=1,O49=1,P49=1)</x:f>
        <x:v>0</x:v>
      </x:c>
      <x:c r="R49"/>
      <x:c r="S49"/>
      <x:c r="T49" t="str">
        <x:f>IF(OR(R49="",S49=""),"",--(R49&lt;&gt;S49))</x:f>
      </x:c>
      <x:c r="U49"/>
      <x:c r="V49" t="str">
        <x:f>IF(OR(R49="",S49=""),"PENDING_HUMAN",IF(R49=S49,R49,IF(U49&lt;&gt;"",U49,"PENDING_HUMAN")))</x:f>
        <x:v>PENDING_HUMAN</x:v>
      </x:c>
      <x:c r="W49" t="n">
        <x:f>--AND(A49&lt;&gt;"",R49&lt;&gt;"",S49&lt;&gt;"",OR(R49=S49,U49&lt;&gt;""))</x:f>
        <x:v>0</x:v>
      </x:c>
      <x:c r="X49" t="n">
        <x:f>--AND(Q49=1,W49=1,V49=1)</x:f>
        <x:v>0</x:v>
      </x:c>
    </x:row>
    <x:row r="50">
      <x:c r="A50"/>
      <x:c r="B50"/>
      <x:c r="C50"/>
      <x:c r="D50"/>
      <x:c r="E50"/>
      <x:c r="F50"/>
      <x:c r="G50"/>
      <x:c r="H50"/>
      <x:c r="I50"/>
      <x:c r="J50"/>
      <x:c r="K50"/>
      <x:c r="L50"/>
      <x:c r="M50"/>
      <x:c r="N50"/>
      <x:c r="O50"/>
      <x:c r="P50"/>
      <x:c r="Q50" t="n">
        <x:f>--AND(G50=1,H50=1,I50=1,J50=1,K50=1,L50=1,M50=1,N50=1,O50=1,P50=1)</x:f>
        <x:v>0</x:v>
      </x:c>
      <x:c r="R50"/>
      <x:c r="S50"/>
      <x:c r="T50" t="str">
        <x:f>IF(OR(R50="",S50=""),"",--(R50&lt;&gt;S50))</x:f>
      </x:c>
      <x:c r="U50"/>
      <x:c r="V50" t="str">
        <x:f>IF(OR(R50="",S50=""),"PENDING_HUMAN",IF(R50=S50,R50,IF(U50&lt;&gt;"",U50,"PENDING_HUMAN")))</x:f>
        <x:v>PENDING_HUMAN</x:v>
      </x:c>
      <x:c r="W50" t="n">
        <x:f>--AND(A50&lt;&gt;"",R50&lt;&gt;"",S50&lt;&gt;"",OR(R50=S50,U50&lt;&gt;""))</x:f>
        <x:v>0</x:v>
      </x:c>
      <x:c r="X50" t="n">
        <x:f>--AND(Q50=1,W50=1,V50=1)</x:f>
        <x:v>0</x:v>
      </x:c>
    </x:row>
    <x:row r="51">
      <x:c r="A51"/>
      <x:c r="B51"/>
      <x:c r="C51"/>
      <x:c r="D51"/>
      <x:c r="E51"/>
      <x:c r="F51"/>
      <x:c r="G51"/>
      <x:c r="H51"/>
      <x:c r="I51"/>
      <x:c r="J51"/>
      <x:c r="K51"/>
      <x:c r="L51"/>
      <x:c r="M51"/>
      <x:c r="N51"/>
      <x:c r="O51"/>
      <x:c r="P51"/>
      <x:c r="Q51" t="n">
        <x:f>--AND(G51=1,H51=1,I51=1,J51=1,K51=1,L51=1,M51=1,N51=1,O51=1,P51=1)</x:f>
        <x:v>0</x:v>
      </x:c>
      <x:c r="R51"/>
      <x:c r="S51"/>
      <x:c r="T51" t="str">
        <x:f>IF(OR(R51="",S51=""),"",--(R51&lt;&gt;S51))</x:f>
      </x:c>
      <x:c r="U51"/>
      <x:c r="V51" t="str">
        <x:f>IF(OR(R51="",S51=""),"PENDING_HUMAN",IF(R51=S51,R51,IF(U51&lt;&gt;"",U51,"PENDING_HUMAN")))</x:f>
        <x:v>PENDING_HUMAN</x:v>
      </x:c>
      <x:c r="W51" t="n">
        <x:f>--AND(A51&lt;&gt;"",R51&lt;&gt;"",S51&lt;&gt;"",OR(R51=S51,U51&lt;&gt;""))</x:f>
        <x:v>0</x:v>
      </x:c>
      <x:c r="X51" t="n">
        <x:f>--AND(Q51=1,W51=1,V51=1)</x:f>
        <x:v>0</x:v>
      </x:c>
    </x:row>
    <x:row r="52">
      <x:c r="A52"/>
      <x:c r="B52"/>
      <x:c r="C52"/>
      <x:c r="D52"/>
      <x:c r="E52"/>
      <x:c r="F52"/>
      <x:c r="G52"/>
      <x:c r="H52"/>
      <x:c r="I52"/>
      <x:c r="J52"/>
      <x:c r="K52"/>
      <x:c r="L52"/>
      <x:c r="M52"/>
      <x:c r="N52"/>
      <x:c r="O52"/>
      <x:c r="P52"/>
      <x:c r="Q52" t="n">
        <x:f>--AND(G52=1,H52=1,I52=1,J52=1,K52=1,L52=1,M52=1,N52=1,O52=1,P52=1)</x:f>
        <x:v>0</x:v>
      </x:c>
      <x:c r="R52"/>
      <x:c r="S52"/>
      <x:c r="T52" t="str">
        <x:f>IF(OR(R52="",S52=""),"",--(R52&lt;&gt;S52))</x:f>
      </x:c>
      <x:c r="U52"/>
      <x:c r="V52" t="str">
        <x:f>IF(OR(R52="",S52=""),"PENDING_HUMAN",IF(R52=S52,R52,IF(U52&lt;&gt;"",U52,"PENDING_HUMAN")))</x:f>
        <x:v>PENDING_HUMAN</x:v>
      </x:c>
      <x:c r="W52" t="n">
        <x:f>--AND(A52&lt;&gt;"",R52&lt;&gt;"",S52&lt;&gt;"",OR(R52=S52,U52&lt;&gt;""))</x:f>
        <x:v>0</x:v>
      </x:c>
      <x:c r="X52" t="n">
        <x:f>--AND(Q52=1,W52=1,V52=1)</x:f>
        <x:v>0</x:v>
      </x:c>
    </x:row>
    <x:row r="53">
      <x:c r="A53"/>
      <x:c r="B53"/>
      <x:c r="C53"/>
      <x:c r="D53"/>
      <x:c r="E53"/>
      <x:c r="F53"/>
      <x:c r="G53"/>
      <x:c r="H53"/>
      <x:c r="I53"/>
      <x:c r="J53"/>
      <x:c r="K53"/>
      <x:c r="L53"/>
      <x:c r="M53"/>
      <x:c r="N53"/>
      <x:c r="O53"/>
      <x:c r="P53"/>
      <x:c r="Q53" t="n">
        <x:f>--AND(G53=1,H53=1,I53=1,J53=1,K53=1,L53=1,M53=1,N53=1,O53=1,P53=1)</x:f>
        <x:v>0</x:v>
      </x:c>
      <x:c r="R53"/>
      <x:c r="S53"/>
      <x:c r="T53" t="str">
        <x:f>IF(OR(R53="",S53=""),"",--(R53&lt;&gt;S53))</x:f>
      </x:c>
      <x:c r="U53"/>
      <x:c r="V53" t="str">
        <x:f>IF(OR(R53="",S53=""),"PENDING_HUMAN",IF(R53=S53,R53,IF(U53&lt;&gt;"",U53,"PENDING_HUMAN")))</x:f>
        <x:v>PENDING_HUMAN</x:v>
      </x:c>
      <x:c r="W53" t="n">
        <x:f>--AND(A53&lt;&gt;"",R53&lt;&gt;"",S53&lt;&gt;"",OR(R53=S53,U53&lt;&gt;""))</x:f>
        <x:v>0</x:v>
      </x:c>
      <x:c r="X53" t="n">
        <x:f>--AND(Q53=1,W53=1,V53=1)</x:f>
        <x:v>0</x:v>
      </x:c>
    </x:row>
    <x:row r="54">
      <x:c r="A54"/>
      <x:c r="B54"/>
      <x:c r="C54"/>
      <x:c r="D54"/>
      <x:c r="E54"/>
      <x:c r="F54"/>
      <x:c r="G54"/>
      <x:c r="H54"/>
      <x:c r="I54"/>
      <x:c r="J54"/>
      <x:c r="K54"/>
      <x:c r="L54"/>
      <x:c r="M54"/>
      <x:c r="N54"/>
      <x:c r="O54"/>
      <x:c r="P54"/>
      <x:c r="Q54" t="n">
        <x:f>--AND(G54=1,H54=1,I54=1,J54=1,K54=1,L54=1,M54=1,N54=1,O54=1,P54=1)</x:f>
        <x:v>0</x:v>
      </x:c>
      <x:c r="R54"/>
      <x:c r="S54"/>
      <x:c r="T54" t="str">
        <x:f>IF(OR(R54="",S54=""),"",--(R54&lt;&gt;S54))</x:f>
      </x:c>
      <x:c r="U54"/>
      <x:c r="V54" t="str">
        <x:f>IF(OR(R54="",S54=""),"PENDING_HUMAN",IF(R54=S54,R54,IF(U54&lt;&gt;"",U54,"PENDING_HUMAN")))</x:f>
        <x:v>PENDING_HUMAN</x:v>
      </x:c>
      <x:c r="W54" t="n">
        <x:f>--AND(A54&lt;&gt;"",R54&lt;&gt;"",S54&lt;&gt;"",OR(R54=S54,U54&lt;&gt;""))</x:f>
        <x:v>0</x:v>
      </x:c>
      <x:c r="X54" t="n">
        <x:f>--AND(Q54=1,W54=1,V54=1)</x:f>
        <x:v>0</x:v>
      </x:c>
    </x:row>
    <x:row r="55">
      <x:c r="A55"/>
      <x:c r="B55"/>
      <x:c r="C55"/>
      <x:c r="D55"/>
      <x:c r="E55"/>
      <x:c r="F55"/>
      <x:c r="G55"/>
      <x:c r="H55"/>
      <x:c r="I55"/>
      <x:c r="J55"/>
      <x:c r="K55"/>
      <x:c r="L55"/>
      <x:c r="M55"/>
      <x:c r="N55"/>
      <x:c r="O55"/>
      <x:c r="P55"/>
      <x:c r="Q55" t="n">
        <x:f>--AND(G55=1,H55=1,I55=1,J55=1,K55=1,L55=1,M55=1,N55=1,O55=1,P55=1)</x:f>
        <x:v>0</x:v>
      </x:c>
      <x:c r="R55"/>
      <x:c r="S55"/>
      <x:c r="T55" t="str">
        <x:f>IF(OR(R55="",S55=""),"",--(R55&lt;&gt;S55))</x:f>
      </x:c>
      <x:c r="U55"/>
      <x:c r="V55" t="str">
        <x:f>IF(OR(R55="",S55=""),"PENDING_HUMAN",IF(R55=S55,R55,IF(U55&lt;&gt;"",U55,"PENDING_HUMAN")))</x:f>
        <x:v>PENDING_HUMAN</x:v>
      </x:c>
      <x:c r="W55" t="n">
        <x:f>--AND(A55&lt;&gt;"",R55&lt;&gt;"",S55&lt;&gt;"",OR(R55=S55,U55&lt;&gt;""))</x:f>
        <x:v>0</x:v>
      </x:c>
      <x:c r="X55" t="n">
        <x:f>--AND(Q55=1,W55=1,V55=1)</x:f>
        <x:v>0</x:v>
      </x:c>
    </x:row>
    <x:row r="56">
      <x:c r="A56"/>
      <x:c r="B56"/>
      <x:c r="C56"/>
      <x:c r="D56"/>
      <x:c r="E56"/>
      <x:c r="F56"/>
      <x:c r="G56"/>
      <x:c r="H56"/>
      <x:c r="I56"/>
      <x:c r="J56"/>
      <x:c r="K56"/>
      <x:c r="L56"/>
      <x:c r="M56"/>
      <x:c r="N56"/>
      <x:c r="O56"/>
      <x:c r="P56"/>
      <x:c r="Q56" t="n">
        <x:f>--AND(G56=1,H56=1,I56=1,J56=1,K56=1,L56=1,M56=1,N56=1,O56=1,P56=1)</x:f>
        <x:v>0</x:v>
      </x:c>
      <x:c r="R56"/>
      <x:c r="S56"/>
      <x:c r="T56" t="str">
        <x:f>IF(OR(R56="",S56=""),"",--(R56&lt;&gt;S56))</x:f>
      </x:c>
      <x:c r="U56"/>
      <x:c r="V56" t="str">
        <x:f>IF(OR(R56="",S56=""),"PENDING_HUMAN",IF(R56=S56,R56,IF(U56&lt;&gt;"",U56,"PENDING_HUMAN")))</x:f>
        <x:v>PENDING_HUMAN</x:v>
      </x:c>
      <x:c r="W56" t="n">
        <x:f>--AND(A56&lt;&gt;"",R56&lt;&gt;"",S56&lt;&gt;"",OR(R56=S56,U56&lt;&gt;""))</x:f>
        <x:v>0</x:v>
      </x:c>
      <x:c r="X56" t="n">
        <x:f>--AND(Q56=1,W56=1,V56=1)</x:f>
        <x:v>0</x:v>
      </x:c>
    </x:row>
    <x:row r="57">
      <x:c r="A57"/>
      <x:c r="B57"/>
      <x:c r="C57"/>
      <x:c r="D57"/>
      <x:c r="E57"/>
      <x:c r="F57"/>
      <x:c r="G57"/>
      <x:c r="H57"/>
      <x:c r="I57"/>
      <x:c r="J57"/>
      <x:c r="K57"/>
      <x:c r="L57"/>
      <x:c r="M57"/>
      <x:c r="N57"/>
      <x:c r="O57"/>
      <x:c r="P57"/>
      <x:c r="Q57" t="n">
        <x:f>--AND(G57=1,H57=1,I57=1,J57=1,K57=1,L57=1,M57=1,N57=1,O57=1,P57=1)</x:f>
        <x:v>0</x:v>
      </x:c>
      <x:c r="R57"/>
      <x:c r="S57"/>
      <x:c r="T57" t="str">
        <x:f>IF(OR(R57="",S57=""),"",--(R57&lt;&gt;S57))</x:f>
      </x:c>
      <x:c r="U57"/>
      <x:c r="V57" t="str">
        <x:f>IF(OR(R57="",S57=""),"PENDING_HUMAN",IF(R57=S57,R57,IF(U57&lt;&gt;"",U57,"PENDING_HUMAN")))</x:f>
        <x:v>PENDING_HUMAN</x:v>
      </x:c>
      <x:c r="W57" t="n">
        <x:f>--AND(A57&lt;&gt;"",R57&lt;&gt;"",S57&lt;&gt;"",OR(R57=S57,U57&lt;&gt;""))</x:f>
        <x:v>0</x:v>
      </x:c>
      <x:c r="X57" t="n">
        <x:f>--AND(Q57=1,W57=1,V57=1)</x:f>
        <x:v>0</x:v>
      </x:c>
    </x:row>
    <x:row r="58">
      <x:c r="A58"/>
      <x:c r="B58"/>
      <x:c r="C58"/>
      <x:c r="D58"/>
      <x:c r="E58"/>
      <x:c r="F58"/>
      <x:c r="G58"/>
      <x:c r="H58"/>
      <x:c r="I58"/>
      <x:c r="J58"/>
      <x:c r="K58"/>
      <x:c r="L58"/>
      <x:c r="M58"/>
      <x:c r="N58"/>
      <x:c r="O58"/>
      <x:c r="P58"/>
      <x:c r="Q58" t="n">
        <x:f>--AND(G58=1,H58=1,I58=1,J58=1,K58=1,L58=1,M58=1,N58=1,O58=1,P58=1)</x:f>
        <x:v>0</x:v>
      </x:c>
      <x:c r="R58"/>
      <x:c r="S58"/>
      <x:c r="T58" t="str">
        <x:f>IF(OR(R58="",S58=""),"",--(R58&lt;&gt;S58))</x:f>
      </x:c>
      <x:c r="U58"/>
      <x:c r="V58" t="str">
        <x:f>IF(OR(R58="",S58=""),"PENDING_HUMAN",IF(R58=S58,R58,IF(U58&lt;&gt;"",U58,"PENDING_HUMAN")))</x:f>
        <x:v>PENDING_HUMAN</x:v>
      </x:c>
      <x:c r="W58" t="n">
        <x:f>--AND(A58&lt;&gt;"",R58&lt;&gt;"",S58&lt;&gt;"",OR(R58=S58,U58&lt;&gt;""))</x:f>
        <x:v>0</x:v>
      </x:c>
      <x:c r="X58" t="n">
        <x:f>--AND(Q58=1,W58=1,V58=1)</x:f>
        <x:v>0</x:v>
      </x:c>
    </x:row>
    <x:row r="59">
      <x:c r="A59"/>
      <x:c r="B59"/>
      <x:c r="C59"/>
      <x:c r="D59"/>
      <x:c r="E59"/>
      <x:c r="F59"/>
      <x:c r="G59"/>
      <x:c r="H59"/>
      <x:c r="I59"/>
      <x:c r="J59"/>
      <x:c r="K59"/>
      <x:c r="L59"/>
      <x:c r="M59"/>
      <x:c r="N59"/>
      <x:c r="O59"/>
      <x:c r="P59"/>
      <x:c r="Q59" t="n">
        <x:f>--AND(G59=1,H59=1,I59=1,J59=1,K59=1,L59=1,M59=1,N59=1,O59=1,P59=1)</x:f>
        <x:v>0</x:v>
      </x:c>
      <x:c r="R59"/>
      <x:c r="S59"/>
      <x:c r="T59" t="str">
        <x:f>IF(OR(R59="",S59=""),"",--(R59&lt;&gt;S59))</x:f>
      </x:c>
      <x:c r="U59"/>
      <x:c r="V59" t="str">
        <x:f>IF(OR(R59="",S59=""),"PENDING_HUMAN",IF(R59=S59,R59,IF(U59&lt;&gt;"",U59,"PENDING_HUMAN")))</x:f>
        <x:v>PENDING_HUMAN</x:v>
      </x:c>
      <x:c r="W59" t="n">
        <x:f>--AND(A59&lt;&gt;"",R59&lt;&gt;"",S59&lt;&gt;"",OR(R59=S59,U59&lt;&gt;""))</x:f>
        <x:v>0</x:v>
      </x:c>
      <x:c r="X59" t="n">
        <x:f>--AND(Q59=1,W59=1,V59=1)</x:f>
        <x:v>0</x:v>
      </x:c>
    </x:row>
    <x:row r="60">
      <x:c r="A60"/>
      <x:c r="B60"/>
      <x:c r="C60"/>
      <x:c r="D60"/>
      <x:c r="E60"/>
      <x:c r="F60"/>
      <x:c r="G60"/>
      <x:c r="H60"/>
      <x:c r="I60"/>
      <x:c r="J60"/>
      <x:c r="K60"/>
      <x:c r="L60"/>
      <x:c r="M60"/>
      <x:c r="N60"/>
      <x:c r="O60"/>
      <x:c r="P60"/>
      <x:c r="Q60" t="n">
        <x:f>--AND(G60=1,H60=1,I60=1,J60=1,K60=1,L60=1,M60=1,N60=1,O60=1,P60=1)</x:f>
        <x:v>0</x:v>
      </x:c>
      <x:c r="R60"/>
      <x:c r="S60"/>
      <x:c r="T60" t="str">
        <x:f>IF(OR(R60="",S60=""),"",--(R60&lt;&gt;S60))</x:f>
      </x:c>
      <x:c r="U60"/>
      <x:c r="V60" t="str">
        <x:f>IF(OR(R60="",S60=""),"PENDING_HUMAN",IF(R60=S60,R60,IF(U60&lt;&gt;"",U60,"PENDING_HUMAN")))</x:f>
        <x:v>PENDING_HUMAN</x:v>
      </x:c>
      <x:c r="W60" t="n">
        <x:f>--AND(A60&lt;&gt;"",R60&lt;&gt;"",S60&lt;&gt;"",OR(R60=S60,U60&lt;&gt;""))</x:f>
        <x:v>0</x:v>
      </x:c>
      <x:c r="X60" t="n">
        <x:f>--AND(Q60=1,W60=1,V60=1)</x:f>
        <x:v>0</x:v>
      </x:c>
    </x:row>
    <x:row r="61">
      <x:c r="A61"/>
      <x:c r="B61"/>
      <x:c r="C61"/>
      <x:c r="D61"/>
      <x:c r="E61"/>
      <x:c r="F61"/>
      <x:c r="G61"/>
      <x:c r="H61"/>
      <x:c r="I61"/>
      <x:c r="J61"/>
      <x:c r="K61"/>
      <x:c r="L61"/>
      <x:c r="M61"/>
      <x:c r="N61"/>
      <x:c r="O61"/>
      <x:c r="P61"/>
      <x:c r="Q61" t="n">
        <x:f>--AND(G61=1,H61=1,I61=1,J61=1,K61=1,L61=1,M61=1,N61=1,O61=1,P61=1)</x:f>
        <x:v>0</x:v>
      </x:c>
      <x:c r="R61"/>
      <x:c r="S61"/>
      <x:c r="T61" t="str">
        <x:f>IF(OR(R61="",S61=""),"",--(R61&lt;&gt;S61))</x:f>
      </x:c>
      <x:c r="U61"/>
      <x:c r="V61" t="str">
        <x:f>IF(OR(R61="",S61=""),"PENDING_HUMAN",IF(R61=S61,R61,IF(U61&lt;&gt;"",U61,"PENDING_HUMAN")))</x:f>
        <x:v>PENDING_HUMAN</x:v>
      </x:c>
      <x:c r="W61" t="n">
        <x:f>--AND(A61&lt;&gt;"",R61&lt;&gt;"",S61&lt;&gt;"",OR(R61=S61,U61&lt;&gt;""))</x:f>
        <x:v>0</x:v>
      </x:c>
      <x:c r="X61" t="n">
        <x:f>--AND(Q61=1,W61=1,V61=1)</x:f>
        <x:v>0</x:v>
      </x:c>
    </x:row>
    <x:row r="62">
      <x:c r="A62"/>
      <x:c r="B62"/>
      <x:c r="C62"/>
      <x:c r="D62"/>
      <x:c r="E62"/>
      <x:c r="F62"/>
      <x:c r="G62"/>
      <x:c r="H62"/>
      <x:c r="I62"/>
      <x:c r="J62"/>
      <x:c r="K62"/>
      <x:c r="L62"/>
      <x:c r="M62"/>
      <x:c r="N62"/>
      <x:c r="O62"/>
      <x:c r="P62"/>
      <x:c r="Q62" t="n">
        <x:f>--AND(G62=1,H62=1,I62=1,J62=1,K62=1,L62=1,M62=1,N62=1,O62=1,P62=1)</x:f>
        <x:v>0</x:v>
      </x:c>
      <x:c r="R62"/>
      <x:c r="S62"/>
      <x:c r="T62" t="str">
        <x:f>IF(OR(R62="",S62=""),"",--(R62&lt;&gt;S62))</x:f>
      </x:c>
      <x:c r="U62"/>
      <x:c r="V62" t="str">
        <x:f>IF(OR(R62="",S62=""),"PENDING_HUMAN",IF(R62=S62,R62,IF(U62&lt;&gt;"",U62,"PENDING_HUMAN")))</x:f>
        <x:v>PENDING_HUMAN</x:v>
      </x:c>
      <x:c r="W62" t="n">
        <x:f>--AND(A62&lt;&gt;"",R62&lt;&gt;"",S62&lt;&gt;"",OR(R62=S62,U62&lt;&gt;""))</x:f>
        <x:v>0</x:v>
      </x:c>
      <x:c r="X62" t="n">
        <x:f>--AND(Q62=1,W62=1,V62=1)</x:f>
        <x:v>0</x:v>
      </x:c>
    </x:row>
    <x:row r="63">
      <x:c r="A63"/>
      <x:c r="B63"/>
      <x:c r="C63"/>
      <x:c r="D63"/>
      <x:c r="E63"/>
      <x:c r="F63"/>
      <x:c r="G63"/>
      <x:c r="H63"/>
      <x:c r="I63"/>
      <x:c r="J63"/>
      <x:c r="K63"/>
      <x:c r="L63"/>
      <x:c r="M63"/>
      <x:c r="N63"/>
      <x:c r="O63"/>
      <x:c r="P63"/>
      <x:c r="Q63" t="n">
        <x:f>--AND(G63=1,H63=1,I63=1,J63=1,K63=1,L63=1,M63=1,N63=1,O63=1,P63=1)</x:f>
        <x:v>0</x:v>
      </x:c>
      <x:c r="R63"/>
      <x:c r="S63"/>
      <x:c r="T63" t="str">
        <x:f>IF(OR(R63="",S63=""),"",--(R63&lt;&gt;S63))</x:f>
      </x:c>
      <x:c r="U63"/>
      <x:c r="V63" t="str">
        <x:f>IF(OR(R63="",S63=""),"PENDING_HUMAN",IF(R63=S63,R63,IF(U63&lt;&gt;"",U63,"PENDING_HUMAN")))</x:f>
        <x:v>PENDING_HUMAN</x:v>
      </x:c>
      <x:c r="W63" t="n">
        <x:f>--AND(A63&lt;&gt;"",R63&lt;&gt;"",S63&lt;&gt;"",OR(R63=S63,U63&lt;&gt;""))</x:f>
        <x:v>0</x:v>
      </x:c>
      <x:c r="X63" t="n">
        <x:f>--AND(Q63=1,W63=1,V63=1)</x:f>
        <x:v>0</x:v>
      </x:c>
    </x:row>
  </x:sheetData>
  <x:mergeCells>
    <x:mergeCell ref="A1:X1"/>
  </x:mergeCells>
  <x:dataValidations count="1">
    <x:dataValidation type="list" sqref="E4:L33">
      <x:formula1>"0,1"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eedaaa257f144e4a"/>
    <x:tablePart xmlns:r="http://schemas.openxmlformats.org/officeDocument/2006/relationships" r:id="R8af36b4022aa4487"/>
  </x:tableParts>
</x:worksheet>
</file>